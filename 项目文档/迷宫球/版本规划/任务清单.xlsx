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迷宫球" sheetId="2" r:id="rId4"/>
    <sheet name="v0.0.4 - 燃尽数据"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 min="5" max="5" width="19" customWidth="1"/>
    <col min="6" max="6" width="19" customWidth="1"/>
    <col min="7" max="7" width="19" customWidth="1"/>
    <col min="8" max="8" width="19" customWidth="1"/>
    <col min="9" max="9" width="19" customWidth="1"/>
    <col min="10" max="10" width="0" customWidth="1"/>
    <col min="11" max="11" width="0" customWidth="1"/>
    <col min="12" max="12" width="0" customWidth="1"/>
    <col min="13" max="13" width="0"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s>
  <sheetData>
    <row r="1" ht="13" customHeight="1">
      <c r="A1" s="1" t="inlineStr">
        <is>
          <t>任务标题</t>
        </is>
      </c>
      <c r="B1" s="1" t="inlineStr">
        <is>
          <t>任务描述</t>
        </is>
      </c>
      <c r="C1" s="1" t="inlineStr">
        <is>
          <t>自定义分组</t>
        </is>
      </c>
      <c r="D1" s="1" t="inlineStr">
        <is>
          <t>任务完成状态</t>
        </is>
      </c>
      <c r="E1" s="1" t="inlineStr">
        <is>
          <t>任务状态</t>
        </is>
      </c>
      <c r="F1" s="1" t="inlineStr">
        <is>
          <t>工时预计</t>
        </is>
      </c>
      <c r="G1" s="1" t="inlineStr">
        <is>
          <t>优先级</t>
        </is>
      </c>
      <c r="H1" s="1" t="inlineStr">
        <is>
          <t>一级分类</t>
        </is>
      </c>
      <c r="I1" s="1" t="inlineStr">
        <is>
          <t>子任务数</t>
        </is>
      </c>
      <c r="J1" s="1" t="inlineStr">
        <is>
          <t>任务完成方式</t>
        </is>
      </c>
      <c r="K1" s="1" t="inlineStr">
        <is>
          <t>任务已完成人员</t>
        </is>
      </c>
      <c r="L1" s="1" t="inlineStr">
        <is>
          <t>里程碑</t>
        </is>
      </c>
      <c r="M1" s="1" t="inlineStr">
        <is>
          <t>子任务进度</t>
        </is>
      </c>
      <c r="N1" s="1" t="inlineStr">
        <is>
          <t>完成时间</t>
        </is>
      </c>
      <c r="O1" s="1" t="inlineStr">
        <is>
          <t>规划版本</t>
        </is>
      </c>
      <c r="P1" s="1" t="inlineStr">
        <is>
          <t>负责人</t>
        </is>
      </c>
      <c r="Q1" s="1" t="inlineStr">
        <is>
          <t>开始时间</t>
        </is>
      </c>
      <c r="R1" s="1" t="inlineStr">
        <is>
          <t>截止时间</t>
        </is>
      </c>
      <c r="S1" s="1" t="inlineStr">
        <is>
          <t>任务 ID</t>
        </is>
      </c>
      <c r="T1" s="1" t="inlineStr">
        <is>
          <t>父任务 ID</t>
        </is>
      </c>
      <c r="U1" s="1" t="inlineStr">
        <is>
          <t>前置任务 ID</t>
        </is>
      </c>
      <c r="V1" s="1" t="inlineStr">
        <is>
          <t>后置任务 ID</t>
        </is>
      </c>
      <c r="W1" s="1" t="inlineStr">
        <is>
          <t>评论数</t>
        </is>
      </c>
      <c r="X1" s="1" t="inlineStr">
        <is>
          <t>关注人</t>
        </is>
      </c>
      <c r="Y1" s="1" t="inlineStr">
        <is>
          <t>创建人</t>
        </is>
      </c>
      <c r="Z1" s="1" t="inlineStr">
        <is>
          <t>创建时间</t>
        </is>
      </c>
      <c r="AA1" s="1" t="inlineStr">
        <is>
          <t>更新时间</t>
        </is>
      </c>
      <c r="AB1" s="1" t="inlineStr">
        <is>
          <t>任务清单</t>
        </is>
      </c>
      <c r="AC1" s="1" t="inlineStr">
        <is>
          <t>任务清单 ID</t>
        </is>
      </c>
      <c r="AD1" s="1" t="inlineStr">
        <is>
          <t>SourceID</t>
        </is>
      </c>
      <c r="AE1" s="1" t="inlineStr">
        <is>
          <t>公式</t>
        </is>
      </c>
    </row>
    <row r="2" ht="25.5" customHeight="1">
      <c r="A2" s="2" t="str">
        <f>=HYPERLINK("https://applink.feishu.cn/client/todo/detail?guid=1ce45994-0e1d-4787-bde5-d20abe8459ef&amp;suite_entity_num=t100251", "限制鼠标旋转速度上限")</f>
        <v>限制鼠标旋转速度上限</v>
      </c>
      <c r="B2"/>
      <c r="C2" t="inlineStr">
        <is>
          <t>默认分组</t>
        </is>
      </c>
      <c r="D2" t="inlineStr">
        <is>
          <t>1</t>
        </is>
      </c>
      <c r="E2"/>
      <c r="F2"/>
      <c r="G2" t="inlineStr">
        <is>
          <t>P0 - 必须处理</t>
        </is>
      </c>
      <c r="H2"/>
      <c r="I2">
        <v>0</v>
      </c>
      <c r="J2" t="inlineStr">
        <is>
          <t>或签任务</t>
        </is>
      </c>
      <c r="K2"/>
      <c r="L2" t="inlineStr">
        <is>
          <t>0</t>
        </is>
      </c>
      <c r="M2"/>
      <c r="N2" s="3">
        <v>45610.42574074074</v>
      </c>
      <c r="O2"/>
      <c r="P2"/>
      <c r="Q2" s="3">
        <v>45599.333333333336</v>
      </c>
      <c r="R2" s="3">
        <v>45599.333333333336</v>
      </c>
      <c r="S2" t="inlineStr">
        <is>
          <t>1ce45994-0e1d-4787-bde5-d20abe8459ef</t>
        </is>
      </c>
      <c r="T2"/>
      <c r="U2"/>
      <c r="V2"/>
      <c r="W2">
        <v>0</v>
      </c>
      <c r="X2" t="inlineStr">
        <is>
          <t>龚政涛</t>
        </is>
      </c>
      <c r="Y2" t="inlineStr">
        <is>
          <t>龚政涛</t>
        </is>
      </c>
      <c r="Z2" s="3">
        <v>45598.98153935185</v>
      </c>
      <c r="AA2" s="3">
        <v>45610.42574074074</v>
      </c>
      <c r="AB2" s="2" t="str">
        <f>=HYPERLINK("https://applink.feishu.cn/client/todo/task_list?guid=76122b60-faec-4a61-91b0-2d229f32cc2a", "迷宫球")</f>
        <v>迷宫球</v>
      </c>
      <c r="AC2" t="inlineStr">
        <is>
          <t>76122b60-faec-4a61-91b0-2d229f32cc2a</t>
        </is>
      </c>
      <c r="AD2" t="inlineStr">
        <is>
          <t>NzUzMTk3MzcwNDkxNDg0NTY5NzoxY2U0NTk5NC0wZTFkLTQ3ODctYmRlNS1kMjBhYmU4NDU5ZWY6MmQ2MjU5OTlkOGM2ZTQ5MmZlNTU5MzE5YjAzMTdlMjE6MQ==</t>
        </is>
      </c>
      <c r="AE2"/>
    </row>
    <row r="3" ht="25.5" customHeight="1">
      <c r="A3" s="2" t="str">
        <f>=HYPERLINK("https://applink.feishu.cn/client/todo/detail?guid=7f69e253-3cf2-4bbe-8915-dac671242e6d&amp;suite_entity_num=t100255", "存档系统")</f>
        <v>存档系统</v>
      </c>
      <c r="B3"/>
      <c r="C3" t="inlineStr">
        <is>
          <t>默认分组</t>
        </is>
      </c>
      <c r="D3" t="inlineStr">
        <is>
          <t>1</t>
        </is>
      </c>
      <c r="E3"/>
      <c r="F3"/>
      <c r="G3" t="inlineStr">
        <is>
          <t>P0 - 必须处理</t>
        </is>
      </c>
      <c r="H3"/>
      <c r="I3">
        <v>0</v>
      </c>
      <c r="J3" t="inlineStr">
        <is>
          <t>或签任务</t>
        </is>
      </c>
      <c r="K3"/>
      <c r="L3" t="inlineStr">
        <is>
          <t>0</t>
        </is>
      </c>
      <c r="M3"/>
      <c r="N3" s="3">
        <v>45611.63584490741</v>
      </c>
      <c r="O3"/>
      <c r="P3"/>
      <c r="Q3" s="3">
        <v>45607.333333333336</v>
      </c>
      <c r="R3" s="3">
        <v>45608.333333333336</v>
      </c>
      <c r="S3" t="inlineStr">
        <is>
          <t>7f69e253-3cf2-4bbe-8915-dac671242e6d</t>
        </is>
      </c>
      <c r="T3"/>
      <c r="U3"/>
      <c r="V3"/>
      <c r="W3">
        <v>0</v>
      </c>
      <c r="X3" t="inlineStr">
        <is>
          <t>龚政涛</t>
        </is>
      </c>
      <c r="Y3" t="inlineStr">
        <is>
          <t>龚政涛</t>
        </is>
      </c>
      <c r="Z3" s="3">
        <v>45599.00628472222</v>
      </c>
      <c r="AA3" s="3">
        <v>45611.63584490741</v>
      </c>
      <c r="AB3" s="2" t="str">
        <f>=HYPERLINK("https://applink.feishu.cn/client/todo/task_list?guid=76122b60-faec-4a61-91b0-2d229f32cc2a", "迷宫球")</f>
        <v>迷宫球</v>
      </c>
      <c r="AC3" t="inlineStr">
        <is>
          <t>76122b60-faec-4a61-91b0-2d229f32cc2a</t>
        </is>
      </c>
      <c r="AD3" t="inlineStr">
        <is>
          <t>NzUzMTk3MzcwNDkxNDg0NTY5Nzo3ZjY5ZTI1My0zY2YyLTRiYmUtODkxNS1kYWM2NzEyNDJlNmQ6ODUwM2NiY2U0OGQ4YmE0OTIwM2IzOWQ1OWQ2Y2E0Njc6MQ==</t>
        </is>
      </c>
      <c r="AE3"/>
    </row>
    <row r="4" ht="25.5" customHeight="1">
      <c r="A4" s="2" t="str">
        <f>=HYPERLINK("https://applink.feishu.cn/client/todo/detail?guid=baca42f2-a5b4-40ca-a813-36e01cf60b5a&amp;suite_entity_num=t100266", "主菜单：选关")</f>
        <v>主菜单：选关</v>
      </c>
      <c r="B4"/>
      <c r="C4" t="inlineStr">
        <is>
          <t>默认分组</t>
        </is>
      </c>
      <c r="D4" t="inlineStr">
        <is>
          <t>1</t>
        </is>
      </c>
      <c r="E4"/>
      <c r="F4"/>
      <c r="G4" t="inlineStr">
        <is>
          <t>P1 - 最好处理</t>
        </is>
      </c>
      <c r="H4"/>
      <c r="I4">
        <v>0</v>
      </c>
      <c r="J4" t="inlineStr">
        <is>
          <t>或签任务</t>
        </is>
      </c>
      <c r="K4"/>
      <c r="L4" t="inlineStr">
        <is>
          <t>0</t>
        </is>
      </c>
      <c r="M4"/>
      <c r="N4" s="3">
        <v>45621.848958333336</v>
      </c>
      <c r="O4"/>
      <c r="P4"/>
      <c r="Q4" s="3">
        <v>45611.333333333336</v>
      </c>
      <c r="R4" s="3">
        <v>45612.333333333336</v>
      </c>
      <c r="S4" t="inlineStr">
        <is>
          <t>baca42f2-a5b4-40ca-a813-36e01cf60b5a</t>
        </is>
      </c>
      <c r="T4"/>
      <c r="U4"/>
      <c r="V4" t="inlineStr">
        <is>
          <t>c013fffb-277d-4218-880b-ea5d27821def</t>
        </is>
      </c>
      <c r="W4">
        <v>0</v>
      </c>
      <c r="X4" t="inlineStr">
        <is>
          <t>龚政涛</t>
        </is>
      </c>
      <c r="Y4" t="inlineStr">
        <is>
          <t>龚政涛</t>
        </is>
      </c>
      <c r="Z4" s="3">
        <v>45611.63915509259</v>
      </c>
      <c r="AA4" s="3">
        <v>45621.848958333336</v>
      </c>
      <c r="AB4" s="2" t="str">
        <f>=HYPERLINK("https://applink.feishu.cn/client/todo/task_list?guid=76122b60-faec-4a61-91b0-2d229f32cc2a", "迷宫球")</f>
        <v>迷宫球</v>
      </c>
      <c r="AC4" t="inlineStr">
        <is>
          <t>76122b60-faec-4a61-91b0-2d229f32cc2a</t>
        </is>
      </c>
      <c r="AD4" t="inlineStr">
        <is>
          <t>NzUzMTk3MzcwNDkxNDg0NTY5NzpiYWNhNDJmMi1hNWI0LTQwY2EtYTgxMy0zNmUwMWNmNjBiNWE6NmNlMzgyOTYyN2MwZjQ2NmRmOGNlOTY0YjI2MTkxNWE6MQ==</t>
        </is>
      </c>
      <c r="AE4"/>
    </row>
    <row r="5" ht="25.5" customHeight="1">
      <c r="A5" s="2" t="str">
        <f>=HYPERLINK("https://applink.feishu.cn/client/todo/detail?guid=faba3210-0746-4cdb-a6e5-194e8ece98d4&amp;suite_entity_num=t100267", "BP结构优化")</f>
        <v>BP结构优化</v>
      </c>
      <c r="B5"/>
      <c r="C5" t="inlineStr">
        <is>
          <t>默认分组</t>
        </is>
      </c>
      <c r="D5" t="inlineStr">
        <is>
          <t>1</t>
        </is>
      </c>
      <c r="E5"/>
      <c r="F5"/>
      <c r="G5" t="inlineStr">
        <is>
          <t>P0 - 必须处理</t>
        </is>
      </c>
      <c r="H5"/>
      <c r="I5">
        <v>0</v>
      </c>
      <c r="J5" t="inlineStr">
        <is>
          <t>或签任务</t>
        </is>
      </c>
      <c r="K5"/>
      <c r="L5" t="inlineStr">
        <is>
          <t>0</t>
        </is>
      </c>
      <c r="M5"/>
      <c r="N5" s="3">
        <v>45621.84890046297</v>
      </c>
      <c r="O5"/>
      <c r="P5"/>
      <c r="Q5" s="3">
        <v>45611.333333333336</v>
      </c>
      <c r="R5" s="3">
        <v>45615.333333333336</v>
      </c>
      <c r="S5" t="inlineStr">
        <is>
          <t>faba3210-0746-4cdb-a6e5-194e8ece98d4</t>
        </is>
      </c>
      <c r="T5"/>
      <c r="U5"/>
      <c r="V5"/>
      <c r="W5">
        <v>0</v>
      </c>
      <c r="X5" t="inlineStr">
        <is>
          <t>龚政涛</t>
        </is>
      </c>
      <c r="Y5" t="inlineStr">
        <is>
          <t>龚政涛</t>
        </is>
      </c>
      <c r="Z5" s="3">
        <v>45611.64063657408</v>
      </c>
      <c r="AA5" s="3">
        <v>45621.84890046297</v>
      </c>
      <c r="AB5" s="2" t="str">
        <f>=HYPERLINK("https://applink.feishu.cn/client/todo/task_list?guid=76122b60-faec-4a61-91b0-2d229f32cc2a", "迷宫球")</f>
        <v>迷宫球</v>
      </c>
      <c r="AC5" t="inlineStr">
        <is>
          <t>76122b60-faec-4a61-91b0-2d229f32cc2a</t>
        </is>
      </c>
      <c r="AD5" t="inlineStr">
        <is>
          <t>NzUzMTk3MzcwNDkxNDg0NTY5NzpmYWJhMzIxMC0wNzQ2LTRjZGItYTZlNS0xOTRlOGVjZTk4ZDQ6YzE3M2ZiMGUyNmRhMDIyZmVjOTQ5ODNlMDkwMDkyODI6MQ==</t>
        </is>
      </c>
      <c r="AE5"/>
    </row>
    <row r="6" ht="25.5" customHeight="1">
      <c r="A6" s="2" t="str">
        <f>=HYPERLINK("https://applink.feishu.cn/client/todo/detail?guid=f9fecd97-561c-4fd0-81c4-d6bbc2f65c56&amp;suite_entity_num=t100227", "调整 Level 2，应该不用能力也要能过关")</f>
        <v>调整 Level 2，应该不用能力也要能过关</v>
      </c>
      <c r="B6"/>
      <c r="C6" t="inlineStr">
        <is>
          <t>默认分组</t>
        </is>
      </c>
      <c r="D6" t="inlineStr">
        <is>
          <t>1</t>
        </is>
      </c>
      <c r="E6"/>
      <c r="F6"/>
      <c r="G6" t="inlineStr">
        <is>
          <t>P2 - 新的想法</t>
        </is>
      </c>
      <c r="H6"/>
      <c r="I6">
        <v>0</v>
      </c>
      <c r="J6" t="inlineStr">
        <is>
          <t>或签任务</t>
        </is>
      </c>
      <c r="K6"/>
      <c r="L6" t="inlineStr">
        <is>
          <t>0</t>
        </is>
      </c>
      <c r="M6"/>
      <c r="N6" s="3">
        <v>45623.75429398148</v>
      </c>
      <c r="O6"/>
      <c r="P6"/>
      <c r="Q6" s="3">
        <v>45618.333333333336</v>
      </c>
      <c r="R6" s="3">
        <v>45618.333333333336</v>
      </c>
      <c r="S6" t="inlineStr">
        <is>
          <t>f9fecd97-561c-4fd0-81c4-d6bbc2f65c56</t>
        </is>
      </c>
      <c r="T6"/>
      <c r="U6"/>
      <c r="V6"/>
      <c r="W6">
        <v>0</v>
      </c>
      <c r="X6" t="inlineStr">
        <is>
          <t>龚政涛</t>
        </is>
      </c>
      <c r="Y6" t="inlineStr">
        <is>
          <t>龚政涛</t>
        </is>
      </c>
      <c r="Z6" s="3">
        <v>45591.84474537037</v>
      </c>
      <c r="AA6" s="3">
        <v>45623.754270833335</v>
      </c>
      <c r="AB6" s="2" t="str">
        <f>=HYPERLINK("https://applink.feishu.cn/client/todo/task_list?guid=76122b60-faec-4a61-91b0-2d229f32cc2a", "迷宫球")</f>
        <v>迷宫球</v>
      </c>
      <c r="AC6" t="inlineStr">
        <is>
          <t>76122b60-faec-4a61-91b0-2d229f32cc2a</t>
        </is>
      </c>
      <c r="AD6" t="inlineStr">
        <is>
          <t>NzUzMTk3MzcwNDkxNDg0NTY5NzpmOWZlY2Q5Ny01NjFjLTRmZDAtODFjNC1kNmJiYzJmNjVjNTY6MWJkZDk0ZDY4OGIxMTYwZjExODkyY2JjYzk5N2YyMmI6MQ==</t>
        </is>
      </c>
      <c r="AE6"/>
    </row>
    <row r="7" ht="25.5" customHeight="1">
      <c r="A7" s="2" t="str">
        <f>=HYPERLINK("https://applink.feishu.cn/client/todo/detail?guid=aa44af20-a374-41f7-a782-2144dea47b43&amp;suite_entity_num=t100253", "选关功能")</f>
        <v>选关功能</v>
      </c>
      <c r="B7" t="inlineStr">
        <is>
          <t>通关以后可以选关</t>
        </is>
      </c>
      <c r="C7" t="inlineStr">
        <is>
          <t>默认分组</t>
        </is>
      </c>
      <c r="D7" t="inlineStr">
        <is>
          <t>1</t>
        </is>
      </c>
      <c r="E7"/>
      <c r="F7"/>
      <c r="G7" t="inlineStr">
        <is>
          <t>P2 - 新的想法</t>
        </is>
      </c>
      <c r="H7"/>
      <c r="I7">
        <v>0</v>
      </c>
      <c r="J7" t="inlineStr">
        <is>
          <t>或签任务</t>
        </is>
      </c>
      <c r="K7"/>
      <c r="L7" t="inlineStr">
        <is>
          <t>0</t>
        </is>
      </c>
      <c r="M7"/>
      <c r="N7" s="3">
        <v>45623.754212962966</v>
      </c>
      <c r="O7"/>
      <c r="P7"/>
      <c r="Q7" s="3">
        <v>45621.333333333336</v>
      </c>
      <c r="R7" s="3">
        <v>45623.333333333336</v>
      </c>
      <c r="S7" t="inlineStr">
        <is>
          <t>aa44af20-a374-41f7-a782-2144dea47b43</t>
        </is>
      </c>
      <c r="T7"/>
      <c r="U7"/>
      <c r="V7"/>
      <c r="W7">
        <v>0</v>
      </c>
      <c r="X7" t="inlineStr">
        <is>
          <t>龚政涛</t>
        </is>
      </c>
      <c r="Y7" t="inlineStr">
        <is>
          <t>龚政涛</t>
        </is>
      </c>
      <c r="Z7" s="3">
        <v>45598.99046296296</v>
      </c>
      <c r="AA7" s="3">
        <v>45623.75420138889</v>
      </c>
      <c r="AB7" s="2" t="str">
        <f>=HYPERLINK("https://applink.feishu.cn/client/todo/task_list?guid=76122b60-faec-4a61-91b0-2d229f32cc2a", "迷宫球")</f>
        <v>迷宫球</v>
      </c>
      <c r="AC7" t="inlineStr">
        <is>
          <t>76122b60-faec-4a61-91b0-2d229f32cc2a</t>
        </is>
      </c>
      <c r="AD7" t="inlineStr">
        <is>
          <t>NzUzMTk3MzcwNDkxNDg0NTY5NzphYTQ0YWYyMC1hMzc0LTQxZjctYTc4Mi0yMTQ0ZGVhNDdiNDM6ZWVhNjMwZDliNjgzMDJlNmVkMjdiZDA2ZjczNzk2NDY6MQ==</t>
        </is>
      </c>
      <c r="AE7"/>
    </row>
    <row r="8" ht="25.5" customHeight="1">
      <c r="A8" s="2" t="str">
        <f>=HYPERLINK("https://applink.feishu.cn/client/todo/detail?guid=fb33a3fa-861a-43b1-b9ef-8fa4c961d28c&amp;suite_entity_num=t100211", "计次器")</f>
        <v>计次器</v>
      </c>
      <c r="B8"/>
      <c r="C8" t="inlineStr">
        <is>
          <t>默认分组</t>
        </is>
      </c>
      <c r="D8" t="inlineStr">
        <is>
          <t>1</t>
        </is>
      </c>
      <c r="E8"/>
      <c r="F8"/>
      <c r="G8" t="inlineStr">
        <is>
          <t>P2 - 新的想法</t>
        </is>
      </c>
      <c r="H8"/>
      <c r="I8">
        <v>0</v>
      </c>
      <c r="J8" t="inlineStr">
        <is>
          <t>或签任务</t>
        </is>
      </c>
      <c r="K8"/>
      <c r="L8" t="inlineStr">
        <is>
          <t>0</t>
        </is>
      </c>
      <c r="M8"/>
      <c r="N8" s="3">
        <v>45624.75221064815</v>
      </c>
      <c r="O8"/>
      <c r="P8"/>
      <c r="Q8" s="3">
        <v>45624.333333333336</v>
      </c>
      <c r="R8" s="3">
        <v>45624.333333333336</v>
      </c>
      <c r="S8" t="inlineStr">
        <is>
          <t>fb33a3fa-861a-43b1-b9ef-8fa4c961d28c</t>
        </is>
      </c>
      <c r="T8"/>
      <c r="U8"/>
      <c r="V8"/>
      <c r="W8">
        <v>0</v>
      </c>
      <c r="X8" t="inlineStr">
        <is>
          <t>龚政涛</t>
        </is>
      </c>
      <c r="Y8" t="inlineStr">
        <is>
          <t>龚政涛</t>
        </is>
      </c>
      <c r="Z8" s="3">
        <v>45590.45135416667</v>
      </c>
      <c r="AA8" s="3">
        <v>45624.75221064815</v>
      </c>
      <c r="AB8" s="2" t="str">
        <f>=HYPERLINK("https://applink.feishu.cn/client/todo/task_list?guid=76122b60-faec-4a61-91b0-2d229f32cc2a", "迷宫球")</f>
        <v>迷宫球</v>
      </c>
      <c r="AC8" t="inlineStr">
        <is>
          <t>76122b60-faec-4a61-91b0-2d229f32cc2a</t>
        </is>
      </c>
      <c r="AD8" t="inlineStr">
        <is>
          <t>NzUzMTk3MzcwNDkxNDg0NTY5NzpmYjMzYTNmYS04NjFhLTQzYjEtYjllZi04ZmE0Yzk2MWQyOGM6YmRhY2VkNDNjNDY4MTY1NDI3NzJiNTA0ODRhYzMzYjg6MQ==</t>
        </is>
      </c>
      <c r="AE8"/>
    </row>
    <row r="9" ht="25.5" customHeight="1">
      <c r="A9" s="2" t="str">
        <f>=HYPERLINK("https://applink.feishu.cn/client/todo/detail?guid=d2bfcdbf-2e54-4e62-91ee-c1535aabdb95&amp;suite_entity_num=t100210", "计时器")</f>
        <v>计时器</v>
      </c>
      <c r="B9"/>
      <c r="C9" t="inlineStr">
        <is>
          <t>默认分组</t>
        </is>
      </c>
      <c r="D9" t="inlineStr">
        <is>
          <t>1</t>
        </is>
      </c>
      <c r="E9"/>
      <c r="F9"/>
      <c r="G9" t="inlineStr">
        <is>
          <t>P2 - 新的想法</t>
        </is>
      </c>
      <c r="H9"/>
      <c r="I9">
        <v>0</v>
      </c>
      <c r="J9" t="inlineStr">
        <is>
          <t>或签任务</t>
        </is>
      </c>
      <c r="K9"/>
      <c r="L9" t="inlineStr">
        <is>
          <t>0</t>
        </is>
      </c>
      <c r="M9"/>
      <c r="N9" s="3">
        <v>45624.7453125</v>
      </c>
      <c r="O9"/>
      <c r="P9"/>
      <c r="Q9" s="3">
        <v>45624.333333333336</v>
      </c>
      <c r="R9" s="3">
        <v>45624.333333333336</v>
      </c>
      <c r="S9" t="inlineStr">
        <is>
          <t>d2bfcdbf-2e54-4e62-91ee-c1535aabdb95</t>
        </is>
      </c>
      <c r="T9"/>
      <c r="U9"/>
      <c r="V9" t="inlineStr">
        <is>
          <t>4577e0ef-9ea6-48ad-a4ca-944f80727fcd</t>
        </is>
      </c>
      <c r="W9">
        <v>0</v>
      </c>
      <c r="X9" t="inlineStr">
        <is>
          <t>龚政涛</t>
        </is>
      </c>
      <c r="Y9" t="inlineStr">
        <is>
          <t>龚政涛</t>
        </is>
      </c>
      <c r="Z9" s="3">
        <v>45590.45130787037</v>
      </c>
      <c r="AA9" s="3">
        <v>45624.7453125</v>
      </c>
      <c r="AB9" s="2" t="str">
        <f>=HYPERLINK("https://applink.feishu.cn/client/todo/task_list?guid=76122b60-faec-4a61-91b0-2d229f32cc2a", "迷宫球")</f>
        <v>迷宫球</v>
      </c>
      <c r="AC9" t="inlineStr">
        <is>
          <t>76122b60-faec-4a61-91b0-2d229f32cc2a</t>
        </is>
      </c>
      <c r="AD9" t="inlineStr">
        <is>
          <t>NzUzMTk3MzcwNDkxNDg0NTY5NzpkMmJmY2RiZi0yZTU0LTRlNjItOTFlZS1jMTUzNWFhYmRiOTU6MjBkZTZkZTJmMzdlYTJmODRiMjgyNDMzNDhhZDVkOWY6MQ==</t>
        </is>
      </c>
      <c r="AE9"/>
    </row>
    <row r="10" ht="25.5" customHeight="1">
      <c r="A10" s="2" t="str">
        <f>=HYPERLINK("https://applink.feishu.cn/client/todo/detail?guid=f1be0262-486f-459a-a85d-331d6ee37d9e&amp;suite_entity_num=t100306", "关卡切换和加载时FadeToBlack")</f>
        <v>关卡切换和加载时FadeToBlack</v>
      </c>
      <c r="B10"/>
      <c r="C10" t="inlineStr">
        <is>
          <t>默认分组</t>
        </is>
      </c>
      <c r="D10" t="inlineStr">
        <is>
          <t>1</t>
        </is>
      </c>
      <c r="E10"/>
      <c r="F10"/>
      <c r="G10" t="inlineStr">
        <is>
          <t>P2 - 新的想法</t>
        </is>
      </c>
      <c r="H10"/>
      <c r="I10">
        <v>0</v>
      </c>
      <c r="J10" t="inlineStr">
        <is>
          <t>或签任务</t>
        </is>
      </c>
      <c r="K10"/>
      <c r="L10" t="inlineStr">
        <is>
          <t>0</t>
        </is>
      </c>
      <c r="M10"/>
      <c r="N10" s="3">
        <v>45624.71003472222</v>
      </c>
      <c r="O10"/>
      <c r="P10"/>
      <c r="Q10" s="3">
        <v>45624.333333333336</v>
      </c>
      <c r="R10" s="3">
        <v>45624.333333333336</v>
      </c>
      <c r="S10" t="inlineStr">
        <is>
          <t>f1be0262-486f-459a-a85d-331d6ee37d9e</t>
        </is>
      </c>
      <c r="T10"/>
      <c r="U10"/>
      <c r="V10"/>
      <c r="W10">
        <v>0</v>
      </c>
      <c r="X10" t="inlineStr">
        <is>
          <t>龚政涛</t>
        </is>
      </c>
      <c r="Y10" t="inlineStr">
        <is>
          <t>龚政涛</t>
        </is>
      </c>
      <c r="Z10" s="3">
        <v>45623.75497685185</v>
      </c>
      <c r="AA10" s="3">
        <v>45624.710023148145</v>
      </c>
      <c r="AB10" s="2" t="str">
        <f>=HYPERLINK("https://applink.feishu.cn/client/todo/task_list?guid=76122b60-faec-4a61-91b0-2d229f32cc2a", "迷宫球")</f>
        <v>迷宫球</v>
      </c>
      <c r="AC10" t="inlineStr">
        <is>
          <t>76122b60-faec-4a61-91b0-2d229f32cc2a</t>
        </is>
      </c>
      <c r="AD10" t="inlineStr">
        <is>
          <t>NzUzMTk3MzcwNDkxNDg0NTY5NzpmMWJlMDI2Mi00ODZmLTQ1OWEtYTg1ZC0zMzFkNmVlMzdkOWU6MTQ1MzQyNzQzOGQzMDQzYjZhZWQzMmNmNDFlODg5OWU6MQ==</t>
        </is>
      </c>
      <c r="AE10"/>
    </row>
    <row r="11" ht="25.5" customHeight="1">
      <c r="A11" s="2" t="str">
        <f>=HYPERLINK("https://applink.feishu.cn/client/todo/detail?guid=e4eb4cd7-5e76-4297-8a9e-3855f9ffa0f2&amp;suite_entity_num=t100309", "过关：展示时间最高记录和当前记录")</f>
        <v>过关：展示时间最高记录和当前记录</v>
      </c>
      <c r="B11"/>
      <c r="C11" t="inlineStr">
        <is>
          <t>默认分组</t>
        </is>
      </c>
      <c r="D11" t="inlineStr">
        <is>
          <t>1</t>
        </is>
      </c>
      <c r="E11"/>
      <c r="F11"/>
      <c r="G11" t="inlineStr">
        <is>
          <t>P2 - 新的想法</t>
        </is>
      </c>
      <c r="H11"/>
      <c r="I11">
        <v>0</v>
      </c>
      <c r="J11" t="inlineStr">
        <is>
          <t>或签任务</t>
        </is>
      </c>
      <c r="K11"/>
      <c r="L11" t="inlineStr">
        <is>
          <t>0</t>
        </is>
      </c>
      <c r="M11"/>
      <c r="N11" s="3">
        <v>45625.765393518515</v>
      </c>
      <c r="O11"/>
      <c r="P11"/>
      <c r="Q11" s="3">
        <v>45625.333333333336</v>
      </c>
      <c r="R11" s="3">
        <v>45625.333333333336</v>
      </c>
      <c r="S11" t="inlineStr">
        <is>
          <t>e4eb4cd7-5e76-4297-8a9e-3855f9ffa0f2</t>
        </is>
      </c>
      <c r="T11"/>
      <c r="U11"/>
      <c r="V11"/>
      <c r="W11">
        <v>0</v>
      </c>
      <c r="X11" t="inlineStr">
        <is>
          <t>龚政涛</t>
        </is>
      </c>
      <c r="Y11" t="inlineStr">
        <is>
          <t>龚政涛</t>
        </is>
      </c>
      <c r="Z11" s="3">
        <v>45625.740439814814</v>
      </c>
      <c r="AA11" s="3">
        <v>45625.765393518515</v>
      </c>
      <c r="AB11" s="2" t="str">
        <f>=HYPERLINK("https://applink.feishu.cn/client/todo/task_list?guid=76122b60-faec-4a61-91b0-2d229f32cc2a", "迷宫球")</f>
        <v>迷宫球</v>
      </c>
      <c r="AC11" t="inlineStr">
        <is>
          <t>76122b60-faec-4a61-91b0-2d229f32cc2a</t>
        </is>
      </c>
      <c r="AD11" t="inlineStr">
        <is>
          <t>NzUzMTk3MzcwNDkxNDg0NTY5NzplNGViNGNkNy01ZTc2LTQyOTctOGE5ZS0zODU1ZjlmZmEwZjI6ZGZkNzFmYmEwMzUyNGJkM2VmZmFjYTk3ZWEwZjZmOGM6MQ==</t>
        </is>
      </c>
      <c r="AE11"/>
    </row>
    <row r="12" ht="25.5" customHeight="1">
      <c r="A12" s="2" t="str">
        <f>=HYPERLINK("https://applink.feishu.cn/client/todo/detail?guid=ab52dfdd-c630-48ee-a403-b2d62e3c4067&amp;suite_entity_num=t100310", "过关：展示TRYOUT最高记录")</f>
        <v>过关：展示TRYOUT最高记录</v>
      </c>
      <c r="B12"/>
      <c r="C12" t="inlineStr">
        <is>
          <t>默认分组</t>
        </is>
      </c>
      <c r="D12" t="inlineStr">
        <is>
          <t>1</t>
        </is>
      </c>
      <c r="E12"/>
      <c r="F12"/>
      <c r="G12" t="inlineStr">
        <is>
          <t>P2 - 新的想法</t>
        </is>
      </c>
      <c r="H12"/>
      <c r="I12">
        <v>0</v>
      </c>
      <c r="J12" t="inlineStr">
        <is>
          <t>或签任务</t>
        </is>
      </c>
      <c r="K12"/>
      <c r="L12" t="inlineStr">
        <is>
          <t>0</t>
        </is>
      </c>
      <c r="M12"/>
      <c r="N12" s="3">
        <v>45628.630833333336</v>
      </c>
      <c r="O12"/>
      <c r="P12"/>
      <c r="Q12" s="3">
        <v>45626.333333333336</v>
      </c>
      <c r="R12" s="3">
        <v>45626.333333333336</v>
      </c>
      <c r="S12" t="inlineStr">
        <is>
          <t>ab52dfdd-c630-48ee-a403-b2d62e3c4067</t>
        </is>
      </c>
      <c r="T12"/>
      <c r="U12"/>
      <c r="V12"/>
      <c r="W12">
        <v>0</v>
      </c>
      <c r="X12" t="inlineStr">
        <is>
          <t>龚政涛</t>
        </is>
      </c>
      <c r="Y12" t="inlineStr">
        <is>
          <t>龚政涛</t>
        </is>
      </c>
      <c r="Z12" s="3">
        <v>45625.76546296296</v>
      </c>
      <c r="AA12" s="3">
        <v>45628.630844907406</v>
      </c>
      <c r="AB12" s="2" t="str">
        <f>=HYPERLINK("https://applink.feishu.cn/client/todo/task_list?guid=76122b60-faec-4a61-91b0-2d229f32cc2a", "迷宫球")</f>
        <v>迷宫球</v>
      </c>
      <c r="AC12" t="inlineStr">
        <is>
          <t>76122b60-faec-4a61-91b0-2d229f32cc2a</t>
        </is>
      </c>
      <c r="AD12" t="inlineStr">
        <is>
          <t>NzUzMTk3MzcwNDkxNDg0NTY5NzphYjUyZGZkZC1jNjMwLTQ4ZWUtYTQwMy1iMmQ2MmUzYzQwNjc6YmFiYTEyZDhkZjBmMjMyNTQzYmVmYWY5YTc5ZWVlOTA6MQ==</t>
        </is>
      </c>
      <c r="AE12"/>
    </row>
    <row r="13" ht="25.5" customHeight="1">
      <c r="A13" s="2" t="str">
        <f>=HYPERLINK("https://applink.feishu.cn/client/todo/detail?guid=c013fffb-277d-4218-880b-ea5d27821def&amp;suite_entity_num=t100250", "设置菜单：调整健位和速度")</f>
        <v>设置菜单：调整健位和速度</v>
      </c>
      <c r="B13"/>
      <c r="C13" t="inlineStr">
        <is>
          <t>默认分组</t>
        </is>
      </c>
      <c r="D13" t="inlineStr">
        <is>
          <t>1</t>
        </is>
      </c>
      <c r="E13"/>
      <c r="F13"/>
      <c r="G13" t="inlineStr">
        <is>
          <t>P0 - 必须处理</t>
        </is>
      </c>
      <c r="H13"/>
      <c r="I13">
        <v>0</v>
      </c>
      <c r="J13" t="inlineStr">
        <is>
          <t>或签任务</t>
        </is>
      </c>
      <c r="K13"/>
      <c r="L13" t="inlineStr">
        <is>
          <t>0</t>
        </is>
      </c>
      <c r="M13"/>
      <c r="N13" s="3">
        <v>45629.73112268518</v>
      </c>
      <c r="O13"/>
      <c r="P13"/>
      <c r="Q13" s="3">
        <v>45625.333333333336</v>
      </c>
      <c r="R13" s="3">
        <v>45628.333333333336</v>
      </c>
      <c r="S13" t="inlineStr">
        <is>
          <t>c013fffb-277d-4218-880b-ea5d27821def</t>
        </is>
      </c>
      <c r="T13"/>
      <c r="U13" t="inlineStr">
        <is>
          <t>baca42f2-a5b4-40ca-a813-36e01cf60b5a</t>
        </is>
      </c>
      <c r="V13" t="inlineStr">
        <is>
          <t>9324fbcc-e2a4-4997-abc0-d43d66532327, bcf586f2-9e31-4816-92c6-520694c30d79</t>
        </is>
      </c>
      <c r="W13">
        <v>0</v>
      </c>
      <c r="X13" t="inlineStr">
        <is>
          <t>龚政涛</t>
        </is>
      </c>
      <c r="Y13" t="inlineStr">
        <is>
          <t>龚政涛</t>
        </is>
      </c>
      <c r="Z13" s="3">
        <v>45598.98064814815</v>
      </c>
      <c r="AA13" s="3">
        <v>45629.73112268518</v>
      </c>
      <c r="AB13" s="2" t="str">
        <f>=HYPERLINK("https://applink.feishu.cn/client/todo/task_list?guid=76122b60-faec-4a61-91b0-2d229f32cc2a", "迷宫球")</f>
        <v>迷宫球</v>
      </c>
      <c r="AC13" t="inlineStr">
        <is>
          <t>76122b60-faec-4a61-91b0-2d229f32cc2a</t>
        </is>
      </c>
      <c r="AD13" t="inlineStr">
        <is>
          <t>NzUzMTk3MzcwNDkxNDg0NTY5NzpjMDEzZmZmYi0yNzdkLTQyMTgtODgwYi1lYTVkMjc4MjFkZWY6NzBhOWJjYWVmNjk3ZjkwNTY3YjRkOWMxYTNlMGM1MTQ6MQ==</t>
        </is>
      </c>
      <c r="AE13"/>
    </row>
    <row r="14" ht="25.5" customHeight="1">
      <c r="A14" s="2" t="str">
        <f>=HYPERLINK("https://applink.feishu.cn/client/todo/detail?guid=5d0361d2-3916-43a2-a8a0-c8174fc1683f&amp;suite_entity_num=t100220", "Level 10")</f>
        <v>Level 10</v>
      </c>
      <c r="B14"/>
      <c r="C14" t="inlineStr">
        <is>
          <t>默认分组</t>
        </is>
      </c>
      <c r="D14" t="inlineStr">
        <is>
          <t>1</t>
        </is>
      </c>
      <c r="E14"/>
      <c r="F14"/>
      <c r="G14" t="inlineStr">
        <is>
          <t>P2 - 新的想法</t>
        </is>
      </c>
      <c r="H14"/>
      <c r="I14">
        <v>0</v>
      </c>
      <c r="J14" t="inlineStr">
        <is>
          <t>或签任务</t>
        </is>
      </c>
      <c r="K14"/>
      <c r="L14" t="inlineStr">
        <is>
          <t>0</t>
        </is>
      </c>
      <c r="M14"/>
      <c r="N14" s="3">
        <v>45661.027546296296</v>
      </c>
      <c r="O14"/>
      <c r="P14"/>
      <c r="Q14" s="3">
        <v>45628.333333333336</v>
      </c>
      <c r="R14" s="3">
        <v>45632.333333333336</v>
      </c>
      <c r="S14" t="inlineStr">
        <is>
          <t>5d0361d2-3916-43a2-a8a0-c8174fc1683f</t>
        </is>
      </c>
      <c r="T14"/>
      <c r="U14"/>
      <c r="V14"/>
      <c r="W14">
        <v>0</v>
      </c>
      <c r="X14" t="inlineStr">
        <is>
          <t>龚政涛</t>
        </is>
      </c>
      <c r="Y14" t="inlineStr">
        <is>
          <t>龚政涛</t>
        </is>
      </c>
      <c r="Z14" s="3">
        <v>45590.48585648148</v>
      </c>
      <c r="AA14" s="3">
        <v>45661.02755787037</v>
      </c>
      <c r="AB14" s="2" t="str">
        <f>=HYPERLINK("https://applink.feishu.cn/client/todo/task_list?guid=76122b60-faec-4a61-91b0-2d229f32cc2a", "迷宫球")</f>
        <v>迷宫球</v>
      </c>
      <c r="AC14" t="inlineStr">
        <is>
          <t>76122b60-faec-4a61-91b0-2d229f32cc2a</t>
        </is>
      </c>
      <c r="AD14" t="inlineStr">
        <is>
          <t>NzUzMTk3MzcwNDkxNDg0NTY5Nzo1ZDAzNjFkMi0zOTE2LTQzYTItYThhMC1jODE3NGZjMTY4M2Y6ZmExZTljZWMwYzJlMjdlNjIyZjE2ZWE4MTg2NGMzMTE6MQ==</t>
        </is>
      </c>
      <c r="AE14"/>
    </row>
    <row r="15" ht="25.5" customHeight="1">
      <c r="A15" s="2" t="str">
        <f>=HYPERLINK("https://applink.feishu.cn/client/todo/detail?guid=520e0924-310d-4efe-83e6-e620f04c7b83&amp;suite_entity_num=t100252", "给迷宫起点和终点增加倒角")</f>
        <v>给迷宫起点和终点增加倒角</v>
      </c>
      <c r="B15"/>
      <c r="C15" t="inlineStr">
        <is>
          <t>默认分组</t>
        </is>
      </c>
      <c r="D15" t="inlineStr">
        <is>
          <t>1</t>
        </is>
      </c>
      <c r="E15"/>
      <c r="F15"/>
      <c r="G15" t="inlineStr">
        <is>
          <t>P2 - 新的想法</t>
        </is>
      </c>
      <c r="H15" t="inlineStr">
        <is>
          <t>🎨艺术</t>
        </is>
      </c>
      <c r="I15">
        <v>0</v>
      </c>
      <c r="J15" t="inlineStr">
        <is>
          <t>或签任务</t>
        </is>
      </c>
      <c r="K15"/>
      <c r="L15" t="inlineStr">
        <is>
          <t>0</t>
        </is>
      </c>
      <c r="M15"/>
      <c r="N15" s="3">
        <v>45661.02755787037</v>
      </c>
      <c r="O15"/>
      <c r="P15"/>
      <c r="Q15" s="3">
        <v>45628.333333333336</v>
      </c>
      <c r="R15" s="3">
        <v>45632.333333333336</v>
      </c>
      <c r="S15" t="inlineStr">
        <is>
          <t>520e0924-310d-4efe-83e6-e620f04c7b83</t>
        </is>
      </c>
      <c r="T15"/>
      <c r="U15"/>
      <c r="V15"/>
      <c r="W15">
        <v>1</v>
      </c>
      <c r="X15" t="inlineStr">
        <is>
          <t>龚政涛</t>
        </is>
      </c>
      <c r="Y15" t="inlineStr">
        <is>
          <t>龚政涛</t>
        </is>
      </c>
      <c r="Z15" s="3">
        <v>45598.98520833333</v>
      </c>
      <c r="AA15" s="3">
        <v>45661.02755787037</v>
      </c>
      <c r="AB15" s="2" t="str">
        <f>=HYPERLINK("https://applink.feishu.cn/client/todo/task_list?guid=76122b60-faec-4a61-91b0-2d229f32cc2a", "迷宫球")</f>
        <v>迷宫球</v>
      </c>
      <c r="AC15" t="inlineStr">
        <is>
          <t>76122b60-faec-4a61-91b0-2d229f32cc2a</t>
        </is>
      </c>
      <c r="AD15" t="inlineStr">
        <is>
          <t>NzUzMTk3MzcwNDkxNDg0NTY5Nzo1MjBlMDkyNC0zMTBkLTRlZmUtODNlNi1lNjIwZjA0YzdiODM6MzIyMWUxYzQ3ZjI3MTY4OGY3ODVkNjQwMWQwODYyOTk6MQ==</t>
        </is>
      </c>
      <c r="AE15"/>
    </row>
    <row r="16" ht="25.5" customHeight="1">
      <c r="A16" s="2" t="str">
        <f>=HYPERLINK("https://applink.feishu.cn/client/todo/detail?guid=4577e0ef-9ea6-48ad-a4ca-944f80727fcd&amp;suite_entity_num=t100212", "存档功能：展示本地排行榜")</f>
        <v>存档功能：展示本地排行榜</v>
      </c>
      <c r="B16"/>
      <c r="C16" t="inlineStr">
        <is>
          <t>默认分组</t>
        </is>
      </c>
      <c r="D16" t="inlineStr">
        <is>
          <t>1</t>
        </is>
      </c>
      <c r="E16"/>
      <c r="F16"/>
      <c r="G16" t="inlineStr">
        <is>
          <t>P2 - 新的想法</t>
        </is>
      </c>
      <c r="H16"/>
      <c r="I16">
        <v>0</v>
      </c>
      <c r="J16" t="inlineStr">
        <is>
          <t>或签任务</t>
        </is>
      </c>
      <c r="K16"/>
      <c r="L16" t="inlineStr">
        <is>
          <t>0</t>
        </is>
      </c>
      <c r="M16"/>
      <c r="N16" s="3">
        <v>45661.02753472222</v>
      </c>
      <c r="O16"/>
      <c r="P16"/>
      <c r="Q16" s="3">
        <v>45631.333333333336</v>
      </c>
      <c r="R16" s="3">
        <v>45634.333333333336</v>
      </c>
      <c r="S16" t="inlineStr">
        <is>
          <t>4577e0ef-9ea6-48ad-a4ca-944f80727fcd</t>
        </is>
      </c>
      <c r="T16"/>
      <c r="U16" t="inlineStr">
        <is>
          <t>d2bfcdbf-2e54-4e62-91ee-c1535aabdb95</t>
        </is>
      </c>
      <c r="V16"/>
      <c r="W16">
        <v>0</v>
      </c>
      <c r="X16" t="inlineStr">
        <is>
          <t>龚政涛</t>
        </is>
      </c>
      <c r="Y16" t="inlineStr">
        <is>
          <t>龚政涛</t>
        </is>
      </c>
      <c r="Z16" s="3">
        <v>45590.451469907406</v>
      </c>
      <c r="AA16" s="3">
        <v>45661.02753472222</v>
      </c>
      <c r="AB16" s="2" t="str">
        <f>=HYPERLINK("https://applink.feishu.cn/client/todo/task_list?guid=76122b60-faec-4a61-91b0-2d229f32cc2a", "迷宫球")</f>
        <v>迷宫球</v>
      </c>
      <c r="AC16" t="inlineStr">
        <is>
          <t>76122b60-faec-4a61-91b0-2d229f32cc2a</t>
        </is>
      </c>
      <c r="AD16" t="inlineStr">
        <is>
          <t>NzUzMTk3MzcwNDkxNDg0NTY5Nzo0NTc3ZTBlZi05ZWE2LTQ4YWQtYTRjYS05NDRmODA3MjdmY2Q6Y2Q5NGE5ZTU4Y2I1YmVlOTBjNGMxM2FhOWI3YTlmOGI6MQ==</t>
        </is>
      </c>
      <c r="AE16"/>
    </row>
    <row r="17" ht="25.5" customHeight="1">
      <c r="A17" s="2" t="str">
        <f>=HYPERLINK("https://applink.feishu.cn/client/todo/detail?guid=dd745d91-dc68-4a9f-81b3-98d802998603&amp;suite_entity_num=t100390", "PV剪辑 - 中文")</f>
        <v>PV剪辑 - 中文</v>
      </c>
      <c r="B17"/>
      <c r="C17" t="inlineStr">
        <is>
          <t>默认分组</t>
        </is>
      </c>
      <c r="D17" t="inlineStr">
        <is>
          <t>1</t>
        </is>
      </c>
      <c r="E17"/>
      <c r="F17"/>
      <c r="G17" t="inlineStr">
        <is>
          <t>P0 - 必须处理</t>
        </is>
      </c>
      <c r="H17" t="inlineStr">
        <is>
          <t>✍️故事</t>
        </is>
      </c>
      <c r="I17">
        <v>0</v>
      </c>
      <c r="J17" t="inlineStr">
        <is>
          <t>或签任务</t>
        </is>
      </c>
      <c r="K17"/>
      <c r="L17" t="inlineStr">
        <is>
          <t>0</t>
        </is>
      </c>
      <c r="M17"/>
      <c r="N17" s="3">
        <v>45728.66164351852</v>
      </c>
      <c r="O17"/>
      <c r="P17"/>
      <c r="Q17" s="3">
        <v>45676.333333333336</v>
      </c>
      <c r="R17" s="3">
        <v>45676.333333333336</v>
      </c>
      <c r="S17" t="inlineStr">
        <is>
          <t>dd745d91-dc68-4a9f-81b3-98d802998603</t>
        </is>
      </c>
      <c r="T17"/>
      <c r="U17"/>
      <c r="V17"/>
      <c r="W17">
        <v>0</v>
      </c>
      <c r="X17" t="inlineStr">
        <is>
          <t>龚政涛</t>
        </is>
      </c>
      <c r="Y17" t="inlineStr">
        <is>
          <t>龚政涛</t>
        </is>
      </c>
      <c r="Z17" s="3">
        <v>45664.59247685185</v>
      </c>
      <c r="AA17" s="3">
        <v>45728.66162037037</v>
      </c>
      <c r="AB17" s="2" t="str">
        <f>=HYPERLINK("https://applink.feishu.cn/client/todo/task_list?guid=76122b60-faec-4a61-91b0-2d229f32cc2a", "迷宫球")</f>
        <v>迷宫球</v>
      </c>
      <c r="AC17" t="inlineStr">
        <is>
          <t>76122b60-faec-4a61-91b0-2d229f32cc2a</t>
        </is>
      </c>
      <c r="AD17" t="inlineStr">
        <is>
          <t>NzUzMTk3MzcwNDkxNDg0NTY5NzpkZDc0NWQ5MS1kYzY4LTRhOWYtODFiMy05OGQ4MDI5OTg2MDM6MzZmNTk1ODkzNjc1NDgyMGM1YzY4MDE2ZTExNWY5MzU6MQ==</t>
        </is>
      </c>
      <c r="AE17"/>
    </row>
    <row r="18" ht="25.5" customHeight="1">
      <c r="A18" s="2" t="str">
        <f>=HYPERLINK("https://applink.feishu.cn/client/todo/detail?guid=23b18388-b27f-4651-b259-19d964f3c799&amp;suite_entity_num=t100391", "PV剪辑 - 英文")</f>
        <v>PV剪辑 - 英文</v>
      </c>
      <c r="B18"/>
      <c r="C18" t="inlineStr">
        <is>
          <t>默认分组</t>
        </is>
      </c>
      <c r="D18" t="inlineStr">
        <is>
          <t>1</t>
        </is>
      </c>
      <c r="E18"/>
      <c r="F18"/>
      <c r="G18" t="inlineStr">
        <is>
          <t>P0 - 必须处理</t>
        </is>
      </c>
      <c r="H18" t="inlineStr">
        <is>
          <t>✍️故事</t>
        </is>
      </c>
      <c r="I18">
        <v>0</v>
      </c>
      <c r="J18" t="inlineStr">
        <is>
          <t>或签任务</t>
        </is>
      </c>
      <c r="K18"/>
      <c r="L18" t="inlineStr">
        <is>
          <t>0</t>
        </is>
      </c>
      <c r="M18"/>
      <c r="N18" s="3">
        <v>45728.66165509259</v>
      </c>
      <c r="O18"/>
      <c r="P18"/>
      <c r="Q18" s="3">
        <v>45676.333333333336</v>
      </c>
      <c r="R18" s="3">
        <v>45676.333333333336</v>
      </c>
      <c r="S18" t="inlineStr">
        <is>
          <t>23b18388-b27f-4651-b259-19d964f3c799</t>
        </is>
      </c>
      <c r="T18"/>
      <c r="U18"/>
      <c r="V18"/>
      <c r="W18">
        <v>0</v>
      </c>
      <c r="X18" t="inlineStr">
        <is>
          <t>龚政涛</t>
        </is>
      </c>
      <c r="Y18" t="inlineStr">
        <is>
          <t>龚政涛</t>
        </is>
      </c>
      <c r="Z18" s="3">
        <v>45664.592511574076</v>
      </c>
      <c r="AA18" s="3">
        <v>45728.66162037037</v>
      </c>
      <c r="AB18" s="2" t="str">
        <f>=HYPERLINK("https://applink.feishu.cn/client/todo/task_list?guid=76122b60-faec-4a61-91b0-2d229f32cc2a", "迷宫球")</f>
        <v>迷宫球</v>
      </c>
      <c r="AC18" t="inlineStr">
        <is>
          <t>76122b60-faec-4a61-91b0-2d229f32cc2a</t>
        </is>
      </c>
      <c r="AD18" t="inlineStr">
        <is>
          <t>NzUzMTk3MzcwNDkxNDg0NTY5NzoyM2IxODM4OC1iMjdmLTQ2NTEtYjI1OS0xOWQ5NjRmM2M3OTk6OTlkNGUxZDg2NmZiMmJjNjRmZjgwOTE1YmZiYWIwMDk6MQ==</t>
        </is>
      </c>
      <c r="AE18"/>
    </row>
    <row r="19" ht="25.5" customHeight="1">
      <c r="A19" s="2" t="str">
        <f>=HYPERLINK("https://applink.feishu.cn/client/todo/detail?guid=a990120d-1b20-4718-a7e0-196cdb70ae58&amp;suite_entity_num=t100861", "v0.0.3 - Start")</f>
        <v>v0.0.3 - Start</v>
      </c>
      <c r="B19"/>
      <c r="C19" t="inlineStr">
        <is>
          <t>默认分组</t>
        </is>
      </c>
      <c r="D19" t="inlineStr">
        <is>
          <t>1</t>
        </is>
      </c>
      <c r="E19"/>
      <c r="F19"/>
      <c r="G19" t="inlineStr">
        <is>
          <t>P0 - 必须处理</t>
        </is>
      </c>
      <c r="H19"/>
      <c r="I19">
        <v>0</v>
      </c>
      <c r="J19" t="inlineStr">
        <is>
          <t>或签任务</t>
        </is>
      </c>
      <c r="K19"/>
      <c r="L19" t="inlineStr">
        <is>
          <t>1</t>
        </is>
      </c>
      <c r="M19"/>
      <c r="N19" s="3">
        <v>45846.45618055556</v>
      </c>
      <c r="O19" t="inlineStr">
        <is>
          <t>v0.0.3</t>
        </is>
      </c>
      <c r="P19"/>
      <c r="Q19" s="3"/>
      <c r="R19" s="3">
        <v>45775.333333333336</v>
      </c>
      <c r="S19" t="inlineStr">
        <is>
          <t>a990120d-1b20-4718-a7e0-196cdb70ae58</t>
        </is>
      </c>
      <c r="T19"/>
      <c r="U19"/>
      <c r="V19"/>
      <c r="W19">
        <v>0</v>
      </c>
      <c r="X19" t="inlineStr">
        <is>
          <t>龚政涛</t>
        </is>
      </c>
      <c r="Y19" t="inlineStr">
        <is>
          <t>龚政涛</t>
        </is>
      </c>
      <c r="Z19" s="3">
        <v>45846.441030092596</v>
      </c>
      <c r="AA19" s="3">
        <v>45846.89503472222</v>
      </c>
      <c r="AB19" s="2" t="str">
        <f>=HYPERLINK("https://applink.feishu.cn/client/todo/task_list?guid=76122b60-faec-4a61-91b0-2d229f32cc2a", "迷宫球")</f>
        <v>迷宫球</v>
      </c>
      <c r="AC19" t="inlineStr">
        <is>
          <t>76122b60-faec-4a61-91b0-2d229f32cc2a</t>
        </is>
      </c>
      <c r="AD19" t="inlineStr">
        <is>
          <t>NzUzMTk3MzcwNDkxNDg0NTY5NzphOTkwMTIwZC0xYjIwLTQ3MTgtYTdlMC0xOTZjZGI3MGFlNTg6YTYxYzU2Zjc0ZGNlM2NiMTk0NmJiYTkwMmZhOWYzYmM6MQ==</t>
        </is>
      </c>
      <c r="AE19"/>
    </row>
    <row r="20" ht="25.5" customHeight="1">
      <c r="A20" s="2" t="str">
        <f>=HYPERLINK("https://applink.feishu.cn/client/todo/detail?guid=bd203a5c-e2d0-40b9-8ad1-a7333071ced4&amp;suite_entity_num=t100705", "✨新增: 现在游戏支持在MAC上游玩了")</f>
        <v>✨新增: 现在游戏支持在MAC上游玩了</v>
      </c>
      <c r="B20"/>
      <c r="C20" t="inlineStr">
        <is>
          <t>默认分组</t>
        </is>
      </c>
      <c r="D20" t="inlineStr">
        <is>
          <t>1</t>
        </is>
      </c>
      <c r="E20"/>
      <c r="F20"/>
      <c r="G20" t="inlineStr">
        <is>
          <t>P1 - 最好处理</t>
        </is>
      </c>
      <c r="H20" t="inlineStr">
        <is>
          <t>🎨艺术</t>
        </is>
      </c>
      <c r="I20">
        <v>0</v>
      </c>
      <c r="J20" t="inlineStr">
        <is>
          <t>或签任务</t>
        </is>
      </c>
      <c r="K20"/>
      <c r="L20" t="inlineStr">
        <is>
          <t>0</t>
        </is>
      </c>
      <c r="M20"/>
      <c r="N20" s="3">
        <v>45789.593125</v>
      </c>
      <c r="O20" t="inlineStr">
        <is>
          <t>v0.0.3</t>
        </is>
      </c>
      <c r="P20" t="inlineStr">
        <is>
          <t>龚政涛</t>
        </is>
      </c>
      <c r="Q20" s="3">
        <v>45776.333333333336</v>
      </c>
      <c r="R20" s="3">
        <v>45777.333333333336</v>
      </c>
      <c r="S20" t="inlineStr">
        <is>
          <t>bd203a5c-e2d0-40b9-8ad1-a7333071ced4</t>
        </is>
      </c>
      <c r="T20"/>
      <c r="U20"/>
      <c r="V20"/>
      <c r="W20">
        <v>0</v>
      </c>
      <c r="X20" t="inlineStr">
        <is>
          <t>龚政涛</t>
        </is>
      </c>
      <c r="Y20" t="inlineStr">
        <is>
          <t>龚政涛</t>
        </is>
      </c>
      <c r="Z20" s="3">
        <v>45789.59224537037</v>
      </c>
      <c r="AA20" s="3">
        <v>45789.593125</v>
      </c>
      <c r="AB20" s="2" t="str">
        <f>=HYPERLINK("https://applink.feishu.cn/client/todo/task_list?guid=76122b60-faec-4a61-91b0-2d229f32cc2a", "迷宫球")</f>
        <v>迷宫球</v>
      </c>
      <c r="AC20" t="inlineStr">
        <is>
          <t>76122b60-faec-4a61-91b0-2d229f32cc2a</t>
        </is>
      </c>
      <c r="AD20" t="inlineStr">
        <is>
          <t>NzUzMTk3MzcwNDkxNDg0NTY5NzpiZDIwM2E1Yy1lMmQwLTQwYjktOGFkMS1hNzMzMzA3MWNlZDQ6ZmI2NmEyY2RmNDFlNzYyZjE1YmM1NzNlMWU3MDgwNjg6MQ==</t>
        </is>
      </c>
      <c r="AE20"/>
    </row>
    <row r="21" ht="25.5" customHeight="1">
      <c r="A21" s="2" t="str">
        <f>=HYPERLINK("https://applink.feishu.cn/client/todo/detail?guid=0ae87381-6f16-4bdb-929e-2c3691c3d821&amp;suite_entity_num=t100710", "🪡修改: 修改了迷宫重启的逻辑，现在重玩同一关卡时，会直接重置迷宫和小球，而不会黑屏或重置镜头位置，便于玩家频繁挑战同一关卡。")</f>
        <v>🪡修改: 修改了迷宫重启的逻辑，现在重玩同一关卡时，会直接重置迷宫和小球，而不会黑屏或重置镜头位置，便于玩家频繁挑战同一关卡。</v>
      </c>
      <c r="B21"/>
      <c r="C21" t="inlineStr">
        <is>
          <t>默认分组</t>
        </is>
      </c>
      <c r="D21" t="inlineStr">
        <is>
          <t>1</t>
        </is>
      </c>
      <c r="E21"/>
      <c r="F21"/>
      <c r="G21" t="inlineStr">
        <is>
          <t>P0 - 必须处理</t>
        </is>
      </c>
      <c r="H21" t="inlineStr">
        <is>
          <t>🎨艺术</t>
        </is>
      </c>
      <c r="I21">
        <v>1</v>
      </c>
      <c r="J21" t="inlineStr">
        <is>
          <t>或签任务</t>
        </is>
      </c>
      <c r="K21"/>
      <c r="L21" t="inlineStr">
        <is>
          <t>0</t>
        </is>
      </c>
      <c r="M21">
        <v>1</v>
      </c>
      <c r="N21" s="3">
        <v>45846.472916666666</v>
      </c>
      <c r="O21" t="inlineStr">
        <is>
          <t>v0.0.3</t>
        </is>
      </c>
      <c r="P21" t="inlineStr">
        <is>
          <t>龚政涛</t>
        </is>
      </c>
      <c r="Q21" s="3"/>
      <c r="R21" s="3">
        <v>45786.333333333336</v>
      </c>
      <c r="S21" t="inlineStr">
        <is>
          <t>0ae87381-6f16-4bdb-929e-2c3691c3d821</t>
        </is>
      </c>
      <c r="T21"/>
      <c r="U21"/>
      <c r="V21"/>
      <c r="W21">
        <v>0</v>
      </c>
      <c r="X21" t="inlineStr">
        <is>
          <t>龚政涛</t>
        </is>
      </c>
      <c r="Y21" t="inlineStr">
        <is>
          <t>龚政涛</t>
        </is>
      </c>
      <c r="Z21" s="3">
        <v>45789.59570601852</v>
      </c>
      <c r="AA21" s="3">
        <v>45846.47292824074</v>
      </c>
      <c r="AB21" s="2" t="str">
        <f>=HYPERLINK("https://applink.feishu.cn/client/todo/task_list?guid=76122b60-faec-4a61-91b0-2d229f32cc2a", "迷宫球")</f>
        <v>迷宫球</v>
      </c>
      <c r="AC21" t="inlineStr">
        <is>
          <t>76122b60-faec-4a61-91b0-2d229f32cc2a</t>
        </is>
      </c>
      <c r="AD21" t="inlineStr">
        <is>
          <t>NzUzMTk3MzcwNDkxNDg0NTY5NzowYWU4NzM4MS02ZjE2LTRiZGItOTI5ZS0yYzM2OTFjM2Q4MjE6NDYzY2Y5Mjc4MGRjYTlmZTRmNjNlMmIzNjY5YjgwZDE6MQ==</t>
        </is>
      </c>
      <c r="AE21"/>
    </row>
    <row r="22" ht="25.5" customHeight="1">
      <c r="A22" s="2" t="str">
        <f>=HYPERLINK("https://applink.feishu.cn/client/todo/detail?guid=af2eb2cf-c23c-4083-ae1f-6707a89f6127&amp;suite_entity_num=t100311", "美术概念更新")</f>
        <v>美术概念更新</v>
      </c>
      <c r="B22" t="inlineStr">
        <is>
          <t>参考方案：Townscape
采用Voxel模型，但使用近似于Townscape的对象
也即连续、简单、重复的建筑物/自然对象 + 随机的点缀模型</t>
        </is>
      </c>
      <c r="C22" t="inlineStr">
        <is>
          <t>默认分组</t>
        </is>
      </c>
      <c r="D22" t="inlineStr">
        <is>
          <t>1</t>
        </is>
      </c>
      <c r="E22"/>
      <c r="F22"/>
      <c r="G22" t="inlineStr">
        <is>
          <t>P0 - 必须处理</t>
        </is>
      </c>
      <c r="H22" t="inlineStr">
        <is>
          <t>🎨艺术</t>
        </is>
      </c>
      <c r="I22">
        <v>0</v>
      </c>
      <c r="J22" t="inlineStr">
        <is>
          <t>或签任务</t>
        </is>
      </c>
      <c r="K22"/>
      <c r="L22" t="inlineStr">
        <is>
          <t>0</t>
        </is>
      </c>
      <c r="M22"/>
      <c r="N22" s="3">
        <v>45789.574537037035</v>
      </c>
      <c r="O22" t="inlineStr">
        <is>
          <t>v0.0.3</t>
        </is>
      </c>
      <c r="P22" t="inlineStr">
        <is>
          <t>S1UyuAy7E</t>
        </is>
      </c>
      <c r="Q22" s="3">
        <v>45789.333333333336</v>
      </c>
      <c r="R22" s="3">
        <v>45789.333333333336</v>
      </c>
      <c r="S22" t="inlineStr">
        <is>
          <t>af2eb2cf-c23c-4083-ae1f-6707a89f6127</t>
        </is>
      </c>
      <c r="T22"/>
      <c r="U22"/>
      <c r="V22"/>
      <c r="W22">
        <v>1</v>
      </c>
      <c r="X22" t="inlineStr">
        <is>
          <t>龚政涛,S1UyuAy7E</t>
        </is>
      </c>
      <c r="Y22" t="inlineStr">
        <is>
          <t>龚政涛</t>
        </is>
      </c>
      <c r="Z22" s="3">
        <v>45625.76604166667</v>
      </c>
      <c r="AA22" s="3">
        <v>45846.467673611114</v>
      </c>
      <c r="AB22" s="2" t="str">
        <f>=HYPERLINK("https://applink.feishu.cn/client/todo/task_list?guid=76122b60-faec-4a61-91b0-2d229f32cc2a", "迷宫球")</f>
        <v>迷宫球</v>
      </c>
      <c r="AC22" t="inlineStr">
        <is>
          <t>76122b60-faec-4a61-91b0-2d229f32cc2a</t>
        </is>
      </c>
      <c r="AD22" t="inlineStr">
        <is>
          <t>NzUzMTk3MzcwNDkxNDg0NTY5NzphZjJlYjJjZi1jMjNjLTQwODMtYWUxZi02NzA3YTg5ZjYxMjc6NjZkNzQ1MjMyOTY4MWVmNTU2YTViMGNhOTQzMmU3Njk6MQ==</t>
        </is>
      </c>
      <c r="AE22"/>
    </row>
    <row r="23" ht="25.5" customHeight="1">
      <c r="A23" s="2" t="str">
        <f>=HYPERLINK("https://applink.feishu.cn/client/todo/detail?guid=8514073f-eb8c-48f6-820f-c08ad85f8088&amp;suite_entity_num=t100713", "增加过渡功能：允许在MAP里放置多个BP_Rail，在游戏运行时将他们Attach到一个BP_Maze对象，从而正常加载迷宫。 &lt; 🪡修改: 修改了第一个“都市”关卡的迷宫设计，现在所有的迷宫都由标准迷宫模块构成了")</f>
        <v>增加过渡功能：允许在MAP里放置多个BP_Rail，在游戏运行时将他们Attach到一个BP_Maze对象，从而正常加载迷宫。 &lt; 🪡修改: 修改了第一个“都市”关卡的迷宫设计，现在所有的迷宫都由标准迷宫模块构成了</v>
      </c>
      <c r="B23" t="inlineStr">
        <is>
          <t>该功能在有正式迷宫编辑器后会弃用（或封装到底层）。但逻辑会被延续下去。</t>
        </is>
      </c>
      <c r="C23"/>
      <c r="D23" t="inlineStr">
        <is>
          <t>1</t>
        </is>
      </c>
      <c r="E23"/>
      <c r="F23"/>
      <c r="G23" t="inlineStr">
        <is>
          <t>P0 - 必须处理</t>
        </is>
      </c>
      <c r="H23" t="inlineStr">
        <is>
          <t>🎨艺术</t>
        </is>
      </c>
      <c r="I23">
        <v>0</v>
      </c>
      <c r="J23" t="inlineStr">
        <is>
          <t>或签任务</t>
        </is>
      </c>
      <c r="K23"/>
      <c r="L23" t="inlineStr">
        <is>
          <t>0</t>
        </is>
      </c>
      <c r="M23"/>
      <c r="N23" s="3">
        <v>45790.53125</v>
      </c>
      <c r="O23"/>
      <c r="P23" t="inlineStr">
        <is>
          <t>Decay</t>
        </is>
      </c>
      <c r="Q23" s="3">
        <v>45789.333333333336</v>
      </c>
      <c r="R23" s="3">
        <v>45790.333333333336</v>
      </c>
      <c r="S23" t="inlineStr">
        <is>
          <t>8514073f-eb8c-48f6-820f-c08ad85f8088</t>
        </is>
      </c>
      <c r="T23" t="inlineStr">
        <is>
          <t>6615cd66-81be-4c0b-b493-77ffd7e387a9</t>
        </is>
      </c>
      <c r="U23"/>
      <c r="V23"/>
      <c r="W23">
        <v>0</v>
      </c>
      <c r="X23" t="inlineStr">
        <is>
          <t>龚政涛,Decay</t>
        </is>
      </c>
      <c r="Y23" t="inlineStr">
        <is>
          <t>龚政涛</t>
        </is>
      </c>
      <c r="Z23" s="3">
        <v>45789.59898148148</v>
      </c>
      <c r="AA23" s="3">
        <v>45846.847291666665</v>
      </c>
      <c r="AB23" s="2" t="str">
        <f>=HYPERLINK("https://applink.feishu.cn/client/todo/task_list?guid=76122b60-faec-4a61-91b0-2d229f32cc2a", "迷宫球")</f>
        <v>迷宫球</v>
      </c>
      <c r="AC23" t="inlineStr">
        <is>
          <t>76122b60-faec-4a61-91b0-2d229f32cc2a</t>
        </is>
      </c>
      <c r="AD23" t="inlineStr">
        <is>
          <t>NzUzMTk3MzcwNDkxNDg0NTY5Nzo4NTE0MDczZi1lYjhjLTQ4ZjYtODIwZi1jMDhhZDg1ZjgwODg6NDlkMzAyYTA1ZDA5NTAwMGYzNTIwMGQxZmUxZTI3Zjc6MQ==</t>
        </is>
      </c>
      <c r="AE23"/>
    </row>
    <row r="24" ht="25.5" customHeight="1">
      <c r="A24" s="2" t="str">
        <f>=HYPERLINK("https://applink.feishu.cn/client/todo/detail?guid=0b1dfbb2-f006-4be2-8a25-e00cb5491cd1&amp;suite_entity_num=t100254", "✨新增: 镜头效果，现在镜头会避让障碍物，避免被遮挡")</f>
        <v>✨新增: 镜头效果，现在镜头会避让障碍物，避免被遮挡</v>
      </c>
      <c r="B24" t="inlineStr">
        <is>
          <t>但不要完全隐藏， 只剔除遮/透视挡镜头的部分即可，因为遮挡物可能是迷宫本身，隐藏ACTOR就爆炸了</t>
        </is>
      </c>
      <c r="C24" t="inlineStr">
        <is>
          <t>默认分组</t>
        </is>
      </c>
      <c r="D24" t="inlineStr">
        <is>
          <t>1</t>
        </is>
      </c>
      <c r="E24"/>
      <c r="F24"/>
      <c r="G24" t="inlineStr">
        <is>
          <t>P1 - 最好处理</t>
        </is>
      </c>
      <c r="H24" t="inlineStr">
        <is>
          <t>🎨艺术</t>
        </is>
      </c>
      <c r="I24">
        <v>0</v>
      </c>
      <c r="J24" t="inlineStr">
        <is>
          <t>或签任务</t>
        </is>
      </c>
      <c r="K24"/>
      <c r="L24" t="inlineStr">
        <is>
          <t>0</t>
        </is>
      </c>
      <c r="M24"/>
      <c r="N24" s="3">
        <v>45793.745162037034</v>
      </c>
      <c r="O24" t="inlineStr">
        <is>
          <t>v0.0.3</t>
        </is>
      </c>
      <c r="P24" t="inlineStr">
        <is>
          <t>Decay</t>
        </is>
      </c>
      <c r="Q24" s="3"/>
      <c r="R24" s="3">
        <v>45792.333333333336</v>
      </c>
      <c r="S24" t="inlineStr">
        <is>
          <t>0b1dfbb2-f006-4be2-8a25-e00cb5491cd1</t>
        </is>
      </c>
      <c r="T24"/>
      <c r="U24"/>
      <c r="V24"/>
      <c r="W24">
        <v>9</v>
      </c>
      <c r="X24" t="inlineStr">
        <is>
          <t>龚政涛,Decay</t>
        </is>
      </c>
      <c r="Y24" t="inlineStr">
        <is>
          <t>龚政涛</t>
        </is>
      </c>
      <c r="Z24" s="3">
        <v>45598.995474537034</v>
      </c>
      <c r="AA24" s="3">
        <v>45846.48024305556</v>
      </c>
      <c r="AB24" s="2" t="str">
        <f>=HYPERLINK("https://applink.feishu.cn/client/todo/task_list?guid=76122b60-faec-4a61-91b0-2d229f32cc2a", "迷宫球")</f>
        <v>迷宫球</v>
      </c>
      <c r="AC24" t="inlineStr">
        <is>
          <t>76122b60-faec-4a61-91b0-2d229f32cc2a</t>
        </is>
      </c>
      <c r="AD24" t="inlineStr">
        <is>
          <t>NzUzMTk3MzcwNDkxNDg0NTY5NzowYjFkZmJiMi1mMDA2LTRiZTItOGEyNS1lMDBjYjU0OTFjZDE6ZjVkZTE4MmY3NzExZDZiYWM5MjI4NzExYmZlMjFhOGU6MQ==</t>
        </is>
      </c>
      <c r="AE24"/>
    </row>
    <row r="25" ht="25.5" customHeight="1">
      <c r="A25" s="2" t="str">
        <f>=HYPERLINK("https://applink.feishu.cn/client/todo/detail?guid=e6eba514-c148-4083-b4e1-3c4dba0ae50b&amp;suite_entity_num=t100703", "🪡修改: 修改了控制器的工作逻辑，增加了小球对迷宫的阻力矩模拟，现在小球在不同尺寸的迷宫（尤其是大尺寸）会有更好的手感")</f>
        <v>🪡修改: 修改了控制器的工作逻辑，增加了小球对迷宫的阻力矩模拟，现在小球在不同尺寸的迷宫（尤其是大尺寸）会有更好的手感</v>
      </c>
      <c r="B25"/>
      <c r="C25" t="inlineStr">
        <is>
          <t>默认分组</t>
        </is>
      </c>
      <c r="D25" t="inlineStr">
        <is>
          <t>1</t>
        </is>
      </c>
      <c r="E25"/>
      <c r="F25"/>
      <c r="G25" t="inlineStr">
        <is>
          <t>P0 - 必须处理</t>
        </is>
      </c>
      <c r="H25" t="inlineStr">
        <is>
          <t>🎨艺术</t>
        </is>
      </c>
      <c r="I25">
        <v>1</v>
      </c>
      <c r="J25" t="inlineStr">
        <is>
          <t>或签任务</t>
        </is>
      </c>
      <c r="K25"/>
      <c r="L25" t="inlineStr">
        <is>
          <t>0</t>
        </is>
      </c>
      <c r="M25">
        <v>1</v>
      </c>
      <c r="N25" s="3">
        <v>45846.47875</v>
      </c>
      <c r="O25" t="inlineStr">
        <is>
          <t>v0.0.3</t>
        </is>
      </c>
      <c r="P25" t="inlineStr">
        <is>
          <t>龚政涛</t>
        </is>
      </c>
      <c r="Q25" s="3">
        <v>45787.333333333336</v>
      </c>
      <c r="R25" s="3">
        <v>45802.333333333336</v>
      </c>
      <c r="S25" t="inlineStr">
        <is>
          <t>e6eba514-c148-4083-b4e1-3c4dba0ae50b</t>
        </is>
      </c>
      <c r="T25"/>
      <c r="U25"/>
      <c r="V25"/>
      <c r="W25">
        <v>0</v>
      </c>
      <c r="X25" t="inlineStr">
        <is>
          <t>龚政涛</t>
        </is>
      </c>
      <c r="Y25" t="inlineStr">
        <is>
          <t>龚政涛</t>
        </is>
      </c>
      <c r="Z25" s="3">
        <v>45789.59137731481</v>
      </c>
      <c r="AA25" s="3">
        <v>45846.47875</v>
      </c>
      <c r="AB25" s="2" t="str">
        <f>=HYPERLINK("https://applink.feishu.cn/client/todo/task_list?guid=76122b60-faec-4a61-91b0-2d229f32cc2a", "迷宫球")</f>
        <v>迷宫球</v>
      </c>
      <c r="AC25" t="inlineStr">
        <is>
          <t>76122b60-faec-4a61-91b0-2d229f32cc2a</t>
        </is>
      </c>
      <c r="AD25" t="inlineStr">
        <is>
          <t>NzUzMTk3MzcwNDkxNDg0NTY5NzplNmViYTUxNC1jMTQ4LTQwODMtYjRlMS0zYzRkYmEwYWU1MGI6ZTRkN2NhNDAxZTMwNDQ2NDQ1ZmY5MTNlNjI4NjQ4MTE6MQ==</t>
        </is>
      </c>
      <c r="AE25"/>
    </row>
    <row r="26" ht="25.5" customHeight="1">
      <c r="A26" s="2" t="str">
        <f>=HYPERLINK("https://applink.feishu.cn/client/todo/detail?guid=62922355-99b2-4f19-b227-05e2b2931b8a&amp;suite_entity_num=t100393", "模拟带有力矩的迷宫操作 &lt; 🪡修改: 修改了控制器的工作逻辑，增加了小球对迷宫的阻力矩模拟，现在小球在不同尺寸的迷宫（尤其是大尺寸）会有更好的手感")</f>
        <v>模拟带有力矩的迷宫操作 &lt; 🪡修改: 修改了控制器的工作逻辑，增加了小球对迷宫的阻力矩模拟，现在小球在不同尺寸的迷宫（尤其是大尺寸）会有更好的手感</v>
      </c>
      <c r="B26"/>
      <c r="C26"/>
      <c r="D26" t="inlineStr">
        <is>
          <t>1</t>
        </is>
      </c>
      <c r="E26"/>
      <c r="F26"/>
      <c r="G26" t="inlineStr">
        <is>
          <t>P0 - 必须处理</t>
        </is>
      </c>
      <c r="H26" t="inlineStr">
        <is>
          <t>🎨艺术</t>
        </is>
      </c>
      <c r="I26">
        <v>0</v>
      </c>
      <c r="J26" t="inlineStr">
        <is>
          <t>或签任务</t>
        </is>
      </c>
      <c r="K26"/>
      <c r="L26" t="inlineStr">
        <is>
          <t>0</t>
        </is>
      </c>
      <c r="M26"/>
      <c r="N26" s="3">
        <v>45846.460497685184</v>
      </c>
      <c r="O26" t="inlineStr">
        <is>
          <t>v0.0.3</t>
        </is>
      </c>
      <c r="P26" t="inlineStr">
        <is>
          <t>龚政涛</t>
        </is>
      </c>
      <c r="Q26" s="3">
        <v>45787.333333333336</v>
      </c>
      <c r="R26" s="3">
        <v>45802.333333333336</v>
      </c>
      <c r="S26" t="inlineStr">
        <is>
          <t>62922355-99b2-4f19-b227-05e2b2931b8a</t>
        </is>
      </c>
      <c r="T26" t="inlineStr">
        <is>
          <t>e6eba514-c148-4083-b4e1-3c4dba0ae50b</t>
        </is>
      </c>
      <c r="U26"/>
      <c r="V26"/>
      <c r="W26">
        <v>3</v>
      </c>
      <c r="X26" t="inlineStr">
        <is>
          <t>龚政涛</t>
        </is>
      </c>
      <c r="Y26" t="inlineStr">
        <is>
          <t>龚政涛</t>
        </is>
      </c>
      <c r="Z26" s="3">
        <v>45664.634675925925</v>
      </c>
      <c r="AA26" s="3">
        <v>45846.46097222222</v>
      </c>
      <c r="AB26" s="2" t="str">
        <f>=HYPERLINK("https://applink.feishu.cn/client/todo/task_list?guid=76122b60-faec-4a61-91b0-2d229f32cc2a", "迷宫球")</f>
        <v>迷宫球</v>
      </c>
      <c r="AC26" t="inlineStr">
        <is>
          <t>76122b60-faec-4a61-91b0-2d229f32cc2a</t>
        </is>
      </c>
      <c r="AD26" t="inlineStr">
        <is>
          <t>NzUzMTk3MzcwNDkxNDg0NTY5Nzo2MjkyMjM1NS05OWIyLTRmMTktYjIyNy0wNWUyYjI5MzFiOGE6MTg1MGE3OTkxYjZkZTU0NzA0OTZjZmY0ODEwMWM0YmY6MQ==</t>
        </is>
      </c>
      <c r="AE26"/>
    </row>
    <row r="27" ht="25.5" customHeight="1">
      <c r="A27" s="2" t="str">
        <f>=HYPERLINK("https://applink.feishu.cn/client/todo/detail?guid=32e02bca-ac42-4f6a-9bbc-14f0dc2510fa&amp;suite_entity_num=t100708", "✨新增: 现有的小球更新为了体素模型")</f>
        <v>✨新增: 现有的小球更新为了体素模型</v>
      </c>
      <c r="B27" t="inlineStr">
        <is>
          <t>小球列表：https://dikpa4hrtn9.feishu.cn/wiki/UZymwKPvGinPB7kY9QPcofahnGe?from=from_copylink</t>
        </is>
      </c>
      <c r="C27" t="inlineStr">
        <is>
          <t>默认分组</t>
        </is>
      </c>
      <c r="D27" t="inlineStr">
        <is>
          <t>1</t>
        </is>
      </c>
      <c r="E27"/>
      <c r="F27"/>
      <c r="G27" t="inlineStr">
        <is>
          <t>P2 - 新的想法</t>
        </is>
      </c>
      <c r="H27" t="inlineStr">
        <is>
          <t>✍️故事</t>
        </is>
      </c>
      <c r="I27">
        <v>5</v>
      </c>
      <c r="J27" t="inlineStr">
        <is>
          <t>或签任务</t>
        </is>
      </c>
      <c r="K27"/>
      <c r="L27" t="inlineStr">
        <is>
          <t>0</t>
        </is>
      </c>
      <c r="M27">
        <v>1</v>
      </c>
      <c r="N27" s="3">
        <v>45846.47373842593</v>
      </c>
      <c r="O27" t="inlineStr">
        <is>
          <t>v0.0.3</t>
        </is>
      </c>
      <c r="P27" t="inlineStr">
        <is>
          <t>S1UyuAy7E</t>
        </is>
      </c>
      <c r="Q27" s="3"/>
      <c r="R27" s="3">
        <v>45804.333333333336</v>
      </c>
      <c r="S27" t="inlineStr">
        <is>
          <t>32e02bca-ac42-4f6a-9bbc-14f0dc2510fa</t>
        </is>
      </c>
      <c r="T27"/>
      <c r="U27"/>
      <c r="V27"/>
      <c r="W27">
        <v>1</v>
      </c>
      <c r="X27" t="inlineStr">
        <is>
          <t>龚政涛,S1UyuAy7E</t>
        </is>
      </c>
      <c r="Y27" t="inlineStr">
        <is>
          <t>龚政涛</t>
        </is>
      </c>
      <c r="Z27" s="3">
        <v>45789.59408564815</v>
      </c>
      <c r="AA27" s="3">
        <v>45846.47373842593</v>
      </c>
      <c r="AB27" s="2" t="str">
        <f>=HYPERLINK("https://applink.feishu.cn/client/todo/task_list?guid=76122b60-faec-4a61-91b0-2d229f32cc2a", "迷宫球")</f>
        <v>迷宫球</v>
      </c>
      <c r="AC27" t="inlineStr">
        <is>
          <t>76122b60-faec-4a61-91b0-2d229f32cc2a</t>
        </is>
      </c>
      <c r="AD27" t="inlineStr">
        <is>
          <t>NzUzMTk3MzcwNDkxNDg0NTY5NzozMmUwMmJjYS1hYzQyLTRmNmEtOWJiYy0xNGYwZGMyNTEwZmE6NGNlYjc5MjhlMTkwZjZiOTQ4NzY5ODNlMWVmNzc4ZWY6MQ==</t>
        </is>
      </c>
      <c r="AE27"/>
    </row>
    <row r="28" ht="25.5" customHeight="1">
      <c r="A28" s="2" t="str">
        <f>=HYPERLINK("https://applink.feishu.cn/client/todo/detail?guid=9eba5d9c-04b4-48a4-855b-9465041a3b7a&amp;suite_entity_num=t100714", "普通球 &lt; ✨新增: 现有的小球更新为了体素模型")</f>
        <v>普通球 &lt; ✨新增: 现有的小球更新为了体素模型</v>
      </c>
      <c r="B28"/>
      <c r="C28"/>
      <c r="D28" t="inlineStr">
        <is>
          <t>1</t>
        </is>
      </c>
      <c r="E28"/>
      <c r="F28"/>
      <c r="G28"/>
      <c r="H28"/>
      <c r="I28">
        <v>0</v>
      </c>
      <c r="J28" t="inlineStr">
        <is>
          <t>或签任务</t>
        </is>
      </c>
      <c r="K28"/>
      <c r="L28" t="inlineStr">
        <is>
          <t>0</t>
        </is>
      </c>
      <c r="M28"/>
      <c r="N28" s="3">
        <v>45846.46403935185</v>
      </c>
      <c r="O28" t="inlineStr">
        <is>
          <t>v0.0.3</t>
        </is>
      </c>
      <c r="P28" t="inlineStr">
        <is>
          <t>S1UyuAy7E</t>
        </is>
      </c>
      <c r="Q28" s="3">
        <v>45804.333333333336</v>
      </c>
      <c r="R28" s="3">
        <v>45804.333333333336</v>
      </c>
      <c r="S28" t="inlineStr">
        <is>
          <t>9eba5d9c-04b4-48a4-855b-9465041a3b7a</t>
        </is>
      </c>
      <c r="T28" t="inlineStr">
        <is>
          <t>32e02bca-ac42-4f6a-9bbc-14f0dc2510fa</t>
        </is>
      </c>
      <c r="U28"/>
      <c r="V28"/>
      <c r="W28">
        <v>0</v>
      </c>
      <c r="X28" t="inlineStr">
        <is>
          <t>S1UyuAy7E,龚政涛</t>
        </is>
      </c>
      <c r="Y28" t="inlineStr">
        <is>
          <t>龚政涛</t>
        </is>
      </c>
      <c r="Z28" s="3">
        <v>45789.602488425924</v>
      </c>
      <c r="AA28" s="3">
        <v>45846.464050925926</v>
      </c>
      <c r="AB28" s="2" t="str">
        <f>=HYPERLINK("https://applink.feishu.cn/client/todo/task_list?guid=76122b60-faec-4a61-91b0-2d229f32cc2a", "迷宫球")</f>
        <v>迷宫球</v>
      </c>
      <c r="AC28" t="inlineStr">
        <is>
          <t>76122b60-faec-4a61-91b0-2d229f32cc2a</t>
        </is>
      </c>
      <c r="AD28" t="inlineStr">
        <is>
          <t>NzUzMTk3MzcwNDkxNDg0NTY5Nzo5ZWJhNWQ5Yy0wNGI0LTQ4YTQtODU1Yi05NDY1MDQxYTNiN2E6ZDk0NjQzNTVhMzE1ZmM0MDgyOTY1YzA5YmQ0NjNmYzM6MQ==</t>
        </is>
      </c>
      <c r="AE28"/>
    </row>
    <row r="29" ht="25.5" customHeight="1">
      <c r="A29" s="2" t="str">
        <f>=HYPERLINK("https://applink.feishu.cn/client/todo/detail?guid=16492918-ea31-4227-9970-d74eb34fb2f8&amp;suite_entity_num=t100715", "引力球 &lt; ✨新增: 现有的小球更新为了体素模型")</f>
        <v>引力球 &lt; ✨新增: 现有的小球更新为了体素模型</v>
      </c>
      <c r="B29"/>
      <c r="C29"/>
      <c r="D29" t="inlineStr">
        <is>
          <t>1</t>
        </is>
      </c>
      <c r="E29"/>
      <c r="F29"/>
      <c r="G29"/>
      <c r="H29"/>
      <c r="I29">
        <v>0</v>
      </c>
      <c r="J29" t="inlineStr">
        <is>
          <t>或签任务</t>
        </is>
      </c>
      <c r="K29"/>
      <c r="L29" t="inlineStr">
        <is>
          <t>0</t>
        </is>
      </c>
      <c r="M29"/>
      <c r="N29" s="3">
        <v>45814.68685185185</v>
      </c>
      <c r="O29"/>
      <c r="P29" t="inlineStr">
        <is>
          <t>S1UyuAy7E</t>
        </is>
      </c>
      <c r="Q29" s="3">
        <v>45804.333333333336</v>
      </c>
      <c r="R29" s="3">
        <v>45804.333333333336</v>
      </c>
      <c r="S29" t="inlineStr">
        <is>
          <t>16492918-ea31-4227-9970-d74eb34fb2f8</t>
        </is>
      </c>
      <c r="T29" t="inlineStr">
        <is>
          <t>32e02bca-ac42-4f6a-9bbc-14f0dc2510fa</t>
        </is>
      </c>
      <c r="U29"/>
      <c r="V29"/>
      <c r="W29">
        <v>0</v>
      </c>
      <c r="X29" t="inlineStr">
        <is>
          <t>S1UyuAy7E,龚政涛</t>
        </is>
      </c>
      <c r="Y29" t="inlineStr">
        <is>
          <t>龚政涛</t>
        </is>
      </c>
      <c r="Z29" s="3">
        <v>45789.60254629629</v>
      </c>
      <c r="AA29" s="3">
        <v>45846.464004629626</v>
      </c>
      <c r="AB29" s="2" t="str">
        <f>=HYPERLINK("https://applink.feishu.cn/client/todo/task_list?guid=76122b60-faec-4a61-91b0-2d229f32cc2a", "迷宫球")</f>
        <v>迷宫球</v>
      </c>
      <c r="AC29" t="inlineStr">
        <is>
          <t>76122b60-faec-4a61-91b0-2d229f32cc2a</t>
        </is>
      </c>
      <c r="AD29" t="inlineStr">
        <is>
          <t>NzUzMTk3MzcwNDkxNDg0NTY5NzoxNjQ5MjkxOC1lYTMxLTQyMjctOTk3MC1kNzRlYjM0ZmIyZjg6YjUwN2JhZTQ5MjYzN2I5NmYxYmE5NGQ0ZTgwMGFhMDE6MQ==</t>
        </is>
      </c>
      <c r="AE29"/>
    </row>
    <row r="30" ht="25.5" customHeight="1">
      <c r="A30" s="2" t="str">
        <f>=HYPERLINK("https://applink.feishu.cn/client/todo/detail?guid=1b106879-0e97-492d-893d-02e629ec5c10&amp;suite_entity_num=t100716", "斥力球 &lt; ✨新增: 现有的小球更新为了体素模型")</f>
        <v>斥力球 &lt; ✨新增: 现有的小球更新为了体素模型</v>
      </c>
      <c r="B30"/>
      <c r="C30"/>
      <c r="D30" t="inlineStr">
        <is>
          <t>1</t>
        </is>
      </c>
      <c r="E30"/>
      <c r="F30"/>
      <c r="G30"/>
      <c r="H30"/>
      <c r="I30">
        <v>0</v>
      </c>
      <c r="J30" t="inlineStr">
        <is>
          <t>或签任务</t>
        </is>
      </c>
      <c r="K30"/>
      <c r="L30" t="inlineStr">
        <is>
          <t>0</t>
        </is>
      </c>
      <c r="M30"/>
      <c r="N30" s="3">
        <v>45814.68682870371</v>
      </c>
      <c r="O30"/>
      <c r="P30" t="inlineStr">
        <is>
          <t>S1UyuAy7E</t>
        </is>
      </c>
      <c r="Q30" s="3">
        <v>45804.333333333336</v>
      </c>
      <c r="R30" s="3">
        <v>45804.333333333336</v>
      </c>
      <c r="S30" t="inlineStr">
        <is>
          <t>1b106879-0e97-492d-893d-02e629ec5c10</t>
        </is>
      </c>
      <c r="T30" t="inlineStr">
        <is>
          <t>32e02bca-ac42-4f6a-9bbc-14f0dc2510fa</t>
        </is>
      </c>
      <c r="U30"/>
      <c r="V30"/>
      <c r="W30">
        <v>0</v>
      </c>
      <c r="X30" t="inlineStr">
        <is>
          <t>龚政涛,S1UyuAy7E</t>
        </is>
      </c>
      <c r="Y30" t="inlineStr">
        <is>
          <t>龚政涛</t>
        </is>
      </c>
      <c r="Z30" s="3">
        <v>45789.60870370371</v>
      </c>
      <c r="AA30" s="3">
        <v>45846.4640162037</v>
      </c>
      <c r="AB30" s="2" t="str">
        <f>=HYPERLINK("https://applink.feishu.cn/client/todo/task_list?guid=76122b60-faec-4a61-91b0-2d229f32cc2a", "迷宫球")</f>
        <v>迷宫球</v>
      </c>
      <c r="AC30" t="inlineStr">
        <is>
          <t>76122b60-faec-4a61-91b0-2d229f32cc2a</t>
        </is>
      </c>
      <c r="AD30" t="inlineStr">
        <is>
          <t>NzUzMTk3MzcwNDkxNDg0NTY5NzoxYjEwNjg3OS0wZTk3LTQ5MmQtODkzZC0wMmU2MjllYzVjMTA6NTI0NmU5MWY1YzE5ZjY0N2IwZTdjYjRhMzM2NjNjMDE6MQ==</t>
        </is>
      </c>
      <c r="AE30"/>
    </row>
    <row r="31" ht="25.5" customHeight="1">
      <c r="A31" s="2" t="str">
        <f>=HYPERLINK("https://applink.feishu.cn/client/todo/detail?guid=4585a330-4658-4b24-a94e-ca9b742892d5&amp;suite_entity_num=t100717", "相位球 &lt; ✨新增: 现有的小球更新为了体素模型")</f>
        <v>相位球 &lt; ✨新增: 现有的小球更新为了体素模型</v>
      </c>
      <c r="B31"/>
      <c r="C31"/>
      <c r="D31" t="inlineStr">
        <is>
          <t>1</t>
        </is>
      </c>
      <c r="E31"/>
      <c r="F31"/>
      <c r="G31"/>
      <c r="H31"/>
      <c r="I31">
        <v>0</v>
      </c>
      <c r="J31" t="inlineStr">
        <is>
          <t>或签任务</t>
        </is>
      </c>
      <c r="K31"/>
      <c r="L31" t="inlineStr">
        <is>
          <t>0</t>
        </is>
      </c>
      <c r="M31"/>
      <c r="N31" s="3">
        <v>45846.46403935185</v>
      </c>
      <c r="O31"/>
      <c r="P31" t="inlineStr">
        <is>
          <t>S1UyuAy7E</t>
        </is>
      </c>
      <c r="Q31" s="3">
        <v>45804.333333333336</v>
      </c>
      <c r="R31" s="3">
        <v>45804.333333333336</v>
      </c>
      <c r="S31" t="inlineStr">
        <is>
          <t>4585a330-4658-4b24-a94e-ca9b742892d5</t>
        </is>
      </c>
      <c r="T31" t="inlineStr">
        <is>
          <t>32e02bca-ac42-4f6a-9bbc-14f0dc2510fa</t>
        </is>
      </c>
      <c r="U31"/>
      <c r="V31"/>
      <c r="W31">
        <v>0</v>
      </c>
      <c r="X31" t="inlineStr">
        <is>
          <t>龚政涛,S1UyuAy7E</t>
        </is>
      </c>
      <c r="Y31" t="inlineStr">
        <is>
          <t>龚政涛</t>
        </is>
      </c>
      <c r="Z31" s="3">
        <v>45789.60875</v>
      </c>
      <c r="AA31" s="3">
        <v>45846.46403935185</v>
      </c>
      <c r="AB31" s="2" t="str">
        <f>=HYPERLINK("https://applink.feishu.cn/client/todo/task_list?guid=76122b60-faec-4a61-91b0-2d229f32cc2a", "迷宫球")</f>
        <v>迷宫球</v>
      </c>
      <c r="AC31" t="inlineStr">
        <is>
          <t>76122b60-faec-4a61-91b0-2d229f32cc2a</t>
        </is>
      </c>
      <c r="AD31" t="inlineStr">
        <is>
          <t>NzUzMTk3MzcwNDkxNDg0NTY5Nzo0NTg1YTMzMC00NjU4LTRiMjQtYTk0ZS1jYTliNzQyODkyZDU6YThjY2MzYjBkZjBjODJlN2Y3MjM5OTliNjdhYzRmZjI6MQ==</t>
        </is>
      </c>
      <c r="AE31"/>
    </row>
    <row r="32" ht="25.5" customHeight="1">
      <c r="A32" s="2" t="str">
        <f>=HYPERLINK("https://applink.feishu.cn/client/todo/detail?guid=7dca67fb-ad94-4e05-9163-790bcf2ab422&amp;suite_entity_num=t100825", "🪡修改: 解决了PCG过程中的模型缩放问题，现在体素模型在轨道上看起来会更自然  &lt; ✨新增: 新增了程序化生成轨道模型的功能，现在玩家可以体验到更丰富、多样的的体素模型轨道了")</f>
        <v>🪡修改: 解决了PCG过程中的模型缩放问题，现在体素模型在轨道上看起来会更自然  &lt; ✨新增: 新增了程序化生成轨道模型的功能，现在玩家可以体验到更丰富、多样的的体素模型轨道了</v>
      </c>
      <c r="B32"/>
      <c r="C32"/>
      <c r="D32" t="inlineStr">
        <is>
          <t>1</t>
        </is>
      </c>
      <c r="E32"/>
      <c r="F32"/>
      <c r="G32"/>
      <c r="H32" t="inlineStr">
        <is>
          <t>🎨艺术</t>
        </is>
      </c>
      <c r="I32">
        <v>0</v>
      </c>
      <c r="J32" t="inlineStr">
        <is>
          <t>或签任务</t>
        </is>
      </c>
      <c r="K32"/>
      <c r="L32" t="inlineStr">
        <is>
          <t>0</t>
        </is>
      </c>
      <c r="M32"/>
      <c r="N32" s="3">
        <v>45846.41936342593</v>
      </c>
      <c r="O32"/>
      <c r="P32" t="inlineStr">
        <is>
          <t>Decay</t>
        </is>
      </c>
      <c r="Q32" s="3">
        <v>45808.333333333336</v>
      </c>
      <c r="R32" s="3">
        <v>45814.333333333336</v>
      </c>
      <c r="S32" t="inlineStr">
        <is>
          <t>7dca67fb-ad94-4e05-9163-790bcf2ab422</t>
        </is>
      </c>
      <c r="T32" t="inlineStr">
        <is>
          <t>62fb0142-ca6a-4ab8-8f6d-8ce80819447a</t>
        </is>
      </c>
      <c r="U32"/>
      <c r="V32"/>
      <c r="W32">
        <v>1</v>
      </c>
      <c r="X32" t="inlineStr">
        <is>
          <t>龚政涛,Decay</t>
        </is>
      </c>
      <c r="Y32" t="inlineStr">
        <is>
          <t>龚政涛</t>
        </is>
      </c>
      <c r="Z32" s="3">
        <v>45846.41935185185</v>
      </c>
      <c r="AA32" s="3">
        <v>45853.66322916667</v>
      </c>
      <c r="AB32" s="2" t="str">
        <f>=HYPERLINK("https://applink.feishu.cn/client/todo/task_list?guid=76122b60-faec-4a61-91b0-2d229f32cc2a", "迷宫球")</f>
        <v>迷宫球</v>
      </c>
      <c r="AC32" t="inlineStr">
        <is>
          <t>76122b60-faec-4a61-91b0-2d229f32cc2a</t>
        </is>
      </c>
      <c r="AD32" t="inlineStr">
        <is>
          <t>NzUzMTk3MzcwNDkxNDg0NTY5Nzo3ZGNhNjdmYi1hZDk0LTRlMDUtOTE2My03OTBiY2YyYWI0MjI6NTcyYWFlZDdkOTUxOWQ3YmQzMjE2MDE2ODgxODljY2E6MQ==</t>
        </is>
      </c>
      <c r="AE32"/>
    </row>
    <row r="33" ht="25.5" customHeight="1">
      <c r="A33" s="2" t="str">
        <f>=HYPERLINK("https://applink.feishu.cn/client/todo/detail?guid=62fb0142-ca6a-4ab8-8f6d-8ce80819447a&amp;suite_entity_num=t100702", "✨新增: 新增了程序化生成轨道模型的功能，现在玩家可以体验到更丰富、多样的的体素模型轨道了")</f>
        <v>✨新增: 新增了程序化生成轨道模型的功能，现在玩家可以体验到更丰富、多样的的体素模型轨道了</v>
      </c>
      <c r="B33"/>
      <c r="C33" t="inlineStr">
        <is>
          <t>默认分组</t>
        </is>
      </c>
      <c r="D33" t="inlineStr">
        <is>
          <t>1</t>
        </is>
      </c>
      <c r="E33"/>
      <c r="F33"/>
      <c r="G33" t="inlineStr">
        <is>
          <t>P0 - 必须处理</t>
        </is>
      </c>
      <c r="H33" t="inlineStr">
        <is>
          <t>🎨艺术</t>
        </is>
      </c>
      <c r="I33">
        <v>4</v>
      </c>
      <c r="J33" t="inlineStr">
        <is>
          <t>或签任务</t>
        </is>
      </c>
      <c r="K33"/>
      <c r="L33" t="inlineStr">
        <is>
          <t>0</t>
        </is>
      </c>
      <c r="M33">
        <v>0.75</v>
      </c>
      <c r="N33" s="3">
        <v>45846.48688657407</v>
      </c>
      <c r="O33" t="inlineStr">
        <is>
          <t>v0.0.3</t>
        </is>
      </c>
      <c r="P33" t="inlineStr">
        <is>
          <t>Decay</t>
        </is>
      </c>
      <c r="Q33" s="3">
        <v>45800.333333333336</v>
      </c>
      <c r="R33" s="3">
        <v>45823.333333333336</v>
      </c>
      <c r="S33" t="inlineStr">
        <is>
          <t>62fb0142-ca6a-4ab8-8f6d-8ce80819447a</t>
        </is>
      </c>
      <c r="T33"/>
      <c r="U33"/>
      <c r="V33"/>
      <c r="W33">
        <v>0</v>
      </c>
      <c r="X33" t="inlineStr">
        <is>
          <t>龚政涛,Decay</t>
        </is>
      </c>
      <c r="Y33" t="inlineStr">
        <is>
          <t>龚政涛</t>
        </is>
      </c>
      <c r="Z33" s="3">
        <v>45789.5912962963</v>
      </c>
      <c r="AA33" s="3">
        <v>45853.661944444444</v>
      </c>
      <c r="AB33" s="2" t="str">
        <f>=HYPERLINK("https://applink.feishu.cn/client/todo/task_list?guid=76122b60-faec-4a61-91b0-2d229f32cc2a", "迷宫球")</f>
        <v>迷宫球</v>
      </c>
      <c r="AC33" t="inlineStr">
        <is>
          <t>76122b60-faec-4a61-91b0-2d229f32cc2a</t>
        </is>
      </c>
      <c r="AD33" t="inlineStr">
        <is>
          <t>NzUzMTk3MzcwNDkxNDg0NTY5Nzo2MmZiMDE0Mi1jYTZhLTRhYjgtOGY2ZC04Y2U4MDgxOTQ0N2E6ZDc3ODJhYzY3MTBmMjIxMTQ4YTE0MGI3OWM4OGI0NTY6MQ==</t>
        </is>
      </c>
      <c r="AE33"/>
    </row>
    <row r="34" ht="25.5" customHeight="1">
      <c r="A34" s="2" t="str">
        <f>=HYPERLINK("https://applink.feishu.cn/client/todo/detail?guid=7f380a2e-fab6-44c0-a49e-75888745f1b0&amp;suite_entity_num=t100817", "从BP_RAIL生成基于DATA TABLE配置的Spline Mesh &lt; ✨新增: 新增了程序化生成轨道模型的功能，现在玩家可以体验到更丰富、多样的的体素模型轨道了")</f>
        <v>从BP_RAIL生成基于DATA TABLE配置的Spline Mesh &lt; ✨新增: 新增了程序化生成轨道模型的功能，现在玩家可以体验到更丰富、多样的的体素模型轨道了</v>
      </c>
      <c r="B34"/>
      <c r="C34"/>
      <c r="D34" t="inlineStr">
        <is>
          <t>1</t>
        </is>
      </c>
      <c r="E34"/>
      <c r="F34"/>
      <c r="G34"/>
      <c r="H34" t="inlineStr">
        <is>
          <t>🎨艺术</t>
        </is>
      </c>
      <c r="I34">
        <v>0</v>
      </c>
      <c r="J34" t="inlineStr">
        <is>
          <t>或签任务</t>
        </is>
      </c>
      <c r="K34"/>
      <c r="L34" t="inlineStr">
        <is>
          <t>0</t>
        </is>
      </c>
      <c r="M34"/>
      <c r="N34" s="3">
        <v>45846.01888888889</v>
      </c>
      <c r="O34"/>
      <c r="P34" t="inlineStr">
        <is>
          <t>Decay</t>
        </is>
      </c>
      <c r="Q34" s="3">
        <v>45800.333333333336</v>
      </c>
      <c r="R34" s="3">
        <v>45823.333333333336</v>
      </c>
      <c r="S34" t="inlineStr">
        <is>
          <t>7f380a2e-fab6-44c0-a49e-75888745f1b0</t>
        </is>
      </c>
      <c r="T34" t="inlineStr">
        <is>
          <t>62fb0142-ca6a-4ab8-8f6d-8ce80819447a</t>
        </is>
      </c>
      <c r="U34"/>
      <c r="V34"/>
      <c r="W34">
        <v>0</v>
      </c>
      <c r="X34" t="inlineStr">
        <is>
          <t>龚政涛,Decay</t>
        </is>
      </c>
      <c r="Y34" t="inlineStr">
        <is>
          <t>龚政涛</t>
        </is>
      </c>
      <c r="Z34" s="3">
        <v>45846.01571759259</v>
      </c>
      <c r="AA34" s="3">
        <v>45853.66326388889</v>
      </c>
      <c r="AB34" s="2" t="str">
        <f>=HYPERLINK("https://applink.feishu.cn/client/todo/task_list?guid=76122b60-faec-4a61-91b0-2d229f32cc2a", "迷宫球")</f>
        <v>迷宫球</v>
      </c>
      <c r="AC34" t="inlineStr">
        <is>
          <t>76122b60-faec-4a61-91b0-2d229f32cc2a</t>
        </is>
      </c>
      <c r="AD34" t="inlineStr">
        <is>
          <t>NzUzMTk3MzcwNDkxNDg0NTY5Nzo3ZjM4MGEyZS1mYWI2LTQ0YzAtYTQ5ZS03NTg4ODc0NWYxYjA6YjI5ZGY4YzY4YjNjNTRlNTg5ZTRjNjhhZDY2N2UzMDY6MQ==</t>
        </is>
      </c>
      <c r="AE34"/>
    </row>
    <row r="35" ht="25.5" customHeight="1">
      <c r="A35" s="2" t="str">
        <f>=HYPERLINK("https://applink.feishu.cn/client/todo/detail?guid=f49d8cdc-a2fc-4e04-b612-9cf79ace5f2a&amp;suite_entity_num=t100818", "通过一个BP_LEVELHELPER在场景中一键生成所有已经显示的BP_RAIL的PCG功能 &lt; ✨新增: 新增了程序化生成轨道模型的功能，现在玩家可以体验到更丰富、多样的的体素模型轨道了")</f>
        <v>通过一个BP_LEVELHELPER在场景中一键生成所有已经显示的BP_RAIL的PCG功能 &lt; ✨新增: 新增了程序化生成轨道模型的功能，现在玩家可以体验到更丰富、多样的的体素模型轨道了</v>
      </c>
      <c r="B35"/>
      <c r="C35"/>
      <c r="D35" t="inlineStr">
        <is>
          <t>1</t>
        </is>
      </c>
      <c r="E35"/>
      <c r="F35"/>
      <c r="G35"/>
      <c r="H35" t="inlineStr">
        <is>
          <t>🎨艺术</t>
        </is>
      </c>
      <c r="I35">
        <v>0</v>
      </c>
      <c r="J35" t="inlineStr">
        <is>
          <t>或签任务</t>
        </is>
      </c>
      <c r="K35"/>
      <c r="L35" t="inlineStr">
        <is>
          <t>0</t>
        </is>
      </c>
      <c r="M35"/>
      <c r="N35" s="3">
        <v>45846.018900462965</v>
      </c>
      <c r="O35"/>
      <c r="P35" t="inlineStr">
        <is>
          <t>Decay</t>
        </is>
      </c>
      <c r="Q35" s="3">
        <v>45823.333333333336</v>
      </c>
      <c r="R35" s="3">
        <v>45823.333333333336</v>
      </c>
      <c r="S35" t="inlineStr">
        <is>
          <t>f49d8cdc-a2fc-4e04-b612-9cf79ace5f2a</t>
        </is>
      </c>
      <c r="T35" t="inlineStr">
        <is>
          <t>62fb0142-ca6a-4ab8-8f6d-8ce80819447a</t>
        </is>
      </c>
      <c r="U35"/>
      <c r="V35"/>
      <c r="W35">
        <v>0</v>
      </c>
      <c r="X35" t="inlineStr">
        <is>
          <t>龚政涛,Decay</t>
        </is>
      </c>
      <c r="Y35" t="inlineStr">
        <is>
          <t>龚政涛</t>
        </is>
      </c>
      <c r="Z35" s="3">
        <v>45846.017546296294</v>
      </c>
      <c r="AA35" s="3">
        <v>45853.66324074074</v>
      </c>
      <c r="AB35" s="2" t="str">
        <f>=HYPERLINK("https://applink.feishu.cn/client/todo/task_list?guid=76122b60-faec-4a61-91b0-2d229f32cc2a", "迷宫球")</f>
        <v>迷宫球</v>
      </c>
      <c r="AC35" t="inlineStr">
        <is>
          <t>76122b60-faec-4a61-91b0-2d229f32cc2a</t>
        </is>
      </c>
      <c r="AD35" t="inlineStr">
        <is>
          <t>NzUzMTk3MzcwNDkxNDg0NTY5NzpmNDlkOGNkYy1hMmZjLTRlMDQtYjYxMi05Y2Y3OWFjZTVmMmE6NTZjZDFlZTQyOGIxOWE4ZGMwMDAxYjNjZmYwOWJiNmY6MQ==</t>
        </is>
      </c>
      <c r="AE35"/>
    </row>
    <row r="36" ht="25.5" customHeight="1">
      <c r="A36" s="2" t="str">
        <f>=HYPERLINK("https://applink.feishu.cn/client/todo/detail?guid=057edadc-2f06-4bcb-aa39-03ff04a7137b&amp;suite_entity_num=t100871", "提供简化的12个建筑模型，对整体进行了2合1，减少了三角面 &lt; 🪡修改: 优化了性能表现")</f>
        <v>提供简化的12个建筑模型，对整体进行了2合1，减少了三角面 &lt; 🪡修改: 优化了性能表现</v>
      </c>
      <c r="B36"/>
      <c r="C36"/>
      <c r="D36" t="inlineStr">
        <is>
          <t>1</t>
        </is>
      </c>
      <c r="E36"/>
      <c r="F36"/>
      <c r="G36"/>
      <c r="H36" t="inlineStr">
        <is>
          <t>✍️故事</t>
        </is>
      </c>
      <c r="I36">
        <v>0</v>
      </c>
      <c r="J36" t="inlineStr">
        <is>
          <t>或签任务</t>
        </is>
      </c>
      <c r="K36"/>
      <c r="L36" t="inlineStr">
        <is>
          <t>0</t>
        </is>
      </c>
      <c r="M36"/>
      <c r="N36" s="3">
        <v>45847.5408912037</v>
      </c>
      <c r="O36"/>
      <c r="P36" t="inlineStr">
        <is>
          <t>S1UyuAy7E</t>
        </is>
      </c>
      <c r="Q36" s="3">
        <v>45844.333333333336</v>
      </c>
      <c r="R36" s="3">
        <v>45847.333333333336</v>
      </c>
      <c r="S36" t="inlineStr">
        <is>
          <t>057edadc-2f06-4bcb-aa39-03ff04a7137b</t>
        </is>
      </c>
      <c r="T36" t="inlineStr">
        <is>
          <t>89aabd6d-8438-45f7-8ad8-19ba59f316bb</t>
        </is>
      </c>
      <c r="U36"/>
      <c r="V36"/>
      <c r="W36">
        <v>0</v>
      </c>
      <c r="X36" t="inlineStr">
        <is>
          <t>龚政涛,S1UyuAy7E</t>
        </is>
      </c>
      <c r="Y36" t="inlineStr">
        <is>
          <t>龚政涛</t>
        </is>
      </c>
      <c r="Z36" s="3">
        <v>45846.482627314814</v>
      </c>
      <c r="AA36" s="3">
        <v>45848.71774305555</v>
      </c>
      <c r="AB36" s="2" t="str">
        <f>=HYPERLINK("https://applink.feishu.cn/client/todo/task_list?guid=76122b60-faec-4a61-91b0-2d229f32cc2a", "迷宫球")</f>
        <v>迷宫球</v>
      </c>
      <c r="AC36" t="inlineStr">
        <is>
          <t>76122b60-faec-4a61-91b0-2d229f32cc2a</t>
        </is>
      </c>
      <c r="AD36" t="inlineStr">
        <is>
          <t>NzUzMTk3MzcwNDkxNDg0NTY5NzowNTdlZGFkYy0yZjA2LTRiY2ItYWEzOS0wM2ZmMDRhNzEzN2I6ODIyZmFiOWUzODY4ZmIzZTM0NDA5YzU3YzliZTc2OTM6MQ==</t>
        </is>
      </c>
      <c r="AE36"/>
    </row>
    <row r="37" ht="25.5" customHeight="1">
      <c r="A37" s="2" t="str">
        <f>=HYPERLINK("https://applink.feishu.cn/client/todo/detail?guid=57aded78-b00e-4aa6-88dc-01d82c056ad2&amp;suite_entity_num=t100820", "把BP_RAIL里的COLLISION改成属性而非对象配置 &lt; 🪡修改: 优化了性能表现")</f>
        <v>把BP_RAIL里的COLLISION改成属性而非对象配置 &lt; 🪡修改: 优化了性能表现</v>
      </c>
      <c r="B37"/>
      <c r="C37"/>
      <c r="D37" t="inlineStr">
        <is>
          <t>1</t>
        </is>
      </c>
      <c r="E37"/>
      <c r="F37"/>
      <c r="G37"/>
      <c r="H37" t="inlineStr">
        <is>
          <t>🎨艺术</t>
        </is>
      </c>
      <c r="I37">
        <v>0</v>
      </c>
      <c r="J37" t="inlineStr">
        <is>
          <t>或签任务</t>
        </is>
      </c>
      <c r="K37"/>
      <c r="L37" t="inlineStr">
        <is>
          <t>0</t>
        </is>
      </c>
      <c r="M37"/>
      <c r="N37" s="3">
        <v>45851.6018287037</v>
      </c>
      <c r="O37"/>
      <c r="P37" t="inlineStr">
        <is>
          <t>Decay</t>
        </is>
      </c>
      <c r="Q37" s="3">
        <v>45847.333333333336</v>
      </c>
      <c r="R37" s="3">
        <v>45847.333333333336</v>
      </c>
      <c r="S37" t="inlineStr">
        <is>
          <t>57aded78-b00e-4aa6-88dc-01d82c056ad2</t>
        </is>
      </c>
      <c r="T37" t="inlineStr">
        <is>
          <t>89aabd6d-8438-45f7-8ad8-19ba59f316bb</t>
        </is>
      </c>
      <c r="U37"/>
      <c r="V37" t="inlineStr">
        <is>
          <t>a7921ba3-c479-485b-9c1e-767d17d5cc4d, 66ad7cfc-aded-4c26-9655-9b91ec9c2797</t>
        </is>
      </c>
      <c r="W37">
        <v>0</v>
      </c>
      <c r="X37" t="inlineStr">
        <is>
          <t>龚政涛,Decay</t>
        </is>
      </c>
      <c r="Y37" t="inlineStr">
        <is>
          <t>龚政涛</t>
        </is>
      </c>
      <c r="Z37" s="3">
        <v>45846.01833333333</v>
      </c>
      <c r="AA37" s="3">
        <v>45851.60181712963</v>
      </c>
      <c r="AB37" s="2" t="str">
        <f>=HYPERLINK("https://applink.feishu.cn/client/todo/task_list?guid=76122b60-faec-4a61-91b0-2d229f32cc2a", "迷宫球")</f>
        <v>迷宫球</v>
      </c>
      <c r="AC37" t="inlineStr">
        <is>
          <t>76122b60-faec-4a61-91b0-2d229f32cc2a</t>
        </is>
      </c>
      <c r="AD37" t="inlineStr">
        <is>
          <t>NzUzMTk3MzcwNDkxNDg0NTY5Nzo1N2FkZWQ3OC1iMDBlLTRhYTYtODhkYy0wMWQ4MmMwNTZhZDI6OWM0MzVkYmJkMGI4MTI4ZDJlZDlmZTY3ZDQxMTliY2I6MQ==</t>
        </is>
      </c>
      <c r="AE37"/>
    </row>
    <row r="38" ht="25.5" customHeight="1">
      <c r="A38" s="2" t="str">
        <f>=HYPERLINK("https://applink.feishu.cn/client/todo/detail?guid=fb81c34e-f4c7-463a-ab5d-0f6e1ad259d7&amp;suite_entity_num=t100721", "完整宣传图 &lt; ✨新增: 增加了新的美术宣发资产")</f>
        <v>完整宣传图 &lt; ✨新增: 增加了新的美术宣发资产</v>
      </c>
      <c r="B38"/>
      <c r="C38"/>
      <c r="D38" t="inlineStr">
        <is>
          <t>1</t>
        </is>
      </c>
      <c r="E38"/>
      <c r="F38"/>
      <c r="G38"/>
      <c r="H38" t="inlineStr">
        <is>
          <t>✍️故事</t>
        </is>
      </c>
      <c r="I38">
        <v>0</v>
      </c>
      <c r="J38" t="inlineStr">
        <is>
          <t>或签任务</t>
        </is>
      </c>
      <c r="K38"/>
      <c r="L38" t="inlineStr">
        <is>
          <t>0</t>
        </is>
      </c>
      <c r="M38"/>
      <c r="N38" s="3">
        <v>45853.66002314815</v>
      </c>
      <c r="O38"/>
      <c r="P38" t="inlineStr">
        <is>
          <t>S1UyuAy7E</t>
        </is>
      </c>
      <c r="Q38" s="3">
        <v>45848.333333333336</v>
      </c>
      <c r="R38" s="3">
        <v>45848.333333333336</v>
      </c>
      <c r="S38" t="inlineStr">
        <is>
          <t>fb81c34e-f4c7-463a-ab5d-0f6e1ad259d7</t>
        </is>
      </c>
      <c r="T38" t="inlineStr">
        <is>
          <t>e1ca5a59-0500-4028-a664-466dc0427047</t>
        </is>
      </c>
      <c r="U38"/>
      <c r="V38"/>
      <c r="W38">
        <v>0</v>
      </c>
      <c r="X38" t="inlineStr">
        <is>
          <t>龚政涛,S1UyuAy7E</t>
        </is>
      </c>
      <c r="Y38" t="inlineStr">
        <is>
          <t>龚政涛</t>
        </is>
      </c>
      <c r="Z38" s="3">
        <v>45790.52460648148</v>
      </c>
      <c r="AA38" s="3">
        <v>45853.66002314815</v>
      </c>
      <c r="AB38" s="2" t="str">
        <f>=HYPERLINK("https://applink.feishu.cn/client/todo/task_list?guid=76122b60-faec-4a61-91b0-2d229f32cc2a", "迷宫球")</f>
        <v>迷宫球</v>
      </c>
      <c r="AC38" t="inlineStr">
        <is>
          <t>76122b60-faec-4a61-91b0-2d229f32cc2a</t>
        </is>
      </c>
      <c r="AD38" t="inlineStr">
        <is>
          <t>NzUzMTk3MzcwNDkxNDg0NTY5NzpmYjgxYzM0ZS1mNGM3LTQ2M2EtYWI1ZC0wZjZlMWFkMjU5ZDc6Mzg4MTZjY2Q0MDdkN2YwOGFjNjBjOTNlZGM2MDIyNjY6MQ==</t>
        </is>
      </c>
      <c r="AE38"/>
    </row>
    <row r="39" ht="25.5" customHeight="1">
      <c r="A39" s="2" t="str">
        <f>=HYPERLINK("https://applink.feishu.cn/client/todo/detail?guid=11136c8d-5e91-4ca6-a549-af57fa04d72a&amp;suite_entity_num=t100873", "提供简化的带洞地面模型，对侧面进行了2合1，减少了三角面 &lt; 🪡修改: 优化了性能表现")</f>
        <v>提供简化的带洞地面模型，对侧面进行了2合1，减少了三角面 &lt; 🪡修改: 优化了性能表现</v>
      </c>
      <c r="B39"/>
      <c r="C39"/>
      <c r="D39" t="inlineStr">
        <is>
          <t>1</t>
        </is>
      </c>
      <c r="E39"/>
      <c r="F39"/>
      <c r="G39"/>
      <c r="H39" t="inlineStr">
        <is>
          <t>✍️故事</t>
        </is>
      </c>
      <c r="I39">
        <v>0</v>
      </c>
      <c r="J39" t="inlineStr">
        <is>
          <t>或签任务</t>
        </is>
      </c>
      <c r="K39"/>
      <c r="L39" t="inlineStr">
        <is>
          <t>0</t>
        </is>
      </c>
      <c r="M39"/>
      <c r="N39" s="3">
        <v>45849.697743055556</v>
      </c>
      <c r="O39"/>
      <c r="P39" t="inlineStr">
        <is>
          <t>S1UyuAy7E</t>
        </is>
      </c>
      <c r="Q39" s="3">
        <v>45846.333333333336</v>
      </c>
      <c r="R39" s="3">
        <v>45848.333333333336</v>
      </c>
      <c r="S39" t="inlineStr">
        <is>
          <t>11136c8d-5e91-4ca6-a549-af57fa04d72a</t>
        </is>
      </c>
      <c r="T39" t="inlineStr">
        <is>
          <t>89aabd6d-8438-45f7-8ad8-19ba59f316bb</t>
        </is>
      </c>
      <c r="U39"/>
      <c r="V39"/>
      <c r="W39">
        <v>0</v>
      </c>
      <c r="X39" t="inlineStr">
        <is>
          <t>龚政涛,S1UyuAy7E</t>
        </is>
      </c>
      <c r="Y39" t="inlineStr">
        <is>
          <t>龚政涛</t>
        </is>
      </c>
      <c r="Z39" s="3">
        <v>45846.4828587963</v>
      </c>
      <c r="AA39" s="3">
        <v>45849.6977662037</v>
      </c>
      <c r="AB39" s="2" t="str">
        <f>=HYPERLINK("https://applink.feishu.cn/client/todo/task_list?guid=76122b60-faec-4a61-91b0-2d229f32cc2a", "迷宫球")</f>
        <v>迷宫球</v>
      </c>
      <c r="AC39" t="inlineStr">
        <is>
          <t>76122b60-faec-4a61-91b0-2d229f32cc2a</t>
        </is>
      </c>
      <c r="AD39" t="inlineStr">
        <is>
          <t>NzUzMTk3MzcwNDkxNDg0NTY5NzoxMTEzNmM4ZC01ZTkxLTRjYTYtYTU0OS1hZjU3ZmEwNGQ3MmE6ZGQ3YjNlZjI2MjFmZmI3MWVhMTZhY2I0MjJkNDE1ZGY6MQ==</t>
        </is>
      </c>
      <c r="AE39"/>
    </row>
    <row r="40" ht="25.5" customHeight="1">
      <c r="A40" s="2" t="str">
        <f>=HYPERLINK("https://applink.feishu.cn/client/todo/detail?guid=a7921ba3-c479-485b-9c1e-767d17d5cc4d&amp;suite_entity_num=t100819", "在BP_LEVELHELPER执行任务时，将BP_RAIL里配置的COLLISION PROXY放置到场景中与BP_RAIL相同的位置，并ATTACH到当前激活关卡的BP_MAZE &lt; 🪡修改: 优化了性能表现")</f>
        <v>在BP_LEVELHELPER执行任务时，将BP_RAIL里配置的COLLISION PROXY放置到场景中与BP_RAIL相同的位置，并ATTACH到当前激活关卡的BP_MAZE &lt; 🪡修改: 优化了性能表现</v>
      </c>
      <c r="B40"/>
      <c r="C40"/>
      <c r="D40" t="inlineStr">
        <is>
          <t>1</t>
        </is>
      </c>
      <c r="E40"/>
      <c r="F40"/>
      <c r="G40"/>
      <c r="H40" t="inlineStr">
        <is>
          <t>🎨艺术</t>
        </is>
      </c>
      <c r="I40">
        <v>0</v>
      </c>
      <c r="J40" t="inlineStr">
        <is>
          <t>或签任务</t>
        </is>
      </c>
      <c r="K40"/>
      <c r="L40" t="inlineStr">
        <is>
          <t>0</t>
        </is>
      </c>
      <c r="M40"/>
      <c r="N40" s="3">
        <v>45851.60184027778</v>
      </c>
      <c r="O40"/>
      <c r="P40" t="inlineStr">
        <is>
          <t>Decay</t>
        </is>
      </c>
      <c r="Q40" s="3">
        <v>45848.333333333336</v>
      </c>
      <c r="R40" s="3">
        <v>45848.333333333336</v>
      </c>
      <c r="S40" t="inlineStr">
        <is>
          <t>a7921ba3-c479-485b-9c1e-767d17d5cc4d</t>
        </is>
      </c>
      <c r="T40" t="inlineStr">
        <is>
          <t>89aabd6d-8438-45f7-8ad8-19ba59f316bb</t>
        </is>
      </c>
      <c r="U40" t="inlineStr">
        <is>
          <t>57aded78-b00e-4aa6-88dc-01d82c056ad2</t>
        </is>
      </c>
      <c r="V40" t="inlineStr">
        <is>
          <t>412f7df6-0d9b-4dc7-b97d-7ed7279b0543</t>
        </is>
      </c>
      <c r="W40">
        <v>0</v>
      </c>
      <c r="X40" t="inlineStr">
        <is>
          <t>龚政涛,Decay</t>
        </is>
      </c>
      <c r="Y40" t="inlineStr">
        <is>
          <t>龚政涛</t>
        </is>
      </c>
      <c r="Z40" s="3">
        <v>45846.01763888889</v>
      </c>
      <c r="AA40" s="3">
        <v>45851.6018287037</v>
      </c>
      <c r="AB40" s="2" t="str">
        <f>=HYPERLINK("https://applink.feishu.cn/client/todo/task_list?guid=76122b60-faec-4a61-91b0-2d229f32cc2a", "迷宫球")</f>
        <v>迷宫球</v>
      </c>
      <c r="AC40" t="inlineStr">
        <is>
          <t>76122b60-faec-4a61-91b0-2d229f32cc2a</t>
        </is>
      </c>
      <c r="AD40" t="inlineStr">
        <is>
          <t>NzUzMTk3MzcwNDkxNDg0NTY5NzphNzkyMWJhMy1jNDc5LTQ4NWItOWMxZS03NjdkMTdkNWNjNGQ6ZGM5NDVlMTU1YzI5NWE2YTMwZDM5ZWFmMDk3OTEyODE6MQ==</t>
        </is>
      </c>
      <c r="AE40"/>
    </row>
    <row r="41" ht="25.5" customHeight="1">
      <c r="A41" s="2" t="str">
        <f>=HYPERLINK("https://applink.feishu.cn/client/todo/detail?guid=6615cd66-81be-4c0b-b493-77ffd7e387a9&amp;suite_entity_num=t100709", "🪡修改: 修改了第一个“都市”关卡的迷宫设计，现在所有的迷宫都由标准迷宫模块构成了")</f>
        <v>🪡修改: 修改了第一个“都市”关卡的迷宫设计，现在所有的迷宫都由标准迷宫模块构成了</v>
      </c>
      <c r="B41"/>
      <c r="C41" t="inlineStr">
        <is>
          <t>默认分组</t>
        </is>
      </c>
      <c r="D41" t="inlineStr">
        <is>
          <t>1</t>
        </is>
      </c>
      <c r="E41"/>
      <c r="F41"/>
      <c r="G41"/>
      <c r="H41" t="inlineStr">
        <is>
          <t>✍️故事</t>
        </is>
      </c>
      <c r="I41">
        <v>1</v>
      </c>
      <c r="J41" t="inlineStr">
        <is>
          <t>或签任务</t>
        </is>
      </c>
      <c r="K41"/>
      <c r="L41" t="inlineStr">
        <is>
          <t>0</t>
        </is>
      </c>
      <c r="M41">
        <v>1</v>
      </c>
      <c r="N41" s="3">
        <v>45852.020416666666</v>
      </c>
      <c r="O41" t="inlineStr">
        <is>
          <t>v0.0.3</t>
        </is>
      </c>
      <c r="P41" t="inlineStr">
        <is>
          <t>龚政涛</t>
        </is>
      </c>
      <c r="Q41" s="3">
        <v>45850.333333333336</v>
      </c>
      <c r="R41" s="3">
        <v>45850.333333333336</v>
      </c>
      <c r="S41" t="inlineStr">
        <is>
          <t>6615cd66-81be-4c0b-b493-77ffd7e387a9</t>
        </is>
      </c>
      <c r="T41"/>
      <c r="U41"/>
      <c r="V41"/>
      <c r="W41">
        <v>0</v>
      </c>
      <c r="X41" t="inlineStr">
        <is>
          <t>龚政涛</t>
        </is>
      </c>
      <c r="Y41" t="inlineStr">
        <is>
          <t>龚政涛</t>
        </is>
      </c>
      <c r="Z41" s="3">
        <v>45789.594363425924</v>
      </c>
      <c r="AA41" s="3">
        <v>45852.020416666666</v>
      </c>
      <c r="AB41" s="2" t="str">
        <f>=HYPERLINK("https://applink.feishu.cn/client/todo/task_list?guid=76122b60-faec-4a61-91b0-2d229f32cc2a", "迷宫球")</f>
        <v>迷宫球</v>
      </c>
      <c r="AC41" t="inlineStr">
        <is>
          <t>76122b60-faec-4a61-91b0-2d229f32cc2a</t>
        </is>
      </c>
      <c r="AD41" t="inlineStr">
        <is>
          <t>NzUzMTk3MzcwNDkxNDg0NTY5Nzo2NjE1Y2Q2Ni04MWJlLTRjMGItYjQ5My03N2ZmZDdlMzg3YTk6MTlhMmFlMjMxMjFmMzUxZDFiNzJjMzIyOTU5MTZjYWI6MQ==</t>
        </is>
      </c>
      <c r="AE41"/>
    </row>
    <row r="42" ht="25.5" customHeight="1">
      <c r="A42" s="2" t="str">
        <f>=HYPERLINK("https://applink.feishu.cn/client/todo/detail?guid=e1ca5a59-0500-4028-a664-466dc0427047&amp;suite_entity_num=t100707", "✨新增: 增加了新的美术宣发资产")</f>
        <v>✨新增: 增加了新的美术宣发资产</v>
      </c>
      <c r="B42"/>
      <c r="C42" t="inlineStr">
        <is>
          <t>默认分组</t>
        </is>
      </c>
      <c r="D42" t="inlineStr">
        <is>
          <t>1</t>
        </is>
      </c>
      <c r="E42"/>
      <c r="F42"/>
      <c r="G42" t="inlineStr">
        <is>
          <t>P0 - 必须处理</t>
        </is>
      </c>
      <c r="H42" t="inlineStr">
        <is>
          <t>✍️故事</t>
        </is>
      </c>
      <c r="I42">
        <v>6</v>
      </c>
      <c r="J42" t="inlineStr">
        <is>
          <t>或签任务</t>
        </is>
      </c>
      <c r="K42"/>
      <c r="L42" t="inlineStr">
        <is>
          <t>0</t>
        </is>
      </c>
      <c r="M42">
        <v>1</v>
      </c>
      <c r="N42" s="3">
        <v>45854.67773148148</v>
      </c>
      <c r="O42" t="inlineStr">
        <is>
          <t>v0.0.3</t>
        </is>
      </c>
      <c r="P42" t="inlineStr">
        <is>
          <t>S1UyuAy7E</t>
        </is>
      </c>
      <c r="Q42" s="3">
        <v>45790.333333333336</v>
      </c>
      <c r="R42" s="3">
        <v>45850.333333333336</v>
      </c>
      <c r="S42" t="inlineStr">
        <is>
          <t>e1ca5a59-0500-4028-a664-466dc0427047</t>
        </is>
      </c>
      <c r="T42"/>
      <c r="U42"/>
      <c r="V42"/>
      <c r="W42">
        <v>1</v>
      </c>
      <c r="X42" t="inlineStr">
        <is>
          <t>龚政涛,S1UyuAy7E</t>
        </is>
      </c>
      <c r="Y42" t="inlineStr">
        <is>
          <t>龚政涛</t>
        </is>
      </c>
      <c r="Z42" s="3">
        <v>45789.593981481485</v>
      </c>
      <c r="AA42" s="3">
        <v>45854.677719907406</v>
      </c>
      <c r="AB42" s="2" t="str">
        <f>=HYPERLINK("https://applink.feishu.cn/client/todo/task_list?guid=76122b60-faec-4a61-91b0-2d229f32cc2a", "迷宫球")</f>
        <v>迷宫球</v>
      </c>
      <c r="AC42" t="inlineStr">
        <is>
          <t>76122b60-faec-4a61-91b0-2d229f32cc2a</t>
        </is>
      </c>
      <c r="AD42" t="inlineStr">
        <is>
          <t>NzUzMTk3MzcwNDkxNDg0NTY5NzplMWNhNWE1OS0wNTAwLTQwMjgtYTY2NC00NjZkYzA0MjcwNDc6YzI4OWQyOTAyM2JlZjQyNmVmN2RlMThlYzM0ZWY5NDU6MQ==</t>
        </is>
      </c>
      <c r="AE42"/>
    </row>
    <row r="43" ht="25.5" customHeight="1">
      <c r="A43" s="2" t="str">
        <f>=HYPERLINK("https://applink.feishu.cn/client/todo/detail?guid=89aabd6d-8438-45f7-8ad8-19ba59f316bb&amp;suite_entity_num=t100870", "🪡修改: 优化了性能表现")</f>
        <v>🪡修改: 优化了性能表现</v>
      </c>
      <c r="B43"/>
      <c r="C43" t="inlineStr">
        <is>
          <t>默认分组</t>
        </is>
      </c>
      <c r="D43" t="inlineStr">
        <is>
          <t>1</t>
        </is>
      </c>
      <c r="E43"/>
      <c r="F43"/>
      <c r="G43" t="inlineStr">
        <is>
          <t>P0 - 必须处理</t>
        </is>
      </c>
      <c r="H43" t="inlineStr">
        <is>
          <t>🎨艺术</t>
        </is>
      </c>
      <c r="I43">
        <v>8</v>
      </c>
      <c r="J43" t="inlineStr">
        <is>
          <t>或签任务</t>
        </is>
      </c>
      <c r="K43"/>
      <c r="L43" t="inlineStr">
        <is>
          <t>0</t>
        </is>
      </c>
      <c r="M43">
        <v>1</v>
      </c>
      <c r="N43" s="3">
        <v>45853.59967592593</v>
      </c>
      <c r="O43" t="inlineStr">
        <is>
          <t>v0.0.3</t>
        </is>
      </c>
      <c r="P43" t="inlineStr">
        <is>
          <t>Decay,S1UyuAy7E,龚政涛</t>
        </is>
      </c>
      <c r="Q43" s="3">
        <v>45843.333333333336</v>
      </c>
      <c r="R43" s="3">
        <v>45850.333333333336</v>
      </c>
      <c r="S43" t="inlineStr">
        <is>
          <t>89aabd6d-8438-45f7-8ad8-19ba59f316bb</t>
        </is>
      </c>
      <c r="T43"/>
      <c r="U43"/>
      <c r="V43" t="inlineStr">
        <is>
          <t>3fb28c99-47ed-4f55-ad47-6fc3f7649b0d</t>
        </is>
      </c>
      <c r="W43">
        <v>0</v>
      </c>
      <c r="X43" t="inlineStr">
        <is>
          <t>龚政涛,Decay,S1UyuAy7E</t>
        </is>
      </c>
      <c r="Y43" t="inlineStr">
        <is>
          <t>龚政涛</t>
        </is>
      </c>
      <c r="Z43" s="3">
        <v>45846.48237268518</v>
      </c>
      <c r="AA43" s="3">
        <v>45853.5996875</v>
      </c>
      <c r="AB43" s="2" t="str">
        <f>=HYPERLINK("https://applink.feishu.cn/client/todo/task_list?guid=76122b60-faec-4a61-91b0-2d229f32cc2a", "迷宫球")</f>
        <v>迷宫球</v>
      </c>
      <c r="AC43" t="inlineStr">
        <is>
          <t>76122b60-faec-4a61-91b0-2d229f32cc2a</t>
        </is>
      </c>
      <c r="AD43" t="inlineStr">
        <is>
          <t>NzUzMTk3MzcwNDkxNDg0NTY5Nzo4OWFhYmQ2ZC04NDM4LTQ1ZjctOGFkOC0xOWJhNTlmMzE2YmI6ZTI4M2RkYmRjNDllOWE0M2UzMjA5Njg1MjlmZDA4NWQ6MQ==</t>
        </is>
      </c>
      <c r="AE43"/>
    </row>
    <row r="44" ht="25.5" customHeight="1">
      <c r="A44" s="2" t="str">
        <f>=HYPERLINK("https://applink.feishu.cn/client/todo/detail?guid=0173ad87-94fd-4ff8-922a-5d21c1f1ee29&amp;suite_entity_num=t100872", "将地面模型的不可见面剔除，并simplify减少了三角面 &lt; 🪡修改: 优化了性能表现")</f>
        <v>将地面模型的不可见面剔除，并simplify减少了三角面 &lt; 🪡修改: 优化了性能表现</v>
      </c>
      <c r="B44"/>
      <c r="C44"/>
      <c r="D44" t="inlineStr">
        <is>
          <t>1</t>
        </is>
      </c>
      <c r="E44"/>
      <c r="F44"/>
      <c r="G44"/>
      <c r="H44" t="inlineStr">
        <is>
          <t>✍️故事</t>
        </is>
      </c>
      <c r="I44">
        <v>0</v>
      </c>
      <c r="J44" t="inlineStr">
        <is>
          <t>或签任务</t>
        </is>
      </c>
      <c r="K44"/>
      <c r="L44" t="inlineStr">
        <is>
          <t>0</t>
        </is>
      </c>
      <c r="M44"/>
      <c r="N44" s="3">
        <v>45850.97077546296</v>
      </c>
      <c r="O44"/>
      <c r="P44" t="inlineStr">
        <is>
          <t>龚政涛</t>
        </is>
      </c>
      <c r="Q44" s="3">
        <v>45843.333333333336</v>
      </c>
      <c r="R44" s="3">
        <v>45850.333333333336</v>
      </c>
      <c r="S44" t="inlineStr">
        <is>
          <t>0173ad87-94fd-4ff8-922a-5d21c1f1ee29</t>
        </is>
      </c>
      <c r="T44" t="inlineStr">
        <is>
          <t>89aabd6d-8438-45f7-8ad8-19ba59f316bb</t>
        </is>
      </c>
      <c r="U44"/>
      <c r="V44"/>
      <c r="W44">
        <v>0</v>
      </c>
      <c r="X44" t="inlineStr">
        <is>
          <t>龚政涛</t>
        </is>
      </c>
      <c r="Y44" t="inlineStr">
        <is>
          <t>龚政涛</t>
        </is>
      </c>
      <c r="Z44" s="3">
        <v>45846.48280092593</v>
      </c>
      <c r="AA44" s="3">
        <v>45850.97076388889</v>
      </c>
      <c r="AB44" s="2" t="str">
        <f>=HYPERLINK("https://applink.feishu.cn/client/todo/task_list?guid=76122b60-faec-4a61-91b0-2d229f32cc2a", "迷宫球")</f>
        <v>迷宫球</v>
      </c>
      <c r="AC44" t="inlineStr">
        <is>
          <t>76122b60-faec-4a61-91b0-2d229f32cc2a</t>
        </is>
      </c>
      <c r="AD44" t="inlineStr">
        <is>
          <t>NzUzMTk3MzcwNDkxNDg0NTY5NzowMTczYWQ4Ny05NGZkLTRmZjgtOTIyYS01ZDIxYzFmMWVlMjk6ZmY5ZTY4MjViNDVlOWU0MTA1MjUyZTYxYWY2OTBhODY6MQ==</t>
        </is>
      </c>
      <c r="AE44"/>
    </row>
    <row r="45" ht="25.5" customHeight="1">
      <c r="A45" s="2" t="str">
        <f>=HYPERLINK("https://applink.feishu.cn/client/todo/detail?guid=66ad7cfc-aded-4c26-9655-9b91ec9c2797&amp;suite_entity_num=t100915", "给所有RAIL配置对应的Proxy &lt; 🪡修改: 优化了性能表现")</f>
        <v>给所有RAIL配置对应的Proxy &lt; 🪡修改: 优化了性能表现</v>
      </c>
      <c r="B45"/>
      <c r="C45"/>
      <c r="D45" t="inlineStr">
        <is>
          <t>1</t>
        </is>
      </c>
      <c r="E45"/>
      <c r="F45"/>
      <c r="G45"/>
      <c r="H45" t="inlineStr">
        <is>
          <t>✍️故事</t>
        </is>
      </c>
      <c r="I45">
        <v>0</v>
      </c>
      <c r="J45" t="inlineStr">
        <is>
          <t>或签任务</t>
        </is>
      </c>
      <c r="K45"/>
      <c r="L45" t="inlineStr">
        <is>
          <t>0</t>
        </is>
      </c>
      <c r="M45"/>
      <c r="N45" s="3">
        <v>45852.020532407405</v>
      </c>
      <c r="O45"/>
      <c r="P45" t="inlineStr">
        <is>
          <t>龚政涛</t>
        </is>
      </c>
      <c r="Q45" s="3">
        <v>45850.333333333336</v>
      </c>
      <c r="R45" s="3">
        <v>45851.333333333336</v>
      </c>
      <c r="S45" t="inlineStr">
        <is>
          <t>66ad7cfc-aded-4c26-9655-9b91ec9c2797</t>
        </is>
      </c>
      <c r="T45" t="inlineStr">
        <is>
          <t>89aabd6d-8438-45f7-8ad8-19ba59f316bb</t>
        </is>
      </c>
      <c r="U45" t="inlineStr">
        <is>
          <t>57aded78-b00e-4aa6-88dc-01d82c056ad2</t>
        </is>
      </c>
      <c r="V45"/>
      <c r="W45">
        <v>0</v>
      </c>
      <c r="X45" t="inlineStr">
        <is>
          <t>龚政涛</t>
        </is>
      </c>
      <c r="Y45" t="inlineStr">
        <is>
          <t>龚政涛</t>
        </is>
      </c>
      <c r="Z45" s="3">
        <v>45850.970925925925</v>
      </c>
      <c r="AA45" s="3">
        <v>45852.020532407405</v>
      </c>
      <c r="AB45" s="2" t="str">
        <f>=HYPERLINK("https://applink.feishu.cn/client/todo/task_list?guid=76122b60-faec-4a61-91b0-2d229f32cc2a", "迷宫球")</f>
        <v>迷宫球</v>
      </c>
      <c r="AC45" t="inlineStr">
        <is>
          <t>76122b60-faec-4a61-91b0-2d229f32cc2a</t>
        </is>
      </c>
      <c r="AD45" t="inlineStr">
        <is>
          <t>NzUzMTk3MzcwNDkxNDg0NTY5Nzo2NmFkN2NmYy1hZGVkLTRjMjYtOTY1NS05YjkxZWM5YzI3OTc6NTMxM2I5YzM2NmNmNGNhYzU0MWU3YTIyZDBlZDEyMjI6MQ==</t>
        </is>
      </c>
      <c r="AE45"/>
    </row>
    <row r="46" ht="25.5" customHeight="1">
      <c r="A46" s="2" t="str">
        <f>=HYPERLINK("https://applink.feishu.cn/client/todo/detail?guid=46407891-1fc6-454c-9b3f-4c72204a96e7&amp;suite_entity_num=t100916", "为Start、Check、End增加Component，确保一并被attach到maze（特殊处理） &lt; 🪡修改: 优化了性能表现")</f>
        <v>为Start、Check、End增加Component，确保一并被attach到maze（特殊处理） &lt; 🪡修改: 优化了性能表现</v>
      </c>
      <c r="B46"/>
      <c r="C46"/>
      <c r="D46" t="inlineStr">
        <is>
          <t>1</t>
        </is>
      </c>
      <c r="E46"/>
      <c r="F46"/>
      <c r="G46"/>
      <c r="H46" t="inlineStr">
        <is>
          <t>🎨艺术</t>
        </is>
      </c>
      <c r="I46">
        <v>0</v>
      </c>
      <c r="J46" t="inlineStr">
        <is>
          <t>或签任务</t>
        </is>
      </c>
      <c r="K46"/>
      <c r="L46" t="inlineStr">
        <is>
          <t>0</t>
        </is>
      </c>
      <c r="M46"/>
      <c r="N46" s="3">
        <v>45852.020578703705</v>
      </c>
      <c r="O46"/>
      <c r="P46" t="inlineStr">
        <is>
          <t>Decay</t>
        </is>
      </c>
      <c r="Q46" s="3">
        <v>45850.333333333336</v>
      </c>
      <c r="R46" s="3">
        <v>45851.333333333336</v>
      </c>
      <c r="S46" t="inlineStr">
        <is>
          <t>46407891-1fc6-454c-9b3f-4c72204a96e7</t>
        </is>
      </c>
      <c r="T46" t="inlineStr">
        <is>
          <t>89aabd6d-8438-45f7-8ad8-19ba59f316bb</t>
        </is>
      </c>
      <c r="U46"/>
      <c r="V46"/>
      <c r="W46">
        <v>0</v>
      </c>
      <c r="X46" t="inlineStr">
        <is>
          <t>龚政涛,Decay</t>
        </is>
      </c>
      <c r="Y46" t="inlineStr">
        <is>
          <t>龚政涛</t>
        </is>
      </c>
      <c r="Z46" s="3">
        <v>45850.992060185185</v>
      </c>
      <c r="AA46" s="3">
        <v>45852.020578703705</v>
      </c>
      <c r="AB46" s="2" t="str">
        <f>=HYPERLINK("https://applink.feishu.cn/client/todo/task_list?guid=76122b60-faec-4a61-91b0-2d229f32cc2a", "迷宫球")</f>
        <v>迷宫球</v>
      </c>
      <c r="AC46" t="inlineStr">
        <is>
          <t>76122b60-faec-4a61-91b0-2d229f32cc2a</t>
        </is>
      </c>
      <c r="AD46" t="inlineStr">
        <is>
          <t>NzUzMTk3MzcwNDkxNDg0NTY5Nzo0NjQwNzg5MS0xZmM2LTQ1NGMtOWIzZi00YzcyMjA0YTk2ZTc6YWMwMmUwMzVjMzZjMTc5ZjI3NzUzMTBkMjE5MmI1YmQ6MQ==</t>
        </is>
      </c>
      <c r="AE46"/>
    </row>
    <row r="47" ht="25.5" customHeight="1">
      <c r="A47" s="2" t="str">
        <f>=HYPERLINK("https://applink.feishu.cn/client/todo/detail?guid=54e2aac5-f68b-446b-ad75-31784c7f67e1&amp;suite_entity_num=t100880", "v0.0.4 - Start")</f>
        <v>v0.0.4 - Start</v>
      </c>
      <c r="B47"/>
      <c r="C47" t="inlineStr">
        <is>
          <t>默认分组</t>
        </is>
      </c>
      <c r="D47" t="inlineStr">
        <is>
          <t>1</t>
        </is>
      </c>
      <c r="E47"/>
      <c r="F47"/>
      <c r="G47"/>
      <c r="H47"/>
      <c r="I47">
        <v>0</v>
      </c>
      <c r="J47" t="inlineStr">
        <is>
          <t>或签任务</t>
        </is>
      </c>
      <c r="K47"/>
      <c r="L47" t="inlineStr">
        <is>
          <t>1</t>
        </is>
      </c>
      <c r="M47"/>
      <c r="N47" s="3">
        <v>45855.53287037037</v>
      </c>
      <c r="O47" t="inlineStr">
        <is>
          <t>v0.0.4</t>
        </is>
      </c>
      <c r="P47"/>
      <c r="Q47" s="3">
        <v>45852.333333333336</v>
      </c>
      <c r="R47" s="3">
        <v>45852.333333333336</v>
      </c>
      <c r="S47" t="inlineStr">
        <is>
          <t>54e2aac5-f68b-446b-ad75-31784c7f67e1</t>
        </is>
      </c>
      <c r="T47"/>
      <c r="U47"/>
      <c r="V47"/>
      <c r="W47">
        <v>0</v>
      </c>
      <c r="X47" t="inlineStr">
        <is>
          <t>龚政涛</t>
        </is>
      </c>
      <c r="Y47" t="inlineStr">
        <is>
          <t>龚政涛</t>
        </is>
      </c>
      <c r="Z47" s="3">
        <v>45846.820810185185</v>
      </c>
      <c r="AA47" s="3">
        <v>45855.85105324074</v>
      </c>
      <c r="AB47" s="2" t="str">
        <f>=HYPERLINK("https://applink.feishu.cn/client/todo/task_list?guid=76122b60-faec-4a61-91b0-2d229f32cc2a", "迷宫球")</f>
        <v>迷宫球</v>
      </c>
      <c r="AC47" t="inlineStr">
        <is>
          <t>76122b60-faec-4a61-91b0-2d229f32cc2a</t>
        </is>
      </c>
      <c r="AD47" t="inlineStr">
        <is>
          <t>NzUzMTk3MzcwNDkxNDg0NTY5Nzo1NGUyYWFjNS1mNjhiLTQ0NmItYWQ3NS0zMTc4NGM3ZjY3ZTE6YWRjODk2Nzk0NWUzNTA5ZDUzNDk5Njg5MzQyNDNiY2U6MQ==</t>
        </is>
      </c>
      <c r="AE47"/>
    </row>
    <row r="48" ht="25.5" customHeight="1">
      <c r="A48" s="2" t="str">
        <f>=HYPERLINK("https://applink.feishu.cn/client/todo/detail?guid=77e49f8e-fa8e-4a5b-970b-b491a6d9e180&amp;suite_entity_num=t100919", "制作简化、砖块风格的边缘轨道 &lt; ✨新增: 更新了第一个“都市”关卡场景，修改了游戏场景的呈现方式，调整环境为更简单的视觉效果")</f>
        <v>制作简化、砖块风格的边缘轨道 &lt; ✨新增: 更新了第一个“都市”关卡场景，修改了游戏场景的呈现方式，调整环境为更简单的视觉效果</v>
      </c>
      <c r="B48"/>
      <c r="C48" t="inlineStr">
        <is>
          <t>默认分组</t>
        </is>
      </c>
      <c r="D48" t="inlineStr">
        <is>
          <t>1</t>
        </is>
      </c>
      <c r="E48" t="inlineStr">
        <is>
          <t>已完成</t>
        </is>
      </c>
      <c r="F48">
        <v>4</v>
      </c>
      <c r="G48" t="inlineStr">
        <is>
          <t>P0 - 必须处理</t>
        </is>
      </c>
      <c r="H48" t="inlineStr">
        <is>
          <t>✍️故事</t>
        </is>
      </c>
      <c r="I48">
        <v>0</v>
      </c>
      <c r="J48" t="inlineStr">
        <is>
          <t>或签任务</t>
        </is>
      </c>
      <c r="K48"/>
      <c r="L48" t="inlineStr">
        <is>
          <t>0</t>
        </is>
      </c>
      <c r="M48"/>
      <c r="N48" s="3">
        <v>45853.665555555555</v>
      </c>
      <c r="O48" t="inlineStr">
        <is>
          <t>v0.0.4</t>
        </is>
      </c>
      <c r="P48" t="inlineStr">
        <is>
          <t>S1UyuAy7E</t>
        </is>
      </c>
      <c r="Q48" s="3">
        <v>45852.333333333336</v>
      </c>
      <c r="R48" s="3">
        <v>45852.333333333336</v>
      </c>
      <c r="S48" t="inlineStr">
        <is>
          <t>77e49f8e-fa8e-4a5b-970b-b491a6d9e180</t>
        </is>
      </c>
      <c r="T48" t="inlineStr">
        <is>
          <t>ce24aa8e-d150-42ba-a954-c2c6d1faa6ab</t>
        </is>
      </c>
      <c r="U48"/>
      <c r="V48"/>
      <c r="W48">
        <v>0</v>
      </c>
      <c r="X48" t="inlineStr">
        <is>
          <t>S1UyuAy7E,龚政涛</t>
        </is>
      </c>
      <c r="Y48" t="inlineStr">
        <is>
          <t>龚政涛</t>
        </is>
      </c>
      <c r="Z48" s="3">
        <v>45853.664513888885</v>
      </c>
      <c r="AA48" s="3">
        <v>45890.408171296294</v>
      </c>
      <c r="AB48" s="2" t="str">
        <f>=HYPERLINK("https://applink.feishu.cn/client/todo/task_list?guid=76122b60-faec-4a61-91b0-2d229f32cc2a", "迷宫球")</f>
        <v>迷宫球</v>
      </c>
      <c r="AC48" t="inlineStr">
        <is>
          <t>76122b60-faec-4a61-91b0-2d229f32cc2a</t>
        </is>
      </c>
      <c r="AD48" t="inlineStr">
        <is>
          <t>NzUzMTk3MzcwNDkxNDg0NTY5Nzo3N2U0OWY4ZS1mYThlLTRhNWItOTcwYi1iNDkxYTZkOWUxODA6N2MxMDAwZmY2YTViYTg2N2Q0MWMwMjM3Y2JhMjk5N2I6MQ==</t>
        </is>
      </c>
      <c r="AE48"/>
    </row>
    <row r="49" ht="25.5" customHeight="1">
      <c r="A49" s="2" t="str">
        <f>=HYPERLINK("https://applink.feishu.cn/client/todo/detail?guid=7f936195-af40-4e10-9ab8-ef48e428af94&amp;suite_entity_num=t100722", "长条宣传图 &lt; ✨新增: 增加了新的美术宣发资产")</f>
        <v>长条宣传图 &lt; ✨新增: 增加了新的美术宣发资产</v>
      </c>
      <c r="B49"/>
      <c r="C49"/>
      <c r="D49" t="inlineStr">
        <is>
          <t>1</t>
        </is>
      </c>
      <c r="E49"/>
      <c r="F49"/>
      <c r="G49"/>
      <c r="H49" t="inlineStr">
        <is>
          <t>✍️故事</t>
        </is>
      </c>
      <c r="I49">
        <v>0</v>
      </c>
      <c r="J49" t="inlineStr">
        <is>
          <t>或签任务</t>
        </is>
      </c>
      <c r="K49"/>
      <c r="L49" t="inlineStr">
        <is>
          <t>0</t>
        </is>
      </c>
      <c r="M49"/>
      <c r="N49" s="3">
        <v>45853.66</v>
      </c>
      <c r="O49"/>
      <c r="P49" t="inlineStr">
        <is>
          <t>S1UyuAy7E</t>
        </is>
      </c>
      <c r="Q49" s="3">
        <v>45852.333333333336</v>
      </c>
      <c r="R49" s="3">
        <v>45852.333333333336</v>
      </c>
      <c r="S49" t="inlineStr">
        <is>
          <t>7f936195-af40-4e10-9ab8-ef48e428af94</t>
        </is>
      </c>
      <c r="T49" t="inlineStr">
        <is>
          <t>e1ca5a59-0500-4028-a664-466dc0427047</t>
        </is>
      </c>
      <c r="U49"/>
      <c r="V49"/>
      <c r="W49">
        <v>0</v>
      </c>
      <c r="X49" t="inlineStr">
        <is>
          <t>龚政涛,S1UyuAy7E</t>
        </is>
      </c>
      <c r="Y49" t="inlineStr">
        <is>
          <t>龚政涛</t>
        </is>
      </c>
      <c r="Z49" s="3">
        <v>45790.52469907407</v>
      </c>
      <c r="AA49" s="3">
        <v>45853.66001157407</v>
      </c>
      <c r="AB49" s="2" t="str">
        <f>=HYPERLINK("https://applink.feishu.cn/client/todo/task_list?guid=76122b60-faec-4a61-91b0-2d229f32cc2a", "迷宫球")</f>
        <v>迷宫球</v>
      </c>
      <c r="AC49" t="inlineStr">
        <is>
          <t>76122b60-faec-4a61-91b0-2d229f32cc2a</t>
        </is>
      </c>
      <c r="AD49" t="inlineStr">
        <is>
          <t>NzUzMTk3MzcwNDkxNDg0NTY5Nzo3ZjkzNjE5NS1hZjQwLTRlMTAtOWFiOC1lZjQ4ZTQyOGFmOTQ6YTBmNmMyOTZjMGI5OTg1ZTNjZjhlN2M2MTRlYWQzMDI6MQ==</t>
        </is>
      </c>
      <c r="AE49"/>
    </row>
    <row r="50" ht="25.5" customHeight="1">
      <c r="A50" s="2" t="str">
        <f>=HYPERLINK("https://applink.feishu.cn/client/todo/detail?guid=aa1190bf-5e08-48ec-b72a-4b2eba01e7b1&amp;suite_entity_num=t100723", "Icon &lt; ✨新增: 增加了新的美术宣发资产")</f>
        <v>Icon &lt; ✨新增: 增加了新的美术宣发资产</v>
      </c>
      <c r="B50"/>
      <c r="C50"/>
      <c r="D50" t="inlineStr">
        <is>
          <t>1</t>
        </is>
      </c>
      <c r="E50"/>
      <c r="F50"/>
      <c r="G50"/>
      <c r="H50" t="inlineStr">
        <is>
          <t>✍️故事</t>
        </is>
      </c>
      <c r="I50">
        <v>0</v>
      </c>
      <c r="J50" t="inlineStr">
        <is>
          <t>或签任务</t>
        </is>
      </c>
      <c r="K50"/>
      <c r="L50" t="inlineStr">
        <is>
          <t>0</t>
        </is>
      </c>
      <c r="M50"/>
      <c r="N50" s="3">
        <v>45853.66002314815</v>
      </c>
      <c r="O50"/>
      <c r="P50" t="inlineStr">
        <is>
          <t>S1UyuAy7E</t>
        </is>
      </c>
      <c r="Q50" s="3">
        <v>45852.333333333336</v>
      </c>
      <c r="R50" s="3">
        <v>45852.333333333336</v>
      </c>
      <c r="S50" t="inlineStr">
        <is>
          <t>aa1190bf-5e08-48ec-b72a-4b2eba01e7b1</t>
        </is>
      </c>
      <c r="T50" t="inlineStr">
        <is>
          <t>e1ca5a59-0500-4028-a664-466dc0427047</t>
        </is>
      </c>
      <c r="U50"/>
      <c r="V50"/>
      <c r="W50">
        <v>0</v>
      </c>
      <c r="X50" t="inlineStr">
        <is>
          <t>龚政涛,S1UyuAy7E</t>
        </is>
      </c>
      <c r="Y50" t="inlineStr">
        <is>
          <t>龚政涛</t>
        </is>
      </c>
      <c r="Z50" s="3">
        <v>45790.52478009259</v>
      </c>
      <c r="AA50" s="3">
        <v>45853.66002314815</v>
      </c>
      <c r="AB50" s="2" t="str">
        <f>=HYPERLINK("https://applink.feishu.cn/client/todo/task_list?guid=76122b60-faec-4a61-91b0-2d229f32cc2a", "迷宫球")</f>
        <v>迷宫球</v>
      </c>
      <c r="AC50" t="inlineStr">
        <is>
          <t>76122b60-faec-4a61-91b0-2d229f32cc2a</t>
        </is>
      </c>
      <c r="AD50" t="inlineStr">
        <is>
          <t>NzUzMTk3MzcwNDkxNDg0NTY5NzphYTExOTBiZi01ZTA4LTQ4ZWMtYjcyYS00YjJlYmEwMWU3YjE6Yzc3NjEzNmY4MzI4Y2JlNTMzOWJiYTAwNmIyYmE4Y2E6MQ==</t>
        </is>
      </c>
      <c r="AE50"/>
    </row>
    <row r="51" ht="25.5" customHeight="1">
      <c r="A51" s="2" t="str">
        <f>=HYPERLINK("https://applink.feishu.cn/client/todo/detail?guid=412f7df6-0d9b-4dc7-b97d-7ed7279b0543&amp;suite_entity_num=t100821", "在BP_LEVELHELPER执行任务时，将生成的Spline Mesh合并成一个Merged Actor并布置到BP_RAIL的位置，并ATTACH到BP_MAZE，并移除Spline Mesh Actor &lt; 🪡修改: 优化了性能表现")</f>
        <v>在BP_LEVELHELPER执行任务时，将生成的Spline Mesh合并成一个Merged Actor并布置到BP_RAIL的位置，并ATTACH到BP_MAZE，并移除Spline Mesh Actor &lt; 🪡修改: 优化了性能表现</v>
      </c>
      <c r="B51"/>
      <c r="C51"/>
      <c r="D51" t="inlineStr">
        <is>
          <t>1</t>
        </is>
      </c>
      <c r="E51"/>
      <c r="F51"/>
      <c r="G51"/>
      <c r="H51" t="inlineStr">
        <is>
          <t>🎨艺术</t>
        </is>
      </c>
      <c r="I51">
        <v>0</v>
      </c>
      <c r="J51" t="inlineStr">
        <is>
          <t>或签任务</t>
        </is>
      </c>
      <c r="K51"/>
      <c r="L51" t="inlineStr">
        <is>
          <t>0</t>
        </is>
      </c>
      <c r="M51"/>
      <c r="N51" s="3">
        <v>45852.45104166667</v>
      </c>
      <c r="O51"/>
      <c r="P51" t="inlineStr">
        <is>
          <t>Decay</t>
        </is>
      </c>
      <c r="Q51" s="3">
        <v>45849.333333333336</v>
      </c>
      <c r="R51" s="3">
        <v>45852.333333333336</v>
      </c>
      <c r="S51" t="inlineStr">
        <is>
          <t>412f7df6-0d9b-4dc7-b97d-7ed7279b0543</t>
        </is>
      </c>
      <c r="T51" t="inlineStr">
        <is>
          <t>89aabd6d-8438-45f7-8ad8-19ba59f316bb</t>
        </is>
      </c>
      <c r="U51" t="inlineStr">
        <is>
          <t>a7921ba3-c479-485b-9c1e-767d17d5cc4d</t>
        </is>
      </c>
      <c r="V51"/>
      <c r="W51">
        <v>0</v>
      </c>
      <c r="X51" t="inlineStr">
        <is>
          <t>Decay,龚政涛</t>
        </is>
      </c>
      <c r="Y51" t="inlineStr">
        <is>
          <t>龚政涛</t>
        </is>
      </c>
      <c r="Z51" s="3">
        <v>45846.01888888889</v>
      </c>
      <c r="AA51" s="3">
        <v>45852.45104166667</v>
      </c>
      <c r="AB51" s="2" t="str">
        <f>=HYPERLINK("https://applink.feishu.cn/client/todo/task_list?guid=76122b60-faec-4a61-91b0-2d229f32cc2a", "迷宫球")</f>
        <v>迷宫球</v>
      </c>
      <c r="AC51" t="inlineStr">
        <is>
          <t>76122b60-faec-4a61-91b0-2d229f32cc2a</t>
        </is>
      </c>
      <c r="AD51" t="inlineStr">
        <is>
          <t>NzUzMTk3MzcwNDkxNDg0NTY5Nzo0MTJmN2RmNi0wZDliLTRkYzctYjk3ZC03ZWQ3Mjc5YjA1NDM6NjYzMTFkY2EyYTgwZWI0Y2EzOTdmYjYyMTkyMzk1M2E6MQ==</t>
        </is>
      </c>
      <c r="AE51"/>
    </row>
    <row r="52" ht="25.5" customHeight="1">
      <c r="A52" s="2" t="str">
        <f>=HYPERLINK("https://applink.feishu.cn/client/todo/detail?guid=63bad67c-9773-4ad3-a2a6-9416a0626d53&amp;suite_entity_num=t100860", "v0.0.3 - End")</f>
        <v>v0.0.3 - End</v>
      </c>
      <c r="B52"/>
      <c r="C52" t="inlineStr">
        <is>
          <t>默认分组</t>
        </is>
      </c>
      <c r="D52" t="inlineStr">
        <is>
          <t>1</t>
        </is>
      </c>
      <c r="E52"/>
      <c r="F52"/>
      <c r="G52" t="inlineStr">
        <is>
          <t>P0 - 必须处理</t>
        </is>
      </c>
      <c r="H52"/>
      <c r="I52">
        <v>0</v>
      </c>
      <c r="J52" t="inlineStr">
        <is>
          <t>或签任务</t>
        </is>
      </c>
      <c r="K52"/>
      <c r="L52" t="inlineStr">
        <is>
          <t>1</t>
        </is>
      </c>
      <c r="M52"/>
      <c r="N52" s="3">
        <v>45855.017384259256</v>
      </c>
      <c r="O52" t="inlineStr">
        <is>
          <t>v0.0.3</t>
        </is>
      </c>
      <c r="P52"/>
      <c r="Q52" s="3">
        <v>45853.333333333336</v>
      </c>
      <c r="R52" s="3">
        <v>45853.333333333336</v>
      </c>
      <c r="S52" t="inlineStr">
        <is>
          <t>63bad67c-9773-4ad3-a2a6-9416a0626d53</t>
        </is>
      </c>
      <c r="T52"/>
      <c r="U52"/>
      <c r="V52"/>
      <c r="W52">
        <v>0</v>
      </c>
      <c r="X52" t="inlineStr">
        <is>
          <t>龚政涛</t>
        </is>
      </c>
      <c r="Y52" t="inlineStr">
        <is>
          <t>龚政涛</t>
        </is>
      </c>
      <c r="Z52" s="3">
        <v>45846.43900462963</v>
      </c>
      <c r="AA52" s="3">
        <v>45855.017384259256</v>
      </c>
      <c r="AB52" s="2" t="str">
        <f>=HYPERLINK("https://applink.feishu.cn/client/todo/task_list?guid=76122b60-faec-4a61-91b0-2d229f32cc2a", "迷宫球")</f>
        <v>迷宫球</v>
      </c>
      <c r="AC52" t="inlineStr">
        <is>
          <t>76122b60-faec-4a61-91b0-2d229f32cc2a</t>
        </is>
      </c>
      <c r="AD52" t="inlineStr">
        <is>
          <t>NzUzMTk3MzcwNDkxNDg0NTY5Nzo2M2JhZDY3Yy05NzczLTRhZDMtYTJhNi05NDE2YTA2MjZkNTM6MjEzYTllYjJmNWFlZWM5NGNkNTQzZDQxYTkwN2M3NGI6MQ==</t>
        </is>
      </c>
      <c r="AE52"/>
    </row>
    <row r="53" ht="25.5" customHeight="1">
      <c r="A53" s="2" t="str">
        <f>=HYPERLINK("https://applink.feishu.cn/client/todo/detail?guid=b925f1b0-7b31-4571-95db-b0ab6ff0d521&amp;suite_entity_num=t100918", "修复了套壳BP的问题 &lt; ✨新增: 新增了程序化生成轨道模型的功能，现在玩家可以体验到更丰富、多样的的体素模型轨道了")</f>
        <v>修复了套壳BP的问题 &lt; ✨新增: 新增了程序化生成轨道模型的功能，现在玩家可以体验到更丰富、多样的的体素模型轨道了</v>
      </c>
      <c r="B53"/>
      <c r="C53"/>
      <c r="D53" t="inlineStr">
        <is>
          <t>1</t>
        </is>
      </c>
      <c r="E53"/>
      <c r="F53"/>
      <c r="G53"/>
      <c r="H53" t="inlineStr">
        <is>
          <t>🎨艺术</t>
        </is>
      </c>
      <c r="I53">
        <v>0</v>
      </c>
      <c r="J53" t="inlineStr">
        <is>
          <t>或签任务</t>
        </is>
      </c>
      <c r="K53"/>
      <c r="L53" t="inlineStr">
        <is>
          <t>0</t>
        </is>
      </c>
      <c r="M53"/>
      <c r="N53" s="3">
        <v>45868.00523148148</v>
      </c>
      <c r="O53"/>
      <c r="P53" t="inlineStr">
        <is>
          <t>龚政涛</t>
        </is>
      </c>
      <c r="Q53" s="3">
        <v>45853.333333333336</v>
      </c>
      <c r="R53" s="3">
        <v>45853.333333333336</v>
      </c>
      <c r="S53" t="inlineStr">
        <is>
          <t>b925f1b0-7b31-4571-95db-b0ab6ff0d521</t>
        </is>
      </c>
      <c r="T53" t="inlineStr">
        <is>
          <t>62fb0142-ca6a-4ab8-8f6d-8ce80819447a</t>
        </is>
      </c>
      <c r="U53"/>
      <c r="V53"/>
      <c r="W53">
        <v>0</v>
      </c>
      <c r="X53" t="inlineStr">
        <is>
          <t>龚政涛</t>
        </is>
      </c>
      <c r="Y53" t="inlineStr">
        <is>
          <t>龚政涛</t>
        </is>
      </c>
      <c r="Z53" s="3">
        <v>45853.66193287037</v>
      </c>
      <c r="AA53" s="3">
        <v>45868.005219907405</v>
      </c>
      <c r="AB53" s="2" t="str">
        <f>=HYPERLINK("https://applink.feishu.cn/client/todo/task_list?guid=76122b60-faec-4a61-91b0-2d229f32cc2a", "迷宫球")</f>
        <v>迷宫球</v>
      </c>
      <c r="AC53" t="inlineStr">
        <is>
          <t>76122b60-faec-4a61-91b0-2d229f32cc2a</t>
        </is>
      </c>
      <c r="AD53" t="inlineStr">
        <is>
          <t>NzUzMTk3MzcwNDkxNDg0NTY5NzpiOTI1ZjFiMC03YjMxLTQ1NzEtOTVkYi1iMGFiNmZmMGQ1MjE6ZTMxYjFmNTI0NzA1OTYyYmZhNmQ4ODEwNDI4ZGU0NDY6MQ==</t>
        </is>
      </c>
      <c r="AE53"/>
    </row>
    <row r="54" ht="25.5" customHeight="1">
      <c r="A54" s="2" t="str">
        <f>=HYPERLINK("https://applink.feishu.cn/client/todo/detail?guid=5c7b4fb1-d914-4674-b6a1-3c4417b52b68&amp;suite_entity_num=t100917", "Logo偏心的宣传图 &lt; ✨新增: 增加了新的美术宣发资产")</f>
        <v>Logo偏心的宣传图 &lt; ✨新增: 增加了新的美术宣发资产</v>
      </c>
      <c r="B54"/>
      <c r="C54"/>
      <c r="D54" t="inlineStr">
        <is>
          <t>1</t>
        </is>
      </c>
      <c r="E54"/>
      <c r="F54"/>
      <c r="G54"/>
      <c r="H54" t="inlineStr">
        <is>
          <t>✍️故事</t>
        </is>
      </c>
      <c r="I54">
        <v>0</v>
      </c>
      <c r="J54" t="inlineStr">
        <is>
          <t>或签任务</t>
        </is>
      </c>
      <c r="K54"/>
      <c r="L54" t="inlineStr">
        <is>
          <t>0</t>
        </is>
      </c>
      <c r="M54"/>
      <c r="N54" s="3">
        <v>45854.677708333336</v>
      </c>
      <c r="O54"/>
      <c r="P54" t="inlineStr">
        <is>
          <t>S1UyuAy7E</t>
        </is>
      </c>
      <c r="Q54" s="3">
        <v>45853.333333333336</v>
      </c>
      <c r="R54" s="3">
        <v>45853.333333333336</v>
      </c>
      <c r="S54" t="inlineStr">
        <is>
          <t>5c7b4fb1-d914-4674-b6a1-3c4417b52b68</t>
        </is>
      </c>
      <c r="T54" t="inlineStr">
        <is>
          <t>e1ca5a59-0500-4028-a664-466dc0427047</t>
        </is>
      </c>
      <c r="U54"/>
      <c r="V54"/>
      <c r="W54">
        <v>0</v>
      </c>
      <c r="X54" t="inlineStr">
        <is>
          <t>龚政涛,S1UyuAy7E</t>
        </is>
      </c>
      <c r="Y54" t="inlineStr">
        <is>
          <t>龚政涛</t>
        </is>
      </c>
      <c r="Z54" s="3">
        <v>45853.66023148148</v>
      </c>
      <c r="AA54" s="3">
        <v>45854.67769675926</v>
      </c>
      <c r="AB54" s="2" t="str">
        <f>=HYPERLINK("https://applink.feishu.cn/client/todo/task_list?guid=76122b60-faec-4a61-91b0-2d229f32cc2a", "迷宫球")</f>
        <v>迷宫球</v>
      </c>
      <c r="AC54" t="inlineStr">
        <is>
          <t>76122b60-faec-4a61-91b0-2d229f32cc2a</t>
        </is>
      </c>
      <c r="AD54" t="inlineStr">
        <is>
          <t>NzUzMTk3MzcwNDkxNDg0NTY5Nzo1YzdiNGZiMS1kOTE0LTQ2NzQtYjZhMS0zYzQ0MTdiNTJiNjg6YjY4YTJiMzYwODk5MzQ5OTQ1NDZkMzQwNjJmZGMzM2M6MQ==</t>
        </is>
      </c>
      <c r="AE54"/>
    </row>
    <row r="55" ht="25.5" customHeight="1">
      <c r="A55" s="2" t="str">
        <f>=HYPERLINK("https://applink.feishu.cn/client/todo/detail?guid=16333caa-584d-4666-b128-2e42af8a3e80&amp;suite_entity_num=t100876", "分层整理的资产 &lt; ✨新增: 增加了新的美术宣发资产")</f>
        <v>分层整理的资产 &lt; ✨新增: 增加了新的美术宣发资产</v>
      </c>
      <c r="B55"/>
      <c r="C55"/>
      <c r="D55" t="inlineStr">
        <is>
          <t>1</t>
        </is>
      </c>
      <c r="E55"/>
      <c r="F55"/>
      <c r="G55"/>
      <c r="H55" t="inlineStr">
        <is>
          <t>✍️故事</t>
        </is>
      </c>
      <c r="I55">
        <v>0</v>
      </c>
      <c r="J55" t="inlineStr">
        <is>
          <t>或签任务</t>
        </is>
      </c>
      <c r="K55"/>
      <c r="L55" t="inlineStr">
        <is>
          <t>0</t>
        </is>
      </c>
      <c r="M55"/>
      <c r="N55" s="3">
        <v>45854.67769675926</v>
      </c>
      <c r="O55"/>
      <c r="P55" t="inlineStr">
        <is>
          <t>龚政涛</t>
        </is>
      </c>
      <c r="Q55" s="3">
        <v>45853.333333333336</v>
      </c>
      <c r="R55" s="3">
        <v>45853.333333333336</v>
      </c>
      <c r="S55" t="inlineStr">
        <is>
          <t>16333caa-584d-4666-b128-2e42af8a3e80</t>
        </is>
      </c>
      <c r="T55" t="inlineStr">
        <is>
          <t>e1ca5a59-0500-4028-a664-466dc0427047</t>
        </is>
      </c>
      <c r="U55"/>
      <c r="V55"/>
      <c r="W55">
        <v>0</v>
      </c>
      <c r="X55" t="inlineStr">
        <is>
          <t>龚政涛,S1UyuAy7E</t>
        </is>
      </c>
      <c r="Y55" t="inlineStr">
        <is>
          <t>龚政涛</t>
        </is>
      </c>
      <c r="Z55" s="3">
        <v>45846.49365740741</v>
      </c>
      <c r="AA55" s="3">
        <v>45854.67769675926</v>
      </c>
      <c r="AB55" s="2" t="str">
        <f>=HYPERLINK("https://applink.feishu.cn/client/todo/task_list?guid=76122b60-faec-4a61-91b0-2d229f32cc2a", "迷宫球")</f>
        <v>迷宫球</v>
      </c>
      <c r="AC55" t="inlineStr">
        <is>
          <t>76122b60-faec-4a61-91b0-2d229f32cc2a</t>
        </is>
      </c>
      <c r="AD55" t="inlineStr">
        <is>
          <t>NzUzMTk3MzcwNDkxNDg0NTY5NzoxNjMzM2NhYS01ODRkLTQ2NjYtYjEyOC0yZTQyYWY4YTNlODA6YzgyZGM3MDc0NmNjZWUyNDA1NjMxYTIxNjU2Mzc5ZTc6MQ==</t>
        </is>
      </c>
      <c r="AE55"/>
    </row>
    <row r="56" ht="25.5" customHeight="1">
      <c r="A56" s="2" t="str">
        <f>=HYPERLINK("https://applink.feishu.cn/client/todo/detail?guid=85db4b0d-7e74-4d0d-932b-13dcfb073c1e&amp;suite_entity_num=t100924", "v0.0.3 - Debug")</f>
        <v>v0.0.3 - Debug</v>
      </c>
      <c r="B56"/>
      <c r="C56" t="inlineStr">
        <is>
          <t>默认分组</t>
        </is>
      </c>
      <c r="D56" t="inlineStr">
        <is>
          <t>1</t>
        </is>
      </c>
      <c r="E56"/>
      <c r="F56"/>
      <c r="G56"/>
      <c r="H56"/>
      <c r="I56">
        <v>3</v>
      </c>
      <c r="J56" t="inlineStr">
        <is>
          <t>或签任务</t>
        </is>
      </c>
      <c r="K56"/>
      <c r="L56" t="inlineStr">
        <is>
          <t>0</t>
        </is>
      </c>
      <c r="M56">
        <v>1</v>
      </c>
      <c r="N56" s="3">
        <v>45855.85115740741</v>
      </c>
      <c r="O56" t="inlineStr">
        <is>
          <t>v0.0.3</t>
        </is>
      </c>
      <c r="P56"/>
      <c r="Q56" s="3">
        <v>45854.333333333336</v>
      </c>
      <c r="R56" s="3">
        <v>45854.333333333336</v>
      </c>
      <c r="S56" t="inlineStr">
        <is>
          <t>85db4b0d-7e74-4d0d-932b-13dcfb073c1e</t>
        </is>
      </c>
      <c r="T56"/>
      <c r="U56"/>
      <c r="V56"/>
      <c r="W56">
        <v>0</v>
      </c>
      <c r="X56" t="inlineStr">
        <is>
          <t>龚政涛</t>
        </is>
      </c>
      <c r="Y56" t="inlineStr">
        <is>
          <t>龚政涛</t>
        </is>
      </c>
      <c r="Z56" s="3">
        <v>45854.53576388889</v>
      </c>
      <c r="AA56" s="3">
        <v>45855.85115740741</v>
      </c>
      <c r="AB56" s="2" t="str">
        <f>=HYPERLINK("https://applink.feishu.cn/client/todo/task_list?guid=76122b60-faec-4a61-91b0-2d229f32cc2a", "迷宫球")</f>
        <v>迷宫球</v>
      </c>
      <c r="AC56" t="inlineStr">
        <is>
          <t>76122b60-faec-4a61-91b0-2d229f32cc2a</t>
        </is>
      </c>
      <c r="AD56" t="inlineStr">
        <is>
          <t>NzUzMTk3MzcwNDkxNDg0NTY5Nzo4NWRiNGIwZC03ZTc0LTRkMGQtOTMyYi0xM2RjZmIwNzNjMWU6MzczNDVjMmFjYjM2ZDE5NTM1MDcyZWNlOWEyNTA5ZWU6MQ==</t>
        </is>
      </c>
      <c r="AE56"/>
    </row>
    <row r="57" ht="25.5" customHeight="1">
      <c r="A57" s="2" t="str">
        <f>=HYPERLINK("https://applink.feishu.cn/client/todo/detail?guid=cc8d78b1-2a06-48ee-bb7f-1bf636d589f3&amp;suite_entity_num=t100904", "开发本地同屏合作模式的 level manager - 1 &lt; ✨新增: 新增了“多重迷宫”本地同屏合作模式，迷宫将会被拆分成多个预设的部分，由2名玩家分别操作过关。")</f>
        <v>开发本地同屏合作模式的 level manager - 1 &lt; ✨新增: 新增了“多重迷宫”本地同屏合作模式，迷宫将会被拆分成多个预设的部分，由2名玩家分别操作过关。</v>
      </c>
      <c r="B57"/>
      <c r="C57" t="inlineStr">
        <is>
          <t>默认分组</t>
        </is>
      </c>
      <c r="D57" t="inlineStr">
        <is>
          <t>1</t>
        </is>
      </c>
      <c r="E57" t="inlineStr">
        <is>
          <t>已完成</t>
        </is>
      </c>
      <c r="F57">
        <v>8</v>
      </c>
      <c r="G57" t="inlineStr">
        <is>
          <t>P0 - 必须处理</t>
        </is>
      </c>
      <c r="H57" t="inlineStr">
        <is>
          <t>🛠️技术</t>
        </is>
      </c>
      <c r="I57">
        <v>0</v>
      </c>
      <c r="J57" t="inlineStr">
        <is>
          <t>或签任务</t>
        </is>
      </c>
      <c r="K57"/>
      <c r="L57" t="inlineStr">
        <is>
          <t>0</t>
        </is>
      </c>
      <c r="M57"/>
      <c r="N57" s="3">
        <v>45893.679768518516</v>
      </c>
      <c r="O57" t="inlineStr">
        <is>
          <t>v0.0.4</t>
        </is>
      </c>
      <c r="P57" t="inlineStr">
        <is>
          <t>Decay</t>
        </is>
      </c>
      <c r="Q57" s="3">
        <v>45853.333333333336</v>
      </c>
      <c r="R57" s="3">
        <v>45854.333333333336</v>
      </c>
      <c r="S57" t="inlineStr">
        <is>
          <t>cc8d78b1-2a06-48ee-bb7f-1bf636d589f3</t>
        </is>
      </c>
      <c r="T57" t="inlineStr">
        <is>
          <t>70eadbf1-1e75-4cea-a30d-6c29d6b87834</t>
        </is>
      </c>
      <c r="U57"/>
      <c r="V57"/>
      <c r="W57">
        <v>1</v>
      </c>
      <c r="X57" t="inlineStr">
        <is>
          <t>龚政涛,Decay</t>
        </is>
      </c>
      <c r="Y57" t="inlineStr">
        <is>
          <t>龚政涛</t>
        </is>
      </c>
      <c r="Z57" s="3">
        <v>45846.881944444445</v>
      </c>
      <c r="AA57" s="3">
        <v>45893.67978009259</v>
      </c>
      <c r="AB57" s="2" t="str">
        <f>=HYPERLINK("https://applink.feishu.cn/client/todo/task_list?guid=76122b60-faec-4a61-91b0-2d229f32cc2a", "迷宫球")</f>
        <v>迷宫球</v>
      </c>
      <c r="AC57" t="inlineStr">
        <is>
          <t>76122b60-faec-4a61-91b0-2d229f32cc2a</t>
        </is>
      </c>
      <c r="AD57" t="inlineStr">
        <is>
          <t>NzUzMTk3MzcwNDkxNDg0NTY5NzpjYzhkNzhiMS0yYTA2LTQ4ZWUtYmI3Zi0xYmY2MzZkNTg5ZjM6YjBkYmJlN2VlMmY3OTRjZTAzZjU3MTlmYTMxMjJjYzE6MQ==</t>
        </is>
      </c>
      <c r="AE57"/>
    </row>
    <row r="58" ht="25.5" customHeight="1">
      <c r="A58" s="2" t="str">
        <f>=HYPERLINK("https://applink.feishu.cn/client/todo/detail?guid=cbc58847-ef5d-4896-b874-95821c0f2ab7&amp;suite_entity_num=t100925", "修复小球的能力使用问题 &lt; v0.0.3 - Debug")</f>
        <v>修复小球的能力使用问题 &lt; v0.0.3 - Debug</v>
      </c>
      <c r="B58"/>
      <c r="C58"/>
      <c r="D58" t="inlineStr">
        <is>
          <t>1</t>
        </is>
      </c>
      <c r="E58"/>
      <c r="F58"/>
      <c r="G58"/>
      <c r="H58" t="inlineStr">
        <is>
          <t>🎨艺术</t>
        </is>
      </c>
      <c r="I58">
        <v>0</v>
      </c>
      <c r="J58" t="inlineStr">
        <is>
          <t>或签任务</t>
        </is>
      </c>
      <c r="K58"/>
      <c r="L58" t="inlineStr">
        <is>
          <t>0</t>
        </is>
      </c>
      <c r="M58"/>
      <c r="N58" s="3">
        <v>45854.67760416667</v>
      </c>
      <c r="O58"/>
      <c r="P58" t="inlineStr">
        <is>
          <t>龚政涛</t>
        </is>
      </c>
      <c r="Q58" s="3">
        <v>45854.333333333336</v>
      </c>
      <c r="R58" s="3">
        <v>45854.333333333336</v>
      </c>
      <c r="S58" t="inlineStr">
        <is>
          <t>cbc58847-ef5d-4896-b874-95821c0f2ab7</t>
        </is>
      </c>
      <c r="T58" t="inlineStr">
        <is>
          <t>85db4b0d-7e74-4d0d-932b-13dcfb073c1e</t>
        </is>
      </c>
      <c r="U58"/>
      <c r="V58"/>
      <c r="W58">
        <v>0</v>
      </c>
      <c r="X58" t="inlineStr">
        <is>
          <t>龚政涛</t>
        </is>
      </c>
      <c r="Y58" t="inlineStr">
        <is>
          <t>龚政涛</t>
        </is>
      </c>
      <c r="Z58" s="3">
        <v>45854.535891203705</v>
      </c>
      <c r="AA58" s="3">
        <v>45855.017847222225</v>
      </c>
      <c r="AB58" s="2" t="str">
        <f>=HYPERLINK("https://applink.feishu.cn/client/todo/task_list?guid=76122b60-faec-4a61-91b0-2d229f32cc2a", "迷宫球")</f>
        <v>迷宫球</v>
      </c>
      <c r="AC58" t="inlineStr">
        <is>
          <t>76122b60-faec-4a61-91b0-2d229f32cc2a</t>
        </is>
      </c>
      <c r="AD58" t="inlineStr">
        <is>
          <t>NzUzMTk3MzcwNDkxNDg0NTY5NzpjYmM1ODg0Ny1lZjVkLTQ4OTYtYjg3NC05NTgyMWMwZjJhYjc6ZTg5ODFjYTk0ZTE5YTY3YTVmZmI0NTcyNjZlYjdkMDQ6MQ==</t>
        </is>
      </c>
      <c r="AE58"/>
    </row>
    <row r="59" ht="25.5" customHeight="1">
      <c r="A59" s="2" t="str">
        <f>=HYPERLINK("https://applink.feishu.cn/client/todo/detail?guid=f05a99ae-1df5-40de-82e7-38327acacf18&amp;suite_entity_num=t100926", "修复小球滚动音效问题 &lt; v0.0.3 - Debug")</f>
        <v>修复小球滚动音效问题 &lt; v0.0.3 - Debug</v>
      </c>
      <c r="B59"/>
      <c r="C59"/>
      <c r="D59" t="inlineStr">
        <is>
          <t>1</t>
        </is>
      </c>
      <c r="E59"/>
      <c r="F59"/>
      <c r="G59"/>
      <c r="H59" t="inlineStr">
        <is>
          <t>🎨艺术</t>
        </is>
      </c>
      <c r="I59">
        <v>0</v>
      </c>
      <c r="J59" t="inlineStr">
        <is>
          <t>或签任务</t>
        </is>
      </c>
      <c r="K59"/>
      <c r="L59" t="inlineStr">
        <is>
          <t>0</t>
        </is>
      </c>
      <c r="M59"/>
      <c r="N59" s="3">
        <v>45854.67760416667</v>
      </c>
      <c r="O59"/>
      <c r="P59" t="inlineStr">
        <is>
          <t>龚政涛</t>
        </is>
      </c>
      <c r="Q59" s="3">
        <v>45854.333333333336</v>
      </c>
      <c r="R59" s="3">
        <v>45854.333333333336</v>
      </c>
      <c r="S59" t="inlineStr">
        <is>
          <t>f05a99ae-1df5-40de-82e7-38327acacf18</t>
        </is>
      </c>
      <c r="T59" t="inlineStr">
        <is>
          <t>85db4b0d-7e74-4d0d-932b-13dcfb073c1e</t>
        </is>
      </c>
      <c r="U59"/>
      <c r="V59"/>
      <c r="W59">
        <v>0</v>
      </c>
      <c r="X59" t="inlineStr">
        <is>
          <t>龚政涛</t>
        </is>
      </c>
      <c r="Y59" t="inlineStr">
        <is>
          <t>龚政涛</t>
        </is>
      </c>
      <c r="Z59" s="3">
        <v>45854.5359375</v>
      </c>
      <c r="AA59" s="3">
        <v>45855.0178125</v>
      </c>
      <c r="AB59" s="2" t="str">
        <f>=HYPERLINK("https://applink.feishu.cn/client/todo/task_list?guid=76122b60-faec-4a61-91b0-2d229f32cc2a", "迷宫球")</f>
        <v>迷宫球</v>
      </c>
      <c r="AC59" t="inlineStr">
        <is>
          <t>76122b60-faec-4a61-91b0-2d229f32cc2a</t>
        </is>
      </c>
      <c r="AD59" t="inlineStr">
        <is>
          <t>NzUzMTk3MzcwNDkxNDg0NTY5NzpmMDVhOTlhZS0xZGY1LTQwZGUtODJlNy0zODMyN2FjYWNmMTg6MmVkZDMzYTQ1OTUzYzNmZDM3ZGU3Nzg0Y2FhMTI0OWM6MQ==</t>
        </is>
      </c>
      <c r="AE59"/>
    </row>
    <row r="60" ht="25.5" customHeight="1">
      <c r="A60" s="2" t="str">
        <f>=HYPERLINK("https://applink.feishu.cn/client/todo/detail?guid=62cbedf7-1f8d-4d45-8fbc-0e7c83d080d7&amp;suite_entity_num=t100928", "🪡修改: 降低了小球的摩擦系数，现在小球会更顺滑的在轨道上滚动")</f>
        <v>🪡修改: 降低了小球的摩擦系数，现在小球会更顺滑的在轨道上滚动</v>
      </c>
      <c r="B60"/>
      <c r="C60" t="inlineStr">
        <is>
          <t>默认分组</t>
        </is>
      </c>
      <c r="D60" t="inlineStr">
        <is>
          <t>1</t>
        </is>
      </c>
      <c r="E60"/>
      <c r="F60"/>
      <c r="G60" t="inlineStr">
        <is>
          <t>P2 - 新的想法</t>
        </is>
      </c>
      <c r="H60" t="inlineStr">
        <is>
          <t>🎮玩法</t>
        </is>
      </c>
      <c r="I60">
        <v>0</v>
      </c>
      <c r="J60" t="inlineStr">
        <is>
          <t>或签任务</t>
        </is>
      </c>
      <c r="K60"/>
      <c r="L60" t="inlineStr">
        <is>
          <t>0</t>
        </is>
      </c>
      <c r="M60"/>
      <c r="N60" s="3">
        <v>45855.85261574074</v>
      </c>
      <c r="O60" t="inlineStr">
        <is>
          <t>v0.0.3</t>
        </is>
      </c>
      <c r="P60" t="inlineStr">
        <is>
          <t>龚政涛</t>
        </is>
      </c>
      <c r="Q60" s="3">
        <v>45855.333333333336</v>
      </c>
      <c r="R60" s="3">
        <v>45855.333333333336</v>
      </c>
      <c r="S60" t="inlineStr">
        <is>
          <t>62cbedf7-1f8d-4d45-8fbc-0e7c83d080d7</t>
        </is>
      </c>
      <c r="T60"/>
      <c r="U60"/>
      <c r="V60"/>
      <c r="W60">
        <v>0</v>
      </c>
      <c r="X60" t="inlineStr">
        <is>
          <t>龚政涛</t>
        </is>
      </c>
      <c r="Y60" t="inlineStr">
        <is>
          <t>龚政涛</t>
        </is>
      </c>
      <c r="Z60" s="3">
        <v>45855.852372685185</v>
      </c>
      <c r="AA60" s="3">
        <v>45855.85265046296</v>
      </c>
      <c r="AB60" s="2" t="str">
        <f>=HYPERLINK("https://applink.feishu.cn/client/todo/task_list?guid=76122b60-faec-4a61-91b0-2d229f32cc2a", "迷宫球")</f>
        <v>迷宫球</v>
      </c>
      <c r="AC60" t="inlineStr">
        <is>
          <t>76122b60-faec-4a61-91b0-2d229f32cc2a</t>
        </is>
      </c>
      <c r="AD60" t="inlineStr">
        <is>
          <t>NzUzMTk3MzcwNDkxNDg0NTY5Nzo2MmNiZWRmNy0xZjhkLTRkNDUtOGZiYy0wZTdjODNkMDgwZDc6MDk2NzUwN2U5ZDkwNzg0OGRlZjFlOWZmMWU0YjRiNWY6MQ==</t>
        </is>
      </c>
      <c r="AE60"/>
    </row>
    <row r="61" ht="25.5" customHeight="1">
      <c r="A61" s="2" t="str">
        <f>=HYPERLINK("https://applink.feishu.cn/client/todo/detail?guid=4ea61c14-4092-4925-8e07-a610a86ac4a5&amp;suite_entity_num=t100874", "在UE里手搓“城市”的简化场景 &lt; ✨新增: 更新了第一个“都市”关卡场景，修改了游戏场景的呈现方式，调整环境为更简单的视觉效果")</f>
        <v>在UE里手搓“城市”的简化场景 &lt; ✨新增: 更新了第一个“都市”关卡场景，修改了游戏场景的呈现方式，调整环境为更简单的视觉效果</v>
      </c>
      <c r="B61"/>
      <c r="C61" t="inlineStr">
        <is>
          <t>默认分组</t>
        </is>
      </c>
      <c r="D61" t="inlineStr">
        <is>
          <t>1</t>
        </is>
      </c>
      <c r="E61" t="inlineStr">
        <is>
          <t>已完成</t>
        </is>
      </c>
      <c r="F61">
        <v>4</v>
      </c>
      <c r="G61" t="inlineStr">
        <is>
          <t>P2 - 新的想法</t>
        </is>
      </c>
      <c r="H61" t="inlineStr">
        <is>
          <t>✍️故事</t>
        </is>
      </c>
      <c r="I61">
        <v>0</v>
      </c>
      <c r="J61" t="inlineStr">
        <is>
          <t>或签任务</t>
        </is>
      </c>
      <c r="K61"/>
      <c r="L61" t="inlineStr">
        <is>
          <t>0</t>
        </is>
      </c>
      <c r="M61"/>
      <c r="N61" s="3">
        <v>45864.81753472222</v>
      </c>
      <c r="O61" t="inlineStr">
        <is>
          <t>v0.0.4</t>
        </is>
      </c>
      <c r="P61" t="inlineStr">
        <is>
          <t>龚政涛</t>
        </is>
      </c>
      <c r="Q61" s="3">
        <v>45852.333333333336</v>
      </c>
      <c r="R61" s="3">
        <v>45855.333333333336</v>
      </c>
      <c r="S61" t="inlineStr">
        <is>
          <t>4ea61c14-4092-4925-8e07-a610a86ac4a5</t>
        </is>
      </c>
      <c r="T61" t="inlineStr">
        <is>
          <t>ce24aa8e-d150-42ba-a954-c2c6d1faa6ab</t>
        </is>
      </c>
      <c r="U61"/>
      <c r="V61" t="inlineStr">
        <is>
          <t>73ac53d6-95e1-404d-a7c7-af980c837976</t>
        </is>
      </c>
      <c r="W61">
        <v>0</v>
      </c>
      <c r="X61" t="inlineStr">
        <is>
          <t>龚政涛</t>
        </is>
      </c>
      <c r="Y61" t="inlineStr">
        <is>
          <t>龚政涛</t>
        </is>
      </c>
      <c r="Z61" s="3">
        <v>45846.49023148148</v>
      </c>
      <c r="AA61" s="3">
        <v>45890.40837962963</v>
      </c>
      <c r="AB61" s="2" t="str">
        <f>=HYPERLINK("https://applink.feishu.cn/client/todo/task_list?guid=76122b60-faec-4a61-91b0-2d229f32cc2a", "迷宫球")</f>
        <v>迷宫球</v>
      </c>
      <c r="AC61" t="inlineStr">
        <is>
          <t>76122b60-faec-4a61-91b0-2d229f32cc2a</t>
        </is>
      </c>
      <c r="AD61" t="inlineStr">
        <is>
          <t>NzUzMTk3MzcwNDkxNDg0NTY5Nzo0ZWE2MWMxNC00MDkyLTQ5MjUtOGUwNy1hNjEwYTg2YWM0YTU6Y2Y5ZDBhNzU4NmNkMTg3ZmNhMjk2MzcwMzM1MDJiN2I6MQ==</t>
        </is>
      </c>
      <c r="AE61"/>
    </row>
    <row r="62" ht="25.5" customHeight="1">
      <c r="A62" s="2" t="str">
        <f>=HYPERLINK("https://applink.feishu.cn/client/todo/detail?guid=2b76c34b-dc74-4b93-93c9-8bc65635b99b&amp;suite_entity_num=t100879", "windows &lt; 打包v0.0.3")</f>
        <v>windows &lt; 打包v0.0.3</v>
      </c>
      <c r="B62"/>
      <c r="C62"/>
      <c r="D62" t="inlineStr">
        <is>
          <t>1</t>
        </is>
      </c>
      <c r="E62"/>
      <c r="F62"/>
      <c r="G62"/>
      <c r="H62" t="inlineStr">
        <is>
          <t>✍️故事</t>
        </is>
      </c>
      <c r="I62">
        <v>0</v>
      </c>
      <c r="J62" t="inlineStr">
        <is>
          <t>或签任务</t>
        </is>
      </c>
      <c r="K62"/>
      <c r="L62" t="inlineStr">
        <is>
          <t>0</t>
        </is>
      </c>
      <c r="M62"/>
      <c r="N62" s="3">
        <v>45854.67775462963</v>
      </c>
      <c r="O62"/>
      <c r="P62" t="inlineStr">
        <is>
          <t>Decay</t>
        </is>
      </c>
      <c r="Q62" s="3">
        <v>45853.333333333336</v>
      </c>
      <c r="R62" s="3">
        <v>45855.333333333336</v>
      </c>
      <c r="S62" t="inlineStr">
        <is>
          <t>2b76c34b-dc74-4b93-93c9-8bc65635b99b</t>
        </is>
      </c>
      <c r="T62" t="inlineStr">
        <is>
          <t>3fb28c99-47ed-4f55-ad47-6fc3f7649b0d</t>
        </is>
      </c>
      <c r="U62"/>
      <c r="V62"/>
      <c r="W62">
        <v>0</v>
      </c>
      <c r="X62" t="inlineStr">
        <is>
          <t>龚政涛,Decay</t>
        </is>
      </c>
      <c r="Y62" t="inlineStr">
        <is>
          <t>龚政涛</t>
        </is>
      </c>
      <c r="Z62" s="3">
        <v>45846.49451388889</v>
      </c>
      <c r="AA62" s="3">
        <v>45855.53236111111</v>
      </c>
      <c r="AB62" s="2" t="str">
        <f>=HYPERLINK("https://applink.feishu.cn/client/todo/task_list?guid=76122b60-faec-4a61-91b0-2d229f32cc2a", "迷宫球")</f>
        <v>迷宫球</v>
      </c>
      <c r="AC62" t="inlineStr">
        <is>
          <t>76122b60-faec-4a61-91b0-2d229f32cc2a</t>
        </is>
      </c>
      <c r="AD62" t="inlineStr">
        <is>
          <t>NzUzMTk3MzcwNDkxNDg0NTY5NzoyYjc2YzM0Yi1kYzc0LTRiOTMtOTNjOS04YmM2NTYzNWI5OWI6NTY1NWMxMGQwYjk2Yjc5NDdmYjMyZjJmNDQzOWVlOGQ6MQ==</t>
        </is>
      </c>
      <c r="AE62"/>
    </row>
    <row r="63" ht="25.5" customHeight="1">
      <c r="A63" s="2" t="str">
        <f>=HYPERLINK("https://applink.feishu.cn/client/todo/detail?guid=5a90d032-1093-4012-b865-a1f493ea8746&amp;suite_entity_num=t100927", "小球抵达Checkpoint后，下一关会从Checkpoint直接开始 &lt; v0.0.3 - Debug")</f>
        <v>小球抵达Checkpoint后，下一关会从Checkpoint直接开始 &lt; v0.0.3 - Debug</v>
      </c>
      <c r="B63"/>
      <c r="C63"/>
      <c r="D63" t="inlineStr">
        <is>
          <t>1</t>
        </is>
      </c>
      <c r="E63"/>
      <c r="F63"/>
      <c r="G63"/>
      <c r="H63" t="inlineStr">
        <is>
          <t>🎨艺术</t>
        </is>
      </c>
      <c r="I63">
        <v>0</v>
      </c>
      <c r="J63" t="inlineStr">
        <is>
          <t>或签任务</t>
        </is>
      </c>
      <c r="K63"/>
      <c r="L63" t="inlineStr">
        <is>
          <t>0</t>
        </is>
      </c>
      <c r="M63"/>
      <c r="N63" s="3">
        <v>45855.85113425926</v>
      </c>
      <c r="O63"/>
      <c r="P63" t="inlineStr">
        <is>
          <t>Decay</t>
        </is>
      </c>
      <c r="Q63" s="3">
        <v>45854.333333333336</v>
      </c>
      <c r="R63" s="3">
        <v>45855.333333333336</v>
      </c>
      <c r="S63" t="inlineStr">
        <is>
          <t>5a90d032-1093-4012-b865-a1f493ea8746</t>
        </is>
      </c>
      <c r="T63" t="inlineStr">
        <is>
          <t>85db4b0d-7e74-4d0d-932b-13dcfb073c1e</t>
        </is>
      </c>
      <c r="U63"/>
      <c r="V63"/>
      <c r="W63">
        <v>0</v>
      </c>
      <c r="X63" t="inlineStr">
        <is>
          <t>龚政涛,Decay</t>
        </is>
      </c>
      <c r="Y63" t="inlineStr">
        <is>
          <t>龚政涛</t>
        </is>
      </c>
      <c r="Z63" s="3">
        <v>45855.01773148148</v>
      </c>
      <c r="AA63" s="3">
        <v>45855.851122685184</v>
      </c>
      <c r="AB63" s="2" t="str">
        <f>=HYPERLINK("https://applink.feishu.cn/client/todo/task_list?guid=76122b60-faec-4a61-91b0-2d229f32cc2a", "迷宫球")</f>
        <v>迷宫球</v>
      </c>
      <c r="AC63" t="inlineStr">
        <is>
          <t>76122b60-faec-4a61-91b0-2d229f32cc2a</t>
        </is>
      </c>
      <c r="AD63" t="inlineStr">
        <is>
          <t>NzUzMTk3MzcwNDkxNDg0NTY5Nzo1YTkwZDAzMi0xMDkzLTQwMTItYjg2NS1hMWY0OTNlYTg3NDY6ODE4NWFiZDRhNjgwZmYzZmZjMjkwNmRhNGE0OGZiYzU6MQ==</t>
        </is>
      </c>
      <c r="AE63"/>
    </row>
    <row r="64" ht="25.5" customHeight="1">
      <c r="A64" s="2" t="str">
        <f>=HYPERLINK("https://applink.feishu.cn/client/todo/detail?guid=3fb28c99-47ed-4f55-ad47-6fc3f7649b0d&amp;suite_entity_num=t100877", "打包v0.0.3")</f>
        <v>打包v0.0.3</v>
      </c>
      <c r="B64"/>
      <c r="C64" t="inlineStr">
        <is>
          <t>默认分组</t>
        </is>
      </c>
      <c r="D64" t="inlineStr">
        <is>
          <t>1</t>
        </is>
      </c>
      <c r="E64" t="inlineStr">
        <is>
          <t>已完成</t>
        </is>
      </c>
      <c r="F64">
        <v>8</v>
      </c>
      <c r="G64" t="inlineStr">
        <is>
          <t>P0 - 必须处理</t>
        </is>
      </c>
      <c r="H64" t="inlineStr">
        <is>
          <t>🛠️技术</t>
        </is>
      </c>
      <c r="I64">
        <v>2</v>
      </c>
      <c r="J64" t="inlineStr">
        <is>
          <t>或签任务</t>
        </is>
      </c>
      <c r="K64"/>
      <c r="L64" t="inlineStr">
        <is>
          <t>0</t>
        </is>
      </c>
      <c r="M64">
        <v>1</v>
      </c>
      <c r="N64" s="3">
        <v>45893.734618055554</v>
      </c>
      <c r="O64" t="inlineStr">
        <is>
          <t>v0.0.3</t>
        </is>
      </c>
      <c r="P64" t="inlineStr">
        <is>
          <t>龚政涛</t>
        </is>
      </c>
      <c r="Q64" s="3">
        <v>45852.333333333336</v>
      </c>
      <c r="R64" s="3">
        <v>45856.333333333336</v>
      </c>
      <c r="S64" t="inlineStr">
        <is>
          <t>3fb28c99-47ed-4f55-ad47-6fc3f7649b0d</t>
        </is>
      </c>
      <c r="T64"/>
      <c r="U64" t="inlineStr">
        <is>
          <t>89aabd6d-8438-45f7-8ad8-19ba59f316bb</t>
        </is>
      </c>
      <c r="V64"/>
      <c r="W64">
        <v>0</v>
      </c>
      <c r="X64" t="inlineStr">
        <is>
          <t>龚政涛</t>
        </is>
      </c>
      <c r="Y64" t="inlineStr">
        <is>
          <t>龚政涛</t>
        </is>
      </c>
      <c r="Z64" s="3">
        <v>45846.494421296295</v>
      </c>
      <c r="AA64" s="3">
        <v>45893.734618055554</v>
      </c>
      <c r="AB64" s="2" t="str">
        <f>=HYPERLINK("https://applink.feishu.cn/client/todo/task_list?guid=76122b60-faec-4a61-91b0-2d229f32cc2a", "迷宫球")</f>
        <v>迷宫球</v>
      </c>
      <c r="AC64" t="inlineStr">
        <is>
          <t>76122b60-faec-4a61-91b0-2d229f32cc2a</t>
        </is>
      </c>
      <c r="AD64" t="inlineStr">
        <is>
          <t>NzUzMTk3MzcwNDkxNDg0NTY5NzozZmIyOGM5OS00N2VkLTRmNTUtYWQ0Ny02ZmMzZjc2NDliMGQ6YTk4MzUxMTYwOGQzZDMyYTRmMWEyMzg2NjUyYjIzMDM6MQ==</t>
        </is>
      </c>
      <c r="AE64"/>
    </row>
    <row r="65" ht="25.5" customHeight="1">
      <c r="A65" s="2" t="str">
        <f>=HYPERLINK("https://applink.feishu.cn/client/todo/detail?guid=b22d2ad9-759d-4218-b3ab-e7e6d7538d31&amp;suite_entity_num=t101054", "开发本地同屏合作模式的 level manager - 2 &lt; ✨新增: 新增了“多重迷宫”本地同屏合作模式，迷宫将会被拆分成多个预设的部分，由2名玩家分别操作过关。")</f>
        <v>开发本地同屏合作模式的 level manager - 2 &lt; ✨新增: 新增了“多重迷宫”本地同屏合作模式，迷宫将会被拆分成多个预设的部分，由2名玩家分别操作过关。</v>
      </c>
      <c r="B65"/>
      <c r="C65"/>
      <c r="D65" t="inlineStr">
        <is>
          <t>1</t>
        </is>
      </c>
      <c r="E65" t="inlineStr">
        <is>
          <t>已完成</t>
        </is>
      </c>
      <c r="F65">
        <v>8</v>
      </c>
      <c r="G65"/>
      <c r="H65" t="inlineStr">
        <is>
          <t>🛠️技术</t>
        </is>
      </c>
      <c r="I65">
        <v>0</v>
      </c>
      <c r="J65" t="inlineStr">
        <is>
          <t>或签任务</t>
        </is>
      </c>
      <c r="K65"/>
      <c r="L65" t="inlineStr">
        <is>
          <t>0</t>
        </is>
      </c>
      <c r="M65"/>
      <c r="N65" s="3">
        <v>45949.661782407406</v>
      </c>
      <c r="O65" t="inlineStr">
        <is>
          <t>v0.0.4</t>
        </is>
      </c>
      <c r="P65" t="inlineStr">
        <is>
          <t>Decay</t>
        </is>
      </c>
      <c r="Q65" s="3">
        <v>45855.333333333336</v>
      </c>
      <c r="R65" s="3">
        <v>45856.333333333336</v>
      </c>
      <c r="S65" t="inlineStr">
        <is>
          <t>b22d2ad9-759d-4218-b3ab-e7e6d7538d31</t>
        </is>
      </c>
      <c r="T65" t="inlineStr">
        <is>
          <t>70eadbf1-1e75-4cea-a30d-6c29d6b87834</t>
        </is>
      </c>
      <c r="U65"/>
      <c r="V65"/>
      <c r="W65">
        <v>0</v>
      </c>
      <c r="X65" t="inlineStr">
        <is>
          <t>龚政涛,Decay</t>
        </is>
      </c>
      <c r="Y65" t="inlineStr">
        <is>
          <t>龚政涛</t>
        </is>
      </c>
      <c r="Z65" s="3">
        <v>45891.62751157407</v>
      </c>
      <c r="AA65" s="3">
        <v>45949.6621875</v>
      </c>
      <c r="AB65" s="2" t="str">
        <f>=HYPERLINK("https://applink.feishu.cn/client/todo/task_list?guid=76122b60-faec-4a61-91b0-2d229f32cc2a", "迷宫球")</f>
        <v>迷宫球</v>
      </c>
      <c r="AC65" t="inlineStr">
        <is>
          <t>76122b60-faec-4a61-91b0-2d229f32cc2a</t>
        </is>
      </c>
      <c r="AD65" t="inlineStr">
        <is>
          <t>NzUzMTk3MzcwNDkxNDg0NTY5NzpiMjJkMmFkOS03NTlkLTQyMTgtYjNhYi1lN2U2ZDc1MzhkMzE6OWU3ODA1MDk2MDZjYzVkZTI3ZjJiOTg2Yjc3MjJlZmE6MQ==</t>
        </is>
      </c>
      <c r="AE65"/>
    </row>
    <row r="66" ht="25.5" customHeight="1">
      <c r="A66" s="2" t="str">
        <f>=HYPERLINK("https://applink.feishu.cn/client/todo/detail?guid=c4720004-4314-43a1-b132-f02dc7c073e3&amp;suite_entity_num=t101055", "开发本地同屏合作模式的 level manager - 3 &lt; ✨新增: 新增了“多重迷宫”本地同屏合作模式，迷宫将会被拆分成多个预设的部分，由2名玩家分别操作过关。")</f>
        <v>开发本地同屏合作模式的 level manager - 3 &lt; ✨新增: 新增了“多重迷宫”本地同屏合作模式，迷宫将会被拆分成多个预设的部分，由2名玩家分别操作过关。</v>
      </c>
      <c r="B66"/>
      <c r="C66"/>
      <c r="D66" t="inlineStr">
        <is>
          <t>1</t>
        </is>
      </c>
      <c r="E66" t="inlineStr">
        <is>
          <t>已完成</t>
        </is>
      </c>
      <c r="F66">
        <v>8</v>
      </c>
      <c r="G66"/>
      <c r="H66" t="inlineStr">
        <is>
          <t>🛠️技术</t>
        </is>
      </c>
      <c r="I66">
        <v>0</v>
      </c>
      <c r="J66" t="inlineStr">
        <is>
          <t>或签任务</t>
        </is>
      </c>
      <c r="K66"/>
      <c r="L66" t="inlineStr">
        <is>
          <t>0</t>
        </is>
      </c>
      <c r="M66"/>
      <c r="N66" s="3">
        <v>45949.661770833336</v>
      </c>
      <c r="O66" t="inlineStr">
        <is>
          <t>v0.0.4</t>
        </is>
      </c>
      <c r="P66" t="inlineStr">
        <is>
          <t>Decay</t>
        </is>
      </c>
      <c r="Q66" s="3">
        <v>45857.333333333336</v>
      </c>
      <c r="R66" s="3">
        <v>45858.333333333336</v>
      </c>
      <c r="S66" t="inlineStr">
        <is>
          <t>c4720004-4314-43a1-b132-f02dc7c073e3</t>
        </is>
      </c>
      <c r="T66" t="inlineStr">
        <is>
          <t>70eadbf1-1e75-4cea-a30d-6c29d6b87834</t>
        </is>
      </c>
      <c r="U66"/>
      <c r="V66"/>
      <c r="W66">
        <v>0</v>
      </c>
      <c r="X66" t="inlineStr">
        <is>
          <t>龚政涛,Decay</t>
        </is>
      </c>
      <c r="Y66" t="inlineStr">
        <is>
          <t>龚政涛</t>
        </is>
      </c>
      <c r="Z66" s="3">
        <v>45891.62752314815</v>
      </c>
      <c r="AA66" s="3">
        <v>45949.662210648145</v>
      </c>
      <c r="AB66" s="2" t="str">
        <f>=HYPERLINK("https://applink.feishu.cn/client/todo/task_list?guid=76122b60-faec-4a61-91b0-2d229f32cc2a", "迷宫球")</f>
        <v>迷宫球</v>
      </c>
      <c r="AC66" t="inlineStr">
        <is>
          <t>76122b60-faec-4a61-91b0-2d229f32cc2a</t>
        </is>
      </c>
      <c r="AD66" t="inlineStr">
        <is>
          <t>NzUzMTk3MzcwNDkxNDg0NTY5NzpjNDcyMDAwNC00MzE0LTQzYTEtYjEzMi1mMDJkYzdjMDczZTM6YzY0ZjU2NTdlMzRlMjk5MTA0MjdmMTNiNjY4YjQ0MDE6MQ==</t>
        </is>
      </c>
      <c r="AE66"/>
    </row>
    <row r="67" ht="25.5" customHeight="1">
      <c r="A67" s="2" t="str">
        <f>=HYPERLINK("https://applink.feishu.cn/client/todo/detail?guid=d61117c8-3c30-42d3-a3ca-ae0b077e4ba1&amp;suite_entity_num=t101056", "开发本地同屏合作模式的 level manager - 4 &lt; ✨新增: 新增了“多重迷宫”本地同屏合作模式，迷宫将会被拆分成多个预设的部分，由2名玩家分别操作过关。")</f>
        <v>开发本地同屏合作模式的 level manager - 4 &lt; ✨新增: 新增了“多重迷宫”本地同屏合作模式，迷宫将会被拆分成多个预设的部分，由2名玩家分别操作过关。</v>
      </c>
      <c r="B67"/>
      <c r="C67"/>
      <c r="D67" t="inlineStr">
        <is>
          <t>1</t>
        </is>
      </c>
      <c r="E67" t="inlineStr">
        <is>
          <t>已完成</t>
        </is>
      </c>
      <c r="F67">
        <v>8</v>
      </c>
      <c r="G67"/>
      <c r="H67" t="inlineStr">
        <is>
          <t>🛠️技术</t>
        </is>
      </c>
      <c r="I67">
        <v>0</v>
      </c>
      <c r="J67" t="inlineStr">
        <is>
          <t>或签任务</t>
        </is>
      </c>
      <c r="K67"/>
      <c r="L67" t="inlineStr">
        <is>
          <t>0</t>
        </is>
      </c>
      <c r="M67"/>
      <c r="N67" s="3">
        <v>45949.661770833336</v>
      </c>
      <c r="O67" t="inlineStr">
        <is>
          <t>v0.0.4</t>
        </is>
      </c>
      <c r="P67" t="inlineStr">
        <is>
          <t>Decay</t>
        </is>
      </c>
      <c r="Q67" s="3">
        <v>45859.333333333336</v>
      </c>
      <c r="R67" s="3">
        <v>45860.333333333336</v>
      </c>
      <c r="S67" t="inlineStr">
        <is>
          <t>d61117c8-3c30-42d3-a3ca-ae0b077e4ba1</t>
        </is>
      </c>
      <c r="T67" t="inlineStr">
        <is>
          <t>70eadbf1-1e75-4cea-a30d-6c29d6b87834</t>
        </is>
      </c>
      <c r="U67"/>
      <c r="V67"/>
      <c r="W67">
        <v>0</v>
      </c>
      <c r="X67" t="inlineStr">
        <is>
          <t>龚政涛,Decay</t>
        </is>
      </c>
      <c r="Y67" t="inlineStr">
        <is>
          <t>龚政涛</t>
        </is>
      </c>
      <c r="Z67" s="3">
        <v>45891.62752314815</v>
      </c>
      <c r="AA67" s="3">
        <v>45949.66222222222</v>
      </c>
      <c r="AB67" s="2" t="str">
        <f>=HYPERLINK("https://applink.feishu.cn/client/todo/task_list?guid=76122b60-faec-4a61-91b0-2d229f32cc2a", "迷宫球")</f>
        <v>迷宫球</v>
      </c>
      <c r="AC67" t="inlineStr">
        <is>
          <t>76122b60-faec-4a61-91b0-2d229f32cc2a</t>
        </is>
      </c>
      <c r="AD67" t="inlineStr">
        <is>
          <t>NzUzMTk3MzcwNDkxNDg0NTY5NzpkNjExMTdjOC0zYzMwLTQyZDMtYTNjYS1hZTBiMDc3ZTRiYTE6ZjZlNDc1ZDFmNGRiM2MyZGU2Mzg1OTNkZDUyYjg2MjU6MQ==</t>
        </is>
      </c>
      <c r="AE67"/>
    </row>
    <row r="68" ht="25.5" customHeight="1">
      <c r="A68" s="2" t="str">
        <f>=HYPERLINK("https://applink.feishu.cn/client/todo/detail?guid=ffd96698-6c37-4dca-9929-4fb68f13b104&amp;suite_entity_num=t101057", "开发本地同屏合作模式的 level manager - 5 &lt; ✨新增: 新增了“多重迷宫”本地同屏合作模式，迷宫将会被拆分成多个预设的部分，由2名玩家分别操作过关。")</f>
        <v>开发本地同屏合作模式的 level manager - 5 &lt; ✨新增: 新增了“多重迷宫”本地同屏合作模式，迷宫将会被拆分成多个预设的部分，由2名玩家分别操作过关。</v>
      </c>
      <c r="B68"/>
      <c r="C68"/>
      <c r="D68" t="inlineStr">
        <is>
          <t>1</t>
        </is>
      </c>
      <c r="E68" t="inlineStr">
        <is>
          <t>已完成</t>
        </is>
      </c>
      <c r="F68">
        <v>8</v>
      </c>
      <c r="G68"/>
      <c r="H68" t="inlineStr">
        <is>
          <t>🛠️技术</t>
        </is>
      </c>
      <c r="I68">
        <v>0</v>
      </c>
      <c r="J68" t="inlineStr">
        <is>
          <t>或签任务</t>
        </is>
      </c>
      <c r="K68"/>
      <c r="L68" t="inlineStr">
        <is>
          <t>0</t>
        </is>
      </c>
      <c r="M68"/>
      <c r="N68" s="3">
        <v>45949.66175925926</v>
      </c>
      <c r="O68" t="inlineStr">
        <is>
          <t>v0.0.4</t>
        </is>
      </c>
      <c r="P68" t="inlineStr">
        <is>
          <t>Decay</t>
        </is>
      </c>
      <c r="Q68" s="3">
        <v>45861.333333333336</v>
      </c>
      <c r="R68" s="3">
        <v>45862.333333333336</v>
      </c>
      <c r="S68" t="inlineStr">
        <is>
          <t>ffd96698-6c37-4dca-9929-4fb68f13b104</t>
        </is>
      </c>
      <c r="T68" t="inlineStr">
        <is>
          <t>70eadbf1-1e75-4cea-a30d-6c29d6b87834</t>
        </is>
      </c>
      <c r="U68"/>
      <c r="V68"/>
      <c r="W68">
        <v>0</v>
      </c>
      <c r="X68" t="inlineStr">
        <is>
          <t>龚政涛,Decay</t>
        </is>
      </c>
      <c r="Y68" t="inlineStr">
        <is>
          <t>龚政涛</t>
        </is>
      </c>
      <c r="Z68" s="3">
        <v>45891.627546296295</v>
      </c>
      <c r="AA68" s="3">
        <v>45949.6622337963</v>
      </c>
      <c r="AB68" s="2" t="str">
        <f>=HYPERLINK("https://applink.feishu.cn/client/todo/task_list?guid=76122b60-faec-4a61-91b0-2d229f32cc2a", "迷宫球")</f>
        <v>迷宫球</v>
      </c>
      <c r="AC68" t="inlineStr">
        <is>
          <t>76122b60-faec-4a61-91b0-2d229f32cc2a</t>
        </is>
      </c>
      <c r="AD68" t="inlineStr">
        <is>
          <t>NzUzMTk3MzcwNDkxNDg0NTY5NzpmZmQ5NjY5OC02YzM3LTRkY2EtOTkyOS00ZmI2OGYxM2IxMDQ6ZWJhNmQxYTBlMTg3MDEyMWE3ZTM2MjE5NGQwODgyYzU6MQ==</t>
        </is>
      </c>
      <c r="AE68"/>
    </row>
    <row r="69" ht="25.5" customHeight="1">
      <c r="A69" s="2" t="str">
        <f>=HYPERLINK("https://applink.feishu.cn/client/todo/detail?guid=53a80baf-1e3f-4426-a7a2-1d4329a823bf&amp;suite_entity_num=t101058", "开发本地同屏合作模式的 level manager - 6 &lt; ✨新增: 新增了“多重迷宫”本地同屏合作模式，迷宫将会被拆分成多个预设的部分，由2名玩家分别操作过关。")</f>
        <v>开发本地同屏合作模式的 level manager - 6 &lt; ✨新增: 新增了“多重迷宫”本地同屏合作模式，迷宫将会被拆分成多个预设的部分，由2名玩家分别操作过关。</v>
      </c>
      <c r="B69"/>
      <c r="C69"/>
      <c r="D69" t="inlineStr">
        <is>
          <t>1</t>
        </is>
      </c>
      <c r="E69" t="inlineStr">
        <is>
          <t>已完成</t>
        </is>
      </c>
      <c r="F69">
        <v>8</v>
      </c>
      <c r="G69"/>
      <c r="H69" t="inlineStr">
        <is>
          <t>🛠️技术</t>
        </is>
      </c>
      <c r="I69">
        <v>0</v>
      </c>
      <c r="J69" t="inlineStr">
        <is>
          <t>或签任务</t>
        </is>
      </c>
      <c r="K69"/>
      <c r="L69" t="inlineStr">
        <is>
          <t>0</t>
        </is>
      </c>
      <c r="M69"/>
      <c r="N69" s="3">
        <v>45949.66174768518</v>
      </c>
      <c r="O69" t="inlineStr">
        <is>
          <t>v0.0.4</t>
        </is>
      </c>
      <c r="P69" t="inlineStr">
        <is>
          <t>Decay</t>
        </is>
      </c>
      <c r="Q69" s="3">
        <v>45863.333333333336</v>
      </c>
      <c r="R69" s="3">
        <v>45864.333333333336</v>
      </c>
      <c r="S69" t="inlineStr">
        <is>
          <t>53a80baf-1e3f-4426-a7a2-1d4329a823bf</t>
        </is>
      </c>
      <c r="T69" t="inlineStr">
        <is>
          <t>70eadbf1-1e75-4cea-a30d-6c29d6b87834</t>
        </is>
      </c>
      <c r="U69"/>
      <c r="V69"/>
      <c r="W69">
        <v>0</v>
      </c>
      <c r="X69" t="inlineStr">
        <is>
          <t>龚政涛,Decay</t>
        </is>
      </c>
      <c r="Y69" t="inlineStr">
        <is>
          <t>龚政涛</t>
        </is>
      </c>
      <c r="Z69" s="3">
        <v>45891.62756944444</v>
      </c>
      <c r="AA69" s="3">
        <v>45949.66224537037</v>
      </c>
      <c r="AB69" s="2" t="str">
        <f>=HYPERLINK("https://applink.feishu.cn/client/todo/task_list?guid=76122b60-faec-4a61-91b0-2d229f32cc2a", "迷宫球")</f>
        <v>迷宫球</v>
      </c>
      <c r="AC69" t="inlineStr">
        <is>
          <t>76122b60-faec-4a61-91b0-2d229f32cc2a</t>
        </is>
      </c>
      <c r="AD69" t="inlineStr">
        <is>
          <t>NzUzMTk3MzcwNDkxNDg0NTY5Nzo1M2E4MGJhZi0xZTNmLTQ0MjYtYTdhMi0xZDQzMjlhODIzYmY6ZGNmZmFlMWUyZWZiOTA1YzIxYzkyOWU2NzZiODY0YjI6MQ==</t>
        </is>
      </c>
      <c r="AE69"/>
    </row>
    <row r="70" ht="25.5" customHeight="1">
      <c r="A70" s="2" t="str">
        <f>=HYPERLINK("https://applink.feishu.cn/client/todo/detail?guid=15b76f90-0001-420b-8b7e-86f20f5be653&amp;suite_entity_num=t101059", "开发本地同屏合作模式的 level manager - 7 &lt; ✨新增: 新增了“多重迷宫”本地同屏合作模式，迷宫将会被拆分成多个预设的部分，由2名玩家分别操作过关。")</f>
        <v>开发本地同屏合作模式的 level manager - 7 &lt; ✨新增: 新增了“多重迷宫”本地同屏合作模式，迷宫将会被拆分成多个预设的部分，由2名玩家分别操作过关。</v>
      </c>
      <c r="B70"/>
      <c r="C70"/>
      <c r="D70" t="inlineStr">
        <is>
          <t>1</t>
        </is>
      </c>
      <c r="E70" t="inlineStr">
        <is>
          <t>已完成</t>
        </is>
      </c>
      <c r="F70">
        <v>8</v>
      </c>
      <c r="G70"/>
      <c r="H70" t="inlineStr">
        <is>
          <t>🛠️技术</t>
        </is>
      </c>
      <c r="I70">
        <v>0</v>
      </c>
      <c r="J70" t="inlineStr">
        <is>
          <t>或签任务</t>
        </is>
      </c>
      <c r="K70"/>
      <c r="L70" t="inlineStr">
        <is>
          <t>0</t>
        </is>
      </c>
      <c r="M70"/>
      <c r="N70" s="3">
        <v>45949.66174768518</v>
      </c>
      <c r="O70" t="inlineStr">
        <is>
          <t>v0.0.4</t>
        </is>
      </c>
      <c r="P70" t="inlineStr">
        <is>
          <t>Decay</t>
        </is>
      </c>
      <c r="Q70" s="3">
        <v>45865.333333333336</v>
      </c>
      <c r="R70" s="3">
        <v>45866.333333333336</v>
      </c>
      <c r="S70" t="inlineStr">
        <is>
          <t>15b76f90-0001-420b-8b7e-86f20f5be653</t>
        </is>
      </c>
      <c r="T70" t="inlineStr">
        <is>
          <t>70eadbf1-1e75-4cea-a30d-6c29d6b87834</t>
        </is>
      </c>
      <c r="U70"/>
      <c r="V70"/>
      <c r="W70">
        <v>0</v>
      </c>
      <c r="X70" t="inlineStr">
        <is>
          <t>龚政涛,Decay</t>
        </is>
      </c>
      <c r="Y70" t="inlineStr">
        <is>
          <t>龚政涛</t>
        </is>
      </c>
      <c r="Z70" s="3">
        <v>45891.62771990741</v>
      </c>
      <c r="AA70" s="3">
        <v>45949.662256944444</v>
      </c>
      <c r="AB70" s="2" t="str">
        <f>=HYPERLINK("https://applink.feishu.cn/client/todo/task_list?guid=76122b60-faec-4a61-91b0-2d229f32cc2a", "迷宫球")</f>
        <v>迷宫球</v>
      </c>
      <c r="AC70" t="inlineStr">
        <is>
          <t>76122b60-faec-4a61-91b0-2d229f32cc2a</t>
        </is>
      </c>
      <c r="AD70" t="inlineStr">
        <is>
          <t>NzUzMTk3MzcwNDkxNDg0NTY5NzoxNWI3NmY5MC0wMDAxLTQyMGItOGI3ZS04NmYyMGY1YmU2NTM6ODc5YTdhZjJhYTYwMjEyODdkMDNhYjVkMTg2MjQ2NDE6MQ==</t>
        </is>
      </c>
      <c r="AE70"/>
    </row>
    <row r="71" ht="25.5" customHeight="1">
      <c r="A71" s="2" t="str">
        <f>=HYPERLINK("https://applink.feishu.cn/client/todo/detail?guid=ab2e2f9d-6e8f-4b55-a581-1aff12dd244a&amp;suite_entity_num=t101060", "开发本地同屏合作模式的 level manager - 8 &lt; ✨新增: 新增了“多重迷宫”本地同屏合作模式，迷宫将会被拆分成多个预设的部分，由2名玩家分别操作过关。")</f>
        <v>开发本地同屏合作模式的 level manager - 8 &lt; ✨新增: 新增了“多重迷宫”本地同屏合作模式，迷宫将会被拆分成多个预设的部分，由2名玩家分别操作过关。</v>
      </c>
      <c r="B71"/>
      <c r="C71"/>
      <c r="D71" t="inlineStr">
        <is>
          <t>1</t>
        </is>
      </c>
      <c r="E71" t="inlineStr">
        <is>
          <t>已完成</t>
        </is>
      </c>
      <c r="F71">
        <v>8</v>
      </c>
      <c r="G71"/>
      <c r="H71" t="inlineStr">
        <is>
          <t>🛠️技术</t>
        </is>
      </c>
      <c r="I71">
        <v>0</v>
      </c>
      <c r="J71" t="inlineStr">
        <is>
          <t>或签任务</t>
        </is>
      </c>
      <c r="K71"/>
      <c r="L71" t="inlineStr">
        <is>
          <t>0</t>
        </is>
      </c>
      <c r="M71"/>
      <c r="N71" s="3">
        <v>45949.66173611111</v>
      </c>
      <c r="O71" t="inlineStr">
        <is>
          <t>v0.0.4</t>
        </is>
      </c>
      <c r="P71" t="inlineStr">
        <is>
          <t>Decay</t>
        </is>
      </c>
      <c r="Q71" s="3">
        <v>45867.333333333336</v>
      </c>
      <c r="R71" s="3">
        <v>45868.333333333336</v>
      </c>
      <c r="S71" t="inlineStr">
        <is>
          <t>ab2e2f9d-6e8f-4b55-a581-1aff12dd244a</t>
        </is>
      </c>
      <c r="T71" t="inlineStr">
        <is>
          <t>70eadbf1-1e75-4cea-a30d-6c29d6b87834</t>
        </is>
      </c>
      <c r="U71"/>
      <c r="V71"/>
      <c r="W71">
        <v>0</v>
      </c>
      <c r="X71" t="inlineStr">
        <is>
          <t>龚政涛,Decay</t>
        </is>
      </c>
      <c r="Y71" t="inlineStr">
        <is>
          <t>龚政涛</t>
        </is>
      </c>
      <c r="Z71" s="3">
        <v>45891.627754629626</v>
      </c>
      <c r="AA71" s="3">
        <v>45949.66228009259</v>
      </c>
      <c r="AB71" s="2" t="str">
        <f>=HYPERLINK("https://applink.feishu.cn/client/todo/task_list?guid=76122b60-faec-4a61-91b0-2d229f32cc2a", "迷宫球")</f>
        <v>迷宫球</v>
      </c>
      <c r="AC71" t="inlineStr">
        <is>
          <t>76122b60-faec-4a61-91b0-2d229f32cc2a</t>
        </is>
      </c>
      <c r="AD71" t="inlineStr">
        <is>
          <t>NzUzMTk3MzcwNDkxNDg0NTY5NzphYjJlMmY5ZC02ZThmLTRiNTUtYTU4MS0xYWZmMTJkZDI0NGE6NmEzMDk0ZGMxMjU3MzMzOGUwMjJmOGMwNTIxMWFmMDk6MQ==</t>
        </is>
      </c>
      <c r="AE71"/>
    </row>
    <row r="72" ht="25.5" customHeight="1">
      <c r="A72" s="2" t="str">
        <f>=HYPERLINK("https://applink.feishu.cn/client/todo/detail?guid=570889f2-01a8-4b6d-b942-268e24857241&amp;suite_entity_num=t100878", "mac &lt; 打包v0.0.3")</f>
        <v>mac &lt; 打包v0.0.3</v>
      </c>
      <c r="B72" t="inlineStr">
        <is>
          <t>任务关闭，等待下个版本</t>
        </is>
      </c>
      <c r="C72"/>
      <c r="D72" t="inlineStr">
        <is>
          <t>1</t>
        </is>
      </c>
      <c r="E72"/>
      <c r="F72"/>
      <c r="G72"/>
      <c r="H72" t="inlineStr">
        <is>
          <t>✍️故事</t>
        </is>
      </c>
      <c r="I72">
        <v>0</v>
      </c>
      <c r="J72" t="inlineStr">
        <is>
          <t>或签任务</t>
        </is>
      </c>
      <c r="K72"/>
      <c r="L72" t="inlineStr">
        <is>
          <t>0</t>
        </is>
      </c>
      <c r="M72"/>
      <c r="N72" s="3">
        <v>45870.48032407407</v>
      </c>
      <c r="O72"/>
      <c r="P72" t="inlineStr">
        <is>
          <t>龚政涛</t>
        </is>
      </c>
      <c r="Q72" s="3">
        <v>45866.333333333336</v>
      </c>
      <c r="R72" s="3">
        <v>45869.333333333336</v>
      </c>
      <c r="S72" t="inlineStr">
        <is>
          <t>570889f2-01a8-4b6d-b942-268e24857241</t>
        </is>
      </c>
      <c r="T72" t="inlineStr">
        <is>
          <t>3fb28c99-47ed-4f55-ad47-6fc3f7649b0d</t>
        </is>
      </c>
      <c r="U72"/>
      <c r="V72"/>
      <c r="W72">
        <v>0</v>
      </c>
      <c r="X72" t="inlineStr">
        <is>
          <t>龚政涛</t>
        </is>
      </c>
      <c r="Y72" t="inlineStr">
        <is>
          <t>龚政涛</t>
        </is>
      </c>
      <c r="Z72" s="3">
        <v>45846.49450231482</v>
      </c>
      <c r="AA72" s="3">
        <v>45870.48032407407</v>
      </c>
      <c r="AB72" s="2" t="str">
        <f>=HYPERLINK("https://applink.feishu.cn/client/todo/task_list?guid=76122b60-faec-4a61-91b0-2d229f32cc2a", "迷宫球")</f>
        <v>迷宫球</v>
      </c>
      <c r="AC72" t="inlineStr">
        <is>
          <t>76122b60-faec-4a61-91b0-2d229f32cc2a</t>
        </is>
      </c>
      <c r="AD72" t="inlineStr">
        <is>
          <t>NzUzMTk3MzcwNDkxNDg0NTY5Nzo1NzA4ODlmMi0wMWE4LTRiNmQtYjk0Mi0yNjhlMjQ4NTcyNDE6M2QyZWZjNzUyMTM0YzZiNmExNDQ0MjZhNjViMjcyMmE6MQ==</t>
        </is>
      </c>
      <c r="AE72"/>
    </row>
    <row r="73" ht="25.5" customHeight="1">
      <c r="A73" s="2" t="str">
        <f>=HYPERLINK("https://applink.feishu.cn/client/todo/detail?guid=28a56350-7bb1-4307-8eee-39cc8081e724&amp;suite_entity_num=t100923", "矿洞轨道 - 吊篮 &lt; ✨新增: 增加了1个新的主题关卡玩法")</f>
        <v>矿洞轨道 - 吊篮 &lt; ✨新增: 增加了1个新的主题关卡玩法</v>
      </c>
      <c r="B73" t="inlineStr">
        <is>
          <t>Actor蓝图位置
[Image]使用：主要通过Config下的参数进行调整。
[Image]
Rotate Y 、X：绕物体的Y、X轴进行旋转。
Angular Damping：旋转时的阻尼，默认值为0，设置值的话会导致提前停止，倾斜的情况。
Keep Ralative Rotation：是否停止状态要收到整体迷宫的旋转影响，比如施加一个力来和重力一起作用，导致停止时会根据整体迷宫的旋转有倾斜。
Keep Strength：那个力的大小，默认为1，根据情况设置，感觉不能设置太大1~10应该就够了。</t>
        </is>
      </c>
      <c r="C73" t="inlineStr">
        <is>
          <t>默认分组</t>
        </is>
      </c>
      <c r="D73" t="inlineStr">
        <is>
          <t>1</t>
        </is>
      </c>
      <c r="E73" t="inlineStr">
        <is>
          <t>已完成</t>
        </is>
      </c>
      <c r="F73">
        <v>8</v>
      </c>
      <c r="G73"/>
      <c r="H73" t="inlineStr">
        <is>
          <t>🎮玩法</t>
        </is>
      </c>
      <c r="I73">
        <v>0</v>
      </c>
      <c r="J73" t="inlineStr">
        <is>
          <t>或签任务</t>
        </is>
      </c>
      <c r="K73"/>
      <c r="L73" t="inlineStr">
        <is>
          <t>0</t>
        </is>
      </c>
      <c r="M73"/>
      <c r="N73" s="3">
        <v>45873.47100694444</v>
      </c>
      <c r="O73" t="inlineStr">
        <is>
          <t>v0.0.4</t>
        </is>
      </c>
      <c r="P73" t="inlineStr">
        <is>
          <t>周晨锋</t>
        </is>
      </c>
      <c r="Q73" s="3">
        <v>45866.333333333336</v>
      </c>
      <c r="R73" s="3">
        <v>45870.333333333336</v>
      </c>
      <c r="S73" t="inlineStr">
        <is>
          <t>28a56350-7bb1-4307-8eee-39cc8081e724</t>
        </is>
      </c>
      <c r="T73" t="inlineStr">
        <is>
          <t>bc8a7a7e-d7ad-416c-9af2-208a6ed042c7</t>
        </is>
      </c>
      <c r="U73"/>
      <c r="V73" t="inlineStr">
        <is>
          <t>8aacc70b-0a2f-49df-8dd8-21befa61a07c</t>
        </is>
      </c>
      <c r="W73">
        <v>1</v>
      </c>
      <c r="X73" t="inlineStr">
        <is>
          <t>龚政涛,周晨锋</t>
        </is>
      </c>
      <c r="Y73" t="inlineStr">
        <is>
          <t>龚政涛</t>
        </is>
      </c>
      <c r="Z73" s="3">
        <v>45853.67481481482</v>
      </c>
      <c r="AA73" s="3">
        <v>45890.71251157407</v>
      </c>
      <c r="AB73" s="2" t="str">
        <f>=HYPERLINK("https://applink.feishu.cn/client/todo/task_list?guid=76122b60-faec-4a61-91b0-2d229f32cc2a", "迷宫球")</f>
        <v>迷宫球</v>
      </c>
      <c r="AC73" t="inlineStr">
        <is>
          <t>76122b60-faec-4a61-91b0-2d229f32cc2a</t>
        </is>
      </c>
      <c r="AD73" t="inlineStr">
        <is>
          <t>NzUzMTk3MzcwNDkxNDg0NTY5NzoyOGE1NjM1MC03YmIxLTQzMDctOGVlZS0zOWNjODA4MWU3MjQ6M2I5NTMwZjQzYTY4ZjhkY2U3MGJiODQxN2IzZjJhMmM6MQ==</t>
        </is>
      </c>
      <c r="AE73"/>
    </row>
    <row r="74" ht="25.5" customHeight="1">
      <c r="A74" s="2" t="str">
        <f>=HYPERLINK("https://applink.feishu.cn/client/todo/detail?guid=c40cd841-3551-4c0c-ba7c-a49f54fadd1f&amp;suite_entity_num=t101004", "测试voxel自动工具的效果 &lt; ✨新增: 更新了第一个“都市”关卡场景，修改了游戏场景的呈现方式，调整环境为更简单的视觉效果")</f>
        <v>测试voxel自动工具的效果 &lt; ✨新增: 更新了第一个“都市”关卡场景，修改了游戏场景的呈现方式，调整环境为更简单的视觉效果</v>
      </c>
      <c r="B74" t="inlineStr">
        <is>
          <t>voxel 5的转换可用、视觉质量可接受，但是转换出来的static mesh三角面过多（内表面都是）导致根本无法真的使用。同时它自己的data形式的mesh也有性能开销的问题。
用blender的voxel remesh -&gt; blocks remesh能解决多边形数量问题，但贴图可能要看下怎么继承，暂时就不深入研究了要用了再说。
可能最后还是要@乱码老师 手搓模型。</t>
        </is>
      </c>
      <c r="C74" t="inlineStr">
        <is>
          <t>默认分组</t>
        </is>
      </c>
      <c r="D74" t="inlineStr">
        <is>
          <t>1</t>
        </is>
      </c>
      <c r="E74" t="inlineStr">
        <is>
          <t>已完成</t>
        </is>
      </c>
      <c r="F74">
        <v>2</v>
      </c>
      <c r="G74" t="inlineStr">
        <is>
          <t>P1 - 最好处理</t>
        </is>
      </c>
      <c r="H74" t="inlineStr">
        <is>
          <t>✍️故事</t>
        </is>
      </c>
      <c r="I74">
        <v>0</v>
      </c>
      <c r="J74" t="inlineStr">
        <is>
          <t>或签任务</t>
        </is>
      </c>
      <c r="K74"/>
      <c r="L74" t="inlineStr">
        <is>
          <t>0</t>
        </is>
      </c>
      <c r="M74"/>
      <c r="N74" s="3">
        <v>45877.42065972222</v>
      </c>
      <c r="O74" t="inlineStr">
        <is>
          <t>v0.0.4</t>
        </is>
      </c>
      <c r="P74" t="inlineStr">
        <is>
          <t>龚政涛</t>
        </is>
      </c>
      <c r="Q74" s="3">
        <v>45876.333333333336</v>
      </c>
      <c r="R74" s="3">
        <v>45876.333333333336</v>
      </c>
      <c r="S74" t="inlineStr">
        <is>
          <t>c40cd841-3551-4c0c-ba7c-a49f54fadd1f</t>
        </is>
      </c>
      <c r="T74" t="inlineStr">
        <is>
          <t>ce24aa8e-d150-42ba-a954-c2c6d1faa6ab</t>
        </is>
      </c>
      <c r="U74"/>
      <c r="V74"/>
      <c r="W74">
        <v>0</v>
      </c>
      <c r="X74" t="inlineStr">
        <is>
          <t>龚政涛</t>
        </is>
      </c>
      <c r="Y74" t="inlineStr">
        <is>
          <t>龚政涛</t>
        </is>
      </c>
      <c r="Z74" s="3">
        <v>45869.675787037035</v>
      </c>
      <c r="AA74" s="3">
        <v>45890.40918981482</v>
      </c>
      <c r="AB74" s="2" t="str">
        <f>=HYPERLINK("https://applink.feishu.cn/client/todo/task_list?guid=76122b60-faec-4a61-91b0-2d229f32cc2a", "迷宫球")</f>
        <v>迷宫球</v>
      </c>
      <c r="AC74" t="inlineStr">
        <is>
          <t>76122b60-faec-4a61-91b0-2d229f32cc2a</t>
        </is>
      </c>
      <c r="AD74" t="inlineStr">
        <is>
          <t>NzUzMTk3MzcwNDkxNDg0NTY5NzpjNDBjZDg0MS0zNTUxLTRjMGMtYmE3Yy1hNDlmNTRmYWRkMWY6ZmRmMWQ1NjRmOWYyNjIzMTZhZTQ2N2JiNGZmNDI4NmQ6MQ==</t>
        </is>
      </c>
      <c r="AE74"/>
    </row>
    <row r="75" ht="25.5" customHeight="1">
      <c r="A75" s="2" t="str">
        <f>=HYPERLINK("https://applink.feishu.cn/client/todo/detail?guid=64925a26-f0c4-426e-b38e-0a7d5213c088&amp;suite_entity_num=t101005", "寻找天空景色 &lt; ✨新增: 更新了第一个“都市”关卡场景，修改了游戏场景的呈现方式，调整环境为更简单的视觉效果")</f>
        <v>寻找天空景色 &lt; ✨新增: 更新了第一个“都市”关卡场景，修改了游戏场景的呈现方式，调整环境为更简单的视觉效果</v>
      </c>
      <c r="B75" t="inlineStr">
        <is>
          <t>目前选用到stylized sky套件，可以改时间和天气，默认天气也非常有质感，很棒</t>
        </is>
      </c>
      <c r="C75" t="inlineStr">
        <is>
          <t>默认分组</t>
        </is>
      </c>
      <c r="D75" t="inlineStr">
        <is>
          <t>1</t>
        </is>
      </c>
      <c r="E75" t="inlineStr">
        <is>
          <t>已完成</t>
        </is>
      </c>
      <c r="F75">
        <v>2</v>
      </c>
      <c r="G75" t="inlineStr">
        <is>
          <t>P1 - 最好处理</t>
        </is>
      </c>
      <c r="H75" t="inlineStr">
        <is>
          <t>✍️故事</t>
        </is>
      </c>
      <c r="I75">
        <v>0</v>
      </c>
      <c r="J75" t="inlineStr">
        <is>
          <t>或签任务</t>
        </is>
      </c>
      <c r="K75"/>
      <c r="L75" t="inlineStr">
        <is>
          <t>0</t>
        </is>
      </c>
      <c r="M75"/>
      <c r="N75" s="3">
        <v>45876.548796296294</v>
      </c>
      <c r="O75" t="inlineStr">
        <is>
          <t>v0.0.4</t>
        </is>
      </c>
      <c r="P75" t="inlineStr">
        <is>
          <t>龚政涛</t>
        </is>
      </c>
      <c r="Q75" s="3">
        <v>45876.333333333336</v>
      </c>
      <c r="R75" s="3">
        <v>45876.333333333336</v>
      </c>
      <c r="S75" t="inlineStr">
        <is>
          <t>64925a26-f0c4-426e-b38e-0a7d5213c088</t>
        </is>
      </c>
      <c r="T75" t="inlineStr">
        <is>
          <t>ce24aa8e-d150-42ba-a954-c2c6d1faa6ab</t>
        </is>
      </c>
      <c r="U75"/>
      <c r="V75"/>
      <c r="W75">
        <v>0</v>
      </c>
      <c r="X75" t="inlineStr">
        <is>
          <t>龚政涛</t>
        </is>
      </c>
      <c r="Y75" t="inlineStr">
        <is>
          <t>龚政涛</t>
        </is>
      </c>
      <c r="Z75" s="3">
        <v>45869.675833333335</v>
      </c>
      <c r="AA75" s="3">
        <v>45890.40943287037</v>
      </c>
      <c r="AB75" s="2" t="str">
        <f>=HYPERLINK("https://applink.feishu.cn/client/todo/task_list?guid=76122b60-faec-4a61-91b0-2d229f32cc2a", "迷宫球")</f>
        <v>迷宫球</v>
      </c>
      <c r="AC75" t="inlineStr">
        <is>
          <t>76122b60-faec-4a61-91b0-2d229f32cc2a</t>
        </is>
      </c>
      <c r="AD75" t="inlineStr">
        <is>
          <t>NzUzMTk3MzcwNDkxNDg0NTY5Nzo2NDkyNWEyNi1mMGM0LTQyNmUtYjM4ZS0wYTdkNTIxM2MwODg6Yzk1YmQ1NGJmMmFkMjcyOThhMjBhYTE1ZWFiZGQ3ZTk6MQ==</t>
        </is>
      </c>
      <c r="AE75"/>
    </row>
    <row r="76" ht="25.5" customHeight="1">
      <c r="A76" s="2" t="str">
        <f>=HYPERLINK("https://applink.feishu.cn/client/todo/detail?guid=adf7977c-2c6f-4440-b3ad-4814784f7679&amp;suite_entity_num=t100967", "矿洞功能 - 闸门 &lt; ✨新增: 增加了1个新的主题关卡玩法")</f>
        <v>矿洞功能 - 闸门 &lt; ✨新增: 增加了1个新的主题关卡玩法</v>
      </c>
      <c r="B76"/>
      <c r="C76" t="inlineStr">
        <is>
          <t>默认分组</t>
        </is>
      </c>
      <c r="D76" t="inlineStr">
        <is>
          <t>1</t>
        </is>
      </c>
      <c r="E76" t="inlineStr">
        <is>
          <t>已完成</t>
        </is>
      </c>
      <c r="F76">
        <v>8</v>
      </c>
      <c r="G76"/>
      <c r="H76" t="inlineStr">
        <is>
          <t>🎮玩法</t>
        </is>
      </c>
      <c r="I76">
        <v>0</v>
      </c>
      <c r="J76" t="inlineStr">
        <is>
          <t>或签任务</t>
        </is>
      </c>
      <c r="K76"/>
      <c r="L76" t="inlineStr">
        <is>
          <t>0</t>
        </is>
      </c>
      <c r="M76"/>
      <c r="N76" s="3">
        <v>45884.42400462963</v>
      </c>
      <c r="O76" t="inlineStr">
        <is>
          <t>v0.0.4</t>
        </is>
      </c>
      <c r="P76" t="inlineStr">
        <is>
          <t>周晨锋</t>
        </is>
      </c>
      <c r="Q76" s="3">
        <v>45877.333333333336</v>
      </c>
      <c r="R76" s="3">
        <v>45880.333333333336</v>
      </c>
      <c r="S76" t="inlineStr">
        <is>
          <t>adf7977c-2c6f-4440-b3ad-4814784f7679</t>
        </is>
      </c>
      <c r="T76" t="inlineStr">
        <is>
          <t>bc8a7a7e-d7ad-416c-9af2-208a6ed042c7</t>
        </is>
      </c>
      <c r="U76"/>
      <c r="V76" t="inlineStr">
        <is>
          <t>e0dd27d9-adb7-49d3-8be6-df4a74a61d62</t>
        </is>
      </c>
      <c r="W76">
        <v>0</v>
      </c>
      <c r="X76" t="inlineStr">
        <is>
          <t>龚政涛,周晨锋</t>
        </is>
      </c>
      <c r="Y76" t="inlineStr">
        <is>
          <t>龚政涛</t>
        </is>
      </c>
      <c r="Z76" s="3">
        <v>45866.467824074076</v>
      </c>
      <c r="AA76" s="3">
        <v>45893.67866898148</v>
      </c>
      <c r="AB76" s="2" t="str">
        <f>=HYPERLINK("https://applink.feishu.cn/client/todo/task_list?guid=76122b60-faec-4a61-91b0-2d229f32cc2a", "迷宫球")</f>
        <v>迷宫球</v>
      </c>
      <c r="AC76" t="inlineStr">
        <is>
          <t>76122b60-faec-4a61-91b0-2d229f32cc2a</t>
        </is>
      </c>
      <c r="AD76" t="inlineStr">
        <is>
          <t>NzUzMTk3MzcwNDkxNDg0NTY5NzphZGY3OTc3Yy0yYzZmLTQ0NDAtYjNhZC00ODE0Nzg0Zjc2Nzk6MDc2YTI0ODEzNzY1OTkyY2ZlODE5ZDYwNzRmOGVkYmQ6MQ==</t>
        </is>
      </c>
      <c r="AE76"/>
    </row>
    <row r="77" ht="25.5" customHeight="1">
      <c r="A77" s="2" t="str">
        <f>=HYPERLINK("https://applink.feishu.cn/client/todo/detail?guid=73ac53d6-95e1-404d-a7c7-af980c837976&amp;suite_entity_num=t100875", "提供必须的“城市”场景体素模型 &lt; ✨新增: 更新了第一个“都市”关卡场景，修改了游戏场景的呈现方式，调整环境为更简单的视觉效果")</f>
        <v>提供必须的“城市”场景体素模型 &lt; ✨新增: 更新了第一个“都市”关卡场景，修改了游戏场景的呈现方式，调整环境为更简单的视觉效果</v>
      </c>
      <c r="B77" t="inlineStr">
        <is>
          <t>风格ok，环境上还要看下是不是增加雾气之类的，整体光影现在其实有点诡异不知道为啥，一点都不“温暖”。</t>
        </is>
      </c>
      <c r="C77" t="inlineStr">
        <is>
          <t>默认分组</t>
        </is>
      </c>
      <c r="D77" t="inlineStr">
        <is>
          <t>1</t>
        </is>
      </c>
      <c r="E77" t="inlineStr">
        <is>
          <t>已完成</t>
        </is>
      </c>
      <c r="F77">
        <v>8</v>
      </c>
      <c r="G77" t="inlineStr">
        <is>
          <t>P0 - 必须处理</t>
        </is>
      </c>
      <c r="H77" t="inlineStr">
        <is>
          <t>✍️故事</t>
        </is>
      </c>
      <c r="I77">
        <v>0</v>
      </c>
      <c r="J77" t="inlineStr">
        <is>
          <t>或签任务</t>
        </is>
      </c>
      <c r="K77"/>
      <c r="L77" t="inlineStr">
        <is>
          <t>0</t>
        </is>
      </c>
      <c r="M77"/>
      <c r="N77" s="3">
        <v>45884.4234375</v>
      </c>
      <c r="O77" t="inlineStr">
        <is>
          <t>v0.0.4</t>
        </is>
      </c>
      <c r="P77" t="inlineStr">
        <is>
          <t>S1UyuAy7E</t>
        </is>
      </c>
      <c r="Q77" s="3">
        <v>45856.333333333336</v>
      </c>
      <c r="R77" s="3">
        <v>45881.333333333336</v>
      </c>
      <c r="S77" t="inlineStr">
        <is>
          <t>73ac53d6-95e1-404d-a7c7-af980c837976</t>
        </is>
      </c>
      <c r="T77" t="inlineStr">
        <is>
          <t>ce24aa8e-d150-42ba-a954-c2c6d1faa6ab</t>
        </is>
      </c>
      <c r="U77" t="inlineStr">
        <is>
          <t>4ea61c14-4092-4925-8e07-a610a86ac4a5</t>
        </is>
      </c>
      <c r="V77" t="inlineStr">
        <is>
          <t>c31ee6e4-5d3f-445e-be69-691e63d0dbf0</t>
        </is>
      </c>
      <c r="W77">
        <v>0</v>
      </c>
      <c r="X77" t="inlineStr">
        <is>
          <t>龚政涛,S1UyuAy7E</t>
        </is>
      </c>
      <c r="Y77" t="inlineStr">
        <is>
          <t>龚政涛</t>
        </is>
      </c>
      <c r="Z77" s="3">
        <v>45846.49040509259</v>
      </c>
      <c r="AA77" s="3">
        <v>45890.40902777778</v>
      </c>
      <c r="AB77" s="2" t="str">
        <f>=HYPERLINK("https://applink.feishu.cn/client/todo/task_list?guid=76122b60-faec-4a61-91b0-2d229f32cc2a", "迷宫球")</f>
        <v>迷宫球</v>
      </c>
      <c r="AC77" t="inlineStr">
        <is>
          <t>76122b60-faec-4a61-91b0-2d229f32cc2a</t>
        </is>
      </c>
      <c r="AD77" t="inlineStr">
        <is>
          <t>NzUzMTk3MzcwNDkxNDg0NTY5Nzo3M2FjNTNkNi05NWUxLTQwNGQtYTdjNy1hZjk4MGM4Mzc5NzY6YWFlYmI5ZjhlNDdlOWM3N2EyYTY3NjRkMTkyYTcyMGY6MQ==</t>
        </is>
      </c>
      <c r="AE77"/>
    </row>
    <row r="78" ht="25.5" customHeight="1">
      <c r="A78" s="2" t="str">
        <f>=HYPERLINK("https://applink.feishu.cn/client/todo/detail?guid=308aa9b3-8d78-465e-9357-528d566737d1&amp;suite_entity_num=t100984", "寻找地图编辑器插件 &lt; ✨新增: 增加了迷宫的简单编辑功能")</f>
        <v>寻找地图编辑器插件 &lt; ✨新增: 增加了迷宫的简单编辑功能</v>
      </c>
      <c r="B78"/>
      <c r="C78" t="inlineStr">
        <is>
          <t>默认分组</t>
        </is>
      </c>
      <c r="D78" t="inlineStr">
        <is>
          <t>1</t>
        </is>
      </c>
      <c r="E78" t="inlineStr">
        <is>
          <t>已完成</t>
        </is>
      </c>
      <c r="F78">
        <v>2</v>
      </c>
      <c r="G78"/>
      <c r="H78" t="inlineStr">
        <is>
          <t>🛠️技术</t>
        </is>
      </c>
      <c r="I78">
        <v>0</v>
      </c>
      <c r="J78" t="inlineStr">
        <is>
          <t>或签任务</t>
        </is>
      </c>
      <c r="K78"/>
      <c r="L78" t="inlineStr">
        <is>
          <t>0</t>
        </is>
      </c>
      <c r="M78"/>
      <c r="N78" s="3">
        <v>45884.43415509259</v>
      </c>
      <c r="O78" t="inlineStr">
        <is>
          <t>v0.0.4</t>
        </is>
      </c>
      <c r="P78" t="inlineStr">
        <is>
          <t>龚政涛</t>
        </is>
      </c>
      <c r="Q78" s="3">
        <v>45882.333333333336</v>
      </c>
      <c r="R78" s="3">
        <v>45882.333333333336</v>
      </c>
      <c r="S78" t="inlineStr">
        <is>
          <t>308aa9b3-8d78-465e-9357-528d566737d1</t>
        </is>
      </c>
      <c r="T78" t="inlineStr">
        <is>
          <t>f270c970-c429-4a73-8318-1db92b524bc0</t>
        </is>
      </c>
      <c r="U78"/>
      <c r="V78" t="inlineStr">
        <is>
          <t>2c3f56b7-3f2f-422a-83c1-08e193c9b27c</t>
        </is>
      </c>
      <c r="W78">
        <v>1</v>
      </c>
      <c r="X78" t="inlineStr">
        <is>
          <t>龚政涛</t>
        </is>
      </c>
      <c r="Y78" t="inlineStr">
        <is>
          <t>龚政涛</t>
        </is>
      </c>
      <c r="Z78" s="3">
        <v>45866.51994212963</v>
      </c>
      <c r="AA78" s="3">
        <v>45890.714004629626</v>
      </c>
      <c r="AB78" s="2" t="str">
        <f>=HYPERLINK("https://applink.feishu.cn/client/todo/task_list?guid=76122b60-faec-4a61-91b0-2d229f32cc2a", "迷宫球")</f>
        <v>迷宫球</v>
      </c>
      <c r="AC78" t="inlineStr">
        <is>
          <t>76122b60-faec-4a61-91b0-2d229f32cc2a</t>
        </is>
      </c>
      <c r="AD78" t="inlineStr">
        <is>
          <t>NzUzMTk3MzcwNDkxNDg0NTY5NzozMDhhYTliMy04ZDc4LTQ2NWUtOTM1Ny01MjhkNTY2NzM3ZDE6ZmE2YjIxYjVkZGIwNjI3YTYwOTI2ZWM0M2M0ZGFiMjU6MQ==</t>
        </is>
      </c>
      <c r="AE78"/>
    </row>
    <row r="79" ht="25.5" customHeight="1">
      <c r="A79" s="2" t="str">
        <f>=HYPERLINK("https://applink.feishu.cn/client/todo/detail?guid=9878d709-d6c9-49ec-b2b9-34f9dca189b9&amp;suite_entity_num=t101052", "制作矿车轨道 &lt; 矿洞轨道 - 矿车")</f>
        <v>制作矿车轨道 &lt; 矿洞轨道 - 矿车</v>
      </c>
      <c r="B79" t="inlineStr">
        <is>
          <t>一，相关蓝图位置
[Image]主要操作的就只有TramTrack，用于摆放矿车轨道。
二，轨道配置
组ID：每段轨道需要一个自己的分组ID
组内下标Index：每段轨道内部，每一节需要有个连接顺序。
[Image]三，如何生成矿车轨道
目前是写了个编辑器工具去统一管理。
[Image]
[Image]
四，待定
1，运行时会自动在第一节轨道处生成矿车。
2，现在小球还没有和矿车设置具体交互行为啥的，很多东西还不确定。</t>
        </is>
      </c>
      <c r="C79"/>
      <c r="D79" t="inlineStr">
        <is>
          <t>1</t>
        </is>
      </c>
      <c r="E79" t="inlineStr">
        <is>
          <t>已完成</t>
        </is>
      </c>
      <c r="F79">
        <v>8</v>
      </c>
      <c r="G79"/>
      <c r="H79" t="inlineStr">
        <is>
          <t>🎮玩法</t>
        </is>
      </c>
      <c r="I79">
        <v>0</v>
      </c>
      <c r="J79" t="inlineStr">
        <is>
          <t>或签任务</t>
        </is>
      </c>
      <c r="K79"/>
      <c r="L79" t="inlineStr">
        <is>
          <t>0</t>
        </is>
      </c>
      <c r="M79"/>
      <c r="N79" s="3">
        <v>45894.642905092594</v>
      </c>
      <c r="O79" t="inlineStr">
        <is>
          <t>v0.0.4</t>
        </is>
      </c>
      <c r="P79" t="inlineStr">
        <is>
          <t>周晨锋</t>
        </is>
      </c>
      <c r="Q79" s="3">
        <v>45881.333333333336</v>
      </c>
      <c r="R79" s="3">
        <v>45884.333333333336</v>
      </c>
      <c r="S79" t="inlineStr">
        <is>
          <t>9878d709-d6c9-49ec-b2b9-34f9dca189b9</t>
        </is>
      </c>
      <c r="T79" t="inlineStr">
        <is>
          <t>e0dd27d9-adb7-49d3-8be6-df4a74a61d62</t>
        </is>
      </c>
      <c r="U79"/>
      <c r="V79"/>
      <c r="W79">
        <v>0</v>
      </c>
      <c r="X79" t="inlineStr">
        <is>
          <t>龚政涛,周晨锋</t>
        </is>
      </c>
      <c r="Y79" t="inlineStr">
        <is>
          <t>龚政涛</t>
        </is>
      </c>
      <c r="Z79" s="3">
        <v>45890.71540509259</v>
      </c>
      <c r="AA79" s="3">
        <v>45894.73270833334</v>
      </c>
      <c r="AB79" s="2" t="str">
        <f>=HYPERLINK("https://applink.feishu.cn/client/todo/task_list?guid=76122b60-faec-4a61-91b0-2d229f32cc2a", "迷宫球")</f>
        <v>迷宫球</v>
      </c>
      <c r="AC79" t="inlineStr">
        <is>
          <t>76122b60-faec-4a61-91b0-2d229f32cc2a</t>
        </is>
      </c>
      <c r="AD79" t="inlineStr">
        <is>
          <t>NzUzMTk3MzcwNDkxNDg0NTY5Nzo5ODc4ZDcwOS1kNmM5LTQ5ZWMtYjJiOS0zNGY5ZGNhMTg5Yjk6MzY1OTYxMmZlYzFlMTNiNWQ3MzgyMGUxYjgzMDNhY2U6MQ==</t>
        </is>
      </c>
      <c r="AE79"/>
    </row>
    <row r="80" ht="25.5" customHeight="1">
      <c r="A80" s="2" t="str">
        <f>=HYPERLINK("https://applink.feishu.cn/client/todo/detail?guid=ac83d108-0a15-49cd-985e-79ad8518d3a3&amp;suite_entity_num=t101043", "新的栏杆轨道侧边 &lt; 提供简化的轨道边缘")</f>
        <v>新的栏杆轨道侧边 &lt; 提供简化的轨道边缘</v>
      </c>
      <c r="B80" t="inlineStr">
        <is>
          <t>[Image][Image][Image]</t>
        </is>
      </c>
      <c r="C80" t="inlineStr">
        <is>
          <t>默认分组</t>
        </is>
      </c>
      <c r="D80" t="inlineStr">
        <is>
          <t>1</t>
        </is>
      </c>
      <c r="E80" t="inlineStr">
        <is>
          <t>已完成</t>
        </is>
      </c>
      <c r="F80">
        <v>4</v>
      </c>
      <c r="G80" t="inlineStr">
        <is>
          <t>P0 - 必须处理</t>
        </is>
      </c>
      <c r="H80" t="inlineStr">
        <is>
          <t>✍️故事</t>
        </is>
      </c>
      <c r="I80">
        <v>0</v>
      </c>
      <c r="J80" t="inlineStr">
        <is>
          <t>或签任务</t>
        </is>
      </c>
      <c r="K80"/>
      <c r="L80" t="inlineStr">
        <is>
          <t>0</t>
        </is>
      </c>
      <c r="M80"/>
      <c r="N80" s="3">
        <v>45890.4059837963</v>
      </c>
      <c r="O80" t="inlineStr">
        <is>
          <t>v0.0.4</t>
        </is>
      </c>
      <c r="P80" t="inlineStr">
        <is>
          <t>S1UyuAy7E</t>
        </is>
      </c>
      <c r="Q80" s="3">
        <v>45889.333333333336</v>
      </c>
      <c r="R80" s="3">
        <v>45889.333333333336</v>
      </c>
      <c r="S80" t="inlineStr">
        <is>
          <t>ac83d108-0a15-49cd-985e-79ad8518d3a3</t>
        </is>
      </c>
      <c r="T80" t="inlineStr">
        <is>
          <t>c31ee6e4-5d3f-445e-be69-691e63d0dbf0</t>
        </is>
      </c>
      <c r="U80"/>
      <c r="V80"/>
      <c r="W80">
        <v>0</v>
      </c>
      <c r="X80" t="inlineStr">
        <is>
          <t>龚政涛,S1UyuAy7E</t>
        </is>
      </c>
      <c r="Y80" t="inlineStr">
        <is>
          <t>龚政涛</t>
        </is>
      </c>
      <c r="Z80" s="3">
        <v>45889.71780092592</v>
      </c>
      <c r="AA80" s="3">
        <v>45890.4059837963</v>
      </c>
      <c r="AB80" s="2" t="str">
        <f>=HYPERLINK("https://applink.feishu.cn/client/todo/task_list?guid=76122b60-faec-4a61-91b0-2d229f32cc2a", "迷宫球")</f>
        <v>迷宫球</v>
      </c>
      <c r="AC80" t="inlineStr">
        <is>
          <t>76122b60-faec-4a61-91b0-2d229f32cc2a</t>
        </is>
      </c>
      <c r="AD80" t="inlineStr">
        <is>
          <t>NzUzMTk3MzcwNDkxNDg0NTY5NzphYzgzZDEwOC0wYTE1LTQ5Y2QtOTg1ZS03OWFkODUxOGQzYTM6NDM1ZTdkNmFlYjUyY2NlYjBmMGY3ZjZiYTE2MGRiNzg6MQ==</t>
        </is>
      </c>
      <c r="AE80"/>
    </row>
    <row r="81" ht="25.5" customHeight="1">
      <c r="A81" s="2" t="str">
        <f>=HYPERLINK("https://applink.feishu.cn/client/todo/detail?guid=b75b2035-56b3-42b8-8340-e0ea198026e3&amp;suite_entity_num=t101045", "修复吞输入指令的问题 &lt; 更新UI系统为Common UI")</f>
        <v>修复吞输入指令的问题 &lt; 更新UI系统为Common UI</v>
      </c>
      <c r="B81" t="inlineStr">
        <is>
          <t>8/20未完成，8/21继续</t>
        </is>
      </c>
      <c r="C81" t="inlineStr">
        <is>
          <t>默认分组</t>
        </is>
      </c>
      <c r="D81" t="inlineStr">
        <is>
          <t>1</t>
        </is>
      </c>
      <c r="E81" t="inlineStr">
        <is>
          <t>已完成</t>
        </is>
      </c>
      <c r="F81">
        <v>4</v>
      </c>
      <c r="G81" t="inlineStr">
        <is>
          <t>P0 - 必须处理</t>
        </is>
      </c>
      <c r="H81" t="inlineStr">
        <is>
          <t>🛠️技术</t>
        </is>
      </c>
      <c r="I81">
        <v>0</v>
      </c>
      <c r="J81" t="inlineStr">
        <is>
          <t>或签任务</t>
        </is>
      </c>
      <c r="K81"/>
      <c r="L81" t="inlineStr">
        <is>
          <t>0</t>
        </is>
      </c>
      <c r="M81"/>
      <c r="N81" s="3">
        <v>45891.6162962963</v>
      </c>
      <c r="O81" t="inlineStr">
        <is>
          <t>v0.0.4</t>
        </is>
      </c>
      <c r="P81" t="inlineStr">
        <is>
          <t>周晨锋</t>
        </is>
      </c>
      <c r="Q81" s="3">
        <v>45889.333333333336</v>
      </c>
      <c r="R81" s="3">
        <v>45890.333333333336</v>
      </c>
      <c r="S81" t="inlineStr">
        <is>
          <t>b75b2035-56b3-42b8-8340-e0ea198026e3</t>
        </is>
      </c>
      <c r="T81" t="inlineStr">
        <is>
          <t>8aacc70b-0a2f-49df-8dd8-21befa61a07c</t>
        </is>
      </c>
      <c r="U81"/>
      <c r="V81"/>
      <c r="W81">
        <v>0</v>
      </c>
      <c r="X81" t="inlineStr">
        <is>
          <t>周晨锋,龚政涛</t>
        </is>
      </c>
      <c r="Y81" t="inlineStr">
        <is>
          <t>龚政涛</t>
        </is>
      </c>
      <c r="Z81" s="3">
        <v>45889.745833333334</v>
      </c>
      <c r="AA81" s="3">
        <v>45891.6162962963</v>
      </c>
      <c r="AB81" s="2" t="str">
        <f>=HYPERLINK("https://applink.feishu.cn/client/todo/task_list?guid=76122b60-faec-4a61-91b0-2d229f32cc2a", "迷宫球")</f>
        <v>迷宫球</v>
      </c>
      <c r="AC81" t="inlineStr">
        <is>
          <t>76122b60-faec-4a61-91b0-2d229f32cc2a</t>
        </is>
      </c>
      <c r="AD81" t="inlineStr">
        <is>
          <t>NzUzMTk3MzcwNDkxNDg0NTY5NzpiNzViMjAzNS01NmIzLTQyYjgtODM0MC1lMGVhMTk4MDI2ZTM6MGQyMmQxN2FmNDE0ZWRkYTVmNjQxMzNlNjRhMDlhMmM6MQ==</t>
        </is>
      </c>
      <c r="AE81"/>
    </row>
    <row r="82" ht="25.5" customHeight="1">
      <c r="A82" s="2" t="str">
        <f>=HYPERLINK("https://applink.feishu.cn/client/todo/detail?guid=165c6aa0-d85b-4462-b87a-d6154afa8f95&amp;suite_entity_num=t101046", "测试新的栏杆轨道侧边 &lt; 提供简化的轨道边缘")</f>
        <v>测试新的栏杆轨道侧边 &lt; 提供简化的轨道边缘</v>
      </c>
      <c r="B82" t="inlineStr">
        <is>
          <t>- 视觉上比之前的更好了～！
- 有超过1（也许2）个类型的栅栏出现在一个迷宫里看起来还是有点乱？
- 栅栏感觉整体还是有些不饱满，我觉得我们可以往1个更饱满的主体结合一个栅栏的方向走？如果是矿山的话可以是岩壁结合木栅栏</t>
        </is>
      </c>
      <c r="C82" t="inlineStr">
        <is>
          <t>默认分组</t>
        </is>
      </c>
      <c r="D82" t="inlineStr">
        <is>
          <t>1</t>
        </is>
      </c>
      <c r="E82" t="inlineStr">
        <is>
          <t>已完成</t>
        </is>
      </c>
      <c r="F82">
        <v>2</v>
      </c>
      <c r="G82" t="inlineStr">
        <is>
          <t>P0 - 必须处理</t>
        </is>
      </c>
      <c r="H82" t="inlineStr">
        <is>
          <t>✍️故事</t>
        </is>
      </c>
      <c r="I82">
        <v>0</v>
      </c>
      <c r="J82" t="inlineStr">
        <is>
          <t>或签任务</t>
        </is>
      </c>
      <c r="K82"/>
      <c r="L82" t="inlineStr">
        <is>
          <t>0</t>
        </is>
      </c>
      <c r="M82"/>
      <c r="N82" s="3">
        <v>45891.4078125</v>
      </c>
      <c r="O82" t="inlineStr">
        <is>
          <t>v0.0.4</t>
        </is>
      </c>
      <c r="P82" t="inlineStr">
        <is>
          <t>龚政涛</t>
        </is>
      </c>
      <c r="Q82" s="3">
        <v>45890.333333333336</v>
      </c>
      <c r="R82" s="3">
        <v>45890.333333333336</v>
      </c>
      <c r="S82" t="inlineStr">
        <is>
          <t>165c6aa0-d85b-4462-b87a-d6154afa8f95</t>
        </is>
      </c>
      <c r="T82" t="inlineStr">
        <is>
          <t>c31ee6e4-5d3f-445e-be69-691e63d0dbf0</t>
        </is>
      </c>
      <c r="U82"/>
      <c r="V82"/>
      <c r="W82">
        <v>0</v>
      </c>
      <c r="X82" t="inlineStr">
        <is>
          <t>龚政涛</t>
        </is>
      </c>
      <c r="Y82" t="inlineStr">
        <is>
          <t>龚政涛</t>
        </is>
      </c>
      <c r="Z82" s="3">
        <v>45890.40550925926</v>
      </c>
      <c r="AA82" s="3">
        <v>45891.407800925925</v>
      </c>
      <c r="AB82" s="2" t="str">
        <f>=HYPERLINK("https://applink.feishu.cn/client/todo/task_list?guid=76122b60-faec-4a61-91b0-2d229f32cc2a", "迷宫球")</f>
        <v>迷宫球</v>
      </c>
      <c r="AC82" t="inlineStr">
        <is>
          <t>76122b60-faec-4a61-91b0-2d229f32cc2a</t>
        </is>
      </c>
      <c r="AD82" t="inlineStr">
        <is>
          <t>NzUzMTk3MzcwNDkxNDg0NTY5NzoxNjVjNmFhMC1kODViLTQ0NjItYjg3YS1kNjE1NGFmYThmOTU6NTdlNzgwYzU4NDVjMTNjODI1YjRkOTBmYjliY2Y0ZDY6MQ==</t>
        </is>
      </c>
      <c r="AE82"/>
    </row>
    <row r="83" ht="25.5" customHeight="1">
      <c r="A83" s="2" t="str">
        <f>=HYPERLINK("https://applink.feishu.cn/client/todo/detail?guid=7eeffeb4-1949-44ac-93ec-5dd569fff09a&amp;suite_entity_num=t100968", "矿洞功能 - 翻板门 &lt; ✨新增: 增加了1个新的主题关卡玩法")</f>
        <v>矿洞功能 - 翻板门 &lt; ✨新增: 增加了1个新的主题关卡玩法</v>
      </c>
      <c r="B83"/>
      <c r="C83" t="inlineStr">
        <is>
          <t>默认分组</t>
        </is>
      </c>
      <c r="D83" t="inlineStr">
        <is>
          <t>1</t>
        </is>
      </c>
      <c r="E83" t="inlineStr">
        <is>
          <t>已完成</t>
        </is>
      </c>
      <c r="F83">
        <v>4</v>
      </c>
      <c r="G83" t="inlineStr">
        <is>
          <t>P0 - 必须处理</t>
        </is>
      </c>
      <c r="H83" t="inlineStr">
        <is>
          <t>🎮玩法</t>
        </is>
      </c>
      <c r="I83">
        <v>0</v>
      </c>
      <c r="J83" t="inlineStr">
        <is>
          <t>或签任务</t>
        </is>
      </c>
      <c r="K83"/>
      <c r="L83" t="inlineStr">
        <is>
          <t>0</t>
        </is>
      </c>
      <c r="M83"/>
      <c r="N83" s="3">
        <v>45893.687789351854</v>
      </c>
      <c r="O83" t="inlineStr">
        <is>
          <t>v0.0.4</t>
        </is>
      </c>
      <c r="P83" t="inlineStr">
        <is>
          <t>周晨锋</t>
        </is>
      </c>
      <c r="Q83" s="3">
        <v>45890.333333333336</v>
      </c>
      <c r="R83" s="3">
        <v>45891.333333333336</v>
      </c>
      <c r="S83" t="inlineStr">
        <is>
          <t>7eeffeb4-1949-44ac-93ec-5dd569fff09a</t>
        </is>
      </c>
      <c r="T83" t="inlineStr">
        <is>
          <t>bc8a7a7e-d7ad-416c-9af2-208a6ed042c7</t>
        </is>
      </c>
      <c r="U83"/>
      <c r="V83"/>
      <c r="W83">
        <v>1</v>
      </c>
      <c r="X83" t="inlineStr">
        <is>
          <t>龚政涛,周晨锋</t>
        </is>
      </c>
      <c r="Y83" t="inlineStr">
        <is>
          <t>龚政涛</t>
        </is>
      </c>
      <c r="Z83" s="3">
        <v>45866.468136574076</v>
      </c>
      <c r="AA83" s="3">
        <v>45893.68780092592</v>
      </c>
      <c r="AB83" s="2" t="str">
        <f>=HYPERLINK("https://applink.feishu.cn/client/todo/task_list?guid=76122b60-faec-4a61-91b0-2d229f32cc2a", "迷宫球")</f>
        <v>迷宫球</v>
      </c>
      <c r="AC83" t="inlineStr">
        <is>
          <t>76122b60-faec-4a61-91b0-2d229f32cc2a</t>
        </is>
      </c>
      <c r="AD83" t="inlineStr">
        <is>
          <t>NzUzMTk3MzcwNDkxNDg0NTY5Nzo3ZWVmZmViNC0xOTQ5LTQ0YWMtOTNlYy01ZGQ1NjlmZmYwOWE6YWRmMzMxN2I4MTc2YWZjYjk4NjRhYTRiMWRkOGJkZjI6MQ==</t>
        </is>
      </c>
      <c r="AE83"/>
    </row>
    <row r="84" ht="25.5" customHeight="1">
      <c r="A84" s="2" t="str">
        <f>=HYPERLINK("https://applink.feishu.cn/client/todo/detail?guid=4c19d58f-ed59-4da5-a8c7-b11f3b6c0e34&amp;suite_entity_num=t100969", "矿洞轨道 - 旋转电梯 &lt; ✨新增: 增加了1个新的主题关卡玩法")</f>
        <v>矿洞轨道 - 旋转电梯 &lt; ✨新增: 增加了1个新的主题关卡玩法</v>
      </c>
      <c r="B84"/>
      <c r="C84" t="inlineStr">
        <is>
          <t>默认分组</t>
        </is>
      </c>
      <c r="D84" t="inlineStr">
        <is>
          <t>1</t>
        </is>
      </c>
      <c r="E84" t="inlineStr">
        <is>
          <t>进行中</t>
        </is>
      </c>
      <c r="F84">
        <v>2</v>
      </c>
      <c r="G84" t="inlineStr">
        <is>
          <t>P0 - 必须处理</t>
        </is>
      </c>
      <c r="H84" t="inlineStr">
        <is>
          <t>🎮玩法</t>
        </is>
      </c>
      <c r="I84">
        <v>0</v>
      </c>
      <c r="J84" t="inlineStr">
        <is>
          <t>或签任务</t>
        </is>
      </c>
      <c r="K84"/>
      <c r="L84" t="inlineStr">
        <is>
          <t>0</t>
        </is>
      </c>
      <c r="M84"/>
      <c r="N84" s="3">
        <v>45894.481261574074</v>
      </c>
      <c r="O84" t="inlineStr">
        <is>
          <t>v0.0.4</t>
        </is>
      </c>
      <c r="P84" t="inlineStr">
        <is>
          <t>周晨锋</t>
        </is>
      </c>
      <c r="Q84" s="3">
        <v>45890.333333333336</v>
      </c>
      <c r="R84" s="3">
        <v>45891.333333333336</v>
      </c>
      <c r="S84" t="inlineStr">
        <is>
          <t>4c19d58f-ed59-4da5-a8c7-b11f3b6c0e34</t>
        </is>
      </c>
      <c r="T84" t="inlineStr">
        <is>
          <t>bc8a7a7e-d7ad-416c-9af2-208a6ed042c7</t>
        </is>
      </c>
      <c r="U84"/>
      <c r="V84" t="inlineStr">
        <is>
          <t>90157392-0be1-4c98-9f63-f38e43bfad83, a1074694-7c2f-4120-8387-91100a382a72</t>
        </is>
      </c>
      <c r="W84">
        <v>1</v>
      </c>
      <c r="X84" t="inlineStr">
        <is>
          <t>龚政涛,周晨锋</t>
        </is>
      </c>
      <c r="Y84" t="inlineStr">
        <is>
          <t>龚政涛</t>
        </is>
      </c>
      <c r="Z84" s="3">
        <v>45866.46827546296</v>
      </c>
      <c r="AA84" s="3">
        <v>45894.48127314815</v>
      </c>
      <c r="AB84" s="2" t="str">
        <f>=HYPERLINK("https://applink.feishu.cn/client/todo/task_list?guid=76122b60-faec-4a61-91b0-2d229f32cc2a", "迷宫球")</f>
        <v>迷宫球</v>
      </c>
      <c r="AC84" t="inlineStr">
        <is>
          <t>76122b60-faec-4a61-91b0-2d229f32cc2a</t>
        </is>
      </c>
      <c r="AD84" t="inlineStr">
        <is>
          <t>NzUzMTk3MzcwNDkxNDg0NTY5Nzo0YzE5ZDU4Zi1lZDU5LTRkYTUtYThjNy1iMTFmM2I2YzBlMzQ6MTYyNDBiNWNmZGQwOWQzZGMwZTRmOWY5OWIyODUzNTE6MQ==</t>
        </is>
      </c>
      <c r="AE84"/>
    </row>
    <row r="85" ht="25.5" customHeight="1">
      <c r="A85" s="2" t="str">
        <f>=HYPERLINK("https://applink.feishu.cn/client/todo/detail?guid=af735692-08a4-4aa1-bdd8-e72f8a901def&amp;suite_entity_num=t100822", "优化CONTROLLER程序，适配不同的键位和输入模式 &lt; 🪡修改: 优化了控制器功能")</f>
        <v>优化CONTROLLER程序，适配不同的键位和输入模式 &lt; 🪡修改: 优化了控制器功能</v>
      </c>
      <c r="B85"/>
      <c r="C85"/>
      <c r="D85" t="inlineStr">
        <is>
          <t>0</t>
        </is>
      </c>
      <c r="E85"/>
      <c r="F85">
        <v>4</v>
      </c>
      <c r="G85" t="inlineStr">
        <is>
          <t>P0 - 必须处理</t>
        </is>
      </c>
      <c r="H85" t="inlineStr">
        <is>
          <t>🎨艺术</t>
        </is>
      </c>
      <c r="I85">
        <v>0</v>
      </c>
      <c r="J85" t="inlineStr">
        <is>
          <t>或签任务</t>
        </is>
      </c>
      <c r="K85"/>
      <c r="L85" t="inlineStr">
        <is>
          <t>0</t>
        </is>
      </c>
      <c r="M85"/>
      <c r="N85" s="3"/>
      <c r="O85" t="inlineStr">
        <is>
          <t>v0.0.5</t>
        </is>
      </c>
      <c r="P85" t="inlineStr">
        <is>
          <t>周晨锋</t>
        </is>
      </c>
      <c r="Q85" s="3">
        <v>45891.333333333336</v>
      </c>
      <c r="R85" s="3">
        <v>45891.333333333336</v>
      </c>
      <c r="S85" t="inlineStr">
        <is>
          <t>af735692-08a4-4aa1-bdd8-e72f8a901def</t>
        </is>
      </c>
      <c r="T85" t="inlineStr">
        <is>
          <t>a8c324fe-4ec3-40d3-a790-1322314e631d</t>
        </is>
      </c>
      <c r="U85"/>
      <c r="V85" t="inlineStr">
        <is>
          <t>cbededff-12a1-49a6-ba1d-0720c513f591</t>
        </is>
      </c>
      <c r="W85">
        <v>0</v>
      </c>
      <c r="X85" t="inlineStr">
        <is>
          <t>龚政涛,周晨锋</t>
        </is>
      </c>
      <c r="Y85" t="inlineStr">
        <is>
          <t>龚政涛</t>
        </is>
      </c>
      <c r="Z85" s="3">
        <v>45846.02142361111</v>
      </c>
      <c r="AA85" s="3">
        <v>45959.41373842592</v>
      </c>
      <c r="AB85" s="2" t="str">
        <f>=HYPERLINK("https://applink.feishu.cn/client/todo/task_list?guid=76122b60-faec-4a61-91b0-2d229f32cc2a", "迷宫球")</f>
        <v>迷宫球</v>
      </c>
      <c r="AC85" t="inlineStr">
        <is>
          <t>76122b60-faec-4a61-91b0-2d229f32cc2a</t>
        </is>
      </c>
      <c r="AD85" t="inlineStr">
        <is>
          <t>NzUzMTk3MzcwNDkxNDg0NTY5NzphZjczNTY5Mi0wOGE0LTRhYTEtYmRkOC1lNzJmOGE5MDFkZWY6OWQ5MGE1MmI0YmU5MmNlYjQxOGE1OTdlMGFlZWI5OTE6MQ==</t>
        </is>
      </c>
      <c r="AE85"/>
    </row>
    <row r="86" ht="25.5" customHeight="1">
      <c r="A86" s="2" t="str">
        <f>=HYPERLINK("https://applink.feishu.cn/client/todo/detail?guid=cbededff-12a1-49a6-ba1d-0720c513f591&amp;suite_entity_num=t100823", "优化CONTROLLER程序，从而兼容不同的初始加速度/速度设置 &lt; 🪡修改: 优化了控制器功能")</f>
        <v>优化CONTROLLER程序，从而兼容不同的初始加速度/速度设置 &lt; 🪡修改: 优化了控制器功能</v>
      </c>
      <c r="B86"/>
      <c r="C86"/>
      <c r="D86" t="inlineStr">
        <is>
          <t>0</t>
        </is>
      </c>
      <c r="E86"/>
      <c r="F86">
        <v>4</v>
      </c>
      <c r="G86" t="inlineStr">
        <is>
          <t>P2 - 新的想法</t>
        </is>
      </c>
      <c r="H86" t="inlineStr">
        <is>
          <t>🎨艺术</t>
        </is>
      </c>
      <c r="I86">
        <v>0</v>
      </c>
      <c r="J86" t="inlineStr">
        <is>
          <t>或签任务</t>
        </is>
      </c>
      <c r="K86"/>
      <c r="L86" t="inlineStr">
        <is>
          <t>0</t>
        </is>
      </c>
      <c r="M86"/>
      <c r="N86" s="3"/>
      <c r="O86" t="inlineStr">
        <is>
          <t>v0.0.5</t>
        </is>
      </c>
      <c r="P86" t="inlineStr">
        <is>
          <t>周晨锋</t>
        </is>
      </c>
      <c r="Q86" s="3">
        <v>45892.333333333336</v>
      </c>
      <c r="R86" s="3">
        <v>45892.333333333336</v>
      </c>
      <c r="S86" t="inlineStr">
        <is>
          <t>cbededff-12a1-49a6-ba1d-0720c513f591</t>
        </is>
      </c>
      <c r="T86" t="inlineStr">
        <is>
          <t>a8c324fe-4ec3-40d3-a790-1322314e631d</t>
        </is>
      </c>
      <c r="U86" t="inlineStr">
        <is>
          <t>af735692-08a4-4aa1-bdd8-e72f8a901def</t>
        </is>
      </c>
      <c r="V86" t="inlineStr">
        <is>
          <t>84d3549d-6b1f-45b3-aca0-801f3bb9735d</t>
        </is>
      </c>
      <c r="W86">
        <v>0</v>
      </c>
      <c r="X86" t="inlineStr">
        <is>
          <t>龚政涛,周晨锋</t>
        </is>
      </c>
      <c r="Y86" t="inlineStr">
        <is>
          <t>龚政涛</t>
        </is>
      </c>
      <c r="Z86" s="3">
        <v>45846.021678240744</v>
      </c>
      <c r="AA86" s="3">
        <v>45959.41378472222</v>
      </c>
      <c r="AB86" s="2" t="str">
        <f>=HYPERLINK("https://applink.feishu.cn/client/todo/task_list?guid=76122b60-faec-4a61-91b0-2d229f32cc2a", "迷宫球")</f>
        <v>迷宫球</v>
      </c>
      <c r="AC86" t="inlineStr">
        <is>
          <t>76122b60-faec-4a61-91b0-2d229f32cc2a</t>
        </is>
      </c>
      <c r="AD86" t="inlineStr">
        <is>
          <t>NzUzMTk3MzcwNDkxNDg0NTY5NzpjYmVkZWRmZi0xMmExLTQ5YTYtYmExZC0wNzIwYzUxM2Y1OTE6NDVhMDU2MTBlYTkxYjg3ZjNkNDNkOTc3ZmVjNDY0ZTU6MQ==</t>
        </is>
      </c>
      <c r="AE86"/>
    </row>
    <row r="87" ht="25.5" customHeight="1">
      <c r="A87" s="2" t="str">
        <f>=HYPERLINK("https://applink.feishu.cn/client/todo/detail?guid=c6ccd57d-c410-45dd-8b43-618ae25bc715&amp;suite_entity_num=t100973", "增加了设置选单UI &lt; ✨新增: 更新了所有的UI设计，现在界面会更适应游戏的风格")</f>
        <v>增加了设置选单UI &lt; ✨新增: 更新了所有的UI设计，现在界面会更适应游戏的风格</v>
      </c>
      <c r="B87"/>
      <c r="C87"/>
      <c r="D87" t="inlineStr">
        <is>
          <t>0</t>
        </is>
      </c>
      <c r="E87"/>
      <c r="F87">
        <v>4</v>
      </c>
      <c r="G87" t="inlineStr">
        <is>
          <t>P1 - 最好处理</t>
        </is>
      </c>
      <c r="H87" t="inlineStr">
        <is>
          <t>🎨艺术</t>
        </is>
      </c>
      <c r="I87">
        <v>0</v>
      </c>
      <c r="J87" t="inlineStr">
        <is>
          <t>或签任务</t>
        </is>
      </c>
      <c r="K87"/>
      <c r="L87" t="inlineStr">
        <is>
          <t>0</t>
        </is>
      </c>
      <c r="M87"/>
      <c r="N87" s="3"/>
      <c r="O87" t="inlineStr">
        <is>
          <t>v0.0.5</t>
        </is>
      </c>
      <c r="P87" t="inlineStr">
        <is>
          <t>周晨锋</t>
        </is>
      </c>
      <c r="Q87" s="3">
        <v>45890.333333333336</v>
      </c>
      <c r="R87" s="3">
        <v>45892.333333333336</v>
      </c>
      <c r="S87" t="inlineStr">
        <is>
          <t>c6ccd57d-c410-45dd-8b43-618ae25bc715</t>
        </is>
      </c>
      <c r="T87" t="inlineStr">
        <is>
          <t>609b3bc0-6a66-424e-a7fc-bbb91d90897d</t>
        </is>
      </c>
      <c r="U87"/>
      <c r="V87"/>
      <c r="W87">
        <v>0</v>
      </c>
      <c r="X87" t="inlineStr">
        <is>
          <t>龚政涛,周晨锋</t>
        </is>
      </c>
      <c r="Y87" t="inlineStr">
        <is>
          <t>龚政涛</t>
        </is>
      </c>
      <c r="Z87" s="3">
        <v>45866.50950231482</v>
      </c>
      <c r="AA87" s="3">
        <v>45949.66354166667</v>
      </c>
      <c r="AB87" s="2" t="str">
        <f>=HYPERLINK("https://applink.feishu.cn/client/todo/task_list?guid=76122b60-faec-4a61-91b0-2d229f32cc2a", "迷宫球")</f>
        <v>迷宫球</v>
      </c>
      <c r="AC87" t="inlineStr">
        <is>
          <t>76122b60-faec-4a61-91b0-2d229f32cc2a</t>
        </is>
      </c>
      <c r="AD87" t="inlineStr">
        <is>
          <t>NzUzMTk3MzcwNDkxNDg0NTY5NzpjNmNjZDU3ZC1jNDEwLTQ1ZGQtOGI0My02MThhZTI1YmM3MTU6YTI0ZmQ4NjM4MjA1MWZjYTFmZmJjNzlkZjk0NWQ2ZTY6MQ==</t>
        </is>
      </c>
      <c r="AE87"/>
    </row>
    <row r="88" ht="25.5" customHeight="1">
      <c r="A88" s="2" t="str">
        <f>=HYPERLINK("https://applink.feishu.cn/client/todo/detail?guid=84d3549d-6b1f-45b3-aca0-801f3bb9735d&amp;suite_entity_num=t100869", "优化CONTROLLER程序，从而提供更便捷的扭矩影响设置 &lt; 🪡修改: 优化了控制器功能")</f>
        <v>优化CONTROLLER程序，从而提供更便捷的扭矩影响设置 &lt; 🪡修改: 优化了控制器功能</v>
      </c>
      <c r="B88"/>
      <c r="C88"/>
      <c r="D88" t="inlineStr">
        <is>
          <t>0</t>
        </is>
      </c>
      <c r="E88"/>
      <c r="F88">
        <v>4</v>
      </c>
      <c r="G88" t="inlineStr">
        <is>
          <t>P2 - 新的想法</t>
        </is>
      </c>
      <c r="H88" t="inlineStr">
        <is>
          <t>🎨艺术</t>
        </is>
      </c>
      <c r="I88">
        <v>0</v>
      </c>
      <c r="J88" t="inlineStr">
        <is>
          <t>或签任务</t>
        </is>
      </c>
      <c r="K88"/>
      <c r="L88" t="inlineStr">
        <is>
          <t>0</t>
        </is>
      </c>
      <c r="M88"/>
      <c r="N88" s="3"/>
      <c r="O88" t="inlineStr">
        <is>
          <t>v0.0.5</t>
        </is>
      </c>
      <c r="P88" t="inlineStr">
        <is>
          <t>周晨锋</t>
        </is>
      </c>
      <c r="Q88" s="3">
        <v>45893.333333333336</v>
      </c>
      <c r="R88" s="3">
        <v>45893.333333333336</v>
      </c>
      <c r="S88" t="inlineStr">
        <is>
          <t>84d3549d-6b1f-45b3-aca0-801f3bb9735d</t>
        </is>
      </c>
      <c r="T88" t="inlineStr">
        <is>
          <t>a8c324fe-4ec3-40d3-a790-1322314e631d</t>
        </is>
      </c>
      <c r="U88" t="inlineStr">
        <is>
          <t>cbededff-12a1-49a6-ba1d-0720c513f591</t>
        </is>
      </c>
      <c r="V88" t="inlineStr">
        <is>
          <t>90157392-0be1-4c98-9f63-f38e43bfad83</t>
        </is>
      </c>
      <c r="W88">
        <v>0</v>
      </c>
      <c r="X88" t="inlineStr">
        <is>
          <t>龚政涛,周晨锋</t>
        </is>
      </c>
      <c r="Y88" t="inlineStr">
        <is>
          <t>龚政涛</t>
        </is>
      </c>
      <c r="Z88" s="3">
        <v>45846.480775462966</v>
      </c>
      <c r="AA88" s="3">
        <v>45959.4137962963</v>
      </c>
      <c r="AB88" s="2" t="str">
        <f>=HYPERLINK("https://applink.feishu.cn/client/todo/task_list?guid=76122b60-faec-4a61-91b0-2d229f32cc2a", "迷宫球")</f>
        <v>迷宫球</v>
      </c>
      <c r="AC88" t="inlineStr">
        <is>
          <t>76122b60-faec-4a61-91b0-2d229f32cc2a</t>
        </is>
      </c>
      <c r="AD88" t="inlineStr">
        <is>
          <t>NzUzMTk3MzcwNDkxNDg0NTY5Nzo4NGQzNTQ5ZC02YjFmLTQ1YjMtYWNhMC04MDFmM2JiOTczNWQ6MmFmMDcxNTNlYTNhNzBkMDAwYjQ3NmE4YjIwZjQ0MTE6MQ==</t>
        </is>
      </c>
      <c r="AE88"/>
    </row>
    <row r="89" ht="25.5" customHeight="1">
      <c r="A89" s="2" t="str">
        <f>=HYPERLINK("https://applink.feishu.cn/client/todo/detail?guid=10d2f328-247f-4797-aad9-006277975e2b&amp;suite_entity_num=t101044", "修复轨道不能带着spline移动的问题 &lt; 矿洞轨道 - 矿车")</f>
        <v>修复轨道不能带着spline移动的问题 &lt; 矿洞轨道 - 矿车</v>
      </c>
      <c r="B89" t="inlineStr">
        <is>
          <t>8/20未完成，8/21继续</t>
        </is>
      </c>
      <c r="C89" t="inlineStr">
        <is>
          <t>默认分组</t>
        </is>
      </c>
      <c r="D89" t="inlineStr">
        <is>
          <t>1</t>
        </is>
      </c>
      <c r="E89" t="inlineStr">
        <is>
          <t>已完成</t>
        </is>
      </c>
      <c r="F89">
        <v>8</v>
      </c>
      <c r="G89" t="inlineStr">
        <is>
          <t>P0 - 必须处理</t>
        </is>
      </c>
      <c r="H89" t="inlineStr">
        <is>
          <t>🎮玩法</t>
        </is>
      </c>
      <c r="I89">
        <v>0</v>
      </c>
      <c r="J89" t="inlineStr">
        <is>
          <t>或签任务</t>
        </is>
      </c>
      <c r="K89"/>
      <c r="L89" t="inlineStr">
        <is>
          <t>0</t>
        </is>
      </c>
      <c r="M89"/>
      <c r="N89" s="3">
        <v>45898.41324074074</v>
      </c>
      <c r="O89" t="inlineStr">
        <is>
          <t>v0.0.4</t>
        </is>
      </c>
      <c r="P89" t="inlineStr">
        <is>
          <t>周晨锋</t>
        </is>
      </c>
      <c r="Q89" s="3">
        <v>45889.333333333336</v>
      </c>
      <c r="R89" s="3">
        <v>45894.333333333336</v>
      </c>
      <c r="S89" t="inlineStr">
        <is>
          <t>10d2f328-247f-4797-aad9-006277975e2b</t>
        </is>
      </c>
      <c r="T89" t="inlineStr">
        <is>
          <t>e0dd27d9-adb7-49d3-8be6-df4a74a61d62</t>
        </is>
      </c>
      <c r="U89"/>
      <c r="V89"/>
      <c r="W89">
        <v>0</v>
      </c>
      <c r="X89" t="inlineStr">
        <is>
          <t>龚政涛,周晨锋</t>
        </is>
      </c>
      <c r="Y89" t="inlineStr">
        <is>
          <t>龚政涛</t>
        </is>
      </c>
      <c r="Z89" s="3">
        <v>45889.72357638889</v>
      </c>
      <c r="AA89" s="3">
        <v>45898.41324074074</v>
      </c>
      <c r="AB89" s="2" t="str">
        <f>=HYPERLINK("https://applink.feishu.cn/client/todo/task_list?guid=76122b60-faec-4a61-91b0-2d229f32cc2a", "迷宫球")</f>
        <v>迷宫球</v>
      </c>
      <c r="AC89" t="inlineStr">
        <is>
          <t>76122b60-faec-4a61-91b0-2d229f32cc2a</t>
        </is>
      </c>
      <c r="AD89" t="inlineStr">
        <is>
          <t>NzUzMTk3MzcwNDkxNDg0NTY5NzoxMGQyZjMyOC0yNDdmLTQ3OTctYWFkOS0wMDYyNzc5NzVlMmI6YjZjOGMwYmY1YWFkMDc4NmRhZjhlZWJkOTRjYmI1MDk6MQ==</t>
        </is>
      </c>
      <c r="AE89"/>
    </row>
    <row r="90" ht="25.5" customHeight="1">
      <c r="A90" s="2" t="str">
        <f>=HYPERLINK("https://applink.feishu.cn/client/todo/detail?guid=784ed1f6-37ac-4244-8906-5f904ec0b653&amp;suite_entity_num=t101090", "给触发式电梯增加前后移动的版本")</f>
        <v>给触发式电梯增加前后移动的版本</v>
      </c>
      <c r="B90"/>
      <c r="C90" t="inlineStr">
        <is>
          <t>默认分组</t>
        </is>
      </c>
      <c r="D90" t="inlineStr">
        <is>
          <t>1</t>
        </is>
      </c>
      <c r="E90" t="inlineStr">
        <is>
          <t>已完成</t>
        </is>
      </c>
      <c r="F90">
        <v>2</v>
      </c>
      <c r="G90" t="inlineStr">
        <is>
          <t>P1 - 最好处理</t>
        </is>
      </c>
      <c r="H90" t="inlineStr">
        <is>
          <t>🛠️技术</t>
        </is>
      </c>
      <c r="I90">
        <v>0</v>
      </c>
      <c r="J90" t="inlineStr">
        <is>
          <t>或签任务</t>
        </is>
      </c>
      <c r="K90"/>
      <c r="L90" t="inlineStr">
        <is>
          <t>0</t>
        </is>
      </c>
      <c r="M90"/>
      <c r="N90" s="3">
        <v>45901.97818287037</v>
      </c>
      <c r="O90" t="inlineStr">
        <is>
          <t>v0.0.4</t>
        </is>
      </c>
      <c r="P90" t="inlineStr">
        <is>
          <t>周晨锋</t>
        </is>
      </c>
      <c r="Q90" s="3"/>
      <c r="R90" s="3">
        <v>45897.333333333336</v>
      </c>
      <c r="S90" t="inlineStr">
        <is>
          <t>784ed1f6-37ac-4244-8906-5f904ec0b653</t>
        </is>
      </c>
      <c r="T90"/>
      <c r="U90"/>
      <c r="V90"/>
      <c r="W90">
        <v>0</v>
      </c>
      <c r="X90" t="inlineStr">
        <is>
          <t>龚政涛,周晨锋</t>
        </is>
      </c>
      <c r="Y90" t="inlineStr">
        <is>
          <t>龚政涛</t>
        </is>
      </c>
      <c r="Z90" s="3">
        <v>45898.416597222225</v>
      </c>
      <c r="AA90" s="3">
        <v>45901.97818287037</v>
      </c>
      <c r="AB90" s="2" t="str">
        <f>=HYPERLINK("https://applink.feishu.cn/client/todo/task_list?guid=76122b60-faec-4a61-91b0-2d229f32cc2a", "迷宫球")</f>
        <v>迷宫球</v>
      </c>
      <c r="AC90" t="inlineStr">
        <is>
          <t>76122b60-faec-4a61-91b0-2d229f32cc2a</t>
        </is>
      </c>
      <c r="AD90" t="inlineStr">
        <is>
          <t>NzUzMTk3MzcwNDkxNDg0NTY5Nzo3ODRlZDFmNi0zN2FjLTQyNDQtODkwNi01ZjkwNGVjMGI2NTM6OTcyNmY5ODRlMjFiYjNkNmEyNDc2MWQ5NzZiZjYyNWY6MQ==</t>
        </is>
      </c>
      <c r="AE90"/>
    </row>
    <row r="91" ht="25.5" customHeight="1">
      <c r="A91" s="2" t="str">
        <f>=HYPERLINK("https://applink.feishu.cn/client/todo/detail?guid=f9c4be13-fb36-425a-a666-87c3ee0bfe20&amp;suite_entity_num=t101089", "给触发式电梯增加速度曲线")</f>
        <v>给触发式电梯增加速度曲线</v>
      </c>
      <c r="B91"/>
      <c r="C91" t="inlineStr">
        <is>
          <t>默认分组</t>
        </is>
      </c>
      <c r="D91" t="inlineStr">
        <is>
          <t>1</t>
        </is>
      </c>
      <c r="E91" t="inlineStr">
        <is>
          <t>已完成</t>
        </is>
      </c>
      <c r="F91">
        <v>1</v>
      </c>
      <c r="G91" t="inlineStr">
        <is>
          <t>P1 - 最好处理</t>
        </is>
      </c>
      <c r="H91" t="inlineStr">
        <is>
          <t>🛠️技术</t>
        </is>
      </c>
      <c r="I91">
        <v>0</v>
      </c>
      <c r="J91" t="inlineStr">
        <is>
          <t>或签任务</t>
        </is>
      </c>
      <c r="K91"/>
      <c r="L91" t="inlineStr">
        <is>
          <t>0</t>
        </is>
      </c>
      <c r="M91"/>
      <c r="N91" s="3">
        <v>45901.431979166664</v>
      </c>
      <c r="O91" t="inlineStr">
        <is>
          <t>v0.0.4</t>
        </is>
      </c>
      <c r="P91" t="inlineStr">
        <is>
          <t>周晨锋</t>
        </is>
      </c>
      <c r="Q91" s="3"/>
      <c r="R91" s="3">
        <v>45897.333333333336</v>
      </c>
      <c r="S91" t="inlineStr">
        <is>
          <t>f9c4be13-fb36-425a-a666-87c3ee0bfe20</t>
        </is>
      </c>
      <c r="T91"/>
      <c r="U91"/>
      <c r="V91"/>
      <c r="W91">
        <v>0</v>
      </c>
      <c r="X91" t="inlineStr">
        <is>
          <t>龚政涛,周晨锋</t>
        </is>
      </c>
      <c r="Y91" t="inlineStr">
        <is>
          <t>龚政涛</t>
        </is>
      </c>
      <c r="Z91" s="3">
        <v>45898.41642361111</v>
      </c>
      <c r="AA91" s="3">
        <v>45901.431979166664</v>
      </c>
      <c r="AB91" s="2" t="str">
        <f>=HYPERLINK("https://applink.feishu.cn/client/todo/task_list?guid=76122b60-faec-4a61-91b0-2d229f32cc2a", "迷宫球")</f>
        <v>迷宫球</v>
      </c>
      <c r="AC91" t="inlineStr">
        <is>
          <t>76122b60-faec-4a61-91b0-2d229f32cc2a</t>
        </is>
      </c>
      <c r="AD91" t="inlineStr">
        <is>
          <t>NzUzMTk3MzcwNDkxNDg0NTY5NzpmOWM0YmUxMy1mYjM2LTQyNWEtYTY2Ni04N2MzZWUwYmZlMjA6ODdlNGU0Y2E5YzVkZWFhYWUxMTBiNzcwOTA4YTk3Mjg6MQ==</t>
        </is>
      </c>
      <c r="AE91"/>
    </row>
    <row r="92" ht="25.5" customHeight="1">
      <c r="A92" s="2" t="str">
        <f>=HYPERLINK("https://applink.feishu.cn/client/todo/detail?guid=abd0cff8-c41e-482d-b002-a4cd8adcaa6c&amp;suite_entity_num=t101094", "优化仓鼠球的镜头功能")</f>
        <v>优化仓鼠球的镜头功能</v>
      </c>
      <c r="B92"/>
      <c r="C92" t="inlineStr">
        <is>
          <t>默认分组</t>
        </is>
      </c>
      <c r="D92" t="inlineStr">
        <is>
          <t>1</t>
        </is>
      </c>
      <c r="E92" t="inlineStr">
        <is>
          <t>已完成</t>
        </is>
      </c>
      <c r="F92">
        <v>1</v>
      </c>
      <c r="G92" t="inlineStr">
        <is>
          <t>P0 - 必须处理</t>
        </is>
      </c>
      <c r="H92" t="inlineStr">
        <is>
          <t>🎮玩法</t>
        </is>
      </c>
      <c r="I92">
        <v>0</v>
      </c>
      <c r="J92" t="inlineStr">
        <is>
          <t>或签任务</t>
        </is>
      </c>
      <c r="K92"/>
      <c r="L92" t="inlineStr">
        <is>
          <t>0</t>
        </is>
      </c>
      <c r="M92"/>
      <c r="N92" s="3">
        <v>45898.435324074075</v>
      </c>
      <c r="O92" t="inlineStr">
        <is>
          <t>v0.0.5</t>
        </is>
      </c>
      <c r="P92" t="inlineStr">
        <is>
          <t>周晨锋</t>
        </is>
      </c>
      <c r="Q92" s="3"/>
      <c r="R92" s="3">
        <v>45897.333333333336</v>
      </c>
      <c r="S92" t="inlineStr">
        <is>
          <t>abd0cff8-c41e-482d-b002-a4cd8adcaa6c</t>
        </is>
      </c>
      <c r="T92"/>
      <c r="U92"/>
      <c r="V92"/>
      <c r="W92">
        <v>0</v>
      </c>
      <c r="X92" t="inlineStr">
        <is>
          <t>龚政涛,周晨锋</t>
        </is>
      </c>
      <c r="Y92" t="inlineStr">
        <is>
          <t>龚政涛</t>
        </is>
      </c>
      <c r="Z92" s="3">
        <v>45898.41842592593</v>
      </c>
      <c r="AA92" s="3">
        <v>45898.43533564815</v>
      </c>
      <c r="AB92" s="2" t="str">
        <f>=HYPERLINK("https://applink.feishu.cn/client/todo/task_list?guid=76122b60-faec-4a61-91b0-2d229f32cc2a", "迷宫球")</f>
        <v>迷宫球</v>
      </c>
      <c r="AC92" t="inlineStr">
        <is>
          <t>76122b60-faec-4a61-91b0-2d229f32cc2a</t>
        </is>
      </c>
      <c r="AD92" t="inlineStr">
        <is>
          <t>NzUzMTk3MzcwNDkxNDg0NTY5NzphYmQwY2ZmOC1jNDFlLTQ4MmQtYjAwMi1hNGNkOGFkY2FhNmM6OGIzMTA1NDg4MDUzZDNmZTM0YmZiYjMzNGU2YzBiZGE6MQ==</t>
        </is>
      </c>
      <c r="AE92"/>
    </row>
    <row r="93" ht="25.5" customHeight="1">
      <c r="A93" s="2" t="str">
        <f>=HYPERLINK("https://applink.feishu.cn/client/todo/detail?guid=f4692b5a-5ff6-4cb9-8f2b-d0f601c8b27c&amp;suite_entity_num=t101093", "修改矿车的切线获取")</f>
        <v>修改矿车的切线获取</v>
      </c>
      <c r="B93"/>
      <c r="C93" t="inlineStr">
        <is>
          <t>默认分组</t>
        </is>
      </c>
      <c r="D93" t="inlineStr">
        <is>
          <t>1</t>
        </is>
      </c>
      <c r="E93" t="inlineStr">
        <is>
          <t>已完成</t>
        </is>
      </c>
      <c r="F93">
        <v>2</v>
      </c>
      <c r="G93" t="inlineStr">
        <is>
          <t>P0 - 必须处理</t>
        </is>
      </c>
      <c r="H93" t="inlineStr">
        <is>
          <t>🛠️技术</t>
        </is>
      </c>
      <c r="I93">
        <v>0</v>
      </c>
      <c r="J93" t="inlineStr">
        <is>
          <t>或签任务</t>
        </is>
      </c>
      <c r="K93"/>
      <c r="L93" t="inlineStr">
        <is>
          <t>0</t>
        </is>
      </c>
      <c r="M93"/>
      <c r="N93" s="3">
        <v>45899.48918981481</v>
      </c>
      <c r="O93" t="inlineStr">
        <is>
          <t>v0.0.4</t>
        </is>
      </c>
      <c r="P93" t="inlineStr">
        <is>
          <t>周晨锋</t>
        </is>
      </c>
      <c r="Q93" s="3"/>
      <c r="R93" s="3">
        <v>45897.333333333336</v>
      </c>
      <c r="S93" t="inlineStr">
        <is>
          <t>f4692b5a-5ff6-4cb9-8f2b-d0f601c8b27c</t>
        </is>
      </c>
      <c r="T93"/>
      <c r="U93"/>
      <c r="V93"/>
      <c r="W93">
        <v>0</v>
      </c>
      <c r="X93" t="inlineStr">
        <is>
          <t>龚政涛,周晨锋</t>
        </is>
      </c>
      <c r="Y93" t="inlineStr">
        <is>
          <t>龚政涛</t>
        </is>
      </c>
      <c r="Z93" s="3">
        <v>45898.418229166666</v>
      </c>
      <c r="AA93" s="3">
        <v>45899.48918981481</v>
      </c>
      <c r="AB93" s="2" t="str">
        <f>=HYPERLINK("https://applink.feishu.cn/client/todo/task_list?guid=76122b60-faec-4a61-91b0-2d229f32cc2a", "迷宫球")</f>
        <v>迷宫球</v>
      </c>
      <c r="AC93" t="inlineStr">
        <is>
          <t>76122b60-faec-4a61-91b0-2d229f32cc2a</t>
        </is>
      </c>
      <c r="AD93" t="inlineStr">
        <is>
          <t>NzUzMTk3MzcwNDkxNDg0NTY5NzpmNDY5MmI1YS01ZmY2LTRjYjktOGYyYi1kMGY2MDFjOGIyN2M6YzI2NGZlYWIwMTM4YjM1ODdiM2MwMjIwNzA5ZmViYzI6MQ==</t>
        </is>
      </c>
      <c r="AE93"/>
    </row>
    <row r="94" ht="25.5" customHeight="1">
      <c r="A94" s="2" t="str">
        <f>=HYPERLINK("https://applink.feishu.cn/client/todo/detail?guid=9765aded-be54-4053-ae81-7ab600505a95&amp;suite_entity_num=t100711", "🪡修改: 玩家现在可以通过空格键/手柄A键快速重试关卡了")</f>
        <v>🪡修改: 玩家现在可以通过空格键/手柄A键快速重试关卡了</v>
      </c>
      <c r="B94"/>
      <c r="C94" t="inlineStr">
        <is>
          <t>默认分组</t>
        </is>
      </c>
      <c r="D94" t="inlineStr">
        <is>
          <t>1</t>
        </is>
      </c>
      <c r="E94" t="inlineStr">
        <is>
          <t>已完成</t>
        </is>
      </c>
      <c r="F94">
        <v>4</v>
      </c>
      <c r="G94" t="inlineStr">
        <is>
          <t>P1 - 最好处理</t>
        </is>
      </c>
      <c r="H94" t="inlineStr">
        <is>
          <t>🎮玩法</t>
        </is>
      </c>
      <c r="I94">
        <v>0</v>
      </c>
      <c r="J94" t="inlineStr">
        <is>
          <t>或签任务</t>
        </is>
      </c>
      <c r="K94"/>
      <c r="L94" t="inlineStr">
        <is>
          <t>0</t>
        </is>
      </c>
      <c r="M94"/>
      <c r="N94" s="3">
        <v>45901.97826388889</v>
      </c>
      <c r="O94" t="inlineStr">
        <is>
          <t>v0.0.4</t>
        </is>
      </c>
      <c r="P94" t="inlineStr">
        <is>
          <t>周晨锋</t>
        </is>
      </c>
      <c r="Q94" s="3">
        <v>45896.333333333336</v>
      </c>
      <c r="R94" s="3">
        <v>45898.333333333336</v>
      </c>
      <c r="S94" t="inlineStr">
        <is>
          <t>9765aded-be54-4053-ae81-7ab600505a95</t>
        </is>
      </c>
      <c r="T94"/>
      <c r="U94"/>
      <c r="V94"/>
      <c r="W94">
        <v>0</v>
      </c>
      <c r="X94" t="inlineStr">
        <is>
          <t>龚政涛,Decay,周晨锋</t>
        </is>
      </c>
      <c r="Y94" t="inlineStr">
        <is>
          <t>龚政涛</t>
        </is>
      </c>
      <c r="Z94" s="3">
        <v>45789.59678240741</v>
      </c>
      <c r="AA94" s="3">
        <v>45901.97827546296</v>
      </c>
      <c r="AB94" s="2" t="str">
        <f>=HYPERLINK("https://applink.feishu.cn/client/todo/task_list?guid=76122b60-faec-4a61-91b0-2d229f32cc2a", "迷宫球")</f>
        <v>迷宫球</v>
      </c>
      <c r="AC94" t="inlineStr">
        <is>
          <t>76122b60-faec-4a61-91b0-2d229f32cc2a</t>
        </is>
      </c>
      <c r="AD94" t="inlineStr">
        <is>
          <t>NzUzMTk3MzcwNDkxNDg0NTY5Nzo5NzY1YWRlZC1iZTU0LTQwNTMtYWU4MS03YWI2MDA1MDVhOTU6YjgyOWNkMDU4NWFhNTlmZmM3ZGViNjcyYmYzNTg4ZGY6MQ==</t>
        </is>
      </c>
      <c r="AE94"/>
    </row>
    <row r="95" ht="25.5" customHeight="1">
      <c r="A95" s="2" t="str">
        <f>=HYPERLINK("https://applink.feishu.cn/client/todo/detail?guid=2c9cd907-dc3c-4671-9446-317c3c922d7a&amp;suite_entity_num=t101092", "制作圆形循环式电梯")</f>
        <v>制作圆形循环式电梯</v>
      </c>
      <c r="B95"/>
      <c r="C95" t="inlineStr">
        <is>
          <t>默认分组</t>
        </is>
      </c>
      <c r="D95" t="inlineStr">
        <is>
          <t>1</t>
        </is>
      </c>
      <c r="E95" t="inlineStr">
        <is>
          <t>已完成</t>
        </is>
      </c>
      <c r="F95">
        <v>4</v>
      </c>
      <c r="G95" t="inlineStr">
        <is>
          <t>P0 - 必须处理</t>
        </is>
      </c>
      <c r="H95" t="inlineStr">
        <is>
          <t>🎮玩法</t>
        </is>
      </c>
      <c r="I95">
        <v>1</v>
      </c>
      <c r="J95" t="inlineStr">
        <is>
          <t>或签任务</t>
        </is>
      </c>
      <c r="K95"/>
      <c r="L95" t="inlineStr">
        <is>
          <t>0</t>
        </is>
      </c>
      <c r="M95">
        <v>1</v>
      </c>
      <c r="N95" s="3">
        <v>45901.42701388889</v>
      </c>
      <c r="O95" t="inlineStr">
        <is>
          <t>v0.0.4</t>
        </is>
      </c>
      <c r="P95" t="inlineStr">
        <is>
          <t>周晨锋</t>
        </is>
      </c>
      <c r="Q95" s="3"/>
      <c r="R95" s="3">
        <v>45900.333333333336</v>
      </c>
      <c r="S95" t="inlineStr">
        <is>
          <t>2c9cd907-dc3c-4671-9446-317c3c922d7a</t>
        </is>
      </c>
      <c r="T95"/>
      <c r="U95"/>
      <c r="V95"/>
      <c r="W95">
        <v>1</v>
      </c>
      <c r="X95" t="inlineStr">
        <is>
          <t>龚政涛,周晨锋</t>
        </is>
      </c>
      <c r="Y95" t="inlineStr">
        <is>
          <t>龚政涛</t>
        </is>
      </c>
      <c r="Z95" s="3">
        <v>45898.41789351852</v>
      </c>
      <c r="AA95" s="3">
        <v>45901.42701388889</v>
      </c>
      <c r="AB95" s="2" t="str">
        <f>=HYPERLINK("https://applink.feishu.cn/client/todo/task_list?guid=76122b60-faec-4a61-91b0-2d229f32cc2a", "迷宫球")</f>
        <v>迷宫球</v>
      </c>
      <c r="AC95" t="inlineStr">
        <is>
          <t>76122b60-faec-4a61-91b0-2d229f32cc2a</t>
        </is>
      </c>
      <c r="AD95" t="inlineStr">
        <is>
          <t>NzUzMTk3MzcwNDkxNDg0NTY5NzoyYzljZDkwNy1kYzNjLTQ2NzEtOTQ0Ni0zMTdjM2M5MjJkN2E6ZTc5N2Q5MzBiNDA2MzEzMTNmY2NjZjhlZDRhMTNjZWI6MQ==</t>
        </is>
      </c>
      <c r="AE95"/>
    </row>
    <row r="96" ht="25.5" customHeight="1">
      <c r="A96" s="2" t="str">
        <f>=HYPERLINK("https://applink.feishu.cn/client/todo/detail?guid=6ac8fe70-3594-4dea-af6e-59dc993b38a8&amp;suite_entity_num=t100886", "仓鼠球功能 &lt; ✨新增: 增加了新的体素小球")</f>
        <v>仓鼠球功能 &lt; ✨新增: 增加了新的体素小球</v>
      </c>
      <c r="B96" t="inlineStr">
        <is>
          <t>功能：按下能力按钮后，切换镜头和控制对象为小球，wsad移动小球（ad平移，根据镜头决定w代表的前方向）移动需要有加速度，不是那种按了立马动的类型</t>
        </is>
      </c>
      <c r="C96" t="inlineStr">
        <is>
          <t>默认分组</t>
        </is>
      </c>
      <c r="D96" t="inlineStr">
        <is>
          <t>1</t>
        </is>
      </c>
      <c r="E96" t="inlineStr">
        <is>
          <t>已完成</t>
        </is>
      </c>
      <c r="F96">
        <v>6</v>
      </c>
      <c r="G96" t="inlineStr">
        <is>
          <t>P1 - 最好处理</t>
        </is>
      </c>
      <c r="H96" t="inlineStr">
        <is>
          <t>🎮玩法</t>
        </is>
      </c>
      <c r="I96">
        <v>1</v>
      </c>
      <c r="J96" t="inlineStr">
        <is>
          <t>或签任务</t>
        </is>
      </c>
      <c r="K96"/>
      <c r="L96" t="inlineStr">
        <is>
          <t>0</t>
        </is>
      </c>
      <c r="M96">
        <v>1</v>
      </c>
      <c r="N96" s="3">
        <v>45903.41719907407</v>
      </c>
      <c r="O96" t="inlineStr">
        <is>
          <t>v0.0.4</t>
        </is>
      </c>
      <c r="P96" t="inlineStr">
        <is>
          <t>周晨锋</t>
        </is>
      </c>
      <c r="Q96" s="3">
        <v>45894.333333333336</v>
      </c>
      <c r="R96" s="3">
        <v>45901.333333333336</v>
      </c>
      <c r="S96" t="inlineStr">
        <is>
          <t>6ac8fe70-3594-4dea-af6e-59dc993b38a8</t>
        </is>
      </c>
      <c r="T96" t="inlineStr">
        <is>
          <t>689ba331-330d-415b-a389-47fbc556f1a2</t>
        </is>
      </c>
      <c r="U96"/>
      <c r="V96" t="inlineStr">
        <is>
          <t>f978ce46-8380-4157-80c0-76bde981f7e7</t>
        </is>
      </c>
      <c r="W96">
        <v>0</v>
      </c>
      <c r="X96" t="inlineStr">
        <is>
          <t>周晨锋,龚政涛,Decay</t>
        </is>
      </c>
      <c r="Y96" t="inlineStr">
        <is>
          <t>龚政涛</t>
        </is>
      </c>
      <c r="Z96" s="3">
        <v>45846.85417824074</v>
      </c>
      <c r="AA96" s="3">
        <v>45903.417233796295</v>
      </c>
      <c r="AB96" s="2" t="str">
        <f>=HYPERLINK("https://applink.feishu.cn/client/todo/task_list?guid=76122b60-faec-4a61-91b0-2d229f32cc2a", "迷宫球")</f>
        <v>迷宫球</v>
      </c>
      <c r="AC96" t="inlineStr">
        <is>
          <t>76122b60-faec-4a61-91b0-2d229f32cc2a</t>
        </is>
      </c>
      <c r="AD96" t="inlineStr">
        <is>
          <t>NzUzMTk3MzcwNDkxNDg0NTY5Nzo2YWM4ZmU3MC0zNTk0LTRkZWEtYWY2ZS01OWRjOTkzYjM4YTg6Y2MzODExYzA4MmEyNDU2MzA5YmUyNWQ4NWQ1MzA5NzE6MQ==</t>
        </is>
      </c>
      <c r="AE96"/>
    </row>
    <row r="97" ht="25.5" customHeight="1">
      <c r="A97" s="2" t="str">
        <f>=HYPERLINK("https://applink.feishu.cn/client/todo/detail?guid=865a89bb-7358-4d99-a792-cc0d2570ff3e&amp;suite_entity_num=t101091", "给触发式电梯的距离改为UE CM")</f>
        <v>给触发式电梯的距离改为UE CM</v>
      </c>
      <c r="B97"/>
      <c r="C97" t="inlineStr">
        <is>
          <t>默认分组</t>
        </is>
      </c>
      <c r="D97" t="inlineStr">
        <is>
          <t>1</t>
        </is>
      </c>
      <c r="E97" t="inlineStr">
        <is>
          <t>已完成</t>
        </is>
      </c>
      <c r="F97">
        <v>1</v>
      </c>
      <c r="G97" t="inlineStr">
        <is>
          <t>P0 - 必须处理</t>
        </is>
      </c>
      <c r="H97" t="inlineStr">
        <is>
          <t>🛠️技术</t>
        </is>
      </c>
      <c r="I97">
        <v>0</v>
      </c>
      <c r="J97" t="inlineStr">
        <is>
          <t>或签任务</t>
        </is>
      </c>
      <c r="K97"/>
      <c r="L97" t="inlineStr">
        <is>
          <t>0</t>
        </is>
      </c>
      <c r="M97"/>
      <c r="N97" s="3">
        <v>45903.48494212963</v>
      </c>
      <c r="O97" t="inlineStr">
        <is>
          <t>v0.0.4</t>
        </is>
      </c>
      <c r="P97" t="inlineStr">
        <is>
          <t>周晨锋</t>
        </is>
      </c>
      <c r="Q97" s="3"/>
      <c r="R97" s="3">
        <v>45901.333333333336</v>
      </c>
      <c r="S97" t="inlineStr">
        <is>
          <t>865a89bb-7358-4d99-a792-cc0d2570ff3e</t>
        </is>
      </c>
      <c r="T97"/>
      <c r="U97"/>
      <c r="V97"/>
      <c r="W97">
        <v>0</v>
      </c>
      <c r="X97" t="inlineStr">
        <is>
          <t>龚政涛,周晨锋</t>
        </is>
      </c>
      <c r="Y97" t="inlineStr">
        <is>
          <t>龚政涛</t>
        </is>
      </c>
      <c r="Z97" s="3">
        <v>45898.416712962964</v>
      </c>
      <c r="AA97" s="3">
        <v>45903.484976851854</v>
      </c>
      <c r="AB97" s="2" t="str">
        <f>=HYPERLINK("https://applink.feishu.cn/client/todo/task_list?guid=76122b60-faec-4a61-91b0-2d229f32cc2a", "迷宫球")</f>
        <v>迷宫球</v>
      </c>
      <c r="AC97" t="inlineStr">
        <is>
          <t>76122b60-faec-4a61-91b0-2d229f32cc2a</t>
        </is>
      </c>
      <c r="AD97" t="inlineStr">
        <is>
          <t>NzUzMTk3MzcwNDkxNDg0NTY5Nzo4NjVhODliYi03MzU4LTRkOTktYTc5Mi1jYzBkMjU3MGZmM2U6ZThlNzQ1NTQ1OTY1ODgzZTA1YjViNjQ5MDg5OWJkMGQ6MQ==</t>
        </is>
      </c>
      <c r="AE97"/>
    </row>
    <row r="98" ht="25.5" customHeight="1">
      <c r="A98" s="2" t="str">
        <f>=HYPERLINK("https://applink.feishu.cn/client/todo/detail?guid=b4fd19d8-f576-49fe-bc91-65ffe2b85163&amp;suite_entity_num=t101095", "修复仓鼠球导致的BUG &lt; 仓鼠球功能")</f>
        <v>修复仓鼠球导致的BUG &lt; 仓鼠球功能</v>
      </c>
      <c r="B98"/>
      <c r="C98" t="inlineStr">
        <is>
          <t>默认分组</t>
        </is>
      </c>
      <c r="D98" t="inlineStr">
        <is>
          <t>1</t>
        </is>
      </c>
      <c r="E98" t="inlineStr">
        <is>
          <t>已完成</t>
        </is>
      </c>
      <c r="F98">
        <v>2</v>
      </c>
      <c r="G98" t="inlineStr">
        <is>
          <t>P0 - 必须处理</t>
        </is>
      </c>
      <c r="H98" t="inlineStr">
        <is>
          <t>🎮玩法</t>
        </is>
      </c>
      <c r="I98">
        <v>0</v>
      </c>
      <c r="J98" t="inlineStr">
        <is>
          <t>或签任务</t>
        </is>
      </c>
      <c r="K98"/>
      <c r="L98" t="inlineStr">
        <is>
          <t>0</t>
        </is>
      </c>
      <c r="M98"/>
      <c r="N98" s="3">
        <v>45903.416597222225</v>
      </c>
      <c r="O98" t="inlineStr">
        <is>
          <t>v0.0.4</t>
        </is>
      </c>
      <c r="P98" t="inlineStr">
        <is>
          <t>周晨锋</t>
        </is>
      </c>
      <c r="Q98" s="3"/>
      <c r="R98" s="3">
        <v>45901.333333333336</v>
      </c>
      <c r="S98" t="inlineStr">
        <is>
          <t>b4fd19d8-f576-49fe-bc91-65ffe2b85163</t>
        </is>
      </c>
      <c r="T98" t="inlineStr">
        <is>
          <t>6ac8fe70-3594-4dea-af6e-59dc993b38a8</t>
        </is>
      </c>
      <c r="U98"/>
      <c r="V98"/>
      <c r="W98">
        <v>0</v>
      </c>
      <c r="X98" t="inlineStr">
        <is>
          <t>周晨锋,龚政涛</t>
        </is>
      </c>
      <c r="Y98" t="inlineStr">
        <is>
          <t>龚政涛</t>
        </is>
      </c>
      <c r="Z98" s="3">
        <v>45901.410995370374</v>
      </c>
      <c r="AA98" s="3">
        <v>45903.41662037037</v>
      </c>
      <c r="AB98" s="2" t="str">
        <f>=HYPERLINK("https://applink.feishu.cn/client/todo/task_list?guid=76122b60-faec-4a61-91b0-2d229f32cc2a", "迷宫球")</f>
        <v>迷宫球</v>
      </c>
      <c r="AC98" t="inlineStr">
        <is>
          <t>76122b60-faec-4a61-91b0-2d229f32cc2a</t>
        </is>
      </c>
      <c r="AD98" t="inlineStr">
        <is>
          <t>NzUzMTk3MzcwNDkxNDg0NTY5NzpiNGZkMTlkOC1mNTc2LTQ5ZmUtYmM5MS02NWZmZTJiODUxNjM6MjIwNDcxYTRlZTllNDAyYWQ0MWJjMWE1ZTM4ZGZhYzU6MQ==</t>
        </is>
      </c>
      <c r="AE98"/>
    </row>
    <row r="99" ht="25.5" customHeight="1">
      <c r="A99" s="2" t="str">
        <f>=HYPERLINK("https://applink.feishu.cn/client/todo/detail?guid=995d28e1-51fd-49ea-ad3a-549c06f6a5d2&amp;suite_entity_num=t101096", "制作Spline循环式电梯")</f>
        <v>制作Spline循环式电梯</v>
      </c>
      <c r="B99"/>
      <c r="C99" t="inlineStr">
        <is>
          <t>默认分组</t>
        </is>
      </c>
      <c r="D99" t="inlineStr">
        <is>
          <t>1</t>
        </is>
      </c>
      <c r="E99" t="inlineStr">
        <is>
          <t>已完成</t>
        </is>
      </c>
      <c r="F99">
        <v>2</v>
      </c>
      <c r="G99" t="inlineStr">
        <is>
          <t>P1 - 最好处理</t>
        </is>
      </c>
      <c r="H99" t="inlineStr">
        <is>
          <t>🎮玩法</t>
        </is>
      </c>
      <c r="I99">
        <v>0</v>
      </c>
      <c r="J99" t="inlineStr">
        <is>
          <t>或签任务</t>
        </is>
      </c>
      <c r="K99"/>
      <c r="L99" t="inlineStr">
        <is>
          <t>0</t>
        </is>
      </c>
      <c r="M99"/>
      <c r="N99" s="3">
        <v>45903.417337962965</v>
      </c>
      <c r="O99" t="inlineStr">
        <is>
          <t>v0.0.4</t>
        </is>
      </c>
      <c r="P99" t="inlineStr">
        <is>
          <t>周晨锋</t>
        </is>
      </c>
      <c r="Q99" s="3"/>
      <c r="R99" s="3">
        <v>45901.333333333336</v>
      </c>
      <c r="S99" t="inlineStr">
        <is>
          <t>995d28e1-51fd-49ea-ad3a-549c06f6a5d2</t>
        </is>
      </c>
      <c r="T99"/>
      <c r="U99"/>
      <c r="V99"/>
      <c r="W99">
        <v>0</v>
      </c>
      <c r="X99" t="inlineStr">
        <is>
          <t>周晨锋</t>
        </is>
      </c>
      <c r="Y99" t="inlineStr">
        <is>
          <t>龚政涛</t>
        </is>
      </c>
      <c r="Z99" s="3">
        <v>45901.42065972222</v>
      </c>
      <c r="AA99" s="3">
        <v>45903.41736111111</v>
      </c>
      <c r="AB99" s="2" t="str">
        <f>=HYPERLINK("https://applink.feishu.cn/client/todo/task_list?guid=76122b60-faec-4a61-91b0-2d229f32cc2a", "迷宫球")</f>
        <v>迷宫球</v>
      </c>
      <c r="AC99" t="inlineStr">
        <is>
          <t>76122b60-faec-4a61-91b0-2d229f32cc2a</t>
        </is>
      </c>
      <c r="AD99" t="inlineStr">
        <is>
          <t>NzUzMTk3MzcwNDkxNDg0NTY5Nzo5OTVkMjhlMS01MWZkLTQ5ZWEtYWQzYS01NDljMDZmNmE1ZDI6MTgxMWFjMmZiYTExZGJjYjNmZTcyMDczYWE3NjNmMDY6MQ==</t>
        </is>
      </c>
      <c r="AE99"/>
    </row>
    <row r="100" ht="25.5" customHeight="1">
      <c r="A100" s="2" t="str">
        <f>=HYPERLINK("https://applink.feishu.cn/client/todo/detail?guid=b20f1233-d89d-42cf-a36c-fa7c7c75e476&amp;suite_entity_num=t101097", "明确圆形自动电梯参数 &lt; 制作圆形循环式电梯")</f>
        <v>明确圆形自动电梯参数 &lt; 制作圆形循环式电梯</v>
      </c>
      <c r="B100"/>
      <c r="C100" t="inlineStr">
        <is>
          <t>默认分组</t>
        </is>
      </c>
      <c r="D100" t="inlineStr">
        <is>
          <t>1</t>
        </is>
      </c>
      <c r="E100" t="inlineStr">
        <is>
          <t>已完成</t>
        </is>
      </c>
      <c r="F100">
        <v>1</v>
      </c>
      <c r="G100" t="inlineStr">
        <is>
          <t>P0 - 必须处理</t>
        </is>
      </c>
      <c r="H100" t="inlineStr">
        <is>
          <t>🛠️技术</t>
        </is>
      </c>
      <c r="I100">
        <v>0</v>
      </c>
      <c r="J100" t="inlineStr">
        <is>
          <t>或签任务</t>
        </is>
      </c>
      <c r="K100"/>
      <c r="L100" t="inlineStr">
        <is>
          <t>0</t>
        </is>
      </c>
      <c r="M100"/>
      <c r="N100" s="3">
        <v>45903.48465277778</v>
      </c>
      <c r="O100" t="inlineStr">
        <is>
          <t>v0.0.4</t>
        </is>
      </c>
      <c r="P100" t="inlineStr">
        <is>
          <t>周晨锋</t>
        </is>
      </c>
      <c r="Q100" s="3"/>
      <c r="R100" s="3">
        <v>45901.333333333336</v>
      </c>
      <c r="S100" t="inlineStr">
        <is>
          <t>b20f1233-d89d-42cf-a36c-fa7c7c75e476</t>
        </is>
      </c>
      <c r="T100" t="inlineStr">
        <is>
          <t>2c9cd907-dc3c-4671-9446-317c3c922d7a</t>
        </is>
      </c>
      <c r="U100"/>
      <c r="V100"/>
      <c r="W100">
        <v>0</v>
      </c>
      <c r="X100" t="inlineStr">
        <is>
          <t>龚政涛,周晨锋</t>
        </is>
      </c>
      <c r="Y100" t="inlineStr">
        <is>
          <t>龚政涛</t>
        </is>
      </c>
      <c r="Z100" s="3">
        <v>45901.426712962966</v>
      </c>
      <c r="AA100" s="3">
        <v>45903.4846875</v>
      </c>
      <c r="AB100" s="2" t="str">
        <f>=HYPERLINK("https://applink.feishu.cn/client/todo/task_list?guid=76122b60-faec-4a61-91b0-2d229f32cc2a", "迷宫球")</f>
        <v>迷宫球</v>
      </c>
      <c r="AC100" t="inlineStr">
        <is>
          <t>76122b60-faec-4a61-91b0-2d229f32cc2a</t>
        </is>
      </c>
      <c r="AD100" t="inlineStr">
        <is>
          <t>NzUzMTk3MzcwNDkxNDg0NTY5NzpiMjBmMTIzMy1kODlkLTQyY2YtYTM2Yy1mYTdjN2M3NWU0NzY6NzAwMWFlMmU0YzIwNDY5NjNiZGVjYTdkMWZiYWQ4YzQ6MQ==</t>
        </is>
      </c>
      <c r="AE100"/>
    </row>
    <row r="101" ht="25.5" customHeight="1">
      <c xml:space="preserve" r="A101" s="2" t="str">
        <f>=HYPERLINK("https://applink.feishu.cn/client/todo/detail?guid=140c40ac-6347-41e9-9557-8ae4601638a3&amp;suite_entity_num=t100858", "✨新增: 增加了每一关开始前的迷宫导览镜头，会缓慢的带领玩家查看迷宫 ")</f>
        <v>✨新增: 增加了每一关开始前的迷宫导览镜头，会缓慢的带领玩家查看迷宫 </v>
      </c>
      <c r="B101"/>
      <c r="C101" t="inlineStr">
        <is>
          <t>默认分组</t>
        </is>
      </c>
      <c r="D101" t="inlineStr">
        <is>
          <t>1</t>
        </is>
      </c>
      <c r="E101" t="inlineStr">
        <is>
          <t>已完成</t>
        </is>
      </c>
      <c r="F101">
        <v>6</v>
      </c>
      <c r="G101" t="inlineStr">
        <is>
          <t>P0 - 必须处理</t>
        </is>
      </c>
      <c r="H101" t="inlineStr">
        <is>
          <t>🎨艺术</t>
        </is>
      </c>
      <c r="I101">
        <v>0</v>
      </c>
      <c r="J101" t="inlineStr">
        <is>
          <t>或签任务</t>
        </is>
      </c>
      <c r="K101"/>
      <c r="L101" t="inlineStr">
        <is>
          <t>0</t>
        </is>
      </c>
      <c r="M101"/>
      <c r="N101" s="3">
        <v>45904.904282407406</v>
      </c>
      <c r="O101" t="inlineStr">
        <is>
          <t>v0.0.4</t>
        </is>
      </c>
      <c r="P101" t="inlineStr">
        <is>
          <t>周晨锋</t>
        </is>
      </c>
      <c r="Q101" s="3">
        <v>45895.333333333336</v>
      </c>
      <c r="R101" s="3">
        <v>45904.333333333336</v>
      </c>
      <c r="S101" t="inlineStr">
        <is>
          <t>140c40ac-6347-41e9-9557-8ae4601638a3</t>
        </is>
      </c>
      <c r="T101"/>
      <c r="U101"/>
      <c r="V101"/>
      <c r="W101">
        <v>1</v>
      </c>
      <c r="X101" t="inlineStr">
        <is>
          <t>龚政涛,Decay,周晨锋</t>
        </is>
      </c>
      <c r="Y101" t="inlineStr">
        <is>
          <t>龚政涛</t>
        </is>
      </c>
      <c r="Z101" s="3">
        <v>45846.4334375</v>
      </c>
      <c r="AA101" s="3">
        <v>45904.904282407406</v>
      </c>
      <c r="AB101" s="2" t="str">
        <f>=HYPERLINK("https://applink.feishu.cn/client/todo/task_list?guid=76122b60-faec-4a61-91b0-2d229f32cc2a", "迷宫球")</f>
        <v>迷宫球</v>
      </c>
      <c r="AC101" t="inlineStr">
        <is>
          <t>76122b60-faec-4a61-91b0-2d229f32cc2a</t>
        </is>
      </c>
      <c r="AD101" t="inlineStr">
        <is>
          <t>NzUzMTk3MzcwNDkxNDg0NTY5NzoxNDBjNDBhYy02MzQ3LTQxZTktOTU1Ny04YWU0NjAxNjM4YTM6MGY4ZjljYTY5ZWRmY2Q0NjNlYWFjYjFiYjU5NjA4OGQ6MQ==</t>
        </is>
      </c>
      <c r="AE101"/>
    </row>
    <row r="102" ht="25.5" customHeight="1">
      <c r="A102" s="2" t="str">
        <f>=HYPERLINK("https://applink.feishu.cn/client/todo/detail?guid=0910b680-41ff-405f-8bec-c18c8bc2fa23&amp;suite_entity_num=t101108", "ESC菜单的二级选单没暂停")</f>
        <v>ESC菜单的二级选单没暂停</v>
      </c>
      <c r="B102"/>
      <c r="C102" t="inlineStr">
        <is>
          <t>默认分组</t>
        </is>
      </c>
      <c r="D102" t="inlineStr">
        <is>
          <t>1</t>
        </is>
      </c>
      <c r="E102" t="inlineStr">
        <is>
          <t>已完成</t>
        </is>
      </c>
      <c r="F102">
        <v>2</v>
      </c>
      <c r="G102" t="inlineStr">
        <is>
          <t>P0 - 必须处理</t>
        </is>
      </c>
      <c r="H102" t="inlineStr">
        <is>
          <t>🛠️技术</t>
        </is>
      </c>
      <c r="I102">
        <v>0</v>
      </c>
      <c r="J102" t="inlineStr">
        <is>
          <t>或签任务</t>
        </is>
      </c>
      <c r="K102"/>
      <c r="L102" t="inlineStr">
        <is>
          <t>0</t>
        </is>
      </c>
      <c r="M102"/>
      <c r="N102" s="3">
        <v>45904.90347222222</v>
      </c>
      <c r="O102" t="inlineStr">
        <is>
          <t>v0.0.4</t>
        </is>
      </c>
      <c r="P102" t="inlineStr">
        <is>
          <t>周晨锋</t>
        </is>
      </c>
      <c r="Q102" s="3"/>
      <c r="R102" s="3">
        <v>45904.333333333336</v>
      </c>
      <c r="S102" t="inlineStr">
        <is>
          <t>0910b680-41ff-405f-8bec-c18c8bc2fa23</t>
        </is>
      </c>
      <c r="T102"/>
      <c r="U102"/>
      <c r="V102"/>
      <c r="W102">
        <v>0</v>
      </c>
      <c r="X102" t="inlineStr">
        <is>
          <t>周晨锋,龚政涛</t>
        </is>
      </c>
      <c r="Y102" t="inlineStr">
        <is>
          <t>龚政涛</t>
        </is>
      </c>
      <c r="Z102" s="3">
        <v>45903.418344907404</v>
      </c>
      <c r="AA102" s="3">
        <v>45904.90347222222</v>
      </c>
      <c r="AB102" s="2" t="str">
        <f>=HYPERLINK("https://applink.feishu.cn/client/todo/task_list?guid=76122b60-faec-4a61-91b0-2d229f32cc2a", "迷宫球")</f>
        <v>迷宫球</v>
      </c>
      <c r="AC102" t="inlineStr">
        <is>
          <t>76122b60-faec-4a61-91b0-2d229f32cc2a</t>
        </is>
      </c>
      <c r="AD102" t="inlineStr">
        <is>
          <t>NzUzMTk3MzcwNDkxNDg0NTY5NzowOTEwYjY4MC00MWZmLTQwNWYtOGJlYy1jMThjOGJjMmZhMjM6N2E1YzU4NjYzNGRhZjZmNjFiZTAwMjUxZGE1YzhhYjg6MQ==</t>
        </is>
      </c>
      <c r="AE102"/>
    </row>
    <row r="103" ht="25.5" customHeight="1">
      <c r="A103" s="2" t="str">
        <f>=HYPERLINK("https://applink.feishu.cn/client/todo/detail?guid=65d8d059-dda0-464d-b704-de5b0b3e1e2c&amp;suite_entity_num=t101109", "修复电梯类轨道的BUG")</f>
        <v>修复电梯类轨道的BUG</v>
      </c>
      <c r="B103"/>
      <c r="C103" t="inlineStr">
        <is>
          <t>默认分组</t>
        </is>
      </c>
      <c r="D103" t="inlineStr">
        <is>
          <t>1</t>
        </is>
      </c>
      <c r="E103" t="inlineStr">
        <is>
          <t>已完成</t>
        </is>
      </c>
      <c r="F103">
        <v>4</v>
      </c>
      <c r="G103" t="inlineStr">
        <is>
          <t>P0 - 必须处理</t>
        </is>
      </c>
      <c r="H103" t="inlineStr">
        <is>
          <t>🛠️技术</t>
        </is>
      </c>
      <c r="I103">
        <v>0</v>
      </c>
      <c r="J103" t="inlineStr">
        <is>
          <t>或签任务</t>
        </is>
      </c>
      <c r="K103"/>
      <c r="L103" t="inlineStr">
        <is>
          <t>0</t>
        </is>
      </c>
      <c r="M103"/>
      <c r="N103" s="3">
        <v>45904.90350694444</v>
      </c>
      <c r="O103" t="inlineStr">
        <is>
          <t>v0.0.4</t>
        </is>
      </c>
      <c r="P103" t="inlineStr">
        <is>
          <t>周晨锋</t>
        </is>
      </c>
      <c r="Q103" s="3"/>
      <c r="R103" s="3">
        <v>45904.333333333336</v>
      </c>
      <c r="S103" t="inlineStr">
        <is>
          <t>65d8d059-dda0-464d-b704-de5b0b3e1e2c</t>
        </is>
      </c>
      <c r="T103"/>
      <c r="U103"/>
      <c r="V103"/>
      <c r="W103">
        <v>0</v>
      </c>
      <c r="X103" t="inlineStr">
        <is>
          <t>龚政涛,周晨锋</t>
        </is>
      </c>
      <c r="Y103" t="inlineStr">
        <is>
          <t>龚政涛</t>
        </is>
      </c>
      <c r="Z103" s="3">
        <v>45903.48479166667</v>
      </c>
      <c r="AA103" s="3">
        <v>45904.90350694444</v>
      </c>
      <c r="AB103" s="2" t="str">
        <f>=HYPERLINK("https://applink.feishu.cn/client/todo/task_list?guid=76122b60-faec-4a61-91b0-2d229f32cc2a", "迷宫球")</f>
        <v>迷宫球</v>
      </c>
      <c r="AC103" t="inlineStr">
        <is>
          <t>76122b60-faec-4a61-91b0-2d229f32cc2a</t>
        </is>
      </c>
      <c r="AD103" t="inlineStr">
        <is>
          <t>NzUzMTk3MzcwNDkxNDg0NTY5Nzo2NWQ4ZDA1OS1kZGEwLTQ2NGQtYjcwNC1kZTViMGIzZTFlMmM6YjFkNDI0MjgzMDc2ZWE3MDdkMWUzZjE2NmJmYmFkYzE6MQ==</t>
        </is>
      </c>
      <c r="AE103"/>
    </row>
    <row r="104" ht="25.5" customHeight="1">
      <c r="A104" s="2" t="str">
        <f>=HYPERLINK("https://applink.feishu.cn/client/todo/detail?guid=8eee7fac-c368-4db3-aac0-2febe1bdd70b&amp;suite_entity_num=t101112", "修复了现在比较混乱的跳关机制，可以更灵活的适配大世界、小关卡")</f>
        <v>修复了现在比较混乱的跳关机制，可以更灵活的适配大世界、小关卡</v>
      </c>
      <c r="B104"/>
      <c r="C104" t="inlineStr">
        <is>
          <t>默认分组</t>
        </is>
      </c>
      <c r="D104" t="inlineStr">
        <is>
          <t>1</t>
        </is>
      </c>
      <c r="E104" t="inlineStr">
        <is>
          <t>已完成</t>
        </is>
      </c>
      <c r="F104">
        <v>2</v>
      </c>
      <c r="G104" t="inlineStr">
        <is>
          <t>P1 - 最好处理</t>
        </is>
      </c>
      <c r="H104" t="inlineStr">
        <is>
          <t>🛠️技术</t>
        </is>
      </c>
      <c r="I104">
        <v>0</v>
      </c>
      <c r="J104" t="inlineStr">
        <is>
          <t>或签任务</t>
        </is>
      </c>
      <c r="K104"/>
      <c r="L104" t="inlineStr">
        <is>
          <t>0</t>
        </is>
      </c>
      <c r="M104"/>
      <c r="N104" s="3">
        <v>45905.43163194445</v>
      </c>
      <c r="O104" t="inlineStr">
        <is>
          <t>v0.0.4</t>
        </is>
      </c>
      <c r="P104" t="inlineStr">
        <is>
          <t>周晨锋</t>
        </is>
      </c>
      <c r="Q104" s="3"/>
      <c r="R104" s="3">
        <v>45904.333333333336</v>
      </c>
      <c r="S104" t="inlineStr">
        <is>
          <t>8eee7fac-c368-4db3-aac0-2febe1bdd70b</t>
        </is>
      </c>
      <c r="T104"/>
      <c r="U104"/>
      <c r="V104"/>
      <c r="W104">
        <v>0</v>
      </c>
      <c r="X104" t="inlineStr">
        <is>
          <t>龚政涛,周晨锋</t>
        </is>
      </c>
      <c r="Y104" t="inlineStr">
        <is>
          <t>龚政涛</t>
        </is>
      </c>
      <c r="Z104" s="3">
        <v>45904.90677083333</v>
      </c>
      <c r="AA104" s="3">
        <v>45905.43164351852</v>
      </c>
      <c r="AB104" s="2" t="str">
        <f>=HYPERLINK("https://applink.feishu.cn/client/todo/task_list?guid=76122b60-faec-4a61-91b0-2d229f32cc2a", "迷宫球")</f>
        <v>迷宫球</v>
      </c>
      <c r="AC104" t="inlineStr">
        <is>
          <t>76122b60-faec-4a61-91b0-2d229f32cc2a</t>
        </is>
      </c>
      <c r="AD104" t="inlineStr">
        <is>
          <t>NzUzMTk3MzcwNDkxNDg0NTY5Nzo4ZWVlN2ZhYy1jMzY4LTRkYjMtYWFjMC0yZmViZTFiZGQ3MGI6NGJkOGQ1ODQ5MWYxOGY2ZmZlYmMxZWFiOGM0MmIzZWM6MQ==</t>
        </is>
      </c>
      <c r="AE104"/>
    </row>
    <row r="105" ht="25.5" customHeight="1">
      <c r="A105" s="2" t="str">
        <f>=HYPERLINK("https://applink.feishu.cn/client/todo/detail?guid=68f49d69-08da-4715-a89c-803ffc2dd7b3&amp;suite_entity_num=t100882", "准备UI需求文档 &lt; ✨新增: 更新了所有的UI设计，现在界面会更适应游戏的风格")</f>
        <v>准备UI需求文档 &lt; ✨新增: 更新了所有的UI设计，现在界面会更适应游戏的风格</v>
      </c>
      <c r="B105"/>
      <c r="C105" t="inlineStr">
        <is>
          <t>默认分组</t>
        </is>
      </c>
      <c r="D105" t="inlineStr">
        <is>
          <t>1</t>
        </is>
      </c>
      <c r="E105" t="inlineStr">
        <is>
          <t>已完成</t>
        </is>
      </c>
      <c r="F105">
        <v>4</v>
      </c>
      <c r="G105" t="inlineStr">
        <is>
          <t>P1 - 最好处理</t>
        </is>
      </c>
      <c r="H105" t="inlineStr">
        <is>
          <t>✍️故事</t>
        </is>
      </c>
      <c r="I105">
        <v>0</v>
      </c>
      <c r="J105" t="inlineStr">
        <is>
          <t>或签任务</t>
        </is>
      </c>
      <c r="K105"/>
      <c r="L105" t="inlineStr">
        <is>
          <t>0</t>
        </is>
      </c>
      <c r="M105"/>
      <c r="N105" s="3">
        <v>45909.702465277776</v>
      </c>
      <c r="O105" t="inlineStr">
        <is>
          <t>v0.0.4</t>
        </is>
      </c>
      <c r="P105" t="inlineStr">
        <is>
          <t>龚政涛</t>
        </is>
      </c>
      <c r="Q105" s="3">
        <v>45894.333333333336</v>
      </c>
      <c r="R105" s="3">
        <v>45905.333333333336</v>
      </c>
      <c r="S105" t="inlineStr">
        <is>
          <t>68f49d69-08da-4715-a89c-803ffc2dd7b3</t>
        </is>
      </c>
      <c r="T105" t="inlineStr">
        <is>
          <t>609b3bc0-6a66-424e-a7fc-bbb91d90897d</t>
        </is>
      </c>
      <c r="U105"/>
      <c r="V105" t="inlineStr">
        <is>
          <t>de91ef88-3320-4670-86e0-9463d7acef21</t>
        </is>
      </c>
      <c r="W105">
        <v>0</v>
      </c>
      <c r="X105" t="inlineStr">
        <is>
          <t>龚政涛</t>
        </is>
      </c>
      <c r="Y105" t="inlineStr">
        <is>
          <t>龚政涛</t>
        </is>
      </c>
      <c r="Z105" s="3">
        <v>45846.844375</v>
      </c>
      <c r="AA105" s="3">
        <v>45909.70247685185</v>
      </c>
      <c r="AB105" s="2" t="str">
        <f>=HYPERLINK("https://applink.feishu.cn/client/todo/task_list?guid=76122b60-faec-4a61-91b0-2d229f32cc2a", "迷宫球")</f>
        <v>迷宫球</v>
      </c>
      <c r="AC105" t="inlineStr">
        <is>
          <t>76122b60-faec-4a61-91b0-2d229f32cc2a</t>
        </is>
      </c>
      <c r="AD105" t="inlineStr">
        <is>
          <t>NzUzMTk3MzcwNDkxNDg0NTY5Nzo2OGY0OWQ2OS0wOGRhLTQ3MTUtYTg5Yy04MDNmZmMyZGQ3YjM6ZGQ5OTdlZGY3MjYxODhkNjA3MTY3NGQ5ODQxYTY1ZTY6MQ==</t>
        </is>
      </c>
      <c r="AE105"/>
    </row>
    <row r="106" ht="25.5" customHeight="1">
      <c r="A106" s="2" t="str">
        <f>=HYPERLINK("https://applink.feishu.cn/client/todo/detail?guid=8a9da484-4df0-44b8-8077-0b820a6fe696&amp;suite_entity_num=t100885", "实装UI资产 &lt; ✨新增: 更新了所有的UI设计，现在界面会更适应游戏的风格")</f>
        <v>实装UI资产 &lt; ✨新增: 更新了所有的UI设计，现在界面会更适应游戏的风格</v>
      </c>
      <c r="B106"/>
      <c r="C106"/>
      <c r="D106" t="inlineStr">
        <is>
          <t>0</t>
        </is>
      </c>
      <c r="E106"/>
      <c r="F106">
        <v>4</v>
      </c>
      <c r="G106" t="inlineStr">
        <is>
          <t>P1 - 最好处理</t>
        </is>
      </c>
      <c r="H106" t="inlineStr">
        <is>
          <t>🎨艺术</t>
        </is>
      </c>
      <c r="I106">
        <v>0</v>
      </c>
      <c r="J106" t="inlineStr">
        <is>
          <t>或签任务</t>
        </is>
      </c>
      <c r="K106"/>
      <c r="L106" t="inlineStr">
        <is>
          <t>0</t>
        </is>
      </c>
      <c r="M106"/>
      <c r="N106" s="3"/>
      <c r="O106" t="inlineStr">
        <is>
          <t>v0.0.5</t>
        </is>
      </c>
      <c r="P106" t="inlineStr">
        <is>
          <t>周晨锋</t>
        </is>
      </c>
      <c r="Q106" s="3">
        <v>45905.333333333336</v>
      </c>
      <c r="R106" s="3">
        <v>45905.333333333336</v>
      </c>
      <c r="S106" t="inlineStr">
        <is>
          <t>8a9da484-4df0-44b8-8077-0b820a6fe696</t>
        </is>
      </c>
      <c r="T106" t="inlineStr">
        <is>
          <t>609b3bc0-6a66-424e-a7fc-bbb91d90897d</t>
        </is>
      </c>
      <c r="U106" t="inlineStr">
        <is>
          <t>8aacc70b-0a2f-49df-8dd8-21befa61a07c, de91ef88-3320-4670-86e0-9463d7acef21, 4bd7b13a-2d29-4681-82d3-3e131a25c8c9</t>
        </is>
      </c>
      <c r="V106"/>
      <c r="W106">
        <v>0</v>
      </c>
      <c r="X106" t="inlineStr">
        <is>
          <t>龚政涛,周晨锋</t>
        </is>
      </c>
      <c r="Y106" t="inlineStr">
        <is>
          <t>龚政涛</t>
        </is>
      </c>
      <c r="Z106" s="3">
        <v>45846.84473379629</v>
      </c>
      <c r="AA106" s="3">
        <v>45949.66353009259</v>
      </c>
      <c r="AB106" s="2" t="str">
        <f>=HYPERLINK("https://applink.feishu.cn/client/todo/task_list?guid=76122b60-faec-4a61-91b0-2d229f32cc2a", "迷宫球")</f>
        <v>迷宫球</v>
      </c>
      <c r="AC106" t="inlineStr">
        <is>
          <t>76122b60-faec-4a61-91b0-2d229f32cc2a</t>
        </is>
      </c>
      <c r="AD106" t="inlineStr">
        <is>
          <t>NzUzMTk3MzcwNDkxNDg0NTY5Nzo4YTlkYTQ4NC00ZGYwLTQ0YjgtODA3Ny0wYjgyMGE2ZmU2OTY6MjFmNDQ1Y2U3YWNkYmJjOWE2MjFlMjNmYWFmNmIxMzI6MQ==</t>
        </is>
      </c>
      <c r="AE106"/>
    </row>
    <row r="107" ht="25.5" customHeight="1">
      <c r="A107" s="2" t="str">
        <f>=HYPERLINK("https://applink.feishu.cn/client/todo/detail?guid=fb219385-14a5-456c-b808-efadd664e052&amp;suite_entity_num=t101053", "修复菜单界面吞指令的问题 &lt; ✨新增: 更新了所有的UI设计，现在界面会更适应游戏的风格")</f>
        <v>修复菜单界面吞指令的问题 &lt; ✨新增: 更新了所有的UI设计，现在界面会更适应游戏的风格</v>
      </c>
      <c r="B107"/>
      <c r="C107" t="inlineStr">
        <is>
          <t>默认分组</t>
        </is>
      </c>
      <c r="D107" t="inlineStr">
        <is>
          <t>1</t>
        </is>
      </c>
      <c r="E107" t="inlineStr">
        <is>
          <t>已完成</t>
        </is>
      </c>
      <c r="F107">
        <v>8</v>
      </c>
      <c r="G107" t="inlineStr">
        <is>
          <t>P0 - 必须处理</t>
        </is>
      </c>
      <c r="H107" t="inlineStr">
        <is>
          <t>🛠️技术</t>
        </is>
      </c>
      <c r="I107">
        <v>0</v>
      </c>
      <c r="J107" t="inlineStr">
        <is>
          <t>或签任务</t>
        </is>
      </c>
      <c r="K107"/>
      <c r="L107" t="inlineStr">
        <is>
          <t>0</t>
        </is>
      </c>
      <c r="M107"/>
      <c r="N107" s="3">
        <v>45908.3996412037</v>
      </c>
      <c r="O107" t="inlineStr">
        <is>
          <t>v0.0.4</t>
        </is>
      </c>
      <c r="P107" t="inlineStr">
        <is>
          <t>周晨锋</t>
        </is>
      </c>
      <c r="Q107" s="3">
        <v>45891.333333333336</v>
      </c>
      <c r="R107" s="3">
        <v>45905.333333333336</v>
      </c>
      <c r="S107" t="inlineStr">
        <is>
          <t>fb219385-14a5-456c-b808-efadd664e052</t>
        </is>
      </c>
      <c r="T107" t="inlineStr">
        <is>
          <t>609b3bc0-6a66-424e-a7fc-bbb91d90897d</t>
        </is>
      </c>
      <c r="U107"/>
      <c r="V107"/>
      <c r="W107">
        <v>5</v>
      </c>
      <c r="X107" t="inlineStr">
        <is>
          <t>周晨锋,龚政涛,Decay</t>
        </is>
      </c>
      <c r="Y107" t="inlineStr">
        <is>
          <t>龚政涛</t>
        </is>
      </c>
      <c r="Z107" s="3">
        <v>45891.615219907406</v>
      </c>
      <c r="AA107" s="3">
        <v>45908.3996412037</v>
      </c>
      <c r="AB107" s="2" t="str">
        <f>=HYPERLINK("https://applink.feishu.cn/client/todo/task_list?guid=76122b60-faec-4a61-91b0-2d229f32cc2a", "迷宫球")</f>
        <v>迷宫球</v>
      </c>
      <c r="AC107" t="inlineStr">
        <is>
          <t>76122b60-faec-4a61-91b0-2d229f32cc2a</t>
        </is>
      </c>
      <c r="AD107" t="inlineStr">
        <is>
          <t>NzUzMTk3MzcwNDkxNDg0NTY5NzpmYjIxOTM4NS0xNGE1LTQ1NmMtYjgwOC1lZmFkZDY2NGUwNTI6ODhkYjJkZmEzNmY3NGJhYzA3MjA2MzI0MjFiYWMwZDc6MQ==</t>
        </is>
      </c>
      <c r="AE107"/>
    </row>
    <row r="108" ht="25.5" customHeight="1">
      <c r="A108" s="2" t="str">
        <f>=HYPERLINK("https://applink.feishu.cn/client/todo/detail?guid=cd26e376-601e-434c-8016-0b2fee91a233&amp;suite_entity_num=t101111", "开发更灵活的教程配置机制")</f>
        <v>开发更灵活的教程配置机制</v>
      </c>
      <c r="B108" t="inlineStr">
        <is>
          <t>每个教程单独一个widget，按需用表格配置到不同的关卡</t>
        </is>
      </c>
      <c r="C108" t="inlineStr">
        <is>
          <t>默认分组</t>
        </is>
      </c>
      <c r="D108" t="inlineStr">
        <is>
          <t>1</t>
        </is>
      </c>
      <c r="E108" t="inlineStr">
        <is>
          <t>已完成</t>
        </is>
      </c>
      <c r="F108">
        <v>2</v>
      </c>
      <c r="G108" t="inlineStr">
        <is>
          <t>P2 - 新的想法</t>
        </is>
      </c>
      <c r="H108" t="inlineStr">
        <is>
          <t>🛠️技术</t>
        </is>
      </c>
      <c r="I108">
        <v>0</v>
      </c>
      <c r="J108" t="inlineStr">
        <is>
          <t>或签任务</t>
        </is>
      </c>
      <c r="K108"/>
      <c r="L108" t="inlineStr">
        <is>
          <t>0</t>
        </is>
      </c>
      <c r="M108"/>
      <c r="N108" s="3">
        <v>45905.43303240741</v>
      </c>
      <c r="O108" t="inlineStr">
        <is>
          <t>v0.0.4</t>
        </is>
      </c>
      <c r="P108" t="inlineStr">
        <is>
          <t>周晨锋</t>
        </is>
      </c>
      <c r="Q108" s="3"/>
      <c r="R108" s="3">
        <v>45905.333333333336</v>
      </c>
      <c r="S108" t="inlineStr">
        <is>
          <t>cd26e376-601e-434c-8016-0b2fee91a233</t>
        </is>
      </c>
      <c r="T108"/>
      <c r="U108"/>
      <c r="V108"/>
      <c r="W108">
        <v>0</v>
      </c>
      <c r="X108" t="inlineStr">
        <is>
          <t>龚政涛,周晨锋</t>
        </is>
      </c>
      <c r="Y108" t="inlineStr">
        <is>
          <t>龚政涛</t>
        </is>
      </c>
      <c r="Z108" s="3">
        <v>45904.903819444444</v>
      </c>
      <c r="AA108" s="3">
        <v>45905.43303240741</v>
      </c>
      <c r="AB108" s="2" t="str">
        <f>=HYPERLINK("https://applink.feishu.cn/client/todo/task_list?guid=76122b60-faec-4a61-91b0-2d229f32cc2a", "迷宫球")</f>
        <v>迷宫球</v>
      </c>
      <c r="AC108" t="inlineStr">
        <is>
          <t>76122b60-faec-4a61-91b0-2d229f32cc2a</t>
        </is>
      </c>
      <c r="AD108" t="inlineStr">
        <is>
          <t>NzUzMTk3MzcwNDkxNDg0NTY5NzpjZDI2ZTM3Ni02MDFlLTQzNGMtODAxNi0wYjJmZWU5MWEyMzM6YzFlMjBjNzM1MjU2NTNkYmFlY2EzNDdlNTc3ZjBjZTg6MQ==</t>
        </is>
      </c>
      <c r="AE108"/>
    </row>
    <row r="109" ht="25.5" customHeight="1">
      <c r="A109" s="2" t="str">
        <f>=HYPERLINK("https://applink.feishu.cn/client/todo/detail?guid=49402539-47a0-40ed-8d26-1b5edc6a1030&amp;suite_entity_num=t101118", "spline电梯需要速度曲线")</f>
        <v>spline电梯需要速度曲线</v>
      </c>
      <c r="B109"/>
      <c r="C109" t="inlineStr">
        <is>
          <t>默认分组</t>
        </is>
      </c>
      <c r="D109" t="inlineStr">
        <is>
          <t>1</t>
        </is>
      </c>
      <c r="E109" t="inlineStr">
        <is>
          <t>已完成</t>
        </is>
      </c>
      <c r="F109">
        <v>4</v>
      </c>
      <c r="G109" t="inlineStr">
        <is>
          <t>P0 - 必须处理</t>
        </is>
      </c>
      <c r="H109" t="inlineStr">
        <is>
          <t>🛠️技术</t>
        </is>
      </c>
      <c r="I109">
        <v>0</v>
      </c>
      <c r="J109" t="inlineStr">
        <is>
          <t>或签任务</t>
        </is>
      </c>
      <c r="K109"/>
      <c r="L109" t="inlineStr">
        <is>
          <t>0</t>
        </is>
      </c>
      <c r="M109"/>
      <c r="N109" s="3">
        <v>45910.414872685185</v>
      </c>
      <c r="O109" t="inlineStr">
        <is>
          <t>v0.0.4</t>
        </is>
      </c>
      <c r="P109" t="inlineStr">
        <is>
          <t>周晨锋</t>
        </is>
      </c>
      <c r="Q109" s="3"/>
      <c r="R109" s="3">
        <v>45905.333333333336</v>
      </c>
      <c r="S109" t="inlineStr">
        <is>
          <t>49402539-47a0-40ed-8d26-1b5edc6a1030</t>
        </is>
      </c>
      <c r="T109"/>
      <c r="U109"/>
      <c r="V109"/>
      <c r="W109">
        <v>0</v>
      </c>
      <c r="X109" t="inlineStr">
        <is>
          <t>周晨锋,龚政涛</t>
        </is>
      </c>
      <c r="Y109" t="inlineStr">
        <is>
          <t>龚政涛</t>
        </is>
      </c>
      <c r="Z109" s="3">
        <v>45905.43369212963</v>
      </c>
      <c r="AA109" s="3">
        <v>45910.414872685185</v>
      </c>
      <c r="AB109" s="2" t="str">
        <f>=HYPERLINK("https://applink.feishu.cn/client/todo/task_list?guid=76122b60-faec-4a61-91b0-2d229f32cc2a", "迷宫球")</f>
        <v>迷宫球</v>
      </c>
      <c r="AC109" t="inlineStr">
        <is>
          <t>76122b60-faec-4a61-91b0-2d229f32cc2a</t>
        </is>
      </c>
      <c r="AD109" t="inlineStr">
        <is>
          <t>NzUzMTk3MzcwNDkxNDg0NTY5Nzo0OTQwMjUzOS00N2EwLTQwZWQtOGQyNi0xYjVlZGM2YTEwMzA6MTA3M2ViNDRlMmFkZjQ3OWUzNTFlYjNmNTc3ZjVlNTQ6MQ==</t>
        </is>
      </c>
      <c r="AE109"/>
    </row>
    <row r="110" ht="25.5" customHeight="1">
      <c r="A110" s="2" t="str">
        <f>=HYPERLINK("https://applink.feishu.cn/client/todo/detail?guid=6f878a24-86f3-4768-b7a1-2504ff1359c3&amp;suite_entity_num=t101119", "小球如果在触发式电梯的回落路径上卡他一下（在下面卡），电梯会卡在顶部")</f>
        <v>小球如果在触发式电梯的回落路径上卡他一下（在下面卡），电梯会卡在顶部</v>
      </c>
      <c r="B110"/>
      <c r="C110" t="inlineStr">
        <is>
          <t>默认分组</t>
        </is>
      </c>
      <c r="D110" t="inlineStr">
        <is>
          <t>1</t>
        </is>
      </c>
      <c r="E110" t="inlineStr">
        <is>
          <t>已完成</t>
        </is>
      </c>
      <c r="F110">
        <v>8</v>
      </c>
      <c r="G110" t="inlineStr">
        <is>
          <t>P0 - 必须处理</t>
        </is>
      </c>
      <c r="H110" t="inlineStr">
        <is>
          <t>🛠️技术</t>
        </is>
      </c>
      <c r="I110">
        <v>0</v>
      </c>
      <c r="J110" t="inlineStr">
        <is>
          <t>或签任务</t>
        </is>
      </c>
      <c r="K110"/>
      <c r="L110" t="inlineStr">
        <is>
          <t>0</t>
        </is>
      </c>
      <c r="M110"/>
      <c r="N110" s="3">
        <v>45911.40820601852</v>
      </c>
      <c r="O110" t="inlineStr">
        <is>
          <t>v0.0.4</t>
        </is>
      </c>
      <c r="P110" t="inlineStr">
        <is>
          <t>周晨锋</t>
        </is>
      </c>
      <c r="Q110" s="3"/>
      <c r="R110" s="3">
        <v>45910.333333333336</v>
      </c>
      <c r="S110" t="inlineStr">
        <is>
          <t>6f878a24-86f3-4768-b7a1-2504ff1359c3</t>
        </is>
      </c>
      <c r="T110"/>
      <c r="U110"/>
      <c r="V110"/>
      <c r="W110">
        <v>1</v>
      </c>
      <c r="X110" t="inlineStr">
        <is>
          <t>龚政涛,周晨锋</t>
        </is>
      </c>
      <c r="Y110" t="inlineStr">
        <is>
          <t>龚政涛</t>
        </is>
      </c>
      <c r="Z110" s="3">
        <v>45905.43393518519</v>
      </c>
      <c r="AA110" s="3">
        <v>45911.408229166664</v>
      </c>
      <c r="AB110" s="2" t="str">
        <f>=HYPERLINK("https://applink.feishu.cn/client/todo/task_list?guid=76122b60-faec-4a61-91b0-2d229f32cc2a", "迷宫球")</f>
        <v>迷宫球</v>
      </c>
      <c r="AC110" t="inlineStr">
        <is>
          <t>76122b60-faec-4a61-91b0-2d229f32cc2a</t>
        </is>
      </c>
      <c r="AD110" t="inlineStr">
        <is>
          <t>NzUzMTk3MzcwNDkxNDg0NTY5Nzo2Zjg3OGEyNC04NmYzLTQ3NjgtYjdhMS0yNTA0ZmYxMzU5YzM6NGUyYTMwOTIyMzI4NDkyOGU2NmVmMDEwMzUyNTYzNjk6MQ==</t>
        </is>
      </c>
      <c r="AE110"/>
    </row>
    <row r="111" ht="25.5" customHeight="1">
      <c r="A111" s="2" t="str">
        <f>=HYPERLINK("https://applink.feishu.cn/client/todo/detail?guid=609b3bc0-6a66-424e-a7fc-bbb91d90897d&amp;suite_entity_num=t100859", "✨新增: 更新了所有的UI设计，现在界面会更适应游戏的风格")</f>
        <v>✨新增: 更新了所有的UI设计，现在界面会更适应游戏的风格</v>
      </c>
      <c r="B111"/>
      <c r="C111" t="inlineStr">
        <is>
          <t>默认分组</t>
        </is>
      </c>
      <c r="D111" t="inlineStr">
        <is>
          <t>0</t>
        </is>
      </c>
      <c r="E111" t="inlineStr">
        <is>
          <t>已拆分</t>
        </is>
      </c>
      <c r="F111"/>
      <c r="G111"/>
      <c r="H111" t="inlineStr">
        <is>
          <t>🎨艺术</t>
        </is>
      </c>
      <c r="I111">
        <v>6</v>
      </c>
      <c r="J111" t="inlineStr">
        <is>
          <t>或签任务</t>
        </is>
      </c>
      <c r="K111"/>
      <c r="L111" t="inlineStr">
        <is>
          <t>0</t>
        </is>
      </c>
      <c r="M111">
        <v>0.67</v>
      </c>
      <c r="N111" s="3"/>
      <c r="O111" t="inlineStr">
        <is>
          <t>v0.0.4</t>
        </is>
      </c>
      <c r="P111" t="inlineStr">
        <is>
          <t>龚政涛,S1UyuAy7E</t>
        </is>
      </c>
      <c r="Q111" s="3"/>
      <c r="R111" s="3">
        <v>45911.333333333336</v>
      </c>
      <c r="S111" t="inlineStr">
        <is>
          <t>609b3bc0-6a66-424e-a7fc-bbb91d90897d</t>
        </is>
      </c>
      <c r="T111"/>
      <c r="U111"/>
      <c r="V111"/>
      <c r="W111">
        <v>0</v>
      </c>
      <c r="X111" t="inlineStr">
        <is>
          <t>S1UyuAy7E,周晨锋,龚政涛</t>
        </is>
      </c>
      <c r="Y111" t="inlineStr">
        <is>
          <t>龚政涛</t>
        </is>
      </c>
      <c r="Z111" s="3">
        <v>45846.43409722222</v>
      </c>
      <c r="AA111" s="3">
        <v>45911.40893518519</v>
      </c>
      <c r="AB111" s="2" t="str">
        <f>=HYPERLINK("https://applink.feishu.cn/client/todo/task_list?guid=76122b60-faec-4a61-91b0-2d229f32cc2a", "迷宫球")</f>
        <v>迷宫球</v>
      </c>
      <c r="AC111" t="inlineStr">
        <is>
          <t>76122b60-faec-4a61-91b0-2d229f32cc2a</t>
        </is>
      </c>
      <c r="AD111" t="inlineStr">
        <is>
          <t>NzUzMTk3MzcwNDkxNDg0NTY5Nzo2MDliM2JjMC02YTY2LTQyNGUtYTdmYy1iYmI5MWQ5MDg5N2Q6ZWQ0MjNkOWExZTk3NDg5NjBmZjI1OTBkMjI3YWU3YmU6MQ==</t>
        </is>
      </c>
      <c r="AE111"/>
    </row>
    <row r="112" ht="25.5" customHeight="1">
      <c r="A112" s="2" t="str">
        <f>=HYPERLINK("https://applink.feishu.cn/client/todo/detail?guid=4bd7b13a-2d29-4681-82d3-3e131a25c8c9&amp;suite_entity_num=t100829", "✨新增: 新增了游戏背景故事“破解迷宫，解放像素世界”，增加一些代入感")</f>
        <v>✨新增: 新增了游戏背景故事“破解迷宫，解放像素世界”，增加一些代入感</v>
      </c>
      <c r="B112" t="inlineStr">
        <is>
          <t>主要体现在UI，会在每一个关卡撰写故事</t>
        </is>
      </c>
      <c r="C112" t="inlineStr">
        <is>
          <t>默认分组</t>
        </is>
      </c>
      <c r="D112" t="inlineStr">
        <is>
          <t>0</t>
        </is>
      </c>
      <c r="E112" t="inlineStr">
        <is>
          <t>进行中</t>
        </is>
      </c>
      <c r="F112">
        <v>4</v>
      </c>
      <c r="G112" t="inlineStr">
        <is>
          <t>P1 - 最好处理</t>
        </is>
      </c>
      <c r="H112" t="inlineStr">
        <is>
          <t>✍️故事</t>
        </is>
      </c>
      <c r="I112">
        <v>0</v>
      </c>
      <c r="J112" t="inlineStr">
        <is>
          <t>或签任务</t>
        </is>
      </c>
      <c r="K112"/>
      <c r="L112" t="inlineStr">
        <is>
          <t>0</t>
        </is>
      </c>
      <c r="M112"/>
      <c r="N112" s="3"/>
      <c r="O112" t="inlineStr">
        <is>
          <t>v0.0.4</t>
        </is>
      </c>
      <c r="P112" t="inlineStr">
        <is>
          <t>龚政涛</t>
        </is>
      </c>
      <c r="Q112" s="3">
        <v>45898.333333333336</v>
      </c>
      <c r="R112" s="3">
        <v>45911.333333333336</v>
      </c>
      <c r="S112" t="inlineStr">
        <is>
          <t>4bd7b13a-2d29-4681-82d3-3e131a25c8c9</t>
        </is>
      </c>
      <c r="T112"/>
      <c r="U112"/>
      <c r="V112" t="inlineStr">
        <is>
          <t>8a9da484-4df0-44b8-8077-0b820a6fe696</t>
        </is>
      </c>
      <c r="W112">
        <v>0</v>
      </c>
      <c r="X112" t="inlineStr">
        <is>
          <t>龚政涛</t>
        </is>
      </c>
      <c r="Y112" t="inlineStr">
        <is>
          <t>龚政涛</t>
        </is>
      </c>
      <c r="Z112" s="3">
        <v>45846.420486111114</v>
      </c>
      <c r="AA112" s="3">
        <v>45926.412835648145</v>
      </c>
      <c r="AB112" s="2" t="str">
        <f>=HYPERLINK("https://applink.feishu.cn/client/todo/task_list?guid=76122b60-faec-4a61-91b0-2d229f32cc2a", "迷宫球")</f>
        <v>迷宫球</v>
      </c>
      <c r="AC112" t="inlineStr">
        <is>
          <t>76122b60-faec-4a61-91b0-2d229f32cc2a</t>
        </is>
      </c>
      <c r="AD112" t="inlineStr">
        <is>
          <t>NzUzMTk3MzcwNDkxNDg0NTY5Nzo0YmQ3YjEzYS0yZDI5LTQ2ODEtODJkMy0zZTEzMWEyNWM4Yzk6M2ExYTEzODRhNTEwMTEzODIyNTBlZjBlNjY0YWI3YjY6MQ==</t>
        </is>
      </c>
      <c r="AE112"/>
    </row>
    <row r="113" ht="25.5" customHeight="1">
      <c r="A113" s="2" t="str">
        <f>=HYPERLINK("https://applink.feishu.cn/client/todo/detail?guid=de91ef88-3320-4670-86e0-9463d7acef21&amp;suite_entity_num=t100883", "制作UI素材 &lt; ✨新增: 更新了所有的UI设计，现在界面会更适应游戏的风格")</f>
        <v>制作UI素材 &lt; ✨新增: 更新了所有的UI设计，现在界面会更适应游戏的风格</v>
      </c>
      <c r="B113"/>
      <c r="C113" t="inlineStr">
        <is>
          <t>默认分组</t>
        </is>
      </c>
      <c r="D113" t="inlineStr">
        <is>
          <t>1</t>
        </is>
      </c>
      <c r="E113" t="inlineStr">
        <is>
          <t>已完成</t>
        </is>
      </c>
      <c r="F113">
        <v>4</v>
      </c>
      <c r="G113" t="inlineStr">
        <is>
          <t>P1 - 最好处理</t>
        </is>
      </c>
      <c r="H113" t="inlineStr">
        <is>
          <t>🎨艺术</t>
        </is>
      </c>
      <c r="I113">
        <v>0</v>
      </c>
      <c r="J113" t="inlineStr">
        <is>
          <t>或签任务</t>
        </is>
      </c>
      <c r="K113"/>
      <c r="L113" t="inlineStr">
        <is>
          <t>0</t>
        </is>
      </c>
      <c r="M113"/>
      <c r="N113" s="3">
        <v>45949.663402777776</v>
      </c>
      <c r="O113" t="inlineStr">
        <is>
          <t>v0.0.4</t>
        </is>
      </c>
      <c r="P113" t="inlineStr">
        <is>
          <t>龚政涛</t>
        </is>
      </c>
      <c r="Q113" s="3">
        <v>45900.333333333336</v>
      </c>
      <c r="R113" s="3">
        <v>45911.333333333336</v>
      </c>
      <c r="S113" t="inlineStr">
        <is>
          <t>de91ef88-3320-4670-86e0-9463d7acef21</t>
        </is>
      </c>
      <c r="T113" t="inlineStr">
        <is>
          <t>609b3bc0-6a66-424e-a7fc-bbb91d90897d</t>
        </is>
      </c>
      <c r="U113" t="inlineStr">
        <is>
          <t>68f49d69-08da-4715-a89c-803ffc2dd7b3</t>
        </is>
      </c>
      <c r="V113" t="inlineStr">
        <is>
          <t>8a9da484-4df0-44b8-8077-0b820a6fe696</t>
        </is>
      </c>
      <c r="W113">
        <v>0</v>
      </c>
      <c r="X113" t="inlineStr">
        <is>
          <t>龚政涛,S1UyuAy7E</t>
        </is>
      </c>
      <c r="Y113" t="inlineStr">
        <is>
          <t>龚政涛</t>
        </is>
      </c>
      <c r="Z113" s="3">
        <v>45846.84442129629</v>
      </c>
      <c r="AA113" s="3">
        <v>45949.663402777776</v>
      </c>
      <c r="AB113" s="2" t="str">
        <f>=HYPERLINK("https://applink.feishu.cn/client/todo/task_list?guid=76122b60-faec-4a61-91b0-2d229f32cc2a", "迷宫球")</f>
        <v>迷宫球</v>
      </c>
      <c r="AC113" t="inlineStr">
        <is>
          <t>76122b60-faec-4a61-91b0-2d229f32cc2a</t>
        </is>
      </c>
      <c r="AD113" t="inlineStr">
        <is>
          <t>NzUzMTk3MzcwNDkxNDg0NTY5NzpkZTkxZWY4OC0zMzIwLTQ2NzAtODZlMC05NDYzZDdhY2VmMjE6OTczNzBhNWY5NDQwODhlMmU0YjM2MGQ1ODgzMTY0NWY6MQ==</t>
        </is>
      </c>
      <c r="AE113"/>
    </row>
    <row r="114" ht="25.5" customHeight="1">
      <c r="A114" s="2" t="str">
        <f>=HYPERLINK("https://applink.feishu.cn/client/todo/detail?guid=5f1fcca4-849b-449e-9de8-e5509a275356&amp;suite_entity_num=t100896", "矿洞 - 体素模型风格验证 &lt; ✨新增: 增加了1个新的主题关卡玩法")</f>
        <v>矿洞 - 体素模型风格验证 &lt; ✨新增: 增加了1个新的主题关卡玩法</v>
      </c>
      <c r="B114"/>
      <c r="C114" t="inlineStr">
        <is>
          <t>默认分组</t>
        </is>
      </c>
      <c r="D114" t="inlineStr">
        <is>
          <t>0</t>
        </is>
      </c>
      <c r="E114"/>
      <c r="F114">
        <v>8</v>
      </c>
      <c r="G114"/>
      <c r="H114" t="inlineStr">
        <is>
          <t>✍️故事</t>
        </is>
      </c>
      <c r="I114">
        <v>0</v>
      </c>
      <c r="J114" t="inlineStr">
        <is>
          <t>或签任务</t>
        </is>
      </c>
      <c r="K114"/>
      <c r="L114" t="inlineStr">
        <is>
          <t>0</t>
        </is>
      </c>
      <c r="M114"/>
      <c r="N114" s="3"/>
      <c r="O114" t="inlineStr">
        <is>
          <t>v0.0.5</t>
        </is>
      </c>
      <c r="P114" t="inlineStr">
        <is>
          <t>S1UyuAy7E</t>
        </is>
      </c>
      <c r="Q114" s="3">
        <v>45894.333333333336</v>
      </c>
      <c r="R114" s="3">
        <v>45911.333333333336</v>
      </c>
      <c r="S114" t="inlineStr">
        <is>
          <t>5f1fcca4-849b-449e-9de8-e5509a275356</t>
        </is>
      </c>
      <c r="T114" t="inlineStr">
        <is>
          <t>bc8a7a7e-d7ad-416c-9af2-208a6ed042c7</t>
        </is>
      </c>
      <c r="U114"/>
      <c r="V114" t="inlineStr">
        <is>
          <t>0735cdc4-14d9-4054-83c0-50c9c0a996e2</t>
        </is>
      </c>
      <c r="W114">
        <v>0</v>
      </c>
      <c r="X114" t="inlineStr">
        <is>
          <t>龚政涛,S1UyuAy7E</t>
        </is>
      </c>
      <c r="Y114" t="inlineStr">
        <is>
          <t>龚政涛</t>
        </is>
      </c>
      <c r="Z114" s="3">
        <v>45846.86225694444</v>
      </c>
      <c r="AA114" s="3">
        <v>45949.66239583334</v>
      </c>
      <c r="AB114" s="2" t="str">
        <f>=HYPERLINK("https://applink.feishu.cn/client/todo/task_list?guid=76122b60-faec-4a61-91b0-2d229f32cc2a", "迷宫球")</f>
        <v>迷宫球</v>
      </c>
      <c r="AC114" t="inlineStr">
        <is>
          <t>76122b60-faec-4a61-91b0-2d229f32cc2a</t>
        </is>
      </c>
      <c r="AD114" t="inlineStr">
        <is>
          <t>NzUzMTk3MzcwNDkxNDg0NTY5Nzo1ZjFmY2NhNC04NDliLTQ0OWUtOWRlOC1lNTUwOWEyNzUzNTY6MDI3MDY4NTVkYTZlYzdkOGFiMDMyNGZiYjIzNmNkYTY6MQ==</t>
        </is>
      </c>
      <c r="AE114"/>
    </row>
    <row r="115" ht="25.5" customHeight="1">
      <c r="A115" s="2" t="str">
        <f>=HYPERLINK("https://applink.feishu.cn/client/todo/detail?guid=0735cdc4-14d9-4054-83c0-50c9c0a996e2&amp;suite_entity_num=t100887", "矿洞 - 侧墙 体素模型 &lt; ✨新增: 增加了1个新的主题关卡玩法")</f>
        <v>矿洞 - 侧墙 体素模型 &lt; ✨新增: 增加了1个新的主题关卡玩法</v>
      </c>
      <c r="B115"/>
      <c r="C115" t="inlineStr">
        <is>
          <t>默认分组</t>
        </is>
      </c>
      <c r="D115" t="inlineStr">
        <is>
          <t>0</t>
        </is>
      </c>
      <c r="E115"/>
      <c r="F115">
        <v>4</v>
      </c>
      <c r="G115"/>
      <c r="H115" t="inlineStr">
        <is>
          <t>✍️故事</t>
        </is>
      </c>
      <c r="I115">
        <v>0</v>
      </c>
      <c r="J115" t="inlineStr">
        <is>
          <t>或签任务</t>
        </is>
      </c>
      <c r="K115"/>
      <c r="L115" t="inlineStr">
        <is>
          <t>0</t>
        </is>
      </c>
      <c r="M115"/>
      <c r="N115" s="3"/>
      <c r="O115" t="inlineStr">
        <is>
          <t>v0.0.5</t>
        </is>
      </c>
      <c r="P115" t="inlineStr">
        <is>
          <t>S1UyuAy7E</t>
        </is>
      </c>
      <c r="Q115" s="3">
        <v>45896.333333333336</v>
      </c>
      <c r="R115" s="3">
        <v>45911.333333333336</v>
      </c>
      <c r="S115" t="inlineStr">
        <is>
          <t>0735cdc4-14d9-4054-83c0-50c9c0a996e2</t>
        </is>
      </c>
      <c r="T115" t="inlineStr">
        <is>
          <t>bc8a7a7e-d7ad-416c-9af2-208a6ed042c7</t>
        </is>
      </c>
      <c r="U115" t="inlineStr">
        <is>
          <t>5f1fcca4-849b-449e-9de8-e5509a275356</t>
        </is>
      </c>
      <c r="V115" t="inlineStr">
        <is>
          <t>73e62b96-5ca9-4eda-ae5a-8194fb12f366</t>
        </is>
      </c>
      <c r="W115">
        <v>0</v>
      </c>
      <c r="X115" t="inlineStr">
        <is>
          <t>龚政涛,S1UyuAy7E</t>
        </is>
      </c>
      <c r="Y115" t="inlineStr">
        <is>
          <t>龚政涛</t>
        </is>
      </c>
      <c r="Z115" s="3">
        <v>45846.857939814814</v>
      </c>
      <c r="AA115" s="3">
        <v>45949.662407407406</v>
      </c>
      <c r="AB115" s="2" t="str">
        <f>=HYPERLINK("https://applink.feishu.cn/client/todo/task_list?guid=76122b60-faec-4a61-91b0-2d229f32cc2a", "迷宫球")</f>
        <v>迷宫球</v>
      </c>
      <c r="AC115" t="inlineStr">
        <is>
          <t>76122b60-faec-4a61-91b0-2d229f32cc2a</t>
        </is>
      </c>
      <c r="AD115" t="inlineStr">
        <is>
          <t>NzUzMTk3MzcwNDkxNDg0NTY5NzowNzM1Y2RjNC0xNGQ5LTQwNTQtODNjMC01MGM5YzBhOTk2ZTI6ODE1ZTU4MTZhODA4YTc1NTUzOTUwMDQ4MjQ4YzU0ZWU6MQ==</t>
        </is>
      </c>
      <c r="AE115"/>
    </row>
    <row r="116" ht="25.5" customHeight="1">
      <c r="A116" s="2" t="str">
        <f>=HYPERLINK("https://applink.feishu.cn/client/todo/detail?guid=73e62b96-5ca9-4eda-ae5a-8194fb12f366&amp;suite_entity_num=t100888", "矿洞 - 地面 体素模型 &lt; ✨新增: 增加了1个新的主题关卡玩法")</f>
        <v>矿洞 - 地面 体素模型 &lt; ✨新增: 增加了1个新的主题关卡玩法</v>
      </c>
      <c r="B116"/>
      <c r="C116" t="inlineStr">
        <is>
          <t>默认分组</t>
        </is>
      </c>
      <c r="D116" t="inlineStr">
        <is>
          <t>0</t>
        </is>
      </c>
      <c r="E116"/>
      <c r="F116">
        <v>4</v>
      </c>
      <c r="G116"/>
      <c r="H116" t="inlineStr">
        <is>
          <t>✍️故事</t>
        </is>
      </c>
      <c r="I116">
        <v>0</v>
      </c>
      <c r="J116" t="inlineStr">
        <is>
          <t>或签任务</t>
        </is>
      </c>
      <c r="K116"/>
      <c r="L116" t="inlineStr">
        <is>
          <t>0</t>
        </is>
      </c>
      <c r="M116"/>
      <c r="N116" s="3"/>
      <c r="O116" t="inlineStr">
        <is>
          <t>v0.0.5</t>
        </is>
      </c>
      <c r="P116" t="inlineStr">
        <is>
          <t>S1UyuAy7E</t>
        </is>
      </c>
      <c r="Q116" s="3">
        <v>45899.333333333336</v>
      </c>
      <c r="R116" s="3">
        <v>45911.333333333336</v>
      </c>
      <c r="S116" t="inlineStr">
        <is>
          <t>73e62b96-5ca9-4eda-ae5a-8194fb12f366</t>
        </is>
      </c>
      <c r="T116" t="inlineStr">
        <is>
          <t>bc8a7a7e-d7ad-416c-9af2-208a6ed042c7</t>
        </is>
      </c>
      <c r="U116" t="inlineStr">
        <is>
          <t>0735cdc4-14d9-4054-83c0-50c9c0a996e2</t>
        </is>
      </c>
      <c r="V116" t="inlineStr">
        <is>
          <t>441edee3-590a-436e-9da4-77da8cb57d99</t>
        </is>
      </c>
      <c r="W116">
        <v>0</v>
      </c>
      <c r="X116" t="inlineStr">
        <is>
          <t>龚政涛,S1UyuAy7E</t>
        </is>
      </c>
      <c r="Y116" t="inlineStr">
        <is>
          <t>龚政涛</t>
        </is>
      </c>
      <c r="Z116" s="3">
        <v>45846.85832175926</v>
      </c>
      <c r="AA116" s="3">
        <v>45949.66243055555</v>
      </c>
      <c r="AB116" s="2" t="str">
        <f>=HYPERLINK("https://applink.feishu.cn/client/todo/task_list?guid=76122b60-faec-4a61-91b0-2d229f32cc2a", "迷宫球")</f>
        <v>迷宫球</v>
      </c>
      <c r="AC116" t="inlineStr">
        <is>
          <t>76122b60-faec-4a61-91b0-2d229f32cc2a</t>
        </is>
      </c>
      <c r="AD116" t="inlineStr">
        <is>
          <t>NzUzMTk3MzcwNDkxNDg0NTY5Nzo3M2U2MmI5Ni01Y2E5LTRlZGEtYWU1YS04MTk0ZmIxMmYzNjY6ODUxMjA0MzNhNmEzZGJmZTI1ZjZlNjZjZDMxODM4YTk6MQ==</t>
        </is>
      </c>
      <c r="AE116"/>
    </row>
    <row r="117" ht="25.5" customHeight="1">
      <c r="A117" s="2" t="str">
        <f>=HYPERLINK("https://applink.feishu.cn/client/todo/detail?guid=5dae1dcc-e3d7-4eae-a2c4-d82ad9c3041a&amp;suite_entity_num=t100867", "仓鼠球体素模型 &lt; ✨新增: 增加了新的体素小球")</f>
        <v>仓鼠球体素模型 &lt; ✨新增: 增加了新的体素小球</v>
      </c>
      <c r="B117" t="inlineStr">
        <is>
          <t>视觉：外壳透明，里面应该有一只小仓鼠</t>
        </is>
      </c>
      <c r="C117" t="inlineStr">
        <is>
          <t>默认分组</t>
        </is>
      </c>
      <c r="D117" t="inlineStr">
        <is>
          <t>0</t>
        </is>
      </c>
      <c r="E117"/>
      <c r="F117">
        <v>1</v>
      </c>
      <c r="G117"/>
      <c r="H117" t="inlineStr">
        <is>
          <t>✍️故事</t>
        </is>
      </c>
      <c r="I117">
        <v>0</v>
      </c>
      <c r="J117" t="inlineStr">
        <is>
          <t>或签任务</t>
        </is>
      </c>
      <c r="K117"/>
      <c r="L117" t="inlineStr">
        <is>
          <t>0</t>
        </is>
      </c>
      <c r="M117"/>
      <c r="N117" s="3"/>
      <c r="O117" t="inlineStr">
        <is>
          <t>v0.0.4</t>
        </is>
      </c>
      <c r="P117" t="inlineStr">
        <is>
          <t>S1UyuAy7E</t>
        </is>
      </c>
      <c r="Q117" s="3"/>
      <c r="R117" s="3">
        <v>45911.333333333336</v>
      </c>
      <c r="S117" t="inlineStr">
        <is>
          <t>5dae1dcc-e3d7-4eae-a2c4-d82ad9c3041a</t>
        </is>
      </c>
      <c r="T117" t="inlineStr">
        <is>
          <t>689ba331-330d-415b-a389-47fbc556f1a2</t>
        </is>
      </c>
      <c r="U117"/>
      <c r="V117"/>
      <c r="W117">
        <v>0</v>
      </c>
      <c r="X117" t="inlineStr">
        <is>
          <t>Decay,龚政涛,S1UyuAy7E</t>
        </is>
      </c>
      <c r="Y117" t="inlineStr">
        <is>
          <t>龚政涛</t>
        </is>
      </c>
      <c r="Z117" s="3">
        <v>45846.47346064815</v>
      </c>
      <c r="AA117" s="3">
        <v>45904.9041087963</v>
      </c>
      <c r="AB117" s="2" t="str">
        <f>=HYPERLINK("https://applink.feishu.cn/client/todo/task_list?guid=76122b60-faec-4a61-91b0-2d229f32cc2a", "迷宫球")</f>
        <v>迷宫球</v>
      </c>
      <c r="AC117" t="inlineStr">
        <is>
          <t>76122b60-faec-4a61-91b0-2d229f32cc2a</t>
        </is>
      </c>
      <c r="AD117" t="inlineStr">
        <is>
          <t>NzUzMTk3MzcwNDkxNDg0NTY5Nzo1ZGFlMWRjYy1lM2Q3LTRlYWUtYTJjNC1kODJhZDljMzA0MWE6MzI3MTkzMjc1YmM5MThiZjBlODU3MDk3NGY3NmZmNjk6MQ==</t>
        </is>
      </c>
      <c r="AE117"/>
    </row>
    <row r="118" ht="25.5" customHeight="1">
      <c r="A118" s="2" t="str">
        <f>=HYPERLINK("https://applink.feishu.cn/client/todo/detail?guid=1bb41206-31ee-43a9-801d-e56c6597180a&amp;suite_entity_num=t100974", "高尔夫球体素模型 &lt; ✨新增: 增加了新的体素小球")</f>
        <v>高尔夫球体素模型 &lt; ✨新增: 增加了新的体素小球</v>
      </c>
      <c r="B118"/>
      <c r="C118" t="inlineStr">
        <is>
          <t>默认分组</t>
        </is>
      </c>
      <c r="D118" t="inlineStr">
        <is>
          <t>0</t>
        </is>
      </c>
      <c r="E118"/>
      <c r="F118">
        <v>1</v>
      </c>
      <c r="G118"/>
      <c r="H118" t="inlineStr">
        <is>
          <t>✍️故事</t>
        </is>
      </c>
      <c r="I118">
        <v>0</v>
      </c>
      <c r="J118" t="inlineStr">
        <is>
          <t>或签任务</t>
        </is>
      </c>
      <c r="K118"/>
      <c r="L118" t="inlineStr">
        <is>
          <t>0</t>
        </is>
      </c>
      <c r="M118"/>
      <c r="N118" s="3"/>
      <c r="O118" t="inlineStr">
        <is>
          <t>v0.0.4</t>
        </is>
      </c>
      <c r="P118" t="inlineStr">
        <is>
          <t>S1UyuAy7E</t>
        </is>
      </c>
      <c r="Q118" s="3">
        <v>45897.333333333336</v>
      </c>
      <c r="R118" s="3">
        <v>45911.333333333336</v>
      </c>
      <c r="S118" t="inlineStr">
        <is>
          <t>1bb41206-31ee-43a9-801d-e56c6597180a</t>
        </is>
      </c>
      <c r="T118" t="inlineStr">
        <is>
          <t>689ba331-330d-415b-a389-47fbc556f1a2</t>
        </is>
      </c>
      <c r="U118"/>
      <c r="V118"/>
      <c r="W118">
        <v>0</v>
      </c>
      <c r="X118" t="inlineStr">
        <is>
          <t>S1UyuAy7E,龚政涛</t>
        </is>
      </c>
      <c r="Y118" t="inlineStr">
        <is>
          <t>龚政涛</t>
        </is>
      </c>
      <c r="Z118" s="3">
        <v>45866.513391203705</v>
      </c>
      <c r="AA118" s="3">
        <v>45904.90454861111</v>
      </c>
      <c r="AB118" s="2" t="str">
        <f>=HYPERLINK("https://applink.feishu.cn/client/todo/task_list?guid=76122b60-faec-4a61-91b0-2d229f32cc2a", "迷宫球")</f>
        <v>迷宫球</v>
      </c>
      <c r="AC118" t="inlineStr">
        <is>
          <t>76122b60-faec-4a61-91b0-2d229f32cc2a</t>
        </is>
      </c>
      <c r="AD118" t="inlineStr">
        <is>
          <t>NzUzMTk3MzcwNDkxNDg0NTY5NzoxYmI0MTIwNi0zMWVlLTQzYTktODAxZC1lNTZjNjU5NzE4MGE6YjgzMGYxZjI1MzFmOWRjZDBmNjhjYWFmM2MxMmRjOWM6MQ==</t>
        </is>
      </c>
      <c r="AE118"/>
    </row>
    <row r="119" ht="25.5" customHeight="1">
      <c r="A119" s="2" t="str">
        <f>=HYPERLINK("https://applink.feishu.cn/client/todo/detail?guid=9165e7ac-adea-4fe7-8f63-a982c3f79a3d&amp;suite_entity_num=t101117", "配置TheCity轨道")</f>
        <v>配置TheCity轨道</v>
      </c>
      <c r="B119"/>
      <c r="C119" t="inlineStr">
        <is>
          <t>默认分组</t>
        </is>
      </c>
      <c r="D119" t="inlineStr">
        <is>
          <t>1</t>
        </is>
      </c>
      <c r="E119" t="inlineStr">
        <is>
          <t>已完成</t>
        </is>
      </c>
      <c r="F119">
        <v>4</v>
      </c>
      <c r="G119" t="inlineStr">
        <is>
          <t>P0 - 必须处理</t>
        </is>
      </c>
      <c r="H119" t="inlineStr">
        <is>
          <t>🎮玩法</t>
        </is>
      </c>
      <c r="I119">
        <v>0</v>
      </c>
      <c r="J119" t="inlineStr">
        <is>
          <t>或签任务</t>
        </is>
      </c>
      <c r="K119"/>
      <c r="L119" t="inlineStr">
        <is>
          <t>0</t>
        </is>
      </c>
      <c r="M119"/>
      <c r="N119" s="3">
        <v>45915.397824074076</v>
      </c>
      <c r="O119" t="inlineStr">
        <is>
          <t>v0.0.4</t>
        </is>
      </c>
      <c r="P119" t="inlineStr">
        <is>
          <t>龚政涛</t>
        </is>
      </c>
      <c r="Q119" s="3"/>
      <c r="R119" s="3">
        <v>45911.333333333336</v>
      </c>
      <c r="S119" t="inlineStr">
        <is>
          <t>9165e7ac-adea-4fe7-8f63-a982c3f79a3d</t>
        </is>
      </c>
      <c r="T119"/>
      <c r="U119"/>
      <c r="V119"/>
      <c r="W119">
        <v>1</v>
      </c>
      <c r="X119" t="inlineStr">
        <is>
          <t>龚政涛</t>
        </is>
      </c>
      <c r="Y119" t="inlineStr">
        <is>
          <t>龚政涛</t>
        </is>
      </c>
      <c r="Z119" s="3">
        <v>45905.40273148148</v>
      </c>
      <c r="AA119" s="3">
        <v>45915.39795138889</v>
      </c>
      <c r="AB119" s="2" t="str">
        <f>=HYPERLINK("https://applink.feishu.cn/client/todo/task_list?guid=76122b60-faec-4a61-91b0-2d229f32cc2a", "迷宫球")</f>
        <v>迷宫球</v>
      </c>
      <c r="AC119" t="inlineStr">
        <is>
          <t>76122b60-faec-4a61-91b0-2d229f32cc2a</t>
        </is>
      </c>
      <c r="AD119" t="inlineStr">
        <is>
          <t>NzUzMTk3MzcwNDkxNDg0NTY5Nzo5MTY1ZTdhYy1hZGVhLTRmZTctOGY2My1hOTgyYzNmNzlhM2Q6ZTkxOTYwZmNlOTRkOGNiMDRmYzFhZWM5NWIwOThmMDY6MQ==</t>
        </is>
      </c>
      <c r="AE119"/>
    </row>
    <row r="120" ht="25.5" customHeight="1">
      <c r="A120" s="2" t="str">
        <f>=HYPERLINK("https://applink.feishu.cn/client/todo/detail?guid=44177f37-cadd-4401-b466-d7f561d41b88&amp;suite_entity_num=t100828", "✨新增: 增加了新的主题关卡的背景音乐")</f>
        <v>✨新增: 增加了新的主题关卡的背景音乐</v>
      </c>
      <c r="B120"/>
      <c r="C120" t="inlineStr">
        <is>
          <t>默认分组</t>
        </is>
      </c>
      <c r="D120" t="inlineStr">
        <is>
          <t>0</t>
        </is>
      </c>
      <c r="E120"/>
      <c r="F120">
        <v>8</v>
      </c>
      <c r="G120" t="inlineStr">
        <is>
          <t>P1 - 最好处理</t>
        </is>
      </c>
      <c r="H120" t="inlineStr">
        <is>
          <t>✍️故事</t>
        </is>
      </c>
      <c r="I120">
        <v>0</v>
      </c>
      <c r="J120" t="inlineStr">
        <is>
          <t>或签任务</t>
        </is>
      </c>
      <c r="K120"/>
      <c r="L120" t="inlineStr">
        <is>
          <t>0</t>
        </is>
      </c>
      <c r="M120"/>
      <c r="N120" s="3"/>
      <c r="O120" t="inlineStr">
        <is>
          <t>v0.0.5</t>
        </is>
      </c>
      <c r="P120" t="inlineStr">
        <is>
          <t>龚政涛</t>
        </is>
      </c>
      <c r="Q120" s="3"/>
      <c r="R120" s="3">
        <v>45912.333333333336</v>
      </c>
      <c r="S120" t="inlineStr">
        <is>
          <t>44177f37-cadd-4401-b466-d7f561d41b88</t>
        </is>
      </c>
      <c r="T120"/>
      <c r="U120"/>
      <c r="V120"/>
      <c r="W120">
        <v>0</v>
      </c>
      <c r="X120" t="inlineStr">
        <is>
          <t>龚政涛,S1UyuAy7E</t>
        </is>
      </c>
      <c r="Y120" t="inlineStr">
        <is>
          <t>龚政涛</t>
        </is>
      </c>
      <c r="Z120" s="3">
        <v>45846.42040509259</v>
      </c>
      <c r="AA120" s="3">
        <v>45949.662673611114</v>
      </c>
      <c r="AB120" s="2" t="str">
        <f>=HYPERLINK("https://applink.feishu.cn/client/todo/task_list?guid=76122b60-faec-4a61-91b0-2d229f32cc2a", "迷宫球")</f>
        <v>迷宫球</v>
      </c>
      <c r="AC120" t="inlineStr">
        <is>
          <t>76122b60-faec-4a61-91b0-2d229f32cc2a</t>
        </is>
      </c>
      <c r="AD120" t="inlineStr">
        <is>
          <t>NzUzMTk3MzcwNDkxNDg0NTY5Nzo0NDE3N2YzNy1jYWRkLTQ0MDEtYjQ2Ni1kN2Y1NjFkNDFiODg6MDVjZWFiMDE0NzA5YTE4YzY0YmU2OGNlMGRmMzFlN2Y6MQ==</t>
        </is>
      </c>
      <c r="AE120"/>
    </row>
    <row r="121" ht="25.5" customHeight="1">
      <c r="A121" s="2" t="str">
        <f>=HYPERLINK("https://applink.feishu.cn/client/todo/detail?guid=bc8a7a7e-d7ad-416c-9af2-208a6ed042c7&amp;suite_entity_num=t100830", "✨新增: 增加了1个新的主题关卡玩法")</f>
        <v>✨新增: 增加了1个新的主题关卡玩法</v>
      </c>
      <c r="B121"/>
      <c r="C121" t="inlineStr">
        <is>
          <t>默认分组</t>
        </is>
      </c>
      <c r="D121" t="inlineStr">
        <is>
          <t>0</t>
        </is>
      </c>
      <c r="E121" t="inlineStr">
        <is>
          <t>已拆分</t>
        </is>
      </c>
      <c r="F121"/>
      <c r="G121"/>
      <c r="H121" t="inlineStr">
        <is>
          <t>🎮玩法</t>
        </is>
      </c>
      <c r="I121">
        <v>11</v>
      </c>
      <c r="J121" t="inlineStr">
        <is>
          <t>或签任务</t>
        </is>
      </c>
      <c r="K121"/>
      <c r="L121" t="inlineStr">
        <is>
          <t>0</t>
        </is>
      </c>
      <c r="M121">
        <v>0.55</v>
      </c>
      <c r="N121" s="3"/>
      <c r="O121" t="inlineStr">
        <is>
          <t>v0.0.5</t>
        </is>
      </c>
      <c r="P121" t="inlineStr">
        <is>
          <t>龚政涛</t>
        </is>
      </c>
      <c r="Q121" s="3">
        <v>45866.333333333336</v>
      </c>
      <c r="R121" s="3">
        <v>45912.333333333336</v>
      </c>
      <c r="S121" t="inlineStr">
        <is>
          <t>bc8a7a7e-d7ad-416c-9af2-208a6ed042c7</t>
        </is>
      </c>
      <c r="T121"/>
      <c r="U121"/>
      <c r="V121"/>
      <c r="W121">
        <v>0</v>
      </c>
      <c r="X121" t="inlineStr">
        <is>
          <t>Decay,S1UyuAy7E,龚政涛</t>
        </is>
      </c>
      <c r="Y121" t="inlineStr">
        <is>
          <t>龚政涛</t>
        </is>
      </c>
      <c r="Z121" s="3">
        <v>45846.42050925926</v>
      </c>
      <c r="AA121" s="3">
        <v>45949.66238425926</v>
      </c>
      <c r="AB121" s="2" t="str">
        <f>=HYPERLINK("https://applink.feishu.cn/client/todo/task_list?guid=76122b60-faec-4a61-91b0-2d229f32cc2a", "迷宫球")</f>
        <v>迷宫球</v>
      </c>
      <c r="AC121" t="inlineStr">
        <is>
          <t>76122b60-faec-4a61-91b0-2d229f32cc2a</t>
        </is>
      </c>
      <c r="AD121" t="inlineStr">
        <is>
          <t>NzUzMTk3MzcwNDkxNDg0NTY5NzpiYzhhN2E3ZS1kN2FkLTQxNmMtOWFmMi0yMDhhNmVkMDQyYzc6ZmI5NzgyZDMzNmRkY2ExZmM5ZmIwNzA2MDBiZDdjZmY6MQ==</t>
        </is>
      </c>
      <c r="AE121"/>
    </row>
    <row r="122" ht="25.5" customHeight="1">
      <c r="A122" s="2" t="str">
        <f>=HYPERLINK("https://applink.feishu.cn/client/todo/detail?guid=c9ef7170-5612-47a2-aea5-d7e4ebf46fa4&amp;suite_entity_num=t100905", "配置“城市”主题的双核心关卡 &lt; ✨新增: 新增了“多重迷宫”本地同屏合作模式，迷宫将会被拆分成多个预设的部分，由2名玩家分别操作过关。")</f>
        <v>配置“城市”主题的双核心关卡 &lt; ✨新增: 新增了“多重迷宫”本地同屏合作模式，迷宫将会被拆分成多个预设的部分，由2名玩家分别操作过关。</v>
      </c>
      <c r="B122"/>
      <c r="C122" t="inlineStr">
        <is>
          <t>默认分组</t>
        </is>
      </c>
      <c r="D122" t="inlineStr">
        <is>
          <t>1</t>
        </is>
      </c>
      <c r="E122" t="inlineStr">
        <is>
          <t>已完成</t>
        </is>
      </c>
      <c r="F122">
        <v>16</v>
      </c>
      <c r="G122" t="inlineStr">
        <is>
          <t>P0 - 必须处理</t>
        </is>
      </c>
      <c r="H122" t="inlineStr">
        <is>
          <t>🎮玩法</t>
        </is>
      </c>
      <c r="I122">
        <v>0</v>
      </c>
      <c r="J122" t="inlineStr">
        <is>
          <t>或签任务</t>
        </is>
      </c>
      <c r="K122"/>
      <c r="L122" t="inlineStr">
        <is>
          <t>0</t>
        </is>
      </c>
      <c r="M122"/>
      <c r="N122" s="3">
        <v>45949.66149305556</v>
      </c>
      <c r="O122" t="inlineStr">
        <is>
          <t>v0.0.4</t>
        </is>
      </c>
      <c r="P122" t="inlineStr">
        <is>
          <t>龚政涛</t>
        </is>
      </c>
      <c r="Q122" s="3">
        <v>45899.333333333336</v>
      </c>
      <c r="R122" s="3">
        <v>45912.333333333336</v>
      </c>
      <c r="S122" t="inlineStr">
        <is>
          <t>c9ef7170-5612-47a2-aea5-d7e4ebf46fa4</t>
        </is>
      </c>
      <c r="T122" t="inlineStr">
        <is>
          <t>70eadbf1-1e75-4cea-a30d-6c29d6b87834</t>
        </is>
      </c>
      <c r="U122" t="inlineStr">
        <is>
          <t>d3a23398-6dbe-4c3f-9cc6-103e54113efb, 29fe82da-4cc4-4656-bd03-23d62c795b51</t>
        </is>
      </c>
      <c r="V122"/>
      <c r="W122">
        <v>1</v>
      </c>
      <c r="X122" t="inlineStr">
        <is>
          <t>龚政涛</t>
        </is>
      </c>
      <c r="Y122" t="inlineStr">
        <is>
          <t>龚政涛</t>
        </is>
      </c>
      <c r="Z122" s="3">
        <v>45846.88229166667</v>
      </c>
      <c r="AA122" s="3">
        <v>45949.66150462963</v>
      </c>
      <c r="AB122" s="2" t="str">
        <f>=HYPERLINK("https://applink.feishu.cn/client/todo/task_list?guid=76122b60-faec-4a61-91b0-2d229f32cc2a", "迷宫球")</f>
        <v>迷宫球</v>
      </c>
      <c r="AC122" t="inlineStr">
        <is>
          <t>76122b60-faec-4a61-91b0-2d229f32cc2a</t>
        </is>
      </c>
      <c r="AD122" t="inlineStr">
        <is>
          <t>NzUzMTk3MzcwNDkxNDg0NTY5NzpjOWVmNzE3MC01NjEyLTQ3YTItYWVhNS1kN2U0ZWJmNDZmYTQ6ZDFlZWFkOGFiMDAxNzExYzliZGFlOGU1YmUxNmNkMDg6MQ==</t>
        </is>
      </c>
      <c r="AE122"/>
    </row>
    <row r="123" ht="25.5" customHeight="1">
      <c r="A123" s="2" t="str">
        <f>=HYPERLINK("https://applink.feishu.cn/client/todo/detail?guid=44be1e83-27d2-4508-b950-b7b3a1246b4d&amp;suite_entity_num=t100881", "v0.0.4 - End")</f>
        <v>v0.0.4 - End</v>
      </c>
      <c r="B123"/>
      <c r="C123" t="inlineStr">
        <is>
          <t>默认分组</t>
        </is>
      </c>
      <c r="D123" t="inlineStr">
        <is>
          <t>0</t>
        </is>
      </c>
      <c r="E123"/>
      <c r="F123"/>
      <c r="G123"/>
      <c r="H123" t="inlineStr">
        <is>
          <t>🛠️技术</t>
        </is>
      </c>
      <c r="I123">
        <v>0</v>
      </c>
      <c r="J123" t="inlineStr">
        <is>
          <t>或签任务</t>
        </is>
      </c>
      <c r="K123"/>
      <c r="L123" t="inlineStr">
        <is>
          <t>1</t>
        </is>
      </c>
      <c r="M123"/>
      <c r="N123" s="3"/>
      <c r="O123" t="inlineStr">
        <is>
          <t>v0.0.4</t>
        </is>
      </c>
      <c r="P123" t="inlineStr">
        <is>
          <t>龚政涛</t>
        </is>
      </c>
      <c r="Q123" s="3"/>
      <c r="R123" s="3">
        <v>45915.333333333336</v>
      </c>
      <c r="S123" t="inlineStr">
        <is>
          <t>44be1e83-27d2-4508-b950-b7b3a1246b4d</t>
        </is>
      </c>
      <c r="T123"/>
      <c r="U123"/>
      <c r="V123"/>
      <c r="W123">
        <v>0</v>
      </c>
      <c r="X123" t="inlineStr">
        <is>
          <t>龚政涛</t>
        </is>
      </c>
      <c r="Y123" t="inlineStr">
        <is>
          <t>龚政涛</t>
        </is>
      </c>
      <c r="Z123" s="3">
        <v>45846.8208912037</v>
      </c>
      <c r="AA123" s="3">
        <v>45902.84994212963</v>
      </c>
      <c r="AB123" s="2" t="str">
        <f>=HYPERLINK("https://applink.feishu.cn/client/todo/task_list?guid=76122b60-faec-4a61-91b0-2d229f32cc2a", "迷宫球")</f>
        <v>迷宫球</v>
      </c>
      <c r="AC123" t="inlineStr">
        <is>
          <t>76122b60-faec-4a61-91b0-2d229f32cc2a</t>
        </is>
      </c>
      <c r="AD123" t="inlineStr">
        <is>
          <t>NzUzMTk3MzcwNDkxNDg0NTY5Nzo0NGJlMWU4My0yN2QyLTQ1MDgtYjk1MC1iN2IzYTEyNDZiNGQ6OWMyOGM5YTkyNDE0MDRhYjY3MmZkZTIzZWUzZmNjMDk6MQ==</t>
        </is>
      </c>
      <c r="AE123"/>
    </row>
    <row r="124" ht="25.5" customHeight="1">
      <c r="A124" s="2" t="str">
        <f>=HYPERLINK("https://applink.feishu.cn/client/todo/detail?guid=441edee3-590a-436e-9da4-77da8cb57d99&amp;suite_entity_num=t100889", "矿洞 - 带洞地面 体素模型 &lt; ✨新增: 增加了1个新的主题关卡玩法")</f>
        <v>矿洞 - 带洞地面 体素模型 &lt; ✨新增: 增加了1个新的主题关卡玩法</v>
      </c>
      <c r="B124"/>
      <c r="C124" t="inlineStr">
        <is>
          <t>默认分组</t>
        </is>
      </c>
      <c r="D124" t="inlineStr">
        <is>
          <t>0</t>
        </is>
      </c>
      <c r="E124"/>
      <c r="F124">
        <v>4</v>
      </c>
      <c r="G124"/>
      <c r="H124" t="inlineStr">
        <is>
          <t>✍️故事</t>
        </is>
      </c>
      <c r="I124">
        <v>0</v>
      </c>
      <c r="J124" t="inlineStr">
        <is>
          <t>或签任务</t>
        </is>
      </c>
      <c r="K124"/>
      <c r="L124" t="inlineStr">
        <is>
          <t>0</t>
        </is>
      </c>
      <c r="M124"/>
      <c r="N124" s="3"/>
      <c r="O124" t="inlineStr">
        <is>
          <t>v0.0.5</t>
        </is>
      </c>
      <c r="P124" t="inlineStr">
        <is>
          <t>S1UyuAy7E</t>
        </is>
      </c>
      <c r="Q124" s="3">
        <v>45902.333333333336</v>
      </c>
      <c r="R124" s="3">
        <v>45916.333333333336</v>
      </c>
      <c r="S124" t="inlineStr">
        <is>
          <t>441edee3-590a-436e-9da4-77da8cb57d99</t>
        </is>
      </c>
      <c r="T124" t="inlineStr">
        <is>
          <t>bc8a7a7e-d7ad-416c-9af2-208a6ed042c7</t>
        </is>
      </c>
      <c r="U124" t="inlineStr">
        <is>
          <t>73e62b96-5ca9-4eda-ae5a-8194fb12f366</t>
        </is>
      </c>
      <c r="V124" t="inlineStr">
        <is>
          <t>a1074694-7c2f-4120-8387-91100a382a72</t>
        </is>
      </c>
      <c r="W124">
        <v>0</v>
      </c>
      <c r="X124" t="inlineStr">
        <is>
          <t>龚政涛,S1UyuAy7E</t>
        </is>
      </c>
      <c r="Y124" t="inlineStr">
        <is>
          <t>龚政涛</t>
        </is>
      </c>
      <c r="Z124" s="3">
        <v>45846.858460648145</v>
      </c>
      <c r="AA124" s="3">
        <v>45949.66244212963</v>
      </c>
      <c r="AB124" s="2" t="str">
        <f>=HYPERLINK("https://applink.feishu.cn/client/todo/task_list?guid=76122b60-faec-4a61-91b0-2d229f32cc2a", "迷宫球")</f>
        <v>迷宫球</v>
      </c>
      <c r="AC124" t="inlineStr">
        <is>
          <t>76122b60-faec-4a61-91b0-2d229f32cc2a</t>
        </is>
      </c>
      <c r="AD124" t="inlineStr">
        <is>
          <t>NzUzMTk3MzcwNDkxNDg0NTY5Nzo0NDFlZGVlMy01OTBhLTQzNmUtOWRhNC03N2RhOGNiNTdkOTk6YmYyZDRmMjgwYTc3NGFkMjM4NGUyYjgxY2Y1MTJhODc6MQ==</t>
        </is>
      </c>
      <c r="AE124"/>
    </row>
    <row r="125" ht="25.5" customHeight="1">
      <c r="A125" s="2" t="str">
        <f>=HYPERLINK("https://applink.feishu.cn/client/todo/detail?guid=a1074694-7c2f-4120-8387-91100a382a72&amp;suite_entity_num=t100903", "配置1到10关 &lt; ✨新增: 增加了1个新的主题关卡玩法")</f>
        <v>配置1到10关 &lt; ✨新增: 增加了1个新的主题关卡玩法</v>
      </c>
      <c r="B125"/>
      <c r="C125" t="inlineStr">
        <is>
          <t>默认分组</t>
        </is>
      </c>
      <c r="D125" t="inlineStr">
        <is>
          <t>1</t>
        </is>
      </c>
      <c r="E125" t="inlineStr">
        <is>
          <t>已完成</t>
        </is>
      </c>
      <c r="F125">
        <v>32</v>
      </c>
      <c r="G125" t="inlineStr">
        <is>
          <t>P0 - 必须处理</t>
        </is>
      </c>
      <c r="H125" t="inlineStr">
        <is>
          <t>🎮玩法</t>
        </is>
      </c>
      <c r="I125">
        <v>0</v>
      </c>
      <c r="J125" t="inlineStr">
        <is>
          <t>或签任务</t>
        </is>
      </c>
      <c r="K125"/>
      <c r="L125" t="inlineStr">
        <is>
          <t>0</t>
        </is>
      </c>
      <c r="M125"/>
      <c r="N125" s="3">
        <v>45926.41113425926</v>
      </c>
      <c r="O125" t="inlineStr">
        <is>
          <t>v0.0.4</t>
        </is>
      </c>
      <c r="P125" t="inlineStr">
        <is>
          <t>龚政涛</t>
        </is>
      </c>
      <c r="Q125" s="3">
        <v>45904.333333333336</v>
      </c>
      <c r="R125" s="3">
        <v>45916.333333333336</v>
      </c>
      <c r="S125" t="inlineStr">
        <is>
          <t>a1074694-7c2f-4120-8387-91100a382a72</t>
        </is>
      </c>
      <c r="T125" t="inlineStr">
        <is>
          <t>bc8a7a7e-d7ad-416c-9af2-208a6ed042c7</t>
        </is>
      </c>
      <c r="U125" t="inlineStr">
        <is>
          <t>441edee3-590a-436e-9da4-77da8cb57d99, 4c19d58f-ed59-4da5-a8c7-b11f3b6c0e34</t>
        </is>
      </c>
      <c r="V125"/>
      <c r="W125">
        <v>0</v>
      </c>
      <c r="X125" t="inlineStr">
        <is>
          <t>龚政涛</t>
        </is>
      </c>
      <c r="Y125" t="inlineStr">
        <is>
          <t>龚政涛</t>
        </is>
      </c>
      <c r="Z125" s="3">
        <v>45846.87850694444</v>
      </c>
      <c r="AA125" s="3">
        <v>45926.411145833335</v>
      </c>
      <c r="AB125" s="2" t="str">
        <f>=HYPERLINK("https://applink.feishu.cn/client/todo/task_list?guid=76122b60-faec-4a61-91b0-2d229f32cc2a", "迷宫球")</f>
        <v>迷宫球</v>
      </c>
      <c r="AC125" t="inlineStr">
        <is>
          <t>76122b60-faec-4a61-91b0-2d229f32cc2a</t>
        </is>
      </c>
      <c r="AD125" t="inlineStr">
        <is>
          <t>NzUzMTk3MzcwNDkxNDg0NTY5NzphMTA3NDY5NC03YzJmLTQxMjAtODM4Ny05MTEwMGEzODJhNzI6MjIzODBkMTlmNTg4MGUxZjNkODhjYzg4MmZiZjM2ZjI6MQ==</t>
        </is>
      </c>
      <c r="AE125"/>
    </row>
    <row r="126" ht="25.5" customHeight="1">
      <c r="A126" s="2" t="str">
        <f>=HYPERLINK("https://applink.feishu.cn/client/todo/detail?guid=4984cef6-52a7-4ca0-bb71-0399679e190e&amp;suite_entity_num=t100986", "打包v0.0.4")</f>
        <v>打包v0.0.4</v>
      </c>
      <c r="B126"/>
      <c r="C126" t="inlineStr">
        <is>
          <t>默认分组</t>
        </is>
      </c>
      <c r="D126" t="inlineStr">
        <is>
          <t>1</t>
        </is>
      </c>
      <c r="E126" t="inlineStr">
        <is>
          <t>已完成</t>
        </is>
      </c>
      <c r="F126"/>
      <c r="G126" t="inlineStr">
        <is>
          <t>P0 - 必须处理</t>
        </is>
      </c>
      <c r="H126" t="inlineStr">
        <is>
          <t>✍️故事</t>
        </is>
      </c>
      <c r="I126">
        <v>0</v>
      </c>
      <c r="J126" t="inlineStr">
        <is>
          <t>或签任务</t>
        </is>
      </c>
      <c r="K126"/>
      <c r="L126" t="inlineStr">
        <is>
          <t>0</t>
        </is>
      </c>
      <c r="M126"/>
      <c r="N126" s="3">
        <v>45949.662627314814</v>
      </c>
      <c r="O126" t="inlineStr">
        <is>
          <t>v0.0.4</t>
        </is>
      </c>
      <c r="P126" t="inlineStr">
        <is>
          <t>龚政涛</t>
        </is>
      </c>
      <c r="Q126" s="3"/>
      <c r="R126" s="3">
        <v>45916.333333333336</v>
      </c>
      <c r="S126" t="inlineStr">
        <is>
          <t>4984cef6-52a7-4ca0-bb71-0399679e190e</t>
        </is>
      </c>
      <c r="T126"/>
      <c r="U126"/>
      <c r="V126"/>
      <c r="W126">
        <v>0</v>
      </c>
      <c r="X126" t="inlineStr">
        <is>
          <t>龚政涛</t>
        </is>
      </c>
      <c r="Y126" t="inlineStr">
        <is>
          <t>龚政涛</t>
        </is>
      </c>
      <c r="Z126" s="3">
        <v>45866.525868055556</v>
      </c>
      <c r="AA126" s="3">
        <v>45949.66263888889</v>
      </c>
      <c r="AB126" s="2" t="str">
        <f>=HYPERLINK("https://applink.feishu.cn/client/todo/task_list?guid=76122b60-faec-4a61-91b0-2d229f32cc2a", "迷宫球")</f>
        <v>迷宫球</v>
      </c>
      <c r="AC126" t="inlineStr">
        <is>
          <t>76122b60-faec-4a61-91b0-2d229f32cc2a</t>
        </is>
      </c>
      <c r="AD126" t="inlineStr">
        <is>
          <t>NzUzMTk3MzcwNDkxNDg0NTY5Nzo0OTg0Y2VmNi01MmE3LTRjYTAtYmI3MS0wMzk5Njc5ZTE5MGU6NWU2YjgzZmY3MjdkNmViYTdiMDNhNDVmMTM1YzQ1Yzc6MQ==</t>
        </is>
      </c>
      <c r="AE126"/>
    </row>
    <row r="127" ht="25.5" customHeight="1">
      <c r="A127" s="2" t="str">
        <f>=HYPERLINK("https://applink.feishu.cn/client/todo/detail?guid=d3a23398-6dbe-4c3f-9cc6-103e54113efb&amp;suite_entity_num=t100906", "增加迷宫轨道和轨道之间的碰撞干涉功能 &lt; ✨新增: 新增了“多重迷宫”本地同屏合作模式，迷宫将会被拆分成多个预设的部分，由2名玩家分别操作过关。")</f>
        <v>增加迷宫轨道和轨道之间的碰撞干涉功能 &lt; ✨新增: 新增了“多重迷宫”本地同屏合作模式，迷宫将会被拆分成多个预设的部分，由2名玩家分别操作过关。</v>
      </c>
      <c r="B127"/>
      <c r="C127" t="inlineStr">
        <is>
          <t>默认分组</t>
        </is>
      </c>
      <c r="D127" t="inlineStr">
        <is>
          <t>1</t>
        </is>
      </c>
      <c r="E127" t="inlineStr">
        <is>
          <t>已完成</t>
        </is>
      </c>
      <c r="F127">
        <v>64</v>
      </c>
      <c r="G127" t="inlineStr">
        <is>
          <t>P2 - 新的想法</t>
        </is>
      </c>
      <c r="H127" t="inlineStr">
        <is>
          <t>🎨艺术</t>
        </is>
      </c>
      <c r="I127">
        <v>0</v>
      </c>
      <c r="J127" t="inlineStr">
        <is>
          <t>或签任务</t>
        </is>
      </c>
      <c r="K127"/>
      <c r="L127" t="inlineStr">
        <is>
          <t>0</t>
        </is>
      </c>
      <c r="M127"/>
      <c r="N127" s="3">
        <v>45917.8933912037</v>
      </c>
      <c r="O127" t="inlineStr">
        <is>
          <t>v0.0.4</t>
        </is>
      </c>
      <c r="P127" t="inlineStr">
        <is>
          <t>Decay</t>
        </is>
      </c>
      <c r="Q127" s="3">
        <v>45885.333333333336</v>
      </c>
      <c r="R127" s="3">
        <v>45917.333333333336</v>
      </c>
      <c r="S127" t="inlineStr">
        <is>
          <t>d3a23398-6dbe-4c3f-9cc6-103e54113efb</t>
        </is>
      </c>
      <c r="T127" t="inlineStr">
        <is>
          <t>70eadbf1-1e75-4cea-a30d-6c29d6b87834</t>
        </is>
      </c>
      <c r="U127"/>
      <c r="V127" t="inlineStr">
        <is>
          <t>c9ef7170-5612-47a2-aea5-d7e4ebf46fa4, 2c3f56b7-3f2f-422a-83c1-08e193c9b27c, 89320773-727f-4636-a618-72dc4773a391</t>
        </is>
      </c>
      <c r="W127">
        <v>0</v>
      </c>
      <c r="X127" t="inlineStr">
        <is>
          <t>龚政涛,Decay</t>
        </is>
      </c>
      <c r="Y127" t="inlineStr">
        <is>
          <t>龚政涛</t>
        </is>
      </c>
      <c r="Z127" s="3">
        <v>45846.8825</v>
      </c>
      <c r="AA127" s="3">
        <v>45917.8933912037</v>
      </c>
      <c r="AB127" s="2" t="str">
        <f>=HYPERLINK("https://applink.feishu.cn/client/todo/task_list?guid=76122b60-faec-4a61-91b0-2d229f32cc2a", "迷宫球")</f>
        <v>迷宫球</v>
      </c>
      <c r="AC127" t="inlineStr">
        <is>
          <t>76122b60-faec-4a61-91b0-2d229f32cc2a</t>
        </is>
      </c>
      <c r="AD127" t="inlineStr">
        <is>
          <t>NzUzMTk3MzcwNDkxNDg0NTY5NzpkM2EyMzM5OC02ZGJlLTRjM2YtOWNjNi0xMDNlNTQxMTNlZmI6MDA0YWViOTJiYzgyMzJjOTZkNGEyYjdjNTY1ZjZiM2M6MQ==</t>
        </is>
      </c>
      <c r="AE127"/>
    </row>
    <row r="128" ht="25.5" customHeight="1">
      <c r="A128" s="2" t="str">
        <f>=HYPERLINK("https://applink.feishu.cn/client/todo/detail?guid=3b296f6f-616b-436b-a391-0e2dc6673c77&amp;suite_entity_num=t100865", "✨新增: 迷宫、小球出现和消失时增加了特效")</f>
        <v>✨新增: 迷宫、小球出现和消失时增加了特效</v>
      </c>
      <c r="B128"/>
      <c r="C128" t="inlineStr">
        <is>
          <t>默认分组</t>
        </is>
      </c>
      <c r="D128" t="inlineStr">
        <is>
          <t>0</t>
        </is>
      </c>
      <c r="E128" t="inlineStr">
        <is>
          <t>进行中</t>
        </is>
      </c>
      <c r="F128">
        <v>10</v>
      </c>
      <c r="G128" t="inlineStr">
        <is>
          <t>P2 - 新的想法</t>
        </is>
      </c>
      <c r="H128" t="inlineStr">
        <is>
          <t>✍️故事</t>
        </is>
      </c>
      <c r="I128">
        <v>0</v>
      </c>
      <c r="J128" t="inlineStr">
        <is>
          <t>或签任务</t>
        </is>
      </c>
      <c r="K128"/>
      <c r="L128" t="inlineStr">
        <is>
          <t>0</t>
        </is>
      </c>
      <c r="M128"/>
      <c r="N128" s="3"/>
      <c r="O128" t="inlineStr">
        <is>
          <t>v0.0.5</t>
        </is>
      </c>
      <c r="P128" t="inlineStr">
        <is>
          <t>周晨锋</t>
        </is>
      </c>
      <c r="Q128" s="3">
        <v>45908.333333333336</v>
      </c>
      <c r="R128" s="3">
        <v>45917.333333333336</v>
      </c>
      <c r="S128" t="inlineStr">
        <is>
          <t>3b296f6f-616b-436b-a391-0e2dc6673c77</t>
        </is>
      </c>
      <c r="T128"/>
      <c r="U128"/>
      <c r="V128"/>
      <c r="W128">
        <v>0</v>
      </c>
      <c r="X128" t="inlineStr">
        <is>
          <t>龚政涛,周晨锋</t>
        </is>
      </c>
      <c r="Y128" t="inlineStr">
        <is>
          <t>龚政涛</t>
        </is>
      </c>
      <c r="Z128" s="3">
        <v>45846.471180555556</v>
      </c>
      <c r="AA128" s="3">
        <v>45926.4080787037</v>
      </c>
      <c r="AB128" s="2" t="str">
        <f>=HYPERLINK("https://applink.feishu.cn/client/todo/task_list?guid=76122b60-faec-4a61-91b0-2d229f32cc2a", "迷宫球")</f>
        <v>迷宫球</v>
      </c>
      <c r="AC128" t="inlineStr">
        <is>
          <t>76122b60-faec-4a61-91b0-2d229f32cc2a</t>
        </is>
      </c>
      <c r="AD128" t="inlineStr">
        <is>
          <t>NzUzMTk3MzcwNDkxNDg0NTY5NzozYjI5NmY2Zi02MTZiLTQzNmItYTM5MS0wZTJkYzY2NzNjNzc6Yjg0NWFmZTQwZDk4OTViN2NjMjY4MTY0ZGUxMjdlM2I6MQ==</t>
        </is>
      </c>
      <c r="AE128"/>
    </row>
    <row r="129" ht="25.5" customHeight="1">
      <c r="A129" s="2" t="str">
        <f>=HYPERLINK("https://applink.feishu.cn/client/todo/detail?guid=7393611b-4187-4416-8d9a-9be975730839&amp;suite_entity_num=t101110", "制作铁水机制 &lt; ✨新增: 增加了1个新的主题关卡玩法")</f>
        <v>制作铁水机制 &lt; ✨新增: 增加了1个新的主题关卡玩法</v>
      </c>
      <c r="B129"/>
      <c r="C129" t="inlineStr">
        <is>
          <t>默认分组</t>
        </is>
      </c>
      <c r="D129" t="inlineStr">
        <is>
          <t>0</t>
        </is>
      </c>
      <c r="E129" t="inlineStr">
        <is>
          <t>进行中</t>
        </is>
      </c>
      <c r="F129">
        <v>10</v>
      </c>
      <c r="G129" t="inlineStr">
        <is>
          <t>P1 - 最好处理</t>
        </is>
      </c>
      <c r="H129" t="inlineStr">
        <is>
          <t>✍️故事</t>
        </is>
      </c>
      <c r="I129">
        <v>0</v>
      </c>
      <c r="J129" t="inlineStr">
        <is>
          <t>或签任务</t>
        </is>
      </c>
      <c r="K129"/>
      <c r="L129" t="inlineStr">
        <is>
          <t>0</t>
        </is>
      </c>
      <c r="M129"/>
      <c r="N129" s="3"/>
      <c r="O129" t="inlineStr">
        <is>
          <t>v0.0.4</t>
        </is>
      </c>
      <c r="P129" t="inlineStr">
        <is>
          <t>周晨锋</t>
        </is>
      </c>
      <c r="Q129" s="3">
        <v>45908.333333333336</v>
      </c>
      <c r="R129" s="3">
        <v>45917.333333333336</v>
      </c>
      <c r="S129" t="inlineStr">
        <is>
          <t>7393611b-4187-4416-8d9a-9be975730839</t>
        </is>
      </c>
      <c r="T129" t="inlineStr">
        <is>
          <t>bc8a7a7e-d7ad-416c-9af2-208a6ed042c7</t>
        </is>
      </c>
      <c r="U129"/>
      <c r="V129"/>
      <c r="W129">
        <v>0</v>
      </c>
      <c r="X129" t="inlineStr">
        <is>
          <t>龚政涛,周晨锋</t>
        </is>
      </c>
      <c r="Y129" t="inlineStr">
        <is>
          <t>龚政涛</t>
        </is>
      </c>
      <c r="Z129" s="3">
        <v>45904.903761574074</v>
      </c>
      <c r="AA129" s="3">
        <v>45917.40001157407</v>
      </c>
      <c r="AB129" s="2" t="str">
        <f>=HYPERLINK("https://applink.feishu.cn/client/todo/task_list?guid=76122b60-faec-4a61-91b0-2d229f32cc2a", "迷宫球")</f>
        <v>迷宫球</v>
      </c>
      <c r="AC129" t="inlineStr">
        <is>
          <t>76122b60-faec-4a61-91b0-2d229f32cc2a</t>
        </is>
      </c>
      <c r="AD129" t="inlineStr">
        <is>
          <t>NzUzMTk3MzcwNDkxNDg0NTY5Nzo3MzkzNjExYi00MTg3LTQ0MTYtOGQ5YS05YmU5NzU3MzA4Mzk6NzU2NGY0YTNmZmVhNDY4MDQyNzc2ZWVkNDBlOGQyMmQ6MQ==</t>
        </is>
      </c>
      <c r="AE129"/>
    </row>
    <row r="130" ht="25.5" customHeight="1">
      <c r="A130" s="2" t="str">
        <f>=HYPERLINK("https://applink.feishu.cn/client/todo/detail?guid=1c58e6ba-82eb-4848-9052-84e6aaabb984&amp;suite_entity_num=t101124", "制作了全新的开始菜单")</f>
        <v>制作了全新的开始菜单</v>
      </c>
      <c r="B130"/>
      <c r="C130" t="inlineStr">
        <is>
          <t>默认分组</t>
        </is>
      </c>
      <c r="D130" t="inlineStr">
        <is>
          <t>1</t>
        </is>
      </c>
      <c r="E130" t="inlineStr">
        <is>
          <t>已完成</t>
        </is>
      </c>
      <c r="F130">
        <v>12</v>
      </c>
      <c r="G130" t="inlineStr">
        <is>
          <t>P1 - 最好处理</t>
        </is>
      </c>
      <c r="H130" t="inlineStr">
        <is>
          <t>🎨艺术</t>
        </is>
      </c>
      <c r="I130">
        <v>0</v>
      </c>
      <c r="J130" t="inlineStr">
        <is>
          <t>或签任务</t>
        </is>
      </c>
      <c r="K130"/>
      <c r="L130" t="inlineStr">
        <is>
          <t>0</t>
        </is>
      </c>
      <c r="M130"/>
      <c r="N130" s="3">
        <v>45926.40614583333</v>
      </c>
      <c r="O130" t="inlineStr">
        <is>
          <t>v0.0.4</t>
        </is>
      </c>
      <c r="P130" t="inlineStr">
        <is>
          <t>周晨锋</t>
        </is>
      </c>
      <c r="Q130" s="3">
        <v>45908.333333333336</v>
      </c>
      <c r="R130" s="3">
        <v>45917.333333333336</v>
      </c>
      <c r="S130" t="inlineStr">
        <is>
          <t>1c58e6ba-82eb-4848-9052-84e6aaabb984</t>
        </is>
      </c>
      <c r="T130"/>
      <c r="U130"/>
      <c r="V130"/>
      <c r="W130">
        <v>2</v>
      </c>
      <c r="X130" t="inlineStr">
        <is>
          <t>周晨锋,龚政涛</t>
        </is>
      </c>
      <c r="Y130" t="inlineStr">
        <is>
          <t>龚政涛</t>
        </is>
      </c>
      <c r="Z130" s="3">
        <v>45908.401550925926</v>
      </c>
      <c r="AA130" s="3">
        <v>45926.40615740741</v>
      </c>
      <c r="AB130" s="2" t="str">
        <f>=HYPERLINK("https://applink.feishu.cn/client/todo/task_list?guid=76122b60-faec-4a61-91b0-2d229f32cc2a", "迷宫球")</f>
        <v>迷宫球</v>
      </c>
      <c r="AC130" t="inlineStr">
        <is>
          <t>76122b60-faec-4a61-91b0-2d229f32cc2a</t>
        </is>
      </c>
      <c r="AD130" t="inlineStr">
        <is>
          <t>NzUzMTk3MzcwNDkxNDg0NTY5NzoxYzU4ZTZiYS04MmViLTQ4NDgtOTA1Mi04NGU2YWFhYmI5ODQ6OWE2MjQ4NTk5NWJiYTkyMWZjMjQ0YTEwZTA2YjhhMzc6MQ==</t>
        </is>
      </c>
      <c r="AE130"/>
    </row>
    <row r="131" ht="25.5" customHeight="1">
      <c r="A131" s="2" t="str">
        <f>=HYPERLINK("https://applink.feishu.cn/client/todo/detail?guid=0fe6dc7c-7fa4-4b9a-8b82-620beb910c03&amp;suite_entity_num=t101132", "修复电梯问题")</f>
        <v>修复电梯问题</v>
      </c>
      <c r="B131"/>
      <c r="C131" t="inlineStr">
        <is>
          <t>默认分组</t>
        </is>
      </c>
      <c r="D131" t="inlineStr">
        <is>
          <t>1</t>
        </is>
      </c>
      <c r="E131" t="inlineStr">
        <is>
          <t>已完成</t>
        </is>
      </c>
      <c r="F131">
        <v>6</v>
      </c>
      <c r="G131" t="inlineStr">
        <is>
          <t>P0 - 必须处理</t>
        </is>
      </c>
      <c r="H131" t="inlineStr">
        <is>
          <t>🛠️技术</t>
        </is>
      </c>
      <c r="I131">
        <v>0</v>
      </c>
      <c r="J131" t="inlineStr">
        <is>
          <t>或签任务</t>
        </is>
      </c>
      <c r="K131"/>
      <c r="L131" t="inlineStr">
        <is>
          <t>0</t>
        </is>
      </c>
      <c r="M131"/>
      <c r="N131" s="3">
        <v>45926.40608796296</v>
      </c>
      <c r="O131" t="inlineStr">
        <is>
          <t>v0.0.4</t>
        </is>
      </c>
      <c r="P131" t="inlineStr">
        <is>
          <t>周晨锋</t>
        </is>
      </c>
      <c r="Q131" s="3">
        <v>45915.333333333336</v>
      </c>
      <c r="R131" s="3">
        <v>45917.333333333336</v>
      </c>
      <c r="S131" t="inlineStr">
        <is>
          <t>0fe6dc7c-7fa4-4b9a-8b82-620beb910c03</t>
        </is>
      </c>
      <c r="T131"/>
      <c r="U131"/>
      <c r="V131"/>
      <c r="W131">
        <v>1</v>
      </c>
      <c r="X131" t="inlineStr">
        <is>
          <t>周晨锋,龚政涛</t>
        </is>
      </c>
      <c r="Y131" t="inlineStr">
        <is>
          <t>龚政涛</t>
        </is>
      </c>
      <c r="Z131" s="3">
        <v>45915.398460648146</v>
      </c>
      <c r="AA131" s="3">
        <v>45926.40609953704</v>
      </c>
      <c r="AB131" s="2" t="str">
        <f>=HYPERLINK("https://applink.feishu.cn/client/todo/task_list?guid=76122b60-faec-4a61-91b0-2d229f32cc2a", "迷宫球")</f>
        <v>迷宫球</v>
      </c>
      <c r="AC131" t="inlineStr">
        <is>
          <t>76122b60-faec-4a61-91b0-2d229f32cc2a</t>
        </is>
      </c>
      <c r="AD131" t="inlineStr">
        <is>
          <t>NzUzMTk3MzcwNDkxNDg0NTY5NzowZmU2ZGM3Yy03ZmE0LTRiOWEtOGI4Mi02MjBiZWI5MTBjMDM6ZWVkNzZkYTcwYjY3NTdhZjVmMzRiNWM0Mjk5ZTEyOGE6MQ==</t>
        </is>
      </c>
      <c r="AE131"/>
    </row>
    <row r="132" ht="25.5" customHeight="1">
      <c r="A132" s="2" t="str">
        <f>=HYPERLINK("https://applink.feishu.cn/client/todo/detail?guid=554c58ef-1c40-47c0-bdb8-dbdc31e3283e&amp;suite_entity_num=t101133", "制作自动删除AUTO MERGE ACTOR的UTILITY")</f>
        <v>制作自动删除AUTO MERGE ACTOR的UTILITY</v>
      </c>
      <c r="B132"/>
      <c r="C132" t="inlineStr">
        <is>
          <t>默认分组</t>
        </is>
      </c>
      <c r="D132" t="inlineStr">
        <is>
          <t>1</t>
        </is>
      </c>
      <c r="E132" t="inlineStr">
        <is>
          <t>已完成</t>
        </is>
      </c>
      <c r="F132">
        <v>6</v>
      </c>
      <c r="G132" t="inlineStr">
        <is>
          <t>P0 - 必须处理</t>
        </is>
      </c>
      <c r="H132" t="inlineStr">
        <is>
          <t>🛠️技术</t>
        </is>
      </c>
      <c r="I132">
        <v>0</v>
      </c>
      <c r="J132" t="inlineStr">
        <is>
          <t>或签任务</t>
        </is>
      </c>
      <c r="K132"/>
      <c r="L132" t="inlineStr">
        <is>
          <t>0</t>
        </is>
      </c>
      <c r="M132"/>
      <c r="N132" s="3">
        <v>45918.42361111111</v>
      </c>
      <c r="O132" t="inlineStr">
        <is>
          <t>v0.0.4</t>
        </is>
      </c>
      <c r="P132" t="inlineStr">
        <is>
          <t>周晨锋</t>
        </is>
      </c>
      <c r="Q132" s="3">
        <v>45915.333333333336</v>
      </c>
      <c r="R132" s="3">
        <v>45917.333333333336</v>
      </c>
      <c r="S132" t="inlineStr">
        <is>
          <t>554c58ef-1c40-47c0-bdb8-dbdc31e3283e</t>
        </is>
      </c>
      <c r="T132"/>
      <c r="U132"/>
      <c r="V132"/>
      <c r="W132">
        <v>2</v>
      </c>
      <c r="X132" t="inlineStr">
        <is>
          <t>龚政涛,周晨锋</t>
        </is>
      </c>
      <c r="Y132" t="inlineStr">
        <is>
          <t>龚政涛</t>
        </is>
      </c>
      <c r="Z132" s="3">
        <v>45915.42487268519</v>
      </c>
      <c r="AA132" s="3">
        <v>45918.42359953704</v>
      </c>
      <c r="AB132" s="2" t="str">
        <f>=HYPERLINK("https://applink.feishu.cn/client/todo/task_list?guid=76122b60-faec-4a61-91b0-2d229f32cc2a", "迷宫球")</f>
        <v>迷宫球</v>
      </c>
      <c r="AC132" t="inlineStr">
        <is>
          <t>76122b60-faec-4a61-91b0-2d229f32cc2a</t>
        </is>
      </c>
      <c r="AD132" t="inlineStr">
        <is>
          <t>NzUzMTk3MzcwNDkxNDg0NTY5Nzo1NTRjNThlZi0xYzQwLTQ3YzAtYmRiOC1kYmRjMzFlMzI4M2U6ZjRkNzgyNTlkZDI5NDNiMDNlYmU3MDQ3OWMyMzlmNmM6MQ==</t>
        </is>
      </c>
      <c r="AE132"/>
    </row>
    <row r="133" ht="25.5" customHeight="1">
      <c r="A133" s="2" t="str">
        <f>=HYPERLINK("https://applink.feishu.cn/client/todo/detail?guid=7c093ef0-be12-4c06-8ee5-9c34d1bf0fcc&amp;suite_entity_num=t101139", "调整landscape")</f>
        <v>调整landscape</v>
      </c>
      <c r="B133"/>
      <c r="C133" t="inlineStr">
        <is>
          <t>默认分组</t>
        </is>
      </c>
      <c r="D133" t="inlineStr">
        <is>
          <t>1</t>
        </is>
      </c>
      <c r="E133" t="inlineStr">
        <is>
          <t>已完成</t>
        </is>
      </c>
      <c r="F133">
        <v>2</v>
      </c>
      <c r="G133" t="inlineStr">
        <is>
          <t>P2 - 新的想法</t>
        </is>
      </c>
      <c r="H133" t="inlineStr">
        <is>
          <t>🎨艺术</t>
        </is>
      </c>
      <c r="I133">
        <v>0</v>
      </c>
      <c r="J133" t="inlineStr">
        <is>
          <t>或签任务</t>
        </is>
      </c>
      <c r="K133"/>
      <c r="L133" t="inlineStr">
        <is>
          <t>0</t>
        </is>
      </c>
      <c r="M133"/>
      <c r="N133" s="3">
        <v>45917.89332175926</v>
      </c>
      <c r="O133" t="inlineStr">
        <is>
          <t>v0.0.4</t>
        </is>
      </c>
      <c r="P133" t="inlineStr">
        <is>
          <t>Decay</t>
        </is>
      </c>
      <c r="Q133" s="3">
        <v>45916.333333333336</v>
      </c>
      <c r="R133" s="3">
        <v>45917.333333333336</v>
      </c>
      <c r="S133" t="inlineStr">
        <is>
          <t>7c093ef0-be12-4c06-8ee5-9c34d1bf0fcc</t>
        </is>
      </c>
      <c r="T133"/>
      <c r="U133"/>
      <c r="V133"/>
      <c r="W133">
        <v>1</v>
      </c>
      <c r="X133" t="inlineStr">
        <is>
          <t>Decay,龚政涛</t>
        </is>
      </c>
      <c r="Y133" t="inlineStr">
        <is>
          <t>龚政涛</t>
        </is>
      </c>
      <c r="Z133" s="3">
        <v>45917.40252314815</v>
      </c>
      <c r="AA133" s="3">
        <v>45917.89332175926</v>
      </c>
      <c r="AB133" s="2" t="str">
        <f>=HYPERLINK("https://applink.feishu.cn/client/todo/task_list?guid=76122b60-faec-4a61-91b0-2d229f32cc2a", "迷宫球")</f>
        <v>迷宫球</v>
      </c>
      <c r="AC133" t="inlineStr">
        <is>
          <t>76122b60-faec-4a61-91b0-2d229f32cc2a</t>
        </is>
      </c>
      <c r="AD133" t="inlineStr">
        <is>
          <t>NzUzMTk3MzcwNDkxNDg0NTY5Nzo3YzA5M2VmMC1iZTEyLTRjMDYtOGVlNS05YzM0ZDFiZjBmY2M6ZTNiZTkyZGQ2YjdhOTk4NzM2YmRlNzc4ZGY2YTk4NjM6MQ==</t>
        </is>
      </c>
      <c r="AE133"/>
    </row>
    <row r="134" ht="25.5" customHeight="1">
      <c r="A134" s="2" t="str">
        <f>=HYPERLINK("https://applink.feishu.cn/client/todo/detail?guid=f978ce46-8380-4157-80c0-76bde981f7e7&amp;suite_entity_num=t100971", "网球功能 &lt; ✨新增: 增加了新的体素小球")</f>
        <v>网球功能 &lt; ✨新增: 增加了新的体素小球</v>
      </c>
      <c r="B134"/>
      <c r="C134" t="inlineStr">
        <is>
          <t>默认分组</t>
        </is>
      </c>
      <c r="D134" t="inlineStr">
        <is>
          <t>0</t>
        </is>
      </c>
      <c r="E134"/>
      <c r="F134">
        <v>2</v>
      </c>
      <c r="G134" t="inlineStr">
        <is>
          <t>P2 - 新的想法</t>
        </is>
      </c>
      <c r="H134" t="inlineStr">
        <is>
          <t>🎮玩法</t>
        </is>
      </c>
      <c r="I134">
        <v>0</v>
      </c>
      <c r="J134" t="inlineStr">
        <is>
          <t>或签任务</t>
        </is>
      </c>
      <c r="K134"/>
      <c r="L134" t="inlineStr">
        <is>
          <t>0</t>
        </is>
      </c>
      <c r="M134"/>
      <c r="N134" s="3"/>
      <c r="O134" t="inlineStr">
        <is>
          <t>v0.0.5</t>
        </is>
      </c>
      <c r="P134" t="inlineStr">
        <is>
          <t>周晨锋</t>
        </is>
      </c>
      <c r="Q134" s="3"/>
      <c r="R134" s="3">
        <v>45918.333333333336</v>
      </c>
      <c r="S134" t="inlineStr">
        <is>
          <t>f978ce46-8380-4157-80c0-76bde981f7e7</t>
        </is>
      </c>
      <c r="T134" t="inlineStr">
        <is>
          <t>689ba331-330d-415b-a389-47fbc556f1a2</t>
        </is>
      </c>
      <c r="U134" t="inlineStr">
        <is>
          <t>6ac8fe70-3594-4dea-af6e-59dc993b38a8</t>
        </is>
      </c>
      <c r="V134" t="inlineStr">
        <is>
          <t>f66d1653-b8a2-4668-97c1-07c6c476d849</t>
        </is>
      </c>
      <c r="W134">
        <v>0</v>
      </c>
      <c r="X134" t="inlineStr">
        <is>
          <t>龚政涛,周晨锋</t>
        </is>
      </c>
      <c r="Y134" t="inlineStr">
        <is>
          <t>龚政涛</t>
        </is>
      </c>
      <c r="Z134" s="3">
        <v>45866.488657407404</v>
      </c>
      <c r="AA134" s="3">
        <v>45949.6590625</v>
      </c>
      <c r="AB134" s="2" t="str">
        <f>=HYPERLINK("https://applink.feishu.cn/client/todo/task_list?guid=76122b60-faec-4a61-91b0-2d229f32cc2a", "迷宫球")</f>
        <v>迷宫球</v>
      </c>
      <c r="AC134" t="inlineStr">
        <is>
          <t>76122b60-faec-4a61-91b0-2d229f32cc2a</t>
        </is>
      </c>
      <c r="AD134" t="inlineStr">
        <is>
          <t>NzUzMTk3MzcwNDkxNDg0NTY5NzpmOTc4Y2U0Ni04MzgwLTQxNTctODBjMC03NmJkZTk4MWY3ZTc6MThhMWVkODNjN2VhYmQ2NDliZjI4ZjNjZDYxYThjYjI6MQ==</t>
        </is>
      </c>
      <c r="AE134"/>
    </row>
    <row r="135" ht="25.5" customHeight="1">
      <c r="A135" s="2" t="str">
        <f>=HYPERLINK("https://applink.feishu.cn/client/todo/detail?guid=5acba486-e195-462b-8bf3-0aecb89ec3f4&amp;suite_entity_num=t101146", "制作单人、双人模式切换")</f>
        <v>制作单人、双人模式切换</v>
      </c>
      <c r="B135"/>
      <c r="C135" t="inlineStr">
        <is>
          <t>默认分组</t>
        </is>
      </c>
      <c r="D135" t="inlineStr">
        <is>
          <t>1</t>
        </is>
      </c>
      <c r="E135" t="inlineStr">
        <is>
          <t>已完成</t>
        </is>
      </c>
      <c r="F135">
        <v>4</v>
      </c>
      <c r="G135" t="inlineStr">
        <is>
          <t>P0 - 必须处理</t>
        </is>
      </c>
      <c r="H135" t="inlineStr">
        <is>
          <t>🛠️技术</t>
        </is>
      </c>
      <c r="I135">
        <v>0</v>
      </c>
      <c r="J135" t="inlineStr">
        <is>
          <t>或签任务</t>
        </is>
      </c>
      <c r="K135"/>
      <c r="L135" t="inlineStr">
        <is>
          <t>0</t>
        </is>
      </c>
      <c r="M135"/>
      <c r="N135" s="3">
        <v>45926.40741898148</v>
      </c>
      <c r="O135" t="inlineStr">
        <is>
          <t>v0.0.4</t>
        </is>
      </c>
      <c r="P135" t="inlineStr">
        <is>
          <t>周晨锋</t>
        </is>
      </c>
      <c r="Q135" s="3">
        <v>45918.333333333336</v>
      </c>
      <c r="R135" s="3">
        <v>45918.333333333336</v>
      </c>
      <c r="S135" t="inlineStr">
        <is>
          <t>5acba486-e195-462b-8bf3-0aecb89ec3f4</t>
        </is>
      </c>
      <c r="T135"/>
      <c r="U135"/>
      <c r="V135"/>
      <c r="W135">
        <v>0</v>
      </c>
      <c r="X135" t="inlineStr">
        <is>
          <t>龚政涛,周晨锋</t>
        </is>
      </c>
      <c r="Y135" t="inlineStr">
        <is>
          <t>龚政涛</t>
        </is>
      </c>
      <c r="Z135" s="3">
        <v>45917.89425925926</v>
      </c>
      <c r="AA135" s="3">
        <v>45926.407430555555</v>
      </c>
      <c r="AB135" s="2" t="str">
        <f>=HYPERLINK("https://applink.feishu.cn/client/todo/task_list?guid=76122b60-faec-4a61-91b0-2d229f32cc2a", "迷宫球")</f>
        <v>迷宫球</v>
      </c>
      <c r="AC135" t="inlineStr">
        <is>
          <t>76122b60-faec-4a61-91b0-2d229f32cc2a</t>
        </is>
      </c>
      <c r="AD135" t="inlineStr">
        <is>
          <t>NzUzMTk3MzcwNDkxNDg0NTY5Nzo1YWNiYTQ4Ni1lMTk1LTQ2MmItOGJmMy0wYWVjYjg5ZWMzZjQ6NzMzMTVmNDYyNWYyNDMwMTA4MGI3ZWNjZDU5YzE5MGI6MQ==</t>
        </is>
      </c>
      <c r="AE135"/>
    </row>
    <row r="136" ht="25.5" customHeight="1">
      <c r="A136" s="2" t="str">
        <f>=HYPERLINK("https://applink.feishu.cn/client/todo/detail?guid=f66d1653-b8a2-4668-97c1-07c6c476d849&amp;suite_entity_num=t100972", "高尔夫球功能 &lt; ✨新增: 增加了新的体素小球")</f>
        <v>高尔夫球功能 &lt; ✨新增: 增加了新的体素小球</v>
      </c>
      <c r="B136"/>
      <c r="C136" t="inlineStr">
        <is>
          <t>默认分组</t>
        </is>
      </c>
      <c r="D136" t="inlineStr">
        <is>
          <t>0</t>
        </is>
      </c>
      <c r="E136"/>
      <c r="F136">
        <v>2</v>
      </c>
      <c r="G136" t="inlineStr">
        <is>
          <t>P2 - 新的想法</t>
        </is>
      </c>
      <c r="H136" t="inlineStr">
        <is>
          <t>🎮玩法</t>
        </is>
      </c>
      <c r="I136">
        <v>0</v>
      </c>
      <c r="J136" t="inlineStr">
        <is>
          <t>或签任务</t>
        </is>
      </c>
      <c r="K136"/>
      <c r="L136" t="inlineStr">
        <is>
          <t>0</t>
        </is>
      </c>
      <c r="M136"/>
      <c r="N136" s="3"/>
      <c r="O136" t="inlineStr">
        <is>
          <t>v0.0.5</t>
        </is>
      </c>
      <c r="P136" t="inlineStr">
        <is>
          <t>周晨锋</t>
        </is>
      </c>
      <c r="Q136" s="3"/>
      <c r="R136" s="3">
        <v>45919.333333333336</v>
      </c>
      <c r="S136" t="inlineStr">
        <is>
          <t>f66d1653-b8a2-4668-97c1-07c6c476d849</t>
        </is>
      </c>
      <c r="T136" t="inlineStr">
        <is>
          <t>689ba331-330d-415b-a389-47fbc556f1a2</t>
        </is>
      </c>
      <c r="U136" t="inlineStr">
        <is>
          <t>f978ce46-8380-4157-80c0-76bde981f7e7</t>
        </is>
      </c>
      <c r="V136"/>
      <c r="W136">
        <v>0</v>
      </c>
      <c r="X136" t="inlineStr">
        <is>
          <t>龚政涛,周晨锋</t>
        </is>
      </c>
      <c r="Y136" t="inlineStr">
        <is>
          <t>龚政涛</t>
        </is>
      </c>
      <c r="Z136" s="3">
        <v>45866.490381944444</v>
      </c>
      <c r="AA136" s="3">
        <v>45949.65907407407</v>
      </c>
      <c r="AB136" s="2" t="str">
        <f>=HYPERLINK("https://applink.feishu.cn/client/todo/task_list?guid=76122b60-faec-4a61-91b0-2d229f32cc2a", "迷宫球")</f>
        <v>迷宫球</v>
      </c>
      <c r="AC136" t="inlineStr">
        <is>
          <t>76122b60-faec-4a61-91b0-2d229f32cc2a</t>
        </is>
      </c>
      <c r="AD136" t="inlineStr">
        <is>
          <t>NzUzMTk3MzcwNDkxNDg0NTY5NzpmNjZkMTY1My1iOGEyLTQ2NjgtOTdjMS0wN2M2YzQ3NmQ4NDk6ZGM2NDRmZTY2Y2M3MjYzMjQ2ODkxMTM1ZGZiMWQzZDE6MQ==</t>
        </is>
      </c>
      <c r="AE136"/>
    </row>
    <row r="137" ht="25.5" customHeight="1">
      <c r="A137" s="2" t="str">
        <f>=HYPERLINK("https://applink.feishu.cn/client/todo/detail?guid=29fe82da-4cc4-4656-bd03-23d62c795b51&amp;suite_entity_num=t100976", "撰写本地的随机迷宫生成python脚本，明确难度结算和迷宫布置规则 &lt; ✨新增: 增加了迷宫的简单编辑功能")</f>
        <v>撰写本地的随机迷宫生成python脚本，明确难度结算和迷宫布置规则 &lt; ✨新增: 增加了迷宫的简单编辑功能</v>
      </c>
      <c r="B137"/>
      <c r="C137" t="inlineStr">
        <is>
          <t>默认分组</t>
        </is>
      </c>
      <c r="D137" t="inlineStr">
        <is>
          <t>1</t>
        </is>
      </c>
      <c r="E137" t="inlineStr">
        <is>
          <t>已废弃</t>
        </is>
      </c>
      <c r="F137">
        <v>8</v>
      </c>
      <c r="G137"/>
      <c r="H137" t="inlineStr">
        <is>
          <t>🛠️技术</t>
        </is>
      </c>
      <c r="I137">
        <v>0</v>
      </c>
      <c r="J137" t="inlineStr">
        <is>
          <t>或签任务</t>
        </is>
      </c>
      <c r="K137"/>
      <c r="L137" t="inlineStr">
        <is>
          <t>0</t>
        </is>
      </c>
      <c r="M137"/>
      <c r="N137" s="3">
        <v>45926.41140046297</v>
      </c>
      <c r="O137" t="inlineStr">
        <is>
          <t>v0.0.5</t>
        </is>
      </c>
      <c r="P137" t="inlineStr">
        <is>
          <t>龚政涛</t>
        </is>
      </c>
      <c r="Q137" s="3">
        <v>45878.333333333336</v>
      </c>
      <c r="R137" s="3">
        <v>45919.333333333336</v>
      </c>
      <c r="S137" t="inlineStr">
        <is>
          <t>29fe82da-4cc4-4656-bd03-23d62c795b51</t>
        </is>
      </c>
      <c r="T137" t="inlineStr">
        <is>
          <t>f270c970-c429-4a73-8318-1db92b524bc0</t>
        </is>
      </c>
      <c r="U137"/>
      <c r="V137" t="inlineStr">
        <is>
          <t>2c3f56b7-3f2f-422a-83c1-08e193c9b27c, c9ef7170-5612-47a2-aea5-d7e4ebf46fa4</t>
        </is>
      </c>
      <c r="W137">
        <v>1</v>
      </c>
      <c r="X137" t="inlineStr">
        <is>
          <t>龚政涛</t>
        </is>
      </c>
      <c r="Y137" t="inlineStr">
        <is>
          <t>龚政涛</t>
        </is>
      </c>
      <c r="Z137" s="3">
        <v>45866.518055555556</v>
      </c>
      <c r="AA137" s="3">
        <v>45926.411412037036</v>
      </c>
      <c r="AB137" s="2" t="str">
        <f>=HYPERLINK("https://applink.feishu.cn/client/todo/task_list?guid=76122b60-faec-4a61-91b0-2d229f32cc2a", "迷宫球")</f>
        <v>迷宫球</v>
      </c>
      <c r="AC137" t="inlineStr">
        <is>
          <t>76122b60-faec-4a61-91b0-2d229f32cc2a</t>
        </is>
      </c>
      <c r="AD137" t="inlineStr">
        <is>
          <t>NzUzMTk3MzcwNDkxNDg0NTY5NzoyOWZlODJkYS00Y2M0LTQ2NTYtYmQwMy0yM2Q2MmM3OTViNTE6YzViNDM4ZTBhOTcyZGZmZWZjNTllYWU2ODgxYjE5YTg6MQ==</t>
        </is>
      </c>
      <c r="AE137"/>
    </row>
    <row r="138" ht="25.5" customHeight="1">
      <c r="A138" s="2" t="str">
        <f>=HYPERLINK("https://applink.feishu.cn/client/todo/detail?guid=7f856e03-78fb-4076-8fb2-a67d919865e5&amp;suite_entity_num=t100978", "将python功能迁移到UE内，实现实时难度统计 &lt; ✨新增: 增加了迷宫的简单编辑功能")</f>
        <v>将python功能迁移到UE内，实现实时难度统计 &lt; ✨新增: 增加了迷宫的简单编辑功能</v>
      </c>
      <c r="B138"/>
      <c r="C138" t="inlineStr">
        <is>
          <t>默认分组</t>
        </is>
      </c>
      <c r="D138" t="inlineStr">
        <is>
          <t>0</t>
        </is>
      </c>
      <c r="E138"/>
      <c r="F138">
        <v>8</v>
      </c>
      <c r="G138" t="inlineStr">
        <is>
          <t>P1 - 最好处理</t>
        </is>
      </c>
      <c r="H138" t="inlineStr">
        <is>
          <t>🛠️技术</t>
        </is>
      </c>
      <c r="I138">
        <v>0</v>
      </c>
      <c r="J138" t="inlineStr">
        <is>
          <t>或签任务</t>
        </is>
      </c>
      <c r="K138"/>
      <c r="L138" t="inlineStr">
        <is>
          <t>0</t>
        </is>
      </c>
      <c r="M138"/>
      <c r="N138" s="3"/>
      <c r="O138" t="inlineStr">
        <is>
          <t>v0.0.5</t>
        </is>
      </c>
      <c r="P138" t="inlineStr">
        <is>
          <t>Decay</t>
        </is>
      </c>
      <c r="Q138" s="3"/>
      <c r="R138" s="3">
        <v>45922.333333333336</v>
      </c>
      <c r="S138" t="inlineStr">
        <is>
          <t>7f856e03-78fb-4076-8fb2-a67d919865e5</t>
        </is>
      </c>
      <c r="T138" t="inlineStr">
        <is>
          <t>f270c970-c429-4a73-8318-1db92b524bc0</t>
        </is>
      </c>
      <c r="U138" t="inlineStr">
        <is>
          <t>2c3f56b7-3f2f-422a-83c1-08e193c9b27c</t>
        </is>
      </c>
      <c r="V138" t="inlineStr">
        <is>
          <t>c806f6c8-4eb6-4e6b-b3aa-a07b3a0c1cc5</t>
        </is>
      </c>
      <c r="W138">
        <v>0</v>
      </c>
      <c r="X138" t="inlineStr">
        <is>
          <t>龚政涛,Decay</t>
        </is>
      </c>
      <c r="Y138" t="inlineStr">
        <is>
          <t>龚政涛</t>
        </is>
      </c>
      <c r="Z138" s="3">
        <v>45866.51844907407</v>
      </c>
      <c r="AA138" s="3">
        <v>45915.39821759259</v>
      </c>
      <c r="AB138" s="2" t="str">
        <f>=HYPERLINK("https://applink.feishu.cn/client/todo/task_list?guid=76122b60-faec-4a61-91b0-2d229f32cc2a", "迷宫球")</f>
        <v>迷宫球</v>
      </c>
      <c r="AC138" t="inlineStr">
        <is>
          <t>76122b60-faec-4a61-91b0-2d229f32cc2a</t>
        </is>
      </c>
      <c r="AD138" t="inlineStr">
        <is>
          <t>NzUzMTk3MzcwNDkxNDg0NTY5Nzo3Zjg1NmUwMy03OGZiLTQwNzYtOGZiMi1hNjdkOTE5ODY1ZTU6ZmIxZDFhNDUzYzA5MjQzNTk1NTJkYmFhZTZiN2Q1NmU6MQ==</t>
        </is>
      </c>
      <c r="AE138"/>
    </row>
    <row r="139" ht="25.5" customHeight="1">
      <c r="A139" s="2" t="str">
        <f>=HYPERLINK("https://applink.feishu.cn/client/todo/detail?guid=c806f6c8-4eb6-4e6b-b3aa-a07b3a0c1cc5&amp;suite_entity_num=t100979", "将python功能迁移到UE内，实现PIE一键迷宫生成 &lt; ✨新增: 增加了迷宫的简单编辑功能")</f>
        <v>将python功能迁移到UE内，实现PIE一键迷宫生成 &lt; ✨新增: 增加了迷宫的简单编辑功能</v>
      </c>
      <c r="B139"/>
      <c r="C139" t="inlineStr">
        <is>
          <t>默认分组</t>
        </is>
      </c>
      <c r="D139" t="inlineStr">
        <is>
          <t>0</t>
        </is>
      </c>
      <c r="E139"/>
      <c r="F139">
        <v>8</v>
      </c>
      <c r="G139"/>
      <c r="H139" t="inlineStr">
        <is>
          <t>🛠️技术</t>
        </is>
      </c>
      <c r="I139">
        <v>0</v>
      </c>
      <c r="J139" t="inlineStr">
        <is>
          <t>或签任务</t>
        </is>
      </c>
      <c r="K139"/>
      <c r="L139" t="inlineStr">
        <is>
          <t>0</t>
        </is>
      </c>
      <c r="M139"/>
      <c r="N139" s="3"/>
      <c r="O139" t="inlineStr">
        <is>
          <t>v0.0.5</t>
        </is>
      </c>
      <c r="P139" t="inlineStr">
        <is>
          <t>Decay</t>
        </is>
      </c>
      <c r="Q139" s="3"/>
      <c r="R139" s="3">
        <v>45922.333333333336</v>
      </c>
      <c r="S139" t="inlineStr">
        <is>
          <t>c806f6c8-4eb6-4e6b-b3aa-a07b3a0c1cc5</t>
        </is>
      </c>
      <c r="T139" t="inlineStr">
        <is>
          <t>f270c970-c429-4a73-8318-1db92b524bc0</t>
        </is>
      </c>
      <c r="U139" t="inlineStr">
        <is>
          <t>7f856e03-78fb-4076-8fb2-a67d919865e5</t>
        </is>
      </c>
      <c r="V139" t="inlineStr">
        <is>
          <t>7d2383fc-cbc3-49cf-a323-d7e9c2b5eff2</t>
        </is>
      </c>
      <c r="W139">
        <v>0</v>
      </c>
      <c r="X139" t="inlineStr">
        <is>
          <t>龚政涛,Decay</t>
        </is>
      </c>
      <c r="Y139" t="inlineStr">
        <is>
          <t>龚政涛</t>
        </is>
      </c>
      <c r="Z139" s="3">
        <v>45866.518692129626</v>
      </c>
      <c r="AA139" s="3">
        <v>45915.39824074074</v>
      </c>
      <c r="AB139" s="2" t="str">
        <f>=HYPERLINK("https://applink.feishu.cn/client/todo/task_list?guid=76122b60-faec-4a61-91b0-2d229f32cc2a", "迷宫球")</f>
        <v>迷宫球</v>
      </c>
      <c r="AC139" t="inlineStr">
        <is>
          <t>76122b60-faec-4a61-91b0-2d229f32cc2a</t>
        </is>
      </c>
      <c r="AD139" t="inlineStr">
        <is>
          <t>NzUzMTk3MzcwNDkxNDg0NTY5NzpjODA2ZjZjOC00ZWI2LTRlNmItYjNhYS1hMDdiM2EwYzFjYzU6ODc2ZTc5YjlhM2RkNTg0NmRmY2ZhZDgzMDYxODFmN2U6MQ==</t>
        </is>
      </c>
      <c r="AE139"/>
    </row>
    <row r="140" ht="25.5" customHeight="1">
      <c r="A140" s="2" t="str">
        <f>=HYPERLINK("https://applink.feishu.cn/client/todo/detail?guid=eb8fdc77-389c-48bf-8e42-e32f976876c5&amp;suite_entity_num=t100183", "✨新增: 小球使用能力时，现在有提示特效/音效了")</f>
        <v>✨新增: 小球使用能力时，现在有提示特效/音效了</v>
      </c>
      <c r="B140" t="inlineStr">
        <is>
          <t>所有关于球的功能都代办，maybe以后做个换球的功能，重点其实在于小球使用技能时要有明确的视觉/音效提醒</t>
        </is>
      </c>
      <c r="C140" t="inlineStr">
        <is>
          <t>默认分组</t>
        </is>
      </c>
      <c r="D140" t="inlineStr">
        <is>
          <t>0</t>
        </is>
      </c>
      <c r="E140"/>
      <c r="F140">
        <v>4</v>
      </c>
      <c r="G140" t="inlineStr">
        <is>
          <t>P2 - 新的想法</t>
        </is>
      </c>
      <c r="H140" t="inlineStr">
        <is>
          <t>🎨艺术</t>
        </is>
      </c>
      <c r="I140">
        <v>0</v>
      </c>
      <c r="J140" t="inlineStr">
        <is>
          <t>或签任务</t>
        </is>
      </c>
      <c r="K140"/>
      <c r="L140" t="inlineStr">
        <is>
          <t>0</t>
        </is>
      </c>
      <c r="M140"/>
      <c r="N140" s="3"/>
      <c r="O140" t="inlineStr">
        <is>
          <t>v0.0.5</t>
        </is>
      </c>
      <c r="P140" t="inlineStr">
        <is>
          <t>周晨锋</t>
        </is>
      </c>
      <c r="Q140" s="3"/>
      <c r="R140" s="3">
        <v>45926.333333333336</v>
      </c>
      <c r="S140" t="inlineStr">
        <is>
          <t>eb8fdc77-389c-48bf-8e42-e32f976876c5</t>
        </is>
      </c>
      <c r="T140"/>
      <c r="U140" t="inlineStr">
        <is>
          <t>90157392-0be1-4c98-9f63-f38e43bfad83</t>
        </is>
      </c>
      <c r="V140"/>
      <c r="W140">
        <v>0</v>
      </c>
      <c r="X140" t="inlineStr">
        <is>
          <t>龚政涛,周晨锋</t>
        </is>
      </c>
      <c r="Y140" t="inlineStr">
        <is>
          <t>龚政涛</t>
        </is>
      </c>
      <c r="Z140" s="3">
        <v>45581.054375</v>
      </c>
      <c r="AA140" s="3">
        <v>45926.40806712963</v>
      </c>
      <c r="AB140" s="2" t="str">
        <f>=HYPERLINK("https://applink.feishu.cn/client/todo/task_list?guid=76122b60-faec-4a61-91b0-2d229f32cc2a", "迷宫球")</f>
        <v>迷宫球</v>
      </c>
      <c r="AC140" t="inlineStr">
        <is>
          <t>76122b60-faec-4a61-91b0-2d229f32cc2a</t>
        </is>
      </c>
      <c r="AD140" t="inlineStr">
        <is>
          <t>NzUzMTk3MzcwNDkxNDg0NTY5NzplYjhmZGM3Ny0zODljLTQ4YmYtOGU0Mi1lMzJmOTc2ODc2YzU6NjI5NDIzM2IzYTU2NTA3ODQ5OTRjYmM2NjZhYTIwMzM6MQ==</t>
        </is>
      </c>
      <c r="AE140"/>
    </row>
    <row r="141" ht="25.5" customHeight="1">
      <c r="A141" s="2" t="str">
        <f>=HYPERLINK("https://applink.feishu.cn/client/todo/detail?guid=90157392-0be1-4c98-9f63-f38e43bfad83&amp;suite_entity_num=t100902", "✨新增: 迷宫旋转时，现在有提示特效/音效了")</f>
        <v>✨新增: 迷宫旋转时，现在有提示特效/音效了</v>
      </c>
      <c r="B141" t="inlineStr">
        <is>
          <t>特效：迷宫中央根据转速变亮
音效：根据大世界配置，可能配置到bp_maze然后根据当前的world index引用</t>
        </is>
      </c>
      <c r="C141" t="inlineStr">
        <is>
          <t>默认分组</t>
        </is>
      </c>
      <c r="D141" t="inlineStr">
        <is>
          <t>0</t>
        </is>
      </c>
      <c r="E141"/>
      <c r="F141">
        <v>4</v>
      </c>
      <c r="G141" t="inlineStr">
        <is>
          <t>P2 - 新的想法</t>
        </is>
      </c>
      <c r="H141" t="inlineStr">
        <is>
          <t>🎨艺术</t>
        </is>
      </c>
      <c r="I141">
        <v>0</v>
      </c>
      <c r="J141" t="inlineStr">
        <is>
          <t>或签任务</t>
        </is>
      </c>
      <c r="K141"/>
      <c r="L141" t="inlineStr">
        <is>
          <t>0</t>
        </is>
      </c>
      <c r="M141"/>
      <c r="N141" s="3"/>
      <c r="O141" t="inlineStr">
        <is>
          <t>v0.0.5</t>
        </is>
      </c>
      <c r="P141" t="inlineStr">
        <is>
          <t>周晨锋</t>
        </is>
      </c>
      <c r="Q141" s="3"/>
      <c r="R141" s="3">
        <v>45926.333333333336</v>
      </c>
      <c r="S141" t="inlineStr">
        <is>
          <t>90157392-0be1-4c98-9f63-f38e43bfad83</t>
        </is>
      </c>
      <c r="T141"/>
      <c r="U141" t="inlineStr">
        <is>
          <t>4c19d58f-ed59-4da5-a8c7-b11f3b6c0e34, 84d3549d-6b1f-45b3-aca0-801f3bb9735d</t>
        </is>
      </c>
      <c r="V141" t="inlineStr">
        <is>
          <t>eb8fdc77-389c-48bf-8e42-e32f976876c5</t>
        </is>
      </c>
      <c r="W141">
        <v>0</v>
      </c>
      <c r="X141" t="inlineStr">
        <is>
          <t>龚政涛,周晨锋</t>
        </is>
      </c>
      <c r="Y141" t="inlineStr">
        <is>
          <t>龚政涛</t>
        </is>
      </c>
      <c r="Z141" s="3">
        <v>45846.87793981482</v>
      </c>
      <c r="AA141" s="3">
        <v>45926.40804398148</v>
      </c>
      <c r="AB141" s="2" t="str">
        <f>=HYPERLINK("https://applink.feishu.cn/client/todo/task_list?guid=76122b60-faec-4a61-91b0-2d229f32cc2a", "迷宫球")</f>
        <v>迷宫球</v>
      </c>
      <c r="AC141" t="inlineStr">
        <is>
          <t>76122b60-faec-4a61-91b0-2d229f32cc2a</t>
        </is>
      </c>
      <c r="AD141" t="inlineStr">
        <is>
          <t>NzUzMTk3MzcwNDkxNDg0NTY5Nzo5MDE1NzM5Mi0wYmUxLTRjOTgtOWY2My1mMzhlNDNiZmFkODM6ZGRlYmY2MjEwNjcwYjc2Mjc5OTU2NjIwYjk0YTYwMTQ6MQ==</t>
        </is>
      </c>
      <c r="AE141"/>
    </row>
    <row r="142" ht="25.5" customHeight="1">
      <c r="A142" s="2" t="str">
        <f>=HYPERLINK("https://applink.feishu.cn/client/todo/detail?guid=7d2383fc-cbc3-49cf-a323-d7e9c2b5eff2&amp;suite_entity_num=t100980", "增加PIE迷宫静态脚本的导出功能 &lt; ✨新增: 增加了迷宫的简单编辑功能")</f>
        <v>增加PIE迷宫静态脚本的导出功能 &lt; ✨新增: 增加了迷宫的简单编辑功能</v>
      </c>
      <c r="B142"/>
      <c r="C142" t="inlineStr">
        <is>
          <t>默认分组</t>
        </is>
      </c>
      <c r="D142" t="inlineStr">
        <is>
          <t>0</t>
        </is>
      </c>
      <c r="E142"/>
      <c r="F142">
        <v>8</v>
      </c>
      <c r="G142"/>
      <c r="H142" t="inlineStr">
        <is>
          <t>🛠️技术</t>
        </is>
      </c>
      <c r="I142">
        <v>0</v>
      </c>
      <c r="J142" t="inlineStr">
        <is>
          <t>或签任务</t>
        </is>
      </c>
      <c r="K142"/>
      <c r="L142" t="inlineStr">
        <is>
          <t>0</t>
        </is>
      </c>
      <c r="M142"/>
      <c r="N142" s="3"/>
      <c r="O142" t="inlineStr">
        <is>
          <t>v0.0.5</t>
        </is>
      </c>
      <c r="P142" t="inlineStr">
        <is>
          <t>Decay</t>
        </is>
      </c>
      <c r="Q142" s="3"/>
      <c r="R142" s="3">
        <v>45926.333333333336</v>
      </c>
      <c r="S142" t="inlineStr">
        <is>
          <t>7d2383fc-cbc3-49cf-a323-d7e9c2b5eff2</t>
        </is>
      </c>
      <c r="T142" t="inlineStr">
        <is>
          <t>f270c970-c429-4a73-8318-1db92b524bc0</t>
        </is>
      </c>
      <c r="U142" t="inlineStr">
        <is>
          <t>c806f6c8-4eb6-4e6b-b3aa-a07b3a0c1cc5</t>
        </is>
      </c>
      <c r="V142" t="inlineStr">
        <is>
          <t>c7d25894-34f9-45f8-b17d-d770358c2e88</t>
        </is>
      </c>
      <c r="W142">
        <v>0</v>
      </c>
      <c r="X142" t="inlineStr">
        <is>
          <t>龚政涛,Decay</t>
        </is>
      </c>
      <c r="Y142" t="inlineStr">
        <is>
          <t>龚政涛</t>
        </is>
      </c>
      <c r="Z142" s="3">
        <v>45866.518912037034</v>
      </c>
      <c r="AA142" s="3">
        <v>45949.661261574074</v>
      </c>
      <c r="AB142" s="2" t="str">
        <f>=HYPERLINK("https://applink.feishu.cn/client/todo/task_list?guid=76122b60-faec-4a61-91b0-2d229f32cc2a", "迷宫球")</f>
        <v>迷宫球</v>
      </c>
      <c r="AC142" t="inlineStr">
        <is>
          <t>76122b60-faec-4a61-91b0-2d229f32cc2a</t>
        </is>
      </c>
      <c r="AD142" t="inlineStr">
        <is>
          <t>NzUzMTk3MzcwNDkxNDg0NTY5Nzo3ZDIzODNmYy1jYmMzLTQ5Y2YtYTMyMy1kN2U5YzJiNWVmZjI6YWJmN2NmZWJhOTFmZDNlNTg1YTFiNTYyMDA4MWMyOTA6MQ==</t>
        </is>
      </c>
      <c r="AE142"/>
    </row>
    <row r="143" ht="25.5" customHeight="1">
      <c r="A143" s="2" t="str">
        <f>=HYPERLINK("https://applink.feishu.cn/client/todo/detail?guid=c7d25894-34f9-45f8-b17d-d770358c2e88&amp;suite_entity_num=t100981", "增加in game一键迷宫生成 &lt; ✨新增: 增加了迷宫的简单编辑功能")</f>
        <v>增加in game一键迷宫生成 &lt; ✨新增: 增加了迷宫的简单编辑功能</v>
      </c>
      <c r="B143"/>
      <c r="C143" t="inlineStr">
        <is>
          <t>默认分组</t>
        </is>
      </c>
      <c r="D143" t="inlineStr">
        <is>
          <t>0</t>
        </is>
      </c>
      <c r="E143"/>
      <c r="F143">
        <v>8</v>
      </c>
      <c r="G143"/>
      <c r="H143" t="inlineStr">
        <is>
          <t>🛠️技术</t>
        </is>
      </c>
      <c r="I143">
        <v>0</v>
      </c>
      <c r="J143" t="inlineStr">
        <is>
          <t>或签任务</t>
        </is>
      </c>
      <c r="K143"/>
      <c r="L143" t="inlineStr">
        <is>
          <t>0</t>
        </is>
      </c>
      <c r="M143"/>
      <c r="N143" s="3"/>
      <c r="O143" t="inlineStr">
        <is>
          <t>v0.0.5</t>
        </is>
      </c>
      <c r="P143" t="inlineStr">
        <is>
          <t>Decay</t>
        </is>
      </c>
      <c r="Q143" s="3"/>
      <c r="R143" s="3">
        <v>45926.333333333336</v>
      </c>
      <c r="S143" t="inlineStr">
        <is>
          <t>c7d25894-34f9-45f8-b17d-d770358c2e88</t>
        </is>
      </c>
      <c r="T143" t="inlineStr">
        <is>
          <t>f270c970-c429-4a73-8318-1db92b524bc0</t>
        </is>
      </c>
      <c r="U143" t="inlineStr">
        <is>
          <t>7d2383fc-cbc3-49cf-a323-d7e9c2b5eff2</t>
        </is>
      </c>
      <c r="V143" t="inlineStr">
        <is>
          <t>0edccf65-84bc-4dcc-a01d-daaca8747f08</t>
        </is>
      </c>
      <c r="W143">
        <v>0</v>
      </c>
      <c r="X143" t="inlineStr">
        <is>
          <t>龚政涛,Decay</t>
        </is>
      </c>
      <c r="Y143" t="inlineStr">
        <is>
          <t>龚政涛</t>
        </is>
      </c>
      <c r="Z143" s="3">
        <v>45866.519282407404</v>
      </c>
      <c r="AA143" s="3">
        <v>45917.40163194444</v>
      </c>
      <c r="AB143" s="2" t="str">
        <f>=HYPERLINK("https://applink.feishu.cn/client/todo/task_list?guid=76122b60-faec-4a61-91b0-2d229f32cc2a", "迷宫球")</f>
        <v>迷宫球</v>
      </c>
      <c r="AC143" t="inlineStr">
        <is>
          <t>76122b60-faec-4a61-91b0-2d229f32cc2a</t>
        </is>
      </c>
      <c r="AD143" t="inlineStr">
        <is>
          <t>NzUzMTk3MzcwNDkxNDg0NTY5NzpjN2QyNTg5NC0zNGY5LTQ1ZjgtYjE3ZC1kNzcwMzU4YzJlODg6M2I3ZTQzNjA1ODBmMDEzM2E2YmIwNjI4OGZlMTg4ODU6MQ==</t>
        </is>
      </c>
      <c r="AE143"/>
    </row>
    <row r="144" ht="25.5" customHeight="1">
      <c r="A144" s="2" t="str">
        <f>=HYPERLINK("https://applink.feishu.cn/client/todo/detail?guid=0edccf65-84bc-4dcc-a01d-daaca8747f08&amp;suite_entity_num=t100982", "增加in game迷宫静态脚本的导出功能 &lt; ✨新增: 增加了迷宫的简单编辑功能")</f>
        <v>增加in game迷宫静态脚本的导出功能 &lt; ✨新增: 增加了迷宫的简单编辑功能</v>
      </c>
      <c r="B144"/>
      <c r="C144" t="inlineStr">
        <is>
          <t>默认分组</t>
        </is>
      </c>
      <c r="D144" t="inlineStr">
        <is>
          <t>0</t>
        </is>
      </c>
      <c r="E144"/>
      <c r="F144">
        <v>8</v>
      </c>
      <c r="G144"/>
      <c r="H144" t="inlineStr">
        <is>
          <t>🛠️技术</t>
        </is>
      </c>
      <c r="I144">
        <v>0</v>
      </c>
      <c r="J144" t="inlineStr">
        <is>
          <t>或签任务</t>
        </is>
      </c>
      <c r="K144"/>
      <c r="L144" t="inlineStr">
        <is>
          <t>0</t>
        </is>
      </c>
      <c r="M144"/>
      <c r="N144" s="3"/>
      <c r="O144" t="inlineStr">
        <is>
          <t>v0.0.5</t>
        </is>
      </c>
      <c r="P144" t="inlineStr">
        <is>
          <t>Decay</t>
        </is>
      </c>
      <c r="Q144" s="3"/>
      <c r="R144" s="3">
        <v>45926.333333333336</v>
      </c>
      <c r="S144" t="inlineStr">
        <is>
          <t>0edccf65-84bc-4dcc-a01d-daaca8747f08</t>
        </is>
      </c>
      <c r="T144" t="inlineStr">
        <is>
          <t>f270c970-c429-4a73-8318-1db92b524bc0</t>
        </is>
      </c>
      <c r="U144" t="inlineStr">
        <is>
          <t>c7d25894-34f9-45f8-b17d-d770358c2e88</t>
        </is>
      </c>
      <c r="V144"/>
      <c r="W144">
        <v>0</v>
      </c>
      <c r="X144" t="inlineStr">
        <is>
          <t>龚政涛,Decay</t>
        </is>
      </c>
      <c r="Y144" t="inlineStr">
        <is>
          <t>龚政涛</t>
        </is>
      </c>
      <c r="Z144" s="3">
        <v>45866.51945601852</v>
      </c>
      <c r="AA144" s="3">
        <v>45917.40173611111</v>
      </c>
      <c r="AB144" s="2" t="str">
        <f>=HYPERLINK("https://applink.feishu.cn/client/todo/task_list?guid=76122b60-faec-4a61-91b0-2d229f32cc2a", "迷宫球")</f>
        <v>迷宫球</v>
      </c>
      <c r="AC144" t="inlineStr">
        <is>
          <t>76122b60-faec-4a61-91b0-2d229f32cc2a</t>
        </is>
      </c>
      <c r="AD144" t="inlineStr">
        <is>
          <t>NzUzMTk3MzcwNDkxNDg0NTY5NzowZWRjY2Y2NS04NGJjLTRkY2MtYTAxZC1kYWFjYTg3NDdmMDg6NjU1MDExMTdlMGJmMDkzYjVjMTI2YmRmZTQ0OTdiMDE6MQ==</t>
        </is>
      </c>
      <c r="AE144"/>
    </row>
    <row r="145" ht="25.5" customHeight="1">
      <c r="A145" s="2" t="str">
        <f>=HYPERLINK("https://applink.feishu.cn/client/todo/detail?guid=eccc94d9-0110-4617-ae6b-0c7348ce8846&amp;suite_entity_num=t101154", "增加对SWITCH手柄的支持")</f>
        <v>增加对SWITCH手柄的支持</v>
      </c>
      <c r="B145"/>
      <c r="C145" t="inlineStr">
        <is>
          <t>默认分组</t>
        </is>
      </c>
      <c r="D145" t="inlineStr">
        <is>
          <t>0</t>
        </is>
      </c>
      <c r="E145"/>
      <c r="F145"/>
      <c r="G145" t="inlineStr">
        <is>
          <t>P2 - 新的想法</t>
        </is>
      </c>
      <c r="H145" t="inlineStr">
        <is>
          <t>🛠️技术</t>
        </is>
      </c>
      <c r="I145">
        <v>0</v>
      </c>
      <c r="J145" t="inlineStr">
        <is>
          <t>或签任务</t>
        </is>
      </c>
      <c r="K145"/>
      <c r="L145" t="inlineStr">
        <is>
          <t>0</t>
        </is>
      </c>
      <c r="M145"/>
      <c r="N145" s="3"/>
      <c r="O145" t="inlineStr">
        <is>
          <t>v0.0.5</t>
        </is>
      </c>
      <c r="P145" t="inlineStr">
        <is>
          <t>周晨锋</t>
        </is>
      </c>
      <c r="Q145" s="3"/>
      <c r="R145" s="3">
        <v>45926.333333333336</v>
      </c>
      <c r="S145" t="inlineStr">
        <is>
          <t>eccc94d9-0110-4617-ae6b-0c7348ce8846</t>
        </is>
      </c>
      <c r="T145"/>
      <c r="U145"/>
      <c r="V145"/>
      <c r="W145">
        <v>0</v>
      </c>
      <c r="X145" t="inlineStr">
        <is>
          <t>周晨锋,龚政涛</t>
        </is>
      </c>
      <c r="Y145" t="inlineStr">
        <is>
          <t>龚政涛</t>
        </is>
      </c>
      <c r="Z145" s="3">
        <v>45926.40293981481</v>
      </c>
      <c r="AA145" s="3">
        <v>45949.65178240741</v>
      </c>
      <c r="AB145" s="2" t="str">
        <f>=HYPERLINK("https://applink.feishu.cn/client/todo/task_list?guid=76122b60-faec-4a61-91b0-2d229f32cc2a", "迷宫球")</f>
        <v>迷宫球</v>
      </c>
      <c r="AC145" t="inlineStr">
        <is>
          <t>76122b60-faec-4a61-91b0-2d229f32cc2a</t>
        </is>
      </c>
      <c r="AD145" t="inlineStr">
        <is>
          <t>NzUzMTk3MzcwNDkxNDg0NTY5NzplY2NjOTRkOS0wMTEwLTQ2MTctYWU2Yi0wYzczNDhjZTg4NDY6MDMzM2UzYTNkOTcyM2ZmZTFlZDhkNDZkMTRiYzdhYWY6MQ==</t>
        </is>
      </c>
      <c r="AE145"/>
    </row>
    <row r="146" ht="25.5" customHeight="1">
      <c r="A146" s="2" t="str">
        <f>=HYPERLINK("https://applink.feishu.cn/client/todo/detail?guid=9ee1719e-3cc3-4f6c-9f55-2c42c9318d1e&amp;suite_entity_num=t101153", "增加对PS手柄的支持")</f>
        <v>增加对PS手柄的支持</v>
      </c>
      <c r="B146"/>
      <c r="C146" t="inlineStr">
        <is>
          <t>默认分组</t>
        </is>
      </c>
      <c r="D146" t="inlineStr">
        <is>
          <t>0</t>
        </is>
      </c>
      <c r="E146"/>
      <c r="F146">
        <v>2</v>
      </c>
      <c r="G146" t="inlineStr">
        <is>
          <t>P1 - 最好处理</t>
        </is>
      </c>
      <c r="H146" t="inlineStr">
        <is>
          <t>🛠️技术</t>
        </is>
      </c>
      <c r="I146">
        <v>0</v>
      </c>
      <c r="J146" t="inlineStr">
        <is>
          <t>或签任务</t>
        </is>
      </c>
      <c r="K146"/>
      <c r="L146" t="inlineStr">
        <is>
          <t>0</t>
        </is>
      </c>
      <c r="M146"/>
      <c r="N146" s="3"/>
      <c r="O146" t="inlineStr">
        <is>
          <t>v0.0.5</t>
        </is>
      </c>
      <c r="P146" t="inlineStr">
        <is>
          <t>周晨锋</t>
        </is>
      </c>
      <c r="Q146" s="3"/>
      <c r="R146" s="3">
        <v>45926.333333333336</v>
      </c>
      <c r="S146" t="inlineStr">
        <is>
          <t>9ee1719e-3cc3-4f6c-9f55-2c42c9318d1e</t>
        </is>
      </c>
      <c r="T146"/>
      <c r="U146"/>
      <c r="V146"/>
      <c r="W146">
        <v>2</v>
      </c>
      <c r="X146" t="inlineStr">
        <is>
          <t>周晨锋,龚政涛</t>
        </is>
      </c>
      <c r="Y146" t="inlineStr">
        <is>
          <t>龚政涛</t>
        </is>
      </c>
      <c r="Z146" s="3">
        <v>45926.40283564815</v>
      </c>
      <c r="AA146" s="3">
        <v>45949.65179398148</v>
      </c>
      <c r="AB146" s="2" t="str">
        <f>=HYPERLINK("https://applink.feishu.cn/client/todo/task_list?guid=76122b60-faec-4a61-91b0-2d229f32cc2a", "迷宫球")</f>
        <v>迷宫球</v>
      </c>
      <c r="AC146" t="inlineStr">
        <is>
          <t>76122b60-faec-4a61-91b0-2d229f32cc2a</t>
        </is>
      </c>
      <c r="AD146" t="inlineStr">
        <is>
          <t>NzUzMTk3MzcwNDkxNDg0NTY5Nzo5ZWUxNzE5ZS0zY2MzLTRmNmMtOWY1NS0yYzQyYzkzMThkMWU6OTZhYWQyOWU2MmNlMDJmNGU1YWVjMjgwN2IyZThkMmY6MQ==</t>
        </is>
      </c>
      <c r="AE146"/>
    </row>
    <row r="147" ht="25.5" customHeight="1">
      <c r="A147" s="2" t="str">
        <f>=HYPERLINK("https://applink.feishu.cn/client/todo/detail?guid=a49785c3-9c74-468d-a2c6-7d6f98119eb3&amp;suite_entity_num=t101150", "实现局部celshading")</f>
        <v>实现局部celshading</v>
      </c>
      <c r="B147"/>
      <c r="C147" t="inlineStr">
        <is>
          <t>默认分组</t>
        </is>
      </c>
      <c r="D147" t="inlineStr">
        <is>
          <t>0</t>
        </is>
      </c>
      <c r="E147"/>
      <c r="F147"/>
      <c r="G147" t="inlineStr">
        <is>
          <t>P1 - 最好处理</t>
        </is>
      </c>
      <c r="H147" t="inlineStr">
        <is>
          <t>🛠️技术</t>
        </is>
      </c>
      <c r="I147">
        <v>0</v>
      </c>
      <c r="J147" t="inlineStr">
        <is>
          <t>或签任务</t>
        </is>
      </c>
      <c r="K147"/>
      <c r="L147" t="inlineStr">
        <is>
          <t>0</t>
        </is>
      </c>
      <c r="M147"/>
      <c r="N147" s="3"/>
      <c r="O147" t="inlineStr">
        <is>
          <t>v0.0.5</t>
        </is>
      </c>
      <c r="P147" t="inlineStr">
        <is>
          <t>周晨锋</t>
        </is>
      </c>
      <c r="Q147" s="3"/>
      <c r="R147" s="3">
        <v>45926.333333333336</v>
      </c>
      <c r="S147" t="inlineStr">
        <is>
          <t>a49785c3-9c74-468d-a2c6-7d6f98119eb3</t>
        </is>
      </c>
      <c r="T147"/>
      <c r="U147"/>
      <c r="V147"/>
      <c r="W147">
        <v>0</v>
      </c>
      <c r="X147" t="inlineStr">
        <is>
          <t>周晨锋,龚政涛</t>
        </is>
      </c>
      <c r="Y147" t="inlineStr">
        <is>
          <t>龚政涛</t>
        </is>
      </c>
      <c r="Z147" s="3">
        <v>45926.40189814815</v>
      </c>
      <c r="AA147" s="3">
        <v>45926.413090277776</v>
      </c>
      <c r="AB147" s="2" t="str">
        <f>=HYPERLINK("https://applink.feishu.cn/client/todo/task_list?guid=76122b60-faec-4a61-91b0-2d229f32cc2a", "迷宫球")</f>
        <v>迷宫球</v>
      </c>
      <c r="AC147" t="inlineStr">
        <is>
          <t>76122b60-faec-4a61-91b0-2d229f32cc2a</t>
        </is>
      </c>
      <c r="AD147" t="inlineStr">
        <is>
          <t>NzUzMTk3MzcwNDkxNDg0NTY5NzphNDk3ODVjMy05Yzc0LTQ2OGQtYTJjNi03ZDZmOTgxMTllYjM6YzlmNWM0ZjI1YzU0NGZiODg1OTBhZmRjOTFjNDIzMGE6MQ==</t>
        </is>
      </c>
      <c r="AE147"/>
    </row>
    <row r="148" ht="25.5" customHeight="1">
      <c r="A148" s="2" t="str">
        <f>=HYPERLINK("https://applink.feishu.cn/client/todo/detail?guid=ccc8ce72-27ee-446c-9807-f1911f973890&amp;suite_entity_num=t101156", "通关后重玩不会重玩，而是会继续道下一关；这时候如果直接通关了按下一关，会重玩")</f>
        <v>通关后重玩不会重玩，而是会继续道下一关；这时候如果直接通关了按下一关，会重玩</v>
      </c>
      <c r="B148"/>
      <c r="C148" t="inlineStr">
        <is>
          <t>默认分组</t>
        </is>
      </c>
      <c r="D148" t="inlineStr">
        <is>
          <t>1</t>
        </is>
      </c>
      <c r="E148" t="inlineStr">
        <is>
          <t>已完成</t>
        </is>
      </c>
      <c r="F148">
        <v>2</v>
      </c>
      <c r="G148" t="inlineStr">
        <is>
          <t>P0 - 必须处理</t>
        </is>
      </c>
      <c r="H148" t="inlineStr">
        <is>
          <t>🛠️技术</t>
        </is>
      </c>
      <c r="I148">
        <v>0</v>
      </c>
      <c r="J148" t="inlineStr">
        <is>
          <t>或签任务</t>
        </is>
      </c>
      <c r="K148"/>
      <c r="L148" t="inlineStr">
        <is>
          <t>0</t>
        </is>
      </c>
      <c r="M148"/>
      <c r="N148" s="3">
        <v>45949.65856481482</v>
      </c>
      <c r="O148" t="inlineStr">
        <is>
          <t>v0.0.4</t>
        </is>
      </c>
      <c r="P148" t="inlineStr">
        <is>
          <t>周晨锋</t>
        </is>
      </c>
      <c r="Q148" s="3"/>
      <c r="R148" s="3">
        <v>45926.333333333336</v>
      </c>
      <c r="S148" t="inlineStr">
        <is>
          <t>ccc8ce72-27ee-446c-9807-f1911f973890</t>
        </is>
      </c>
      <c r="T148"/>
      <c r="U148"/>
      <c r="V148"/>
      <c r="W148">
        <v>0</v>
      </c>
      <c r="X148" t="inlineStr">
        <is>
          <t>周晨锋,龚政涛</t>
        </is>
      </c>
      <c r="Y148" t="inlineStr">
        <is>
          <t>龚政涛</t>
        </is>
      </c>
      <c r="Z148" s="3">
        <v>45926.403912037036</v>
      </c>
      <c r="AA148" s="3">
        <v>45949.65857638889</v>
      </c>
      <c r="AB148" s="2" t="str">
        <f>=HYPERLINK("https://applink.feishu.cn/client/todo/task_list?guid=76122b60-faec-4a61-91b0-2d229f32cc2a", "迷宫球")</f>
        <v>迷宫球</v>
      </c>
      <c r="AC148" t="inlineStr">
        <is>
          <t>76122b60-faec-4a61-91b0-2d229f32cc2a</t>
        </is>
      </c>
      <c r="AD148" t="inlineStr">
        <is>
          <t>NzUzMTk3MzcwNDkxNDg0NTY5NzpjY2M4Y2U3Mi0yN2VlLTQ0NmMtOTgwNy1mMTkxMWY5NzM4OTA6NjJmNjQ4NzMyOTFkMzIwNzE4MWIwNmVlYTYwYjVkZjQ6MQ==</t>
        </is>
      </c>
      <c r="AE148"/>
    </row>
    <row r="149" ht="25.5" customHeight="1">
      <c r="A149" s="2" t="str">
        <f>=HYPERLINK("https://applink.feishu.cn/client/todo/detail?guid=d7288044-1bb7-449d-867c-805d8daae3c7&amp;suite_entity_num=t101152", "使用实例化替代现有AUTO MERGE功能")</f>
        <v>使用实例化替代现有AUTO MERGE功能</v>
      </c>
      <c r="B149"/>
      <c r="C149" t="inlineStr">
        <is>
          <t>默认分组</t>
        </is>
      </c>
      <c r="D149" t="inlineStr">
        <is>
          <t>1</t>
        </is>
      </c>
      <c r="E149" t="inlineStr">
        <is>
          <t>已废弃</t>
        </is>
      </c>
      <c r="F149"/>
      <c r="G149" t="inlineStr">
        <is>
          <t>P2 - 新的想法</t>
        </is>
      </c>
      <c r="H149" t="inlineStr">
        <is>
          <t>🛠️技术</t>
        </is>
      </c>
      <c r="I149">
        <v>0</v>
      </c>
      <c r="J149" t="inlineStr">
        <is>
          <t>或签任务</t>
        </is>
      </c>
      <c r="K149"/>
      <c r="L149" t="inlineStr">
        <is>
          <t>0</t>
        </is>
      </c>
      <c r="M149"/>
      <c r="N149" s="3">
        <v>45929.420902777776</v>
      </c>
      <c r="O149" t="inlineStr">
        <is>
          <t>v0.0.5</t>
        </is>
      </c>
      <c r="P149" t="inlineStr">
        <is>
          <t>周晨锋</t>
        </is>
      </c>
      <c r="Q149" s="3"/>
      <c r="R149" s="3">
        <v>45926.333333333336</v>
      </c>
      <c r="S149" t="inlineStr">
        <is>
          <t>d7288044-1bb7-449d-867c-805d8daae3c7</t>
        </is>
      </c>
      <c r="T149"/>
      <c r="U149"/>
      <c r="V149"/>
      <c r="W149">
        <v>1</v>
      </c>
      <c r="X149" t="inlineStr">
        <is>
          <t>龚政涛,周晨锋</t>
        </is>
      </c>
      <c r="Y149" t="inlineStr">
        <is>
          <t>龚政涛</t>
        </is>
      </c>
      <c r="Z149" s="3">
        <v>45926.402407407404</v>
      </c>
      <c r="AA149" s="3">
        <v>45929.420902777776</v>
      </c>
      <c r="AB149" s="2" t="str">
        <f>=HYPERLINK("https://applink.feishu.cn/client/todo/task_list?guid=76122b60-faec-4a61-91b0-2d229f32cc2a", "迷宫球")</f>
        <v>迷宫球</v>
      </c>
      <c r="AC149" t="inlineStr">
        <is>
          <t>76122b60-faec-4a61-91b0-2d229f32cc2a</t>
        </is>
      </c>
      <c r="AD149" t="inlineStr">
        <is>
          <t>NzUzMTk3MzcwNDkxNDg0NTY5NzpkNzI4ODA0NC0xYmI3LTQ0OWQtODY3Yy04MDVkOGRhYWUzYzc6OTc5YTFlMTFlMmI5ZDgyMWFhY2JkNDNiMmM2NTJlMTM6MQ==</t>
        </is>
      </c>
      <c r="AE149"/>
    </row>
    <row r="150" ht="25.5" customHeight="1">
      <c r="A150" s="2" t="str">
        <f>=HYPERLINK("https://applink.feishu.cn/client/todo/detail?guid=70b66e1e-f985-42b2-915d-c9dce526dd1e&amp;suite_entity_num=t101151", "使用UE PCG替代现有PCG功能")</f>
        <v>使用UE PCG替代现有PCG功能</v>
      </c>
      <c r="B150"/>
      <c r="C150" t="inlineStr">
        <is>
          <t>默认分组</t>
        </is>
      </c>
      <c r="D150" t="inlineStr">
        <is>
          <t>1</t>
        </is>
      </c>
      <c r="E150" t="inlineStr">
        <is>
          <t>已废弃</t>
        </is>
      </c>
      <c r="F150"/>
      <c r="G150" t="inlineStr">
        <is>
          <t>P2 - 新的想法</t>
        </is>
      </c>
      <c r="H150" t="inlineStr">
        <is>
          <t>🛠️技术</t>
        </is>
      </c>
      <c r="I150">
        <v>0</v>
      </c>
      <c r="J150" t="inlineStr">
        <is>
          <t>或签任务</t>
        </is>
      </c>
      <c r="K150"/>
      <c r="L150" t="inlineStr">
        <is>
          <t>0</t>
        </is>
      </c>
      <c r="M150"/>
      <c r="N150" s="3">
        <v>45929.42097222222</v>
      </c>
      <c r="O150" t="inlineStr">
        <is>
          <t>v0.0.5</t>
        </is>
      </c>
      <c r="P150" t="inlineStr">
        <is>
          <t>周晨锋</t>
        </is>
      </c>
      <c r="Q150" s="3"/>
      <c r="R150" s="3">
        <v>45926.333333333336</v>
      </c>
      <c r="S150" t="inlineStr">
        <is>
          <t>70b66e1e-f985-42b2-915d-c9dce526dd1e</t>
        </is>
      </c>
      <c r="T150"/>
      <c r="U150"/>
      <c r="V150"/>
      <c r="W150">
        <v>1</v>
      </c>
      <c r="X150" t="inlineStr">
        <is>
          <t>周晨锋,龚政涛</t>
        </is>
      </c>
      <c r="Y150" t="inlineStr">
        <is>
          <t>龚政涛</t>
        </is>
      </c>
      <c r="Z150" s="3">
        <v>45926.402233796296</v>
      </c>
      <c r="AA150" s="3">
        <v>45929.42097222222</v>
      </c>
      <c r="AB150" s="2" t="str">
        <f>=HYPERLINK("https://applink.feishu.cn/client/todo/task_list?guid=76122b60-faec-4a61-91b0-2d229f32cc2a", "迷宫球")</f>
        <v>迷宫球</v>
      </c>
      <c r="AC150" t="inlineStr">
        <is>
          <t>76122b60-faec-4a61-91b0-2d229f32cc2a</t>
        </is>
      </c>
      <c r="AD150" t="inlineStr">
        <is>
          <t>NzUzMTk3MzcwNDkxNDg0NTY5Nzo3MGI2NmUxZS1mOTg1LTQyYjItOTE1ZC1jOWRjZTUyNmRkMWU6ZmI0ZGIxMjM1NDBiMmM2ODQ2MmE4ZTg3MmIwOWI3ZTU6MQ==</t>
        </is>
      </c>
      <c r="AE150"/>
    </row>
    <row r="151" ht="25.5" customHeight="1">
      <c r="A151" s="2" t="str">
        <f>=HYPERLINK("https://applink.feishu.cn/client/todo/detail?guid=d3d4b3c6-68ff-4f7f-bed2-3a25ea69f37c&amp;suite_entity_num=t101155", "增加对重力感应输入的支持")</f>
        <v>增加对重力感应输入的支持</v>
      </c>
      <c r="B151"/>
      <c r="C151" t="inlineStr">
        <is>
          <t>默认分组</t>
        </is>
      </c>
      <c r="D151" t="inlineStr">
        <is>
          <t>0</t>
        </is>
      </c>
      <c r="E151"/>
      <c r="F151"/>
      <c r="G151" t="inlineStr">
        <is>
          <t>P2 - 新的想法</t>
        </is>
      </c>
      <c r="H151" t="inlineStr">
        <is>
          <t>🛠️技术</t>
        </is>
      </c>
      <c r="I151">
        <v>0</v>
      </c>
      <c r="J151" t="inlineStr">
        <is>
          <t>或签任务</t>
        </is>
      </c>
      <c r="K151"/>
      <c r="L151" t="inlineStr">
        <is>
          <t>0</t>
        </is>
      </c>
      <c r="M151"/>
      <c r="N151" s="3"/>
      <c r="O151" t="inlineStr">
        <is>
          <t>v0.0.5</t>
        </is>
      </c>
      <c r="P151" t="inlineStr">
        <is>
          <t>周晨锋</t>
        </is>
      </c>
      <c r="Q151" s="3"/>
      <c r="R151" s="3">
        <v>45926.333333333336</v>
      </c>
      <c r="S151" t="inlineStr">
        <is>
          <t>d3d4b3c6-68ff-4f7f-bed2-3a25ea69f37c</t>
        </is>
      </c>
      <c r="T151"/>
      <c r="U151"/>
      <c r="V151"/>
      <c r="W151">
        <v>0</v>
      </c>
      <c r="X151" t="inlineStr">
        <is>
          <t>龚政涛,周晨锋</t>
        </is>
      </c>
      <c r="Y151" t="inlineStr">
        <is>
          <t>龚政涛</t>
        </is>
      </c>
      <c r="Z151" s="3">
        <v>45926.40305555556</v>
      </c>
      <c r="AA151" s="3">
        <v>45926.41074074074</v>
      </c>
      <c r="AB151" s="2" t="str">
        <f>=HYPERLINK("https://applink.feishu.cn/client/todo/task_list?guid=76122b60-faec-4a61-91b0-2d229f32cc2a", "迷宫球")</f>
        <v>迷宫球</v>
      </c>
      <c r="AC151" t="inlineStr">
        <is>
          <t>76122b60-faec-4a61-91b0-2d229f32cc2a</t>
        </is>
      </c>
      <c r="AD151" t="inlineStr">
        <is>
          <t>NzUzMTk3MzcwNDkxNDg0NTY5NzpkM2Q0YjNjNi02OGZmLTRmN2YtYmVkMi0zYTI1ZWE2OWYzN2M6ODc4OTAzZTNhMTQ4OTNhMDZkMTdmZGM5YzkwMWQyMTg6MQ==</t>
        </is>
      </c>
      <c r="AE151"/>
    </row>
    <row r="152" ht="25.5" customHeight="1">
      <c r="A152" s="2" t="str">
        <f>=HYPERLINK("https://applink.feishu.cn/client/todo/detail?guid=49487e56-d946-408f-817d-13620f56d0bd&amp;suite_entity_num=t101158", "排行榜数据不生效")</f>
        <v>排行榜数据不生效</v>
      </c>
      <c r="B152"/>
      <c r="C152" t="inlineStr">
        <is>
          <t>默认分组</t>
        </is>
      </c>
      <c r="D152" t="inlineStr">
        <is>
          <t>1</t>
        </is>
      </c>
      <c r="E152" t="inlineStr">
        <is>
          <t>已完成</t>
        </is>
      </c>
      <c r="F152">
        <v>2</v>
      </c>
      <c r="G152" t="inlineStr">
        <is>
          <t>P0 - 必须处理</t>
        </is>
      </c>
      <c r="H152" t="inlineStr">
        <is>
          <t>🛠️技术</t>
        </is>
      </c>
      <c r="I152">
        <v>0</v>
      </c>
      <c r="J152" t="inlineStr">
        <is>
          <t>或签任务</t>
        </is>
      </c>
      <c r="K152"/>
      <c r="L152" t="inlineStr">
        <is>
          <t>0</t>
        </is>
      </c>
      <c r="M152"/>
      <c r="N152" s="3">
        <v>45949.65849537037</v>
      </c>
      <c r="O152" t="inlineStr">
        <is>
          <t>v0.0.4</t>
        </is>
      </c>
      <c r="P152" t="inlineStr">
        <is>
          <t>周晨锋</t>
        </is>
      </c>
      <c r="Q152" s="3"/>
      <c r="R152" s="3">
        <v>45926.333333333336</v>
      </c>
      <c r="S152" t="inlineStr">
        <is>
          <t>49487e56-d946-408f-817d-13620f56d0bd</t>
        </is>
      </c>
      <c r="T152"/>
      <c r="U152"/>
      <c r="V152"/>
      <c r="W152">
        <v>0</v>
      </c>
      <c r="X152" t="inlineStr">
        <is>
          <t>周晨锋,龚政涛</t>
        </is>
      </c>
      <c r="Y152" t="inlineStr">
        <is>
          <t>龚政涛</t>
        </is>
      </c>
      <c r="Z152" s="3">
        <v>45926.40792824074</v>
      </c>
      <c r="AA152" s="3">
        <v>45949.65850694444</v>
      </c>
      <c r="AB152" s="2" t="str">
        <f>=HYPERLINK("https://applink.feishu.cn/client/todo/task_list?guid=76122b60-faec-4a61-91b0-2d229f32cc2a", "迷宫球")</f>
        <v>迷宫球</v>
      </c>
      <c r="AC152" t="inlineStr">
        <is>
          <t>76122b60-faec-4a61-91b0-2d229f32cc2a</t>
        </is>
      </c>
      <c r="AD152" t="inlineStr">
        <is>
          <t>NzUzMTk3MzcwNDkxNDg0NTY5Nzo0OTQ4N2U1Ni1kOTQ2LTQwOGYtODE3ZC0xMzYyMGY1NmQwYmQ6NmFkNTU3NmM1OWUzMTk5ZTFjOGFjMTg0OTU2N2EwZWM6MQ==</t>
        </is>
      </c>
      <c r="AE152"/>
    </row>
    <row r="153" ht="25.5" customHeight="1">
      <c r="A153" s="2" t="str">
        <f>=HYPERLINK("https://applink.feishu.cn/client/todo/detail?guid=793ffd77-df9a-4a50-bcb9-177847956896&amp;suite_entity_num=t101149", "进入时导览镜头有一个上抬动作？")</f>
        <v>进入时导览镜头有一个上抬动作？</v>
      </c>
      <c r="B153"/>
      <c r="C153" t="inlineStr">
        <is>
          <t>默认分组</t>
        </is>
      </c>
      <c r="D153" t="inlineStr">
        <is>
          <t>1</t>
        </is>
      </c>
      <c r="E153" t="inlineStr">
        <is>
          <t>已完成</t>
        </is>
      </c>
      <c r="F153">
        <v>2</v>
      </c>
      <c r="G153" t="inlineStr">
        <is>
          <t>P1 - 最好处理</t>
        </is>
      </c>
      <c r="H153" t="inlineStr">
        <is>
          <t>🛠️技术</t>
        </is>
      </c>
      <c r="I153">
        <v>0</v>
      </c>
      <c r="J153" t="inlineStr">
        <is>
          <t>或签任务</t>
        </is>
      </c>
      <c r="K153"/>
      <c r="L153" t="inlineStr">
        <is>
          <t>0</t>
        </is>
      </c>
      <c r="M153"/>
      <c r="N153" s="3">
        <v>45949.65162037037</v>
      </c>
      <c r="O153" t="inlineStr">
        <is>
          <t>v0.0.4</t>
        </is>
      </c>
      <c r="P153" t="inlineStr">
        <is>
          <t>周晨锋</t>
        </is>
      </c>
      <c r="Q153" s="3"/>
      <c r="R153" s="3">
        <v>45926.333333333336</v>
      </c>
      <c r="S153" t="inlineStr">
        <is>
          <t>793ffd77-df9a-4a50-bcb9-177847956896</t>
        </is>
      </c>
      <c r="T153"/>
      <c r="U153"/>
      <c r="V153"/>
      <c r="W153">
        <v>0</v>
      </c>
      <c r="X153" t="inlineStr">
        <is>
          <t>周晨锋,龚政涛</t>
        </is>
      </c>
      <c r="Y153" t="inlineStr">
        <is>
          <t>龚政涛</t>
        </is>
      </c>
      <c r="Z153" s="3">
        <v>45926.40148148148</v>
      </c>
      <c r="AA153" s="3">
        <v>45949.65163194444</v>
      </c>
      <c r="AB153" s="2" t="str">
        <f>=HYPERLINK("https://applink.feishu.cn/client/todo/task_list?guid=76122b60-faec-4a61-91b0-2d229f32cc2a", "迷宫球")</f>
        <v>迷宫球</v>
      </c>
      <c r="AC153" t="inlineStr">
        <is>
          <t>76122b60-faec-4a61-91b0-2d229f32cc2a</t>
        </is>
      </c>
      <c r="AD153" t="inlineStr">
        <is>
          <t>NzUzMTk3MzcwNDkxNDg0NTY5Nzo3OTNmZmQ3Ny1kZjlhLTRhNTAtYmNiOS0xNzc4NDc5NTY4OTY6Mzg4ZmM3ZGMwN2FjNzcyMmIxZjc1NmM0MWRmZDc1YTc6MQ==</t>
        </is>
      </c>
      <c r="AE153"/>
    </row>
    <row r="154" ht="25.5" customHeight="1">
      <c r="A154" s="2" t="str">
        <f>=HYPERLINK("https://applink.feishu.cn/client/todo/detail?guid=46d9422f-516c-4f09-962e-c55b7dcde4f0&amp;suite_entity_num=t101160", "关卡选择菜单应该延续主菜单的背景音乐")</f>
        <v>关卡选择菜单应该延续主菜单的背景音乐</v>
      </c>
      <c r="B154"/>
      <c r="C154" t="inlineStr">
        <is>
          <t>默认分组</t>
        </is>
      </c>
      <c r="D154" t="inlineStr">
        <is>
          <t>1</t>
        </is>
      </c>
      <c r="E154" t="inlineStr">
        <is>
          <t>已完成</t>
        </is>
      </c>
      <c r="F154">
        <v>1</v>
      </c>
      <c r="G154" t="inlineStr">
        <is>
          <t>P0 - 必须处理</t>
        </is>
      </c>
      <c r="H154" t="inlineStr">
        <is>
          <t>🛠️技术</t>
        </is>
      </c>
      <c r="I154">
        <v>0</v>
      </c>
      <c r="J154" t="inlineStr">
        <is>
          <t>或签任务</t>
        </is>
      </c>
      <c r="K154"/>
      <c r="L154" t="inlineStr">
        <is>
          <t>0</t>
        </is>
      </c>
      <c r="M154"/>
      <c r="N154" s="3">
        <v>45949.65828703704</v>
      </c>
      <c r="O154" t="inlineStr">
        <is>
          <t>v0.0.4</t>
        </is>
      </c>
      <c r="P154" t="inlineStr">
        <is>
          <t>周晨锋</t>
        </is>
      </c>
      <c r="Q154" s="3"/>
      <c r="R154" s="3">
        <v>45926.333333333336</v>
      </c>
      <c r="S154" t="inlineStr">
        <is>
          <t>46d9422f-516c-4f09-962e-c55b7dcde4f0</t>
        </is>
      </c>
      <c r="T154"/>
      <c r="U154"/>
      <c r="V154"/>
      <c r="W154">
        <v>0</v>
      </c>
      <c r="X154" t="inlineStr">
        <is>
          <t>周晨锋,龚政涛</t>
        </is>
      </c>
      <c r="Y154" t="inlineStr">
        <is>
          <t>龚政涛</t>
        </is>
      </c>
      <c r="Z154" s="3">
        <v>45926.41813657407</v>
      </c>
      <c r="AA154" s="3">
        <v>45949.65828703704</v>
      </c>
      <c r="AB154" s="2" t="str">
        <f>=HYPERLINK("https://applink.feishu.cn/client/todo/task_list?guid=76122b60-faec-4a61-91b0-2d229f32cc2a", "迷宫球")</f>
        <v>迷宫球</v>
      </c>
      <c r="AC154" t="inlineStr">
        <is>
          <t>76122b60-faec-4a61-91b0-2d229f32cc2a</t>
        </is>
      </c>
      <c r="AD154" t="inlineStr">
        <is>
          <t>NzUzMTk3MzcwNDkxNDg0NTY5Nzo0NmQ5NDIyZi01MTZjLTRmMDktOTYyZS1jNTViN2RjZGU0ZjA6ODA5ZjUzMDczMWYyMTg1YTcwZDhlMTk1ZWZmOTAxMTQ6MQ==</t>
        </is>
      </c>
      <c r="AE154"/>
    </row>
    <row r="155" ht="25.5" customHeight="1">
      <c r="A155" s="2" t="str">
        <f>=HYPERLINK("https://applink.feishu.cn/client/todo/detail?guid=31350ea1-3851-4c41-a9d8-c89ef27f9ff9&amp;suite_entity_num=t101159", "星星功能不生效，现在解锁小球不消耗星星；但获取星星似乎是正常的")</f>
        <v>星星功能不生效，现在解锁小球不消耗星星；但获取星星似乎是正常的</v>
      </c>
      <c r="B155"/>
      <c r="C155" t="inlineStr">
        <is>
          <t>默认分组</t>
        </is>
      </c>
      <c r="D155" t="inlineStr">
        <is>
          <t>1</t>
        </is>
      </c>
      <c r="E155" t="inlineStr">
        <is>
          <t>已完成</t>
        </is>
      </c>
      <c r="F155">
        <v>1</v>
      </c>
      <c r="G155" t="inlineStr">
        <is>
          <t>P0 - 必须处理</t>
        </is>
      </c>
      <c r="H155" t="inlineStr">
        <is>
          <t>🛠️技术</t>
        </is>
      </c>
      <c r="I155">
        <v>0</v>
      </c>
      <c r="J155" t="inlineStr">
        <is>
          <t>或签任务</t>
        </is>
      </c>
      <c r="K155"/>
      <c r="L155" t="inlineStr">
        <is>
          <t>0</t>
        </is>
      </c>
      <c r="M155"/>
      <c r="N155" s="3">
        <v>45949.65834490741</v>
      </c>
      <c r="O155" t="inlineStr">
        <is>
          <t>v0.0.4</t>
        </is>
      </c>
      <c r="P155" t="inlineStr">
        <is>
          <t>周晨锋</t>
        </is>
      </c>
      <c r="Q155" s="3"/>
      <c r="R155" s="3">
        <v>45926.333333333336</v>
      </c>
      <c r="S155" t="inlineStr">
        <is>
          <t>31350ea1-3851-4c41-a9d8-c89ef27f9ff9</t>
        </is>
      </c>
      <c r="T155"/>
      <c r="U155"/>
      <c r="V155"/>
      <c r="W155">
        <v>0</v>
      </c>
      <c r="X155" t="inlineStr">
        <is>
          <t>周晨锋,龚政涛</t>
        </is>
      </c>
      <c r="Y155" t="inlineStr">
        <is>
          <t>龚政涛</t>
        </is>
      </c>
      <c r="Z155" s="3">
        <v>45926.41001157407</v>
      </c>
      <c r="AA155" s="3">
        <v>45949.65834490741</v>
      </c>
      <c r="AB155" s="2" t="str">
        <f>=HYPERLINK("https://applink.feishu.cn/client/todo/task_list?guid=76122b60-faec-4a61-91b0-2d229f32cc2a", "迷宫球")</f>
        <v>迷宫球</v>
      </c>
      <c r="AC155" t="inlineStr">
        <is>
          <t>76122b60-faec-4a61-91b0-2d229f32cc2a</t>
        </is>
      </c>
      <c r="AD155" t="inlineStr">
        <is>
          <t>NzUzMTk3MzcwNDkxNDg0NTY5NzozMTM1MGVhMS0zODUxLTRjNDEtYTlkOC1jODllZjI3ZjlmZjk6ZGQ0NWQ2NDY2NTQ0MjZmZjU4YjAxMDM1NDFjMTM4OWM6MQ==</t>
        </is>
      </c>
      <c r="AE155"/>
    </row>
    <row r="156" ht="25.5" customHeight="1">
      <c r="A156" s="2" t="str">
        <f>=HYPERLINK("https://applink.feishu.cn/client/todo/detail?guid=3ab8f610-8d2d-452e-b43a-d7635517e91f&amp;suite_entity_num=t101164", "手柄摇杆会一起动镜头和迷宫")</f>
        <v>手柄摇杆会一起动镜头和迷宫</v>
      </c>
      <c r="B156"/>
      <c r="C156" t="inlineStr">
        <is>
          <t>默认分组</t>
        </is>
      </c>
      <c r="D156" t="inlineStr">
        <is>
          <t>1</t>
        </is>
      </c>
      <c r="E156" t="inlineStr">
        <is>
          <t>已完成</t>
        </is>
      </c>
      <c r="F156">
        <v>1</v>
      </c>
      <c r="G156" t="inlineStr">
        <is>
          <t>P0 - 必须处理</t>
        </is>
      </c>
      <c r="H156" t="inlineStr">
        <is>
          <t>🛠️技术</t>
        </is>
      </c>
      <c r="I156">
        <v>0</v>
      </c>
      <c r="J156" t="inlineStr">
        <is>
          <t>或签任务</t>
        </is>
      </c>
      <c r="K156"/>
      <c r="L156" t="inlineStr">
        <is>
          <t>0</t>
        </is>
      </c>
      <c r="M156"/>
      <c r="N156" s="3">
        <v>45957.4609837963</v>
      </c>
      <c r="O156" t="inlineStr">
        <is>
          <t>v0.0.4</t>
        </is>
      </c>
      <c r="P156" t="inlineStr">
        <is>
          <t>周晨锋</t>
        </is>
      </c>
      <c r="Q156" s="3"/>
      <c r="R156" s="3">
        <v>45926.333333333336</v>
      </c>
      <c r="S156" t="inlineStr">
        <is>
          <t>3ab8f610-8d2d-452e-b43a-d7635517e91f</t>
        </is>
      </c>
      <c r="T156"/>
      <c r="U156"/>
      <c r="V156"/>
      <c r="W156">
        <v>1</v>
      </c>
      <c r="X156" t="inlineStr">
        <is>
          <t>周晨锋,龚政涛</t>
        </is>
      </c>
      <c r="Y156" t="inlineStr">
        <is>
          <t>龚政涛</t>
        </is>
      </c>
      <c r="Z156" s="3">
        <v>45926.48773148148</v>
      </c>
      <c r="AA156" s="3">
        <v>45957.46099537037</v>
      </c>
      <c r="AB156" s="2" t="str">
        <f>=HYPERLINK("https://applink.feishu.cn/client/todo/task_list?guid=76122b60-faec-4a61-91b0-2d229f32cc2a", "迷宫球")</f>
        <v>迷宫球</v>
      </c>
      <c r="AC156" t="inlineStr">
        <is>
          <t>76122b60-faec-4a61-91b0-2d229f32cc2a</t>
        </is>
      </c>
      <c r="AD156" t="inlineStr">
        <is>
          <t>NzUzMTk3MzcwNDkxNDg0NTY5NzozYWI4ZjYxMC04ZDJkLTQ1MmUtYjQzYS1kNzYzNTUxN2U5MWY6MTEwMWMyNTczYzU3MDMwYjM5YTEwZWRkZjI5ZDE2YTQ6MQ==</t>
        </is>
      </c>
      <c r="AE156"/>
    </row>
    <row r="157" ht="25.5" customHeight="1">
      <c r="A157" s="2" t="str">
        <f>=HYPERLINK("https://applink.feishu.cn/client/todo/detail?guid=1319d45a-5770-401f-8ed7-6c8c9111f1cb&amp;suite_entity_num=t101161", "双人模式手柄左摇杆无法控制P2移动")</f>
        <v>双人模式手柄左摇杆无法控制P2移动</v>
      </c>
      <c r="B157"/>
      <c r="C157" t="inlineStr">
        <is>
          <t>默认分组</t>
        </is>
      </c>
      <c r="D157" t="inlineStr">
        <is>
          <t>1</t>
        </is>
      </c>
      <c r="E157" t="inlineStr">
        <is>
          <t>已完成</t>
        </is>
      </c>
      <c r="F157">
        <v>1</v>
      </c>
      <c r="G157" t="inlineStr">
        <is>
          <t>P0 - 必须处理</t>
        </is>
      </c>
      <c r="H157" t="inlineStr">
        <is>
          <t>🛠️技术</t>
        </is>
      </c>
      <c r="I157">
        <v>0</v>
      </c>
      <c r="J157" t="inlineStr">
        <is>
          <t>或签任务</t>
        </is>
      </c>
      <c r="K157"/>
      <c r="L157" t="inlineStr">
        <is>
          <t>0</t>
        </is>
      </c>
      <c r="M157"/>
      <c r="N157" s="3">
        <v>45929.42041666667</v>
      </c>
      <c r="O157" t="inlineStr">
        <is>
          <t>v0.0.4</t>
        </is>
      </c>
      <c r="P157" t="inlineStr">
        <is>
          <t>周晨锋</t>
        </is>
      </c>
      <c r="Q157" s="3"/>
      <c r="R157" s="3">
        <v>45926.333333333336</v>
      </c>
      <c r="S157" t="inlineStr">
        <is>
          <t>1319d45a-5770-401f-8ed7-6c8c9111f1cb</t>
        </is>
      </c>
      <c r="T157"/>
      <c r="U157"/>
      <c r="V157"/>
      <c r="W157">
        <v>0</v>
      </c>
      <c r="X157" t="inlineStr">
        <is>
          <t>周晨锋,龚政涛</t>
        </is>
      </c>
      <c r="Y157" t="inlineStr">
        <is>
          <t>龚政涛</t>
        </is>
      </c>
      <c r="Z157" s="3">
        <v>45926.48068287037</v>
      </c>
      <c r="AA157" s="3">
        <v>45929.42041666667</v>
      </c>
      <c r="AB157" s="2" t="str">
        <f>=HYPERLINK("https://applink.feishu.cn/client/todo/task_list?guid=76122b60-faec-4a61-91b0-2d229f32cc2a", "迷宫球")</f>
        <v>迷宫球</v>
      </c>
      <c r="AC157" t="inlineStr">
        <is>
          <t>76122b60-faec-4a61-91b0-2d229f32cc2a</t>
        </is>
      </c>
      <c r="AD157" t="inlineStr">
        <is>
          <t>NzUzMTk3MzcwNDkxNDg0NTY5NzoxMzE5ZDQ1YS01NzcwLTQwMWYtOGVkNy02YzhjOTExMWYxY2I6OTYzY2U4YzE5ZWFhZTg4NDk0MDE4MzE1ZWQ5Y2VlNjM6MQ==</t>
        </is>
      </c>
      <c r="AE157"/>
    </row>
    <row r="158" ht="25.5" customHeight="1">
      <c r="A158" s="2" t="str">
        <f>=HYPERLINK("https://applink.feishu.cn/client/todo/detail?guid=c2a6f29c-a024-4c4c-9d8e-6ccada8758d0&amp;suite_entity_num=t101162", "在暂停页面，用手柄指针向“下”应该优先选中左侧对象（如果有2个对象一排）；和鼠标HOVER应该不能同时高亮一个对象")</f>
        <v>在暂停页面，用手柄指针向“下”应该优先选中左侧对象（如果有2个对象一排）；和鼠标HOVER应该不能同时高亮一个对象</v>
      </c>
      <c r="B158"/>
      <c r="C158" t="inlineStr">
        <is>
          <t>默认分组</t>
        </is>
      </c>
      <c r="D158" t="inlineStr">
        <is>
          <t>0</t>
        </is>
      </c>
      <c r="E158"/>
      <c r="F158">
        <v>1</v>
      </c>
      <c r="G158" t="inlineStr">
        <is>
          <t>P1 - 最好处理</t>
        </is>
      </c>
      <c r="H158" t="inlineStr">
        <is>
          <t>🛠️技术</t>
        </is>
      </c>
      <c r="I158">
        <v>0</v>
      </c>
      <c r="J158" t="inlineStr">
        <is>
          <t>或签任务</t>
        </is>
      </c>
      <c r="K158"/>
      <c r="L158" t="inlineStr">
        <is>
          <t>0</t>
        </is>
      </c>
      <c r="M158"/>
      <c r="N158" s="3"/>
      <c r="O158" t="inlineStr">
        <is>
          <t>v0.0.4</t>
        </is>
      </c>
      <c r="P158" t="inlineStr">
        <is>
          <t>周晨锋</t>
        </is>
      </c>
      <c r="Q158" s="3"/>
      <c r="R158" s="3">
        <v>45926.333333333336</v>
      </c>
      <c r="S158" t="inlineStr">
        <is>
          <t>c2a6f29c-a024-4c4c-9d8e-6ccada8758d0</t>
        </is>
      </c>
      <c r="T158"/>
      <c r="U158"/>
      <c r="V158"/>
      <c r="W158">
        <v>0</v>
      </c>
      <c r="X158" t="inlineStr">
        <is>
          <t>龚政涛,周晨锋</t>
        </is>
      </c>
      <c r="Y158" t="inlineStr">
        <is>
          <t>龚政涛</t>
        </is>
      </c>
      <c r="Z158" s="3">
        <v>45926.48238425926</v>
      </c>
      <c r="AA158" s="3">
        <v>45926.48267361111</v>
      </c>
      <c r="AB158" s="2" t="str">
        <f>=HYPERLINK("https://applink.feishu.cn/client/todo/task_list?guid=76122b60-faec-4a61-91b0-2d229f32cc2a", "迷宫球")</f>
        <v>迷宫球</v>
      </c>
      <c r="AC158" t="inlineStr">
        <is>
          <t>76122b60-faec-4a61-91b0-2d229f32cc2a</t>
        </is>
      </c>
      <c r="AD158" t="inlineStr">
        <is>
          <t>NzUzMTk3MzcwNDkxNDg0NTY5NzpjMmE2ZjI5Yy1hMDI0LTRjNGMtOWQ4ZS02Y2NhZGE4NzU4ZDA6ZDVkZjIyNzJjNzQxMjQwMzM2YWIxMTZlYWJhNzBmYWQ6MQ==</t>
        </is>
      </c>
      <c r="AE158"/>
    </row>
    <row r="159" ht="25.5" customHeight="1">
      <c r="A159" s="2" t="str">
        <f>=HYPERLINK("https://applink.feishu.cn/client/todo/detail?guid=24ab7cf8-dfa8-4dd1-b60a-3c29b8e21268&amp;suite_entity_num=t101163", "手柄在主/选择关卡/选择小球菜单不生效")</f>
        <v>手柄在主/选择关卡/选择小球菜单不生效</v>
      </c>
      <c r="B159"/>
      <c r="C159" t="inlineStr">
        <is>
          <t>默认分组</t>
        </is>
      </c>
      <c r="D159" t="inlineStr">
        <is>
          <t>0</t>
        </is>
      </c>
      <c r="E159"/>
      <c r="F159">
        <v>1</v>
      </c>
      <c r="G159" t="inlineStr">
        <is>
          <t>P1 - 最好处理</t>
        </is>
      </c>
      <c r="H159" t="inlineStr">
        <is>
          <t>🛠️技术</t>
        </is>
      </c>
      <c r="I159">
        <v>0</v>
      </c>
      <c r="J159" t="inlineStr">
        <is>
          <t>或签任务</t>
        </is>
      </c>
      <c r="K159"/>
      <c r="L159" t="inlineStr">
        <is>
          <t>0</t>
        </is>
      </c>
      <c r="M159"/>
      <c r="N159" s="3"/>
      <c r="O159" t="inlineStr">
        <is>
          <t>v0.0.5</t>
        </is>
      </c>
      <c r="P159" t="inlineStr">
        <is>
          <t>周晨锋</t>
        </is>
      </c>
      <c r="Q159" s="3"/>
      <c r="R159" s="3">
        <v>45926.333333333336</v>
      </c>
      <c r="S159" t="inlineStr">
        <is>
          <t>24ab7cf8-dfa8-4dd1-b60a-3c29b8e21268</t>
        </is>
      </c>
      <c r="T159"/>
      <c r="U159"/>
      <c r="V159"/>
      <c r="W159">
        <v>0</v>
      </c>
      <c r="X159" t="inlineStr">
        <is>
          <t>周晨锋,龚政涛</t>
        </is>
      </c>
      <c r="Y159" t="inlineStr">
        <is>
          <t>龚政涛</t>
        </is>
      </c>
      <c r="Z159" s="3">
        <v>45926.48292824074</v>
      </c>
      <c r="AA159" s="3">
        <v>45949.658125</v>
      </c>
      <c r="AB159" s="2" t="str">
        <f>=HYPERLINK("https://applink.feishu.cn/client/todo/task_list?guid=76122b60-faec-4a61-91b0-2d229f32cc2a", "迷宫球")</f>
        <v>迷宫球</v>
      </c>
      <c r="AC159" t="inlineStr">
        <is>
          <t>76122b60-faec-4a61-91b0-2d229f32cc2a</t>
        </is>
      </c>
      <c r="AD159" t="inlineStr">
        <is>
          <t>NzUzMTk3MzcwNDkxNDg0NTY5NzoyNGFiN2NmOC1kZmE4LTRkZDEtYjYwYS0zYzI5YjhlMjEyNjg6YjVmMGViZThjMGE2NTdmN2U5ODljMTY2ZTg4OTQyOTU6MQ==</t>
        </is>
      </c>
      <c r="AE159"/>
    </row>
    <row r="160" ht="25.5" customHeight="1">
      <c r="A160" s="2" t="str">
        <f>=HYPERLINK("https://applink.feishu.cn/client/todo/detail?guid=46e8ac39-af76-41fe-8b6d-c1ff97dcadca&amp;suite_entity_num=t101167", "LEVEL EDIT HELPER生成的对象有ATTACHMENT BUG")</f>
        <v>LEVEL EDIT HELPER生成的对象有ATTACHMENT BUG</v>
      </c>
      <c r="B160"/>
      <c r="C160" t="inlineStr">
        <is>
          <t>默认分组</t>
        </is>
      </c>
      <c r="D160" t="inlineStr">
        <is>
          <t>0</t>
        </is>
      </c>
      <c r="E160"/>
      <c r="F160">
        <v>2</v>
      </c>
      <c r="G160" t="inlineStr">
        <is>
          <t>P1 - 最好处理</t>
        </is>
      </c>
      <c r="H160" t="inlineStr">
        <is>
          <t>🛠️技术</t>
        </is>
      </c>
      <c r="I160">
        <v>0</v>
      </c>
      <c r="J160" t="inlineStr">
        <is>
          <t>或签任务</t>
        </is>
      </c>
      <c r="K160"/>
      <c r="L160" t="inlineStr">
        <is>
          <t>0</t>
        </is>
      </c>
      <c r="M160"/>
      <c r="N160" s="3"/>
      <c r="O160" t="inlineStr">
        <is>
          <t>v0.0.5</t>
        </is>
      </c>
      <c r="P160" t="inlineStr">
        <is>
          <t>周晨锋</t>
        </is>
      </c>
      <c r="Q160" s="3"/>
      <c r="R160" s="3">
        <v>45929.333333333336</v>
      </c>
      <c r="S160" t="inlineStr">
        <is>
          <t>46e8ac39-af76-41fe-8b6d-c1ff97dcadca</t>
        </is>
      </c>
      <c r="T160"/>
      <c r="U160"/>
      <c r="V160"/>
      <c r="W160">
        <v>0</v>
      </c>
      <c r="X160" t="inlineStr">
        <is>
          <t>周晨锋,龚政涛</t>
        </is>
      </c>
      <c r="Y160" t="inlineStr">
        <is>
          <t>龚政涛</t>
        </is>
      </c>
      <c r="Z160" s="3">
        <v>45929.42203703704</v>
      </c>
      <c r="AA160" s="3">
        <v>45961.41875</v>
      </c>
      <c r="AB160" s="2" t="str">
        <f>=HYPERLINK("https://applink.feishu.cn/client/todo/task_list?guid=76122b60-faec-4a61-91b0-2d229f32cc2a", "迷宫球")</f>
        <v>迷宫球</v>
      </c>
      <c r="AC160" t="inlineStr">
        <is>
          <t>76122b60-faec-4a61-91b0-2d229f32cc2a</t>
        </is>
      </c>
      <c r="AD160" t="inlineStr">
        <is>
          <t>NzUzMTk3MzcwNDkxNDg0NTY5Nzo0NmU4YWMzOS1hZjc2LTQxZmUtOGI2ZC1jMWZmOTdkY2FkY2E6M2RjMjlmNGFiNjhmNjgyNTk2OTc0NDkxM2E4MjIyYmY6MQ==</t>
        </is>
      </c>
      <c r="AE160"/>
    </row>
    <row r="161" ht="25.5" customHeight="1">
      <c r="A161" s="2" t="str">
        <f>=HYPERLINK("https://applink.feishu.cn/client/todo/detail?guid=a1a8957d-4fff-4a8a-9dd2-13af62050c45&amp;suite_entity_num=t101166", "过关以后的GUI可以按ESC退出")</f>
        <v>过关以后的GUI可以按ESC退出</v>
      </c>
      <c r="B161"/>
      <c r="C161" t="inlineStr">
        <is>
          <t>默认分组</t>
        </is>
      </c>
      <c r="D161" t="inlineStr">
        <is>
          <t>1</t>
        </is>
      </c>
      <c r="E161" t="inlineStr">
        <is>
          <t>已完成</t>
        </is>
      </c>
      <c r="F161">
        <v>1</v>
      </c>
      <c r="G161" t="inlineStr">
        <is>
          <t>P0 - 必须处理</t>
        </is>
      </c>
      <c r="H161" t="inlineStr">
        <is>
          <t>🛠️技术</t>
        </is>
      </c>
      <c r="I161">
        <v>0</v>
      </c>
      <c r="J161" t="inlineStr">
        <is>
          <t>或签任务</t>
        </is>
      </c>
      <c r="K161"/>
      <c r="L161" t="inlineStr">
        <is>
          <t>0</t>
        </is>
      </c>
      <c r="M161"/>
      <c r="N161" s="3">
        <v>45949.65710648148</v>
      </c>
      <c r="O161" t="inlineStr">
        <is>
          <t>v0.0.4</t>
        </is>
      </c>
      <c r="P161" t="inlineStr">
        <is>
          <t>周晨锋</t>
        </is>
      </c>
      <c r="Q161" s="3"/>
      <c r="R161" s="3">
        <v>45929.333333333336</v>
      </c>
      <c r="S161" t="inlineStr">
        <is>
          <t>a1a8957d-4fff-4a8a-9dd2-13af62050c45</t>
        </is>
      </c>
      <c r="T161"/>
      <c r="U161"/>
      <c r="V161"/>
      <c r="W161">
        <v>0</v>
      </c>
      <c r="X161" t="inlineStr">
        <is>
          <t>周晨锋,龚政涛</t>
        </is>
      </c>
      <c r="Y161" t="inlineStr">
        <is>
          <t>龚政涛</t>
        </is>
      </c>
      <c r="Z161" s="3">
        <v>45929.42144675926</v>
      </c>
      <c r="AA161" s="3">
        <v>45949.657118055555</v>
      </c>
      <c r="AB161" s="2" t="str">
        <f>=HYPERLINK("https://applink.feishu.cn/client/todo/task_list?guid=76122b60-faec-4a61-91b0-2d229f32cc2a", "迷宫球")</f>
        <v>迷宫球</v>
      </c>
      <c r="AC161" t="inlineStr">
        <is>
          <t>76122b60-faec-4a61-91b0-2d229f32cc2a</t>
        </is>
      </c>
      <c r="AD161" t="inlineStr">
        <is>
          <t>NzUzMTk3MzcwNDkxNDg0NTY5NzphMWE4OTU3ZC00ZmZmLTRhOGEtOWRkMi0xM2FmNjIwNTBjNDU6YzNhMjlmZDEzMDY0YjY3NGQzY2Q2ODViN2M5YWNjMTA6MQ==</t>
        </is>
      </c>
      <c r="AE161"/>
    </row>
    <row r="162" ht="25.5" customHeight="1">
      <c r="A162" s="2" t="str">
        <f>=HYPERLINK("https://applink.feishu.cn/client/todo/detail?guid=65eaa3c0-6698-461d-bf89-af073fc542b3&amp;suite_entity_num=t101168", "关卡选择界面增加ACTOR替换和高亮功能")</f>
        <v>关卡选择界面增加ACTOR替换和高亮功能</v>
      </c>
      <c r="B162"/>
      <c r="C162" t="inlineStr">
        <is>
          <t>默认分组</t>
        </is>
      </c>
      <c r="D162" t="inlineStr">
        <is>
          <t>0</t>
        </is>
      </c>
      <c r="E162"/>
      <c r="F162">
        <v>2</v>
      </c>
      <c r="G162" t="inlineStr">
        <is>
          <t>P1 - 最好处理</t>
        </is>
      </c>
      <c r="H162" t="inlineStr">
        <is>
          <t>🛠️技术</t>
        </is>
      </c>
      <c r="I162">
        <v>0</v>
      </c>
      <c r="J162" t="inlineStr">
        <is>
          <t>或签任务</t>
        </is>
      </c>
      <c r="K162"/>
      <c r="L162" t="inlineStr">
        <is>
          <t>0</t>
        </is>
      </c>
      <c r="M162"/>
      <c r="N162" s="3"/>
      <c r="O162" t="inlineStr">
        <is>
          <t>v0.0.5</t>
        </is>
      </c>
      <c r="P162" t="inlineStr">
        <is>
          <t>周晨锋</t>
        </is>
      </c>
      <c r="Q162" s="3"/>
      <c r="R162" s="3">
        <v>45929.333333333336</v>
      </c>
      <c r="S162" t="inlineStr">
        <is>
          <t>65eaa3c0-6698-461d-bf89-af073fc542b3</t>
        </is>
      </c>
      <c r="T162"/>
      <c r="U162"/>
      <c r="V162"/>
      <c r="W162">
        <v>1</v>
      </c>
      <c r="X162" t="inlineStr">
        <is>
          <t>周晨锋,龚政涛</t>
        </is>
      </c>
      <c r="Y162" t="inlineStr">
        <is>
          <t>龚政涛</t>
        </is>
      </c>
      <c r="Z162" s="3">
        <v>45929.42275462963</v>
      </c>
      <c r="AA162" s="3">
        <v>45949.658009259256</v>
      </c>
      <c r="AB162" s="2" t="str">
        <f>=HYPERLINK("https://applink.feishu.cn/client/todo/task_list?guid=76122b60-faec-4a61-91b0-2d229f32cc2a", "迷宫球")</f>
        <v>迷宫球</v>
      </c>
      <c r="AC162" t="inlineStr">
        <is>
          <t>76122b60-faec-4a61-91b0-2d229f32cc2a</t>
        </is>
      </c>
      <c r="AD162" t="inlineStr">
        <is>
          <t>NzUzMTk3MzcwNDkxNDg0NTY5Nzo2NWVhYTNjMC02Njk4LTQ2MWQtYmY4OS1hZjA3M2ZjNTQyYjM6YzliMGYxYjZjNTgyODViY2FkMWQ2OGMxYmEzNThlMzU6MQ==</t>
        </is>
      </c>
      <c r="AE162"/>
    </row>
    <row r="163" ht="25.5" customHeight="1">
      <c r="A163" s="2" t="str">
        <f>=HYPERLINK("https://applink.feishu.cn/client/todo/detail?guid=65b9b63c-e079-4630-84f6-bae4eec4f010&amp;suite_entity_num=t101165", "小球掉落的计数没有正确累计")</f>
        <v>小球掉落的计数没有正确累计</v>
      </c>
      <c r="B163"/>
      <c r="C163" t="inlineStr">
        <is>
          <t>默认分组</t>
        </is>
      </c>
      <c r="D163" t="inlineStr">
        <is>
          <t>1</t>
        </is>
      </c>
      <c r="E163" t="inlineStr">
        <is>
          <t>已完成</t>
        </is>
      </c>
      <c r="F163">
        <v>1</v>
      </c>
      <c r="G163" t="inlineStr">
        <is>
          <t>P0 - 必须处理</t>
        </is>
      </c>
      <c r="H163" t="inlineStr">
        <is>
          <t>🛠️技术</t>
        </is>
      </c>
      <c r="I163">
        <v>0</v>
      </c>
      <c r="J163" t="inlineStr">
        <is>
          <t>或签任务</t>
        </is>
      </c>
      <c r="K163"/>
      <c r="L163" t="inlineStr">
        <is>
          <t>0</t>
        </is>
      </c>
      <c r="M163"/>
      <c r="N163" s="3">
        <v>45957.46283564815</v>
      </c>
      <c r="O163" t="inlineStr">
        <is>
          <t>v0.0.4</t>
        </is>
      </c>
      <c r="P163" t="inlineStr">
        <is>
          <t>周晨锋</t>
        </is>
      </c>
      <c r="Q163" s="3"/>
      <c r="R163" s="3">
        <v>45929.333333333336</v>
      </c>
      <c r="S163" t="inlineStr">
        <is>
          <t>65b9b63c-e079-4630-84f6-bae4eec4f010</t>
        </is>
      </c>
      <c r="T163"/>
      <c r="U163"/>
      <c r="V163"/>
      <c r="W163">
        <v>2</v>
      </c>
      <c r="X163" t="inlineStr">
        <is>
          <t>周晨锋,龚政涛</t>
        </is>
      </c>
      <c r="Y163" t="inlineStr">
        <is>
          <t>龚政涛</t>
        </is>
      </c>
      <c r="Z163" s="3">
        <v>45929.41950231481</v>
      </c>
      <c r="AA163" s="3">
        <v>45957.462847222225</v>
      </c>
      <c r="AB163" s="2" t="str">
        <f>=HYPERLINK("https://applink.feishu.cn/client/todo/task_list?guid=76122b60-faec-4a61-91b0-2d229f32cc2a", "迷宫球")</f>
        <v>迷宫球</v>
      </c>
      <c r="AC163" t="inlineStr">
        <is>
          <t>76122b60-faec-4a61-91b0-2d229f32cc2a</t>
        </is>
      </c>
      <c r="AD163" t="inlineStr">
        <is>
          <t>NzUzMTk3MzcwNDkxNDg0NTY5Nzo2NWI5YjYzYy1lMDc5LTQ2MzAtODRmNi1iYWU0ZWVjNGYwMTA6YmYwYWE0MDJlYTBhZTNiMTJiM2U4NmYxYmYyZWNkODA6MQ==</t>
        </is>
      </c>
      <c r="AE163"/>
    </row>
    <row r="164" ht="25.5" customHeight="1">
      <c r="A164" s="2" t="str">
        <f>=HYPERLINK("https://applink.feishu.cn/client/todo/detail?guid=4af2979c-d5bb-480b-b6a0-96824542dad8&amp;suite_entity_num=t101169", "已经生成的RAIL如果大范围移动，BP和MESH会错位")</f>
        <v>已经生成的RAIL如果大范围移动，BP和MESH会错位</v>
      </c>
      <c r="B164"/>
      <c r="C164" t="inlineStr">
        <is>
          <t>默认分组</t>
        </is>
      </c>
      <c r="D164" t="inlineStr">
        <is>
          <t>0</t>
        </is>
      </c>
      <c r="E164"/>
      <c r="F164">
        <v>4</v>
      </c>
      <c r="G164" t="inlineStr">
        <is>
          <t>P1 - 最好处理</t>
        </is>
      </c>
      <c r="H164" t="inlineStr">
        <is>
          <t>🛠️技术</t>
        </is>
      </c>
      <c r="I164">
        <v>0</v>
      </c>
      <c r="J164" t="inlineStr">
        <is>
          <t>或签任务</t>
        </is>
      </c>
      <c r="K164"/>
      <c r="L164" t="inlineStr">
        <is>
          <t>0</t>
        </is>
      </c>
      <c r="M164"/>
      <c r="N164" s="3"/>
      <c r="O164" t="inlineStr">
        <is>
          <t>v0.0.5</t>
        </is>
      </c>
      <c r="P164" t="inlineStr">
        <is>
          <t>周晨锋</t>
        </is>
      </c>
      <c r="Q164" s="3"/>
      <c r="R164" s="3">
        <v>45947.333333333336</v>
      </c>
      <c r="S164" t="inlineStr">
        <is>
          <t>4af2979c-d5bb-480b-b6a0-96824542dad8</t>
        </is>
      </c>
      <c r="T164"/>
      <c r="U164"/>
      <c r="V164"/>
      <c r="W164">
        <v>0</v>
      </c>
      <c r="X164" t="inlineStr">
        <is>
          <t>周晨锋,龚政涛</t>
        </is>
      </c>
      <c r="Y164" t="inlineStr">
        <is>
          <t>龚政涛</t>
        </is>
      </c>
      <c r="Z164" s="3">
        <v>45947.58961805556</v>
      </c>
      <c r="AA164" s="3">
        <v>45961.41877314815</v>
      </c>
      <c r="AB164" s="2" t="str">
        <f>=HYPERLINK("https://applink.feishu.cn/client/todo/task_list?guid=76122b60-faec-4a61-91b0-2d229f32cc2a", "迷宫球")</f>
        <v>迷宫球</v>
      </c>
      <c r="AC164" t="inlineStr">
        <is>
          <t>76122b60-faec-4a61-91b0-2d229f32cc2a</t>
        </is>
      </c>
      <c r="AD164" t="inlineStr">
        <is>
          <t>NzUzMTk3MzcwNDkxNDg0NTY5Nzo0YWYyOTc5Yy1kNWJiLTQ4MGItYjZhMC05NjgyNDU0MmRhZDg6MDFiZDM4Y2I2NTczOGJmNGEzNTk1MDMzYTY3MzU1ZGU6MQ==</t>
        </is>
      </c>
      <c r="AE164"/>
    </row>
    <row r="165" ht="25.5" customHeight="1">
      <c r="A165" s="2" t="str">
        <f>=HYPERLINK("https://applink.feishu.cn/client/todo/detail?guid=7b710445-c879-40e7-8b12-d6dca54f6d29&amp;suite_entity_num=t101171", "如果在关卡内暂停、重玩，掉落的判定不会生效")</f>
        <v>如果在关卡内暂停、重玩，掉落的判定不会生效</v>
      </c>
      <c r="B165"/>
      <c r="C165" t="inlineStr">
        <is>
          <t>默认分组</t>
        </is>
      </c>
      <c r="D165" t="inlineStr">
        <is>
          <t>1</t>
        </is>
      </c>
      <c r="E165" t="inlineStr">
        <is>
          <t>已完成</t>
        </is>
      </c>
      <c r="F165">
        <v>1</v>
      </c>
      <c r="G165" t="inlineStr">
        <is>
          <t>P0 - 必须处理</t>
        </is>
      </c>
      <c r="H165" t="inlineStr">
        <is>
          <t>🛠️技术</t>
        </is>
      </c>
      <c r="I165">
        <v>0</v>
      </c>
      <c r="J165" t="inlineStr">
        <is>
          <t>或签任务</t>
        </is>
      </c>
      <c r="K165"/>
      <c r="L165" t="inlineStr">
        <is>
          <t>0</t>
        </is>
      </c>
      <c r="M165"/>
      <c r="N165" s="3">
        <v>45953.412824074076</v>
      </c>
      <c r="O165" t="inlineStr">
        <is>
          <t>v0.0.4</t>
        </is>
      </c>
      <c r="P165" t="inlineStr">
        <is>
          <t>周晨锋</t>
        </is>
      </c>
      <c r="Q165" s="3"/>
      <c r="R165" s="3">
        <v>45950.333333333336</v>
      </c>
      <c r="S165" t="inlineStr">
        <is>
          <t>7b710445-c879-40e7-8b12-d6dca54f6d29</t>
        </is>
      </c>
      <c r="T165"/>
      <c r="U165"/>
      <c r="V165"/>
      <c r="W165">
        <v>0</v>
      </c>
      <c r="X165" t="inlineStr">
        <is>
          <t>周晨锋,龚政涛</t>
        </is>
      </c>
      <c r="Y165" t="inlineStr">
        <is>
          <t>龚政涛</t>
        </is>
      </c>
      <c r="Z165" s="3">
        <v>45949.65453703704</v>
      </c>
      <c r="AA165" s="3">
        <v>45953.412835648145</v>
      </c>
      <c r="AB165" s="2" t="str">
        <f>=HYPERLINK("https://applink.feishu.cn/client/todo/task_list?guid=76122b60-faec-4a61-91b0-2d229f32cc2a", "迷宫球")</f>
        <v>迷宫球</v>
      </c>
      <c r="AC165" t="inlineStr">
        <is>
          <t>76122b60-faec-4a61-91b0-2d229f32cc2a</t>
        </is>
      </c>
      <c r="AD165" t="inlineStr">
        <is>
          <t>NzUzMTk3MzcwNDkxNDg0NTY5Nzo3YjcxMDQ0NS1jODc5LTQwZTctOGIxMi1kNmRjYTU0ZjZkMjk6OGMxYWVkNGFhM2ZlOWUwZjMxNWE1ZDY5ZDkxZmE0ODI6MQ==</t>
        </is>
      </c>
      <c r="AE165"/>
    </row>
    <row r="166" ht="25.5" customHeight="1">
      <c r="A166" s="2" t="str">
        <f>=HYPERLINK("https://applink.feishu.cn/client/todo/detail?guid=f98815a6-1eb5-4660-9972-a47f4ae9730d&amp;suite_entity_num=t101170", "小球掉落后的重玩不应该重置镜头")</f>
        <v>小球掉落后的重玩不应该重置镜头</v>
      </c>
      <c r="B166"/>
      <c r="C166" t="inlineStr">
        <is>
          <t>默认分组</t>
        </is>
      </c>
      <c r="D166" t="inlineStr">
        <is>
          <t>1</t>
        </is>
      </c>
      <c r="E166" t="inlineStr">
        <is>
          <t>已完成</t>
        </is>
      </c>
      <c r="F166">
        <v>1</v>
      </c>
      <c r="G166" t="inlineStr">
        <is>
          <t>P0 - 必须处理</t>
        </is>
      </c>
      <c r="H166" t="inlineStr">
        <is>
          <t>🛠️技术</t>
        </is>
      </c>
      <c r="I166">
        <v>0</v>
      </c>
      <c r="J166" t="inlineStr">
        <is>
          <t>或签任务</t>
        </is>
      </c>
      <c r="K166"/>
      <c r="L166" t="inlineStr">
        <is>
          <t>0</t>
        </is>
      </c>
      <c r="M166"/>
      <c r="N166" s="3">
        <v>45953.412824074076</v>
      </c>
      <c r="O166" t="inlineStr">
        <is>
          <t>v0.0.4</t>
        </is>
      </c>
      <c r="P166" t="inlineStr">
        <is>
          <t>周晨锋</t>
        </is>
      </c>
      <c r="Q166" s="3"/>
      <c r="R166" s="3">
        <v>45950.333333333336</v>
      </c>
      <c r="S166" t="inlineStr">
        <is>
          <t>f98815a6-1eb5-4660-9972-a47f4ae9730d</t>
        </is>
      </c>
      <c r="T166"/>
      <c r="U166"/>
      <c r="V166"/>
      <c r="W166">
        <v>0</v>
      </c>
      <c r="X166" t="inlineStr">
        <is>
          <t>周晨锋,龚政涛</t>
        </is>
      </c>
      <c r="Y166" t="inlineStr">
        <is>
          <t>龚政涛</t>
        </is>
      </c>
      <c r="Z166" s="3">
        <v>45949.65253472222</v>
      </c>
      <c r="AA166" s="3">
        <v>45953.412835648145</v>
      </c>
      <c r="AB166" s="2" t="str">
        <f>=HYPERLINK("https://applink.feishu.cn/client/todo/task_list?guid=76122b60-faec-4a61-91b0-2d229f32cc2a", "迷宫球")</f>
        <v>迷宫球</v>
      </c>
      <c r="AC166" t="inlineStr">
        <is>
          <t>76122b60-faec-4a61-91b0-2d229f32cc2a</t>
        </is>
      </c>
      <c r="AD166" t="inlineStr">
        <is>
          <t>NzUzMTk3MzcwNDkxNDg0NTY5NzpmOTg4MTVhNi0xZWI1LTQ2NjAtOTk3Mi1hNDdmNGFlOTczMGQ6OGExNmY0MGY2ZjZkYjA0YTQyZDQ3NjUxNjA5NmZmY2Q6MQ==</t>
        </is>
      </c>
      <c r="AE166"/>
    </row>
    <row r="167" ht="25.5" customHeight="1">
      <c r="A167" s="2" t="str">
        <f>=HYPERLINK("https://applink.feishu.cn/client/todo/detail?guid=894751f2-0661-4c38-b6fc-c56ed49fd6a4&amp;suite_entity_num=t101176", "首页的球增加自旋")</f>
        <v>首页的球增加自旋</v>
      </c>
      <c r="B167"/>
      <c r="C167" t="inlineStr">
        <is>
          <t>默认分组</t>
        </is>
      </c>
      <c r="D167" t="inlineStr">
        <is>
          <t>0</t>
        </is>
      </c>
      <c r="E167"/>
      <c r="F167">
        <v>2</v>
      </c>
      <c r="G167" t="inlineStr">
        <is>
          <t>P2 - 新的想法</t>
        </is>
      </c>
      <c r="H167" t="inlineStr">
        <is>
          <t>🛠️技术</t>
        </is>
      </c>
      <c r="I167">
        <v>0</v>
      </c>
      <c r="J167" t="inlineStr">
        <is>
          <t>或签任务</t>
        </is>
      </c>
      <c r="K167"/>
      <c r="L167" t="inlineStr">
        <is>
          <t>0</t>
        </is>
      </c>
      <c r="M167"/>
      <c r="N167" s="3"/>
      <c r="O167" t="inlineStr">
        <is>
          <t>v0.0.5</t>
        </is>
      </c>
      <c r="P167" t="inlineStr">
        <is>
          <t>周晨锋</t>
        </is>
      </c>
      <c r="Q167" s="3">
        <v>45952.333333333336</v>
      </c>
      <c r="R167" s="3">
        <v>45952.333333333336</v>
      </c>
      <c r="S167" t="inlineStr">
        <is>
          <t>894751f2-0661-4c38-b6fc-c56ed49fd6a4</t>
        </is>
      </c>
      <c r="T167"/>
      <c r="U167"/>
      <c r="V167"/>
      <c r="W167">
        <v>0</v>
      </c>
      <c r="X167" t="inlineStr">
        <is>
          <t>周晨锋,龚政涛</t>
        </is>
      </c>
      <c r="Y167" t="inlineStr">
        <is>
          <t>龚政涛</t>
        </is>
      </c>
      <c r="Z167" s="3">
        <v>45952.4065162037</v>
      </c>
      <c r="AA167" s="3">
        <v>45952.406643518516</v>
      </c>
      <c r="AB167" s="2" t="str">
        <f>=HYPERLINK("https://applink.feishu.cn/client/todo/task_list?guid=76122b60-faec-4a61-91b0-2d229f32cc2a", "迷宫球")</f>
        <v>迷宫球</v>
      </c>
      <c r="AC167" t="inlineStr">
        <is>
          <t>76122b60-faec-4a61-91b0-2d229f32cc2a</t>
        </is>
      </c>
      <c r="AD167" t="inlineStr">
        <is>
          <t>NzUzMTk3MzcwNDkxNDg0NTY5Nzo4OTQ3NTFmMi0wNjYxLTRjMzgtYjZmYy1jNTZlZDQ5ZmQ2YTQ6YjhkOTZmOWNhMzc4OTFhYmZmNmY1ODRmZjhiNDk1NTY6MQ==</t>
        </is>
      </c>
      <c r="AE167"/>
    </row>
    <row r="168" ht="25.5" customHeight="1">
      <c r="A168" s="2" t="str">
        <f>=HYPERLINK("https://applink.feishu.cn/client/todo/detail?guid=3488722c-3667-45bb-b84b-2c67f0ca1647&amp;suite_entity_num=t101177", "首页的背景音乐没了")</f>
        <v>首页的背景音乐没了</v>
      </c>
      <c r="B168"/>
      <c r="C168" t="inlineStr">
        <is>
          <t>默认分组</t>
        </is>
      </c>
      <c r="D168" t="inlineStr">
        <is>
          <t>0</t>
        </is>
      </c>
      <c r="E168"/>
      <c r="F168">
        <v>1</v>
      </c>
      <c r="G168" t="inlineStr">
        <is>
          <t>P1 - 最好处理</t>
        </is>
      </c>
      <c r="H168" t="inlineStr">
        <is>
          <t>🛠️技术</t>
        </is>
      </c>
      <c r="I168">
        <v>0</v>
      </c>
      <c r="J168" t="inlineStr">
        <is>
          <t>或签任务</t>
        </is>
      </c>
      <c r="K168"/>
      <c r="L168" t="inlineStr">
        <is>
          <t>0</t>
        </is>
      </c>
      <c r="M168"/>
      <c r="N168" s="3"/>
      <c r="O168" t="inlineStr">
        <is>
          <t>v0.0.5</t>
        </is>
      </c>
      <c r="P168" t="inlineStr">
        <is>
          <t>周晨锋</t>
        </is>
      </c>
      <c r="Q168" s="3">
        <v>45953.333333333336</v>
      </c>
      <c r="R168" s="3">
        <v>45953.333333333336</v>
      </c>
      <c r="S168" t="inlineStr">
        <is>
          <t>3488722c-3667-45bb-b84b-2c67f0ca1647</t>
        </is>
      </c>
      <c r="T168"/>
      <c r="U168"/>
      <c r="V168"/>
      <c r="W168">
        <v>0</v>
      </c>
      <c r="X168" t="inlineStr">
        <is>
          <t>周晨锋,龚政涛</t>
        </is>
      </c>
      <c r="Y168" t="inlineStr">
        <is>
          <t>龚政涛</t>
        </is>
      </c>
      <c r="Z168" s="3">
        <v>45953.4125</v>
      </c>
      <c r="AA168" s="3">
        <v>45953.41265046296</v>
      </c>
      <c r="AB168" s="2" t="str">
        <f>=HYPERLINK("https://applink.feishu.cn/client/todo/task_list?guid=76122b60-faec-4a61-91b0-2d229f32cc2a", "迷宫球")</f>
        <v>迷宫球</v>
      </c>
      <c r="AC168" t="inlineStr">
        <is>
          <t>76122b60-faec-4a61-91b0-2d229f32cc2a</t>
        </is>
      </c>
      <c r="AD168" t="inlineStr">
        <is>
          <t>NzUzMTk3MzcwNDkxNDg0NTY5NzozNDg4NzIyYy0zNjY3LTQ1YmItYjg0Yi0yYzY3ZjBjYTE2NDc6MWZiNDc5NzE5YzU3OGZiYTRkZGQwOWEwNjI0ODA0OTE6MQ==</t>
        </is>
      </c>
      <c r="AE168"/>
    </row>
    <row r="169" ht="25.5" customHeight="1">
      <c r="A169" s="2" t="str">
        <f>=HYPERLINK("https://applink.feishu.cn/client/todo/detail?guid=91b07ea3-028d-4a9d-b2a3-0d4b89c5e954&amp;suite_entity_num=t101178", "调整Level Selection功能")</f>
        <v>调整Level Selection功能</v>
      </c>
      <c r="B169" t="inlineStr">
        <is>
          <t>- 高亮INDICATOR</t>
        </is>
      </c>
      <c r="C169" t="inlineStr">
        <is>
          <t>默认分组</t>
        </is>
      </c>
      <c r="D169" t="inlineStr">
        <is>
          <t>1</t>
        </is>
      </c>
      <c r="E169" t="inlineStr">
        <is>
          <t>已完成</t>
        </is>
      </c>
      <c r="F169">
        <v>1</v>
      </c>
      <c r="G169" t="inlineStr">
        <is>
          <t>P0 - 必须处理</t>
        </is>
      </c>
      <c r="H169" t="inlineStr">
        <is>
          <t>🛠️技术</t>
        </is>
      </c>
      <c r="I169">
        <v>0</v>
      </c>
      <c r="J169" t="inlineStr">
        <is>
          <t>或签任务</t>
        </is>
      </c>
      <c r="K169"/>
      <c r="L169" t="inlineStr">
        <is>
          <t>0</t>
        </is>
      </c>
      <c r="M169"/>
      <c r="N169" s="3">
        <v>45961.41787037037</v>
      </c>
      <c r="O169" t="inlineStr">
        <is>
          <t>v0.0.5</t>
        </is>
      </c>
      <c r="P169" t="inlineStr">
        <is>
          <t>周晨锋</t>
        </is>
      </c>
      <c r="Q169" s="3">
        <v>45959.333333333336</v>
      </c>
      <c r="R169" s="3">
        <v>45961.333333333336</v>
      </c>
      <c r="S169" t="inlineStr">
        <is>
          <t>91b07ea3-028d-4a9d-b2a3-0d4b89c5e954</t>
        </is>
      </c>
      <c r="T169"/>
      <c r="U169"/>
      <c r="V169"/>
      <c r="W169">
        <v>1</v>
      </c>
      <c r="X169" t="inlineStr">
        <is>
          <t>周晨锋,龚政涛</t>
        </is>
      </c>
      <c r="Y169" t="inlineStr">
        <is>
          <t>龚政涛</t>
        </is>
      </c>
      <c r="Z169" s="3">
        <v>45959.4125</v>
      </c>
      <c r="AA169" s="3">
        <v>45961.41789351852</v>
      </c>
      <c r="AB169" s="2" t="str">
        <f>=HYPERLINK("https://applink.feishu.cn/client/todo/task_list?guid=76122b60-faec-4a61-91b0-2d229f32cc2a", "迷宫球")</f>
        <v>迷宫球</v>
      </c>
      <c r="AC169" t="inlineStr">
        <is>
          <t>76122b60-faec-4a61-91b0-2d229f32cc2a</t>
        </is>
      </c>
      <c r="AD169" t="inlineStr">
        <is>
          <t>NzUzMTk3MzcwNDkxNDg0NTY5Nzo5MWIwN2VhMy0wMjhkLTRhOWQtYjJhMy0wZDRiODljNWU5NTQ6MjA3MzdlYWE5YzQ5MDlmMjdlN2U1NTgxNDI2YjdmMTc6MQ==</t>
        </is>
      </c>
      <c r="AE169"/>
    </row>
    <row r="170" ht="25.5" customHeight="1">
      <c r="A170" s="2" t="str">
        <f>=HYPERLINK("https://applink.feishu.cn/client/todo/detail?guid=89320773-727f-4636-a618-72dc4773a391&amp;suite_entity_num=t101022", "提供更自由的输入设备绑定功能")</f>
        <v>提供更自由的输入设备绑定功能</v>
      </c>
      <c r="B170"/>
      <c r="C170" t="inlineStr">
        <is>
          <t>默认分组</t>
        </is>
      </c>
      <c r="D170" t="inlineStr">
        <is>
          <t>0</t>
        </is>
      </c>
      <c r="E170" t="inlineStr">
        <is>
          <t>进行中</t>
        </is>
      </c>
      <c r="F170">
        <v>32</v>
      </c>
      <c r="G170" t="inlineStr">
        <is>
          <t>P0 - 必须处理</t>
        </is>
      </c>
      <c r="H170" t="inlineStr">
        <is>
          <t>🛠️技术</t>
        </is>
      </c>
      <c r="I170">
        <v>0</v>
      </c>
      <c r="J170" t="inlineStr">
        <is>
          <t>或签任务</t>
        </is>
      </c>
      <c r="K170"/>
      <c r="L170" t="inlineStr">
        <is>
          <t>0</t>
        </is>
      </c>
      <c r="M170"/>
      <c r="N170" s="3"/>
      <c r="O170" t="inlineStr">
        <is>
          <t>v0.0.5</t>
        </is>
      </c>
      <c r="P170" t="inlineStr">
        <is>
          <t>周晨锋</t>
        </is>
      </c>
      <c r="Q170" s="3">
        <v>45899.333333333336</v>
      </c>
      <c r="R170" s="3">
        <v>45964.333333333336</v>
      </c>
      <c r="S170" t="inlineStr">
        <is>
          <t>89320773-727f-4636-a618-72dc4773a391</t>
        </is>
      </c>
      <c r="T170"/>
      <c r="U170" t="inlineStr">
        <is>
          <t>d3a23398-6dbe-4c3f-9cc6-103e54113efb</t>
        </is>
      </c>
      <c r="V170"/>
      <c r="W170">
        <v>0</v>
      </c>
      <c r="X170" t="inlineStr">
        <is>
          <t>龚政涛,Decay,周晨锋</t>
        </is>
      </c>
      <c r="Y170" t="inlineStr">
        <is>
          <t>龚政涛</t>
        </is>
      </c>
      <c r="Z170" s="3">
        <v>45880.595405092594</v>
      </c>
      <c r="AA170" s="3">
        <v>45964.421261574076</v>
      </c>
      <c r="AB170" s="2" t="str">
        <f>=HYPERLINK("https://applink.feishu.cn/client/todo/task_list?guid=76122b60-faec-4a61-91b0-2d229f32cc2a", "迷宫球")</f>
        <v>迷宫球</v>
      </c>
      <c r="AC170" t="inlineStr">
        <is>
          <t>76122b60-faec-4a61-91b0-2d229f32cc2a</t>
        </is>
      </c>
      <c r="AD170" t="inlineStr">
        <is>
          <t>NzUzMTk3MzcwNDkxNDg0NTY5Nzo4OTMyMDc3My03MjdmLTQ2MzYtYTYxOC03MmRjNDc3M2EzOTE6ZmMyNGY0NTVlZmYzY2JlNGU4YWVhMzU3YzIxMjIyOGU6MQ==</t>
        </is>
      </c>
      <c r="AE170"/>
    </row>
    <row r="171" ht="25.5" customHeight="1">
      <c r="A171" s="2" t="str">
        <f>=HYPERLINK("https://applink.feishu.cn/client/todo/detail?guid=35c6fa04-d3fa-4590-8efe-38d186e1348a&amp;suite_entity_num=t100895", "Steam 发售！")</f>
        <v>Steam 发售！</v>
      </c>
      <c r="B171"/>
      <c r="C171" t="inlineStr">
        <is>
          <t>默认分组</t>
        </is>
      </c>
      <c r="D171" t="inlineStr">
        <is>
          <t>0</t>
        </is>
      </c>
      <c r="E171"/>
      <c r="F171"/>
      <c r="G171"/>
      <c r="H171"/>
      <c r="I171">
        <v>0</v>
      </c>
      <c r="J171" t="inlineStr">
        <is>
          <t>或签任务</t>
        </is>
      </c>
      <c r="K171"/>
      <c r="L171" t="inlineStr">
        <is>
          <t>1</t>
        </is>
      </c>
      <c r="M171"/>
      <c r="N171" s="3"/>
      <c r="O171" t="inlineStr">
        <is>
          <t>v1.0.0</t>
        </is>
      </c>
      <c r="P171"/>
      <c r="Q171" s="3">
        <v>45992.333333333336</v>
      </c>
      <c r="R171" s="3">
        <v>46022.333333333336</v>
      </c>
      <c r="S171" t="inlineStr">
        <is>
          <t>35c6fa04-d3fa-4590-8efe-38d186e1348a</t>
        </is>
      </c>
      <c r="T171"/>
      <c r="U171"/>
      <c r="V171"/>
      <c r="W171">
        <v>0</v>
      </c>
      <c r="X171" t="inlineStr">
        <is>
          <t>龚政涛</t>
        </is>
      </c>
      <c r="Y171" t="inlineStr">
        <is>
          <t>龚政涛</t>
        </is>
      </c>
      <c r="Z171" s="3">
        <v>45846.86023148148</v>
      </c>
      <c r="AA171" s="3">
        <v>45846.86053240741</v>
      </c>
      <c r="AB171" s="2" t="str">
        <f>=HYPERLINK("https://applink.feishu.cn/client/todo/task_list?guid=76122b60-faec-4a61-91b0-2d229f32cc2a", "迷宫球")</f>
        <v>迷宫球</v>
      </c>
      <c r="AC171" t="inlineStr">
        <is>
          <t>76122b60-faec-4a61-91b0-2d229f32cc2a</t>
        </is>
      </c>
      <c r="AD171" t="inlineStr">
        <is>
          <t>NzUzMTk3MzcwNDkxNDg0NTY5NzozNWM2ZmEwNC1kM2ZhLTQ1OTAtOGVmZS0zOGQxODZlMTM0OGE6NzFjNGRhOWUwYzg0MTZkYTM3ZDM2NGRhMTMxYTY2NzU6MQ==</t>
        </is>
      </c>
      <c r="AE171"/>
    </row>
    <row r="172" ht="25.5" customHeight="1">
      <c r="A172" s="2" t="str">
        <f>=HYPERLINK("https://applink.feishu.cn/client/todo/detail?guid=5b5aa0a4-7ddf-4309-907d-5dea4c9e8efc&amp;suite_entity_num=t100112", "关卡：教学关卡")</f>
        <v>关卡：教学关卡</v>
      </c>
      <c r="B172"/>
      <c r="C172" t="inlineStr">
        <is>
          <t>默认分组</t>
        </is>
      </c>
      <c r="D172" t="inlineStr">
        <is>
          <t>1</t>
        </is>
      </c>
      <c r="E172"/>
      <c r="F172"/>
      <c r="G172"/>
      <c r="H172"/>
      <c r="I172">
        <v>0</v>
      </c>
      <c r="J172" t="inlineStr">
        <is>
          <t>或签任务</t>
        </is>
      </c>
      <c r="K172"/>
      <c r="L172" t="inlineStr">
        <is>
          <t>0</t>
        </is>
      </c>
      <c r="M172"/>
      <c r="N172" s="3">
        <v>45590.450844907406</v>
      </c>
      <c r="O172"/>
      <c r="P172" t="inlineStr">
        <is>
          <t>龚政涛</t>
        </is>
      </c>
      <c r="Q172" s="3"/>
      <c r="R172" s="3"/>
      <c r="S172" t="inlineStr">
        <is>
          <t>5b5aa0a4-7ddf-4309-907d-5dea4c9e8efc</t>
        </is>
      </c>
      <c r="T172"/>
      <c r="U172"/>
      <c r="V172"/>
      <c r="W172">
        <v>0</v>
      </c>
      <c r="X172" t="inlineStr">
        <is>
          <t>龚政涛</t>
        </is>
      </c>
      <c r="Y172" t="inlineStr">
        <is>
          <t>龚政涛</t>
        </is>
      </c>
      <c r="Z172" s="3">
        <v>45557.70957175926</v>
      </c>
      <c r="AA172" s="3">
        <v>45590.45085648148</v>
      </c>
      <c r="AB172" s="2" t="str">
        <f>=HYPERLINK("https://applink.feishu.cn/client/todo/task_list?guid=76122b60-faec-4a61-91b0-2d229f32cc2a", "迷宫球")</f>
        <v>迷宫球</v>
      </c>
      <c r="AC172" t="inlineStr">
        <is>
          <t>76122b60-faec-4a61-91b0-2d229f32cc2a</t>
        </is>
      </c>
      <c r="AD172" t="inlineStr">
        <is>
          <t>NzUzMTk3MzcwNDkxNDg0NTY5Nzo1YjVhYTBhNC03ZGRmLTQzMDktOTA3ZC01ZGVhNGM5ZThlZmM6MjJmNjBiYmUwODcwMmViNjYwNTQyM2ZjOTExMTkxOGI6MQ==</t>
        </is>
      </c>
      <c r="AE172"/>
    </row>
    <row r="173" ht="25.5" customHeight="1">
      <c r="A173" s="2" t="str">
        <f>=HYPERLINK("https://applink.feishu.cn/client/todo/detail?guid=9343ce73-7996-4cc9-a208-e935589c98e9&amp;suite_entity_num=t100114", "关卡机制：断口")</f>
        <v>关卡机制：断口</v>
      </c>
      <c r="B173"/>
      <c r="C173" t="inlineStr">
        <is>
          <t>默认分组</t>
        </is>
      </c>
      <c r="D173" t="inlineStr">
        <is>
          <t>1</t>
        </is>
      </c>
      <c r="E173"/>
      <c r="F173"/>
      <c r="G173"/>
      <c r="H173"/>
      <c r="I173">
        <v>0</v>
      </c>
      <c r="J173" t="inlineStr">
        <is>
          <t>或签任务</t>
        </is>
      </c>
      <c r="K173"/>
      <c r="L173" t="inlineStr">
        <is>
          <t>0</t>
        </is>
      </c>
      <c r="M173"/>
      <c r="N173" s="3">
        <v>45590.45048611111</v>
      </c>
      <c r="O173"/>
      <c r="P173" t="inlineStr">
        <is>
          <t>龚政涛</t>
        </is>
      </c>
      <c r="Q173" s="3"/>
      <c r="R173" s="3"/>
      <c r="S173" t="inlineStr">
        <is>
          <t>9343ce73-7996-4cc9-a208-e935589c98e9</t>
        </is>
      </c>
      <c r="T173"/>
      <c r="U173"/>
      <c r="V173"/>
      <c r="W173">
        <v>0</v>
      </c>
      <c r="X173" t="inlineStr">
        <is>
          <t>龚政涛</t>
        </is>
      </c>
      <c r="Y173" t="inlineStr">
        <is>
          <t>龚政涛</t>
        </is>
      </c>
      <c r="Z173" s="3">
        <v>45557.70988425926</v>
      </c>
      <c r="AA173" s="3">
        <v>45590.45048611111</v>
      </c>
      <c r="AB173" s="2" t="str">
        <f>=HYPERLINK("https://applink.feishu.cn/client/todo/task_list?guid=76122b60-faec-4a61-91b0-2d229f32cc2a", "迷宫球")</f>
        <v>迷宫球</v>
      </c>
      <c r="AC173" t="inlineStr">
        <is>
          <t>76122b60-faec-4a61-91b0-2d229f32cc2a</t>
        </is>
      </c>
      <c r="AD173" t="inlineStr">
        <is>
          <t>NzUzMTk3MzcwNDkxNDg0NTY5Nzo5MzQzY2U3My03OTk2LTRjYzktYTIwOC1lOTM1NTg5Yzk4ZTk6NTE5MmViNzIzNDk1NDg2NzlmNjA2OGE2YjE0Zjk0NmI6MQ==</t>
        </is>
      </c>
      <c r="AE173"/>
    </row>
    <row r="174" ht="25.5" customHeight="1">
      <c r="A174" s="2" t="str">
        <f>=HYPERLINK("https://applink.feishu.cn/client/todo/detail?guid=97d2ffe9-1cfc-409c-9961-f477fc9adf42&amp;suite_entity_num=t100103", "物理球")</f>
        <v>物理球</v>
      </c>
      <c r="B174"/>
      <c r="C174" t="inlineStr">
        <is>
          <t>默认分组</t>
        </is>
      </c>
      <c r="D174" t="inlineStr">
        <is>
          <t>1</t>
        </is>
      </c>
      <c r="E174"/>
      <c r="F174"/>
      <c r="G174"/>
      <c r="H174"/>
      <c r="I174">
        <v>0</v>
      </c>
      <c r="J174" t="inlineStr">
        <is>
          <t>或签任务</t>
        </is>
      </c>
      <c r="K174"/>
      <c r="L174" t="inlineStr">
        <is>
          <t>0</t>
        </is>
      </c>
      <c r="M174"/>
      <c r="N174" s="3">
        <v>45557.97881944444</v>
      </c>
      <c r="O174"/>
      <c r="P174" t="inlineStr">
        <is>
          <t>龚政涛</t>
        </is>
      </c>
      <c r="Q174" s="3"/>
      <c r="R174" s="3"/>
      <c r="S174" t="inlineStr">
        <is>
          <t>97d2ffe9-1cfc-409c-9961-f477fc9adf42</t>
        </is>
      </c>
      <c r="T174"/>
      <c r="U174"/>
      <c r="V174"/>
      <c r="W174">
        <v>0</v>
      </c>
      <c r="X174" t="inlineStr">
        <is>
          <t>龚政涛</t>
        </is>
      </c>
      <c r="Y174" t="inlineStr">
        <is>
          <t>龚政涛</t>
        </is>
      </c>
      <c r="Z174" s="3">
        <v>45557.70763888889</v>
      </c>
      <c r="AA174" s="3">
        <v>45573.8715625</v>
      </c>
      <c r="AB174" s="2" t="str">
        <f>=HYPERLINK("https://applink.feishu.cn/client/todo/task_list?guid=76122b60-faec-4a61-91b0-2d229f32cc2a", "迷宫球")</f>
        <v>迷宫球</v>
      </c>
      <c r="AC174" t="inlineStr">
        <is>
          <t>76122b60-faec-4a61-91b0-2d229f32cc2a</t>
        </is>
      </c>
      <c r="AD174" t="inlineStr">
        <is>
          <t>NzUzMTk3MzcwNDkxNDg0NTY5Nzo5N2QyZmZlOS0xY2ZjLTQwOWMtOTk2MS1mNDc3ZmM5YWRmNDI6NGI1ZTJlYzFmZTNjNmYzM2JjMzU2ZTQ3OTgwNzY2OTA6MQ==</t>
        </is>
      </c>
      <c r="AE174"/>
    </row>
    <row r="175" ht="25.5" customHeight="1">
      <c r="A175" s="2" t="str">
        <f>=HYPERLINK("https://applink.feishu.cn/client/todo/detail?guid=3cdabd43-9847-4d5c-8cbc-d05fe11d7a74&amp;suite_entity_num=t100109", "新的小球：篮球；能力：跳跃")</f>
        <v>新的小球：篮球；能力：跳跃</v>
      </c>
      <c r="B175"/>
      <c r="C175" t="inlineStr">
        <is>
          <t>默认分组</t>
        </is>
      </c>
      <c r="D175" t="inlineStr">
        <is>
          <t>1</t>
        </is>
      </c>
      <c r="E175"/>
      <c r="F175"/>
      <c r="G175" t="inlineStr">
        <is>
          <t>P2 - 新的想法</t>
        </is>
      </c>
      <c r="H175"/>
      <c r="I175">
        <v>0</v>
      </c>
      <c r="J175" t="inlineStr">
        <is>
          <t>或签任务</t>
        </is>
      </c>
      <c r="K175"/>
      <c r="L175" t="inlineStr">
        <is>
          <t>0</t>
        </is>
      </c>
      <c r="M175"/>
      <c r="N175" s="3">
        <v>45664.59190972222</v>
      </c>
      <c r="O175"/>
      <c r="P175"/>
      <c r="Q175" s="3"/>
      <c r="R175" s="3"/>
      <c r="S175" t="inlineStr">
        <is>
          <t>3cdabd43-9847-4d5c-8cbc-d05fe11d7a74</t>
        </is>
      </c>
      <c r="T175"/>
      <c r="U175"/>
      <c r="V175"/>
      <c r="W175">
        <v>0</v>
      </c>
      <c r="X175" t="inlineStr">
        <is>
          <t>龚政涛</t>
        </is>
      </c>
      <c r="Y175" t="inlineStr">
        <is>
          <t>龚政涛</t>
        </is>
      </c>
      <c r="Z175" s="3">
        <v>45557.709131944444</v>
      </c>
      <c r="AA175" s="3">
        <v>45664.591944444444</v>
      </c>
      <c r="AB175" s="2" t="str">
        <f>=HYPERLINK("https://applink.feishu.cn/client/todo/task_list?guid=76122b60-faec-4a61-91b0-2d229f32cc2a", "迷宫球")</f>
        <v>迷宫球</v>
      </c>
      <c r="AC175" t="inlineStr">
        <is>
          <t>76122b60-faec-4a61-91b0-2d229f32cc2a</t>
        </is>
      </c>
      <c r="AD175" t="inlineStr">
        <is>
          <t>NzUzMTk3MzcwNDkxNDg0NTY5NzozY2RhYmQ0My05ODQ3LTRkNWMtOGNiYy1kMDVmZTExZDdhNzQ6ZDFkNDE4NmY3MDQyODUxOTYwNGNjZjQyMWI3NzZhNjA6MQ==</t>
        </is>
      </c>
      <c r="AE175"/>
    </row>
    <row r="176" ht="25.5" customHeight="1">
      <c r="A176" s="2" t="str">
        <f>=HYPERLINK("https://applink.feishu.cn/client/todo/detail?guid=9eb6d528-0e53-4872-aeaa-fa7d18e6c27e&amp;suite_entity_num=t100107", "键盘输入控制地图旋转")</f>
        <v>键盘输入控制地图旋转</v>
      </c>
      <c r="B176"/>
      <c r="C176" t="inlineStr">
        <is>
          <t>默认分组</t>
        </is>
      </c>
      <c r="D176" t="inlineStr">
        <is>
          <t>1</t>
        </is>
      </c>
      <c r="E176"/>
      <c r="F176"/>
      <c r="G176"/>
      <c r="H176"/>
      <c r="I176">
        <v>0</v>
      </c>
      <c r="J176" t="inlineStr">
        <is>
          <t>或签任务</t>
        </is>
      </c>
      <c r="K176"/>
      <c r="L176" t="inlineStr">
        <is>
          <t>0</t>
        </is>
      </c>
      <c r="M176"/>
      <c r="N176" s="3">
        <v>45581.05391203704</v>
      </c>
      <c r="O176"/>
      <c r="P176" t="inlineStr">
        <is>
          <t>龚政涛</t>
        </is>
      </c>
      <c r="Q176" s="3"/>
      <c r="R176" s="3"/>
      <c r="S176" t="inlineStr">
        <is>
          <t>9eb6d528-0e53-4872-aeaa-fa7d18e6c27e</t>
        </is>
      </c>
      <c r="T176"/>
      <c r="U176"/>
      <c r="V176"/>
      <c r="W176">
        <v>0</v>
      </c>
      <c r="X176" t="inlineStr">
        <is>
          <t>龚政涛</t>
        </is>
      </c>
      <c r="Y176" t="inlineStr">
        <is>
          <t>龚政涛</t>
        </is>
      </c>
      <c r="Z176" s="3">
        <v>45557.70872685185</v>
      </c>
      <c r="AA176" s="3">
        <v>45590.449224537035</v>
      </c>
      <c r="AB176" s="2" t="str">
        <f>=HYPERLINK("https://applink.feishu.cn/client/todo/task_list?guid=76122b60-faec-4a61-91b0-2d229f32cc2a", "迷宫球")</f>
        <v>迷宫球</v>
      </c>
      <c r="AC176" t="inlineStr">
        <is>
          <t>76122b60-faec-4a61-91b0-2d229f32cc2a</t>
        </is>
      </c>
      <c r="AD176" t="inlineStr">
        <is>
          <t>NzUzMTk3MzcwNDkxNDg0NTY5Nzo5ZWI2ZDUyOC0wZTUzLTQ4NzItYWVhYS1mYTdkMThlNmMyN2U6NGYzNjAzNDcwYjhlMThhNmFiNjI4Y2I1MmNmN2E5YWU6MQ==</t>
        </is>
      </c>
      <c r="AE176"/>
    </row>
    <row r="177" ht="25.5" customHeight="1">
      <c r="A177" s="2" t="str">
        <f>=HYPERLINK("https://applink.feishu.cn/client/todo/detail?guid=09f1561e-8b3b-4d39-adc5-2da3faf67fc7&amp;suite_entity_num=t100185", "UI：显示教学")</f>
        <v>UI：显示教学</v>
      </c>
      <c r="B177"/>
      <c r="C177" t="inlineStr">
        <is>
          <t>默认分组</t>
        </is>
      </c>
      <c r="D177" t="inlineStr">
        <is>
          <t>1</t>
        </is>
      </c>
      <c r="E177"/>
      <c r="F177"/>
      <c r="G177"/>
      <c r="H177"/>
      <c r="I177">
        <v>0</v>
      </c>
      <c r="J177" t="inlineStr">
        <is>
          <t>或签任务</t>
        </is>
      </c>
      <c r="K177"/>
      <c r="L177" t="inlineStr">
        <is>
          <t>0</t>
        </is>
      </c>
      <c r="M177"/>
      <c r="N177" s="3">
        <v>45590.44868055556</v>
      </c>
      <c r="O177"/>
      <c r="P177"/>
      <c r="Q177" s="3"/>
      <c r="R177" s="3"/>
      <c r="S177" t="inlineStr">
        <is>
          <t>09f1561e-8b3b-4d39-adc5-2da3faf67fc7</t>
        </is>
      </c>
      <c r="T177"/>
      <c r="U177"/>
      <c r="V177"/>
      <c r="W177">
        <v>0</v>
      </c>
      <c r="X177" t="inlineStr">
        <is>
          <t>龚政涛</t>
        </is>
      </c>
      <c r="Y177" t="inlineStr">
        <is>
          <t>龚政涛</t>
        </is>
      </c>
      <c r="Z177" s="3">
        <v>45581.054664351854</v>
      </c>
      <c r="AA177" s="3">
        <v>45590.44902777778</v>
      </c>
      <c r="AB177" s="2" t="str">
        <f>=HYPERLINK("https://applink.feishu.cn/client/todo/task_list?guid=76122b60-faec-4a61-91b0-2d229f32cc2a", "迷宫球")</f>
        <v>迷宫球</v>
      </c>
      <c r="AC177" t="inlineStr">
        <is>
          <t>76122b60-faec-4a61-91b0-2d229f32cc2a</t>
        </is>
      </c>
      <c r="AD177" t="inlineStr">
        <is>
          <t>NzUzMTk3MzcwNDkxNDg0NTY5NzowOWYxNTYxZS04YjNiLTRkMzktYWRjNS0yZGEzZmFmNjdmYzc6ZmVjODgzNTYxYzEwMDkwZmY0NTIxMDY1YjIxMjg0NjU6MQ==</t>
        </is>
      </c>
      <c r="AE177"/>
    </row>
    <row r="178" ht="25.5" customHeight="1">
      <c r="A178" s="2" t="str">
        <f>=HYPERLINK("https://applink.feishu.cn/client/todo/detail?guid=169e31a2-d481-4a75-ab3c-8c71a3358cf5&amp;suite_entity_num=t100187", "关卡：小球落地后重启")</f>
        <v>关卡：小球落地后重启</v>
      </c>
      <c r="B178"/>
      <c r="C178" t="inlineStr">
        <is>
          <t>默认分组</t>
        </is>
      </c>
      <c r="D178" t="inlineStr">
        <is>
          <t>1</t>
        </is>
      </c>
      <c r="E178"/>
      <c r="F178"/>
      <c r="G178"/>
      <c r="H178"/>
      <c r="I178">
        <v>0</v>
      </c>
      <c r="J178" t="inlineStr">
        <is>
          <t>或签任务</t>
        </is>
      </c>
      <c r="K178"/>
      <c r="L178" t="inlineStr">
        <is>
          <t>0</t>
        </is>
      </c>
      <c r="M178"/>
      <c r="N178" s="3">
        <v>45590.448645833334</v>
      </c>
      <c r="O178"/>
      <c r="P178"/>
      <c r="Q178" s="3"/>
      <c r="R178" s="3"/>
      <c r="S178" t="inlineStr">
        <is>
          <t>169e31a2-d481-4a75-ab3c-8c71a3358cf5</t>
        </is>
      </c>
      <c r="T178"/>
      <c r="U178"/>
      <c r="V178"/>
      <c r="W178">
        <v>0</v>
      </c>
      <c r="X178" t="inlineStr">
        <is>
          <t>龚政涛</t>
        </is>
      </c>
      <c r="Y178" t="inlineStr">
        <is>
          <t>龚政涛</t>
        </is>
      </c>
      <c r="Z178" s="3">
        <v>45581.054814814815</v>
      </c>
      <c r="AA178" s="3">
        <v>45590.44908564815</v>
      </c>
      <c r="AB178" s="2" t="str">
        <f>=HYPERLINK("https://applink.feishu.cn/client/todo/task_list?guid=76122b60-faec-4a61-91b0-2d229f32cc2a", "迷宫球")</f>
        <v>迷宫球</v>
      </c>
      <c r="AC178" t="inlineStr">
        <is>
          <t>76122b60-faec-4a61-91b0-2d229f32cc2a</t>
        </is>
      </c>
      <c r="AD178" t="inlineStr">
        <is>
          <t>NzUzMTk3MzcwNDkxNDg0NTY5NzoxNjllMzFhMi1kNDgxLTRhNzUtYWIzYy04YzcxYTMzNThjZjU6YWUxOGI2NjkxYzczOWVmNDM4ZmI4MGExZGIwNjE2MzY6MQ==</t>
        </is>
      </c>
      <c r="AE178"/>
    </row>
    <row r="179" ht="25.5" customHeight="1">
      <c r="A179" s="2" t="str">
        <f>=HYPERLINK("https://applink.feishu.cn/client/todo/detail?guid=43476442-4d96-413d-bc02-bad75fe7efc2&amp;suite_entity_num=t100111", "关卡目标：Level Stream")</f>
        <v>关卡目标：Level Stream</v>
      </c>
      <c r="B179"/>
      <c r="C179" t="inlineStr">
        <is>
          <t>默认分组</t>
        </is>
      </c>
      <c r="D179" t="inlineStr">
        <is>
          <t>1</t>
        </is>
      </c>
      <c r="E179"/>
      <c r="F179"/>
      <c r="G179"/>
      <c r="H179"/>
      <c r="I179">
        <v>0</v>
      </c>
      <c r="J179" t="inlineStr">
        <is>
          <t>或签任务</t>
        </is>
      </c>
      <c r="K179"/>
      <c r="L179" t="inlineStr">
        <is>
          <t>0</t>
        </is>
      </c>
      <c r="M179"/>
      <c r="N179" s="3">
        <v>45581.05385416667</v>
      </c>
      <c r="O179"/>
      <c r="P179" t="inlineStr">
        <is>
          <t>龚政涛</t>
        </is>
      </c>
      <c r="Q179" s="3"/>
      <c r="R179" s="3"/>
      <c r="S179" t="inlineStr">
        <is>
          <t>43476442-4d96-413d-bc02-bad75fe7efc2</t>
        </is>
      </c>
      <c r="T179"/>
      <c r="U179"/>
      <c r="V179"/>
      <c r="W179">
        <v>0</v>
      </c>
      <c r="X179" t="inlineStr">
        <is>
          <t>龚政涛</t>
        </is>
      </c>
      <c r="Y179" t="inlineStr">
        <is>
          <t>龚政涛</t>
        </is>
      </c>
      <c r="Z179" s="3">
        <v>45557.70946759259</v>
      </c>
      <c r="AA179" s="3">
        <v>45590.44924768519</v>
      </c>
      <c r="AB179" s="2" t="str">
        <f>=HYPERLINK("https://applink.feishu.cn/client/todo/task_list?guid=76122b60-faec-4a61-91b0-2d229f32cc2a", "迷宫球")</f>
        <v>迷宫球</v>
      </c>
      <c r="AC179" t="inlineStr">
        <is>
          <t>76122b60-faec-4a61-91b0-2d229f32cc2a</t>
        </is>
      </c>
      <c r="AD179" t="inlineStr">
        <is>
          <t>NzUzMTk3MzcwNDkxNDg0NTY5Nzo0MzQ3NjQ0Mi00ZDk2LTQxM2QtYmMwMi1iYWQ3NWZlN2VmYzI6ZWI4ZTQwMDY1NWE4YTUzZTVkZGZmMzQ5MjA3OTljOWY6MQ==</t>
        </is>
      </c>
      <c r="AE179"/>
    </row>
    <row r="180" ht="25.5" customHeight="1">
      <c r="A180" s="2" t="str">
        <f>=HYPERLINK("https://applink.feishu.cn/client/todo/detail?guid=317cd421-3c80-4f54-be1f-15bb4b3d5e2d&amp;suite_entity_num=t100104", "绘制球的运动vector")</f>
        <v>绘制球的运动vector</v>
      </c>
      <c r="B180"/>
      <c r="C180" t="inlineStr">
        <is>
          <t>默认分组</t>
        </is>
      </c>
      <c r="D180" t="inlineStr">
        <is>
          <t>1</t>
        </is>
      </c>
      <c r="E180"/>
      <c r="F180"/>
      <c r="G180"/>
      <c r="H180"/>
      <c r="I180">
        <v>0</v>
      </c>
      <c r="J180" t="inlineStr">
        <is>
          <t>或签任务</t>
        </is>
      </c>
      <c r="K180"/>
      <c r="L180" t="inlineStr">
        <is>
          <t>0</t>
        </is>
      </c>
      <c r="M180"/>
      <c r="N180" s="3">
        <v>45581.05458333333</v>
      </c>
      <c r="O180"/>
      <c r="P180" t="inlineStr">
        <is>
          <t>龚政涛</t>
        </is>
      </c>
      <c r="Q180" s="3"/>
      <c r="R180" s="3"/>
      <c r="S180" t="inlineStr">
        <is>
          <t>317cd421-3c80-4f54-be1f-15bb4b3d5e2d</t>
        </is>
      </c>
      <c r="T180"/>
      <c r="U180"/>
      <c r="V180"/>
      <c r="W180">
        <v>0</v>
      </c>
      <c r="X180" t="inlineStr">
        <is>
          <t>龚政涛</t>
        </is>
      </c>
      <c r="Y180" t="inlineStr">
        <is>
          <t>龚政涛</t>
        </is>
      </c>
      <c r="Z180" s="3">
        <v>45557.70805555556</v>
      </c>
      <c r="AA180" s="3">
        <v>45590.44918981481</v>
      </c>
      <c r="AB180" s="2" t="str">
        <f>=HYPERLINK("https://applink.feishu.cn/client/todo/task_list?guid=76122b60-faec-4a61-91b0-2d229f32cc2a", "迷宫球")</f>
        <v>迷宫球</v>
      </c>
      <c r="AC180" t="inlineStr">
        <is>
          <t>76122b60-faec-4a61-91b0-2d229f32cc2a</t>
        </is>
      </c>
      <c r="AD180" t="inlineStr">
        <is>
          <t>NzUzMTk3MzcwNDkxNDg0NTY5NzozMTdjZDQyMS0zYzgwLTRmNTQtYmUxZi0xNWJiNGIzZDVlMmQ6NTNhMDEyZTk5NmY3NzhhNDVjYjY1NmU5Y2YwYWZhODU6MQ==</t>
        </is>
      </c>
      <c r="AE180"/>
    </row>
    <row r="181" ht="25.5" customHeight="1">
      <c r="A181" s="2" t="str">
        <f>=HYPERLINK("https://applink.feishu.cn/client/todo/detail?guid=c9fef38c-38f3-432e-84de-023a952deaad&amp;suite_entity_num=t100106", "追加camera boom的跟随加速度")</f>
        <v>追加camera boom的跟随加速度</v>
      </c>
      <c r="B181"/>
      <c r="C181" t="inlineStr">
        <is>
          <t>默认分组</t>
        </is>
      </c>
      <c r="D181" t="inlineStr">
        <is>
          <t>1</t>
        </is>
      </c>
      <c r="E181"/>
      <c r="F181"/>
      <c r="G181"/>
      <c r="H181"/>
      <c r="I181">
        <v>0</v>
      </c>
      <c r="J181" t="inlineStr">
        <is>
          <t>或签任务</t>
        </is>
      </c>
      <c r="K181"/>
      <c r="L181" t="inlineStr">
        <is>
          <t>0</t>
        </is>
      </c>
      <c r="M181"/>
      <c r="N181" s="3">
        <v>45581.053136574075</v>
      </c>
      <c r="O181"/>
      <c r="P181" t="inlineStr">
        <is>
          <t>龚政涛</t>
        </is>
      </c>
      <c r="Q181" s="3"/>
      <c r="R181" s="3"/>
      <c r="S181" t="inlineStr">
        <is>
          <t>c9fef38c-38f3-432e-84de-023a952deaad</t>
        </is>
      </c>
      <c r="T181"/>
      <c r="U181"/>
      <c r="V181"/>
      <c r="W181">
        <v>0</v>
      </c>
      <c r="X181" t="inlineStr">
        <is>
          <t>龚政涛</t>
        </is>
      </c>
      <c r="Y181" t="inlineStr">
        <is>
          <t>龚政涛</t>
        </is>
      </c>
      <c r="Z181" s="3">
        <v>45557.70858796296</v>
      </c>
      <c r="AA181" s="3">
        <v>45581.053148148145</v>
      </c>
      <c r="AB181" s="2" t="str">
        <f>=HYPERLINK("https://applink.feishu.cn/client/todo/task_list?guid=76122b60-faec-4a61-91b0-2d229f32cc2a", "迷宫球")</f>
        <v>迷宫球</v>
      </c>
      <c r="AC181" t="inlineStr">
        <is>
          <t>76122b60-faec-4a61-91b0-2d229f32cc2a</t>
        </is>
      </c>
      <c r="AD181" t="inlineStr">
        <is>
          <t>NzUzMTk3MzcwNDkxNDg0NTY5NzpjOWZlZjM4Yy0zOGYzLTQzMmUtODRkZS0wMjNhOTUyZGVhYWQ6ZmE2Y2JiYTc1YzMxYWJlNzdiZTY3ZGIyYzY0MGU3NDc6MQ==</t>
        </is>
      </c>
      <c r="AE181"/>
    </row>
    <row r="182" ht="25.5" customHeight="1">
      <c r="A182" s="2" t="str">
        <f>=HYPERLINK("https://applink.feishu.cn/client/todo/detail?guid=d33ed1fb-9892-4277-b4da-8375439a5047&amp;suite_entity_num=t100117", "物理轨道：maybe not？")</f>
        <v>物理轨道：maybe not？</v>
      </c>
      <c r="B182"/>
      <c r="C182" t="inlineStr">
        <is>
          <t>默认分组</t>
        </is>
      </c>
      <c r="D182" t="inlineStr">
        <is>
          <t>1</t>
        </is>
      </c>
      <c r="E182"/>
      <c r="F182"/>
      <c r="G182"/>
      <c r="H182"/>
      <c r="I182">
        <v>0</v>
      </c>
      <c r="J182" t="inlineStr">
        <is>
          <t>或签任务</t>
        </is>
      </c>
      <c r="K182"/>
      <c r="L182" t="inlineStr">
        <is>
          <t>0</t>
        </is>
      </c>
      <c r="M182"/>
      <c r="N182" s="3">
        <v>45581.05396990741</v>
      </c>
      <c r="O182"/>
      <c r="P182" t="inlineStr">
        <is>
          <t>龚政涛</t>
        </is>
      </c>
      <c r="Q182" s="3"/>
      <c r="R182" s="3"/>
      <c r="S182" t="inlineStr">
        <is>
          <t>d33ed1fb-9892-4277-b4da-8375439a5047</t>
        </is>
      </c>
      <c r="T182"/>
      <c r="U182"/>
      <c r="V182"/>
      <c r="W182">
        <v>0</v>
      </c>
      <c r="X182" t="inlineStr">
        <is>
          <t>龚政涛</t>
        </is>
      </c>
      <c r="Y182" t="inlineStr">
        <is>
          <t>龚政涛</t>
        </is>
      </c>
      <c r="Z182" s="3">
        <v>45557.71015046296</v>
      </c>
      <c r="AA182" s="3">
        <v>45581.05399305555</v>
      </c>
      <c r="AB182" s="2" t="str">
        <f>=HYPERLINK("https://applink.feishu.cn/client/todo/task_list?guid=76122b60-faec-4a61-91b0-2d229f32cc2a", "迷宫球")</f>
        <v>迷宫球</v>
      </c>
      <c r="AC182" t="inlineStr">
        <is>
          <t>76122b60-faec-4a61-91b0-2d229f32cc2a</t>
        </is>
      </c>
      <c r="AD182" t="inlineStr">
        <is>
          <t>NzUzMTk3MzcwNDkxNDg0NTY5NzpkMzNlZDFmYi05ODkyLTQyNzctYjRkYS04Mzc1NDM5YTUwNDc6NzViYTM2NzhlMmJjMWFlYzM1ZGZiYzBkMTk0NmE0MGQ6MQ==</t>
        </is>
      </c>
      <c r="AE182"/>
    </row>
    <row r="183" ht="25.5" customHeight="1">
      <c r="A183" s="2" t="str">
        <f>=HYPERLINK("https://applink.feishu.cn/client/todo/detail?guid=05ca5acb-d1c2-4128-a6aa-1206fdc38029&amp;suite_entity_num=t100186", "UI：开始菜单")</f>
        <v>UI：开始菜单</v>
      </c>
      <c r="B183"/>
      <c r="C183" t="inlineStr">
        <is>
          <t>默认分组</t>
        </is>
      </c>
      <c r="D183" t="inlineStr">
        <is>
          <t>1</t>
        </is>
      </c>
      <c r="E183"/>
      <c r="F183"/>
      <c r="G183"/>
      <c r="H183"/>
      <c r="I183">
        <v>0</v>
      </c>
      <c r="J183" t="inlineStr">
        <is>
          <t>或签任务</t>
        </is>
      </c>
      <c r="K183"/>
      <c r="L183" t="inlineStr">
        <is>
          <t>0</t>
        </is>
      </c>
      <c r="M183"/>
      <c r="N183" s="3">
        <v>45590.44865740741</v>
      </c>
      <c r="O183"/>
      <c r="P183"/>
      <c r="Q183" s="3"/>
      <c r="R183" s="3"/>
      <c r="S183" t="inlineStr">
        <is>
          <t>05ca5acb-d1c2-4128-a6aa-1206fdc38029</t>
        </is>
      </c>
      <c r="T183"/>
      <c r="U183"/>
      <c r="V183"/>
      <c r="W183">
        <v>0</v>
      </c>
      <c r="X183" t="inlineStr">
        <is>
          <t>龚政涛</t>
        </is>
      </c>
      <c r="Y183" t="inlineStr">
        <is>
          <t>龚政涛</t>
        </is>
      </c>
      <c r="Z183" s="3">
        <v>45581.05472222222</v>
      </c>
      <c r="AA183" s="3">
        <v>45590.4490625</v>
      </c>
      <c r="AB183" s="2" t="str">
        <f>=HYPERLINK("https://applink.feishu.cn/client/todo/task_list?guid=76122b60-faec-4a61-91b0-2d229f32cc2a", "迷宫球")</f>
        <v>迷宫球</v>
      </c>
      <c r="AC183" t="inlineStr">
        <is>
          <t>76122b60-faec-4a61-91b0-2d229f32cc2a</t>
        </is>
      </c>
      <c r="AD183" t="inlineStr">
        <is>
          <t>NzUzMTk3MzcwNDkxNDg0NTY5NzowNWNhNWFjYi1kMWMyLTQxMjgtYTZhYS0xMjA2ZmRjMzgwMjk6MGEwYzliYjQ1Mzk5ZjUwZGE5Mzc0MGVkNmQ2ZGIzZWI6MQ==</t>
        </is>
      </c>
      <c r="AE183"/>
    </row>
    <row r="184" ht="25.5" customHeight="1">
      <c r="A184" s="2" t="str">
        <f>=HYPERLINK("https://applink.feishu.cn/client/todo/detail?guid=9518f716-6ec1-4bfa-b51e-344b52966661&amp;suite_entity_num=t100108", "鼠标右键控制camera boom")</f>
        <v>鼠标右键控制camera boom</v>
      </c>
      <c r="B184"/>
      <c r="C184" t="inlineStr">
        <is>
          <t>默认分组</t>
        </is>
      </c>
      <c r="D184" t="inlineStr">
        <is>
          <t>1</t>
        </is>
      </c>
      <c r="E184"/>
      <c r="F184"/>
      <c r="G184"/>
      <c r="H184"/>
      <c r="I184">
        <v>0</v>
      </c>
      <c r="J184" t="inlineStr">
        <is>
          <t>或签任务</t>
        </is>
      </c>
      <c r="K184"/>
      <c r="L184" t="inlineStr">
        <is>
          <t>0</t>
        </is>
      </c>
      <c r="M184"/>
      <c r="N184" s="3">
        <v>45581.05384259259</v>
      </c>
      <c r="O184"/>
      <c r="P184" t="inlineStr">
        <is>
          <t>龚政涛</t>
        </is>
      </c>
      <c r="Q184" s="3"/>
      <c r="R184" s="3"/>
      <c r="S184" t="inlineStr">
        <is>
          <t>9518f716-6ec1-4bfa-b51e-344b52966661</t>
        </is>
      </c>
      <c r="T184"/>
      <c r="U184"/>
      <c r="V184"/>
      <c r="W184">
        <v>0</v>
      </c>
      <c r="X184" t="inlineStr">
        <is>
          <t>龚政涛</t>
        </is>
      </c>
      <c r="Y184" t="inlineStr">
        <is>
          <t>龚政涛</t>
        </is>
      </c>
      <c r="Z184" s="3">
        <v>45557.70884259259</v>
      </c>
      <c r="AA184" s="3">
        <v>45590.449282407404</v>
      </c>
      <c r="AB184" s="2" t="str">
        <f>=HYPERLINK("https://applink.feishu.cn/client/todo/task_list?guid=76122b60-faec-4a61-91b0-2d229f32cc2a", "迷宫球")</f>
        <v>迷宫球</v>
      </c>
      <c r="AC184" t="inlineStr">
        <is>
          <t>76122b60-faec-4a61-91b0-2d229f32cc2a</t>
        </is>
      </c>
      <c r="AD184" t="inlineStr">
        <is>
          <t>NzUzMTk3MzcwNDkxNDg0NTY5Nzo5NTE4ZjcxNi02ZWMxLTRiZmEtYjUxZS0zNDRiNTI5NjY2NjE6ZWIzOTgxNmE0MjRjYjk3N2Q1YzNkZjY4ZWRkNTI1OTY6MQ==</t>
        </is>
      </c>
      <c r="AE184"/>
    </row>
    <row r="185" ht="25.5" customHeight="1">
      <c r="A185" s="2" t="str">
        <f>=HYPERLINK("https://applink.feishu.cn/client/todo/detail?guid=bee6aeb8-3fca-42b1-9e5c-7f4b01af6b08&amp;suite_entity_num=t100116", "美术：后处理")</f>
        <v>美术：后处理</v>
      </c>
      <c r="B185" t="inlineStr">
        <is>
          <t>目前直接copy pasted的跃入迷城。你别说，效果真不错</t>
        </is>
      </c>
      <c r="C185" t="inlineStr">
        <is>
          <t>默认分组</t>
        </is>
      </c>
      <c r="D185" t="inlineStr">
        <is>
          <t>1</t>
        </is>
      </c>
      <c r="E185"/>
      <c r="F185"/>
      <c r="G185"/>
      <c r="H185"/>
      <c r="I185">
        <v>0</v>
      </c>
      <c r="J185" t="inlineStr">
        <is>
          <t>或签任务</t>
        </is>
      </c>
      <c r="K185"/>
      <c r="L185" t="inlineStr">
        <is>
          <t>0</t>
        </is>
      </c>
      <c r="M185"/>
      <c r="N185" s="3">
        <v>45590.45042824074</v>
      </c>
      <c r="O185"/>
      <c r="P185" t="inlineStr">
        <is>
          <t>龚政涛</t>
        </is>
      </c>
      <c r="Q185" s="3"/>
      <c r="R185" s="3"/>
      <c r="S185" t="inlineStr">
        <is>
          <t>bee6aeb8-3fca-42b1-9e5c-7f4b01af6b08</t>
        </is>
      </c>
      <c r="T185"/>
      <c r="U185"/>
      <c r="V185"/>
      <c r="W185">
        <v>0</v>
      </c>
      <c r="X185" t="inlineStr">
        <is>
          <t>龚政涛</t>
        </is>
      </c>
      <c r="Y185" t="inlineStr">
        <is>
          <t>龚政涛</t>
        </is>
      </c>
      <c r="Z185" s="3">
        <v>45557.71003472222</v>
      </c>
      <c r="AA185" s="3">
        <v>45590.45043981481</v>
      </c>
      <c r="AB185" s="2" t="str">
        <f>=HYPERLINK("https://applink.feishu.cn/client/todo/task_list?guid=76122b60-faec-4a61-91b0-2d229f32cc2a", "迷宫球")</f>
        <v>迷宫球</v>
      </c>
      <c r="AC185" t="inlineStr">
        <is>
          <t>76122b60-faec-4a61-91b0-2d229f32cc2a</t>
        </is>
      </c>
      <c r="AD185" t="inlineStr">
        <is>
          <t>NzUzMTk3MzcwNDkxNDg0NTY5NzpiZWU2YWViOC0zZmNhLTQyYjEtOWU1Yy03ZjRiMDFhZjZiMDg6MzJmNjFjMDg4NGI5Mzc3NGJlY2ViNWNkYjNlMjNiMmQ6MQ==</t>
        </is>
      </c>
      <c r="AE185"/>
    </row>
    <row r="186" ht="25.5" customHeight="1">
      <c r="A186" s="2" t="str">
        <f>=HYPERLINK("https://applink.feishu.cn/client/todo/detail?guid=3c347111-2733-472a-9ee0-42490284bdaa&amp;suite_entity_num=t100105", "camera boom跟随球的运动轨迹vector")</f>
        <v>camera boom跟随球的运动轨迹vector</v>
      </c>
      <c r="B186"/>
      <c r="C186" t="inlineStr">
        <is>
          <t>默认分组</t>
        </is>
      </c>
      <c r="D186" t="inlineStr">
        <is>
          <t>1</t>
        </is>
      </c>
      <c r="E186"/>
      <c r="F186"/>
      <c r="G186"/>
      <c r="H186"/>
      <c r="I186">
        <v>0</v>
      </c>
      <c r="J186" t="inlineStr">
        <is>
          <t>或签任务</t>
        </is>
      </c>
      <c r="K186"/>
      <c r="L186" t="inlineStr">
        <is>
          <t>0</t>
        </is>
      </c>
      <c r="M186"/>
      <c r="N186" s="3">
        <v>45573.87105324074</v>
      </c>
      <c r="O186"/>
      <c r="P186" t="inlineStr">
        <is>
          <t>龚政涛</t>
        </is>
      </c>
      <c r="Q186" s="3"/>
      <c r="R186" s="3"/>
      <c r="S186" t="inlineStr">
        <is>
          <t>3c347111-2733-472a-9ee0-42490284bdaa</t>
        </is>
      </c>
      <c r="T186"/>
      <c r="U186"/>
      <c r="V186"/>
      <c r="W186">
        <v>0</v>
      </c>
      <c r="X186" t="inlineStr">
        <is>
          <t>龚政涛</t>
        </is>
      </c>
      <c r="Y186" t="inlineStr">
        <is>
          <t>龚政涛</t>
        </is>
      </c>
      <c r="Z186" s="3">
        <v>45557.708402777775</v>
      </c>
      <c r="AA186" s="3">
        <v>45573.87107638889</v>
      </c>
      <c r="AB186" s="2" t="str">
        <f>=HYPERLINK("https://applink.feishu.cn/client/todo/task_list?guid=76122b60-faec-4a61-91b0-2d229f32cc2a", "迷宫球")</f>
        <v>迷宫球</v>
      </c>
      <c r="AC186" t="inlineStr">
        <is>
          <t>76122b60-faec-4a61-91b0-2d229f32cc2a</t>
        </is>
      </c>
      <c r="AD186" t="inlineStr">
        <is>
          <t>NzUzMTk3MzcwNDkxNDg0NTY5NzozYzM0NzExMS0yNzMzLTQ3MmEtOWVlMC00MjQ5MDI4NGJkYWE6ZWM0OWEwYjhiNjI3YzQ5YWUxMTYwZmE2YmI1NzBlMjY6MQ==</t>
        </is>
      </c>
      <c r="AE186"/>
    </row>
    <row r="187" ht="25.5" customHeight="1">
      <c r="A187" s="2" t="str">
        <f>=HYPERLINK("https://applink.feishu.cn/client/todo/detail?guid=e125f837-16d8-4fe5-889b-29b817e79f24&amp;suite_entity_num=t100184", "发光轨道阻挡小球/发光后不阻挡小球")</f>
        <v>发光轨道阻挡小球/发光后不阻挡小球</v>
      </c>
      <c r="B187" t="inlineStr">
        <is>
          <t>发光轨道通用性太低了。如果我有多个主要关卡maybe，现在只有一个关卡我就ummmm</t>
        </is>
      </c>
      <c r="C187" t="inlineStr">
        <is>
          <t>默认分组</t>
        </is>
      </c>
      <c r="D187" t="inlineStr">
        <is>
          <t>1</t>
        </is>
      </c>
      <c r="E187"/>
      <c r="F187"/>
      <c r="G187" t="inlineStr">
        <is>
          <t>P2 - 新的想法</t>
        </is>
      </c>
      <c r="H187"/>
      <c r="I187">
        <v>0</v>
      </c>
      <c r="J187" t="inlineStr">
        <is>
          <t>或签任务</t>
        </is>
      </c>
      <c r="K187"/>
      <c r="L187" t="inlineStr">
        <is>
          <t>0</t>
        </is>
      </c>
      <c r="M187"/>
      <c r="N187" s="3">
        <v>45599.02099537037</v>
      </c>
      <c r="O187"/>
      <c r="P187"/>
      <c r="Q187" s="3"/>
      <c r="R187" s="3"/>
      <c r="S187" t="inlineStr">
        <is>
          <t>e125f837-16d8-4fe5-889b-29b817e79f24</t>
        </is>
      </c>
      <c r="T187"/>
      <c r="U187"/>
      <c r="V187"/>
      <c r="W187">
        <v>0</v>
      </c>
      <c r="X187" t="inlineStr">
        <is>
          <t>龚政涛</t>
        </is>
      </c>
      <c r="Y187" t="inlineStr">
        <is>
          <t>龚政涛</t>
        </is>
      </c>
      <c r="Z187" s="3">
        <v>45581.05451388889</v>
      </c>
      <c r="AA187" s="3">
        <v>45599.02099537037</v>
      </c>
      <c r="AB187" s="2" t="str">
        <f>=HYPERLINK("https://applink.feishu.cn/client/todo/task_list?guid=76122b60-faec-4a61-91b0-2d229f32cc2a", "迷宫球")</f>
        <v>迷宫球</v>
      </c>
      <c r="AC187" t="inlineStr">
        <is>
          <t>76122b60-faec-4a61-91b0-2d229f32cc2a</t>
        </is>
      </c>
      <c r="AD187" t="inlineStr">
        <is>
          <t>NzUzMTk3MzcwNDkxNDg0NTY5NzplMTI1ZjgzNy0xNmQ4LTRmZTUtODg5Yi0yOWI4MTdlNzlmMjQ6NDMzZjY3NWE2NGQyOTAxMzNjODg3NjljNzYzZmRjMDI6MQ==</t>
        </is>
      </c>
      <c r="AE187"/>
    </row>
    <row r="188" ht="25.5" customHeight="1">
      <c r="A188" s="2" t="str">
        <f>=HYPERLINK("https://applink.feishu.cn/client/todo/detail?guid=1792f757-2410-42f7-8b91-ed173de60e44&amp;suite_entity_num=t100115", "镜头：透视")</f>
        <v>镜头：透视</v>
      </c>
      <c r="B188"/>
      <c r="C188" t="inlineStr">
        <is>
          <t>默认分组</t>
        </is>
      </c>
      <c r="D188" t="inlineStr">
        <is>
          <t>1</t>
        </is>
      </c>
      <c r="E188"/>
      <c r="F188"/>
      <c r="G188"/>
      <c r="H188"/>
      <c r="I188">
        <v>0</v>
      </c>
      <c r="J188" t="inlineStr">
        <is>
          <t>或签任务</t>
        </is>
      </c>
      <c r="K188"/>
      <c r="L188" t="inlineStr">
        <is>
          <t>0</t>
        </is>
      </c>
      <c r="M188"/>
      <c r="N188" s="3">
        <v>45573.871458333335</v>
      </c>
      <c r="O188"/>
      <c r="P188" t="inlineStr">
        <is>
          <t>龚政涛</t>
        </is>
      </c>
      <c r="Q188" s="3"/>
      <c r="R188" s="3"/>
      <c r="S188" t="inlineStr">
        <is>
          <t>1792f757-2410-42f7-8b91-ed173de60e44</t>
        </is>
      </c>
      <c r="T188"/>
      <c r="U188"/>
      <c r="V188"/>
      <c r="W188">
        <v>0</v>
      </c>
      <c r="X188" t="inlineStr">
        <is>
          <t>龚政涛</t>
        </is>
      </c>
      <c r="Y188" t="inlineStr">
        <is>
          <t>龚政涛</t>
        </is>
      </c>
      <c r="Z188" s="3">
        <v>45557.70995370371</v>
      </c>
      <c r="AA188" s="3">
        <v>45573.871458333335</v>
      </c>
      <c r="AB188" s="2" t="str">
        <f>=HYPERLINK("https://applink.feishu.cn/client/todo/task_list?guid=76122b60-faec-4a61-91b0-2d229f32cc2a", "迷宫球")</f>
        <v>迷宫球</v>
      </c>
      <c r="AC188" t="inlineStr">
        <is>
          <t>76122b60-faec-4a61-91b0-2d229f32cc2a</t>
        </is>
      </c>
      <c r="AD188" t="inlineStr">
        <is>
          <t>NzUzMTk3MzcwNDkxNDg0NTY5NzoxNzkyZjc1Ny0yNDEwLTQyZjctOGI5MS1lZDE3M2RlNjBlNDQ6MzI3ZjQyNmRkNjU2ODQ1YjNlZjI5ZGE5NjBkZTJkZTI6MQ==</t>
        </is>
      </c>
      <c r="AE188"/>
    </row>
    <row r="189" ht="25.5" customHeight="1">
      <c r="A189" s="2" t="str">
        <f>=HYPERLINK("https://applink.feishu.cn/client/todo/detail?guid=4ad6848e-cbfc-435e-94fb-f38f222b31e9&amp;suite_entity_num=t100110", "关卡目标：UI显示过关")</f>
        <v>关卡目标：UI显示过关</v>
      </c>
      <c r="B189"/>
      <c r="C189" t="inlineStr">
        <is>
          <t>默认分组</t>
        </is>
      </c>
      <c r="D189" t="inlineStr">
        <is>
          <t>1</t>
        </is>
      </c>
      <c r="E189"/>
      <c r="F189"/>
      <c r="G189"/>
      <c r="H189"/>
      <c r="I189">
        <v>0</v>
      </c>
      <c r="J189" t="inlineStr">
        <is>
          <t>或签任务</t>
        </is>
      </c>
      <c r="K189"/>
      <c r="L189" t="inlineStr">
        <is>
          <t>0</t>
        </is>
      </c>
      <c r="M189"/>
      <c r="N189" s="3">
        <v>45590.44869212963</v>
      </c>
      <c r="O189"/>
      <c r="P189" t="inlineStr">
        <is>
          <t>龚政涛</t>
        </is>
      </c>
      <c r="Q189" s="3"/>
      <c r="R189" s="3"/>
      <c r="S189" t="inlineStr">
        <is>
          <t>4ad6848e-cbfc-435e-94fb-f38f222b31e9</t>
        </is>
      </c>
      <c r="T189"/>
      <c r="U189"/>
      <c r="V189"/>
      <c r="W189">
        <v>0</v>
      </c>
      <c r="X189" t="inlineStr">
        <is>
          <t>龚政涛</t>
        </is>
      </c>
      <c r="Y189" t="inlineStr">
        <is>
          <t>龚政涛</t>
        </is>
      </c>
      <c r="Z189" s="3">
        <v>45557.709340277775</v>
      </c>
      <c r="AA189" s="3">
        <v>45590.44900462963</v>
      </c>
      <c r="AB189" s="2" t="str">
        <f>=HYPERLINK("https://applink.feishu.cn/client/todo/task_list?guid=76122b60-faec-4a61-91b0-2d229f32cc2a", "迷宫球")</f>
        <v>迷宫球</v>
      </c>
      <c r="AC189" t="inlineStr">
        <is>
          <t>76122b60-faec-4a61-91b0-2d229f32cc2a</t>
        </is>
      </c>
      <c r="AD189" t="inlineStr">
        <is>
          <t>NzUzMTk3MzcwNDkxNDg0NTY5Nzo0YWQ2ODQ4ZS1jYmZjLTQzNWUtOTRmYi1mMzhmMjIyYjMxZTk6YzBmZGY3YTczZjY4MmFhZjBiYjQxYmNmMjY3Zjk1OGU6MQ==</t>
        </is>
      </c>
      <c r="AE189"/>
    </row>
    <row r="190" ht="25.5" customHeight="1">
      <c r="A190" s="2" t="str">
        <f>=HYPERLINK("https://applink.feishu.cn/client/todo/detail?guid=260731c2-dc2e-4253-8b09-d5d96feab555&amp;suite_entity_num=t100195", "发光素材")</f>
        <v>发光素材</v>
      </c>
      <c r="B190"/>
      <c r="C190" t="inlineStr">
        <is>
          <t>默认分组</t>
        </is>
      </c>
      <c r="D190" t="inlineStr">
        <is>
          <t>1</t>
        </is>
      </c>
      <c r="E190"/>
      <c r="F190"/>
      <c r="G190"/>
      <c r="H190"/>
      <c r="I190">
        <v>0</v>
      </c>
      <c r="J190" t="inlineStr">
        <is>
          <t>或签任务</t>
        </is>
      </c>
      <c r="K190"/>
      <c r="L190" t="inlineStr">
        <is>
          <t>0</t>
        </is>
      </c>
      <c r="M190"/>
      <c r="N190" s="3">
        <v>45590.44861111111</v>
      </c>
      <c r="O190"/>
      <c r="P190"/>
      <c r="Q190" s="3"/>
      <c r="R190" s="3"/>
      <c r="S190" t="inlineStr">
        <is>
          <t>260731c2-dc2e-4253-8b09-d5d96feab555</t>
        </is>
      </c>
      <c r="T190"/>
      <c r="U190"/>
      <c r="V190"/>
      <c r="W190">
        <v>0</v>
      </c>
      <c r="X190" t="inlineStr">
        <is>
          <t>龚政涛</t>
        </is>
      </c>
      <c r="Y190" t="inlineStr">
        <is>
          <t>龚政涛</t>
        </is>
      </c>
      <c r="Z190" s="3">
        <v>45581.055983796294</v>
      </c>
      <c r="AA190" s="3">
        <v>45590.44913194444</v>
      </c>
      <c r="AB190" s="2" t="str">
        <f>=HYPERLINK("https://applink.feishu.cn/client/todo/task_list?guid=76122b60-faec-4a61-91b0-2d229f32cc2a", "迷宫球")</f>
        <v>迷宫球</v>
      </c>
      <c r="AC190" t="inlineStr">
        <is>
          <t>76122b60-faec-4a61-91b0-2d229f32cc2a</t>
        </is>
      </c>
      <c r="AD190" t="inlineStr">
        <is>
          <t>NzUzMTk3MzcwNDkxNDg0NTY5NzoyNjA3MzFjMi1kYzJlLTQyNTMtOGIwOS1kNWQ5NmZlYWI1NTU6MGI4YmI3NGYwMmI4N2ViMjlkZjAzZDgzNTlkM2JkYjA6MQ==</t>
        </is>
      </c>
      <c r="AE190"/>
    </row>
    <row r="191" ht="25.5" customHeight="1">
      <c r="A191" s="2" t="str">
        <f>=HYPERLINK("https://applink.feishu.cn/client/todo/detail?guid=752856b4-7e73-4ad2-b899-ff85232b7399&amp;suite_entity_num=t100209", "关卡完成时显示“成功”")</f>
        <v>关卡完成时显示“成功”</v>
      </c>
      <c r="B191"/>
      <c r="C191" t="inlineStr">
        <is>
          <t>默认分组</t>
        </is>
      </c>
      <c r="D191" t="inlineStr">
        <is>
          <t>1</t>
        </is>
      </c>
      <c r="E191"/>
      <c r="F191"/>
      <c r="G191" t="inlineStr">
        <is>
          <t>P1 - 最好处理</t>
        </is>
      </c>
      <c r="H191"/>
      <c r="I191">
        <v>0</v>
      </c>
      <c r="J191" t="inlineStr">
        <is>
          <t>或签任务</t>
        </is>
      </c>
      <c r="K191"/>
      <c r="L191" t="inlineStr">
        <is>
          <t>0</t>
        </is>
      </c>
      <c r="M191"/>
      <c r="N191" s="3">
        <v>45590.60293981482</v>
      </c>
      <c r="O191"/>
      <c r="P191"/>
      <c r="Q191" s="3"/>
      <c r="R191" s="3"/>
      <c r="S191" t="inlineStr">
        <is>
          <t>752856b4-7e73-4ad2-b899-ff85232b7399</t>
        </is>
      </c>
      <c r="T191"/>
      <c r="U191"/>
      <c r="V191"/>
      <c r="W191">
        <v>0</v>
      </c>
      <c r="X191" t="inlineStr">
        <is>
          <t>龚政涛</t>
        </is>
      </c>
      <c r="Y191" t="inlineStr">
        <is>
          <t>龚政涛</t>
        </is>
      </c>
      <c r="Z191" s="3">
        <v>45590.451273148145</v>
      </c>
      <c r="AA191" s="3">
        <v>45590.602951388886</v>
      </c>
      <c r="AB191" s="2" t="str">
        <f>=HYPERLINK("https://applink.feishu.cn/client/todo/task_list?guid=76122b60-faec-4a61-91b0-2d229f32cc2a", "迷宫球")</f>
        <v>迷宫球</v>
      </c>
      <c r="AC191" t="inlineStr">
        <is>
          <t>76122b60-faec-4a61-91b0-2d229f32cc2a</t>
        </is>
      </c>
      <c r="AD191" t="inlineStr">
        <is>
          <t>NzUzMTk3MzcwNDkxNDg0NTY5Nzo3NTI4NTZiNC03ZTczLTRhZDItYjg5OS1mZjg1MjMyYjczOTk6YjI4NGE1ODU3NDM1ZmQ1NDk3NmZjMDUzMjFiMmI1Y2E6MQ==</t>
        </is>
      </c>
      <c r="AE191"/>
    </row>
    <row r="192" ht="25.5" customHeight="1">
      <c r="A192" s="2" t="str">
        <f>=HYPERLINK("https://applink.feishu.cn/client/todo/detail?guid=7ea9f9ab-db91-4d3a-b693-84fb78059a5b&amp;suite_entity_num=t100189", "美术：场景")</f>
        <v>美术：场景</v>
      </c>
      <c r="B192"/>
      <c r="C192" t="inlineStr">
        <is>
          <t>默认分组</t>
        </is>
      </c>
      <c r="D192" t="inlineStr">
        <is>
          <t>1</t>
        </is>
      </c>
      <c r="E192"/>
      <c r="F192"/>
      <c r="G192"/>
      <c r="H192"/>
      <c r="I192">
        <v>0</v>
      </c>
      <c r="J192" t="inlineStr">
        <is>
          <t>或签任务</t>
        </is>
      </c>
      <c r="K192"/>
      <c r="L192" t="inlineStr">
        <is>
          <t>0</t>
        </is>
      </c>
      <c r="M192"/>
      <c r="N192" s="3">
        <v>45581.05527777778</v>
      </c>
      <c r="O192"/>
      <c r="P192"/>
      <c r="Q192" s="3"/>
      <c r="R192" s="3"/>
      <c r="S192" t="inlineStr">
        <is>
          <t>7ea9f9ab-db91-4d3a-b693-84fb78059a5b</t>
        </is>
      </c>
      <c r="T192"/>
      <c r="U192"/>
      <c r="V192"/>
      <c r="W192">
        <v>0</v>
      </c>
      <c r="X192" t="inlineStr">
        <is>
          <t>龚政涛</t>
        </is>
      </c>
      <c r="Y192" t="inlineStr">
        <is>
          <t>龚政涛</t>
        </is>
      </c>
      <c r="Z192" s="3">
        <v>45581.05525462963</v>
      </c>
      <c r="AA192" s="3">
        <v>45581.05527777778</v>
      </c>
      <c r="AB192" s="2" t="str">
        <f>=HYPERLINK("https://applink.feishu.cn/client/todo/task_list?guid=76122b60-faec-4a61-91b0-2d229f32cc2a", "迷宫球")</f>
        <v>迷宫球</v>
      </c>
      <c r="AC192" t="inlineStr">
        <is>
          <t>76122b60-faec-4a61-91b0-2d229f32cc2a</t>
        </is>
      </c>
      <c r="AD192" t="inlineStr">
        <is>
          <t>NzUzMTk3MzcwNDkxNDg0NTY5Nzo3ZWE5ZjlhYi1kYjkxLTRkM2EtYjY5My04NGZiNzgwNTlhNWI6ZjdmNGM0MmY5MDgzN2ExMTNiZjgxMzRjNTgyY2FlMjQ6MQ==</t>
        </is>
      </c>
      <c r="AE192"/>
    </row>
    <row r="193" ht="25.5" customHeight="1">
      <c r="A193" s="2" t="str">
        <f>=HYPERLINK("https://applink.feishu.cn/client/todo/detail?guid=e5d4d928-064d-427c-b479-b9586fffda70&amp;suite_entity_num=t100190", "关卡1")</f>
        <v>关卡1</v>
      </c>
      <c r="B193"/>
      <c r="C193" t="inlineStr">
        <is>
          <t>默认分组</t>
        </is>
      </c>
      <c r="D193" t="inlineStr">
        <is>
          <t>1</t>
        </is>
      </c>
      <c r="E193"/>
      <c r="F193"/>
      <c r="G193"/>
      <c r="H193"/>
      <c r="I193">
        <v>0</v>
      </c>
      <c r="J193" t="inlineStr">
        <is>
          <t>或签任务</t>
        </is>
      </c>
      <c r="K193"/>
      <c r="L193" t="inlineStr">
        <is>
          <t>0</t>
        </is>
      </c>
      <c r="M193"/>
      <c r="N193" s="3">
        <v>45581.05604166666</v>
      </c>
      <c r="O193"/>
      <c r="P193"/>
      <c r="Q193" s="3"/>
      <c r="R193" s="3"/>
      <c r="S193" t="inlineStr">
        <is>
          <t>e5d4d928-064d-427c-b479-b9586fffda70</t>
        </is>
      </c>
      <c r="T193"/>
      <c r="U193"/>
      <c r="V193"/>
      <c r="W193">
        <v>0</v>
      </c>
      <c r="X193" t="inlineStr">
        <is>
          <t>龚政涛</t>
        </is>
      </c>
      <c r="Y193" t="inlineStr">
        <is>
          <t>龚政涛</t>
        </is>
      </c>
      <c r="Z193" s="3">
        <v>45581.05537037037</v>
      </c>
      <c r="AA193" s="3">
        <v>45581.05606481482</v>
      </c>
      <c r="AB193" s="2" t="str">
        <f>=HYPERLINK("https://applink.feishu.cn/client/todo/task_list?guid=76122b60-faec-4a61-91b0-2d229f32cc2a", "迷宫球")</f>
        <v>迷宫球</v>
      </c>
      <c r="AC193" t="inlineStr">
        <is>
          <t>76122b60-faec-4a61-91b0-2d229f32cc2a</t>
        </is>
      </c>
      <c r="AD193" t="inlineStr">
        <is>
          <t>NzUzMTk3MzcwNDkxNDg0NTY5NzplNWQ0ZDkyOC0wNjRkLTQyN2MtYjQ3OS1iOTU4NmZmZmRhNzA6ZTNiODU3ZGJkYmVhNjc0YTIxOGFkMDY3NTRmYWJlMDc6MQ==</t>
        </is>
      </c>
      <c r="AE193"/>
    </row>
    <row r="194" ht="25.5" customHeight="1">
      <c r="A194" s="2" t="str">
        <f>=HYPERLINK("https://applink.feishu.cn/client/todo/detail?guid=05e14059-a973-410f-9ce4-d6b769385043&amp;suite_entity_num=t100196", "把相对world的rotation改为相对basicmaze的rotation，这样整个迷宫组件可以移动")</f>
        <v>把相对world的rotation改为相对basicmaze的rotation，这样整个迷宫组件可以移动</v>
      </c>
      <c r="B194"/>
      <c r="C194" t="inlineStr">
        <is>
          <t>默认分组</t>
        </is>
      </c>
      <c r="D194" t="inlineStr">
        <is>
          <t>1</t>
        </is>
      </c>
      <c r="E194"/>
      <c r="F194"/>
      <c r="G194"/>
      <c r="H194"/>
      <c r="I194">
        <v>0</v>
      </c>
      <c r="J194" t="inlineStr">
        <is>
          <t>或签任务</t>
        </is>
      </c>
      <c r="K194"/>
      <c r="L194" t="inlineStr">
        <is>
          <t>0</t>
        </is>
      </c>
      <c r="M194"/>
      <c r="N194" s="3">
        <v>45590.44857638889</v>
      </c>
      <c r="O194"/>
      <c r="P194"/>
      <c r="Q194" s="3"/>
      <c r="R194" s="3"/>
      <c r="S194" t="inlineStr">
        <is>
          <t>05e14059-a973-410f-9ce4-d6b769385043</t>
        </is>
      </c>
      <c r="T194"/>
      <c r="U194"/>
      <c r="V194"/>
      <c r="W194">
        <v>0</v>
      </c>
      <c r="X194" t="inlineStr">
        <is>
          <t>龚政涛</t>
        </is>
      </c>
      <c r="Y194" t="inlineStr">
        <is>
          <t>龚政涛</t>
        </is>
      </c>
      <c r="Z194" s="3">
        <v>45581.46045138889</v>
      </c>
      <c r="AA194" s="3">
        <v>45590.449155092596</v>
      </c>
      <c r="AB194" s="2" t="str">
        <f>=HYPERLINK("https://applink.feishu.cn/client/todo/task_list?guid=76122b60-faec-4a61-91b0-2d229f32cc2a", "迷宫球")</f>
        <v>迷宫球</v>
      </c>
      <c r="AC194" t="inlineStr">
        <is>
          <t>76122b60-faec-4a61-91b0-2d229f32cc2a</t>
        </is>
      </c>
      <c r="AD194" t="inlineStr">
        <is>
          <t>NzUzMTk3MzcwNDkxNDg0NTY5NzowNWUxNDA1OS1hOTczLTQxMGYtOWNlNC1kNmI3NjkzODUwNDM6MTUwYTQzMzNjODQ2ZTA4OWU4MzkwNTk5Y2FkNmJiNTc6MQ==</t>
        </is>
      </c>
      <c r="AE194"/>
    </row>
    <row r="195" ht="25.5" customHeight="1">
      <c r="A195" s="2" t="str">
        <f>=HYPERLINK("https://applink.feishu.cn/client/todo/detail?guid=16290182-d4c4-4d5d-a107-2124684cac4a&amp;suite_entity_num=t100216", "增加UI按键音效")</f>
        <v>增加UI按键音效</v>
      </c>
      <c r="B195"/>
      <c r="C195" t="inlineStr">
        <is>
          <t>默认分组</t>
        </is>
      </c>
      <c r="D195" t="inlineStr">
        <is>
          <t>1</t>
        </is>
      </c>
      <c r="E195"/>
      <c r="F195"/>
      <c r="G195" t="inlineStr">
        <is>
          <t>P1 - 最好处理</t>
        </is>
      </c>
      <c r="H195"/>
      <c r="I195">
        <v>0</v>
      </c>
      <c r="J195" t="inlineStr">
        <is>
          <t>或签任务</t>
        </is>
      </c>
      <c r="K195"/>
      <c r="L195" t="inlineStr">
        <is>
          <t>0</t>
        </is>
      </c>
      <c r="M195"/>
      <c r="N195" s="3">
        <v>45592.61481481481</v>
      </c>
      <c r="O195"/>
      <c r="P195"/>
      <c r="Q195" s="3"/>
      <c r="R195" s="3"/>
      <c r="S195" t="inlineStr">
        <is>
          <t>16290182-d4c4-4d5d-a107-2124684cac4a</t>
        </is>
      </c>
      <c r="T195"/>
      <c r="U195"/>
      <c r="V195"/>
      <c r="W195">
        <v>0</v>
      </c>
      <c r="X195" t="inlineStr">
        <is>
          <t>龚政涛</t>
        </is>
      </c>
      <c r="Y195" t="inlineStr">
        <is>
          <t>龚政涛</t>
        </is>
      </c>
      <c r="Z195" s="3">
        <v>45590.47826388889</v>
      </c>
      <c r="AA195" s="3">
        <v>45592.61482638889</v>
      </c>
      <c r="AB195" s="2" t="str">
        <f>=HYPERLINK("https://applink.feishu.cn/client/todo/task_list?guid=76122b60-faec-4a61-91b0-2d229f32cc2a", "迷宫球")</f>
        <v>迷宫球</v>
      </c>
      <c r="AC195" t="inlineStr">
        <is>
          <t>76122b60-faec-4a61-91b0-2d229f32cc2a</t>
        </is>
      </c>
      <c r="AD195" t="inlineStr">
        <is>
          <t>NzUzMTk3MzcwNDkxNDg0NTY5NzoxNjI5MDE4Mi1kNGM0LTRkNWQtYTEwNy0yMTI0Njg0Y2FjNGE6NzE3OWI0Y2VhMzAzZmUwMjNlM2JmODYwYmFkMzViNDQ6MQ==</t>
        </is>
      </c>
      <c r="AE195"/>
    </row>
    <row r="196" ht="25.5" customHeight="1">
      <c r="A196" s="2" t="str">
        <f>=HYPERLINK("https://applink.feishu.cn/client/todo/detail?guid=28a87a8e-dddc-4e0e-a4ac-a782de6f43d1&amp;suite_entity_num=t100213", "Bug：Ball Drop的时候不允许暂停")</f>
        <v>Bug：Ball Drop的时候不允许暂停</v>
      </c>
      <c r="B196"/>
      <c r="C196" t="inlineStr">
        <is>
          <t>默认分组</t>
        </is>
      </c>
      <c r="D196" t="inlineStr">
        <is>
          <t>1</t>
        </is>
      </c>
      <c r="E196"/>
      <c r="F196"/>
      <c r="G196" t="inlineStr">
        <is>
          <t>P1 - 最好处理</t>
        </is>
      </c>
      <c r="H196"/>
      <c r="I196">
        <v>0</v>
      </c>
      <c r="J196" t="inlineStr">
        <is>
          <t>或签任务</t>
        </is>
      </c>
      <c r="K196"/>
      <c r="L196" t="inlineStr">
        <is>
          <t>0</t>
        </is>
      </c>
      <c r="M196"/>
      <c r="N196" s="3">
        <v>45591.844814814816</v>
      </c>
      <c r="O196"/>
      <c r="P196"/>
      <c r="Q196" s="3"/>
      <c r="R196" s="3"/>
      <c r="S196" t="inlineStr">
        <is>
          <t>28a87a8e-dddc-4e0e-a4ac-a782de6f43d1</t>
        </is>
      </c>
      <c r="T196"/>
      <c r="U196"/>
      <c r="V196"/>
      <c r="W196">
        <v>0</v>
      </c>
      <c r="X196" t="inlineStr">
        <is>
          <t>龚政涛</t>
        </is>
      </c>
      <c r="Y196" t="inlineStr">
        <is>
          <t>龚政涛</t>
        </is>
      </c>
      <c r="Z196" s="3">
        <v>45590.451944444445</v>
      </c>
      <c r="AA196" s="3">
        <v>45591.84489583333</v>
      </c>
      <c r="AB196" s="2" t="str">
        <f>=HYPERLINK("https://applink.feishu.cn/client/todo/task_list?guid=76122b60-faec-4a61-91b0-2d229f32cc2a", "迷宫球")</f>
        <v>迷宫球</v>
      </c>
      <c r="AC196" t="inlineStr">
        <is>
          <t>76122b60-faec-4a61-91b0-2d229f32cc2a</t>
        </is>
      </c>
      <c r="AD196" t="inlineStr">
        <is>
          <t>NzUzMTk3MzcwNDkxNDg0NTY5NzoyOGE4N2E4ZS1kZGRjLTRlMGUtYTRhYy1hNzgyZGU2ZjQzZDE6MTExYzVhODQwNjdiMjQ2NjkyOWYyZjA3MDkzYTFlZmM6MQ==</t>
        </is>
      </c>
      <c r="AE196"/>
    </row>
    <row r="197" ht="25.5" customHeight="1">
      <c r="A197" s="2" t="str">
        <f>=HYPERLINK("https://applink.feishu.cn/client/todo/detail?guid=0ac7c763-f794-45af-bb59-d1e77d6e468f&amp;suite_entity_num=t100193", "迷宫中央发光")</f>
        <v>迷宫中央发光</v>
      </c>
      <c r="B197"/>
      <c r="C197" t="inlineStr">
        <is>
          <t>默认分组</t>
        </is>
      </c>
      <c r="D197" t="inlineStr">
        <is>
          <t>1</t>
        </is>
      </c>
      <c r="E197"/>
      <c r="F197"/>
      <c r="G197"/>
      <c r="H197"/>
      <c r="I197">
        <v>0</v>
      </c>
      <c r="J197" t="inlineStr">
        <is>
          <t>或签任务</t>
        </is>
      </c>
      <c r="K197"/>
      <c r="L197" t="inlineStr">
        <is>
          <t>0</t>
        </is>
      </c>
      <c r="M197"/>
      <c r="N197" s="3">
        <v>45590.44875</v>
      </c>
      <c r="O197"/>
      <c r="P197"/>
      <c r="Q197" s="3"/>
      <c r="R197" s="3"/>
      <c r="S197" t="inlineStr">
        <is>
          <t>0ac7c763-f794-45af-bb59-d1e77d6e468f</t>
        </is>
      </c>
      <c r="T197"/>
      <c r="U197"/>
      <c r="V197"/>
      <c r="W197">
        <v>0</v>
      </c>
      <c r="X197" t="inlineStr">
        <is>
          <t>龚政涛</t>
        </is>
      </c>
      <c r="Y197" t="inlineStr">
        <is>
          <t>龚政涛</t>
        </is>
      </c>
      <c r="Z197" s="3">
        <v>45581.05577546296</v>
      </c>
      <c r="AA197" s="3">
        <v>45590.44875</v>
      </c>
      <c r="AB197" s="2" t="str">
        <f>=HYPERLINK("https://applink.feishu.cn/client/todo/task_list?guid=76122b60-faec-4a61-91b0-2d229f32cc2a", "迷宫球")</f>
        <v>迷宫球</v>
      </c>
      <c r="AC197" t="inlineStr">
        <is>
          <t>76122b60-faec-4a61-91b0-2d229f32cc2a</t>
        </is>
      </c>
      <c r="AD197" t="inlineStr">
        <is>
          <t>NzUzMTk3MzcwNDkxNDg0NTY5NzowYWM3Yzc2My1mNzk0LTQ1YWYtYmI1OS1kMWU3N2Q2ZTQ2OGY6MjVjOTY3NmJkMDQxNGM4NzY4M2ZlODNjNjNiY2UxMGU6MQ==</t>
        </is>
      </c>
      <c r="AE197"/>
    </row>
    <row r="198" ht="25.5" customHeight="1">
      <c r="A198" s="2" t="str">
        <f>=HYPERLINK("https://applink.feishu.cn/client/todo/detail?guid=5e5ced45-ba5b-4272-8936-e27f5cd3e1af&amp;suite_entity_num=t100218", "Level 8")</f>
        <v>Level 8</v>
      </c>
      <c r="B198"/>
      <c r="C198" t="inlineStr">
        <is>
          <t>默认分组</t>
        </is>
      </c>
      <c r="D198" t="inlineStr">
        <is>
          <t>1</t>
        </is>
      </c>
      <c r="E198"/>
      <c r="F198"/>
      <c r="G198" t="inlineStr">
        <is>
          <t>P0 - 必须处理</t>
        </is>
      </c>
      <c r="H198"/>
      <c r="I198">
        <v>0</v>
      </c>
      <c r="J198" t="inlineStr">
        <is>
          <t>或签任务</t>
        </is>
      </c>
      <c r="K198"/>
      <c r="L198" t="inlineStr">
        <is>
          <t>0</t>
        </is>
      </c>
      <c r="M198"/>
      <c r="N198" s="3">
        <v>45590.49109953704</v>
      </c>
      <c r="O198"/>
      <c r="P198"/>
      <c r="Q198" s="3"/>
      <c r="R198" s="3"/>
      <c r="S198" t="inlineStr">
        <is>
          <t>5e5ced45-ba5b-4272-8936-e27f5cd3e1af</t>
        </is>
      </c>
      <c r="T198"/>
      <c r="U198"/>
      <c r="V198"/>
      <c r="W198">
        <v>0</v>
      </c>
      <c r="X198" t="inlineStr">
        <is>
          <t>龚政涛</t>
        </is>
      </c>
      <c r="Y198" t="inlineStr">
        <is>
          <t>龚政涛</t>
        </is>
      </c>
      <c r="Z198" s="3">
        <v>45590.48575231482</v>
      </c>
      <c r="AA198" s="3">
        <v>45590.49113425926</v>
      </c>
      <c r="AB198" s="2" t="str">
        <f>=HYPERLINK("https://applink.feishu.cn/client/todo/task_list?guid=76122b60-faec-4a61-91b0-2d229f32cc2a", "迷宫球")</f>
        <v>迷宫球</v>
      </c>
      <c r="AC198" t="inlineStr">
        <is>
          <t>76122b60-faec-4a61-91b0-2d229f32cc2a</t>
        </is>
      </c>
      <c r="AD198" t="inlineStr">
        <is>
          <t>NzUzMTk3MzcwNDkxNDg0NTY5Nzo1ZTVjZWQ0NS1iYTViLTQyNzItODkzNi1lMjdmNWNkM2UxYWY6OWJkMWNjMzdhY2JlZWE0OGQxMDhlNDE3M2Q2ZTE0Mjk6MQ==</t>
        </is>
      </c>
      <c r="AE198"/>
    </row>
    <row r="199" ht="25.5" customHeight="1">
      <c r="A199" s="2" t="str">
        <f>=HYPERLINK("https://applink.feishu.cn/client/todo/detail?guid=d8acd830-ffb6-4798-aceb-ebdd61bff5a3&amp;suite_entity_num=t100194", "发光的迷宫核心吸引小球")</f>
        <v>发光的迷宫核心吸引小球</v>
      </c>
      <c r="B199"/>
      <c r="C199" t="inlineStr">
        <is>
          <t>默认分组</t>
        </is>
      </c>
      <c r="D199" t="inlineStr">
        <is>
          <t>1</t>
        </is>
      </c>
      <c r="E199"/>
      <c r="F199"/>
      <c r="G199"/>
      <c r="H199"/>
      <c r="I199">
        <v>0</v>
      </c>
      <c r="J199" t="inlineStr">
        <is>
          <t>或签任务</t>
        </is>
      </c>
      <c r="K199"/>
      <c r="L199" t="inlineStr">
        <is>
          <t>0</t>
        </is>
      </c>
      <c r="M199"/>
      <c r="N199" s="3">
        <v>45590.44872685185</v>
      </c>
      <c r="O199"/>
      <c r="P199"/>
      <c r="Q199" s="3"/>
      <c r="R199" s="3"/>
      <c r="S199" t="inlineStr">
        <is>
          <t>d8acd830-ffb6-4798-aceb-ebdd61bff5a3</t>
        </is>
      </c>
      <c r="T199"/>
      <c r="U199"/>
      <c r="V199"/>
      <c r="W199">
        <v>0</v>
      </c>
      <c r="X199" t="inlineStr">
        <is>
          <t>龚政涛</t>
        </is>
      </c>
      <c r="Y199" t="inlineStr">
        <is>
          <t>龚政涛</t>
        </is>
      </c>
      <c r="Z199" s="3">
        <v>45581.05587962963</v>
      </c>
      <c r="AA199" s="3">
        <v>45590.44875</v>
      </c>
      <c r="AB199" s="2" t="str">
        <f>=HYPERLINK("https://applink.feishu.cn/client/todo/task_list?guid=76122b60-faec-4a61-91b0-2d229f32cc2a", "迷宫球")</f>
        <v>迷宫球</v>
      </c>
      <c r="AC199" t="inlineStr">
        <is>
          <t>76122b60-faec-4a61-91b0-2d229f32cc2a</t>
        </is>
      </c>
      <c r="AD199" t="inlineStr">
        <is>
          <t>NzUzMTk3MzcwNDkxNDg0NTY5NzpkOGFjZDgzMC1mZmI2LTQ3OTgtYWNlYi1lYmRkNjFiZmY1YTM6ZTMxMDZmM2I4NzAxODFhN2Q3NTFhODkxMGEzZTU0MGU6MQ==</t>
        </is>
      </c>
      <c r="AE199"/>
    </row>
    <row r="200" ht="25.5" customHeight="1">
      <c r="A200" s="2" t="str">
        <f>=HYPERLINK("https://applink.feishu.cn/client/todo/detail?guid=1b6a3dc6-e7b8-4777-acd5-12b283e27b92&amp;suite_entity_num=t100191", "关卡2")</f>
        <v>关卡2</v>
      </c>
      <c r="B200"/>
      <c r="C200" t="inlineStr">
        <is>
          <t>默认分组</t>
        </is>
      </c>
      <c r="D200" t="inlineStr">
        <is>
          <t>1</t>
        </is>
      </c>
      <c r="E200"/>
      <c r="F200"/>
      <c r="G200"/>
      <c r="H200"/>
      <c r="I200">
        <v>0</v>
      </c>
      <c r="J200" t="inlineStr">
        <is>
          <t>或签任务</t>
        </is>
      </c>
      <c r="K200"/>
      <c r="L200" t="inlineStr">
        <is>
          <t>0</t>
        </is>
      </c>
      <c r="M200"/>
      <c r="N200" s="3">
        <v>45590.45025462963</v>
      </c>
      <c r="O200"/>
      <c r="P200"/>
      <c r="Q200" s="3"/>
      <c r="R200" s="3"/>
      <c r="S200" t="inlineStr">
        <is>
          <t>1b6a3dc6-e7b8-4777-acd5-12b283e27b92</t>
        </is>
      </c>
      <c r="T200"/>
      <c r="U200"/>
      <c r="V200"/>
      <c r="W200">
        <v>0</v>
      </c>
      <c r="X200" t="inlineStr">
        <is>
          <t>龚政涛</t>
        </is>
      </c>
      <c r="Y200" t="inlineStr">
        <is>
          <t>龚政涛</t>
        </is>
      </c>
      <c r="Z200" s="3">
        <v>45581.055393518516</v>
      </c>
      <c r="AA200" s="3">
        <v>45590.45025462963</v>
      </c>
      <c r="AB200" s="2" t="str">
        <f>=HYPERLINK("https://applink.feishu.cn/client/todo/task_list?guid=76122b60-faec-4a61-91b0-2d229f32cc2a", "迷宫球")</f>
        <v>迷宫球</v>
      </c>
      <c r="AC200" t="inlineStr">
        <is>
          <t>76122b60-faec-4a61-91b0-2d229f32cc2a</t>
        </is>
      </c>
      <c r="AD200" t="inlineStr">
        <is>
          <t>NzUzMTk3MzcwNDkxNDg0NTY5NzoxYjZhM2RjNi1lN2I4LTQ3NzctYWNkNS0xMmIyODNlMjdiOTI6ZmU5MTUxMjQwY2ExMDczODJkYzI1NDNlNjhjZWZlOWQ6MQ==</t>
        </is>
      </c>
      <c r="AE200"/>
    </row>
    <row r="201" ht="25.5" customHeight="1">
      <c r="A201" s="2" t="str">
        <f>=HYPERLINK("https://applink.feishu.cn/client/todo/detail?guid=0d1e73f0-b34e-4ff8-b8e6-8dccdadfc098&amp;suite_entity_num=t100219", "Level 9")</f>
        <v>Level 9</v>
      </c>
      <c r="B201"/>
      <c r="C201" t="inlineStr">
        <is>
          <t>默认分组</t>
        </is>
      </c>
      <c r="D201" t="inlineStr">
        <is>
          <t>1</t>
        </is>
      </c>
      <c r="E201"/>
      <c r="F201"/>
      <c r="G201"/>
      <c r="H201"/>
      <c r="I201">
        <v>0</v>
      </c>
      <c r="J201" t="inlineStr">
        <is>
          <t>或签任务</t>
        </is>
      </c>
      <c r="K201"/>
      <c r="L201" t="inlineStr">
        <is>
          <t>0</t>
        </is>
      </c>
      <c r="M201"/>
      <c r="N201" s="3">
        <v>45590.49979166667</v>
      </c>
      <c r="O201"/>
      <c r="P201"/>
      <c r="Q201" s="3"/>
      <c r="R201" s="3"/>
      <c r="S201" t="inlineStr">
        <is>
          <t>0d1e73f0-b34e-4ff8-b8e6-8dccdadfc098</t>
        </is>
      </c>
      <c r="T201"/>
      <c r="U201"/>
      <c r="V201"/>
      <c r="W201">
        <v>0</v>
      </c>
      <c r="X201" t="inlineStr">
        <is>
          <t>龚政涛</t>
        </is>
      </c>
      <c r="Y201" t="inlineStr">
        <is>
          <t>龚政涛</t>
        </is>
      </c>
      <c r="Z201" s="3">
        <v>45590.48582175926</v>
      </c>
      <c r="AA201" s="3">
        <v>45590.49979166667</v>
      </c>
      <c r="AB201" s="2" t="str">
        <f>=HYPERLINK("https://applink.feishu.cn/client/todo/task_list?guid=76122b60-faec-4a61-91b0-2d229f32cc2a", "迷宫球")</f>
        <v>迷宫球</v>
      </c>
      <c r="AC201" t="inlineStr">
        <is>
          <t>76122b60-faec-4a61-91b0-2d229f32cc2a</t>
        </is>
      </c>
      <c r="AD201" t="inlineStr">
        <is>
          <t>NzUzMTk3MzcwNDkxNDg0NTY5NzowZDFlNzNmMC1iMzRlLTRmZjgtYjhlNi04ZGNjZGFkZmMwOTg6MTcxYzA0ZGE4OTVmODRiNjc1MjU0ZDU5ZDQ5MDBmOWI6MQ==</t>
        </is>
      </c>
      <c r="AE201"/>
    </row>
    <row r="202" ht="25.5" customHeight="1">
      <c r="A202" s="2" t="str">
        <f>=HYPERLINK("https://applink.feishu.cn/client/todo/detail?guid=dd1a6f5c-037c-4410-addb-41aea889ef34&amp;suite_entity_num=t100217", "Level 7")</f>
        <v>Level 7</v>
      </c>
      <c r="B202"/>
      <c r="C202" t="inlineStr">
        <is>
          <t>默认分组</t>
        </is>
      </c>
      <c r="D202" t="inlineStr">
        <is>
          <t>1</t>
        </is>
      </c>
      <c r="E202"/>
      <c r="F202"/>
      <c r="G202"/>
      <c r="H202"/>
      <c r="I202">
        <v>0</v>
      </c>
      <c r="J202" t="inlineStr">
        <is>
          <t>或签任务</t>
        </is>
      </c>
      <c r="K202"/>
      <c r="L202" t="inlineStr">
        <is>
          <t>0</t>
        </is>
      </c>
      <c r="M202"/>
      <c r="N202" s="3">
        <v>45590.49103009259</v>
      </c>
      <c r="O202"/>
      <c r="P202"/>
      <c r="Q202" s="3"/>
      <c r="R202" s="3"/>
      <c r="S202" t="inlineStr">
        <is>
          <t>dd1a6f5c-037c-4410-addb-41aea889ef34</t>
        </is>
      </c>
      <c r="T202"/>
      <c r="U202"/>
      <c r="V202"/>
      <c r="W202">
        <v>0</v>
      </c>
      <c r="X202" t="inlineStr">
        <is>
          <t>龚政涛</t>
        </is>
      </c>
      <c r="Y202" t="inlineStr">
        <is>
          <t>龚政涛</t>
        </is>
      </c>
      <c r="Z202" s="3">
        <v>45590.48569444445</v>
      </c>
      <c r="AA202" s="3">
        <v>45590.49104166667</v>
      </c>
      <c r="AB202" s="2" t="str">
        <f>=HYPERLINK("https://applink.feishu.cn/client/todo/task_list?guid=76122b60-faec-4a61-91b0-2d229f32cc2a", "迷宫球")</f>
        <v>迷宫球</v>
      </c>
      <c r="AC202" t="inlineStr">
        <is>
          <t>76122b60-faec-4a61-91b0-2d229f32cc2a</t>
        </is>
      </c>
      <c r="AD202" t="inlineStr">
        <is>
          <t>NzUzMTk3MzcwNDkxNDg0NTY5NzpkZDFhNmY1Yy0wMzdjLTQ0MTAtYWRkYi00MWFlYTg4OWVmMzQ6MjFmYmVjOTY2YjJkZjlhM2U3NzZlMmMzMDM3ZjI3ZTI6MQ==</t>
        </is>
      </c>
      <c r="AE202"/>
    </row>
    <row r="203" ht="25.5" customHeight="1">
      <c r="A203" s="2" t="str">
        <f>=HYPERLINK("https://applink.feishu.cn/client/todo/detail?guid=77f34859-459c-4e81-bdcb-1c7b5334bc7d&amp;suite_entity_num=t100192", "小球轻量化")</f>
        <v>小球轻量化</v>
      </c>
      <c r="B203" t="inlineStr">
        <is>
          <t>可以做，简单的不得了，就是不太好用啊 ？</t>
        </is>
      </c>
      <c r="C203" t="inlineStr">
        <is>
          <t>默认分组</t>
        </is>
      </c>
      <c r="D203" t="inlineStr">
        <is>
          <t>1</t>
        </is>
      </c>
      <c r="E203"/>
      <c r="F203"/>
      <c r="G203"/>
      <c r="H203"/>
      <c r="I203">
        <v>0</v>
      </c>
      <c r="J203" t="inlineStr">
        <is>
          <t>或签任务</t>
        </is>
      </c>
      <c r="K203"/>
      <c r="L203" t="inlineStr">
        <is>
          <t>0</t>
        </is>
      </c>
      <c r="M203"/>
      <c r="N203" s="3">
        <v>45590.44893518519</v>
      </c>
      <c r="O203"/>
      <c r="P203"/>
      <c r="Q203" s="3"/>
      <c r="R203" s="3"/>
      <c r="S203" t="inlineStr">
        <is>
          <t>77f34859-459c-4e81-bdcb-1c7b5334bc7d</t>
        </is>
      </c>
      <c r="T203"/>
      <c r="U203"/>
      <c r="V203"/>
      <c r="W203">
        <v>0</v>
      </c>
      <c r="X203" t="inlineStr">
        <is>
          <t>龚政涛</t>
        </is>
      </c>
      <c r="Y203" t="inlineStr">
        <is>
          <t>龚政涛</t>
        </is>
      </c>
      <c r="Z203" s="3">
        <v>45581.05554398148</v>
      </c>
      <c r="AA203" s="3">
        <v>45590.448958333334</v>
      </c>
      <c r="AB203" s="2" t="str">
        <f>=HYPERLINK("https://applink.feishu.cn/client/todo/task_list?guid=76122b60-faec-4a61-91b0-2d229f32cc2a", "迷宫球")</f>
        <v>迷宫球</v>
      </c>
      <c r="AC203" t="inlineStr">
        <is>
          <t>76122b60-faec-4a61-91b0-2d229f32cc2a</t>
        </is>
      </c>
      <c r="AD203" t="inlineStr">
        <is>
          <t>NzUzMTk3MzcwNDkxNDg0NTY5Nzo3N2YzNDg1OS00NTljLTRlODEtYmRjYi0xYzdiNTMzNGJjN2Q6MDMyMzJhNGVmZDI1Mjk4YjBjZWJmNjZiNjNkOGQ3YmU6MQ==</t>
        </is>
      </c>
      <c r="AE203"/>
    </row>
    <row r="204" ht="25.5" customHeight="1">
      <c r="A204" s="2" t="str">
        <f>=HYPERLINK("https://applink.feishu.cn/client/todo/detail?guid=1892c5ca-267e-4dd9-8f37-947333ecfb1f&amp;suite_entity_num=t100215", "按下F展开/收起教程")</f>
        <v>按下F展开/收起教程</v>
      </c>
      <c r="B204"/>
      <c r="C204" t="inlineStr">
        <is>
          <t>默认分组</t>
        </is>
      </c>
      <c r="D204" t="inlineStr">
        <is>
          <t>1</t>
        </is>
      </c>
      <c r="E204"/>
      <c r="F204"/>
      <c r="G204" t="inlineStr">
        <is>
          <t>P0 - 必须处理</t>
        </is>
      </c>
      <c r="H204"/>
      <c r="I204">
        <v>0</v>
      </c>
      <c r="J204" t="inlineStr">
        <is>
          <t>或签任务</t>
        </is>
      </c>
      <c r="K204"/>
      <c r="L204" t="inlineStr">
        <is>
          <t>0</t>
        </is>
      </c>
      <c r="M204"/>
      <c r="N204" s="3">
        <v>45590.71065972222</v>
      </c>
      <c r="O204"/>
      <c r="P204"/>
      <c r="Q204" s="3"/>
      <c r="R204" s="3"/>
      <c r="S204" t="inlineStr">
        <is>
          <t>1892c5ca-267e-4dd9-8f37-947333ecfb1f</t>
        </is>
      </c>
      <c r="T204"/>
      <c r="U204"/>
      <c r="V204"/>
      <c r="W204">
        <v>0</v>
      </c>
      <c r="X204" t="inlineStr">
        <is>
          <t>龚政涛</t>
        </is>
      </c>
      <c r="Y204" t="inlineStr">
        <is>
          <t>龚政涛</t>
        </is>
      </c>
      <c r="Z204" s="3">
        <v>45590.46875</v>
      </c>
      <c r="AA204" s="3">
        <v>45590.71065972222</v>
      </c>
      <c r="AB204" s="2" t="str">
        <f>=HYPERLINK("https://applink.feishu.cn/client/todo/task_list?guid=76122b60-faec-4a61-91b0-2d229f32cc2a", "迷宫球")</f>
        <v>迷宫球</v>
      </c>
      <c r="AC204" t="inlineStr">
        <is>
          <t>76122b60-faec-4a61-91b0-2d229f32cc2a</t>
        </is>
      </c>
      <c r="AD204" t="inlineStr">
        <is>
          <t>NzUzMTk3MzcwNDkxNDg0NTY5NzoxODkyYzVjYS0yNjdlLTRkZDktOGYzNy05NDczMzNlY2ZiMWY6YzZjNDhmYjYxZTlmYzUwMDNhZTc1MGYzODRiMmNiMGU6MQ==</t>
        </is>
      </c>
      <c r="AE204"/>
    </row>
    <row r="205" ht="25.5" customHeight="1">
      <c r="A205" s="2" t="str">
        <f>=HYPERLINK("https://applink.feishu.cn/client/todo/detail?guid=2b95b855-168f-4ca7-9887-ab7f01772d0a&amp;suite_entity_num=t100188", "UI：落地提示")</f>
        <v>UI：落地提示</v>
      </c>
      <c r="B205"/>
      <c r="C205" t="inlineStr">
        <is>
          <t>默认分组</t>
        </is>
      </c>
      <c r="D205" t="inlineStr">
        <is>
          <t>1</t>
        </is>
      </c>
      <c r="E205"/>
      <c r="F205"/>
      <c r="G205"/>
      <c r="H205"/>
      <c r="I205">
        <v>0</v>
      </c>
      <c r="J205" t="inlineStr">
        <is>
          <t>或签任务</t>
        </is>
      </c>
      <c r="K205"/>
      <c r="L205" t="inlineStr">
        <is>
          <t>0</t>
        </is>
      </c>
      <c r="M205"/>
      <c r="N205" s="3">
        <v>45590.44862268519</v>
      </c>
      <c r="O205"/>
      <c r="P205"/>
      <c r="Q205" s="3"/>
      <c r="R205" s="3"/>
      <c r="S205" t="inlineStr">
        <is>
          <t>2b95b855-168f-4ca7-9887-ab7f01772d0a</t>
        </is>
      </c>
      <c r="T205"/>
      <c r="U205"/>
      <c r="V205"/>
      <c r="W205">
        <v>0</v>
      </c>
      <c r="X205" t="inlineStr">
        <is>
          <t>龚政涛</t>
        </is>
      </c>
      <c r="Y205" t="inlineStr">
        <is>
          <t>龚政涛</t>
        </is>
      </c>
      <c r="Z205" s="3">
        <v>45581.054872685185</v>
      </c>
      <c r="AA205" s="3">
        <v>45590.44912037037</v>
      </c>
      <c r="AB205" s="2" t="str">
        <f>=HYPERLINK("https://applink.feishu.cn/client/todo/task_list?guid=76122b60-faec-4a61-91b0-2d229f32cc2a", "迷宫球")</f>
        <v>迷宫球</v>
      </c>
      <c r="AC205" t="inlineStr">
        <is>
          <t>76122b60-faec-4a61-91b0-2d229f32cc2a</t>
        </is>
      </c>
      <c r="AD205" t="inlineStr">
        <is>
          <t>NzUzMTk3MzcwNDkxNDg0NTY5NzoyYjk1Yjg1NS0xNjhmLTRjYTctOTg4Ny1hYjdmMDE3NzJkMGE6ZGVmMTYwOTMyYzYxMWYxZWMzOTc2OWJiY2FlZmM2ODc6MQ==</t>
        </is>
      </c>
      <c r="AE205"/>
    </row>
    <row r="206" ht="25.5" customHeight="1">
      <c r="A206" s="2" t="str">
        <f>=HYPERLINK("https://applink.feishu.cn/client/todo/detail?guid=9324fbcc-e2a4-4997-abc0-d43d66532327&amp;suite_entity_num=t100237", "手柄输入支持")</f>
        <v>手柄输入支持</v>
      </c>
      <c r="B206"/>
      <c r="C206" t="inlineStr">
        <is>
          <t>默认分组</t>
        </is>
      </c>
      <c r="D206" t="inlineStr">
        <is>
          <t>1</t>
        </is>
      </c>
      <c r="E206"/>
      <c r="F206"/>
      <c r="G206" t="inlineStr">
        <is>
          <t>P0 - 必须处理</t>
        </is>
      </c>
      <c r="H206" t="inlineStr">
        <is>
          <t>🎨艺术</t>
        </is>
      </c>
      <c r="I206">
        <v>0</v>
      </c>
      <c r="J206" t="inlineStr">
        <is>
          <t>或签任务</t>
        </is>
      </c>
      <c r="K206"/>
      <c r="L206" t="inlineStr">
        <is>
          <t>0</t>
        </is>
      </c>
      <c r="M206"/>
      <c r="N206" s="3">
        <v>45846.466944444444</v>
      </c>
      <c r="O206"/>
      <c r="P206" t="inlineStr">
        <is>
          <t>龚政涛,Decay</t>
        </is>
      </c>
      <c r="Q206" s="3"/>
      <c r="R206" s="3"/>
      <c r="S206" t="inlineStr">
        <is>
          <t>9324fbcc-e2a4-4997-abc0-d43d66532327</t>
        </is>
      </c>
      <c r="T206"/>
      <c r="U206" t="inlineStr">
        <is>
          <t>c013fffb-277d-4218-880b-ea5d27821def</t>
        </is>
      </c>
      <c r="V206"/>
      <c r="W206">
        <v>0</v>
      </c>
      <c r="X206" t="inlineStr">
        <is>
          <t>龚政涛,Decay</t>
        </is>
      </c>
      <c r="Y206" t="inlineStr">
        <is>
          <t>龚政涛</t>
        </is>
      </c>
      <c r="Z206" s="3">
        <v>45593.61210648148</v>
      </c>
      <c r="AA206" s="3">
        <v>45846.467141203706</v>
      </c>
      <c r="AB206" s="2" t="str">
        <f>=HYPERLINK("https://applink.feishu.cn/client/todo/task_list?guid=76122b60-faec-4a61-91b0-2d229f32cc2a", "迷宫球")</f>
        <v>迷宫球</v>
      </c>
      <c r="AC206" t="inlineStr">
        <is>
          <t>76122b60-faec-4a61-91b0-2d229f32cc2a</t>
        </is>
      </c>
      <c r="AD206" t="inlineStr">
        <is>
          <t>NzUzMTk3MzcwNDkxNDg0NTY5Nzo5MzI0ZmJjYy1lMmE0LTQ5OTctYWJjMC1kNDNkNjY1MzIzMjc6YTkyODJjMzljM2FmYTg4MzUwNDIwMDU2NmJlNzBmMzM6MQ==</t>
        </is>
      </c>
      <c r="AE206"/>
    </row>
    <row r="207" ht="25.5" customHeight="1">
      <c r="A207" s="2" t="str">
        <f>=HYPERLINK("https://applink.feishu.cn/client/todo/detail?guid=06882987-852d-4d4c-a03e-121f318fbdd3&amp;suite_entity_num=t100222", "Level 6加个围挡")</f>
        <v>Level 6加个围挡</v>
      </c>
      <c r="B207"/>
      <c r="C207" t="inlineStr">
        <is>
          <t>默认分组</t>
        </is>
      </c>
      <c r="D207" t="inlineStr">
        <is>
          <t>1</t>
        </is>
      </c>
      <c r="E207"/>
      <c r="F207"/>
      <c r="G207"/>
      <c r="H207"/>
      <c r="I207">
        <v>0</v>
      </c>
      <c r="J207" t="inlineStr">
        <is>
          <t>或签任务</t>
        </is>
      </c>
      <c r="K207"/>
      <c r="L207" t="inlineStr">
        <is>
          <t>0</t>
        </is>
      </c>
      <c r="M207"/>
      <c r="N207" s="3">
        <v>45590.710960648146</v>
      </c>
      <c r="O207"/>
      <c r="P207"/>
      <c r="Q207" s="3"/>
      <c r="R207" s="3"/>
      <c r="S207" t="inlineStr">
        <is>
          <t>06882987-852d-4d4c-a03e-121f318fbdd3</t>
        </is>
      </c>
      <c r="T207"/>
      <c r="U207"/>
      <c r="V207"/>
      <c r="W207">
        <v>0</v>
      </c>
      <c r="X207" t="inlineStr">
        <is>
          <t>龚政涛</t>
        </is>
      </c>
      <c r="Y207" t="inlineStr">
        <is>
          <t>龚政涛</t>
        </is>
      </c>
      <c r="Z207" s="3">
        <v>45590.52027777778</v>
      </c>
      <c r="AA207" s="3">
        <v>45590.71097222222</v>
      </c>
      <c r="AB207" s="2" t="str">
        <f>=HYPERLINK("https://applink.feishu.cn/client/todo/task_list?guid=76122b60-faec-4a61-91b0-2d229f32cc2a", "迷宫球")</f>
        <v>迷宫球</v>
      </c>
      <c r="AC207" t="inlineStr">
        <is>
          <t>76122b60-faec-4a61-91b0-2d229f32cc2a</t>
        </is>
      </c>
      <c r="AD207" t="inlineStr">
        <is>
          <t>NzUzMTk3MzcwNDkxNDg0NTY5NzowNjg4Mjk4Ny04NTJkLTRkNGMtYTAzZS0xMjFmMzE4ZmJkZDM6OGQwZTgzNDk4ZDJhZmZhMGM2ZDkwNWZlNmI4NDYzMjg6MQ==</t>
        </is>
      </c>
      <c r="AE207"/>
    </row>
    <row r="208" ht="25.5" customHeight="1">
      <c r="A208" s="2" t="str">
        <f>=HYPERLINK("https://applink.feishu.cn/client/todo/detail?guid=c6e133cb-a18a-4c28-b26e-01aea11c6766&amp;suite_entity_num=t100224", "关卡7完全没法玩")</f>
        <v>关卡7完全没法玩</v>
      </c>
      <c r="B208"/>
      <c r="C208" t="inlineStr">
        <is>
          <t>默认分组</t>
        </is>
      </c>
      <c r="D208" t="inlineStr">
        <is>
          <t>1</t>
        </is>
      </c>
      <c r="E208"/>
      <c r="F208"/>
      <c r="G208" t="inlineStr">
        <is>
          <t>P0 - 必须处理</t>
        </is>
      </c>
      <c r="H208"/>
      <c r="I208">
        <v>0</v>
      </c>
      <c r="J208" t="inlineStr">
        <is>
          <t>或签任务</t>
        </is>
      </c>
      <c r="K208"/>
      <c r="L208" t="inlineStr">
        <is>
          <t>0</t>
        </is>
      </c>
      <c r="M208"/>
      <c r="N208" s="3">
        <v>45590.8315625</v>
      </c>
      <c r="O208"/>
      <c r="P208"/>
      <c r="Q208" s="3"/>
      <c r="R208" s="3"/>
      <c r="S208" t="inlineStr">
        <is>
          <t>c6e133cb-a18a-4c28-b26e-01aea11c6766</t>
        </is>
      </c>
      <c r="T208"/>
      <c r="U208"/>
      <c r="V208"/>
      <c r="W208">
        <v>0</v>
      </c>
      <c r="X208" t="inlineStr">
        <is>
          <t>龚政涛</t>
        </is>
      </c>
      <c r="Y208" t="inlineStr">
        <is>
          <t>龚政涛</t>
        </is>
      </c>
      <c r="Z208" s="3">
        <v>45590.67951388889</v>
      </c>
      <c r="AA208" s="3">
        <v>45590.83157407407</v>
      </c>
      <c r="AB208" s="2" t="str">
        <f>=HYPERLINK("https://applink.feishu.cn/client/todo/task_list?guid=76122b60-faec-4a61-91b0-2d229f32cc2a", "迷宫球")</f>
        <v>迷宫球</v>
      </c>
      <c r="AC208" t="inlineStr">
        <is>
          <t>76122b60-faec-4a61-91b0-2d229f32cc2a</t>
        </is>
      </c>
      <c r="AD208" t="inlineStr">
        <is>
          <t>NzUzMTk3MzcwNDkxNDg0NTY5NzpjNmUxMzNjYi1hMThhLTRjMjgtYjI2ZS0wMWFlYTExYzY3NjY6MWI3NjEwZjk2YjcyYTcxYzc2YzBhM2U3Y2M3YzAyZDg6MQ==</t>
        </is>
      </c>
      <c r="AE208"/>
    </row>
    <row r="209" ht="25.5" customHeight="1">
      <c r="A209" s="2" t="str">
        <f>=HYPERLINK("https://applink.feishu.cn/client/todo/detail?guid=e9679ebb-6654-4c8a-846e-59e4ff21ade7&amp;suite_entity_num=t100231", "增加抵达终点音效")</f>
        <v>增加抵达终点音效</v>
      </c>
      <c r="B209"/>
      <c r="C209" t="inlineStr">
        <is>
          <t>默认分组</t>
        </is>
      </c>
      <c r="D209" t="inlineStr">
        <is>
          <t>1</t>
        </is>
      </c>
      <c r="E209"/>
      <c r="F209"/>
      <c r="G209" t="inlineStr">
        <is>
          <t>P2 - 新的想法</t>
        </is>
      </c>
      <c r="H209"/>
      <c r="I209">
        <v>0</v>
      </c>
      <c r="J209" t="inlineStr">
        <is>
          <t>或签任务</t>
        </is>
      </c>
      <c r="K209"/>
      <c r="L209" t="inlineStr">
        <is>
          <t>0</t>
        </is>
      </c>
      <c r="M209"/>
      <c r="N209" s="3">
        <v>45592.67009259259</v>
      </c>
      <c r="O209"/>
      <c r="P209"/>
      <c r="Q209" s="3"/>
      <c r="R209" s="3"/>
      <c r="S209" t="inlineStr">
        <is>
          <t>e9679ebb-6654-4c8a-846e-59e4ff21ade7</t>
        </is>
      </c>
      <c r="T209"/>
      <c r="U209"/>
      <c r="V209"/>
      <c r="W209">
        <v>0</v>
      </c>
      <c r="X209" t="inlineStr">
        <is>
          <t>龚政涛</t>
        </is>
      </c>
      <c r="Y209" t="inlineStr">
        <is>
          <t>龚政涛</t>
        </is>
      </c>
      <c r="Z209" s="3">
        <v>45592.615266203706</v>
      </c>
      <c r="AA209" s="3">
        <v>45592.670115740744</v>
      </c>
      <c r="AB209" s="2" t="str">
        <f>=HYPERLINK("https://applink.feishu.cn/client/todo/task_list?guid=76122b60-faec-4a61-91b0-2d229f32cc2a", "迷宫球")</f>
        <v>迷宫球</v>
      </c>
      <c r="AC209" t="inlineStr">
        <is>
          <t>76122b60-faec-4a61-91b0-2d229f32cc2a</t>
        </is>
      </c>
      <c r="AD209" t="inlineStr">
        <is>
          <t>NzUzMTk3MzcwNDkxNDg0NTY5NzplOTY3OWViYi02NjU0LTRjOGEtODQ2ZS01OWU0ZmYyMWFkZTc6MDAyMzc5ZmM5ZjViNWRjZWNmMDk3ZTcyNjcxZTRhYWM6MQ==</t>
        </is>
      </c>
      <c r="AE209"/>
    </row>
    <row r="210" ht="25.5" customHeight="1">
      <c r="A210" s="2" t="str">
        <f>=HYPERLINK("https://applink.feishu.cn/client/todo/detail?guid=d5b7a9f2-95ef-4cf7-a8d9-34c2fedffaa8&amp;suite_entity_num=t100229", "更换小球的功能")</f>
        <v>更换小球的功能</v>
      </c>
      <c r="B210"/>
      <c r="C210" t="inlineStr">
        <is>
          <t>默认分组</t>
        </is>
      </c>
      <c r="D210" t="inlineStr">
        <is>
          <t>1</t>
        </is>
      </c>
      <c r="E210"/>
      <c r="F210"/>
      <c r="G210" t="inlineStr">
        <is>
          <t>P2 - 新的想法</t>
        </is>
      </c>
      <c r="H210"/>
      <c r="I210">
        <v>0</v>
      </c>
      <c r="J210" t="inlineStr">
        <is>
          <t>或签任务</t>
        </is>
      </c>
      <c r="K210"/>
      <c r="L210" t="inlineStr">
        <is>
          <t>0</t>
        </is>
      </c>
      <c r="M210"/>
      <c r="N210" s="3">
        <v>45650.61740740741</v>
      </c>
      <c r="O210"/>
      <c r="P210"/>
      <c r="Q210" s="3"/>
      <c r="R210" s="3"/>
      <c r="S210" t="inlineStr">
        <is>
          <t>d5b7a9f2-95ef-4cf7-a8d9-34c2fedffaa8</t>
        </is>
      </c>
      <c r="T210"/>
      <c r="U210"/>
      <c r="V210"/>
      <c r="W210">
        <v>0</v>
      </c>
      <c r="X210" t="inlineStr">
        <is>
          <t>龚政涛</t>
        </is>
      </c>
      <c r="Y210" t="inlineStr">
        <is>
          <t>龚政涛</t>
        </is>
      </c>
      <c r="Z210" s="3">
        <v>45591.845405092594</v>
      </c>
      <c r="AA210" s="3">
        <v>45650.61740740741</v>
      </c>
      <c r="AB210" s="2" t="str">
        <f>=HYPERLINK("https://applink.feishu.cn/client/todo/task_list?guid=76122b60-faec-4a61-91b0-2d229f32cc2a", "迷宫球")</f>
        <v>迷宫球</v>
      </c>
      <c r="AC210" t="inlineStr">
        <is>
          <t>76122b60-faec-4a61-91b0-2d229f32cc2a</t>
        </is>
      </c>
      <c r="AD210" t="inlineStr">
        <is>
          <t>NzUzMTk3MzcwNDkxNDg0NTY5NzpkNWI3YTlmMi05NWVmLTRjZjctYThkOS0zNGMyZmVkZmZhYTg6NjQ0Y2I0MjAzMDczMWIzMDQzN2QxYTFkNGRjNTFlZjk6MQ==</t>
        </is>
      </c>
      <c r="AE210"/>
    </row>
    <row r="211" ht="25.5" customHeight="1">
      <c r="A211" s="2" t="str">
        <f>=HYPERLINK("https://applink.feishu.cn/client/todo/detail?guid=f07f0c68-fb74-47f6-958d-d85a865669c2&amp;suite_entity_num=t100223", "背景音乐")</f>
        <v>背景音乐</v>
      </c>
      <c r="B211"/>
      <c r="C211" t="inlineStr">
        <is>
          <t>默认分组</t>
        </is>
      </c>
      <c r="D211" t="inlineStr">
        <is>
          <t>1</t>
        </is>
      </c>
      <c r="E211"/>
      <c r="F211"/>
      <c r="G211" t="inlineStr">
        <is>
          <t>P1 - 最好处理</t>
        </is>
      </c>
      <c r="H211"/>
      <c r="I211">
        <v>0</v>
      </c>
      <c r="J211" t="inlineStr">
        <is>
          <t>或签任务</t>
        </is>
      </c>
      <c r="K211"/>
      <c r="L211" t="inlineStr">
        <is>
          <t>0</t>
        </is>
      </c>
      <c r="M211"/>
      <c r="N211" s="3">
        <v>45592.61482638889</v>
      </c>
      <c r="O211"/>
      <c r="P211"/>
      <c r="Q211" s="3"/>
      <c r="R211" s="3"/>
      <c r="S211" t="inlineStr">
        <is>
          <t>f07f0c68-fb74-47f6-958d-d85a865669c2</t>
        </is>
      </c>
      <c r="T211"/>
      <c r="U211"/>
      <c r="V211"/>
      <c r="W211">
        <v>0</v>
      </c>
      <c r="X211" t="inlineStr">
        <is>
          <t>龚政涛</t>
        </is>
      </c>
      <c r="Y211" t="inlineStr">
        <is>
          <t>龚政涛</t>
        </is>
      </c>
      <c r="Z211" s="3">
        <v>45590.60356481482</v>
      </c>
      <c r="AA211" s="3">
        <v>45592.614849537036</v>
      </c>
      <c r="AB211" s="2" t="str">
        <f>=HYPERLINK("https://applink.feishu.cn/client/todo/task_list?guid=76122b60-faec-4a61-91b0-2d229f32cc2a", "迷宫球")</f>
        <v>迷宫球</v>
      </c>
      <c r="AC211" t="inlineStr">
        <is>
          <t>76122b60-faec-4a61-91b0-2d229f32cc2a</t>
        </is>
      </c>
      <c r="AD211" t="inlineStr">
        <is>
          <t>NzUzMTk3MzcwNDkxNDg0NTY5NzpmMDdmMGM2OC1mYjc0LTQ3ZjYtOTU4ZC1kODVhODY1NjY5YzI6ODgzZjk5OTM2NTM0ZWFkZDdjZTI5ZTdjZmM1NTg5MzQ6MQ==</t>
        </is>
      </c>
      <c r="AE211"/>
    </row>
    <row r="212" ht="25.5" customHeight="1">
      <c r="A212" s="2" t="str">
        <f>=HYPERLINK("https://applink.feishu.cn/client/todo/detail?guid=059bd277-1ff1-41a0-af9b-9f4c5fbf9c14&amp;suite_entity_num=t100232", "Level 9加个墙壁")</f>
        <v>Level 9加个墙壁</v>
      </c>
      <c r="B212"/>
      <c r="C212" t="inlineStr">
        <is>
          <t>默认分组</t>
        </is>
      </c>
      <c r="D212" t="inlineStr">
        <is>
          <t>1</t>
        </is>
      </c>
      <c r="E212"/>
      <c r="F212"/>
      <c r="G212"/>
      <c r="H212"/>
      <c r="I212">
        <v>0</v>
      </c>
      <c r="J212" t="inlineStr">
        <is>
          <t>或签任务</t>
        </is>
      </c>
      <c r="K212"/>
      <c r="L212" t="inlineStr">
        <is>
          <t>0</t>
        </is>
      </c>
      <c r="M212"/>
      <c r="N212" s="3">
        <v>45592.67018518518</v>
      </c>
      <c r="O212"/>
      <c r="P212"/>
      <c r="Q212" s="3"/>
      <c r="R212" s="3"/>
      <c r="S212" t="inlineStr">
        <is>
          <t>059bd277-1ff1-41a0-af9b-9f4c5fbf9c14</t>
        </is>
      </c>
      <c r="T212"/>
      <c r="U212"/>
      <c r="V212"/>
      <c r="W212">
        <v>0</v>
      </c>
      <c r="X212" t="inlineStr">
        <is>
          <t>龚政涛</t>
        </is>
      </c>
      <c r="Y212" t="inlineStr">
        <is>
          <t>龚政涛</t>
        </is>
      </c>
      <c r="Z212" s="3">
        <v>45592.65526620371</v>
      </c>
      <c r="AA212" s="3">
        <v>45592.67019675926</v>
      </c>
      <c r="AB212" s="2" t="str">
        <f>=HYPERLINK("https://applink.feishu.cn/client/todo/task_list?guid=76122b60-faec-4a61-91b0-2d229f32cc2a", "迷宫球")</f>
        <v>迷宫球</v>
      </c>
      <c r="AC212" t="inlineStr">
        <is>
          <t>76122b60-faec-4a61-91b0-2d229f32cc2a</t>
        </is>
      </c>
      <c r="AD212" t="inlineStr">
        <is>
          <t>NzUzMTk3MzcwNDkxNDg0NTY5NzowNTliZDI3Ny0xZmYxLTQxYTAtYWY5Yi05ZjRjNWZiZjljMTQ6NmViY2FmYmI2OTZlMDMyZmViNGE1ODE3YmVjYjQwNzE6MQ==</t>
        </is>
      </c>
      <c r="AE212"/>
    </row>
    <row r="213" ht="25.5" customHeight="1">
      <c r="A213" s="2" t="str">
        <f>=HYPERLINK("https://applink.feishu.cn/client/todo/detail?guid=c536c4df-dac7-4c3a-be0e-5678e7f5769e&amp;suite_entity_num=t100221", "完全通关的时候展示UI")</f>
        <v>完全通关的时候展示UI</v>
      </c>
      <c r="B213"/>
      <c r="C213" t="inlineStr">
        <is>
          <t>默认分组</t>
        </is>
      </c>
      <c r="D213" t="inlineStr">
        <is>
          <t>1</t>
        </is>
      </c>
      <c r="E213"/>
      <c r="F213"/>
      <c r="G213" t="inlineStr">
        <is>
          <t>P0 - 必须处理</t>
        </is>
      </c>
      <c r="H213"/>
      <c r="I213">
        <v>0</v>
      </c>
      <c r="J213" t="inlineStr">
        <is>
          <t>或签任务</t>
        </is>
      </c>
      <c r="K213"/>
      <c r="L213" t="inlineStr">
        <is>
          <t>0</t>
        </is>
      </c>
      <c r="M213"/>
      <c r="N213" s="3">
        <v>45590.7103587963</v>
      </c>
      <c r="O213"/>
      <c r="P213"/>
      <c r="Q213" s="3"/>
      <c r="R213" s="3"/>
      <c r="S213" t="inlineStr">
        <is>
          <t>c536c4df-dac7-4c3a-be0e-5678e7f5769e</t>
        </is>
      </c>
      <c r="T213"/>
      <c r="U213"/>
      <c r="V213"/>
      <c r="W213">
        <v>0</v>
      </c>
      <c r="X213" t="inlineStr">
        <is>
          <t>龚政涛</t>
        </is>
      </c>
      <c r="Y213" t="inlineStr">
        <is>
          <t>龚政涛</t>
        </is>
      </c>
      <c r="Z213" s="3">
        <v>45590.49092592593</v>
      </c>
      <c r="AA213" s="3">
        <v>45590.71037037037</v>
      </c>
      <c r="AB213" s="2" t="str">
        <f>=HYPERLINK("https://applink.feishu.cn/client/todo/task_list?guid=76122b60-faec-4a61-91b0-2d229f32cc2a", "迷宫球")</f>
        <v>迷宫球</v>
      </c>
      <c r="AC213" t="inlineStr">
        <is>
          <t>76122b60-faec-4a61-91b0-2d229f32cc2a</t>
        </is>
      </c>
      <c r="AD213" t="inlineStr">
        <is>
          <t>NzUzMTk3MzcwNDkxNDg0NTY5NzpjNTM2YzRkZi1kYWM3LTRjM2EtYmUwZS01Njc4ZTdmNTc2OWU6NmNiOTVlZDZmMzk4NWM0MjlhYjIwMDFmYTNiMjUwZjQ6MQ==</t>
        </is>
      </c>
      <c r="AE213"/>
    </row>
    <row r="214" ht="25.5" customHeight="1">
      <c r="A214" s="2" t="str">
        <f>=HYPERLINK("https://applink.feishu.cn/client/todo/detail?guid=a115e696-7699-4648-9fc4-7948cbb3295a&amp;suite_entity_num=t100233", "忘记写缩放镜头了")</f>
        <v>忘记写缩放镜头了</v>
      </c>
      <c r="B214"/>
      <c r="C214" t="inlineStr">
        <is>
          <t>默认分组</t>
        </is>
      </c>
      <c r="D214" t="inlineStr">
        <is>
          <t>1</t>
        </is>
      </c>
      <c r="E214"/>
      <c r="F214"/>
      <c r="G214"/>
      <c r="H214"/>
      <c r="I214">
        <v>0</v>
      </c>
      <c r="J214" t="inlineStr">
        <is>
          <t>或签任务</t>
        </is>
      </c>
      <c r="K214"/>
      <c r="L214" t="inlineStr">
        <is>
          <t>0</t>
        </is>
      </c>
      <c r="M214"/>
      <c r="N214" s="3">
        <v>45592.67013888889</v>
      </c>
      <c r="O214"/>
      <c r="P214"/>
      <c r="Q214" s="3"/>
      <c r="R214" s="3"/>
      <c r="S214" t="inlineStr">
        <is>
          <t>a115e696-7699-4648-9fc4-7948cbb3295a</t>
        </is>
      </c>
      <c r="T214"/>
      <c r="U214"/>
      <c r="V214"/>
      <c r="W214">
        <v>0</v>
      </c>
      <c r="X214" t="inlineStr">
        <is>
          <t>龚政涛</t>
        </is>
      </c>
      <c r="Y214" t="inlineStr">
        <is>
          <t>龚政涛</t>
        </is>
      </c>
      <c r="Z214" s="3">
        <v>45592.655335648145</v>
      </c>
      <c r="AA214" s="3">
        <v>45592.67017361111</v>
      </c>
      <c r="AB214" s="2" t="str">
        <f>=HYPERLINK("https://applink.feishu.cn/client/todo/task_list?guid=76122b60-faec-4a61-91b0-2d229f32cc2a", "迷宫球")</f>
        <v>迷宫球</v>
      </c>
      <c r="AC214" t="inlineStr">
        <is>
          <t>76122b60-faec-4a61-91b0-2d229f32cc2a</t>
        </is>
      </c>
      <c r="AD214" t="inlineStr">
        <is>
          <t>NzUzMTk3MzcwNDkxNDg0NTY5NzphMTE1ZTY5Ni03Njk5LTQ2NDgtOWZjNC03OTQ4Y2JiMzI5NWE6YTQ0M2M3NzVjN2ZiMjZmNDljOGU1YTJkYjIzZTBlMzg6MQ==</t>
        </is>
      </c>
      <c r="AE214"/>
    </row>
    <row r="215" ht="25.5" customHeight="1">
      <c r="A215" s="2" t="str">
        <f>=HYPERLINK("https://applink.feishu.cn/client/todo/detail?guid=b72e6191-080c-42bf-bc73-7114b7803860&amp;suite_entity_num=t100236", "修改球掉了以后的按键描述为Retry，和大家统一")</f>
        <v>修改球掉了以后的按键描述为Retry，和大家统一</v>
      </c>
      <c r="B215"/>
      <c r="C215" t="inlineStr">
        <is>
          <t>默认分组</t>
        </is>
      </c>
      <c r="D215" t="inlineStr">
        <is>
          <t>1</t>
        </is>
      </c>
      <c r="E215"/>
      <c r="F215"/>
      <c r="G215"/>
      <c r="H215"/>
      <c r="I215">
        <v>0</v>
      </c>
      <c r="J215" t="inlineStr">
        <is>
          <t>或签任务</t>
        </is>
      </c>
      <c r="K215"/>
      <c r="L215" t="inlineStr">
        <is>
          <t>0</t>
        </is>
      </c>
      <c r="M215"/>
      <c r="N215" s="3">
        <v>45593.61199074074</v>
      </c>
      <c r="O215"/>
      <c r="P215"/>
      <c r="Q215" s="3"/>
      <c r="R215" s="3"/>
      <c r="S215" t="inlineStr">
        <is>
          <t>b72e6191-080c-42bf-bc73-7114b7803860</t>
        </is>
      </c>
      <c r="T215"/>
      <c r="U215"/>
      <c r="V215"/>
      <c r="W215">
        <v>0</v>
      </c>
      <c r="X215" t="inlineStr">
        <is>
          <t>龚政涛</t>
        </is>
      </c>
      <c r="Y215" t="inlineStr">
        <is>
          <t>龚政涛</t>
        </is>
      </c>
      <c r="Z215" s="3">
        <v>45592.655752314815</v>
      </c>
      <c r="AA215" s="3">
        <v>45593.61200231482</v>
      </c>
      <c r="AB215" s="2" t="str">
        <f>=HYPERLINK("https://applink.feishu.cn/client/todo/task_list?guid=76122b60-faec-4a61-91b0-2d229f32cc2a", "迷宫球")</f>
        <v>迷宫球</v>
      </c>
      <c r="AC215" t="inlineStr">
        <is>
          <t>76122b60-faec-4a61-91b0-2d229f32cc2a</t>
        </is>
      </c>
      <c r="AD215" t="inlineStr">
        <is>
          <t>NzUzMTk3MzcwNDkxNDg0NTY5NzpiNzJlNjE5MS0wODBjLTQyYmYtYmM3My03MTE0Yjc4MDM4NjA6ZGVkZjM2MDA3MGUxZjY4YjBkMzA3ZDU5NDViZTliZWI6MQ==</t>
        </is>
      </c>
      <c r="AE215"/>
    </row>
    <row r="216" ht="25.5" customHeight="1">
      <c r="A216" s="2" t="str">
        <f>=HYPERLINK("https://applink.feishu.cn/client/todo/detail?guid=053b051e-6eb5-4e28-97b6-7aba13782493&amp;suite_entity_num=t100226", "新的小球：普通球；能力：无，但使用普通球过关可以获得（仅一次）额外一颗星")</f>
        <v>新的小球：普通球；能力：无，但使用普通球过关可以获得（仅一次）额外一颗星</v>
      </c>
      <c r="B216" t="inlineStr">
        <is>
          <t>星星用于解锁其他球，普通球相当于游戏的困难/基准模式</t>
        </is>
      </c>
      <c r="C216" t="inlineStr">
        <is>
          <t>默认分组</t>
        </is>
      </c>
      <c r="D216" t="inlineStr">
        <is>
          <t>1</t>
        </is>
      </c>
      <c r="E216"/>
      <c r="F216"/>
      <c r="G216" t="inlineStr">
        <is>
          <t>P2 - 新的想法</t>
        </is>
      </c>
      <c r="H216"/>
      <c r="I216">
        <v>0</v>
      </c>
      <c r="J216" t="inlineStr">
        <is>
          <t>或签任务</t>
        </is>
      </c>
      <c r="K216"/>
      <c r="L216" t="inlineStr">
        <is>
          <t>0</t>
        </is>
      </c>
      <c r="M216"/>
      <c r="N216" s="3">
        <v>45664.59164351852</v>
      </c>
      <c r="O216"/>
      <c r="P216"/>
      <c r="Q216" s="3"/>
      <c r="R216" s="3"/>
      <c r="S216" t="inlineStr">
        <is>
          <t>053b051e-6eb5-4e28-97b6-7aba13782493</t>
        </is>
      </c>
      <c r="T216"/>
      <c r="U216"/>
      <c r="V216"/>
      <c r="W216">
        <v>0</v>
      </c>
      <c r="X216" t="inlineStr">
        <is>
          <t>龚政涛</t>
        </is>
      </c>
      <c r="Y216" t="inlineStr">
        <is>
          <t>龚政涛</t>
        </is>
      </c>
      <c r="Z216" s="3">
        <v>45591.84416666667</v>
      </c>
      <c r="AA216" s="3">
        <v>45664.59166666667</v>
      </c>
      <c r="AB216" s="2" t="str">
        <f>=HYPERLINK("https://applink.feishu.cn/client/todo/task_list?guid=76122b60-faec-4a61-91b0-2d229f32cc2a", "迷宫球")</f>
        <v>迷宫球</v>
      </c>
      <c r="AC216" t="inlineStr">
        <is>
          <t>76122b60-faec-4a61-91b0-2d229f32cc2a</t>
        </is>
      </c>
      <c r="AD216" t="inlineStr">
        <is>
          <t>NzUzMTk3MzcwNDkxNDg0NTY5NzowNTNiMDUxZS02ZWI1LTRlMjgtOTdiNi03YWJhMTM3ODI0OTM6ODdjOTE2OWRmMDAwZWE1YWIyMGM4YTRmODU5ZTJkNTE6MQ==</t>
        </is>
      </c>
      <c r="AE216"/>
    </row>
    <row r="217" ht="25.5" customHeight="1">
      <c r="A217" s="2" t="str">
        <f>=HYPERLINK("https://applink.feishu.cn/client/todo/detail?guid=e8ab98e7-fe3f-4905-b511-5548e307aac6&amp;suite_entity_num=t100235", "修改“检视迷宫”的描述为“调整镜头”")</f>
        <v>修改“检视迷宫”的描述为“调整镜头”</v>
      </c>
      <c r="B217"/>
      <c r="C217" t="inlineStr">
        <is>
          <t>默认分组</t>
        </is>
      </c>
      <c r="D217" t="inlineStr">
        <is>
          <t>1</t>
        </is>
      </c>
      <c r="E217"/>
      <c r="F217"/>
      <c r="G217"/>
      <c r="H217"/>
      <c r="I217">
        <v>0</v>
      </c>
      <c r="J217" t="inlineStr">
        <is>
          <t>或签任务</t>
        </is>
      </c>
      <c r="K217"/>
      <c r="L217" t="inlineStr">
        <is>
          <t>0</t>
        </is>
      </c>
      <c r="M217"/>
      <c r="N217" s="3">
        <v>45592.670127314814</v>
      </c>
      <c r="O217"/>
      <c r="P217"/>
      <c r="Q217" s="3"/>
      <c r="R217" s="3"/>
      <c r="S217" t="inlineStr">
        <is>
          <t>e8ab98e7-fe3f-4905-b511-5548e307aac6</t>
        </is>
      </c>
      <c r="T217"/>
      <c r="U217"/>
      <c r="V217"/>
      <c r="W217">
        <v>0</v>
      </c>
      <c r="X217" t="inlineStr">
        <is>
          <t>龚政涛</t>
        </is>
      </c>
      <c r="Y217" t="inlineStr">
        <is>
          <t>龚政涛</t>
        </is>
      </c>
      <c r="Z217" s="3">
        <v>45592.65556712963</v>
      </c>
      <c r="AA217" s="3">
        <v>45592.67013888889</v>
      </c>
      <c r="AB217" s="2" t="str">
        <f>=HYPERLINK("https://applink.feishu.cn/client/todo/task_list?guid=76122b60-faec-4a61-91b0-2d229f32cc2a", "迷宫球")</f>
        <v>迷宫球</v>
      </c>
      <c r="AC217" t="inlineStr">
        <is>
          <t>76122b60-faec-4a61-91b0-2d229f32cc2a</t>
        </is>
      </c>
      <c r="AD217" t="inlineStr">
        <is>
          <t>NzUzMTk3MzcwNDkxNDg0NTY5NzplOGFiOThlNy1mZTNmLTQ5MDUtYjUxMS01NTQ4ZTMwN2FhYzY6MGQ4NTAyYzk0MjkwY2QwOWYzMTJjODQ2M2Y4YzEzMjE6MQ==</t>
        </is>
      </c>
      <c r="AE217"/>
    </row>
    <row r="218" ht="25.5" customHeight="1">
      <c r="A218" s="2" t="str">
        <f>=HYPERLINK("https://applink.feishu.cn/client/todo/detail?guid=381e700b-8c72-4da7-b108-cfaf6c766945&amp;suite_entity_num=t100225", "有几个重试本关的UI需要替换")</f>
        <v>有几个重试本关的UI需要替换</v>
      </c>
      <c r="B218"/>
      <c r="C218" t="inlineStr">
        <is>
          <t>默认分组</t>
        </is>
      </c>
      <c r="D218" t="inlineStr">
        <is>
          <t>1</t>
        </is>
      </c>
      <c r="E218"/>
      <c r="F218"/>
      <c r="G218" t="inlineStr">
        <is>
          <t>P0 - 必须处理</t>
        </is>
      </c>
      <c r="H218"/>
      <c r="I218">
        <v>0</v>
      </c>
      <c r="J218" t="inlineStr">
        <is>
          <t>或签任务</t>
        </is>
      </c>
      <c r="K218"/>
      <c r="L218" t="inlineStr">
        <is>
          <t>0</t>
        </is>
      </c>
      <c r="M218"/>
      <c r="N218" s="3">
        <v>45590.83170138889</v>
      </c>
      <c r="O218"/>
      <c r="P218"/>
      <c r="Q218" s="3"/>
      <c r="R218" s="3"/>
      <c r="S218" t="inlineStr">
        <is>
          <t>381e700b-8c72-4da7-b108-cfaf6c766945</t>
        </is>
      </c>
      <c r="T218"/>
      <c r="U218"/>
      <c r="V218"/>
      <c r="W218">
        <v>0</v>
      </c>
      <c r="X218" t="inlineStr">
        <is>
          <t>龚政涛</t>
        </is>
      </c>
      <c r="Y218" t="inlineStr">
        <is>
          <t>龚政涛</t>
        </is>
      </c>
      <c r="Z218" s="3">
        <v>45590.712175925924</v>
      </c>
      <c r="AA218" s="3">
        <v>45590.83170138889</v>
      </c>
      <c r="AB218" s="2" t="str">
        <f>=HYPERLINK("https://applink.feishu.cn/client/todo/task_list?guid=76122b60-faec-4a61-91b0-2d229f32cc2a", "迷宫球")</f>
        <v>迷宫球</v>
      </c>
      <c r="AC218" t="inlineStr">
        <is>
          <t>76122b60-faec-4a61-91b0-2d229f32cc2a</t>
        </is>
      </c>
      <c r="AD218" t="inlineStr">
        <is>
          <t>NzUzMTk3MzcwNDkxNDg0NTY5NzozODFlNzAwYi04YzcyLTRkYTctYjEwOC1jZmFmNmM3NjY5NDU6ODUyODQ1MGNkODBmZWU0NmEwM2Q0YzM3NWRiMjk3Mjc6MQ==</t>
        </is>
      </c>
      <c r="AE218"/>
    </row>
    <row r="219" ht="25.5" customHeight="1">
      <c r="A219" s="2" t="str">
        <f>=HYPERLINK("https://applink.feishu.cn/client/todo/detail?guid=ab950e0d-4642-49d0-9004-527e5db99067&amp;suite_entity_num=t100230", "新的小球：相位球；能力：穿透轨道")</f>
        <v>新的小球：相位球；能力：穿透轨道</v>
      </c>
      <c r="B219"/>
      <c r="C219" t="inlineStr">
        <is>
          <t>默认分组</t>
        </is>
      </c>
      <c r="D219" t="inlineStr">
        <is>
          <t>1</t>
        </is>
      </c>
      <c r="E219"/>
      <c r="F219"/>
      <c r="G219" t="inlineStr">
        <is>
          <t>P2 - 新的想法</t>
        </is>
      </c>
      <c r="H219"/>
      <c r="I219">
        <v>0</v>
      </c>
      <c r="J219" t="inlineStr">
        <is>
          <t>或签任务</t>
        </is>
      </c>
      <c r="K219"/>
      <c r="L219" t="inlineStr">
        <is>
          <t>0</t>
        </is>
      </c>
      <c r="M219"/>
      <c r="N219" s="3">
        <v>45664.5916087963</v>
      </c>
      <c r="O219"/>
      <c r="P219"/>
      <c r="Q219" s="3"/>
      <c r="R219" s="3"/>
      <c r="S219" t="inlineStr">
        <is>
          <t>ab950e0d-4642-49d0-9004-527e5db99067</t>
        </is>
      </c>
      <c r="T219"/>
      <c r="U219"/>
      <c r="V219"/>
      <c r="W219">
        <v>0</v>
      </c>
      <c r="X219" t="inlineStr">
        <is>
          <t>龚政涛</t>
        </is>
      </c>
      <c r="Y219" t="inlineStr">
        <is>
          <t>龚政涛</t>
        </is>
      </c>
      <c r="Z219" s="3">
        <v>45591.84625</v>
      </c>
      <c r="AA219" s="3">
        <v>45664.591631944444</v>
      </c>
      <c r="AB219" s="2" t="str">
        <f>=HYPERLINK("https://applink.feishu.cn/client/todo/task_list?guid=76122b60-faec-4a61-91b0-2d229f32cc2a", "迷宫球")</f>
        <v>迷宫球</v>
      </c>
      <c r="AC219" t="inlineStr">
        <is>
          <t>76122b60-faec-4a61-91b0-2d229f32cc2a</t>
        </is>
      </c>
      <c r="AD219" t="inlineStr">
        <is>
          <t>NzUzMTk3MzcwNDkxNDg0NTY5NzphYjk1MGUwZC00NjQyLTQ5ZDAtOTAwNC01MjdlNWRiOTkwNjc6MDhkYTk2NDAxZDJlMzQwM2VlNzdkNGRhMDk5OWNkNDg6MQ==</t>
        </is>
      </c>
      <c r="AE219"/>
    </row>
    <row r="220" ht="25.5" customHeight="1">
      <c r="A220" s="2" t="str">
        <f>=HYPERLINK("https://applink.feishu.cn/client/todo/detail?guid=29345755-07df-44bd-9e81-ec2a18e1e2cf&amp;suite_entity_num=t100308", "计时器和计次器结果保留到存档")</f>
        <v>计时器和计次器结果保留到存档</v>
      </c>
      <c r="B220"/>
      <c r="C220" t="inlineStr">
        <is>
          <t>默认分组</t>
        </is>
      </c>
      <c r="D220" t="inlineStr">
        <is>
          <t>1</t>
        </is>
      </c>
      <c r="E220"/>
      <c r="F220"/>
      <c r="G220"/>
      <c r="H220"/>
      <c r="I220">
        <v>0</v>
      </c>
      <c r="J220" t="inlineStr">
        <is>
          <t>或签任务</t>
        </is>
      </c>
      <c r="K220"/>
      <c r="L220" t="inlineStr">
        <is>
          <t>0</t>
        </is>
      </c>
      <c r="M220"/>
      <c r="N220" s="3">
        <v>45649.594722222224</v>
      </c>
      <c r="O220"/>
      <c r="P220"/>
      <c r="Q220" s="3"/>
      <c r="R220" s="3"/>
      <c r="S220" t="inlineStr">
        <is>
          <t>29345755-07df-44bd-9e81-ec2a18e1e2cf</t>
        </is>
      </c>
      <c r="T220"/>
      <c r="U220"/>
      <c r="V220"/>
      <c r="W220">
        <v>0</v>
      </c>
      <c r="X220" t="inlineStr">
        <is>
          <t>龚政涛</t>
        </is>
      </c>
      <c r="Y220" t="inlineStr">
        <is>
          <t>龚政涛</t>
        </is>
      </c>
      <c r="Z220" s="3">
        <v>45624.75237268519</v>
      </c>
      <c r="AA220" s="3">
        <v>45649.59473379629</v>
      </c>
      <c r="AB220" s="2" t="str">
        <f>=HYPERLINK("https://applink.feishu.cn/client/todo/task_list?guid=76122b60-faec-4a61-91b0-2d229f32cc2a", "迷宫球")</f>
        <v>迷宫球</v>
      </c>
      <c r="AC220" t="inlineStr">
        <is>
          <t>76122b60-faec-4a61-91b0-2d229f32cc2a</t>
        </is>
      </c>
      <c r="AD220" t="inlineStr">
        <is>
          <t>NzUzMTk3MzcwNDkxNDg0NTY5NzoyOTM0NTc1NS0wN2RmLTQ0YmQtOWU4MS1lYzJhMThlMWUyY2Y6MTIzNTY2YmQwYTcxMjA2NWJiNTY2OGM5NGUzOWE5MWU6MQ==</t>
        </is>
      </c>
      <c r="AE220"/>
    </row>
    <row r="221" ht="25.5" customHeight="1">
      <c r="A221" s="2" t="str">
        <f>=HYPERLINK("https://applink.feishu.cn/client/todo/detail?guid=7a72fb14-7d87-4671-8448-e19dc61d2b35&amp;suite_entity_num=t100265", "解决抖动问题")</f>
        <v>解决抖动问题</v>
      </c>
      <c r="B221"/>
      <c r="C221" t="inlineStr">
        <is>
          <t>默认分组</t>
        </is>
      </c>
      <c r="D221" t="inlineStr">
        <is>
          <t>1</t>
        </is>
      </c>
      <c r="E221"/>
      <c r="F221"/>
      <c r="G221" t="inlineStr">
        <is>
          <t>P0 - 必须处理</t>
        </is>
      </c>
      <c r="H221"/>
      <c r="I221">
        <v>0</v>
      </c>
      <c r="J221" t="inlineStr">
        <is>
          <t>或签任务</t>
        </is>
      </c>
      <c r="K221"/>
      <c r="L221" t="inlineStr">
        <is>
          <t>0</t>
        </is>
      </c>
      <c r="M221"/>
      <c r="N221" s="3">
        <v>45611.623194444444</v>
      </c>
      <c r="O221"/>
      <c r="P221"/>
      <c r="Q221" s="3"/>
      <c r="R221" s="3"/>
      <c r="S221" t="inlineStr">
        <is>
          <t>7a72fb14-7d87-4671-8448-e19dc61d2b35</t>
        </is>
      </c>
      <c r="T221"/>
      <c r="U221"/>
      <c r="V221"/>
      <c r="W221">
        <v>0</v>
      </c>
      <c r="X221" t="inlineStr">
        <is>
          <t>龚政涛</t>
        </is>
      </c>
      <c r="Y221" t="inlineStr">
        <is>
          <t>龚政涛</t>
        </is>
      </c>
      <c r="Z221" s="3">
        <v>45611.62304398148</v>
      </c>
      <c r="AA221" s="3">
        <v>45611.62322916667</v>
      </c>
      <c r="AB221" s="2" t="str">
        <f>=HYPERLINK("https://applink.feishu.cn/client/todo/task_list?guid=76122b60-faec-4a61-91b0-2d229f32cc2a", "迷宫球")</f>
        <v>迷宫球</v>
      </c>
      <c r="AC221" t="inlineStr">
        <is>
          <t>76122b60-faec-4a61-91b0-2d229f32cc2a</t>
        </is>
      </c>
      <c r="AD221" t="inlineStr">
        <is>
          <t>NzUzMTk3MzcwNDkxNDg0NTY5Nzo3YTcyZmIxNC03ZDg3LTQ2NzEtODQ0OC1lMTlkYzYxZDJiMzU6MTRhMTExZDc2YmVmMzJkNzMxMzdmYTdhYzRmZTI1YjE6MQ==</t>
        </is>
      </c>
      <c r="AE221"/>
    </row>
    <row r="222" ht="25.5" customHeight="1">
      <c r="A222" s="2" t="str">
        <f>=HYPERLINK("https://applink.feishu.cn/client/todo/detail?guid=81429d36-340e-464f-82c5-77127cb2e861&amp;suite_entity_num=t100257", "新的小球：斥力球；能力：被中央光点排斥")</f>
        <v>新的小球：斥力球；能力：被中央光点排斥</v>
      </c>
      <c r="B222"/>
      <c r="C222" t="inlineStr">
        <is>
          <t>默认分组</t>
        </is>
      </c>
      <c r="D222" t="inlineStr">
        <is>
          <t>1</t>
        </is>
      </c>
      <c r="E222"/>
      <c r="F222"/>
      <c r="G222" t="inlineStr">
        <is>
          <t>P2 - 新的想法</t>
        </is>
      </c>
      <c r="H222" t="inlineStr">
        <is>
          <t>✍️故事</t>
        </is>
      </c>
      <c r="I222">
        <v>0</v>
      </c>
      <c r="J222" t="inlineStr">
        <is>
          <t>或签任务</t>
        </is>
      </c>
      <c r="K222"/>
      <c r="L222" t="inlineStr">
        <is>
          <t>0</t>
        </is>
      </c>
      <c r="M222"/>
      <c r="N222" s="3">
        <v>45664.591469907406</v>
      </c>
      <c r="O222"/>
      <c r="P222"/>
      <c r="Q222" s="3"/>
      <c r="R222" s="3"/>
      <c r="S222" t="inlineStr">
        <is>
          <t>81429d36-340e-464f-82c5-77127cb2e861</t>
        </is>
      </c>
      <c r="T222"/>
      <c r="U222"/>
      <c r="V222"/>
      <c r="W222">
        <v>0</v>
      </c>
      <c r="X222" t="inlineStr">
        <is>
          <t>龚政涛</t>
        </is>
      </c>
      <c r="Y222" t="inlineStr">
        <is>
          <t>龚政涛</t>
        </is>
      </c>
      <c r="Z222" s="3">
        <v>45599.00802083333</v>
      </c>
      <c r="AA222" s="3">
        <v>45664.59149305556</v>
      </c>
      <c r="AB222" s="2" t="str">
        <f>=HYPERLINK("https://applink.feishu.cn/client/todo/task_list?guid=76122b60-faec-4a61-91b0-2d229f32cc2a", "迷宫球")</f>
        <v>迷宫球</v>
      </c>
      <c r="AC222" t="inlineStr">
        <is>
          <t>76122b60-faec-4a61-91b0-2d229f32cc2a</t>
        </is>
      </c>
      <c r="AD222" t="inlineStr">
        <is>
          <t>NzUzMTk3MzcwNDkxNDg0NTY5Nzo4MTQyOWQzNi0zNDBlLTQ2NGYtODJjNS03NzEyN2NiMmU4NjE6MGU3MGY4OGI1ZDc4ZTZkNzMwMDY5ZGQ4YmJlYzUwMDY6MQ==</t>
        </is>
      </c>
      <c r="AE222"/>
    </row>
    <row r="223" ht="25.5" customHeight="1">
      <c r="A223" s="2" t="str">
        <f>=HYPERLINK("https://applink.feishu.cn/client/todo/detail?guid=27399901-efea-4ef9-a8f9-2009ba40e214&amp;suite_entity_num=t100258", "世界机制：海")</f>
        <v>世界机制：海</v>
      </c>
      <c r="B223"/>
      <c r="C223" t="inlineStr">
        <is>
          <t>默认分组</t>
        </is>
      </c>
      <c r="D223" t="inlineStr">
        <is>
          <t>0</t>
        </is>
      </c>
      <c r="E223"/>
      <c r="F223"/>
      <c r="G223" t="inlineStr">
        <is>
          <t>P2 - 新的想法</t>
        </is>
      </c>
      <c r="H223" t="inlineStr">
        <is>
          <t>✍️故事</t>
        </is>
      </c>
      <c r="I223">
        <v>0</v>
      </c>
      <c r="J223" t="inlineStr">
        <is>
          <t>或签任务</t>
        </is>
      </c>
      <c r="K223"/>
      <c r="L223" t="inlineStr">
        <is>
          <t>0</t>
        </is>
      </c>
      <c r="M223"/>
      <c r="N223" s="3"/>
      <c r="O223"/>
      <c r="P223"/>
      <c r="Q223" s="3"/>
      <c r="R223" s="3"/>
      <c r="S223" t="inlineStr">
        <is>
          <t>27399901-efea-4ef9-a8f9-2009ba40e214</t>
        </is>
      </c>
      <c r="T223"/>
      <c r="U223"/>
      <c r="V223"/>
      <c r="W223">
        <v>0</v>
      </c>
      <c r="X223" t="inlineStr">
        <is>
          <t>龚政涛</t>
        </is>
      </c>
      <c r="Y223" t="inlineStr">
        <is>
          <t>龚政涛</t>
        </is>
      </c>
      <c r="Z223" s="3">
        <v>45599.01493055555</v>
      </c>
      <c r="AA223" s="3">
        <v>45788.07319444444</v>
      </c>
      <c r="AB223" s="2" t="str">
        <f>=HYPERLINK("https://applink.feishu.cn/client/todo/task_list?guid=76122b60-faec-4a61-91b0-2d229f32cc2a", "迷宫球")</f>
        <v>迷宫球</v>
      </c>
      <c r="AC223" t="inlineStr">
        <is>
          <t>76122b60-faec-4a61-91b0-2d229f32cc2a</t>
        </is>
      </c>
      <c r="AD223" t="inlineStr">
        <is>
          <t>NzUzMTk3MzcwNDkxNDg0NTY5NzoyNzM5OTkwMS1lZmVhLTRlZjktYThmOS0yMDA5YmE0MGUyMTQ6NDIyZDkxMGNmMzYwNTFkNmUzZGUwOTk0Yzg3MjYyNDc6MQ==</t>
        </is>
      </c>
      <c r="AE223"/>
    </row>
    <row r="224" ht="25.5" customHeight="1">
      <c r="A224" s="2" t="str">
        <f>=HYPERLINK("https://applink.feishu.cn/client/todo/detail?guid=bcf586f2-9e31-4816-92c6-520694c30d79&amp;suite_entity_num=t100259", "多语言系统")</f>
        <v>多语言系统</v>
      </c>
      <c r="B224"/>
      <c r="C224" t="inlineStr">
        <is>
          <t>默认分组</t>
        </is>
      </c>
      <c r="D224" t="inlineStr">
        <is>
          <t>0</t>
        </is>
      </c>
      <c r="E224"/>
      <c r="F224"/>
      <c r="G224" t="inlineStr">
        <is>
          <t>P1 - 最好处理</t>
        </is>
      </c>
      <c r="H224" t="inlineStr">
        <is>
          <t>🎨艺术</t>
        </is>
      </c>
      <c r="I224">
        <v>0</v>
      </c>
      <c r="J224" t="inlineStr">
        <is>
          <t>或签任务</t>
        </is>
      </c>
      <c r="K224"/>
      <c r="L224" t="inlineStr">
        <is>
          <t>0</t>
        </is>
      </c>
      <c r="M224"/>
      <c r="N224" s="3"/>
      <c r="O224" t="inlineStr">
        <is>
          <t>v1.0.0</t>
        </is>
      </c>
      <c r="P224"/>
      <c r="Q224" s="3"/>
      <c r="R224" s="3"/>
      <c r="S224" t="inlineStr">
        <is>
          <t>bcf586f2-9e31-4816-92c6-520694c30d79</t>
        </is>
      </c>
      <c r="T224"/>
      <c r="U224" t="inlineStr">
        <is>
          <t>c013fffb-277d-4218-880b-ea5d27821def</t>
        </is>
      </c>
      <c r="V224"/>
      <c r="W224">
        <v>0</v>
      </c>
      <c r="X224" t="inlineStr">
        <is>
          <t>龚政涛</t>
        </is>
      </c>
      <c r="Y224" t="inlineStr">
        <is>
          <t>龚政涛</t>
        </is>
      </c>
      <c r="Z224" s="3">
        <v>45599.015601851854</v>
      </c>
      <c r="AA224" s="3">
        <v>45846.848657407405</v>
      </c>
      <c r="AB224" s="2" t="str">
        <f>=HYPERLINK("https://applink.feishu.cn/client/todo/task_list?guid=76122b60-faec-4a61-91b0-2d229f32cc2a", "迷宫球")</f>
        <v>迷宫球</v>
      </c>
      <c r="AC224" t="inlineStr">
        <is>
          <t>76122b60-faec-4a61-91b0-2d229f32cc2a</t>
        </is>
      </c>
      <c r="AD224" t="inlineStr">
        <is>
          <t>NzUzMTk3MzcwNDkxNDg0NTY5NzpiY2Y1ODZmMi05ZTMxLTQ4MTYtOTJjNi01MjA2OTRjMzBkNzk6OWUwYzE4M2ZhOWJkNDE4ZTAxN2NiMGQ5N2ZkZTM1MGU6MQ==</t>
        </is>
      </c>
      <c r="AE224"/>
    </row>
    <row r="225" ht="25.5" customHeight="1">
      <c r="A225" s="2" t="str">
        <f>=HYPERLINK("https://applink.feishu.cn/client/todo/detail?guid=d805424b-3b84-4f0d-a739-85656da1262d&amp;suite_entity_num=t100350", "小球掉落数据在过关后没有重置")</f>
        <v>小球掉落数据在过关后没有重置</v>
      </c>
      <c r="B225"/>
      <c r="C225" t="inlineStr">
        <is>
          <t>默认分组</t>
        </is>
      </c>
      <c r="D225" t="inlineStr">
        <is>
          <t>1</t>
        </is>
      </c>
      <c r="E225"/>
      <c r="F225"/>
      <c r="G225"/>
      <c r="H225" t="inlineStr">
        <is>
          <t>🛠️技术</t>
        </is>
      </c>
      <c r="I225">
        <v>0</v>
      </c>
      <c r="J225" t="inlineStr">
        <is>
          <t>或签任务</t>
        </is>
      </c>
      <c r="K225"/>
      <c r="L225" t="inlineStr">
        <is>
          <t>0</t>
        </is>
      </c>
      <c r="M225"/>
      <c r="N225" s="3">
        <v>45644.813784722224</v>
      </c>
      <c r="O225"/>
      <c r="P225"/>
      <c r="Q225" s="3"/>
      <c r="R225" s="3"/>
      <c r="S225" t="inlineStr">
        <is>
          <t>d805424b-3b84-4f0d-a739-85656da1262d</t>
        </is>
      </c>
      <c r="T225"/>
      <c r="U225"/>
      <c r="V225"/>
      <c r="W225">
        <v>0</v>
      </c>
      <c r="X225" t="inlineStr">
        <is>
          <t>龚政涛</t>
        </is>
      </c>
      <c r="Y225" t="inlineStr">
        <is>
          <t>龚政涛</t>
        </is>
      </c>
      <c r="Z225" s="3">
        <v>45644.80403935185</v>
      </c>
      <c r="AA225" s="3">
        <v>45644.813796296294</v>
      </c>
      <c r="AB225" s="2" t="str">
        <f>=HYPERLINK("https://applink.feishu.cn/client/todo/task_list?guid=76122b60-faec-4a61-91b0-2d229f32cc2a", "迷宫球")</f>
        <v>迷宫球</v>
      </c>
      <c r="AC225" t="inlineStr">
        <is>
          <t>76122b60-faec-4a61-91b0-2d229f32cc2a</t>
        </is>
      </c>
      <c r="AD225" t="inlineStr">
        <is>
          <t>NzUzMTk3MzcwNDkxNDg0NTY5NzpkODA1NDI0Yi0zYjg0LTRmMGQtYTczOS04NTY1NmRhMTI2MmQ6NWRlZmI5MGFjYWY2MjkwZDg5OTZmZWJiNjQ0YzE0Zjk6MQ==</t>
        </is>
      </c>
      <c r="AE225"/>
    </row>
    <row r="226" ht="25.5" customHeight="1">
      <c r="A226" s="2" t="str">
        <f>=HYPERLINK("https://applink.feishu.cn/client/todo/detail?guid=c003f75c-9e02-4e55-afc5-6eef18378d69&amp;suite_entity_num=t100312", "计时器在暂停时应该也暂停")</f>
        <v>计时器在暂停时应该也暂停</v>
      </c>
      <c r="B226"/>
      <c r="C226" t="inlineStr">
        <is>
          <t>默认分组</t>
        </is>
      </c>
      <c r="D226" t="inlineStr">
        <is>
          <t>1</t>
        </is>
      </c>
      <c r="E226"/>
      <c r="F226"/>
      <c r="G226"/>
      <c r="H226"/>
      <c r="I226">
        <v>0</v>
      </c>
      <c r="J226" t="inlineStr">
        <is>
          <t>或签任务</t>
        </is>
      </c>
      <c r="K226"/>
      <c r="L226" t="inlineStr">
        <is>
          <t>0</t>
        </is>
      </c>
      <c r="M226"/>
      <c r="N226" s="3">
        <v>45649.59476851852</v>
      </c>
      <c r="O226"/>
      <c r="P226"/>
      <c r="Q226" s="3"/>
      <c r="R226" s="3"/>
      <c r="S226" t="inlineStr">
        <is>
          <t>c003f75c-9e02-4e55-afc5-6eef18378d69</t>
        </is>
      </c>
      <c r="T226"/>
      <c r="U226"/>
      <c r="V226"/>
      <c r="W226">
        <v>0</v>
      </c>
      <c r="X226" t="inlineStr">
        <is>
          <t>龚政涛</t>
        </is>
      </c>
      <c r="Y226" t="inlineStr">
        <is>
          <t>龚政涛</t>
        </is>
      </c>
      <c r="Z226" s="3">
        <v>45629.731261574074</v>
      </c>
      <c r="AA226" s="3">
        <v>45649.59474537037</v>
      </c>
      <c r="AB226" s="2" t="str">
        <f>=HYPERLINK("https://applink.feishu.cn/client/todo/task_list?guid=76122b60-faec-4a61-91b0-2d229f32cc2a", "迷宫球")</f>
        <v>迷宫球</v>
      </c>
      <c r="AC226" t="inlineStr">
        <is>
          <t>76122b60-faec-4a61-91b0-2d229f32cc2a</t>
        </is>
      </c>
      <c r="AD226" t="inlineStr">
        <is>
          <t>NzUzMTk3MzcwNDkxNDg0NTY5NzpjMDAzZjc1Yy05ZTAyLTRlNTUtYWZjNS02ZWVmMTgzNzhkNjk6MzNkZTM5YjgxZjIyNGQ4NDFhZmY1ODA1ZDBhMGM5NjY6MQ==</t>
        </is>
      </c>
      <c r="AE226"/>
    </row>
    <row r="227" ht="25.5" customHeight="1">
      <c r="A227" s="2" t="str">
        <f>=HYPERLINK("https://applink.feishu.cn/client/todo/detail?guid=bc20b2c8-35aa-42da-80ac-945e2f3fb128&amp;suite_entity_num=t100330", "按下鼠标时才隐藏鼠标，平时显示")</f>
        <v>按下鼠标时才隐藏鼠标，平时显示</v>
      </c>
      <c r="B227"/>
      <c r="C227" t="inlineStr">
        <is>
          <t>默认分组</t>
        </is>
      </c>
      <c r="D227" t="inlineStr">
        <is>
          <t>1</t>
        </is>
      </c>
      <c r="E227"/>
      <c r="F227"/>
      <c r="G227"/>
      <c r="H227"/>
      <c r="I227">
        <v>0</v>
      </c>
      <c r="J227" t="inlineStr">
        <is>
          <t>或签任务</t>
        </is>
      </c>
      <c r="K227"/>
      <c r="L227" t="inlineStr">
        <is>
          <t>0</t>
        </is>
      </c>
      <c r="M227"/>
      <c r="N227" s="3">
        <v>45649.594664351855</v>
      </c>
      <c r="O227"/>
      <c r="P227"/>
      <c r="Q227" s="3"/>
      <c r="R227" s="3"/>
      <c r="S227" t="inlineStr">
        <is>
          <t>bc20b2c8-35aa-42da-80ac-945e2f3fb128</t>
        </is>
      </c>
      <c r="T227"/>
      <c r="U227"/>
      <c r="V227"/>
      <c r="W227">
        <v>0</v>
      </c>
      <c r="X227" t="inlineStr">
        <is>
          <t>龚政涛</t>
        </is>
      </c>
      <c r="Y227" t="inlineStr">
        <is>
          <t>龚政涛</t>
        </is>
      </c>
      <c r="Z227" s="3">
        <v>45633.75009259259</v>
      </c>
      <c r="AA227" s="3">
        <v>45649.594675925924</v>
      </c>
      <c r="AB227" s="2" t="str">
        <f>=HYPERLINK("https://applink.feishu.cn/client/todo/task_list?guid=76122b60-faec-4a61-91b0-2d229f32cc2a", "迷宫球")</f>
        <v>迷宫球</v>
      </c>
      <c r="AC227" t="inlineStr">
        <is>
          <t>76122b60-faec-4a61-91b0-2d229f32cc2a</t>
        </is>
      </c>
      <c r="AD227" t="inlineStr">
        <is>
          <t>NzUzMTk3MzcwNDkxNDg0NTY5NzpiYzIwYjJjOC0zNWFhLTQyZGEtODBhYy05NDVlMmYzZmIxMjg6ODU3NjQwNDRhNjFmOGUxMzgwMDRiNzc3NjhlYTdmOGQ6MQ==</t>
        </is>
      </c>
      <c r="AE227"/>
    </row>
    <row r="228" ht="25.5" customHeight="1">
      <c r="A228" s="2" t="str">
        <f>=HYPERLINK("https://applink.feishu.cn/client/todo/detail?guid=efb2af0f-07c2-4b98-805b-4d2996debb89&amp;suite_entity_num=t100386", "修复第一个游戏内教程的打字错误")</f>
        <v>修复第一个游戏内教程的打字错误</v>
      </c>
      <c r="B228"/>
      <c r="C228" t="inlineStr">
        <is>
          <t>默认分组</t>
        </is>
      </c>
      <c r="D228" t="inlineStr">
        <is>
          <t>1</t>
        </is>
      </c>
      <c r="E228"/>
      <c r="F228"/>
      <c r="G228" t="inlineStr">
        <is>
          <t>P0 - 必须处理</t>
        </is>
      </c>
      <c r="H228"/>
      <c r="I228">
        <v>0</v>
      </c>
      <c r="J228" t="inlineStr">
        <is>
          <t>或签任务</t>
        </is>
      </c>
      <c r="K228"/>
      <c r="L228" t="inlineStr">
        <is>
          <t>0</t>
        </is>
      </c>
      <c r="M228"/>
      <c r="N228" s="3">
        <v>45664.592094907406</v>
      </c>
      <c r="O228"/>
      <c r="P228"/>
      <c r="Q228" s="3"/>
      <c r="R228" s="3"/>
      <c r="S228" t="inlineStr">
        <is>
          <t>efb2af0f-07c2-4b98-805b-4d2996debb89</t>
        </is>
      </c>
      <c r="T228"/>
      <c r="U228"/>
      <c r="V228"/>
      <c r="W228">
        <v>0</v>
      </c>
      <c r="X228" t="inlineStr">
        <is>
          <t>龚政涛</t>
        </is>
      </c>
      <c r="Y228" t="inlineStr">
        <is>
          <t>龚政涛</t>
        </is>
      </c>
      <c r="Z228" s="3">
        <v>45661.028078703705</v>
      </c>
      <c r="AA228" s="3">
        <v>45664.592141203706</v>
      </c>
      <c r="AB228" s="2" t="str">
        <f>=HYPERLINK("https://applink.feishu.cn/client/todo/task_list?guid=76122b60-faec-4a61-91b0-2d229f32cc2a", "迷宫球")</f>
        <v>迷宫球</v>
      </c>
      <c r="AC228" t="inlineStr">
        <is>
          <t>76122b60-faec-4a61-91b0-2d229f32cc2a</t>
        </is>
      </c>
      <c r="AD228" t="inlineStr">
        <is>
          <t>NzUzMTk3MzcwNDkxNDg0NTY5NzplZmIyYWYwZi0wN2MyLTRiOTgtODA1Yi00ZDI5OTZkZWJiODk6NTY4ZjEwNDk1YmI3ZGNkMmQzNGU3ZDY5ZDY4MzU5ZjU6MQ==</t>
        </is>
      </c>
      <c r="AE228"/>
    </row>
    <row r="229" ht="25.5" customHeight="1">
      <c r="A229" s="2" t="str">
        <f>=HYPERLINK("https://applink.feishu.cn/client/todo/detail?guid=428ef6d1-b4ca-4c49-86c7-c2c33c89651b&amp;suite_entity_num=t100385", "修复游戏在2070上都只有25帧、卡的不行的问题")</f>
        <v>修复游戏在2070上都只有25帧、卡的不行的问题</v>
      </c>
      <c r="B229"/>
      <c r="C229" t="inlineStr">
        <is>
          <t>默认分组</t>
        </is>
      </c>
      <c r="D229" t="inlineStr">
        <is>
          <t>1</t>
        </is>
      </c>
      <c r="E229"/>
      <c r="F229"/>
      <c r="G229" t="inlineStr">
        <is>
          <t>P0 - 必须处理</t>
        </is>
      </c>
      <c r="H229"/>
      <c r="I229">
        <v>0</v>
      </c>
      <c r="J229" t="inlineStr">
        <is>
          <t>或签任务</t>
        </is>
      </c>
      <c r="K229"/>
      <c r="L229" t="inlineStr">
        <is>
          <t>0</t>
        </is>
      </c>
      <c r="M229"/>
      <c r="N229" s="3">
        <v>45664.59193287037</v>
      </c>
      <c r="O229"/>
      <c r="P229"/>
      <c r="Q229" s="3"/>
      <c r="R229" s="3"/>
      <c r="S229" t="inlineStr">
        <is>
          <t>428ef6d1-b4ca-4c49-86c7-c2c33c89651b</t>
        </is>
      </c>
      <c r="T229"/>
      <c r="U229"/>
      <c r="V229"/>
      <c r="W229">
        <v>0</v>
      </c>
      <c r="X229" t="inlineStr">
        <is>
          <t>龚政涛</t>
        </is>
      </c>
      <c r="Y229" t="inlineStr">
        <is>
          <t>龚政涛</t>
        </is>
      </c>
      <c r="Z229" s="3">
        <v>45661.02788194444</v>
      </c>
      <c r="AA229" s="3">
        <v>45664.59196759259</v>
      </c>
      <c r="AB229" s="2" t="str">
        <f>=HYPERLINK("https://applink.feishu.cn/client/todo/task_list?guid=76122b60-faec-4a61-91b0-2d229f32cc2a", "迷宫球")</f>
        <v>迷宫球</v>
      </c>
      <c r="AC229" t="inlineStr">
        <is>
          <t>76122b60-faec-4a61-91b0-2d229f32cc2a</t>
        </is>
      </c>
      <c r="AD229" t="inlineStr">
        <is>
          <t>NzUzMTk3MzcwNDkxNDg0NTY5Nzo0MjhlZjZkMS1iNGNhLTRjNDktODZjNy1jMmMzM2M4OTY1MWI6MDdmNDcxODg1N2UzMjkxNjZlMTRkMjVlOTI1NzJmN2M6MQ==</t>
        </is>
      </c>
      <c r="AE229"/>
    </row>
    <row r="230" ht="25.5" customHeight="1">
      <c r="A230" s="2" t="str">
        <f>=HYPERLINK("https://applink.feishu.cn/client/todo/detail?guid=1b0e6e9f-fbbb-4dfb-a6ab-142cede321aa&amp;suite_entity_num=t100353", "暂停后小球掉落不显示BallDrop")</f>
        <v>暂停后小球掉落不显示BallDrop</v>
      </c>
      <c r="B230"/>
      <c r="C230" t="inlineStr">
        <is>
          <t>默认分组</t>
        </is>
      </c>
      <c r="D230" t="inlineStr">
        <is>
          <t>1</t>
        </is>
      </c>
      <c r="E230"/>
      <c r="F230"/>
      <c r="G230"/>
      <c r="H230" t="inlineStr">
        <is>
          <t>🛠️技术</t>
        </is>
      </c>
      <c r="I230">
        <v>0</v>
      </c>
      <c r="J230" t="inlineStr">
        <is>
          <t>或签任务</t>
        </is>
      </c>
      <c r="K230"/>
      <c r="L230" t="inlineStr">
        <is>
          <t>0</t>
        </is>
      </c>
      <c r="M230"/>
      <c r="N230" s="3">
        <v>45644.813738425924</v>
      </c>
      <c r="O230"/>
      <c r="P230"/>
      <c r="Q230" s="3"/>
      <c r="R230" s="3"/>
      <c r="S230" t="inlineStr">
        <is>
          <t>1b0e6e9f-fbbb-4dfb-a6ab-142cede321aa</t>
        </is>
      </c>
      <c r="T230"/>
      <c r="U230"/>
      <c r="V230"/>
      <c r="W230">
        <v>1</v>
      </c>
      <c r="X230" t="inlineStr">
        <is>
          <t>龚政涛</t>
        </is>
      </c>
      <c r="Y230" t="inlineStr">
        <is>
          <t>龚政涛</t>
        </is>
      </c>
      <c r="Z230" s="3">
        <v>45644.811631944445</v>
      </c>
      <c r="AA230" s="3">
        <v>45644.813738425924</v>
      </c>
      <c r="AB230" s="2" t="str">
        <f>=HYPERLINK("https://applink.feishu.cn/client/todo/task_list?guid=76122b60-faec-4a61-91b0-2d229f32cc2a", "迷宫球")</f>
        <v>迷宫球</v>
      </c>
      <c r="AC230" t="inlineStr">
        <is>
          <t>76122b60-faec-4a61-91b0-2d229f32cc2a</t>
        </is>
      </c>
      <c r="AD230" t="inlineStr">
        <is>
          <t>NzUzMTk3MzcwNDkxNDg0NTY5NzoxYjBlNmU5Zi1mYmJiLTRkZmItYTZhYi0xNDJjZWRlMzIxYWE6ZjFiZGZhY2FiY2Q0NGVhYjVhZWI3MjBjODc0MDE1MWU6MQ==</t>
        </is>
      </c>
      <c r="AE230"/>
    </row>
    <row r="231" ht="25.5" customHeight="1">
      <c r="A231" s="2" t="str">
        <f>=HYPERLINK("https://applink.feishu.cn/client/todo/detail?guid=b1b74439-49e6-4c62-bdc5-cf683edab3d7&amp;suite_entity_num=t100387", "修复v0.0.2版本设置无法正确保存的问题")</f>
        <v>修复v0.0.2版本设置无法正确保存的问题</v>
      </c>
      <c r="B231"/>
      <c r="C231" t="inlineStr">
        <is>
          <t>默认分组</t>
        </is>
      </c>
      <c r="D231" t="inlineStr">
        <is>
          <t>1</t>
        </is>
      </c>
      <c r="E231"/>
      <c r="F231"/>
      <c r="G231" t="inlineStr">
        <is>
          <t>P0 - 必须处理</t>
        </is>
      </c>
      <c r="H231"/>
      <c r="I231">
        <v>0</v>
      </c>
      <c r="J231" t="inlineStr">
        <is>
          <t>或签任务</t>
        </is>
      </c>
      <c r="K231"/>
      <c r="L231" t="inlineStr">
        <is>
          <t>0</t>
        </is>
      </c>
      <c r="M231"/>
      <c r="N231" s="3">
        <v>45664.59206018518</v>
      </c>
      <c r="O231"/>
      <c r="P231"/>
      <c r="Q231" s="3"/>
      <c r="R231" s="3"/>
      <c r="S231" t="inlineStr">
        <is>
          <t>b1b74439-49e6-4c62-bdc5-cf683edab3d7</t>
        </is>
      </c>
      <c r="T231"/>
      <c r="U231"/>
      <c r="V231"/>
      <c r="W231">
        <v>0</v>
      </c>
      <c r="X231" t="inlineStr">
        <is>
          <t>龚政涛</t>
        </is>
      </c>
      <c r="Y231" t="inlineStr">
        <is>
          <t>龚政涛</t>
        </is>
      </c>
      <c r="Z231" s="3">
        <v>45661.02829861111</v>
      </c>
      <c r="AA231" s="3">
        <v>45664.59208333334</v>
      </c>
      <c r="AB231" s="2" t="str">
        <f>=HYPERLINK("https://applink.feishu.cn/client/todo/task_list?guid=76122b60-faec-4a61-91b0-2d229f32cc2a", "迷宫球")</f>
        <v>迷宫球</v>
      </c>
      <c r="AC231" t="inlineStr">
        <is>
          <t>76122b60-faec-4a61-91b0-2d229f32cc2a</t>
        </is>
      </c>
      <c r="AD231" t="inlineStr">
        <is>
          <t>NzUzMTk3MzcwNDkxNDg0NTY5NzpiMWI3NDQzOS00OWU2LTRjNjItYmRjNS1jZjY4M2VkYWIzZDc6ZGVjNTVlZDM4OWY5MDNkYTFlZGE1YmY3ZWVkOTc4NTU6MQ==</t>
        </is>
      </c>
      <c r="AE231"/>
    </row>
    <row r="232" ht="25.5" customHeight="1">
      <c r="A232" s="2" t="str">
        <f>=HYPERLINK("https://applink.feishu.cn/client/todo/detail?guid=ce24aa8e-d150-42ba-a954-c2c6d1faa6ab&amp;suite_entity_num=t100706", "✨新增: 更新了第一个“都市”关卡场景，修改了游戏场景的呈现方式，调整环境为更简单的视觉效果")</f>
        <v>✨新增: 更新了第一个“都市”关卡场景，修改了游戏场景的呈现方式，调整环境为更简单的视觉效果</v>
      </c>
      <c r="B232"/>
      <c r="C232" t="inlineStr">
        <is>
          <t>默认分组</t>
        </is>
      </c>
      <c r="D232" t="inlineStr">
        <is>
          <t>1</t>
        </is>
      </c>
      <c r="E232" t="inlineStr">
        <is>
          <t>已拆分</t>
        </is>
      </c>
      <c r="F232"/>
      <c r="G232" t="inlineStr">
        <is>
          <t>P1 - 最好处理</t>
        </is>
      </c>
      <c r="H232" t="inlineStr">
        <is>
          <t>✍️故事</t>
        </is>
      </c>
      <c r="I232">
        <v>6</v>
      </c>
      <c r="J232" t="inlineStr">
        <is>
          <t>或签任务</t>
        </is>
      </c>
      <c r="K232"/>
      <c r="L232" t="inlineStr">
        <is>
          <t>0</t>
        </is>
      </c>
      <c r="M232">
        <v>1</v>
      </c>
      <c r="N232" s="3">
        <v>45949.66310185185</v>
      </c>
      <c r="O232" t="inlineStr">
        <is>
          <t>v0.0.4</t>
        </is>
      </c>
      <c r="P232" t="inlineStr">
        <is>
          <t>龚政涛,S1UyuAy7E</t>
        </is>
      </c>
      <c r="Q232" s="3"/>
      <c r="R232" s="3"/>
      <c r="S232" t="inlineStr">
        <is>
          <t>ce24aa8e-d150-42ba-a954-c2c6d1faa6ab</t>
        </is>
      </c>
      <c r="T232"/>
      <c r="U232"/>
      <c r="V232"/>
      <c r="W232">
        <v>1</v>
      </c>
      <c r="X232" t="inlineStr">
        <is>
          <t>龚政涛,S1UyuAy7E</t>
        </is>
      </c>
      <c r="Y232" t="inlineStr">
        <is>
          <t>龚政涛</t>
        </is>
      </c>
      <c r="Z232" s="3">
        <v>45789.59384259259</v>
      </c>
      <c r="AA232" s="3">
        <v>45949.66311342592</v>
      </c>
      <c r="AB232" s="2" t="str">
        <f>=HYPERLINK("https://applink.feishu.cn/client/todo/task_list?guid=76122b60-faec-4a61-91b0-2d229f32cc2a", "迷宫球")</f>
        <v>迷宫球</v>
      </c>
      <c r="AC232" t="inlineStr">
        <is>
          <t>76122b60-faec-4a61-91b0-2d229f32cc2a</t>
        </is>
      </c>
      <c r="AD232" t="inlineStr">
        <is>
          <t>NzUzMTk3MzcwNDkxNDg0NTY5NzpjZTI0YWE4ZS1kMTUwLTQyYmEtYTk1NC1jMmM2ZDFmYWE2YWI6ZmM3MDg2NjVhNjhiZGVlYTNkMDE4OTFjZTU1ZmExZjQ6MQ==</t>
        </is>
      </c>
      <c r="AE232"/>
    </row>
    <row r="233" ht="25.5" customHeight="1">
      <c r="A233" s="2" t="str">
        <f>=HYPERLINK("https://applink.feishu.cn/client/todo/detail?guid=5ded97e8-d82a-43b3-b7c2-87d378416964&amp;suite_entity_num=t100351", "最佳记录在为0的时候不应该显示")</f>
        <v>最佳记录在为0的时候不应该显示</v>
      </c>
      <c r="B233"/>
      <c r="C233" t="inlineStr">
        <is>
          <t>默认分组</t>
        </is>
      </c>
      <c r="D233" t="inlineStr">
        <is>
          <t>1</t>
        </is>
      </c>
      <c r="E233"/>
      <c r="F233"/>
      <c r="G233"/>
      <c r="H233" t="inlineStr">
        <is>
          <t>🎨艺术</t>
        </is>
      </c>
      <c r="I233">
        <v>0</v>
      </c>
      <c r="J233" t="inlineStr">
        <is>
          <t>或签任务</t>
        </is>
      </c>
      <c r="K233"/>
      <c r="L233" t="inlineStr">
        <is>
          <t>0</t>
        </is>
      </c>
      <c r="M233"/>
      <c r="N233" s="3">
        <v>45649.59465277778</v>
      </c>
      <c r="O233"/>
      <c r="P233"/>
      <c r="Q233" s="3"/>
      <c r="R233" s="3"/>
      <c r="S233" t="inlineStr">
        <is>
          <t>5ded97e8-d82a-43b3-b7c2-87d378416964</t>
        </is>
      </c>
      <c r="T233"/>
      <c r="U233"/>
      <c r="V233"/>
      <c r="W233">
        <v>0</v>
      </c>
      <c r="X233" t="inlineStr">
        <is>
          <t>龚政涛</t>
        </is>
      </c>
      <c r="Y233" t="inlineStr">
        <is>
          <t>龚政涛</t>
        </is>
      </c>
      <c r="Z233" s="3">
        <v>45644.80482638889</v>
      </c>
      <c r="AA233" s="3">
        <v>45649.5946412037</v>
      </c>
      <c r="AB233" s="2" t="str">
        <f>=HYPERLINK("https://applink.feishu.cn/client/todo/task_list?guid=76122b60-faec-4a61-91b0-2d229f32cc2a", "迷宫球")</f>
        <v>迷宫球</v>
      </c>
      <c r="AC233" t="inlineStr">
        <is>
          <t>76122b60-faec-4a61-91b0-2d229f32cc2a</t>
        </is>
      </c>
      <c r="AD233" t="inlineStr">
        <is>
          <t>NzUzMTk3MzcwNDkxNDg0NTY5Nzo1ZGVkOTdlOC1kODJhLTQzYjMtYjdjMi04N2QzNzg0MTY5NjQ6NDI1MGVjM2ZlZTk4NzdmYjI4NjdlODE4NTJmOTBiZTk6MQ==</t>
        </is>
      </c>
      <c r="AE233"/>
    </row>
    <row r="234" ht="25.5" customHeight="1">
      <c r="A234" s="2" t="str">
        <f>=HYPERLINK("https://applink.feishu.cn/client/todo/detail?guid=1da527e6-0e27-403d-a4e6-3bde73a877b9&amp;suite_entity_num=t100352", "小球滚动没声音")</f>
        <v>小球滚动没声音</v>
      </c>
      <c r="B234"/>
      <c r="C234" t="inlineStr">
        <is>
          <t>默认分组</t>
        </is>
      </c>
      <c r="D234" t="inlineStr">
        <is>
          <t>1</t>
        </is>
      </c>
      <c r="E234"/>
      <c r="F234"/>
      <c r="G234"/>
      <c r="H234" t="inlineStr">
        <is>
          <t>🛠️技术</t>
        </is>
      </c>
      <c r="I234">
        <v>0</v>
      </c>
      <c r="J234" t="inlineStr">
        <is>
          <t>或签任务</t>
        </is>
      </c>
      <c r="K234"/>
      <c r="L234" t="inlineStr">
        <is>
          <t>0</t>
        </is>
      </c>
      <c r="M234"/>
      <c r="N234" s="3">
        <v>45649.59462962963</v>
      </c>
      <c r="O234"/>
      <c r="P234"/>
      <c r="Q234" s="3"/>
      <c r="R234" s="3"/>
      <c r="S234" t="inlineStr">
        <is>
          <t>1da527e6-0e27-403d-a4e6-3bde73a877b9</t>
        </is>
      </c>
      <c r="T234"/>
      <c r="U234"/>
      <c r="V234"/>
      <c r="W234">
        <v>0</v>
      </c>
      <c r="X234" t="inlineStr">
        <is>
          <t>龚政涛</t>
        </is>
      </c>
      <c r="Y234" t="inlineStr">
        <is>
          <t>龚政涛</t>
        </is>
      </c>
      <c r="Z234" s="3">
        <v>45644.80918981481</v>
      </c>
      <c r="AA234" s="3">
        <v>45649.594618055555</v>
      </c>
      <c r="AB234" s="2" t="str">
        <f>=HYPERLINK("https://applink.feishu.cn/client/todo/task_list?guid=76122b60-faec-4a61-91b0-2d229f32cc2a", "迷宫球")</f>
        <v>迷宫球</v>
      </c>
      <c r="AC234" t="inlineStr">
        <is>
          <t>76122b60-faec-4a61-91b0-2d229f32cc2a</t>
        </is>
      </c>
      <c r="AD234" t="inlineStr">
        <is>
          <t>NzUzMTk3MzcwNDkxNDg0NTY5NzoxZGE1MjdlNi0wZTI3LTQwM2QtYTRlNi0zYmRlNzNhODc3Yjk6YThiNzRiOGQzM2NhNDY0YWRlMjQ4NjRiMGE5NDJlMjg6MQ==</t>
        </is>
      </c>
      <c r="AE234"/>
    </row>
    <row r="235" ht="25.5" customHeight="1">
      <c r="A235" s="2" t="str">
        <f>=HYPERLINK("https://applink.feishu.cn/client/todo/detail?guid=77758d0e-5af5-4a4c-b0ad-b3e86221f656&amp;suite_entity_num=t100839", "✨新增: 增加了关卡编辑器功能，玩家现在可以使用已经解锁的模组搭建自己的关卡了，自定义迷宫可以以本地文件的形式进行分享")</f>
        <v>✨新增: 增加了关卡编辑器功能，玩家现在可以使用已经解锁的模组搭建自己的关卡了，自定义迷宫可以以本地文件的形式进行分享</v>
      </c>
      <c r="B235"/>
      <c r="C235" t="inlineStr">
        <is>
          <t>默认分组</t>
        </is>
      </c>
      <c r="D235" t="inlineStr">
        <is>
          <t>0</t>
        </is>
      </c>
      <c r="E235"/>
      <c r="F235"/>
      <c r="G235"/>
      <c r="H235"/>
      <c r="I235">
        <v>0</v>
      </c>
      <c r="J235" t="inlineStr">
        <is>
          <t>或签任务</t>
        </is>
      </c>
      <c r="K235"/>
      <c r="L235" t="inlineStr">
        <is>
          <t>0</t>
        </is>
      </c>
      <c r="M235"/>
      <c r="N235" s="3"/>
      <c r="O235" t="inlineStr">
        <is>
          <t>v0.1.0</t>
        </is>
      </c>
      <c r="P235" t="inlineStr">
        <is>
          <t>龚政涛,Decay</t>
        </is>
      </c>
      <c r="Q235" s="3"/>
      <c r="R235" s="3"/>
      <c r="S235" t="inlineStr">
        <is>
          <t>77758d0e-5af5-4a4c-b0ad-b3e86221f656</t>
        </is>
      </c>
      <c r="T235"/>
      <c r="U235"/>
      <c r="V235"/>
      <c r="W235">
        <v>0</v>
      </c>
      <c r="X235" t="inlineStr">
        <is>
          <t>龚政涛,Decay</t>
        </is>
      </c>
      <c r="Y235" t="inlineStr">
        <is>
          <t>龚政涛</t>
        </is>
      </c>
      <c r="Z235" s="3">
        <v>45846.42221064815</v>
      </c>
      <c r="AA235" s="3">
        <v>45846.81549768519</v>
      </c>
      <c r="AB235" s="2" t="str">
        <f>=HYPERLINK("https://applink.feishu.cn/client/todo/task_list?guid=76122b60-faec-4a61-91b0-2d229f32cc2a", "迷宫球")</f>
        <v>迷宫球</v>
      </c>
      <c r="AC235" t="inlineStr">
        <is>
          <t>76122b60-faec-4a61-91b0-2d229f32cc2a</t>
        </is>
      </c>
      <c r="AD235" t="inlineStr">
        <is>
          <t>NzUzMTk3MzcwNDkxNDg0NTY5Nzo3Nzc1OGQwZS01YWY1LTRhNGMtYjBhZC1iM2U4NjIyMWY2NTY6ZWMxNmZmNTJlMDY4MmMwY2Y2MzY3MGI2ZDhmZmU5ZjE6MQ==</t>
        </is>
      </c>
      <c r="AE235"/>
    </row>
    <row r="236" ht="25.5" customHeight="1">
      <c r="A236" s="2" t="str">
        <f>=HYPERLINK("https://applink.feishu.cn/client/todo/detail?guid=70eadbf1-1e75-4cea-a30d-6c29d6b87834&amp;suite_entity_num=t100833", "✨新增: 新增了“多重迷宫”本地同屏合作模式，迷宫将会被拆分成多个预设的部分，由2名玩家分别操作过关。")</f>
        <v>✨新增: 新增了“多重迷宫”本地同屏合作模式，迷宫将会被拆分成多个预设的部分，由2名玩家分别操作过关。</v>
      </c>
      <c r="B236"/>
      <c r="C236" t="inlineStr">
        <is>
          <t>默认分组</t>
        </is>
      </c>
      <c r="D236" t="inlineStr">
        <is>
          <t>1</t>
        </is>
      </c>
      <c r="E236" t="inlineStr">
        <is>
          <t>已拆分</t>
        </is>
      </c>
      <c r="F236"/>
      <c r="G236" t="inlineStr">
        <is>
          <t>P0 - 必须处理</t>
        </is>
      </c>
      <c r="H236" t="inlineStr">
        <is>
          <t>🎨艺术</t>
        </is>
      </c>
      <c r="I236">
        <v>10</v>
      </c>
      <c r="J236" t="inlineStr">
        <is>
          <t>或签任务</t>
        </is>
      </c>
      <c r="K236"/>
      <c r="L236" t="inlineStr">
        <is>
          <t>0</t>
        </is>
      </c>
      <c r="M236">
        <v>1</v>
      </c>
      <c r="N236" s="3">
        <v>45949.66229166667</v>
      </c>
      <c r="O236" t="inlineStr">
        <is>
          <t>v0.0.4</t>
        </is>
      </c>
      <c r="P236" t="inlineStr">
        <is>
          <t>Decay</t>
        </is>
      </c>
      <c r="Q236" s="3"/>
      <c r="R236" s="3"/>
      <c r="S236" t="inlineStr">
        <is>
          <t>70eadbf1-1e75-4cea-a30d-6c29d6b87834</t>
        </is>
      </c>
      <c r="T236"/>
      <c r="U236"/>
      <c r="V236"/>
      <c r="W236">
        <v>0</v>
      </c>
      <c r="X236" t="inlineStr">
        <is>
          <t>龚政涛,Decay</t>
        </is>
      </c>
      <c r="Y236" t="inlineStr">
        <is>
          <t>龚政涛</t>
        </is>
      </c>
      <c r="Z236" s="3">
        <v>45846.42190972222</v>
      </c>
      <c r="AA236" s="3">
        <v>45949.662303240744</v>
      </c>
      <c r="AB236" s="2" t="str">
        <f>=HYPERLINK("https://applink.feishu.cn/client/todo/task_list?guid=76122b60-faec-4a61-91b0-2d229f32cc2a", "迷宫球")</f>
        <v>迷宫球</v>
      </c>
      <c r="AC236" t="inlineStr">
        <is>
          <t>76122b60-faec-4a61-91b0-2d229f32cc2a</t>
        </is>
      </c>
      <c r="AD236" t="inlineStr">
        <is>
          <t>NzUzMTk3MzcwNDkxNDg0NTY5Nzo3MGVhZGJmMS0xZTc1LTRjZWEtYTMwZC02YzI5ZDZiODc4MzQ6NTk2OTFkYjUzN2ZhNjE0ZTljZTE0Y2NmYjhlMzQ2MWQ6MQ==</t>
        </is>
      </c>
      <c r="AE236"/>
    </row>
    <row r="237" ht="25.5" customHeight="1">
      <c r="A237" s="2" t="str">
        <f>=HYPERLINK("https://applink.feishu.cn/client/todo/detail?guid=d469aa22-5e1c-4910-bfa2-be3f13cb397d&amp;suite_entity_num=t100837", "🪡修改: 新增了基于重力感应的迷宫控制输入支持，现在可以兼容PS4、PS5、SWITCH手柄以及其他和STEAM DECK同规格的陀螺仪协议的掌机设备输入 -&gt; 和发行商对一下开发机的情况")</f>
        <v>🪡修改: 新增了基于重力感应的迷宫控制输入支持，现在可以兼容PS4、PS5、SWITCH手柄以及其他和STEAM DECK同规格的陀螺仪协议的掌机设备输入 -&gt; 和发行商对一下开发机的情况</v>
      </c>
      <c r="B237"/>
      <c r="C237" t="inlineStr">
        <is>
          <t>默认分组</t>
        </is>
      </c>
      <c r="D237" t="inlineStr">
        <is>
          <t>0</t>
        </is>
      </c>
      <c r="E237"/>
      <c r="F237"/>
      <c r="G237"/>
      <c r="H237"/>
      <c r="I237">
        <v>0</v>
      </c>
      <c r="J237" t="inlineStr">
        <is>
          <t>或签任务</t>
        </is>
      </c>
      <c r="K237"/>
      <c r="L237" t="inlineStr">
        <is>
          <t>0</t>
        </is>
      </c>
      <c r="M237"/>
      <c r="N237" s="3"/>
      <c r="O237" t="inlineStr">
        <is>
          <t>v0.1.0</t>
        </is>
      </c>
      <c r="P237" t="inlineStr">
        <is>
          <t>Decay,龚政涛</t>
        </is>
      </c>
      <c r="Q237" s="3"/>
      <c r="R237" s="3"/>
      <c r="S237" t="inlineStr">
        <is>
          <t>d469aa22-5e1c-4910-bfa2-be3f13cb397d</t>
        </is>
      </c>
      <c r="T237"/>
      <c r="U237"/>
      <c r="V237"/>
      <c r="W237">
        <v>0</v>
      </c>
      <c r="X237" t="inlineStr">
        <is>
          <t>龚政涛,Decay</t>
        </is>
      </c>
      <c r="Y237" t="inlineStr">
        <is>
          <t>龚政涛</t>
        </is>
      </c>
      <c r="Z237" s="3">
        <v>45846.42202546296</v>
      </c>
      <c r="AA237" s="3">
        <v>45846.85042824074</v>
      </c>
      <c r="AB237" s="2" t="str">
        <f>=HYPERLINK("https://applink.feishu.cn/client/todo/task_list?guid=76122b60-faec-4a61-91b0-2d229f32cc2a", "迷宫球")</f>
        <v>迷宫球</v>
      </c>
      <c r="AC237" t="inlineStr">
        <is>
          <t>76122b60-faec-4a61-91b0-2d229f32cc2a</t>
        </is>
      </c>
      <c r="AD237" t="inlineStr">
        <is>
          <t>NzUzMTk3MzcwNDkxNDg0NTY5NzpkNDY5YWEyMi01ZTFjLTQ5MTAtYmZhMi1iZTNmMTNjYjM5N2Q6MDJmN2RhOWYzMzVmNzhhNjYyODM1MDk5Mjc2OTU0MmM6MQ==</t>
        </is>
      </c>
      <c r="AE237"/>
    </row>
    <row r="238" ht="25.5" customHeight="1">
      <c r="A238" s="2" t="str">
        <f>=HYPERLINK("https://applink.feishu.cn/client/todo/detail?guid=e2a9a5a9-e11c-48bc-8e09-2d858edeaea6&amp;suite_entity_num=t100840", "✨新增: 增加了2个新的主题关卡玩法")</f>
        <v>✨新增: 增加了2个新的主题关卡玩法</v>
      </c>
      <c r="B238"/>
      <c r="C238" t="inlineStr">
        <is>
          <t>默认分组</t>
        </is>
      </c>
      <c r="D238" t="inlineStr">
        <is>
          <t>0</t>
        </is>
      </c>
      <c r="E238"/>
      <c r="F238"/>
      <c r="G238"/>
      <c r="H238"/>
      <c r="I238">
        <v>0</v>
      </c>
      <c r="J238" t="inlineStr">
        <is>
          <t>或签任务</t>
        </is>
      </c>
      <c r="K238"/>
      <c r="L238" t="inlineStr">
        <is>
          <t>0</t>
        </is>
      </c>
      <c r="M238"/>
      <c r="N238" s="3"/>
      <c r="O238" t="inlineStr">
        <is>
          <t>v0.1.0</t>
        </is>
      </c>
      <c r="P238" t="inlineStr">
        <is>
          <t>龚政涛,Decay</t>
        </is>
      </c>
      <c r="Q238" s="3"/>
      <c r="R238" s="3"/>
      <c r="S238" t="inlineStr">
        <is>
          <t>e2a9a5a9-e11c-48bc-8e09-2d858edeaea6</t>
        </is>
      </c>
      <c r="T238"/>
      <c r="U238"/>
      <c r="V238"/>
      <c r="W238">
        <v>0</v>
      </c>
      <c r="X238" t="inlineStr">
        <is>
          <t>龚政涛,Decay</t>
        </is>
      </c>
      <c r="Y238" t="inlineStr">
        <is>
          <t>龚政涛</t>
        </is>
      </c>
      <c r="Z238" s="3">
        <v>45846.422268518516</v>
      </c>
      <c r="AA238" s="3">
        <v>45846.81539351852</v>
      </c>
      <c r="AB238" s="2" t="str">
        <f>=HYPERLINK("https://applink.feishu.cn/client/todo/task_list?guid=76122b60-faec-4a61-91b0-2d229f32cc2a", "迷宫球")</f>
        <v>迷宫球</v>
      </c>
      <c r="AC238" t="inlineStr">
        <is>
          <t>76122b60-faec-4a61-91b0-2d229f32cc2a</t>
        </is>
      </c>
      <c r="AD238" t="inlineStr">
        <is>
          <t>NzUzMTk3MzcwNDkxNDg0NTY5NzplMmE5YTVhOS1lMTFjLTQ4YmMtOGUwOS0yZDg1OGVkZWFlYTY6YzcxZmIxNTdmMjEzNjY5YjE5YzFjY2VlMGVkMTYyNTc6MQ==</t>
        </is>
      </c>
      <c r="AE238"/>
    </row>
    <row r="239" ht="25.5" customHeight="1">
      <c r="A239" s="2" t="str">
        <f>=HYPERLINK("https://applink.feishu.cn/client/todo/detail?guid=4390d5cc-748a-4e94-8a0d-e22d0fa5122c&amp;suite_entity_num=t100827", "✨新增: 现在小球有更精细的滚动和碰撞音效了")</f>
        <v>✨新增: 现在小球有更精细的滚动和碰撞音效了</v>
      </c>
      <c r="B239"/>
      <c r="C239" t="inlineStr">
        <is>
          <t>默认分组</t>
        </is>
      </c>
      <c r="D239" t="inlineStr">
        <is>
          <t>0</t>
        </is>
      </c>
      <c r="E239" t="inlineStr">
        <is>
          <t>已拆分</t>
        </is>
      </c>
      <c r="F239"/>
      <c r="G239"/>
      <c r="H239" t="inlineStr">
        <is>
          <t>🎨艺术</t>
        </is>
      </c>
      <c r="I239">
        <v>7</v>
      </c>
      <c r="J239" t="inlineStr">
        <is>
          <t>或签任务</t>
        </is>
      </c>
      <c r="K239"/>
      <c r="L239" t="inlineStr">
        <is>
          <t>0</t>
        </is>
      </c>
      <c r="M239">
        <v>0</v>
      </c>
      <c r="N239" s="3"/>
      <c r="O239" t="inlineStr">
        <is>
          <t>v0.0.5</t>
        </is>
      </c>
      <c r="P239" t="inlineStr">
        <is>
          <t>周晨锋</t>
        </is>
      </c>
      <c r="Q239" s="3"/>
      <c r="R239" s="3"/>
      <c r="S239" t="inlineStr">
        <is>
          <t>4390d5cc-748a-4e94-8a0d-e22d0fa5122c</t>
        </is>
      </c>
      <c r="T239"/>
      <c r="U239"/>
      <c r="V239"/>
      <c r="W239">
        <v>0</v>
      </c>
      <c r="X239" t="inlineStr">
        <is>
          <t>龚政涛,周晨锋</t>
        </is>
      </c>
      <c r="Y239" t="inlineStr">
        <is>
          <t>龚政涛</t>
        </is>
      </c>
      <c r="Z239" s="3">
        <v>45846.420381944445</v>
      </c>
      <c r="AA239" s="3">
        <v>45950.40488425926</v>
      </c>
      <c r="AB239" s="2" t="str">
        <f>=HYPERLINK("https://applink.feishu.cn/client/todo/task_list?guid=76122b60-faec-4a61-91b0-2d229f32cc2a", "迷宫球")</f>
        <v>迷宫球</v>
      </c>
      <c r="AC239" t="inlineStr">
        <is>
          <t>76122b60-faec-4a61-91b0-2d229f32cc2a</t>
        </is>
      </c>
      <c r="AD239" t="inlineStr">
        <is>
          <t>NzUzMTk3MzcwNDkxNDg0NTY5Nzo0MzkwZDVjYy03NDhhLTRlOTQtOGEwZC1lMjJkMGZhNTEyMmM6OThlZjcxZmFlNTMxYjBiZGZkNTk1ZWE4MjY0YjliZmY6MQ==</t>
        </is>
      </c>
      <c r="AE239"/>
    </row>
    <row r="240" ht="25.5" customHeight="1">
      <c r="A240" s="2" t="str">
        <f>=HYPERLINK("https://applink.feishu.cn/client/todo/detail?guid=08d75524-6c33-4f4c-b187-fbe3b8c08c47&amp;suite_entity_num=t100838", "✨新增: 增加了新的主题关卡和对应的背景音乐、体素轨道模型")</f>
        <v>✨新增: 增加了新的主题关卡和对应的背景音乐、体素轨道模型</v>
      </c>
      <c r="B240"/>
      <c r="C240" t="inlineStr">
        <is>
          <t>默认分组</t>
        </is>
      </c>
      <c r="D240" t="inlineStr">
        <is>
          <t>0</t>
        </is>
      </c>
      <c r="E240"/>
      <c r="F240"/>
      <c r="G240"/>
      <c r="H240"/>
      <c r="I240">
        <v>0</v>
      </c>
      <c r="J240" t="inlineStr">
        <is>
          <t>或签任务</t>
        </is>
      </c>
      <c r="K240"/>
      <c r="L240" t="inlineStr">
        <is>
          <t>0</t>
        </is>
      </c>
      <c r="M240"/>
      <c r="N240" s="3"/>
      <c r="O240" t="inlineStr">
        <is>
          <t>v0.1.0</t>
        </is>
      </c>
      <c r="P240" t="inlineStr">
        <is>
          <t>龚政涛,S1UyuAy7E</t>
        </is>
      </c>
      <c r="Q240" s="3"/>
      <c r="R240" s="3"/>
      <c r="S240" t="inlineStr">
        <is>
          <t>08d75524-6c33-4f4c-b187-fbe3b8c08c47</t>
        </is>
      </c>
      <c r="T240"/>
      <c r="U240"/>
      <c r="V240"/>
      <c r="W240">
        <v>0</v>
      </c>
      <c r="X240" t="inlineStr">
        <is>
          <t>龚政涛,S1UyuAy7E</t>
        </is>
      </c>
      <c r="Y240" t="inlineStr">
        <is>
          <t>龚政涛</t>
        </is>
      </c>
      <c r="Z240" s="3">
        <v>45846.42212962963</v>
      </c>
      <c r="AA240" s="3">
        <v>45846.85023148148</v>
      </c>
      <c r="AB240" s="2" t="str">
        <f>=HYPERLINK("https://applink.feishu.cn/client/todo/task_list?guid=76122b60-faec-4a61-91b0-2d229f32cc2a", "迷宫球")</f>
        <v>迷宫球</v>
      </c>
      <c r="AC240" t="inlineStr">
        <is>
          <t>76122b60-faec-4a61-91b0-2d229f32cc2a</t>
        </is>
      </c>
      <c r="AD240" t="inlineStr">
        <is>
          <t>NzUzMTk3MzcwNDkxNDg0NTY5NzowOGQ3NTUyNC02YzMzLTRmNGMtYjE4Ny1mYmUzYjhjMDhjNDc6ZDYyOTUxNTk4NTIzYzkzNzdiNGUxYzMwNmRjMTFhYjU6MQ==</t>
        </is>
      </c>
      <c r="AE240"/>
    </row>
    <row r="241" ht="25.5" customHeight="1">
      <c r="A241" s="2" t="str">
        <f>=HYPERLINK("https://applink.feishu.cn/client/todo/detail?guid=13649d48-88e1-4ebc-9aec-97024a412687&amp;suite_entity_num=t100834", "✨新增: 新增了更高质量的GUI，包括设置选单，现在玩家可以更自由的调整键位和游戏设置了")</f>
        <v>✨新增: 新增了更高质量的GUI，包括设置选单，现在玩家可以更自由的调整键位和游戏设置了</v>
      </c>
      <c r="B241"/>
      <c r="C241" t="inlineStr">
        <is>
          <t>默认分组</t>
        </is>
      </c>
      <c r="D241" t="inlineStr">
        <is>
          <t>0</t>
        </is>
      </c>
      <c r="E241" t="inlineStr">
        <is>
          <t>进行中</t>
        </is>
      </c>
      <c r="F241">
        <v>8</v>
      </c>
      <c r="G241" t="inlineStr">
        <is>
          <t>P0 - 必须处理</t>
        </is>
      </c>
      <c r="H241" t="inlineStr">
        <is>
          <t>🛠️技术</t>
        </is>
      </c>
      <c r="I241">
        <v>0</v>
      </c>
      <c r="J241" t="inlineStr">
        <is>
          <t>或签任务</t>
        </is>
      </c>
      <c r="K241"/>
      <c r="L241" t="inlineStr">
        <is>
          <t>0</t>
        </is>
      </c>
      <c r="M241"/>
      <c r="N241" s="3"/>
      <c r="O241" t="inlineStr">
        <is>
          <t>v0.0.5</t>
        </is>
      </c>
      <c r="P241" t="inlineStr">
        <is>
          <t>周晨锋</t>
        </is>
      </c>
      <c r="Q241" s="3"/>
      <c r="R241" s="3"/>
      <c r="S241" t="inlineStr">
        <is>
          <t>13649d48-88e1-4ebc-9aec-97024a412687</t>
        </is>
      </c>
      <c r="T241"/>
      <c r="U241"/>
      <c r="V241"/>
      <c r="W241">
        <v>0</v>
      </c>
      <c r="X241" t="inlineStr">
        <is>
          <t>龚政涛,Decay,周晨锋</t>
        </is>
      </c>
      <c r="Y241" t="inlineStr">
        <is>
          <t>龚政涛</t>
        </is>
      </c>
      <c r="Z241" s="3">
        <v>45846.4219212963</v>
      </c>
      <c r="AA241" s="3">
        <v>45961.41886574074</v>
      </c>
      <c r="AB241" s="2" t="str">
        <f>=HYPERLINK("https://applink.feishu.cn/client/todo/task_list?guid=76122b60-faec-4a61-91b0-2d229f32cc2a", "迷宫球")</f>
        <v>迷宫球</v>
      </c>
      <c r="AC241" t="inlineStr">
        <is>
          <t>76122b60-faec-4a61-91b0-2d229f32cc2a</t>
        </is>
      </c>
      <c r="AD241" t="inlineStr">
        <is>
          <t>NzUzMTk3MzcwNDkxNDg0NTY5NzoxMzY0OWQ0OC04OGUxLTRlYmMtOWFlYy05NzAyNGE0MTI2ODc6NGNmNWJmNzFhNjRiZjk1OWEzM2ZhNzIyOGM0NGNlNDM6MQ==</t>
        </is>
      </c>
      <c r="AE241"/>
    </row>
    <row r="242" ht="25.5" customHeight="1">
      <c r="A242" s="2" t="str">
        <f>=HYPERLINK("https://applink.feishu.cn/client/todo/detail?guid=714b4bb1-517e-41eb-b134-dedc1c2074ab&amp;suite_entity_num=t100851", "✨新增: 增加了关卡编辑器功能，玩家现在可以使用已经解锁的模组搭建自己的关卡了，自定义迷宫可以以本地文件/STEAM创意工坊的形式进行分享")</f>
        <v>✨新增: 增加了关卡编辑器功能，玩家现在可以使用已经解锁的模组搭建自己的关卡了，自定义迷宫可以以本地文件/STEAM创意工坊的形式进行分享</v>
      </c>
      <c r="B242"/>
      <c r="C242" t="inlineStr">
        <is>
          <t>默认分组</t>
        </is>
      </c>
      <c r="D242" t="inlineStr">
        <is>
          <t>0</t>
        </is>
      </c>
      <c r="E242"/>
      <c r="F242"/>
      <c r="G242"/>
      <c r="H242"/>
      <c r="I242">
        <v>0</v>
      </c>
      <c r="J242" t="inlineStr">
        <is>
          <t>或签任务</t>
        </is>
      </c>
      <c r="K242"/>
      <c r="L242" t="inlineStr">
        <is>
          <t>0</t>
        </is>
      </c>
      <c r="M242"/>
      <c r="N242" s="3"/>
      <c r="O242" t="inlineStr">
        <is>
          <t>v1.0.0</t>
        </is>
      </c>
      <c r="P242" t="inlineStr">
        <is>
          <t>龚政涛,Decay</t>
        </is>
      </c>
      <c r="Q242" s="3"/>
      <c r="R242" s="3"/>
      <c r="S242" t="inlineStr">
        <is>
          <t>714b4bb1-517e-41eb-b134-dedc1c2074ab</t>
        </is>
      </c>
      <c r="T242"/>
      <c r="U242"/>
      <c r="V242"/>
      <c r="W242">
        <v>0</v>
      </c>
      <c r="X242" t="inlineStr">
        <is>
          <t>龚政涛,Decay</t>
        </is>
      </c>
      <c r="Y242" t="inlineStr">
        <is>
          <t>龚政涛</t>
        </is>
      </c>
      <c r="Z242" s="3">
        <v>45846.4315162037</v>
      </c>
      <c r="AA242" s="3">
        <v>45846.81502314815</v>
      </c>
      <c r="AB242" s="2" t="str">
        <f>=HYPERLINK("https://applink.feishu.cn/client/todo/task_list?guid=76122b60-faec-4a61-91b0-2d229f32cc2a", "迷宫球")</f>
        <v>迷宫球</v>
      </c>
      <c r="AC242" t="inlineStr">
        <is>
          <t>76122b60-faec-4a61-91b0-2d229f32cc2a</t>
        </is>
      </c>
      <c r="AD242" t="inlineStr">
        <is>
          <t>NzUzMTk3MzcwNDkxNDg0NTY5Nzo3MTRiNGJiMS01MTdlLTQxZWItYjEzNC1kZWRjMWMyMDc0YWI6NDBjYWE1M2JhMGQ0OGNmNjYyMTQ5YTViZGNkOWVkY2Q6MQ==</t>
        </is>
      </c>
      <c r="AE242"/>
    </row>
    <row r="243" ht="25.5" customHeight="1">
      <c r="A243" s="2" t="str">
        <f>=HYPERLINK("https://applink.feishu.cn/client/todo/detail?guid=b1c01d13-c148-47f1-a522-2883aa7f63de&amp;suite_entity_num=t100850", "✨新增: 新增了额外的存档槽位，现在游戏可以保存最多3个不同的存档进度")</f>
        <v>✨新增: 新增了额外的存档槽位，现在游戏可以保存最多3个不同的存档进度</v>
      </c>
      <c r="B243"/>
      <c r="C243" t="inlineStr">
        <is>
          <t>默认分组</t>
        </is>
      </c>
      <c r="D243" t="inlineStr">
        <is>
          <t>0</t>
        </is>
      </c>
      <c r="E243"/>
      <c r="F243"/>
      <c r="G243"/>
      <c r="H243"/>
      <c r="I243">
        <v>0</v>
      </c>
      <c r="J243" t="inlineStr">
        <is>
          <t>或签任务</t>
        </is>
      </c>
      <c r="K243"/>
      <c r="L243" t="inlineStr">
        <is>
          <t>0</t>
        </is>
      </c>
      <c r="M243"/>
      <c r="N243" s="3"/>
      <c r="O243" t="inlineStr">
        <is>
          <t>v1.0.0</t>
        </is>
      </c>
      <c r="P243" t="inlineStr">
        <is>
          <t>Decay</t>
        </is>
      </c>
      <c r="Q243" s="3"/>
      <c r="R243" s="3"/>
      <c r="S243" t="inlineStr">
        <is>
          <t>b1c01d13-c148-47f1-a522-2883aa7f63de</t>
        </is>
      </c>
      <c r="T243"/>
      <c r="U243"/>
      <c r="V243"/>
      <c r="W243">
        <v>0</v>
      </c>
      <c r="X243" t="inlineStr">
        <is>
          <t>龚政涛,Decay</t>
        </is>
      </c>
      <c r="Y243" t="inlineStr">
        <is>
          <t>龚政涛</t>
        </is>
      </c>
      <c r="Z243" s="3">
        <v>45846.431493055556</v>
      </c>
      <c r="AA243" s="3">
        <v>45846.81508101852</v>
      </c>
      <c r="AB243" s="2" t="str">
        <f>=HYPERLINK("https://applink.feishu.cn/client/todo/task_list?guid=76122b60-faec-4a61-91b0-2d229f32cc2a", "迷宫球")</f>
        <v>迷宫球</v>
      </c>
      <c r="AC243" t="inlineStr">
        <is>
          <t>76122b60-faec-4a61-91b0-2d229f32cc2a</t>
        </is>
      </c>
      <c r="AD243" t="inlineStr">
        <is>
          <t>NzUzMTk3MzcwNDkxNDg0NTY5NzpiMWMwMWQxMy1jMTQ4LTQ3ZjEtYTUyMi0yODgzYWE3ZjYzZGU6OTJmMzQ1ODFiNTg4NjU2ZmFlNDk3MWZkYTg2NDcxNjE6MQ==</t>
        </is>
      </c>
      <c r="AE243"/>
    </row>
    <row r="244" ht="25.5" customHeight="1">
      <c r="A244" s="2" t="str">
        <f>=HYPERLINK("https://applink.feishu.cn/client/todo/detail?guid=de548142-645d-4c75-8603-700f07915102&amp;suite_entity_num=t100841", "✨新增: 新增了标准关卡“多重迷宫”的混乱模式，该模式将会随机拆分迷宫提供挑战")</f>
        <v>✨新增: 新增了标准关卡“多重迷宫”的混乱模式，该模式将会随机拆分迷宫提供挑战</v>
      </c>
      <c r="B244"/>
      <c r="C244" t="inlineStr">
        <is>
          <t>默认分组</t>
        </is>
      </c>
      <c r="D244" t="inlineStr">
        <is>
          <t>0</t>
        </is>
      </c>
      <c r="E244"/>
      <c r="F244"/>
      <c r="G244"/>
      <c r="H244"/>
      <c r="I244">
        <v>0</v>
      </c>
      <c r="J244" t="inlineStr">
        <is>
          <t>或签任务</t>
        </is>
      </c>
      <c r="K244"/>
      <c r="L244" t="inlineStr">
        <is>
          <t>0</t>
        </is>
      </c>
      <c r="M244"/>
      <c r="N244" s="3"/>
      <c r="O244" t="inlineStr">
        <is>
          <t>v1.X.0</t>
        </is>
      </c>
      <c r="P244" t="inlineStr">
        <is>
          <t>龚政涛</t>
        </is>
      </c>
      <c r="Q244" s="3"/>
      <c r="R244" s="3"/>
      <c r="S244" t="inlineStr">
        <is>
          <t>de548142-645d-4c75-8603-700f07915102</t>
        </is>
      </c>
      <c r="T244"/>
      <c r="U244"/>
      <c r="V244"/>
      <c r="W244">
        <v>0</v>
      </c>
      <c r="X244" t="inlineStr">
        <is>
          <t>龚政涛</t>
        </is>
      </c>
      <c r="Y244" t="inlineStr">
        <is>
          <t>龚政涛</t>
        </is>
      </c>
      <c r="Z244" s="3">
        <v>45846.42233796296</v>
      </c>
      <c r="AA244" s="3">
        <v>45846.85016203704</v>
      </c>
      <c r="AB244" s="2" t="str">
        <f>=HYPERLINK("https://applink.feishu.cn/client/todo/task_list?guid=76122b60-faec-4a61-91b0-2d229f32cc2a", "迷宫球")</f>
        <v>迷宫球</v>
      </c>
      <c r="AC244" t="inlineStr">
        <is>
          <t>76122b60-faec-4a61-91b0-2d229f32cc2a</t>
        </is>
      </c>
      <c r="AD244" t="inlineStr">
        <is>
          <t>NzUzMTk3MzcwNDkxNDg0NTY5NzpkZTU0ODE0Mi02NDVkLTRjNzUtODYwMy03MDBmMDc5MTUxMDI6YTk2ODIxYzM3MGVkNDE2MDBjOGE4ZWI3ZGRhNzJiMGI6MQ==</t>
        </is>
      </c>
      <c r="AE244"/>
    </row>
    <row r="245" ht="25.5" customHeight="1">
      <c r="A245" s="2" t="str">
        <f>=HYPERLINK("https://applink.feishu.cn/client/todo/detail?guid=074aa242-b953-48e5-a630-8865399a40f6&amp;suite_entity_num=t100855", "✨新增: 新增了STEAM创意工坊支持，现在玩家可以上传和下载其他玩家制作的迷宫了。迷宫在上传前，迷宫设计者至少需要用“普通球”完成一次95%以上完成度的通关")</f>
        <v>✨新增: 新增了STEAM创意工坊支持，现在玩家可以上传和下载其他玩家制作的迷宫了。迷宫在上传前，迷宫设计者至少需要用“普通球”完成一次95%以上完成度的通关</v>
      </c>
      <c r="B245"/>
      <c r="C245" t="inlineStr">
        <is>
          <t>默认分组</t>
        </is>
      </c>
      <c r="D245" t="inlineStr">
        <is>
          <t>0</t>
        </is>
      </c>
      <c r="E245"/>
      <c r="F245"/>
      <c r="G245"/>
      <c r="H245"/>
      <c r="I245">
        <v>0</v>
      </c>
      <c r="J245" t="inlineStr">
        <is>
          <t>或签任务</t>
        </is>
      </c>
      <c r="K245"/>
      <c r="L245" t="inlineStr">
        <is>
          <t>0</t>
        </is>
      </c>
      <c r="M245"/>
      <c r="N245" s="3"/>
      <c r="O245" t="inlineStr">
        <is>
          <t>v1.0.0</t>
        </is>
      </c>
      <c r="P245" t="inlineStr">
        <is>
          <t>Decay</t>
        </is>
      </c>
      <c r="Q245" s="3"/>
      <c r="R245" s="3"/>
      <c r="S245" t="inlineStr">
        <is>
          <t>074aa242-b953-48e5-a630-8865399a40f6</t>
        </is>
      </c>
      <c r="T245"/>
      <c r="U245"/>
      <c r="V245"/>
      <c r="W245">
        <v>0</v>
      </c>
      <c r="X245" t="inlineStr">
        <is>
          <t>龚政涛,Decay</t>
        </is>
      </c>
      <c r="Y245" t="inlineStr">
        <is>
          <t>龚政涛</t>
        </is>
      </c>
      <c r="Z245" s="3">
        <v>45846.43157407407</v>
      </c>
      <c r="AA245" s="3">
        <v>45846.814571759256</v>
      </c>
      <c r="AB245" s="2" t="str">
        <f>=HYPERLINK("https://applink.feishu.cn/client/todo/task_list?guid=76122b60-faec-4a61-91b0-2d229f32cc2a", "迷宫球")</f>
        <v>迷宫球</v>
      </c>
      <c r="AC245" t="inlineStr">
        <is>
          <t>76122b60-faec-4a61-91b0-2d229f32cc2a</t>
        </is>
      </c>
      <c r="AD245" t="inlineStr">
        <is>
          <t>NzUzMTk3MzcwNDkxNDg0NTY5NzowNzRhYTI0Mi1iOTUzLTQ4ZTUtYTYzMC04ODY1Mzk5YTQwZjY6ZjUyMjM3M2MyMDk3NDEzZjNjNWQzZmEzNjg5ZDQzMmY6MQ==</t>
        </is>
      </c>
      <c r="AE245"/>
    </row>
    <row r="246" ht="25.5" customHeight="1">
      <c r="A246" s="2" t="str">
        <f>=HYPERLINK("https://applink.feishu.cn/client/todo/detail?guid=9845847c-3283-4b2a-b018-8c885c3e4530&amp;suite_entity_num=t100847", "✨新增: 新增了“多重迷宫”在线联机挑战模式，支持1位玩家开启房间、至多3位玩家参与挑战")</f>
        <v>✨新增: 新增了“多重迷宫”在线联机挑战模式，支持1位玩家开启房间、至多3位玩家参与挑战</v>
      </c>
      <c r="B246"/>
      <c r="C246" t="inlineStr">
        <is>
          <t>默认分组</t>
        </is>
      </c>
      <c r="D246" t="inlineStr">
        <is>
          <t>0</t>
        </is>
      </c>
      <c r="E246"/>
      <c r="F246"/>
      <c r="G246"/>
      <c r="H246"/>
      <c r="I246">
        <v>0</v>
      </c>
      <c r="J246" t="inlineStr">
        <is>
          <t>或签任务</t>
        </is>
      </c>
      <c r="K246"/>
      <c r="L246" t="inlineStr">
        <is>
          <t>0</t>
        </is>
      </c>
      <c r="M246"/>
      <c r="N246" s="3"/>
      <c r="O246" t="inlineStr">
        <is>
          <t>v1.X.0</t>
        </is>
      </c>
      <c r="P246" t="inlineStr">
        <is>
          <t>Decay</t>
        </is>
      </c>
      <c r="Q246" s="3"/>
      <c r="R246" s="3"/>
      <c r="S246" t="inlineStr">
        <is>
          <t>9845847c-3283-4b2a-b018-8c885c3e4530</t>
        </is>
      </c>
      <c r="T246"/>
      <c r="U246"/>
      <c r="V246"/>
      <c r="W246">
        <v>0</v>
      </c>
      <c r="X246" t="inlineStr">
        <is>
          <t>龚政涛,Decay</t>
        </is>
      </c>
      <c r="Y246" t="inlineStr">
        <is>
          <t>龚政涛</t>
        </is>
      </c>
      <c r="Z246" s="3">
        <v>45846.431435185186</v>
      </c>
      <c r="AA246" s="3">
        <v>45846.81519675926</v>
      </c>
      <c r="AB246" s="2" t="str">
        <f>=HYPERLINK("https://applink.feishu.cn/client/todo/task_list?guid=76122b60-faec-4a61-91b0-2d229f32cc2a", "迷宫球")</f>
        <v>迷宫球</v>
      </c>
      <c r="AC246" t="inlineStr">
        <is>
          <t>76122b60-faec-4a61-91b0-2d229f32cc2a</t>
        </is>
      </c>
      <c r="AD246" t="inlineStr">
        <is>
          <t>NzUzMTk3MzcwNDkxNDg0NTY5Nzo5ODQ1ODQ3Yy0zMjgzLTRiMmEtYjAxOC04Yzg4NWMzZTQ1MzA6YWE3OTQ0MTExZDVkYTdjMDkxNjU4NWUwYmVjMTk2NDY6MQ==</t>
        </is>
      </c>
      <c r="AE246"/>
    </row>
    <row r="247" ht="25.5" customHeight="1">
      <c r="A247" s="2" t="str">
        <f>=HYPERLINK("https://applink.feishu.cn/client/todo/detail?guid=d6610a09-f197-46cd-8924-8b5f53d69d87&amp;suite_entity_num=t100854", "✨新增: 增加了3个新的主题关卡玩法")</f>
        <v>✨新增: 增加了3个新的主题关卡玩法</v>
      </c>
      <c r="B247"/>
      <c r="C247" t="inlineStr">
        <is>
          <t>默认分组</t>
        </is>
      </c>
      <c r="D247" t="inlineStr">
        <is>
          <t>0</t>
        </is>
      </c>
      <c r="E247"/>
      <c r="F247"/>
      <c r="G247"/>
      <c r="H247"/>
      <c r="I247">
        <v>0</v>
      </c>
      <c r="J247" t="inlineStr">
        <is>
          <t>或签任务</t>
        </is>
      </c>
      <c r="K247"/>
      <c r="L247" t="inlineStr">
        <is>
          <t>0</t>
        </is>
      </c>
      <c r="M247"/>
      <c r="N247" s="3"/>
      <c r="O247" t="inlineStr">
        <is>
          <t>v1.0.0</t>
        </is>
      </c>
      <c r="P247" t="inlineStr">
        <is>
          <t>龚政涛,Decay</t>
        </is>
      </c>
      <c r="Q247" s="3"/>
      <c r="R247" s="3"/>
      <c r="S247" t="inlineStr">
        <is>
          <t>d6610a09-f197-46cd-8924-8b5f53d69d87</t>
        </is>
      </c>
      <c r="T247"/>
      <c r="U247"/>
      <c r="V247"/>
      <c r="W247">
        <v>0</v>
      </c>
      <c r="X247" t="inlineStr">
        <is>
          <t>龚政涛,Decay</t>
        </is>
      </c>
      <c r="Y247" t="inlineStr">
        <is>
          <t>龚政涛</t>
        </is>
      </c>
      <c r="Z247" s="3">
        <v>45846.4315625</v>
      </c>
      <c r="AA247" s="3">
        <v>45846.81462962963</v>
      </c>
      <c r="AB247" s="2" t="str">
        <f>=HYPERLINK("https://applink.feishu.cn/client/todo/task_list?guid=76122b60-faec-4a61-91b0-2d229f32cc2a", "迷宫球")</f>
        <v>迷宫球</v>
      </c>
      <c r="AC247" t="inlineStr">
        <is>
          <t>76122b60-faec-4a61-91b0-2d229f32cc2a</t>
        </is>
      </c>
      <c r="AD247" t="inlineStr">
        <is>
          <t>NzUzMTk3MzcwNDkxNDg0NTY5NzpkNjYxMGEwOS1mMTk3LTQ2Y2QtODkyNC04YjVmNTNkNjlkODc6OTViMzJmNmE5MmY1ZWY2NzhiNGI1YmQwOWE3ZjNiY2I6MQ==</t>
        </is>
      </c>
      <c r="AE247"/>
    </row>
    <row r="248" ht="25.5" customHeight="1">
      <c r="A248" s="2" t="str">
        <f>=HYPERLINK("https://applink.feishu.cn/client/todo/detail?guid=63bd8447-a8ad-47d2-ae6c-8d5354b798e0&amp;suite_entity_num=t100843", "✨新增: 现在游戏正式通过STEAM DECK认证了")</f>
        <v>✨新增: 现在游戏正式通过STEAM DECK认证了</v>
      </c>
      <c r="B248"/>
      <c r="C248" t="inlineStr">
        <is>
          <t>默认分组</t>
        </is>
      </c>
      <c r="D248" t="inlineStr">
        <is>
          <t>0</t>
        </is>
      </c>
      <c r="E248"/>
      <c r="F248"/>
      <c r="G248"/>
      <c r="H248"/>
      <c r="I248">
        <v>0</v>
      </c>
      <c r="J248" t="inlineStr">
        <is>
          <t>或签任务</t>
        </is>
      </c>
      <c r="K248"/>
      <c r="L248" t="inlineStr">
        <is>
          <t>0</t>
        </is>
      </c>
      <c r="M248"/>
      <c r="N248" s="3"/>
      <c r="O248" t="inlineStr">
        <is>
          <t>v1.X.0</t>
        </is>
      </c>
      <c r="P248" t="inlineStr">
        <is>
          <t>Decay</t>
        </is>
      </c>
      <c r="Q248" s="3"/>
      <c r="R248" s="3"/>
      <c r="S248" t="inlineStr">
        <is>
          <t>63bd8447-a8ad-47d2-ae6c-8d5354b798e0</t>
        </is>
      </c>
      <c r="T248"/>
      <c r="U248"/>
      <c r="V248"/>
      <c r="W248">
        <v>0</v>
      </c>
      <c r="X248" t="inlineStr">
        <is>
          <t>龚政涛,Decay</t>
        </is>
      </c>
      <c r="Y248" t="inlineStr">
        <is>
          <t>龚政涛</t>
        </is>
      </c>
      <c r="Z248" s="3">
        <v>45846.43138888889</v>
      </c>
      <c r="AA248" s="3">
        <v>45846.85008101852</v>
      </c>
      <c r="AB248" s="2" t="str">
        <f>=HYPERLINK("https://applink.feishu.cn/client/todo/task_list?guid=76122b60-faec-4a61-91b0-2d229f32cc2a", "迷宫球")</f>
        <v>迷宫球</v>
      </c>
      <c r="AC248" t="inlineStr">
        <is>
          <t>76122b60-faec-4a61-91b0-2d229f32cc2a</t>
        </is>
      </c>
      <c r="AD248" t="inlineStr">
        <is>
          <t>NzUzMTk3MzcwNDkxNDg0NTY5Nzo2M2JkODQ0Ny1hOGFkLTQ3ZDItYWU2Yy04ZDUzNTRiNzk4ZTA6MzRmOGQ3MGEwYzBlNjUyMTVjMDViOGYzMDljZDlmNDE6MQ==</t>
        </is>
      </c>
      <c r="AE248"/>
    </row>
    <row r="249" ht="25.5" customHeight="1">
      <c r="A249" s="2" t="str">
        <f>=HYPERLINK("https://applink.feishu.cn/client/todo/detail?guid=7d8b298d-2cc5-4260-a691-47e7d0af4c10&amp;suite_entity_num=t100845", "✨新增: 地图编辑器现在可以设计“多重迷宫”的标准模式分组了，包含对应分组的多重迷宫可以在下载后开启对应人数的多人游玩，如果迷宫没有修改，迷宫设计师无需在多人模式下重复通关多重迷宫")</f>
        <v>✨新增: 地图编辑器现在可以设计“多重迷宫”的标准模式分组了，包含对应分组的多重迷宫可以在下载后开启对应人数的多人游玩，如果迷宫没有修改，迷宫设计师无需在多人模式下重复通关多重迷宫</v>
      </c>
      <c r="B249"/>
      <c r="C249" t="inlineStr">
        <is>
          <t>默认分组</t>
        </is>
      </c>
      <c r="D249" t="inlineStr">
        <is>
          <t>0</t>
        </is>
      </c>
      <c r="E249"/>
      <c r="F249"/>
      <c r="G249"/>
      <c r="H249"/>
      <c r="I249">
        <v>0</v>
      </c>
      <c r="J249" t="inlineStr">
        <is>
          <t>或签任务</t>
        </is>
      </c>
      <c r="K249"/>
      <c r="L249" t="inlineStr">
        <is>
          <t>0</t>
        </is>
      </c>
      <c r="M249"/>
      <c r="N249" s="3"/>
      <c r="O249" t="inlineStr">
        <is>
          <t>v1.X.0</t>
        </is>
      </c>
      <c r="P249" t="inlineStr">
        <is>
          <t>龚政涛</t>
        </is>
      </c>
      <c r="Q249" s="3"/>
      <c r="R249" s="3"/>
      <c r="S249" t="inlineStr">
        <is>
          <t>7d8b298d-2cc5-4260-a691-47e7d0af4c10</t>
        </is>
      </c>
      <c r="T249"/>
      <c r="U249"/>
      <c r="V249"/>
      <c r="W249">
        <v>0</v>
      </c>
      <c r="X249" t="inlineStr">
        <is>
          <t>龚政涛</t>
        </is>
      </c>
      <c r="Y249" t="inlineStr">
        <is>
          <t>龚政涛</t>
        </is>
      </c>
      <c r="Z249" s="3">
        <v>45846.43141203704</v>
      </c>
      <c r="AA249" s="3">
        <v>45846.8496875</v>
      </c>
      <c r="AB249" s="2" t="str">
        <f>=HYPERLINK("https://applink.feishu.cn/client/todo/task_list?guid=76122b60-faec-4a61-91b0-2d229f32cc2a", "迷宫球")</f>
        <v>迷宫球</v>
      </c>
      <c r="AC249" t="inlineStr">
        <is>
          <t>76122b60-faec-4a61-91b0-2d229f32cc2a</t>
        </is>
      </c>
      <c r="AD249" t="inlineStr">
        <is>
          <t>NzUzMTk3MzcwNDkxNDg0NTY5Nzo3ZDhiMjk4ZC0yY2M1LTQyNjAtYTY5MS00N2U3ZDBhZjRjMTA6ZDMxZDg5NWJiNzY3MThjNGYyZThlZDg3M2JjYmY2Y2M6MQ==</t>
        </is>
      </c>
      <c r="AE249"/>
    </row>
    <row r="250" ht="25.5" customHeight="1">
      <c r="A250" s="2" t="str">
        <f>=HYPERLINK("https://applink.feishu.cn/client/todo/detail?guid=4c4aff07-e07a-4308-a9b7-0addf054d299&amp;suite_entity_num=t100852", "✨新增: 现在游戏支持在SWITCH上游玩了-&gt; 和发行商对一下开发机的情况")</f>
        <v>✨新增: 现在游戏支持在SWITCH上游玩了-&gt; 和发行商对一下开发机的情况</v>
      </c>
      <c r="B250"/>
      <c r="C250" t="inlineStr">
        <is>
          <t>默认分组</t>
        </is>
      </c>
      <c r="D250" t="inlineStr">
        <is>
          <t>0</t>
        </is>
      </c>
      <c r="E250"/>
      <c r="F250"/>
      <c r="G250"/>
      <c r="H250"/>
      <c r="I250">
        <v>0</v>
      </c>
      <c r="J250" t="inlineStr">
        <is>
          <t>或签任务</t>
        </is>
      </c>
      <c r="K250"/>
      <c r="L250" t="inlineStr">
        <is>
          <t>0</t>
        </is>
      </c>
      <c r="M250"/>
      <c r="N250" s="3"/>
      <c r="O250" t="inlineStr">
        <is>
          <t>v1.0.0</t>
        </is>
      </c>
      <c r="P250" t="inlineStr">
        <is>
          <t>龚政涛,Decay</t>
        </is>
      </c>
      <c r="Q250" s="3"/>
      <c r="R250" s="3"/>
      <c r="S250" t="inlineStr">
        <is>
          <t>4c4aff07-e07a-4308-a9b7-0addf054d299</t>
        </is>
      </c>
      <c r="T250"/>
      <c r="U250"/>
      <c r="V250"/>
      <c r="W250">
        <v>0</v>
      </c>
      <c r="X250" t="inlineStr">
        <is>
          <t>龚政涛,Decay</t>
        </is>
      </c>
      <c r="Y250" t="inlineStr">
        <is>
          <t>龚政涛</t>
        </is>
      </c>
      <c r="Z250" s="3">
        <v>45846.431539351855</v>
      </c>
      <c r="AA250" s="3">
        <v>45846.81494212963</v>
      </c>
      <c r="AB250" s="2" t="str">
        <f>=HYPERLINK("https://applink.feishu.cn/client/todo/task_list?guid=76122b60-faec-4a61-91b0-2d229f32cc2a", "迷宫球")</f>
        <v>迷宫球</v>
      </c>
      <c r="AC250" t="inlineStr">
        <is>
          <t>76122b60-faec-4a61-91b0-2d229f32cc2a</t>
        </is>
      </c>
      <c r="AD250" t="inlineStr">
        <is>
          <t>NzUzMTk3MzcwNDkxNDg0NTY5Nzo0YzRhZmYwNy1lMDdhLTQzMDgtYTliNy0wYWRkZjA1NGQyOTk6NGZmMTBiYzRmYjdjZjEzZDNmZmU2N2VmMmYyNjRiNWU6MQ==</t>
        </is>
      </c>
      <c r="AE250"/>
    </row>
    <row r="251" ht="25.5" customHeight="1">
      <c r="A251" s="2" t="str">
        <f>=HYPERLINK("https://applink.feishu.cn/client/todo/detail?guid=614490a3-13dc-47f8-85d4-408c652b47bc&amp;suite_entity_num=t100846", "✨新增: 新增了“迷宫马拉松”在线联机挑战模式，支持1位玩家开启房间、至多7位玩家参与挑战")</f>
        <v>✨新增: 新增了“迷宫马拉松”在线联机挑战模式，支持1位玩家开启房间、至多7位玩家参与挑战</v>
      </c>
      <c r="B251"/>
      <c r="C251" t="inlineStr">
        <is>
          <t>默认分组</t>
        </is>
      </c>
      <c r="D251" t="inlineStr">
        <is>
          <t>0</t>
        </is>
      </c>
      <c r="E251"/>
      <c r="F251"/>
      <c r="G251"/>
      <c r="H251"/>
      <c r="I251">
        <v>0</v>
      </c>
      <c r="J251" t="inlineStr">
        <is>
          <t>或签任务</t>
        </is>
      </c>
      <c r="K251"/>
      <c r="L251" t="inlineStr">
        <is>
          <t>0</t>
        </is>
      </c>
      <c r="M251"/>
      <c r="N251" s="3"/>
      <c r="O251" t="inlineStr">
        <is>
          <t>v1.X.0</t>
        </is>
      </c>
      <c r="P251" t="inlineStr">
        <is>
          <t>Decay</t>
        </is>
      </c>
      <c r="Q251" s="3"/>
      <c r="R251" s="3"/>
      <c r="S251" t="inlineStr">
        <is>
          <t>614490a3-13dc-47f8-85d4-408c652b47bc</t>
        </is>
      </c>
      <c r="T251"/>
      <c r="U251"/>
      <c r="V251"/>
      <c r="W251">
        <v>0</v>
      </c>
      <c r="X251" t="inlineStr">
        <is>
          <t>龚政涛,Decay</t>
        </is>
      </c>
      <c r="Y251" t="inlineStr">
        <is>
          <t>龚政涛</t>
        </is>
      </c>
      <c r="Z251" s="3">
        <v>45846.43142361111</v>
      </c>
      <c r="AA251" s="3">
        <v>45846.84810185185</v>
      </c>
      <c r="AB251" s="2" t="str">
        <f>=HYPERLINK("https://applink.feishu.cn/client/todo/task_list?guid=76122b60-faec-4a61-91b0-2d229f32cc2a", "迷宫球")</f>
        <v>迷宫球</v>
      </c>
      <c r="AC251" t="inlineStr">
        <is>
          <t>76122b60-faec-4a61-91b0-2d229f32cc2a</t>
        </is>
      </c>
      <c r="AD251" t="inlineStr">
        <is>
          <t>NzUzMTk3MzcwNDkxNDg0NTY5Nzo2MTQ0OTBhMy0xM2RjLTQ3ZjgtODVkNC00MDhjNjUyYjQ3YmM6N2FmZDI3OGM3MTQwMThiMTU5MzliZGI4ZGI5MmU5M2E6MQ==</t>
        </is>
      </c>
      <c r="AE251"/>
    </row>
    <row r="252" ht="25.5" customHeight="1">
      <c r="A252" s="2" t="str">
        <f>=HYPERLINK("https://applink.feishu.cn/client/todo/detail?guid=cf9a4eaf-ae06-4122-916a-7e96ba86749c&amp;suite_entity_num=t100853", "✨新增: 增加了新的主题关卡和对应的背景音乐、体素轨道模型")</f>
        <v>✨新增: 增加了新的主题关卡和对应的背景音乐、体素轨道模型</v>
      </c>
      <c r="B252"/>
      <c r="C252" t="inlineStr">
        <is>
          <t>默认分组</t>
        </is>
      </c>
      <c r="D252" t="inlineStr">
        <is>
          <t>0</t>
        </is>
      </c>
      <c r="E252"/>
      <c r="F252"/>
      <c r="G252"/>
      <c r="H252"/>
      <c r="I252">
        <v>0</v>
      </c>
      <c r="J252" t="inlineStr">
        <is>
          <t>或签任务</t>
        </is>
      </c>
      <c r="K252"/>
      <c r="L252" t="inlineStr">
        <is>
          <t>0</t>
        </is>
      </c>
      <c r="M252"/>
      <c r="N252" s="3"/>
      <c r="O252" t="inlineStr">
        <is>
          <t>v1.0.0</t>
        </is>
      </c>
      <c r="P252" t="inlineStr">
        <is>
          <t>龚政涛,S1UyuAy7E</t>
        </is>
      </c>
      <c r="Q252" s="3"/>
      <c r="R252" s="3"/>
      <c r="S252" t="inlineStr">
        <is>
          <t>cf9a4eaf-ae06-4122-916a-7e96ba86749c</t>
        </is>
      </c>
      <c r="T252"/>
      <c r="U252"/>
      <c r="V252"/>
      <c r="W252">
        <v>0</v>
      </c>
      <c r="X252" t="inlineStr">
        <is>
          <t>龚政涛,S1UyuAy7E</t>
        </is>
      </c>
      <c r="Y252" t="inlineStr">
        <is>
          <t>龚政涛</t>
        </is>
      </c>
      <c r="Z252" s="3">
        <v>45846.431550925925</v>
      </c>
      <c r="AA252" s="3">
        <v>45846.81484953704</v>
      </c>
      <c r="AB252" s="2" t="str">
        <f>=HYPERLINK("https://applink.feishu.cn/client/todo/task_list?guid=76122b60-faec-4a61-91b0-2d229f32cc2a", "迷宫球")</f>
        <v>迷宫球</v>
      </c>
      <c r="AC252" t="inlineStr">
        <is>
          <t>76122b60-faec-4a61-91b0-2d229f32cc2a</t>
        </is>
      </c>
      <c r="AD252" t="inlineStr">
        <is>
          <t>NzUzMTk3MzcwNDkxNDg0NTY5NzpjZjlhNGVhZi1hZTA2LTQxMjItOTE2YS03ZTk2YmE4Njc0OWM6YzhjODBiNzg4MGI3ZTRlZGRkMjMwOGI2YjA3MjMzNTQ6MQ==</t>
        </is>
      </c>
      <c r="AE252"/>
    </row>
    <row r="253" ht="25.5" customHeight="1">
      <c r="A253" s="2" t="str">
        <f>=HYPERLINK("https://applink.feishu.cn/client/todo/detail?guid=b2735e29-8bb4-404b-ad69-24f68aed9d7b&amp;suite_entity_num=t100856", "✨新增: 新增了迷宫完成度记录，现在玩家可以看到自己行经了迷宫%多少的路径，该统计是以小球接触迷宫轨道为记录，迷宫完成百分比现在会统计在排行榜中")</f>
        <v>✨新增: 新增了迷宫完成度记录，现在玩家可以看到自己行经了迷宫%多少的路径，该统计是以小球接触迷宫轨道为记录，迷宫完成百分比现在会统计在排行榜中</v>
      </c>
      <c r="B253"/>
      <c r="C253" t="inlineStr">
        <is>
          <t>默认分组</t>
        </is>
      </c>
      <c r="D253" t="inlineStr">
        <is>
          <t>0</t>
        </is>
      </c>
      <c r="E253"/>
      <c r="F253"/>
      <c r="G253"/>
      <c r="H253"/>
      <c r="I253">
        <v>0</v>
      </c>
      <c r="J253" t="inlineStr">
        <is>
          <t>或签任务</t>
        </is>
      </c>
      <c r="K253"/>
      <c r="L253" t="inlineStr">
        <is>
          <t>0</t>
        </is>
      </c>
      <c r="M253"/>
      <c r="N253" s="3"/>
      <c r="O253" t="inlineStr">
        <is>
          <t>v1.0.0</t>
        </is>
      </c>
      <c r="P253" t="inlineStr">
        <is>
          <t>Decay</t>
        </is>
      </c>
      <c r="Q253" s="3"/>
      <c r="R253" s="3"/>
      <c r="S253" t="inlineStr">
        <is>
          <t>b2735e29-8bb4-404b-ad69-24f68aed9d7b</t>
        </is>
      </c>
      <c r="T253"/>
      <c r="U253"/>
      <c r="V253"/>
      <c r="W253">
        <v>0</v>
      </c>
      <c r="X253" t="inlineStr">
        <is>
          <t>龚政涛,Decay</t>
        </is>
      </c>
      <c r="Y253" t="inlineStr">
        <is>
          <t>龚政涛</t>
        </is>
      </c>
      <c r="Z253" s="3">
        <v>45846.431597222225</v>
      </c>
      <c r="AA253" s="3">
        <v>45846.81450231482</v>
      </c>
      <c r="AB253" s="2" t="str">
        <f>=HYPERLINK("https://applink.feishu.cn/client/todo/task_list?guid=76122b60-faec-4a61-91b0-2d229f32cc2a", "迷宫球")</f>
        <v>迷宫球</v>
      </c>
      <c r="AC253" t="inlineStr">
        <is>
          <t>76122b60-faec-4a61-91b0-2d229f32cc2a</t>
        </is>
      </c>
      <c r="AD253" t="inlineStr">
        <is>
          <t>NzUzMTk3MzcwNDkxNDg0NTY5NzpiMjczNWUyOS04YmI0LTQwNGItYWQ2OS0yNGY2OGFlZDlkN2I6MjJmOGRiZDYzMTBiZDdiMzdmZDgyMDZmMzgzYmZmMWE6MQ==</t>
        </is>
      </c>
      <c r="AE253"/>
    </row>
    <row r="254" ht="25.5" customHeight="1">
      <c r="A254" s="2" t="str">
        <f>=HYPERLINK("https://applink.feishu.cn/client/todo/detail?guid=a8c324fe-4ec3-40d3-a790-1322314e631d&amp;suite_entity_num=t100868", "🪡修改: 优化了控制器功能")</f>
        <v>🪡修改: 优化了控制器功能</v>
      </c>
      <c r="B254"/>
      <c r="C254" t="inlineStr">
        <is>
          <t>默认分组</t>
        </is>
      </c>
      <c r="D254" t="inlineStr">
        <is>
          <t>0</t>
        </is>
      </c>
      <c r="E254" t="inlineStr">
        <is>
          <t>已拆分</t>
        </is>
      </c>
      <c r="F254"/>
      <c r="G254" t="inlineStr">
        <is>
          <t>P2 - 新的想法</t>
        </is>
      </c>
      <c r="H254" t="inlineStr">
        <is>
          <t>🎨艺术</t>
        </is>
      </c>
      <c r="I254">
        <v>3</v>
      </c>
      <c r="J254" t="inlineStr">
        <is>
          <t>或签任务</t>
        </is>
      </c>
      <c r="K254"/>
      <c r="L254" t="inlineStr">
        <is>
          <t>0</t>
        </is>
      </c>
      <c r="M254">
        <v>0</v>
      </c>
      <c r="N254" s="3"/>
      <c r="O254" t="inlineStr">
        <is>
          <t>v0.0.5</t>
        </is>
      </c>
      <c r="P254" t="inlineStr">
        <is>
          <t>周晨锋</t>
        </is>
      </c>
      <c r="Q254" s="3"/>
      <c r="R254" s="3"/>
      <c r="S254" t="inlineStr">
        <is>
          <t>a8c324fe-4ec3-40d3-a790-1322314e631d</t>
        </is>
      </c>
      <c r="T254"/>
      <c r="U254"/>
      <c r="V254"/>
      <c r="W254">
        <v>0</v>
      </c>
      <c r="X254" t="inlineStr">
        <is>
          <t>龚政涛,周晨锋</t>
        </is>
      </c>
      <c r="Y254" t="inlineStr">
        <is>
          <t>龚政涛</t>
        </is>
      </c>
      <c r="Z254" s="3">
        <v>45846.47825231482</v>
      </c>
      <c r="AA254" s="3">
        <v>45959.41364583333</v>
      </c>
      <c r="AB254" s="2" t="str">
        <f>=HYPERLINK("https://applink.feishu.cn/client/todo/task_list?guid=76122b60-faec-4a61-91b0-2d229f32cc2a", "迷宫球")</f>
        <v>迷宫球</v>
      </c>
      <c r="AC254" t="inlineStr">
        <is>
          <t>76122b60-faec-4a61-91b0-2d229f32cc2a</t>
        </is>
      </c>
      <c r="AD254" t="inlineStr">
        <is>
          <t>NzUzMTk3MzcwNDkxNDg0NTY5NzphOGMzMjRmZS00ZWMzLTQwZDMtYTc5MC0xMzIyMzE0ZTYzMWQ6MTkyNmI2ZTNmZTE0NTQ4ZDU5N2U0ZmI0ZTM4MDYzN2Y6MQ==</t>
        </is>
      </c>
      <c r="AE254"/>
    </row>
    <row r="255" ht="25.5" customHeight="1">
      <c r="A255" s="2" t="str">
        <f>=HYPERLINK("https://applink.feishu.cn/client/todo/detail?guid=689ba331-330d-415b-a389-47fbc556f1a2&amp;suite_entity_num=t100864", "✨新增: 增加了新的体素小球")</f>
        <v>✨新增: 增加了新的体素小球</v>
      </c>
      <c r="B255"/>
      <c r="C255" t="inlineStr">
        <is>
          <t>默认分组</t>
        </is>
      </c>
      <c r="D255" t="inlineStr">
        <is>
          <t>0</t>
        </is>
      </c>
      <c r="E255" t="inlineStr">
        <is>
          <t>已拆分</t>
        </is>
      </c>
      <c r="F255"/>
      <c r="G255"/>
      <c r="H255" t="inlineStr">
        <is>
          <t>🎮玩法</t>
        </is>
      </c>
      <c r="I255">
        <v>5</v>
      </c>
      <c r="J255" t="inlineStr">
        <is>
          <t>或签任务</t>
        </is>
      </c>
      <c r="K255"/>
      <c r="L255" t="inlineStr">
        <is>
          <t>0</t>
        </is>
      </c>
      <c r="M255">
        <v>0.2</v>
      </c>
      <c r="N255" s="3"/>
      <c r="O255" t="inlineStr">
        <is>
          <t>v0.0.4</t>
        </is>
      </c>
      <c r="P255" t="inlineStr">
        <is>
          <t>S1UyuAy7E</t>
        </is>
      </c>
      <c r="Q255" s="3">
        <v>45896.333333333336</v>
      </c>
      <c r="R255" s="3"/>
      <c r="S255" t="inlineStr">
        <is>
          <t>689ba331-330d-415b-a389-47fbc556f1a2</t>
        </is>
      </c>
      <c r="T255"/>
      <c r="U255"/>
      <c r="V255"/>
      <c r="W255">
        <v>0</v>
      </c>
      <c r="X255" t="inlineStr">
        <is>
          <t>龚政涛,S1UyuAy7E</t>
        </is>
      </c>
      <c r="Y255" t="inlineStr">
        <is>
          <t>龚政涛</t>
        </is>
      </c>
      <c r="Z255" s="3">
        <v>45846.4643287037</v>
      </c>
      <c r="AA255" s="3">
        <v>45911.41260416667</v>
      </c>
      <c r="AB255" s="2" t="str">
        <f>=HYPERLINK("https://applink.feishu.cn/client/todo/task_list?guid=76122b60-faec-4a61-91b0-2d229f32cc2a", "迷宫球")</f>
        <v>迷宫球</v>
      </c>
      <c r="AC255" t="inlineStr">
        <is>
          <t>76122b60-faec-4a61-91b0-2d229f32cc2a</t>
        </is>
      </c>
      <c r="AD255" t="inlineStr">
        <is>
          <t>NzUzMTk3MzcwNDkxNDg0NTY5Nzo2ODliYTMzMS0zMzBkLTQxNWItYTM4OS00N2ZiYzU1NmYxYTI6ZWE4MTBkMDlkNTY3MTQxZDY2MGMyYTcxNmQwZTFkZDA6MQ==</t>
        </is>
      </c>
      <c r="AE255"/>
    </row>
    <row r="256" ht="25.5" customHeight="1">
      <c r="A256" s="2" t="str">
        <f>=HYPERLINK("https://applink.feishu.cn/client/todo/detail?guid=2399679f-9d5f-4b36-812c-c133e524d2ce&amp;suite_entity_num=t100842", "✨新增: 新增了STEAM云存档支持")</f>
        <v>✨新增: 新增了STEAM云存档支持</v>
      </c>
      <c r="B256"/>
      <c r="C256" t="inlineStr">
        <is>
          <t>默认分组</t>
        </is>
      </c>
      <c r="D256" t="inlineStr">
        <is>
          <t>0</t>
        </is>
      </c>
      <c r="E256"/>
      <c r="F256"/>
      <c r="G256"/>
      <c r="H256"/>
      <c r="I256">
        <v>0</v>
      </c>
      <c r="J256" t="inlineStr">
        <is>
          <t>或签任务</t>
        </is>
      </c>
      <c r="K256"/>
      <c r="L256" t="inlineStr">
        <is>
          <t>0</t>
        </is>
      </c>
      <c r="M256"/>
      <c r="N256" s="3"/>
      <c r="O256" t="inlineStr">
        <is>
          <t>v1.X.0</t>
        </is>
      </c>
      <c r="P256" t="inlineStr">
        <is>
          <t>Decay</t>
        </is>
      </c>
      <c r="Q256" s="3"/>
      <c r="R256" s="3"/>
      <c r="S256" t="inlineStr">
        <is>
          <t>2399679f-9d5f-4b36-812c-c133e524d2ce</t>
        </is>
      </c>
      <c r="T256"/>
      <c r="U256"/>
      <c r="V256"/>
      <c r="W256">
        <v>0</v>
      </c>
      <c r="X256" t="inlineStr">
        <is>
          <t>龚政涛,Decay</t>
        </is>
      </c>
      <c r="Y256" t="inlineStr">
        <is>
          <t>龚政涛</t>
        </is>
      </c>
      <c r="Z256" s="3">
        <v>45846.43137731482</v>
      </c>
      <c r="AA256" s="3">
        <v>45846.849490740744</v>
      </c>
      <c r="AB256" s="2" t="str">
        <f>=HYPERLINK("https://applink.feishu.cn/client/todo/task_list?guid=76122b60-faec-4a61-91b0-2d229f32cc2a", "迷宫球")</f>
        <v>迷宫球</v>
      </c>
      <c r="AC256" t="inlineStr">
        <is>
          <t>76122b60-faec-4a61-91b0-2d229f32cc2a</t>
        </is>
      </c>
      <c r="AD256" t="inlineStr">
        <is>
          <t>NzUzMTk3MzcwNDkxNDg0NTY5NzoyMzk5Njc5Zi05ZDVmLTRiMzYtODEyYy1jMTMzZTUyNGQyY2U6YTViYzgwMDhjMmMyNmJmNDA2ZGFkZjcyNTUwNzA3MGE6MQ==</t>
        </is>
      </c>
      <c r="AE256"/>
    </row>
    <row r="257" ht="25.5" customHeight="1">
      <c r="A257" s="2" t="str">
        <f>=HYPERLINK("https://applink.feishu.cn/client/todo/detail?guid=6b8193b2-0378-4a3a-9093-2a3114e4e6e3&amp;suite_entity_num=t100848", "✨新增: 所有自定义迷宫现在都可以开启“多重迷宫”的混乱模式了")</f>
        <v>✨新增: 所有自定义迷宫现在都可以开启“多重迷宫”的混乱模式了</v>
      </c>
      <c r="B257"/>
      <c r="C257" t="inlineStr">
        <is>
          <t>默认分组</t>
        </is>
      </c>
      <c r="D257" t="inlineStr">
        <is>
          <t>0</t>
        </is>
      </c>
      <c r="E257"/>
      <c r="F257"/>
      <c r="G257"/>
      <c r="H257"/>
      <c r="I257">
        <v>0</v>
      </c>
      <c r="J257" t="inlineStr">
        <is>
          <t>或签任务</t>
        </is>
      </c>
      <c r="K257"/>
      <c r="L257" t="inlineStr">
        <is>
          <t>0</t>
        </is>
      </c>
      <c r="M257"/>
      <c r="N257" s="3"/>
      <c r="O257" t="inlineStr">
        <is>
          <t>v1.X.0</t>
        </is>
      </c>
      <c r="P257" t="inlineStr">
        <is>
          <t>龚政涛</t>
        </is>
      </c>
      <c r="Q257" s="3"/>
      <c r="R257" s="3"/>
      <c r="S257" t="inlineStr">
        <is>
          <t>6b8193b2-0378-4a3a-9093-2a3114e4e6e3</t>
        </is>
      </c>
      <c r="T257"/>
      <c r="U257"/>
      <c r="V257"/>
      <c r="W257">
        <v>0</v>
      </c>
      <c r="X257" t="inlineStr">
        <is>
          <t>龚政涛</t>
        </is>
      </c>
      <c r="Y257" t="inlineStr">
        <is>
          <t>龚政涛</t>
        </is>
      </c>
      <c r="Z257" s="3">
        <v>45846.431446759256</v>
      </c>
      <c r="AA257" s="3">
        <v>45846.81513888889</v>
      </c>
      <c r="AB257" s="2" t="str">
        <f>=HYPERLINK("https://applink.feishu.cn/client/todo/task_list?guid=76122b60-faec-4a61-91b0-2d229f32cc2a", "迷宫球")</f>
        <v>迷宫球</v>
      </c>
      <c r="AC257" t="inlineStr">
        <is>
          <t>76122b60-faec-4a61-91b0-2d229f32cc2a</t>
        </is>
      </c>
      <c r="AD257" t="inlineStr">
        <is>
          <t>NzUzMTk3MzcwNDkxNDg0NTY5Nzo2YjgxOTNiMi0wMzc4LTRhM2EtOTA5My0yYTMxMTRlNGU2ZTM6ODdmNDcxNGY3YmFiOWRmMzg2MDQ1MTFjNzY3NTQ1ZjI6MQ==</t>
        </is>
      </c>
      <c r="AE257"/>
    </row>
    <row r="258" ht="25.5" customHeight="1">
      <c r="A258" s="2" t="str">
        <f>=HYPERLINK("https://applink.feishu.cn/client/todo/detail?guid=e0dd27d9-adb7-49d3-8be6-df4a74a61d62&amp;suite_entity_num=t100922", "矿洞轨道 - 矿车 &lt; ✨新增: 增加了1个新的主题关卡玩法")</f>
        <v>矿洞轨道 - 矿车 &lt; ✨新增: 增加了1个新的主题关卡玩法</v>
      </c>
      <c r="B258"/>
      <c r="C258" t="inlineStr">
        <is>
          <t>默认分组</t>
        </is>
      </c>
      <c r="D258" t="inlineStr">
        <is>
          <t>1</t>
        </is>
      </c>
      <c r="E258" t="inlineStr">
        <is>
          <t>已拆分</t>
        </is>
      </c>
      <c r="F258">
        <v>0</v>
      </c>
      <c r="G258" t="inlineStr">
        <is>
          <t>P0 - 必须处理</t>
        </is>
      </c>
      <c r="H258" t="inlineStr">
        <is>
          <t>🎮玩法</t>
        </is>
      </c>
      <c r="I258">
        <v>2</v>
      </c>
      <c r="J258" t="inlineStr">
        <is>
          <t>或签任务</t>
        </is>
      </c>
      <c r="K258"/>
      <c r="L258" t="inlineStr">
        <is>
          <t>0</t>
        </is>
      </c>
      <c r="M258">
        <v>1</v>
      </c>
      <c r="N258" s="3">
        <v>45898.413310185184</v>
      </c>
      <c r="O258" t="inlineStr">
        <is>
          <t>v0.0.4</t>
        </is>
      </c>
      <c r="P258" t="inlineStr">
        <is>
          <t>周晨锋</t>
        </is>
      </c>
      <c r="Q258" s="3"/>
      <c r="R258" s="3"/>
      <c r="S258" t="inlineStr">
        <is>
          <t>e0dd27d9-adb7-49d3-8be6-df4a74a61d62</t>
        </is>
      </c>
      <c r="T258" t="inlineStr">
        <is>
          <t>bc8a7a7e-d7ad-416c-9af2-208a6ed042c7</t>
        </is>
      </c>
      <c r="U258" t="inlineStr">
        <is>
          <t>adf7977c-2c6f-4440-b3ad-4814784f7679</t>
        </is>
      </c>
      <c r="V258"/>
      <c r="W258">
        <v>0</v>
      </c>
      <c r="X258" t="inlineStr">
        <is>
          <t>龚政涛,周晨锋</t>
        </is>
      </c>
      <c r="Y258" t="inlineStr">
        <is>
          <t>龚政涛</t>
        </is>
      </c>
      <c r="Z258" s="3">
        <v>45853.672581018516</v>
      </c>
      <c r="AA258" s="3">
        <v>45898.413310185184</v>
      </c>
      <c r="AB258" s="2" t="str">
        <f>=HYPERLINK("https://applink.feishu.cn/client/todo/task_list?guid=76122b60-faec-4a61-91b0-2d229f32cc2a", "迷宫球")</f>
        <v>迷宫球</v>
      </c>
      <c r="AC258" t="inlineStr">
        <is>
          <t>76122b60-faec-4a61-91b0-2d229f32cc2a</t>
        </is>
      </c>
      <c r="AD258" t="inlineStr">
        <is>
          <t>NzUzMTk3MzcwNDkxNDg0NTY5NzplMGRkMjdkOS1hZGI3LTQ5ZDMtOGJlNi1kZjRhNzRhNjFkNjI6ZWE1NmZiZjM0M2QzZTNmNTI5YTkyMWIxMmYxMjg3YTc6MQ==</t>
        </is>
      </c>
      <c r="AE258"/>
    </row>
    <row r="259" ht="25.5" customHeight="1">
      <c r="A259" s="2" t="str">
        <f>=HYPERLINK("https://applink.feishu.cn/client/todo/detail?guid=406fedfb-bf5e-4cd7-8b65-834df5b0dac1&amp;suite_entity_num=t100929", "在偶发情况下，有存档的电脑并不会正确显示“继续游戏”，而是显示“新游戏”，即使进入后会“继续游戏”")</f>
        <v>在偶发情况下，有存档的电脑并不会正确显示“继续游戏”，而是显示“新游戏”，即使进入后会“继续游戏”</v>
      </c>
      <c r="B259"/>
      <c r="C259" t="inlineStr">
        <is>
          <t>默认分组</t>
        </is>
      </c>
      <c r="D259" t="inlineStr">
        <is>
          <t>0</t>
        </is>
      </c>
      <c r="E259"/>
      <c r="F259">
        <v>4</v>
      </c>
      <c r="G259"/>
      <c r="H259" t="inlineStr">
        <is>
          <t>🛠️技术</t>
        </is>
      </c>
      <c r="I259">
        <v>0</v>
      </c>
      <c r="J259" t="inlineStr">
        <is>
          <t>或签任务</t>
        </is>
      </c>
      <c r="K259"/>
      <c r="L259" t="inlineStr">
        <is>
          <t>0</t>
        </is>
      </c>
      <c r="M259"/>
      <c r="N259" s="3"/>
      <c r="O259" t="inlineStr">
        <is>
          <t>v1.X.0</t>
        </is>
      </c>
      <c r="P259" t="inlineStr">
        <is>
          <t>Decay</t>
        </is>
      </c>
      <c r="Q259" s="3">
        <v>45894.333333333336</v>
      </c>
      <c r="R259" s="3"/>
      <c r="S259" t="inlineStr">
        <is>
          <t>406fedfb-bf5e-4cd7-8b65-834df5b0dac1</t>
        </is>
      </c>
      <c r="T259"/>
      <c r="U259"/>
      <c r="V259"/>
      <c r="W259">
        <v>0</v>
      </c>
      <c r="X259" t="inlineStr">
        <is>
          <t>龚政涛,Decay</t>
        </is>
      </c>
      <c r="Y259" t="inlineStr">
        <is>
          <t>龚政涛</t>
        </is>
      </c>
      <c r="Z259" s="3">
        <v>45855.85318287037</v>
      </c>
      <c r="AA259" s="3">
        <v>45949.66131944444</v>
      </c>
      <c r="AB259" s="2" t="str">
        <f>=HYPERLINK("https://applink.feishu.cn/client/todo/task_list?guid=76122b60-faec-4a61-91b0-2d229f32cc2a", "迷宫球")</f>
        <v>迷宫球</v>
      </c>
      <c r="AC259" t="inlineStr">
        <is>
          <t>76122b60-faec-4a61-91b0-2d229f32cc2a</t>
        </is>
      </c>
      <c r="AD259" t="inlineStr">
        <is>
          <t>NzUzMTk3MzcwNDkxNDg0NTY5Nzo0MDZmZWRmYi1iZjVlLTRjZDctOGI2NS04MzRkZjViMGRhYzE6M2M2NGQyZTMwMTQ4YjY0YTk0ODNkNTkzYjg1ODlhMGY6MQ==</t>
        </is>
      </c>
      <c r="AE259"/>
    </row>
    <row r="260" ht="25.5" customHeight="1">
      <c r="A260" s="2" t="str">
        <f>=HYPERLINK("https://applink.feishu.cn/client/todo/detail?guid=41aa9aef-7272-48a9-9852-4981e3866773&amp;suite_entity_num=t100894", "Steam 提交审核！")</f>
        <v>Steam 提交审核！</v>
      </c>
      <c r="B260"/>
      <c r="C260" t="inlineStr">
        <is>
          <t>默认分组</t>
        </is>
      </c>
      <c r="D260" t="inlineStr">
        <is>
          <t>0</t>
        </is>
      </c>
      <c r="E260"/>
      <c r="F260"/>
      <c r="G260"/>
      <c r="H260"/>
      <c r="I260">
        <v>0</v>
      </c>
      <c r="J260" t="inlineStr">
        <is>
          <t>或签任务</t>
        </is>
      </c>
      <c r="K260"/>
      <c r="L260" t="inlineStr">
        <is>
          <t>1</t>
        </is>
      </c>
      <c r="M260"/>
      <c r="N260" s="3"/>
      <c r="O260" t="inlineStr">
        <is>
          <t>v1.0.0</t>
        </is>
      </c>
      <c r="P260"/>
      <c r="Q260" s="3"/>
      <c r="R260" s="3"/>
      <c r="S260" t="inlineStr">
        <is>
          <t>41aa9aef-7272-48a9-9852-4981e3866773</t>
        </is>
      </c>
      <c r="T260"/>
      <c r="U260"/>
      <c r="V260"/>
      <c r="W260">
        <v>0</v>
      </c>
      <c r="X260" t="inlineStr">
        <is>
          <t>龚政涛</t>
        </is>
      </c>
      <c r="Y260" t="inlineStr">
        <is>
          <t>龚政涛</t>
        </is>
      </c>
      <c r="Z260" s="3">
        <v>45846.86017361111</v>
      </c>
      <c r="AA260" s="3">
        <v>45846.860451388886</v>
      </c>
      <c r="AB260" s="2" t="str">
        <f>=HYPERLINK("https://applink.feishu.cn/client/todo/task_list?guid=76122b60-faec-4a61-91b0-2d229f32cc2a", "迷宫球")</f>
        <v>迷宫球</v>
      </c>
      <c r="AC260" t="inlineStr">
        <is>
          <t>76122b60-faec-4a61-91b0-2d229f32cc2a</t>
        </is>
      </c>
      <c r="AD260" t="inlineStr">
        <is>
          <t>NzUzMTk3MzcwNDkxNDg0NTY5Nzo0MWFhOWFlZi03MjcyLTQ4YTktOTg1Mi00OTgxZTM4NjY3NzM6NzI3NjBmMTE3MzRjMzU0MTAwODBlYTNmYTI0ZTRlZjI6MQ==</t>
        </is>
      </c>
      <c r="AE260"/>
    </row>
    <row r="261" ht="25.5" customHeight="1">
      <c r="A261" s="2" t="str">
        <f>=HYPERLINK("https://applink.feishu.cn/client/todo/detail?guid=fe40955b-0c33-42d7-bc12-daa40ce4ffa0&amp;suite_entity_num=t100890", "v0.1.0 - Start")</f>
        <v>v0.1.0 - Start</v>
      </c>
      <c r="B261"/>
      <c r="C261" t="inlineStr">
        <is>
          <t>默认分组</t>
        </is>
      </c>
      <c r="D261" t="inlineStr">
        <is>
          <t>0</t>
        </is>
      </c>
      <c r="E261"/>
      <c r="F261"/>
      <c r="G261"/>
      <c r="H261"/>
      <c r="I261">
        <v>0</v>
      </c>
      <c r="J261" t="inlineStr">
        <is>
          <t>或签任务</t>
        </is>
      </c>
      <c r="K261"/>
      <c r="L261" t="inlineStr">
        <is>
          <t>0</t>
        </is>
      </c>
      <c r="M261"/>
      <c r="N261" s="3"/>
      <c r="O261" t="inlineStr">
        <is>
          <t>v0.1.0</t>
        </is>
      </c>
      <c r="P261"/>
      <c r="Q261" s="3"/>
      <c r="R261" s="3"/>
      <c r="S261" t="inlineStr">
        <is>
          <t>fe40955b-0c33-42d7-bc12-daa40ce4ffa0</t>
        </is>
      </c>
      <c r="T261"/>
      <c r="U261"/>
      <c r="V261"/>
      <c r="W261">
        <v>0</v>
      </c>
      <c r="X261" t="inlineStr">
        <is>
          <t>龚政涛</t>
        </is>
      </c>
      <c r="Y261" t="inlineStr">
        <is>
          <t>龚政涛</t>
        </is>
      </c>
      <c r="Z261" s="3">
        <v>45846.85986111111</v>
      </c>
      <c r="AA261" s="3">
        <v>45846.859872685185</v>
      </c>
      <c r="AB261" s="2" t="str">
        <f>=HYPERLINK("https://applink.feishu.cn/client/todo/task_list?guid=76122b60-faec-4a61-91b0-2d229f32cc2a", "迷宫球")</f>
        <v>迷宫球</v>
      </c>
      <c r="AC261" t="inlineStr">
        <is>
          <t>76122b60-faec-4a61-91b0-2d229f32cc2a</t>
        </is>
      </c>
      <c r="AD261" t="inlineStr">
        <is>
          <t>NzUzMTk3MzcwNDkxNDg0NTY5NzpmZTQwOTU1Yi0wYzMzLTQyZDctYmMxMi1kYWE0MGNlNGZmYTA6NzYyMmIxNjEwOGZiODBkMDkzM2Y1YzM3ZWJmOTg2M2E6MQ==</t>
        </is>
      </c>
      <c r="AE261"/>
    </row>
    <row r="262" ht="25.5" customHeight="1">
      <c r="A262" s="2" t="str">
        <f>=HYPERLINK("https://applink.feishu.cn/client/todo/detail?guid=05df26b6-a6c6-4aa8-b24d-b730074c9ae6&amp;suite_entity_num=t100892", "v1.0.0 - Start")</f>
        <v>v1.0.0 - Start</v>
      </c>
      <c r="B262"/>
      <c r="C262" t="inlineStr">
        <is>
          <t>默认分组</t>
        </is>
      </c>
      <c r="D262" t="inlineStr">
        <is>
          <t>0</t>
        </is>
      </c>
      <c r="E262"/>
      <c r="F262"/>
      <c r="G262"/>
      <c r="H262"/>
      <c r="I262">
        <v>0</v>
      </c>
      <c r="J262" t="inlineStr">
        <is>
          <t>或签任务</t>
        </is>
      </c>
      <c r="K262"/>
      <c r="L262" t="inlineStr">
        <is>
          <t>1</t>
        </is>
      </c>
      <c r="M262"/>
      <c r="N262" s="3"/>
      <c r="O262" t="inlineStr">
        <is>
          <t>v1.0.0</t>
        </is>
      </c>
      <c r="P262"/>
      <c r="Q262" s="3"/>
      <c r="R262" s="3"/>
      <c r="S262" t="inlineStr">
        <is>
          <t>05df26b6-a6c6-4aa8-b24d-b730074c9ae6</t>
        </is>
      </c>
      <c r="T262"/>
      <c r="U262"/>
      <c r="V262"/>
      <c r="W262">
        <v>0</v>
      </c>
      <c r="X262" t="inlineStr">
        <is>
          <t>龚政涛</t>
        </is>
      </c>
      <c r="Y262" t="inlineStr">
        <is>
          <t>龚政涛</t>
        </is>
      </c>
      <c r="Z262" s="3">
        <v>45846.86002314815</v>
      </c>
      <c r="AA262" s="3">
        <v>45846.860347222224</v>
      </c>
      <c r="AB262" s="2" t="str">
        <f>=HYPERLINK("https://applink.feishu.cn/client/todo/task_list?guid=76122b60-faec-4a61-91b0-2d229f32cc2a", "迷宫球")</f>
        <v>迷宫球</v>
      </c>
      <c r="AC262" t="inlineStr">
        <is>
          <t>76122b60-faec-4a61-91b0-2d229f32cc2a</t>
        </is>
      </c>
      <c r="AD262" t="inlineStr">
        <is>
          <t>NzUzMTk3MzcwNDkxNDg0NTY5NzowNWRmMjZiNi1hNmM2LTRhYTgtYjI0ZC1iNzMwMDc0YzlhZTY6ODk5NWE5OWZlZGIxY2MzZGNlOTAwOGE1NzA2MTE5ZjE6MQ==</t>
        </is>
      </c>
      <c r="AE262"/>
    </row>
    <row r="263" ht="25.5" customHeight="1">
      <c r="A263" s="2" t="str">
        <f>=HYPERLINK("https://applink.feishu.cn/client/todo/detail?guid=ca849539-c2ea-4d00-9e4b-83c1802d9f56&amp;suite_entity_num=t100891", "v0.1.0 - End")</f>
        <v>v0.1.0 - End</v>
      </c>
      <c r="B263"/>
      <c r="C263" t="inlineStr">
        <is>
          <t>默认分组</t>
        </is>
      </c>
      <c r="D263" t="inlineStr">
        <is>
          <t>0</t>
        </is>
      </c>
      <c r="E263"/>
      <c r="F263"/>
      <c r="G263"/>
      <c r="H263"/>
      <c r="I263">
        <v>0</v>
      </c>
      <c r="J263" t="inlineStr">
        <is>
          <t>或签任务</t>
        </is>
      </c>
      <c r="K263"/>
      <c r="L263" t="inlineStr">
        <is>
          <t>0</t>
        </is>
      </c>
      <c r="M263"/>
      <c r="N263" s="3"/>
      <c r="O263" t="inlineStr">
        <is>
          <t>v0.1.0</t>
        </is>
      </c>
      <c r="P263"/>
      <c r="Q263" s="3"/>
      <c r="R263" s="3"/>
      <c r="S263" t="inlineStr">
        <is>
          <t>ca849539-c2ea-4d00-9e4b-83c1802d9f56</t>
        </is>
      </c>
      <c r="T263"/>
      <c r="U263"/>
      <c r="V263"/>
      <c r="W263">
        <v>0</v>
      </c>
      <c r="X263" t="inlineStr">
        <is>
          <t>龚政涛</t>
        </is>
      </c>
      <c r="Y263" t="inlineStr">
        <is>
          <t>龚政涛</t>
        </is>
      </c>
      <c r="Z263" s="3">
        <v>45846.859930555554</v>
      </c>
      <c r="AA263" s="3">
        <v>45846.859930555554</v>
      </c>
      <c r="AB263" s="2" t="str">
        <f>=HYPERLINK("https://applink.feishu.cn/client/todo/task_list?guid=76122b60-faec-4a61-91b0-2d229f32cc2a", "迷宫球")</f>
        <v>迷宫球</v>
      </c>
      <c r="AC263" t="inlineStr">
        <is>
          <t>76122b60-faec-4a61-91b0-2d229f32cc2a</t>
        </is>
      </c>
      <c r="AD263" t="inlineStr">
        <is>
          <t>NzUzMTk3MzcwNDkxNDg0NTY5NzpjYTg0OTUzOS1jMmVhLTRkMDAtOWU0Yi04M2MxODAyZDlmNTY6YzM4NjU0NTQ3MWE2Y2Q0ZGMzNTNmOGYyYzY3N2EzMTY6MQ==</t>
        </is>
      </c>
      <c r="AE263"/>
    </row>
    <row r="264" ht="25.5" customHeight="1">
      <c r="A264" s="2" t="str">
        <f>=HYPERLINK("https://applink.feishu.cn/client/todo/detail?guid=c79b6fea-af2e-4233-957f-676029e00fc4&amp;suite_entity_num=t100893", "v1.0.0 - End")</f>
        <v>v1.0.0 - End</v>
      </c>
      <c r="B264"/>
      <c r="C264" t="inlineStr">
        <is>
          <t>默认分组</t>
        </is>
      </c>
      <c r="D264" t="inlineStr">
        <is>
          <t>0</t>
        </is>
      </c>
      <c r="E264"/>
      <c r="F264"/>
      <c r="G264"/>
      <c r="H264"/>
      <c r="I264">
        <v>0</v>
      </c>
      <c r="J264" t="inlineStr">
        <is>
          <t>或签任务</t>
        </is>
      </c>
      <c r="K264"/>
      <c r="L264" t="inlineStr">
        <is>
          <t>1</t>
        </is>
      </c>
      <c r="M264"/>
      <c r="N264" s="3"/>
      <c r="O264" t="inlineStr">
        <is>
          <t>v1.0.0</t>
        </is>
      </c>
      <c r="P264"/>
      <c r="Q264" s="3"/>
      <c r="R264" s="3"/>
      <c r="S264" t="inlineStr">
        <is>
          <t>c79b6fea-af2e-4233-957f-676029e00fc4</t>
        </is>
      </c>
      <c r="T264"/>
      <c r="U264"/>
      <c r="V264"/>
      <c r="W264">
        <v>0</v>
      </c>
      <c r="X264" t="inlineStr">
        <is>
          <t>龚政涛</t>
        </is>
      </c>
      <c r="Y264" t="inlineStr">
        <is>
          <t>龚政涛</t>
        </is>
      </c>
      <c r="Z264" s="3">
        <v>45846.86006944445</v>
      </c>
      <c r="AA264" s="3">
        <v>45846.86040509259</v>
      </c>
      <c r="AB264" s="2" t="str">
        <f>=HYPERLINK("https://applink.feishu.cn/client/todo/task_list?guid=76122b60-faec-4a61-91b0-2d229f32cc2a", "迷宫球")</f>
        <v>迷宫球</v>
      </c>
      <c r="AC264" t="inlineStr">
        <is>
          <t>76122b60-faec-4a61-91b0-2d229f32cc2a</t>
        </is>
      </c>
      <c r="AD264" t="inlineStr">
        <is>
          <t>NzUzMTk3MzcwNDkxNDg0NTY5NzpjNzliNmZlYS1hZjJlLTQyMzMtOTU3Zi02NzYwMjllMDBmYzQ6YTBjMmI4YzYzNGQxYjIyZTg4NjlmM2M2ZDY1NGZmOTM6MQ==</t>
        </is>
      </c>
      <c r="AE264"/>
    </row>
    <row r="265" ht="25.5" customHeight="1">
      <c r="A265" s="2" t="str">
        <f>=HYPERLINK("https://applink.feishu.cn/client/todo/detail?guid=d78139a3-b6a0-4096-9298-7dc45aa56f9b&amp;suite_entity_num=t100718", "篮球 &lt; ✨新增: 现有的小球更新为了体素模型")</f>
        <v>篮球 &lt; ✨新增: 现有的小球更新为了体素模型</v>
      </c>
      <c r="B265"/>
      <c r="C265"/>
      <c r="D265" t="inlineStr">
        <is>
          <t>1</t>
        </is>
      </c>
      <c r="E265"/>
      <c r="F265"/>
      <c r="G265"/>
      <c r="H265"/>
      <c r="I265">
        <v>0</v>
      </c>
      <c r="J265" t="inlineStr">
        <is>
          <t>或签任务</t>
        </is>
      </c>
      <c r="K265"/>
      <c r="L265" t="inlineStr">
        <is>
          <t>0</t>
        </is>
      </c>
      <c r="M265"/>
      <c r="N265" s="3">
        <v>45814.68685185185</v>
      </c>
      <c r="O265"/>
      <c r="P265" t="inlineStr">
        <is>
          <t>S1UyuAy7E</t>
        </is>
      </c>
      <c r="Q265" s="3"/>
      <c r="R265" s="3"/>
      <c r="S265" t="inlineStr">
        <is>
          <t>d78139a3-b6a0-4096-9298-7dc45aa56f9b</t>
        </is>
      </c>
      <c r="T265" t="inlineStr">
        <is>
          <t>32e02bca-ac42-4f6a-9bbc-14f0dc2510fa</t>
        </is>
      </c>
      <c r="U265"/>
      <c r="V265"/>
      <c r="W265">
        <v>0</v>
      </c>
      <c r="X265" t="inlineStr">
        <is>
          <t>龚政涛,S1UyuAy7E</t>
        </is>
      </c>
      <c r="Y265" t="inlineStr">
        <is>
          <t>龚政涛</t>
        </is>
      </c>
      <c r="Z265" s="3">
        <v>45789.608773148146</v>
      </c>
      <c r="AA265" s="3">
        <v>45814.68685185185</v>
      </c>
      <c r="AB265" s="2" t="str">
        <f>=HYPERLINK("https://applink.feishu.cn/client/todo/task_list?guid=76122b60-faec-4a61-91b0-2d229f32cc2a", "迷宫球")</f>
        <v>迷宫球</v>
      </c>
      <c r="AC265" t="inlineStr">
        <is>
          <t>76122b60-faec-4a61-91b0-2d229f32cc2a</t>
        </is>
      </c>
      <c r="AD265" t="inlineStr">
        <is>
          <t>NzUzMTk3MzcwNDkxNDg0NTY5NzpkNzgxMzlhMy1iNmEwLTQwOTYtOTI5OC03ZGM0NWFhNTZmOWI6YzQwZTgxZmY0Y2Y1NTgwZGNiYWFiN2I0MjU2YzkxMWM6MQ==</t>
        </is>
      </c>
      <c r="AE265"/>
    </row>
    <row r="266" ht="25.5" customHeight="1">
      <c r="A266" s="2" t="str">
        <f>=HYPERLINK("https://applink.feishu.cn/client/todo/detail?guid=c31ee6e4-5d3f-445e-be69-691e63d0dbf0&amp;suite_entity_num=t100920", "提供简化的轨道边缘 &lt; ✨新增: 更新了第一个“都市”关卡场景，修改了游戏场景的呈现方式，调整环境为更简单的视觉效果")</f>
        <v>提供简化的轨道边缘 &lt; ✨新增: 更新了第一个“都市”关卡场景，修改了游戏场景的呈现方式，调整环境为更简单的视觉效果</v>
      </c>
      <c r="B266"/>
      <c r="C266" t="inlineStr">
        <is>
          <t>默认分组</t>
        </is>
      </c>
      <c r="D266" t="inlineStr">
        <is>
          <t>1</t>
        </is>
      </c>
      <c r="E266" t="inlineStr">
        <is>
          <t>已拆分</t>
        </is>
      </c>
      <c r="F266"/>
      <c r="G266" t="inlineStr">
        <is>
          <t>P0 - 必须处理</t>
        </is>
      </c>
      <c r="H266" t="inlineStr">
        <is>
          <t>✍️故事</t>
        </is>
      </c>
      <c r="I266">
        <v>2</v>
      </c>
      <c r="J266" t="inlineStr">
        <is>
          <t>或签任务</t>
        </is>
      </c>
      <c r="K266"/>
      <c r="L266" t="inlineStr">
        <is>
          <t>0</t>
        </is>
      </c>
      <c r="M266">
        <v>1</v>
      </c>
      <c r="N266" s="3">
        <v>45949.66307870371</v>
      </c>
      <c r="O266" t="inlineStr">
        <is>
          <t>v0.0.4</t>
        </is>
      </c>
      <c r="P266" t="inlineStr">
        <is>
          <t>S1UyuAy7E</t>
        </is>
      </c>
      <c r="Q266" s="3"/>
      <c r="R266" s="3"/>
      <c r="S266" t="inlineStr">
        <is>
          <t>c31ee6e4-5d3f-445e-be69-691e63d0dbf0</t>
        </is>
      </c>
      <c r="T266" t="inlineStr">
        <is>
          <t>ce24aa8e-d150-42ba-a954-c2c6d1faa6ab</t>
        </is>
      </c>
      <c r="U266" t="inlineStr">
        <is>
          <t>73ac53d6-95e1-404d-a7c7-af980c837976</t>
        </is>
      </c>
      <c r="V266"/>
      <c r="W266">
        <v>0</v>
      </c>
      <c r="X266" t="inlineStr">
        <is>
          <t>龚政涛,S1UyuAy7E</t>
        </is>
      </c>
      <c r="Y266" t="inlineStr">
        <is>
          <t>龚政涛</t>
        </is>
      </c>
      <c r="Z266" s="3">
        <v>45853.665671296294</v>
      </c>
      <c r="AA266" s="3">
        <v>45949.663090277776</v>
      </c>
      <c r="AB266" s="2" t="str">
        <f>=HYPERLINK("https://applink.feishu.cn/client/todo/task_list?guid=76122b60-faec-4a61-91b0-2d229f32cc2a", "迷宫球")</f>
        <v>迷宫球</v>
      </c>
      <c r="AC266" t="inlineStr">
        <is>
          <t>76122b60-faec-4a61-91b0-2d229f32cc2a</t>
        </is>
      </c>
      <c r="AD266" t="inlineStr">
        <is>
          <t>NzUzMTk3MzcwNDkxNDg0NTY5NzpjMzFlZTZlNC01ZDNmLTQ0NWUtYmU2OS02OTFlNjNkMGRiZjA6NzA2ZmNjM2MyNmE5NTE3OGQ3NmM2MTU4N2NlYjU4NzY6MQ==</t>
        </is>
      </c>
      <c r="AE266"/>
    </row>
    <row r="267" ht="25.5" customHeight="1">
      <c r="A267" s="2" t="str">
        <f>=HYPERLINK("https://applink.feishu.cn/client/todo/detail?guid=8791c1a4-77ea-4bdf-8f22-4678cbf14aea&amp;suite_entity_num=t100720", "Logo &lt; ✨新增: 增加了新的美术宣发资产")</f>
        <v>Logo &lt; ✨新增: 增加了新的美术宣发资产</v>
      </c>
      <c r="B267"/>
      <c r="C267"/>
      <c r="D267" t="inlineStr">
        <is>
          <t>1</t>
        </is>
      </c>
      <c r="E267"/>
      <c r="F267"/>
      <c r="G267"/>
      <c r="H267" t="inlineStr">
        <is>
          <t>✍️故事</t>
        </is>
      </c>
      <c r="I267">
        <v>0</v>
      </c>
      <c r="J267" t="inlineStr">
        <is>
          <t>或签任务</t>
        </is>
      </c>
      <c r="K267"/>
      <c r="L267" t="inlineStr">
        <is>
          <t>0</t>
        </is>
      </c>
      <c r="M267"/>
      <c r="N267" s="3">
        <v>45846.493483796294</v>
      </c>
      <c r="O267"/>
      <c r="P267" t="inlineStr">
        <is>
          <t>S1UyuAy7E</t>
        </is>
      </c>
      <c r="Q267" s="3"/>
      <c r="R267" s="3"/>
      <c r="S267" t="inlineStr">
        <is>
          <t>8791c1a4-77ea-4bdf-8f22-4678cbf14aea</t>
        </is>
      </c>
      <c r="T267" t="inlineStr">
        <is>
          <t>e1ca5a59-0500-4028-a664-466dc0427047</t>
        </is>
      </c>
      <c r="U267"/>
      <c r="V267"/>
      <c r="W267">
        <v>0</v>
      </c>
      <c r="X267" t="inlineStr">
        <is>
          <t>龚政涛,S1UyuAy7E</t>
        </is>
      </c>
      <c r="Y267" t="inlineStr">
        <is>
          <t>龚政涛</t>
        </is>
      </c>
      <c r="Z267" s="3">
        <v>45790.52458333333</v>
      </c>
      <c r="AA267" s="3">
        <v>45846.49496527778</v>
      </c>
      <c r="AB267" s="2" t="str">
        <f>=HYPERLINK("https://applink.feishu.cn/client/todo/task_list?guid=76122b60-faec-4a61-91b0-2d229f32cc2a", "迷宫球")</f>
        <v>迷宫球</v>
      </c>
      <c r="AC267" t="inlineStr">
        <is>
          <t>76122b60-faec-4a61-91b0-2d229f32cc2a</t>
        </is>
      </c>
      <c r="AD267" t="inlineStr">
        <is>
          <t>NzUzMTk3MzcwNDkxNDg0NTY5Nzo4NzkxYzFhNC03N2VhLTRiZGYtOGYyMi00Njc4Y2JmMTRhZWE6NzI3YWYxMWRmNzY2ODllMjQ4MjFkZGUyNDBhN2FkMjI6MQ==</t>
        </is>
      </c>
      <c r="AE267"/>
    </row>
    <row r="268" ht="25.5" customHeight="1">
      <c r="A268" s="2" t="str">
        <f>=HYPERLINK("https://applink.feishu.cn/client/todo/detail?guid=8aacc70b-0a2f-49df-8dd8-21befa61a07c&amp;suite_entity_num=t100884", "更新UI系统为Common UI &lt; ✨新增: 更新了所有的UI设计，现在界面会更适应游戏的风格")</f>
        <v>更新UI系统为Common UI &lt; ✨新增: 更新了所有的UI设计，现在界面会更适应游戏的风格</v>
      </c>
      <c r="B268"/>
      <c r="C268" t="inlineStr">
        <is>
          <t>默认分组</t>
        </is>
      </c>
      <c r="D268" t="inlineStr">
        <is>
          <t>1</t>
        </is>
      </c>
      <c r="E268" t="inlineStr">
        <is>
          <t>已拆分</t>
        </is>
      </c>
      <c r="F268"/>
      <c r="G268"/>
      <c r="H268" t="inlineStr">
        <is>
          <t>🎨艺术</t>
        </is>
      </c>
      <c r="I268">
        <v>4</v>
      </c>
      <c r="J268" t="inlineStr">
        <is>
          <t>或签任务</t>
        </is>
      </c>
      <c r="K268"/>
      <c r="L268" t="inlineStr">
        <is>
          <t>0</t>
        </is>
      </c>
      <c r="M268">
        <v>1</v>
      </c>
      <c r="N268" s="3">
        <v>45949.655381944445</v>
      </c>
      <c r="O268" t="inlineStr">
        <is>
          <t>v0.0.4</t>
        </is>
      </c>
      <c r="P268" t="inlineStr">
        <is>
          <t>周晨锋</t>
        </is>
      </c>
      <c r="Q268" s="3"/>
      <c r="R268" s="3"/>
      <c r="S268" t="inlineStr">
        <is>
          <t>8aacc70b-0a2f-49df-8dd8-21befa61a07c</t>
        </is>
      </c>
      <c r="T268" t="inlineStr">
        <is>
          <t>609b3bc0-6a66-424e-a7fc-bbb91d90897d</t>
        </is>
      </c>
      <c r="U268" t="inlineStr">
        <is>
          <t>28a56350-7bb1-4307-8eee-39cc8081e724</t>
        </is>
      </c>
      <c r="V268" t="inlineStr">
        <is>
          <t>8a9da484-4df0-44b8-8077-0b820a6fe696</t>
        </is>
      </c>
      <c r="W268">
        <v>0</v>
      </c>
      <c r="X268" t="inlineStr">
        <is>
          <t>周晨锋,Decay,陈麒升,龚政涛</t>
        </is>
      </c>
      <c r="Y268" t="inlineStr">
        <is>
          <t>龚政涛</t>
        </is>
      </c>
      <c r="Z268" s="3">
        <v>45846.84458333333</v>
      </c>
      <c r="AA268" s="3">
        <v>45949.65539351852</v>
      </c>
      <c r="AB268" s="2" t="str">
        <f>=HYPERLINK("https://applink.feishu.cn/client/todo/task_list?guid=76122b60-faec-4a61-91b0-2d229f32cc2a", "迷宫球")</f>
        <v>迷宫球</v>
      </c>
      <c r="AC268" t="inlineStr">
        <is>
          <t>76122b60-faec-4a61-91b0-2d229f32cc2a</t>
        </is>
      </c>
      <c r="AD268" t="inlineStr">
        <is>
          <t>NzUzMTk3MzcwNDkxNDg0NTY5Nzo4YWFjYzcwYi0wYTJmLTQ5ZGYtOGRkOC0yMWJlZmE2MWEwN2M6NDIyZjU3OWEyYjJkZmI1NjA4YjRjNDliZmQyMmU0Mjk6MQ==</t>
        </is>
      </c>
      <c r="AE268"/>
    </row>
    <row r="269" ht="25.5" customHeight="1">
      <c r="A269" s="2" t="str">
        <f>=HYPERLINK("https://applink.feishu.cn/client/todo/detail?guid=e100b299-3b6b-4d1d-a9b1-1fa1fa539f93&amp;suite_entity_num=t100395", "同一关的重启不Stream，而是Reset小球和迷宫 &lt; 🪡修改: 修改了迷宫重启的逻辑，现在重玩同一关卡时，会直接重置迷宫和小球，而不会黑屏或重置镜头位置，便于玩家频繁挑战同一关卡。")</f>
        <v>同一关的重启不Stream，而是Reset小球和迷宫 &lt; 🪡修改: 修改了迷宫重启的逻辑，现在重玩同一关卡时，会直接重置迷宫和小球，而不会黑屏或重置镜头位置，便于玩家频繁挑战同一关卡。</v>
      </c>
      <c r="B269"/>
      <c r="C269"/>
      <c r="D269" t="inlineStr">
        <is>
          <t>1</t>
        </is>
      </c>
      <c r="E269"/>
      <c r="F269"/>
      <c r="G269" t="inlineStr">
        <is>
          <t>P0 - 必须处理</t>
        </is>
      </c>
      <c r="H269" t="inlineStr">
        <is>
          <t>🎨艺术</t>
        </is>
      </c>
      <c r="I269">
        <v>0</v>
      </c>
      <c r="J269" t="inlineStr">
        <is>
          <t>或签任务</t>
        </is>
      </c>
      <c r="K269"/>
      <c r="L269" t="inlineStr">
        <is>
          <t>0</t>
        </is>
      </c>
      <c r="M269"/>
      <c r="N269" s="3">
        <v>45814.68719907408</v>
      </c>
      <c r="O269" t="inlineStr">
        <is>
          <t>v0.0.3</t>
        </is>
      </c>
      <c r="P269" t="inlineStr">
        <is>
          <t>龚政涛</t>
        </is>
      </c>
      <c r="Q269" s="3">
        <v>45786.333333333336</v>
      </c>
      <c r="R269" s="3"/>
      <c r="S269" t="inlineStr">
        <is>
          <t>e100b299-3b6b-4d1d-a9b1-1fa1fa539f93</t>
        </is>
      </c>
      <c r="T269" t="inlineStr">
        <is>
          <t>0ae87381-6f16-4bdb-929e-2c3691c3d821</t>
        </is>
      </c>
      <c r="U269"/>
      <c r="V269"/>
      <c r="W269">
        <v>0</v>
      </c>
      <c r="X269" t="inlineStr">
        <is>
          <t>龚政涛</t>
        </is>
      </c>
      <c r="Y269" t="inlineStr">
        <is>
          <t>龚政涛</t>
        </is>
      </c>
      <c r="Z269" s="3">
        <v>45664.63505787037</v>
      </c>
      <c r="AA269" s="3">
        <v>45846.46810185185</v>
      </c>
      <c r="AB269" s="2" t="str">
        <f>=HYPERLINK("https://applink.feishu.cn/client/todo/task_list?guid=76122b60-faec-4a61-91b0-2d229f32cc2a", "迷宫球")</f>
        <v>迷宫球</v>
      </c>
      <c r="AC269" t="inlineStr">
        <is>
          <t>76122b60-faec-4a61-91b0-2d229f32cc2a</t>
        </is>
      </c>
      <c r="AD269" t="inlineStr">
        <is>
          <t>NzUzMTk3MzcwNDkxNDg0NTY5NzplMTAwYjI5OS0zYjZiLTRkMWQtYTliMS0xZmExZmE1MzlmOTM6NjJlYWIxMzM5MjY4YTcxMzVmOTcwMjFkMDQzZTRjZmY6MQ==</t>
        </is>
      </c>
      <c r="AE269"/>
    </row>
    <row r="270" ht="25.5" customHeight="1">
      <c r="A270" s="2" t="str">
        <f>=HYPERLINK("https://applink.feishu.cn/client/todo/detail?guid=31c616e1-c488-4e32-b2dc-341bef2fb970&amp;suite_entity_num=t100897", "把声音播放功能迁移到 meta sound？，实现空间音效 &lt; ✨新增: 现在小球有更精细的滚动和碰撞音效了")</f>
        <v>把声音播放功能迁移到 meta sound？，实现空间音效 &lt; ✨新增: 现在小球有更精细的滚动和碰撞音效了</v>
      </c>
      <c r="B270"/>
      <c r="C270"/>
      <c r="D270" t="inlineStr">
        <is>
          <t>0</t>
        </is>
      </c>
      <c r="E270"/>
      <c r="F270"/>
      <c r="G270"/>
      <c r="H270" t="inlineStr">
        <is>
          <t>🛠️技术</t>
        </is>
      </c>
      <c r="I270">
        <v>0</v>
      </c>
      <c r="J270" t="inlineStr">
        <is>
          <t>或签任务</t>
        </is>
      </c>
      <c r="K270"/>
      <c r="L270" t="inlineStr">
        <is>
          <t>0</t>
        </is>
      </c>
      <c r="M270"/>
      <c r="N270" s="3"/>
      <c r="O270"/>
      <c r="P270" t="inlineStr">
        <is>
          <t>Decay</t>
        </is>
      </c>
      <c r="Q270" s="3"/>
      <c r="R270" s="3"/>
      <c r="S270" t="inlineStr">
        <is>
          <t>31c616e1-c488-4e32-b2dc-341bef2fb970</t>
        </is>
      </c>
      <c r="T270" t="inlineStr">
        <is>
          <t>4390d5cc-748a-4e94-8a0d-e22d0fa5122c</t>
        </is>
      </c>
      <c r="U270"/>
      <c r="V270"/>
      <c r="W270">
        <v>0</v>
      </c>
      <c r="X270" t="inlineStr">
        <is>
          <t>龚政涛,Decay</t>
        </is>
      </c>
      <c r="Y270" t="inlineStr">
        <is>
          <t>龚政涛</t>
        </is>
      </c>
      <c r="Z270" s="3">
        <v>45846.86824074074</v>
      </c>
      <c r="AA270" s="3">
        <v>45960.417025462964</v>
      </c>
      <c r="AB270" s="2" t="str">
        <f>=HYPERLINK("https://applink.feishu.cn/client/todo/task_list?guid=76122b60-faec-4a61-91b0-2d229f32cc2a", "迷宫球")</f>
        <v>迷宫球</v>
      </c>
      <c r="AC270" t="inlineStr">
        <is>
          <t>76122b60-faec-4a61-91b0-2d229f32cc2a</t>
        </is>
      </c>
      <c r="AD270" t="inlineStr">
        <is>
          <t>NzUzMTk3MzcwNDkxNDg0NTY5NzozMWM2MTZlMS1jNDg4LTRlMzItYjJkYy0zNDFiZWYyZmI5NzA6MzVmMTU1NmQwMmZjZmNkYjY5NGE0MzFkNjU5NGViZDM6MQ==</t>
        </is>
      </c>
      <c r="AE270"/>
    </row>
    <row r="271" ht="25.5" customHeight="1">
      <c r="A271" s="2" t="str">
        <f>=HYPERLINK("https://applink.feishu.cn/client/todo/detail?guid=525de9cd-9355-4b0c-ac37-499747ca1994&amp;suite_entity_num=t100898", "根据球的转速，以及是否接触到collision proxy，程序化升、降滚动音效的音量和音效 &lt; ✨新增: 现在小球有更精细的滚动和碰撞音效了")</f>
        <v>根据球的转速，以及是否接触到collision proxy，程序化升、降滚动音效的音量和音效 &lt; ✨新增: 现在小球有更精细的滚动和碰撞音效了</v>
      </c>
      <c r="B271"/>
      <c r="C271"/>
      <c r="D271" t="inlineStr">
        <is>
          <t>0</t>
        </is>
      </c>
      <c r="E271"/>
      <c r="F271"/>
      <c r="G271"/>
      <c r="H271" t="inlineStr">
        <is>
          <t>🛠️技术</t>
        </is>
      </c>
      <c r="I271">
        <v>0</v>
      </c>
      <c r="J271" t="inlineStr">
        <is>
          <t>或签任务</t>
        </is>
      </c>
      <c r="K271"/>
      <c r="L271" t="inlineStr">
        <is>
          <t>0</t>
        </is>
      </c>
      <c r="M271"/>
      <c r="N271" s="3"/>
      <c r="O271"/>
      <c r="P271" t="inlineStr">
        <is>
          <t>Decay</t>
        </is>
      </c>
      <c r="Q271" s="3"/>
      <c r="R271" s="3"/>
      <c r="S271" t="inlineStr">
        <is>
          <t>525de9cd-9355-4b0c-ac37-499747ca1994</t>
        </is>
      </c>
      <c r="T271" t="inlineStr">
        <is>
          <t>4390d5cc-748a-4e94-8a0d-e22d0fa5122c</t>
        </is>
      </c>
      <c r="U271"/>
      <c r="V271"/>
      <c r="W271">
        <v>0</v>
      </c>
      <c r="X271" t="inlineStr">
        <is>
          <t>龚政涛,Decay</t>
        </is>
      </c>
      <c r="Y271" t="inlineStr">
        <is>
          <t>龚政涛</t>
        </is>
      </c>
      <c r="Z271" s="3">
        <v>45846.86828703704</v>
      </c>
      <c r="AA271" s="3">
        <v>45950.40490740741</v>
      </c>
      <c r="AB271" s="2" t="str">
        <f>=HYPERLINK("https://applink.feishu.cn/client/todo/task_list?guid=76122b60-faec-4a61-91b0-2d229f32cc2a", "迷宫球")</f>
        <v>迷宫球</v>
      </c>
      <c r="AC271" t="inlineStr">
        <is>
          <t>76122b60-faec-4a61-91b0-2d229f32cc2a</t>
        </is>
      </c>
      <c r="AD271" t="inlineStr">
        <is>
          <t>NzUzMTk3MzcwNDkxNDg0NTY5Nzo1MjVkZTljZC05MzU1LTRiMGMtYWMzNy00OTk3NDdjYTE5OTQ6ZDQ3ZDc4ZmU5ZGI4MTMyMmYyM2ZmZGI1ZjdlY2U1NWI6MQ==</t>
        </is>
      </c>
      <c r="AE271"/>
    </row>
    <row r="272" ht="25.5" customHeight="1">
      <c r="A272" s="2" t="str">
        <f>=HYPERLINK("https://applink.feishu.cn/client/todo/detail?guid=a5da269c-e322-4be4-990e-0322abd2de4c&amp;suite_entity_num=t100899", "根据trace depth或者hit depth，触发“碰撞”音效 &lt; ✨新增: 现在小球有更精细的滚动和碰撞音效了")</f>
        <v>根据trace depth或者hit depth，触发“碰撞”音效 &lt; ✨新增: 现在小球有更精细的滚动和碰撞音效了</v>
      </c>
      <c r="B272"/>
      <c r="C272"/>
      <c r="D272" t="inlineStr">
        <is>
          <t>0</t>
        </is>
      </c>
      <c r="E272"/>
      <c r="F272"/>
      <c r="G272"/>
      <c r="H272" t="inlineStr">
        <is>
          <t>🛠️技术</t>
        </is>
      </c>
      <c r="I272">
        <v>0</v>
      </c>
      <c r="J272" t="inlineStr">
        <is>
          <t>或签任务</t>
        </is>
      </c>
      <c r="K272"/>
      <c r="L272" t="inlineStr">
        <is>
          <t>0</t>
        </is>
      </c>
      <c r="M272"/>
      <c r="N272" s="3"/>
      <c r="O272"/>
      <c r="P272" t="inlineStr">
        <is>
          <t>Decay</t>
        </is>
      </c>
      <c r="Q272" s="3"/>
      <c r="R272" s="3"/>
      <c r="S272" t="inlineStr">
        <is>
          <t>a5da269c-e322-4be4-990e-0322abd2de4c</t>
        </is>
      </c>
      <c r="T272" t="inlineStr">
        <is>
          <t>4390d5cc-748a-4e94-8a0d-e22d0fa5122c</t>
        </is>
      </c>
      <c r="U272"/>
      <c r="V272"/>
      <c r="W272">
        <v>0</v>
      </c>
      <c r="X272" t="inlineStr">
        <is>
          <t>龚政涛,Decay</t>
        </is>
      </c>
      <c r="Y272" t="inlineStr">
        <is>
          <t>龚政涛</t>
        </is>
      </c>
      <c r="Z272" s="3">
        <v>45846.872881944444</v>
      </c>
      <c r="AA272" s="3">
        <v>45950.40491898148</v>
      </c>
      <c r="AB272" s="2" t="str">
        <f>=HYPERLINK("https://applink.feishu.cn/client/todo/task_list?guid=76122b60-faec-4a61-91b0-2d229f32cc2a", "迷宫球")</f>
        <v>迷宫球</v>
      </c>
      <c r="AC272" t="inlineStr">
        <is>
          <t>76122b60-faec-4a61-91b0-2d229f32cc2a</t>
        </is>
      </c>
      <c r="AD272" t="inlineStr">
        <is>
          <t>NzUzMTk3MzcwNDkxNDg0NTY5NzphNWRhMjY5Yy1lMzIyLTRiZTQtOTkwZS0wMzIyYWJkMmRlNGM6NTkyMWViYTRiYTNhNjRiOWRjOTczOTdhMTk5YWZjOGI6MQ==</t>
        </is>
      </c>
      <c r="AE272"/>
    </row>
    <row r="273" ht="25.5" customHeight="1">
      <c r="A273" s="2" t="str">
        <f>=HYPERLINK("https://applink.feishu.cn/client/todo/detail?guid=33cc737b-a108-4458-999d-5dd130fb7545&amp;suite_entity_num=t100900", "根据碰撞时速度的降幅，调整“碰撞”音效的音量 &lt; ✨新增: 现在小球有更精细的滚动和碰撞音效了")</f>
        <v>根据碰撞时速度的降幅，调整“碰撞”音效的音量 &lt; ✨新增: 现在小球有更精细的滚动和碰撞音效了</v>
      </c>
      <c r="B273"/>
      <c r="C273"/>
      <c r="D273" t="inlineStr">
        <is>
          <t>0</t>
        </is>
      </c>
      <c r="E273"/>
      <c r="F273"/>
      <c r="G273"/>
      <c r="H273" t="inlineStr">
        <is>
          <t>🛠️技术</t>
        </is>
      </c>
      <c r="I273">
        <v>0</v>
      </c>
      <c r="J273" t="inlineStr">
        <is>
          <t>或签任务</t>
        </is>
      </c>
      <c r="K273"/>
      <c r="L273" t="inlineStr">
        <is>
          <t>0</t>
        </is>
      </c>
      <c r="M273"/>
      <c r="N273" s="3"/>
      <c r="O273"/>
      <c r="P273" t="inlineStr">
        <is>
          <t>Decay</t>
        </is>
      </c>
      <c r="Q273" s="3"/>
      <c r="R273" s="3"/>
      <c r="S273" t="inlineStr">
        <is>
          <t>33cc737b-a108-4458-999d-5dd130fb7545</t>
        </is>
      </c>
      <c r="T273" t="inlineStr">
        <is>
          <t>4390d5cc-748a-4e94-8a0d-e22d0fa5122c</t>
        </is>
      </c>
      <c r="U273"/>
      <c r="V273"/>
      <c r="W273">
        <v>0</v>
      </c>
      <c r="X273" t="inlineStr">
        <is>
          <t>龚政涛,Decay</t>
        </is>
      </c>
      <c r="Y273" t="inlineStr">
        <is>
          <t>龚政涛</t>
        </is>
      </c>
      <c r="Z273" s="3">
        <v>45846.87328703704</v>
      </c>
      <c r="AA273" s="3">
        <v>45950.40493055555</v>
      </c>
      <c r="AB273" s="2" t="str">
        <f>=HYPERLINK("https://applink.feishu.cn/client/todo/task_list?guid=76122b60-faec-4a61-91b0-2d229f32cc2a", "迷宫球")</f>
        <v>迷宫球</v>
      </c>
      <c r="AC273" t="inlineStr">
        <is>
          <t>76122b60-faec-4a61-91b0-2d229f32cc2a</t>
        </is>
      </c>
      <c r="AD273" t="inlineStr">
        <is>
          <t>NzUzMTk3MzcwNDkxNDg0NTY5NzozM2NjNzM3Yi1hMTA4LTQ0NTgtOTk5ZC01ZGQxMzBmYjc1NDU6NTUzYzY4YWRkZDVjYTU3ZGYzN2E2YjhjNjZjOTIwMzU6MQ==</t>
        </is>
      </c>
      <c r="AE273"/>
    </row>
    <row r="274" ht="25.5" customHeight="1">
      <c r="A274" s="2" t="str">
        <f>=HYPERLINK("https://applink.feishu.cn/client/todo/detail?guid=6f977a1b-f2a0-43fd-aadd-49745e103e49&amp;suite_entity_num=t100901", "调整代码，让音效可以预配置，从而根据轨道“样式”的不同播放不同的滚动和碰撞音效 &lt; ✨新增: 现在小球有更精细的滚动和碰撞音效了")</f>
        <v>调整代码，让音效可以预配置，从而根据轨道“样式”的不同播放不同的滚动和碰撞音效 &lt; ✨新增: 现在小球有更精细的滚动和碰撞音效了</v>
      </c>
      <c r="B274"/>
      <c r="C274"/>
      <c r="D274" t="inlineStr">
        <is>
          <t>0</t>
        </is>
      </c>
      <c r="E274"/>
      <c r="F274"/>
      <c r="G274"/>
      <c r="H274" t="inlineStr">
        <is>
          <t>🛠️技术</t>
        </is>
      </c>
      <c r="I274">
        <v>0</v>
      </c>
      <c r="J274" t="inlineStr">
        <is>
          <t>或签任务</t>
        </is>
      </c>
      <c r="K274"/>
      <c r="L274" t="inlineStr">
        <is>
          <t>0</t>
        </is>
      </c>
      <c r="M274"/>
      <c r="N274" s="3"/>
      <c r="O274"/>
      <c r="P274" t="inlineStr">
        <is>
          <t>Decay</t>
        </is>
      </c>
      <c r="Q274" s="3"/>
      <c r="R274" s="3"/>
      <c r="S274" t="inlineStr">
        <is>
          <t>6f977a1b-f2a0-43fd-aadd-49745e103e49</t>
        </is>
      </c>
      <c r="T274" t="inlineStr">
        <is>
          <t>4390d5cc-748a-4e94-8a0d-e22d0fa5122c</t>
        </is>
      </c>
      <c r="U274"/>
      <c r="V274"/>
      <c r="W274">
        <v>0</v>
      </c>
      <c r="X274" t="inlineStr">
        <is>
          <t>龚政涛,Decay</t>
        </is>
      </c>
      <c r="Y274" t="inlineStr">
        <is>
          <t>龚政涛</t>
        </is>
      </c>
      <c r="Z274" s="3">
        <v>45846.87440972222</v>
      </c>
      <c r="AA274" s="3">
        <v>45950.40494212963</v>
      </c>
      <c r="AB274" s="2" t="str">
        <f>=HYPERLINK("https://applink.feishu.cn/client/todo/task_list?guid=76122b60-faec-4a61-91b0-2d229f32cc2a", "迷宫球")</f>
        <v>迷宫球</v>
      </c>
      <c r="AC274" t="inlineStr">
        <is>
          <t>76122b60-faec-4a61-91b0-2d229f32cc2a</t>
        </is>
      </c>
      <c r="AD274" t="inlineStr">
        <is>
          <t>NzUzMTk3MzcwNDkxNDg0NTY5Nzo2Zjk3N2ExYi1mMmEwLTQzZmQtYWFkZC00OTc0NWUxMDNlNDk6ODFjYjYwYjI2ODA3NWE2NDhkZjY1ZmMzNGIwMmY3NTM6MQ==</t>
        </is>
      </c>
      <c r="AE274"/>
    </row>
    <row r="275" ht="25.5" customHeight="1">
      <c r="A275" s="2" t="str">
        <f>=HYPERLINK("https://applink.feishu.cn/client/todo/detail?guid=12dbe5e3-524f-4eb7-b3e6-e39a3e92e336&amp;suite_entity_num=t100910", "配置“城市”关卡的音效 &lt; ✨新增: 现在小球有更精细的滚动和碰撞音效了")</f>
        <v>配置“城市”关卡的音效 &lt; ✨新增: 现在小球有更精细的滚动和碰撞音效了</v>
      </c>
      <c r="B275"/>
      <c r="C275"/>
      <c r="D275" t="inlineStr">
        <is>
          <t>0</t>
        </is>
      </c>
      <c r="E275"/>
      <c r="F275"/>
      <c r="G275"/>
      <c r="H275" t="inlineStr">
        <is>
          <t>✍️故事</t>
        </is>
      </c>
      <c r="I275">
        <v>0</v>
      </c>
      <c r="J275" t="inlineStr">
        <is>
          <t>或签任务</t>
        </is>
      </c>
      <c r="K275"/>
      <c r="L275" t="inlineStr">
        <is>
          <t>0</t>
        </is>
      </c>
      <c r="M275"/>
      <c r="N275" s="3"/>
      <c r="O275"/>
      <c r="P275" t="inlineStr">
        <is>
          <t>龚政涛</t>
        </is>
      </c>
      <c r="Q275" s="3"/>
      <c r="R275" s="3"/>
      <c r="S275" t="inlineStr">
        <is>
          <t>12dbe5e3-524f-4eb7-b3e6-e39a3e92e336</t>
        </is>
      </c>
      <c r="T275" t="inlineStr">
        <is>
          <t>4390d5cc-748a-4e94-8a0d-e22d0fa5122c</t>
        </is>
      </c>
      <c r="U275"/>
      <c r="V275"/>
      <c r="W275">
        <v>0</v>
      </c>
      <c r="X275" t="inlineStr">
        <is>
          <t>龚政涛</t>
        </is>
      </c>
      <c r="Y275" t="inlineStr">
        <is>
          <t>龚政涛</t>
        </is>
      </c>
      <c r="Z275" s="3">
        <v>45846.89625</v>
      </c>
      <c r="AA275" s="3">
        <v>45846.89923611111</v>
      </c>
      <c r="AB275" s="2" t="str">
        <f>=HYPERLINK("https://applink.feishu.cn/client/todo/task_list?guid=76122b60-faec-4a61-91b0-2d229f32cc2a", "迷宫球")</f>
        <v>迷宫球</v>
      </c>
      <c r="AC275" t="inlineStr">
        <is>
          <t>76122b60-faec-4a61-91b0-2d229f32cc2a</t>
        </is>
      </c>
      <c r="AD275" t="inlineStr">
        <is>
          <t>NzUzMTk3MzcwNDkxNDg0NTY5NzoxMmRiZTVlMy01MjRmLTRlYjctYjNlNi1lMzlhM2U5MmUzMzY6OTQ0MGVjMWQwMGVhMDIwYjgzZjQyYWRmZjIxMTM5NGY6MQ==</t>
        </is>
      </c>
      <c r="AE275"/>
    </row>
    <row r="276" ht="25.5" customHeight="1">
      <c r="A276" s="2" t="str">
        <f>=HYPERLINK("https://applink.feishu.cn/client/todo/detail?guid=fd011d72-64cd-42cc-92fc-b92674daf5eb&amp;suite_entity_num=t100911", "配置“矿洞”关卡的音效 &lt; ✨新增: 现在小球有更精细的滚动和碰撞音效了")</f>
        <v>配置“矿洞”关卡的音效 &lt; ✨新增: 现在小球有更精细的滚动和碰撞音效了</v>
      </c>
      <c r="B276"/>
      <c r="C276"/>
      <c r="D276" t="inlineStr">
        <is>
          <t>0</t>
        </is>
      </c>
      <c r="E276"/>
      <c r="F276"/>
      <c r="G276"/>
      <c r="H276" t="inlineStr">
        <is>
          <t>✍️故事</t>
        </is>
      </c>
      <c r="I276">
        <v>0</v>
      </c>
      <c r="J276" t="inlineStr">
        <is>
          <t>或签任务</t>
        </is>
      </c>
      <c r="K276"/>
      <c r="L276" t="inlineStr">
        <is>
          <t>0</t>
        </is>
      </c>
      <c r="M276"/>
      <c r="N276" s="3"/>
      <c r="O276"/>
      <c r="P276" t="inlineStr">
        <is>
          <t>龚政涛</t>
        </is>
      </c>
      <c r="Q276" s="3"/>
      <c r="R276" s="3"/>
      <c r="S276" t="inlineStr">
        <is>
          <t>fd011d72-64cd-42cc-92fc-b92674daf5eb</t>
        </is>
      </c>
      <c r="T276" t="inlineStr">
        <is>
          <t>4390d5cc-748a-4e94-8a0d-e22d0fa5122c</t>
        </is>
      </c>
      <c r="U276"/>
      <c r="V276"/>
      <c r="W276">
        <v>0</v>
      </c>
      <c r="X276" t="inlineStr">
        <is>
          <t>龚政涛</t>
        </is>
      </c>
      <c r="Y276" t="inlineStr">
        <is>
          <t>龚政涛</t>
        </is>
      </c>
      <c r="Z276" s="3">
        <v>45846.89637731481</v>
      </c>
      <c r="AA276" s="3">
        <v>45846.89755787037</v>
      </c>
      <c r="AB276" s="2" t="str">
        <f>=HYPERLINK("https://applink.feishu.cn/client/todo/task_list?guid=76122b60-faec-4a61-91b0-2d229f32cc2a", "迷宫球")</f>
        <v>迷宫球</v>
      </c>
      <c r="AC276" t="inlineStr">
        <is>
          <t>76122b60-faec-4a61-91b0-2d229f32cc2a</t>
        </is>
      </c>
      <c r="AD276" t="inlineStr">
        <is>
          <t>NzUzMTk3MzcwNDkxNDg0NTY5NzpmZDAxMWQ3Mi02NGNkLTQyY2MtOTJmYy1iOTI2NzRkYWY1ZWI6OWUwYjA2YWE2YzI3MDRhNTBjZmU0MDc2OWU1ZGY3NjY6MQ==</t>
        </is>
      </c>
      <c r="AE276"/>
    </row>
    <row r="277" ht="25.5" customHeight="1">
      <c r="A277" s="2" t="str">
        <f>=HYPERLINK("https://applink.feishu.cn/client/todo/detail?guid=f270c970-c429-4a73-8318-1db92b524bc0&amp;suite_entity_num=t100970", "✨新增: 增加了迷宫的简单编辑功能")</f>
        <v>✨新增: 增加了迷宫的简单编辑功能</v>
      </c>
      <c r="B277"/>
      <c r="C277" t="inlineStr">
        <is>
          <t>默认分组</t>
        </is>
      </c>
      <c r="D277" t="inlineStr">
        <is>
          <t>0</t>
        </is>
      </c>
      <c r="E277" t="inlineStr">
        <is>
          <t>已拆分</t>
        </is>
      </c>
      <c r="F277"/>
      <c r="G277"/>
      <c r="H277" t="inlineStr">
        <is>
          <t>🛠️技术</t>
        </is>
      </c>
      <c r="I277">
        <v>8</v>
      </c>
      <c r="J277" t="inlineStr">
        <is>
          <t>或签任务</t>
        </is>
      </c>
      <c r="K277"/>
      <c r="L277" t="inlineStr">
        <is>
          <t>0</t>
        </is>
      </c>
      <c r="M277">
        <v>0.25</v>
      </c>
      <c r="N277" s="3"/>
      <c r="O277" t="inlineStr">
        <is>
          <t>v0.0.5</t>
        </is>
      </c>
      <c r="P277" t="inlineStr">
        <is>
          <t>Decay</t>
        </is>
      </c>
      <c r="Q277" s="3"/>
      <c r="R277" s="3"/>
      <c r="S277" t="inlineStr">
        <is>
          <t>f270c970-c429-4a73-8318-1db92b524bc0</t>
        </is>
      </c>
      <c r="T277"/>
      <c r="U277"/>
      <c r="V277"/>
      <c r="W277">
        <v>0</v>
      </c>
      <c r="X277" t="inlineStr">
        <is>
          <t>龚政涛,Decay</t>
        </is>
      </c>
      <c r="Y277" t="inlineStr">
        <is>
          <t>龚政涛</t>
        </is>
      </c>
      <c r="Z277" s="3">
        <v>45866.48606481482</v>
      </c>
      <c r="AA277" s="3">
        <v>45917.40219907407</v>
      </c>
      <c r="AB277" s="2" t="str">
        <f>=HYPERLINK("https://applink.feishu.cn/client/todo/task_list?guid=76122b60-faec-4a61-91b0-2d229f32cc2a", "迷宫球")</f>
        <v>迷宫球</v>
      </c>
      <c r="AC277" t="inlineStr">
        <is>
          <t>76122b60-faec-4a61-91b0-2d229f32cc2a</t>
        </is>
      </c>
      <c r="AD277" t="inlineStr">
        <is>
          <t>NzUzMTk3MzcwNDkxNDg0NTY5NzpmMjcwYzk3MC1jNDI5LTRhNzMtODMxOC0xZGI5MmI1MjRiYzA6ZmM3Y2ZlOGRhN2YxOTI0NDVkNDExYjE0NDdlOGFkODQ6MQ==</t>
        </is>
      </c>
      <c r="AE277"/>
    </row>
    <row r="278" ht="25.5" customHeight="1">
      <c r="A278" s="2" t="str">
        <f>=HYPERLINK("https://applink.feishu.cn/client/todo/detail?guid=2c3f56b7-3f2f-422a-83c1-08e193c9b27c&amp;suite_entity_num=t100977", "制作基于静态脚本的迷宫布置功能，根据脚本一键布置迷宫 &lt; ✨新增: 增加了迷宫的简单编辑功能")</f>
        <v>制作基于静态脚本的迷宫布置功能，根据脚本一键布置迷宫 &lt; ✨新增: 增加了迷宫的简单编辑功能</v>
      </c>
      <c r="B278"/>
      <c r="C278" t="inlineStr">
        <is>
          <t>默认分组</t>
        </is>
      </c>
      <c r="D278" t="inlineStr">
        <is>
          <t>0</t>
        </is>
      </c>
      <c r="E278"/>
      <c r="F278">
        <v>8</v>
      </c>
      <c r="G278"/>
      <c r="H278" t="inlineStr">
        <is>
          <t>🛠️技术</t>
        </is>
      </c>
      <c r="I278">
        <v>0</v>
      </c>
      <c r="J278" t="inlineStr">
        <is>
          <t>或签任务</t>
        </is>
      </c>
      <c r="K278"/>
      <c r="L278" t="inlineStr">
        <is>
          <t>0</t>
        </is>
      </c>
      <c r="M278"/>
      <c r="N278" s="3"/>
      <c r="O278" t="inlineStr">
        <is>
          <t>v0.0.5</t>
        </is>
      </c>
      <c r="P278" t="inlineStr">
        <is>
          <t>Decay</t>
        </is>
      </c>
      <c r="Q278" s="3">
        <v>45899.333333333336</v>
      </c>
      <c r="R278" s="3"/>
      <c r="S278" t="inlineStr">
        <is>
          <t>2c3f56b7-3f2f-422a-83c1-08e193c9b27c</t>
        </is>
      </c>
      <c r="T278" t="inlineStr">
        <is>
          <t>f270c970-c429-4a73-8318-1db92b524bc0</t>
        </is>
      </c>
      <c r="U278" t="inlineStr">
        <is>
          <t>29fe82da-4cc4-4656-bd03-23d62c795b51, d3a23398-6dbe-4c3f-9cc6-103e54113efb, 308aa9b3-8d78-465e-9357-528d566737d1</t>
        </is>
      </c>
      <c r="V278" t="inlineStr">
        <is>
          <t>7f856e03-78fb-4076-8fb2-a67d919865e5</t>
        </is>
      </c>
      <c r="W278">
        <v>0</v>
      </c>
      <c r="X278" t="inlineStr">
        <is>
          <t>龚政涛,Decay</t>
        </is>
      </c>
      <c r="Y278" t="inlineStr">
        <is>
          <t>龚政涛</t>
        </is>
      </c>
      <c r="Z278" s="3">
        <v>45866.51826388889</v>
      </c>
      <c r="AA278" s="3">
        <v>45901.41196759259</v>
      </c>
      <c r="AB278" s="2" t="str">
        <f>=HYPERLINK("https://applink.feishu.cn/client/todo/task_list?guid=76122b60-faec-4a61-91b0-2d229f32cc2a", "迷宫球")</f>
        <v>迷宫球</v>
      </c>
      <c r="AC278" t="inlineStr">
        <is>
          <t>76122b60-faec-4a61-91b0-2d229f32cc2a</t>
        </is>
      </c>
      <c r="AD278" t="inlineStr">
        <is>
          <t>NzUzMTk3MzcwNDkxNDg0NTY5NzoyYzNmNTZiNy0zZjJmLTQyMmEtODNjMS0wOGUxOTNjOWIyN2M6NzhlZTJmZTI0MGQzMDRhZWYyZTJhZTUzZGEwYTA3NGI6MQ==</t>
        </is>
      </c>
      <c r="AE278"/>
    </row>
    <row r="279" ht="25.5" customHeight="1">
      <c r="A279" s="2" t="str">
        <f>=HYPERLINK("https://applink.feishu.cn/client/todo/detail?guid=4a029dd2-5cec-4d61-87dc-e8c9386cd613&amp;suite_entity_num=t101011", "按键hover颜色异常 &lt; 更新UI系统为Common UI")</f>
        <v>按键hover颜色异常 &lt; 更新UI系统为Common UI</v>
      </c>
      <c r="B279"/>
      <c r="C279" t="inlineStr">
        <is>
          <t>默认分组</t>
        </is>
      </c>
      <c r="D279" t="inlineStr">
        <is>
          <t>1</t>
        </is>
      </c>
      <c r="E279" t="inlineStr">
        <is>
          <t>已完成</t>
        </is>
      </c>
      <c r="F279">
        <v>2</v>
      </c>
      <c r="G279"/>
      <c r="H279" t="inlineStr">
        <is>
          <t>🛠️技术</t>
        </is>
      </c>
      <c r="I279">
        <v>0</v>
      </c>
      <c r="J279" t="inlineStr">
        <is>
          <t>或签任务</t>
        </is>
      </c>
      <c r="K279"/>
      <c r="L279" t="inlineStr">
        <is>
          <t>0</t>
        </is>
      </c>
      <c r="M279"/>
      <c r="N279" s="3">
        <v>45876.44269675926</v>
      </c>
      <c r="O279" t="inlineStr">
        <is>
          <t>v0.0.4</t>
        </is>
      </c>
      <c r="P279" t="inlineStr">
        <is>
          <t>周晨锋</t>
        </is>
      </c>
      <c r="Q279" s="3"/>
      <c r="R279" s="3"/>
      <c r="S279" t="inlineStr">
        <is>
          <t>4a029dd2-5cec-4d61-87dc-e8c9386cd613</t>
        </is>
      </c>
      <c r="T279" t="inlineStr">
        <is>
          <t>8aacc70b-0a2f-49df-8dd8-21befa61a07c</t>
        </is>
      </c>
      <c r="U279"/>
      <c r="V279"/>
      <c r="W279">
        <v>0</v>
      </c>
      <c r="X279" t="inlineStr">
        <is>
          <t>龚政涛,周晨锋</t>
        </is>
      </c>
      <c r="Y279" t="inlineStr">
        <is>
          <t>龚政涛</t>
        </is>
      </c>
      <c r="Z279" s="3">
        <v>45876.42175925926</v>
      </c>
      <c r="AA279" s="3">
        <v>45890.715844907405</v>
      </c>
      <c r="AB279" s="2" t="str">
        <f>=HYPERLINK("https://applink.feishu.cn/client/todo/task_list?guid=76122b60-faec-4a61-91b0-2d229f32cc2a", "迷宫球")</f>
        <v>迷宫球</v>
      </c>
      <c r="AC279" t="inlineStr">
        <is>
          <t>76122b60-faec-4a61-91b0-2d229f32cc2a</t>
        </is>
      </c>
      <c r="AD279" t="inlineStr">
        <is>
          <t>NzUzMTk3MzcwNDkxNDg0NTY5Nzo0YTAyOWRkMi01Y2VjLTRkNjEtODdkYy1lOGM5Mzg2Y2Q2MTM6MWQyNjhjODM2MWI3YThiNzg4ZDRmMmYxYWIzNDVmYWM6MQ==</t>
        </is>
      </c>
      <c r="AE279"/>
    </row>
    <row r="280" ht="25.5" customHeight="1">
      <c r="A280" s="2" t="str">
        <f>=HYPERLINK("https://applink.feishu.cn/client/todo/detail?guid=3472b777-d364-4bf1-95bd-490365da5dc2&amp;suite_entity_num=t101012", "关卡跳转异常 &lt; 更新UI系统为Common UI")</f>
        <v>关卡跳转异常 &lt; 更新UI系统为Common UI</v>
      </c>
      <c r="B280"/>
      <c r="C280" t="inlineStr">
        <is>
          <t>默认分组</t>
        </is>
      </c>
      <c r="D280" t="inlineStr">
        <is>
          <t>1</t>
        </is>
      </c>
      <c r="E280" t="inlineStr">
        <is>
          <t>已完成</t>
        </is>
      </c>
      <c r="F280">
        <v>2</v>
      </c>
      <c r="G280"/>
      <c r="H280" t="inlineStr">
        <is>
          <t>🛠️技术</t>
        </is>
      </c>
      <c r="I280">
        <v>0</v>
      </c>
      <c r="J280" t="inlineStr">
        <is>
          <t>或签任务</t>
        </is>
      </c>
      <c r="K280"/>
      <c r="L280" t="inlineStr">
        <is>
          <t>0</t>
        </is>
      </c>
      <c r="M280"/>
      <c r="N280" s="3">
        <v>45876.44274305556</v>
      </c>
      <c r="O280" t="inlineStr">
        <is>
          <t>v0.0.4</t>
        </is>
      </c>
      <c r="P280" t="inlineStr">
        <is>
          <t>周晨锋</t>
        </is>
      </c>
      <c r="Q280" s="3"/>
      <c r="R280" s="3"/>
      <c r="S280" t="inlineStr">
        <is>
          <t>3472b777-d364-4bf1-95bd-490365da5dc2</t>
        </is>
      </c>
      <c r="T280" t="inlineStr">
        <is>
          <t>8aacc70b-0a2f-49df-8dd8-21befa61a07c</t>
        </is>
      </c>
      <c r="U280"/>
      <c r="V280"/>
      <c r="W280">
        <v>0</v>
      </c>
      <c r="X280" t="inlineStr">
        <is>
          <t>龚政涛,周晨锋</t>
        </is>
      </c>
      <c r="Y280" t="inlineStr">
        <is>
          <t>龚政涛</t>
        </is>
      </c>
      <c r="Z280" s="3">
        <v>45876.4230787037</v>
      </c>
      <c r="AA280" s="3">
        <v>45890.71576388889</v>
      </c>
      <c r="AB280" s="2" t="str">
        <f>=HYPERLINK("https://applink.feishu.cn/client/todo/task_list?guid=76122b60-faec-4a61-91b0-2d229f32cc2a", "迷宫球")</f>
        <v>迷宫球</v>
      </c>
      <c r="AC280" t="inlineStr">
        <is>
          <t>76122b60-faec-4a61-91b0-2d229f32cc2a</t>
        </is>
      </c>
      <c r="AD280" t="inlineStr">
        <is>
          <t>NzUzMTk3MzcwNDkxNDg0NTY5NzozNDcyYjc3Ny1kMzY0LTRiZjEtOTViZC00OTAzNjVkYTVkYzI6YmVjZmYyOGU5ZTQwODI4ZWExMDUxNGRlOTAzMGViNTE6MQ==</t>
        </is>
      </c>
      <c r="AE280"/>
    </row>
    <row r="281" ht="25.5" customHeight="1">
      <c r="A281" s="2" t="str">
        <f>=HYPERLINK("https://applink.feishu.cn/client/todo/detail?guid=34240b45-4b9d-4f3b-b0ed-925e3d746831&amp;suite_entity_num=t101013", "鼠标指针异常消失、移位 &lt; 更新UI系统为Common UI")</f>
        <v>鼠标指针异常消失、移位 &lt; 更新UI系统为Common UI</v>
      </c>
      <c r="B281"/>
      <c r="C281" t="inlineStr">
        <is>
          <t>默认分组</t>
        </is>
      </c>
      <c r="D281" t="inlineStr">
        <is>
          <t>1</t>
        </is>
      </c>
      <c r="E281" t="inlineStr">
        <is>
          <t>已完成</t>
        </is>
      </c>
      <c r="F281">
        <v>2</v>
      </c>
      <c r="G281"/>
      <c r="H281" t="inlineStr">
        <is>
          <t>🛠️技术</t>
        </is>
      </c>
      <c r="I281">
        <v>0</v>
      </c>
      <c r="J281" t="inlineStr">
        <is>
          <t>或签任务</t>
        </is>
      </c>
      <c r="K281"/>
      <c r="L281" t="inlineStr">
        <is>
          <t>0</t>
        </is>
      </c>
      <c r="M281"/>
      <c r="N281" s="3">
        <v>45876.541979166665</v>
      </c>
      <c r="O281" t="inlineStr">
        <is>
          <t>v0.0.4</t>
        </is>
      </c>
      <c r="P281" t="inlineStr">
        <is>
          <t>周晨锋</t>
        </is>
      </c>
      <c r="Q281" s="3"/>
      <c r="R281" s="3"/>
      <c r="S281" t="inlineStr">
        <is>
          <t>34240b45-4b9d-4f3b-b0ed-925e3d746831</t>
        </is>
      </c>
      <c r="T281" t="inlineStr">
        <is>
          <t>8aacc70b-0a2f-49df-8dd8-21befa61a07c</t>
        </is>
      </c>
      <c r="U281"/>
      <c r="V281"/>
      <c r="W281">
        <v>0</v>
      </c>
      <c r="X281" t="inlineStr">
        <is>
          <t>龚政涛,周晨锋</t>
        </is>
      </c>
      <c r="Y281" t="inlineStr">
        <is>
          <t>龚政涛</t>
        </is>
      </c>
      <c r="Z281" s="3">
        <v>45876.42556712963</v>
      </c>
      <c r="AA281" s="3">
        <v>45890.7159375</v>
      </c>
      <c r="AB281" s="2" t="str">
        <f>=HYPERLINK("https://applink.feishu.cn/client/todo/task_list?guid=76122b60-faec-4a61-91b0-2d229f32cc2a", "迷宫球")</f>
        <v>迷宫球</v>
      </c>
      <c r="AC281" t="inlineStr">
        <is>
          <t>76122b60-faec-4a61-91b0-2d229f32cc2a</t>
        </is>
      </c>
      <c r="AD281" t="inlineStr">
        <is>
          <t>NzUzMTk3MzcwNDkxNDg0NTY5NzozNDI0MGI0NS00YjlkLTRmM2ItYjBlZC05MjVlM2Q3NDY4MzE6MjUyM2YyMDBhMzk3NDc5NmVlNGFmMzc2YTdkZTU0MjA6MQ==</t>
        </is>
      </c>
      <c r="AE281"/>
    </row>
  </sheetData>
  <dataValidations count="6">
    <dataValidation allowBlank="false" sqref="C2:C280" type="list">
      <formula1>"默认分组"</formula1>
    </dataValidation>
    <dataValidation allowBlank="false" sqref="E2:E280" type="list">
      <formula1>"已完成,已拆分,进行中,已废弃"</formula1>
    </dataValidation>
    <dataValidation allowBlank="false" sqref="G2:G280" type="list">
      <formula1>"P2 - 新的想法,P1 - 最好处理,P0 - 必须处理"</formula1>
    </dataValidation>
    <dataValidation allowBlank="false" sqref="H2:H280" type="list">
      <formula1>"Feature,Content,Bug,Gameplay,🎨艺术,✍️故事,🛠️技术,🎮玩法"</formula1>
    </dataValidation>
    <dataValidation allowBlank="false" sqref="J2:J280" type="list">
      <formula1>"或签任务"</formula1>
    </dataValidation>
    <dataValidation allowBlank="false" sqref="O2:O280" type="list">
      <formula1>"v0.0.4,v0.0.3,v1.0.0,v0.1.0,v0.0.5,v1.X.0"</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日期</t>
        </is>
      </c>
      <c r="B1" s="1" t="inlineStr">
        <is>
          <t>趋势速率</t>
        </is>
      </c>
      <c r="C1" s="1" t="inlineStr">
        <is>
          <t>理想剩余</t>
        </is>
      </c>
      <c r="D1" s="1" t="inlineStr">
        <is>
          <t>实际剩余</t>
        </is>
      </c>
      <c r="E1" s="1" t="inlineStr">
        <is>
          <t>每日完成</t>
        </is>
      </c>
      <c r="F1" s="1" t="inlineStr">
        <is>
          <t>每日新增</t>
        </is>
      </c>
      <c r="G1" s="1" t="inlineStr">
        <is>
          <t>已规划</t>
        </is>
      </c>
      <c r="H1" s="1" t="inlineStr">
        <is>
          <t>进行中</t>
        </is>
      </c>
      <c r="I1" s="1" t="inlineStr">
        <is>
          <t>已完成</t>
        </is>
      </c>
      <c r="J1" s="1" t="inlineStr">
        <is>
          <t>已拆分</t>
        </is>
      </c>
      <c r="K1" s="1" t="inlineStr">
        <is>
          <t>已废弃</t>
        </is>
      </c>
    </row>
    <row r="2" ht="25.5" customHeight="1">
      <c r="A2" s="4">
        <v>45852</v>
      </c>
      <c r="B2" t="inlineStr">
        <is>
          <t>572.0</t>
        </is>
      </c>
      <c r="C2" t="inlineStr">
        <is>
          <t>580.0</t>
        </is>
      </c>
      <c r="D2" t="inlineStr">
        <is>
          <t>155.0</t>
        </is>
      </c>
      <c r="E2" t="inlineStr">
        <is>
          <t>4.0</t>
        </is>
      </c>
      <c r="F2"/>
      <c r="G2"/>
      <c r="H2"/>
      <c r="I2"/>
      <c r="J2"/>
      <c r="K2"/>
    </row>
    <row r="3" ht="25.5" customHeight="1">
      <c r="A3" s="4">
        <v>45853</v>
      </c>
      <c r="B3" t="inlineStr">
        <is>
          <t>572.0</t>
        </is>
      </c>
      <c r="C3" t="inlineStr">
        <is>
          <t>568.2</t>
        </is>
      </c>
      <c r="D3" t="inlineStr">
        <is>
          <t>151.0</t>
        </is>
      </c>
      <c r="E3" t="inlineStr">
        <is>
          <t>0.0</t>
        </is>
      </c>
      <c r="F3" t="inlineStr">
        <is>
          <t>0</t>
        </is>
      </c>
      <c r="G3"/>
      <c r="H3"/>
      <c r="I3"/>
      <c r="J3"/>
      <c r="K3"/>
    </row>
    <row r="4" ht="25.5" customHeight="1">
      <c r="A4" s="4">
        <v>45854</v>
      </c>
      <c r="B4" t="inlineStr">
        <is>
          <t>572.0</t>
        </is>
      </c>
      <c r="C4" t="inlineStr">
        <is>
          <t>556.3</t>
        </is>
      </c>
      <c r="D4" t="inlineStr">
        <is>
          <t>163.0</t>
        </is>
      </c>
      <c r="E4" t="inlineStr">
        <is>
          <t>8.0</t>
        </is>
      </c>
      <c r="F4" t="inlineStr">
        <is>
          <t>12</t>
        </is>
      </c>
      <c r="G4"/>
      <c r="H4"/>
      <c r="I4"/>
      <c r="J4"/>
      <c r="K4"/>
    </row>
    <row r="5" ht="25.5" customHeight="1">
      <c r="A5" s="4">
        <v>45855</v>
      </c>
      <c r="B5" t="inlineStr">
        <is>
          <t>572.0</t>
        </is>
      </c>
      <c r="C5" t="inlineStr">
        <is>
          <t>544.5</t>
        </is>
      </c>
      <c r="D5" t="inlineStr">
        <is>
          <t>155.0</t>
        </is>
      </c>
      <c r="E5" t="inlineStr">
        <is>
          <t>4.0</t>
        </is>
      </c>
      <c r="F5" t="inlineStr">
        <is>
          <t>0</t>
        </is>
      </c>
      <c r="G5"/>
      <c r="H5"/>
      <c r="I5"/>
      <c r="J5"/>
      <c r="K5"/>
    </row>
    <row r="6" ht="25.5" customHeight="1">
      <c r="A6" s="4">
        <v>45856</v>
      </c>
      <c r="B6" t="inlineStr">
        <is>
          <t>572.0</t>
        </is>
      </c>
      <c r="C6" t="inlineStr">
        <is>
          <t>532.7</t>
        </is>
      </c>
      <c r="D6" t="inlineStr">
        <is>
          <t>151.0</t>
        </is>
      </c>
      <c r="E6" t="inlineStr">
        <is>
          <t>8.0</t>
        </is>
      </c>
      <c r="F6" t="inlineStr">
        <is>
          <t>0</t>
        </is>
      </c>
      <c r="G6"/>
      <c r="H6"/>
      <c r="I6"/>
      <c r="J6"/>
      <c r="K6"/>
    </row>
    <row r="7" ht="25.5" customHeight="1">
      <c r="A7" s="4">
        <v>45857</v>
      </c>
      <c r="B7" t="inlineStr">
        <is>
          <t>572.0</t>
        </is>
      </c>
      <c r="C7" t="inlineStr">
        <is>
          <t>520.8</t>
        </is>
      </c>
      <c r="D7" t="inlineStr">
        <is>
          <t>143.0</t>
        </is>
      </c>
      <c r="E7" t="inlineStr">
        <is>
          <t>0.0</t>
        </is>
      </c>
      <c r="F7" t="inlineStr">
        <is>
          <t>0</t>
        </is>
      </c>
      <c r="G7"/>
      <c r="H7"/>
      <c r="I7"/>
      <c r="J7"/>
      <c r="K7"/>
    </row>
    <row r="8" ht="25.5" customHeight="1">
      <c r="A8" s="4">
        <v>45858</v>
      </c>
      <c r="B8" t="inlineStr">
        <is>
          <t>572.0</t>
        </is>
      </c>
      <c r="C8" t="inlineStr">
        <is>
          <t>509.0</t>
        </is>
      </c>
      <c r="D8" t="inlineStr">
        <is>
          <t>143.0</t>
        </is>
      </c>
      <c r="E8" t="inlineStr">
        <is>
          <t>8.0</t>
        </is>
      </c>
      <c r="F8" t="inlineStr">
        <is>
          <t>0</t>
        </is>
      </c>
      <c r="G8"/>
      <c r="H8"/>
      <c r="I8"/>
      <c r="J8"/>
      <c r="K8"/>
    </row>
    <row r="9" ht="25.5" customHeight="1">
      <c r="A9" s="4">
        <v>45859</v>
      </c>
      <c r="B9" t="inlineStr">
        <is>
          <t>572.0</t>
        </is>
      </c>
      <c r="C9" t="inlineStr">
        <is>
          <t>497.1</t>
        </is>
      </c>
      <c r="D9" t="inlineStr">
        <is>
          <t>135.0</t>
        </is>
      </c>
      <c r="E9" t="inlineStr">
        <is>
          <t>0.0</t>
        </is>
      </c>
      <c r="F9" t="inlineStr">
        <is>
          <t>0</t>
        </is>
      </c>
      <c r="G9"/>
      <c r="H9"/>
      <c r="I9"/>
      <c r="J9"/>
      <c r="K9"/>
    </row>
    <row r="10" ht="25.5" customHeight="1">
      <c r="A10" s="4">
        <v>45860</v>
      </c>
      <c r="B10" t="inlineStr">
        <is>
          <t>572.0</t>
        </is>
      </c>
      <c r="C10" t="inlineStr">
        <is>
          <t>485.3</t>
        </is>
      </c>
      <c r="D10" t="inlineStr">
        <is>
          <t>135.0</t>
        </is>
      </c>
      <c r="E10" t="inlineStr">
        <is>
          <t>8.0</t>
        </is>
      </c>
      <c r="F10" t="inlineStr">
        <is>
          <t>0</t>
        </is>
      </c>
      <c r="G10"/>
      <c r="H10"/>
      <c r="I10"/>
      <c r="J10"/>
      <c r="K10"/>
    </row>
    <row r="11" ht="25.5" customHeight="1">
      <c r="A11" s="4">
        <v>45861</v>
      </c>
      <c r="B11" t="inlineStr">
        <is>
          <t>572.0</t>
        </is>
      </c>
      <c r="C11" t="inlineStr">
        <is>
          <t>473.5</t>
        </is>
      </c>
      <c r="D11" t="inlineStr">
        <is>
          <t>127.0</t>
        </is>
      </c>
      <c r="E11" t="inlineStr">
        <is>
          <t>0.0</t>
        </is>
      </c>
      <c r="F11" t="inlineStr">
        <is>
          <t>0</t>
        </is>
      </c>
      <c r="G11"/>
      <c r="H11"/>
      <c r="I11"/>
      <c r="J11"/>
      <c r="K11"/>
    </row>
    <row r="12" ht="25.5" customHeight="1">
      <c r="A12" s="4">
        <v>45862</v>
      </c>
      <c r="B12" t="inlineStr">
        <is>
          <t>572.0</t>
        </is>
      </c>
      <c r="C12" t="inlineStr">
        <is>
          <t>461.6</t>
        </is>
      </c>
      <c r="D12" t="inlineStr">
        <is>
          <t>127.0</t>
        </is>
      </c>
      <c r="E12" t="inlineStr">
        <is>
          <t>8.0</t>
        </is>
      </c>
      <c r="F12" t="inlineStr">
        <is>
          <t>0</t>
        </is>
      </c>
      <c r="G12"/>
      <c r="H12"/>
      <c r="I12"/>
      <c r="J12"/>
      <c r="K12"/>
    </row>
    <row r="13" ht="25.5" customHeight="1">
      <c r="A13" s="4">
        <v>45863</v>
      </c>
      <c r="B13" t="inlineStr">
        <is>
          <t>572.0</t>
        </is>
      </c>
      <c r="C13" t="inlineStr">
        <is>
          <t>449.8</t>
        </is>
      </c>
      <c r="D13" t="inlineStr">
        <is>
          <t>119.0</t>
        </is>
      </c>
      <c r="E13" t="inlineStr">
        <is>
          <t>0.0</t>
        </is>
      </c>
      <c r="F13" t="inlineStr">
        <is>
          <t>0</t>
        </is>
      </c>
      <c r="G13"/>
      <c r="H13"/>
      <c r="I13"/>
      <c r="J13"/>
      <c r="K13"/>
    </row>
    <row r="14" ht="25.5" customHeight="1">
      <c r="A14" s="4">
        <v>45864</v>
      </c>
      <c r="B14" t="inlineStr">
        <is>
          <t>572.0</t>
        </is>
      </c>
      <c r="C14" t="inlineStr">
        <is>
          <t>438.0</t>
        </is>
      </c>
      <c r="D14" t="inlineStr">
        <is>
          <t>119.0</t>
        </is>
      </c>
      <c r="E14" t="inlineStr">
        <is>
          <t>8.0</t>
        </is>
      </c>
      <c r="F14" t="inlineStr">
        <is>
          <t>0</t>
        </is>
      </c>
      <c r="G14"/>
      <c r="H14"/>
      <c r="I14"/>
      <c r="J14"/>
      <c r="K14"/>
    </row>
    <row r="15" ht="25.5" customHeight="1">
      <c r="A15" s="4">
        <v>45865</v>
      </c>
      <c r="B15" t="inlineStr">
        <is>
          <t>572.0</t>
        </is>
      </c>
      <c r="C15" t="inlineStr">
        <is>
          <t>426.1</t>
        </is>
      </c>
      <c r="D15" t="inlineStr">
        <is>
          <t>111.0</t>
        </is>
      </c>
      <c r="E15" t="inlineStr">
        <is>
          <t>0.0</t>
        </is>
      </c>
      <c r="F15" t="inlineStr">
        <is>
          <t>0</t>
        </is>
      </c>
      <c r="G15"/>
      <c r="H15"/>
      <c r="I15"/>
      <c r="J15"/>
      <c r="K15"/>
    </row>
    <row r="16" ht="25.5" customHeight="1">
      <c r="A16" s="4">
        <v>45866</v>
      </c>
      <c r="B16" t="inlineStr">
        <is>
          <t>572.0</t>
        </is>
      </c>
      <c r="C16" t="inlineStr">
        <is>
          <t>414.3</t>
        </is>
      </c>
      <c r="D16" t="inlineStr">
        <is>
          <t>111.0</t>
        </is>
      </c>
      <c r="E16" t="inlineStr">
        <is>
          <t>8.0</t>
        </is>
      </c>
      <c r="F16" t="inlineStr">
        <is>
          <t>0</t>
        </is>
      </c>
      <c r="G16"/>
      <c r="H16"/>
      <c r="I16"/>
      <c r="J16"/>
      <c r="K16"/>
    </row>
    <row r="17" ht="25.5" customHeight="1">
      <c r="A17" s="4">
        <v>45867</v>
      </c>
      <c r="B17" t="inlineStr">
        <is>
          <t>572.0</t>
        </is>
      </c>
      <c r="C17" t="inlineStr">
        <is>
          <t>402.4</t>
        </is>
      </c>
      <c r="D17" t="inlineStr">
        <is>
          <t>120.0</t>
        </is>
      </c>
      <c r="E17" t="inlineStr">
        <is>
          <t>0.0</t>
        </is>
      </c>
      <c r="F17" t="inlineStr">
        <is>
          <t>17</t>
        </is>
      </c>
      <c r="G17"/>
      <c r="H17"/>
      <c r="I17"/>
      <c r="J17"/>
      <c r="K17"/>
    </row>
    <row r="18" ht="25.5" customHeight="1">
      <c r="A18" s="4">
        <v>45868</v>
      </c>
      <c r="B18" t="inlineStr">
        <is>
          <t>572.0</t>
        </is>
      </c>
      <c r="C18" t="inlineStr">
        <is>
          <t>390.6</t>
        </is>
      </c>
      <c r="D18" t="inlineStr">
        <is>
          <t>120.0</t>
        </is>
      </c>
      <c r="E18" t="inlineStr">
        <is>
          <t>8.0</t>
        </is>
      </c>
      <c r="F18" t="inlineStr">
        <is>
          <t>0</t>
        </is>
      </c>
      <c r="G18"/>
      <c r="H18"/>
      <c r="I18"/>
      <c r="J18"/>
      <c r="K18"/>
    </row>
    <row r="19" ht="25.5" customHeight="1">
      <c r="A19" s="4">
        <v>45869</v>
      </c>
      <c r="B19" t="inlineStr">
        <is>
          <t>572.0</t>
        </is>
      </c>
      <c r="C19" t="inlineStr">
        <is>
          <t>378.8</t>
        </is>
      </c>
      <c r="D19" t="inlineStr">
        <is>
          <t>112.0</t>
        </is>
      </c>
      <c r="E19" t="inlineStr">
        <is>
          <t>0.0</t>
        </is>
      </c>
      <c r="F19" t="inlineStr">
        <is>
          <t>0</t>
        </is>
      </c>
      <c r="G19"/>
      <c r="H19"/>
      <c r="I19"/>
      <c r="J19"/>
      <c r="K19"/>
    </row>
    <row r="20" ht="25.5" customHeight="1">
      <c r="A20" s="4">
        <v>45870</v>
      </c>
      <c r="B20" t="inlineStr">
        <is>
          <t>572.0</t>
        </is>
      </c>
      <c r="C20" t="inlineStr">
        <is>
          <t>366.9</t>
        </is>
      </c>
      <c r="D20" t="inlineStr">
        <is>
          <t>116.0</t>
        </is>
      </c>
      <c r="E20" t="inlineStr">
        <is>
          <t>8.0</t>
        </is>
      </c>
      <c r="F20" t="inlineStr">
        <is>
          <t>4</t>
        </is>
      </c>
      <c r="G20"/>
      <c r="H20"/>
      <c r="I20"/>
      <c r="J20"/>
      <c r="K20"/>
    </row>
    <row r="21" ht="25.5" customHeight="1">
      <c r="A21" s="4">
        <v>45871</v>
      </c>
      <c r="B21" t="inlineStr">
        <is>
          <t>572.0</t>
        </is>
      </c>
      <c r="C21" t="inlineStr">
        <is>
          <t>355.1</t>
        </is>
      </c>
      <c r="D21" t="inlineStr">
        <is>
          <t>108.0</t>
        </is>
      </c>
      <c r="E21" t="inlineStr">
        <is>
          <t>0.0</t>
        </is>
      </c>
      <c r="F21" t="inlineStr">
        <is>
          <t>0</t>
        </is>
      </c>
      <c r="G21"/>
      <c r="H21"/>
      <c r="I21"/>
      <c r="J21"/>
      <c r="K21"/>
    </row>
    <row r="22" ht="25.5" customHeight="1">
      <c r="A22" s="4">
        <v>45872</v>
      </c>
      <c r="B22" t="inlineStr">
        <is>
          <t>572.0</t>
        </is>
      </c>
      <c r="C22" t="inlineStr">
        <is>
          <t>343.3</t>
        </is>
      </c>
      <c r="D22" t="inlineStr">
        <is>
          <t>108.0</t>
        </is>
      </c>
      <c r="E22" t="inlineStr">
        <is>
          <t>0.0</t>
        </is>
      </c>
      <c r="F22" t="inlineStr">
        <is>
          <t>0</t>
        </is>
      </c>
      <c r="G22"/>
      <c r="H22"/>
      <c r="I22"/>
      <c r="J22"/>
      <c r="K22"/>
    </row>
    <row r="23" ht="25.5" customHeight="1">
      <c r="A23" s="4">
        <v>45873</v>
      </c>
      <c r="B23" t="inlineStr">
        <is>
          <t>572.0</t>
        </is>
      </c>
      <c r="C23" t="inlineStr">
        <is>
          <t>331.4</t>
        </is>
      </c>
      <c r="D23" t="inlineStr">
        <is>
          <t>108.0</t>
        </is>
      </c>
      <c r="E23" t="inlineStr">
        <is>
          <t>0.0</t>
        </is>
      </c>
      <c r="F23" t="inlineStr">
        <is>
          <t>0</t>
        </is>
      </c>
      <c r="G23"/>
      <c r="H23"/>
      <c r="I23"/>
      <c r="J23"/>
      <c r="K23"/>
    </row>
    <row r="24" ht="25.5" customHeight="1">
      <c r="A24" s="4">
        <v>45874</v>
      </c>
      <c r="B24" t="inlineStr">
        <is>
          <t>572.0</t>
        </is>
      </c>
      <c r="C24" t="inlineStr">
        <is>
          <t>319.6</t>
        </is>
      </c>
      <c r="D24" t="inlineStr">
        <is>
          <t>108.0</t>
        </is>
      </c>
      <c r="E24" t="inlineStr">
        <is>
          <t>0.0</t>
        </is>
      </c>
      <c r="F24" t="inlineStr">
        <is>
          <t>0</t>
        </is>
      </c>
      <c r="G24"/>
      <c r="H24"/>
      <c r="I24"/>
      <c r="J24"/>
      <c r="K24"/>
    </row>
    <row r="25" ht="25.5" customHeight="1">
      <c r="A25" s="4">
        <v>45875</v>
      </c>
      <c r="B25" t="inlineStr">
        <is>
          <t>572.0</t>
        </is>
      </c>
      <c r="C25" t="inlineStr">
        <is>
          <t>307.8</t>
        </is>
      </c>
      <c r="D25" t="inlineStr">
        <is>
          <t>108.0</t>
        </is>
      </c>
      <c r="E25" t="inlineStr">
        <is>
          <t>0.0</t>
        </is>
      </c>
      <c r="F25" t="inlineStr">
        <is>
          <t>0</t>
        </is>
      </c>
      <c r="G25"/>
      <c r="H25"/>
      <c r="I25"/>
      <c r="J25"/>
      <c r="K25"/>
    </row>
    <row r="26" ht="25.5" customHeight="1">
      <c r="A26" s="4">
        <v>45876</v>
      </c>
      <c r="B26" t="inlineStr">
        <is>
          <t>572.0</t>
        </is>
      </c>
      <c r="C26" t="inlineStr">
        <is>
          <t>295.9</t>
        </is>
      </c>
      <c r="D26" t="inlineStr">
        <is>
          <t>108.0</t>
        </is>
      </c>
      <c r="E26" t="inlineStr">
        <is>
          <t>4.0</t>
        </is>
      </c>
      <c r="F26" t="inlineStr">
        <is>
          <t>0</t>
        </is>
      </c>
      <c r="G26"/>
      <c r="H26"/>
      <c r="I26"/>
      <c r="J26"/>
      <c r="K26"/>
    </row>
    <row r="27" ht="25.5" customHeight="1">
      <c r="A27" s="4">
        <v>45877</v>
      </c>
      <c r="B27" t="inlineStr">
        <is>
          <t>572.0</t>
        </is>
      </c>
      <c r="C27" t="inlineStr">
        <is>
          <t>284.1</t>
        </is>
      </c>
      <c r="D27" t="inlineStr">
        <is>
          <t>110.0</t>
        </is>
      </c>
      <c r="E27" t="inlineStr">
        <is>
          <t>0.0</t>
        </is>
      </c>
      <c r="F27" t="inlineStr">
        <is>
          <t>6</t>
        </is>
      </c>
      <c r="G27"/>
      <c r="H27"/>
      <c r="I27"/>
      <c r="J27"/>
      <c r="K27"/>
    </row>
    <row r="28" ht="25.5" customHeight="1">
      <c r="A28" s="4">
        <v>45878</v>
      </c>
      <c r="B28" t="inlineStr">
        <is>
          <t>572.0</t>
        </is>
      </c>
      <c r="C28" t="inlineStr">
        <is>
          <t>272.2</t>
        </is>
      </c>
      <c r="D28" t="inlineStr">
        <is>
          <t>110.0</t>
        </is>
      </c>
      <c r="E28" t="inlineStr">
        <is>
          <t>0.0</t>
        </is>
      </c>
      <c r="F28" t="inlineStr">
        <is>
          <t>0</t>
        </is>
      </c>
      <c r="G28"/>
      <c r="H28"/>
      <c r="I28"/>
      <c r="J28"/>
      <c r="K28"/>
    </row>
    <row r="29" ht="25.5" customHeight="1">
      <c r="A29" s="4">
        <v>45879</v>
      </c>
      <c r="B29" t="inlineStr">
        <is>
          <t>572.0</t>
        </is>
      </c>
      <c r="C29" t="inlineStr">
        <is>
          <t>260.4</t>
        </is>
      </c>
      <c r="D29" t="inlineStr">
        <is>
          <t>110.0</t>
        </is>
      </c>
      <c r="E29" t="inlineStr">
        <is>
          <t>0.0</t>
        </is>
      </c>
      <c r="F29" t="inlineStr">
        <is>
          <t>0</t>
        </is>
      </c>
      <c r="G29"/>
      <c r="H29"/>
      <c r="I29"/>
      <c r="J29"/>
      <c r="K29"/>
    </row>
    <row r="30" ht="25.5" customHeight="1">
      <c r="A30" s="4">
        <v>45880</v>
      </c>
      <c r="B30" t="inlineStr">
        <is>
          <t>572.0</t>
        </is>
      </c>
      <c r="C30" t="inlineStr">
        <is>
          <t>248.6</t>
        </is>
      </c>
      <c r="D30" t="inlineStr">
        <is>
          <t>110.0</t>
        </is>
      </c>
      <c r="E30" t="inlineStr">
        <is>
          <t>8.0</t>
        </is>
      </c>
      <c r="F30" t="inlineStr">
        <is>
          <t>0</t>
        </is>
      </c>
      <c r="G30"/>
      <c r="H30"/>
      <c r="I30"/>
      <c r="J30"/>
      <c r="K30"/>
    </row>
    <row r="31" ht="25.5" customHeight="1">
      <c r="A31" s="4">
        <v>45881</v>
      </c>
      <c r="B31" t="inlineStr">
        <is>
          <t>572.0</t>
        </is>
      </c>
      <c r="C31" t="inlineStr">
        <is>
          <t>236.7</t>
        </is>
      </c>
      <c r="D31" t="inlineStr">
        <is>
          <t>102.0</t>
        </is>
      </c>
      <c r="E31" t="inlineStr">
        <is>
          <t>8.0</t>
        </is>
      </c>
      <c r="F31" t="inlineStr">
        <is>
          <t>0</t>
        </is>
      </c>
      <c r="G31"/>
      <c r="H31"/>
      <c r="I31"/>
      <c r="J31"/>
      <c r="K31"/>
    </row>
    <row r="32" ht="25.5" customHeight="1">
      <c r="A32" s="4">
        <v>45882</v>
      </c>
      <c r="B32" t="inlineStr">
        <is>
          <t>572.0</t>
        </is>
      </c>
      <c r="C32" t="inlineStr">
        <is>
          <t>224.9</t>
        </is>
      </c>
      <c r="D32" t="inlineStr">
        <is>
          <t>94.0</t>
        </is>
      </c>
      <c r="E32" t="inlineStr">
        <is>
          <t>2.0</t>
        </is>
      </c>
      <c r="F32" t="inlineStr">
        <is>
          <t>0</t>
        </is>
      </c>
      <c r="G32"/>
      <c r="H32"/>
      <c r="I32"/>
      <c r="J32"/>
      <c r="K32"/>
    </row>
    <row r="33" ht="25.5" customHeight="1">
      <c r="A33" s="4">
        <v>45883</v>
      </c>
      <c r="B33" t="inlineStr">
        <is>
          <t>572.0</t>
        </is>
      </c>
      <c r="C33" t="inlineStr">
        <is>
          <t>213.1</t>
        </is>
      </c>
      <c r="D33" t="inlineStr">
        <is>
          <t>92.0</t>
        </is>
      </c>
      <c r="E33" t="inlineStr">
        <is>
          <t>0.0</t>
        </is>
      </c>
      <c r="F33" t="inlineStr">
        <is>
          <t>0</t>
        </is>
      </c>
      <c r="G33"/>
      <c r="H33"/>
      <c r="I33"/>
      <c r="J33"/>
      <c r="K33"/>
    </row>
    <row r="34" ht="25.5" customHeight="1">
      <c r="A34" s="4">
        <v>45884</v>
      </c>
      <c r="B34" t="inlineStr">
        <is>
          <t>572.0</t>
        </is>
      </c>
      <c r="C34" t="inlineStr">
        <is>
          <t>201.2</t>
        </is>
      </c>
      <c r="D34" t="inlineStr">
        <is>
          <t>92.0</t>
        </is>
      </c>
      <c r="E34" t="inlineStr">
        <is>
          <t>8.0</t>
        </is>
      </c>
      <c r="F34" t="inlineStr">
        <is>
          <t>0</t>
        </is>
      </c>
      <c r="G34"/>
      <c r="H34"/>
      <c r="I34"/>
      <c r="J34"/>
      <c r="K34"/>
    </row>
    <row r="35" ht="25.5" customHeight="1">
      <c r="A35" s="4">
        <v>45885</v>
      </c>
      <c r="B35" t="inlineStr">
        <is>
          <t>572.0</t>
        </is>
      </c>
      <c r="C35" t="inlineStr">
        <is>
          <t>189.4</t>
        </is>
      </c>
      <c r="D35" t="inlineStr">
        <is>
          <t>84.0</t>
        </is>
      </c>
      <c r="E35" t="inlineStr">
        <is>
          <t>0.0</t>
        </is>
      </c>
      <c r="F35" t="inlineStr">
        <is>
          <t>0</t>
        </is>
      </c>
      <c r="G35"/>
      <c r="H35"/>
      <c r="I35"/>
      <c r="J35"/>
      <c r="K35"/>
    </row>
    <row r="36" ht="25.5" customHeight="1">
      <c r="A36" s="4">
        <v>45886</v>
      </c>
      <c r="B36" t="inlineStr">
        <is>
          <t>572.0</t>
        </is>
      </c>
      <c r="C36" t="inlineStr">
        <is>
          <t>177.6</t>
        </is>
      </c>
      <c r="D36" t="inlineStr">
        <is>
          <t>84.0</t>
        </is>
      </c>
      <c r="E36" t="inlineStr">
        <is>
          <t>0.0</t>
        </is>
      </c>
      <c r="F36" t="inlineStr">
        <is>
          <t>0</t>
        </is>
      </c>
      <c r="G36"/>
      <c r="H36"/>
      <c r="I36"/>
      <c r="J36"/>
      <c r="K36"/>
    </row>
    <row r="37" ht="25.5" customHeight="1">
      <c r="A37" s="4">
        <v>45887</v>
      </c>
      <c r="B37" t="inlineStr">
        <is>
          <t>572.0</t>
        </is>
      </c>
      <c r="C37" t="inlineStr">
        <is>
          <t>165.7</t>
        </is>
      </c>
      <c r="D37" t="inlineStr">
        <is>
          <t>84.0</t>
        </is>
      </c>
      <c r="E37" t="inlineStr">
        <is>
          <t>0.0</t>
        </is>
      </c>
      <c r="F37" t="inlineStr">
        <is>
          <t>0</t>
        </is>
      </c>
      <c r="G37"/>
      <c r="H37"/>
      <c r="I37"/>
      <c r="J37"/>
      <c r="K37"/>
    </row>
    <row r="38" ht="25.5" customHeight="1">
      <c r="A38" s="4">
        <v>45888</v>
      </c>
      <c r="B38" t="inlineStr">
        <is>
          <t>572.0</t>
        </is>
      </c>
      <c r="C38" t="inlineStr">
        <is>
          <t>153.9</t>
        </is>
      </c>
      <c r="D38" t="inlineStr">
        <is>
          <t>84.0</t>
        </is>
      </c>
      <c r="E38" t="inlineStr">
        <is>
          <t>0.0</t>
        </is>
      </c>
      <c r="F38" t="inlineStr">
        <is>
          <t>0</t>
        </is>
      </c>
      <c r="G38"/>
      <c r="H38"/>
      <c r="I38"/>
      <c r="J38"/>
      <c r="K38"/>
    </row>
    <row r="39" ht="25.5" customHeight="1">
      <c r="A39" s="4">
        <v>45889</v>
      </c>
      <c r="B39" t="inlineStr">
        <is>
          <t>572.0</t>
        </is>
      </c>
      <c r="C39" t="inlineStr">
        <is>
          <t>142.0</t>
        </is>
      </c>
      <c r="D39" t="inlineStr">
        <is>
          <t>84.0</t>
        </is>
      </c>
      <c r="E39" t="inlineStr">
        <is>
          <t>4.0</t>
        </is>
      </c>
      <c r="F39" t="inlineStr">
        <is>
          <t>0</t>
        </is>
      </c>
      <c r="G39"/>
      <c r="H39"/>
      <c r="I39"/>
      <c r="J39"/>
      <c r="K39"/>
    </row>
    <row r="40" ht="25.5" customHeight="1">
      <c r="A40" s="4">
        <v>45890</v>
      </c>
      <c r="B40" t="inlineStr">
        <is>
          <t>572.0</t>
        </is>
      </c>
      <c r="C40" t="inlineStr">
        <is>
          <t>130.2</t>
        </is>
      </c>
      <c r="D40" t="inlineStr">
        <is>
          <t>96.0</t>
        </is>
      </c>
      <c r="E40" t="inlineStr">
        <is>
          <t>6.0</t>
        </is>
      </c>
      <c r="F40" t="inlineStr">
        <is>
          <t>16</t>
        </is>
      </c>
      <c r="G40"/>
      <c r="H40"/>
      <c r="I40"/>
      <c r="J40"/>
      <c r="K40"/>
    </row>
    <row r="41" ht="25.5" customHeight="1">
      <c r="A41" s="4">
        <v>45891</v>
      </c>
      <c r="B41" t="inlineStr">
        <is>
          <t>572.0</t>
        </is>
      </c>
      <c r="C41" t="inlineStr">
        <is>
          <t>118.4</t>
        </is>
      </c>
      <c r="D41" t="inlineStr">
        <is>
          <t>100.0</t>
        </is>
      </c>
      <c r="E41" t="inlineStr">
        <is>
          <t>4.0</t>
        </is>
      </c>
      <c r="F41" t="inlineStr">
        <is>
          <t>10</t>
        </is>
      </c>
      <c r="G41"/>
      <c r="H41"/>
      <c r="I41"/>
      <c r="J41"/>
      <c r="K41"/>
    </row>
    <row r="42" ht="25.5" customHeight="1">
      <c r="A42" s="4">
        <v>45892</v>
      </c>
      <c r="B42" t="inlineStr">
        <is>
          <t>572.0</t>
        </is>
      </c>
      <c r="C42" t="inlineStr">
        <is>
          <t>106.5</t>
        </is>
      </c>
      <c r="D42" t="inlineStr">
        <is>
          <t>160.0</t>
        </is>
      </c>
      <c r="E42" t="inlineStr">
        <is>
          <t>0.0</t>
        </is>
      </c>
      <c r="F42" t="inlineStr">
        <is>
          <t>64</t>
        </is>
      </c>
      <c r="G42"/>
      <c r="H42"/>
      <c r="I42"/>
      <c r="J42"/>
      <c r="K42"/>
    </row>
    <row r="43" ht="25.5" customHeight="1">
      <c r="A43" s="4">
        <v>45893</v>
      </c>
      <c r="B43" t="inlineStr">
        <is>
          <t>572.0</t>
        </is>
      </c>
      <c r="C43" t="inlineStr">
        <is>
          <t>94.7</t>
        </is>
      </c>
      <c r="D43" t="inlineStr">
        <is>
          <t>160.0</t>
        </is>
      </c>
      <c r="E43" t="inlineStr">
        <is>
          <t>0.0</t>
        </is>
      </c>
      <c r="F43" t="inlineStr">
        <is>
          <t>0</t>
        </is>
      </c>
      <c r="G43"/>
      <c r="H43"/>
      <c r="I43"/>
      <c r="J43"/>
      <c r="K43"/>
    </row>
    <row r="44" ht="25.5" customHeight="1">
      <c r="A44" s="4">
        <v>45894</v>
      </c>
      <c r="B44" t="inlineStr">
        <is>
          <t>572.0</t>
        </is>
      </c>
      <c r="C44" t="inlineStr">
        <is>
          <t>82.9</t>
        </is>
      </c>
      <c r="D44" t="inlineStr">
        <is>
          <t>160.0</t>
        </is>
      </c>
      <c r="E44" t="inlineStr">
        <is>
          <t>8.0</t>
        </is>
      </c>
      <c r="F44" t="inlineStr">
        <is>
          <t>0</t>
        </is>
      </c>
      <c r="G44"/>
      <c r="H44"/>
      <c r="I44"/>
      <c r="J44"/>
      <c r="K44"/>
    </row>
    <row r="45" ht="25.5" customHeight="1">
      <c r="A45" s="4">
        <v>45895</v>
      </c>
      <c r="B45" t="inlineStr">
        <is>
          <t>572.0</t>
        </is>
      </c>
      <c r="C45" t="inlineStr">
        <is>
          <t>71.0</t>
        </is>
      </c>
      <c r="D45" t="inlineStr">
        <is>
          <t>152.0</t>
        </is>
      </c>
      <c r="E45" t="inlineStr">
        <is>
          <t>0.0</t>
        </is>
      </c>
      <c r="F45" t="inlineStr">
        <is>
          <t>0</t>
        </is>
      </c>
      <c r="G45"/>
      <c r="H45"/>
      <c r="I45"/>
      <c r="J45"/>
      <c r="K45"/>
    </row>
    <row r="46" ht="25.5" customHeight="1">
      <c r="A46" s="4">
        <v>45896</v>
      </c>
      <c r="B46" t="inlineStr">
        <is>
          <t>572.0</t>
        </is>
      </c>
      <c r="C46" t="inlineStr">
        <is>
          <t>59.2</t>
        </is>
      </c>
      <c r="D46" t="inlineStr">
        <is>
          <t>152.0</t>
        </is>
      </c>
      <c r="E46" t="inlineStr">
        <is>
          <t>0.0</t>
        </is>
      </c>
      <c r="F46" t="inlineStr">
        <is>
          <t>0</t>
        </is>
      </c>
      <c r="G46"/>
      <c r="H46"/>
      <c r="I46"/>
      <c r="J46"/>
      <c r="K46"/>
    </row>
    <row r="47" ht="25.5" customHeight="1">
      <c r="A47" s="4">
        <v>45897</v>
      </c>
      <c r="B47" t="inlineStr">
        <is>
          <t>572.0</t>
        </is>
      </c>
      <c r="C47" t="inlineStr">
        <is>
          <t>47.3</t>
        </is>
      </c>
      <c r="D47" t="inlineStr">
        <is>
          <t>152.0</t>
        </is>
      </c>
      <c r="E47" t="inlineStr">
        <is>
          <t>5.0</t>
        </is>
      </c>
      <c r="F47" t="inlineStr">
        <is>
          <t>0</t>
        </is>
      </c>
      <c r="G47"/>
      <c r="H47"/>
      <c r="I47"/>
      <c r="J47"/>
      <c r="K47"/>
    </row>
    <row r="48" ht="25.5" customHeight="1">
      <c r="A48" s="4">
        <v>45898</v>
      </c>
      <c r="B48" t="inlineStr">
        <is>
          <t>572.0</t>
        </is>
      </c>
      <c r="C48" t="inlineStr">
        <is>
          <t>35.5</t>
        </is>
      </c>
      <c r="D48" t="inlineStr">
        <is>
          <t>147.0</t>
        </is>
      </c>
      <c r="E48" t="inlineStr">
        <is>
          <t>4.0</t>
        </is>
      </c>
      <c r="F48" t="inlineStr">
        <is>
          <t>0</t>
        </is>
      </c>
      <c r="G48"/>
      <c r="H48"/>
      <c r="I48"/>
      <c r="J48"/>
      <c r="K48"/>
    </row>
    <row r="49" ht="25.5" customHeight="1">
      <c r="A49" s="4">
        <v>45899</v>
      </c>
      <c r="B49" t="inlineStr">
        <is>
          <t>572.0</t>
        </is>
      </c>
      <c r="C49" t="inlineStr">
        <is>
          <t>23.7</t>
        </is>
      </c>
      <c r="D49" t="inlineStr">
        <is>
          <t>153.0</t>
        </is>
      </c>
      <c r="E49" t="inlineStr">
        <is>
          <t>0.0</t>
        </is>
      </c>
      <c r="F49" t="inlineStr">
        <is>
          <t>10</t>
        </is>
      </c>
      <c r="G49"/>
      <c r="H49"/>
      <c r="I49"/>
      <c r="J49"/>
      <c r="K49"/>
    </row>
    <row r="50" ht="25.5" customHeight="1">
      <c r="A50" s="4">
        <v>45900</v>
      </c>
      <c r="B50" t="inlineStr">
        <is>
          <t>572.0</t>
        </is>
      </c>
      <c r="C50" t="inlineStr">
        <is>
          <t>11.8</t>
        </is>
      </c>
      <c r="D50" t="inlineStr">
        <is>
          <t>153.0</t>
        </is>
      </c>
      <c r="E50" t="inlineStr">
        <is>
          <t>4.0</t>
        </is>
      </c>
      <c r="F50" t="inlineStr">
        <is>
          <t>0</t>
        </is>
      </c>
      <c r="G50"/>
      <c r="H50"/>
      <c r="I50"/>
      <c r="J50"/>
      <c r="K50"/>
    </row>
    <row r="51" ht="25.5" customHeight="1">
      <c r="A51" s="4">
        <v>45901</v>
      </c>
      <c r="B51" t="inlineStr">
        <is>
          <t>572.0</t>
        </is>
      </c>
      <c r="C51" t="inlineStr">
        <is>
          <t>0.0</t>
        </is>
      </c>
      <c r="D51" t="inlineStr">
        <is>
          <t>149.0</t>
        </is>
      </c>
      <c r="E51" t="inlineStr">
        <is>
          <t>12.0</t>
        </is>
      </c>
      <c r="F51" t="inlineStr">
        <is>
          <t>0</t>
        </is>
      </c>
      <c r="G51"/>
      <c r="H51"/>
      <c r="I51"/>
      <c r="J51"/>
      <c r="K5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