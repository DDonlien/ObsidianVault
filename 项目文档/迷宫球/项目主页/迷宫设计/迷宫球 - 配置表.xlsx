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2" windowHeight="15800" windowWidth="28040" xWindow="4240" yWindow="640"/>
  </bookViews>
  <sheets>
    <sheet name="过期资产" sheetId="2" r:id="rId6" state="hidden"/>
    <sheet name="过期同步文件" sheetId="3" r:id="rId7" state="hidden"/>
    <sheet name="引用列表" sheetId="4" r:id="rId8"/>
    <sheet name="小球" sheetId="5" r:id="rId9"/>
    <sheet name="体素模块" sheetId="6" r:id="rId10" state="hidden"/>
    <sheet name="Voxel规划表" sheetId="7" r:id="rId11"/>
    <sheet name="VoxelMeshDefinition" sheetId="8" r:id="rId12"/>
    <sheet name="RailDefinition" sheetId="9" r:id="rId13"/>
    <sheet name="VoxelMeshConfig" sheetId="10" r:id="rId14"/>
    <sheet name="SplineMeshConfig" sheetId="11" r:id="rId15"/>
    <sheet name="RailConfig" sheetId="12" r:id="rId16"/>
    <sheet name="迷宫世界规划" sheetId="13" r:id="rId17"/>
    <sheet name="迷宫关卡规划" sheetId="14" r:id="rId18"/>
    <sheet name="迷宫难度计算" sheetId="15" r:id="rId1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1" authorId="0" shapeId="0" xr:uid="{799a2937-8811-4672-b0e9-861b821978bd}">
      <text>
        <r>
          <t>这里根据修饰词决定4个自旋的难度系数，不旋转的自然是1，其他的默认是两侧1.5，反面2，如果遇到缺边，变成2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tc={B5CB60E3-D931-46C6-8D4C-26E5B89FF566}</author>
  </authors>
  <commentList>
    <comment ref="P1" authorId="0" shapeId="0" xr:uid="{B5CB60E3-D931-46C6-8D4C-26E5B89FF566}">
      <text>
        <t>[Threaded comment] Your version of Excel allows you to read this threaded comment; however, any edits to it will get removed if the file is opened in a newer version of Excel. Learn more: https://go.microsoft.com/fwlink/?linkid=870924 Comment: 参考数值：检查点数量计算值</t>
      </text>
    </comment>
  </commentList>
</comments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<sst xmlns="http://schemas.openxmlformats.org/spreadsheetml/2006/main" count="6" uniqueCount="6">
  <si>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</si>
  <si>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rgb="FF000000"/>
        <rFont val="Calibri"/>
        <family val="2"/>
      </rPr>
      <t>持续使用，使小球被迷宫核心</t>
    </r>
    <r>
      <rPr>
        <b/>
        <sz val="9.75"/>
        <color rgb="FF000000"/>
        <rFont val="Calibri"/>
        <family val="2"/>
      </rPr>
      <t>排斥</t>
    </r>
    <r>
      <rPr>
        <sz val="9.75"/>
        <color rgb="FF000000"/>
        <rFont val="Calibri"/>
        <family val="2"/>
      </rPr>
      <t>，且受到更轻微的重力影响。</t>
    </r>
  </si>
  <si>
    <t/>
    <r>
      <rPr>
        <sz val="9.75"/>
        <color rgb="FF000000"/>
        <rFont val="Calibri"/>
        <family val="2"/>
      </rPr>
      <t>持续使用，使小球被迷宫核心</t>
    </r>
    <r>
      <rPr>
        <b/>
        <sz val="9.75"/>
        <color rgb="FF000000"/>
        <rFont val="Calibri"/>
        <family val="2"/>
      </rPr>
      <t>吸引</t>
    </r>
    <r>
      <rPr>
        <sz val="9.75"/>
        <color rgb="FF000000"/>
        <rFont val="Calibri"/>
        <family val="2"/>
      </rPr>
      <t>，且受到更轻微的重力影响。</t>
    </r>
  </si>
  <si>
    <t/>
    <r>
      <rPr>
        <sz val="9.75"/>
        <color rgb="FF000000"/>
        <rFont val="Calibri"/>
        <family val="2"/>
      </rPr>
      <t>按下使用，使小球</t>
    </r>
    <r>
      <rPr>
        <b/>
        <sz val="9.75"/>
        <color rgb="FF000000"/>
        <rFont val="Calibri"/>
        <family val="2"/>
      </rPr>
      <t>跳跃</t>
    </r>
    <r>
      <rPr>
        <sz val="9.75"/>
        <color rgb="FF000000"/>
        <rFont val="Calibri"/>
        <family val="2"/>
      </rPr>
      <t>。这颗球似乎弹性很好？</t>
    </r>
  </si>
  <si>
    <t/>
    <r>
      <rPr>
        <sz val="9.75"/>
        <color rgb="FF000000"/>
        <rFont val="Calibri"/>
        <family val="2"/>
      </rPr>
      <t>持续使用，使小球可以</t>
    </r>
    <r>
      <rPr>
        <b/>
        <sz val="9.75"/>
        <color rgb="FF000000"/>
        <rFont val="Calibri"/>
        <family val="2"/>
      </rPr>
      <t>穿透</t>
    </r>
    <r>
      <rPr>
        <sz val="9.75"/>
        <color rgb="FF000000"/>
        <rFont val="Calibri"/>
        <family val="2"/>
      </rPr>
      <t>迷宫轨道。</t>
    </r>
  </si>
  <si>
    <t/>
    <r>
      <rPr>
        <sz val="9.75"/>
        <color rgb="FF000000"/>
        <rFont val="Calibri"/>
        <family val="2"/>
      </rPr>
      <t>按下使用，</t>
    </r>
    <r>
      <rPr>
        <b/>
        <sz val="9.75"/>
        <color rgb="FF000000"/>
        <rFont val="Calibri"/>
        <family val="2"/>
      </rPr>
      <t>切换操作</t>
    </r>
    <r>
      <rPr>
        <sz val="9.75"/>
        <color rgb="FF000000"/>
        <rFont val="Calibri"/>
        <family val="2"/>
      </rPr>
      <t>对象为小球，而非迷宫，再次按下恢复操作。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</si>
</sst>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4" formatCode="General"/>
    <numFmt numFmtId="165" formatCode="General"/>
    <numFmt numFmtId="166" formatCode="@"/>
    <numFmt numFmtId="167" formatCode="General"/>
    <numFmt numFmtId="168" formatCode="General"/>
    <numFmt numFmtId="169" formatCode="General"/>
    <numFmt numFmtId="170" formatCode="General"/>
    <numFmt numFmtId="171" formatCode="General"/>
    <numFmt numFmtId="172" formatCode="General"/>
    <numFmt numFmtId="173" formatCode="General"/>
    <numFmt numFmtId="174" formatCode="General"/>
    <numFmt numFmtId="175" formatCode="General"/>
    <numFmt numFmtId="176" formatCode="General"/>
    <numFmt numFmtId="177" formatCode="General"/>
    <numFmt numFmtId="178" formatCode="General"/>
    <numFmt numFmtId="179" formatCode="General"/>
    <numFmt numFmtId="180" formatCode="General"/>
    <numFmt numFmtId="181" formatCode="General"/>
    <numFmt numFmtId="182" formatCode="General"/>
    <numFmt numFmtId="183" formatCode="General"/>
    <numFmt numFmtId="184" formatCode="General"/>
    <numFmt numFmtId="185" formatCode="General"/>
    <numFmt numFmtId="186" formatCode="General"/>
    <numFmt numFmtId="187" formatCode="General"/>
    <numFmt numFmtId="188" formatCode="General"/>
    <numFmt numFmtId="189" formatCode="General"/>
    <numFmt numFmtId="190" formatCode="General"/>
    <numFmt numFmtId="191" formatCode="General"/>
    <numFmt numFmtId="192" formatCode="General"/>
    <numFmt numFmtId="193" formatCode="0.00"/>
    <numFmt numFmtId="194" formatCode="0.00"/>
    <numFmt numFmtId="195" formatCode="0.00"/>
    <numFmt numFmtId="196" formatCode="0.00"/>
    <numFmt numFmtId="197" formatCode="0.00"/>
    <numFmt numFmtId="198" formatCode="0.00"/>
    <numFmt numFmtId="199" formatCode="0.00"/>
    <numFmt numFmtId="200" formatCode="0.00"/>
    <numFmt numFmtId="201" formatCode="0.00"/>
    <numFmt numFmtId="202" formatCode="0.00"/>
    <numFmt numFmtId="203" formatCode="0.00"/>
    <numFmt numFmtId="204" formatCode="0.00"/>
    <numFmt numFmtId="205" formatCode="0.00"/>
    <numFmt numFmtId="206" formatCode="0.00"/>
    <numFmt numFmtId="207" formatCode="0.00"/>
    <numFmt numFmtId="208" formatCode="0.0"/>
    <numFmt numFmtId="209" formatCode="0.0"/>
    <numFmt numFmtId="210" formatCode="0"/>
    <numFmt numFmtId="211" formatCode="0"/>
    <numFmt numFmtId="212" formatCode="0"/>
    <numFmt numFmtId="213" formatCode="0.0"/>
    <numFmt numFmtId="214" formatCode="0.0"/>
    <numFmt numFmtId="215" formatCode="0"/>
    <numFmt numFmtId="216" formatCode="0.0"/>
    <numFmt numFmtId="217" formatCode="0.0"/>
    <numFmt numFmtId="218" formatCode="0"/>
    <numFmt numFmtId="219" formatCode="0.0"/>
    <numFmt numFmtId="220" formatCode="0"/>
    <numFmt numFmtId="221" formatCode="0.0"/>
    <numFmt numFmtId="222" formatCode="0"/>
    <numFmt numFmtId="223" formatCode="0"/>
    <numFmt numFmtId="224" formatCode="0.0"/>
    <numFmt numFmtId="225" formatCode="0.0"/>
    <numFmt numFmtId="226" formatCode="0.0"/>
    <numFmt numFmtId="227" formatCode="0.0"/>
    <numFmt numFmtId="228" formatCode="0.0"/>
  </numFmts>
  <fonts count="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i val="true"/>
      <sz val="9.75"/>
      <color rgb="FF000000"/>
      <name val="Calibri"/>
      <family val="2"/>
      <scheme val="minor"/>
    </font>
    <font>
      <b val="true"/>
      <i val="true"/>
      <sz val="9.75"/>
      <color rgb="FF000000"/>
      <name val="Calibri"/>
      <family val="2"/>
      <scheme val="minor"/>
    </font>
    <font>
      <i val="true"/>
      <sz val="9.75"/>
      <color rgb="FF000000"/>
      <name val="Calibri"/>
      <family val="2"/>
      <scheme val="minor"/>
    </font>
    <font>
      <sz val="9.75"/>
      <color rgb="FFF14BA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1"/>
      <color rgb="FF34C724"/>
      <name val="Calibri"/>
      <family val="2"/>
      <scheme val="minor"/>
    </font>
    <font>
      <sz val="9.75"/>
      <color rgb="FF8F959E"/>
      <name val="Calibri"/>
      <family val="2"/>
      <scheme val="minor"/>
    </font>
    <font>
      <b val="true"/>
      <sz val="9.75"/>
      <color rgb="FF8F959E"/>
      <name val="Calibri"/>
      <family val="2"/>
      <scheme val="minor"/>
    </font>
  </fonts>
  <fills count="1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BFBC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ED4A4"/>
        <bgColor/>
      </patternFill>
    </fill>
    <fill>
      <patternFill patternType="solid">
        <fgColor rgb="FFD9F5D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5F6F2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5F6F2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D5F6F2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5D6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EEF6C6"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19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false" applyBorder="false" applyFill="true" applyFont="false" applyNumberFormat="false" applyProtection="false" borderId="8" fillId="2" fontId="0" numFmtId="0" xfId="0">
      <alignment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true" applyProtection="false" borderId="10" fillId="0" fontId="1" numFmtId="164" xfId="0">
      <alignment vertical="center"/>
    </xf>
    <xf applyAlignment="true" applyBorder="false" applyFill="false" applyFont="true" applyNumberFormat="false" applyProtection="false" borderId="11" fillId="0" fontId="3" numFmtId="0" xfId="0">
      <alignment horizontal="left" vertical="center"/>
    </xf>
    <xf applyAlignment="true" applyBorder="false" applyFill="false" applyFont="true" applyNumberFormat="true" applyProtection="false" borderId="12" fillId="0" fontId="3" numFmtId="165" xfId="0">
      <alignment horizontal="left" vertical="center"/>
    </xf>
    <xf applyAlignment="true" applyBorder="false" applyFill="false" applyFont="true" applyNumberFormat="true" applyProtection="false" borderId="13" fillId="0" fontId="1" numFmtId="166" xfId="0">
      <alignment vertical="center"/>
    </xf>
    <xf applyAlignment="true" applyBorder="false" applyFill="false" applyFont="true" applyNumberFormat="false" applyProtection="false" borderId="14" fillId="0" fontId="4" numFmtId="0" xfId="0">
      <alignment horizontal="left" vertical="center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false" applyFont="true" applyNumberFormat="false" applyProtection="false" borderId="16" fillId="0" fontId="1" numFmtId="0" xfId="0">
      <alignment horizontal="right" vertical="center"/>
    </xf>
    <xf applyAlignment="true" applyBorder="false" applyFill="false" applyFont="true" applyNumberFormat="false" applyProtection="false" borderId="17" fillId="0" fontId="3" numFmtId="0" xfId="0">
      <alignment vertical="center"/>
    </xf>
    <xf applyAlignment="true" applyBorder="false" applyFill="false" applyFont="true" applyNumberFormat="false" applyProtection="false" borderId="18" fillId="0" fontId="4" numFmtId="0" xfId="0">
      <alignment vertical="center"/>
    </xf>
    <xf applyAlignment="true" applyBorder="false" applyFill="true" applyFont="true" applyNumberFormat="false" applyProtection="false" borderId="19" fillId="3" fontId="2" numFmtId="0" xfId="0">
      <alignment vertical="center"/>
    </xf>
    <xf applyAlignment="true" applyBorder="false" applyFill="true" applyFont="true" applyNumberFormat="false" applyProtection="false" borderId="20" fillId="4" fontId="1" numFmtId="0" xfId="0">
      <alignment horizontal="left" vertical="center"/>
    </xf>
    <xf applyAlignment="true" applyBorder="false" applyFill="true" applyFont="true" applyNumberFormat="false" applyProtection="false" borderId="21" fillId="5" fontId="1" numFmtId="0" xfId="0">
      <alignment vertical="center"/>
    </xf>
    <xf applyAlignment="true" applyBorder="false" applyFill="true" applyFont="true" applyNumberFormat="true" applyProtection="false" borderId="22" fillId="6" fontId="1" numFmtId="167" xfId="0">
      <alignment vertical="center"/>
    </xf>
    <xf applyAlignment="true" applyBorder="false" applyFill="true" applyFont="true" applyNumberFormat="true" applyProtection="false" borderId="23" fillId="7" fontId="2" numFmtId="168" xfId="0">
      <alignment vertical="center"/>
    </xf>
    <xf applyAlignment="true" applyBorder="false" applyFill="true" applyFont="true" applyNumberFormat="false" applyProtection="false" borderId="24" fillId="8" fontId="2" numFmtId="0" xfId="0">
      <alignment horizontal="center" vertical="center"/>
    </xf>
    <xf applyAlignment="true" applyBorder="false" applyFill="true" applyFont="true" applyNumberFormat="false" applyProtection="false" borderId="25" fillId="9" fontId="2" numFmtId="0" xfId="0">
      <alignment horizontal="left" vertical="center"/>
    </xf>
    <xf applyAlignment="true" applyBorder="false" applyFill="true" applyFont="true" applyNumberFormat="true" applyProtection="false" borderId="26" fillId="10" fontId="1" numFmtId="169" xfId="0">
      <alignment horizontal="left" vertical="center"/>
    </xf>
    <xf applyAlignment="true" applyBorder="false" applyFill="false" applyFont="true" applyNumberFormat="true" applyProtection="false" borderId="27" fillId="0" fontId="2" numFmtId="170" xfId="0">
      <alignment vertical="center"/>
    </xf>
    <xf applyAlignment="true" applyBorder="false" applyFill="true" applyFont="true" applyNumberFormat="false" applyProtection="false" borderId="28" fillId="11" fontId="1" numFmtId="0" xfId="0">
      <alignment vertical="center"/>
    </xf>
    <xf applyAlignment="true" applyBorder="false" applyFill="true" applyFont="true" applyNumberFormat="false" applyProtection="false" borderId="29" fillId="12" fontId="2" numFmtId="0" xfId="0">
      <alignment vertical="center"/>
    </xf>
    <xf applyAlignment="true" applyBorder="false" applyFill="true" applyFont="true" applyNumberFormat="false" applyProtection="false" borderId="30" fillId="13" fontId="2" numFmtId="0" xfId="0">
      <alignment horizontal="center" vertical="center"/>
    </xf>
    <xf applyAlignment="true" applyBorder="false" applyFill="true" applyFont="true" applyNumberFormat="true" applyProtection="false" borderId="31" fillId="14" fontId="2" numFmtId="171" xfId="0">
      <alignment vertical="center"/>
    </xf>
    <xf applyAlignment="true" applyBorder="false" applyFill="true" applyFont="true" applyNumberFormat="false" applyProtection="false" borderId="32" fillId="15" fontId="1" numFmtId="0" xfId="0">
      <alignment horizontal="left" vertical="center"/>
    </xf>
    <xf applyAlignment="true" applyBorder="false" applyFill="true" applyFont="true" applyNumberFormat="true" applyProtection="false" borderId="33" fillId="16" fontId="1" numFmtId="172" xfId="0">
      <alignment vertical="center"/>
    </xf>
    <xf applyAlignment="true" applyBorder="false" applyFill="true" applyFont="true" applyNumberFormat="false" applyProtection="false" borderId="34" fillId="17" fontId="2" numFmtId="0" xfId="0">
      <alignment horizontal="left" vertical="center"/>
    </xf>
    <xf applyAlignment="true" applyBorder="false" applyFill="true" applyFont="true" applyNumberFormat="false" applyProtection="false" borderId="35" fillId="18" fontId="1" numFmtId="0" xfId="0">
      <alignment horizontal="left" vertical="center"/>
    </xf>
    <xf applyAlignment="true" applyBorder="false" applyFill="true" applyFont="true" applyNumberFormat="false" applyProtection="false" borderId="36" fillId="19" fontId="1" numFmtId="0" xfId="0">
      <alignment vertical="center"/>
    </xf>
    <xf applyAlignment="true" applyBorder="false" applyFill="true" applyFont="true" applyNumberFormat="false" applyProtection="false" borderId="37" fillId="20" fontId="2" numFmtId="0" xfId="0">
      <alignment vertical="center"/>
    </xf>
    <xf applyAlignment="true" applyBorder="false" applyFill="true" applyFont="true" applyNumberFormat="false" applyProtection="false" borderId="38" fillId="21" fontId="2" numFmtId="0" xfId="0">
      <alignment horizontal="left" vertical="center"/>
    </xf>
    <xf applyAlignment="true" applyBorder="false" applyFill="true" applyFont="true" applyNumberFormat="true" applyProtection="false" borderId="39" fillId="22" fontId="1" numFmtId="173" xfId="0">
      <alignment vertical="center"/>
    </xf>
    <xf applyAlignment="true" applyBorder="false" applyFill="true" applyFont="true" applyNumberFormat="true" applyProtection="false" borderId="40" fillId="23" fontId="2" numFmtId="174" xfId="0">
      <alignment vertical="center"/>
    </xf>
    <xf applyAlignment="true" applyBorder="false" applyFill="true" applyFont="true" applyNumberFormat="false" applyProtection="false" borderId="41" fillId="24" fontId="2" numFmtId="0" xfId="0">
      <alignment horizontal="center" vertical="center"/>
    </xf>
    <xf applyAlignment="true" applyBorder="false" applyFill="true" applyFont="true" applyNumberFormat="false" applyProtection="false" borderId="42" fillId="25" fontId="1" numFmtId="0" xfId="0">
      <alignment vertical="center"/>
    </xf>
    <xf applyAlignment="true" applyBorder="false" applyFill="true" applyFont="true" applyNumberFormat="false" applyProtection="false" borderId="43" fillId="26" fontId="1" numFmtId="0" xfId="0">
      <alignment horizontal="left" vertical="center"/>
    </xf>
    <xf applyAlignment="true" applyBorder="false" applyFill="true" applyFont="true" applyNumberFormat="true" applyProtection="false" borderId="44" fillId="27" fontId="2" numFmtId="175" xfId="0">
      <alignment vertical="center"/>
    </xf>
    <xf applyAlignment="true" applyBorder="false" applyFill="true" applyFont="true" applyNumberFormat="true" applyProtection="false" borderId="45" fillId="28" fontId="1" numFmtId="176" xfId="0">
      <alignment vertical="center"/>
    </xf>
    <xf applyAlignment="true" applyBorder="false" applyFill="true" applyFont="true" applyNumberFormat="false" applyProtection="false" borderId="46" fillId="29" fontId="2" numFmtId="0" xfId="0">
      <alignment horizontal="center" vertical="center"/>
    </xf>
    <xf applyAlignment="true" applyBorder="false" applyFill="true" applyFont="true" applyNumberFormat="false" applyProtection="false" borderId="47" fillId="30" fontId="2" numFmtId="0" xfId="0">
      <alignment vertical="center"/>
    </xf>
    <xf applyAlignment="true" applyBorder="false" applyFill="true" applyFont="true" applyNumberFormat="false" applyProtection="false" borderId="48" fillId="31" fontId="2" numFmtId="0" xfId="0">
      <alignment horizontal="left" vertical="center"/>
    </xf>
    <xf applyAlignment="true" applyBorder="false" applyFill="true" applyFont="true" applyNumberFormat="true" applyProtection="false" borderId="49" fillId="32" fontId="1" numFmtId="177" xfId="0">
      <alignment horizontal="left" vertical="center"/>
    </xf>
    <xf applyAlignment="true" applyBorder="false" applyFill="true" applyFont="true" applyNumberFormat="true" applyProtection="false" borderId="50" fillId="33" fontId="1" numFmtId="178" xfId="0">
      <alignment horizontal="left" vertical="center"/>
    </xf>
    <xf applyAlignment="true" applyBorder="false" applyFill="true" applyFont="true" applyNumberFormat="false" applyProtection="false" borderId="51" fillId="34" fontId="1" numFmtId="0" xfId="0">
      <alignment vertical="center"/>
    </xf>
    <xf applyAlignment="true" applyBorder="false" applyFill="true" applyFont="true" applyNumberFormat="false" applyProtection="false" borderId="52" fillId="35" fontId="1" numFmtId="0" xfId="0">
      <alignment horizontal="left" vertical="center"/>
    </xf>
    <xf applyAlignment="true" applyBorder="false" applyFill="true" applyFont="true" applyNumberFormat="false" applyProtection="false" borderId="53" fillId="36" fontId="2" numFmtId="0" xfId="0">
      <alignment horizontal="left" vertical="center"/>
    </xf>
    <xf applyAlignment="true" applyBorder="false" applyFill="true" applyFont="true" applyNumberFormat="false" applyProtection="false" borderId="54" fillId="37" fontId="2" numFmtId="0" xfId="0">
      <alignment vertical="center"/>
    </xf>
    <xf applyAlignment="true" applyBorder="false" applyFill="true" applyFont="true" applyNumberFormat="true" applyProtection="false" borderId="55" fillId="38" fontId="2" numFmtId="179" xfId="0">
      <alignment vertical="center"/>
    </xf>
    <xf applyAlignment="true" applyBorder="false" applyFill="true" applyFont="true" applyNumberFormat="false" applyProtection="false" borderId="56" fillId="39" fontId="2" numFmtId="0" xfId="0">
      <alignment horizontal="center" vertical="center"/>
    </xf>
    <xf applyAlignment="true" applyBorder="false" applyFill="true" applyFont="true" applyNumberFormat="true" applyProtection="false" borderId="57" fillId="40" fontId="1" numFmtId="180" xfId="0">
      <alignment vertical="center"/>
    </xf>
    <xf applyAlignment="true" applyBorder="false" applyFill="true" applyFont="true" applyNumberFormat="true" applyProtection="false" borderId="58" fillId="41" fontId="2" numFmtId="181" xfId="0">
      <alignment vertical="center"/>
    </xf>
    <xf applyAlignment="true" applyBorder="false" applyFill="true" applyFont="true" applyNumberFormat="false" applyProtection="false" borderId="59" fillId="42" fontId="2" numFmtId="0" xfId="0">
      <alignment horizontal="center" vertical="center"/>
    </xf>
    <xf applyAlignment="true" applyBorder="false" applyFill="true" applyFont="true" applyNumberFormat="false" applyProtection="false" borderId="60" fillId="43" fontId="1" numFmtId="0" xfId="0">
      <alignment vertical="center"/>
    </xf>
    <xf applyAlignment="true" applyBorder="false" applyFill="true" applyFont="true" applyNumberFormat="false" applyProtection="false" borderId="61" fillId="44" fontId="1" numFmtId="0" xfId="0">
      <alignment horizontal="left" vertical="center"/>
    </xf>
    <xf applyAlignment="true" applyBorder="false" applyFill="true" applyFont="true" applyNumberFormat="false" applyProtection="false" borderId="62" fillId="45" fontId="2" numFmtId="0" xfId="0">
      <alignment vertical="center"/>
    </xf>
    <xf applyAlignment="true" applyBorder="false" applyFill="true" applyFont="true" applyNumberFormat="true" applyProtection="false" borderId="63" fillId="46" fontId="1" numFmtId="182" xfId="0">
      <alignment vertical="center"/>
    </xf>
    <xf applyAlignment="true" applyBorder="false" applyFill="true" applyFont="true" applyNumberFormat="false" applyProtection="false" borderId="64" fillId="47" fontId="1" numFmtId="0" xfId="0">
      <alignment horizontal="left" vertical="center"/>
    </xf>
    <xf applyAlignment="true" applyBorder="false" applyFill="true" applyFont="true" applyNumberFormat="false" applyProtection="false" borderId="65" fillId="48" fontId="1" numFmtId="0" xfId="0">
      <alignment vertical="center"/>
    </xf>
    <xf applyAlignment="true" applyBorder="false" applyFill="true" applyFont="true" applyNumberFormat="false" applyProtection="false" borderId="66" fillId="49" fontId="2" numFmtId="0" xfId="0">
      <alignment vertical="center"/>
    </xf>
    <xf applyAlignment="true" applyBorder="false" applyFill="true" applyFont="true" applyNumberFormat="true" applyProtection="false" borderId="67" fillId="50" fontId="2" numFmtId="183" xfId="0">
      <alignment vertical="center"/>
    </xf>
    <xf applyAlignment="true" applyBorder="false" applyFill="true" applyFont="true" applyNumberFormat="false" applyProtection="false" borderId="68" fillId="51" fontId="2" numFmtId="0" xfId="0">
      <alignment horizontal="center" vertical="center"/>
    </xf>
    <xf applyAlignment="true" applyBorder="false" applyFill="true" applyFont="true" applyNumberFormat="true" applyProtection="false" borderId="69" fillId="52" fontId="1" numFmtId="184" xfId="0">
      <alignment vertical="center"/>
    </xf>
    <xf applyAlignment="true" applyBorder="false" applyFill="false" applyFont="true" applyNumberFormat="true" applyProtection="false" borderId="70" fillId="0" fontId="4" numFmtId="185" xfId="0">
      <alignment horizontal="left" vertical="center"/>
    </xf>
    <xf applyAlignment="true" applyBorder="false" applyFill="true" applyFont="true" applyNumberFormat="false" applyProtection="false" borderId="71" fillId="53" fontId="2" numFmtId="0" xfId="0">
      <alignment horizontal="left" vertical="center"/>
    </xf>
    <xf applyAlignment="true" applyBorder="false" applyFill="true" applyFont="true" applyNumberFormat="false" applyProtection="false" borderId="72" fillId="54" fontId="1" numFmtId="0" xfId="0">
      <alignment horizontal="center" vertical="center"/>
    </xf>
    <xf applyAlignment="true" applyBorder="false" applyFill="true" applyFont="true" applyNumberFormat="false" applyProtection="false" borderId="73" fillId="55" fontId="4" numFmtId="0" xfId="0">
      <alignment horizontal="left" vertical="center"/>
    </xf>
    <xf applyAlignment="true" applyBorder="false" applyFill="true" applyFont="true" applyNumberFormat="false" applyProtection="false" borderId="74" fillId="56" fontId="1" numFmtId="0" xfId="0">
      <alignment horizontal="center" vertical="center"/>
    </xf>
    <xf applyAlignment="true" applyBorder="false" applyFill="true" applyFont="true" applyNumberFormat="false" applyProtection="false" borderId="75" fillId="57" fontId="4" numFmtId="0" xfId="0">
      <alignment horizontal="left" vertical="center"/>
    </xf>
    <xf applyAlignment="true" applyBorder="false" applyFill="true" applyFont="true" applyNumberFormat="false" applyProtection="false" borderId="76" fillId="58" fontId="4" numFmtId="0" xfId="0">
      <alignment horizontal="left" vertical="center"/>
    </xf>
    <xf applyAlignment="true" applyBorder="false" applyFill="true" applyFont="true" applyNumberFormat="false" applyProtection="false" borderId="77" fillId="59" fontId="1" numFmtId="0" xfId="0">
      <alignment horizontal="center" vertical="center"/>
    </xf>
    <xf applyAlignment="true" applyBorder="false" applyFill="true" applyFont="true" applyNumberFormat="false" applyProtection="false" borderId="78" fillId="60" fontId="2" numFmtId="0" xfId="0">
      <alignment horizontal="left" vertical="center"/>
    </xf>
    <xf applyAlignment="true" applyBorder="false" applyFill="true" applyFont="true" applyNumberFormat="false" applyProtection="false" borderId="79" fillId="61" fontId="2" numFmtId="0" xfId="0">
      <alignment vertical="center"/>
    </xf>
    <xf applyAlignment="true" applyBorder="false" applyFill="true" applyFont="true" applyNumberFormat="true" applyProtection="false" borderId="80" fillId="62" fontId="2" numFmtId="186" xfId="0">
      <alignment vertical="center"/>
    </xf>
    <xf applyAlignment="true" applyBorder="false" applyFill="true" applyFont="true" applyNumberFormat="false" applyProtection="false" borderId="81" fillId="63" fontId="2" numFmtId="0" xfId="0">
      <alignment horizontal="center" vertical="center"/>
    </xf>
    <xf applyAlignment="true" applyBorder="false" applyFill="true" applyFont="true" applyNumberFormat="false" applyProtection="false" borderId="82" fillId="64" fontId="4" numFmtId="0" xfId="0">
      <alignment horizontal="left" vertical="center"/>
    </xf>
    <xf applyAlignment="true" applyBorder="false" applyFill="true" applyFont="true" applyNumberFormat="false" applyProtection="false" borderId="83" fillId="65" fontId="2" numFmtId="0" xfId="0">
      <alignment vertical="center"/>
    </xf>
    <xf applyAlignment="true" applyBorder="false" applyFill="true" applyFont="true" applyNumberFormat="true" applyProtection="false" borderId="84" fillId="66" fontId="2" numFmtId="187" xfId="0">
      <alignment vertical="center"/>
    </xf>
    <xf applyAlignment="true" applyBorder="false" applyFill="true" applyFont="true" applyNumberFormat="false" applyProtection="false" borderId="85" fillId="67" fontId="2" numFmtId="0" xfId="0">
      <alignment horizontal="left" vertical="center"/>
    </xf>
    <xf applyAlignment="true" applyBorder="false" applyFill="true" applyFont="true" applyNumberFormat="false" applyProtection="false" borderId="86" fillId="68" fontId="2" numFmtId="0" xfId="0">
      <alignment horizontal="center" vertical="center"/>
    </xf>
    <xf applyAlignment="true" applyBorder="false" applyFill="true" applyFont="true" applyNumberFormat="false" applyProtection="false" borderId="87" fillId="69" fontId="1" numFmtId="0" xfId="0">
      <alignment horizontal="center" vertical="center"/>
    </xf>
    <xf applyAlignment="true" applyBorder="false" applyFill="true" applyFont="true" applyNumberFormat="false" applyProtection="false" borderId="88" fillId="70" fontId="2" numFmtId="0" xfId="0">
      <alignment horizontal="left" vertical="center"/>
    </xf>
    <xf applyAlignment="true" applyBorder="false" applyFill="true" applyFont="true" applyNumberFormat="false" applyProtection="false" borderId="89" fillId="71" fontId="4" numFmtId="0" xfId="0">
      <alignment horizontal="left" vertical="center"/>
    </xf>
    <xf applyAlignment="true" applyBorder="false" applyFill="true" applyFont="true" applyNumberFormat="false" applyProtection="false" borderId="90" fillId="72" fontId="1" numFmtId="0" xfId="0">
      <alignment horizontal="center" vertical="center"/>
    </xf>
    <xf applyAlignment="true" applyBorder="false" applyFill="true" applyFont="true" applyNumberFormat="false" applyProtection="false" borderId="91" fillId="73" fontId="1" numFmtId="0" xfId="0">
      <alignment vertical="center"/>
    </xf>
    <xf applyAlignment="true" applyBorder="false" applyFill="true" applyFont="true" applyNumberFormat="false" applyProtection="false" borderId="92" fillId="74" fontId="1" numFmtId="0" xfId="0">
      <alignment horizontal="left" vertical="center"/>
    </xf>
    <xf applyAlignment="true" applyBorder="false" applyFill="true" applyFont="true" applyNumberFormat="true" applyProtection="false" borderId="93" fillId="75" fontId="1" numFmtId="188" xfId="0">
      <alignment vertical="center"/>
    </xf>
    <xf applyAlignment="true" applyBorder="false" applyFill="true" applyFont="true" applyNumberFormat="false" applyProtection="false" borderId="94" fillId="76" fontId="1" numFmtId="0" xfId="0">
      <alignment horizontal="center" vertical="center"/>
    </xf>
    <xf applyAlignment="true" applyBorder="false" applyFill="true" applyFont="true" applyNumberFormat="false" applyProtection="false" borderId="95" fillId="77" fontId="1" numFmtId="0" xfId="0">
      <alignment horizontal="center" vertical="center"/>
    </xf>
    <xf applyAlignment="true" applyBorder="false" applyFill="true" applyFont="true" applyNumberFormat="false" applyProtection="false" borderId="96" fillId="78" fontId="2" numFmtId="0" xfId="0">
      <alignment vertical="center"/>
    </xf>
    <xf applyAlignment="true" applyBorder="false" applyFill="true" applyFont="true" applyNumberFormat="true" applyProtection="false" borderId="97" fillId="79" fontId="2" numFmtId="189" xfId="0">
      <alignment vertical="center"/>
    </xf>
    <xf applyAlignment="true" applyBorder="false" applyFill="true" applyFont="true" applyNumberFormat="false" applyProtection="false" borderId="98" fillId="80" fontId="2" numFmtId="0" xfId="0">
      <alignment horizontal="left" vertical="center"/>
    </xf>
    <xf applyAlignment="true" applyBorder="false" applyFill="true" applyFont="true" applyNumberFormat="false" applyProtection="false" borderId="99" fillId="81" fontId="1" numFmtId="0" xfId="0">
      <alignment horizontal="left" vertical="center"/>
    </xf>
    <xf applyAlignment="true" applyBorder="false" applyFill="true" applyFont="true" applyNumberFormat="false" applyProtection="false" borderId="100" fillId="82" fontId="2" numFmtId="0" xfId="0">
      <alignment horizontal="center" vertical="center"/>
    </xf>
    <xf applyAlignment="true" applyBorder="false" applyFill="true" applyFont="true" applyNumberFormat="false" applyProtection="false" borderId="101" fillId="83" fontId="1" numFmtId="0" xfId="0">
      <alignment horizontal="center" vertical="center"/>
    </xf>
    <xf applyAlignment="true" applyBorder="false" applyFill="true" applyFont="true" applyNumberFormat="false" applyProtection="false" borderId="102" fillId="84" fontId="1" numFmtId="0" xfId="0">
      <alignment horizontal="left" vertical="center"/>
    </xf>
    <xf applyAlignment="true" applyBorder="false" applyFill="true" applyFont="true" applyNumberFormat="false" applyProtection="false" borderId="103" fillId="85" fontId="1" numFmtId="0" xfId="0">
      <alignment vertical="center"/>
    </xf>
    <xf applyAlignment="true" applyBorder="false" applyFill="true" applyFont="true" applyNumberFormat="true" applyProtection="false" borderId="104" fillId="86" fontId="1" numFmtId="190" xfId="0">
      <alignment vertical="center"/>
    </xf>
    <xf applyAlignment="true" applyBorder="false" applyFill="true" applyFont="true" applyNumberFormat="false" applyProtection="false" borderId="105" fillId="87" fontId="1" numFmtId="0" xfId="0">
      <alignment horizontal="center" vertical="center"/>
    </xf>
    <xf applyAlignment="true" applyBorder="false" applyFill="true" applyFont="true" applyNumberFormat="false" applyProtection="false" borderId="106" fillId="88" fontId="4" numFmtId="0" xfId="0">
      <alignment horizontal="left" vertical="center"/>
    </xf>
    <xf applyAlignment="true" applyBorder="false" applyFill="true" applyFont="true" applyNumberFormat="false" applyProtection="false" borderId="107" fillId="89" fontId="1" numFmtId="0" xfId="0">
      <alignment vertical="center"/>
    </xf>
    <xf applyAlignment="true" applyBorder="false" applyFill="true" applyFont="true" applyNumberFormat="false" applyProtection="false" borderId="108" fillId="90" fontId="1" numFmtId="0" xfId="0">
      <alignment horizontal="left" vertical="center"/>
    </xf>
    <xf applyAlignment="true" applyBorder="false" applyFill="true" applyFont="true" applyNumberFormat="true" applyProtection="false" borderId="109" fillId="91" fontId="2" numFmtId="191" xfId="0">
      <alignment vertical="center"/>
    </xf>
    <xf applyAlignment="true" applyBorder="false" applyFill="true" applyFont="true" applyNumberFormat="true" applyProtection="false" borderId="110" fillId="92" fontId="1" numFmtId="192" xfId="0">
      <alignment vertical="center"/>
    </xf>
    <xf applyAlignment="true" applyBorder="false" applyFill="true" applyFont="true" applyNumberFormat="false" applyProtection="false" borderId="111" fillId="93" fontId="1" numFmtId="0" xfId="0">
      <alignment horizontal="center" vertical="center"/>
    </xf>
    <xf applyAlignment="true" applyBorder="false" applyFill="true" applyFont="true" applyNumberFormat="false" applyProtection="false" borderId="112" fillId="94" fontId="2" numFmtId="0" xfId="0">
      <alignment vertical="center"/>
    </xf>
    <xf applyAlignment="true" applyBorder="false" applyFill="true" applyFont="true" applyNumberFormat="false" applyProtection="false" borderId="113" fillId="95" fontId="2" numFmtId="0" xfId="0">
      <alignment horizontal="left" vertical="center"/>
    </xf>
    <xf applyAlignment="true" applyBorder="false" applyFill="true" applyFont="true" applyNumberFormat="false" applyProtection="false" borderId="114" fillId="96" fontId="4" numFmtId="0" xfId="0">
      <alignment horizontal="left" vertical="center"/>
    </xf>
    <xf applyAlignment="true" applyBorder="false" applyFill="true" applyFont="true" applyNumberFormat="false" applyProtection="false" borderId="115" fillId="97" fontId="4" numFmtId="0" xfId="0">
      <alignment horizontal="left" vertical="center"/>
    </xf>
    <xf applyAlignment="true" applyBorder="false" applyFill="true" applyFont="true" applyNumberFormat="false" applyProtection="false" borderId="116" fillId="98" fontId="4" numFmtId="0" xfId="0">
      <alignment horizontal="left" vertical="center"/>
    </xf>
    <xf applyAlignment="false" applyBorder="false" applyFill="false" applyFont="false" applyNumberFormat="false" applyProtection="false" borderId="117" fillId="0" fontId="0" numFmtId="0" xfId="0">
      <alignment/>
    </xf>
    <xf applyAlignment="true" applyBorder="false" applyFill="false" applyFont="true" applyNumberFormat="false" applyProtection="false" borderId="118" fillId="0" fontId="5" numFmtId="0" xfId="0">
      <alignment horizontal="center" vertical="center"/>
    </xf>
    <xf applyAlignment="true" applyBorder="false" applyFill="false" applyFont="true" applyNumberFormat="false" applyProtection="false" borderId="119" fillId="0" fontId="6" numFmtId="0" xfId="0">
      <alignment horizontal="left" vertical="center"/>
    </xf>
    <xf applyAlignment="true" applyBorder="false" applyFill="false" applyFont="true" applyNumberFormat="true" applyProtection="false" borderId="120" fillId="0" fontId="1" numFmtId="193" xfId="0">
      <alignment vertical="center"/>
    </xf>
    <xf applyAlignment="true" applyBorder="false" applyFill="true" applyFont="true" applyNumberFormat="false" applyProtection="false" borderId="121" fillId="99" fontId="5" numFmtId="0" xfId="0">
      <alignment horizontal="center" vertical="center"/>
    </xf>
    <xf applyAlignment="true" applyBorder="false" applyFill="true" applyFont="true" applyNumberFormat="false" applyProtection="false" borderId="122" fillId="100" fontId="3" numFmtId="0" xfId="0">
      <alignment horizontal="left" vertical="center"/>
    </xf>
    <xf applyAlignment="true" applyBorder="false" applyFill="true" applyFont="true" applyNumberFormat="false" applyProtection="false" borderId="123" fillId="101" fontId="6" numFmtId="0" xfId="0">
      <alignment horizontal="left" vertical="center"/>
    </xf>
    <xf applyAlignment="true" applyBorder="false" applyFill="true" applyFont="true" applyNumberFormat="true" applyProtection="false" borderId="124" fillId="102" fontId="1" numFmtId="194" xfId="0">
      <alignment vertical="center"/>
    </xf>
    <xf applyAlignment="true" applyBorder="false" applyFill="true" applyFont="true" applyNumberFormat="false" applyProtection="false" borderId="125" fillId="103" fontId="6" numFmtId="0" xfId="0">
      <alignment horizontal="left" vertical="center"/>
    </xf>
    <xf applyAlignment="true" applyBorder="false" applyFill="true" applyFont="true" applyNumberFormat="true" applyProtection="false" borderId="126" fillId="104" fontId="1" numFmtId="195" xfId="0">
      <alignment vertical="center"/>
    </xf>
    <xf applyAlignment="true" applyBorder="false" applyFill="true" applyFont="true" applyNumberFormat="false" applyProtection="false" borderId="127" fillId="105" fontId="3" numFmtId="0" xfId="0">
      <alignment horizontal="left" vertical="center"/>
    </xf>
    <xf applyAlignment="true" applyBorder="false" applyFill="true" applyFont="true" applyNumberFormat="false" applyProtection="false" borderId="128" fillId="106" fontId="5" numFmtId="0" xfId="0">
      <alignment horizontal="center" vertical="center"/>
    </xf>
    <xf applyAlignment="true" applyBorder="false" applyFill="true" applyFont="true" applyNumberFormat="false" applyProtection="false" borderId="129" fillId="107" fontId="3" numFmtId="0" xfId="0">
      <alignment horizontal="left" vertical="center"/>
    </xf>
    <xf applyAlignment="true" applyBorder="false" applyFill="true" applyFont="true" applyNumberFormat="false" applyProtection="false" borderId="130" fillId="108" fontId="6" numFmtId="0" xfId="0">
      <alignment horizontal="left" vertical="center"/>
    </xf>
    <xf applyAlignment="true" applyBorder="false" applyFill="true" applyFont="true" applyNumberFormat="true" applyProtection="false" borderId="131" fillId="109" fontId="1" numFmtId="196" xfId="0">
      <alignment vertical="center"/>
    </xf>
    <xf applyAlignment="true" applyBorder="false" applyFill="true" applyFont="true" applyNumberFormat="false" applyProtection="false" borderId="132" fillId="110" fontId="5" numFmtId="0" xfId="0">
      <alignment horizontal="center" vertical="center"/>
    </xf>
    <xf applyAlignment="true" applyBorder="false" applyFill="true" applyFont="true" applyNumberFormat="false" applyProtection="false" borderId="133" fillId="111" fontId="6" numFmtId="0" xfId="0">
      <alignment horizontal="left" vertical="center"/>
    </xf>
    <xf applyAlignment="true" applyBorder="false" applyFill="true" applyFont="true" applyNumberFormat="true" applyProtection="false" borderId="134" fillId="112" fontId="1" numFmtId="197" xfId="0">
      <alignment vertical="center"/>
    </xf>
    <xf applyAlignment="true" applyBorder="false" applyFill="true" applyFont="true" applyNumberFormat="false" applyProtection="false" borderId="135" fillId="113" fontId="3" numFmtId="0" xfId="0">
      <alignment horizontal="left" vertical="center"/>
    </xf>
    <xf applyAlignment="true" applyBorder="false" applyFill="true" applyFont="true" applyNumberFormat="false" applyProtection="false" borderId="136" fillId="114" fontId="5" numFmtId="0" xfId="0">
      <alignment horizontal="center" vertical="center"/>
    </xf>
    <xf applyAlignment="true" applyBorder="false" applyFill="true" applyFont="true" applyNumberFormat="false" applyProtection="false" borderId="137" fillId="115" fontId="5" numFmtId="0" xfId="0">
      <alignment horizontal="center" vertical="center"/>
    </xf>
    <xf applyAlignment="true" applyBorder="false" applyFill="true" applyFont="true" applyNumberFormat="true" applyProtection="false" borderId="138" fillId="116" fontId="1" numFmtId="198" xfId="0">
      <alignment vertical="center"/>
    </xf>
    <xf applyAlignment="true" applyBorder="false" applyFill="true" applyFont="true" applyNumberFormat="true" applyProtection="false" borderId="139" fillId="117" fontId="1" numFmtId="199" xfId="0">
      <alignment vertical="center"/>
    </xf>
    <xf applyAlignment="true" applyBorder="false" applyFill="true" applyFont="true" applyNumberFormat="false" applyProtection="false" borderId="140" fillId="118" fontId="5" numFmtId="0" xfId="0">
      <alignment horizontal="center" vertical="center"/>
    </xf>
    <xf applyAlignment="true" applyBorder="false" applyFill="true" applyFont="true" applyNumberFormat="false" applyProtection="false" borderId="141" fillId="119" fontId="6" numFmtId="0" xfId="0">
      <alignment horizontal="left" vertical="center"/>
    </xf>
    <xf applyAlignment="true" applyBorder="false" applyFill="true" applyFont="true" applyNumberFormat="false" applyProtection="false" borderId="142" fillId="120" fontId="3" numFmtId="0" xfId="0">
      <alignment horizontal="left" vertical="center"/>
    </xf>
    <xf applyAlignment="true" applyBorder="false" applyFill="true" applyFont="true" applyNumberFormat="false" applyProtection="false" borderId="143" fillId="121" fontId="6" numFmtId="0" xfId="0">
      <alignment horizontal="left" vertical="center"/>
    </xf>
    <xf applyAlignment="true" applyBorder="false" applyFill="true" applyFont="true" applyNumberFormat="true" applyProtection="false" borderId="144" fillId="122" fontId="1" numFmtId="200" xfId="0">
      <alignment vertical="center"/>
    </xf>
    <xf applyAlignment="true" applyBorder="false" applyFill="true" applyFont="true" applyNumberFormat="false" applyProtection="false" borderId="145" fillId="123" fontId="5" numFmtId="0" xfId="0">
      <alignment horizontal="center" vertical="center"/>
    </xf>
    <xf applyAlignment="true" applyBorder="false" applyFill="true" applyFont="true" applyNumberFormat="false" applyProtection="false" borderId="146" fillId="124" fontId="3" numFmtId="0" xfId="0">
      <alignment horizontal="left" vertical="center"/>
    </xf>
    <xf applyAlignment="true" applyBorder="false" applyFill="false" applyFont="true" applyNumberFormat="false" applyProtection="false" borderId="147" fillId="0" fontId="7" numFmtId="0" xfId="0">
      <alignment horizontal="left" vertical="center"/>
    </xf>
    <xf applyAlignment="true" applyBorder="false" applyFill="true" applyFont="true" applyNumberFormat="false" applyProtection="false" borderId="148" fillId="125" fontId="6" numFmtId="0" xfId="0">
      <alignment horizontal="left" vertical="center"/>
    </xf>
    <xf applyAlignment="true" applyBorder="false" applyFill="true" applyFont="true" applyNumberFormat="false" applyProtection="false" borderId="149" fillId="126" fontId="3" numFmtId="0" xfId="0">
      <alignment horizontal="left" vertical="center"/>
    </xf>
    <xf applyAlignment="true" applyBorder="false" applyFill="false" applyFont="true" applyNumberFormat="true" applyProtection="false" borderId="150" fillId="0" fontId="2" numFmtId="201" xfId="0">
      <alignment vertical="center"/>
    </xf>
    <xf applyAlignment="true" applyBorder="false" applyFill="true" applyFont="true" applyNumberFormat="true" applyProtection="false" borderId="151" fillId="127" fontId="2" numFmtId="202" xfId="0">
      <alignment vertical="center"/>
    </xf>
    <xf applyAlignment="true" applyBorder="false" applyFill="false" applyFont="true" applyNumberFormat="false" applyProtection="false" borderId="152" fillId="0" fontId="8" numFmtId="0" xfId="0">
      <alignment vertical="center"/>
    </xf>
    <xf applyAlignment="true" applyBorder="false" applyFill="false" applyFont="true" applyNumberFormat="true" applyProtection="false" borderId="153" fillId="0" fontId="3" numFmtId="203" xfId="0">
      <alignment horizontal="left" vertical="center"/>
    </xf>
    <xf applyAlignment="true" applyBorder="false" applyFill="false" applyFont="true" applyNumberFormat="false" applyProtection="false" borderId="154" fillId="0" fontId="5" numFmtId="0" xfId="0">
      <alignment vertical="center"/>
    </xf>
    <xf applyAlignment="true" applyBorder="false" applyFill="true" applyFont="true" applyNumberFormat="false" applyProtection="false" borderId="155" fillId="128" fontId="7" numFmtId="0" xfId="0">
      <alignment horizontal="left" vertical="center"/>
    </xf>
    <xf applyAlignment="true" applyBorder="false" applyFill="true" applyFont="true" applyNumberFormat="false" applyProtection="false" borderId="156" fillId="129" fontId="5" numFmtId="0" xfId="0">
      <alignment horizontal="center" vertical="center"/>
    </xf>
    <xf applyAlignment="true" applyBorder="false" applyFill="true" applyFont="true" applyNumberFormat="false" applyProtection="false" borderId="157" fillId="130" fontId="6" numFmtId="0" xfId="0">
      <alignment horizontal="left" vertical="center"/>
    </xf>
    <xf applyAlignment="true" applyBorder="false" applyFill="true" applyFont="true" applyNumberFormat="true" applyProtection="false" borderId="158" fillId="131" fontId="1" numFmtId="204" xfId="0">
      <alignment vertical="center"/>
    </xf>
    <xf applyAlignment="true" applyBorder="false" applyFill="true" applyFont="true" applyNumberFormat="false" applyProtection="false" borderId="159" fillId="132" fontId="3" numFmtId="0" xfId="0">
      <alignment horizontal="left" vertical="center"/>
    </xf>
    <xf applyAlignment="true" applyBorder="false" applyFill="false" applyFont="true" applyNumberFormat="false" applyProtection="false" borderId="160" fillId="0" fontId="9" numFmtId="0" xfId="0">
      <alignment vertical="center"/>
    </xf>
    <xf applyAlignment="true" applyBorder="false" applyFill="true" applyFont="true" applyNumberFormat="true" applyProtection="false" borderId="161" fillId="133" fontId="2" numFmtId="205" xfId="0">
      <alignment vertical="center"/>
    </xf>
    <xf applyAlignment="true" applyBorder="false" applyFill="true" applyFont="true" applyNumberFormat="false" applyProtection="false" borderId="162" fillId="134" fontId="10" numFmtId="0" xfId="0">
      <alignment vertical="center"/>
    </xf>
    <xf applyAlignment="true" applyBorder="false" applyFill="true" applyFont="true" applyNumberFormat="false" applyProtection="false" borderId="163" fillId="135" fontId="7" numFmtId="0" xfId="0">
      <alignment horizontal="left" vertical="center"/>
    </xf>
    <xf applyAlignment="true" applyBorder="false" applyFill="true" applyFont="true" applyNumberFormat="false" applyProtection="false" borderId="164" fillId="136" fontId="7" numFmtId="0" xfId="0">
      <alignment horizontal="left" vertical="center"/>
    </xf>
    <xf applyAlignment="true" applyBorder="false" applyFill="true" applyFont="true" applyNumberFormat="false" applyProtection="false" borderId="165" fillId="137" fontId="5" numFmtId="0" xfId="0">
      <alignment horizontal="center" vertical="center"/>
    </xf>
    <xf applyAlignment="true" applyBorder="false" applyFill="true" applyFont="true" applyNumberFormat="false" applyProtection="false" borderId="166" fillId="138" fontId="3" numFmtId="0" xfId="0">
      <alignment horizontal="left" vertical="center"/>
    </xf>
    <xf applyAlignment="true" applyBorder="false" applyFill="true" applyFont="true" applyNumberFormat="false" applyProtection="false" borderId="167" fillId="139" fontId="6" numFmtId="0" xfId="0">
      <alignment horizontal="left" vertical="center"/>
    </xf>
    <xf applyAlignment="true" applyBorder="false" applyFill="true" applyFont="true" applyNumberFormat="true" applyProtection="false" borderId="168" fillId="140" fontId="1" numFmtId="206" xfId="0">
      <alignment vertical="center"/>
    </xf>
    <xf applyAlignment="true" applyBorder="false" applyFill="true" applyFont="true" applyNumberFormat="false" applyProtection="false" borderId="169" fillId="141" fontId="7" numFmtId="0" xfId="0">
      <alignment horizontal="left" vertical="center"/>
    </xf>
    <xf applyAlignment="true" applyBorder="false" applyFill="true" applyFont="true" applyNumberFormat="true" applyProtection="false" borderId="170" fillId="142" fontId="2" numFmtId="207" xfId="0">
      <alignment vertical="center"/>
    </xf>
    <xf applyAlignment="false" applyBorder="false" applyFill="true" applyFont="true" applyNumberFormat="false" applyProtection="false" borderId="171" fillId="143" fontId="11" numFmtId="0" xfId="0">
      <alignment/>
    </xf>
    <xf applyAlignment="true" applyBorder="false" applyFill="false" applyFont="true" applyNumberFormat="false" applyProtection="false" borderId="172" fillId="0" fontId="2" numFmtId="0" xfId="0">
      <alignment vertical="center" wrapText="true"/>
    </xf>
    <xf applyAlignment="true" applyBorder="false" applyFill="true" applyFont="true" applyNumberFormat="true" applyProtection="false" borderId="173" fillId="144" fontId="1" numFmtId="208" xfId="0">
      <alignment vertical="center"/>
    </xf>
    <xf applyAlignment="true" applyBorder="false" applyFill="true" applyFont="true" applyNumberFormat="true" applyProtection="false" borderId="174" fillId="145" fontId="1" numFmtId="209" xfId="0">
      <alignment vertical="center"/>
    </xf>
    <xf applyAlignment="true" applyBorder="false" applyFill="true" applyFont="true" applyNumberFormat="true" applyProtection="false" borderId="175" fillId="146" fontId="1" numFmtId="210" xfId="0">
      <alignment vertical="center"/>
    </xf>
    <xf applyAlignment="true" applyBorder="false" applyFill="false" applyFont="true" applyNumberFormat="false" applyProtection="false" borderId="176" fillId="0" fontId="4" numFmtId="0" xfId="0">
      <alignment vertical="center" wrapText="true"/>
    </xf>
    <xf applyAlignment="true" applyBorder="false" applyFill="true" applyFont="true" applyNumberFormat="true" applyProtection="false" borderId="177" fillId="147" fontId="1" numFmtId="211" xfId="0">
      <alignment vertical="center"/>
    </xf>
    <xf applyAlignment="true" applyBorder="false" applyFill="false" applyFont="true" applyNumberFormat="true" applyProtection="false" borderId="178" fillId="0" fontId="1" numFmtId="212" xfId="0">
      <alignment vertical="center"/>
    </xf>
    <xf applyAlignment="true" applyBorder="false" applyFill="false" applyFont="true" applyNumberFormat="true" applyProtection="false" borderId="179" fillId="0" fontId="1" numFmtId="213" xfId="0">
      <alignment vertical="center"/>
    </xf>
    <xf applyAlignment="true" applyBorder="false" applyFill="true" applyFont="true" applyNumberFormat="true" applyProtection="false" borderId="180" fillId="148" fontId="1" numFmtId="214" xfId="0">
      <alignment vertical="center"/>
    </xf>
    <xf applyAlignment="true" applyBorder="false" applyFill="true" applyFont="true" applyNumberFormat="true" applyProtection="false" borderId="181" fillId="149" fontId="2" numFmtId="215" xfId="0">
      <alignment vertical="center"/>
    </xf>
    <xf applyAlignment="true" applyBorder="false" applyFill="true" applyFont="true" applyNumberFormat="true" applyProtection="false" borderId="182" fillId="150" fontId="3" numFmtId="216" xfId="0">
      <alignment horizontal="left" vertical="center"/>
    </xf>
    <xf applyAlignment="true" applyBorder="false" applyFill="true" applyFont="true" applyNumberFormat="true" applyProtection="false" borderId="183" fillId="151" fontId="3" numFmtId="217" xfId="0">
      <alignment horizontal="left" vertical="center"/>
    </xf>
    <xf applyAlignment="true" applyBorder="false" applyFill="true" applyFont="true" applyNumberFormat="true" applyProtection="false" borderId="184" fillId="152" fontId="3" numFmtId="218" xfId="0">
      <alignment horizontal="left" vertical="center"/>
    </xf>
    <xf applyAlignment="true" applyBorder="false" applyFill="false" applyFont="true" applyNumberFormat="true" applyProtection="false" borderId="185" fillId="0" fontId="3" numFmtId="219" xfId="0">
      <alignment horizontal="left" vertical="center"/>
    </xf>
    <xf applyAlignment="true" applyBorder="false" applyFill="false" applyFont="true" applyNumberFormat="true" applyProtection="false" borderId="186" fillId="0" fontId="3" numFmtId="220" xfId="0">
      <alignment horizontal="left" vertical="center"/>
    </xf>
    <xf applyAlignment="true" applyBorder="false" applyFill="true" applyFont="true" applyNumberFormat="true" applyProtection="false" borderId="187" fillId="153" fontId="3" numFmtId="221" xfId="0">
      <alignment horizontal="left" vertical="center"/>
    </xf>
    <xf applyAlignment="true" applyBorder="false" applyFill="true" applyFont="true" applyNumberFormat="true" applyProtection="false" borderId="188" fillId="154" fontId="3" numFmtId="222" xfId="0">
      <alignment horizontal="left" vertical="center"/>
    </xf>
    <xf applyAlignment="true" applyBorder="false" applyFill="false" applyFont="true" applyNumberFormat="false" applyProtection="false" borderId="189" fillId="0" fontId="3" numFmtId="0" xfId="0">
      <alignment horizontal="left" vertical="center" wrapText="true"/>
    </xf>
    <xf applyAlignment="true" applyBorder="false" applyFill="true" applyFont="true" applyNumberFormat="true" applyProtection="false" borderId="190" fillId="155" fontId="1" numFmtId="223" xfId="0">
      <alignment horizontal="right" vertical="center"/>
    </xf>
    <xf applyAlignment="true" applyBorder="false" applyFill="true" applyFont="true" applyNumberFormat="true" applyProtection="false" borderId="191" fillId="156" fontId="1" numFmtId="224" xfId="0">
      <alignment horizontal="right" vertical="center"/>
    </xf>
    <xf applyAlignment="true" applyBorder="false" applyFill="false" applyFont="true" applyNumberFormat="true" applyProtection="false" borderId="192" fillId="0" fontId="12" numFmtId="225" xfId="0">
      <alignment vertical="center"/>
    </xf>
    <xf applyAlignment="true" applyBorder="false" applyFill="false" applyFont="true" applyNumberFormat="true" applyProtection="false" borderId="193" fillId="0" fontId="4" numFmtId="226" xfId="0">
      <alignment vertical="center"/>
    </xf>
    <xf applyAlignment="true" applyBorder="false" applyFill="false" applyFont="true" applyNumberFormat="false" applyProtection="false" borderId="194" fillId="0" fontId="3" numFmtId="0" xfId="0">
      <alignment horizontal="right" vertical="center"/>
    </xf>
    <xf applyAlignment="true" applyBorder="false" applyFill="false" applyFont="true" applyNumberFormat="true" applyProtection="false" borderId="195" fillId="0" fontId="3" numFmtId="227" xfId="0">
      <alignment vertical="center"/>
    </xf>
    <xf applyAlignment="true" applyBorder="false" applyFill="false" applyFont="true" applyNumberFormat="true" applyProtection="false" borderId="196" fillId="0" fontId="13" numFmtId="228" xfId="0">
      <alignment vertical="center"/>
    </xf>
  </cellXfs>
  <cellStyles count="1">
    <cellStyle builtinId="0" name="Normal" xfId="0"/>
  </cellStyles>
  <dxfs count="8"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  <dxf/>
    <dxf>
      <fill>
        <patternFill patternType="solid">
          <fgColor/>
          <bgColor rgb="FFFBBFBC"/>
        </patternFill>
      </fill>
    </dxf>
    <dxf/>
    <dxf>
      <fill>
        <patternFill patternType="solid">
          <fgColor/>
          <bgColor rgb="FFFBBFBC"/>
        </patternFill>
      </fill>
    </dxf>
    <dxf>
      <font>
        <sz val="11"/>
        <color rgb="FF34C724"/>
        <name val="Calibri"/>
        <family val="2"/>
        <scheme val="minor"/>
      </font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worksheets/sheet15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Diff_Tgt，LevelIndex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'迷宫关卡规划'!$M$1</f>
            </strRef>
          </tx>
          <spPr>
            <a:solidFill>
              <a:srgbClr val="5383F1"/>
            </a:solidFill>
            <a:ln w="19050">
              <a:solidFill>
                <a:srgbClr val="5383F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383F1"/>
              </a:solidFill>
              <a:ln>
                <a:noFill> </a:noFill>
              </a:ln>
            </spPr>
          </marker>
          <invertIfNegative val="false"/>
          <val>
            <numRef>
              <f>'迷宫关卡规划'!$M$2:$M$121</f>
            </numRef>
          </val>
          <smooth val="false"/>
        </ser>
        <ser>
          <idx val="1"/>
          <order val="1"/>
          <tx>
            <strRef>
              <f>'迷宫关卡规划'!$F$1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val>
            <numRef>
              <f>'迷宫关卡规划'!$F$2:$F$121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23</xdr:col>
      <xdr:colOff>28575</xdr:colOff>
      <xdr:row>1</xdr:row>
      <xdr:rowOff>28575</xdr:rowOff>
    </xdr:from>
    <xdr:to>
      <xdr:col>23</xdr:col>
      <xdr:colOff>6029325</xdr:colOff>
      <xdr:row>18</xdr:row>
      <xdr:rowOff>123825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龚政涛" id="{32C2683D-826E-4D0D-BC4D-7A5CF3F0B115}" userId="S::::2c6f9371-fb3d-4d59-914f-dd10d5482b82" providerId="AD"/>
  <person displayName="文档导出器" id="{7AC01E71-99F5-4855-9272-BB3087A3418E}" userId="S::::e1a0fb42-5825-4432-9688-b9cee1d0f9d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B5CB60E3-D931-46C6-8D4C-26E5B89FF566}" ref="P1" dT="2025-06-12T05:48:01" personId="{32C2683D-826E-4D0D-BC4D-7A5CF3F0B115}" parentId="{}">
    <text>参考数值：检查点数量计算值</text>
  </threadedComment>
</ThreadedComments>
</file>

<file path=xl/worksheets/_rels/sheet9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1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drawings/vmlDrawing2.vml" Type="http://schemas.openxmlformats.org/officeDocument/2006/relationships/vmlDrawing"></Relationship><Relationship Id="rId3" Target="../comments2.xml" Type="http://schemas.openxmlformats.org/officeDocument/2006/relationships/comments"></Relationship><Relationship Id="rId4" Target="../threadedComments/threadedComment2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44"/>
    <col collapsed="false" customWidth="true" hidden="false" max="2" min="2" style="0" width="6"/>
    <col collapsed="false" customWidth="true" hidden="false" max="3" min="3" style="0" width="9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4"/>
    <col collapsed="false" customWidth="true" hidden="false" max="8" min="8" style="0" width="13"/>
    <col collapsed="false" customWidth="true" hidden="false" max="9" min="9" style="0" width="11"/>
    <col collapsed="false" hidden="false" max="10" min="10" style="0" width="4"/>
    <col collapsed="false" hidden="false" max="11" min="11" outlineLevel="1" style="0" width="12"/>
    <col collapsed="false" customWidth="true" hidden="false" max="12" min="12" outlineLevel="2" style="0" width="12"/>
    <col collapsed="false" customWidth="true" hidden="false" max="13" min="13" outlineLevel="2" style="0" width="12"/>
    <col collapsed="false" customWidth="true" hidden="false" max="14" min="14" outlineLevel="2" style="0" width="12"/>
    <col collapsed="false" customWidth="true" hidden="false" max="15" min="15" style="0" width="8"/>
    <col collapsed="false" customWidth="true" hidden="false" max="16" min="16" style="0" width="12"/>
    <col collapsed="false" customWidth="true" hidden="false" max="17" min="17" style="0" width="11"/>
    <col collapsed="false" customWidth="true" hidden="false" max="18" min="18" style="0" width="8"/>
    <col collapsed="false" customWidth="true" hidden="false" max="19" min="19" style="0" width="27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</cols>
  <sheetData>
    <row r="1">
      <c r="A1" s="6" t="str">
        <v>Name</v>
      </c>
      <c r="B1" s="6" t="str">
        <v>Obj</v>
      </c>
      <c r="C1" s="6" t="str">
        <v>Type</v>
      </c>
      <c r="D1" s="6" t="str">
        <v>Direction</v>
      </c>
      <c r="E1" s="6" t="str">
        <v>Config 1</v>
      </c>
      <c r="F1" s="6" t="str">
        <v>Config 2</v>
      </c>
      <c r="G1" s="7" t="str" xml:space="preserve">
        <v> </v>
      </c>
      <c r="H1" s="7" t="str">
        <v>终点1</v>
      </c>
      <c r="I1" s="7" t="str">
        <v>终点2</v>
      </c>
      <c r="J1" s="7" t="str">
        <v>终点3</v>
      </c>
      <c r="K1" s="6" t="str" xml:space="preserve">
        <v> </v>
      </c>
      <c r="L1" s="6" t="str">
        <v>比例尺寸 X</v>
      </c>
      <c r="M1" s="6" t="str">
        <v>比例尺寸 Y</v>
      </c>
      <c r="N1" s="6" t="str">
        <v>比例尺寸 Z</v>
      </c>
      <c r="O1" s="6">
        <f>"独特 "&amp;COUNTIF(O2:O98,"✅")+COUNTIF(O2:O98,"❓")</f>
      </c>
      <c r="P1" s="6">
        <f>"代理✅ "&amp;COUNTIF(P2:P98,"✅")</f>
      </c>
      <c r="Q1" s="6">
        <f>"彻底✅ "&amp;COUNTIF(Q2:Q98,"✅")</f>
      </c>
      <c r="R1" s="6" t="str">
        <v>难度</v>
      </c>
      <c r="S1" s="6" t="str">
        <v>描述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customHeight="true" ht="19" r="2">
      <c r="A2">
        <f>B2 &amp; "_" &amp; C2 &amp; IF(D2&lt;&gt;"", "_" &amp; D2, "") &amp; IF(E2&lt;&gt;"", "_" &amp; E2, "") &amp; IF(F2&lt;&gt;"", "_" &amp; F2, "")  &amp;"_X"&amp;L2&amp;"_Y"&amp;M2&amp;"_Z"&amp;N2&amp;"_Rail"</f>
      </c>
      <c r="B2" s="1" t="str">
        <v>BP</v>
      </c>
      <c r="C2" s="1" t="str">
        <v>Bump</v>
      </c>
      <c r="D2" s="1" t="str">
        <v>D90</v>
      </c>
      <c r="E2" s="1" t="str">
        <v>Borderless</v>
      </c>
      <c r="F2" s="1"/>
      <c r="G2" s="2"/>
      <c r="H2" s="4"/>
      <c r="I2" s="4"/>
      <c r="J2" s="4"/>
      <c r="K2" s="3"/>
      <c r="L2" s="3"/>
      <c r="M2" s="3"/>
      <c r="N2" s="3"/>
      <c r="O2" s="3"/>
      <c r="P2" s="3"/>
      <c r="Q2" s="3"/>
      <c r="R2" s="5">
        <f>(1+((L2*M2*N2)-1)*0.1) * ((IF(C2&lt;&gt;"", VLOOKUP(C2,'引用列表'!A:C,3,FALSE), "")) + (IF(D2&lt;&gt;"", VLOOKUP(D2,'引用列表'!E:G,3,FALSE), "")) + (IF(E2&lt;&gt;"", IFERROR(VLOOKUP(E2, '引用列表'!I:K, 3, FALSE), ""), 0)) + (IF(F2&lt;&gt;"", IFERROR(VLOOKUP(F2, '引用列表'!I:K, 3, FALSE), ""), 0)))</f>
      </c>
      <c r="S2">
        <f>((IF(C2&lt;&gt;"", VLOOKUP(C2,'引用列表'!A:C,2,FALSE), "")) &amp; (IF(D2&lt;&gt;"", VLOOKUP(D2,'引用列表'!E:G,2,FALSE), "")) &amp; (IF(E2&lt;&gt;"", IFERROR("，"&amp;VLOOKUP(E2, '引用列表'!I:K, 2, FALSE), ""), "")) &amp; (IF(F2&lt;&gt;"", IFERROR("，"&amp;VLOOKUP(F2, '引用列表'!I:K, 2, FALSE), ""), "")))</f>
      </c>
    </row>
    <row customHeight="true" ht="19" r="3">
      <c r="A3">
        <f>B3 &amp; "_" &amp; C3 &amp; IF(D3&lt;&gt;"", "_" &amp; D3, "") &amp; IF(E3&lt;&gt;"", "_" &amp; E3, "") &amp; IF(F3&lt;&gt;"", "_" &amp; F3, "")  &amp;"_X"&amp;L3&amp;"_Y"&amp;M3&amp;"_Z"&amp;N3&amp;"_Rail"</f>
      </c>
      <c r="B3" s="1"/>
      <c r="C3" s="1" t="str">
        <v>Bump</v>
      </c>
      <c r="D3" s="1" t="str">
        <v>D90</v>
      </c>
      <c r="E3" s="1"/>
      <c r="F3" s="1"/>
      <c r="G3" s="2"/>
      <c r="H3" s="4"/>
      <c r="I3" s="4"/>
      <c r="J3" s="4"/>
      <c r="K3" s="3"/>
      <c r="L3" s="3">
        <v>1</v>
      </c>
      <c r="M3" s="3">
        <v>1</v>
      </c>
      <c r="N3" s="3">
        <v>1</v>
      </c>
      <c r="O3" s="3"/>
      <c r="P3" s="3"/>
      <c r="Q3" s="3"/>
      <c r="R3" s="5">
        <f>(1+((L3*M3*N3)-1)*0.1) * ((IF(C3&lt;&gt;"", VLOOKUP(C3,'引用列表'!A:C,3,FALSE), "")) + (IF(D3&lt;&gt;"", VLOOKUP(D3,'引用列表'!E:G,3,FALSE), "")) + (IF(E3&lt;&gt;"", IFERROR(VLOOKUP(E3, '引用列表'!I:K, 3, FALSE), ""), 0)) + (IF(F3&lt;&gt;"", IFERROR(VLOOKUP(F3, '引用列表'!I:K, 3, FALSE), ""), 0)))</f>
      </c>
      <c r="S3">
        <f>((IF(C3&lt;&gt;"", VLOOKUP(C3,'引用列表'!A:C,2,FALSE), "")) &amp; (IF(D3&lt;&gt;"", VLOOKUP(D3,'引用列表'!E:G,2,FALSE), "")) &amp; (IF(E3&lt;&gt;"", IFERROR("，"&amp;VLOOKUP(E3, '引用列表'!I:K, 2, FALSE), ""), "")) &amp; (IF(F3&lt;&gt;"", IFERROR("，"&amp;VLOOKUP(F3, '引用列表'!I:K, 2, FALSE), ""), "")))</f>
      </c>
    </row>
    <row r="4">
      <c r="A4">
        <f>B4 &amp; "_" &amp; C4 &amp; IF(D4&lt;&gt;"", "_" &amp; D4, "") &amp; IF(E4&lt;&gt;"", "_" &amp; E4, "") &amp; IF(F4&lt;&gt;"", "_" &amp; F4, "")  &amp;"_X"&amp;L4&amp;"_Y"&amp;M4&amp;"_Z"&amp;N4&amp;"_Rail"</f>
      </c>
      <c r="B4" s="1"/>
      <c r="C4" s="1" t="str">
        <v>Bump</v>
      </c>
      <c r="D4" s="1" t="str">
        <v>FD</v>
      </c>
      <c r="E4" s="1"/>
      <c r="F4" s="1"/>
      <c r="G4" s="2"/>
      <c r="H4" s="4"/>
      <c r="I4" s="4"/>
      <c r="J4" s="4"/>
      <c r="K4" s="3"/>
      <c r="L4" s="3">
        <v>2</v>
      </c>
      <c r="M4" s="3">
        <v>1</v>
      </c>
      <c r="N4" s="3">
        <v>2</v>
      </c>
      <c r="O4" s="3" t="str">
        <v>是</v>
      </c>
      <c r="P4" s="3" t="str">
        <v>✅</v>
      </c>
      <c r="Q4" s="3"/>
      <c r="R4" s="5">
        <f>(1+((L4*M4*N4)-1)*0.1) * ((IF(C4&lt;&gt;"", VLOOKUP(C4,'引用列表'!A:C,3,FALSE), "")) + (IF(D4&lt;&gt;"", VLOOKUP(D4,'引用列表'!E:G,3,FALSE), "")) + (IF(E4&lt;&gt;"", IFERROR(VLOOKUP(E4, '引用列表'!I:K, 3, FALSE), ""), 0)) + (IF(F4&lt;&gt;"", IFERROR(VLOOKUP(F4, '引用列表'!I:K, 3, FALSE), ""), 0)))</f>
      </c>
      <c r="S4">
        <f>((IF(C4&lt;&gt;"", VLOOKUP(C4,'引用列表'!A:C,2,FALSE), "")) &amp; (IF(D4&lt;&gt;"", VLOOKUP(D4,'引用列表'!E:G,2,FALSE), "")) &amp; (IF(E4&lt;&gt;"", IFERROR("，"&amp;VLOOKUP(E4, '引用列表'!I:K, 2, FALSE), ""), "")) &amp; (IF(F4&lt;&gt;"", IFERROR("，"&amp;VLOOKUP(F4, '引用列表'!I:K, 2, FALSE), ""), "")))</f>
      </c>
    </row>
    <row customHeight="true" ht="19" r="5">
      <c r="A5">
        <f>B5 &amp; "_" &amp; C5 &amp; IF(D5&lt;&gt;"", "_" &amp; D5, "") &amp; IF(E5&lt;&gt;"", "_" &amp; E5, "") &amp; IF(F5&lt;&gt;"", "_" &amp; F5, "")  &amp;"_X"&amp;L5&amp;"_Y"&amp;M5&amp;"_Z"&amp;N5&amp;"_Rail"</f>
      </c>
      <c r="B5" s="1"/>
      <c r="C5" s="1" t="str">
        <v>Bump</v>
      </c>
      <c r="D5" s="1" t="str">
        <v>FU</v>
      </c>
      <c r="E5" s="1"/>
      <c r="F5" s="1"/>
      <c r="G5" s="2"/>
      <c r="H5" s="4"/>
      <c r="I5" s="4"/>
      <c r="J5" s="4"/>
      <c r="K5" s="3"/>
      <c r="L5" s="3">
        <v>2</v>
      </c>
      <c r="M5" s="3">
        <v>1</v>
      </c>
      <c r="N5" s="3">
        <v>2</v>
      </c>
      <c r="O5" s="3" t="str">
        <v>是</v>
      </c>
      <c r="P5" s="3" t="str">
        <v>✅</v>
      </c>
      <c r="Q5" s="3"/>
      <c r="R5" s="5">
        <f>(1+((L5*M5*N5)-1)*0.1) * ((IF(C5&lt;&gt;"", VLOOKUP(C5,'引用列表'!A:C,3,FALSE), "")) + (IF(D5&lt;&gt;"", VLOOKUP(D5,'引用列表'!E:G,3,FALSE), "")) + (IF(E5&lt;&gt;"", IFERROR(VLOOKUP(E5, '引用列表'!I:K, 3, FALSE), ""), 0)) + (IF(F5&lt;&gt;"", IFERROR(VLOOKUP(F5, '引用列表'!I:K, 3, FALSE), ""), 0)))</f>
      </c>
      <c r="S5">
        <f>((IF(C5&lt;&gt;"", VLOOKUP(C5,'引用列表'!A:C,2,FALSE), "")) &amp; (IF(D5&lt;&gt;"", VLOOKUP(D5,'引用列表'!E:G,2,FALSE), "")) &amp; (IF(E5&lt;&gt;"", IFERROR("，"&amp;VLOOKUP(E5, '引用列表'!I:K, 2, FALSE), ""), "")) &amp; (IF(F5&lt;&gt;"", IFERROR("，"&amp;VLOOKUP(F5, '引用列表'!I:K, 2, FALSE), ""), "")))</f>
      </c>
    </row>
    <row r="6">
      <c r="A6">
        <f>B6 &amp; "_" &amp; C6 &amp; IF(D6&lt;&gt;"", "_" &amp; D6, "") &amp; IF(E6&lt;&gt;"", "_" &amp; E6, "") &amp; IF(F6&lt;&gt;"", "_" &amp; F6, "")  &amp;"_X"&amp;L6&amp;"_Y"&amp;M6&amp;"_Z"&amp;N6&amp;"_Rail"</f>
      </c>
      <c r="B6" s="1"/>
      <c r="C6" s="1" t="str">
        <v>Bump</v>
      </c>
      <c r="D6" s="1" t="str">
        <v>U90</v>
      </c>
      <c r="E6" s="1" t="str">
        <v>Borderless_L</v>
      </c>
      <c r="F6" s="1"/>
      <c r="G6" s="2"/>
      <c r="H6" s="4"/>
      <c r="I6" s="4"/>
      <c r="J6" s="4"/>
      <c r="K6" s="3"/>
      <c r="L6" s="3"/>
      <c r="M6" s="3"/>
      <c r="N6" s="3"/>
      <c r="O6" s="3"/>
      <c r="P6" s="3"/>
      <c r="Q6" s="3"/>
      <c r="R6" s="5">
        <f>(1+((L6*M6*N6)-1)*0.1) * ((IF(C6&lt;&gt;"", VLOOKUP(C6,'引用列表'!A:C,3,FALSE), "")) + (IF(D6&lt;&gt;"", VLOOKUP(D6,'引用列表'!E:G,3,FALSE), "")) + (IF(E6&lt;&gt;"", IFERROR(VLOOKUP(E6, '引用列表'!I:K, 3, FALSE), ""), 0)) + (IF(F6&lt;&gt;"", IFERROR(VLOOKUP(F6, '引用列表'!I:K, 3, FALSE), ""), 0)))</f>
      </c>
      <c r="S6">
        <f>((IF(C6&lt;&gt;"", VLOOKUP(C6,'引用列表'!A:C,2,FALSE), "")) &amp; (IF(D6&lt;&gt;"", VLOOKUP(D6,'引用列表'!E:G,2,FALSE), "")) &amp; (IF(E6&lt;&gt;"", IFERROR("，"&amp;VLOOKUP(E6, '引用列表'!I:K, 2, FALSE), ""), "")) &amp; (IF(F6&lt;&gt;"", IFERROR("，"&amp;VLOOKUP(F6, '引用列表'!I:K, 2, FALSE), ""), "")))</f>
      </c>
    </row>
    <row r="7">
      <c r="A7">
        <f>B7 &amp; "_" &amp; C7 &amp; IF(D7&lt;&gt;"", "_" &amp; D7, "") &amp; IF(E7&lt;&gt;"", "_" &amp; E7, "") &amp; IF(F7&lt;&gt;"", "_" &amp; F7, "")  &amp;"_X"&amp;L7&amp;"_Y"&amp;M7&amp;"_Z"&amp;N7&amp;"_Rail"</f>
      </c>
      <c r="B7" s="1"/>
      <c r="C7" s="1" t="str">
        <v>Bump</v>
      </c>
      <c r="D7" s="1" t="str">
        <v>U90</v>
      </c>
      <c r="E7" s="1"/>
      <c r="F7" s="1"/>
      <c r="G7" s="2"/>
      <c r="H7" s="4"/>
      <c r="I7" s="4"/>
      <c r="J7" s="4"/>
      <c r="K7" s="3"/>
      <c r="L7" s="3">
        <v>1</v>
      </c>
      <c r="M7" s="3">
        <v>1</v>
      </c>
      <c r="N7" s="3">
        <v>1</v>
      </c>
      <c r="O7" s="3"/>
      <c r="P7" s="3"/>
      <c r="Q7" s="3"/>
      <c r="R7" s="5">
        <f>(1+((L7*M7*N7)-1)*0.1) * ((IF(C7&lt;&gt;"", VLOOKUP(C7,'引用列表'!A:C,3,FALSE), "")) + (IF(D7&lt;&gt;"", VLOOKUP(D7,'引用列表'!E:G,3,FALSE), "")) + (IF(E7&lt;&gt;"", IFERROR(VLOOKUP(E7, '引用列表'!I:K, 3, FALSE), ""), 0)) + (IF(F7&lt;&gt;"", IFERROR(VLOOKUP(F7, '引用列表'!I:K, 3, FALSE), ""), 0)))</f>
      </c>
      <c r="S7">
        <f>((IF(C7&lt;&gt;"", VLOOKUP(C7,'引用列表'!A:C,2,FALSE), "")) &amp; (IF(D7&lt;&gt;"", VLOOKUP(D7,'引用列表'!E:G,2,FALSE), "")) &amp; (IF(E7&lt;&gt;"", IFERROR("，"&amp;VLOOKUP(E7, '引用列表'!I:K, 2, FALSE), ""), "")) &amp; (IF(F7&lt;&gt;"", IFERROR("，"&amp;VLOOKUP(F7, '引用列表'!I:K, 2, FALSE), ""), "")))</f>
      </c>
    </row>
    <row customHeight="true" ht="19" r="8">
      <c r="A8">
        <f>B8 &amp; "_" &amp; C8 &amp; IF(D8&lt;&gt;"", "_" &amp; D8, "") &amp; IF(E8&lt;&gt;"", "_" &amp; E8, "") &amp; IF(F8&lt;&gt;"", "_" &amp; F8, "")  &amp;"_X"&amp;L8&amp;"_Y"&amp;M8&amp;"_Z"&amp;N8&amp;"_Rail"</f>
      </c>
      <c r="B8" s="1"/>
      <c r="C8" s="1" t="str">
        <v>Curve</v>
      </c>
      <c r="D8" s="1" t="str">
        <v>D90</v>
      </c>
      <c r="E8" s="1" t="str">
        <v>Borderless</v>
      </c>
      <c r="F8" s="1" t="str">
        <v>Caved</v>
      </c>
      <c r="G8" s="2"/>
      <c r="H8" s="4"/>
      <c r="I8" s="4"/>
      <c r="J8" s="4"/>
      <c r="K8" s="3"/>
      <c r="L8" s="3">
        <v>1</v>
      </c>
      <c r="M8" s="3">
        <v>1</v>
      </c>
      <c r="N8" s="3">
        <v>1</v>
      </c>
      <c r="O8" s="3"/>
      <c r="P8" s="3"/>
      <c r="Q8" s="3"/>
      <c r="R8" s="5">
        <f>(1+((L8*M8*N8)-1)*0.1) * ((IF(C8&lt;&gt;"", VLOOKUP(C8,'引用列表'!A:C,3,FALSE), "")) + (IF(D8&lt;&gt;"", VLOOKUP(D8,'引用列表'!E:G,3,FALSE), "")) + (IF(E8&lt;&gt;"", IFERROR(VLOOKUP(E8, '引用列表'!I:K, 3, FALSE), ""), 0)) + (IF(F8&lt;&gt;"", IFERROR(VLOOKUP(F8, '引用列表'!I:K, 3, FALSE), ""), 0)))</f>
      </c>
      <c r="S8">
        <f>((IF(C8&lt;&gt;"", VLOOKUP(C8,'引用列表'!A:C,2,FALSE), "")) &amp; (IF(D8&lt;&gt;"", VLOOKUP(D8,'引用列表'!E:G,2,FALSE), "")) &amp; (IF(E8&lt;&gt;"", IFERROR("，"&amp;VLOOKUP(E8, '引用列表'!I:K, 2, FALSE), ""), "")) &amp; (IF(F8&lt;&gt;"", IFERROR("，"&amp;VLOOKUP(F8, '引用列表'!I:K, 2, FALSE), ""), "")))</f>
      </c>
    </row>
    <row customHeight="true" ht="19" r="9">
      <c r="A9">
        <f>B9 &amp; "_" &amp; C9 &amp; IF(D9&lt;&gt;"", "_" &amp; D9, "") &amp; IF(E9&lt;&gt;"", "_" &amp; E9, "") &amp; IF(F9&lt;&gt;"", "_" &amp; F9, "")  &amp;"_X"&amp;L9&amp;"_Y"&amp;M9&amp;"_Z"&amp;N9&amp;"_Rail"</f>
      </c>
      <c r="B9" s="1"/>
      <c r="C9" s="1" t="str">
        <v>Curve</v>
      </c>
      <c r="D9" s="1" t="str">
        <v>D90</v>
      </c>
      <c r="E9" s="1" t="str">
        <v>Borderless_L</v>
      </c>
      <c r="F9" s="1"/>
      <c r="G9" s="2"/>
      <c r="H9" s="4"/>
      <c r="I9" s="4"/>
      <c r="J9" s="4"/>
      <c r="K9" s="3"/>
      <c r="L9" s="3">
        <v>1</v>
      </c>
      <c r="M9" s="3">
        <v>1</v>
      </c>
      <c r="N9" s="3">
        <v>1</v>
      </c>
      <c r="O9" s="3"/>
      <c r="P9" s="3"/>
      <c r="Q9" s="3"/>
      <c r="R9" s="5">
        <f>(1+((L9*M9*N9)-1)*0.1) * ((IF(C9&lt;&gt;"", VLOOKUP(C9,'引用列表'!A:C,3,FALSE), "")) + (IF(D9&lt;&gt;"", VLOOKUP(D9,'引用列表'!E:G,3,FALSE), "")) + (IF(E9&lt;&gt;"", IFERROR(VLOOKUP(E9, '引用列表'!I:K, 3, FALSE), ""), 0)) + (IF(F9&lt;&gt;"", IFERROR(VLOOKUP(F9, '引用列表'!I:K, 3, FALSE), ""), 0)))</f>
      </c>
      <c r="S9">
        <f>((IF(C9&lt;&gt;"", VLOOKUP(C9,'引用列表'!A:C,2,FALSE), "")) &amp; (IF(D9&lt;&gt;"", VLOOKUP(D9,'引用列表'!E:G,2,FALSE), "")) &amp; (IF(E9&lt;&gt;"", IFERROR("，"&amp;VLOOKUP(E9, '引用列表'!I:K, 2, FALSE), ""), "")) &amp; (IF(F9&lt;&gt;"", IFERROR("，"&amp;VLOOKUP(F9, '引用列表'!I:K, 2, FALSE), ""), "")))</f>
      </c>
    </row>
    <row customHeight="true" ht="19" r="10">
      <c r="A10">
        <f>B10 &amp; "_" &amp; C10 &amp; IF(D10&lt;&gt;"", "_" &amp; D10, "") &amp; IF(E10&lt;&gt;"", "_" &amp; E10, "") &amp; IF(F10&lt;&gt;"", "_" &amp; F10, "")  &amp;"_X"&amp;L10&amp;"_Y"&amp;M10&amp;"_Z"&amp;N10&amp;"_Rail"</f>
      </c>
      <c r="B10" s="1"/>
      <c r="C10" s="1" t="str">
        <v>Curve</v>
      </c>
      <c r="D10" s="1" t="str">
        <v>D90</v>
      </c>
      <c r="E10" s="1" t="str">
        <v>Borderless_R</v>
      </c>
      <c r="F10" s="1"/>
      <c r="G10" s="2"/>
      <c r="H10" s="4"/>
      <c r="I10" s="4"/>
      <c r="J10" s="4"/>
      <c r="K10" s="3"/>
      <c r="L10" s="3">
        <v>1</v>
      </c>
      <c r="M10" s="3">
        <v>1</v>
      </c>
      <c r="N10" s="3">
        <v>1</v>
      </c>
      <c r="O10" s="3"/>
      <c r="P10" s="3"/>
      <c r="Q10" s="3"/>
      <c r="R10" s="5">
        <f>(1+((L10*M10*N10)-1)*0.1) * ((IF(C10&lt;&gt;"", VLOOKUP(C10,'引用列表'!A:C,3,FALSE), "")) + (IF(D10&lt;&gt;"", VLOOKUP(D10,'引用列表'!E:G,3,FALSE), "")) + (IF(E10&lt;&gt;"", IFERROR(VLOOKUP(E10, '引用列表'!I:K, 3, FALSE), ""), 0)) + (IF(F10&lt;&gt;"", IFERROR(VLOOKUP(F10, '引用列表'!I:K, 3, FALSE), ""), 0)))</f>
      </c>
      <c r="S10">
        <f>((IF(C10&lt;&gt;"", VLOOKUP(C10,'引用列表'!A:C,2,FALSE), "")) &amp; (IF(D10&lt;&gt;"", VLOOKUP(D10,'引用列表'!E:G,2,FALSE), "")) &amp; (IF(E10&lt;&gt;"", IFERROR("，"&amp;VLOOKUP(E10, '引用列表'!I:K, 2, FALSE), ""), "")) &amp; (IF(F10&lt;&gt;"", IFERROR("，"&amp;VLOOKUP(F10, '引用列表'!I:K, 2, FALSE), ""), "")))</f>
      </c>
    </row>
    <row customHeight="true" ht="19" r="11">
      <c r="A11">
        <f>B11 &amp; "_" &amp; C11 &amp; IF(D11&lt;&gt;"", "_" &amp; D11, "") &amp; IF(E11&lt;&gt;"", "_" &amp; E11, "") &amp; IF(F11&lt;&gt;"", "_" &amp; F11, "")  &amp;"_X"&amp;L11&amp;"_Y"&amp;M11&amp;"_Z"&amp;N11&amp;"_Rail"</f>
      </c>
      <c r="B11" s="1"/>
      <c r="C11" s="1" t="str">
        <v>Curve</v>
      </c>
      <c r="D11" s="1" t="str">
        <v>D90</v>
      </c>
      <c r="E11" s="1"/>
      <c r="F11" s="1"/>
      <c r="G11" s="2"/>
      <c r="H11" s="4"/>
      <c r="I11" s="4"/>
      <c r="J11" s="4"/>
      <c r="K11" s="3"/>
      <c r="L11" s="3">
        <v>1</v>
      </c>
      <c r="M11" s="3">
        <v>1</v>
      </c>
      <c r="N11" s="3">
        <v>1</v>
      </c>
      <c r="O11" s="3" t="str">
        <v>是</v>
      </c>
      <c r="P11" s="3"/>
      <c r="Q11" s="3"/>
      <c r="R11" s="5">
        <f>(1+((L11*M11*N11)-1)*0.1) * ((IF(C11&lt;&gt;"", VLOOKUP(C11,'引用列表'!A:C,3,FALSE), "")) + (IF(D11&lt;&gt;"", VLOOKUP(D11,'引用列表'!E:G,3,FALSE), "")) + (IF(E11&lt;&gt;"", IFERROR(VLOOKUP(E11, '引用列表'!I:K, 3, FALSE), ""), 0)) + (IF(F11&lt;&gt;"", IFERROR(VLOOKUP(F11, '引用列表'!I:K, 3, FALSE), ""), 0)))</f>
      </c>
      <c r="S11">
        <f>((IF(C11&lt;&gt;"", VLOOKUP(C11,'引用列表'!A:C,2,FALSE), "")) &amp; (IF(D11&lt;&gt;"", VLOOKUP(D11,'引用列表'!E:G,2,FALSE), "")) &amp; (IF(E11&lt;&gt;"", IFERROR("，"&amp;VLOOKUP(E11, '引用列表'!I:K, 2, FALSE), ""), "")) &amp; (IF(F11&lt;&gt;"", IFERROR("，"&amp;VLOOKUP(F11, '引用列表'!I:K, 2, FALSE), ""), "")))</f>
      </c>
    </row>
    <row customHeight="true" ht="19" r="12">
      <c r="A12">
        <f>B12 &amp; "_" &amp; C12 &amp; IF(D12&lt;&gt;"", "_" &amp; D12, "") &amp; IF(E12&lt;&gt;"", "_" &amp; E12, "") &amp; IF(F12&lt;&gt;"", "_" &amp; F12, "")  &amp;"_X"&amp;L12&amp;"_Y"&amp;M12&amp;"_Z"&amp;N12&amp;"_Rail"</f>
      </c>
      <c r="B12" s="1"/>
      <c r="C12" s="1" t="str">
        <v>Curve</v>
      </c>
      <c r="D12" s="1" t="str">
        <v>L90</v>
      </c>
      <c r="E12" s="1" t="str">
        <v>Borderless</v>
      </c>
      <c r="F12" s="1" t="str">
        <v>Caved</v>
      </c>
      <c r="G12" s="2"/>
      <c r="H12" s="4"/>
      <c r="I12" s="4"/>
      <c r="J12" s="4"/>
      <c r="K12" s="3"/>
      <c r="L12" s="3">
        <v>1</v>
      </c>
      <c r="M12" s="3">
        <v>1</v>
      </c>
      <c r="N12" s="3">
        <v>1</v>
      </c>
      <c r="O12" s="3"/>
      <c r="P12" s="3" t="str">
        <v>✅</v>
      </c>
      <c r="Q12" s="3"/>
      <c r="R12" s="5">
        <f>(1+((L12*M12*N12)-1)*0.1) * ((IF(C12&lt;&gt;"", VLOOKUP(C12,'引用列表'!A:C,3,FALSE), "")) + (IF(D12&lt;&gt;"", VLOOKUP(D12,'引用列表'!E:G,3,FALSE), "")) + (IF(E12&lt;&gt;"", IFERROR(VLOOKUP(E12, '引用列表'!I:K, 3, FALSE), ""), 0)) + (IF(F12&lt;&gt;"", IFERROR(VLOOKUP(F12, '引用列表'!I:K, 3, FALSE), ""), 0)))</f>
      </c>
      <c r="S12">
        <f>((IF(C12&lt;&gt;"", VLOOKUP(C12,'引用列表'!A:C,2,FALSE), "")) &amp; (IF(D12&lt;&gt;"", VLOOKUP(D12,'引用列表'!E:G,2,FALSE), "")) &amp; (IF(E12&lt;&gt;"", IFERROR("，"&amp;VLOOKUP(E12, '引用列表'!I:K, 2, FALSE), ""), "")) &amp; (IF(F12&lt;&gt;"", IFERROR("，"&amp;VLOOKUP(F12, '引用列表'!I:K, 2, FALSE), ""), "")))</f>
      </c>
    </row>
    <row r="13">
      <c r="A13">
        <f>B13 &amp; "_" &amp; C13 &amp; IF(D13&lt;&gt;"", "_" &amp; D13, "") &amp; IF(E13&lt;&gt;"", "_" &amp; E13, "") &amp; IF(F13&lt;&gt;"", "_" &amp; F13, "")  &amp;"_X"&amp;L13&amp;"_Y"&amp;M13&amp;"_Z"&amp;N13&amp;"_Rail"</f>
      </c>
      <c r="B13" s="1"/>
      <c r="C13" s="1" t="str">
        <v>Curve</v>
      </c>
      <c r="D13" s="1" t="str">
        <v>L90</v>
      </c>
      <c r="E13" s="1" t="str">
        <v>Borderless_I</v>
      </c>
      <c r="F13" s="1"/>
      <c r="G13" s="2"/>
      <c r="H13" s="4"/>
      <c r="I13" s="4"/>
      <c r="J13" s="4"/>
      <c r="K13" s="3"/>
      <c r="L13" s="3">
        <v>1</v>
      </c>
      <c r="M13" s="3">
        <v>1</v>
      </c>
      <c r="N13" s="3">
        <v>1</v>
      </c>
      <c r="O13" s="3"/>
      <c r="P13" s="3" t="str">
        <v>✅</v>
      </c>
      <c r="Q13" s="3"/>
      <c r="R13" s="5">
        <f>(1+((L13*M13*N13)-1)*0.1) * ((IF(C13&lt;&gt;"", VLOOKUP(C13,'引用列表'!A:C,3,FALSE), "")) + (IF(D13&lt;&gt;"", VLOOKUP(D13,'引用列表'!E:G,3,FALSE), "")) + (IF(E13&lt;&gt;"", IFERROR(VLOOKUP(E13, '引用列表'!I:K, 3, FALSE), ""), 0)) + (IF(F13&lt;&gt;"", IFERROR(VLOOKUP(F13, '引用列表'!I:K, 3, FALSE), ""), 0)))</f>
      </c>
      <c r="S13">
        <f>((IF(C13&lt;&gt;"", VLOOKUP(C13,'引用列表'!A:C,2,FALSE), "")) &amp; (IF(D13&lt;&gt;"", VLOOKUP(D13,'引用列表'!E:G,2,FALSE), "")) &amp; (IF(E13&lt;&gt;"", IFERROR("，"&amp;VLOOKUP(E13, '引用列表'!I:K, 2, FALSE), ""), "")) &amp; (IF(F13&lt;&gt;"", IFERROR("，"&amp;VLOOKUP(F13, '引用列表'!I:K, 2, FALSE), ""), "")))</f>
      </c>
    </row>
    <row customHeight="true" ht="19" r="14">
      <c r="A14">
        <f>B14 &amp; "_" &amp; C14 &amp; IF(D14&lt;&gt;"", "_" &amp; D14, "") &amp; IF(E14&lt;&gt;"", "_" &amp; E14, "") &amp; IF(F14&lt;&gt;"", "_" &amp; F14, "")  &amp;"_X"&amp;L14&amp;"_Y"&amp;M14&amp;"_Z"&amp;N14&amp;"_Rail"</f>
      </c>
      <c r="B14" s="1"/>
      <c r="C14" s="1" t="str">
        <v>Curve</v>
      </c>
      <c r="D14" s="1" t="str">
        <v>L90</v>
      </c>
      <c r="E14" s="1" t="str">
        <v>Borderless_O</v>
      </c>
      <c r="F14" s="1"/>
      <c r="G14" s="2"/>
      <c r="H14" s="4"/>
      <c r="I14" s="4"/>
      <c r="J14" s="4"/>
      <c r="K14" s="3"/>
      <c r="L14" s="3">
        <v>1</v>
      </c>
      <c r="M14" s="3">
        <v>1</v>
      </c>
      <c r="N14" s="3">
        <v>1</v>
      </c>
      <c r="O14" s="3"/>
      <c r="P14" s="3" t="str">
        <v>✅</v>
      </c>
      <c r="Q14" s="3"/>
      <c r="R14" s="5">
        <f>(1+((L14*M14*N14)-1)*0.1) * ((IF(C14&lt;&gt;"", VLOOKUP(C14,'引用列表'!A:C,3,FALSE), "")) + (IF(D14&lt;&gt;"", VLOOKUP(D14,'引用列表'!E:G,3,FALSE), "")) + (IF(E14&lt;&gt;"", IFERROR(VLOOKUP(E14, '引用列表'!I:K, 3, FALSE), ""), 0)) + (IF(F14&lt;&gt;"", IFERROR(VLOOKUP(F14, '引用列表'!I:K, 3, FALSE), ""), 0)))</f>
      </c>
      <c r="S14">
        <f>((IF(C14&lt;&gt;"", VLOOKUP(C14,'引用列表'!A:C,2,FALSE), "")) &amp; (IF(D14&lt;&gt;"", VLOOKUP(D14,'引用列表'!E:G,2,FALSE), "")) &amp; (IF(E14&lt;&gt;"", IFERROR("，"&amp;VLOOKUP(E14, '引用列表'!I:K, 2, FALSE), ""), "")) &amp; (IF(F14&lt;&gt;"", IFERROR("，"&amp;VLOOKUP(F14, '引用列表'!I:K, 2, FALSE), ""), "")))</f>
      </c>
    </row>
    <row customHeight="true" ht="19" r="15">
      <c r="A15">
        <f>B15 &amp; "_" &amp; C15 &amp; IF(D15&lt;&gt;"", "_" &amp; D15, "") &amp; IF(E15&lt;&gt;"", "_" &amp; E15, "") &amp; IF(F15&lt;&gt;"", "_" &amp; F15, "")  &amp;"_X"&amp;L15&amp;"_Y"&amp;M15&amp;"_Z"&amp;N15&amp;"_Rail"</f>
      </c>
      <c r="B15" s="1"/>
      <c r="C15" s="1" t="str">
        <v>Curve</v>
      </c>
      <c r="D15" s="1" t="str">
        <v>L90</v>
      </c>
      <c r="E15" s="1" t="str">
        <v>Borderless_O</v>
      </c>
      <c r="F15" s="1"/>
      <c r="G15" s="2"/>
      <c r="H15" s="4"/>
      <c r="I15" s="4"/>
      <c r="J15" s="4"/>
      <c r="K15" s="3"/>
      <c r="L15" s="3">
        <v>2</v>
      </c>
      <c r="M15" s="3">
        <v>2</v>
      </c>
      <c r="N15" s="3">
        <v>2</v>
      </c>
      <c r="O15" s="3" t="str">
        <v>镜像源</v>
      </c>
      <c r="P15" s="3"/>
      <c r="Q15" s="3"/>
      <c r="R15" s="5">
        <f>(1+((L15*M15*N15)-1)*0.1) * ((IF(C15&lt;&gt;"", VLOOKUP(C15,'引用列表'!A:C,3,FALSE), "")) + (IF(D15&lt;&gt;"", VLOOKUP(D15,'引用列表'!E:G,3,FALSE), "")) + (IF(E15&lt;&gt;"", IFERROR(VLOOKUP(E15, '引用列表'!I:K, 3, FALSE), ""), 0)) + (IF(F15&lt;&gt;"", IFERROR(VLOOKUP(F15, '引用列表'!I:K, 3, FALSE), ""), 0)))</f>
      </c>
      <c r="S15">
        <f>((IF(C15&lt;&gt;"", VLOOKUP(C15,'引用列表'!A:C,2,FALSE), "")) &amp; (IF(D15&lt;&gt;"", VLOOKUP(D15,'引用列表'!E:G,2,FALSE), "")) &amp; (IF(E15&lt;&gt;"", IFERROR("，"&amp;VLOOKUP(E15, '引用列表'!I:K, 2, FALSE), ""), "")) &amp; (IF(F15&lt;&gt;"", IFERROR("，"&amp;VLOOKUP(F15, '引用列表'!I:K, 2, FALSE), ""), "")))</f>
      </c>
    </row>
    <row r="16">
      <c r="A16">
        <f>B16 &amp; "_" &amp; C16 &amp; IF(D16&lt;&gt;"", "_" &amp; D16, "") &amp; IF(E16&lt;&gt;"", "_" &amp; E16, "") &amp; IF(F16&lt;&gt;"", "_" &amp; F16, "")  &amp;"_X"&amp;L16&amp;"_Y"&amp;M16&amp;"_Z"&amp;N16&amp;"_Rail"</f>
      </c>
      <c r="B16" s="1"/>
      <c r="C16" s="1" t="str">
        <v>Curve</v>
      </c>
      <c r="D16" s="1" t="str">
        <v>L90</v>
      </c>
      <c r="E16" s="1"/>
      <c r="F16" s="1"/>
      <c r="G16" s="2"/>
      <c r="H16" s="4"/>
      <c r="I16" s="4"/>
      <c r="J16" s="4"/>
      <c r="K16" s="3"/>
      <c r="L16" s="3">
        <v>1</v>
      </c>
      <c r="M16" s="3">
        <v>1</v>
      </c>
      <c r="N16" s="3">
        <v>1</v>
      </c>
      <c r="O16" s="3" t="str">
        <v>镜像源</v>
      </c>
      <c r="P16" s="3" t="str">
        <v>✅</v>
      </c>
      <c r="Q16" s="3"/>
      <c r="R16" s="5">
        <f>(1+((L16*M16*N16)-1)*0.1) * ((IF(C16&lt;&gt;"", VLOOKUP(C16,'引用列表'!A:C,3,FALSE), "")) + (IF(D16&lt;&gt;"", VLOOKUP(D16,'引用列表'!E:G,3,FALSE), "")) + (IF(E16&lt;&gt;"", IFERROR(VLOOKUP(E16, '引用列表'!I:K, 3, FALSE), ""), 0)) + (IF(F16&lt;&gt;"", IFERROR(VLOOKUP(F16, '引用列表'!I:K, 3, FALSE), ""), 0)))</f>
      </c>
      <c r="S16">
        <f>((IF(C16&lt;&gt;"", VLOOKUP(C16,'引用列表'!A:C,2,FALSE), "")) &amp; (IF(D16&lt;&gt;"", VLOOKUP(D16,'引用列表'!E:G,2,FALSE), "")) &amp; (IF(E16&lt;&gt;"", IFERROR("，"&amp;VLOOKUP(E16, '引用列表'!I:K, 2, FALSE), ""), "")) &amp; (IF(F16&lt;&gt;"", IFERROR("，"&amp;VLOOKUP(F16, '引用列表'!I:K, 2, FALSE), ""), "")))</f>
      </c>
    </row>
    <row r="17">
      <c r="A17">
        <f>B17 &amp; "_" &amp; C17 &amp; IF(D17&lt;&gt;"", "_" &amp; D17, "") &amp; IF(E17&lt;&gt;"", "_" &amp; E17, "") &amp; IF(F17&lt;&gt;"", "_" &amp; F17, "")  &amp;"_X"&amp;L17&amp;"_Y"&amp;M17&amp;"_Z"&amp;N17&amp;"_Rail"</f>
      </c>
      <c r="B17" s="1"/>
      <c r="C17" s="1" t="str">
        <v>Curve</v>
      </c>
      <c r="D17" s="1" t="str">
        <v>L90</v>
      </c>
      <c r="E17" s="1"/>
      <c r="F17" s="1"/>
      <c r="G17" s="2"/>
      <c r="H17" s="4"/>
      <c r="I17" s="4"/>
      <c r="J17" s="4"/>
      <c r="K17" s="3"/>
      <c r="L17" s="3">
        <v>2</v>
      </c>
      <c r="M17" s="3">
        <v>2</v>
      </c>
      <c r="N17" s="3">
        <v>2</v>
      </c>
      <c r="O17" s="3" t="str">
        <v>镜像源</v>
      </c>
      <c r="P17" s="3"/>
      <c r="Q17" s="3"/>
      <c r="R17" s="5">
        <f>(1+((L17*M17*N17)-1)*0.1) * ((IF(C17&lt;&gt;"", VLOOKUP(C17,'引用列表'!A:C,3,FALSE), "")) + (IF(D17&lt;&gt;"", VLOOKUP(D17,'引用列表'!E:G,3,FALSE), "")) + (IF(E17&lt;&gt;"", IFERROR(VLOOKUP(E17, '引用列表'!I:K, 3, FALSE), ""), 0)) + (IF(F17&lt;&gt;"", IFERROR(VLOOKUP(F17, '引用列表'!I:K, 3, FALSE), ""), 0)))</f>
      </c>
      <c r="S17">
        <f>((IF(C17&lt;&gt;"", VLOOKUP(C17,'引用列表'!A:C,2,FALSE), "")) &amp; (IF(D17&lt;&gt;"", VLOOKUP(D17,'引用列表'!E:G,2,FALSE), "")) &amp; (IF(E17&lt;&gt;"", IFERROR("，"&amp;VLOOKUP(E17, '引用列表'!I:K, 2, FALSE), ""), "")) &amp; (IF(F17&lt;&gt;"", IFERROR("，"&amp;VLOOKUP(F17, '引用列表'!I:K, 2, FALSE), ""), "")))</f>
      </c>
    </row>
    <row r="18">
      <c r="A18">
        <f>B18 &amp; "_" &amp; C18 &amp; IF(D18&lt;&gt;"", "_" &amp; D18, "") &amp; IF(E18&lt;&gt;"", "_" &amp; E18, "") &amp; IF(F18&lt;&gt;"", "_" &amp; F18, "")  &amp;"_X"&amp;L18&amp;"_Y"&amp;M18&amp;"_Z"&amp;N18&amp;"_Rail"</f>
      </c>
      <c r="B18" s="1"/>
      <c r="C18" s="1" t="str">
        <v>Curve</v>
      </c>
      <c r="D18" s="1" t="str">
        <v>R90</v>
      </c>
      <c r="E18" s="1" t="str">
        <v>Borderless</v>
      </c>
      <c r="F18" s="1" t="str">
        <v>Caved</v>
      </c>
      <c r="G18" s="2"/>
      <c r="H18" s="4"/>
      <c r="I18" s="4"/>
      <c r="J18" s="4"/>
      <c r="K18" s="3"/>
      <c r="L18" s="3">
        <v>1</v>
      </c>
      <c r="M18" s="3">
        <v>1</v>
      </c>
      <c r="N18" s="3">
        <v>1</v>
      </c>
      <c r="O18" s="3"/>
      <c r="P18" s="3" t="str">
        <v>✅</v>
      </c>
      <c r="Q18" s="3"/>
      <c r="R18" s="5">
        <f>(1+((L18*M18*N18)-1)*0.1) * ((IF(C18&lt;&gt;"", VLOOKUP(C18,'引用列表'!A:C,3,FALSE), "")) + (IF(D18&lt;&gt;"", VLOOKUP(D18,'引用列表'!E:G,3,FALSE), "")) + (IF(E18&lt;&gt;"", IFERROR(VLOOKUP(E18, '引用列表'!I:K, 3, FALSE), ""), 0)) + (IF(F18&lt;&gt;"", IFERROR(VLOOKUP(F18, '引用列表'!I:K, 3, FALSE), ""), 0)))</f>
      </c>
      <c r="S18">
        <f>((IF(C18&lt;&gt;"", VLOOKUP(C18,'引用列表'!A:C,2,FALSE), "")) &amp; (IF(D18&lt;&gt;"", VLOOKUP(D18,'引用列表'!E:G,2,FALSE), "")) &amp; (IF(E18&lt;&gt;"", IFERROR("，"&amp;VLOOKUP(E18, '引用列表'!I:K, 2, FALSE), ""), "")) &amp; (IF(F18&lt;&gt;"", IFERROR("，"&amp;VLOOKUP(F18, '引用列表'!I:K, 2, FALSE), ""), "")))</f>
      </c>
    </row>
    <row r="19">
      <c r="A19">
        <f>B19 &amp; "_" &amp; C19 &amp; IF(D19&lt;&gt;"", "_" &amp; D19, "") &amp; IF(E19&lt;&gt;"", "_" &amp; E19, "") &amp; IF(F19&lt;&gt;"", "_" &amp; F19, "")  &amp;"_X"&amp;L19&amp;"_Y"&amp;M19&amp;"_Z"&amp;N19&amp;"_Rail"</f>
      </c>
      <c r="B19" s="1"/>
      <c r="C19" s="1" t="str">
        <v>Curve</v>
      </c>
      <c r="D19" s="1" t="str">
        <v>R90</v>
      </c>
      <c r="E19" s="1" t="str">
        <v>Borderless_I</v>
      </c>
      <c r="F19" s="1"/>
      <c r="G19" s="2"/>
      <c r="H19" s="4"/>
      <c r="I19" s="4"/>
      <c r="J19" s="4"/>
      <c r="K19" s="3"/>
      <c r="L19" s="3">
        <v>1</v>
      </c>
      <c r="M19" s="3">
        <v>1</v>
      </c>
      <c r="N19" s="3">
        <v>1</v>
      </c>
      <c r="O19" s="3"/>
      <c r="P19" s="3" t="str">
        <v>✅</v>
      </c>
      <c r="Q19" s="3"/>
      <c r="R19" s="5">
        <f>(1+((L19*M19*N19)-1)*0.1) * ((IF(C19&lt;&gt;"", VLOOKUP(C19,'引用列表'!A:C,3,FALSE), "")) + (IF(D19&lt;&gt;"", VLOOKUP(D19,'引用列表'!E:G,3,FALSE), "")) + (IF(E19&lt;&gt;"", IFERROR(VLOOKUP(E19, '引用列表'!I:K, 3, FALSE), ""), 0)) + (IF(F19&lt;&gt;"", IFERROR(VLOOKUP(F19, '引用列表'!I:K, 3, FALSE), ""), 0)))</f>
      </c>
      <c r="S19">
        <f>((IF(C19&lt;&gt;"", VLOOKUP(C19,'引用列表'!A:C,2,FALSE), "")) &amp; (IF(D19&lt;&gt;"", VLOOKUP(D19,'引用列表'!E:G,2,FALSE), "")) &amp; (IF(E19&lt;&gt;"", IFERROR("，"&amp;VLOOKUP(E19, '引用列表'!I:K, 2, FALSE), ""), "")) &amp; (IF(F19&lt;&gt;"", IFERROR("，"&amp;VLOOKUP(F19, '引用列表'!I:K, 2, FALSE), ""), "")))</f>
      </c>
    </row>
    <row customHeight="true" ht="19" r="20">
      <c r="A20">
        <f>B20 &amp; "_" &amp; C20 &amp; IF(D20&lt;&gt;"", "_" &amp; D20, "") &amp; IF(E20&lt;&gt;"", "_" &amp; E20, "") &amp; IF(F20&lt;&gt;"", "_" &amp; F20, "")  &amp;"_X"&amp;L20&amp;"_Y"&amp;M20&amp;"_Z"&amp;N20&amp;"_Rail"</f>
      </c>
      <c r="B20" s="1"/>
      <c r="C20" s="1" t="str">
        <v>Curve</v>
      </c>
      <c r="D20" s="1" t="str">
        <v>R90</v>
      </c>
      <c r="E20" s="1" t="str">
        <v>Borderless_O</v>
      </c>
      <c r="F20" s="1"/>
      <c r="G20" s="2"/>
      <c r="H20" s="4"/>
      <c r="I20" s="4"/>
      <c r="J20" s="4"/>
      <c r="K20" s="3"/>
      <c r="L20" s="3">
        <v>1</v>
      </c>
      <c r="M20" s="3">
        <v>1</v>
      </c>
      <c r="N20" s="3">
        <v>1</v>
      </c>
      <c r="O20" s="3"/>
      <c r="P20" s="3" t="str">
        <v>✅</v>
      </c>
      <c r="Q20" s="3"/>
      <c r="R20" s="5">
        <f>(1+((L20*M20*N20)-1)*0.1) * ((IF(C20&lt;&gt;"", VLOOKUP(C20,'引用列表'!A:C,3,FALSE), "")) + (IF(D20&lt;&gt;"", VLOOKUP(D20,'引用列表'!E:G,3,FALSE), "")) + (IF(E20&lt;&gt;"", IFERROR(VLOOKUP(E20, '引用列表'!I:K, 3, FALSE), ""), 0)) + (IF(F20&lt;&gt;"", IFERROR(VLOOKUP(F20, '引用列表'!I:K, 3, FALSE), ""), 0)))</f>
      </c>
      <c r="S20">
        <f>((IF(C20&lt;&gt;"", VLOOKUP(C20,'引用列表'!A:C,2,FALSE), "")) &amp; (IF(D20&lt;&gt;"", VLOOKUP(D20,'引用列表'!E:G,2,FALSE), "")) &amp; (IF(E20&lt;&gt;"", IFERROR("，"&amp;VLOOKUP(E20, '引用列表'!I:K, 2, FALSE), ""), "")) &amp; (IF(F20&lt;&gt;"", IFERROR("，"&amp;VLOOKUP(F20, '引用列表'!I:K, 2, FALSE), ""), "")))</f>
      </c>
    </row>
    <row customHeight="true" ht="19" r="21">
      <c r="A21">
        <f>B21 &amp; "_" &amp; C21 &amp; IF(D21&lt;&gt;"", "_" &amp; D21, "") &amp; IF(E21&lt;&gt;"", "_" &amp; E21, "") &amp; IF(F21&lt;&gt;"", "_" &amp; F21, "")  &amp;"_X"&amp;L21&amp;"_Y"&amp;M21&amp;"_Z"&amp;N21&amp;"_Rail"</f>
      </c>
      <c r="B21" s="1"/>
      <c r="C21" s="1" t="str">
        <v>Curve</v>
      </c>
      <c r="D21" s="1" t="str">
        <v>R90</v>
      </c>
      <c r="E21" s="1"/>
      <c r="F21" s="1"/>
      <c r="G21" s="2"/>
      <c r="H21" s="4"/>
      <c r="I21" s="4"/>
      <c r="J21" s="4"/>
      <c r="K21" s="3"/>
      <c r="L21" s="3">
        <v>1</v>
      </c>
      <c r="M21" s="3">
        <v>1</v>
      </c>
      <c r="N21" s="3">
        <v>1</v>
      </c>
      <c r="O21" s="3" t="str">
        <v>镜像子</v>
      </c>
      <c r="P21" s="3" t="str">
        <v>✅</v>
      </c>
      <c r="Q21" s="3"/>
      <c r="R21" s="5">
        <f>(1+((L21*M21*N21)-1)*0.1) * ((IF(C21&lt;&gt;"", VLOOKUP(C21,'引用列表'!A:C,3,FALSE), "")) + (IF(D21&lt;&gt;"", VLOOKUP(D21,'引用列表'!E:G,3,FALSE), "")) + (IF(E21&lt;&gt;"", IFERROR(VLOOKUP(E21, '引用列表'!I:K, 3, FALSE), ""), 0)) + (IF(F21&lt;&gt;"", IFERROR(VLOOKUP(F21, '引用列表'!I:K, 3, FALSE), ""), 0)))</f>
      </c>
      <c r="S21">
        <f>((IF(C21&lt;&gt;"", VLOOKUP(C21,'引用列表'!A:C,2,FALSE), "")) &amp; (IF(D21&lt;&gt;"", VLOOKUP(D21,'引用列表'!E:G,2,FALSE), "")) &amp; (IF(E21&lt;&gt;"", IFERROR("，"&amp;VLOOKUP(E21, '引用列表'!I:K, 2, FALSE), ""), "")) &amp; (IF(F21&lt;&gt;"", IFERROR("，"&amp;VLOOKUP(F21, '引用列表'!I:K, 2, FALSE), ""), "")))</f>
      </c>
    </row>
    <row customHeight="true" ht="19" r="22">
      <c r="A22">
        <f>B22 &amp; "_" &amp; C22 &amp; IF(D22&lt;&gt;"", "_" &amp; D22, "") &amp; IF(E22&lt;&gt;"", "_" &amp; E22, "") &amp; IF(F22&lt;&gt;"", "_" &amp; F22, "")  &amp;"_X"&amp;L22&amp;"_Y"&amp;M22&amp;"_Z"&amp;N22&amp;"_Rail"</f>
      </c>
      <c r="B22" s="1"/>
      <c r="C22" s="1"/>
      <c r="D22" s="1"/>
      <c r="E22" s="1"/>
      <c r="F22" s="1"/>
      <c r="G22" s="2"/>
      <c r="H22" s="4"/>
      <c r="I22" s="4"/>
      <c r="J22" s="4"/>
      <c r="K22" s="3"/>
      <c r="L22" s="3"/>
      <c r="M22" s="3"/>
      <c r="N22" s="3"/>
      <c r="O22" s="3"/>
      <c r="P22" s="3"/>
      <c r="Q22" s="3"/>
      <c r="R22" s="5"/>
    </row>
    <row customHeight="true" ht="19" r="23">
      <c r="A23">
        <f>B23 &amp; "_" &amp; C23 &amp; IF(D23&lt;&gt;"", "_" &amp; D23, "") &amp; IF(E23&lt;&gt;"", "_" &amp; E23, "") &amp; IF(F23&lt;&gt;"", "_" &amp; F23, "")  &amp;"_X"&amp;L23&amp;"_Y"&amp;M23&amp;"_Z"&amp;N23&amp;"_Rail"</f>
      </c>
      <c r="B23" s="1"/>
      <c r="C23" s="1" t="str">
        <v>Curve</v>
      </c>
      <c r="D23" s="1" t="str">
        <v>T</v>
      </c>
      <c r="E23" s="1" t="str">
        <v>Borderless_T</v>
      </c>
      <c r="F23" s="1"/>
      <c r="G23" s="2"/>
      <c r="H23" s="4"/>
      <c r="I23" s="4"/>
      <c r="J23" s="4"/>
      <c r="K23" s="3"/>
      <c r="L23" s="3">
        <v>1</v>
      </c>
      <c r="M23" s="3">
        <v>1</v>
      </c>
      <c r="N23" s="3">
        <v>1</v>
      </c>
      <c r="O23" s="3" t="str">
        <v>是</v>
      </c>
      <c r="P23" s="3"/>
      <c r="Q23" s="3"/>
      <c r="R23" s="5">
        <f>(1+((L23*M23*N23)-1)*0.1) * ((IF(C23&lt;&gt;"", VLOOKUP(C23,'引用列表'!A:C,3,FALSE), "")) + (IF(D23&lt;&gt;"", VLOOKUP(D23,'引用列表'!E:G,3,FALSE), "")) + (IF(E23&lt;&gt;"", IFERROR(VLOOKUP(E23, '引用列表'!I:K, 3, FALSE), ""), 0)) + (IF(F23&lt;&gt;"", IFERROR(VLOOKUP(F23, '引用列表'!I:K, 3, FALSE), ""), 0)))</f>
      </c>
      <c r="S23">
        <f>((IF(C23&lt;&gt;"", VLOOKUP(C23,'引用列表'!A:C,2,FALSE), "")) &amp; (IF(D23&lt;&gt;"", VLOOKUP(D23,'引用列表'!E:G,2,FALSE), "")) &amp; (IF(E23&lt;&gt;"", IFERROR("，"&amp;VLOOKUP(E23, '引用列表'!I:K, 2, FALSE), ""), "")) &amp; (IF(F23&lt;&gt;"", IFERROR("，"&amp;VLOOKUP(F23, '引用列表'!I:K, 2, FALSE), ""), "")))</f>
      </c>
    </row>
    <row customHeight="true" ht="19" r="24">
      <c r="A24">
        <f>B24 &amp; "_" &amp; C24 &amp; IF(D24&lt;&gt;"", "_" &amp; D24, "") &amp; IF(E24&lt;&gt;"", "_" &amp; E24, "") &amp; IF(F24&lt;&gt;"", "_" &amp; F24, "")  &amp;"_X"&amp;L24&amp;"_Y"&amp;M24&amp;"_Z"&amp;N24&amp;"_Rail"</f>
      </c>
      <c r="B24" s="1"/>
      <c r="C24" s="1" t="str">
        <v>Curve</v>
      </c>
      <c r="D24" s="1" t="str">
        <v>T</v>
      </c>
      <c r="E24" s="1"/>
      <c r="F24" s="1"/>
      <c r="G24" s="2"/>
      <c r="H24" s="4"/>
      <c r="I24" s="4"/>
      <c r="J24" s="4"/>
      <c r="K24" s="3"/>
      <c r="L24" s="3">
        <v>1</v>
      </c>
      <c r="M24" s="3">
        <v>1</v>
      </c>
      <c r="N24" s="3">
        <v>1</v>
      </c>
      <c r="O24" s="3" t="str">
        <v>是</v>
      </c>
      <c r="P24" s="3"/>
      <c r="Q24" s="3"/>
      <c r="R24" s="5">
        <f>(1+((L24*M24*N24)-1)*0.1) * ((IF(C24&lt;&gt;"", VLOOKUP(C24,'引用列表'!A:C,3,FALSE), "")) + (IF(D24&lt;&gt;"", VLOOKUP(D24,'引用列表'!E:G,3,FALSE), "")) + (IF(E24&lt;&gt;"", IFERROR(VLOOKUP(E24, '引用列表'!I:K, 3, FALSE), ""), 0)) + (IF(F24&lt;&gt;"", IFERROR(VLOOKUP(F24, '引用列表'!I:K, 3, FALSE), ""), 0)))</f>
      </c>
      <c r="S24">
        <f>((IF(C24&lt;&gt;"", VLOOKUP(C24,'引用列表'!A:C,2,FALSE), "")) &amp; (IF(D24&lt;&gt;"", VLOOKUP(D24,'引用列表'!E:G,2,FALSE), "")) &amp; (IF(E24&lt;&gt;"", IFERROR("，"&amp;VLOOKUP(E24, '引用列表'!I:K, 2, FALSE), ""), "")) &amp; (IF(F24&lt;&gt;"", IFERROR("，"&amp;VLOOKUP(F24, '引用列表'!I:K, 2, FALSE), ""), "")))</f>
      </c>
    </row>
    <row customHeight="true" ht="19" r="25">
      <c r="A25">
        <f>B25 &amp; "_" &amp; C25 &amp; IF(D25&lt;&gt;"", "_" &amp; D25, "") &amp; IF(E25&lt;&gt;"", "_" &amp; E25, "") &amp; IF(F25&lt;&gt;"", "_" &amp; F25, "")  &amp;"_X"&amp;L25&amp;"_Y"&amp;M25&amp;"_Z"&amp;N25&amp;"_Rail"</f>
      </c>
      <c r="B25" s="1"/>
      <c r="C25" s="1" t="str">
        <v>Curve</v>
      </c>
      <c r="D25" s="1" t="str">
        <v>U90</v>
      </c>
      <c r="E25" s="1" t="str">
        <v>Borderless</v>
      </c>
      <c r="F25" s="1" t="str">
        <v>Caved</v>
      </c>
      <c r="G25" s="2"/>
      <c r="H25" s="4"/>
      <c r="I25" s="4"/>
      <c r="J25" s="4"/>
      <c r="K25" s="3"/>
      <c r="L25" s="3">
        <v>1</v>
      </c>
      <c r="M25" s="3">
        <v>1</v>
      </c>
      <c r="N25" s="3">
        <v>1</v>
      </c>
      <c r="O25" s="3"/>
      <c r="P25" s="3"/>
      <c r="Q25" s="3"/>
      <c r="R25" s="5">
        <f>(1+((L25*M25*N25)-1)*0.1) * ((IF(C25&lt;&gt;"", VLOOKUP(C25,'引用列表'!A:C,3,FALSE), "")) + (IF(D25&lt;&gt;"", VLOOKUP(D25,'引用列表'!E:G,3,FALSE), "")) + (IF(E25&lt;&gt;"", IFERROR(VLOOKUP(E25, '引用列表'!I:K, 3, FALSE), ""), 0)) + (IF(F25&lt;&gt;"", IFERROR(VLOOKUP(F25, '引用列表'!I:K, 3, FALSE), ""), 0)))</f>
      </c>
      <c r="S25">
        <f>((IF(C25&lt;&gt;"", VLOOKUP(C25,'引用列表'!A:C,2,FALSE), "")) &amp; (IF(D25&lt;&gt;"", VLOOKUP(D25,'引用列表'!E:G,2,FALSE), "")) &amp; (IF(E25&lt;&gt;"", IFERROR("，"&amp;VLOOKUP(E25, '引用列表'!I:K, 2, FALSE), ""), "")) &amp; (IF(F25&lt;&gt;"", IFERROR("，"&amp;VLOOKUP(F25, '引用列表'!I:K, 2, FALSE), ""), "")))</f>
      </c>
    </row>
    <row customHeight="true" ht="19" r="26">
      <c r="A26">
        <f>B26 &amp; "_" &amp; C26 &amp; IF(D26&lt;&gt;"", "_" &amp; D26, "") &amp; IF(E26&lt;&gt;"", "_" &amp; E26, "") &amp; IF(F26&lt;&gt;"", "_" &amp; F26, "")  &amp;"_X"&amp;L26&amp;"_Y"&amp;M26&amp;"_Z"&amp;N26&amp;"_Rail"</f>
      </c>
      <c r="B26" s="1"/>
      <c r="C26" s="1" t="str">
        <v>Curve</v>
      </c>
      <c r="D26" s="1" t="str">
        <v>U90</v>
      </c>
      <c r="E26" s="1" t="str">
        <v>Borderless</v>
      </c>
      <c r="F26" s="1" t="str">
        <v>Caved</v>
      </c>
      <c r="G26" s="2"/>
      <c r="H26" s="4"/>
      <c r="I26" s="4"/>
      <c r="J26" s="4"/>
      <c r="K26" s="3"/>
      <c r="L26" s="3">
        <v>3</v>
      </c>
      <c r="M26" s="3">
        <v>3</v>
      </c>
      <c r="N26" s="3">
        <v>3</v>
      </c>
      <c r="O26" s="3" t="str">
        <v>是</v>
      </c>
      <c r="P26" s="3" t="str">
        <v>✅</v>
      </c>
      <c r="Q26" s="3"/>
      <c r="R26" s="5">
        <f>(1+((L26*M26*N26)-1)*0.1) * ((IF(C26&lt;&gt;"", VLOOKUP(C26,'引用列表'!A:C,3,FALSE), "")) + (IF(D26&lt;&gt;"", VLOOKUP(D26,'引用列表'!E:G,3,FALSE), "")) + (IF(E26&lt;&gt;"", IFERROR(VLOOKUP(E26, '引用列表'!I:K, 3, FALSE), ""), 0)) + (IF(F26&lt;&gt;"", IFERROR(VLOOKUP(F26, '引用列表'!I:K, 3, FALSE), ""), 0)))</f>
      </c>
      <c r="S26">
        <f>((IF(C26&lt;&gt;"", VLOOKUP(C26,'引用列表'!A:C,2,FALSE), "")) &amp; (IF(D26&lt;&gt;"", VLOOKUP(D26,'引用列表'!E:G,2,FALSE), "")) &amp; (IF(E26&lt;&gt;"", IFERROR("，"&amp;VLOOKUP(E26, '引用列表'!I:K, 2, FALSE), ""), "")) &amp; (IF(F26&lt;&gt;"", IFERROR("，"&amp;VLOOKUP(F26, '引用列表'!I:K, 2, FALSE), ""), "")))</f>
      </c>
    </row>
    <row customHeight="true" ht="19" r="27">
      <c r="A27">
        <f>B27 &amp; "_" &amp; C27 &amp; IF(D27&lt;&gt;"", "_" &amp; D27, "") &amp; IF(E27&lt;&gt;"", "_" &amp; E27, "") &amp; IF(F27&lt;&gt;"", "_" &amp; F27, "")  &amp;"_X"&amp;L27&amp;"_Y"&amp;M27&amp;"_Z"&amp;N27&amp;"_Rail"</f>
      </c>
      <c r="B27" s="1"/>
      <c r="C27" s="1" t="str">
        <v>Curve</v>
      </c>
      <c r="D27" s="1" t="str">
        <v>U90</v>
      </c>
      <c r="E27" s="1" t="str">
        <v>Borderless</v>
      </c>
      <c r="F27" s="1" t="str">
        <v>Caved</v>
      </c>
      <c r="G27" s="2"/>
      <c r="H27" s="4"/>
      <c r="I27" s="4"/>
      <c r="J27" s="4"/>
      <c r="K27" s="3"/>
      <c r="L27" s="3">
        <v>4</v>
      </c>
      <c r="M27" s="3">
        <v>1</v>
      </c>
      <c r="N27" s="3">
        <v>4</v>
      </c>
      <c r="O27" s="3" t="str">
        <v>是</v>
      </c>
      <c r="P27" s="3"/>
      <c r="Q27" s="3"/>
      <c r="R27" s="5">
        <f>(1+((L27*M27*N27)-1)*0.1) * ((IF(C27&lt;&gt;"", VLOOKUP(C27,'引用列表'!A:C,3,FALSE), "")) + (IF(D27&lt;&gt;"", VLOOKUP(D27,'引用列表'!E:G,3,FALSE), "")) + (IF(E27&lt;&gt;"", IFERROR(VLOOKUP(E27, '引用列表'!I:K, 3, FALSE), ""), 0)) + (IF(F27&lt;&gt;"", IFERROR(VLOOKUP(F27, '引用列表'!I:K, 3, FALSE), ""), 0)))</f>
      </c>
      <c r="S27">
        <f>((IF(C27&lt;&gt;"", VLOOKUP(C27,'引用列表'!A:C,2,FALSE), "")) &amp; (IF(D27&lt;&gt;"", VLOOKUP(D27,'引用列表'!E:G,2,FALSE), "")) &amp; (IF(E27&lt;&gt;"", IFERROR("，"&amp;VLOOKUP(E27, '引用列表'!I:K, 2, FALSE), ""), "")) &amp; (IF(F27&lt;&gt;"", IFERROR("，"&amp;VLOOKUP(F27, '引用列表'!I:K, 2, FALSE), ""), "")))</f>
      </c>
    </row>
    <row customHeight="true" ht="19" r="28">
      <c r="A28">
        <f>B28 &amp; "_" &amp; C28 &amp; IF(D28&lt;&gt;"", "_" &amp; D28, "") &amp; IF(E28&lt;&gt;"", "_" &amp; E28, "") &amp; IF(F28&lt;&gt;"", "_" &amp; F28, "")  &amp;"_X"&amp;L28&amp;"_Y"&amp;M28&amp;"_Z"&amp;N28&amp;"_Rail"</f>
      </c>
      <c r="B28" s="1"/>
      <c r="C28" s="1" t="str">
        <v>Curve</v>
      </c>
      <c r="D28" s="1" t="str">
        <v>U90</v>
      </c>
      <c r="E28" s="1" t="str">
        <v>Borderless_L</v>
      </c>
      <c r="F28" s="1"/>
      <c r="G28" s="2"/>
      <c r="H28" s="4"/>
      <c r="I28" s="4"/>
      <c r="J28" s="4"/>
      <c r="K28" s="3"/>
      <c r="L28" s="3">
        <v>1</v>
      </c>
      <c r="M28" s="3">
        <v>1</v>
      </c>
      <c r="N28" s="3">
        <v>1</v>
      </c>
      <c r="O28" s="3"/>
      <c r="P28" s="3"/>
      <c r="Q28" s="3"/>
      <c r="R28" s="5">
        <f>(1+((L28*M28*N28)-1)*0.1) * ((IF(C28&lt;&gt;"", VLOOKUP(C28,'引用列表'!A:C,3,FALSE), "")) + (IF(D28&lt;&gt;"", VLOOKUP(D28,'引用列表'!E:G,3,FALSE), "")) + (IF(E28&lt;&gt;"", IFERROR(VLOOKUP(E28, '引用列表'!I:K, 3, FALSE), ""), 0)) + (IF(F28&lt;&gt;"", IFERROR(VLOOKUP(F28, '引用列表'!I:K, 3, FALSE), ""), 0)))</f>
      </c>
      <c r="S28">
        <f>((IF(C28&lt;&gt;"", VLOOKUP(C28,'引用列表'!A:C,2,FALSE), "")) &amp; (IF(D28&lt;&gt;"", VLOOKUP(D28,'引用列表'!E:G,2,FALSE), "")) &amp; (IF(E28&lt;&gt;"", IFERROR("，"&amp;VLOOKUP(E28, '引用列表'!I:K, 2, FALSE), ""), "")) &amp; (IF(F28&lt;&gt;"", IFERROR("，"&amp;VLOOKUP(F28, '引用列表'!I:K, 2, FALSE), ""), "")))</f>
      </c>
    </row>
    <row customHeight="true" ht="19" r="29">
      <c r="A29">
        <f>B29 &amp; "_" &amp; C29 &amp; IF(D29&lt;&gt;"", "_" &amp; D29, "") &amp; IF(E29&lt;&gt;"", "_" &amp; E29, "") &amp; IF(F29&lt;&gt;"", "_" &amp; F29, "")  &amp;"_X"&amp;L29&amp;"_Y"&amp;M29&amp;"_Z"&amp;N29&amp;"_Rail"</f>
      </c>
      <c r="B29" s="1"/>
      <c r="C29" s="1" t="str">
        <v>Curve</v>
      </c>
      <c r="D29" s="1" t="str">
        <v>U90</v>
      </c>
      <c r="E29" s="1" t="str">
        <v>Borderless_R</v>
      </c>
      <c r="F29" s="1"/>
      <c r="G29" s="2"/>
      <c r="H29" s="4"/>
      <c r="I29" s="4"/>
      <c r="J29" s="4"/>
      <c r="K29" s="3"/>
      <c r="L29" s="3">
        <v>1</v>
      </c>
      <c r="M29" s="3">
        <v>1</v>
      </c>
      <c r="N29" s="3">
        <v>1</v>
      </c>
      <c r="O29" s="3"/>
      <c r="P29" s="3"/>
      <c r="Q29" s="3"/>
      <c r="R29" s="5">
        <f>(1+((L29*M29*N29)-1)*0.1) * ((IF(C29&lt;&gt;"", VLOOKUP(C29,'引用列表'!A:C,3,FALSE), "")) + (IF(D29&lt;&gt;"", VLOOKUP(D29,'引用列表'!E:G,3,FALSE), "")) + (IF(E29&lt;&gt;"", IFERROR(VLOOKUP(E29, '引用列表'!I:K, 3, FALSE), ""), 0)) + (IF(F29&lt;&gt;"", IFERROR(VLOOKUP(F29, '引用列表'!I:K, 3, FALSE), ""), 0)))</f>
      </c>
      <c r="S29">
        <f>((IF(C29&lt;&gt;"", VLOOKUP(C29,'引用列表'!A:C,2,FALSE), "")) &amp; (IF(D29&lt;&gt;"", VLOOKUP(D29,'引用列表'!E:G,2,FALSE), "")) &amp; (IF(E29&lt;&gt;"", IFERROR("，"&amp;VLOOKUP(E29, '引用列表'!I:K, 2, FALSE), ""), "")) &amp; (IF(F29&lt;&gt;"", IFERROR("，"&amp;VLOOKUP(F29, '引用列表'!I:K, 2, FALSE), ""), "")))</f>
      </c>
    </row>
    <row customHeight="true" ht="19" r="30">
      <c r="A30">
        <f>B30 &amp; "_" &amp; C30 &amp; IF(D30&lt;&gt;"", "_" &amp; D30, "") &amp; IF(E30&lt;&gt;"", "_" &amp; E30, "") &amp; IF(F30&lt;&gt;"", "_" &amp; F30, "")  &amp;"_X"&amp;L30&amp;"_Y"&amp;M30&amp;"_Z"&amp;N30&amp;"_Rail"</f>
      </c>
      <c r="B30" s="1"/>
      <c r="C30" s="1" t="str">
        <v>Curve</v>
      </c>
      <c r="D30" s="1" t="str">
        <v>U90</v>
      </c>
      <c r="E30" s="1"/>
      <c r="F30" s="1"/>
      <c r="G30" s="2"/>
      <c r="H30" s="4"/>
      <c r="I30" s="4"/>
      <c r="J30" s="4"/>
      <c r="K30" s="3"/>
      <c r="L30" s="3">
        <v>1</v>
      </c>
      <c r="M30" s="3">
        <v>1</v>
      </c>
      <c r="N30" s="3">
        <v>1</v>
      </c>
      <c r="O30" s="3" t="str">
        <v>是</v>
      </c>
      <c r="P30" s="3" t="str">
        <v>在做PROXY</v>
      </c>
      <c r="Q30" s="3"/>
      <c r="R30" s="5">
        <f>(1+((L30*M30*N30)-1)*0.1) * ((IF(C30&lt;&gt;"", VLOOKUP(C30,'引用列表'!A:C,3,FALSE), "")) + (IF(D30&lt;&gt;"", VLOOKUP(D30,'引用列表'!E:G,3,FALSE), "")) + (IF(E30&lt;&gt;"", IFERROR(VLOOKUP(E30, '引用列表'!I:K, 3, FALSE), ""), 0)) + (IF(F30&lt;&gt;"", IFERROR(VLOOKUP(F30, '引用列表'!I:K, 3, FALSE), ""), 0)))</f>
      </c>
      <c r="S30">
        <f>((IF(C30&lt;&gt;"", VLOOKUP(C30,'引用列表'!A:C,2,FALSE), "")) &amp; (IF(D30&lt;&gt;"", VLOOKUP(D30,'引用列表'!E:G,2,FALSE), "")) &amp; (IF(E30&lt;&gt;"", IFERROR("，"&amp;VLOOKUP(E30, '引用列表'!I:K, 2, FALSE), ""), "")) &amp; (IF(F30&lt;&gt;"", IFERROR("，"&amp;VLOOKUP(F30, '引用列表'!I:K, 2, FALSE), ""), "")))</f>
      </c>
    </row>
    <row customHeight="true" ht="19" r="31">
      <c r="A31">
        <f>B31 &amp; "_" &amp; C31 &amp; IF(D31&lt;&gt;"", "_" &amp; D31, "") &amp; IF(E31&lt;&gt;"", "_" &amp; E31, "") &amp; IF(F31&lt;&gt;"", "_" &amp; F31, "")  &amp;"_X"&amp;L31&amp;"_Y"&amp;M31&amp;"_Z"&amp;N31&amp;"_Rail"</f>
      </c>
      <c r="B31" s="1"/>
      <c r="C31" s="1" t="str">
        <v>End</v>
      </c>
      <c r="D31" s="1" t="str">
        <v>F</v>
      </c>
      <c r="E31" s="1"/>
      <c r="F31" s="1"/>
      <c r="G31" s="2"/>
      <c r="H31" s="4"/>
      <c r="I31" s="4"/>
      <c r="J31" s="4"/>
      <c r="K31" s="3"/>
      <c r="L31" s="3">
        <v>1</v>
      </c>
      <c r="M31" s="3">
        <v>1</v>
      </c>
      <c r="N31" s="3">
        <v>1</v>
      </c>
      <c r="O31" s="3" t="str">
        <v>是</v>
      </c>
      <c r="P31" s="3" t="str">
        <v>简单VOXEL</v>
      </c>
      <c r="Q31" s="3"/>
      <c r="R31" s="5">
        <f>(1+((L31*M31*N31)-1)*0.1) * ((IF(C31&lt;&gt;"", VLOOKUP(C31,'引用列表'!A:C,3,FALSE), "")) + (IF(D31&lt;&gt;"", VLOOKUP(D31,'引用列表'!E:G,3,FALSE), "")) + (IF(E31&lt;&gt;"", IFERROR(VLOOKUP(E31, '引用列表'!I:K, 3, FALSE), ""), 0)) + (IF(F31&lt;&gt;"", IFERROR(VLOOKUP(F31, '引用列表'!I:K, 3, FALSE), ""), 0)))</f>
      </c>
      <c r="S31">
        <f>((IF(C31&lt;&gt;"", VLOOKUP(C31,'引用列表'!A:C,2,FALSE), "")) &amp; (IF(D31&lt;&gt;"", VLOOKUP(D31,'引用列表'!E:G,2,FALSE), "")) &amp; (IF(E31&lt;&gt;"", IFERROR("，"&amp;VLOOKUP(E31, '引用列表'!I:K, 2, FALSE), ""), "")) &amp; (IF(F31&lt;&gt;"", IFERROR("，"&amp;VLOOKUP(F31, '引用列表'!I:K, 2, FALSE), ""), "")))</f>
      </c>
    </row>
    <row customHeight="true" ht="19" r="32">
      <c r="A32">
        <f>B32 &amp; "_" &amp; C32 &amp; IF(D32&lt;&gt;"", "_" &amp; D32, "") &amp; IF(E32&lt;&gt;"", "_" &amp; E32, "") &amp; IF(F32&lt;&gt;"", "_" &amp; F32, "")  &amp;"_X"&amp;L32&amp;"_Y"&amp;M32&amp;"_Z"&amp;N32&amp;"_Rail"</f>
      </c>
      <c r="B32" s="1"/>
      <c r="C32" s="1" t="str">
        <v>Start</v>
      </c>
      <c r="D32" s="1" t="str">
        <v>F</v>
      </c>
      <c r="E32" s="1"/>
      <c r="F32" s="1"/>
      <c r="G32" s="2"/>
      <c r="H32" s="4" t="str">
        <v>(1,0,0), X, [0]</v>
      </c>
      <c r="I32" s="4"/>
      <c r="J32" s="4"/>
      <c r="K32" s="3"/>
      <c r="L32" s="3">
        <v>1</v>
      </c>
      <c r="M32" s="3">
        <v>1</v>
      </c>
      <c r="N32" s="3">
        <v>1</v>
      </c>
      <c r="O32" s="3" t="str">
        <v>是</v>
      </c>
      <c r="P32" s="3" t="str">
        <v>简单VOXEL</v>
      </c>
      <c r="Q32" s="3"/>
      <c r="R32" s="5">
        <f>(1+((L32*M32*N32)-1)*0.1) * ((IF(C32&lt;&gt;"", VLOOKUP(C32,'引用列表'!A:C,3,FALSE), "")) + (IF(D32&lt;&gt;"", VLOOKUP(D32,'引用列表'!E:G,3,FALSE), "")) + (IF(E32&lt;&gt;"", IFERROR(VLOOKUP(E32, '引用列表'!I:K, 3, FALSE), ""), 0)) + (IF(F32&lt;&gt;"", IFERROR(VLOOKUP(F32, '引用列表'!I:K, 3, FALSE), ""), 0)))</f>
      </c>
      <c r="S32">
        <f>((IF(C32&lt;&gt;"", VLOOKUP(C32,'引用列表'!A:C,2,FALSE), "")) &amp; (IF(D32&lt;&gt;"", VLOOKUP(D32,'引用列表'!E:G,2,FALSE), "")) &amp; (IF(E32&lt;&gt;"", IFERROR("，"&amp;VLOOKUP(E32, '引用列表'!I:K, 2, FALSE), ""), "")) &amp; (IF(F32&lt;&gt;"", IFERROR("，"&amp;VLOOKUP(F32, '引用列表'!I:K, 2, FALSE), ""), "")))</f>
      </c>
    </row>
    <row customHeight="true" ht="19" r="33">
      <c r="A33">
        <f>B33 &amp; "_" &amp; C33 &amp; IF(D33&lt;&gt;"", "_" &amp; D33, "") &amp; IF(E33&lt;&gt;"", "_" &amp; E33, "") &amp; IF(F33&lt;&gt;"", "_" &amp; F33, "")  &amp;"_X"&amp;L33&amp;"_Y"&amp;M33&amp;"_Z"&amp;N33&amp;"_Rail"</f>
      </c>
      <c r="B33" s="1"/>
      <c r="C33" s="1" t="str">
        <v>Straight</v>
      </c>
      <c r="D33" s="1" t="str">
        <v>D90</v>
      </c>
      <c r="E33" s="1" t="str">
        <v>Borderless</v>
      </c>
      <c r="F33" s="1" t="str">
        <v>Caved</v>
      </c>
      <c r="G33" s="2"/>
      <c r="H33" s="4">
        <v>1</v>
      </c>
      <c r="I33" s="4">
        <v>1</v>
      </c>
      <c r="J33" s="4"/>
      <c r="K33" s="3"/>
      <c r="L33" s="3">
        <v>1</v>
      </c>
      <c r="M33" s="3">
        <v>1</v>
      </c>
      <c r="N33" s="3">
        <v>1</v>
      </c>
      <c r="O33" s="3" t="str">
        <v>镜像子</v>
      </c>
      <c r="P33" s="3" t="str">
        <v>不急</v>
      </c>
      <c r="Q33" s="3"/>
      <c r="R33" s="5">
        <f>(1+((L33*M33*N33)-1)*0.1) * ((IF(C33&lt;&gt;"", VLOOKUP(C33,'引用列表'!A:C,3,FALSE), "")) + (IF(D33&lt;&gt;"", VLOOKUP(D33,'引用列表'!E:G,3,FALSE), "")) + (IF(E33&lt;&gt;"", IFERROR(VLOOKUP(E33, '引用列表'!I:K, 3, FALSE), ""), 0)) + (IF(F33&lt;&gt;"", IFERROR(VLOOKUP(F33, '引用列表'!I:K, 3, FALSE), ""), 0)))</f>
      </c>
      <c r="S33">
        <f>((IF(C33&lt;&gt;"", VLOOKUP(C33,'引用列表'!A:C,2,FALSE), "")) &amp; (IF(D33&lt;&gt;"", VLOOKUP(D33,'引用列表'!E:G,2,FALSE), "")) &amp; (IF(E33&lt;&gt;"", IFERROR("，"&amp;VLOOKUP(E33, '引用列表'!I:K, 2, FALSE), ""), "")) &amp; (IF(F33&lt;&gt;"", IFERROR("，"&amp;VLOOKUP(F33, '引用列表'!I:K, 2, FALSE), ""), "")))</f>
      </c>
    </row>
    <row customHeight="true" ht="19" r="34">
      <c r="A34">
        <f>B34 &amp; "_" &amp; C34 &amp; IF(D34&lt;&gt;"", "_" &amp; D34, "") &amp; IF(E34&lt;&gt;"", "_" &amp; E34, "") &amp; IF(F34&lt;&gt;"", "_" &amp; F34, "")  &amp;"_X"&amp;L34&amp;"_Y"&amp;M34&amp;"_Z"&amp;N34&amp;"_Rail"</f>
      </c>
      <c r="B34" s="1"/>
      <c r="C34" s="1" t="str">
        <v>Straight</v>
      </c>
      <c r="D34" s="1" t="str">
        <v>D90</v>
      </c>
      <c r="E34" s="1" t="str">
        <v>Borderless_L</v>
      </c>
      <c r="F34" s="1"/>
      <c r="G34" s="2"/>
      <c r="H34" s="4"/>
      <c r="I34" s="4"/>
      <c r="J34" s="4"/>
      <c r="K34" s="3"/>
      <c r="L34" s="3">
        <v>1</v>
      </c>
      <c r="M34" s="3">
        <v>1</v>
      </c>
      <c r="N34" s="3">
        <v>1</v>
      </c>
      <c r="O34" s="3"/>
      <c r="P34" s="3"/>
      <c r="Q34" s="3"/>
      <c r="R34" s="5">
        <f>(1+((L34*M34*N34)-1)*0.1) * ((IF(C34&lt;&gt;"", VLOOKUP(C34,'引用列表'!A:C,3,FALSE), "")) + (IF(D34&lt;&gt;"", VLOOKUP(D34,'引用列表'!E:G,3,FALSE), "")) + (IF(E34&lt;&gt;"", IFERROR(VLOOKUP(E34, '引用列表'!I:K, 3, FALSE), ""), 0)) + (IF(F34&lt;&gt;"", IFERROR(VLOOKUP(F34, '引用列表'!I:K, 3, FALSE), ""), 0)))</f>
      </c>
      <c r="S34">
        <f>((IF(C34&lt;&gt;"", VLOOKUP(C34,'引用列表'!A:C,2,FALSE), "")) &amp; (IF(D34&lt;&gt;"", VLOOKUP(D34,'引用列表'!E:G,2,FALSE), "")) &amp; (IF(E34&lt;&gt;"", IFERROR("，"&amp;VLOOKUP(E34, '引用列表'!I:K, 2, FALSE), ""), "")) &amp; (IF(F34&lt;&gt;"", IFERROR("，"&amp;VLOOKUP(F34, '引用列表'!I:K, 2, FALSE), ""), "")))</f>
      </c>
    </row>
    <row customHeight="true" ht="19" r="35">
      <c r="A35">
        <f>B35 &amp; "_" &amp; C35 &amp; IF(D35&lt;&gt;"", "_" &amp; D35, "") &amp; IF(E35&lt;&gt;"", "_" &amp; E35, "") &amp; IF(F35&lt;&gt;"", "_" &amp; F35, "")  &amp;"_X"&amp;L35&amp;"_Y"&amp;M35&amp;"_Z"&amp;N35&amp;"_Rail"</f>
      </c>
      <c r="B35" s="1"/>
      <c r="C35" s="1" t="str">
        <v>Straight</v>
      </c>
      <c r="D35" s="1" t="str">
        <v>D90</v>
      </c>
      <c r="E35" s="1" t="str">
        <v>Borderless_R</v>
      </c>
      <c r="F35" s="1"/>
      <c r="G35" s="2"/>
      <c r="H35" s="4"/>
      <c r="I35" s="4"/>
      <c r="J35" s="4"/>
      <c r="K35" s="3"/>
      <c r="L35" s="3">
        <v>1</v>
      </c>
      <c r="M35" s="3">
        <v>1</v>
      </c>
      <c r="N35" s="3">
        <v>1</v>
      </c>
      <c r="O35" s="3"/>
      <c r="P35" s="3"/>
      <c r="Q35" s="3"/>
      <c r="R35" s="5">
        <f>(1+((L35*M35*N35)-1)*0.1) * ((IF(C35&lt;&gt;"", VLOOKUP(C35,'引用列表'!A:C,3,FALSE), "")) + (IF(D35&lt;&gt;"", VLOOKUP(D35,'引用列表'!E:G,3,FALSE), "")) + (IF(E35&lt;&gt;"", IFERROR(VLOOKUP(E35, '引用列表'!I:K, 3, FALSE), ""), 0)) + (IF(F35&lt;&gt;"", IFERROR(VLOOKUP(F35, '引用列表'!I:K, 3, FALSE), ""), 0)))</f>
      </c>
      <c r="S35">
        <f>((IF(C35&lt;&gt;"", VLOOKUP(C35,'引用列表'!A:C,2,FALSE), "")) &amp; (IF(D35&lt;&gt;"", VLOOKUP(D35,'引用列表'!E:G,2,FALSE), "")) &amp; (IF(E35&lt;&gt;"", IFERROR("，"&amp;VLOOKUP(E35, '引用列表'!I:K, 2, FALSE), ""), "")) &amp; (IF(F35&lt;&gt;"", IFERROR("，"&amp;VLOOKUP(F35, '引用列表'!I:K, 2, FALSE), ""), "")))</f>
      </c>
    </row>
    <row customHeight="true" ht="19" r="36">
      <c r="A36">
        <f>B36 &amp; "_" &amp; C36 &amp; IF(D36&lt;&gt;"", "_" &amp; D36, "") &amp; IF(E36&lt;&gt;"", "_" &amp; E36, "") &amp; IF(F36&lt;&gt;"", "_" &amp; F36, "")  &amp;"_X"&amp;L36&amp;"_Y"&amp;M36&amp;"_Z"&amp;N36&amp;"_Rail"</f>
      </c>
      <c r="B36" s="1"/>
      <c r="C36" s="1" t="str">
        <v>Straight</v>
      </c>
      <c r="D36" s="1" t="str">
        <v>D90</v>
      </c>
      <c r="E36" s="1"/>
      <c r="F36" s="1"/>
      <c r="G36" s="2"/>
      <c r="H36" s="4" t="str">
        <v>0,1,0,y</v>
      </c>
      <c r="I36" s="4"/>
      <c r="J36" s="4"/>
      <c r="K36" s="3"/>
      <c r="L36" s="3">
        <v>1</v>
      </c>
      <c r="M36" s="3">
        <v>1</v>
      </c>
      <c r="N36" s="3">
        <v>1</v>
      </c>
      <c r="O36" s="3" t="str">
        <v>是</v>
      </c>
      <c r="P36" s="3" t="str">
        <v>不急</v>
      </c>
      <c r="Q36" s="3"/>
      <c r="R36" s="5">
        <f>(1+((L36*M36*N36)-1)*0.1) * ((IF(C36&lt;&gt;"", VLOOKUP(C36,'引用列表'!A:C,3,FALSE), "")) + (IF(D36&lt;&gt;"", VLOOKUP(D36,'引用列表'!E:G,3,FALSE), "")) + (IF(E36&lt;&gt;"", IFERROR(VLOOKUP(E36, '引用列表'!I:K, 3, FALSE), ""), 0)) + (IF(F36&lt;&gt;"", IFERROR(VLOOKUP(F36, '引用列表'!I:K, 3, FALSE), ""), 0)))</f>
      </c>
      <c r="S36">
        <f>((IF(C36&lt;&gt;"", VLOOKUP(C36,'引用列表'!A:C,2,FALSE), "")) &amp; (IF(D36&lt;&gt;"", VLOOKUP(D36,'引用列表'!E:G,2,FALSE), "")) &amp; (IF(E36&lt;&gt;"", IFERROR("，"&amp;VLOOKUP(E36, '引用列表'!I:K, 2, FALSE), ""), "")) &amp; (IF(F36&lt;&gt;"", IFERROR("，"&amp;VLOOKUP(F36, '引用列表'!I:K, 2, FALSE), ""), "")))</f>
      </c>
    </row>
    <row customHeight="true" ht="19" r="37">
      <c r="A37">
        <f>B37 &amp; "_" &amp; C37 &amp; IF(D37&lt;&gt;"", "_" &amp; D37, "") &amp; IF(E37&lt;&gt;"", "_" &amp; E37, "") &amp; IF(F37&lt;&gt;"", "_" &amp; F37, "")  &amp;"_X"&amp;L37&amp;"_Y"&amp;M37&amp;"_Z"&amp;N37&amp;"_Rail"</f>
      </c>
      <c r="B37" s="1"/>
      <c r="C37" s="1" t="str">
        <v>Straight</v>
      </c>
      <c r="D37" s="1" t="str">
        <v>F</v>
      </c>
      <c r="E37" s="1" t="str">
        <v>Borderless</v>
      </c>
      <c r="F37" s="1" t="str">
        <v>Caved</v>
      </c>
      <c r="G37" s="2"/>
      <c r="H37" s="4" t="str">
        <v>(1,0,0), X, [0]</v>
      </c>
      <c r="I37" s="4" t="str">
        <v>(0,1,0), Y, [0]</v>
      </c>
      <c r="J37" s="4" t="str">
        <v>(0,-1,0), -Y, [0]</v>
      </c>
      <c r="K37" s="3"/>
      <c r="L37" s="3">
        <v>1</v>
      </c>
      <c r="M37" s="3">
        <v>1</v>
      </c>
      <c r="N37" s="3">
        <v>1</v>
      </c>
      <c r="O37" s="3" t="str">
        <v>是</v>
      </c>
      <c r="P37" s="3" t="str">
        <v>✅</v>
      </c>
      <c r="Q37" s="3"/>
      <c r="R37" s="5">
        <f>(1+((L37*M37*N37)-1)*0.1) * ((IF(C37&lt;&gt;"", VLOOKUP(C37,'引用列表'!A:C,3,FALSE), "")) + (IF(D37&lt;&gt;"", VLOOKUP(D37,'引用列表'!E:G,3,FALSE), "")) + (IF(E37&lt;&gt;"", IFERROR(VLOOKUP(E37, '引用列表'!I:K, 3, FALSE), ""), 0)) + (IF(F37&lt;&gt;"", IFERROR(VLOOKUP(F37, '引用列表'!I:K, 3, FALSE), ""), 0)))</f>
      </c>
      <c r="S37">
        <f>((IF(C37&lt;&gt;"", VLOOKUP(C37,'引用列表'!A:C,2,FALSE), "")) &amp; (IF(D37&lt;&gt;"", VLOOKUP(D37,'引用列表'!E:G,2,FALSE), "")) &amp; (IF(E37&lt;&gt;"", IFERROR("，"&amp;VLOOKUP(E37, '引用列表'!I:K, 2, FALSE), ""), "")) &amp; (IF(F37&lt;&gt;"", IFERROR("，"&amp;VLOOKUP(F37, '引用列表'!I:K, 2, FALSE), ""), "")))</f>
      </c>
    </row>
    <row customHeight="true" ht="19" r="38">
      <c r="A38">
        <f>B38 &amp; "_" &amp; C38 &amp; IF(D38&lt;&gt;"", "_" &amp; D38, "") &amp; IF(E38&lt;&gt;"", "_" &amp; E38, "") &amp; IF(F38&lt;&gt;"", "_" &amp; F38, "")  &amp;"_X"&amp;L38&amp;"_Y"&amp;M38&amp;"_Z"&amp;N38&amp;"_Rail"</f>
      </c>
      <c r="B38" s="1"/>
      <c r="C38" s="1" t="str">
        <v>Straight</v>
      </c>
      <c r="D38" s="1" t="str">
        <v>F</v>
      </c>
      <c r="E38" s="1" t="str">
        <v>Borderless_L</v>
      </c>
      <c r="F38" s="1" t="str">
        <v>HoleInRail</v>
      </c>
      <c r="G38" s="2"/>
      <c r="H38" s="4"/>
      <c r="I38" s="4"/>
      <c r="J38" s="4"/>
      <c r="K38" s="3"/>
      <c r="L38" s="3">
        <v>1</v>
      </c>
      <c r="M38" s="3">
        <v>1</v>
      </c>
      <c r="N38" s="3">
        <v>1</v>
      </c>
      <c r="O38" s="3"/>
      <c r="P38" s="3"/>
      <c r="Q38" s="3"/>
      <c r="R38" s="5">
        <f>(1+((L38*M38*N38)-1)*0.1) * ((IF(C38&lt;&gt;"", VLOOKUP(C38,'引用列表'!A:C,3,FALSE), "")) + (IF(D38&lt;&gt;"", VLOOKUP(D38,'引用列表'!E:G,3,FALSE), "")) + (IF(E38&lt;&gt;"", IFERROR(VLOOKUP(E38, '引用列表'!I:K, 3, FALSE), ""), 0)) + (IF(F38&lt;&gt;"", IFERROR(VLOOKUP(F38, '引用列表'!I:K, 3, FALSE), ""), 0)))</f>
      </c>
      <c r="S38">
        <f>((IF(C38&lt;&gt;"", VLOOKUP(C38,'引用列表'!A:C,2,FALSE), "")) &amp; (IF(D38&lt;&gt;"", VLOOKUP(D38,'引用列表'!E:G,2,FALSE), "")) &amp; (IF(E38&lt;&gt;"", IFERROR("，"&amp;VLOOKUP(E38, '引用列表'!I:K, 2, FALSE), ""), "")) &amp; (IF(F38&lt;&gt;"", IFERROR("，"&amp;VLOOKUP(F38, '引用列表'!I:K, 2, FALSE), ""), "")))</f>
      </c>
    </row>
    <row customHeight="true" ht="19" r="39">
      <c r="A39">
        <f>B39 &amp; "_" &amp; C39 &amp; IF(D39&lt;&gt;"", "_" &amp; D39, "") &amp; IF(E39&lt;&gt;"", "_" &amp; E39, "") &amp; IF(F39&lt;&gt;"", "_" &amp; F39, "")  &amp;"_X"&amp;L39&amp;"_Y"&amp;M39&amp;"_Z"&amp;N39&amp;"_Rail"</f>
      </c>
      <c r="B39" s="1"/>
      <c r="C39" s="1" t="str">
        <v>Straight</v>
      </c>
      <c r="D39" s="1" t="str">
        <v>F</v>
      </c>
      <c r="E39" s="1" t="str">
        <v>Borderless_L</v>
      </c>
      <c r="F39" s="1"/>
      <c r="G39" s="2"/>
      <c r="H39" s="4">
        <v>1</v>
      </c>
      <c r="I39" s="4">
        <v>1</v>
      </c>
      <c r="J39" s="4"/>
      <c r="K39" s="3"/>
      <c r="L39" s="3">
        <v>1</v>
      </c>
      <c r="M39" s="3">
        <v>1</v>
      </c>
      <c r="N39" s="3">
        <v>1</v>
      </c>
      <c r="O39" s="3" t="str">
        <v>镜像源</v>
      </c>
      <c r="P39" s="3" t="str">
        <v>✅</v>
      </c>
      <c r="Q39" s="3"/>
      <c r="R39" s="5">
        <f>(1+((L39*M39*N39)-1)*0.1) * ((IF(C39&lt;&gt;"", VLOOKUP(C39,'引用列表'!A:C,3,FALSE), "")) + (IF(D39&lt;&gt;"", VLOOKUP(D39,'引用列表'!E:G,3,FALSE), "")) + (IF(E39&lt;&gt;"", IFERROR(VLOOKUP(E39, '引用列表'!I:K, 3, FALSE), ""), 0)) + (IF(F39&lt;&gt;"", IFERROR(VLOOKUP(F39, '引用列表'!I:K, 3, FALSE), ""), 0)))</f>
      </c>
      <c r="S39">
        <f>((IF(C39&lt;&gt;"", VLOOKUP(C39,'引用列表'!A:C,2,FALSE), "")) &amp; (IF(D39&lt;&gt;"", VLOOKUP(D39,'引用列表'!E:G,2,FALSE), "")) &amp; (IF(E39&lt;&gt;"", IFERROR("，"&amp;VLOOKUP(E39, '引用列表'!I:K, 2, FALSE), ""), "")) &amp; (IF(F39&lt;&gt;"", IFERROR("，"&amp;VLOOKUP(F39, '引用列表'!I:K, 2, FALSE), ""), "")))</f>
      </c>
    </row>
    <row customHeight="true" ht="19" r="40">
      <c r="A40">
        <f>B40 &amp; "_" &amp; C40 &amp; IF(D40&lt;&gt;"", "_" &amp; D40, "") &amp; IF(E40&lt;&gt;"", "_" &amp; E40, "") &amp; IF(F40&lt;&gt;"", "_" &amp; F40, "")  &amp;"_X"&amp;L40&amp;"_Y"&amp;M40&amp;"_Z"&amp;N40&amp;"_Rail"</f>
      </c>
      <c r="B40" s="1"/>
      <c r="C40" s="1" t="str">
        <v>Straight</v>
      </c>
      <c r="D40" s="1" t="str">
        <v>F</v>
      </c>
      <c r="E40" s="1" t="str">
        <v>Borderless_R</v>
      </c>
      <c r="F40" s="1" t="str">
        <v>HoleInRail</v>
      </c>
      <c r="G40" s="2"/>
      <c r="H40" s="4"/>
      <c r="I40" s="4"/>
      <c r="J40" s="4"/>
      <c r="K40" s="3"/>
      <c r="L40" s="3">
        <v>1</v>
      </c>
      <c r="M40" s="3">
        <v>1</v>
      </c>
      <c r="N40" s="3">
        <v>1</v>
      </c>
      <c r="O40" s="3"/>
      <c r="P40" s="3"/>
      <c r="Q40" s="3"/>
      <c r="R40" s="5">
        <f>(1+((L40*M40*N40)-1)*0.1) * ((IF(C40&lt;&gt;"", VLOOKUP(C40,'引用列表'!A:C,3,FALSE), "")) + (IF(D40&lt;&gt;"", VLOOKUP(D40,'引用列表'!E:G,3,FALSE), "")) + (IF(E40&lt;&gt;"", IFERROR(VLOOKUP(E40, '引用列表'!I:K, 3, FALSE), ""), 0)) + (IF(F40&lt;&gt;"", IFERROR(VLOOKUP(F40, '引用列表'!I:K, 3, FALSE), ""), 0)))</f>
      </c>
      <c r="S40">
        <f>((IF(C40&lt;&gt;"", VLOOKUP(C40,'引用列表'!A:C,2,FALSE), "")) &amp; (IF(D40&lt;&gt;"", VLOOKUP(D40,'引用列表'!E:G,2,FALSE), "")) &amp; (IF(E40&lt;&gt;"", IFERROR("，"&amp;VLOOKUP(E40, '引用列表'!I:K, 2, FALSE), ""), "")) &amp; (IF(F40&lt;&gt;"", IFERROR("，"&amp;VLOOKUP(F40, '引用列表'!I:K, 2, FALSE), ""), "")))</f>
      </c>
    </row>
    <row customHeight="true" ht="19" r="41">
      <c r="A41">
        <f>B41 &amp; "_" &amp; C41 &amp; IF(D41&lt;&gt;"", "_" &amp; D41, "") &amp; IF(E41&lt;&gt;"", "_" &amp; E41, "") &amp; IF(F41&lt;&gt;"", "_" &amp; F41, "")  &amp;"_X"&amp;L41&amp;"_Y"&amp;M41&amp;"_Z"&amp;N41&amp;"_Rail"</f>
      </c>
      <c r="B41" s="1"/>
      <c r="C41" s="1" t="str">
        <v>Straight</v>
      </c>
      <c r="D41" s="1" t="str">
        <v>F</v>
      </c>
      <c r="E41" s="1" t="str">
        <v>Borderless_R</v>
      </c>
      <c r="F41" s="1"/>
      <c r="G41" s="2"/>
      <c r="H41" s="4"/>
      <c r="I41" s="4"/>
      <c r="J41" s="4"/>
      <c r="K41" s="3"/>
      <c r="L41" s="3">
        <v>1</v>
      </c>
      <c r="M41" s="3">
        <v>1</v>
      </c>
      <c r="N41" s="3">
        <v>1</v>
      </c>
      <c r="O41" s="3"/>
      <c r="P41" s="3" t="str">
        <v>✅</v>
      </c>
      <c r="Q41" s="3"/>
      <c r="R41" s="5">
        <f>(1+((L41*M41*N41)-1)*0.1) * ((IF(C41&lt;&gt;"", VLOOKUP(C41,'引用列表'!A:C,3,FALSE), "")) + (IF(D41&lt;&gt;"", VLOOKUP(D41,'引用列表'!E:G,3,FALSE), "")) + (IF(E41&lt;&gt;"", IFERROR(VLOOKUP(E41, '引用列表'!I:K, 3, FALSE), ""), 0)) + (IF(F41&lt;&gt;"", IFERROR(VLOOKUP(F41, '引用列表'!I:K, 3, FALSE), ""), 0)))</f>
      </c>
      <c r="S41">
        <f>((IF(C41&lt;&gt;"", VLOOKUP(C41,'引用列表'!A:C,2,FALSE), "")) &amp; (IF(D41&lt;&gt;"", VLOOKUP(D41,'引用列表'!E:G,2,FALSE), "")) &amp; (IF(E41&lt;&gt;"", IFERROR("，"&amp;VLOOKUP(E41, '引用列表'!I:K, 2, FALSE), ""), "")) &amp; (IF(F41&lt;&gt;"", IFERROR("，"&amp;VLOOKUP(F41, '引用列表'!I:K, 2, FALSE), ""), "")))</f>
      </c>
    </row>
    <row customHeight="true" ht="19" r="42">
      <c r="A42">
        <f>B42 &amp; "_" &amp; C42 &amp; IF(D42&lt;&gt;"", "_" &amp; D42, "") &amp; IF(E42&lt;&gt;"", "_" &amp; E42, "") &amp; IF(F42&lt;&gt;"", "_" &amp; F42, "")  &amp;"_X"&amp;L42&amp;"_Y"&amp;M42&amp;"_Z"&amp;N42&amp;"_Rail"</f>
      </c>
      <c r="B42" s="1"/>
      <c r="C42" s="1" t="str">
        <v>Straight</v>
      </c>
      <c r="D42" s="1" t="str">
        <v>F</v>
      </c>
      <c r="E42" s="1" t="str">
        <v>Borderless</v>
      </c>
      <c r="F42" s="1"/>
      <c r="G42" s="2"/>
      <c r="H42" s="4"/>
      <c r="I42" s="4"/>
      <c r="J42" s="4"/>
      <c r="K42" s="3"/>
      <c r="L42" s="3">
        <v>1</v>
      </c>
      <c r="M42" s="3">
        <v>1</v>
      </c>
      <c r="N42" s="3">
        <v>1</v>
      </c>
      <c r="O42" s="3"/>
      <c r="P42" s="3"/>
      <c r="Q42" s="3"/>
      <c r="R42" s="5">
        <f>(1+((L42*M42*N42)-1)*0.1) * ((IF(C42&lt;&gt;"", VLOOKUP(C42,'引用列表'!A:C,3,FALSE), "")) + (IF(D42&lt;&gt;"", VLOOKUP(D42,'引用列表'!E:G,3,FALSE), "")) + (IF(E42&lt;&gt;"", IFERROR(VLOOKUP(E42, '引用列表'!I:K, 3, FALSE), ""), 0)) + (IF(F42&lt;&gt;"", IFERROR(VLOOKUP(F42, '引用列表'!I:K, 3, FALSE), ""), 0)))</f>
      </c>
      <c r="S42">
        <f>((IF(C42&lt;&gt;"", VLOOKUP(C42,'引用列表'!A:C,2,FALSE), "")) &amp; (IF(D42&lt;&gt;"", VLOOKUP(D42,'引用列表'!E:G,2,FALSE), "")) &amp; (IF(E42&lt;&gt;"", IFERROR("，"&amp;VLOOKUP(E42, '引用列表'!I:K, 2, FALSE), ""), "")) &amp; (IF(F42&lt;&gt;"", IFERROR("，"&amp;VLOOKUP(F42, '引用列表'!I:K, 2, FALSE), ""), "")))</f>
      </c>
    </row>
    <row customHeight="true" ht="19" r="43">
      <c r="A43">
        <f>B43 &amp; "_" &amp; C43 &amp; IF(D43&lt;&gt;"", "_" &amp; D43, "") &amp; IF(E43&lt;&gt;"", "_" &amp; E43, "") &amp; IF(F43&lt;&gt;"", "_" &amp; F43, "")  &amp;"_X"&amp;L43&amp;"_Y"&amp;M43&amp;"_Z"&amp;N43&amp;"_Rail"</f>
      </c>
      <c r="B43" s="1"/>
      <c r="C43" s="1" t="str">
        <v>Straight</v>
      </c>
      <c r="D43" s="1" t="str">
        <v>F</v>
      </c>
      <c r="E43" s="1"/>
      <c r="F43" s="1" t="str">
        <v>HoleInRail</v>
      </c>
      <c r="G43" s="2"/>
      <c r="H43" s="4" t="str">
        <v>(1,0,0), X, [0]</v>
      </c>
      <c r="I43" s="4" t="str">
        <v>(0,1,0), Y, [0]</v>
      </c>
      <c r="J43" s="4" t="str">
        <v>(0,-1,0), -Y, [0]</v>
      </c>
      <c r="K43" s="3"/>
      <c r="L43" s="3">
        <v>1</v>
      </c>
      <c r="M43" s="3">
        <v>1</v>
      </c>
      <c r="N43" s="3">
        <v>1</v>
      </c>
      <c r="O43" s="3" t="str">
        <v>是</v>
      </c>
      <c r="P43" s="3" t="str">
        <v>✅</v>
      </c>
      <c r="Q43" s="3"/>
      <c r="R43" s="5">
        <f>(1+((L43*M43*N43)-1)*0.1) * ((IF(C43&lt;&gt;"", VLOOKUP(C43,'引用列表'!A:C,3,FALSE), "")) + (IF(D43&lt;&gt;"", VLOOKUP(D43,'引用列表'!E:G,3,FALSE), "")) + (IF(E43&lt;&gt;"", IFERROR(VLOOKUP(E43, '引用列表'!I:K, 3, FALSE), ""), 0)) + (IF(F43&lt;&gt;"", IFERROR(VLOOKUP(F43, '引用列表'!I:K, 3, FALSE), ""), 0)))</f>
      </c>
      <c r="S43">
        <f>((IF(C43&lt;&gt;"", VLOOKUP(C43,'引用列表'!A:C,2,FALSE), "")) &amp; (IF(D43&lt;&gt;"", VLOOKUP(D43,'引用列表'!E:G,2,FALSE), "")) &amp; (IF(E43&lt;&gt;"", IFERROR("，"&amp;VLOOKUP(E43, '引用列表'!I:K, 2, FALSE), ""), "")) &amp; (IF(F43&lt;&gt;"", IFERROR("，"&amp;VLOOKUP(F43, '引用列表'!I:K, 2, FALSE), ""), "")))</f>
      </c>
    </row>
    <row customHeight="true" ht="19" r="44">
      <c r="A44">
        <f>B44 &amp; "_" &amp; C44 &amp; IF(D44&lt;&gt;"", "_" &amp; D44, "") &amp; IF(E44&lt;&gt;"", "_" &amp; E44, "") &amp; IF(F44&lt;&gt;"", "_" &amp; F44, "")  &amp;"_X"&amp;L44&amp;"_Y"&amp;M44&amp;"_Z"&amp;N44&amp;"_Rail"</f>
      </c>
      <c r="B44" s="1"/>
      <c r="C44" s="1" t="str">
        <v>Straight</v>
      </c>
      <c r="D44" s="1" t="str">
        <v>F</v>
      </c>
      <c r="E44" s="1"/>
      <c r="F44" s="1"/>
      <c r="G44" s="2"/>
      <c r="H44" s="4" t="str">
        <v>(1,0,0), X, [0]</v>
      </c>
      <c r="I44" s="4"/>
      <c r="J44" s="4"/>
      <c r="K44" s="3"/>
      <c r="L44" s="3">
        <v>1</v>
      </c>
      <c r="M44" s="3">
        <v>1</v>
      </c>
      <c r="N44" s="3">
        <v>1</v>
      </c>
      <c r="O44" s="3" t="str">
        <v>是</v>
      </c>
      <c r="P44" s="3" t="str">
        <v>简单VOXEL</v>
      </c>
      <c r="Q44" s="3"/>
      <c r="R44" s="5">
        <f>(1+((L44*M44*N44)-1)*0.1) * ((IF(C44&lt;&gt;"", VLOOKUP(C44,'引用列表'!A:C,3,FALSE), "")) + (IF(D44&lt;&gt;"", VLOOKUP(D44,'引用列表'!E:G,3,FALSE), "")) + (IF(E44&lt;&gt;"", IFERROR(VLOOKUP(E44, '引用列表'!I:K, 3, FALSE), ""), 0)) + (IF(F44&lt;&gt;"", IFERROR(VLOOKUP(F44, '引用列表'!I:K, 3, FALSE), ""), 0)))</f>
      </c>
      <c r="S44">
        <f>((IF(C44&lt;&gt;"", VLOOKUP(C44,'引用列表'!A:C,2,FALSE), "")) &amp; (IF(D44&lt;&gt;"", VLOOKUP(D44,'引用列表'!E:G,2,FALSE), "")) &amp; (IF(E44&lt;&gt;"", IFERROR("，"&amp;VLOOKUP(E44, '引用列表'!I:K, 2, FALSE), ""), "")) &amp; (IF(F44&lt;&gt;"", IFERROR("，"&amp;VLOOKUP(F44, '引用列表'!I:K, 2, FALSE), ""), "")))</f>
      </c>
    </row>
    <row customHeight="true" ht="19" r="45">
      <c r="A45">
        <f>B45 &amp; "_" &amp; C45 &amp; IF(D45&lt;&gt;"", "_" &amp; D45, "") &amp; IF(E45&lt;&gt;"", "_" &amp; E45, "") &amp; IF(F45&lt;&gt;"", "_" &amp; F45, "")  &amp;"_X"&amp;L45&amp;"_Y"&amp;M45&amp;"_Z"&amp;N45&amp;"_Rail"</f>
      </c>
      <c r="B45" s="1"/>
      <c r="C45" s="1" t="str">
        <v>Straight</v>
      </c>
      <c r="D45" s="1" t="str">
        <v>FL90</v>
      </c>
      <c r="E45" s="1"/>
      <c r="F45" s="1"/>
      <c r="G45" s="2"/>
      <c r="H45" s="4"/>
      <c r="I45" s="4"/>
      <c r="J45" s="4"/>
      <c r="K45" s="3"/>
      <c r="L45" s="3">
        <v>1</v>
      </c>
      <c r="M45" s="3">
        <v>1</v>
      </c>
      <c r="N45" s="3">
        <v>1</v>
      </c>
      <c r="O45" s="3"/>
      <c r="P45" s="3"/>
      <c r="Q45" s="3"/>
      <c r="R45" s="5">
        <f>(1+((L45*M45*N45)-1)*0.1) * ((IF(C45&lt;&gt;"", VLOOKUP(C45,'引用列表'!A:C,3,FALSE), "")) + (IF(D45&lt;&gt;"", VLOOKUP(D45,'引用列表'!E:G,3,FALSE), "")) + (IF(E45&lt;&gt;"", IFERROR(VLOOKUP(E45, '引用列表'!I:K, 3, FALSE), ""), 0)) + (IF(F45&lt;&gt;"", IFERROR(VLOOKUP(F45, '引用列表'!I:K, 3, FALSE), ""), 0)))</f>
      </c>
      <c r="S45">
        <f>((IF(C45&lt;&gt;"", VLOOKUP(C45,'引用列表'!A:C,2,FALSE), "")) &amp; (IF(D45&lt;&gt;"", VLOOKUP(D45,'引用列表'!E:G,2,FALSE), "")) &amp; (IF(E45&lt;&gt;"", IFERROR("，"&amp;VLOOKUP(E45, '引用列表'!I:K, 2, FALSE), ""), "")) &amp; (IF(F45&lt;&gt;"", IFERROR("，"&amp;VLOOKUP(F45, '引用列表'!I:K, 2, FALSE), ""), "")))</f>
      </c>
    </row>
    <row customHeight="true" ht="19" r="46">
      <c r="A46">
        <f>B46 &amp; "_" &amp; C46 &amp; IF(D46&lt;&gt;"", "_" &amp; D46, "") &amp; IF(E46&lt;&gt;"", "_" &amp; E46, "") &amp; IF(F46&lt;&gt;"", "_" &amp; F46, "")  &amp;"_X"&amp;L46&amp;"_Y"&amp;M46&amp;"_Z"&amp;N46&amp;"_Rail"</f>
      </c>
      <c r="B46" s="1"/>
      <c r="C46" s="1" t="str">
        <v>Straight</v>
      </c>
      <c r="D46" s="1" t="str">
        <v>FR90</v>
      </c>
      <c r="E46" s="1"/>
      <c r="F46" s="1"/>
      <c r="G46" s="2"/>
      <c r="H46" s="4"/>
      <c r="I46" s="4"/>
      <c r="J46" s="4"/>
      <c r="K46" s="3"/>
      <c r="L46" s="3">
        <v>1</v>
      </c>
      <c r="M46" s="3">
        <v>1</v>
      </c>
      <c r="N46" s="3">
        <v>1</v>
      </c>
      <c r="O46" s="3"/>
      <c r="P46" s="3"/>
      <c r="Q46" s="3"/>
      <c r="R46" s="5">
        <f>(1+((L46*M46*N46)-1)*0.1) * ((IF(C46&lt;&gt;"", VLOOKUP(C46,'引用列表'!A:C,3,FALSE), "")) + (IF(D46&lt;&gt;"", VLOOKUP(D46,'引用列表'!E:G,3,FALSE), "")) + (IF(E46&lt;&gt;"", IFERROR(VLOOKUP(E46, '引用列表'!I:K, 3, FALSE), ""), 0)) + (IF(F46&lt;&gt;"", IFERROR(VLOOKUP(F46, '引用列表'!I:K, 3, FALSE), ""), 0)))</f>
      </c>
      <c r="S46">
        <f>((IF(C46&lt;&gt;"", VLOOKUP(C46,'引用列表'!A:C,2,FALSE), "")) &amp; (IF(D46&lt;&gt;"", VLOOKUP(D46,'引用列表'!E:G,2,FALSE), "")) &amp; (IF(E46&lt;&gt;"", IFERROR("，"&amp;VLOOKUP(E46, '引用列表'!I:K, 2, FALSE), ""), "")) &amp; (IF(F46&lt;&gt;"", IFERROR("，"&amp;VLOOKUP(F46, '引用列表'!I:K, 2, FALSE), ""), "")))</f>
      </c>
    </row>
    <row customHeight="true" ht="19" r="47">
      <c r="A47">
        <f>B47 &amp; "_" &amp; C47 &amp; IF(D47&lt;&gt;"", "_" &amp; D47, "") &amp; IF(E47&lt;&gt;"", "_" &amp; E47, "") &amp; IF(F47&lt;&gt;"", "_" &amp; F47, "")  &amp;"_X"&amp;L47&amp;"_Y"&amp;M47&amp;"_Z"&amp;N47&amp;"_Rail"</f>
      </c>
      <c r="B47" s="1"/>
      <c r="C47" s="1" t="str">
        <v>Straight</v>
      </c>
      <c r="D47" s="1" t="str">
        <v>L90</v>
      </c>
      <c r="E47" s="1" t="str">
        <v>Borderless</v>
      </c>
      <c r="F47" s="1" t="str">
        <v>Caved</v>
      </c>
      <c r="G47" s="2"/>
      <c r="H47" s="4" t="str">
        <v>1,0,0,x</v>
      </c>
      <c r="I47" s="4" t="str">
        <v>0,1,0,y</v>
      </c>
      <c r="J47" s="4" t="str">
        <v>0,-1,0,-y</v>
      </c>
      <c r="K47" s="3"/>
      <c r="L47" s="3">
        <v>1</v>
      </c>
      <c r="M47" s="3">
        <v>1</v>
      </c>
      <c r="N47" s="3">
        <v>1</v>
      </c>
      <c r="O47" s="3" t="str">
        <v>是</v>
      </c>
      <c r="P47" s="3" t="str">
        <v>不急</v>
      </c>
      <c r="Q47" s="3"/>
      <c r="R47" s="5">
        <f>(1+((L47*M47*N47)-1)*0.1) * ((IF(C47&lt;&gt;"", VLOOKUP(C47,'引用列表'!A:C,3,FALSE), "")) + (IF(D47&lt;&gt;"", VLOOKUP(D47,'引用列表'!E:G,3,FALSE), "")) + (IF(E47&lt;&gt;"", IFERROR(VLOOKUP(E47, '引用列表'!I:K, 3, FALSE), ""), 0)) + (IF(F47&lt;&gt;"", IFERROR(VLOOKUP(F47, '引用列表'!I:K, 3, FALSE), ""), 0)))</f>
      </c>
      <c r="S47">
        <f>((IF(C47&lt;&gt;"", VLOOKUP(C47,'引用列表'!A:C,2,FALSE), "")) &amp; (IF(D47&lt;&gt;"", VLOOKUP(D47,'引用列表'!E:G,2,FALSE), "")) &amp; (IF(E47&lt;&gt;"", IFERROR("，"&amp;VLOOKUP(E47, '引用列表'!I:K, 2, FALSE), ""), "")) &amp; (IF(F47&lt;&gt;"", IFERROR("，"&amp;VLOOKUP(F47, '引用列表'!I:K, 2, FALSE), ""), "")))</f>
      </c>
    </row>
    <row customHeight="true" ht="19" r="48">
      <c r="A48">
        <f>B48 &amp; "_" &amp; C48 &amp; IF(D48&lt;&gt;"", "_" &amp; D48, "") &amp; IF(E48&lt;&gt;"", "_" &amp; E48, "") &amp; IF(F48&lt;&gt;"", "_" &amp; F48, "")  &amp;"_X"&amp;L48&amp;"_Y"&amp;M48&amp;"_Z"&amp;N48&amp;"_Rail"</f>
      </c>
      <c r="B48" s="1"/>
      <c r="C48" s="1" t="str">
        <v>Straight</v>
      </c>
      <c r="D48" s="1" t="str">
        <v>L90</v>
      </c>
      <c r="E48" s="1" t="str">
        <v>Borderless_I</v>
      </c>
      <c r="F48" s="1"/>
      <c r="G48" s="2"/>
      <c r="H48" s="4"/>
      <c r="I48" s="4"/>
      <c r="J48" s="4"/>
      <c r="K48" s="3"/>
      <c r="L48" s="3">
        <v>1</v>
      </c>
      <c r="M48" s="3">
        <v>1</v>
      </c>
      <c r="N48" s="3">
        <v>1</v>
      </c>
      <c r="O48" s="3"/>
      <c r="P48" s="3"/>
      <c r="Q48" s="3"/>
      <c r="R48" s="5">
        <f>(1+((L48*M48*N48)-1)*0.1) * ((IF(C48&lt;&gt;"", VLOOKUP(C48,'引用列表'!A:C,3,FALSE), "")) + (IF(D48&lt;&gt;"", VLOOKUP(D48,'引用列表'!E:G,3,FALSE), "")) + (IF(E48&lt;&gt;"", IFERROR(VLOOKUP(E48, '引用列表'!I:K, 3, FALSE), ""), 0)) + (IF(F48&lt;&gt;"", IFERROR(VLOOKUP(F48, '引用列表'!I:K, 3, FALSE), ""), 0)))</f>
      </c>
      <c r="S48">
        <f>((IF(C48&lt;&gt;"", VLOOKUP(C48,'引用列表'!A:C,2,FALSE), "")) &amp; (IF(D48&lt;&gt;"", VLOOKUP(D48,'引用列表'!E:G,2,FALSE), "")) &amp; (IF(E48&lt;&gt;"", IFERROR("，"&amp;VLOOKUP(E48, '引用列表'!I:K, 2, FALSE), ""), "")) &amp; (IF(F48&lt;&gt;"", IFERROR("，"&amp;VLOOKUP(F48, '引用列表'!I:K, 2, FALSE), ""), "")))</f>
      </c>
    </row>
    <row customHeight="true" ht="19" r="49">
      <c r="A49">
        <f>B49 &amp; "_" &amp; C49 &amp; IF(D49&lt;&gt;"", "_" &amp; D49, "") &amp; IF(E49&lt;&gt;"", "_" &amp; E49, "") &amp; IF(F49&lt;&gt;"", "_" &amp; F49, "")  &amp;"_X"&amp;L49&amp;"_Y"&amp;M49&amp;"_Z"&amp;N49&amp;"_Rail"</f>
      </c>
      <c r="B49" s="1"/>
      <c r="C49" s="1" t="str">
        <v>Straight</v>
      </c>
      <c r="D49" s="1" t="str">
        <v>L90</v>
      </c>
      <c r="E49" s="1" t="str">
        <v>Borderless_O</v>
      </c>
      <c r="F49" s="1"/>
      <c r="G49" s="2"/>
      <c r="H49" s="4"/>
      <c r="I49" s="4"/>
      <c r="J49" s="4"/>
      <c r="K49" s="3"/>
      <c r="L49" s="3">
        <v>1</v>
      </c>
      <c r="M49" s="3">
        <v>1</v>
      </c>
      <c r="N49" s="3">
        <v>1</v>
      </c>
      <c r="O49" s="3"/>
      <c r="P49" s="3"/>
      <c r="Q49" s="3"/>
      <c r="R49" s="5">
        <f>(1+((L49*M49*N49)-1)*0.1) * ((IF(C49&lt;&gt;"", VLOOKUP(C49,'引用列表'!A:C,3,FALSE), "")) + (IF(D49&lt;&gt;"", VLOOKUP(D49,'引用列表'!E:G,3,FALSE), "")) + (IF(E49&lt;&gt;"", IFERROR(VLOOKUP(E49, '引用列表'!I:K, 3, FALSE), ""), 0)) + (IF(F49&lt;&gt;"", IFERROR(VLOOKUP(F49, '引用列表'!I:K, 3, FALSE), ""), 0)))</f>
      </c>
      <c r="S49">
        <f>((IF(C49&lt;&gt;"", VLOOKUP(C49,'引用列表'!A:C,2,FALSE), "")) &amp; (IF(D49&lt;&gt;"", VLOOKUP(D49,'引用列表'!E:G,2,FALSE), "")) &amp; (IF(E49&lt;&gt;"", IFERROR("，"&amp;VLOOKUP(E49, '引用列表'!I:K, 2, FALSE), ""), "")) &amp; (IF(F49&lt;&gt;"", IFERROR("，"&amp;VLOOKUP(F49, '引用列表'!I:K, 2, FALSE), ""), "")))</f>
      </c>
    </row>
    <row customHeight="true" ht="19" r="50">
      <c r="A50">
        <f>B50 &amp; "_" &amp; C50 &amp; IF(D50&lt;&gt;"", "_" &amp; D50, "") &amp; IF(E50&lt;&gt;"", "_" &amp; E50, "") &amp; IF(F50&lt;&gt;"", "_" &amp; F50, "")  &amp;"_X"&amp;L50&amp;"_Y"&amp;M50&amp;"_Z"&amp;N50&amp;"_Rail"</f>
      </c>
      <c r="B50" s="1"/>
      <c r="C50" s="1" t="str">
        <v>Straight</v>
      </c>
      <c r="D50" s="1" t="str">
        <v>L90</v>
      </c>
      <c r="E50" s="1"/>
      <c r="F50" s="1"/>
      <c r="G50" s="2"/>
      <c r="H50" s="4" t="str">
        <v>(0,0,1), Z, [0]</v>
      </c>
      <c r="I50" s="4"/>
      <c r="J50" s="4"/>
      <c r="K50" s="3"/>
      <c r="L50" s="3">
        <v>1</v>
      </c>
      <c r="M50" s="3">
        <v>1</v>
      </c>
      <c r="N50" s="3">
        <v>1</v>
      </c>
      <c r="O50" s="3" t="str">
        <v>是</v>
      </c>
      <c r="P50" s="3" t="str">
        <v>在做蓝图</v>
      </c>
      <c r="Q50" s="3"/>
      <c r="R50" s="5">
        <f>(1+((L50*M50*N50)-1)*0.1) * ((IF(C50&lt;&gt;"", VLOOKUP(C50,'引用列表'!A:C,3,FALSE), "")) + (IF(D50&lt;&gt;"", VLOOKUP(D50,'引用列表'!E:G,3,FALSE), "")) + (IF(E50&lt;&gt;"", IFERROR(VLOOKUP(E50, '引用列表'!I:K, 3, FALSE), ""), 0)) + (IF(F50&lt;&gt;"", IFERROR(VLOOKUP(F50, '引用列表'!I:K, 3, FALSE), ""), 0)))</f>
      </c>
      <c r="S50">
        <f>((IF(C50&lt;&gt;"", VLOOKUP(C50,'引用列表'!A:C,2,FALSE), "")) &amp; (IF(D50&lt;&gt;"", VLOOKUP(D50,'引用列表'!E:G,2,FALSE), "")) &amp; (IF(E50&lt;&gt;"", IFERROR("，"&amp;VLOOKUP(E50, '引用列表'!I:K, 2, FALSE), ""), "")) &amp; (IF(F50&lt;&gt;"", IFERROR("，"&amp;VLOOKUP(F50, '引用列表'!I:K, 2, FALSE), ""), "")))</f>
      </c>
    </row>
    <row customHeight="true" ht="19" r="51">
      <c r="A51">
        <f>B51 &amp; "_" &amp; C51 &amp; IF(D51&lt;&gt;"", "_" &amp; D51, "") &amp; IF(E51&lt;&gt;"", "_" &amp; E51, "") &amp; IF(F51&lt;&gt;"", "_" &amp; F51, "")  &amp;"_X"&amp;L51&amp;"_Y"&amp;M51&amp;"_Z"&amp;N51&amp;"_Rail"</f>
      </c>
      <c r="B51" s="1"/>
      <c r="C51" s="1" t="str">
        <v>Straight</v>
      </c>
      <c r="D51" s="1" t="str">
        <v>R90</v>
      </c>
      <c r="E51" s="1" t="str">
        <v>Borderless</v>
      </c>
      <c r="F51" s="1" t="str">
        <v>Caved</v>
      </c>
      <c r="G51" s="2"/>
      <c r="H51" s="4" t="str">
        <v>1,0,0,x</v>
      </c>
      <c r="I51" s="4" t="str">
        <v>0,1,0,y</v>
      </c>
      <c r="J51" s="4" t="str">
        <v>0,-1,0,-y</v>
      </c>
      <c r="K51" s="3"/>
      <c r="L51" s="3">
        <v>1</v>
      </c>
      <c r="M51" s="3">
        <v>1</v>
      </c>
      <c r="N51" s="3">
        <v>1</v>
      </c>
      <c r="O51" s="3" t="str">
        <v>是</v>
      </c>
      <c r="P51" s="3" t="str">
        <v>不急</v>
      </c>
      <c r="Q51" s="3"/>
      <c r="R51" s="5">
        <f>(1+((L51*M51*N51)-1)*0.1) * ((IF(C51&lt;&gt;"", VLOOKUP(C51,'引用列表'!A:C,3,FALSE), "")) + (IF(D51&lt;&gt;"", VLOOKUP(D51,'引用列表'!E:G,3,FALSE), "")) + (IF(E51&lt;&gt;"", IFERROR(VLOOKUP(E51, '引用列表'!I:K, 3, FALSE), ""), 0)) + (IF(F51&lt;&gt;"", IFERROR(VLOOKUP(F51, '引用列表'!I:K, 3, FALSE), ""), 0)))</f>
      </c>
      <c r="S51">
        <f>((IF(C51&lt;&gt;"", VLOOKUP(C51,'引用列表'!A:C,2,FALSE), "")) &amp; (IF(D51&lt;&gt;"", VLOOKUP(D51,'引用列表'!E:G,2,FALSE), "")) &amp; (IF(E51&lt;&gt;"", IFERROR("，"&amp;VLOOKUP(E51, '引用列表'!I:K, 2, FALSE), ""), "")) &amp; (IF(F51&lt;&gt;"", IFERROR("，"&amp;VLOOKUP(F51, '引用列表'!I:K, 2, FALSE), ""), "")))</f>
      </c>
    </row>
    <row customHeight="true" ht="19" r="52">
      <c r="A52">
        <f>B52 &amp; "_" &amp; C52 &amp; IF(D52&lt;&gt;"", "_" &amp; D52, "") &amp; IF(E52&lt;&gt;"", "_" &amp; E52, "") &amp; IF(F52&lt;&gt;"", "_" &amp; F52, "")  &amp;"_X"&amp;L52&amp;"_Y"&amp;M52&amp;"_Z"&amp;N52&amp;"_Rail"</f>
      </c>
      <c r="B52" s="1"/>
      <c r="C52" s="1" t="str">
        <v>Straight</v>
      </c>
      <c r="D52" s="1" t="str">
        <v>R90</v>
      </c>
      <c r="E52" s="1" t="str">
        <v>Borderless_I</v>
      </c>
      <c r="F52" s="1"/>
      <c r="G52" s="2"/>
      <c r="H52" s="4"/>
      <c r="I52" s="4"/>
      <c r="J52" s="4"/>
      <c r="K52" s="3"/>
      <c r="L52" s="3">
        <v>1</v>
      </c>
      <c r="M52" s="3">
        <v>1</v>
      </c>
      <c r="N52" s="3">
        <v>1</v>
      </c>
      <c r="O52" s="3"/>
      <c r="P52" s="3"/>
      <c r="Q52" s="3"/>
      <c r="R52" s="5">
        <f>(1+((L52*M52*N52)-1)*0.1) * ((IF(C52&lt;&gt;"", VLOOKUP(C52,'引用列表'!A:C,3,FALSE), "")) + (IF(D52&lt;&gt;"", VLOOKUP(D52,'引用列表'!E:G,3,FALSE), "")) + (IF(E52&lt;&gt;"", IFERROR(VLOOKUP(E52, '引用列表'!I:K, 3, FALSE), ""), 0)) + (IF(F52&lt;&gt;"", IFERROR(VLOOKUP(F52, '引用列表'!I:K, 3, FALSE), ""), 0)))</f>
      </c>
      <c r="S52">
        <f>((IF(C52&lt;&gt;"", VLOOKUP(C52,'引用列表'!A:C,2,FALSE), "")) &amp; (IF(D52&lt;&gt;"", VLOOKUP(D52,'引用列表'!E:G,2,FALSE), "")) &amp; (IF(E52&lt;&gt;"", IFERROR("，"&amp;VLOOKUP(E52, '引用列表'!I:K, 2, FALSE), ""), "")) &amp; (IF(F52&lt;&gt;"", IFERROR("，"&amp;VLOOKUP(F52, '引用列表'!I:K, 2, FALSE), ""), "")))</f>
      </c>
    </row>
    <row customHeight="true" ht="19" r="53">
      <c r="A53">
        <f>B53 &amp; "_" &amp; C53 &amp; IF(D53&lt;&gt;"", "_" &amp; D53, "") &amp; IF(E53&lt;&gt;"", "_" &amp; E53, "") &amp; IF(F53&lt;&gt;"", "_" &amp; F53, "")  &amp;"_X"&amp;L53&amp;"_Y"&amp;M53&amp;"_Z"&amp;N53&amp;"_Rail"</f>
      </c>
      <c r="B53" s="1"/>
      <c r="C53" s="1" t="str">
        <v>Straight</v>
      </c>
      <c r="D53" s="1" t="str">
        <v>R90</v>
      </c>
      <c r="E53" s="1" t="str">
        <v>Borderless_O</v>
      </c>
      <c r="F53" s="1"/>
      <c r="G53" s="2"/>
      <c r="H53" s="4"/>
      <c r="I53" s="4"/>
      <c r="J53" s="4"/>
      <c r="K53" s="3"/>
      <c r="L53" s="3">
        <v>1</v>
      </c>
      <c r="M53" s="3">
        <v>1</v>
      </c>
      <c r="N53" s="3">
        <v>1</v>
      </c>
      <c r="O53" s="3"/>
      <c r="P53" s="3"/>
      <c r="Q53" s="3"/>
      <c r="R53" s="5">
        <f>(1+((L53*M53*N53)-1)*0.1) * ((IF(C53&lt;&gt;"", VLOOKUP(C53,'引用列表'!A:C,3,FALSE), "")) + (IF(D53&lt;&gt;"", VLOOKUP(D53,'引用列表'!E:G,3,FALSE), "")) + (IF(E53&lt;&gt;"", IFERROR(VLOOKUP(E53, '引用列表'!I:K, 3, FALSE), ""), 0)) + (IF(F53&lt;&gt;"", IFERROR(VLOOKUP(F53, '引用列表'!I:K, 3, FALSE), ""), 0)))</f>
      </c>
      <c r="S53">
        <f>((IF(C53&lt;&gt;"", VLOOKUP(C53,'引用列表'!A:C,2,FALSE), "")) &amp; (IF(D53&lt;&gt;"", VLOOKUP(D53,'引用列表'!E:G,2,FALSE), "")) &amp; (IF(E53&lt;&gt;"", IFERROR("，"&amp;VLOOKUP(E53, '引用列表'!I:K, 2, FALSE), ""), "")) &amp; (IF(F53&lt;&gt;"", IFERROR("，"&amp;VLOOKUP(F53, '引用列表'!I:K, 2, FALSE), ""), "")))</f>
      </c>
    </row>
    <row customHeight="true" ht="19" r="54">
      <c r="A54">
        <f>B54 &amp; "_" &amp; C54 &amp; IF(D54&lt;&gt;"", "_" &amp; D54, "") &amp; IF(E54&lt;&gt;"", "_" &amp; E54, "") &amp; IF(F54&lt;&gt;"", "_" &amp; F54, "")  &amp;"_X"&amp;L54&amp;"_Y"&amp;M54&amp;"_Z"&amp;N54&amp;"_Rail"</f>
      </c>
      <c r="B54" s="1"/>
      <c r="C54" s="1" t="str">
        <v>Straight</v>
      </c>
      <c r="D54" s="1" t="str">
        <v>R90</v>
      </c>
      <c r="E54" s="1"/>
      <c r="F54" s="1"/>
      <c r="G54" s="2"/>
      <c r="H54" s="4" t="str">
        <v>(0,0,-1), -Z, [0]</v>
      </c>
      <c r="I54" s="4"/>
      <c r="J54" s="4"/>
      <c r="K54" s="3"/>
      <c r="L54" s="3">
        <v>1</v>
      </c>
      <c r="M54" s="3">
        <v>1</v>
      </c>
      <c r="N54" s="3">
        <v>1</v>
      </c>
      <c r="O54" s="3" t="str">
        <v>是</v>
      </c>
      <c r="P54" s="3" t="str">
        <v>在做蓝图</v>
      </c>
      <c r="Q54" s="3"/>
      <c r="R54" s="5">
        <f>(1+((L54*M54*N54)-1)*0.1) * ((IF(C54&lt;&gt;"", VLOOKUP(C54,'引用列表'!A:C,3,FALSE), "")) + (IF(D54&lt;&gt;"", VLOOKUP(D54,'引用列表'!E:G,3,FALSE), "")) + (IF(E54&lt;&gt;"", IFERROR(VLOOKUP(E54, '引用列表'!I:K, 3, FALSE), ""), 0)) + (IF(F54&lt;&gt;"", IFERROR(VLOOKUP(F54, '引用列表'!I:K, 3, FALSE), ""), 0)))</f>
      </c>
      <c r="S54">
        <f>((IF(C54&lt;&gt;"", VLOOKUP(C54,'引用列表'!A:C,2,FALSE), "")) &amp; (IF(D54&lt;&gt;"", VLOOKUP(D54,'引用列表'!E:G,2,FALSE), "")) &amp; (IF(E54&lt;&gt;"", IFERROR("，"&amp;VLOOKUP(E54, '引用列表'!I:K, 2, FALSE), ""), "")) &amp; (IF(F54&lt;&gt;"", IFERROR("，"&amp;VLOOKUP(F54, '引用列表'!I:K, 2, FALSE), ""), "")))</f>
      </c>
    </row>
    <row customHeight="true" ht="19" r="55">
      <c r="A55">
        <f>B55 &amp; "_" &amp; C55 &amp; IF(D55&lt;&gt;"", "_" &amp; D55, "") &amp; IF(E55&lt;&gt;"", "_" &amp; E55, "") &amp; IF(F55&lt;&gt;"", "_" &amp; F55, "")  &amp;"_X"&amp;L55&amp;"_Y"&amp;M55&amp;"_Z"&amp;N55&amp;"_Rail"</f>
      </c>
      <c r="B55" s="1"/>
      <c r="C55" s="1" t="str">
        <v>Straight</v>
      </c>
      <c r="D55" s="1" t="str">
        <v>T</v>
      </c>
      <c r="E55" s="1"/>
      <c r="F55" s="1"/>
      <c r="G55" s="2"/>
      <c r="H55" s="4"/>
      <c r="I55" s="4"/>
      <c r="J55" s="4"/>
      <c r="K55" s="3"/>
      <c r="L55" s="3">
        <v>1</v>
      </c>
      <c r="M55" s="3">
        <v>1</v>
      </c>
      <c r="N55" s="3">
        <v>1</v>
      </c>
      <c r="O55" s="3" t="str">
        <v>是</v>
      </c>
      <c r="P55" s="3"/>
      <c r="Q55" s="3"/>
      <c r="R55" s="5">
        <f>(1+((L55*M55*N55)-1)*0.1) * ((IF(C55&lt;&gt;"", VLOOKUP(C55,'引用列表'!A:C,3,FALSE), "")) + (IF(D55&lt;&gt;"", VLOOKUP(D55,'引用列表'!E:G,3,FALSE), "")) + (IF(E55&lt;&gt;"", IFERROR(VLOOKUP(E55, '引用列表'!I:K, 3, FALSE), ""), 0)) + (IF(F55&lt;&gt;"", IFERROR(VLOOKUP(F55, '引用列表'!I:K, 3, FALSE), ""), 0)))</f>
      </c>
      <c r="S55">
        <f>((IF(C55&lt;&gt;"", VLOOKUP(C55,'引用列表'!A:C,2,FALSE), "")) &amp; (IF(D55&lt;&gt;"", VLOOKUP(D55,'引用列表'!E:G,2,FALSE), "")) &amp; (IF(E55&lt;&gt;"", IFERROR("，"&amp;VLOOKUP(E55, '引用列表'!I:K, 2, FALSE), ""), "")) &amp; (IF(F55&lt;&gt;"", IFERROR("，"&amp;VLOOKUP(F55, '引用列表'!I:K, 2, FALSE), ""), "")))</f>
      </c>
    </row>
    <row customHeight="true" ht="19" r="56">
      <c r="A56">
        <f>B56 &amp; "_" &amp; C56 &amp; IF(D56&lt;&gt;"", "_" &amp; D56, "") &amp; IF(E56&lt;&gt;"", "_" &amp; E56, "") &amp; IF(F56&lt;&gt;"", "_" &amp; F56, "")  &amp;"_X"&amp;L56&amp;"_Y"&amp;M56&amp;"_Z"&amp;N56&amp;"_Rail"</f>
      </c>
      <c r="B56" s="1"/>
      <c r="C56" s="1" t="str">
        <v>Straight</v>
      </c>
      <c r="D56" s="1" t="str">
        <v>U90</v>
      </c>
      <c r="E56" s="1" t="str">
        <v>Borderless</v>
      </c>
      <c r="F56" s="1" t="str">
        <v>Caved</v>
      </c>
      <c r="G56" s="2"/>
      <c r="H56" s="4">
        <v>1</v>
      </c>
      <c r="I56" s="4">
        <v>1</v>
      </c>
      <c r="J56" s="4"/>
      <c r="K56" s="3"/>
      <c r="L56" s="3">
        <v>1</v>
      </c>
      <c r="M56" s="3">
        <v>1</v>
      </c>
      <c r="N56" s="3">
        <v>1</v>
      </c>
      <c r="O56" s="3" t="str">
        <v>是</v>
      </c>
      <c r="P56" s="3" t="str">
        <v>不急</v>
      </c>
      <c r="Q56" s="3"/>
      <c r="R56" s="5">
        <f>(1+((L56*M56*N56)-1)*0.1) * ((IF(C56&lt;&gt;"", VLOOKUP(C56,'引用列表'!A:C,3,FALSE), "")) + (IF(D56&lt;&gt;"", VLOOKUP(D56,'引用列表'!E:G,3,FALSE), "")) + (IF(E56&lt;&gt;"", IFERROR(VLOOKUP(E56, '引用列表'!I:K, 3, FALSE), ""), 0)) + (IF(F56&lt;&gt;"", IFERROR(VLOOKUP(F56, '引用列表'!I:K, 3, FALSE), ""), 0)))</f>
      </c>
      <c r="S56">
        <f>((IF(C56&lt;&gt;"", VLOOKUP(C56,'引用列表'!A:C,2,FALSE), "")) &amp; (IF(D56&lt;&gt;"", VLOOKUP(D56,'引用列表'!E:G,2,FALSE), "")) &amp; (IF(E56&lt;&gt;"", IFERROR("，"&amp;VLOOKUP(E56, '引用列表'!I:K, 2, FALSE), ""), "")) &amp; (IF(F56&lt;&gt;"", IFERROR("，"&amp;VLOOKUP(F56, '引用列表'!I:K, 2, FALSE), ""), "")))</f>
      </c>
    </row>
    <row customHeight="true" ht="19" r="57">
      <c r="A57">
        <f>B57 &amp; "_" &amp; C57 &amp; IF(D57&lt;&gt;"", "_" &amp; D57, "") &amp; IF(E57&lt;&gt;"", "_" &amp; E57, "") &amp; IF(F57&lt;&gt;"", "_" &amp; F57, "")  &amp;"_X"&amp;L57&amp;"_Y"&amp;M57&amp;"_Z"&amp;N57&amp;"_Rail"</f>
      </c>
      <c r="B57" s="1"/>
      <c r="C57" s="1" t="str">
        <v>Straight</v>
      </c>
      <c r="D57" s="1" t="str">
        <v>U90</v>
      </c>
      <c r="E57" s="1" t="str">
        <v>Borderless_L</v>
      </c>
      <c r="F57" s="1"/>
      <c r="G57" s="2"/>
      <c r="H57" s="4"/>
      <c r="I57" s="4"/>
      <c r="J57" s="4"/>
      <c r="K57" s="3"/>
      <c r="L57" s="3">
        <v>1</v>
      </c>
      <c r="M57" s="3">
        <v>1</v>
      </c>
      <c r="N57" s="3">
        <v>1</v>
      </c>
      <c r="O57" s="3"/>
      <c r="P57" s="3"/>
      <c r="Q57" s="3"/>
      <c r="R57" s="5">
        <f>(1+((L57*M57*N57)-1)*0.1) * ((IF(C57&lt;&gt;"", VLOOKUP(C57,'引用列表'!A:C,3,FALSE), "")) + (IF(D57&lt;&gt;"", VLOOKUP(D57,'引用列表'!E:G,3,FALSE), "")) + (IF(E57&lt;&gt;"", IFERROR(VLOOKUP(E57, '引用列表'!I:K, 3, FALSE), ""), 0)) + (IF(F57&lt;&gt;"", IFERROR(VLOOKUP(F57, '引用列表'!I:K, 3, FALSE), ""), 0)))</f>
      </c>
      <c r="S57">
        <f>((IF(C57&lt;&gt;"", VLOOKUP(C57,'引用列表'!A:C,2,FALSE), "")) &amp; (IF(D57&lt;&gt;"", VLOOKUP(D57,'引用列表'!E:G,2,FALSE), "")) &amp; (IF(E57&lt;&gt;"", IFERROR("，"&amp;VLOOKUP(E57, '引用列表'!I:K, 2, FALSE), ""), "")) &amp; (IF(F57&lt;&gt;"", IFERROR("，"&amp;VLOOKUP(F57, '引用列表'!I:K, 2, FALSE), ""), "")))</f>
      </c>
    </row>
    <row customHeight="true" ht="19" r="58">
      <c r="A58">
        <f>B58 &amp; "_" &amp; C58 &amp; IF(D58&lt;&gt;"", "_" &amp; D58, "") &amp; IF(E58&lt;&gt;"", "_" &amp; E58, "") &amp; IF(F58&lt;&gt;"", "_" &amp; F58, "")  &amp;"_X"&amp;L58&amp;"_Y"&amp;M58&amp;"_Z"&amp;N58&amp;"_Rail"</f>
      </c>
      <c r="B58" s="1"/>
      <c r="C58" s="1" t="str">
        <v>Straight</v>
      </c>
      <c r="D58" s="1" t="str">
        <v>U90</v>
      </c>
      <c r="E58" s="1" t="str">
        <v>Borderless_R</v>
      </c>
      <c r="F58" s="1"/>
      <c r="G58" s="2"/>
      <c r="H58" s="4"/>
      <c r="I58" s="4"/>
      <c r="J58" s="4"/>
      <c r="K58" s="3"/>
      <c r="L58" s="3">
        <v>1</v>
      </c>
      <c r="M58" s="3">
        <v>1</v>
      </c>
      <c r="N58" s="3">
        <v>1</v>
      </c>
      <c r="O58" s="3"/>
      <c r="P58" s="3"/>
      <c r="Q58" s="3"/>
      <c r="R58" s="5">
        <f>(1+((L58*M58*N58)-1)*0.1) * ((IF(C58&lt;&gt;"", VLOOKUP(C58,'引用列表'!A:C,3,FALSE), "")) + (IF(D58&lt;&gt;"", VLOOKUP(D58,'引用列表'!E:G,3,FALSE), "")) + (IF(E58&lt;&gt;"", IFERROR(VLOOKUP(E58, '引用列表'!I:K, 3, FALSE), ""), 0)) + (IF(F58&lt;&gt;"", IFERROR(VLOOKUP(F58, '引用列表'!I:K, 3, FALSE), ""), 0)))</f>
      </c>
      <c r="S58">
        <f>((IF(C58&lt;&gt;"", VLOOKUP(C58,'引用列表'!A:C,2,FALSE), "")) &amp; (IF(D58&lt;&gt;"", VLOOKUP(D58,'引用列表'!E:G,2,FALSE), "")) &amp; (IF(E58&lt;&gt;"", IFERROR("，"&amp;VLOOKUP(E58, '引用列表'!I:K, 2, FALSE), ""), "")) &amp; (IF(F58&lt;&gt;"", IFERROR("，"&amp;VLOOKUP(F58, '引用列表'!I:K, 2, FALSE), ""), "")))</f>
      </c>
    </row>
    <row r="59">
      <c r="A59">
        <f>B59 &amp; "_" &amp; C59 &amp; IF(D59&lt;&gt;"", "_" &amp; D59, "") &amp; IF(E59&lt;&gt;"", "_" &amp; E59, "") &amp; IF(F59&lt;&gt;"", "_" &amp; F59, "")  &amp;"_X"&amp;L59&amp;"_Y"&amp;M59&amp;"_Z"&amp;N59&amp;"_Rail"</f>
      </c>
      <c r="B59" s="1"/>
      <c r="C59" s="1" t="str">
        <v>Straight</v>
      </c>
      <c r="D59" s="1" t="str">
        <v>U90</v>
      </c>
      <c r="E59" s="1"/>
      <c r="F59" s="1"/>
      <c r="G59" s="2"/>
      <c r="H59" s="4" t="str">
        <v>0,-1,0,-y</v>
      </c>
      <c r="I59" s="4"/>
      <c r="J59" s="4"/>
      <c r="K59" s="3"/>
      <c r="L59" s="3">
        <v>1</v>
      </c>
      <c r="M59" s="3">
        <v>1</v>
      </c>
      <c r="N59" s="3">
        <v>1</v>
      </c>
      <c r="O59" s="3" t="str">
        <v>是</v>
      </c>
      <c r="P59" s="3" t="str">
        <v>✅</v>
      </c>
      <c r="Q59" s="3"/>
      <c r="R59" s="5">
        <f>(1+((L59*M59*N59)-1)*0.1) * ((IF(C59&lt;&gt;"", VLOOKUP(C59,'引用列表'!A:C,3,FALSE), "")) + (IF(D59&lt;&gt;"", VLOOKUP(D59,'引用列表'!E:G,3,FALSE), "")) + (IF(E59&lt;&gt;"", IFERROR(VLOOKUP(E59, '引用列表'!I:K, 3, FALSE), ""), 0)) + (IF(F59&lt;&gt;"", IFERROR(VLOOKUP(F59, '引用列表'!I:K, 3, FALSE), ""), 0)))</f>
      </c>
      <c r="S59">
        <f>((IF(C59&lt;&gt;"", VLOOKUP(C59,'引用列表'!A:C,2,FALSE), "")) &amp; (IF(D59&lt;&gt;"", VLOOKUP(D59,'引用列表'!E:G,2,FALSE), "")) &amp; (IF(E59&lt;&gt;"", IFERROR("，"&amp;VLOOKUP(E59, '引用列表'!I:K, 2, FALSE), ""), "")) &amp; (IF(F59&lt;&gt;"", IFERROR("，"&amp;VLOOKUP(F59, '引用列表'!I:K, 2, FALSE), ""), "")))</f>
      </c>
    </row>
    <row r="60">
      <c r="B60" s="1"/>
      <c r="C60" s="1"/>
      <c r="D60" s="1"/>
      <c r="E60" s="1"/>
      <c r="F60" s="1"/>
      <c r="G60" s="2"/>
      <c r="H60" s="4"/>
      <c r="I60" s="4"/>
      <c r="J60" s="4"/>
      <c r="K60" s="3"/>
      <c r="L60" s="3"/>
      <c r="M60" s="3"/>
      <c r="N60" s="3"/>
      <c r="O60" s="3"/>
      <c r="P60" s="3"/>
      <c r="Q60" s="3"/>
    </row>
    <row r="61">
      <c r="B61" s="1"/>
      <c r="C61" s="1"/>
      <c r="D61" s="1"/>
      <c r="E61" s="1"/>
      <c r="F61" s="1"/>
      <c r="G61" s="2"/>
      <c r="H61" s="4"/>
      <c r="I61" s="4"/>
      <c r="J61" s="4"/>
      <c r="K61" s="3"/>
      <c r="L61" s="3"/>
      <c r="M61" s="3"/>
      <c r="N61" s="3"/>
      <c r="O61" s="3"/>
      <c r="P61" s="3"/>
      <c r="Q61" s="3"/>
    </row>
    <row r="62">
      <c r="B62" s="1"/>
      <c r="C62" s="1"/>
      <c r="D62" s="1"/>
      <c r="E62" s="1"/>
      <c r="F62" s="1"/>
      <c r="G62" s="2"/>
      <c r="H62" s="4"/>
      <c r="I62" s="4"/>
      <c r="J62" s="4"/>
      <c r="K62" s="3"/>
      <c r="L62" s="3"/>
      <c r="M62" s="3"/>
      <c r="N62" s="3"/>
      <c r="O62" s="3"/>
      <c r="P62" s="3"/>
      <c r="Q62" s="3"/>
    </row>
    <row r="63">
      <c r="B63" s="1"/>
      <c r="C63" s="1"/>
      <c r="D63" s="1"/>
      <c r="E63" s="1"/>
      <c r="F63" s="1"/>
      <c r="G63" s="2"/>
      <c r="H63" s="4"/>
      <c r="I63" s="4"/>
      <c r="J63" s="4"/>
      <c r="K63" s="3"/>
      <c r="L63" s="3"/>
      <c r="M63" s="3"/>
      <c r="N63" s="3"/>
      <c r="O63" s="3"/>
      <c r="P63" s="3"/>
      <c r="Q63" s="3"/>
    </row>
    <row r="64">
      <c r="B64" s="1"/>
      <c r="C64" s="1"/>
      <c r="D64" s="1"/>
      <c r="E64" s="1"/>
      <c r="F64" s="1"/>
      <c r="G64" s="2"/>
      <c r="H64" s="4"/>
      <c r="I64" s="4"/>
      <c r="J64" s="4"/>
      <c r="K64" s="3"/>
      <c r="L64" s="3"/>
      <c r="M64" s="3"/>
      <c r="N64" s="3"/>
      <c r="O64" s="3"/>
      <c r="P64" s="3"/>
      <c r="Q64" s="3"/>
    </row>
    <row r="65">
      <c r="B65" s="1"/>
      <c r="C65" s="1"/>
      <c r="D65" s="1"/>
      <c r="E65" s="1"/>
      <c r="F65" s="1"/>
      <c r="G65" s="2"/>
      <c r="H65" s="4"/>
      <c r="I65" s="4"/>
      <c r="J65" s="4"/>
      <c r="K65" s="3"/>
      <c r="L65" s="3"/>
      <c r="M65" s="3"/>
      <c r="N65" s="3"/>
      <c r="O65" s="3"/>
      <c r="P65" s="3"/>
      <c r="Q65" s="3"/>
    </row>
    <row r="66">
      <c r="B66" s="1"/>
      <c r="C66" s="1"/>
      <c r="D66" s="1"/>
      <c r="E66" s="1"/>
      <c r="F66" s="1"/>
      <c r="G66" s="2"/>
      <c r="H66" s="4"/>
      <c r="I66" s="4"/>
      <c r="J66" s="4"/>
      <c r="K66" s="3"/>
      <c r="L66" s="3"/>
      <c r="M66" s="3"/>
      <c r="N66" s="3"/>
      <c r="O66" s="3"/>
      <c r="P66" s="3"/>
      <c r="Q66" s="3"/>
    </row>
    <row r="67">
      <c r="B67" s="1"/>
      <c r="C67" s="1"/>
      <c r="D67" s="1"/>
      <c r="E67" s="1"/>
      <c r="F67" s="1"/>
      <c r="G67" s="2"/>
      <c r="H67" s="4"/>
      <c r="I67" s="4"/>
      <c r="J67" s="4"/>
      <c r="K67" s="3"/>
      <c r="L67" s="3"/>
      <c r="M67" s="3"/>
      <c r="N67" s="3"/>
      <c r="O67" s="3"/>
      <c r="P67" s="3"/>
      <c r="Q67" s="3"/>
    </row>
    <row r="68">
      <c r="B68" s="1"/>
      <c r="C68" s="1"/>
      <c r="D68" s="1"/>
      <c r="E68" s="1"/>
      <c r="F68" s="1"/>
      <c r="G68" s="2"/>
      <c r="H68" s="4"/>
      <c r="I68" s="4"/>
      <c r="J68" s="4"/>
      <c r="K68" s="3"/>
      <c r="L68" s="3"/>
      <c r="M68" s="3"/>
      <c r="N68" s="3"/>
      <c r="O68" s="3"/>
      <c r="P68" s="3"/>
      <c r="Q68" s="3"/>
    </row>
    <row r="69">
      <c r="B69" s="1"/>
      <c r="C69" s="1"/>
      <c r="D69" s="1"/>
      <c r="E69" s="1"/>
      <c r="F69" s="1"/>
      <c r="G69" s="2"/>
      <c r="H69" s="4"/>
      <c r="I69" s="4"/>
      <c r="J69" s="4"/>
      <c r="K69" s="3"/>
      <c r="L69" s="3"/>
      <c r="M69" s="3"/>
      <c r="N69" s="3"/>
      <c r="O69" s="3"/>
      <c r="P69" s="3"/>
      <c r="Q69" s="3"/>
    </row>
    <row r="70">
      <c r="B70" s="1"/>
      <c r="C70" s="1"/>
      <c r="D70" s="1"/>
      <c r="E70" s="1"/>
      <c r="F70" s="1"/>
      <c r="G70" s="2"/>
      <c r="H70" s="4"/>
      <c r="I70" s="4"/>
      <c r="J70" s="4"/>
      <c r="K70" s="3"/>
      <c r="L70" s="3"/>
      <c r="M70" s="3"/>
      <c r="N70" s="3"/>
      <c r="O70" s="3"/>
      <c r="P70" s="3"/>
      <c r="Q70" s="3"/>
    </row>
    <row r="71">
      <c r="B71" s="1"/>
      <c r="C71" s="1"/>
      <c r="D71" s="1"/>
      <c r="E71" s="1"/>
      <c r="F71" s="1"/>
      <c r="G71" s="2"/>
      <c r="H71" s="4"/>
      <c r="I71" s="4"/>
      <c r="J71" s="4"/>
      <c r="K71" s="3"/>
      <c r="L71" s="3"/>
      <c r="M71" s="3"/>
      <c r="N71" s="3"/>
      <c r="O71" s="3"/>
      <c r="P71" s="3"/>
      <c r="Q71" s="3"/>
    </row>
    <row r="72">
      <c r="B72" s="1"/>
      <c r="C72" s="1"/>
      <c r="D72" s="1"/>
      <c r="E72" s="1"/>
      <c r="F72" s="1"/>
      <c r="G72" s="2"/>
      <c r="H72" s="4"/>
      <c r="I72" s="4"/>
      <c r="J72" s="4"/>
      <c r="K72" s="3"/>
      <c r="L72" s="3"/>
      <c r="M72" s="3"/>
      <c r="N72" s="3"/>
      <c r="O72" s="3"/>
      <c r="P72" s="3"/>
      <c r="Q72" s="3"/>
    </row>
    <row r="73">
      <c r="B73" s="1"/>
      <c r="C73" s="1"/>
      <c r="D73" s="1"/>
      <c r="E73" s="1"/>
      <c r="F73" s="1"/>
      <c r="G73" s="2"/>
      <c r="H73" s="4"/>
      <c r="I73" s="4"/>
      <c r="J73" s="4"/>
      <c r="K73" s="3"/>
      <c r="L73" s="3"/>
      <c r="M73" s="3"/>
      <c r="N73" s="3"/>
      <c r="O73" s="3"/>
      <c r="P73" s="3"/>
      <c r="Q73" s="3"/>
    </row>
    <row r="74">
      <c r="B74" s="1"/>
      <c r="C74" s="1"/>
      <c r="D74" s="1"/>
      <c r="E74" s="1"/>
      <c r="F74" s="1"/>
      <c r="G74" s="2"/>
      <c r="H74" s="4"/>
      <c r="I74" s="4"/>
      <c r="J74" s="4"/>
      <c r="K74" s="3"/>
      <c r="L74" s="3"/>
      <c r="M74" s="3"/>
      <c r="N74" s="3"/>
      <c r="O74" s="3"/>
      <c r="P74" s="3"/>
      <c r="Q74" s="3"/>
    </row>
    <row r="75">
      <c r="B75" s="1"/>
      <c r="C75" s="1"/>
      <c r="D75" s="1"/>
      <c r="E75" s="1"/>
      <c r="F75" s="1"/>
      <c r="G75" s="2"/>
      <c r="H75" s="4"/>
      <c r="I75" s="4"/>
      <c r="J75" s="4"/>
      <c r="K75" s="3"/>
      <c r="L75" s="3"/>
      <c r="M75" s="3"/>
      <c r="N75" s="3"/>
      <c r="O75" s="3"/>
      <c r="P75" s="3"/>
      <c r="Q75" s="3"/>
    </row>
    <row r="76">
      <c r="B76" s="1"/>
      <c r="C76" s="1"/>
      <c r="D76" s="1"/>
      <c r="E76" s="1"/>
      <c r="F76" s="1"/>
      <c r="G76" s="2"/>
      <c r="H76" s="4"/>
      <c r="I76" s="4"/>
      <c r="J76" s="4"/>
      <c r="K76" s="3"/>
      <c r="L76" s="3"/>
      <c r="M76" s="3"/>
      <c r="N76" s="3"/>
      <c r="O76" s="3"/>
      <c r="P76" s="3"/>
      <c r="Q76" s="3"/>
    </row>
    <row r="77">
      <c r="B77" s="1"/>
      <c r="C77" s="1"/>
      <c r="D77" s="1"/>
      <c r="E77" s="1"/>
      <c r="F77" s="1"/>
      <c r="G77" s="2"/>
      <c r="H77" s="4"/>
      <c r="I77" s="4"/>
      <c r="J77" s="4"/>
      <c r="K77" s="3"/>
      <c r="L77" s="3"/>
      <c r="M77" s="3"/>
      <c r="N77" s="3"/>
      <c r="O77" s="3"/>
      <c r="P77" s="3"/>
      <c r="Q77" s="3"/>
    </row>
    <row r="78">
      <c r="B78" s="1"/>
      <c r="C78" s="1"/>
      <c r="D78" s="1"/>
      <c r="E78" s="1"/>
      <c r="F78" s="1"/>
      <c r="G78" s="2"/>
      <c r="H78" s="4"/>
      <c r="I78" s="4"/>
      <c r="J78" s="4"/>
      <c r="K78" s="3"/>
      <c r="L78" s="3"/>
      <c r="M78" s="3"/>
      <c r="N78" s="3"/>
      <c r="O78" s="3"/>
      <c r="P78" s="3"/>
      <c r="Q78" s="3"/>
    </row>
    <row r="79">
      <c r="B79" s="1"/>
      <c r="C79" s="1"/>
      <c r="D79" s="1"/>
      <c r="E79" s="1"/>
      <c r="F79" s="1"/>
      <c r="G79" s="2"/>
      <c r="H79" s="4"/>
      <c r="I79" s="4"/>
      <c r="J79" s="4"/>
      <c r="K79" s="3"/>
      <c r="L79" s="3"/>
      <c r="M79" s="3"/>
      <c r="N79" s="3"/>
      <c r="O79" s="3"/>
      <c r="P79" s="3"/>
      <c r="Q79" s="3"/>
    </row>
    <row r="80">
      <c r="B80" s="1"/>
      <c r="C80" s="1"/>
      <c r="D80" s="1"/>
      <c r="E80" s="1"/>
      <c r="F80" s="1"/>
      <c r="G80" s="2"/>
      <c r="H80" s="4"/>
      <c r="I80" s="4"/>
      <c r="J80" s="4"/>
      <c r="K80" s="3"/>
      <c r="L80" s="3"/>
      <c r="M80" s="3"/>
      <c r="N80" s="3"/>
      <c r="O80" s="3"/>
      <c r="P80" s="3"/>
      <c r="Q80" s="3"/>
    </row>
    <row r="81">
      <c r="B81" s="1"/>
      <c r="C81" s="1"/>
      <c r="D81" s="1"/>
      <c r="E81" s="1"/>
      <c r="F81" s="1"/>
      <c r="G81" s="2"/>
      <c r="H81" s="4"/>
      <c r="I81" s="4"/>
      <c r="J81" s="4"/>
      <c r="K81" s="3"/>
      <c r="L81" s="3"/>
      <c r="M81" s="3"/>
      <c r="N81" s="3"/>
      <c r="O81" s="3"/>
      <c r="P81" s="3"/>
      <c r="Q81" s="3"/>
    </row>
    <row r="82">
      <c r="B82" s="1"/>
      <c r="C82" s="1"/>
      <c r="D82" s="1"/>
      <c r="E82" s="1"/>
      <c r="F82" s="1"/>
      <c r="G82" s="2"/>
      <c r="H82" s="4"/>
      <c r="I82" s="4"/>
      <c r="J82" s="4"/>
      <c r="K82" s="3"/>
      <c r="L82" s="3"/>
      <c r="M82" s="3"/>
      <c r="N82" s="3"/>
      <c r="O82" s="3"/>
      <c r="P82" s="3"/>
      <c r="Q82" s="3"/>
    </row>
    <row r="83">
      <c r="B83" s="1"/>
      <c r="C83" s="1"/>
      <c r="D83" s="1"/>
      <c r="E83" s="1"/>
      <c r="F83" s="1"/>
      <c r="G83" s="2"/>
      <c r="H83" s="4"/>
      <c r="I83" s="4"/>
      <c r="J83" s="4"/>
      <c r="K83" s="3"/>
      <c r="L83" s="3"/>
      <c r="M83" s="3"/>
      <c r="N83" s="3"/>
      <c r="O83" s="3"/>
      <c r="P83" s="3"/>
      <c r="Q83" s="3"/>
    </row>
    <row r="84">
      <c r="B84" s="1"/>
      <c r="C84" s="1"/>
      <c r="D84" s="1"/>
      <c r="E84" s="1"/>
      <c r="F84" s="1"/>
      <c r="G84" s="2"/>
      <c r="H84" s="4"/>
      <c r="I84" s="4"/>
      <c r="J84" s="4"/>
      <c r="K84" s="3"/>
      <c r="L84" s="3"/>
      <c r="M84" s="3"/>
      <c r="N84" s="3"/>
      <c r="O84" s="3"/>
      <c r="P84" s="3"/>
      <c r="Q84" s="3"/>
    </row>
    <row r="85">
      <c r="B85" s="1"/>
      <c r="C85" s="1"/>
      <c r="D85" s="1"/>
      <c r="E85" s="1"/>
      <c r="F85" s="1"/>
      <c r="G85" s="2"/>
      <c r="H85" s="4"/>
      <c r="I85" s="4"/>
      <c r="J85" s="4"/>
      <c r="K85" s="3"/>
      <c r="L85" s="3"/>
      <c r="M85" s="3"/>
      <c r="N85" s="3"/>
      <c r="O85" s="3"/>
      <c r="P85" s="3"/>
      <c r="Q85" s="3"/>
    </row>
    <row r="86">
      <c r="B86" s="1"/>
      <c r="C86" s="1"/>
      <c r="D86" s="1"/>
      <c r="E86" s="1"/>
      <c r="F86" s="1"/>
      <c r="G86" s="2"/>
      <c r="H86" s="4"/>
      <c r="I86" s="4"/>
      <c r="J86" s="4"/>
      <c r="K86" s="3"/>
      <c r="L86" s="3"/>
      <c r="M86" s="3"/>
      <c r="N86" s="3"/>
      <c r="O86" s="3"/>
      <c r="P86" s="3"/>
      <c r="Q86" s="3"/>
    </row>
    <row r="87">
      <c r="B87" s="1"/>
      <c r="C87" s="1"/>
      <c r="D87" s="1"/>
      <c r="E87" s="1"/>
      <c r="F87" s="1"/>
      <c r="G87" s="2"/>
      <c r="H87" s="4"/>
      <c r="I87" s="4"/>
      <c r="J87" s="4"/>
      <c r="K87" s="3"/>
      <c r="L87" s="3"/>
      <c r="M87" s="3"/>
      <c r="N87" s="3"/>
      <c r="O87" s="3"/>
      <c r="P87" s="3"/>
      <c r="Q87" s="3"/>
    </row>
    <row r="88">
      <c r="B88" s="1"/>
      <c r="C88" s="1"/>
      <c r="D88" s="1"/>
      <c r="E88" s="1"/>
      <c r="F88" s="1"/>
      <c r="G88" s="2"/>
      <c r="H88" s="4"/>
      <c r="I88" s="4"/>
      <c r="J88" s="4"/>
      <c r="K88" s="3"/>
      <c r="L88" s="3"/>
      <c r="M88" s="3"/>
      <c r="N88" s="3"/>
      <c r="O88" s="3"/>
      <c r="P88" s="3"/>
      <c r="Q88" s="3"/>
    </row>
    <row r="89">
      <c r="B89" s="1"/>
      <c r="C89" s="1"/>
      <c r="D89" s="1"/>
      <c r="E89" s="1"/>
      <c r="F89" s="1"/>
      <c r="G89" s="2"/>
      <c r="H89" s="4"/>
      <c r="I89" s="4"/>
      <c r="J89" s="4"/>
      <c r="K89" s="3"/>
      <c r="L89" s="3"/>
      <c r="M89" s="3"/>
      <c r="N89" s="3"/>
      <c r="O89" s="3"/>
      <c r="P89" s="3"/>
      <c r="Q89" s="3"/>
    </row>
    <row r="90">
      <c r="B90" s="1"/>
      <c r="C90" s="1"/>
      <c r="D90" s="1"/>
      <c r="E90" s="1"/>
      <c r="F90" s="1"/>
      <c r="G90" s="2"/>
      <c r="H90" s="4"/>
      <c r="I90" s="4"/>
      <c r="J90" s="4"/>
      <c r="K90" s="3"/>
      <c r="L90" s="3"/>
      <c r="M90" s="3"/>
      <c r="N90" s="3"/>
      <c r="O90" s="3"/>
      <c r="P90" s="3"/>
      <c r="Q90" s="3"/>
    </row>
    <row r="91">
      <c r="B91" s="1"/>
      <c r="C91" s="1"/>
      <c r="D91" s="1"/>
      <c r="E91" s="1"/>
      <c r="F91" s="1"/>
      <c r="G91" s="2"/>
      <c r="H91" s="4"/>
      <c r="I91" s="4"/>
      <c r="J91" s="4"/>
      <c r="K91" s="3"/>
      <c r="L91" s="3"/>
      <c r="M91" s="3"/>
      <c r="N91" s="3"/>
      <c r="O91" s="3"/>
      <c r="P91" s="3"/>
      <c r="Q91" s="3"/>
    </row>
    <row r="92">
      <c r="B92" s="1"/>
      <c r="C92" s="1"/>
      <c r="D92" s="1"/>
      <c r="E92" s="1"/>
      <c r="F92" s="1"/>
      <c r="G92" s="2"/>
      <c r="H92" s="4"/>
      <c r="I92" s="4"/>
      <c r="J92" s="4"/>
      <c r="K92" s="3"/>
      <c r="L92" s="3"/>
      <c r="M92" s="3"/>
      <c r="N92" s="3"/>
      <c r="O92" s="3"/>
      <c r="P92" s="3"/>
      <c r="Q92" s="3"/>
    </row>
    <row r="93">
      <c r="B93" s="1"/>
      <c r="C93" s="1"/>
      <c r="D93" s="1"/>
      <c r="E93" s="1"/>
      <c r="F93" s="1"/>
      <c r="G93" s="2"/>
      <c r="H93" s="4"/>
      <c r="I93" s="4"/>
      <c r="J93" s="4"/>
      <c r="K93" s="3"/>
      <c r="L93" s="3"/>
      <c r="M93" s="3"/>
      <c r="N93" s="3"/>
      <c r="O93" s="3"/>
      <c r="P93" s="3"/>
      <c r="Q93" s="3"/>
    </row>
    <row r="94">
      <c r="B94" s="1"/>
      <c r="C94" s="1"/>
      <c r="D94" s="1"/>
      <c r="E94" s="1"/>
      <c r="F94" s="1"/>
      <c r="G94" s="2"/>
      <c r="H94" s="4"/>
      <c r="I94" s="4"/>
      <c r="J94" s="4"/>
      <c r="K94" s="3"/>
      <c r="L94" s="3"/>
      <c r="M94" s="3"/>
      <c r="N94" s="3"/>
      <c r="O94" s="3"/>
      <c r="P94" s="3"/>
      <c r="Q94" s="3"/>
    </row>
    <row r="95">
      <c r="B95" s="1"/>
      <c r="C95" s="1"/>
      <c r="D95" s="1"/>
      <c r="E95" s="1"/>
      <c r="F95" s="1"/>
      <c r="G95" s="2"/>
      <c r="H95" s="4"/>
      <c r="I95" s="4"/>
      <c r="J95" s="4"/>
      <c r="K95" s="3"/>
      <c r="L95" s="3"/>
      <c r="M95" s="3"/>
      <c r="N95" s="3"/>
      <c r="O95" s="3"/>
      <c r="P95" s="3"/>
      <c r="Q95" s="3"/>
    </row>
    <row r="96">
      <c r="B96" s="1"/>
      <c r="C96" s="1"/>
      <c r="D96" s="1"/>
      <c r="E96" s="1"/>
      <c r="F96" s="1"/>
      <c r="G96" s="2"/>
      <c r="H96" s="4"/>
      <c r="I96" s="4"/>
      <c r="J96" s="4"/>
      <c r="K96" s="3"/>
      <c r="L96" s="3"/>
      <c r="M96" s="3"/>
      <c r="N96" s="3"/>
      <c r="O96" s="3"/>
      <c r="P96" s="3"/>
      <c r="Q96" s="3"/>
    </row>
    <row r="97">
      <c r="B97" s="1"/>
      <c r="C97" s="1"/>
      <c r="D97" s="1"/>
      <c r="E97" s="1"/>
      <c r="F97" s="1"/>
      <c r="G97" s="2"/>
      <c r="H97" s="4"/>
      <c r="I97" s="4"/>
      <c r="J97" s="4"/>
      <c r="K97" s="3"/>
      <c r="L97" s="3"/>
      <c r="M97" s="3"/>
      <c r="N97" s="3"/>
      <c r="O97" s="3"/>
      <c r="P97" s="3"/>
      <c r="Q97" s="3"/>
    </row>
    <row r="98">
      <c r="B98" s="1"/>
      <c r="C98" s="1"/>
      <c r="D98" s="1"/>
      <c r="E98" s="1"/>
      <c r="F98" s="1"/>
      <c r="G98" s="2"/>
      <c r="H98" s="4"/>
      <c r="I98" s="4"/>
      <c r="J98" s="4"/>
      <c r="K98" s="3"/>
      <c r="L98" s="3"/>
      <c r="M98" s="3"/>
      <c r="N98" s="3"/>
      <c r="O98" s="3"/>
      <c r="P98" s="3"/>
      <c r="Q98" s="3"/>
    </row>
    <row r="99">
      <c r="B99" s="1"/>
      <c r="C99" s="1"/>
      <c r="D99" s="1"/>
      <c r="E99" s="1"/>
      <c r="F99" s="1"/>
      <c r="G99" s="2"/>
      <c r="H99" s="4"/>
      <c r="I99" s="4"/>
      <c r="J99" s="4"/>
      <c r="K99" s="3"/>
      <c r="L99" s="3"/>
      <c r="M99" s="3"/>
      <c r="N99" s="3"/>
      <c r="O99" s="3"/>
      <c r="P99" s="3"/>
      <c r="Q99" s="3"/>
    </row>
    <row r="100">
      <c r="B100" s="1"/>
      <c r="C100" s="1"/>
      <c r="D100" s="1"/>
      <c r="E100" s="1"/>
      <c r="F100" s="1"/>
      <c r="G100" s="2"/>
      <c r="H100" s="4"/>
      <c r="I100" s="4"/>
      <c r="J100" s="4"/>
      <c r="K100" s="3"/>
      <c r="L100" s="3"/>
      <c r="M100" s="3"/>
      <c r="N100" s="3"/>
      <c r="O100" s="3"/>
      <c r="P100" s="3"/>
      <c r="Q100" s="3"/>
    </row>
    <row r="101">
      <c r="B101" s="1"/>
      <c r="C101" s="1"/>
      <c r="D101" s="1"/>
      <c r="E101" s="1"/>
      <c r="F101" s="1"/>
      <c r="G101" s="2"/>
      <c r="H101" s="4"/>
      <c r="I101" s="4"/>
      <c r="J101" s="4"/>
      <c r="K101" s="3"/>
      <c r="L101" s="3"/>
      <c r="M101" s="3"/>
      <c r="N101" s="3"/>
      <c r="O101" s="3"/>
      <c r="P101" s="3"/>
      <c r="Q101" s="3"/>
    </row>
    <row r="102">
      <c r="B102" s="1"/>
      <c r="C102" s="1"/>
      <c r="D102" s="1"/>
      <c r="E102" s="1"/>
      <c r="F102" s="1"/>
      <c r="G102" s="2"/>
      <c r="H102" s="4"/>
      <c r="I102" s="4"/>
      <c r="J102" s="4"/>
      <c r="K102" s="3"/>
      <c r="L102" s="3"/>
      <c r="M102" s="3"/>
      <c r="N102" s="3"/>
      <c r="O102" s="3"/>
      <c r="P102" s="3"/>
      <c r="Q102" s="3"/>
    </row>
    <row r="103">
      <c r="B103" s="1"/>
      <c r="C103" s="1"/>
      <c r="D103" s="1"/>
      <c r="E103" s="1"/>
      <c r="F103" s="1"/>
      <c r="G103" s="2"/>
      <c r="H103" s="4"/>
      <c r="I103" s="4"/>
      <c r="J103" s="4"/>
      <c r="K103" s="3"/>
      <c r="L103" s="3"/>
      <c r="M103" s="3"/>
      <c r="N103" s="3"/>
      <c r="O103" s="3"/>
      <c r="P103" s="3"/>
      <c r="Q103" s="3"/>
    </row>
    <row r="104">
      <c r="B104" s="1"/>
      <c r="C104" s="1"/>
      <c r="D104" s="1"/>
      <c r="E104" s="1"/>
      <c r="F104" s="1"/>
      <c r="G104" s="2"/>
      <c r="H104" s="4"/>
      <c r="I104" s="4"/>
      <c r="J104" s="4"/>
      <c r="K104" s="3"/>
      <c r="L104" s="3"/>
      <c r="M104" s="3"/>
      <c r="N104" s="3"/>
      <c r="O104" s="3"/>
      <c r="P104" s="3"/>
      <c r="Q104" s="3"/>
    </row>
    <row r="105">
      <c r="B105" s="1"/>
      <c r="C105" s="1"/>
      <c r="D105" s="1"/>
      <c r="E105" s="1"/>
      <c r="F105" s="1"/>
      <c r="G105" s="2"/>
      <c r="H105" s="4"/>
      <c r="I105" s="4"/>
      <c r="J105" s="4"/>
      <c r="K105" s="3"/>
      <c r="L105" s="3"/>
      <c r="M105" s="3"/>
      <c r="N105" s="3"/>
      <c r="O105" s="3"/>
      <c r="P105" s="3"/>
      <c r="Q105" s="3"/>
    </row>
    <row r="106">
      <c r="B106" s="1"/>
      <c r="C106" s="1"/>
      <c r="D106" s="1"/>
      <c r="E106" s="1"/>
      <c r="F106" s="1"/>
      <c r="G106" s="2"/>
      <c r="H106" s="4"/>
      <c r="I106" s="4"/>
      <c r="J106" s="4"/>
      <c r="K106" s="3"/>
      <c r="L106" s="3"/>
      <c r="M106" s="3"/>
      <c r="N106" s="3"/>
      <c r="O106" s="3"/>
      <c r="P106" s="3"/>
      <c r="Q106" s="3"/>
    </row>
    <row r="107">
      <c r="B107" s="1"/>
      <c r="C107" s="1"/>
      <c r="D107" s="1"/>
      <c r="E107" s="1"/>
      <c r="F107" s="1"/>
      <c r="G107" s="2"/>
      <c r="H107" s="4"/>
      <c r="I107" s="4"/>
      <c r="J107" s="4"/>
      <c r="K107" s="3"/>
      <c r="L107" s="3"/>
      <c r="M107" s="3"/>
      <c r="N107" s="3"/>
      <c r="O107" s="3"/>
      <c r="P107" s="3"/>
      <c r="Q107" s="3"/>
    </row>
    <row r="108">
      <c r="B108" s="1"/>
      <c r="C108" s="1"/>
      <c r="D108" s="1"/>
      <c r="E108" s="1"/>
      <c r="F108" s="1"/>
      <c r="G108" s="2"/>
      <c r="H108" s="4"/>
      <c r="I108" s="4"/>
      <c r="J108" s="4"/>
      <c r="K108" s="3"/>
      <c r="L108" s="3"/>
      <c r="M108" s="3"/>
      <c r="N108" s="3"/>
      <c r="O108" s="3"/>
      <c r="P108" s="3"/>
      <c r="Q108" s="3"/>
    </row>
    <row r="109">
      <c r="B109" s="1"/>
      <c r="C109" s="1"/>
      <c r="D109" s="1"/>
      <c r="E109" s="1"/>
      <c r="F109" s="1"/>
      <c r="G109" s="2"/>
      <c r="H109" s="4"/>
      <c r="I109" s="4"/>
      <c r="J109" s="4"/>
      <c r="K109" s="3"/>
      <c r="L109" s="3"/>
      <c r="M109" s="3"/>
      <c r="N109" s="3"/>
      <c r="O109" s="3"/>
      <c r="P109" s="3"/>
      <c r="Q109" s="3"/>
    </row>
    <row r="110">
      <c r="B110" s="1"/>
      <c r="C110" s="1"/>
      <c r="D110" s="1"/>
      <c r="E110" s="1"/>
      <c r="F110" s="1"/>
      <c r="G110" s="2"/>
      <c r="H110" s="4"/>
      <c r="I110" s="4"/>
      <c r="J110" s="4"/>
      <c r="K110" s="3"/>
      <c r="L110" s="3"/>
      <c r="M110" s="3"/>
      <c r="N110" s="3"/>
      <c r="O110" s="3"/>
      <c r="P110" s="3"/>
      <c r="Q110" s="3"/>
    </row>
    <row r="111">
      <c r="B111" s="1"/>
      <c r="C111" s="1"/>
      <c r="D111" s="1"/>
      <c r="E111" s="1"/>
      <c r="F111" s="1"/>
      <c r="G111" s="2"/>
      <c r="H111" s="4"/>
      <c r="I111" s="4"/>
      <c r="J111" s="4"/>
      <c r="K111" s="3"/>
      <c r="L111" s="3"/>
      <c r="M111" s="3"/>
      <c r="N111" s="3"/>
      <c r="O111" s="3"/>
      <c r="P111" s="3"/>
      <c r="Q111" s="3"/>
    </row>
    <row r="112">
      <c r="B112" s="1"/>
      <c r="C112" s="1"/>
      <c r="D112" s="1"/>
      <c r="E112" s="1"/>
      <c r="F112" s="1"/>
      <c r="G112" s="2"/>
      <c r="H112" s="4"/>
      <c r="I112" s="4"/>
      <c r="J112" s="4"/>
      <c r="K112" s="3"/>
      <c r="L112" s="3"/>
      <c r="M112" s="3"/>
      <c r="N112" s="3"/>
      <c r="O112" s="3"/>
      <c r="P112" s="3"/>
      <c r="Q112" s="3"/>
    </row>
    <row r="113">
      <c r="B113" s="1"/>
      <c r="C113" s="1"/>
      <c r="D113" s="1"/>
      <c r="E113" s="1"/>
      <c r="F113" s="1"/>
      <c r="G113" s="2"/>
      <c r="H113" s="4"/>
      <c r="I113" s="4"/>
      <c r="J113" s="4"/>
      <c r="K113" s="3"/>
      <c r="L113" s="3"/>
      <c r="M113" s="3"/>
      <c r="N113" s="3"/>
      <c r="O113" s="3"/>
      <c r="P113" s="3"/>
      <c r="Q113" s="3"/>
    </row>
    <row r="114">
      <c r="B114" s="1"/>
      <c r="C114" s="1"/>
      <c r="D114" s="1"/>
      <c r="E114" s="1"/>
      <c r="F114" s="1"/>
      <c r="G114" s="2"/>
      <c r="H114" s="4"/>
      <c r="I114" s="4"/>
      <c r="J114" s="4"/>
      <c r="K114" s="3"/>
      <c r="L114" s="3"/>
      <c r="M114" s="3"/>
      <c r="N114" s="3"/>
      <c r="O114" s="3"/>
      <c r="P114" s="3"/>
      <c r="Q114" s="3"/>
    </row>
    <row r="115">
      <c r="B115" s="1"/>
      <c r="C115" s="1"/>
      <c r="D115" s="1"/>
      <c r="E115" s="1"/>
      <c r="F115" s="1"/>
      <c r="G115" s="2"/>
      <c r="H115" s="4"/>
      <c r="I115" s="4"/>
      <c r="J115" s="4"/>
      <c r="K115" s="3"/>
      <c r="L115" s="3"/>
      <c r="M115" s="3"/>
      <c r="N115" s="3"/>
      <c r="O115" s="3"/>
      <c r="P115" s="3"/>
      <c r="Q115" s="3"/>
    </row>
    <row r="116">
      <c r="B116" s="1"/>
      <c r="C116" s="1"/>
      <c r="D116" s="1"/>
      <c r="E116" s="1"/>
      <c r="F116" s="1"/>
      <c r="G116" s="2"/>
      <c r="H116" s="4"/>
      <c r="I116" s="4"/>
      <c r="J116" s="4"/>
      <c r="K116" s="3"/>
      <c r="L116" s="3"/>
      <c r="M116" s="3"/>
      <c r="N116" s="3"/>
      <c r="O116" s="3"/>
      <c r="P116" s="3"/>
      <c r="Q116" s="3"/>
    </row>
    <row r="117">
      <c r="B117" s="1"/>
      <c r="C117" s="1"/>
      <c r="D117" s="1"/>
      <c r="E117" s="1"/>
      <c r="F117" s="1"/>
      <c r="G117" s="2"/>
      <c r="H117" s="4"/>
      <c r="I117" s="4"/>
      <c r="J117" s="4"/>
      <c r="K117" s="3"/>
      <c r="L117" s="3"/>
      <c r="M117" s="3"/>
      <c r="N117" s="3"/>
      <c r="O117" s="3"/>
      <c r="P117" s="3"/>
      <c r="Q117" s="3"/>
    </row>
    <row r="118">
      <c r="B118" s="1"/>
      <c r="C118" s="1"/>
      <c r="D118" s="1"/>
      <c r="E118" s="1"/>
      <c r="F118" s="1"/>
      <c r="G118" s="2"/>
      <c r="H118" s="4"/>
      <c r="I118" s="4"/>
      <c r="J118" s="4"/>
      <c r="K118" s="3"/>
      <c r="L118" s="3"/>
      <c r="M118" s="3"/>
      <c r="N118" s="3"/>
      <c r="O118" s="3"/>
      <c r="P118" s="3"/>
      <c r="Q118" s="3"/>
    </row>
    <row r="119">
      <c r="B119" s="1"/>
      <c r="C119" s="1"/>
      <c r="D119" s="1"/>
      <c r="E119" s="1"/>
      <c r="F119" s="1"/>
      <c r="G119" s="2"/>
      <c r="H119" s="4"/>
      <c r="I119" s="4"/>
      <c r="J119" s="4"/>
      <c r="K119" s="3"/>
      <c r="L119" s="3"/>
      <c r="M119" s="3"/>
      <c r="N119" s="3"/>
      <c r="O119" s="3"/>
      <c r="P119" s="3"/>
      <c r="Q119" s="3"/>
    </row>
    <row r="120">
      <c r="B120" s="1"/>
      <c r="C120" s="1"/>
      <c r="D120" s="1"/>
      <c r="E120" s="1"/>
      <c r="F120" s="1"/>
      <c r="G120" s="2"/>
      <c r="H120" s="4"/>
      <c r="I120" s="4"/>
      <c r="J120" s="4"/>
      <c r="K120" s="3"/>
      <c r="L120" s="3"/>
      <c r="M120" s="3"/>
      <c r="N120" s="3"/>
      <c r="O120" s="3"/>
      <c r="P120" s="3"/>
      <c r="Q120" s="3"/>
    </row>
    <row r="121">
      <c r="B121" s="1"/>
      <c r="C121" s="1"/>
      <c r="D121" s="1"/>
      <c r="E121" s="1"/>
      <c r="F121" s="1"/>
      <c r="G121" s="2"/>
      <c r="H121" s="4"/>
      <c r="I121" s="4"/>
      <c r="J121" s="4"/>
      <c r="K121" s="3"/>
      <c r="L121" s="3"/>
      <c r="M121" s="3"/>
      <c r="N121" s="3"/>
      <c r="O121" s="3"/>
      <c r="P121" s="3"/>
      <c r="Q121" s="3"/>
    </row>
    <row r="122">
      <c r="B122" s="1"/>
      <c r="C122" s="1"/>
      <c r="D122" s="1"/>
      <c r="E122" s="1"/>
      <c r="F122" s="1"/>
      <c r="G122" s="2"/>
      <c r="H122" s="4"/>
      <c r="I122" s="4"/>
      <c r="J122" s="4"/>
      <c r="K122" s="3"/>
      <c r="L122" s="3"/>
      <c r="M122" s="3"/>
      <c r="N122" s="3"/>
      <c r="O122" s="3"/>
      <c r="P122" s="3"/>
      <c r="Q122" s="3"/>
    </row>
    <row r="123">
      <c r="B123" s="1"/>
      <c r="C123" s="1"/>
      <c r="D123" s="1"/>
      <c r="E123" s="1"/>
      <c r="F123" s="1"/>
      <c r="G123" s="2"/>
      <c r="H123" s="4"/>
      <c r="I123" s="4"/>
      <c r="J123" s="4"/>
      <c r="K123" s="3"/>
      <c r="L123" s="3"/>
      <c r="M123" s="3"/>
      <c r="N123" s="3"/>
      <c r="O123" s="3"/>
      <c r="P123" s="3"/>
      <c r="Q123" s="3"/>
    </row>
    <row r="124">
      <c r="B124" s="1"/>
      <c r="C124" s="1"/>
      <c r="D124" s="1"/>
      <c r="E124" s="1"/>
      <c r="F124" s="1"/>
      <c r="G124" s="2"/>
      <c r="H124" s="4"/>
      <c r="I124" s="4"/>
      <c r="J124" s="4"/>
      <c r="K124" s="3"/>
      <c r="L124" s="3"/>
      <c r="M124" s="3"/>
      <c r="N124" s="3"/>
      <c r="O124" s="3"/>
      <c r="P124" s="3"/>
      <c r="Q124" s="3"/>
    </row>
    <row r="125">
      <c r="B125" s="1"/>
      <c r="C125" s="1"/>
      <c r="D125" s="1"/>
      <c r="E125" s="1"/>
      <c r="F125" s="1"/>
      <c r="G125" s="2"/>
      <c r="H125" s="4"/>
      <c r="I125" s="4"/>
      <c r="J125" s="4"/>
      <c r="K125" s="3"/>
      <c r="L125" s="3"/>
      <c r="M125" s="3"/>
      <c r="N125" s="3"/>
      <c r="O125" s="3"/>
      <c r="P125" s="3"/>
      <c r="Q125" s="3"/>
    </row>
    <row r="126">
      <c r="B126" s="1"/>
      <c r="C126" s="1"/>
      <c r="D126" s="1"/>
      <c r="E126" s="1"/>
      <c r="F126" s="1"/>
      <c r="G126" s="2"/>
      <c r="H126" s="4"/>
      <c r="I126" s="4"/>
      <c r="J126" s="4"/>
      <c r="K126" s="3"/>
      <c r="L126" s="3"/>
      <c r="M126" s="3"/>
      <c r="N126" s="3"/>
      <c r="O126" s="3"/>
      <c r="P126" s="3"/>
      <c r="Q126" s="3"/>
    </row>
    <row r="127">
      <c r="B127" s="1"/>
      <c r="C127" s="1"/>
      <c r="D127" s="1"/>
      <c r="E127" s="1"/>
      <c r="F127" s="1"/>
      <c r="G127" s="2"/>
      <c r="H127" s="4"/>
      <c r="I127" s="4"/>
      <c r="J127" s="4"/>
      <c r="K127" s="3"/>
      <c r="L127" s="3"/>
      <c r="M127" s="3"/>
      <c r="N127" s="3"/>
      <c r="O127" s="3"/>
      <c r="P127" s="3"/>
      <c r="Q127" s="3"/>
    </row>
    <row r="128">
      <c r="B128" s="1"/>
      <c r="C128" s="1"/>
      <c r="D128" s="1"/>
      <c r="E128" s="1"/>
      <c r="F128" s="1"/>
      <c r="G128" s="2"/>
      <c r="H128" s="4"/>
      <c r="I128" s="4"/>
      <c r="J128" s="4"/>
      <c r="K128" s="3"/>
      <c r="L128" s="3"/>
      <c r="M128" s="3"/>
      <c r="N128" s="3"/>
      <c r="O128" s="3"/>
      <c r="P128" s="3"/>
      <c r="Q128" s="3"/>
    </row>
    <row r="129">
      <c r="B129" s="1"/>
      <c r="C129" s="1"/>
      <c r="D129" s="1"/>
      <c r="E129" s="1"/>
      <c r="F129" s="1"/>
      <c r="G129" s="2"/>
      <c r="H129" s="4"/>
      <c r="I129" s="4"/>
      <c r="J129" s="4"/>
      <c r="K129" s="3"/>
      <c r="L129" s="3"/>
      <c r="M129" s="3"/>
      <c r="N129" s="3"/>
      <c r="O129" s="3"/>
      <c r="P129" s="3"/>
      <c r="Q129" s="3"/>
    </row>
    <row r="130">
      <c r="B130" s="1"/>
      <c r="C130" s="1"/>
      <c r="D130" s="1"/>
      <c r="E130" s="1"/>
      <c r="F130" s="1"/>
      <c r="G130" s="2"/>
      <c r="H130" s="4"/>
      <c r="I130" s="4"/>
      <c r="J130" s="4"/>
      <c r="K130" s="3"/>
      <c r="L130" s="3"/>
      <c r="M130" s="3"/>
      <c r="N130" s="3"/>
      <c r="O130" s="3"/>
      <c r="P130" s="3"/>
      <c r="Q130" s="3"/>
    </row>
    <row r="131">
      <c r="B131" s="1"/>
      <c r="C131" s="1"/>
      <c r="D131" s="1"/>
      <c r="E131" s="1"/>
      <c r="F131" s="1"/>
      <c r="G131" s="2"/>
      <c r="H131" s="4"/>
      <c r="I131" s="4"/>
      <c r="J131" s="4"/>
      <c r="K131" s="3"/>
      <c r="L131" s="3"/>
      <c r="M131" s="3"/>
      <c r="N131" s="3"/>
      <c r="O131" s="3"/>
      <c r="P131" s="3"/>
      <c r="Q131" s="3"/>
    </row>
    <row r="132">
      <c r="B132" s="1"/>
      <c r="C132" s="1"/>
      <c r="D132" s="1"/>
      <c r="E132" s="1"/>
      <c r="F132" s="1"/>
      <c r="G132" s="2"/>
      <c r="H132" s="4"/>
      <c r="I132" s="4"/>
      <c r="J132" s="4"/>
      <c r="K132" s="3"/>
      <c r="L132" s="3"/>
      <c r="M132" s="3"/>
      <c r="N132" s="3"/>
      <c r="O132" s="3"/>
      <c r="P132" s="3"/>
      <c r="Q132" s="3"/>
    </row>
    <row r="133">
      <c r="B133" s="1"/>
      <c r="C133" s="1"/>
      <c r="D133" s="1"/>
      <c r="E133" s="1"/>
      <c r="F133" s="1"/>
      <c r="G133" s="2"/>
      <c r="H133" s="4"/>
      <c r="I133" s="4"/>
      <c r="J133" s="4"/>
      <c r="K133" s="3"/>
      <c r="L133" s="3"/>
      <c r="M133" s="3"/>
      <c r="N133" s="3"/>
      <c r="O133" s="3"/>
      <c r="P133" s="3"/>
      <c r="Q133" s="3"/>
    </row>
    <row r="134">
      <c r="B134" s="1"/>
      <c r="C134" s="1"/>
      <c r="D134" s="1"/>
      <c r="E134" s="1"/>
      <c r="F134" s="1"/>
      <c r="G134" s="2"/>
      <c r="H134" s="4"/>
      <c r="I134" s="4"/>
      <c r="J134" s="4"/>
      <c r="K134" s="3"/>
      <c r="L134" s="3"/>
      <c r="M134" s="3"/>
      <c r="N134" s="3"/>
      <c r="O134" s="3"/>
      <c r="P134" s="3"/>
      <c r="Q134" s="3"/>
    </row>
    <row r="135">
      <c r="B135" s="1"/>
      <c r="C135" s="1"/>
      <c r="D135" s="1"/>
      <c r="E135" s="1"/>
      <c r="F135" s="1"/>
      <c r="G135" s="2"/>
      <c r="H135" s="4"/>
      <c r="I135" s="4"/>
      <c r="J135" s="4"/>
      <c r="K135" s="3"/>
      <c r="L135" s="3"/>
      <c r="M135" s="3"/>
      <c r="N135" s="3"/>
      <c r="O135" s="3"/>
      <c r="P135" s="3"/>
      <c r="Q135" s="3"/>
    </row>
    <row r="136">
      <c r="B136" s="1"/>
      <c r="C136" s="1"/>
      <c r="D136" s="1"/>
      <c r="E136" s="1"/>
      <c r="F136" s="1"/>
      <c r="G136" s="2"/>
      <c r="H136" s="4"/>
      <c r="I136" s="4"/>
      <c r="J136" s="4"/>
      <c r="K136" s="3"/>
      <c r="L136" s="3"/>
      <c r="M136" s="3"/>
      <c r="N136" s="3"/>
      <c r="O136" s="3"/>
      <c r="P136" s="3"/>
      <c r="Q136" s="3"/>
    </row>
    <row r="137">
      <c r="B137" s="1"/>
      <c r="C137" s="1"/>
      <c r="D137" s="1"/>
      <c r="E137" s="1"/>
      <c r="F137" s="1"/>
      <c r="G137" s="2"/>
      <c r="H137" s="4"/>
      <c r="I137" s="4"/>
      <c r="J137" s="4"/>
      <c r="K137" s="3"/>
      <c r="L137" s="3"/>
      <c r="M137" s="3"/>
      <c r="N137" s="3"/>
      <c r="O137" s="3"/>
      <c r="P137" s="3"/>
      <c r="Q137" s="3"/>
    </row>
    <row r="138">
      <c r="B138" s="1"/>
      <c r="C138" s="1"/>
      <c r="D138" s="1"/>
      <c r="E138" s="1"/>
      <c r="F138" s="1"/>
      <c r="G138" s="2"/>
      <c r="H138" s="4"/>
      <c r="I138" s="4"/>
      <c r="J138" s="4"/>
      <c r="K138" s="3"/>
      <c r="L138" s="3"/>
      <c r="M138" s="3"/>
      <c r="N138" s="3"/>
      <c r="O138" s="3"/>
      <c r="P138" s="3"/>
      <c r="Q138" s="3"/>
    </row>
    <row r="139">
      <c r="B139" s="1"/>
      <c r="C139" s="1"/>
      <c r="D139" s="1"/>
      <c r="E139" s="1"/>
      <c r="F139" s="1"/>
      <c r="G139" s="2"/>
      <c r="H139" s="4"/>
      <c r="I139" s="4"/>
      <c r="J139" s="4"/>
      <c r="K139" s="3"/>
      <c r="L139" s="3"/>
      <c r="M139" s="3"/>
      <c r="N139" s="3"/>
      <c r="O139" s="3"/>
      <c r="P139" s="3"/>
      <c r="Q139" s="3"/>
    </row>
    <row r="140">
      <c r="B140" s="1"/>
      <c r="C140" s="1"/>
      <c r="D140" s="1"/>
      <c r="E140" s="1"/>
      <c r="F140" s="1"/>
      <c r="G140" s="2"/>
      <c r="H140" s="4"/>
      <c r="I140" s="4"/>
      <c r="J140" s="4"/>
      <c r="K140" s="3"/>
      <c r="L140" s="3"/>
      <c r="M140" s="3"/>
      <c r="N140" s="3"/>
      <c r="O140" s="3"/>
      <c r="P140" s="3"/>
      <c r="Q140" s="3"/>
    </row>
    <row r="141">
      <c r="B141" s="1"/>
      <c r="C141" s="1"/>
      <c r="D141" s="1"/>
      <c r="E141" s="1"/>
      <c r="F141" s="1"/>
      <c r="G141" s="2"/>
      <c r="H141" s="4"/>
      <c r="I141" s="4"/>
      <c r="J141" s="4"/>
      <c r="K141" s="3"/>
      <c r="L141" s="3"/>
      <c r="M141" s="3"/>
      <c r="N141" s="3"/>
      <c r="O141" s="3"/>
      <c r="P141" s="3"/>
      <c r="Q141" s="3"/>
    </row>
    <row r="142">
      <c r="B142" s="1"/>
      <c r="C142" s="1"/>
      <c r="D142" s="1"/>
      <c r="E142" s="1"/>
      <c r="F142" s="1"/>
      <c r="G142" s="2"/>
      <c r="H142" s="4"/>
      <c r="I142" s="4"/>
      <c r="J142" s="4"/>
      <c r="K142" s="3"/>
      <c r="L142" s="3"/>
      <c r="M142" s="3"/>
      <c r="N142" s="3"/>
      <c r="O142" s="3"/>
      <c r="P142" s="3"/>
      <c r="Q142" s="3"/>
    </row>
    <row r="143">
      <c r="B143" s="1"/>
      <c r="C143" s="1"/>
      <c r="D143" s="1"/>
      <c r="E143" s="1"/>
      <c r="F143" s="1"/>
      <c r="G143" s="2"/>
      <c r="H143" s="4"/>
      <c r="I143" s="4"/>
      <c r="J143" s="4"/>
      <c r="K143" s="3"/>
      <c r="L143" s="3"/>
      <c r="M143" s="3"/>
      <c r="N143" s="3"/>
      <c r="O143" s="3"/>
      <c r="P143" s="3"/>
      <c r="Q143" s="3"/>
    </row>
    <row r="144">
      <c r="B144" s="1"/>
      <c r="C144" s="1"/>
      <c r="D144" s="1"/>
      <c r="E144" s="1"/>
      <c r="F144" s="1"/>
      <c r="G144" s="2"/>
      <c r="H144" s="4"/>
      <c r="I144" s="4"/>
      <c r="J144" s="4"/>
      <c r="K144" s="3"/>
      <c r="L144" s="3"/>
      <c r="M144" s="3"/>
      <c r="N144" s="3"/>
      <c r="O144" s="3"/>
      <c r="P144" s="3"/>
      <c r="Q144" s="3"/>
    </row>
    <row r="145">
      <c r="B145" s="1"/>
      <c r="C145" s="1"/>
      <c r="D145" s="1"/>
      <c r="E145" s="1"/>
      <c r="F145" s="1"/>
      <c r="G145" s="2"/>
      <c r="H145" s="4"/>
      <c r="I145" s="4"/>
      <c r="J145" s="4"/>
      <c r="K145" s="3"/>
      <c r="L145" s="3"/>
      <c r="M145" s="3"/>
      <c r="N145" s="3"/>
      <c r="O145" s="3"/>
      <c r="P145" s="3"/>
      <c r="Q145" s="3"/>
    </row>
    <row r="146">
      <c r="B146" s="1"/>
      <c r="C146" s="1"/>
      <c r="D146" s="1"/>
      <c r="E146" s="1"/>
      <c r="F146" s="1"/>
      <c r="G146" s="2"/>
      <c r="H146" s="4"/>
      <c r="I146" s="4"/>
      <c r="J146" s="4"/>
      <c r="K146" s="3"/>
      <c r="L146" s="3"/>
      <c r="M146" s="3"/>
      <c r="N146" s="3"/>
      <c r="O146" s="3"/>
      <c r="P146" s="3"/>
      <c r="Q146" s="3"/>
    </row>
    <row r="147">
      <c r="B147" s="1"/>
      <c r="C147" s="1"/>
      <c r="D147" s="1"/>
      <c r="E147" s="1"/>
      <c r="F147" s="1"/>
      <c r="G147" s="2"/>
      <c r="H147" s="4"/>
      <c r="I147" s="4"/>
      <c r="J147" s="4"/>
      <c r="K147" s="3"/>
      <c r="L147" s="3"/>
      <c r="M147" s="3"/>
      <c r="N147" s="3"/>
      <c r="O147" s="3"/>
      <c r="P147" s="3"/>
      <c r="Q147" s="3"/>
    </row>
    <row r="148">
      <c r="B148" s="1"/>
      <c r="C148" s="1"/>
      <c r="D148" s="1"/>
      <c r="E148" s="1"/>
      <c r="F148" s="1"/>
      <c r="G148" s="2"/>
      <c r="H148" s="4"/>
      <c r="I148" s="4"/>
      <c r="J148" s="4"/>
      <c r="K148" s="3"/>
      <c r="L148" s="3"/>
      <c r="M148" s="3"/>
      <c r="N148" s="3"/>
      <c r="O148" s="3"/>
      <c r="P148" s="3"/>
      <c r="Q148" s="3"/>
    </row>
    <row r="149">
      <c r="B149" s="1"/>
      <c r="C149" s="1"/>
      <c r="D149" s="1"/>
      <c r="E149" s="1"/>
      <c r="F149" s="1"/>
      <c r="G149" s="2"/>
      <c r="H149" s="4"/>
      <c r="I149" s="4"/>
      <c r="J149" s="4"/>
      <c r="K149" s="3"/>
      <c r="L149" s="3"/>
      <c r="M149" s="3"/>
      <c r="N149" s="3"/>
      <c r="O149" s="3"/>
      <c r="P149" s="3"/>
      <c r="Q149" s="3"/>
    </row>
    <row r="150">
      <c r="B150" s="1"/>
      <c r="C150" s="1"/>
      <c r="D150" s="1"/>
      <c r="E150" s="1"/>
      <c r="F150" s="1"/>
      <c r="G150" s="2"/>
      <c r="H150" s="4"/>
      <c r="I150" s="4"/>
      <c r="J150" s="4"/>
      <c r="K150" s="3"/>
      <c r="L150" s="3"/>
      <c r="M150" s="3"/>
      <c r="N150" s="3"/>
      <c r="O150" s="3"/>
      <c r="P150" s="3"/>
      <c r="Q150" s="3"/>
    </row>
    <row r="151">
      <c r="B151" s="1"/>
      <c r="C151" s="1"/>
      <c r="D151" s="1"/>
      <c r="E151" s="1"/>
      <c r="F151" s="1"/>
      <c r="G151" s="2"/>
      <c r="H151" s="4"/>
      <c r="I151" s="4"/>
      <c r="J151" s="4"/>
      <c r="K151" s="3"/>
      <c r="L151" s="3"/>
      <c r="M151" s="3"/>
      <c r="N151" s="3"/>
      <c r="O151" s="3"/>
      <c r="P151" s="3"/>
      <c r="Q151" s="3"/>
    </row>
    <row r="152">
      <c r="B152" s="1"/>
      <c r="C152" s="1"/>
      <c r="D152" s="1"/>
      <c r="E152" s="1"/>
      <c r="F152" s="1"/>
      <c r="G152" s="2"/>
      <c r="H152" s="4"/>
      <c r="I152" s="4"/>
      <c r="J152" s="4"/>
      <c r="K152" s="3"/>
      <c r="L152" s="3"/>
      <c r="M152" s="3"/>
      <c r="N152" s="3"/>
      <c r="O152" s="3"/>
      <c r="P152" s="3"/>
      <c r="Q152" s="3"/>
    </row>
    <row r="153">
      <c r="B153" s="1"/>
      <c r="C153" s="1"/>
      <c r="D153" s="1"/>
      <c r="E153" s="1"/>
      <c r="F153" s="1"/>
      <c r="G153" s="2"/>
      <c r="H153" s="4"/>
      <c r="I153" s="4"/>
      <c r="J153" s="4"/>
      <c r="K153" s="3"/>
      <c r="L153" s="3"/>
      <c r="M153" s="3"/>
      <c r="N153" s="3"/>
      <c r="O153" s="3"/>
      <c r="P153" s="3"/>
      <c r="Q153" s="3"/>
    </row>
    <row r="154">
      <c r="B154" s="1"/>
      <c r="C154" s="1"/>
      <c r="D154" s="1"/>
      <c r="E154" s="1"/>
      <c r="F154" s="1"/>
      <c r="G154" s="2"/>
      <c r="H154" s="4"/>
      <c r="I154" s="4"/>
      <c r="J154" s="4"/>
      <c r="K154" s="3"/>
      <c r="L154" s="3"/>
      <c r="M154" s="3"/>
      <c r="N154" s="3"/>
      <c r="O154" s="3"/>
      <c r="P154" s="3"/>
      <c r="Q154" s="3"/>
    </row>
    <row r="155">
      <c r="B155" s="1"/>
      <c r="C155" s="1"/>
      <c r="D155" s="1"/>
      <c r="E155" s="1"/>
      <c r="F155" s="1"/>
      <c r="G155" s="2"/>
      <c r="H155" s="4"/>
      <c r="I155" s="4"/>
      <c r="J155" s="4"/>
      <c r="K155" s="3"/>
      <c r="L155" s="3"/>
      <c r="M155" s="3"/>
      <c r="N155" s="3"/>
      <c r="O155" s="3"/>
      <c r="P155" s="3"/>
      <c r="Q155" s="3"/>
    </row>
    <row r="156">
      <c r="B156" s="1"/>
      <c r="C156" s="1"/>
      <c r="D156" s="1"/>
      <c r="E156" s="1"/>
      <c r="F156" s="1"/>
      <c r="G156" s="2"/>
      <c r="H156" s="4"/>
      <c r="I156" s="4"/>
      <c r="J156" s="4"/>
      <c r="K156" s="3"/>
      <c r="L156" s="3"/>
      <c r="M156" s="3"/>
      <c r="N156" s="3"/>
      <c r="O156" s="3"/>
      <c r="P156" s="3"/>
      <c r="Q156" s="3"/>
    </row>
    <row r="157">
      <c r="B157" s="1"/>
      <c r="C157" s="1"/>
      <c r="D157" s="1"/>
      <c r="E157" s="1"/>
      <c r="F157" s="1"/>
      <c r="G157" s="2"/>
      <c r="H157" s="4"/>
      <c r="I157" s="4"/>
      <c r="J157" s="4"/>
      <c r="K157" s="3"/>
      <c r="L157" s="3"/>
      <c r="M157" s="3"/>
      <c r="N157" s="3"/>
      <c r="O157" s="3"/>
      <c r="P157" s="3"/>
      <c r="Q157" s="3"/>
    </row>
    <row r="158">
      <c r="B158" s="1"/>
      <c r="C158" s="1"/>
      <c r="D158" s="1"/>
      <c r="E158" s="1"/>
      <c r="F158" s="1"/>
      <c r="G158" s="2"/>
      <c r="H158" s="4"/>
      <c r="I158" s="4"/>
      <c r="J158" s="4"/>
      <c r="K158" s="3"/>
      <c r="L158" s="3"/>
      <c r="M158" s="3"/>
      <c r="N158" s="3"/>
      <c r="O158" s="3"/>
      <c r="P158" s="3"/>
      <c r="Q158" s="3"/>
    </row>
    <row r="159">
      <c r="B159" s="1"/>
      <c r="C159" s="1"/>
      <c r="D159" s="1"/>
      <c r="E159" s="1"/>
      <c r="F159" s="1"/>
      <c r="G159" s="2"/>
      <c r="H159" s="4"/>
      <c r="I159" s="4"/>
      <c r="J159" s="4"/>
      <c r="K159" s="3"/>
      <c r="L159" s="3"/>
      <c r="M159" s="3"/>
      <c r="N159" s="3"/>
      <c r="O159" s="3"/>
      <c r="P159" s="3"/>
      <c r="Q159" s="3"/>
    </row>
    <row r="160">
      <c r="B160" s="1"/>
      <c r="C160" s="1"/>
      <c r="D160" s="1"/>
      <c r="E160" s="1"/>
      <c r="F160" s="1"/>
      <c r="G160" s="2"/>
      <c r="H160" s="4"/>
      <c r="I160" s="4"/>
      <c r="J160" s="4"/>
      <c r="K160" s="3"/>
      <c r="L160" s="3"/>
      <c r="M160" s="3"/>
      <c r="N160" s="3"/>
      <c r="O160" s="3"/>
      <c r="P160" s="3"/>
      <c r="Q160" s="3"/>
    </row>
    <row r="161">
      <c r="B161" s="1"/>
      <c r="C161" s="1"/>
      <c r="D161" s="1"/>
      <c r="E161" s="1"/>
      <c r="F161" s="1"/>
      <c r="G161" s="2"/>
      <c r="H161" s="4"/>
      <c r="I161" s="4"/>
      <c r="J161" s="4"/>
      <c r="K161" s="3"/>
      <c r="L161" s="3"/>
      <c r="M161" s="3"/>
      <c r="N161" s="3"/>
      <c r="O161" s="3"/>
      <c r="P161" s="3"/>
      <c r="Q161" s="3"/>
    </row>
    <row r="162">
      <c r="B162" s="1"/>
      <c r="C162" s="1"/>
      <c r="D162" s="1"/>
      <c r="E162" s="1"/>
      <c r="F162" s="1"/>
      <c r="G162" s="2"/>
      <c r="H162" s="4"/>
      <c r="I162" s="4"/>
      <c r="J162" s="4"/>
      <c r="K162" s="3"/>
      <c r="L162" s="3"/>
      <c r="M162" s="3"/>
      <c r="N162" s="3"/>
      <c r="O162" s="3"/>
      <c r="P162" s="3"/>
      <c r="Q162" s="3"/>
    </row>
    <row r="163">
      <c r="B163" s="1"/>
      <c r="C163" s="1"/>
      <c r="D163" s="1"/>
      <c r="E163" s="1"/>
      <c r="F163" s="1"/>
      <c r="G163" s="2"/>
      <c r="H163" s="4"/>
      <c r="I163" s="4"/>
      <c r="J163" s="4"/>
      <c r="K163" s="3"/>
      <c r="L163" s="3"/>
      <c r="M163" s="3"/>
      <c r="N163" s="3"/>
      <c r="O163" s="3"/>
      <c r="P163" s="3"/>
      <c r="Q163" s="3"/>
    </row>
    <row r="164">
      <c r="B164" s="1"/>
      <c r="C164" s="1"/>
      <c r="D164" s="1"/>
      <c r="E164" s="1"/>
      <c r="F164" s="1"/>
      <c r="G164" s="2"/>
      <c r="H164" s="4"/>
      <c r="I164" s="4"/>
      <c r="J164" s="4"/>
      <c r="K164" s="3"/>
      <c r="L164" s="3"/>
      <c r="M164" s="3"/>
      <c r="N164" s="3"/>
      <c r="O164" s="3"/>
      <c r="P164" s="3"/>
      <c r="Q164" s="3"/>
    </row>
    <row r="165">
      <c r="B165" s="1"/>
      <c r="C165" s="1"/>
      <c r="D165" s="1"/>
      <c r="E165" s="1"/>
      <c r="F165" s="1"/>
      <c r="G165" s="2"/>
      <c r="H165" s="4"/>
      <c r="I165" s="4"/>
      <c r="J165" s="4"/>
      <c r="K165" s="3"/>
      <c r="L165" s="3"/>
      <c r="M165" s="3"/>
      <c r="N165" s="3"/>
      <c r="O165" s="3"/>
      <c r="P165" s="3"/>
      <c r="Q165" s="3"/>
    </row>
    <row r="166">
      <c r="B166" s="1"/>
      <c r="C166" s="1"/>
      <c r="D166" s="1"/>
      <c r="E166" s="1"/>
      <c r="F166" s="1"/>
      <c r="G166" s="2"/>
      <c r="H166" s="4"/>
      <c r="I166" s="4"/>
      <c r="J166" s="4"/>
      <c r="K166" s="3"/>
      <c r="L166" s="3"/>
      <c r="M166" s="3"/>
      <c r="N166" s="3"/>
      <c r="O166" s="3"/>
      <c r="P166" s="3"/>
      <c r="Q166" s="3"/>
    </row>
    <row r="167">
      <c r="B167" s="1"/>
      <c r="C167" s="1"/>
      <c r="D167" s="1"/>
      <c r="E167" s="1"/>
      <c r="F167" s="1"/>
      <c r="G167" s="2"/>
      <c r="H167" s="4"/>
      <c r="I167" s="4"/>
      <c r="J167" s="4"/>
      <c r="K167" s="3"/>
      <c r="L167" s="3"/>
      <c r="M167" s="3"/>
      <c r="N167" s="3"/>
      <c r="O167" s="3"/>
      <c r="P167" s="3"/>
      <c r="Q167" s="3"/>
    </row>
    <row r="168">
      <c r="B168" s="1"/>
      <c r="C168" s="1"/>
      <c r="D168" s="1"/>
      <c r="E168" s="1"/>
      <c r="F168" s="1"/>
      <c r="G168" s="2"/>
      <c r="H168" s="4"/>
      <c r="I168" s="4"/>
      <c r="J168" s="4"/>
      <c r="K168" s="3"/>
      <c r="L168" s="3"/>
      <c r="M168" s="3"/>
      <c r="N168" s="3"/>
      <c r="O168" s="3"/>
      <c r="P168" s="3"/>
      <c r="Q168" s="3"/>
    </row>
    <row r="169">
      <c r="B169" s="1"/>
      <c r="C169" s="1"/>
      <c r="D169" s="1"/>
      <c r="E169" s="1"/>
      <c r="F169" s="1"/>
      <c r="G169" s="2"/>
      <c r="H169" s="4"/>
      <c r="I169" s="4"/>
      <c r="J169" s="4"/>
      <c r="K169" s="3"/>
      <c r="L169" s="3"/>
      <c r="M169" s="3"/>
      <c r="N169" s="3"/>
      <c r="O169" s="3"/>
      <c r="P169" s="3"/>
      <c r="Q169" s="3"/>
    </row>
    <row r="170">
      <c r="B170" s="1"/>
      <c r="C170" s="1"/>
      <c r="D170" s="1"/>
      <c r="E170" s="1"/>
      <c r="F170" s="1"/>
      <c r="G170" s="2"/>
      <c r="H170" s="4"/>
      <c r="I170" s="4"/>
      <c r="J170" s="4"/>
      <c r="K170" s="3"/>
      <c r="L170" s="3"/>
      <c r="M170" s="3"/>
      <c r="N170" s="3"/>
      <c r="O170" s="3"/>
      <c r="P170" s="3"/>
      <c r="Q170" s="3"/>
    </row>
    <row r="171">
      <c r="B171" s="1"/>
      <c r="C171" s="1"/>
      <c r="D171" s="1"/>
      <c r="E171" s="1"/>
      <c r="F171" s="1"/>
      <c r="G171" s="2"/>
      <c r="H171" s="4"/>
      <c r="I171" s="4"/>
      <c r="J171" s="4"/>
      <c r="K171" s="3"/>
      <c r="L171" s="3"/>
      <c r="M171" s="3"/>
      <c r="N171" s="3"/>
      <c r="O171" s="3"/>
      <c r="P171" s="3"/>
      <c r="Q171" s="3"/>
    </row>
    <row r="172">
      <c r="B172" s="1"/>
      <c r="C172" s="1"/>
      <c r="D172" s="1"/>
      <c r="E172" s="1"/>
      <c r="F172" s="1"/>
      <c r="G172" s="2"/>
      <c r="H172" s="4"/>
      <c r="I172" s="4"/>
      <c r="J172" s="4"/>
      <c r="K172" s="3"/>
      <c r="L172" s="3"/>
      <c r="M172" s="3"/>
      <c r="N172" s="3"/>
      <c r="O172" s="3"/>
      <c r="P172" s="3"/>
      <c r="Q172" s="3"/>
    </row>
    <row r="173">
      <c r="B173" s="1"/>
      <c r="C173" s="1"/>
      <c r="D173" s="1"/>
      <c r="E173" s="1"/>
      <c r="F173" s="1"/>
      <c r="G173" s="2"/>
      <c r="H173" s="4"/>
      <c r="I173" s="4"/>
      <c r="J173" s="4"/>
      <c r="K173" s="3"/>
      <c r="L173" s="3"/>
      <c r="M173" s="3"/>
      <c r="N173" s="3"/>
      <c r="O173" s="3"/>
      <c r="P173" s="3"/>
      <c r="Q173" s="3"/>
    </row>
    <row r="174">
      <c r="B174" s="1"/>
      <c r="C174" s="1"/>
      <c r="D174" s="1"/>
      <c r="E174" s="1"/>
      <c r="F174" s="1"/>
      <c r="G174" s="2"/>
      <c r="H174" s="4"/>
      <c r="I174" s="4"/>
      <c r="J174" s="4"/>
      <c r="K174" s="3"/>
      <c r="L174" s="3"/>
      <c r="M174" s="3"/>
      <c r="N174" s="3"/>
      <c r="O174" s="3"/>
      <c r="P174" s="3"/>
      <c r="Q174" s="3"/>
    </row>
    <row r="175">
      <c r="B175" s="1"/>
      <c r="C175" s="1"/>
      <c r="D175" s="1"/>
      <c r="E175" s="1"/>
      <c r="F175" s="1"/>
      <c r="G175" s="2"/>
      <c r="H175" s="4"/>
      <c r="I175" s="4"/>
      <c r="J175" s="4"/>
      <c r="K175" s="3"/>
      <c r="L175" s="3"/>
      <c r="M175" s="3"/>
      <c r="N175" s="3"/>
      <c r="O175" s="3"/>
      <c r="P175" s="3"/>
      <c r="Q175" s="3"/>
    </row>
    <row r="176">
      <c r="B176" s="1"/>
      <c r="C176" s="1"/>
      <c r="D176" s="1"/>
      <c r="E176" s="1"/>
      <c r="F176" s="1"/>
      <c r="G176" s="2"/>
      <c r="H176" s="4"/>
      <c r="I176" s="4"/>
      <c r="J176" s="4"/>
      <c r="K176" s="3"/>
      <c r="L176" s="3"/>
      <c r="M176" s="3"/>
      <c r="N176" s="3"/>
      <c r="O176" s="3"/>
      <c r="P176" s="3"/>
      <c r="Q176" s="3"/>
    </row>
    <row r="177">
      <c r="B177" s="1"/>
      <c r="C177" s="1"/>
      <c r="D177" s="1"/>
      <c r="E177" s="1"/>
      <c r="F177" s="1"/>
      <c r="G177" s="2"/>
      <c r="H177" s="4"/>
      <c r="I177" s="4"/>
      <c r="J177" s="4"/>
      <c r="K177" s="3"/>
      <c r="L177" s="3"/>
      <c r="M177" s="3"/>
      <c r="N177" s="3"/>
      <c r="O177" s="3"/>
      <c r="P177" s="3"/>
      <c r="Q177" s="3"/>
    </row>
    <row r="178">
      <c r="B178" s="1"/>
      <c r="C178" s="1"/>
      <c r="D178" s="1"/>
      <c r="E178" s="1"/>
      <c r="F178" s="1"/>
      <c r="G178" s="2"/>
      <c r="H178" s="4"/>
      <c r="I178" s="4"/>
      <c r="J178" s="4"/>
      <c r="K178" s="3"/>
      <c r="L178" s="3"/>
      <c r="M178" s="3"/>
      <c r="N178" s="3"/>
      <c r="O178" s="3"/>
      <c r="P178" s="3"/>
      <c r="Q178" s="3"/>
    </row>
    <row r="179">
      <c r="B179" s="1"/>
      <c r="C179" s="1"/>
      <c r="D179" s="1"/>
      <c r="E179" s="1"/>
      <c r="F179" s="1"/>
      <c r="G179" s="2"/>
      <c r="H179" s="4"/>
      <c r="I179" s="4"/>
      <c r="J179" s="4"/>
      <c r="K179" s="3"/>
      <c r="L179" s="3"/>
      <c r="M179" s="3"/>
      <c r="N179" s="3"/>
      <c r="O179" s="3"/>
      <c r="P179" s="3"/>
      <c r="Q179" s="3"/>
    </row>
    <row r="180">
      <c r="B180" s="1"/>
      <c r="C180" s="1"/>
      <c r="D180" s="1"/>
      <c r="E180" s="1"/>
      <c r="F180" s="1"/>
      <c r="G180" s="2"/>
      <c r="H180" s="4"/>
      <c r="I180" s="4"/>
      <c r="J180" s="4"/>
      <c r="K180" s="3"/>
      <c r="L180" s="3"/>
      <c r="M180" s="3"/>
      <c r="N180" s="3"/>
      <c r="O180" s="3"/>
      <c r="P180" s="3"/>
      <c r="Q180" s="3"/>
    </row>
    <row r="181">
      <c r="B181" s="1"/>
      <c r="C181" s="1"/>
      <c r="D181" s="1"/>
      <c r="E181" s="1"/>
      <c r="F181" s="1"/>
      <c r="G181" s="2"/>
      <c r="H181" s="4"/>
      <c r="I181" s="4"/>
      <c r="J181" s="4"/>
      <c r="K181" s="3"/>
      <c r="L181" s="3"/>
      <c r="M181" s="3"/>
      <c r="N181" s="3"/>
      <c r="O181" s="3"/>
      <c r="P181" s="3"/>
      <c r="Q181" s="3"/>
    </row>
    <row r="182">
      <c r="B182" s="1"/>
      <c r="C182" s="1"/>
      <c r="D182" s="1"/>
      <c r="E182" s="1"/>
      <c r="F182" s="1"/>
      <c r="G182" s="2"/>
      <c r="H182" s="4"/>
      <c r="I182" s="4"/>
      <c r="J182" s="4"/>
      <c r="K182" s="3"/>
      <c r="L182" s="3"/>
      <c r="M182" s="3"/>
      <c r="N182" s="3"/>
      <c r="O182" s="3"/>
      <c r="P182" s="3"/>
      <c r="Q182" s="3"/>
    </row>
    <row r="183">
      <c r="B183" s="1"/>
      <c r="C183" s="1"/>
      <c r="D183" s="1"/>
      <c r="E183" s="1"/>
      <c r="F183" s="1"/>
      <c r="G183" s="2"/>
      <c r="H183" s="4"/>
      <c r="I183" s="4"/>
      <c r="J183" s="4"/>
      <c r="K183" s="3"/>
      <c r="L183" s="3"/>
      <c r="M183" s="3"/>
      <c r="N183" s="3"/>
      <c r="O183" s="3"/>
      <c r="P183" s="3"/>
      <c r="Q183" s="3"/>
    </row>
    <row r="184">
      <c r="B184" s="1"/>
      <c r="C184" s="1"/>
      <c r="D184" s="1"/>
      <c r="E184" s="1"/>
      <c r="F184" s="1"/>
      <c r="G184" s="2"/>
      <c r="H184" s="4"/>
      <c r="I184" s="4"/>
      <c r="J184" s="4"/>
      <c r="K184" s="3"/>
      <c r="L184" s="3"/>
      <c r="M184" s="3"/>
      <c r="N184" s="3"/>
      <c r="O184" s="3"/>
      <c r="P184" s="3"/>
      <c r="Q184" s="3"/>
    </row>
    <row r="185">
      <c r="B185" s="1"/>
      <c r="C185" s="1"/>
      <c r="D185" s="1"/>
      <c r="E185" s="1"/>
      <c r="F185" s="1"/>
      <c r="G185" s="2"/>
      <c r="H185" s="4"/>
      <c r="I185" s="4"/>
      <c r="J185" s="4"/>
      <c r="K185" s="3"/>
      <c r="L185" s="3"/>
      <c r="M185" s="3"/>
      <c r="N185" s="3"/>
      <c r="O185" s="3"/>
      <c r="P185" s="3"/>
      <c r="Q185" s="3"/>
    </row>
    <row r="186">
      <c r="B186" s="1"/>
      <c r="C186" s="1"/>
      <c r="D186" s="1"/>
      <c r="E186" s="1"/>
      <c r="F186" s="1"/>
      <c r="G186" s="2"/>
      <c r="H186" s="4"/>
      <c r="I186" s="4"/>
      <c r="J186" s="4"/>
      <c r="K186" s="3"/>
      <c r="L186" s="3"/>
      <c r="M186" s="3"/>
      <c r="N186" s="3"/>
      <c r="O186" s="3"/>
      <c r="P186" s="3"/>
      <c r="Q186" s="3"/>
    </row>
    <row r="187">
      <c r="B187" s="1"/>
      <c r="C187" s="1"/>
      <c r="D187" s="1"/>
      <c r="E187" s="1"/>
      <c r="F187" s="1"/>
      <c r="G187" s="2"/>
      <c r="H187" s="4"/>
      <c r="I187" s="4"/>
      <c r="J187" s="4"/>
      <c r="K187" s="3"/>
      <c r="L187" s="3"/>
      <c r="M187" s="3"/>
      <c r="N187" s="3"/>
      <c r="O187" s="3"/>
      <c r="P187" s="3"/>
      <c r="Q187" s="3"/>
    </row>
    <row r="188">
      <c r="B188" s="1"/>
      <c r="C188" s="1"/>
      <c r="D188" s="1"/>
      <c r="E188" s="1"/>
      <c r="F188" s="1"/>
      <c r="G188" s="2"/>
      <c r="H188" s="4"/>
      <c r="I188" s="4"/>
      <c r="J188" s="4"/>
      <c r="K188" s="3"/>
      <c r="L188" s="3"/>
      <c r="M188" s="3"/>
      <c r="N188" s="3"/>
      <c r="O188" s="3"/>
      <c r="P188" s="3"/>
      <c r="Q188" s="3"/>
    </row>
    <row r="189">
      <c r="B189" s="1"/>
      <c r="C189" s="1"/>
      <c r="D189" s="1"/>
      <c r="E189" s="1"/>
      <c r="F189" s="1"/>
      <c r="G189" s="2"/>
      <c r="H189" s="4"/>
      <c r="I189" s="4"/>
      <c r="J189" s="4"/>
      <c r="K189" s="3"/>
      <c r="L189" s="3"/>
      <c r="M189" s="3"/>
      <c r="N189" s="3"/>
      <c r="O189" s="3"/>
      <c r="P189" s="3"/>
      <c r="Q189" s="3"/>
    </row>
    <row r="190">
      <c r="B190" s="1"/>
      <c r="C190" s="1"/>
      <c r="D190" s="1"/>
      <c r="E190" s="1"/>
      <c r="F190" s="1"/>
      <c r="G190" s="2"/>
      <c r="H190" s="4"/>
      <c r="I190" s="4"/>
      <c r="J190" s="4"/>
      <c r="K190" s="3"/>
      <c r="L190" s="3"/>
      <c r="M190" s="3"/>
      <c r="N190" s="3"/>
      <c r="O190" s="3"/>
      <c r="P190" s="3"/>
      <c r="Q190" s="3"/>
    </row>
    <row r="191">
      <c r="B191" s="1"/>
      <c r="C191" s="1"/>
      <c r="D191" s="1"/>
      <c r="E191" s="1"/>
      <c r="F191" s="1"/>
      <c r="G191" s="2"/>
      <c r="H191" s="4"/>
      <c r="I191" s="4"/>
      <c r="J191" s="4"/>
      <c r="K191" s="3"/>
      <c r="L191" s="3"/>
      <c r="M191" s="3"/>
      <c r="N191" s="3"/>
      <c r="O191" s="3"/>
      <c r="P191" s="3"/>
      <c r="Q191" s="3"/>
    </row>
    <row r="192">
      <c r="B192" s="1"/>
      <c r="C192" s="1"/>
      <c r="D192" s="1"/>
      <c r="E192" s="1"/>
      <c r="F192" s="1"/>
      <c r="G192" s="2"/>
      <c r="H192" s="4"/>
      <c r="I192" s="4"/>
      <c r="J192" s="4"/>
      <c r="K192" s="3"/>
      <c r="L192" s="3"/>
      <c r="M192" s="3"/>
      <c r="N192" s="3"/>
      <c r="O192" s="3"/>
      <c r="P192" s="3"/>
      <c r="Q192" s="3"/>
    </row>
    <row r="193">
      <c r="B193" s="1"/>
      <c r="C193" s="1"/>
      <c r="D193" s="1"/>
      <c r="E193" s="1"/>
      <c r="F193" s="1"/>
      <c r="G193" s="2"/>
      <c r="H193" s="4"/>
      <c r="I193" s="4"/>
      <c r="J193" s="4"/>
      <c r="K193" s="3"/>
      <c r="L193" s="3"/>
      <c r="M193" s="3"/>
      <c r="N193" s="3"/>
      <c r="O193" s="3"/>
      <c r="P193" s="3"/>
      <c r="Q193" s="3"/>
    </row>
    <row r="194">
      <c r="B194" s="1"/>
      <c r="C194" s="1"/>
      <c r="D194" s="1"/>
      <c r="E194" s="1"/>
      <c r="F194" s="1"/>
      <c r="G194" s="2"/>
      <c r="H194" s="4"/>
      <c r="I194" s="4"/>
      <c r="J194" s="4"/>
      <c r="K194" s="3"/>
      <c r="L194" s="3"/>
      <c r="M194" s="3"/>
      <c r="N194" s="3"/>
      <c r="O194" s="3"/>
      <c r="P194" s="3"/>
      <c r="Q194" s="3"/>
    </row>
    <row r="195">
      <c r="B195" s="1"/>
      <c r="C195" s="1"/>
      <c r="D195" s="1"/>
      <c r="E195" s="1"/>
      <c r="F195" s="1"/>
      <c r="G195" s="2"/>
      <c r="H195" s="4"/>
      <c r="I195" s="4"/>
      <c r="J195" s="4"/>
      <c r="K195" s="3"/>
      <c r="L195" s="3"/>
      <c r="M195" s="3"/>
      <c r="N195" s="3"/>
      <c r="O195" s="3"/>
      <c r="P195" s="3"/>
      <c r="Q195" s="3"/>
    </row>
    <row r="196">
      <c r="B196" s="1"/>
      <c r="C196" s="1"/>
      <c r="D196" s="1"/>
      <c r="E196" s="1"/>
      <c r="F196" s="1"/>
      <c r="G196" s="2"/>
      <c r="H196" s="4"/>
      <c r="I196" s="4"/>
      <c r="J196" s="4"/>
      <c r="K196" s="3"/>
      <c r="L196" s="3"/>
      <c r="M196" s="3"/>
      <c r="N196" s="3"/>
      <c r="O196" s="3"/>
      <c r="P196" s="3"/>
      <c r="Q196" s="3"/>
    </row>
    <row r="197">
      <c r="B197" s="1"/>
      <c r="C197" s="1"/>
      <c r="D197" s="1"/>
      <c r="E197" s="1"/>
      <c r="F197" s="1"/>
      <c r="G197" s="2"/>
      <c r="H197" s="4"/>
      <c r="I197" s="4"/>
      <c r="J197" s="4"/>
      <c r="K197" s="3"/>
      <c r="L197" s="3"/>
      <c r="M197" s="3"/>
      <c r="N197" s="3"/>
      <c r="O197" s="3"/>
      <c r="P197" s="3"/>
      <c r="Q197" s="3"/>
    </row>
    <row r="198">
      <c r="B198" s="1"/>
      <c r="C198" s="1"/>
      <c r="D198" s="1"/>
      <c r="E198" s="1"/>
      <c r="F198" s="1"/>
      <c r="G198" s="2"/>
      <c r="H198" s="4"/>
      <c r="I198" s="4"/>
      <c r="J198" s="4"/>
      <c r="K198" s="3"/>
      <c r="L198" s="3"/>
      <c r="M198" s="3"/>
      <c r="N198" s="3"/>
      <c r="O198" s="3"/>
      <c r="P198" s="3"/>
      <c r="Q198" s="3"/>
    </row>
    <row r="199">
      <c r="B199" s="1"/>
      <c r="C199" s="1"/>
      <c r="D199" s="1"/>
      <c r="E199" s="1"/>
      <c r="F199" s="1"/>
      <c r="G199" s="2"/>
      <c r="H199" s="4"/>
      <c r="I199" s="4"/>
      <c r="J199" s="4"/>
      <c r="K199" s="3"/>
      <c r="L199" s="3"/>
      <c r="M199" s="3"/>
      <c r="N199" s="3"/>
      <c r="O199" s="3"/>
      <c r="P199" s="3"/>
      <c r="Q199" s="3"/>
    </row>
    <row r="200">
      <c r="B200" s="1"/>
      <c r="C200" s="1"/>
      <c r="D200" s="1"/>
      <c r="E200" s="1"/>
      <c r="F200" s="1"/>
      <c r="G200" s="2"/>
      <c r="H200" s="4"/>
      <c r="I200" s="4"/>
      <c r="J200" s="4"/>
      <c r="K200" s="3"/>
      <c r="L200" s="3"/>
      <c r="M200" s="3"/>
      <c r="N200" s="3"/>
      <c r="O200" s="3"/>
      <c r="P200" s="3"/>
      <c r="Q200" s="3"/>
    </row>
    <row r="201">
      <c r="B201" s="1"/>
      <c r="C201" s="1"/>
      <c r="D201" s="1"/>
      <c r="E201" s="1"/>
      <c r="F201" s="1"/>
      <c r="G201" s="2"/>
      <c r="H201" s="4"/>
      <c r="I201" s="4"/>
      <c r="J201" s="4"/>
      <c r="K201" s="3"/>
      <c r="L201" s="3"/>
      <c r="M201" s="3"/>
      <c r="N201" s="3"/>
      <c r="O201" s="3"/>
      <c r="P201" s="3"/>
      <c r="Q201" s="3"/>
    </row>
    <row r="202">
      <c r="B202" s="1"/>
      <c r="C202" s="1"/>
      <c r="D202" s="1"/>
      <c r="E202" s="1"/>
      <c r="F202" s="1"/>
      <c r="G202" s="2"/>
      <c r="H202" s="4"/>
      <c r="I202" s="4"/>
      <c r="J202" s="4"/>
      <c r="K202" s="3"/>
      <c r="L202" s="3"/>
      <c r="M202" s="3"/>
      <c r="N202" s="3"/>
      <c r="O202" s="3"/>
      <c r="P202" s="3"/>
      <c r="Q202" s="3"/>
    </row>
    <row r="203">
      <c r="B203" s="1"/>
      <c r="C203" s="1"/>
      <c r="D203" s="1"/>
      <c r="E203" s="1"/>
      <c r="F203" s="1"/>
      <c r="G203" s="2"/>
      <c r="H203" s="4"/>
      <c r="I203" s="4"/>
      <c r="J203" s="4"/>
      <c r="K203" s="3"/>
      <c r="L203" s="3"/>
      <c r="M203" s="3"/>
      <c r="N203" s="3"/>
      <c r="O203" s="3"/>
      <c r="P203" s="3"/>
      <c r="Q203" s="3"/>
    </row>
  </sheetData>
  <conditionalFormatting sqref="A1:A1048576">
    <cfRule dxfId="0" priority="2" stopIfTrue="true" type="duplicateValues"/>
  </conditionalFormatting>
  <dataValidations count="3">
    <dataValidation allowBlank="true" errorStyle="stop" showDropDown="true" showErrorMessage="true" sqref="P2:P203" type="list">
      <formula1>"✅"</formula1>
    </dataValidation>
    <dataValidation allowBlank="true" errorStyle="stop" showDropDown="true" showErrorMessage="true" sqref="O2:O203" type="list">
      <formula1>"是,组合,否,镜像源,镜像子"</formula1>
    </dataValidation>
    <dataValidation allowBlank="true" errorStyle="stop" showDropDown="true" showErrorMessage="true" sqref="B2:B203" type="list">
      <formula1>"SM,BP"</formula1>
    </dataValidation>
  </dataValidation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true" errorStyle="stop" showDropDown="true" showErrorMessage="true" xr:uid="{1069C789-2963-4E1C-A988-5E0ACFAAB3D2}">
          <x14:formula1>
            <xm:f>'引用列表'!$A$2:$A$21</xm:f>
          </x14:formula1>
          <xm:sqref>C2:C203</xm:sqref>
        </x14:dataValidation>
        <x14:dataValidation type="list" allowBlank="true" errorStyle="stop" showDropDown="true" showErrorMessage="true" xr:uid="{B54CE682-9E69-4DEF-8083-9EAF11795169}">
          <x14:formula1>
            <xm:f>'引用列表'!$I$2:$I$16</xm:f>
          </x14:formula1>
          <xm:sqref>F2:F203 E2:E203</xm:sqref>
        </x14:dataValidation>
        <x14:dataValidation type="list" allowBlank="true" errorStyle="stop" showDropDown="true" showErrorMessage="true" xr:uid="{01C08136-CDD7-484C-822F-29517B21C11B}">
          <x14:formula1>
            <xm:f>'引用列表'!$E$2:$E$20</xm:f>
          </x14:formula1>
          <xm:sqref>D2:D203</xm:sqref>
        </x14:dataValidation>
      </x14:dataValidation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41"/>
    <col collapsed="false" customWidth="true" hidden="false" max="2" min="2" style="0" width="158"/>
    <col collapsed="false" customWidth="true" hidden="false" max="3" min="3" style="0" width="17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3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1" t="str">
        <v>Row Name</v>
      </c>
      <c r="B1" s="11" t="str">
        <v>Mesh</v>
      </c>
      <c r="C1" s="11" t="str">
        <v>StartOpeningType</v>
      </c>
      <c r="D1" s="12" t="str">
        <v>EndOpeningType</v>
      </c>
      <c r="E1" s="11" t="str">
        <v>LeftOpeningType</v>
      </c>
      <c r="F1" s="11" t="str">
        <v>RightOpeningType</v>
      </c>
      <c r="G1" s="11" t="str">
        <v>StartStyleType</v>
      </c>
      <c r="H1" s="11" t="str">
        <v>EndStyleType</v>
      </c>
      <c r="I1" s="11" t="str">
        <v>LeftStyleType</v>
      </c>
      <c r="J1" s="11" t="str">
        <v>RightStyleType</v>
      </c>
      <c r="K1" s="11" t="str">
        <v>bEndOnly</v>
      </c>
    </row>
    <row customHeight="true" ht="19" r="2">
      <c r="A2">
        <f>IF(VoxelMeshDefinition!AE301="✅", IF(#REF!&lt;&gt;"", #REF!, ""),"")</f>
      </c>
      <c r="B2" s="5">
        <f>IF(VoxelMeshDefinition!AE301="✅", "/Script/Engine.StaticMesh'/Game/Item/Mesh/Voxel/" &amp; VoxelMeshDefinition!Q301 &amp; "/" &amp; VoxelMeshDefinition!H301 &amp; "/" &amp; VoxelMeshDefinition!E301 &amp; "." &amp; VoxelMeshDefinition!E301 &amp; "'", "")</f>
      </c>
      <c r="C2">
        <f>IF(VoxelMeshDefinition!AE301="✅", IF(VoxelMeshDefinition!T301&lt;&gt;"", VoxelMeshDefinition!T301, ""), "")</f>
      </c>
      <c r="D2" s="10">
        <f>IF(VoxelMeshDefinition!AE301="✅", IF(VoxelMeshDefinition!U301&lt;&gt;"", VoxelMeshDefinition!U301, ""),"")</f>
      </c>
      <c r="E2" s="9">
        <f>IF(VoxelMeshDefinition!AE301="✅", IF(VoxelMeshDefinition!V301&lt;&gt;"", VoxelMeshDefinition!V301, ""),"")</f>
      </c>
      <c r="F2">
        <f>IF(VoxelMeshDefinition!AE301="✅", IF(VoxelMeshDefinition!W301&lt;&gt;"", VoxelMeshDefinition!W301, ""),"")</f>
      </c>
      <c r="G2">
        <f>IF(VoxelMeshDefinition!AE301="✅", IF(VoxelMeshDefinition!X301&lt;&gt;"", VoxelMeshDefinition!X301, ""),"")</f>
      </c>
      <c r="H2">
        <f>IF(VoxelMeshDefinition!AE301="✅", IF(VoxelMeshDefinition!Y301&lt;&gt;"", VoxelMeshDefinition!Y301, ""),"")</f>
      </c>
      <c r="I2">
        <f>IF(VoxelMeshDefinition!AE301="✅", IF(VoxelMeshDefinition!Z301&lt;&gt;"", VoxelMeshDefinition!Z301, ""),"")</f>
      </c>
      <c r="J2">
        <f>IF(VoxelMeshDefinition!AE301="✅", IF(VoxelMeshDefinition!AA301&lt;&gt;"", VoxelMeshDefinition!AA301, ""),"")</f>
      </c>
      <c r="K2" s="1">
        <f>IF(VoxelMeshDefinition!AE301="✅", VLOOKUP(A2,VoxelMeshDefinition!S:AE,10,FALSE),"")</f>
      </c>
    </row>
    <row customHeight="true" ht="19" r="3">
      <c r="A3">
        <f>IF(#REF!="✅", IF(#REF!&lt;&gt;"", #REF!, ""),"")</f>
      </c>
      <c r="B3" s="5">
        <f>IF(#REF!="✅", "/Script/Engine.StaticMesh'/Game/Item/Mesh/Voxel/" &amp; #REF! &amp; "/" &amp; #REF! &amp; "/" &amp; #REF! &amp; "." &amp; #REF! &amp; "'", "")</f>
      </c>
      <c r="C3">
        <f>IF(#REF!="✅", IF(#REF!&lt;&gt;"", #REF!, ""), "")</f>
      </c>
      <c r="D3" s="10">
        <f>IF(#REF!="✅", IF(#REF!&lt;&gt;"", #REF!, ""),"")</f>
      </c>
      <c r="E3" s="9">
        <f>IF(#REF!="✅", IF(#REF!&lt;&gt;"", #REF!, ""),"")</f>
      </c>
      <c r="F3">
        <f>IF(#REF!="✅", IF(#REF!&lt;&gt;"", #REF!, ""),"")</f>
      </c>
      <c r="G3">
        <f>IF(#REF!="✅", IF(#REF!&lt;&gt;"", #REF!, ""),"")</f>
      </c>
      <c r="H3">
        <f>IF(#REF!="✅", IF(#REF!&lt;&gt;"", #REF!, ""),"")</f>
      </c>
      <c r="I3">
        <f>IF(#REF!="✅", IF(#REF!&lt;&gt;"", #REF!, ""),"")</f>
      </c>
      <c r="J3">
        <f>IF(#REF!="✅", IF(#REF!&lt;&gt;"", #REF!, ""),"")</f>
      </c>
      <c r="K3" s="1">
        <f>IF(#REF!="✅", VLOOKUP(A3,VoxelMeshDefinition!S:AE,10,FALSE),"")</f>
      </c>
    </row>
    <row customHeight="true" ht="19" r="4">
      <c r="A4">
        <f>IF(#REF!="✅", IF(#REF!&lt;&gt;"", #REF!, ""),"")</f>
      </c>
      <c r="B4" s="5">
        <f>IF(#REF!="✅", "/Script/Engine.StaticMesh'/Game/Item/Mesh/Voxel/" &amp; #REF! &amp; "/" &amp; #REF! &amp; "/" &amp; #REF! &amp; "." &amp; #REF! &amp; "'", "")</f>
      </c>
      <c r="C4">
        <f>IF(#REF!="✅", IF(#REF!&lt;&gt;"", #REF!, ""), "")</f>
      </c>
      <c r="D4" s="10">
        <f>IF(#REF!="✅", IF(#REF!&lt;&gt;"", #REF!, ""),"")</f>
      </c>
      <c r="E4" s="9">
        <f>IF(#REF!="✅", IF(#REF!&lt;&gt;"", #REF!, ""),"")</f>
      </c>
      <c r="F4">
        <f>IF(#REF!="✅", IF(#REF!&lt;&gt;"", #REF!, ""),"")</f>
      </c>
      <c r="G4">
        <f>IF(#REF!="✅", IF(#REF!&lt;&gt;"", #REF!, ""),"")</f>
      </c>
      <c r="H4">
        <f>IF(#REF!="✅", IF(#REF!&lt;&gt;"", #REF!, ""),"")</f>
      </c>
      <c r="I4">
        <f>IF(#REF!="✅", IF(#REF!&lt;&gt;"", #REF!, ""),"")</f>
      </c>
      <c r="J4">
        <f>IF(#REF!="✅", IF(#REF!&lt;&gt;"", #REF!, ""),"")</f>
      </c>
      <c r="K4" s="1">
        <f>IF(#REF!="✅", VLOOKUP(A4,VoxelMeshDefinition!S:AE,10,FALSE),"")</f>
      </c>
    </row>
    <row customHeight="true" ht="19" r="5">
      <c r="A5">
        <f>IF(#REF!="✅", IF(#REF!&lt;&gt;"", #REF!, ""),"")</f>
      </c>
      <c r="B5" s="5">
        <f>IF(#REF!="✅", "/Script/Engine.StaticMesh'/Game/Item/Mesh/Voxel/" &amp; #REF! &amp; "/" &amp; #REF! &amp; "/" &amp; #REF! &amp; "." &amp; #REF! &amp; "'", "")</f>
      </c>
      <c r="C5">
        <f>IF(#REF!="✅", IF(#REF!&lt;&gt;"", #REF!, ""), "")</f>
      </c>
      <c r="D5" s="10">
        <f>IF(#REF!="✅", IF(#REF!&lt;&gt;"", #REF!, ""),"")</f>
      </c>
      <c r="E5" s="9">
        <f>IF(#REF!="✅", IF(#REF!&lt;&gt;"", #REF!, ""),"")</f>
      </c>
      <c r="F5">
        <f>IF(#REF!="✅", IF(#REF!&lt;&gt;"", #REF!, ""),"")</f>
      </c>
      <c r="G5">
        <f>IF(#REF!="✅", IF(#REF!&lt;&gt;"", #REF!, ""),"")</f>
      </c>
      <c r="H5">
        <f>IF(#REF!="✅", IF(#REF!&lt;&gt;"", #REF!, ""),"")</f>
      </c>
      <c r="I5">
        <f>IF(#REF!="✅", IF(#REF!&lt;&gt;"", #REF!, ""),"")</f>
      </c>
      <c r="J5">
        <f>IF(#REF!="✅", IF(#REF!&lt;&gt;"", #REF!, ""),"")</f>
      </c>
      <c r="K5" s="1">
        <f>IF(#REF!="✅", VLOOKUP(A5,VoxelMeshDefinition!S:AE,10,FALSE),"")</f>
      </c>
    </row>
    <row customHeight="true" ht="19" r="6">
      <c r="A6">
        <f>IF(#REF!="✅", IF(#REF!&lt;&gt;"", #REF!, ""),"")</f>
      </c>
      <c r="B6" s="5">
        <f>IF(#REF!="✅", "/Script/Engine.StaticMesh'/Game/Item/Mesh/Voxel/" &amp; #REF! &amp; "/" &amp; #REF! &amp; "/" &amp; #REF! &amp; "." &amp; #REF! &amp; "'", "")</f>
      </c>
      <c r="C6">
        <f>IF(#REF!="✅", IF(#REF!&lt;&gt;"", #REF!, ""), "")</f>
      </c>
      <c r="D6" s="10">
        <f>IF(#REF!="✅", IF(#REF!&lt;&gt;"", #REF!, ""),"")</f>
      </c>
      <c r="E6" s="9">
        <f>IF(#REF!="✅", IF(#REF!&lt;&gt;"", #REF!, ""),"")</f>
      </c>
      <c r="F6">
        <f>IF(#REF!="✅", IF(#REF!&lt;&gt;"", #REF!, ""),"")</f>
      </c>
      <c r="G6">
        <f>IF(#REF!="✅", IF(#REF!&lt;&gt;"", #REF!, ""),"")</f>
      </c>
      <c r="H6">
        <f>IF(#REF!="✅", IF(#REF!&lt;&gt;"", #REF!, ""),"")</f>
      </c>
      <c r="I6">
        <f>IF(#REF!="✅", IF(#REF!&lt;&gt;"", #REF!, ""),"")</f>
      </c>
      <c r="J6">
        <f>IF(#REF!="✅", IF(#REF!&lt;&gt;"", #REF!, ""),"")</f>
      </c>
      <c r="K6" s="1">
        <f>IF(#REF!="✅", VLOOKUP(A6,VoxelMeshDefinition!S:AE,10,FALSE),"")</f>
      </c>
    </row>
    <row customHeight="true" ht="19" r="7">
      <c r="A7">
        <f>IF(#REF!="✅", IF(#REF!&lt;&gt;"", #REF!, ""),"")</f>
      </c>
      <c r="B7" s="5">
        <f>IF(#REF!="✅", "/Script/Engine.StaticMesh'/Game/Item/Mesh/Voxel/" &amp; #REF! &amp; "/" &amp; #REF! &amp; "/" &amp; #REF! &amp; "." &amp; #REF! &amp; "'", "")</f>
      </c>
      <c r="C7">
        <f>IF(#REF!="✅", IF(#REF!&lt;&gt;"", #REF!, ""), "")</f>
      </c>
      <c r="D7" s="10">
        <f>IF(#REF!="✅", IF(#REF!&lt;&gt;"", #REF!, ""),"")</f>
      </c>
      <c r="E7" s="9">
        <f>IF(#REF!="✅", IF(#REF!&lt;&gt;"", #REF!, ""),"")</f>
      </c>
      <c r="F7">
        <f>IF(#REF!="✅", IF(#REF!&lt;&gt;"", #REF!, ""),"")</f>
      </c>
      <c r="G7">
        <f>IF(#REF!="✅", IF(#REF!&lt;&gt;"", #REF!, ""),"")</f>
      </c>
      <c r="H7">
        <f>IF(#REF!="✅", IF(#REF!&lt;&gt;"", #REF!, ""),"")</f>
      </c>
      <c r="I7">
        <f>IF(#REF!="✅", IF(#REF!&lt;&gt;"", #REF!, ""),"")</f>
      </c>
      <c r="J7">
        <f>IF(#REF!="✅", IF(#REF!&lt;&gt;"", #REF!, ""),"")</f>
      </c>
      <c r="K7" s="1">
        <f>IF(#REF!="✅", VLOOKUP(A7,VoxelMeshDefinition!S:AE,10,FALSE),"")</f>
      </c>
    </row>
    <row customHeight="true" ht="19" r="8">
      <c r="A8">
        <f>IF(#REF!="✅", IF(#REF!&lt;&gt;"", #REF!, ""),"")</f>
      </c>
      <c r="B8" s="5">
        <f>IF(#REF!="✅", "/Script/Engine.StaticMesh'/Game/Item/Mesh/Voxel/" &amp; #REF! &amp; "/" &amp; #REF! &amp; "/" &amp; #REF! &amp; "." &amp; #REF! &amp; "'", "")</f>
      </c>
      <c r="C8">
        <f>IF(#REF!="✅", IF(#REF!&lt;&gt;"", #REF!, ""), "")</f>
      </c>
      <c r="D8" s="10">
        <f>IF(#REF!="✅", IF(#REF!&lt;&gt;"", #REF!, ""),"")</f>
      </c>
      <c r="E8" s="9">
        <f>IF(#REF!="✅", IF(#REF!&lt;&gt;"", #REF!, ""),"")</f>
      </c>
      <c r="F8">
        <f>IF(#REF!="✅", IF(#REF!&lt;&gt;"", #REF!, ""),"")</f>
      </c>
      <c r="G8">
        <f>IF(#REF!="✅", IF(#REF!&lt;&gt;"", #REF!, ""),"")</f>
      </c>
      <c r="H8">
        <f>IF(#REF!="✅", IF(#REF!&lt;&gt;"", #REF!, ""),"")</f>
      </c>
      <c r="I8">
        <f>IF(#REF!="✅", IF(#REF!&lt;&gt;"", #REF!, ""),"")</f>
      </c>
      <c r="J8">
        <f>IF(#REF!="✅", IF(#REF!&lt;&gt;"", #REF!, ""),"")</f>
      </c>
      <c r="K8" s="1">
        <f>IF(#REF!="✅", VLOOKUP(A8,VoxelMeshDefinition!S:AE,10,FALSE),"")</f>
      </c>
    </row>
    <row customHeight="true" ht="19" r="9">
      <c r="A9">
        <f>IF(#REF!="✅", IF(#REF!&lt;&gt;"", #REF!, ""),"")</f>
      </c>
      <c r="B9" s="5">
        <f>IF(#REF!="✅", "/Script/Engine.StaticMesh'/Game/Item/Mesh/Voxel/" &amp; #REF! &amp; "/" &amp; #REF! &amp; "/" &amp; #REF! &amp; "." &amp; #REF! &amp; "'", "")</f>
      </c>
      <c r="C9">
        <f>IF(#REF!="✅", IF(#REF!&lt;&gt;"", #REF!, ""), "")</f>
      </c>
      <c r="D9" s="10">
        <f>IF(#REF!="✅", IF(#REF!&lt;&gt;"", #REF!, ""),"")</f>
      </c>
      <c r="E9" s="9">
        <f>IF(#REF!="✅", IF(#REF!&lt;&gt;"", #REF!, ""),"")</f>
      </c>
      <c r="F9">
        <f>IF(#REF!="✅", IF(#REF!&lt;&gt;"", #REF!, ""),"")</f>
      </c>
      <c r="G9">
        <f>IF(#REF!="✅", IF(#REF!&lt;&gt;"", #REF!, ""),"")</f>
      </c>
      <c r="H9">
        <f>IF(#REF!="✅", IF(#REF!&lt;&gt;"", #REF!, ""),"")</f>
      </c>
      <c r="I9">
        <f>IF(#REF!="✅", IF(#REF!&lt;&gt;"", #REF!, ""),"")</f>
      </c>
      <c r="J9">
        <f>IF(#REF!="✅", IF(#REF!&lt;&gt;"", #REF!, ""),"")</f>
      </c>
      <c r="K9" s="1">
        <f>IF(#REF!="✅", VLOOKUP(A9,VoxelMeshDefinition!S:AE,10,FALSE),"")</f>
      </c>
    </row>
    <row customHeight="true" ht="19" r="10">
      <c r="A10">
        <f>IF(#REF!="✅", IF(#REF!&lt;&gt;"", #REF!, ""),"")</f>
      </c>
      <c r="B10" s="5">
        <f>IF(#REF!="✅", "/Script/Engine.StaticMesh'/Game/Item/Mesh/Voxel/" &amp; #REF! &amp; "/" &amp; #REF! &amp; "/" &amp; #REF! &amp; "." &amp; #REF! &amp; "'", "")</f>
      </c>
      <c r="C10">
        <f>IF(#REF!="✅", IF(#REF!&lt;&gt;"", #REF!, ""), "")</f>
      </c>
      <c r="D10" s="10">
        <f>IF(#REF!="✅", IF(#REF!&lt;&gt;"", #REF!, ""),"")</f>
      </c>
      <c r="E10" s="9">
        <f>IF(#REF!="✅", IF(#REF!&lt;&gt;"", #REF!, ""),"")</f>
      </c>
      <c r="F10">
        <f>IF(#REF!="✅", IF(#REF!&lt;&gt;"", #REF!, ""),"")</f>
      </c>
      <c r="G10">
        <f>IF(#REF!="✅", IF(#REF!&lt;&gt;"", #REF!, ""),"")</f>
      </c>
      <c r="H10">
        <f>IF(#REF!="✅", IF(#REF!&lt;&gt;"", #REF!, ""),"")</f>
      </c>
      <c r="I10">
        <f>IF(#REF!="✅", IF(#REF!&lt;&gt;"", #REF!, ""),"")</f>
      </c>
      <c r="J10">
        <f>IF(#REF!="✅", IF(#REF!&lt;&gt;"", #REF!, ""),"")</f>
      </c>
      <c r="K10" s="1">
        <f>IF(#REF!="✅", VLOOKUP(A10,VoxelMeshDefinition!S:AE,10,FALSE),"")</f>
      </c>
    </row>
    <row customHeight="true" ht="19" r="11">
      <c r="A11">
        <f>IF(#REF!="✅", IF(#REF!&lt;&gt;"", #REF!, ""),"")</f>
      </c>
      <c r="B11" s="5">
        <f>IF(#REF!="✅", "/Script/Engine.StaticMesh'/Game/Item/Mesh/Voxel/" &amp; #REF! &amp; "/" &amp; #REF! &amp; "/" &amp; #REF! &amp; "." &amp; #REF! &amp; "'", "")</f>
      </c>
      <c r="C11">
        <f>IF(#REF!="✅", IF(#REF!&lt;&gt;"", #REF!, ""), "")</f>
      </c>
      <c r="D11" s="10">
        <f>IF(#REF!="✅", IF(#REF!&lt;&gt;"", #REF!, ""),"")</f>
      </c>
      <c r="E11" s="9">
        <f>IF(#REF!="✅", IF(#REF!&lt;&gt;"", #REF!, ""),"")</f>
      </c>
      <c r="F11">
        <f>IF(#REF!="✅", IF(#REF!&lt;&gt;"", #REF!, ""),"")</f>
      </c>
      <c r="G11">
        <f>IF(#REF!="✅", IF(#REF!&lt;&gt;"", #REF!, ""),"")</f>
      </c>
      <c r="H11">
        <f>IF(#REF!="✅", IF(#REF!&lt;&gt;"", #REF!, ""),"")</f>
      </c>
      <c r="I11">
        <f>IF(#REF!="✅", IF(#REF!&lt;&gt;"", #REF!, ""),"")</f>
      </c>
      <c r="J11">
        <f>IF(#REF!="✅", IF(#REF!&lt;&gt;"", #REF!, ""),"")</f>
      </c>
      <c r="K11" s="1">
        <f>IF(#REF!="✅", VLOOKUP(A11,VoxelMeshDefinition!S:AE,10,FALSE),"")</f>
      </c>
    </row>
    <row customHeight="true" ht="19" r="12">
      <c r="A12">
        <f>IF(VoxelMeshDefinition!AE250="✅", IF(#REF!&lt;&gt;"", #REF!, ""),"")</f>
      </c>
      <c r="B12" s="5">
        <f>IF(VoxelMeshDefinition!AE250="✅", "/Script/Engine.StaticMesh'/Game/Item/Mesh/Voxel/" &amp; VoxelMeshDefinition!Q250 &amp; "/" &amp; VoxelMeshDefinition!H250 &amp; "/" &amp; VoxelMeshDefinition!E250 &amp; "." &amp; VoxelMeshDefinition!E250 &amp; "'", "")</f>
      </c>
      <c r="C12">
        <f>IF(VoxelMeshDefinition!AE250="✅", IF(VoxelMeshDefinition!T250&lt;&gt;"", VoxelMeshDefinition!T250, ""), "")</f>
      </c>
      <c r="D12" s="10">
        <f>IF(VoxelMeshDefinition!AE250="✅", IF(VoxelMeshDefinition!U250&lt;&gt;"", VoxelMeshDefinition!U250, ""),"")</f>
      </c>
      <c r="E12" s="9">
        <f>IF(VoxelMeshDefinition!AE250="✅", IF(VoxelMeshDefinition!V250&lt;&gt;"", VoxelMeshDefinition!V250, ""),"")</f>
      </c>
      <c r="F12">
        <f>IF(VoxelMeshDefinition!AE250="✅", IF(VoxelMeshDefinition!W250&lt;&gt;"", VoxelMeshDefinition!W250, ""),"")</f>
      </c>
      <c r="G12">
        <f>IF(VoxelMeshDefinition!AE250="✅", IF(VoxelMeshDefinition!X250&lt;&gt;"", VoxelMeshDefinition!X250, ""),"")</f>
      </c>
      <c r="H12">
        <f>IF(VoxelMeshDefinition!AE250="✅", IF(VoxelMeshDefinition!Y250&lt;&gt;"", VoxelMeshDefinition!Y250, ""),"")</f>
      </c>
      <c r="I12">
        <f>IF(VoxelMeshDefinition!AE250="✅", IF(VoxelMeshDefinition!Z250&lt;&gt;"", VoxelMeshDefinition!Z250, ""),"")</f>
      </c>
      <c r="J12">
        <f>IF(VoxelMeshDefinition!AE250="✅", IF(VoxelMeshDefinition!AA250&lt;&gt;"", VoxelMeshDefinition!AA250, ""),"")</f>
      </c>
      <c r="K12" s="1">
        <f>IF(VoxelMeshDefinition!AE250="✅", VLOOKUP(A12,VoxelMeshDefinition!S:AE,10,FALSE),"")</f>
      </c>
    </row>
    <row customHeight="true" ht="19" r="13">
      <c r="A13">
        <f>IF(VoxelMeshDefinition!AE251="✅", IF(#REF!&lt;&gt;"", #REF!, ""),"")</f>
      </c>
      <c r="B13" s="5">
        <f>IF(VoxelMeshDefinition!AE251="✅", "/Script/Engine.StaticMesh'/Game/Item/Mesh/Voxel/" &amp; VoxelMeshDefinition!Q251 &amp; "/" &amp; VoxelMeshDefinition!H251 &amp; "/" &amp; VoxelMeshDefinition!E251 &amp; "." &amp; VoxelMeshDefinition!E251 &amp; "'", "")</f>
      </c>
      <c r="C13">
        <f>IF(VoxelMeshDefinition!AE251="✅", IF(VoxelMeshDefinition!T251&lt;&gt;"", VoxelMeshDefinition!T251, ""), "")</f>
      </c>
      <c r="D13" s="10">
        <f>IF(VoxelMeshDefinition!AE251="✅", IF(VoxelMeshDefinition!U251&lt;&gt;"", VoxelMeshDefinition!U251, ""),"")</f>
      </c>
      <c r="E13" s="9">
        <f>IF(VoxelMeshDefinition!AE251="✅", IF(VoxelMeshDefinition!V251&lt;&gt;"", VoxelMeshDefinition!V251, ""),"")</f>
      </c>
      <c r="F13">
        <f>IF(VoxelMeshDefinition!AE251="✅", IF(VoxelMeshDefinition!W251&lt;&gt;"", VoxelMeshDefinition!W251, ""),"")</f>
      </c>
      <c r="G13">
        <f>IF(VoxelMeshDefinition!AE251="✅", IF(VoxelMeshDefinition!X251&lt;&gt;"", VoxelMeshDefinition!X251, ""),"")</f>
      </c>
      <c r="H13">
        <f>IF(VoxelMeshDefinition!AE251="✅", IF(VoxelMeshDefinition!Y251&lt;&gt;"", VoxelMeshDefinition!Y251, ""),"")</f>
      </c>
      <c r="I13">
        <f>IF(VoxelMeshDefinition!AE251="✅", IF(VoxelMeshDefinition!Z251&lt;&gt;"", VoxelMeshDefinition!Z251, ""),"")</f>
      </c>
      <c r="J13">
        <f>IF(VoxelMeshDefinition!AE251="✅", IF(VoxelMeshDefinition!AA251&lt;&gt;"", VoxelMeshDefinition!AA251, ""),"")</f>
      </c>
      <c r="K13" s="1">
        <f>IF(VoxelMeshDefinition!AE251="✅", VLOOKUP(A13,VoxelMeshDefinition!S:AE,10,FALSE),"")</f>
      </c>
    </row>
    <row customHeight="true" ht="19" r="14">
      <c r="A14">
        <f>IF(VoxelMeshDefinition!AE252="✅", IF(#REF!&lt;&gt;"", #REF!, ""),"")</f>
      </c>
      <c r="B14" s="5">
        <f>IF(VoxelMeshDefinition!AE252="✅", "/Script/Engine.StaticMesh'/Game/Item/Mesh/Voxel/" &amp; VoxelMeshDefinition!Q252 &amp; "/" &amp; VoxelMeshDefinition!H252 &amp; "/" &amp; VoxelMeshDefinition!E252 &amp; "." &amp; VoxelMeshDefinition!E252 &amp; "'", "")</f>
      </c>
      <c r="C14">
        <f>IF(VoxelMeshDefinition!AE252="✅", IF(VoxelMeshDefinition!T252&lt;&gt;"", VoxelMeshDefinition!T252, ""), "")</f>
      </c>
      <c r="D14" s="10">
        <f>IF(VoxelMeshDefinition!AE252="✅", IF(VoxelMeshDefinition!U252&lt;&gt;"", VoxelMeshDefinition!U252, ""),"")</f>
      </c>
      <c r="E14" s="9">
        <f>IF(VoxelMeshDefinition!AE252="✅", IF(VoxelMeshDefinition!V252&lt;&gt;"", VoxelMeshDefinition!V252, ""),"")</f>
      </c>
      <c r="F14">
        <f>IF(VoxelMeshDefinition!AE252="✅", IF(VoxelMeshDefinition!W252&lt;&gt;"", VoxelMeshDefinition!W252, ""),"")</f>
      </c>
      <c r="G14">
        <f>IF(VoxelMeshDefinition!AE252="✅", IF(VoxelMeshDefinition!X252&lt;&gt;"", VoxelMeshDefinition!X252, ""),"")</f>
      </c>
      <c r="H14">
        <f>IF(VoxelMeshDefinition!AE252="✅", IF(VoxelMeshDefinition!Y252&lt;&gt;"", VoxelMeshDefinition!Y252, ""),"")</f>
      </c>
      <c r="I14">
        <f>IF(VoxelMeshDefinition!AE252="✅", IF(VoxelMeshDefinition!Z252&lt;&gt;"", VoxelMeshDefinition!Z252, ""),"")</f>
      </c>
      <c r="J14">
        <f>IF(VoxelMeshDefinition!AE252="✅", IF(VoxelMeshDefinition!AA252&lt;&gt;"", VoxelMeshDefinition!AA252, ""),"")</f>
      </c>
      <c r="K14" s="1">
        <f>IF(VoxelMeshDefinition!AE252="✅", VLOOKUP(A14,VoxelMeshDefinition!S:AE,10,FALSE),"")</f>
      </c>
    </row>
    <row customHeight="true" ht="19" r="15">
      <c r="A15">
        <f>IF(VoxelMeshDefinition!AE121="✅", IF(#REF!&lt;&gt;"", #REF!, ""),"")</f>
      </c>
      <c r="B15" s="5">
        <f>IF(VoxelMeshDefinition!AE121="✅", "/Script/Engine.StaticMesh'/Game/Item/Mesh/Voxel/" &amp; VoxelMeshDefinition!Q121 &amp; "/" &amp; VoxelMeshDefinition!H121 &amp; "/" &amp; VoxelMeshDefinition!E121 &amp; "." &amp; VoxelMeshDefinition!E121 &amp; "'", "")</f>
      </c>
      <c r="C15">
        <f>IF(VoxelMeshDefinition!AE121="✅", IF(VoxelMeshDefinition!T121&lt;&gt;"", VoxelMeshDefinition!T121, ""), "")</f>
      </c>
      <c r="D15" s="10">
        <f>IF(VoxelMeshDefinition!AE121="✅", IF(VoxelMeshDefinition!U121&lt;&gt;"", VoxelMeshDefinition!U121, ""),"")</f>
      </c>
      <c r="E15" s="9">
        <f>IF(VoxelMeshDefinition!AE121="✅", IF(VoxelMeshDefinition!V121&lt;&gt;"", VoxelMeshDefinition!V121, ""),"")</f>
      </c>
      <c r="F15">
        <f>IF(VoxelMeshDefinition!AE121="✅", IF(VoxelMeshDefinition!W121&lt;&gt;"", VoxelMeshDefinition!W121, ""),"")</f>
      </c>
      <c r="G15">
        <f>IF(VoxelMeshDefinition!AE121="✅", IF(VoxelMeshDefinition!X121&lt;&gt;"", VoxelMeshDefinition!X121, ""),"")</f>
      </c>
      <c r="H15">
        <f>IF(VoxelMeshDefinition!AE121="✅", IF(VoxelMeshDefinition!Y121&lt;&gt;"", VoxelMeshDefinition!Y121, ""),"")</f>
      </c>
      <c r="I15">
        <f>IF(VoxelMeshDefinition!AE121="✅", IF(VoxelMeshDefinition!Z121&lt;&gt;"", VoxelMeshDefinition!Z121, ""),"")</f>
      </c>
      <c r="J15">
        <f>IF(VoxelMeshDefinition!AE121="✅", IF(VoxelMeshDefinition!AA121&lt;&gt;"", VoxelMeshDefinition!AA121, ""),"")</f>
      </c>
      <c r="K15" s="1">
        <f>IF(VoxelMeshDefinition!AE121="✅", VLOOKUP(A15,VoxelMeshDefinition!S:AE,10,FALSE),"")</f>
      </c>
    </row>
    <row r="16">
      <c r="A16">
        <f>IF(VoxelMeshDefinition!AE122="✅", IF(#REF!&lt;&gt;"", #REF!, ""),"")</f>
      </c>
      <c r="B16" s="5">
        <f>IF(VoxelMeshDefinition!AE122="✅", "/Script/Engine.StaticMesh'/Game/Item/Mesh/Voxel/" &amp; VoxelMeshDefinition!Q122 &amp; "/" &amp; VoxelMeshDefinition!H122 &amp; "/" &amp; VoxelMeshDefinition!E122 &amp; "." &amp; VoxelMeshDefinition!E122 &amp; "'", "")</f>
      </c>
      <c r="C16">
        <f>IF(VoxelMeshDefinition!AE122="✅", IF(VoxelMeshDefinition!T122&lt;&gt;"", VoxelMeshDefinition!T122, ""), "")</f>
      </c>
      <c r="D16" s="10">
        <f>IF(VoxelMeshDefinition!AE122="✅", IF(VoxelMeshDefinition!U122&lt;&gt;"", VoxelMeshDefinition!U122, ""),"")</f>
      </c>
      <c r="E16" s="9">
        <f>IF(VoxelMeshDefinition!AE122="✅", IF(VoxelMeshDefinition!V122&lt;&gt;"", VoxelMeshDefinition!V122, ""),"")</f>
      </c>
      <c r="F16">
        <f>IF(VoxelMeshDefinition!AE122="✅", IF(VoxelMeshDefinition!W122&lt;&gt;"", VoxelMeshDefinition!W122, ""),"")</f>
      </c>
      <c r="G16">
        <f>IF(VoxelMeshDefinition!AE122="✅", IF(VoxelMeshDefinition!X122&lt;&gt;"", VoxelMeshDefinition!X122, ""),"")</f>
      </c>
      <c r="H16">
        <f>IF(VoxelMeshDefinition!AE122="✅", IF(VoxelMeshDefinition!Y122&lt;&gt;"", VoxelMeshDefinition!Y122, ""),"")</f>
      </c>
      <c r="I16">
        <f>IF(VoxelMeshDefinition!AE122="✅", IF(VoxelMeshDefinition!Z122&lt;&gt;"", VoxelMeshDefinition!Z122, ""),"")</f>
      </c>
      <c r="J16">
        <f>IF(VoxelMeshDefinition!AE122="✅", IF(VoxelMeshDefinition!AA122&lt;&gt;"", VoxelMeshDefinition!AA122, ""),"")</f>
      </c>
      <c r="K16" s="1">
        <f>IF(VoxelMeshDefinition!AE122="✅", VLOOKUP(A16,VoxelMeshDefinition!S:AE,10,FALSE),"")</f>
      </c>
    </row>
    <row r="17">
      <c r="A17">
        <f>IF(VoxelMeshDefinition!AE123="✅", IF(#REF!&lt;&gt;"", #REF!, ""),"")</f>
      </c>
      <c r="B17" s="5">
        <f>IF(VoxelMeshDefinition!AE123="✅", "/Script/Engine.StaticMesh'/Game/Item/Mesh/Voxel/" &amp; VoxelMeshDefinition!Q123 &amp; "/" &amp; VoxelMeshDefinition!H123 &amp; "/" &amp; VoxelMeshDefinition!E123 &amp; "." &amp; VoxelMeshDefinition!E123 &amp; "'", "")</f>
      </c>
      <c r="C17">
        <f>IF(VoxelMeshDefinition!AE123="✅", IF(VoxelMeshDefinition!T123&lt;&gt;"", VoxelMeshDefinition!T123, ""), "")</f>
      </c>
      <c r="D17" s="10">
        <f>IF(VoxelMeshDefinition!AE123="✅", IF(VoxelMeshDefinition!U123&lt;&gt;"", VoxelMeshDefinition!U123, ""),"")</f>
      </c>
      <c r="E17" s="9">
        <f>IF(VoxelMeshDefinition!AE123="✅", IF(VoxelMeshDefinition!V123&lt;&gt;"", VoxelMeshDefinition!V123, ""),"")</f>
      </c>
      <c r="F17">
        <f>IF(VoxelMeshDefinition!AE123="✅", IF(VoxelMeshDefinition!W123&lt;&gt;"", VoxelMeshDefinition!W123, ""),"")</f>
      </c>
      <c r="G17">
        <f>IF(VoxelMeshDefinition!AE123="✅", IF(VoxelMeshDefinition!X123&lt;&gt;"", VoxelMeshDefinition!X123, ""),"")</f>
      </c>
      <c r="H17">
        <f>IF(VoxelMeshDefinition!AE123="✅", IF(VoxelMeshDefinition!Y123&lt;&gt;"", VoxelMeshDefinition!Y123, ""),"")</f>
      </c>
      <c r="I17">
        <f>IF(VoxelMeshDefinition!AE123="✅", IF(VoxelMeshDefinition!Z123&lt;&gt;"", VoxelMeshDefinition!Z123, ""),"")</f>
      </c>
      <c r="J17">
        <f>IF(VoxelMeshDefinition!AE123="✅", IF(VoxelMeshDefinition!AA123&lt;&gt;"", VoxelMeshDefinition!AA123, ""),"")</f>
      </c>
      <c r="K17" s="1">
        <f>IF(VoxelMeshDefinition!AE123="✅", VLOOKUP(A17,VoxelMeshDefinition!S:AE,10,FALSE),"")</f>
      </c>
    </row>
    <row r="18">
      <c r="A18">
        <f>IF(VoxelMeshDefinition!AE124="✅", IF(#REF!&lt;&gt;"", #REF!, ""),"")</f>
      </c>
      <c r="B18" s="5">
        <f>IF(VoxelMeshDefinition!AE124="✅", "/Script/Engine.StaticMesh'/Game/Item/Mesh/Voxel/" &amp; VoxelMeshDefinition!Q124 &amp; "/" &amp; VoxelMeshDefinition!H124 &amp; "/" &amp; VoxelMeshDefinition!E124 &amp; "." &amp; VoxelMeshDefinition!E124 &amp; "'", "")</f>
      </c>
      <c r="C18">
        <f>IF(VoxelMeshDefinition!AE124="✅", IF(VoxelMeshDefinition!T124&lt;&gt;"", VoxelMeshDefinition!T124, ""), "")</f>
      </c>
      <c r="D18" s="10">
        <f>IF(VoxelMeshDefinition!AE124="✅", IF(VoxelMeshDefinition!U124&lt;&gt;"", VoxelMeshDefinition!U124, ""),"")</f>
      </c>
      <c r="E18" s="9">
        <f>IF(VoxelMeshDefinition!AE124="✅", IF(VoxelMeshDefinition!V124&lt;&gt;"", VoxelMeshDefinition!V124, ""),"")</f>
      </c>
      <c r="F18">
        <f>IF(VoxelMeshDefinition!AE124="✅", IF(VoxelMeshDefinition!W124&lt;&gt;"", VoxelMeshDefinition!W124, ""),"")</f>
      </c>
      <c r="G18">
        <f>IF(VoxelMeshDefinition!AE124="✅", IF(VoxelMeshDefinition!X124&lt;&gt;"", VoxelMeshDefinition!X124, ""),"")</f>
      </c>
      <c r="H18">
        <f>IF(VoxelMeshDefinition!AE124="✅", IF(VoxelMeshDefinition!Y124&lt;&gt;"", VoxelMeshDefinition!Y124, ""),"")</f>
      </c>
      <c r="I18">
        <f>IF(VoxelMeshDefinition!AE124="✅", IF(VoxelMeshDefinition!Z124&lt;&gt;"", VoxelMeshDefinition!Z124, ""),"")</f>
      </c>
      <c r="J18">
        <f>IF(VoxelMeshDefinition!AE124="✅", IF(VoxelMeshDefinition!AA124&lt;&gt;"", VoxelMeshDefinition!AA124, ""),"")</f>
      </c>
      <c r="K18" s="1">
        <f>IF(VoxelMeshDefinition!AE124="✅", VLOOKUP(A18,VoxelMeshDefinition!S:AE,10,FALSE),"")</f>
      </c>
    </row>
    <row r="19">
      <c r="A19">
        <f>IF(VoxelMeshDefinition!AE125="✅", IF(#REF!&lt;&gt;"", #REF!, ""),"")</f>
      </c>
      <c r="B19" s="5">
        <f>IF(VoxelMeshDefinition!AE125="✅", "/Script/Engine.StaticMesh'/Game/Item/Mesh/Voxel/" &amp; VoxelMeshDefinition!Q125 &amp; "/" &amp; VoxelMeshDefinition!H125 &amp; "/" &amp; VoxelMeshDefinition!E125 &amp; "." &amp; VoxelMeshDefinition!E125 &amp; "'", "")</f>
      </c>
      <c r="C19">
        <f>IF(VoxelMeshDefinition!AE125="✅", IF(VoxelMeshDefinition!T125&lt;&gt;"", VoxelMeshDefinition!T125, ""), "")</f>
      </c>
      <c r="D19" s="10">
        <f>IF(VoxelMeshDefinition!AE125="✅", IF(VoxelMeshDefinition!U125&lt;&gt;"", VoxelMeshDefinition!U125, ""),"")</f>
      </c>
      <c r="E19" s="9">
        <f>IF(VoxelMeshDefinition!AE125="✅", IF(VoxelMeshDefinition!V125&lt;&gt;"", VoxelMeshDefinition!V125, ""),"")</f>
      </c>
      <c r="F19">
        <f>IF(VoxelMeshDefinition!AE125="✅", IF(VoxelMeshDefinition!W125&lt;&gt;"", VoxelMeshDefinition!W125, ""),"")</f>
      </c>
      <c r="G19">
        <f>IF(VoxelMeshDefinition!AE125="✅", IF(VoxelMeshDefinition!X125&lt;&gt;"", VoxelMeshDefinition!X125, ""),"")</f>
      </c>
      <c r="H19">
        <f>IF(VoxelMeshDefinition!AE125="✅", IF(VoxelMeshDefinition!Y125&lt;&gt;"", VoxelMeshDefinition!Y125, ""),"")</f>
      </c>
      <c r="I19">
        <f>IF(VoxelMeshDefinition!AE125="✅", IF(VoxelMeshDefinition!Z125&lt;&gt;"", VoxelMeshDefinition!Z125, ""),"")</f>
      </c>
      <c r="J19">
        <f>IF(VoxelMeshDefinition!AE125="✅", IF(VoxelMeshDefinition!AA125&lt;&gt;"", VoxelMeshDefinition!AA125, ""),"")</f>
      </c>
      <c r="K19" s="1">
        <f>IF(VoxelMeshDefinition!AE125="✅", VLOOKUP(A19,VoxelMeshDefinition!S:AE,10,FALSE),"")</f>
      </c>
    </row>
    <row r="20">
      <c r="A20">
        <f>IF(VoxelMeshDefinition!AE128="✅", IF(#REF!&lt;&gt;"", #REF!, ""),"")</f>
      </c>
      <c r="B20" s="5">
        <f>IF(VoxelMeshDefinition!AE128="✅", "/Script/Engine.StaticMesh'/Game/Item/Mesh/Voxel/" &amp; VoxelMeshDefinition!Q128 &amp; "/" &amp; VoxelMeshDefinition!H128 &amp; "/" &amp; VoxelMeshDefinition!E128 &amp; "." &amp; VoxelMeshDefinition!E128 &amp; "'", "")</f>
      </c>
      <c r="C20">
        <f>IF(VoxelMeshDefinition!AE128="✅", IF(VoxelMeshDefinition!T128&lt;&gt;"", VoxelMeshDefinition!T128, ""), "")</f>
      </c>
      <c r="D20" s="10">
        <f>IF(VoxelMeshDefinition!AE128="✅", IF(VoxelMeshDefinition!U128&lt;&gt;"", VoxelMeshDefinition!U128, ""),"")</f>
      </c>
      <c r="E20" s="9">
        <f>IF(VoxelMeshDefinition!AE128="✅", IF(VoxelMeshDefinition!V128&lt;&gt;"", VoxelMeshDefinition!V128, ""),"")</f>
      </c>
      <c r="F20">
        <f>IF(VoxelMeshDefinition!AE128="✅", IF(VoxelMeshDefinition!W128&lt;&gt;"", VoxelMeshDefinition!W128, ""),"")</f>
      </c>
      <c r="G20">
        <f>IF(VoxelMeshDefinition!AE128="✅", IF(VoxelMeshDefinition!X128&lt;&gt;"", VoxelMeshDefinition!X128, ""),"")</f>
      </c>
      <c r="H20">
        <f>IF(VoxelMeshDefinition!AE128="✅", IF(VoxelMeshDefinition!Y128&lt;&gt;"", VoxelMeshDefinition!Y128, ""),"")</f>
      </c>
      <c r="I20">
        <f>IF(VoxelMeshDefinition!AE128="✅", IF(VoxelMeshDefinition!Z128&lt;&gt;"", VoxelMeshDefinition!Z128, ""),"")</f>
      </c>
      <c r="J20">
        <f>IF(VoxelMeshDefinition!AE128="✅", IF(VoxelMeshDefinition!AA128&lt;&gt;"", VoxelMeshDefinition!AA128, ""),"")</f>
      </c>
      <c r="K20" s="1">
        <f>IF(VoxelMeshDefinition!AE128="✅", VLOOKUP(A20,VoxelMeshDefinition!S:AE,10,FALSE),"")</f>
      </c>
    </row>
    <row r="21">
      <c r="A21">
        <f>IF(VoxelMeshDefinition!AE129="✅", IF(#REF!&lt;&gt;"", #REF!, ""),"")</f>
      </c>
      <c r="B21" s="5">
        <f>IF(VoxelMeshDefinition!AE129="✅", "/Script/Engine.StaticMesh'/Game/Item/Mesh/Voxel/" &amp; VoxelMeshDefinition!Q129 &amp; "/" &amp; VoxelMeshDefinition!H129 &amp; "/" &amp; VoxelMeshDefinition!E129 &amp; "." &amp; VoxelMeshDefinition!E129 &amp; "'", "")</f>
      </c>
      <c r="C21">
        <f>IF(VoxelMeshDefinition!AE129="✅", IF(VoxelMeshDefinition!T129&lt;&gt;"", VoxelMeshDefinition!T129, ""), "")</f>
      </c>
      <c r="D21" s="10">
        <f>IF(VoxelMeshDefinition!AE129="✅", IF(VoxelMeshDefinition!U129&lt;&gt;"", VoxelMeshDefinition!U129, ""),"")</f>
      </c>
      <c r="E21" s="9">
        <f>IF(VoxelMeshDefinition!AE129="✅", IF(VoxelMeshDefinition!V129&lt;&gt;"", VoxelMeshDefinition!V129, ""),"")</f>
      </c>
      <c r="F21">
        <f>IF(VoxelMeshDefinition!AE129="✅", IF(VoxelMeshDefinition!W129&lt;&gt;"", VoxelMeshDefinition!W129, ""),"")</f>
      </c>
      <c r="G21">
        <f>IF(VoxelMeshDefinition!AE129="✅", IF(VoxelMeshDefinition!X129&lt;&gt;"", VoxelMeshDefinition!X129, ""),"")</f>
      </c>
      <c r="H21">
        <f>IF(VoxelMeshDefinition!AE129="✅", IF(VoxelMeshDefinition!Y129&lt;&gt;"", VoxelMeshDefinition!Y129, ""),"")</f>
      </c>
      <c r="I21">
        <f>IF(VoxelMeshDefinition!AE129="✅", IF(VoxelMeshDefinition!Z129&lt;&gt;"", VoxelMeshDefinition!Z129, ""),"")</f>
      </c>
      <c r="J21">
        <f>IF(VoxelMeshDefinition!AE129="✅", IF(VoxelMeshDefinition!AA129&lt;&gt;"", VoxelMeshDefinition!AA129, ""),"")</f>
      </c>
      <c r="K21" s="1">
        <f>IF(VoxelMeshDefinition!AE129="✅", VLOOKUP(A21,VoxelMeshDefinition!S:AE,10,FALSE),"")</f>
      </c>
    </row>
    <row r="22">
      <c r="A22">
        <f>IF(VoxelMeshDefinition!AE130="✅", IF(#REF!&lt;&gt;"", #REF!, ""),"")</f>
      </c>
      <c r="B22" s="5">
        <f>IF(VoxelMeshDefinition!AE130="✅", "/Script/Engine.StaticMesh'/Game/Item/Mesh/Voxel/" &amp; VoxelMeshDefinition!Q130 &amp; "/" &amp; VoxelMeshDefinition!H130 &amp; "/" &amp; VoxelMeshDefinition!E130 &amp; "." &amp; VoxelMeshDefinition!E130 &amp; "'", "")</f>
      </c>
      <c r="C22">
        <f>IF(VoxelMeshDefinition!AE130="✅", IF(VoxelMeshDefinition!T130&lt;&gt;"", VoxelMeshDefinition!T130, ""), "")</f>
      </c>
      <c r="D22" s="10">
        <f>IF(VoxelMeshDefinition!AE130="✅", IF(VoxelMeshDefinition!U130&lt;&gt;"", VoxelMeshDefinition!U130, ""),"")</f>
      </c>
      <c r="E22" s="9">
        <f>IF(VoxelMeshDefinition!AE130="✅", IF(VoxelMeshDefinition!V130&lt;&gt;"", VoxelMeshDefinition!V130, ""),"")</f>
      </c>
      <c r="F22">
        <f>IF(VoxelMeshDefinition!AE130="✅", IF(VoxelMeshDefinition!W130&lt;&gt;"", VoxelMeshDefinition!W130, ""),"")</f>
      </c>
      <c r="G22">
        <f>IF(VoxelMeshDefinition!AE130="✅", IF(VoxelMeshDefinition!X130&lt;&gt;"", VoxelMeshDefinition!X130, ""),"")</f>
      </c>
      <c r="H22">
        <f>IF(VoxelMeshDefinition!AE130="✅", IF(VoxelMeshDefinition!Y130&lt;&gt;"", VoxelMeshDefinition!Y130, ""),"")</f>
      </c>
      <c r="I22">
        <f>IF(VoxelMeshDefinition!AE130="✅", IF(VoxelMeshDefinition!Z130&lt;&gt;"", VoxelMeshDefinition!Z130, ""),"")</f>
      </c>
      <c r="J22">
        <f>IF(VoxelMeshDefinition!AE130="✅", IF(VoxelMeshDefinition!AA130&lt;&gt;"", VoxelMeshDefinition!AA130, ""),"")</f>
      </c>
      <c r="K22" s="1">
        <f>IF(VoxelMeshDefinition!AE130="✅", VLOOKUP(A22,VoxelMeshDefinition!S:AE,10,FALSE),"")</f>
      </c>
    </row>
    <row r="23">
      <c r="A23">
        <f>IF(VoxelMeshDefinition!AE131="✅", IF(#REF!&lt;&gt;"", #REF!, ""),"")</f>
      </c>
      <c r="B23" s="5">
        <f>IF(VoxelMeshDefinition!AE131="✅", "/Script/Engine.StaticMesh'/Game/Item/Mesh/Voxel/" &amp; VoxelMeshDefinition!Q131 &amp; "/" &amp; VoxelMeshDefinition!H131 &amp; "/" &amp; VoxelMeshDefinition!E131 &amp; "." &amp; VoxelMeshDefinition!E131 &amp; "'", "")</f>
      </c>
      <c r="C23">
        <f>IF(VoxelMeshDefinition!AE131="✅", IF(VoxelMeshDefinition!T131&lt;&gt;"", VoxelMeshDefinition!T131, ""), "")</f>
      </c>
      <c r="D23" s="10">
        <f>IF(VoxelMeshDefinition!AE131="✅", IF(VoxelMeshDefinition!U131&lt;&gt;"", VoxelMeshDefinition!U131, ""),"")</f>
      </c>
      <c r="E23" s="9">
        <f>IF(VoxelMeshDefinition!AE131="✅", IF(VoxelMeshDefinition!V131&lt;&gt;"", VoxelMeshDefinition!V131, ""),"")</f>
      </c>
      <c r="F23">
        <f>IF(VoxelMeshDefinition!AE131="✅", IF(VoxelMeshDefinition!W131&lt;&gt;"", VoxelMeshDefinition!W131, ""),"")</f>
      </c>
      <c r="G23">
        <f>IF(VoxelMeshDefinition!AE131="✅", IF(VoxelMeshDefinition!X131&lt;&gt;"", VoxelMeshDefinition!X131, ""),"")</f>
      </c>
      <c r="H23">
        <f>IF(VoxelMeshDefinition!AE131="✅", IF(VoxelMeshDefinition!Y131&lt;&gt;"", VoxelMeshDefinition!Y131, ""),"")</f>
      </c>
      <c r="I23">
        <f>IF(VoxelMeshDefinition!AE131="✅", IF(VoxelMeshDefinition!Z131&lt;&gt;"", VoxelMeshDefinition!Z131, ""),"")</f>
      </c>
      <c r="J23">
        <f>IF(VoxelMeshDefinition!AE131="✅", IF(VoxelMeshDefinition!AA131&lt;&gt;"", VoxelMeshDefinition!AA131, ""),"")</f>
      </c>
      <c r="K23" s="1">
        <f>IF(VoxelMeshDefinition!AE131="✅", VLOOKUP(A23,VoxelMeshDefinition!S:AE,10,FALSE),"")</f>
      </c>
    </row>
    <row r="24">
      <c r="A24">
        <f>IF(VoxelMeshDefinition!AE132="✅", IF(#REF!&lt;&gt;"", #REF!, ""),"")</f>
      </c>
      <c r="B24" s="5">
        <f>IF(VoxelMeshDefinition!AE132="✅", "/Script/Engine.StaticMesh'/Game/Item/Mesh/Voxel/" &amp; VoxelMeshDefinition!Q132 &amp; "/" &amp; VoxelMeshDefinition!H132 &amp; "/" &amp; VoxelMeshDefinition!E132 &amp; "." &amp; VoxelMeshDefinition!E132 &amp; "'", "")</f>
      </c>
      <c r="C24">
        <f>IF(VoxelMeshDefinition!AE132="✅", IF(VoxelMeshDefinition!T132&lt;&gt;"", VoxelMeshDefinition!T132, ""), "")</f>
      </c>
      <c r="D24" s="10">
        <f>IF(VoxelMeshDefinition!AE132="✅", IF(VoxelMeshDefinition!U132&lt;&gt;"", VoxelMeshDefinition!U132, ""),"")</f>
      </c>
      <c r="E24" s="9">
        <f>IF(VoxelMeshDefinition!AE132="✅", IF(VoxelMeshDefinition!V132&lt;&gt;"", VoxelMeshDefinition!V132, ""),"")</f>
      </c>
      <c r="F24">
        <f>IF(VoxelMeshDefinition!AE132="✅", IF(VoxelMeshDefinition!W132&lt;&gt;"", VoxelMeshDefinition!W132, ""),"")</f>
      </c>
      <c r="G24">
        <f>IF(VoxelMeshDefinition!AE132="✅", IF(VoxelMeshDefinition!X132&lt;&gt;"", VoxelMeshDefinition!X132, ""),"")</f>
      </c>
      <c r="H24">
        <f>IF(VoxelMeshDefinition!AE132="✅", IF(VoxelMeshDefinition!Y132&lt;&gt;"", VoxelMeshDefinition!Y132, ""),"")</f>
      </c>
      <c r="I24">
        <f>IF(VoxelMeshDefinition!AE132="✅", IF(VoxelMeshDefinition!Z132&lt;&gt;"", VoxelMeshDefinition!Z132, ""),"")</f>
      </c>
      <c r="J24">
        <f>IF(VoxelMeshDefinition!AE132="✅", IF(VoxelMeshDefinition!AA132&lt;&gt;"", VoxelMeshDefinition!AA132, ""),"")</f>
      </c>
      <c r="K24" s="1">
        <f>IF(VoxelMeshDefinition!AE132="✅", VLOOKUP(A24,VoxelMeshDefinition!S:AE,10,FALSE),"")</f>
      </c>
    </row>
    <row r="25">
      <c r="A25">
        <f>IF(VoxelMeshDefinition!AE91="✅", IF(#REF!&lt;&gt;"", #REF!, ""),"")</f>
      </c>
      <c r="B25" s="5">
        <f>IF(VoxelMeshDefinition!AE91="✅", "/Script/Engine.StaticMesh'/Game/Item/Mesh/Voxel/" &amp; VoxelMeshDefinition!Q91 &amp; "/" &amp; VoxelMeshDefinition!H91 &amp; "/" &amp; VoxelMeshDefinition!E91 &amp; "." &amp; VoxelMeshDefinition!E91 &amp; "'", "")</f>
      </c>
      <c r="C25">
        <f>IF(VoxelMeshDefinition!AE91="✅", IF(VoxelMeshDefinition!T91&lt;&gt;"", VoxelMeshDefinition!T91, ""), "")</f>
      </c>
      <c r="D25" s="10">
        <f>IF(VoxelMeshDefinition!AE91="✅", IF(VoxelMeshDefinition!U91&lt;&gt;"", VoxelMeshDefinition!U91, ""),"")</f>
      </c>
      <c r="E25" s="9">
        <f>IF(VoxelMeshDefinition!AE91="✅", IF(VoxelMeshDefinition!V91&lt;&gt;"", VoxelMeshDefinition!V91, ""),"")</f>
      </c>
      <c r="F25">
        <f>IF(VoxelMeshDefinition!AE91="✅", IF(VoxelMeshDefinition!W91&lt;&gt;"", VoxelMeshDefinition!W91, ""),"")</f>
      </c>
      <c r="G25">
        <f>IF(VoxelMeshDefinition!AE91="✅", IF(VoxelMeshDefinition!X91&lt;&gt;"", VoxelMeshDefinition!X91, ""),"")</f>
      </c>
      <c r="H25">
        <f>IF(VoxelMeshDefinition!AE91="✅", IF(VoxelMeshDefinition!Y91&lt;&gt;"", VoxelMeshDefinition!Y91, ""),"")</f>
      </c>
      <c r="I25">
        <f>IF(VoxelMeshDefinition!AE91="✅", IF(VoxelMeshDefinition!Z91&lt;&gt;"", VoxelMeshDefinition!Z91, ""),"")</f>
      </c>
      <c r="J25">
        <f>IF(VoxelMeshDefinition!AE91="✅", IF(VoxelMeshDefinition!AA91&lt;&gt;"", VoxelMeshDefinition!AA91, ""),"")</f>
      </c>
      <c r="K25" s="1">
        <f>IF(VoxelMeshDefinition!AE91="✅", VLOOKUP(A25,VoxelMeshDefinition!S:AE,10,FALSE),"")</f>
      </c>
    </row>
    <row r="26">
      <c r="A26">
        <f>IF(VoxelMeshDefinition!AE92="✅", IF(#REF!&lt;&gt;"", #REF!, ""),"")</f>
      </c>
      <c r="B26" s="5">
        <f>IF(VoxelMeshDefinition!AE92="✅", "/Script/Engine.StaticMesh'/Game/Item/Mesh/Voxel/" &amp; VoxelMeshDefinition!Q92 &amp; "/" &amp; VoxelMeshDefinition!H92 &amp; "/" &amp; VoxelMeshDefinition!E92 &amp; "." &amp; VoxelMeshDefinition!E92 &amp; "'", "")</f>
      </c>
      <c r="C26">
        <f>IF(VoxelMeshDefinition!AE92="✅", IF(VoxelMeshDefinition!T92&lt;&gt;"", VoxelMeshDefinition!T92, ""), "")</f>
      </c>
      <c r="D26" s="10">
        <f>IF(VoxelMeshDefinition!AE92="✅", IF(VoxelMeshDefinition!U92&lt;&gt;"", VoxelMeshDefinition!U92, ""),"")</f>
      </c>
      <c r="E26" s="9">
        <f>IF(VoxelMeshDefinition!AE92="✅", IF(VoxelMeshDefinition!V92&lt;&gt;"", VoxelMeshDefinition!V92, ""),"")</f>
      </c>
      <c r="F26">
        <f>IF(VoxelMeshDefinition!AE92="✅", IF(VoxelMeshDefinition!W92&lt;&gt;"", VoxelMeshDefinition!W92, ""),"")</f>
      </c>
      <c r="G26">
        <f>IF(VoxelMeshDefinition!AE92="✅", IF(VoxelMeshDefinition!X92&lt;&gt;"", VoxelMeshDefinition!X92, ""),"")</f>
      </c>
      <c r="H26">
        <f>IF(VoxelMeshDefinition!AE92="✅", IF(VoxelMeshDefinition!Y92&lt;&gt;"", VoxelMeshDefinition!Y92, ""),"")</f>
      </c>
      <c r="I26">
        <f>IF(VoxelMeshDefinition!AE92="✅", IF(VoxelMeshDefinition!Z92&lt;&gt;"", VoxelMeshDefinition!Z92, ""),"")</f>
      </c>
      <c r="J26">
        <f>IF(VoxelMeshDefinition!AE92="✅", IF(VoxelMeshDefinition!AA92&lt;&gt;"", VoxelMeshDefinition!AA92, ""),"")</f>
      </c>
      <c r="K26" s="1">
        <f>IF(VoxelMeshDefinition!AE92="✅", VLOOKUP(A26,VoxelMeshDefinition!S:AE,10,FALSE),"")</f>
      </c>
    </row>
    <row r="27">
      <c r="A27">
        <f>IF(VoxelMeshDefinition!AE93="✅", IF(#REF!&lt;&gt;"", #REF!, ""),"")</f>
      </c>
      <c r="B27" s="5">
        <f>IF(VoxelMeshDefinition!AE93="✅", "/Script/Engine.StaticMesh'/Game/Item/Mesh/Voxel/" &amp; VoxelMeshDefinition!Q93 &amp; "/" &amp; VoxelMeshDefinition!H93 &amp; "/" &amp; VoxelMeshDefinition!E93 &amp; "." &amp; VoxelMeshDefinition!E93 &amp; "'", "")</f>
      </c>
      <c r="C27">
        <f>IF(VoxelMeshDefinition!AE93="✅", IF(VoxelMeshDefinition!T93&lt;&gt;"", VoxelMeshDefinition!T93, ""), "")</f>
      </c>
      <c r="D27" s="10">
        <f>IF(VoxelMeshDefinition!AE93="✅", IF(VoxelMeshDefinition!U93&lt;&gt;"", VoxelMeshDefinition!U93, ""),"")</f>
      </c>
      <c r="E27" s="9">
        <f>IF(VoxelMeshDefinition!AE93="✅", IF(VoxelMeshDefinition!V93&lt;&gt;"", VoxelMeshDefinition!V93, ""),"")</f>
      </c>
      <c r="F27">
        <f>IF(VoxelMeshDefinition!AE93="✅", IF(VoxelMeshDefinition!W93&lt;&gt;"", VoxelMeshDefinition!W93, ""),"")</f>
      </c>
      <c r="G27">
        <f>IF(VoxelMeshDefinition!AE93="✅", IF(VoxelMeshDefinition!X93&lt;&gt;"", VoxelMeshDefinition!X93, ""),"")</f>
      </c>
      <c r="H27">
        <f>IF(VoxelMeshDefinition!AE93="✅", IF(VoxelMeshDefinition!Y93&lt;&gt;"", VoxelMeshDefinition!Y93, ""),"")</f>
      </c>
      <c r="I27">
        <f>IF(VoxelMeshDefinition!AE93="✅", IF(VoxelMeshDefinition!Z93&lt;&gt;"", VoxelMeshDefinition!Z93, ""),"")</f>
      </c>
      <c r="J27">
        <f>IF(VoxelMeshDefinition!AE93="✅", IF(VoxelMeshDefinition!AA93&lt;&gt;"", VoxelMeshDefinition!AA93, ""),"")</f>
      </c>
      <c r="K27" s="1">
        <f>IF(VoxelMeshDefinition!AE93="✅", VLOOKUP(A27,VoxelMeshDefinition!S:AE,10,FALSE),"")</f>
      </c>
    </row>
    <row r="28">
      <c r="A28">
        <f>IF(VoxelMeshDefinition!AE95="✅", IF(#REF!&lt;&gt;"", #REF!, ""),"")</f>
      </c>
      <c r="B28" s="5">
        <f>IF(VoxelMeshDefinition!AE95="✅", "/Script/Engine.StaticMesh'/Game/Item/Mesh/Voxel/" &amp; VoxelMeshDefinition!Q95 &amp; "/" &amp; VoxelMeshDefinition!H95 &amp; "/" &amp; VoxelMeshDefinition!E95 &amp; "." &amp; VoxelMeshDefinition!E95 &amp; "'", "")</f>
      </c>
      <c r="C28">
        <f>IF(VoxelMeshDefinition!AE95="✅", IF(VoxelMeshDefinition!T95&lt;&gt;"", VoxelMeshDefinition!T95, ""), "")</f>
      </c>
      <c r="D28" s="10">
        <f>IF(VoxelMeshDefinition!AE95="✅", IF(VoxelMeshDefinition!U95&lt;&gt;"", VoxelMeshDefinition!U95, ""),"")</f>
      </c>
      <c r="E28" s="9">
        <f>IF(VoxelMeshDefinition!AE95="✅", IF(VoxelMeshDefinition!V95&lt;&gt;"", VoxelMeshDefinition!V95, ""),"")</f>
      </c>
      <c r="F28">
        <f>IF(VoxelMeshDefinition!AE95="✅", IF(VoxelMeshDefinition!W95&lt;&gt;"", VoxelMeshDefinition!W95, ""),"")</f>
      </c>
      <c r="G28">
        <f>IF(VoxelMeshDefinition!AE95="✅", IF(VoxelMeshDefinition!X95&lt;&gt;"", VoxelMeshDefinition!X95, ""),"")</f>
      </c>
      <c r="H28">
        <f>IF(VoxelMeshDefinition!AE95="✅", IF(VoxelMeshDefinition!Y95&lt;&gt;"", VoxelMeshDefinition!Y95, ""),"")</f>
      </c>
      <c r="I28">
        <f>IF(VoxelMeshDefinition!AE95="✅", IF(VoxelMeshDefinition!Z95&lt;&gt;"", VoxelMeshDefinition!Z95, ""),"")</f>
      </c>
      <c r="J28">
        <f>IF(VoxelMeshDefinition!AE95="✅", IF(VoxelMeshDefinition!AA95&lt;&gt;"", VoxelMeshDefinition!AA95, ""),"")</f>
      </c>
      <c r="K28" s="1">
        <f>IF(VoxelMeshDefinition!AE95="✅", VLOOKUP(A28,VoxelMeshDefinition!S:AE,10,FALSE),"")</f>
      </c>
    </row>
    <row r="29">
      <c r="A29">
        <f>IF(VoxelMeshDefinition!AE248="✅", IF(#REF!&lt;&gt;"", #REF!, ""),"")</f>
      </c>
      <c r="B29" s="5">
        <f>IF(VoxelMeshDefinition!AE248="✅", "/Script/Engine.StaticMesh'/Game/Item/Mesh/Voxel/" &amp; VoxelMeshDefinition!Q248 &amp; "/" &amp; VoxelMeshDefinition!H248 &amp; "/" &amp; VoxelMeshDefinition!E248 &amp; "." &amp; VoxelMeshDefinition!E248 &amp; "'", "")</f>
      </c>
      <c r="C29">
        <f>IF(VoxelMeshDefinition!AE248="✅", IF(VoxelMeshDefinition!T248&lt;&gt;"", VoxelMeshDefinition!T248, ""), "")</f>
      </c>
      <c r="D29" s="10">
        <f>IF(VoxelMeshDefinition!AE248="✅", IF(VoxelMeshDefinition!U248&lt;&gt;"", VoxelMeshDefinition!U248, ""),"")</f>
      </c>
      <c r="E29" s="9">
        <f>IF(VoxelMeshDefinition!AE248="✅", IF(VoxelMeshDefinition!V248&lt;&gt;"", VoxelMeshDefinition!V248, ""),"")</f>
      </c>
      <c r="F29">
        <f>IF(VoxelMeshDefinition!AE248="✅", IF(VoxelMeshDefinition!W248&lt;&gt;"", VoxelMeshDefinition!W248, ""),"")</f>
      </c>
      <c r="G29">
        <f>IF(VoxelMeshDefinition!AE248="✅", IF(VoxelMeshDefinition!X248&lt;&gt;"", VoxelMeshDefinition!X248, ""),"")</f>
      </c>
      <c r="H29">
        <f>IF(VoxelMeshDefinition!AE248="✅", IF(VoxelMeshDefinition!Y248&lt;&gt;"", VoxelMeshDefinition!Y248, ""),"")</f>
      </c>
      <c r="I29">
        <f>IF(VoxelMeshDefinition!AE248="✅", IF(VoxelMeshDefinition!Z248&lt;&gt;"", VoxelMeshDefinition!Z248, ""),"")</f>
      </c>
      <c r="J29">
        <f>IF(VoxelMeshDefinition!AE248="✅", IF(VoxelMeshDefinition!AA248&lt;&gt;"", VoxelMeshDefinition!AA248, ""),"")</f>
      </c>
      <c r="K29" s="1">
        <f>IF(VoxelMeshDefinition!AE248="✅", VLOOKUP(A29,VoxelMeshDefinition!S:AE,10,FALSE),"")</f>
      </c>
    </row>
    <row r="30">
      <c r="A30">
        <f>IF(VoxelMeshDefinition!AE44="✅", IF(#REF!&lt;&gt;"", #REF!, ""),"")</f>
      </c>
      <c r="B30" s="5">
        <f>IF(VoxelMeshDefinition!AE44="✅", "/Script/Engine.StaticMesh'/Game/Item/Mesh/Voxel/" &amp; VoxelMeshDefinition!Q44 &amp; "/" &amp; VoxelMeshDefinition!H44 &amp; "/" &amp; VoxelMeshDefinition!E44 &amp; "." &amp; VoxelMeshDefinition!E44 &amp; "'", "")</f>
      </c>
      <c r="C30">
        <f>IF(VoxelMeshDefinition!AE44="✅", IF(VoxelMeshDefinition!T44&lt;&gt;"", VoxelMeshDefinition!T44, ""), "")</f>
      </c>
      <c r="D30" s="10">
        <f>IF(VoxelMeshDefinition!AE44="✅", IF(VoxelMeshDefinition!U44&lt;&gt;"", VoxelMeshDefinition!U44, ""),"")</f>
      </c>
      <c r="E30" s="9">
        <f>IF(VoxelMeshDefinition!AE44="✅", IF(VoxelMeshDefinition!V44&lt;&gt;"", VoxelMeshDefinition!V44, ""),"")</f>
      </c>
      <c r="F30">
        <f>IF(VoxelMeshDefinition!AE44="✅", IF(VoxelMeshDefinition!W44&lt;&gt;"", VoxelMeshDefinition!W44, ""),"")</f>
      </c>
      <c r="G30">
        <f>IF(VoxelMeshDefinition!AE44="✅", IF(VoxelMeshDefinition!X44&lt;&gt;"", VoxelMeshDefinition!X44, ""),"")</f>
      </c>
      <c r="H30">
        <f>IF(VoxelMeshDefinition!AE44="✅", IF(VoxelMeshDefinition!Y44&lt;&gt;"", VoxelMeshDefinition!Y44, ""),"")</f>
      </c>
      <c r="I30">
        <f>IF(VoxelMeshDefinition!AE44="✅", IF(VoxelMeshDefinition!Z44&lt;&gt;"", VoxelMeshDefinition!Z44, ""),"")</f>
      </c>
      <c r="J30">
        <f>IF(VoxelMeshDefinition!AE44="✅", IF(VoxelMeshDefinition!AA44&lt;&gt;"", VoxelMeshDefinition!AA44, ""),"")</f>
      </c>
      <c r="K30" s="1">
        <f>IF(VoxelMeshDefinition!AE44="✅", VLOOKUP(A30,VoxelMeshDefinition!S:AE,10,FALSE),"")</f>
      </c>
    </row>
    <row r="31">
      <c r="A31">
        <f>IF(VoxelMeshDefinition!AE45="✅", IF(#REF!&lt;&gt;"", #REF!, ""),"")</f>
      </c>
      <c r="B31" s="5">
        <f>IF(VoxelMeshDefinition!AE45="✅", "/Script/Engine.StaticMesh'/Game/Item/Mesh/Voxel/" &amp; VoxelMeshDefinition!Q45 &amp; "/" &amp; VoxelMeshDefinition!H45 &amp; "/" &amp; VoxelMeshDefinition!E45 &amp; "." &amp; VoxelMeshDefinition!E45 &amp; "'", "")</f>
      </c>
      <c r="C31">
        <f>IF(VoxelMeshDefinition!AE45="✅", IF(VoxelMeshDefinition!T45&lt;&gt;"", VoxelMeshDefinition!T45, ""), "")</f>
      </c>
      <c r="D31" s="10">
        <f>IF(VoxelMeshDefinition!AE45="✅", IF(VoxelMeshDefinition!U45&lt;&gt;"", VoxelMeshDefinition!U45, ""),"")</f>
      </c>
      <c r="E31" s="9">
        <f>IF(VoxelMeshDefinition!AE45="✅", IF(VoxelMeshDefinition!V45&lt;&gt;"", VoxelMeshDefinition!V45, ""),"")</f>
      </c>
      <c r="F31">
        <f>IF(VoxelMeshDefinition!AE45="✅", IF(VoxelMeshDefinition!W45&lt;&gt;"", VoxelMeshDefinition!W45, ""),"")</f>
      </c>
      <c r="G31">
        <f>IF(VoxelMeshDefinition!AE45="✅", IF(VoxelMeshDefinition!X45&lt;&gt;"", VoxelMeshDefinition!X45, ""),"")</f>
      </c>
      <c r="H31">
        <f>IF(VoxelMeshDefinition!AE45="✅", IF(VoxelMeshDefinition!Y45&lt;&gt;"", VoxelMeshDefinition!Y45, ""),"")</f>
      </c>
      <c r="I31">
        <f>IF(VoxelMeshDefinition!AE45="✅", IF(VoxelMeshDefinition!Z45&lt;&gt;"", VoxelMeshDefinition!Z45, ""),"")</f>
      </c>
      <c r="J31">
        <f>IF(VoxelMeshDefinition!AE45="✅", IF(VoxelMeshDefinition!AA45&lt;&gt;"", VoxelMeshDefinition!AA45, ""),"")</f>
      </c>
      <c r="K31" s="1">
        <f>IF(VoxelMeshDefinition!AE45="✅", VLOOKUP(A31,VoxelMeshDefinition!S:AE,10,FALSE),"")</f>
      </c>
    </row>
    <row r="32">
      <c r="A32">
        <f>IF(VoxelMeshDefinition!AE46="✅", IF(#REF!&lt;&gt;"", #REF!, ""),"")</f>
      </c>
      <c r="B32" s="5">
        <f>IF(VoxelMeshDefinition!AE46="✅", "/Script/Engine.StaticMesh'/Game/Item/Mesh/Voxel/" &amp; VoxelMeshDefinition!Q46 &amp; "/" &amp; VoxelMeshDefinition!H46 &amp; "/" &amp; VoxelMeshDefinition!E46 &amp; "." &amp; VoxelMeshDefinition!E46 &amp; "'", "")</f>
      </c>
      <c r="C32">
        <f>IF(VoxelMeshDefinition!AE46="✅", IF(VoxelMeshDefinition!T46&lt;&gt;"", VoxelMeshDefinition!T46, ""), "")</f>
      </c>
      <c r="D32" s="10">
        <f>IF(VoxelMeshDefinition!AE46="✅", IF(VoxelMeshDefinition!U46&lt;&gt;"", VoxelMeshDefinition!U46, ""),"")</f>
      </c>
      <c r="E32" s="9">
        <f>IF(VoxelMeshDefinition!AE46="✅", IF(VoxelMeshDefinition!V46&lt;&gt;"", VoxelMeshDefinition!V46, ""),"")</f>
      </c>
      <c r="F32">
        <f>IF(VoxelMeshDefinition!AE46="✅", IF(VoxelMeshDefinition!W46&lt;&gt;"", VoxelMeshDefinition!W46, ""),"")</f>
      </c>
      <c r="G32">
        <f>IF(VoxelMeshDefinition!AE46="✅", IF(VoxelMeshDefinition!X46&lt;&gt;"", VoxelMeshDefinition!X46, ""),"")</f>
      </c>
      <c r="H32">
        <f>IF(VoxelMeshDefinition!AE46="✅", IF(VoxelMeshDefinition!Y46&lt;&gt;"", VoxelMeshDefinition!Y46, ""),"")</f>
      </c>
      <c r="I32">
        <f>IF(VoxelMeshDefinition!AE46="✅", IF(VoxelMeshDefinition!Z46&lt;&gt;"", VoxelMeshDefinition!Z46, ""),"")</f>
      </c>
      <c r="J32">
        <f>IF(VoxelMeshDefinition!AE46="✅", IF(VoxelMeshDefinition!AA46&lt;&gt;"", VoxelMeshDefinition!AA46, ""),"")</f>
      </c>
      <c r="K32" s="1">
        <f>IF(VoxelMeshDefinition!AE46="✅", VLOOKUP(A32,VoxelMeshDefinition!S:AE,10,FALSE),"")</f>
      </c>
    </row>
    <row r="33">
      <c r="A33">
        <f>IF(VoxelMeshDefinition!AE48="✅", IF(#REF!&lt;&gt;"", #REF!, ""),"")</f>
      </c>
      <c r="B33" s="5">
        <f>IF(VoxelMeshDefinition!AE48="✅", "/Script/Engine.StaticMesh'/Game/Item/Mesh/Voxel/" &amp; VoxelMeshDefinition!Q48 &amp; "/" &amp; VoxelMeshDefinition!H48 &amp; "/" &amp; VoxelMeshDefinition!E48 &amp; "." &amp; VoxelMeshDefinition!E48 &amp; "'", "")</f>
      </c>
      <c r="C33">
        <f>IF(VoxelMeshDefinition!AE48="✅", IF(VoxelMeshDefinition!T48&lt;&gt;"", VoxelMeshDefinition!T48, ""), "")</f>
      </c>
      <c r="D33" s="10">
        <f>IF(VoxelMeshDefinition!AE48="✅", IF(VoxelMeshDefinition!U48&lt;&gt;"", VoxelMeshDefinition!U48, ""),"")</f>
      </c>
      <c r="E33" s="9">
        <f>IF(VoxelMeshDefinition!AE48="✅", IF(VoxelMeshDefinition!V48&lt;&gt;"", VoxelMeshDefinition!V48, ""),"")</f>
      </c>
      <c r="F33">
        <f>IF(VoxelMeshDefinition!AE48="✅", IF(VoxelMeshDefinition!W48&lt;&gt;"", VoxelMeshDefinition!W48, ""),"")</f>
      </c>
      <c r="G33">
        <f>IF(VoxelMeshDefinition!AE48="✅", IF(VoxelMeshDefinition!X48&lt;&gt;"", VoxelMeshDefinition!X48, ""),"")</f>
      </c>
      <c r="H33">
        <f>IF(VoxelMeshDefinition!AE48="✅", IF(VoxelMeshDefinition!Y48&lt;&gt;"", VoxelMeshDefinition!Y48, ""),"")</f>
      </c>
      <c r="I33">
        <f>IF(VoxelMeshDefinition!AE48="✅", IF(VoxelMeshDefinition!Z48&lt;&gt;"", VoxelMeshDefinition!Z48, ""),"")</f>
      </c>
      <c r="J33">
        <f>IF(VoxelMeshDefinition!AE48="✅", IF(VoxelMeshDefinition!AA48&lt;&gt;"", VoxelMeshDefinition!AA48, ""),"")</f>
      </c>
      <c r="K33" s="1">
        <f>IF(VoxelMeshDefinition!AE48="✅", VLOOKUP(A33,VoxelMeshDefinition!S:AE,10,FALSE),"")</f>
      </c>
    </row>
    <row r="34">
      <c r="A34">
        <f>IF(VoxelMeshDefinition!AE64="✅", IF(#REF!&lt;&gt;"", #REF!, ""),"")</f>
      </c>
      <c r="B34" s="5">
        <f>IF(VoxelMeshDefinition!AE64="✅", "/Script/Engine.StaticMesh'/Game/Item/Mesh/Voxel/" &amp; VoxelMeshDefinition!Q64 &amp; "/" &amp; VoxelMeshDefinition!H64 &amp; "/" &amp; VoxelMeshDefinition!E64 &amp; "." &amp; VoxelMeshDefinition!E64 &amp; "'", "")</f>
      </c>
      <c r="C34">
        <f>IF(VoxelMeshDefinition!AE64="✅", IF(VoxelMeshDefinition!T64&lt;&gt;"", VoxelMeshDefinition!T64, ""), "")</f>
      </c>
      <c r="D34" s="10">
        <f>IF(VoxelMeshDefinition!AE64="✅", IF(VoxelMeshDefinition!U64&lt;&gt;"", VoxelMeshDefinition!U64, ""),"")</f>
      </c>
      <c r="E34" s="9">
        <f>IF(VoxelMeshDefinition!AE64="✅", IF(VoxelMeshDefinition!V64&lt;&gt;"", VoxelMeshDefinition!V64, ""),"")</f>
      </c>
      <c r="F34">
        <f>IF(VoxelMeshDefinition!AE64="✅", IF(VoxelMeshDefinition!W64&lt;&gt;"", VoxelMeshDefinition!W64, ""),"")</f>
      </c>
      <c r="G34">
        <f>IF(VoxelMeshDefinition!AE64="✅", IF(VoxelMeshDefinition!X64&lt;&gt;"", VoxelMeshDefinition!X64, ""),"")</f>
      </c>
      <c r="H34">
        <f>IF(VoxelMeshDefinition!AE64="✅", IF(VoxelMeshDefinition!Y64&lt;&gt;"", VoxelMeshDefinition!Y64, ""),"")</f>
      </c>
      <c r="I34">
        <f>IF(VoxelMeshDefinition!AE64="✅", IF(VoxelMeshDefinition!Z64&lt;&gt;"", VoxelMeshDefinition!Z64, ""),"")</f>
      </c>
      <c r="J34">
        <f>IF(VoxelMeshDefinition!AE64="✅", IF(VoxelMeshDefinition!AA64&lt;&gt;"", VoxelMeshDefinition!AA64, ""),"")</f>
      </c>
      <c r="K34" s="1">
        <f>IF(VoxelMeshDefinition!AE64="✅", VLOOKUP(A34,VoxelMeshDefinition!S:AE,10,FALSE),"")</f>
      </c>
    </row>
    <row r="35">
      <c r="A35">
        <f>IF(#REF!="✅", IF(#REF!&lt;&gt;"", #REF!, ""),"")</f>
      </c>
      <c r="B35" s="5">
        <f>IF(#REF!="✅", "/Script/Engine.StaticMesh'/Game/Item/Mesh/Voxel/" &amp; #REF! &amp; "/" &amp; #REF! &amp; "/" &amp; #REF! &amp; "." &amp; #REF! &amp; "'", "")</f>
      </c>
      <c r="C35">
        <f>IF(#REF!="✅", IF(#REF!&lt;&gt;"", #REF!, ""), "")</f>
      </c>
      <c r="D35" s="10">
        <f>IF(#REF!="✅", IF(#REF!&lt;&gt;"", #REF!, ""),"")</f>
      </c>
      <c r="E35" s="9">
        <f>IF(#REF!="✅", IF(#REF!&lt;&gt;"", #REF!, ""),"")</f>
      </c>
      <c r="F35">
        <f>IF(#REF!="✅", IF(#REF!&lt;&gt;"", #REF!, ""),"")</f>
      </c>
      <c r="G35">
        <f>IF(#REF!="✅", IF(#REF!&lt;&gt;"", #REF!, ""),"")</f>
      </c>
      <c r="H35">
        <f>IF(#REF!="✅", IF(#REF!&lt;&gt;"", #REF!, ""),"")</f>
      </c>
      <c r="I35">
        <f>IF(#REF!="✅", IF(#REF!&lt;&gt;"", #REF!, ""),"")</f>
      </c>
      <c r="J35">
        <f>IF(#REF!="✅", IF(#REF!&lt;&gt;"", #REF!, ""),"")</f>
      </c>
      <c r="K35" s="1">
        <f>IF(#REF!="✅", VLOOKUP(A35,VoxelMeshDefinition!S:AE,10,FALSE),"")</f>
      </c>
    </row>
    <row r="36">
      <c r="A36">
        <f>IF(VoxelMeshDefinition!AE49="✅", IF(#REF!&lt;&gt;"", #REF!, ""),"")</f>
      </c>
      <c r="B36" s="5">
        <f>IF(VoxelMeshDefinition!AE49="✅", "/Script/Engine.StaticMesh'/Game/Item/Mesh/Voxel/" &amp; VoxelMeshDefinition!Q49 &amp; "/" &amp; VoxelMeshDefinition!H49 &amp; "/" &amp; VoxelMeshDefinition!E49 &amp; "." &amp; VoxelMeshDefinition!E49 &amp; "'", "")</f>
      </c>
      <c r="C36">
        <f>IF(VoxelMeshDefinition!AE49="✅", IF(VoxelMeshDefinition!T49&lt;&gt;"", VoxelMeshDefinition!T49, ""), "")</f>
      </c>
      <c r="D36" s="10">
        <f>IF(VoxelMeshDefinition!AE49="✅", IF(VoxelMeshDefinition!U49&lt;&gt;"", VoxelMeshDefinition!U49, ""),"")</f>
      </c>
      <c r="E36" s="9">
        <f>IF(VoxelMeshDefinition!AE49="✅", IF(VoxelMeshDefinition!V49&lt;&gt;"", VoxelMeshDefinition!V49, ""),"")</f>
      </c>
      <c r="F36">
        <f>IF(VoxelMeshDefinition!AE49="✅", IF(VoxelMeshDefinition!W49&lt;&gt;"", VoxelMeshDefinition!W49, ""),"")</f>
      </c>
      <c r="G36">
        <f>IF(VoxelMeshDefinition!AE49="✅", IF(VoxelMeshDefinition!X49&lt;&gt;"", VoxelMeshDefinition!X49, ""),"")</f>
      </c>
      <c r="H36">
        <f>IF(VoxelMeshDefinition!AE49="✅", IF(VoxelMeshDefinition!Y49&lt;&gt;"", VoxelMeshDefinition!Y49, ""),"")</f>
      </c>
      <c r="I36">
        <f>IF(VoxelMeshDefinition!AE49="✅", IF(VoxelMeshDefinition!Z49&lt;&gt;"", VoxelMeshDefinition!Z49, ""),"")</f>
      </c>
      <c r="J36">
        <f>IF(VoxelMeshDefinition!AE49="✅", IF(VoxelMeshDefinition!AA49&lt;&gt;"", VoxelMeshDefinition!AA49, ""),"")</f>
      </c>
      <c r="K36" s="1">
        <f>IF(VoxelMeshDefinition!AE49="✅", VLOOKUP(A36,VoxelMeshDefinition!S:AE,10,FALSE),"")</f>
      </c>
    </row>
    <row r="37">
      <c r="A37">
        <f>IF(VoxelMeshDefinition!AE50="✅", IF(#REF!&lt;&gt;"", #REF!, ""),"")</f>
      </c>
      <c r="B37" s="5">
        <f>IF(VoxelMeshDefinition!AE50="✅", "/Script/Engine.StaticMesh'/Game/Item/Mesh/Voxel/" &amp; VoxelMeshDefinition!Q50 &amp; "/" &amp; VoxelMeshDefinition!H50 &amp; "/" &amp; VoxelMeshDefinition!E50 &amp; "." &amp; VoxelMeshDefinition!E50 &amp; "'", "")</f>
      </c>
      <c r="C37">
        <f>IF(VoxelMeshDefinition!AE50="✅", IF(VoxelMeshDefinition!T50&lt;&gt;"", VoxelMeshDefinition!T50, ""), "")</f>
      </c>
      <c r="D37" s="10">
        <f>IF(VoxelMeshDefinition!AE50="✅", IF(VoxelMeshDefinition!U50&lt;&gt;"", VoxelMeshDefinition!U50, ""),"")</f>
      </c>
      <c r="E37" s="9">
        <f>IF(VoxelMeshDefinition!AE50="✅", IF(VoxelMeshDefinition!V50&lt;&gt;"", VoxelMeshDefinition!V50, ""),"")</f>
      </c>
      <c r="F37">
        <f>IF(VoxelMeshDefinition!AE50="✅", IF(VoxelMeshDefinition!W50&lt;&gt;"", VoxelMeshDefinition!W50, ""),"")</f>
      </c>
      <c r="G37">
        <f>IF(VoxelMeshDefinition!AE50="✅", IF(VoxelMeshDefinition!X50&lt;&gt;"", VoxelMeshDefinition!X50, ""),"")</f>
      </c>
      <c r="H37">
        <f>IF(VoxelMeshDefinition!AE50="✅", IF(VoxelMeshDefinition!Y50&lt;&gt;"", VoxelMeshDefinition!Y50, ""),"")</f>
      </c>
      <c r="I37">
        <f>IF(VoxelMeshDefinition!AE50="✅", IF(VoxelMeshDefinition!Z50&lt;&gt;"", VoxelMeshDefinition!Z50, ""),"")</f>
      </c>
      <c r="J37">
        <f>IF(VoxelMeshDefinition!AE50="✅", IF(VoxelMeshDefinition!AA50&lt;&gt;"", VoxelMeshDefinition!AA50, ""),"")</f>
      </c>
      <c r="K37" s="1">
        <f>IF(VoxelMeshDefinition!AE50="✅", VLOOKUP(A37,VoxelMeshDefinition!S:AE,10,FALSE),"")</f>
      </c>
    </row>
    <row r="38">
      <c r="A38">
        <f>IF(#REF!="✅", IF(#REF!&lt;&gt;"", #REF!, ""),"")</f>
      </c>
      <c r="B38" s="5">
        <f>IF(#REF!="✅", "/Script/Engine.StaticMesh'/Game/Item/Mesh/Voxel/" &amp; #REF! &amp; "/" &amp; #REF! &amp; "/" &amp; #REF! &amp; "." &amp; #REF! &amp; "'", "")</f>
      </c>
      <c r="C38">
        <f>IF(#REF!="✅", IF(#REF!&lt;&gt;"", #REF!, ""), "")</f>
      </c>
      <c r="D38" s="10">
        <f>IF(#REF!="✅", IF(#REF!&lt;&gt;"", #REF!, ""),"")</f>
      </c>
      <c r="E38" s="9">
        <f>IF(#REF!="✅", IF(#REF!&lt;&gt;"", #REF!, ""),"")</f>
      </c>
      <c r="F38">
        <f>IF(#REF!="✅", IF(#REF!&lt;&gt;"", #REF!, ""),"")</f>
      </c>
      <c r="G38">
        <f>IF(#REF!="✅", IF(#REF!&lt;&gt;"", #REF!, ""),"")</f>
      </c>
      <c r="H38">
        <f>IF(#REF!="✅", IF(#REF!&lt;&gt;"", #REF!, ""),"")</f>
      </c>
      <c r="I38">
        <f>IF(#REF!="✅", IF(#REF!&lt;&gt;"", #REF!, ""),"")</f>
      </c>
      <c r="J38">
        <f>IF(#REF!="✅", IF(#REF!&lt;&gt;"", #REF!, ""),"")</f>
      </c>
      <c r="K38" s="1">
        <f>IF(#REF!="✅", VLOOKUP(A38,VoxelMeshDefinition!S:AE,10,FALSE),"")</f>
      </c>
    </row>
    <row r="39">
      <c r="A39">
        <f>IF(#REF!="✅", IF(#REF!&lt;&gt;"", #REF!, ""),"")</f>
      </c>
      <c r="B39" s="5">
        <f>IF(#REF!="✅", "/Script/Engine.StaticMesh'/Game/Item/Mesh/Voxel/" &amp; #REF! &amp; "/" &amp; #REF! &amp; "/" &amp; #REF! &amp; "." &amp; #REF! &amp; "'", "")</f>
      </c>
      <c r="C39">
        <f>IF(#REF!="✅", IF(#REF!&lt;&gt;"", #REF!, ""), "")</f>
      </c>
      <c r="D39" s="10">
        <f>IF(#REF!="✅", IF(#REF!&lt;&gt;"", #REF!, ""),"")</f>
      </c>
      <c r="E39" s="9">
        <f>IF(#REF!="✅", IF(#REF!&lt;&gt;"", #REF!, ""),"")</f>
      </c>
      <c r="F39">
        <f>IF(#REF!="✅", IF(#REF!&lt;&gt;"", #REF!, ""),"")</f>
      </c>
      <c r="G39">
        <f>IF(#REF!="✅", IF(#REF!&lt;&gt;"", #REF!, ""),"")</f>
      </c>
      <c r="H39">
        <f>IF(#REF!="✅", IF(#REF!&lt;&gt;"", #REF!, ""),"")</f>
      </c>
      <c r="I39">
        <f>IF(#REF!="✅", IF(#REF!&lt;&gt;"", #REF!, ""),"")</f>
      </c>
      <c r="J39">
        <f>IF(#REF!="✅", IF(#REF!&lt;&gt;"", #REF!, ""),"")</f>
      </c>
      <c r="K39" s="1">
        <f>IF(#REF!="✅", VLOOKUP(A39,VoxelMeshDefinition!S:AE,10,FALSE),"")</f>
      </c>
    </row>
    <row r="40">
      <c r="A40">
        <f>IF(VoxelMeshDefinition!AE52="✅", IF(#REF!&lt;&gt;"", #REF!, ""),"")</f>
      </c>
      <c r="B40" s="5">
        <f>IF(VoxelMeshDefinition!AE52="✅", "/Script/Engine.StaticMesh'/Game/Item/Mesh/Voxel/" &amp; VoxelMeshDefinition!Q52 &amp; "/" &amp; VoxelMeshDefinition!H52 &amp; "/" &amp; VoxelMeshDefinition!E52 &amp; "." &amp; VoxelMeshDefinition!E52 &amp; "'", "")</f>
      </c>
      <c r="C40">
        <f>IF(VoxelMeshDefinition!AE52="✅", IF(VoxelMeshDefinition!T52&lt;&gt;"", VoxelMeshDefinition!T52, ""), "")</f>
      </c>
      <c r="D40" s="10">
        <f>IF(VoxelMeshDefinition!AE52="✅", IF(VoxelMeshDefinition!U52&lt;&gt;"", VoxelMeshDefinition!U52, ""),"")</f>
      </c>
      <c r="E40" s="9">
        <f>IF(VoxelMeshDefinition!AE52="✅", IF(VoxelMeshDefinition!V52&lt;&gt;"", VoxelMeshDefinition!V52, ""),"")</f>
      </c>
      <c r="F40">
        <f>IF(VoxelMeshDefinition!AE52="✅", IF(VoxelMeshDefinition!W52&lt;&gt;"", VoxelMeshDefinition!W52, ""),"")</f>
      </c>
      <c r="G40">
        <f>IF(VoxelMeshDefinition!AE52="✅", IF(VoxelMeshDefinition!X52&lt;&gt;"", VoxelMeshDefinition!X52, ""),"")</f>
      </c>
      <c r="H40">
        <f>IF(VoxelMeshDefinition!AE52="✅", IF(VoxelMeshDefinition!Y52&lt;&gt;"", VoxelMeshDefinition!Y52, ""),"")</f>
      </c>
      <c r="I40">
        <f>IF(VoxelMeshDefinition!AE52="✅", IF(VoxelMeshDefinition!Z52&lt;&gt;"", VoxelMeshDefinition!Z52, ""),"")</f>
      </c>
      <c r="J40">
        <f>IF(VoxelMeshDefinition!AE52="✅", IF(VoxelMeshDefinition!AA52&lt;&gt;"", VoxelMeshDefinition!AA52, ""),"")</f>
      </c>
      <c r="K40" s="1">
        <f>IF(VoxelMeshDefinition!AE52="✅", VLOOKUP(A40,VoxelMeshDefinition!S:AE,10,FALSE),"")</f>
      </c>
    </row>
    <row r="41">
      <c r="A41">
        <f>IF(VoxelMeshDefinition!AE76="✅", IF(#REF!&lt;&gt;"", #REF!, ""),"")</f>
      </c>
      <c r="B41" s="5">
        <f>IF(VoxelMeshDefinition!AE76="✅", "/Script/Engine.StaticMesh'/Game/Item/Mesh/Voxel/" &amp; VoxelMeshDefinition!Q76 &amp; "/" &amp; VoxelMeshDefinition!H76 &amp; "/" &amp; VoxelMeshDefinition!E76 &amp; "." &amp; VoxelMeshDefinition!E76 &amp; "'", "")</f>
      </c>
      <c r="C41">
        <f>IF(VoxelMeshDefinition!AE76="✅", IF(VoxelMeshDefinition!T76&lt;&gt;"", VoxelMeshDefinition!T76, ""), "")</f>
      </c>
      <c r="D41" s="10">
        <f>IF(VoxelMeshDefinition!AE76="✅", IF(VoxelMeshDefinition!U76&lt;&gt;"", VoxelMeshDefinition!U76, ""),"")</f>
      </c>
      <c r="E41" s="9">
        <f>IF(VoxelMeshDefinition!AE76="✅", IF(VoxelMeshDefinition!V76&lt;&gt;"", VoxelMeshDefinition!V76, ""),"")</f>
      </c>
      <c r="F41">
        <f>IF(VoxelMeshDefinition!AE76="✅", IF(VoxelMeshDefinition!W76&lt;&gt;"", VoxelMeshDefinition!W76, ""),"")</f>
      </c>
      <c r="G41">
        <f>IF(VoxelMeshDefinition!AE76="✅", IF(VoxelMeshDefinition!X76&lt;&gt;"", VoxelMeshDefinition!X76, ""),"")</f>
      </c>
      <c r="H41">
        <f>IF(VoxelMeshDefinition!AE76="✅", IF(VoxelMeshDefinition!Y76&lt;&gt;"", VoxelMeshDefinition!Y76, ""),"")</f>
      </c>
      <c r="I41">
        <f>IF(VoxelMeshDefinition!AE76="✅", IF(VoxelMeshDefinition!Z76&lt;&gt;"", VoxelMeshDefinition!Z76, ""),"")</f>
      </c>
      <c r="J41">
        <f>IF(VoxelMeshDefinition!AE76="✅", IF(VoxelMeshDefinition!AA76&lt;&gt;"", VoxelMeshDefinition!AA76, ""),"")</f>
      </c>
      <c r="K41" s="1">
        <f>IF(VoxelMeshDefinition!AE76="✅", VLOOKUP(A41,VoxelMeshDefinition!S:AE,10,FALSE),"")</f>
      </c>
    </row>
    <row r="42">
      <c r="A42">
        <f>IF(#REF!="✅", IF(#REF!&lt;&gt;"", #REF!, ""),"")</f>
      </c>
      <c r="B42" s="5">
        <f>IF(#REF!="✅", "/Script/Engine.StaticMesh'/Game/Item/Mesh/Voxel/" &amp; #REF! &amp; "/" &amp; #REF! &amp; "/" &amp; #REF! &amp; "." &amp; #REF! &amp; "'", "")</f>
      </c>
      <c r="C42">
        <f>IF(#REF!="✅", IF(#REF!&lt;&gt;"", #REF!, ""), "")</f>
      </c>
      <c r="D42" s="10">
        <f>IF(#REF!="✅", IF(#REF!&lt;&gt;"", #REF!, ""),"")</f>
      </c>
      <c r="E42" s="9">
        <f>IF(#REF!="✅", IF(#REF!&lt;&gt;"", #REF!, ""),"")</f>
      </c>
      <c r="F42">
        <f>IF(#REF!="✅", IF(#REF!&lt;&gt;"", #REF!, ""),"")</f>
      </c>
      <c r="G42">
        <f>IF(#REF!="✅", IF(#REF!&lt;&gt;"", #REF!, ""),"")</f>
      </c>
      <c r="H42">
        <f>IF(#REF!="✅", IF(#REF!&lt;&gt;"", #REF!, ""),"")</f>
      </c>
      <c r="I42">
        <f>IF(#REF!="✅", IF(#REF!&lt;&gt;"", #REF!, ""),"")</f>
      </c>
      <c r="J42">
        <f>IF(#REF!="✅", IF(#REF!&lt;&gt;"", #REF!, ""),"")</f>
      </c>
      <c r="K42" s="1">
        <f>IF(#REF!="✅", VLOOKUP(A42,VoxelMeshDefinition!S:AE,10,FALSE),"")</f>
      </c>
    </row>
    <row r="43">
      <c r="A43">
        <f>IF(VoxelMeshDefinition!AE120="✅", IF(#REF!&lt;&gt;"", #REF!, ""),"")</f>
      </c>
      <c r="B43" s="5">
        <f>IF(VoxelMeshDefinition!AE120="✅", "/Script/Engine.StaticMesh'/Game/Item/Mesh/Voxel/" &amp; VoxelMeshDefinition!Q120 &amp; "/" &amp; VoxelMeshDefinition!H120 &amp; "/" &amp; VoxelMeshDefinition!E120 &amp; "." &amp; VoxelMeshDefinition!E120 &amp; "'", "")</f>
      </c>
      <c r="C43">
        <f>IF(VoxelMeshDefinition!AE120="✅", IF(VoxelMeshDefinition!T120&lt;&gt;"", VoxelMeshDefinition!T120, ""), "")</f>
      </c>
      <c r="D43" s="10">
        <f>IF(VoxelMeshDefinition!AE120="✅", IF(VoxelMeshDefinition!U120&lt;&gt;"", VoxelMeshDefinition!U120, ""),"")</f>
      </c>
      <c r="E43" s="9">
        <f>IF(VoxelMeshDefinition!AE120="✅", IF(VoxelMeshDefinition!V120&lt;&gt;"", VoxelMeshDefinition!V120, ""),"")</f>
      </c>
      <c r="F43">
        <f>IF(VoxelMeshDefinition!AE120="✅", IF(VoxelMeshDefinition!W120&lt;&gt;"", VoxelMeshDefinition!W120, ""),"")</f>
      </c>
      <c r="G43">
        <f>IF(VoxelMeshDefinition!AE120="✅", IF(VoxelMeshDefinition!X120&lt;&gt;"", VoxelMeshDefinition!X120, ""),"")</f>
      </c>
      <c r="H43">
        <f>IF(VoxelMeshDefinition!AE120="✅", IF(VoxelMeshDefinition!Y120&lt;&gt;"", VoxelMeshDefinition!Y120, ""),"")</f>
      </c>
      <c r="I43">
        <f>IF(VoxelMeshDefinition!AE120="✅", IF(VoxelMeshDefinition!Z120&lt;&gt;"", VoxelMeshDefinition!Z120, ""),"")</f>
      </c>
      <c r="J43">
        <f>IF(VoxelMeshDefinition!AE120="✅", IF(VoxelMeshDefinition!AA120&lt;&gt;"", VoxelMeshDefinition!AA120, ""),"")</f>
      </c>
      <c r="K43" s="1">
        <f>IF(VoxelMeshDefinition!AE120="✅", VLOOKUP(A43,VoxelMeshDefinition!S:AE,10,FALSE),"")</f>
      </c>
    </row>
    <row r="44">
      <c r="A44">
        <f>IF(VoxelMeshDefinition!AE127="✅", IF(#REF!&lt;&gt;"", #REF!, ""),"")</f>
      </c>
      <c r="B44" s="5">
        <f>IF(VoxelMeshDefinition!AE127="✅", "/Script/Engine.StaticMesh'/Game/Item/Mesh/Voxel/" &amp; VoxelMeshDefinition!Q127 &amp; "/" &amp; VoxelMeshDefinition!H127 &amp; "/" &amp; VoxelMeshDefinition!E127 &amp; "." &amp; VoxelMeshDefinition!E127 &amp; "'", "")</f>
      </c>
      <c r="C44">
        <f>IF(VoxelMeshDefinition!AE127="✅", IF(VoxelMeshDefinition!T127&lt;&gt;"", VoxelMeshDefinition!T127, ""), "")</f>
      </c>
      <c r="D44" s="10">
        <f>IF(VoxelMeshDefinition!AE127="✅", IF(VoxelMeshDefinition!U127&lt;&gt;"", VoxelMeshDefinition!U127, ""),"")</f>
      </c>
      <c r="E44" s="9">
        <f>IF(VoxelMeshDefinition!AE127="✅", IF(VoxelMeshDefinition!V127&lt;&gt;"", VoxelMeshDefinition!V127, ""),"")</f>
      </c>
      <c r="F44">
        <f>IF(VoxelMeshDefinition!AE127="✅", IF(VoxelMeshDefinition!W127&lt;&gt;"", VoxelMeshDefinition!W127, ""),"")</f>
      </c>
      <c r="G44">
        <f>IF(VoxelMeshDefinition!AE127="✅", IF(VoxelMeshDefinition!X127&lt;&gt;"", VoxelMeshDefinition!X127, ""),"")</f>
      </c>
      <c r="H44">
        <f>IF(VoxelMeshDefinition!AE127="✅", IF(VoxelMeshDefinition!Y127&lt;&gt;"", VoxelMeshDefinition!Y127, ""),"")</f>
      </c>
      <c r="I44">
        <f>IF(VoxelMeshDefinition!AE127="✅", IF(VoxelMeshDefinition!Z127&lt;&gt;"", VoxelMeshDefinition!Z127, ""),"")</f>
      </c>
      <c r="J44">
        <f>IF(VoxelMeshDefinition!AE127="✅", IF(VoxelMeshDefinition!AA127&lt;&gt;"", VoxelMeshDefinition!AA127, ""),"")</f>
      </c>
      <c r="K44" s="1">
        <f>IF(VoxelMeshDefinition!AE127="✅", VLOOKUP(A44,VoxelMeshDefinition!S:AE,10,FALSE),"")</f>
      </c>
    </row>
    <row r="45">
      <c r="A45">
        <f>IF(VoxelMeshDefinition!AE89="✅", IF(#REF!&lt;&gt;"", #REF!, ""),"")</f>
      </c>
      <c r="B45" s="5">
        <f>IF(VoxelMeshDefinition!AE89="✅", "/Script/Engine.StaticMesh'/Game/Item/Mesh/Voxel/" &amp; VoxelMeshDefinition!Q89 &amp; "/" &amp; VoxelMeshDefinition!H89 &amp; "/" &amp; VoxelMeshDefinition!E89 &amp; "." &amp; VoxelMeshDefinition!E89 &amp; "'", "")</f>
      </c>
      <c r="C45">
        <f>IF(VoxelMeshDefinition!AE89="✅", IF(VoxelMeshDefinition!T89&lt;&gt;"", VoxelMeshDefinition!T89, ""), "")</f>
      </c>
      <c r="D45" s="10">
        <f>IF(VoxelMeshDefinition!AE89="✅", IF(VoxelMeshDefinition!U89&lt;&gt;"", VoxelMeshDefinition!U89, ""),"")</f>
      </c>
      <c r="E45" s="9">
        <f>IF(VoxelMeshDefinition!AE89="✅", IF(VoxelMeshDefinition!V89&lt;&gt;"", VoxelMeshDefinition!V89, ""),"")</f>
      </c>
      <c r="F45">
        <f>IF(VoxelMeshDefinition!AE89="✅", IF(VoxelMeshDefinition!W89&lt;&gt;"", VoxelMeshDefinition!W89, ""),"")</f>
      </c>
      <c r="G45">
        <f>IF(VoxelMeshDefinition!AE89="✅", IF(VoxelMeshDefinition!X89&lt;&gt;"", VoxelMeshDefinition!X89, ""),"")</f>
      </c>
      <c r="H45">
        <f>IF(VoxelMeshDefinition!AE89="✅", IF(VoxelMeshDefinition!Y89&lt;&gt;"", VoxelMeshDefinition!Y89, ""),"")</f>
      </c>
      <c r="I45">
        <f>IF(VoxelMeshDefinition!AE89="✅", IF(VoxelMeshDefinition!Z89&lt;&gt;"", VoxelMeshDefinition!Z89, ""),"")</f>
      </c>
      <c r="J45">
        <f>IF(VoxelMeshDefinition!AE89="✅", IF(VoxelMeshDefinition!AA89&lt;&gt;"", VoxelMeshDefinition!AA89, ""),"")</f>
      </c>
      <c r="K45" s="1">
        <f>IF(VoxelMeshDefinition!AE89="✅", VLOOKUP(A45,VoxelMeshDefinition!S:AE,10,FALSE),"")</f>
      </c>
    </row>
    <row r="46">
      <c r="A46">
        <f>IF(VoxelMeshDefinition!AE75="✅", IF(#REF!&lt;&gt;"", #REF!, ""),"")</f>
      </c>
      <c r="B46" s="5">
        <f>IF(VoxelMeshDefinition!AE75="✅", "/Script/Engine.StaticMesh'/Game/Item/Mesh/Voxel/" &amp; VoxelMeshDefinition!Q75 &amp; "/" &amp; VoxelMeshDefinition!H75 &amp; "/" &amp; VoxelMeshDefinition!E75 &amp; "." &amp; VoxelMeshDefinition!E75 &amp; "'", "")</f>
      </c>
      <c r="C46">
        <f>IF(VoxelMeshDefinition!AE75="✅", IF(VoxelMeshDefinition!T75&lt;&gt;"", VoxelMeshDefinition!T75, ""), "")</f>
      </c>
      <c r="D46" s="10">
        <f>IF(VoxelMeshDefinition!AE75="✅", IF(VoxelMeshDefinition!U75&lt;&gt;"", VoxelMeshDefinition!U75, ""),"")</f>
      </c>
      <c r="E46" s="9">
        <f>IF(VoxelMeshDefinition!AE75="✅", IF(VoxelMeshDefinition!V75&lt;&gt;"", VoxelMeshDefinition!V75, ""),"")</f>
      </c>
      <c r="F46">
        <f>IF(VoxelMeshDefinition!AE75="✅", IF(VoxelMeshDefinition!W75&lt;&gt;"", VoxelMeshDefinition!W75, ""),"")</f>
      </c>
      <c r="G46">
        <f>IF(VoxelMeshDefinition!AE75="✅", IF(VoxelMeshDefinition!X75&lt;&gt;"", VoxelMeshDefinition!X75, ""),"")</f>
      </c>
      <c r="H46">
        <f>IF(VoxelMeshDefinition!AE75="✅", IF(VoxelMeshDefinition!Y75&lt;&gt;"", VoxelMeshDefinition!Y75, ""),"")</f>
      </c>
      <c r="I46">
        <f>IF(VoxelMeshDefinition!AE75="✅", IF(VoxelMeshDefinition!Z75&lt;&gt;"", VoxelMeshDefinition!Z75, ""),"")</f>
      </c>
      <c r="J46">
        <f>IF(VoxelMeshDefinition!AE75="✅", IF(VoxelMeshDefinition!AA75&lt;&gt;"", VoxelMeshDefinition!AA75, ""),"")</f>
      </c>
      <c r="K46" s="1">
        <f>IF(VoxelMeshDefinition!AE75="✅", VLOOKUP(A46,VoxelMeshDefinition!S:AE,10,FALSE),"")</f>
      </c>
    </row>
    <row r="47">
      <c r="A47">
        <f>IF(#REF!="✅", IF(#REF!&lt;&gt;"", #REF!, ""),"")</f>
      </c>
      <c r="B47" s="5">
        <f>IF(#REF!="✅", "/Script/Engine.StaticMesh'/Game/Item/Mesh/Voxel/" &amp; #REF! &amp; "/" &amp; #REF! &amp; "/" &amp; #REF! &amp; "." &amp; #REF! &amp; "'", "")</f>
      </c>
      <c r="C47">
        <f>IF(#REF!="✅", IF(#REF!&lt;&gt;"", #REF!, ""), "")</f>
      </c>
      <c r="D47" s="10">
        <f>IF(#REF!="✅", IF(#REF!&lt;&gt;"", #REF!, ""),"")</f>
      </c>
      <c r="E47" s="9">
        <f>IF(#REF!="✅", IF(#REF!&lt;&gt;"", #REF!, ""),"")</f>
      </c>
      <c r="F47">
        <f>IF(#REF!="✅", IF(#REF!&lt;&gt;"", #REF!, ""),"")</f>
      </c>
      <c r="G47">
        <f>IF(#REF!="✅", IF(#REF!&lt;&gt;"", #REF!, ""),"")</f>
      </c>
      <c r="H47">
        <f>IF(#REF!="✅", IF(#REF!&lt;&gt;"", #REF!, ""),"")</f>
      </c>
      <c r="I47">
        <f>IF(#REF!="✅", IF(#REF!&lt;&gt;"", #REF!, ""),"")</f>
      </c>
      <c r="J47">
        <f>IF(#REF!="✅", IF(#REF!&lt;&gt;"", #REF!, ""),"")</f>
      </c>
      <c r="K47" s="1">
        <f>IF(#REF!="✅", VLOOKUP(A47,VoxelMeshDefinition!S:AE,10,FALSE),"")</f>
      </c>
    </row>
    <row r="48">
      <c r="A48">
        <f>IF(#REF!="✅", IF(#REF!&lt;&gt;"", #REF!, ""),"")</f>
      </c>
      <c r="B48" s="5">
        <f>IF(#REF!="✅", "/Script/Engine.StaticMesh'/Game/Item/Mesh/Voxel/" &amp; #REF! &amp; "/" &amp; #REF! &amp; "/" &amp; #REF! &amp; "." &amp; #REF! &amp; "'", "")</f>
      </c>
      <c r="C48">
        <f>IF(#REF!="✅", IF(#REF!&lt;&gt;"", #REF!, ""), "")</f>
      </c>
      <c r="D48" s="10">
        <f>IF(#REF!="✅", IF(#REF!&lt;&gt;"", #REF!, ""),"")</f>
      </c>
      <c r="E48" s="9">
        <f>IF(#REF!="✅", IF(#REF!&lt;&gt;"", #REF!, ""),"")</f>
      </c>
      <c r="F48">
        <f>IF(#REF!="✅", IF(#REF!&lt;&gt;"", #REF!, ""),"")</f>
      </c>
      <c r="G48">
        <f>IF(#REF!="✅", IF(#REF!&lt;&gt;"", #REF!, ""),"")</f>
      </c>
      <c r="H48">
        <f>IF(#REF!="✅", IF(#REF!&lt;&gt;"", #REF!, ""),"")</f>
      </c>
      <c r="I48">
        <f>IF(#REF!="✅", IF(#REF!&lt;&gt;"", #REF!, ""),"")</f>
      </c>
      <c r="J48">
        <f>IF(#REF!="✅", IF(#REF!&lt;&gt;"", #REF!, ""),"")</f>
      </c>
      <c r="K48" s="1">
        <f>IF(#REF!="✅", VLOOKUP(A48,VoxelMeshDefinition!S:AE,10,FALSE),"")</f>
      </c>
    </row>
    <row r="49">
      <c r="A49">
        <f>IF(VoxelMeshDefinition!AE87="✅", IF(#REF!&lt;&gt;"", #REF!, ""),"")</f>
      </c>
      <c r="B49" s="5">
        <f>IF(VoxelMeshDefinition!AE87="✅", "/Script/Engine.StaticMesh'/Game/Item/Mesh/Voxel/" &amp; VoxelMeshDefinition!Q87 &amp; "/" &amp; VoxelMeshDefinition!H87 &amp; "/" &amp; VoxelMeshDefinition!E87 &amp; "." &amp; VoxelMeshDefinition!E87 &amp; "'", "")</f>
      </c>
      <c r="C49">
        <f>IF(VoxelMeshDefinition!AE87="✅", IF(VoxelMeshDefinition!T87&lt;&gt;"", VoxelMeshDefinition!T87, ""), "")</f>
      </c>
      <c r="D49" s="10">
        <f>IF(VoxelMeshDefinition!AE87="✅", IF(VoxelMeshDefinition!U87&lt;&gt;"", VoxelMeshDefinition!U87, ""),"")</f>
      </c>
      <c r="E49" s="9">
        <f>IF(VoxelMeshDefinition!AE87="✅", IF(VoxelMeshDefinition!V87&lt;&gt;"", VoxelMeshDefinition!V87, ""),"")</f>
      </c>
      <c r="F49">
        <f>IF(VoxelMeshDefinition!AE87="✅", IF(VoxelMeshDefinition!W87&lt;&gt;"", VoxelMeshDefinition!W87, ""),"")</f>
      </c>
      <c r="G49">
        <f>IF(VoxelMeshDefinition!AE87="✅", IF(VoxelMeshDefinition!X87&lt;&gt;"", VoxelMeshDefinition!X87, ""),"")</f>
      </c>
      <c r="H49">
        <f>IF(VoxelMeshDefinition!AE87="✅", IF(VoxelMeshDefinition!Y87&lt;&gt;"", VoxelMeshDefinition!Y87, ""),"")</f>
      </c>
      <c r="I49">
        <f>IF(VoxelMeshDefinition!AE87="✅", IF(VoxelMeshDefinition!Z87&lt;&gt;"", VoxelMeshDefinition!Z87, ""),"")</f>
      </c>
      <c r="J49">
        <f>IF(VoxelMeshDefinition!AE87="✅", IF(VoxelMeshDefinition!AA87&lt;&gt;"", VoxelMeshDefinition!AA87, ""),"")</f>
      </c>
      <c r="K49" s="1">
        <f>IF(VoxelMeshDefinition!AE87="✅", VLOOKUP(A49,VoxelMeshDefinition!S:AE,10,FALSE),"")</f>
      </c>
    </row>
    <row r="50">
      <c r="A50">
        <f>IF(VoxelMeshDefinition!AE249="✅", IF(#REF!&lt;&gt;"", #REF!, ""),"")</f>
      </c>
      <c r="B50" s="5">
        <f>IF(VoxelMeshDefinition!AE249="✅", "/Script/Engine.StaticMesh'/Game/Item/Mesh/Voxel/" &amp; VoxelMeshDefinition!Q249 &amp; "/" &amp; VoxelMeshDefinition!H249 &amp; "/" &amp; VoxelMeshDefinition!E249 &amp; "." &amp; VoxelMeshDefinition!E249 &amp; "'", "")</f>
      </c>
      <c r="C50">
        <f>IF(VoxelMeshDefinition!AE249="✅", IF(VoxelMeshDefinition!T249&lt;&gt;"", VoxelMeshDefinition!T249, ""), "")</f>
      </c>
      <c r="D50" s="10">
        <f>IF(VoxelMeshDefinition!AE249="✅", IF(VoxelMeshDefinition!U249&lt;&gt;"", VoxelMeshDefinition!U249, ""),"")</f>
      </c>
      <c r="E50" s="9">
        <f>IF(VoxelMeshDefinition!AE249="✅", IF(VoxelMeshDefinition!V249&lt;&gt;"", VoxelMeshDefinition!V249, ""),"")</f>
      </c>
      <c r="F50">
        <f>IF(VoxelMeshDefinition!AE249="✅", IF(VoxelMeshDefinition!W249&lt;&gt;"", VoxelMeshDefinition!W249, ""),"")</f>
      </c>
      <c r="G50">
        <f>IF(VoxelMeshDefinition!AE249="✅", IF(VoxelMeshDefinition!X249&lt;&gt;"", VoxelMeshDefinition!X249, ""),"")</f>
      </c>
      <c r="H50">
        <f>IF(VoxelMeshDefinition!AE249="✅", IF(VoxelMeshDefinition!Y249&lt;&gt;"", VoxelMeshDefinition!Y249, ""),"")</f>
      </c>
      <c r="I50">
        <f>IF(VoxelMeshDefinition!AE249="✅", IF(VoxelMeshDefinition!Z249&lt;&gt;"", VoxelMeshDefinition!Z249, ""),"")</f>
      </c>
      <c r="J50">
        <f>IF(VoxelMeshDefinition!AE249="✅", IF(VoxelMeshDefinition!AA249&lt;&gt;"", VoxelMeshDefinition!AA249, ""),"")</f>
      </c>
      <c r="K50" s="1">
        <f>IF(VoxelMeshDefinition!AE249="✅", VLOOKUP(A50,VoxelMeshDefinition!S:AE,10,FALSE),"")</f>
      </c>
    </row>
    <row r="51">
      <c r="A51">
        <f>IF(#REF!="✅", IF(#REF!&lt;&gt;"", #REF!, ""),"")</f>
      </c>
      <c r="B51" s="5">
        <f>IF(#REF!="✅", "/Script/Engine.StaticMesh'/Game/Item/Mesh/Voxel/" &amp; #REF! &amp; "/" &amp; #REF! &amp; "/" &amp; #REF! &amp; "." &amp; #REF! &amp; "'", "")</f>
      </c>
      <c r="C51">
        <f>IF(#REF!="✅", IF(#REF!&lt;&gt;"", #REF!, ""), "")</f>
      </c>
      <c r="D51" s="10">
        <f>IF(#REF!="✅", IF(#REF!&lt;&gt;"", #REF!, ""),"")</f>
      </c>
      <c r="E51" s="9">
        <f>IF(#REF!="✅", IF(#REF!&lt;&gt;"", #REF!, ""),"")</f>
      </c>
      <c r="F51">
        <f>IF(#REF!="✅", IF(#REF!&lt;&gt;"", #REF!, ""),"")</f>
      </c>
      <c r="G51">
        <f>IF(#REF!="✅", IF(#REF!&lt;&gt;"", #REF!, ""),"")</f>
      </c>
      <c r="H51">
        <f>IF(#REF!="✅", IF(#REF!&lt;&gt;"", #REF!, ""),"")</f>
      </c>
      <c r="I51">
        <f>IF(#REF!="✅", IF(#REF!&lt;&gt;"", #REF!, ""),"")</f>
      </c>
      <c r="J51">
        <f>IF(#REF!="✅", IF(#REF!&lt;&gt;"", #REF!, ""),"")</f>
      </c>
      <c r="K51" s="1">
        <f>IF(#REF!="✅", VLOOKUP(A51,VoxelMeshDefinition!S:AE,10,FALSE),"")</f>
      </c>
    </row>
    <row r="52">
      <c r="A52">
        <f>IF(#REF!="✅", IF(#REF!&lt;&gt;"", #REF!, ""),"")</f>
      </c>
      <c r="B52" s="5">
        <f>IF(#REF!="✅", "/Script/Engine.StaticMesh'/Game/Item/Mesh/Voxel/" &amp; #REF! &amp; "/" &amp; #REF! &amp; "/" &amp; #REF! &amp; "." &amp; #REF! &amp; "'", "")</f>
      </c>
      <c r="C52">
        <f>IF(#REF!="✅", IF(#REF!&lt;&gt;"", #REF!, ""), "")</f>
      </c>
      <c r="D52" s="10">
        <f>IF(#REF!="✅", IF(#REF!&lt;&gt;"", #REF!, ""),"")</f>
      </c>
      <c r="E52" s="9">
        <f>IF(#REF!="✅", IF(#REF!&lt;&gt;"", #REF!, ""),"")</f>
      </c>
      <c r="F52">
        <f>IF(#REF!="✅", IF(#REF!&lt;&gt;"", #REF!, ""),"")</f>
      </c>
      <c r="G52">
        <f>IF(#REF!="✅", IF(#REF!&lt;&gt;"", #REF!, ""),"")</f>
      </c>
      <c r="H52">
        <f>IF(#REF!="✅", IF(#REF!&lt;&gt;"", #REF!, ""),"")</f>
      </c>
      <c r="I52">
        <f>IF(#REF!="✅", IF(#REF!&lt;&gt;"", #REF!, ""),"")</f>
      </c>
      <c r="J52">
        <f>IF(#REF!="✅", IF(#REF!&lt;&gt;"", #REF!, ""),"")</f>
      </c>
      <c r="K52" s="1">
        <f>IF(#REF!="✅", VLOOKUP(A52,VoxelMeshDefinition!S:AE,10,FALSE),"")</f>
      </c>
    </row>
    <row r="53">
      <c r="A53">
        <f>IF(#REF!="✅", IF(#REF!&lt;&gt;"", #REF!, ""),"")</f>
      </c>
      <c r="B53" s="5">
        <f>IF(#REF!="✅", "/Script/Engine.StaticMesh'/Game/Item/Mesh/Voxel/" &amp; #REF! &amp; "/" &amp; #REF! &amp; "/" &amp; #REF! &amp; "." &amp; #REF! &amp; "'", "")</f>
      </c>
      <c r="C53">
        <f>IF(#REF!="✅", IF(#REF!&lt;&gt;"", #REF!, ""), "")</f>
      </c>
      <c r="D53" s="10">
        <f>IF(#REF!="✅", IF(#REF!&lt;&gt;"", #REF!, ""),"")</f>
      </c>
      <c r="E53" s="9">
        <f>IF(#REF!="✅", IF(#REF!&lt;&gt;"", #REF!, ""),"")</f>
      </c>
      <c r="F53">
        <f>IF(#REF!="✅", IF(#REF!&lt;&gt;"", #REF!, ""),"")</f>
      </c>
      <c r="G53">
        <f>IF(#REF!="✅", IF(#REF!&lt;&gt;"", #REF!, ""),"")</f>
      </c>
      <c r="H53">
        <f>IF(#REF!="✅", IF(#REF!&lt;&gt;"", #REF!, ""),"")</f>
      </c>
      <c r="I53">
        <f>IF(#REF!="✅", IF(#REF!&lt;&gt;"", #REF!, ""),"")</f>
      </c>
      <c r="J53">
        <f>IF(#REF!="✅", IF(#REF!&lt;&gt;"", #REF!, ""),"")</f>
      </c>
      <c r="K53" s="1">
        <f>IF(#REF!="✅", VLOOKUP(A53,VoxelMeshDefinition!S:AE,10,FALSE),"")</f>
      </c>
    </row>
    <row r="54">
      <c r="A54">
        <f>IF(VoxelMeshDefinition!AE74="✅", IF(#REF!&lt;&gt;"", #REF!, ""),"")</f>
      </c>
      <c r="B54" s="5">
        <f>IF(VoxelMeshDefinition!AE74="✅", "/Script/Engine.StaticMesh'/Game/Item/Mesh/Voxel/" &amp; VoxelMeshDefinition!Q74 &amp; "/" &amp; VoxelMeshDefinition!H74 &amp; "/" &amp; VoxelMeshDefinition!E74 &amp; "." &amp; VoxelMeshDefinition!E74 &amp; "'", "")</f>
      </c>
      <c r="C54">
        <f>IF(VoxelMeshDefinition!AE74="✅", IF(VoxelMeshDefinition!T74&lt;&gt;"", VoxelMeshDefinition!T74, ""), "")</f>
      </c>
      <c r="D54" s="10">
        <f>IF(VoxelMeshDefinition!AE74="✅", IF(VoxelMeshDefinition!U74&lt;&gt;"", VoxelMeshDefinition!U74, ""),"")</f>
      </c>
      <c r="E54" s="9">
        <f>IF(VoxelMeshDefinition!AE74="✅", IF(VoxelMeshDefinition!V74&lt;&gt;"", VoxelMeshDefinition!V74, ""),"")</f>
      </c>
      <c r="F54">
        <f>IF(VoxelMeshDefinition!AE74="✅", IF(VoxelMeshDefinition!W74&lt;&gt;"", VoxelMeshDefinition!W74, ""),"")</f>
      </c>
      <c r="G54">
        <f>IF(VoxelMeshDefinition!AE74="✅", IF(VoxelMeshDefinition!X74&lt;&gt;"", VoxelMeshDefinition!X74, ""),"")</f>
      </c>
      <c r="H54">
        <f>IF(VoxelMeshDefinition!AE74="✅", IF(VoxelMeshDefinition!Y74&lt;&gt;"", VoxelMeshDefinition!Y74, ""),"")</f>
      </c>
      <c r="I54">
        <f>IF(VoxelMeshDefinition!AE74="✅", IF(VoxelMeshDefinition!Z74&lt;&gt;"", VoxelMeshDefinition!Z74, ""),"")</f>
      </c>
      <c r="J54">
        <f>IF(VoxelMeshDefinition!AE74="✅", IF(VoxelMeshDefinition!AA74&lt;&gt;"", VoxelMeshDefinition!AA74, ""),"")</f>
      </c>
      <c r="K54" s="1">
        <f>IF(VoxelMeshDefinition!AE74="✅", VLOOKUP(A54,VoxelMeshDefinition!S:AE,10,FALSE),"")</f>
      </c>
    </row>
    <row r="55">
      <c r="A55">
        <f>IF(#REF!="✅", IF(#REF!&lt;&gt;"", #REF!, ""),"")</f>
      </c>
      <c r="B55" s="5">
        <f>IF(#REF!="✅", "/Script/Engine.StaticMesh'/Game/Item/Mesh/Voxel/" &amp; #REF! &amp; "/" &amp; #REF! &amp; "/" &amp; #REF! &amp; "." &amp; #REF! &amp; "'", "")</f>
      </c>
      <c r="C55">
        <f>IF(#REF!="✅", IF(#REF!&lt;&gt;"", #REF!, ""), "")</f>
      </c>
      <c r="D55" s="10">
        <f>IF(#REF!="✅", IF(#REF!&lt;&gt;"", #REF!, ""),"")</f>
      </c>
      <c r="E55" s="9">
        <f>IF(#REF!="✅", IF(#REF!&lt;&gt;"", #REF!, ""),"")</f>
      </c>
      <c r="F55">
        <f>IF(#REF!="✅", IF(#REF!&lt;&gt;"", #REF!, ""),"")</f>
      </c>
      <c r="G55">
        <f>IF(#REF!="✅", IF(#REF!&lt;&gt;"", #REF!, ""),"")</f>
      </c>
      <c r="H55">
        <f>IF(#REF!="✅", IF(#REF!&lt;&gt;"", #REF!, ""),"")</f>
      </c>
      <c r="I55">
        <f>IF(#REF!="✅", IF(#REF!&lt;&gt;"", #REF!, ""),"")</f>
      </c>
      <c r="J55">
        <f>IF(#REF!="✅", IF(#REF!&lt;&gt;"", #REF!, ""),"")</f>
      </c>
      <c r="K55" s="1">
        <f>IF(#REF!="✅", VLOOKUP(A55,VoxelMeshDefinition!S:AE,10,FALSE),"")</f>
      </c>
    </row>
    <row r="56">
      <c r="A56">
        <f>IF(VoxelMeshDefinition!AE253="✅", IF(#REF!&lt;&gt;"", #REF!, ""),"")</f>
      </c>
      <c r="B56" s="5">
        <f>IF(VoxelMeshDefinition!AE253="✅", "/Script/Engine.StaticMesh'/Game/Item/Mesh/Voxel/" &amp; VoxelMeshDefinition!Q253 &amp; "/" &amp; VoxelMeshDefinition!H253 &amp; "/" &amp; VoxelMeshDefinition!E253 &amp; "." &amp; VoxelMeshDefinition!E253 &amp; "'", "")</f>
      </c>
      <c r="C56">
        <f>IF(VoxelMeshDefinition!AE253="✅", IF(VoxelMeshDefinition!T253&lt;&gt;"", VoxelMeshDefinition!T253, ""), "")</f>
      </c>
      <c r="D56" s="10">
        <f>IF(VoxelMeshDefinition!AE253="✅", IF(VoxelMeshDefinition!U253&lt;&gt;"", VoxelMeshDefinition!U253, ""),"")</f>
      </c>
      <c r="E56" s="9">
        <f>IF(VoxelMeshDefinition!AE253="✅", IF(VoxelMeshDefinition!V253&lt;&gt;"", VoxelMeshDefinition!V253, ""),"")</f>
      </c>
      <c r="F56">
        <f>IF(VoxelMeshDefinition!AE253="✅", IF(VoxelMeshDefinition!W253&lt;&gt;"", VoxelMeshDefinition!W253, ""),"")</f>
      </c>
      <c r="G56">
        <f>IF(VoxelMeshDefinition!AE253="✅", IF(VoxelMeshDefinition!X253&lt;&gt;"", VoxelMeshDefinition!X253, ""),"")</f>
      </c>
      <c r="H56">
        <f>IF(VoxelMeshDefinition!AE253="✅", IF(VoxelMeshDefinition!Y253&lt;&gt;"", VoxelMeshDefinition!Y253, ""),"")</f>
      </c>
      <c r="I56">
        <f>IF(VoxelMeshDefinition!AE253="✅", IF(VoxelMeshDefinition!Z253&lt;&gt;"", VoxelMeshDefinition!Z253, ""),"")</f>
      </c>
      <c r="J56">
        <f>IF(VoxelMeshDefinition!AE253="✅", IF(VoxelMeshDefinition!AA253&lt;&gt;"", VoxelMeshDefinition!AA253, ""),"")</f>
      </c>
      <c r="K56" s="1">
        <f>IF(VoxelMeshDefinition!AE253="✅", VLOOKUP(A56,VoxelMeshDefinition!S:AE,10,FALSE),"")</f>
      </c>
    </row>
    <row r="57">
      <c r="A57">
        <f>IF(#REF!="✅", IF(#REF!&lt;&gt;"", #REF!, ""),"")</f>
      </c>
      <c r="B57" s="5">
        <f>IF(#REF!="✅", "/Script/Engine.StaticMesh'/Game/Item/Mesh/Voxel/" &amp; #REF! &amp; "/" &amp; #REF! &amp; "/" &amp; #REF! &amp; "." &amp; #REF! &amp; "'", "")</f>
      </c>
      <c r="C57">
        <f>IF(#REF!="✅", IF(#REF!&lt;&gt;"", #REF!, ""), "")</f>
      </c>
      <c r="D57" s="10">
        <f>IF(#REF!="✅", IF(#REF!&lt;&gt;"", #REF!, ""),"")</f>
      </c>
      <c r="E57" s="9">
        <f>IF(#REF!="✅", IF(#REF!&lt;&gt;"", #REF!, ""),"")</f>
      </c>
      <c r="F57">
        <f>IF(#REF!="✅", IF(#REF!&lt;&gt;"", #REF!, ""),"")</f>
      </c>
      <c r="G57">
        <f>IF(#REF!="✅", IF(#REF!&lt;&gt;"", #REF!, ""),"")</f>
      </c>
      <c r="H57">
        <f>IF(#REF!="✅", IF(#REF!&lt;&gt;"", #REF!, ""),"")</f>
      </c>
      <c r="I57">
        <f>IF(#REF!="✅", IF(#REF!&lt;&gt;"", #REF!, ""),"")</f>
      </c>
      <c r="J57">
        <f>IF(#REF!="✅", IF(#REF!&lt;&gt;"", #REF!, ""),"")</f>
      </c>
      <c r="K57" s="1">
        <f>IF(#REF!="✅", VLOOKUP(A57,VoxelMeshDefinition!S:AE,10,FALSE),"")</f>
      </c>
    </row>
    <row r="58">
      <c r="A58">
        <f>IF(VoxelMeshDefinition!AE294="✅", IF(#REF!&lt;&gt;"", #REF!, ""),"")</f>
      </c>
      <c r="B58" s="5">
        <f>IF(VoxelMeshDefinition!AE294="✅", "/Script/Engine.StaticMesh'/Game/Item/Mesh/Voxel/" &amp; VoxelMeshDefinition!Q294 &amp; "/" &amp; VoxelMeshDefinition!H294 &amp; "/" &amp; VoxelMeshDefinition!E294 &amp; "." &amp; VoxelMeshDefinition!E294 &amp; "'", "")</f>
      </c>
      <c r="C58">
        <f>IF(VoxelMeshDefinition!AE294="✅", IF(VoxelMeshDefinition!T294&lt;&gt;"", VoxelMeshDefinition!T294, ""), "")</f>
      </c>
      <c r="D58" s="10">
        <f>IF(VoxelMeshDefinition!AE294="✅", IF(VoxelMeshDefinition!U294&lt;&gt;"", VoxelMeshDefinition!U294, ""),"")</f>
      </c>
      <c r="E58" s="9">
        <f>IF(VoxelMeshDefinition!AE294="✅", IF(VoxelMeshDefinition!V294&lt;&gt;"", VoxelMeshDefinition!V294, ""),"")</f>
      </c>
      <c r="F58">
        <f>IF(VoxelMeshDefinition!AE294="✅", IF(VoxelMeshDefinition!W294&lt;&gt;"", VoxelMeshDefinition!W294, ""),"")</f>
      </c>
      <c r="G58">
        <f>IF(VoxelMeshDefinition!AE294="✅", IF(VoxelMeshDefinition!X294&lt;&gt;"", VoxelMeshDefinition!X294, ""),"")</f>
      </c>
      <c r="H58">
        <f>IF(VoxelMeshDefinition!AE294="✅", IF(VoxelMeshDefinition!Y294&lt;&gt;"", VoxelMeshDefinition!Y294, ""),"")</f>
      </c>
      <c r="I58">
        <f>IF(VoxelMeshDefinition!AE294="✅", IF(VoxelMeshDefinition!Z294&lt;&gt;"", VoxelMeshDefinition!Z294, ""),"")</f>
      </c>
      <c r="J58">
        <f>IF(VoxelMeshDefinition!AE294="✅", IF(VoxelMeshDefinition!AA294&lt;&gt;"", VoxelMeshDefinition!AA294, ""),"")</f>
      </c>
      <c r="K58" s="1">
        <f>IF(VoxelMeshDefinition!AE294="✅", VLOOKUP(A58,VoxelMeshDefinition!S:AE,10,FALSE),"")</f>
      </c>
    </row>
    <row r="59">
      <c r="A59">
        <f>IF(VoxelMeshDefinition!AE295="✅", IF(#REF!&lt;&gt;"", #REF!, ""),"")</f>
      </c>
      <c r="B59" s="5">
        <f>IF(VoxelMeshDefinition!AE295="✅", "/Script/Engine.StaticMesh'/Game/Item/Mesh/Voxel/" &amp; VoxelMeshDefinition!Q295 &amp; "/" &amp; VoxelMeshDefinition!H295 &amp; "/" &amp; VoxelMeshDefinition!E295 &amp; "." &amp; VoxelMeshDefinition!E295 &amp; "'", "")</f>
      </c>
      <c r="C59">
        <f>IF(VoxelMeshDefinition!AE295="✅", IF(VoxelMeshDefinition!T295&lt;&gt;"", VoxelMeshDefinition!T295, ""), "")</f>
      </c>
      <c r="D59" s="10">
        <f>IF(VoxelMeshDefinition!AE295="✅", IF(VoxelMeshDefinition!U295&lt;&gt;"", VoxelMeshDefinition!U295, ""),"")</f>
      </c>
      <c r="E59" s="9">
        <f>IF(VoxelMeshDefinition!AE295="✅", IF(VoxelMeshDefinition!V295&lt;&gt;"", VoxelMeshDefinition!V295, ""),"")</f>
      </c>
      <c r="F59">
        <f>IF(VoxelMeshDefinition!AE295="✅", IF(VoxelMeshDefinition!W295&lt;&gt;"", VoxelMeshDefinition!W295, ""),"")</f>
      </c>
      <c r="G59">
        <f>IF(VoxelMeshDefinition!AE295="✅", IF(VoxelMeshDefinition!X295&lt;&gt;"", VoxelMeshDefinition!X295, ""),"")</f>
      </c>
      <c r="H59">
        <f>IF(VoxelMeshDefinition!AE295="✅", IF(VoxelMeshDefinition!Y295&lt;&gt;"", VoxelMeshDefinition!Y295, ""),"")</f>
      </c>
      <c r="I59">
        <f>IF(VoxelMeshDefinition!AE295="✅", IF(VoxelMeshDefinition!Z295&lt;&gt;"", VoxelMeshDefinition!Z295, ""),"")</f>
      </c>
      <c r="J59">
        <f>IF(VoxelMeshDefinition!AE295="✅", IF(VoxelMeshDefinition!AA295&lt;&gt;"", VoxelMeshDefinition!AA295, ""),"")</f>
      </c>
      <c r="K59" s="1">
        <f>IF(VoxelMeshDefinition!AE295="✅", VLOOKUP(A59,VoxelMeshDefinition!S:AE,10,FALSE),"")</f>
      </c>
    </row>
    <row r="60">
      <c r="A60">
        <f>IF(VoxelMeshDefinition!AE296="✅", IF(#REF!&lt;&gt;"", #REF!, ""),"")</f>
      </c>
      <c r="B60" s="5">
        <f>IF(VoxelMeshDefinition!AE296="✅", "/Script/Engine.StaticMesh'/Game/Item/Mesh/Voxel/" &amp; VoxelMeshDefinition!Q296 &amp; "/" &amp; VoxelMeshDefinition!H296 &amp; "/" &amp; VoxelMeshDefinition!E296 &amp; "." &amp; VoxelMeshDefinition!E296 &amp; "'", "")</f>
      </c>
      <c r="C60">
        <f>IF(VoxelMeshDefinition!AE296="✅", IF(VoxelMeshDefinition!T296&lt;&gt;"", VoxelMeshDefinition!T296, ""), "")</f>
      </c>
      <c r="D60" s="10">
        <f>IF(VoxelMeshDefinition!AE296="✅", IF(VoxelMeshDefinition!U296&lt;&gt;"", VoxelMeshDefinition!U296, ""),"")</f>
      </c>
      <c r="E60" s="9">
        <f>IF(VoxelMeshDefinition!AE296="✅", IF(VoxelMeshDefinition!V296&lt;&gt;"", VoxelMeshDefinition!V296, ""),"")</f>
      </c>
      <c r="F60">
        <f>IF(VoxelMeshDefinition!AE296="✅", IF(VoxelMeshDefinition!W296&lt;&gt;"", VoxelMeshDefinition!W296, ""),"")</f>
      </c>
      <c r="G60">
        <f>IF(VoxelMeshDefinition!AE296="✅", IF(VoxelMeshDefinition!X296&lt;&gt;"", VoxelMeshDefinition!X296, ""),"")</f>
      </c>
      <c r="H60">
        <f>IF(VoxelMeshDefinition!AE296="✅", IF(VoxelMeshDefinition!Y296&lt;&gt;"", VoxelMeshDefinition!Y296, ""),"")</f>
      </c>
      <c r="I60">
        <f>IF(VoxelMeshDefinition!AE296="✅", IF(VoxelMeshDefinition!Z296&lt;&gt;"", VoxelMeshDefinition!Z296, ""),"")</f>
      </c>
      <c r="J60">
        <f>IF(VoxelMeshDefinition!AE296="✅", IF(VoxelMeshDefinition!AA296&lt;&gt;"", VoxelMeshDefinition!AA296, ""),"")</f>
      </c>
      <c r="K60" s="1">
        <f>IF(VoxelMeshDefinition!AE296="✅", VLOOKUP(A60,VoxelMeshDefinition!S:AE,10,FALSE),"")</f>
      </c>
    </row>
    <row r="61">
      <c r="A61">
        <f>IF(VoxelMeshDefinition!AE297="✅", IF(#REF!&lt;&gt;"", #REF!, ""),"")</f>
      </c>
      <c r="B61" s="5">
        <f>IF(VoxelMeshDefinition!AE297="✅", "/Script/Engine.StaticMesh'/Game/Item/Mesh/Voxel/" &amp; VoxelMeshDefinition!Q297 &amp; "/" &amp; VoxelMeshDefinition!H297 &amp; "/" &amp; VoxelMeshDefinition!E297 &amp; "." &amp; VoxelMeshDefinition!E297 &amp; "'", "")</f>
      </c>
      <c r="C61">
        <f>IF(VoxelMeshDefinition!AE297="✅", IF(VoxelMeshDefinition!T297&lt;&gt;"", VoxelMeshDefinition!T297, ""), "")</f>
      </c>
      <c r="D61" s="10">
        <f>IF(VoxelMeshDefinition!AE297="✅", IF(VoxelMeshDefinition!U297&lt;&gt;"", VoxelMeshDefinition!U297, ""),"")</f>
      </c>
      <c r="E61" s="9">
        <f>IF(VoxelMeshDefinition!AE297="✅", IF(VoxelMeshDefinition!V297&lt;&gt;"", VoxelMeshDefinition!V297, ""),"")</f>
      </c>
      <c r="F61">
        <f>IF(VoxelMeshDefinition!AE297="✅", IF(VoxelMeshDefinition!W297&lt;&gt;"", VoxelMeshDefinition!W297, ""),"")</f>
      </c>
      <c r="G61">
        <f>IF(VoxelMeshDefinition!AE297="✅", IF(VoxelMeshDefinition!X297&lt;&gt;"", VoxelMeshDefinition!X297, ""),"")</f>
      </c>
      <c r="H61">
        <f>IF(VoxelMeshDefinition!AE297="✅", IF(VoxelMeshDefinition!Y297&lt;&gt;"", VoxelMeshDefinition!Y297, ""),"")</f>
      </c>
      <c r="I61">
        <f>IF(VoxelMeshDefinition!AE297="✅", IF(VoxelMeshDefinition!Z297&lt;&gt;"", VoxelMeshDefinition!Z297, ""),"")</f>
      </c>
      <c r="J61">
        <f>IF(VoxelMeshDefinition!AE297="✅", IF(VoxelMeshDefinition!AA297&lt;&gt;"", VoxelMeshDefinition!AA297, ""),"")</f>
      </c>
      <c r="K61" s="1">
        <f>IF(VoxelMeshDefinition!AE297="✅", VLOOKUP(A61,VoxelMeshDefinition!S:AE,10,FALSE),"")</f>
      </c>
    </row>
    <row r="62">
      <c r="A62">
        <f>IF(VoxelMeshDefinition!AE298="✅", IF(#REF!&lt;&gt;"", #REF!, ""),"")</f>
      </c>
      <c r="B62" s="5">
        <f>IF(VoxelMeshDefinition!AE298="✅", "/Script/Engine.StaticMesh'/Game/Item/Mesh/Voxel/" &amp; VoxelMeshDefinition!Q298 &amp; "/" &amp; VoxelMeshDefinition!H298 &amp; "/" &amp; VoxelMeshDefinition!E298 &amp; "." &amp; VoxelMeshDefinition!E298 &amp; "'", "")</f>
      </c>
      <c r="C62">
        <f>IF(VoxelMeshDefinition!AE298="✅", IF(VoxelMeshDefinition!T298&lt;&gt;"", VoxelMeshDefinition!T298, ""), "")</f>
      </c>
      <c r="D62" s="10">
        <f>IF(VoxelMeshDefinition!AE298="✅", IF(VoxelMeshDefinition!U298&lt;&gt;"", VoxelMeshDefinition!U298, ""),"")</f>
      </c>
      <c r="E62" s="9">
        <f>IF(VoxelMeshDefinition!AE298="✅", IF(VoxelMeshDefinition!V298&lt;&gt;"", VoxelMeshDefinition!V298, ""),"")</f>
      </c>
      <c r="F62">
        <f>IF(VoxelMeshDefinition!AE298="✅", IF(VoxelMeshDefinition!W298&lt;&gt;"", VoxelMeshDefinition!W298, ""),"")</f>
      </c>
      <c r="G62">
        <f>IF(VoxelMeshDefinition!AE298="✅", IF(VoxelMeshDefinition!X298&lt;&gt;"", VoxelMeshDefinition!X298, ""),"")</f>
      </c>
      <c r="H62">
        <f>IF(VoxelMeshDefinition!AE298="✅", IF(VoxelMeshDefinition!Y298&lt;&gt;"", VoxelMeshDefinition!Y298, ""),"")</f>
      </c>
      <c r="I62">
        <f>IF(VoxelMeshDefinition!AE298="✅", IF(VoxelMeshDefinition!Z298&lt;&gt;"", VoxelMeshDefinition!Z298, ""),"")</f>
      </c>
      <c r="J62">
        <f>IF(VoxelMeshDefinition!AE298="✅", IF(VoxelMeshDefinition!AA298&lt;&gt;"", VoxelMeshDefinition!AA298, ""),"")</f>
      </c>
      <c r="K62" s="1">
        <f>IF(VoxelMeshDefinition!AE298="✅", VLOOKUP(A62,VoxelMeshDefinition!S:AE,10,FALSE),"")</f>
      </c>
    </row>
    <row r="63">
      <c r="A63">
        <f>IF(VoxelMeshDefinition!AE299="✅", IF(#REF!&lt;&gt;"", #REF!, ""),"")</f>
      </c>
      <c r="B63" s="5">
        <f>IF(VoxelMeshDefinition!AE299="✅", "/Script/Engine.StaticMesh'/Game/Item/Mesh/Voxel/" &amp; VoxelMeshDefinition!Q299 &amp; "/" &amp; VoxelMeshDefinition!H299 &amp; "/" &amp; VoxelMeshDefinition!E299 &amp; "." &amp; VoxelMeshDefinition!E299 &amp; "'", "")</f>
      </c>
      <c r="C63">
        <f>IF(VoxelMeshDefinition!AE299="✅", IF(VoxelMeshDefinition!T299&lt;&gt;"", VoxelMeshDefinition!T299, ""), "")</f>
      </c>
      <c r="D63" s="10">
        <f>IF(VoxelMeshDefinition!AE299="✅", IF(VoxelMeshDefinition!U299&lt;&gt;"", VoxelMeshDefinition!U299, ""),"")</f>
      </c>
      <c r="E63" s="9">
        <f>IF(VoxelMeshDefinition!AE299="✅", IF(VoxelMeshDefinition!V299&lt;&gt;"", VoxelMeshDefinition!V299, ""),"")</f>
      </c>
      <c r="F63">
        <f>IF(VoxelMeshDefinition!AE299="✅", IF(VoxelMeshDefinition!W299&lt;&gt;"", VoxelMeshDefinition!W299, ""),"")</f>
      </c>
      <c r="G63">
        <f>IF(VoxelMeshDefinition!AE299="✅", IF(VoxelMeshDefinition!X299&lt;&gt;"", VoxelMeshDefinition!X299, ""),"")</f>
      </c>
      <c r="H63">
        <f>IF(VoxelMeshDefinition!AE299="✅", IF(VoxelMeshDefinition!Y299&lt;&gt;"", VoxelMeshDefinition!Y299, ""),"")</f>
      </c>
      <c r="I63">
        <f>IF(VoxelMeshDefinition!AE299="✅", IF(VoxelMeshDefinition!Z299&lt;&gt;"", VoxelMeshDefinition!Z299, ""),"")</f>
      </c>
      <c r="J63">
        <f>IF(VoxelMeshDefinition!AE299="✅", IF(VoxelMeshDefinition!AA299&lt;&gt;"", VoxelMeshDefinition!AA299, ""),"")</f>
      </c>
      <c r="K63" s="1">
        <f>IF(VoxelMeshDefinition!AE299="✅", VLOOKUP(A63,VoxelMeshDefinition!S:AE,10,FALSE),"")</f>
      </c>
    </row>
    <row r="64">
      <c r="A64">
        <f>IF(#REF!="✅", IF(#REF!&lt;&gt;"", #REF!, ""),"")</f>
      </c>
      <c r="B64" s="5">
        <f>IF(#REF!="✅", "/Script/Engine.StaticMesh'/Game/Item/Mesh/Voxel/" &amp; #REF! &amp; "/" &amp; #REF! &amp; "/" &amp; #REF! &amp; "." &amp; #REF! &amp; "'", "")</f>
      </c>
      <c r="C64">
        <f>IF(#REF!="✅", IF(#REF!&lt;&gt;"", #REF!, ""), "")</f>
      </c>
      <c r="D64" s="10">
        <f>IF(#REF!="✅", IF(#REF!&lt;&gt;"", #REF!, ""),"")</f>
      </c>
      <c r="E64" s="9">
        <f>IF(#REF!="✅", IF(#REF!&lt;&gt;"", #REF!, ""),"")</f>
      </c>
      <c r="F64">
        <f>IF(#REF!="✅", IF(#REF!&lt;&gt;"", #REF!, ""),"")</f>
      </c>
      <c r="G64">
        <f>IF(#REF!="✅", IF(#REF!&lt;&gt;"", #REF!, ""),"")</f>
      </c>
      <c r="H64">
        <f>IF(#REF!="✅", IF(#REF!&lt;&gt;"", #REF!, ""),"")</f>
      </c>
      <c r="I64">
        <f>IF(#REF!="✅", IF(#REF!&lt;&gt;"", #REF!, ""),"")</f>
      </c>
      <c r="J64">
        <f>IF(#REF!="✅", IF(#REF!&lt;&gt;"", #REF!, ""),"")</f>
      </c>
      <c r="K64" s="1">
        <f>IF(#REF!="✅", VLOOKUP(A64,VoxelMeshDefinition!S:AE,10,FALSE),"")</f>
      </c>
    </row>
    <row r="65">
      <c r="A65">
        <f>IF(#REF!="✅", IF(#REF!&lt;&gt;"", #REF!, ""),"")</f>
      </c>
      <c r="B65" s="5">
        <f>IF(#REF!="✅", "/Script/Engine.StaticMesh'/Game/Item/Mesh/Voxel/" &amp; #REF! &amp; "/" &amp; #REF! &amp; "/" &amp; #REF! &amp; "." &amp; #REF! &amp; "'", "")</f>
      </c>
      <c r="C65">
        <f>IF(#REF!="✅", IF(#REF!&lt;&gt;"", #REF!, ""), "")</f>
      </c>
      <c r="D65" s="10">
        <f>IF(#REF!="✅", IF(#REF!&lt;&gt;"", #REF!, ""),"")</f>
      </c>
      <c r="E65" s="9">
        <f>IF(#REF!="✅", IF(#REF!&lt;&gt;"", #REF!, ""),"")</f>
      </c>
      <c r="F65">
        <f>IF(#REF!="✅", IF(#REF!&lt;&gt;"", #REF!, ""),"")</f>
      </c>
      <c r="G65">
        <f>IF(#REF!="✅", IF(#REF!&lt;&gt;"", #REF!, ""),"")</f>
      </c>
      <c r="H65">
        <f>IF(#REF!="✅", IF(#REF!&lt;&gt;"", #REF!, ""),"")</f>
      </c>
      <c r="I65">
        <f>IF(#REF!="✅", IF(#REF!&lt;&gt;"", #REF!, ""),"")</f>
      </c>
      <c r="J65">
        <f>IF(#REF!="✅", IF(#REF!&lt;&gt;"", #REF!, ""),"")</f>
      </c>
      <c r="K65" s="1">
        <f>IF(#REF!="✅", VLOOKUP(A65,VoxelMeshDefinition!S:AE,10,FALSE),"")</f>
      </c>
    </row>
    <row r="66">
      <c r="A66">
        <f>IF(VoxelMeshDefinition!AE300="✅", IF(#REF!&lt;&gt;"", #REF!, ""),"")</f>
      </c>
      <c r="B66" s="5">
        <f>IF(VoxelMeshDefinition!AE300="✅", "/Script/Engine.StaticMesh'/Game/Item/Mesh/Voxel/" &amp; VoxelMeshDefinition!Q300 &amp; "/" &amp; VoxelMeshDefinition!H300 &amp; "/" &amp; VoxelMeshDefinition!E300 &amp; "." &amp; VoxelMeshDefinition!E300 &amp; "'", "")</f>
      </c>
      <c r="C66">
        <f>IF(VoxelMeshDefinition!AE300="✅", IF(VoxelMeshDefinition!T300&lt;&gt;"", VoxelMeshDefinition!T300, ""), "")</f>
      </c>
      <c r="D66" s="10">
        <f>IF(VoxelMeshDefinition!AE300="✅", IF(VoxelMeshDefinition!U300&lt;&gt;"", VoxelMeshDefinition!U300, ""),"")</f>
      </c>
      <c r="E66" s="9">
        <f>IF(VoxelMeshDefinition!AE300="✅", IF(VoxelMeshDefinition!V300&lt;&gt;"", VoxelMeshDefinition!V300, ""),"")</f>
      </c>
      <c r="F66">
        <f>IF(VoxelMeshDefinition!AE300="✅", IF(VoxelMeshDefinition!W300&lt;&gt;"", VoxelMeshDefinition!W300, ""),"")</f>
      </c>
      <c r="G66">
        <f>IF(VoxelMeshDefinition!AE300="✅", IF(VoxelMeshDefinition!X300&lt;&gt;"", VoxelMeshDefinition!X300, ""),"")</f>
      </c>
      <c r="H66">
        <f>IF(VoxelMeshDefinition!AE300="✅", IF(VoxelMeshDefinition!Y300&lt;&gt;"", VoxelMeshDefinition!Y300, ""),"")</f>
      </c>
      <c r="I66">
        <f>IF(VoxelMeshDefinition!AE300="✅", IF(VoxelMeshDefinition!Z300&lt;&gt;"", VoxelMeshDefinition!Z300, ""),"")</f>
      </c>
      <c r="J66">
        <f>IF(VoxelMeshDefinition!AE300="✅", IF(VoxelMeshDefinition!AA300&lt;&gt;"", VoxelMeshDefinition!AA300, ""),"")</f>
      </c>
      <c r="K66" s="1">
        <f>IF(VoxelMeshDefinition!AE300="✅", VLOOKUP(A66,VoxelMeshDefinition!S:AE,10,FALSE),"")</f>
      </c>
    </row>
    <row r="67">
      <c r="A67">
        <f>IF(#REF!="✅", IF(#REF!&lt;&gt;"", #REF!, ""),"")</f>
      </c>
      <c r="B67" s="5">
        <f>IF(#REF!="✅", "/Script/Engine.StaticMesh'/Game/Item/Mesh/Voxel/" &amp; #REF! &amp; "/" &amp; #REF! &amp; "/" &amp; #REF! &amp; "." &amp; #REF! &amp; "'", "")</f>
      </c>
      <c r="C67">
        <f>IF(#REF!="✅", IF(#REF!&lt;&gt;"", #REF!, ""), "")</f>
      </c>
      <c r="D67" s="10">
        <f>IF(#REF!="✅", IF(#REF!&lt;&gt;"", #REF!, ""),"")</f>
      </c>
      <c r="E67" s="9">
        <f>IF(#REF!="✅", IF(#REF!&lt;&gt;"", #REF!, ""),"")</f>
      </c>
      <c r="F67">
        <f>IF(#REF!="✅", IF(#REF!&lt;&gt;"", #REF!, ""),"")</f>
      </c>
      <c r="G67">
        <f>IF(#REF!="✅", IF(#REF!&lt;&gt;"", #REF!, ""),"")</f>
      </c>
      <c r="H67">
        <f>IF(#REF!="✅", IF(#REF!&lt;&gt;"", #REF!, ""),"")</f>
      </c>
      <c r="I67">
        <f>IF(#REF!="✅", IF(#REF!&lt;&gt;"", #REF!, ""),"")</f>
      </c>
      <c r="J67">
        <f>IF(#REF!="✅", IF(#REF!&lt;&gt;"", #REF!, ""),"")</f>
      </c>
      <c r="K67" s="1">
        <f>IF(#REF!="✅", VLOOKUP(A67,VoxelMeshDefinition!S:AE,10,FALSE),"")</f>
      </c>
    </row>
    <row r="68">
      <c r="A68">
        <f>IF(#REF!="✅", IF(#REF!&lt;&gt;"", #REF!, ""),"")</f>
      </c>
      <c r="B68" s="5">
        <f>IF(#REF!="✅", "/Script/Engine.StaticMesh'/Game/Item/Mesh/Voxel/" &amp; #REF! &amp; "/" &amp; #REF! &amp; "/" &amp; #REF! &amp; "." &amp; #REF! &amp; "'", "")</f>
      </c>
      <c r="C68">
        <f>IF(#REF!="✅", IF(#REF!&lt;&gt;"", #REF!, ""), "")</f>
      </c>
      <c r="D68" s="10">
        <f>IF(#REF!="✅", IF(#REF!&lt;&gt;"", #REF!, ""),"")</f>
      </c>
      <c r="E68" s="9">
        <f>IF(#REF!="✅", IF(#REF!&lt;&gt;"", #REF!, ""),"")</f>
      </c>
      <c r="F68">
        <f>IF(#REF!="✅", IF(#REF!&lt;&gt;"", #REF!, ""),"")</f>
      </c>
      <c r="G68">
        <f>IF(#REF!="✅", IF(#REF!&lt;&gt;"", #REF!, ""),"")</f>
      </c>
      <c r="H68">
        <f>IF(#REF!="✅", IF(#REF!&lt;&gt;"", #REF!, ""),"")</f>
      </c>
      <c r="I68">
        <f>IF(#REF!="✅", IF(#REF!&lt;&gt;"", #REF!, ""),"")</f>
      </c>
      <c r="J68">
        <f>IF(#REF!="✅", IF(#REF!&lt;&gt;"", #REF!, ""),"")</f>
      </c>
      <c r="K68" s="1">
        <f>IF(#REF!="✅", VLOOKUP(A68,VoxelMeshDefinition!S:AE,10,FALSE),"")</f>
      </c>
    </row>
    <row r="69">
      <c r="A69">
        <f>IF(#REF!="✅", IF(#REF!&lt;&gt;"", #REF!, ""),"")</f>
      </c>
      <c r="B69" s="5">
        <f>IF(#REF!="✅", "/Script/Engine.StaticMesh'/Game/Item/Mesh/Voxel/" &amp; #REF! &amp; "/" &amp; #REF! &amp; "/" &amp; #REF! &amp; "." &amp; #REF! &amp; "'", "")</f>
      </c>
      <c r="C69">
        <f>IF(#REF!="✅", IF(#REF!&lt;&gt;"", #REF!, ""), "")</f>
      </c>
      <c r="D69" s="10">
        <f>IF(#REF!="✅", IF(#REF!&lt;&gt;"", #REF!, ""),"")</f>
      </c>
      <c r="E69" s="9">
        <f>IF(#REF!="✅", IF(#REF!&lt;&gt;"", #REF!, ""),"")</f>
      </c>
      <c r="F69">
        <f>IF(#REF!="✅", IF(#REF!&lt;&gt;"", #REF!, ""),"")</f>
      </c>
      <c r="G69">
        <f>IF(#REF!="✅", IF(#REF!&lt;&gt;"", #REF!, ""),"")</f>
      </c>
      <c r="H69">
        <f>IF(#REF!="✅", IF(#REF!&lt;&gt;"", #REF!, ""),"")</f>
      </c>
      <c r="I69">
        <f>IF(#REF!="✅", IF(#REF!&lt;&gt;"", #REF!, ""),"")</f>
      </c>
      <c r="J69">
        <f>IF(#REF!="✅", IF(#REF!&lt;&gt;"", #REF!, ""),"")</f>
      </c>
      <c r="K69" s="1">
        <f>IF(#REF!="✅", VLOOKUP(A69,VoxelMeshDefinition!S:AE,10,FALSE),"")</f>
      </c>
    </row>
    <row r="70">
      <c r="A70">
        <f>IF(#REF!="✅", IF(#REF!&lt;&gt;"", #REF!, ""),"")</f>
      </c>
      <c r="B70" s="5">
        <f>IF(#REF!="✅", "/Script/Engine.StaticMesh'/Game/Item/Mesh/Voxel/" &amp; #REF! &amp; "/" &amp; #REF! &amp; "/" &amp; #REF! &amp; "." &amp; #REF! &amp; "'", "")</f>
      </c>
      <c r="C70">
        <f>IF(#REF!="✅", IF(#REF!&lt;&gt;"", #REF!, ""), "")</f>
      </c>
      <c r="D70" s="10">
        <f>IF(#REF!="✅", IF(#REF!&lt;&gt;"", #REF!, ""),"")</f>
      </c>
      <c r="E70" s="9">
        <f>IF(#REF!="✅", IF(#REF!&lt;&gt;"", #REF!, ""),"")</f>
      </c>
      <c r="F70">
        <f>IF(#REF!="✅", IF(#REF!&lt;&gt;"", #REF!, ""),"")</f>
      </c>
      <c r="G70">
        <f>IF(#REF!="✅", IF(#REF!&lt;&gt;"", #REF!, ""),"")</f>
      </c>
      <c r="H70">
        <f>IF(#REF!="✅", IF(#REF!&lt;&gt;"", #REF!, ""),"")</f>
      </c>
      <c r="I70">
        <f>IF(#REF!="✅", IF(#REF!&lt;&gt;"", #REF!, ""),"")</f>
      </c>
      <c r="J70">
        <f>IF(#REF!="✅", IF(#REF!&lt;&gt;"", #REF!, ""),"")</f>
      </c>
      <c r="K70" s="1">
        <f>IF(#REF!="✅", VLOOKUP(A70,VoxelMeshDefinition!S:AE,10,FALSE),"")</f>
      </c>
    </row>
    <row r="71">
      <c r="A71">
        <f>IF(#REF!="✅", IF(#REF!&lt;&gt;"", #REF!, ""),"")</f>
      </c>
      <c r="B71" s="5">
        <f>IF(#REF!="✅", "/Script/Engine.StaticMesh'/Game/Item/Mesh/Voxel/" &amp; #REF! &amp; "/" &amp; #REF! &amp; "/" &amp; #REF! &amp; "." &amp; #REF! &amp; "'", "")</f>
      </c>
      <c r="C71">
        <f>IF(#REF!="✅", IF(#REF!&lt;&gt;"", #REF!, ""), "")</f>
      </c>
      <c r="D71" s="10">
        <f>IF(#REF!="✅", IF(#REF!&lt;&gt;"", #REF!, ""),"")</f>
      </c>
      <c r="E71" s="9">
        <f>IF(#REF!="✅", IF(#REF!&lt;&gt;"", #REF!, ""),"")</f>
      </c>
      <c r="F71">
        <f>IF(#REF!="✅", IF(#REF!&lt;&gt;"", #REF!, ""),"")</f>
      </c>
      <c r="G71">
        <f>IF(#REF!="✅", IF(#REF!&lt;&gt;"", #REF!, ""),"")</f>
      </c>
      <c r="H71">
        <f>IF(#REF!="✅", IF(#REF!&lt;&gt;"", #REF!, ""),"")</f>
      </c>
      <c r="I71">
        <f>IF(#REF!="✅", IF(#REF!&lt;&gt;"", #REF!, ""),"")</f>
      </c>
      <c r="J71">
        <f>IF(#REF!="✅", IF(#REF!&lt;&gt;"", #REF!, ""),"")</f>
      </c>
      <c r="K71" s="1">
        <f>IF(#REF!="✅", VLOOKUP(A71,VoxelMeshDefinition!S:AE,10,FALSE),"")</f>
      </c>
    </row>
    <row r="72">
      <c r="A72">
        <f>IF(#REF!="✅", IF(#REF!&lt;&gt;"", #REF!, ""),"")</f>
      </c>
      <c r="B72" s="5">
        <f>IF(#REF!="✅", "/Script/Engine.StaticMesh'/Game/Item/Mesh/Voxel/" &amp; #REF! &amp; "/" &amp; #REF! &amp; "/" &amp; #REF! &amp; "." &amp; #REF! &amp; "'", "")</f>
      </c>
      <c r="C72">
        <f>IF(#REF!="✅", IF(#REF!&lt;&gt;"", #REF!, ""), "")</f>
      </c>
      <c r="D72" s="10">
        <f>IF(#REF!="✅", IF(#REF!&lt;&gt;"", #REF!, ""),"")</f>
      </c>
      <c r="E72" s="9">
        <f>IF(#REF!="✅", IF(#REF!&lt;&gt;"", #REF!, ""),"")</f>
      </c>
      <c r="F72">
        <f>IF(#REF!="✅", IF(#REF!&lt;&gt;"", #REF!, ""),"")</f>
      </c>
      <c r="G72">
        <f>IF(#REF!="✅", IF(#REF!&lt;&gt;"", #REF!, ""),"")</f>
      </c>
      <c r="H72">
        <f>IF(#REF!="✅", IF(#REF!&lt;&gt;"", #REF!, ""),"")</f>
      </c>
      <c r="I72">
        <f>IF(#REF!="✅", IF(#REF!&lt;&gt;"", #REF!, ""),"")</f>
      </c>
      <c r="J72">
        <f>IF(#REF!="✅", IF(#REF!&lt;&gt;"", #REF!, ""),"")</f>
      </c>
      <c r="K72" s="1">
        <f>IF(#REF!="✅", VLOOKUP(A72,VoxelMeshDefinition!S:AE,10,FALSE),"")</f>
      </c>
    </row>
    <row r="73">
      <c r="A73">
        <f>IF(VoxelMeshDefinition!AE258="✅", IF(#REF!&lt;&gt;"", #REF!, ""),"")</f>
      </c>
      <c r="B73" s="5">
        <f>IF(VoxelMeshDefinition!AE258="✅", "/Script/Engine.StaticMesh'/Game/Item/Mesh/Voxel/" &amp; VoxelMeshDefinition!Q258 &amp; "/" &amp; VoxelMeshDefinition!H258 &amp; "/" &amp; VoxelMeshDefinition!E258 &amp; "." &amp; VoxelMeshDefinition!E258 &amp; "'", "")</f>
      </c>
      <c r="C73">
        <f>IF(VoxelMeshDefinition!AE258="✅", IF(VoxelMeshDefinition!T258&lt;&gt;"", VoxelMeshDefinition!T258, ""), "")</f>
      </c>
      <c r="D73" s="10">
        <f>IF(VoxelMeshDefinition!AE258="✅", IF(VoxelMeshDefinition!U258&lt;&gt;"", VoxelMeshDefinition!U258, ""),"")</f>
      </c>
      <c r="E73" s="9">
        <f>IF(VoxelMeshDefinition!AE258="✅", IF(VoxelMeshDefinition!V258&lt;&gt;"", VoxelMeshDefinition!V258, ""),"")</f>
      </c>
      <c r="F73">
        <f>IF(VoxelMeshDefinition!AE258="✅", IF(VoxelMeshDefinition!W258&lt;&gt;"", VoxelMeshDefinition!W258, ""),"")</f>
      </c>
      <c r="G73">
        <f>IF(VoxelMeshDefinition!AE258="✅", IF(VoxelMeshDefinition!X258&lt;&gt;"", VoxelMeshDefinition!X258, ""),"")</f>
      </c>
      <c r="H73">
        <f>IF(VoxelMeshDefinition!AE258="✅", IF(VoxelMeshDefinition!Y258&lt;&gt;"", VoxelMeshDefinition!Y258, ""),"")</f>
      </c>
      <c r="I73">
        <f>IF(VoxelMeshDefinition!AE258="✅", IF(VoxelMeshDefinition!Z258&lt;&gt;"", VoxelMeshDefinition!Z258, ""),"")</f>
      </c>
      <c r="J73">
        <f>IF(VoxelMeshDefinition!AE258="✅", IF(VoxelMeshDefinition!AA258&lt;&gt;"", VoxelMeshDefinition!AA258, ""),"")</f>
      </c>
      <c r="K73" s="1">
        <f>IF(VoxelMeshDefinition!AE258="✅", VLOOKUP(A73,VoxelMeshDefinition!S:AE,10,FALSE),"")</f>
      </c>
    </row>
    <row r="74">
      <c r="A74">
        <f>IF(VoxelMeshDefinition!AE259="✅", IF(#REF!&lt;&gt;"", #REF!, ""),"")</f>
      </c>
      <c r="B74" s="5">
        <f>IF(VoxelMeshDefinition!AE259="✅", "/Script/Engine.StaticMesh'/Game/Item/Mesh/Voxel/" &amp; VoxelMeshDefinition!Q259 &amp; "/" &amp; VoxelMeshDefinition!H259 &amp; "/" &amp; VoxelMeshDefinition!E259 &amp; "." &amp; VoxelMeshDefinition!E259 &amp; "'", "")</f>
      </c>
      <c r="C74">
        <f>IF(VoxelMeshDefinition!AE259="✅", IF(VoxelMeshDefinition!T259&lt;&gt;"", VoxelMeshDefinition!T259, ""), "")</f>
      </c>
      <c r="D74" s="10">
        <f>IF(VoxelMeshDefinition!AE259="✅", IF(VoxelMeshDefinition!U259&lt;&gt;"", VoxelMeshDefinition!U259, ""),"")</f>
      </c>
      <c r="E74" s="9">
        <f>IF(VoxelMeshDefinition!AE259="✅", IF(VoxelMeshDefinition!V259&lt;&gt;"", VoxelMeshDefinition!V259, ""),"")</f>
      </c>
      <c r="F74">
        <f>IF(VoxelMeshDefinition!AE259="✅", IF(VoxelMeshDefinition!W259&lt;&gt;"", VoxelMeshDefinition!W259, ""),"")</f>
      </c>
      <c r="G74">
        <f>IF(VoxelMeshDefinition!AE259="✅", IF(VoxelMeshDefinition!X259&lt;&gt;"", VoxelMeshDefinition!X259, ""),"")</f>
      </c>
      <c r="H74">
        <f>IF(VoxelMeshDefinition!AE259="✅", IF(VoxelMeshDefinition!Y259&lt;&gt;"", VoxelMeshDefinition!Y259, ""),"")</f>
      </c>
      <c r="I74">
        <f>IF(VoxelMeshDefinition!AE259="✅", IF(VoxelMeshDefinition!Z259&lt;&gt;"", VoxelMeshDefinition!Z259, ""),"")</f>
      </c>
      <c r="J74">
        <f>IF(VoxelMeshDefinition!AE259="✅", IF(VoxelMeshDefinition!AA259&lt;&gt;"", VoxelMeshDefinition!AA259, ""),"")</f>
      </c>
      <c r="K74" s="1">
        <f>IF(VoxelMeshDefinition!AE259="✅", VLOOKUP(A74,VoxelMeshDefinition!S:AE,10,FALSE),"")</f>
      </c>
    </row>
    <row r="75">
      <c r="A75">
        <f>IF(VoxelMeshDefinition!AE260="✅", IF(#REF!&lt;&gt;"", #REF!, ""),"")</f>
      </c>
      <c r="B75" s="5">
        <f>IF(VoxelMeshDefinition!AE260="✅", "/Script/Engine.StaticMesh'/Game/Item/Mesh/Voxel/" &amp; VoxelMeshDefinition!Q260 &amp; "/" &amp; VoxelMeshDefinition!H260 &amp; "/" &amp; VoxelMeshDefinition!E260 &amp; "." &amp; VoxelMeshDefinition!E260 &amp; "'", "")</f>
      </c>
      <c r="C75">
        <f>IF(VoxelMeshDefinition!AE260="✅", IF(VoxelMeshDefinition!T260&lt;&gt;"", VoxelMeshDefinition!T260, ""), "")</f>
      </c>
      <c r="D75" s="10">
        <f>IF(VoxelMeshDefinition!AE260="✅", IF(VoxelMeshDefinition!U260&lt;&gt;"", VoxelMeshDefinition!U260, ""),"")</f>
      </c>
      <c r="E75" s="9">
        <f>IF(VoxelMeshDefinition!AE260="✅", IF(VoxelMeshDefinition!V260&lt;&gt;"", VoxelMeshDefinition!V260, ""),"")</f>
      </c>
      <c r="F75">
        <f>IF(VoxelMeshDefinition!AE260="✅", IF(VoxelMeshDefinition!W260&lt;&gt;"", VoxelMeshDefinition!W260, ""),"")</f>
      </c>
      <c r="G75">
        <f>IF(VoxelMeshDefinition!AE260="✅", IF(VoxelMeshDefinition!X260&lt;&gt;"", VoxelMeshDefinition!X260, ""),"")</f>
      </c>
      <c r="H75">
        <f>IF(VoxelMeshDefinition!AE260="✅", IF(VoxelMeshDefinition!Y260&lt;&gt;"", VoxelMeshDefinition!Y260, ""),"")</f>
      </c>
      <c r="I75">
        <f>IF(VoxelMeshDefinition!AE260="✅", IF(VoxelMeshDefinition!Z260&lt;&gt;"", VoxelMeshDefinition!Z260, ""),"")</f>
      </c>
      <c r="J75">
        <f>IF(VoxelMeshDefinition!AE260="✅", IF(VoxelMeshDefinition!AA260&lt;&gt;"", VoxelMeshDefinition!AA260, ""),"")</f>
      </c>
      <c r="K75" s="1">
        <f>IF(VoxelMeshDefinition!AE260="✅", VLOOKUP(A75,VoxelMeshDefinition!S:AE,10,FALSE),"")</f>
      </c>
    </row>
    <row r="76">
      <c r="A76">
        <f>IF(VoxelMeshDefinition!AE261="✅", IF(#REF!&lt;&gt;"", #REF!, ""),"")</f>
      </c>
      <c r="B76" s="5">
        <f>IF(VoxelMeshDefinition!AE261="✅", "/Script/Engine.StaticMesh'/Game/Item/Mesh/Voxel/" &amp; VoxelMeshDefinition!Q261 &amp; "/" &amp; VoxelMeshDefinition!H261 &amp; "/" &amp; VoxelMeshDefinition!E261 &amp; "." &amp; VoxelMeshDefinition!E261 &amp; "'", "")</f>
      </c>
      <c r="C76">
        <f>IF(VoxelMeshDefinition!AE261="✅", IF(VoxelMeshDefinition!T261&lt;&gt;"", VoxelMeshDefinition!T261, ""), "")</f>
      </c>
      <c r="D76" s="10">
        <f>IF(VoxelMeshDefinition!AE261="✅", IF(VoxelMeshDefinition!U261&lt;&gt;"", VoxelMeshDefinition!U261, ""),"")</f>
      </c>
      <c r="E76" s="9">
        <f>IF(VoxelMeshDefinition!AE261="✅", IF(VoxelMeshDefinition!V261&lt;&gt;"", VoxelMeshDefinition!V261, ""),"")</f>
      </c>
      <c r="F76">
        <f>IF(VoxelMeshDefinition!AE261="✅", IF(VoxelMeshDefinition!W261&lt;&gt;"", VoxelMeshDefinition!W261, ""),"")</f>
      </c>
      <c r="G76">
        <f>IF(VoxelMeshDefinition!AE261="✅", IF(VoxelMeshDefinition!X261&lt;&gt;"", VoxelMeshDefinition!X261, ""),"")</f>
      </c>
      <c r="H76">
        <f>IF(VoxelMeshDefinition!AE261="✅", IF(VoxelMeshDefinition!Y261&lt;&gt;"", VoxelMeshDefinition!Y261, ""),"")</f>
      </c>
      <c r="I76">
        <f>IF(VoxelMeshDefinition!AE261="✅", IF(VoxelMeshDefinition!Z261&lt;&gt;"", VoxelMeshDefinition!Z261, ""),"")</f>
      </c>
      <c r="J76">
        <f>IF(VoxelMeshDefinition!AE261="✅", IF(VoxelMeshDefinition!AA261&lt;&gt;"", VoxelMeshDefinition!AA261, ""),"")</f>
      </c>
      <c r="K76" s="1">
        <f>IF(VoxelMeshDefinition!AE261="✅", VLOOKUP(A76,VoxelMeshDefinition!S:AE,10,FALSE),"")</f>
      </c>
    </row>
    <row r="77">
      <c r="A77">
        <f>IF(VoxelMeshDefinition!AE254="✅", IF(#REF!&lt;&gt;"", #REF!, ""),"")</f>
      </c>
      <c r="B77" s="5">
        <f>IF(VoxelMeshDefinition!AE254="✅", "/Script/Engine.StaticMesh'/Game/Item/Mesh/Voxel/" &amp; VoxelMeshDefinition!Q254 &amp; "/" &amp; VoxelMeshDefinition!H254 &amp; "/" &amp; VoxelMeshDefinition!E254 &amp; "." &amp; VoxelMeshDefinition!E254 &amp; "'", "")</f>
      </c>
      <c r="C77">
        <f>IF(VoxelMeshDefinition!AE254="✅", IF(VoxelMeshDefinition!T254&lt;&gt;"", VoxelMeshDefinition!T254, ""), "")</f>
      </c>
      <c r="D77" s="10">
        <f>IF(VoxelMeshDefinition!AE254="✅", IF(VoxelMeshDefinition!U254&lt;&gt;"", VoxelMeshDefinition!U254, ""),"")</f>
      </c>
      <c r="E77" s="9">
        <f>IF(VoxelMeshDefinition!AE254="✅", IF(VoxelMeshDefinition!V254&lt;&gt;"", VoxelMeshDefinition!V254, ""),"")</f>
      </c>
      <c r="F77">
        <f>IF(VoxelMeshDefinition!AE254="✅", IF(VoxelMeshDefinition!W254&lt;&gt;"", VoxelMeshDefinition!W254, ""),"")</f>
      </c>
      <c r="G77">
        <f>IF(VoxelMeshDefinition!AE254="✅", IF(VoxelMeshDefinition!X254&lt;&gt;"", VoxelMeshDefinition!X254, ""),"")</f>
      </c>
      <c r="H77">
        <f>IF(VoxelMeshDefinition!AE254="✅", IF(VoxelMeshDefinition!Y254&lt;&gt;"", VoxelMeshDefinition!Y254, ""),"")</f>
      </c>
      <c r="I77">
        <f>IF(VoxelMeshDefinition!AE254="✅", IF(VoxelMeshDefinition!Z254&lt;&gt;"", VoxelMeshDefinition!Z254, ""),"")</f>
      </c>
      <c r="J77">
        <f>IF(VoxelMeshDefinition!AE254="✅", IF(VoxelMeshDefinition!AA254&lt;&gt;"", VoxelMeshDefinition!AA254, ""),"")</f>
      </c>
      <c r="K77" s="1">
        <f>IF(VoxelMeshDefinition!AE254="✅", VLOOKUP(A77,VoxelMeshDefinition!S:AE,10,FALSE),"")</f>
      </c>
    </row>
    <row r="78">
      <c r="A78">
        <f>IF(VoxelMeshDefinition!AE255="✅", IF(#REF!&lt;&gt;"", #REF!, ""),"")</f>
      </c>
      <c r="B78" s="5">
        <f>IF(VoxelMeshDefinition!AE255="✅", "/Script/Engine.StaticMesh'/Game/Item/Mesh/Voxel/" &amp; VoxelMeshDefinition!Q255 &amp; "/" &amp; VoxelMeshDefinition!H255 &amp; "/" &amp; VoxelMeshDefinition!E255 &amp; "." &amp; VoxelMeshDefinition!E255 &amp; "'", "")</f>
      </c>
      <c r="C78">
        <f>IF(VoxelMeshDefinition!AE255="✅", IF(VoxelMeshDefinition!T255&lt;&gt;"", VoxelMeshDefinition!T255, ""), "")</f>
      </c>
      <c r="D78" s="10">
        <f>IF(VoxelMeshDefinition!AE255="✅", IF(VoxelMeshDefinition!U255&lt;&gt;"", VoxelMeshDefinition!U255, ""),"")</f>
      </c>
      <c r="E78" s="9">
        <f>IF(VoxelMeshDefinition!AE255="✅", IF(VoxelMeshDefinition!V255&lt;&gt;"", VoxelMeshDefinition!V255, ""),"")</f>
      </c>
      <c r="F78">
        <f>IF(VoxelMeshDefinition!AE255="✅", IF(VoxelMeshDefinition!W255&lt;&gt;"", VoxelMeshDefinition!W255, ""),"")</f>
      </c>
      <c r="G78">
        <f>IF(VoxelMeshDefinition!AE255="✅", IF(VoxelMeshDefinition!X255&lt;&gt;"", VoxelMeshDefinition!X255, ""),"")</f>
      </c>
      <c r="H78">
        <f>IF(VoxelMeshDefinition!AE255="✅", IF(VoxelMeshDefinition!Y255&lt;&gt;"", VoxelMeshDefinition!Y255, ""),"")</f>
      </c>
      <c r="I78">
        <f>IF(VoxelMeshDefinition!AE255="✅", IF(VoxelMeshDefinition!Z255&lt;&gt;"", VoxelMeshDefinition!Z255, ""),"")</f>
      </c>
      <c r="J78">
        <f>IF(VoxelMeshDefinition!AE255="✅", IF(VoxelMeshDefinition!AA255&lt;&gt;"", VoxelMeshDefinition!AA255, ""),"")</f>
      </c>
      <c r="K78" s="1">
        <f>IF(VoxelMeshDefinition!AE255="✅", VLOOKUP(A78,VoxelMeshDefinition!S:AE,10,FALSE),"")</f>
      </c>
    </row>
    <row r="79">
      <c r="A79">
        <f>IF(VoxelMeshDefinition!AE256="✅", IF(#REF!&lt;&gt;"", #REF!, ""),"")</f>
      </c>
      <c r="B79" s="5">
        <f>IF(VoxelMeshDefinition!AE256="✅", "/Script/Engine.StaticMesh'/Game/Item/Mesh/Voxel/" &amp; VoxelMeshDefinition!Q256 &amp; "/" &amp; VoxelMeshDefinition!H256 &amp; "/" &amp; VoxelMeshDefinition!E256 &amp; "." &amp; VoxelMeshDefinition!E256 &amp; "'", "")</f>
      </c>
      <c r="C79">
        <f>IF(VoxelMeshDefinition!AE256="✅", IF(VoxelMeshDefinition!T256&lt;&gt;"", VoxelMeshDefinition!T256, ""), "")</f>
      </c>
      <c r="D79" s="10">
        <f>IF(VoxelMeshDefinition!AE256="✅", IF(VoxelMeshDefinition!U256&lt;&gt;"", VoxelMeshDefinition!U256, ""),"")</f>
      </c>
      <c r="E79" s="9">
        <f>IF(VoxelMeshDefinition!AE256="✅", IF(VoxelMeshDefinition!V256&lt;&gt;"", VoxelMeshDefinition!V256, ""),"")</f>
      </c>
      <c r="F79">
        <f>IF(VoxelMeshDefinition!AE256="✅", IF(VoxelMeshDefinition!W256&lt;&gt;"", VoxelMeshDefinition!W256, ""),"")</f>
      </c>
      <c r="G79">
        <f>IF(VoxelMeshDefinition!AE256="✅", IF(VoxelMeshDefinition!X256&lt;&gt;"", VoxelMeshDefinition!X256, ""),"")</f>
      </c>
      <c r="H79">
        <f>IF(VoxelMeshDefinition!AE256="✅", IF(VoxelMeshDefinition!Y256&lt;&gt;"", VoxelMeshDefinition!Y256, ""),"")</f>
      </c>
      <c r="I79">
        <f>IF(VoxelMeshDefinition!AE256="✅", IF(VoxelMeshDefinition!Z256&lt;&gt;"", VoxelMeshDefinition!Z256, ""),"")</f>
      </c>
      <c r="J79">
        <f>IF(VoxelMeshDefinition!AE256="✅", IF(VoxelMeshDefinition!AA256&lt;&gt;"", VoxelMeshDefinition!AA256, ""),"")</f>
      </c>
      <c r="K79" s="1">
        <f>IF(VoxelMeshDefinition!AE256="✅", VLOOKUP(A79,VoxelMeshDefinition!S:AE,10,FALSE),"")</f>
      </c>
    </row>
    <row r="80">
      <c r="A80">
        <f>IF(VoxelMeshDefinition!AE257="✅", IF(#REF!&lt;&gt;"", #REF!, ""),"")</f>
      </c>
      <c r="B80" s="5">
        <f>IF(VoxelMeshDefinition!AE257="✅", "/Script/Engine.StaticMesh'/Game/Item/Mesh/Voxel/" &amp; VoxelMeshDefinition!Q257 &amp; "/" &amp; VoxelMeshDefinition!H257 &amp; "/" &amp; VoxelMeshDefinition!E257 &amp; "." &amp; VoxelMeshDefinition!E257 &amp; "'", "")</f>
      </c>
      <c r="C80">
        <f>IF(VoxelMeshDefinition!AE257="✅", IF(VoxelMeshDefinition!T257&lt;&gt;"", VoxelMeshDefinition!T257, ""), "")</f>
      </c>
      <c r="D80" s="10">
        <f>IF(VoxelMeshDefinition!AE257="✅", IF(VoxelMeshDefinition!U257&lt;&gt;"", VoxelMeshDefinition!U257, ""),"")</f>
      </c>
      <c r="E80" s="9">
        <f>IF(VoxelMeshDefinition!AE257="✅", IF(VoxelMeshDefinition!V257&lt;&gt;"", VoxelMeshDefinition!V257, ""),"")</f>
      </c>
      <c r="F80">
        <f>IF(VoxelMeshDefinition!AE257="✅", IF(VoxelMeshDefinition!W257&lt;&gt;"", VoxelMeshDefinition!W257, ""),"")</f>
      </c>
      <c r="G80">
        <f>IF(VoxelMeshDefinition!AE257="✅", IF(VoxelMeshDefinition!X257&lt;&gt;"", VoxelMeshDefinition!X257, ""),"")</f>
      </c>
      <c r="H80">
        <f>IF(VoxelMeshDefinition!AE257="✅", IF(VoxelMeshDefinition!Y257&lt;&gt;"", VoxelMeshDefinition!Y257, ""),"")</f>
      </c>
      <c r="I80">
        <f>IF(VoxelMeshDefinition!AE257="✅", IF(VoxelMeshDefinition!Z257&lt;&gt;"", VoxelMeshDefinition!Z257, ""),"")</f>
      </c>
      <c r="J80">
        <f>IF(VoxelMeshDefinition!AE257="✅", IF(VoxelMeshDefinition!AA257&lt;&gt;"", VoxelMeshDefinition!AA257, ""),"")</f>
      </c>
      <c r="K80" s="1">
        <f>IF(VoxelMeshDefinition!AE257="✅", VLOOKUP(A80,VoxelMeshDefinition!S:AE,10,FALSE),"")</f>
      </c>
    </row>
    <row r="81">
      <c r="A81">
        <f>IF(VoxelMeshDefinition!AE262="✅", IF(#REF!&lt;&gt;"", #REF!, ""),"")</f>
      </c>
      <c r="B81" s="5">
        <f>IF(VoxelMeshDefinition!AE262="✅", "/Script/Engine.StaticMesh'/Game/Item/Mesh/Voxel/" &amp; VoxelMeshDefinition!Q262 &amp; "/" &amp; VoxelMeshDefinition!H262 &amp; "/" &amp; VoxelMeshDefinition!E262 &amp; "." &amp; VoxelMeshDefinition!E262 &amp; "'", "")</f>
      </c>
      <c r="C81">
        <f>IF(VoxelMeshDefinition!AE262="✅", IF(VoxelMeshDefinition!T262&lt;&gt;"", VoxelMeshDefinition!T262, ""), "")</f>
      </c>
      <c r="D81" s="10">
        <f>IF(VoxelMeshDefinition!AE262="✅", IF(VoxelMeshDefinition!U262&lt;&gt;"", VoxelMeshDefinition!U262, ""),"")</f>
      </c>
      <c r="E81" s="9">
        <f>IF(VoxelMeshDefinition!AE262="✅", IF(VoxelMeshDefinition!V262&lt;&gt;"", VoxelMeshDefinition!V262, ""),"")</f>
      </c>
      <c r="F81">
        <f>IF(VoxelMeshDefinition!AE262="✅", IF(VoxelMeshDefinition!W262&lt;&gt;"", VoxelMeshDefinition!W262, ""),"")</f>
      </c>
      <c r="G81">
        <f>IF(VoxelMeshDefinition!AE262="✅", IF(VoxelMeshDefinition!X262&lt;&gt;"", VoxelMeshDefinition!X262, ""),"")</f>
      </c>
      <c r="H81">
        <f>IF(VoxelMeshDefinition!AE262="✅", IF(VoxelMeshDefinition!Y262&lt;&gt;"", VoxelMeshDefinition!Y262, ""),"")</f>
      </c>
      <c r="I81">
        <f>IF(VoxelMeshDefinition!AE262="✅", IF(VoxelMeshDefinition!Z262&lt;&gt;"", VoxelMeshDefinition!Z262, ""),"")</f>
      </c>
      <c r="J81">
        <f>IF(VoxelMeshDefinition!AE262="✅", IF(VoxelMeshDefinition!AA262&lt;&gt;"", VoxelMeshDefinition!AA262, ""),"")</f>
      </c>
      <c r="K81" s="1">
        <f>IF(VoxelMeshDefinition!AE262="✅", VLOOKUP(A81,VoxelMeshDefinition!S:AE,10,FALSE),"")</f>
      </c>
    </row>
    <row r="82">
      <c r="A82">
        <f>IF(VoxelMeshDefinition!AE263="✅", IF(#REF!&lt;&gt;"", #REF!, ""),"")</f>
      </c>
      <c r="B82" s="5">
        <f>IF(VoxelMeshDefinition!AE263="✅", "/Script/Engine.StaticMesh'/Game/Item/Mesh/Voxel/" &amp; VoxelMeshDefinition!Q263 &amp; "/" &amp; VoxelMeshDefinition!H263 &amp; "/" &amp; VoxelMeshDefinition!E263 &amp; "." &amp; VoxelMeshDefinition!E263 &amp; "'", "")</f>
      </c>
      <c r="C82">
        <f>IF(VoxelMeshDefinition!AE263="✅", IF(VoxelMeshDefinition!T263&lt;&gt;"", VoxelMeshDefinition!T263, ""), "")</f>
      </c>
      <c r="D82" s="10">
        <f>IF(VoxelMeshDefinition!AE263="✅", IF(VoxelMeshDefinition!U263&lt;&gt;"", VoxelMeshDefinition!U263, ""),"")</f>
      </c>
      <c r="E82" s="9">
        <f>IF(VoxelMeshDefinition!AE263="✅", IF(VoxelMeshDefinition!V263&lt;&gt;"", VoxelMeshDefinition!V263, ""),"")</f>
      </c>
      <c r="F82">
        <f>IF(VoxelMeshDefinition!AE263="✅", IF(VoxelMeshDefinition!W263&lt;&gt;"", VoxelMeshDefinition!W263, ""),"")</f>
      </c>
      <c r="G82">
        <f>IF(VoxelMeshDefinition!AE263="✅", IF(VoxelMeshDefinition!X263&lt;&gt;"", VoxelMeshDefinition!X263, ""),"")</f>
      </c>
      <c r="H82">
        <f>IF(VoxelMeshDefinition!AE263="✅", IF(VoxelMeshDefinition!Y263&lt;&gt;"", VoxelMeshDefinition!Y263, ""),"")</f>
      </c>
      <c r="I82">
        <f>IF(VoxelMeshDefinition!AE263="✅", IF(VoxelMeshDefinition!Z263&lt;&gt;"", VoxelMeshDefinition!Z263, ""),"")</f>
      </c>
      <c r="J82">
        <f>IF(VoxelMeshDefinition!AE263="✅", IF(VoxelMeshDefinition!AA263&lt;&gt;"", VoxelMeshDefinition!AA263, ""),"")</f>
      </c>
      <c r="K82" s="1">
        <f>IF(VoxelMeshDefinition!AE263="✅", VLOOKUP(A82,VoxelMeshDefinition!S:AE,10,FALSE),"")</f>
      </c>
    </row>
    <row r="83">
      <c r="A83">
        <f>IF(VoxelMeshDefinition!AE264="✅", IF(#REF!&lt;&gt;"", #REF!, ""),"")</f>
      </c>
      <c r="B83" s="5">
        <f>IF(VoxelMeshDefinition!AE264="✅", "/Script/Engine.StaticMesh'/Game/Item/Mesh/Voxel/" &amp; VoxelMeshDefinition!Q264 &amp; "/" &amp; VoxelMeshDefinition!H264 &amp; "/" &amp; VoxelMeshDefinition!E264 &amp; "." &amp; VoxelMeshDefinition!E264 &amp; "'", "")</f>
      </c>
      <c r="C83">
        <f>IF(VoxelMeshDefinition!AE264="✅", IF(VoxelMeshDefinition!T264&lt;&gt;"", VoxelMeshDefinition!T264, ""), "")</f>
      </c>
      <c r="D83" s="10">
        <f>IF(VoxelMeshDefinition!AE264="✅", IF(VoxelMeshDefinition!U264&lt;&gt;"", VoxelMeshDefinition!U264, ""),"")</f>
      </c>
      <c r="E83" s="9">
        <f>IF(VoxelMeshDefinition!AE264="✅", IF(VoxelMeshDefinition!V264&lt;&gt;"", VoxelMeshDefinition!V264, ""),"")</f>
      </c>
      <c r="F83">
        <f>IF(VoxelMeshDefinition!AE264="✅", IF(VoxelMeshDefinition!W264&lt;&gt;"", VoxelMeshDefinition!W264, ""),"")</f>
      </c>
      <c r="G83">
        <f>IF(VoxelMeshDefinition!AE264="✅", IF(VoxelMeshDefinition!X264&lt;&gt;"", VoxelMeshDefinition!X264, ""),"")</f>
      </c>
      <c r="H83">
        <f>IF(VoxelMeshDefinition!AE264="✅", IF(VoxelMeshDefinition!Y264&lt;&gt;"", VoxelMeshDefinition!Y264, ""),"")</f>
      </c>
      <c r="I83">
        <f>IF(VoxelMeshDefinition!AE264="✅", IF(VoxelMeshDefinition!Z264&lt;&gt;"", VoxelMeshDefinition!Z264, ""),"")</f>
      </c>
      <c r="J83">
        <f>IF(VoxelMeshDefinition!AE264="✅", IF(VoxelMeshDefinition!AA264&lt;&gt;"", VoxelMeshDefinition!AA264, ""),"")</f>
      </c>
      <c r="K83" s="1">
        <f>IF(VoxelMeshDefinition!AE264="✅", VLOOKUP(A83,VoxelMeshDefinition!S:AE,10,FALSE),"")</f>
      </c>
    </row>
    <row r="84">
      <c r="A84">
        <f>IF(VoxelMeshDefinition!AE265="✅", IF(#REF!&lt;&gt;"", #REF!, ""),"")</f>
      </c>
      <c r="B84" s="5">
        <f>IF(VoxelMeshDefinition!AE265="✅", "/Script/Engine.StaticMesh'/Game/Item/Mesh/Voxel/" &amp; VoxelMeshDefinition!Q265 &amp; "/" &amp; VoxelMeshDefinition!H265 &amp; "/" &amp; VoxelMeshDefinition!E265 &amp; "." &amp; VoxelMeshDefinition!E265 &amp; "'", "")</f>
      </c>
      <c r="C84">
        <f>IF(VoxelMeshDefinition!AE265="✅", IF(VoxelMeshDefinition!T265&lt;&gt;"", VoxelMeshDefinition!T265, ""), "")</f>
      </c>
      <c r="D84" s="10">
        <f>IF(VoxelMeshDefinition!AE265="✅", IF(VoxelMeshDefinition!U265&lt;&gt;"", VoxelMeshDefinition!U265, ""),"")</f>
      </c>
      <c r="E84" s="9">
        <f>IF(VoxelMeshDefinition!AE265="✅", IF(VoxelMeshDefinition!V265&lt;&gt;"", VoxelMeshDefinition!V265, ""),"")</f>
      </c>
      <c r="F84">
        <f>IF(VoxelMeshDefinition!AE265="✅", IF(VoxelMeshDefinition!W265&lt;&gt;"", VoxelMeshDefinition!W265, ""),"")</f>
      </c>
      <c r="G84">
        <f>IF(VoxelMeshDefinition!AE265="✅", IF(VoxelMeshDefinition!X265&lt;&gt;"", VoxelMeshDefinition!X265, ""),"")</f>
      </c>
      <c r="H84">
        <f>IF(VoxelMeshDefinition!AE265="✅", IF(VoxelMeshDefinition!Y265&lt;&gt;"", VoxelMeshDefinition!Y265, ""),"")</f>
      </c>
      <c r="I84">
        <f>IF(VoxelMeshDefinition!AE265="✅", IF(VoxelMeshDefinition!Z265&lt;&gt;"", VoxelMeshDefinition!Z265, ""),"")</f>
      </c>
      <c r="J84">
        <f>IF(VoxelMeshDefinition!AE265="✅", IF(VoxelMeshDefinition!AA265&lt;&gt;"", VoxelMeshDefinition!AA265, ""),"")</f>
      </c>
      <c r="K84" s="1">
        <f>IF(VoxelMeshDefinition!AE265="✅", VLOOKUP(A84,VoxelMeshDefinition!S:AE,10,FALSE),"")</f>
      </c>
    </row>
    <row r="85">
      <c r="A85">
        <f>IF(VoxelMeshDefinition!AE266="✅", IF(#REF!&lt;&gt;"", #REF!, ""),"")</f>
      </c>
      <c r="B85" s="5">
        <f>IF(VoxelMeshDefinition!AE266="✅", "/Script/Engine.StaticMesh'/Game/Item/Mesh/Voxel/" &amp; VoxelMeshDefinition!Q266 &amp; "/" &amp; VoxelMeshDefinition!H266 &amp; "/" &amp; VoxelMeshDefinition!E266 &amp; "." &amp; VoxelMeshDefinition!E266 &amp; "'", "")</f>
      </c>
      <c r="C85">
        <f>IF(VoxelMeshDefinition!AE266="✅", IF(VoxelMeshDefinition!T266&lt;&gt;"", VoxelMeshDefinition!T266, ""), "")</f>
      </c>
      <c r="D85" s="10">
        <f>IF(VoxelMeshDefinition!AE266="✅", IF(VoxelMeshDefinition!U266&lt;&gt;"", VoxelMeshDefinition!U266, ""),"")</f>
      </c>
      <c r="E85" s="9">
        <f>IF(VoxelMeshDefinition!AE266="✅", IF(VoxelMeshDefinition!V266&lt;&gt;"", VoxelMeshDefinition!V266, ""),"")</f>
      </c>
      <c r="F85">
        <f>IF(VoxelMeshDefinition!AE266="✅", IF(VoxelMeshDefinition!W266&lt;&gt;"", VoxelMeshDefinition!W266, ""),"")</f>
      </c>
      <c r="G85">
        <f>IF(VoxelMeshDefinition!AE266="✅", IF(VoxelMeshDefinition!X266&lt;&gt;"", VoxelMeshDefinition!X266, ""),"")</f>
      </c>
      <c r="H85">
        <f>IF(VoxelMeshDefinition!AE266="✅", IF(VoxelMeshDefinition!Y266&lt;&gt;"", VoxelMeshDefinition!Y266, ""),"")</f>
      </c>
      <c r="I85">
        <f>IF(VoxelMeshDefinition!AE266="✅", IF(VoxelMeshDefinition!Z266&lt;&gt;"", VoxelMeshDefinition!Z266, ""),"")</f>
      </c>
      <c r="J85">
        <f>IF(VoxelMeshDefinition!AE266="✅", IF(VoxelMeshDefinition!AA266&lt;&gt;"", VoxelMeshDefinition!AA266, ""),"")</f>
      </c>
      <c r="K85" s="1">
        <f>IF(VoxelMeshDefinition!AE266="✅", VLOOKUP(A85,VoxelMeshDefinition!S:AE,10,FALSE),"")</f>
      </c>
    </row>
    <row r="86">
      <c r="A86">
        <f>IF(VoxelMeshDefinition!AE267="✅", IF(#REF!&lt;&gt;"", #REF!, ""),"")</f>
      </c>
      <c r="B86" s="5">
        <f>IF(VoxelMeshDefinition!AE267="✅", "/Script/Engine.StaticMesh'/Game/Item/Mesh/Voxel/" &amp; VoxelMeshDefinition!Q267 &amp; "/" &amp; VoxelMeshDefinition!H267 &amp; "/" &amp; VoxelMeshDefinition!E267 &amp; "." &amp; VoxelMeshDefinition!E267 &amp; "'", "")</f>
      </c>
      <c r="C86">
        <f>IF(VoxelMeshDefinition!AE267="✅", IF(VoxelMeshDefinition!T267&lt;&gt;"", VoxelMeshDefinition!T267, ""), "")</f>
      </c>
      <c r="D86" s="10">
        <f>IF(VoxelMeshDefinition!AE267="✅", IF(VoxelMeshDefinition!U267&lt;&gt;"", VoxelMeshDefinition!U267, ""),"")</f>
      </c>
      <c r="E86" s="9">
        <f>IF(VoxelMeshDefinition!AE267="✅", IF(VoxelMeshDefinition!V267&lt;&gt;"", VoxelMeshDefinition!V267, ""),"")</f>
      </c>
      <c r="F86">
        <f>IF(VoxelMeshDefinition!AE267="✅", IF(VoxelMeshDefinition!W267&lt;&gt;"", VoxelMeshDefinition!W267, ""),"")</f>
      </c>
      <c r="G86">
        <f>IF(VoxelMeshDefinition!AE267="✅", IF(VoxelMeshDefinition!X267&lt;&gt;"", VoxelMeshDefinition!X267, ""),"")</f>
      </c>
      <c r="H86">
        <f>IF(VoxelMeshDefinition!AE267="✅", IF(VoxelMeshDefinition!Y267&lt;&gt;"", VoxelMeshDefinition!Y267, ""),"")</f>
      </c>
      <c r="I86">
        <f>IF(VoxelMeshDefinition!AE267="✅", IF(VoxelMeshDefinition!Z267&lt;&gt;"", VoxelMeshDefinition!Z267, ""),"")</f>
      </c>
      <c r="J86">
        <f>IF(VoxelMeshDefinition!AE267="✅", IF(VoxelMeshDefinition!AA267&lt;&gt;"", VoxelMeshDefinition!AA267, ""),"")</f>
      </c>
      <c r="K86" s="1">
        <f>IF(VoxelMeshDefinition!AE267="✅", VLOOKUP(A86,VoxelMeshDefinition!S:AE,10,FALSE),"")</f>
      </c>
    </row>
    <row r="87">
      <c r="A87">
        <f>IF(VoxelMeshDefinition!AE268="✅", IF(#REF!&lt;&gt;"", #REF!, ""),"")</f>
      </c>
      <c r="B87" s="5">
        <f>IF(VoxelMeshDefinition!AE268="✅", "/Script/Engine.StaticMesh'/Game/Item/Mesh/Voxel/" &amp; VoxelMeshDefinition!Q268 &amp; "/" &amp; VoxelMeshDefinition!H268 &amp; "/" &amp; VoxelMeshDefinition!E268 &amp; "." &amp; VoxelMeshDefinition!E268 &amp; "'", "")</f>
      </c>
      <c r="C87">
        <f>IF(VoxelMeshDefinition!AE268="✅", IF(VoxelMeshDefinition!T268&lt;&gt;"", VoxelMeshDefinition!T268, ""), "")</f>
      </c>
      <c r="D87" s="10">
        <f>IF(VoxelMeshDefinition!AE268="✅", IF(VoxelMeshDefinition!U268&lt;&gt;"", VoxelMeshDefinition!U268, ""),"")</f>
      </c>
      <c r="E87" s="9">
        <f>IF(VoxelMeshDefinition!AE268="✅", IF(VoxelMeshDefinition!V268&lt;&gt;"", VoxelMeshDefinition!V268, ""),"")</f>
      </c>
      <c r="F87">
        <f>IF(VoxelMeshDefinition!AE268="✅", IF(VoxelMeshDefinition!W268&lt;&gt;"", VoxelMeshDefinition!W268, ""),"")</f>
      </c>
      <c r="G87">
        <f>IF(VoxelMeshDefinition!AE268="✅", IF(VoxelMeshDefinition!X268&lt;&gt;"", VoxelMeshDefinition!X268, ""),"")</f>
      </c>
      <c r="H87">
        <f>IF(VoxelMeshDefinition!AE268="✅", IF(VoxelMeshDefinition!Y268&lt;&gt;"", VoxelMeshDefinition!Y268, ""),"")</f>
      </c>
      <c r="I87">
        <f>IF(VoxelMeshDefinition!AE268="✅", IF(VoxelMeshDefinition!Z268&lt;&gt;"", VoxelMeshDefinition!Z268, ""),"")</f>
      </c>
      <c r="J87">
        <f>IF(VoxelMeshDefinition!AE268="✅", IF(VoxelMeshDefinition!AA268&lt;&gt;"", VoxelMeshDefinition!AA268, ""),"")</f>
      </c>
      <c r="K87" s="1">
        <f>IF(VoxelMeshDefinition!AE268="✅", VLOOKUP(A87,VoxelMeshDefinition!S:AE,10,FALSE),"")</f>
      </c>
    </row>
    <row r="88">
      <c r="A88">
        <f>IF(VoxelMeshDefinition!AE269="✅", IF(#REF!&lt;&gt;"", #REF!, ""),"")</f>
      </c>
      <c r="B88" s="5">
        <f>IF(VoxelMeshDefinition!AE269="✅", "/Script/Engine.StaticMesh'/Game/Item/Mesh/Voxel/" &amp; VoxelMeshDefinition!Q269 &amp; "/" &amp; VoxelMeshDefinition!H269 &amp; "/" &amp; VoxelMeshDefinition!E269 &amp; "." &amp; VoxelMeshDefinition!E269 &amp; "'", "")</f>
      </c>
      <c r="C88">
        <f>IF(VoxelMeshDefinition!AE269="✅", IF(VoxelMeshDefinition!T269&lt;&gt;"", VoxelMeshDefinition!T269, ""), "")</f>
      </c>
      <c r="D88" s="10">
        <f>IF(VoxelMeshDefinition!AE269="✅", IF(VoxelMeshDefinition!U269&lt;&gt;"", VoxelMeshDefinition!U269, ""),"")</f>
      </c>
      <c r="E88" s="9">
        <f>IF(VoxelMeshDefinition!AE269="✅", IF(VoxelMeshDefinition!V269&lt;&gt;"", VoxelMeshDefinition!V269, ""),"")</f>
      </c>
      <c r="F88">
        <f>IF(VoxelMeshDefinition!AE269="✅", IF(VoxelMeshDefinition!W269&lt;&gt;"", VoxelMeshDefinition!W269, ""),"")</f>
      </c>
      <c r="G88">
        <f>IF(VoxelMeshDefinition!AE269="✅", IF(VoxelMeshDefinition!X269&lt;&gt;"", VoxelMeshDefinition!X269, ""),"")</f>
      </c>
      <c r="H88">
        <f>IF(VoxelMeshDefinition!AE269="✅", IF(VoxelMeshDefinition!Y269&lt;&gt;"", VoxelMeshDefinition!Y269, ""),"")</f>
      </c>
      <c r="I88">
        <f>IF(VoxelMeshDefinition!AE269="✅", IF(VoxelMeshDefinition!Z269&lt;&gt;"", VoxelMeshDefinition!Z269, ""),"")</f>
      </c>
      <c r="J88">
        <f>IF(VoxelMeshDefinition!AE269="✅", IF(VoxelMeshDefinition!AA269&lt;&gt;"", VoxelMeshDefinition!AA269, ""),"")</f>
      </c>
      <c r="K88" s="1">
        <f>IF(VoxelMeshDefinition!AE269="✅", VLOOKUP(A88,VoxelMeshDefinition!S:AE,10,FALSE),"")</f>
      </c>
    </row>
    <row r="89">
      <c r="A89">
        <f>IF(VoxelMeshDefinition!AE270="✅", IF(#REF!&lt;&gt;"", #REF!, ""),"")</f>
      </c>
      <c r="B89" s="5">
        <f>IF(VoxelMeshDefinition!AE270="✅", "/Script/Engine.StaticMesh'/Game/Item/Mesh/Voxel/" &amp; VoxelMeshDefinition!Q270 &amp; "/" &amp; VoxelMeshDefinition!H270 &amp; "/" &amp; VoxelMeshDefinition!E270 &amp; "." &amp; VoxelMeshDefinition!E270 &amp; "'", "")</f>
      </c>
      <c r="C89">
        <f>IF(VoxelMeshDefinition!AE270="✅", IF(VoxelMeshDefinition!T270&lt;&gt;"", VoxelMeshDefinition!T270, ""), "")</f>
      </c>
      <c r="D89" s="10">
        <f>IF(VoxelMeshDefinition!AE270="✅", IF(VoxelMeshDefinition!U270&lt;&gt;"", VoxelMeshDefinition!U270, ""),"")</f>
      </c>
      <c r="E89" s="9">
        <f>IF(VoxelMeshDefinition!AE270="✅", IF(VoxelMeshDefinition!V270&lt;&gt;"", VoxelMeshDefinition!V270, ""),"")</f>
      </c>
      <c r="F89">
        <f>IF(VoxelMeshDefinition!AE270="✅", IF(VoxelMeshDefinition!W270&lt;&gt;"", VoxelMeshDefinition!W270, ""),"")</f>
      </c>
      <c r="G89">
        <f>IF(VoxelMeshDefinition!AE270="✅", IF(VoxelMeshDefinition!X270&lt;&gt;"", VoxelMeshDefinition!X270, ""),"")</f>
      </c>
      <c r="H89">
        <f>IF(VoxelMeshDefinition!AE270="✅", IF(VoxelMeshDefinition!Y270&lt;&gt;"", VoxelMeshDefinition!Y270, ""),"")</f>
      </c>
      <c r="I89">
        <f>IF(VoxelMeshDefinition!AE270="✅", IF(VoxelMeshDefinition!Z270&lt;&gt;"", VoxelMeshDefinition!Z270, ""),"")</f>
      </c>
      <c r="J89">
        <f>IF(VoxelMeshDefinition!AE270="✅", IF(VoxelMeshDefinition!AA270&lt;&gt;"", VoxelMeshDefinition!AA270, ""),"")</f>
      </c>
      <c r="K89" s="1">
        <f>IF(VoxelMeshDefinition!AE270="✅", VLOOKUP(A89,VoxelMeshDefinition!S:AE,10,FALSE),"")</f>
      </c>
    </row>
    <row r="90">
      <c r="A90">
        <f>IF(VoxelMeshDefinition!AE271="✅", IF(#REF!&lt;&gt;"", #REF!, ""),"")</f>
      </c>
      <c r="B90" s="5">
        <f>IF(VoxelMeshDefinition!AE271="✅", "/Script/Engine.StaticMesh'/Game/Item/Mesh/Voxel/" &amp; VoxelMeshDefinition!Q271 &amp; "/" &amp; VoxelMeshDefinition!H271 &amp; "/" &amp; VoxelMeshDefinition!E271 &amp; "." &amp; VoxelMeshDefinition!E271 &amp; "'", "")</f>
      </c>
      <c r="C90">
        <f>IF(VoxelMeshDefinition!AE271="✅", IF(VoxelMeshDefinition!T271&lt;&gt;"", VoxelMeshDefinition!T271, ""), "")</f>
      </c>
      <c r="D90" s="10">
        <f>IF(VoxelMeshDefinition!AE271="✅", IF(VoxelMeshDefinition!U271&lt;&gt;"", VoxelMeshDefinition!U271, ""),"")</f>
      </c>
      <c r="E90" s="9">
        <f>IF(VoxelMeshDefinition!AE271="✅", IF(VoxelMeshDefinition!V271&lt;&gt;"", VoxelMeshDefinition!V271, ""),"")</f>
      </c>
      <c r="F90">
        <f>IF(VoxelMeshDefinition!AE271="✅", IF(VoxelMeshDefinition!W271&lt;&gt;"", VoxelMeshDefinition!W271, ""),"")</f>
      </c>
      <c r="G90">
        <f>IF(VoxelMeshDefinition!AE271="✅", IF(VoxelMeshDefinition!X271&lt;&gt;"", VoxelMeshDefinition!X271, ""),"")</f>
      </c>
      <c r="H90">
        <f>IF(VoxelMeshDefinition!AE271="✅", IF(VoxelMeshDefinition!Y271&lt;&gt;"", VoxelMeshDefinition!Y271, ""),"")</f>
      </c>
      <c r="I90">
        <f>IF(VoxelMeshDefinition!AE271="✅", IF(VoxelMeshDefinition!Z271&lt;&gt;"", VoxelMeshDefinition!Z271, ""),"")</f>
      </c>
      <c r="J90">
        <f>IF(VoxelMeshDefinition!AE271="✅", IF(VoxelMeshDefinition!AA271&lt;&gt;"", VoxelMeshDefinition!AA271, ""),"")</f>
      </c>
      <c r="K90" s="1">
        <f>IF(VoxelMeshDefinition!AE271="✅", VLOOKUP(A90,VoxelMeshDefinition!S:AE,10,FALSE),"")</f>
      </c>
    </row>
    <row r="91">
      <c r="A91">
        <f>IF(VoxelMeshDefinition!AE272="✅", IF(#REF!&lt;&gt;"", #REF!, ""),"")</f>
      </c>
      <c r="B91" s="5">
        <f>IF(VoxelMeshDefinition!AE272="✅", "/Script/Engine.StaticMesh'/Game/Item/Mesh/Voxel/" &amp; VoxelMeshDefinition!Q272 &amp; "/" &amp; VoxelMeshDefinition!H272 &amp; "/" &amp; VoxelMeshDefinition!E272 &amp; "." &amp; VoxelMeshDefinition!E272 &amp; "'", "")</f>
      </c>
      <c r="C91">
        <f>IF(VoxelMeshDefinition!AE272="✅", IF(VoxelMeshDefinition!T272&lt;&gt;"", VoxelMeshDefinition!T272, ""), "")</f>
      </c>
      <c r="D91" s="10">
        <f>IF(VoxelMeshDefinition!AE272="✅", IF(VoxelMeshDefinition!U272&lt;&gt;"", VoxelMeshDefinition!U272, ""),"")</f>
      </c>
      <c r="E91" s="9">
        <f>IF(VoxelMeshDefinition!AE272="✅", IF(VoxelMeshDefinition!V272&lt;&gt;"", VoxelMeshDefinition!V272, ""),"")</f>
      </c>
      <c r="F91">
        <f>IF(VoxelMeshDefinition!AE272="✅", IF(VoxelMeshDefinition!W272&lt;&gt;"", VoxelMeshDefinition!W272, ""),"")</f>
      </c>
      <c r="G91">
        <f>IF(VoxelMeshDefinition!AE272="✅", IF(VoxelMeshDefinition!X272&lt;&gt;"", VoxelMeshDefinition!X272, ""),"")</f>
      </c>
      <c r="H91">
        <f>IF(VoxelMeshDefinition!AE272="✅", IF(VoxelMeshDefinition!Y272&lt;&gt;"", VoxelMeshDefinition!Y272, ""),"")</f>
      </c>
      <c r="I91">
        <f>IF(VoxelMeshDefinition!AE272="✅", IF(VoxelMeshDefinition!Z272&lt;&gt;"", VoxelMeshDefinition!Z272, ""),"")</f>
      </c>
      <c r="J91">
        <f>IF(VoxelMeshDefinition!AE272="✅", IF(VoxelMeshDefinition!AA272&lt;&gt;"", VoxelMeshDefinition!AA272, ""),"")</f>
      </c>
      <c r="K91" s="1">
        <f>IF(VoxelMeshDefinition!AE272="✅", VLOOKUP(A91,VoxelMeshDefinition!S:AE,10,FALSE),"")</f>
      </c>
    </row>
    <row r="92">
      <c r="A92">
        <f>IF(VoxelMeshDefinition!AE273="✅", IF(#REF!&lt;&gt;"", #REF!, ""),"")</f>
      </c>
      <c r="B92" s="5">
        <f>IF(VoxelMeshDefinition!AE273="✅", "/Script/Engine.StaticMesh'/Game/Item/Mesh/Voxel/" &amp; VoxelMeshDefinition!Q273 &amp; "/" &amp; VoxelMeshDefinition!H273 &amp; "/" &amp; VoxelMeshDefinition!E273 &amp; "." &amp; VoxelMeshDefinition!E273 &amp; "'", "")</f>
      </c>
      <c r="C92">
        <f>IF(VoxelMeshDefinition!AE273="✅", IF(VoxelMeshDefinition!T273&lt;&gt;"", VoxelMeshDefinition!T273, ""), "")</f>
      </c>
      <c r="D92" s="10">
        <f>IF(VoxelMeshDefinition!AE273="✅", IF(VoxelMeshDefinition!U273&lt;&gt;"", VoxelMeshDefinition!U273, ""),"")</f>
      </c>
      <c r="E92" s="9">
        <f>IF(VoxelMeshDefinition!AE273="✅", IF(VoxelMeshDefinition!V273&lt;&gt;"", VoxelMeshDefinition!V273, ""),"")</f>
      </c>
      <c r="F92">
        <f>IF(VoxelMeshDefinition!AE273="✅", IF(VoxelMeshDefinition!W273&lt;&gt;"", VoxelMeshDefinition!W273, ""),"")</f>
      </c>
      <c r="G92">
        <f>IF(VoxelMeshDefinition!AE273="✅", IF(VoxelMeshDefinition!X273&lt;&gt;"", VoxelMeshDefinition!X273, ""),"")</f>
      </c>
      <c r="H92">
        <f>IF(VoxelMeshDefinition!AE273="✅", IF(VoxelMeshDefinition!Y273&lt;&gt;"", VoxelMeshDefinition!Y273, ""),"")</f>
      </c>
      <c r="I92">
        <f>IF(VoxelMeshDefinition!AE273="✅", IF(VoxelMeshDefinition!Z273&lt;&gt;"", VoxelMeshDefinition!Z273, ""),"")</f>
      </c>
      <c r="J92">
        <f>IF(VoxelMeshDefinition!AE273="✅", IF(VoxelMeshDefinition!AA273&lt;&gt;"", VoxelMeshDefinition!AA273, ""),"")</f>
      </c>
      <c r="K92" s="1">
        <f>IF(VoxelMeshDefinition!AE273="✅", VLOOKUP(A92,VoxelMeshDefinition!S:AE,10,FALSE),"")</f>
      </c>
    </row>
    <row r="93">
      <c r="A93">
        <f>IF(VoxelMeshDefinition!AE274="✅", IF(#REF!&lt;&gt;"", #REF!, ""),"")</f>
      </c>
      <c r="B93" s="5">
        <f>IF(VoxelMeshDefinition!AE274="✅", "/Script/Engine.StaticMesh'/Game/Item/Mesh/Voxel/" &amp; VoxelMeshDefinition!Q274 &amp; "/" &amp; VoxelMeshDefinition!H274 &amp; "/" &amp; VoxelMeshDefinition!E274 &amp; "." &amp; VoxelMeshDefinition!E274 &amp; "'", "")</f>
      </c>
      <c r="C93">
        <f>IF(VoxelMeshDefinition!AE274="✅", IF(VoxelMeshDefinition!T274&lt;&gt;"", VoxelMeshDefinition!T274, ""), "")</f>
      </c>
      <c r="D93" s="10">
        <f>IF(VoxelMeshDefinition!AE274="✅", IF(VoxelMeshDefinition!U274&lt;&gt;"", VoxelMeshDefinition!U274, ""),"")</f>
      </c>
      <c r="E93" s="9">
        <f>IF(VoxelMeshDefinition!AE274="✅", IF(VoxelMeshDefinition!V274&lt;&gt;"", VoxelMeshDefinition!V274, ""),"")</f>
      </c>
      <c r="F93">
        <f>IF(VoxelMeshDefinition!AE274="✅", IF(VoxelMeshDefinition!W274&lt;&gt;"", VoxelMeshDefinition!W274, ""),"")</f>
      </c>
      <c r="G93">
        <f>IF(VoxelMeshDefinition!AE274="✅", IF(VoxelMeshDefinition!X274&lt;&gt;"", VoxelMeshDefinition!X274, ""),"")</f>
      </c>
      <c r="H93">
        <f>IF(VoxelMeshDefinition!AE274="✅", IF(VoxelMeshDefinition!Y274&lt;&gt;"", VoxelMeshDefinition!Y274, ""),"")</f>
      </c>
      <c r="I93">
        <f>IF(VoxelMeshDefinition!AE274="✅", IF(VoxelMeshDefinition!Z274&lt;&gt;"", VoxelMeshDefinition!Z274, ""),"")</f>
      </c>
      <c r="J93">
        <f>IF(VoxelMeshDefinition!AE274="✅", IF(VoxelMeshDefinition!AA274&lt;&gt;"", VoxelMeshDefinition!AA274, ""),"")</f>
      </c>
      <c r="K93" s="1">
        <f>IF(VoxelMeshDefinition!AE274="✅", VLOOKUP(A93,VoxelMeshDefinition!S:AE,10,FALSE),"")</f>
      </c>
    </row>
    <row r="94">
      <c r="A94">
        <f>IF(VoxelMeshDefinition!AE275="✅", IF(#REF!&lt;&gt;"", #REF!, ""),"")</f>
      </c>
      <c r="B94" s="5">
        <f>IF(VoxelMeshDefinition!AE275="✅", "/Script/Engine.StaticMesh'/Game/Item/Mesh/Voxel/" &amp; VoxelMeshDefinition!Q275 &amp; "/" &amp; VoxelMeshDefinition!H275 &amp; "/" &amp; VoxelMeshDefinition!E275 &amp; "." &amp; VoxelMeshDefinition!E275 &amp; "'", "")</f>
      </c>
      <c r="C94">
        <f>IF(VoxelMeshDefinition!AE275="✅", IF(VoxelMeshDefinition!T275&lt;&gt;"", VoxelMeshDefinition!T275, ""), "")</f>
      </c>
      <c r="D94" s="10">
        <f>IF(VoxelMeshDefinition!AE275="✅", IF(VoxelMeshDefinition!U275&lt;&gt;"", VoxelMeshDefinition!U275, ""),"")</f>
      </c>
      <c r="E94" s="9">
        <f>IF(VoxelMeshDefinition!AE275="✅", IF(VoxelMeshDefinition!V275&lt;&gt;"", VoxelMeshDefinition!V275, ""),"")</f>
      </c>
      <c r="F94">
        <f>IF(VoxelMeshDefinition!AE275="✅", IF(VoxelMeshDefinition!W275&lt;&gt;"", VoxelMeshDefinition!W275, ""),"")</f>
      </c>
      <c r="G94">
        <f>IF(VoxelMeshDefinition!AE275="✅", IF(VoxelMeshDefinition!X275&lt;&gt;"", VoxelMeshDefinition!X275, ""),"")</f>
      </c>
      <c r="H94">
        <f>IF(VoxelMeshDefinition!AE275="✅", IF(VoxelMeshDefinition!Y275&lt;&gt;"", VoxelMeshDefinition!Y275, ""),"")</f>
      </c>
      <c r="I94">
        <f>IF(VoxelMeshDefinition!AE275="✅", IF(VoxelMeshDefinition!Z275&lt;&gt;"", VoxelMeshDefinition!Z275, ""),"")</f>
      </c>
      <c r="J94">
        <f>IF(VoxelMeshDefinition!AE275="✅", IF(VoxelMeshDefinition!AA275&lt;&gt;"", VoxelMeshDefinition!AA275, ""),"")</f>
      </c>
      <c r="K94" s="1">
        <f>IF(VoxelMeshDefinition!AE275="✅", VLOOKUP(A94,VoxelMeshDefinition!S:AE,10,FALSE),"")</f>
      </c>
    </row>
    <row r="95">
      <c r="A95">
        <f>IF(VoxelMeshDefinition!AE276="✅", IF(#REF!&lt;&gt;"", #REF!, ""),"")</f>
      </c>
      <c r="B95" s="5">
        <f>IF(VoxelMeshDefinition!AE276="✅", "/Script/Engine.StaticMesh'/Game/Item/Mesh/Voxel/" &amp; VoxelMeshDefinition!Q276 &amp; "/" &amp; VoxelMeshDefinition!H276 &amp; "/" &amp; VoxelMeshDefinition!E276 &amp; "." &amp; VoxelMeshDefinition!E276 &amp; "'", "")</f>
      </c>
      <c r="C95">
        <f>IF(VoxelMeshDefinition!AE276="✅", IF(VoxelMeshDefinition!T276&lt;&gt;"", VoxelMeshDefinition!T276, ""), "")</f>
      </c>
      <c r="D95" s="10">
        <f>IF(VoxelMeshDefinition!AE276="✅", IF(VoxelMeshDefinition!U276&lt;&gt;"", VoxelMeshDefinition!U276, ""),"")</f>
      </c>
      <c r="E95" s="9">
        <f>IF(VoxelMeshDefinition!AE276="✅", IF(VoxelMeshDefinition!V276&lt;&gt;"", VoxelMeshDefinition!V276, ""),"")</f>
      </c>
      <c r="F95">
        <f>IF(VoxelMeshDefinition!AE276="✅", IF(VoxelMeshDefinition!W276&lt;&gt;"", VoxelMeshDefinition!W276, ""),"")</f>
      </c>
      <c r="G95">
        <f>IF(VoxelMeshDefinition!AE276="✅", IF(VoxelMeshDefinition!X276&lt;&gt;"", VoxelMeshDefinition!X276, ""),"")</f>
      </c>
      <c r="H95">
        <f>IF(VoxelMeshDefinition!AE276="✅", IF(VoxelMeshDefinition!Y276&lt;&gt;"", VoxelMeshDefinition!Y276, ""),"")</f>
      </c>
      <c r="I95">
        <f>IF(VoxelMeshDefinition!AE276="✅", IF(VoxelMeshDefinition!Z276&lt;&gt;"", VoxelMeshDefinition!Z276, ""),"")</f>
      </c>
      <c r="J95">
        <f>IF(VoxelMeshDefinition!AE276="✅", IF(VoxelMeshDefinition!AA276&lt;&gt;"", VoxelMeshDefinition!AA276, ""),"")</f>
      </c>
      <c r="K95" s="1">
        <f>IF(VoxelMeshDefinition!AE276="✅", VLOOKUP(A95,VoxelMeshDefinition!S:AE,10,FALSE),"")</f>
      </c>
    </row>
    <row r="96">
      <c r="A96">
        <f>IF(VoxelMeshDefinition!AE277="✅", IF(#REF!&lt;&gt;"", #REF!, ""),"")</f>
      </c>
      <c r="B96" s="5">
        <f>IF(VoxelMeshDefinition!AE277="✅", "/Script/Engine.StaticMesh'/Game/Item/Mesh/Voxel/" &amp; VoxelMeshDefinition!Q277 &amp; "/" &amp; VoxelMeshDefinition!H277 &amp; "/" &amp; VoxelMeshDefinition!E277 &amp; "." &amp; VoxelMeshDefinition!E277 &amp; "'", "")</f>
      </c>
      <c r="C96">
        <f>IF(VoxelMeshDefinition!AE277="✅", IF(VoxelMeshDefinition!T277&lt;&gt;"", VoxelMeshDefinition!T277, ""), "")</f>
      </c>
      <c r="D96" s="10">
        <f>IF(VoxelMeshDefinition!AE277="✅", IF(VoxelMeshDefinition!U277&lt;&gt;"", VoxelMeshDefinition!U277, ""),"")</f>
      </c>
      <c r="E96" s="9">
        <f>IF(VoxelMeshDefinition!AE277="✅", IF(VoxelMeshDefinition!V277&lt;&gt;"", VoxelMeshDefinition!V277, ""),"")</f>
      </c>
      <c r="F96">
        <f>IF(VoxelMeshDefinition!AE277="✅", IF(VoxelMeshDefinition!W277&lt;&gt;"", VoxelMeshDefinition!W277, ""),"")</f>
      </c>
      <c r="G96">
        <f>IF(VoxelMeshDefinition!AE277="✅", IF(VoxelMeshDefinition!X277&lt;&gt;"", VoxelMeshDefinition!X277, ""),"")</f>
      </c>
      <c r="H96">
        <f>IF(VoxelMeshDefinition!AE277="✅", IF(VoxelMeshDefinition!Y277&lt;&gt;"", VoxelMeshDefinition!Y277, ""),"")</f>
      </c>
      <c r="I96">
        <f>IF(VoxelMeshDefinition!AE277="✅", IF(VoxelMeshDefinition!Z277&lt;&gt;"", VoxelMeshDefinition!Z277, ""),"")</f>
      </c>
      <c r="J96">
        <f>IF(VoxelMeshDefinition!AE277="✅", IF(VoxelMeshDefinition!AA277&lt;&gt;"", VoxelMeshDefinition!AA277, ""),"")</f>
      </c>
      <c r="K96" s="1">
        <f>IF(VoxelMeshDefinition!AE277="✅", VLOOKUP(A96,VoxelMeshDefinition!S:AE,10,FALSE),"")</f>
      </c>
    </row>
    <row r="97">
      <c r="A97">
        <f>IF(VoxelMeshDefinition!AE278="✅", IF(#REF!&lt;&gt;"", #REF!, ""),"")</f>
      </c>
      <c r="B97" s="5">
        <f>IF(VoxelMeshDefinition!AE278="✅", "/Script/Engine.StaticMesh'/Game/Item/Mesh/Voxel/" &amp; VoxelMeshDefinition!Q278 &amp; "/" &amp; VoxelMeshDefinition!H278 &amp; "/" &amp; VoxelMeshDefinition!E278 &amp; "." &amp; VoxelMeshDefinition!E278 &amp; "'", "")</f>
      </c>
      <c r="C97">
        <f>IF(VoxelMeshDefinition!AE278="✅", IF(VoxelMeshDefinition!T278&lt;&gt;"", VoxelMeshDefinition!T278, ""), "")</f>
      </c>
      <c r="D97" s="10">
        <f>IF(VoxelMeshDefinition!AE278="✅", IF(VoxelMeshDefinition!U278&lt;&gt;"", VoxelMeshDefinition!U278, ""),"")</f>
      </c>
      <c r="E97" s="9">
        <f>IF(VoxelMeshDefinition!AE278="✅", IF(VoxelMeshDefinition!V278&lt;&gt;"", VoxelMeshDefinition!V278, ""),"")</f>
      </c>
      <c r="F97">
        <f>IF(VoxelMeshDefinition!AE278="✅", IF(VoxelMeshDefinition!W278&lt;&gt;"", VoxelMeshDefinition!W278, ""),"")</f>
      </c>
      <c r="G97">
        <f>IF(VoxelMeshDefinition!AE278="✅", IF(VoxelMeshDefinition!X278&lt;&gt;"", VoxelMeshDefinition!X278, ""),"")</f>
      </c>
      <c r="H97">
        <f>IF(VoxelMeshDefinition!AE278="✅", IF(VoxelMeshDefinition!Y278&lt;&gt;"", VoxelMeshDefinition!Y278, ""),"")</f>
      </c>
      <c r="I97">
        <f>IF(VoxelMeshDefinition!AE278="✅", IF(VoxelMeshDefinition!Z278&lt;&gt;"", VoxelMeshDefinition!Z278, ""),"")</f>
      </c>
      <c r="J97">
        <f>IF(VoxelMeshDefinition!AE278="✅", IF(VoxelMeshDefinition!AA278&lt;&gt;"", VoxelMeshDefinition!AA278, ""),"")</f>
      </c>
      <c r="K97" s="1">
        <f>IF(VoxelMeshDefinition!AE278="✅", VLOOKUP(A97,VoxelMeshDefinition!S:AE,10,FALSE),"")</f>
      </c>
    </row>
    <row r="98">
      <c r="A98">
        <f>IF(VoxelMeshDefinition!AE279="✅", IF(#REF!&lt;&gt;"", #REF!, ""),"")</f>
      </c>
      <c r="B98" s="5">
        <f>IF(VoxelMeshDefinition!AE279="✅", "/Script/Engine.StaticMesh'/Game/Item/Mesh/Voxel/" &amp; VoxelMeshDefinition!Q279 &amp; "/" &amp; VoxelMeshDefinition!H279 &amp; "/" &amp; VoxelMeshDefinition!E279 &amp; "." &amp; VoxelMeshDefinition!E279 &amp; "'", "")</f>
      </c>
      <c r="C98">
        <f>IF(VoxelMeshDefinition!AE279="✅", IF(VoxelMeshDefinition!T279&lt;&gt;"", VoxelMeshDefinition!T279, ""), "")</f>
      </c>
      <c r="D98" s="10">
        <f>IF(VoxelMeshDefinition!AE279="✅", IF(VoxelMeshDefinition!U279&lt;&gt;"", VoxelMeshDefinition!U279, ""),"")</f>
      </c>
      <c r="E98" s="9">
        <f>IF(VoxelMeshDefinition!AE279="✅", IF(VoxelMeshDefinition!V279&lt;&gt;"", VoxelMeshDefinition!V279, ""),"")</f>
      </c>
      <c r="F98">
        <f>IF(VoxelMeshDefinition!AE279="✅", IF(VoxelMeshDefinition!W279&lt;&gt;"", VoxelMeshDefinition!W279, ""),"")</f>
      </c>
      <c r="G98">
        <f>IF(VoxelMeshDefinition!AE279="✅", IF(VoxelMeshDefinition!X279&lt;&gt;"", VoxelMeshDefinition!X279, ""),"")</f>
      </c>
      <c r="H98">
        <f>IF(VoxelMeshDefinition!AE279="✅", IF(VoxelMeshDefinition!Y279&lt;&gt;"", VoxelMeshDefinition!Y279, ""),"")</f>
      </c>
      <c r="I98">
        <f>IF(VoxelMeshDefinition!AE279="✅", IF(VoxelMeshDefinition!Z279&lt;&gt;"", VoxelMeshDefinition!Z279, ""),"")</f>
      </c>
      <c r="J98">
        <f>IF(VoxelMeshDefinition!AE279="✅", IF(VoxelMeshDefinition!AA279&lt;&gt;"", VoxelMeshDefinition!AA279, ""),"")</f>
      </c>
      <c r="K98" s="1">
        <f>IF(VoxelMeshDefinition!AE279="✅", VLOOKUP(A98,VoxelMeshDefinition!S:AE,10,FALSE),"")</f>
      </c>
    </row>
    <row r="99">
      <c r="A99">
        <f>IF(VoxelMeshDefinition!AE280="✅", IF(#REF!&lt;&gt;"", #REF!, ""),"")</f>
      </c>
      <c r="B99" s="5">
        <f>IF(VoxelMeshDefinition!AE280="✅", "/Script/Engine.StaticMesh'/Game/Item/Mesh/Voxel/" &amp; VoxelMeshDefinition!Q280 &amp; "/" &amp; VoxelMeshDefinition!H280 &amp; "/" &amp; VoxelMeshDefinition!E280 &amp; "." &amp; VoxelMeshDefinition!E280 &amp; "'", "")</f>
      </c>
      <c r="C99">
        <f>IF(VoxelMeshDefinition!AE280="✅", IF(VoxelMeshDefinition!T280&lt;&gt;"", VoxelMeshDefinition!T280, ""), "")</f>
      </c>
      <c r="D99" s="10">
        <f>IF(VoxelMeshDefinition!AE280="✅", IF(VoxelMeshDefinition!U280&lt;&gt;"", VoxelMeshDefinition!U280, ""),"")</f>
      </c>
      <c r="E99" s="9">
        <f>IF(VoxelMeshDefinition!AE280="✅", IF(VoxelMeshDefinition!V280&lt;&gt;"", VoxelMeshDefinition!V280, ""),"")</f>
      </c>
      <c r="F99">
        <f>IF(VoxelMeshDefinition!AE280="✅", IF(VoxelMeshDefinition!W280&lt;&gt;"", VoxelMeshDefinition!W280, ""),"")</f>
      </c>
      <c r="G99">
        <f>IF(VoxelMeshDefinition!AE280="✅", IF(VoxelMeshDefinition!X280&lt;&gt;"", VoxelMeshDefinition!X280, ""),"")</f>
      </c>
      <c r="H99">
        <f>IF(VoxelMeshDefinition!AE280="✅", IF(VoxelMeshDefinition!Y280&lt;&gt;"", VoxelMeshDefinition!Y280, ""),"")</f>
      </c>
      <c r="I99">
        <f>IF(VoxelMeshDefinition!AE280="✅", IF(VoxelMeshDefinition!Z280&lt;&gt;"", VoxelMeshDefinition!Z280, ""),"")</f>
      </c>
      <c r="J99">
        <f>IF(VoxelMeshDefinition!AE280="✅", IF(VoxelMeshDefinition!AA280&lt;&gt;"", VoxelMeshDefinition!AA280, ""),"")</f>
      </c>
      <c r="K99" s="1">
        <f>IF(VoxelMeshDefinition!AE280="✅", VLOOKUP(A99,VoxelMeshDefinition!S:AE,10,FALSE),"")</f>
      </c>
    </row>
    <row r="100">
      <c r="A100">
        <f>IF(VoxelMeshDefinition!AE281="✅", IF(#REF!&lt;&gt;"", #REF!, ""),"")</f>
      </c>
      <c r="B100" s="5">
        <f>IF(VoxelMeshDefinition!AE281="✅", "/Script/Engine.StaticMesh'/Game/Item/Mesh/Voxel/" &amp; VoxelMeshDefinition!Q281 &amp; "/" &amp; VoxelMeshDefinition!H281 &amp; "/" &amp; VoxelMeshDefinition!E281 &amp; "." &amp; VoxelMeshDefinition!E281 &amp; "'", "")</f>
      </c>
      <c r="C100">
        <f>IF(VoxelMeshDefinition!AE281="✅", IF(VoxelMeshDefinition!T281&lt;&gt;"", VoxelMeshDefinition!T281, ""), "")</f>
      </c>
      <c r="D100" s="10">
        <f>IF(VoxelMeshDefinition!AE281="✅", IF(VoxelMeshDefinition!U281&lt;&gt;"", VoxelMeshDefinition!U281, ""),"")</f>
      </c>
      <c r="E100" s="9">
        <f>IF(VoxelMeshDefinition!AE281="✅", IF(VoxelMeshDefinition!V281&lt;&gt;"", VoxelMeshDefinition!V281, ""),"")</f>
      </c>
      <c r="F100">
        <f>IF(VoxelMeshDefinition!AE281="✅", IF(VoxelMeshDefinition!W281&lt;&gt;"", VoxelMeshDefinition!W281, ""),"")</f>
      </c>
      <c r="G100">
        <f>IF(VoxelMeshDefinition!AE281="✅", IF(VoxelMeshDefinition!X281&lt;&gt;"", VoxelMeshDefinition!X281, ""),"")</f>
      </c>
      <c r="H100">
        <f>IF(VoxelMeshDefinition!AE281="✅", IF(VoxelMeshDefinition!Y281&lt;&gt;"", VoxelMeshDefinition!Y281, ""),"")</f>
      </c>
      <c r="I100">
        <f>IF(VoxelMeshDefinition!AE281="✅", IF(VoxelMeshDefinition!Z281&lt;&gt;"", VoxelMeshDefinition!Z281, ""),"")</f>
      </c>
      <c r="J100">
        <f>IF(VoxelMeshDefinition!AE281="✅", IF(VoxelMeshDefinition!AA281&lt;&gt;"", VoxelMeshDefinition!AA281, ""),"")</f>
      </c>
      <c r="K100" s="1">
        <f>IF(VoxelMeshDefinition!AE281="✅", VLOOKUP(A100,VoxelMeshDefinition!S:AE,10,FALSE),"")</f>
      </c>
    </row>
    <row r="101">
      <c r="A101">
        <f>IF(VoxelMeshDefinition!AE282="✅", IF(#REF!&lt;&gt;"", #REF!, ""),"")</f>
      </c>
      <c r="B101" s="5">
        <f>IF(VoxelMeshDefinition!AE282="✅", "/Script/Engine.StaticMesh'/Game/Item/Mesh/Voxel/" &amp; VoxelMeshDefinition!Q282 &amp; "/" &amp; VoxelMeshDefinition!H282 &amp; "/" &amp; VoxelMeshDefinition!E282 &amp; "." &amp; VoxelMeshDefinition!E282 &amp; "'", "")</f>
      </c>
      <c r="C101">
        <f>IF(VoxelMeshDefinition!AE282="✅", IF(VoxelMeshDefinition!T282&lt;&gt;"", VoxelMeshDefinition!T282, ""), "")</f>
      </c>
      <c r="D101" s="10">
        <f>IF(VoxelMeshDefinition!AE282="✅", IF(VoxelMeshDefinition!U282&lt;&gt;"", VoxelMeshDefinition!U282, ""),"")</f>
      </c>
      <c r="E101" s="9">
        <f>IF(VoxelMeshDefinition!AE282="✅", IF(VoxelMeshDefinition!V282&lt;&gt;"", VoxelMeshDefinition!V282, ""),"")</f>
      </c>
      <c r="F101">
        <f>IF(VoxelMeshDefinition!AE282="✅", IF(VoxelMeshDefinition!W282&lt;&gt;"", VoxelMeshDefinition!W282, ""),"")</f>
      </c>
      <c r="G101">
        <f>IF(VoxelMeshDefinition!AE282="✅", IF(VoxelMeshDefinition!X282&lt;&gt;"", VoxelMeshDefinition!X282, ""),"")</f>
      </c>
      <c r="H101">
        <f>IF(VoxelMeshDefinition!AE282="✅", IF(VoxelMeshDefinition!Y282&lt;&gt;"", VoxelMeshDefinition!Y282, ""),"")</f>
      </c>
      <c r="I101">
        <f>IF(VoxelMeshDefinition!AE282="✅", IF(VoxelMeshDefinition!Z282&lt;&gt;"", VoxelMeshDefinition!Z282, ""),"")</f>
      </c>
      <c r="J101">
        <f>IF(VoxelMeshDefinition!AE282="✅", IF(VoxelMeshDefinition!AA282&lt;&gt;"", VoxelMeshDefinition!AA282, ""),"")</f>
      </c>
      <c r="K101" s="1">
        <f>IF(VoxelMeshDefinition!AE282="✅", VLOOKUP(A101,VoxelMeshDefinition!S:AE,10,FALSE),"")</f>
      </c>
    </row>
    <row r="102">
      <c r="A102">
        <f>IF(VoxelMeshDefinition!AE283="✅", IF(#REF!&lt;&gt;"", #REF!, ""),"")</f>
      </c>
      <c r="B102" s="5">
        <f>IF(VoxelMeshDefinition!AE283="✅", "/Script/Engine.StaticMesh'/Game/Item/Mesh/Voxel/" &amp; VoxelMeshDefinition!Q283 &amp; "/" &amp; VoxelMeshDefinition!H283 &amp; "/" &amp; VoxelMeshDefinition!E283 &amp; "." &amp; VoxelMeshDefinition!E283 &amp; "'", "")</f>
      </c>
      <c r="C102">
        <f>IF(VoxelMeshDefinition!AE283="✅", IF(VoxelMeshDefinition!T283&lt;&gt;"", VoxelMeshDefinition!T283, ""), "")</f>
      </c>
      <c r="D102" s="10">
        <f>IF(VoxelMeshDefinition!AE283="✅", IF(VoxelMeshDefinition!U283&lt;&gt;"", VoxelMeshDefinition!U283, ""),"")</f>
      </c>
      <c r="E102" s="9">
        <f>IF(VoxelMeshDefinition!AE283="✅", IF(VoxelMeshDefinition!V283&lt;&gt;"", VoxelMeshDefinition!V283, ""),"")</f>
      </c>
      <c r="F102">
        <f>IF(VoxelMeshDefinition!AE283="✅", IF(VoxelMeshDefinition!W283&lt;&gt;"", VoxelMeshDefinition!W283, ""),"")</f>
      </c>
      <c r="G102">
        <f>IF(VoxelMeshDefinition!AE283="✅", IF(VoxelMeshDefinition!X283&lt;&gt;"", VoxelMeshDefinition!X283, ""),"")</f>
      </c>
      <c r="H102">
        <f>IF(VoxelMeshDefinition!AE283="✅", IF(VoxelMeshDefinition!Y283&lt;&gt;"", VoxelMeshDefinition!Y283, ""),"")</f>
      </c>
      <c r="I102">
        <f>IF(VoxelMeshDefinition!AE283="✅", IF(VoxelMeshDefinition!Z283&lt;&gt;"", VoxelMeshDefinition!Z283, ""),"")</f>
      </c>
      <c r="J102">
        <f>IF(VoxelMeshDefinition!AE283="✅", IF(VoxelMeshDefinition!AA283&lt;&gt;"", VoxelMeshDefinition!AA283, ""),"")</f>
      </c>
      <c r="K102" s="1">
        <f>IF(VoxelMeshDefinition!AE283="✅", VLOOKUP(A102,VoxelMeshDefinition!S:AE,10,FALSE),"")</f>
      </c>
    </row>
    <row r="103">
      <c r="A103">
        <f>IF(VoxelMeshDefinition!AE284="✅", IF(#REF!&lt;&gt;"", #REF!, ""),"")</f>
      </c>
      <c r="B103" s="5">
        <f>IF(VoxelMeshDefinition!AE284="✅", "/Script/Engine.StaticMesh'/Game/Item/Mesh/Voxel/" &amp; VoxelMeshDefinition!Q284 &amp; "/" &amp; VoxelMeshDefinition!H284 &amp; "/" &amp; VoxelMeshDefinition!E284 &amp; "." &amp; VoxelMeshDefinition!E284 &amp; "'", "")</f>
      </c>
      <c r="C103">
        <f>IF(VoxelMeshDefinition!AE284="✅", IF(VoxelMeshDefinition!T284&lt;&gt;"", VoxelMeshDefinition!T284, ""), "")</f>
      </c>
      <c r="D103" s="10">
        <f>IF(VoxelMeshDefinition!AE284="✅", IF(VoxelMeshDefinition!U284&lt;&gt;"", VoxelMeshDefinition!U284, ""),"")</f>
      </c>
      <c r="E103" s="9">
        <f>IF(VoxelMeshDefinition!AE284="✅", IF(VoxelMeshDefinition!V284&lt;&gt;"", VoxelMeshDefinition!V284, ""),"")</f>
      </c>
      <c r="F103">
        <f>IF(VoxelMeshDefinition!AE284="✅", IF(VoxelMeshDefinition!W284&lt;&gt;"", VoxelMeshDefinition!W284, ""),"")</f>
      </c>
      <c r="G103">
        <f>IF(VoxelMeshDefinition!AE284="✅", IF(VoxelMeshDefinition!X284&lt;&gt;"", VoxelMeshDefinition!X284, ""),"")</f>
      </c>
      <c r="H103">
        <f>IF(VoxelMeshDefinition!AE284="✅", IF(VoxelMeshDefinition!Y284&lt;&gt;"", VoxelMeshDefinition!Y284, ""),"")</f>
      </c>
      <c r="I103">
        <f>IF(VoxelMeshDefinition!AE284="✅", IF(VoxelMeshDefinition!Z284&lt;&gt;"", VoxelMeshDefinition!Z284, ""),"")</f>
      </c>
      <c r="J103">
        <f>IF(VoxelMeshDefinition!AE284="✅", IF(VoxelMeshDefinition!AA284&lt;&gt;"", VoxelMeshDefinition!AA284, ""),"")</f>
      </c>
      <c r="K103" s="1">
        <f>IF(VoxelMeshDefinition!AE284="✅", VLOOKUP(A103,VoxelMeshDefinition!S:AE,10,FALSE),"")</f>
      </c>
    </row>
    <row r="104">
      <c r="A104">
        <f>IF(VoxelMeshDefinition!AE285="✅", IF(#REF!&lt;&gt;"", #REF!, ""),"")</f>
      </c>
      <c r="B104" s="5">
        <f>IF(VoxelMeshDefinition!AE285="✅", "/Script/Engine.StaticMesh'/Game/Item/Mesh/Voxel/" &amp; VoxelMeshDefinition!Q285 &amp; "/" &amp; VoxelMeshDefinition!H285 &amp; "/" &amp; VoxelMeshDefinition!E285 &amp; "." &amp; VoxelMeshDefinition!E285 &amp; "'", "")</f>
      </c>
      <c r="C104">
        <f>IF(VoxelMeshDefinition!AE285="✅", IF(VoxelMeshDefinition!T285&lt;&gt;"", VoxelMeshDefinition!T285, ""), "")</f>
      </c>
      <c r="D104" s="10">
        <f>IF(VoxelMeshDefinition!AE285="✅", IF(VoxelMeshDefinition!U285&lt;&gt;"", VoxelMeshDefinition!U285, ""),"")</f>
      </c>
      <c r="E104" s="9">
        <f>IF(VoxelMeshDefinition!AE285="✅", IF(VoxelMeshDefinition!V285&lt;&gt;"", VoxelMeshDefinition!V285, ""),"")</f>
      </c>
      <c r="F104">
        <f>IF(VoxelMeshDefinition!AE285="✅", IF(VoxelMeshDefinition!W285&lt;&gt;"", VoxelMeshDefinition!W285, ""),"")</f>
      </c>
      <c r="G104">
        <f>IF(VoxelMeshDefinition!AE285="✅", IF(VoxelMeshDefinition!X285&lt;&gt;"", VoxelMeshDefinition!X285, ""),"")</f>
      </c>
      <c r="H104">
        <f>IF(VoxelMeshDefinition!AE285="✅", IF(VoxelMeshDefinition!Y285&lt;&gt;"", VoxelMeshDefinition!Y285, ""),"")</f>
      </c>
      <c r="I104">
        <f>IF(VoxelMeshDefinition!AE285="✅", IF(VoxelMeshDefinition!Z285&lt;&gt;"", VoxelMeshDefinition!Z285, ""),"")</f>
      </c>
      <c r="J104">
        <f>IF(VoxelMeshDefinition!AE285="✅", IF(VoxelMeshDefinition!AA285&lt;&gt;"", VoxelMeshDefinition!AA285, ""),"")</f>
      </c>
      <c r="K104" s="1">
        <f>IF(VoxelMeshDefinition!AE285="✅", VLOOKUP(A104,VoxelMeshDefinition!S:AE,10,FALSE),"")</f>
      </c>
    </row>
    <row r="105">
      <c r="A105">
        <f>IF(VoxelMeshDefinition!AE286="✅", IF(#REF!&lt;&gt;"", #REF!, ""),"")</f>
      </c>
      <c r="B105" s="5">
        <f>IF(VoxelMeshDefinition!AE286="✅", "/Script/Engine.StaticMesh'/Game/Item/Mesh/Voxel/" &amp; VoxelMeshDefinition!Q286 &amp; "/" &amp; VoxelMeshDefinition!H286 &amp; "/" &amp; VoxelMeshDefinition!E286 &amp; "." &amp; VoxelMeshDefinition!E286 &amp; "'", "")</f>
      </c>
      <c r="C105">
        <f>IF(VoxelMeshDefinition!AE286="✅", IF(VoxelMeshDefinition!T286&lt;&gt;"", VoxelMeshDefinition!T286, ""), "")</f>
      </c>
      <c r="D105" s="10">
        <f>IF(VoxelMeshDefinition!AE286="✅", IF(VoxelMeshDefinition!U286&lt;&gt;"", VoxelMeshDefinition!U286, ""),"")</f>
      </c>
      <c r="E105" s="9">
        <f>IF(VoxelMeshDefinition!AE286="✅", IF(VoxelMeshDefinition!V286&lt;&gt;"", VoxelMeshDefinition!V286, ""),"")</f>
      </c>
      <c r="F105">
        <f>IF(VoxelMeshDefinition!AE286="✅", IF(VoxelMeshDefinition!W286&lt;&gt;"", VoxelMeshDefinition!W286, ""),"")</f>
      </c>
      <c r="G105">
        <f>IF(VoxelMeshDefinition!AE286="✅", IF(VoxelMeshDefinition!X286&lt;&gt;"", VoxelMeshDefinition!X286, ""),"")</f>
      </c>
      <c r="H105">
        <f>IF(VoxelMeshDefinition!AE286="✅", IF(VoxelMeshDefinition!Y286&lt;&gt;"", VoxelMeshDefinition!Y286, ""),"")</f>
      </c>
      <c r="I105">
        <f>IF(VoxelMeshDefinition!AE286="✅", IF(VoxelMeshDefinition!Z286&lt;&gt;"", VoxelMeshDefinition!Z286, ""),"")</f>
      </c>
      <c r="J105">
        <f>IF(VoxelMeshDefinition!AE286="✅", IF(VoxelMeshDefinition!AA286&lt;&gt;"", VoxelMeshDefinition!AA286, ""),"")</f>
      </c>
      <c r="K105" s="1">
        <f>IF(VoxelMeshDefinition!AE286="✅", VLOOKUP(A105,VoxelMeshDefinition!S:AE,10,FALSE),"")</f>
      </c>
    </row>
    <row r="106">
      <c r="A106">
        <f>IF(VoxelMeshDefinition!AE287="✅", IF(#REF!&lt;&gt;"", #REF!, ""),"")</f>
      </c>
      <c r="B106" s="5">
        <f>IF(VoxelMeshDefinition!AE287="✅", "/Script/Engine.StaticMesh'/Game/Item/Mesh/Voxel/" &amp; VoxelMeshDefinition!Q287 &amp; "/" &amp; VoxelMeshDefinition!H287 &amp; "/" &amp; VoxelMeshDefinition!E287 &amp; "." &amp; VoxelMeshDefinition!E287 &amp; "'", "")</f>
      </c>
      <c r="C106">
        <f>IF(VoxelMeshDefinition!AE287="✅", IF(VoxelMeshDefinition!T287&lt;&gt;"", VoxelMeshDefinition!T287, ""), "")</f>
      </c>
      <c r="D106" s="10">
        <f>IF(VoxelMeshDefinition!AE287="✅", IF(VoxelMeshDefinition!U287&lt;&gt;"", VoxelMeshDefinition!U287, ""),"")</f>
      </c>
      <c r="E106" s="9">
        <f>IF(VoxelMeshDefinition!AE287="✅", IF(VoxelMeshDefinition!V287&lt;&gt;"", VoxelMeshDefinition!V287, ""),"")</f>
      </c>
      <c r="F106">
        <f>IF(VoxelMeshDefinition!AE287="✅", IF(VoxelMeshDefinition!W287&lt;&gt;"", VoxelMeshDefinition!W287, ""),"")</f>
      </c>
      <c r="G106">
        <f>IF(VoxelMeshDefinition!AE287="✅", IF(VoxelMeshDefinition!X287&lt;&gt;"", VoxelMeshDefinition!X287, ""),"")</f>
      </c>
      <c r="H106">
        <f>IF(VoxelMeshDefinition!AE287="✅", IF(VoxelMeshDefinition!Y287&lt;&gt;"", VoxelMeshDefinition!Y287, ""),"")</f>
      </c>
      <c r="I106">
        <f>IF(VoxelMeshDefinition!AE287="✅", IF(VoxelMeshDefinition!Z287&lt;&gt;"", VoxelMeshDefinition!Z287, ""),"")</f>
      </c>
      <c r="J106">
        <f>IF(VoxelMeshDefinition!AE287="✅", IF(VoxelMeshDefinition!AA287&lt;&gt;"", VoxelMeshDefinition!AA287, ""),"")</f>
      </c>
      <c r="K106" s="1">
        <f>IF(VoxelMeshDefinition!AE287="✅", VLOOKUP(A106,VoxelMeshDefinition!S:AE,10,FALSE),"")</f>
      </c>
    </row>
    <row r="107">
      <c r="A107">
        <f>IF(VoxelMeshDefinition!AE288="✅", IF(#REF!&lt;&gt;"", #REF!, ""),"")</f>
      </c>
      <c r="B107" s="5">
        <f>IF(VoxelMeshDefinition!AE288="✅", "/Script/Engine.StaticMesh'/Game/Item/Mesh/Voxel/" &amp; VoxelMeshDefinition!Q288 &amp; "/" &amp; VoxelMeshDefinition!H288 &amp; "/" &amp; VoxelMeshDefinition!E288 &amp; "." &amp; VoxelMeshDefinition!E288 &amp; "'", "")</f>
      </c>
      <c r="C107">
        <f>IF(VoxelMeshDefinition!AE288="✅", IF(VoxelMeshDefinition!T288&lt;&gt;"", VoxelMeshDefinition!T288, ""), "")</f>
      </c>
      <c r="D107" s="10">
        <f>IF(VoxelMeshDefinition!AE288="✅", IF(VoxelMeshDefinition!U288&lt;&gt;"", VoxelMeshDefinition!U288, ""),"")</f>
      </c>
      <c r="E107" s="9">
        <f>IF(VoxelMeshDefinition!AE288="✅", IF(VoxelMeshDefinition!V288&lt;&gt;"", VoxelMeshDefinition!V288, ""),"")</f>
      </c>
      <c r="F107">
        <f>IF(VoxelMeshDefinition!AE288="✅", IF(VoxelMeshDefinition!W288&lt;&gt;"", VoxelMeshDefinition!W288, ""),"")</f>
      </c>
      <c r="G107">
        <f>IF(VoxelMeshDefinition!AE288="✅", IF(VoxelMeshDefinition!X288&lt;&gt;"", VoxelMeshDefinition!X288, ""),"")</f>
      </c>
      <c r="H107">
        <f>IF(VoxelMeshDefinition!AE288="✅", IF(VoxelMeshDefinition!Y288&lt;&gt;"", VoxelMeshDefinition!Y288, ""),"")</f>
      </c>
      <c r="I107">
        <f>IF(VoxelMeshDefinition!AE288="✅", IF(VoxelMeshDefinition!Z288&lt;&gt;"", VoxelMeshDefinition!Z288, ""),"")</f>
      </c>
      <c r="J107">
        <f>IF(VoxelMeshDefinition!AE288="✅", IF(VoxelMeshDefinition!AA288&lt;&gt;"", VoxelMeshDefinition!AA288, ""),"")</f>
      </c>
      <c r="K107" s="1">
        <f>IF(VoxelMeshDefinition!AE288="✅", VLOOKUP(A107,VoxelMeshDefinition!S:AE,10,FALSE),"")</f>
      </c>
    </row>
    <row r="108">
      <c r="A108">
        <f>IF(VoxelMeshDefinition!AE289="✅", IF(#REF!&lt;&gt;"", #REF!, ""),"")</f>
      </c>
      <c r="B108" s="5">
        <f>IF(VoxelMeshDefinition!AE289="✅", "/Script/Engine.StaticMesh'/Game/Item/Mesh/Voxel/" &amp; VoxelMeshDefinition!Q289 &amp; "/" &amp; VoxelMeshDefinition!H289 &amp; "/" &amp; VoxelMeshDefinition!E289 &amp; "." &amp; VoxelMeshDefinition!E289 &amp; "'", "")</f>
      </c>
      <c r="C108">
        <f>IF(VoxelMeshDefinition!AE289="✅", IF(VoxelMeshDefinition!T289&lt;&gt;"", VoxelMeshDefinition!T289, ""), "")</f>
      </c>
      <c r="D108" s="10">
        <f>IF(VoxelMeshDefinition!AE289="✅", IF(VoxelMeshDefinition!U289&lt;&gt;"", VoxelMeshDefinition!U289, ""),"")</f>
      </c>
      <c r="E108" s="9">
        <f>IF(VoxelMeshDefinition!AE289="✅", IF(VoxelMeshDefinition!V289&lt;&gt;"", VoxelMeshDefinition!V289, ""),"")</f>
      </c>
      <c r="F108">
        <f>IF(VoxelMeshDefinition!AE289="✅", IF(VoxelMeshDefinition!W289&lt;&gt;"", VoxelMeshDefinition!W289, ""),"")</f>
      </c>
      <c r="G108">
        <f>IF(VoxelMeshDefinition!AE289="✅", IF(VoxelMeshDefinition!X289&lt;&gt;"", VoxelMeshDefinition!X289, ""),"")</f>
      </c>
      <c r="H108">
        <f>IF(VoxelMeshDefinition!AE289="✅", IF(VoxelMeshDefinition!Y289&lt;&gt;"", VoxelMeshDefinition!Y289, ""),"")</f>
      </c>
      <c r="I108">
        <f>IF(VoxelMeshDefinition!AE289="✅", IF(VoxelMeshDefinition!Z289&lt;&gt;"", VoxelMeshDefinition!Z289, ""),"")</f>
      </c>
      <c r="J108">
        <f>IF(VoxelMeshDefinition!AE289="✅", IF(VoxelMeshDefinition!AA289&lt;&gt;"", VoxelMeshDefinition!AA289, ""),"")</f>
      </c>
      <c r="K108" s="1">
        <f>IF(VoxelMeshDefinition!AE289="✅", VLOOKUP(A108,VoxelMeshDefinition!S:AE,10,FALSE),"")</f>
      </c>
    </row>
    <row r="109">
      <c r="A109">
        <f>IF(VoxelMeshDefinition!AE290="✅", IF(#REF!&lt;&gt;"", #REF!, ""),"")</f>
      </c>
      <c r="B109" s="5">
        <f>IF(VoxelMeshDefinition!AE290="✅", "/Script/Engine.StaticMesh'/Game/Item/Mesh/Voxel/" &amp; VoxelMeshDefinition!Q290 &amp; "/" &amp; VoxelMeshDefinition!H290 &amp; "/" &amp; VoxelMeshDefinition!E290 &amp; "." &amp; VoxelMeshDefinition!E290 &amp; "'", "")</f>
      </c>
      <c r="C109">
        <f>IF(VoxelMeshDefinition!AE290="✅", IF(VoxelMeshDefinition!T290&lt;&gt;"", VoxelMeshDefinition!T290, ""), "")</f>
      </c>
      <c r="D109" s="10">
        <f>IF(VoxelMeshDefinition!AE290="✅", IF(VoxelMeshDefinition!U290&lt;&gt;"", VoxelMeshDefinition!U290, ""),"")</f>
      </c>
      <c r="E109" s="9">
        <f>IF(VoxelMeshDefinition!AE290="✅", IF(VoxelMeshDefinition!V290&lt;&gt;"", VoxelMeshDefinition!V290, ""),"")</f>
      </c>
      <c r="F109">
        <f>IF(VoxelMeshDefinition!AE290="✅", IF(VoxelMeshDefinition!W290&lt;&gt;"", VoxelMeshDefinition!W290, ""),"")</f>
      </c>
      <c r="G109">
        <f>IF(VoxelMeshDefinition!AE290="✅", IF(VoxelMeshDefinition!X290&lt;&gt;"", VoxelMeshDefinition!X290, ""),"")</f>
      </c>
      <c r="H109">
        <f>IF(VoxelMeshDefinition!AE290="✅", IF(VoxelMeshDefinition!Y290&lt;&gt;"", VoxelMeshDefinition!Y290, ""),"")</f>
      </c>
      <c r="I109">
        <f>IF(VoxelMeshDefinition!AE290="✅", IF(VoxelMeshDefinition!Z290&lt;&gt;"", VoxelMeshDefinition!Z290, ""),"")</f>
      </c>
      <c r="J109">
        <f>IF(VoxelMeshDefinition!AE290="✅", IF(VoxelMeshDefinition!AA290&lt;&gt;"", VoxelMeshDefinition!AA290, ""),"")</f>
      </c>
      <c r="K109" s="1">
        <f>IF(VoxelMeshDefinition!AE290="✅", VLOOKUP(A109,VoxelMeshDefinition!S:AE,10,FALSE),"")</f>
      </c>
    </row>
    <row r="110">
      <c r="A110">
        <f>IF(VoxelMeshDefinition!AE291="✅", IF(#REF!&lt;&gt;"", #REF!, ""),"")</f>
      </c>
      <c r="B110" s="5">
        <f>IF(VoxelMeshDefinition!AE291="✅", "/Script/Engine.StaticMesh'/Game/Item/Mesh/Voxel/" &amp; VoxelMeshDefinition!Q291 &amp; "/" &amp; VoxelMeshDefinition!H291 &amp; "/" &amp; VoxelMeshDefinition!E291 &amp; "." &amp; VoxelMeshDefinition!E291 &amp; "'", "")</f>
      </c>
      <c r="C110">
        <f>IF(VoxelMeshDefinition!AE291="✅", IF(VoxelMeshDefinition!T291&lt;&gt;"", VoxelMeshDefinition!T291, ""), "")</f>
      </c>
      <c r="D110" s="10">
        <f>IF(VoxelMeshDefinition!AE291="✅", IF(VoxelMeshDefinition!U291&lt;&gt;"", VoxelMeshDefinition!U291, ""),"")</f>
      </c>
      <c r="E110" s="9">
        <f>IF(VoxelMeshDefinition!AE291="✅", IF(VoxelMeshDefinition!V291&lt;&gt;"", VoxelMeshDefinition!V291, ""),"")</f>
      </c>
      <c r="F110">
        <f>IF(VoxelMeshDefinition!AE291="✅", IF(VoxelMeshDefinition!W291&lt;&gt;"", VoxelMeshDefinition!W291, ""),"")</f>
      </c>
      <c r="G110">
        <f>IF(VoxelMeshDefinition!AE291="✅", IF(VoxelMeshDefinition!X291&lt;&gt;"", VoxelMeshDefinition!X291, ""),"")</f>
      </c>
      <c r="H110">
        <f>IF(VoxelMeshDefinition!AE291="✅", IF(VoxelMeshDefinition!Y291&lt;&gt;"", VoxelMeshDefinition!Y291, ""),"")</f>
      </c>
      <c r="I110">
        <f>IF(VoxelMeshDefinition!AE291="✅", IF(VoxelMeshDefinition!Z291&lt;&gt;"", VoxelMeshDefinition!Z291, ""),"")</f>
      </c>
      <c r="J110">
        <f>IF(VoxelMeshDefinition!AE291="✅", IF(VoxelMeshDefinition!AA291&lt;&gt;"", VoxelMeshDefinition!AA291, ""),"")</f>
      </c>
      <c r="K110" s="1">
        <f>IF(VoxelMeshDefinition!AE291="✅", VLOOKUP(A110,VoxelMeshDefinition!S:AE,10,FALSE),"")</f>
      </c>
    </row>
    <row r="111">
      <c r="A111">
        <f>IF(VoxelMeshDefinition!AE292="✅", IF(#REF!&lt;&gt;"", #REF!, ""),"")</f>
      </c>
      <c r="B111" s="5">
        <f>IF(VoxelMeshDefinition!AE292="✅", "/Script/Engine.StaticMesh'/Game/Item/Mesh/Voxel/" &amp; VoxelMeshDefinition!Q292 &amp; "/" &amp; VoxelMeshDefinition!H292 &amp; "/" &amp; VoxelMeshDefinition!E292 &amp; "." &amp; VoxelMeshDefinition!E292 &amp; "'", "")</f>
      </c>
      <c r="C111">
        <f>IF(VoxelMeshDefinition!AE292="✅", IF(VoxelMeshDefinition!T292&lt;&gt;"", VoxelMeshDefinition!T292, ""), "")</f>
      </c>
      <c r="D111" s="10">
        <f>IF(VoxelMeshDefinition!AE292="✅", IF(VoxelMeshDefinition!U292&lt;&gt;"", VoxelMeshDefinition!U292, ""),"")</f>
      </c>
      <c r="E111" s="9">
        <f>IF(VoxelMeshDefinition!AE292="✅", IF(VoxelMeshDefinition!V292&lt;&gt;"", VoxelMeshDefinition!V292, ""),"")</f>
      </c>
      <c r="F111">
        <f>IF(VoxelMeshDefinition!AE292="✅", IF(VoxelMeshDefinition!W292&lt;&gt;"", VoxelMeshDefinition!W292, ""),"")</f>
      </c>
      <c r="G111">
        <f>IF(VoxelMeshDefinition!AE292="✅", IF(VoxelMeshDefinition!X292&lt;&gt;"", VoxelMeshDefinition!X292, ""),"")</f>
      </c>
      <c r="H111">
        <f>IF(VoxelMeshDefinition!AE292="✅", IF(VoxelMeshDefinition!Y292&lt;&gt;"", VoxelMeshDefinition!Y292, ""),"")</f>
      </c>
      <c r="I111">
        <f>IF(VoxelMeshDefinition!AE292="✅", IF(VoxelMeshDefinition!Z292&lt;&gt;"", VoxelMeshDefinition!Z292, ""),"")</f>
      </c>
      <c r="J111">
        <f>IF(VoxelMeshDefinition!AE292="✅", IF(VoxelMeshDefinition!AA292&lt;&gt;"", VoxelMeshDefinition!AA292, ""),"")</f>
      </c>
      <c r="K111" s="1">
        <f>IF(VoxelMeshDefinition!AE292="✅", VLOOKUP(A111,VoxelMeshDefinition!S:AE,10,FALSE),"")</f>
      </c>
    </row>
    <row r="112">
      <c r="A112">
        <f>IF(VoxelMeshDefinition!AE293="✅", IF(#REF!&lt;&gt;"", #REF!, ""),"")</f>
      </c>
      <c r="B112" s="5">
        <f>IF(VoxelMeshDefinition!AE293="✅", "/Script/Engine.StaticMesh'/Game/Item/Mesh/Voxel/" &amp; VoxelMeshDefinition!Q293 &amp; "/" &amp; VoxelMeshDefinition!H293 &amp; "/" &amp; VoxelMeshDefinition!E293 &amp; "." &amp; VoxelMeshDefinition!E293 &amp; "'", "")</f>
      </c>
      <c r="C112">
        <f>IF(VoxelMeshDefinition!AE293="✅", IF(VoxelMeshDefinition!T293&lt;&gt;"", VoxelMeshDefinition!T293, ""), "")</f>
      </c>
      <c r="D112" s="10">
        <f>IF(VoxelMeshDefinition!AE293="✅", IF(VoxelMeshDefinition!U293&lt;&gt;"", VoxelMeshDefinition!U293, ""),"")</f>
      </c>
      <c r="E112" s="9">
        <f>IF(VoxelMeshDefinition!AE293="✅", IF(VoxelMeshDefinition!V293&lt;&gt;"", VoxelMeshDefinition!V293, ""),"")</f>
      </c>
      <c r="F112">
        <f>IF(VoxelMeshDefinition!AE293="✅", IF(VoxelMeshDefinition!W293&lt;&gt;"", VoxelMeshDefinition!W293, ""),"")</f>
      </c>
      <c r="G112">
        <f>IF(VoxelMeshDefinition!AE293="✅", IF(VoxelMeshDefinition!X293&lt;&gt;"", VoxelMeshDefinition!X293, ""),"")</f>
      </c>
      <c r="H112">
        <f>IF(VoxelMeshDefinition!AE293="✅", IF(VoxelMeshDefinition!Y293&lt;&gt;"", VoxelMeshDefinition!Y293, ""),"")</f>
      </c>
      <c r="I112">
        <f>IF(VoxelMeshDefinition!AE293="✅", IF(VoxelMeshDefinition!Z293&lt;&gt;"", VoxelMeshDefinition!Z293, ""),"")</f>
      </c>
      <c r="J112">
        <f>IF(VoxelMeshDefinition!AE293="✅", IF(VoxelMeshDefinition!AA293&lt;&gt;"", VoxelMeshDefinition!AA293, ""),"")</f>
      </c>
      <c r="K112" s="1">
        <f>IF(VoxelMeshDefinition!AE293="✅", VLOOKUP(A112,VoxelMeshDefinition!S:AE,10,FALSE),"")</f>
      </c>
    </row>
    <row r="113">
      <c r="A113">
        <f>IF(#REF!="✅", IF(#REF!&lt;&gt;"", #REF!, ""),"")</f>
      </c>
      <c r="B113" s="5">
        <f>IF(#REF!="✅", "/Script/Engine.StaticMesh'/Game/Item/Mesh/Voxel/" &amp; #REF! &amp; "/" &amp; #REF! &amp; "/" &amp; #REF! &amp; "." &amp; #REF! &amp; "'", "")</f>
      </c>
      <c r="C113">
        <f>IF(#REF!="✅", IF(#REF!&lt;&gt;"", #REF!, ""), "")</f>
      </c>
      <c r="D113" s="10">
        <f>IF(#REF!="✅", IF(#REF!&lt;&gt;"", #REF!, ""),"")</f>
      </c>
      <c r="E113" s="9">
        <f>IF(#REF!="✅", IF(#REF!&lt;&gt;"", #REF!, ""),"")</f>
      </c>
      <c r="F113">
        <f>IF(#REF!="✅", IF(#REF!&lt;&gt;"", #REF!, ""),"")</f>
      </c>
      <c r="G113">
        <f>IF(#REF!="✅", IF(#REF!&lt;&gt;"", #REF!, ""),"")</f>
      </c>
      <c r="H113">
        <f>IF(#REF!="✅", IF(#REF!&lt;&gt;"", #REF!, ""),"")</f>
      </c>
      <c r="I113">
        <f>IF(#REF!="✅", IF(#REF!&lt;&gt;"", #REF!, ""),"")</f>
      </c>
      <c r="J113">
        <f>IF(#REF!="✅", IF(#REF!&lt;&gt;"", #REF!, ""),"")</f>
      </c>
      <c r="K113" s="1">
        <f>IF(#REF!="✅", VLOOKUP(A113,VoxelMeshDefinition!S:AE,10,FALSE),"")</f>
      </c>
    </row>
    <row r="114">
      <c r="A114">
        <f>IF(#REF!="✅", IF(#REF!&lt;&gt;"", #REF!, ""),"")</f>
      </c>
      <c r="B114" s="5">
        <f>IF(#REF!="✅", "/Script/Engine.StaticMesh'/Game/Item/Mesh/Voxel/" &amp; #REF! &amp; "/" &amp; #REF! &amp; "/" &amp; #REF! &amp; "." &amp; #REF! &amp; "'", "")</f>
      </c>
      <c r="C114">
        <f>IF(#REF!="✅", IF(#REF!&lt;&gt;"", #REF!, ""), "")</f>
      </c>
      <c r="D114" s="10">
        <f>IF(#REF!="✅", IF(#REF!&lt;&gt;"", #REF!, ""),"")</f>
      </c>
      <c r="E114" s="9">
        <f>IF(#REF!="✅", IF(#REF!&lt;&gt;"", #REF!, ""),"")</f>
      </c>
      <c r="F114">
        <f>IF(#REF!="✅", IF(#REF!&lt;&gt;"", #REF!, ""),"")</f>
      </c>
      <c r="G114">
        <f>IF(#REF!="✅", IF(#REF!&lt;&gt;"", #REF!, ""),"")</f>
      </c>
      <c r="H114">
        <f>IF(#REF!="✅", IF(#REF!&lt;&gt;"", #REF!, ""),"")</f>
      </c>
      <c r="I114">
        <f>IF(#REF!="✅", IF(#REF!&lt;&gt;"", #REF!, ""),"")</f>
      </c>
      <c r="J114">
        <f>IF(#REF!="✅", IF(#REF!&lt;&gt;"", #REF!, ""),"")</f>
      </c>
      <c r="K114" s="1">
        <f>IF(#REF!="✅", VLOOKUP(A114,VoxelMeshDefinition!S:AE,10,FALSE),"")</f>
      </c>
    </row>
    <row r="115">
      <c r="A115">
        <f>IF(#REF!="✅", IF(#REF!&lt;&gt;"", #REF!, ""),"")</f>
      </c>
      <c r="B115" s="5">
        <f>IF(#REF!="✅", "/Script/Engine.StaticMesh'/Game/Item/Mesh/Voxel/" &amp; #REF! &amp; "/" &amp; #REF! &amp; "/" &amp; #REF! &amp; "." &amp; #REF! &amp; "'", "")</f>
      </c>
      <c r="C115">
        <f>IF(#REF!="✅", IF(#REF!&lt;&gt;"", #REF!, ""), "")</f>
      </c>
      <c r="D115" s="10">
        <f>IF(#REF!="✅", IF(#REF!&lt;&gt;"", #REF!, ""),"")</f>
      </c>
      <c r="E115" s="9">
        <f>IF(#REF!="✅", IF(#REF!&lt;&gt;"", #REF!, ""),"")</f>
      </c>
      <c r="F115">
        <f>IF(#REF!="✅", IF(#REF!&lt;&gt;"", #REF!, ""),"")</f>
      </c>
      <c r="G115">
        <f>IF(#REF!="✅", IF(#REF!&lt;&gt;"", #REF!, ""),"")</f>
      </c>
      <c r="H115">
        <f>IF(#REF!="✅", IF(#REF!&lt;&gt;"", #REF!, ""),"")</f>
      </c>
      <c r="I115">
        <f>IF(#REF!="✅", IF(#REF!&lt;&gt;"", #REF!, ""),"")</f>
      </c>
      <c r="J115">
        <f>IF(#REF!="✅", IF(#REF!&lt;&gt;"", #REF!, ""),"")</f>
      </c>
      <c r="K115" s="1">
        <f>IF(#REF!="✅", VLOOKUP(A115,VoxelMeshDefinition!S:AE,10,FALSE),"")</f>
      </c>
    </row>
    <row r="116">
      <c r="A116">
        <f>IF(#REF!="✅", IF(#REF!&lt;&gt;"", #REF!, ""),"")</f>
      </c>
      <c r="B116" s="5">
        <f>IF(#REF!="✅", "/Script/Engine.StaticMesh'/Game/Item/Mesh/Voxel/" &amp; #REF! &amp; "/" &amp; #REF! &amp; "/" &amp; #REF! &amp; "." &amp; #REF! &amp; "'", "")</f>
      </c>
      <c r="C116">
        <f>IF(#REF!="✅", IF(#REF!&lt;&gt;"", #REF!, ""), "")</f>
      </c>
      <c r="D116" s="10">
        <f>IF(#REF!="✅", IF(#REF!&lt;&gt;"", #REF!, ""),"")</f>
      </c>
      <c r="E116" s="9">
        <f>IF(#REF!="✅", IF(#REF!&lt;&gt;"", #REF!, ""),"")</f>
      </c>
      <c r="F116">
        <f>IF(#REF!="✅", IF(#REF!&lt;&gt;"", #REF!, ""),"")</f>
      </c>
      <c r="G116">
        <f>IF(#REF!="✅", IF(#REF!&lt;&gt;"", #REF!, ""),"")</f>
      </c>
      <c r="H116">
        <f>IF(#REF!="✅", IF(#REF!&lt;&gt;"", #REF!, ""),"")</f>
      </c>
      <c r="I116">
        <f>IF(#REF!="✅", IF(#REF!&lt;&gt;"", #REF!, ""),"")</f>
      </c>
      <c r="J116">
        <f>IF(#REF!="✅", IF(#REF!&lt;&gt;"", #REF!, ""),"")</f>
      </c>
      <c r="K116" s="1">
        <f>IF(#REF!="✅", VLOOKUP(A116,VoxelMeshDefinition!S:AE,10,FALSE),"")</f>
      </c>
    </row>
    <row r="117">
      <c r="A117">
        <f>IF(VoxelMeshDefinition!AE311="✅", IF(#REF!&lt;&gt;"", #REF!, ""),"")</f>
      </c>
      <c r="B117" s="5">
        <f>IF(VoxelMeshDefinition!AE311="✅", "/Script/Engine.StaticMesh'/Game/Item/Mesh/Voxel/" &amp; VoxelMeshDefinition!Q311 &amp; "/" &amp; VoxelMeshDefinition!H311 &amp; "/" &amp; VoxelMeshDefinition!E311 &amp; "." &amp; VoxelMeshDefinition!E311 &amp; "'", "")</f>
      </c>
      <c r="C117">
        <f>IF(VoxelMeshDefinition!AE311="✅", IF(VoxelMeshDefinition!T311&lt;&gt;"", VoxelMeshDefinition!T311, ""), "")</f>
      </c>
      <c r="D117" s="10">
        <f>IF(VoxelMeshDefinition!AE311="✅", IF(VoxelMeshDefinition!U311&lt;&gt;"", VoxelMeshDefinition!U311, ""),"")</f>
      </c>
      <c r="E117" s="9">
        <f>IF(VoxelMeshDefinition!AE311="✅", IF(VoxelMeshDefinition!V311&lt;&gt;"", VoxelMeshDefinition!V311, ""),"")</f>
      </c>
      <c r="F117">
        <f>IF(VoxelMeshDefinition!AE311="✅", IF(VoxelMeshDefinition!W311&lt;&gt;"", VoxelMeshDefinition!W311, ""),"")</f>
      </c>
      <c r="G117">
        <f>IF(VoxelMeshDefinition!AE311="✅", IF(VoxelMeshDefinition!X311&lt;&gt;"", VoxelMeshDefinition!X311, ""),"")</f>
      </c>
      <c r="H117">
        <f>IF(VoxelMeshDefinition!AE311="✅", IF(VoxelMeshDefinition!Y311&lt;&gt;"", VoxelMeshDefinition!Y311, ""),"")</f>
      </c>
      <c r="I117">
        <f>IF(VoxelMeshDefinition!AE311="✅", IF(VoxelMeshDefinition!Z311&lt;&gt;"", VoxelMeshDefinition!Z311, ""),"")</f>
      </c>
      <c r="J117">
        <f>IF(VoxelMeshDefinition!AE311="✅", IF(VoxelMeshDefinition!AA311&lt;&gt;"", VoxelMeshDefinition!AA311, ""),"")</f>
      </c>
      <c r="K117" s="1">
        <f>IF(VoxelMeshDefinition!AE311="✅", VLOOKUP(A117,VoxelMeshDefinition!S:AE,10,FALSE),"")</f>
      </c>
    </row>
    <row r="118">
      <c r="A118">
        <f>IF(VoxelMeshDefinition!AE312="✅", IF(#REF!&lt;&gt;"", #REF!, ""),"")</f>
      </c>
      <c r="B118" s="5">
        <f>IF(VoxelMeshDefinition!AE312="✅", "/Script/Engine.StaticMesh'/Game/Item/Mesh/Voxel/" &amp; VoxelMeshDefinition!Q312 &amp; "/" &amp; VoxelMeshDefinition!H312 &amp; "/" &amp; VoxelMeshDefinition!E312 &amp; "." &amp; VoxelMeshDefinition!E312 &amp; "'", "")</f>
      </c>
      <c r="C118">
        <f>IF(VoxelMeshDefinition!AE312="✅", IF(VoxelMeshDefinition!T312&lt;&gt;"", VoxelMeshDefinition!T312, ""), "")</f>
      </c>
      <c r="D118" s="10">
        <f>IF(VoxelMeshDefinition!AE312="✅", IF(VoxelMeshDefinition!U312&lt;&gt;"", VoxelMeshDefinition!U312, ""),"")</f>
      </c>
      <c r="E118" s="9">
        <f>IF(VoxelMeshDefinition!AE312="✅", IF(VoxelMeshDefinition!V312&lt;&gt;"", VoxelMeshDefinition!V312, ""),"")</f>
      </c>
      <c r="F118">
        <f>IF(VoxelMeshDefinition!AE312="✅", IF(VoxelMeshDefinition!W312&lt;&gt;"", VoxelMeshDefinition!W312, ""),"")</f>
      </c>
      <c r="G118">
        <f>IF(VoxelMeshDefinition!AE312="✅", IF(VoxelMeshDefinition!X312&lt;&gt;"", VoxelMeshDefinition!X312, ""),"")</f>
      </c>
      <c r="H118">
        <f>IF(VoxelMeshDefinition!AE312="✅", IF(VoxelMeshDefinition!Y312&lt;&gt;"", VoxelMeshDefinition!Y312, ""),"")</f>
      </c>
      <c r="I118">
        <f>IF(VoxelMeshDefinition!AE312="✅", IF(VoxelMeshDefinition!Z312&lt;&gt;"", VoxelMeshDefinition!Z312, ""),"")</f>
      </c>
      <c r="J118">
        <f>IF(VoxelMeshDefinition!AE312="✅", IF(VoxelMeshDefinition!AA312&lt;&gt;"", VoxelMeshDefinition!AA312, ""),"")</f>
      </c>
      <c r="K118" s="1">
        <f>IF(VoxelMeshDefinition!AE312="✅", VLOOKUP(A118,VoxelMeshDefinition!S:AE,10,FALSE),"")</f>
      </c>
    </row>
    <row r="119">
      <c r="A119">
        <f>IF(VoxelMeshDefinition!AE303="✅", IF(#REF!&lt;&gt;"", #REF!, ""),"")</f>
      </c>
      <c r="B119" s="5">
        <f>IF(VoxelMeshDefinition!AE303="✅", "/Script/Engine.StaticMesh'/Game/Item/Mesh/Voxel/" &amp; VoxelMeshDefinition!Q303 &amp; "/" &amp; VoxelMeshDefinition!H303 &amp; "/" &amp; VoxelMeshDefinition!E303 &amp; "." &amp; VoxelMeshDefinition!E303 &amp; "'", "")</f>
      </c>
      <c r="C119">
        <f>IF(VoxelMeshDefinition!AE303="✅", IF(VoxelMeshDefinition!T303&lt;&gt;"", VoxelMeshDefinition!T303, ""), "")</f>
      </c>
      <c r="D119" s="10">
        <f>IF(VoxelMeshDefinition!AE303="✅", IF(VoxelMeshDefinition!U303&lt;&gt;"", VoxelMeshDefinition!U303, ""),"")</f>
      </c>
      <c r="E119" s="9">
        <f>IF(VoxelMeshDefinition!AE303="✅", IF(VoxelMeshDefinition!V303&lt;&gt;"", VoxelMeshDefinition!V303, ""),"")</f>
      </c>
      <c r="F119">
        <f>IF(VoxelMeshDefinition!AE303="✅", IF(VoxelMeshDefinition!W303&lt;&gt;"", VoxelMeshDefinition!W303, ""),"")</f>
      </c>
      <c r="G119">
        <f>IF(VoxelMeshDefinition!AE303="✅", IF(VoxelMeshDefinition!X303&lt;&gt;"", VoxelMeshDefinition!X303, ""),"")</f>
      </c>
      <c r="H119">
        <f>IF(VoxelMeshDefinition!AE303="✅", IF(VoxelMeshDefinition!Y303&lt;&gt;"", VoxelMeshDefinition!Y303, ""),"")</f>
      </c>
      <c r="I119">
        <f>IF(VoxelMeshDefinition!AE303="✅", IF(VoxelMeshDefinition!Z303&lt;&gt;"", VoxelMeshDefinition!Z303, ""),"")</f>
      </c>
      <c r="J119">
        <f>IF(VoxelMeshDefinition!AE303="✅", IF(VoxelMeshDefinition!AA303&lt;&gt;"", VoxelMeshDefinition!AA303, ""),"")</f>
      </c>
      <c r="K119" s="1">
        <f>IF(VoxelMeshDefinition!AE303="✅", VLOOKUP(A119,VoxelMeshDefinition!S:AE,10,FALSE),"")</f>
      </c>
    </row>
    <row r="120">
      <c r="A120">
        <f>IF(VoxelMeshDefinition!AE319="✅", IF(#REF!&lt;&gt;"", #REF!, ""),"")</f>
      </c>
      <c r="B120" s="5">
        <f>IF(VoxelMeshDefinition!AE319="✅", "/Script/Engine.StaticMesh'/Game/Item/Mesh/Voxel/" &amp; VoxelMeshDefinition!Q319 &amp; "/" &amp; VoxelMeshDefinition!H319 &amp; "/" &amp; VoxelMeshDefinition!E319 &amp; "." &amp; VoxelMeshDefinition!E319 &amp; "'", "")</f>
      </c>
      <c r="C120">
        <f>IF(VoxelMeshDefinition!AE319="✅", IF(VoxelMeshDefinition!T319&lt;&gt;"", VoxelMeshDefinition!T319, ""), "")</f>
      </c>
      <c r="D120" s="10">
        <f>IF(VoxelMeshDefinition!AE319="✅", IF(VoxelMeshDefinition!U319&lt;&gt;"", VoxelMeshDefinition!U319, ""),"")</f>
      </c>
      <c r="E120" s="9">
        <f>IF(VoxelMeshDefinition!AE319="✅", IF(VoxelMeshDefinition!V319&lt;&gt;"", VoxelMeshDefinition!V319, ""),"")</f>
      </c>
      <c r="F120">
        <f>IF(VoxelMeshDefinition!AE319="✅", IF(VoxelMeshDefinition!W319&lt;&gt;"", VoxelMeshDefinition!W319, ""),"")</f>
      </c>
      <c r="G120">
        <f>IF(VoxelMeshDefinition!AE319="✅", IF(VoxelMeshDefinition!X319&lt;&gt;"", VoxelMeshDefinition!X319, ""),"")</f>
      </c>
      <c r="H120">
        <f>IF(VoxelMeshDefinition!AE319="✅", IF(VoxelMeshDefinition!Y319&lt;&gt;"", VoxelMeshDefinition!Y319, ""),"")</f>
      </c>
      <c r="I120">
        <f>IF(VoxelMeshDefinition!AE319="✅", IF(VoxelMeshDefinition!Z319&lt;&gt;"", VoxelMeshDefinition!Z319, ""),"")</f>
      </c>
      <c r="J120">
        <f>IF(VoxelMeshDefinition!AE319="✅", IF(VoxelMeshDefinition!AA319&lt;&gt;"", VoxelMeshDefinition!AA319, ""),"")</f>
      </c>
      <c r="K120" s="1">
        <f>IF(VoxelMeshDefinition!AE319="✅", VLOOKUP(A120,VoxelMeshDefinition!S:AE,10,FALSE),"")</f>
      </c>
    </row>
    <row r="121">
      <c r="A121">
        <f>IF(VoxelMeshDefinition!AE304="✅", IF(#REF!&lt;&gt;"", #REF!, ""),"")</f>
      </c>
      <c r="B121" s="5">
        <f>IF(VoxelMeshDefinition!AE304="✅", "/Script/Engine.StaticMesh'/Game/Item/Mesh/Voxel/" &amp; VoxelMeshDefinition!Q304 &amp; "/" &amp; VoxelMeshDefinition!H304 &amp; "/" &amp; VoxelMeshDefinition!E304 &amp; "." &amp; VoxelMeshDefinition!E304 &amp; "'", "")</f>
      </c>
      <c r="C121">
        <f>IF(VoxelMeshDefinition!AE304="✅", IF(VoxelMeshDefinition!T304&lt;&gt;"", VoxelMeshDefinition!T304, ""), "")</f>
      </c>
      <c r="D121" s="10">
        <f>IF(VoxelMeshDefinition!AE304="✅", IF(VoxelMeshDefinition!U304&lt;&gt;"", VoxelMeshDefinition!U304, ""),"")</f>
      </c>
      <c r="E121" s="9">
        <f>IF(VoxelMeshDefinition!AE304="✅", IF(VoxelMeshDefinition!V304&lt;&gt;"", VoxelMeshDefinition!V304, ""),"")</f>
      </c>
      <c r="F121">
        <f>IF(VoxelMeshDefinition!AE304="✅", IF(VoxelMeshDefinition!W304&lt;&gt;"", VoxelMeshDefinition!W304, ""),"")</f>
      </c>
      <c r="G121">
        <f>IF(VoxelMeshDefinition!AE304="✅", IF(VoxelMeshDefinition!X304&lt;&gt;"", VoxelMeshDefinition!X304, ""),"")</f>
      </c>
      <c r="H121">
        <f>IF(VoxelMeshDefinition!AE304="✅", IF(VoxelMeshDefinition!Y304&lt;&gt;"", VoxelMeshDefinition!Y304, ""),"")</f>
      </c>
      <c r="I121">
        <f>IF(VoxelMeshDefinition!AE304="✅", IF(VoxelMeshDefinition!Z304&lt;&gt;"", VoxelMeshDefinition!Z304, ""),"")</f>
      </c>
      <c r="J121">
        <f>IF(VoxelMeshDefinition!AE304="✅", IF(VoxelMeshDefinition!AA304&lt;&gt;"", VoxelMeshDefinition!AA304, ""),"")</f>
      </c>
      <c r="K121" s="1">
        <f>IF(VoxelMeshDefinition!AE304="✅", VLOOKUP(A121,VoxelMeshDefinition!S:AE,10,FALSE),"")</f>
      </c>
    </row>
    <row r="122">
      <c r="A122">
        <f>IF(VoxelMeshDefinition!AE305="✅", IF(#REF!&lt;&gt;"", #REF!, ""),"")</f>
      </c>
      <c r="B122" s="5">
        <f>IF(VoxelMeshDefinition!AE305="✅", "/Script/Engine.StaticMesh'/Game/Item/Mesh/Voxel/" &amp; VoxelMeshDefinition!Q305 &amp; "/" &amp; VoxelMeshDefinition!H305 &amp; "/" &amp; VoxelMeshDefinition!E305 &amp; "." &amp; VoxelMeshDefinition!E305 &amp; "'", "")</f>
      </c>
      <c r="C122">
        <f>IF(VoxelMeshDefinition!AE305="✅", IF(VoxelMeshDefinition!T305&lt;&gt;"", VoxelMeshDefinition!T305, ""), "")</f>
      </c>
      <c r="D122" s="10">
        <f>IF(VoxelMeshDefinition!AE305="✅", IF(VoxelMeshDefinition!U305&lt;&gt;"", VoxelMeshDefinition!U305, ""),"")</f>
      </c>
      <c r="E122" s="9">
        <f>IF(VoxelMeshDefinition!AE305="✅", IF(VoxelMeshDefinition!V305&lt;&gt;"", VoxelMeshDefinition!V305, ""),"")</f>
      </c>
      <c r="F122">
        <f>IF(VoxelMeshDefinition!AE305="✅", IF(VoxelMeshDefinition!W305&lt;&gt;"", VoxelMeshDefinition!W305, ""),"")</f>
      </c>
      <c r="G122">
        <f>IF(VoxelMeshDefinition!AE305="✅", IF(VoxelMeshDefinition!X305&lt;&gt;"", VoxelMeshDefinition!X305, ""),"")</f>
      </c>
      <c r="H122">
        <f>IF(VoxelMeshDefinition!AE305="✅", IF(VoxelMeshDefinition!Y305&lt;&gt;"", VoxelMeshDefinition!Y305, ""),"")</f>
      </c>
      <c r="I122">
        <f>IF(VoxelMeshDefinition!AE305="✅", IF(VoxelMeshDefinition!Z305&lt;&gt;"", VoxelMeshDefinition!Z305, ""),"")</f>
      </c>
      <c r="J122">
        <f>IF(VoxelMeshDefinition!AE305="✅", IF(VoxelMeshDefinition!AA305&lt;&gt;"", VoxelMeshDefinition!AA305, ""),"")</f>
      </c>
      <c r="K122" s="1">
        <f>IF(VoxelMeshDefinition!AE305="✅", VLOOKUP(A122,VoxelMeshDefinition!S:AE,10,FALSE),"")</f>
      </c>
    </row>
    <row r="123">
      <c r="A123">
        <f>IF(VoxelMeshDefinition!AE302="✅", IF(#REF!&lt;&gt;"", #REF!, ""),"")</f>
      </c>
      <c r="B123" s="5">
        <f>IF(VoxelMeshDefinition!AE302="✅", "/Script/Engine.StaticMesh'/Game/Item/Mesh/Voxel/" &amp; VoxelMeshDefinition!Q302 &amp; "/" &amp; VoxelMeshDefinition!H302 &amp; "/" &amp; VoxelMeshDefinition!E302 &amp; "." &amp; VoxelMeshDefinition!E302 &amp; "'", "")</f>
      </c>
      <c r="C123">
        <f>IF(VoxelMeshDefinition!AE302="✅", IF(VoxelMeshDefinition!T302&lt;&gt;"", VoxelMeshDefinition!T302, ""), "")</f>
      </c>
      <c r="D123" s="10">
        <f>IF(VoxelMeshDefinition!AE302="✅", IF(VoxelMeshDefinition!U302&lt;&gt;"", VoxelMeshDefinition!U302, ""),"")</f>
      </c>
      <c r="E123" s="9">
        <f>IF(VoxelMeshDefinition!AE302="✅", IF(VoxelMeshDefinition!V302&lt;&gt;"", VoxelMeshDefinition!V302, ""),"")</f>
      </c>
      <c r="F123">
        <f>IF(VoxelMeshDefinition!AE302="✅", IF(VoxelMeshDefinition!W302&lt;&gt;"", VoxelMeshDefinition!W302, ""),"")</f>
      </c>
      <c r="G123">
        <f>IF(VoxelMeshDefinition!AE302="✅", IF(VoxelMeshDefinition!X302&lt;&gt;"", VoxelMeshDefinition!X302, ""),"")</f>
      </c>
      <c r="H123">
        <f>IF(VoxelMeshDefinition!AE302="✅", IF(VoxelMeshDefinition!Y302&lt;&gt;"", VoxelMeshDefinition!Y302, ""),"")</f>
      </c>
      <c r="I123">
        <f>IF(VoxelMeshDefinition!AE302="✅", IF(VoxelMeshDefinition!Z302&lt;&gt;"", VoxelMeshDefinition!Z302, ""),"")</f>
      </c>
      <c r="J123">
        <f>IF(VoxelMeshDefinition!AE302="✅", IF(VoxelMeshDefinition!AA302&lt;&gt;"", VoxelMeshDefinition!AA302, ""),"")</f>
      </c>
      <c r="K123" s="1">
        <f>IF(VoxelMeshDefinition!AE302="✅", VLOOKUP(A123,VoxelMeshDefinition!S:AE,10,FALSE),"")</f>
      </c>
    </row>
    <row r="124">
      <c r="A124">
        <f>IF(VoxelMeshDefinition!AE310="✅", IF(#REF!&lt;&gt;"", #REF!, ""),"")</f>
      </c>
      <c r="B124" s="5">
        <f>IF(VoxelMeshDefinition!AE310="✅", "/Script/Engine.StaticMesh'/Game/Item/Mesh/Voxel/" &amp; VoxelMeshDefinition!Q310 &amp; "/" &amp; VoxelMeshDefinition!H310 &amp; "/" &amp; VoxelMeshDefinition!E310 &amp; "." &amp; VoxelMeshDefinition!E310 &amp; "'", "")</f>
      </c>
      <c r="C124">
        <f>IF(VoxelMeshDefinition!AE310="✅", IF(VoxelMeshDefinition!T310&lt;&gt;"", VoxelMeshDefinition!T310, ""), "")</f>
      </c>
      <c r="D124" s="10">
        <f>IF(VoxelMeshDefinition!AE310="✅", IF(VoxelMeshDefinition!U310&lt;&gt;"", VoxelMeshDefinition!U310, ""),"")</f>
      </c>
      <c r="E124" s="9">
        <f>IF(VoxelMeshDefinition!AE310="✅", IF(VoxelMeshDefinition!V310&lt;&gt;"", VoxelMeshDefinition!V310, ""),"")</f>
      </c>
      <c r="F124">
        <f>IF(VoxelMeshDefinition!AE310="✅", IF(VoxelMeshDefinition!W310&lt;&gt;"", VoxelMeshDefinition!W310, ""),"")</f>
      </c>
      <c r="G124">
        <f>IF(VoxelMeshDefinition!AE310="✅", IF(VoxelMeshDefinition!X310&lt;&gt;"", VoxelMeshDefinition!X310, ""),"")</f>
      </c>
      <c r="H124">
        <f>IF(VoxelMeshDefinition!AE310="✅", IF(VoxelMeshDefinition!Y310&lt;&gt;"", VoxelMeshDefinition!Y310, ""),"")</f>
      </c>
      <c r="I124">
        <f>IF(VoxelMeshDefinition!AE310="✅", IF(VoxelMeshDefinition!Z310&lt;&gt;"", VoxelMeshDefinition!Z310, ""),"")</f>
      </c>
      <c r="J124">
        <f>IF(VoxelMeshDefinition!AE310="✅", IF(VoxelMeshDefinition!AA310&lt;&gt;"", VoxelMeshDefinition!AA310, ""),"")</f>
      </c>
      <c r="K124" s="1">
        <f>IF(VoxelMeshDefinition!AE310="✅", VLOOKUP(A124,VoxelMeshDefinition!S:AE,10,FALSE),"")</f>
      </c>
    </row>
    <row r="125">
      <c r="A125">
        <f>IF(VoxelMeshDefinition!AE318="✅", IF(#REF!&lt;&gt;"", #REF!, ""),"")</f>
      </c>
      <c r="B125" s="5">
        <f>IF(VoxelMeshDefinition!AE318="✅", "/Script/Engine.StaticMesh'/Game/Item/Mesh/Voxel/" &amp; VoxelMeshDefinition!Q318 &amp; "/" &amp; VoxelMeshDefinition!H318 &amp; "/" &amp; VoxelMeshDefinition!E318 &amp; "." &amp; VoxelMeshDefinition!E318 &amp; "'", "")</f>
      </c>
      <c r="C125">
        <f>IF(VoxelMeshDefinition!AE318="✅", IF(VoxelMeshDefinition!T318&lt;&gt;"", VoxelMeshDefinition!T318, ""), "")</f>
      </c>
      <c r="D125" s="10">
        <f>IF(VoxelMeshDefinition!AE318="✅", IF(VoxelMeshDefinition!U318&lt;&gt;"", VoxelMeshDefinition!U318, ""),"")</f>
      </c>
      <c r="E125" s="9">
        <f>IF(VoxelMeshDefinition!AE318="✅", IF(VoxelMeshDefinition!V318&lt;&gt;"", VoxelMeshDefinition!V318, ""),"")</f>
      </c>
      <c r="F125">
        <f>IF(VoxelMeshDefinition!AE318="✅", IF(VoxelMeshDefinition!W318&lt;&gt;"", VoxelMeshDefinition!W318, ""),"")</f>
      </c>
      <c r="G125">
        <f>IF(VoxelMeshDefinition!AE318="✅", IF(VoxelMeshDefinition!X318&lt;&gt;"", VoxelMeshDefinition!X318, ""),"")</f>
      </c>
      <c r="H125">
        <f>IF(VoxelMeshDefinition!AE318="✅", IF(VoxelMeshDefinition!Y318&lt;&gt;"", VoxelMeshDefinition!Y318, ""),"")</f>
      </c>
      <c r="I125">
        <f>IF(VoxelMeshDefinition!AE318="✅", IF(VoxelMeshDefinition!Z318&lt;&gt;"", VoxelMeshDefinition!Z318, ""),"")</f>
      </c>
      <c r="J125">
        <f>IF(VoxelMeshDefinition!AE318="✅", IF(VoxelMeshDefinition!AA318&lt;&gt;"", VoxelMeshDefinition!AA318, ""),"")</f>
      </c>
      <c r="K125" s="1">
        <f>IF(VoxelMeshDefinition!AE318="✅", VLOOKUP(A125,VoxelMeshDefinition!S:AE,10,FALSE),"")</f>
      </c>
    </row>
    <row r="126">
      <c r="A126">
        <f>IF(VoxelMeshDefinition!AE2="✅", IF(#REF!&lt;&gt;"", #REF!, ""),"")</f>
      </c>
      <c r="B126" s="5">
        <f>IF(VoxelMeshDefinition!AE2="✅", "/Script/Engine.StaticMesh'/Game/Item/Mesh/Voxel/" &amp; VoxelMeshDefinition!Q2 &amp; "/" &amp; VoxelMeshDefinition!H2 &amp; "/" &amp; VoxelMeshDefinition!E2 &amp; "." &amp; VoxelMeshDefinition!E2 &amp; "'", "")</f>
      </c>
      <c r="C126">
        <f>IF(VoxelMeshDefinition!AE2="✅", IF(VoxelMeshDefinition!T2&lt;&gt;"", VoxelMeshDefinition!T2, ""), "")</f>
      </c>
      <c r="D126" s="10">
        <f>IF(VoxelMeshDefinition!AE2="✅", IF(VoxelMeshDefinition!U2&lt;&gt;"", VoxelMeshDefinition!U2, ""),"")</f>
      </c>
      <c r="E126" s="9">
        <f>IF(VoxelMeshDefinition!AE2="✅", IF(VoxelMeshDefinition!V2&lt;&gt;"", VoxelMeshDefinition!V2, ""),"")</f>
      </c>
      <c r="F126">
        <f>IF(VoxelMeshDefinition!AE2="✅", IF(VoxelMeshDefinition!W2&lt;&gt;"", VoxelMeshDefinition!W2, ""),"")</f>
      </c>
      <c r="G126">
        <f>IF(VoxelMeshDefinition!AE2="✅", IF(VoxelMeshDefinition!X2&lt;&gt;"", VoxelMeshDefinition!X2, ""),"")</f>
      </c>
      <c r="H126">
        <f>IF(VoxelMeshDefinition!AE2="✅", IF(VoxelMeshDefinition!Y2&lt;&gt;"", VoxelMeshDefinition!Y2, ""),"")</f>
      </c>
      <c r="I126">
        <f>IF(VoxelMeshDefinition!AE2="✅", IF(VoxelMeshDefinition!Z2&lt;&gt;"", VoxelMeshDefinition!Z2, ""),"")</f>
      </c>
      <c r="J126">
        <f>IF(VoxelMeshDefinition!AE2="✅", IF(VoxelMeshDefinition!AA2&lt;&gt;"", VoxelMeshDefinition!AA2, ""),"")</f>
      </c>
      <c r="K126" s="1">
        <f>IF(VoxelMeshDefinition!AE2="✅", VLOOKUP(A126,VoxelMeshDefinition!S:AE,10,FALSE),"")</f>
      </c>
    </row>
    <row r="127">
      <c r="A127">
        <f>IF(VoxelMeshDefinition!AE3="✅", IF(#REF!&lt;&gt;"", #REF!, ""),"")</f>
      </c>
      <c r="B127" s="5">
        <f>IF(VoxelMeshDefinition!AE3="✅", "/Script/Engine.StaticMesh'/Game/Item/Mesh/Voxel/" &amp; VoxelMeshDefinition!Q3 &amp; "/" &amp; VoxelMeshDefinition!H3 &amp; "/" &amp; VoxelMeshDefinition!E3 &amp; "." &amp; VoxelMeshDefinition!E3 &amp; "'", "")</f>
      </c>
      <c r="C127">
        <f>IF(VoxelMeshDefinition!AE3="✅", IF(VoxelMeshDefinition!T3&lt;&gt;"", VoxelMeshDefinition!T3, ""), "")</f>
      </c>
      <c r="D127" s="10">
        <f>IF(VoxelMeshDefinition!AE3="✅", IF(VoxelMeshDefinition!U3&lt;&gt;"", VoxelMeshDefinition!U3, ""),"")</f>
      </c>
      <c r="E127" s="9">
        <f>IF(VoxelMeshDefinition!AE3="✅", IF(VoxelMeshDefinition!V3&lt;&gt;"", VoxelMeshDefinition!V3, ""),"")</f>
      </c>
      <c r="F127">
        <f>IF(VoxelMeshDefinition!AE3="✅", IF(VoxelMeshDefinition!W3&lt;&gt;"", VoxelMeshDefinition!W3, ""),"")</f>
      </c>
      <c r="G127">
        <f>IF(VoxelMeshDefinition!AE3="✅", IF(VoxelMeshDefinition!X3&lt;&gt;"", VoxelMeshDefinition!X3, ""),"")</f>
      </c>
      <c r="H127">
        <f>IF(VoxelMeshDefinition!AE3="✅", IF(VoxelMeshDefinition!Y3&lt;&gt;"", VoxelMeshDefinition!Y3, ""),"")</f>
      </c>
      <c r="I127">
        <f>IF(VoxelMeshDefinition!AE3="✅", IF(VoxelMeshDefinition!Z3&lt;&gt;"", VoxelMeshDefinition!Z3, ""),"")</f>
      </c>
      <c r="J127">
        <f>IF(VoxelMeshDefinition!AE3="✅", IF(VoxelMeshDefinition!AA3&lt;&gt;"", VoxelMeshDefinition!AA3, ""),"")</f>
      </c>
      <c r="K127" s="1">
        <f>IF(VoxelMeshDefinition!AE3="✅", VLOOKUP(A127,VoxelMeshDefinition!S:AE,10,FALSE),"")</f>
      </c>
    </row>
    <row r="128">
      <c r="A128">
        <f>IF(VoxelMeshDefinition!AE4="✅", IF(#REF!&lt;&gt;"", #REF!, ""),"")</f>
      </c>
      <c r="B128" s="5">
        <f>IF(VoxelMeshDefinition!AE4="✅", "/Script/Engine.StaticMesh'/Game/Item/Mesh/Voxel/" &amp; VoxelMeshDefinition!Q4 &amp; "/" &amp; VoxelMeshDefinition!H4 &amp; "/" &amp; VoxelMeshDefinition!E4 &amp; "." &amp; VoxelMeshDefinition!E4 &amp; "'", "")</f>
      </c>
      <c r="C128">
        <f>IF(VoxelMeshDefinition!AE4="✅", IF(VoxelMeshDefinition!T4&lt;&gt;"", VoxelMeshDefinition!T4, ""), "")</f>
      </c>
      <c r="D128" s="10">
        <f>IF(VoxelMeshDefinition!AE4="✅", IF(VoxelMeshDefinition!U4&lt;&gt;"", VoxelMeshDefinition!U4, ""),"")</f>
      </c>
      <c r="E128" s="9">
        <f>IF(VoxelMeshDefinition!AE4="✅", IF(VoxelMeshDefinition!V4&lt;&gt;"", VoxelMeshDefinition!V4, ""),"")</f>
      </c>
      <c r="F128">
        <f>IF(VoxelMeshDefinition!AE4="✅", IF(VoxelMeshDefinition!W4&lt;&gt;"", VoxelMeshDefinition!W4, ""),"")</f>
      </c>
      <c r="G128">
        <f>IF(VoxelMeshDefinition!AE4="✅", IF(VoxelMeshDefinition!X4&lt;&gt;"", VoxelMeshDefinition!X4, ""),"")</f>
      </c>
      <c r="H128">
        <f>IF(VoxelMeshDefinition!AE4="✅", IF(VoxelMeshDefinition!Y4&lt;&gt;"", VoxelMeshDefinition!Y4, ""),"")</f>
      </c>
      <c r="I128">
        <f>IF(VoxelMeshDefinition!AE4="✅", IF(VoxelMeshDefinition!Z4&lt;&gt;"", VoxelMeshDefinition!Z4, ""),"")</f>
      </c>
      <c r="J128">
        <f>IF(VoxelMeshDefinition!AE4="✅", IF(VoxelMeshDefinition!AA4&lt;&gt;"", VoxelMeshDefinition!AA4, ""),"")</f>
      </c>
      <c r="K128" s="1">
        <f>IF(VoxelMeshDefinition!AE4="✅", VLOOKUP(A128,VoxelMeshDefinition!S:AE,10,FALSE),"")</f>
      </c>
    </row>
    <row r="129">
      <c r="A129">
        <f>IF(#REF!="✅", IF(#REF!&lt;&gt;"", #REF!, ""),"")</f>
      </c>
      <c r="B129" s="5">
        <f>IF(#REF!="✅", "/Script/Engine.StaticMesh'/Game/Item/Mesh/Voxel/" &amp; #REF! &amp; "/" &amp; #REF! &amp; "/" &amp; #REF! &amp; "." &amp; #REF! &amp; "'", "")</f>
      </c>
      <c r="C129">
        <f>IF(#REF!="✅", IF(#REF!&lt;&gt;"", #REF!, ""), "")</f>
      </c>
      <c r="D129" s="10">
        <f>IF(#REF!="✅", IF(#REF!&lt;&gt;"", #REF!, ""),"")</f>
      </c>
      <c r="E129" s="9">
        <f>IF(#REF!="✅", IF(#REF!&lt;&gt;"", #REF!, ""),"")</f>
      </c>
      <c r="F129">
        <f>IF(#REF!="✅", IF(#REF!&lt;&gt;"", #REF!, ""),"")</f>
      </c>
      <c r="G129">
        <f>IF(#REF!="✅", IF(#REF!&lt;&gt;"", #REF!, ""),"")</f>
      </c>
      <c r="H129">
        <f>IF(#REF!="✅", IF(#REF!&lt;&gt;"", #REF!, ""),"")</f>
      </c>
      <c r="I129">
        <f>IF(#REF!="✅", IF(#REF!&lt;&gt;"", #REF!, ""),"")</f>
      </c>
      <c r="J129">
        <f>IF(#REF!="✅", IF(#REF!&lt;&gt;"", #REF!, ""),"")</f>
      </c>
      <c r="K129" s="1">
        <f>IF(#REF!="✅", VLOOKUP(A129,VoxelMeshDefinition!S:AE,10,FALSE),"")</f>
      </c>
    </row>
    <row r="130">
      <c r="A130">
        <f>IF(#REF!="✅", IF(#REF!&lt;&gt;"", #REF!, ""),"")</f>
      </c>
      <c r="B130" s="5">
        <f>IF(#REF!="✅", "/Script/Engine.StaticMesh'/Game/Item/Mesh/Voxel/" &amp; #REF! &amp; "/" &amp; #REF! &amp; "/" &amp; #REF! &amp; "." &amp; #REF! &amp; "'", "")</f>
      </c>
      <c r="C130">
        <f>IF(#REF!="✅", IF(#REF!&lt;&gt;"", #REF!, ""), "")</f>
      </c>
      <c r="D130" s="10">
        <f>IF(#REF!="✅", IF(#REF!&lt;&gt;"", #REF!, ""),"")</f>
      </c>
      <c r="E130" s="9">
        <f>IF(#REF!="✅", IF(#REF!&lt;&gt;"", #REF!, ""),"")</f>
      </c>
      <c r="F130">
        <f>IF(#REF!="✅", IF(#REF!&lt;&gt;"", #REF!, ""),"")</f>
      </c>
      <c r="G130">
        <f>IF(#REF!="✅", IF(#REF!&lt;&gt;"", #REF!, ""),"")</f>
      </c>
      <c r="H130">
        <f>IF(#REF!="✅", IF(#REF!&lt;&gt;"", #REF!, ""),"")</f>
      </c>
      <c r="I130">
        <f>IF(#REF!="✅", IF(#REF!&lt;&gt;"", #REF!, ""),"")</f>
      </c>
      <c r="J130">
        <f>IF(#REF!="✅", IF(#REF!&lt;&gt;"", #REF!, ""),"")</f>
      </c>
      <c r="K130" s="1">
        <f>IF(#REF!="✅", VLOOKUP(A130,VoxelMeshDefinition!S:AE,10,FALSE),"")</f>
      </c>
    </row>
    <row r="131">
      <c r="A131">
        <f>IF(VoxelMeshDefinition!AE327="✅", IF(#REF!&lt;&gt;"", #REF!, ""),"")</f>
      </c>
      <c r="B131" s="5">
        <f>IF(VoxelMeshDefinition!AE327="✅", "/Script/Engine.StaticMesh'/Game/Item/Mesh/Voxel/" &amp; VoxelMeshDefinition!Q327 &amp; "/" &amp; VoxelMeshDefinition!H327 &amp; "/" &amp; VoxelMeshDefinition!E327 &amp; "." &amp; VoxelMeshDefinition!E327 &amp; "'", "")</f>
      </c>
      <c r="C131">
        <f>IF(VoxelMeshDefinition!AE327="✅", IF(VoxelMeshDefinition!T327&lt;&gt;"", VoxelMeshDefinition!T327, ""), "")</f>
      </c>
      <c r="D131" s="10">
        <f>IF(VoxelMeshDefinition!AE327="✅", IF(VoxelMeshDefinition!U327&lt;&gt;"", VoxelMeshDefinition!U327, ""),"")</f>
      </c>
      <c r="E131" s="9">
        <f>IF(VoxelMeshDefinition!AE327="✅", IF(VoxelMeshDefinition!V327&lt;&gt;"", VoxelMeshDefinition!V327, ""),"")</f>
      </c>
      <c r="F131">
        <f>IF(VoxelMeshDefinition!AE327="✅", IF(VoxelMeshDefinition!W327&lt;&gt;"", VoxelMeshDefinition!W327, ""),"")</f>
      </c>
      <c r="G131">
        <f>IF(VoxelMeshDefinition!AE327="✅", IF(VoxelMeshDefinition!X327&lt;&gt;"", VoxelMeshDefinition!X327, ""),"")</f>
      </c>
      <c r="H131">
        <f>IF(VoxelMeshDefinition!AE327="✅", IF(VoxelMeshDefinition!Y327&lt;&gt;"", VoxelMeshDefinition!Y327, ""),"")</f>
      </c>
      <c r="I131">
        <f>IF(VoxelMeshDefinition!AE327="✅", IF(VoxelMeshDefinition!Z327&lt;&gt;"", VoxelMeshDefinition!Z327, ""),"")</f>
      </c>
      <c r="J131">
        <f>IF(VoxelMeshDefinition!AE327="✅", IF(VoxelMeshDefinition!AA327&lt;&gt;"", VoxelMeshDefinition!AA327, ""),"")</f>
      </c>
      <c r="K131" s="1">
        <f>IF(VoxelMeshDefinition!AE327="✅", VLOOKUP(A131,VoxelMeshDefinition!S:AE,10,FALSE),"")</f>
      </c>
    </row>
    <row r="132">
      <c r="A132">
        <f>IF(VoxelMeshDefinition!AE328="✅", IF(#REF!&lt;&gt;"", #REF!, ""),"")</f>
      </c>
      <c r="B132" s="5">
        <f>IF(VoxelMeshDefinition!AE328="✅", "/Script/Engine.StaticMesh'/Game/Item/Mesh/Voxel/" &amp; VoxelMeshDefinition!Q328 &amp; "/" &amp; VoxelMeshDefinition!H328 &amp; "/" &amp; VoxelMeshDefinition!E328 &amp; "." &amp; VoxelMeshDefinition!E328 &amp; "'", "")</f>
      </c>
      <c r="C132">
        <f>IF(VoxelMeshDefinition!AE328="✅", IF(VoxelMeshDefinition!T328&lt;&gt;"", VoxelMeshDefinition!T328, ""), "")</f>
      </c>
      <c r="D132" s="10">
        <f>IF(VoxelMeshDefinition!AE328="✅", IF(VoxelMeshDefinition!U328&lt;&gt;"", VoxelMeshDefinition!U328, ""),"")</f>
      </c>
      <c r="E132" s="9">
        <f>IF(VoxelMeshDefinition!AE328="✅", IF(VoxelMeshDefinition!V328&lt;&gt;"", VoxelMeshDefinition!V328, ""),"")</f>
      </c>
      <c r="F132">
        <f>IF(VoxelMeshDefinition!AE328="✅", IF(VoxelMeshDefinition!W328&lt;&gt;"", VoxelMeshDefinition!W328, ""),"")</f>
      </c>
      <c r="G132">
        <f>IF(VoxelMeshDefinition!AE328="✅", IF(VoxelMeshDefinition!X328&lt;&gt;"", VoxelMeshDefinition!X328, ""),"")</f>
      </c>
      <c r="H132">
        <f>IF(VoxelMeshDefinition!AE328="✅", IF(VoxelMeshDefinition!Y328&lt;&gt;"", VoxelMeshDefinition!Y328, ""),"")</f>
      </c>
      <c r="I132">
        <f>IF(VoxelMeshDefinition!AE328="✅", IF(VoxelMeshDefinition!Z328&lt;&gt;"", VoxelMeshDefinition!Z328, ""),"")</f>
      </c>
      <c r="J132">
        <f>IF(VoxelMeshDefinition!AE328="✅", IF(VoxelMeshDefinition!AA328&lt;&gt;"", VoxelMeshDefinition!AA328, ""),"")</f>
      </c>
      <c r="K132" s="1">
        <f>IF(VoxelMeshDefinition!AE328="✅", VLOOKUP(A132,VoxelMeshDefinition!S:AE,10,FALSE),"")</f>
      </c>
    </row>
    <row r="133">
      <c r="A133">
        <f>IF(VoxelMeshDefinition!AE329="✅", IF(#REF!&lt;&gt;"", #REF!, ""),"")</f>
      </c>
      <c r="B133" s="5">
        <f>IF(VoxelMeshDefinition!AE329="✅", "/Script/Engine.StaticMesh'/Game/Item/Mesh/Voxel/" &amp; VoxelMeshDefinition!Q329 &amp; "/" &amp; VoxelMeshDefinition!H329 &amp; "/" &amp; VoxelMeshDefinition!E329 &amp; "." &amp; VoxelMeshDefinition!E329 &amp; "'", "")</f>
      </c>
      <c r="C133">
        <f>IF(VoxelMeshDefinition!AE329="✅", IF(VoxelMeshDefinition!T329&lt;&gt;"", VoxelMeshDefinition!T329, ""), "")</f>
      </c>
      <c r="D133" s="10">
        <f>IF(VoxelMeshDefinition!AE329="✅", IF(VoxelMeshDefinition!U329&lt;&gt;"", VoxelMeshDefinition!U329, ""),"")</f>
      </c>
      <c r="E133" s="9">
        <f>IF(VoxelMeshDefinition!AE329="✅", IF(VoxelMeshDefinition!V329&lt;&gt;"", VoxelMeshDefinition!V329, ""),"")</f>
      </c>
      <c r="F133">
        <f>IF(VoxelMeshDefinition!AE329="✅", IF(VoxelMeshDefinition!W329&lt;&gt;"", VoxelMeshDefinition!W329, ""),"")</f>
      </c>
      <c r="G133">
        <f>IF(VoxelMeshDefinition!AE329="✅", IF(VoxelMeshDefinition!X329&lt;&gt;"", VoxelMeshDefinition!X329, ""),"")</f>
      </c>
      <c r="H133">
        <f>IF(VoxelMeshDefinition!AE329="✅", IF(VoxelMeshDefinition!Y329&lt;&gt;"", VoxelMeshDefinition!Y329, ""),"")</f>
      </c>
      <c r="I133">
        <f>IF(VoxelMeshDefinition!AE329="✅", IF(VoxelMeshDefinition!Z329&lt;&gt;"", VoxelMeshDefinition!Z329, ""),"")</f>
      </c>
      <c r="J133">
        <f>IF(VoxelMeshDefinition!AE329="✅", IF(VoxelMeshDefinition!AA329&lt;&gt;"", VoxelMeshDefinition!AA329, ""),"")</f>
      </c>
      <c r="K133" s="1">
        <f>IF(VoxelMeshDefinition!AE329="✅", VLOOKUP(A133,VoxelMeshDefinition!S:AE,10,FALSE),"")</f>
      </c>
    </row>
    <row r="134">
      <c r="A134">
        <f>IF(VoxelMeshDefinition!AE330="✅", IF(#REF!&lt;&gt;"", #REF!, ""),"")</f>
      </c>
      <c r="B134" s="5">
        <f>IF(VoxelMeshDefinition!AE330="✅", "/Script/Engine.StaticMesh'/Game/Item/Mesh/Voxel/" &amp; VoxelMeshDefinition!Q330 &amp; "/" &amp; VoxelMeshDefinition!H330 &amp; "/" &amp; VoxelMeshDefinition!E330 &amp; "." &amp; VoxelMeshDefinition!E330 &amp; "'", "")</f>
      </c>
      <c r="C134">
        <f>IF(VoxelMeshDefinition!AE330="✅", IF(VoxelMeshDefinition!T330&lt;&gt;"", VoxelMeshDefinition!T330, ""), "")</f>
      </c>
      <c r="D134" s="10">
        <f>IF(VoxelMeshDefinition!AE330="✅", IF(VoxelMeshDefinition!U330&lt;&gt;"", VoxelMeshDefinition!U330, ""),"")</f>
      </c>
      <c r="E134" s="9">
        <f>IF(VoxelMeshDefinition!AE330="✅", IF(VoxelMeshDefinition!V330&lt;&gt;"", VoxelMeshDefinition!V330, ""),"")</f>
      </c>
      <c r="F134">
        <f>IF(VoxelMeshDefinition!AE330="✅", IF(VoxelMeshDefinition!W330&lt;&gt;"", VoxelMeshDefinition!W330, ""),"")</f>
      </c>
      <c r="G134">
        <f>IF(VoxelMeshDefinition!AE330="✅", IF(VoxelMeshDefinition!X330&lt;&gt;"", VoxelMeshDefinition!X330, ""),"")</f>
      </c>
      <c r="H134">
        <f>IF(VoxelMeshDefinition!AE330="✅", IF(VoxelMeshDefinition!Y330&lt;&gt;"", VoxelMeshDefinition!Y330, ""),"")</f>
      </c>
      <c r="I134">
        <f>IF(VoxelMeshDefinition!AE330="✅", IF(VoxelMeshDefinition!Z330&lt;&gt;"", VoxelMeshDefinition!Z330, ""),"")</f>
      </c>
      <c r="J134">
        <f>IF(VoxelMeshDefinition!AE330="✅", IF(VoxelMeshDefinition!AA330&lt;&gt;"", VoxelMeshDefinition!AA330, ""),"")</f>
      </c>
      <c r="K134" s="1">
        <f>IF(VoxelMeshDefinition!AE330="✅", VLOOKUP(A134,VoxelMeshDefinition!S:AE,10,FALSE),"")</f>
      </c>
    </row>
    <row r="135">
      <c r="A135">
        <f>IF(VoxelMeshDefinition!AE331="✅", IF(#REF!&lt;&gt;"", #REF!, ""),"")</f>
      </c>
      <c r="B135" s="5">
        <f>IF(VoxelMeshDefinition!AE331="✅", "/Script/Engine.StaticMesh'/Game/Item/Mesh/Voxel/" &amp; VoxelMeshDefinition!Q331 &amp; "/" &amp; VoxelMeshDefinition!H331 &amp; "/" &amp; VoxelMeshDefinition!E331 &amp; "." &amp; VoxelMeshDefinition!E331 &amp; "'", "")</f>
      </c>
      <c r="C135">
        <f>IF(VoxelMeshDefinition!AE331="✅", IF(VoxelMeshDefinition!T331&lt;&gt;"", VoxelMeshDefinition!T331, ""), "")</f>
      </c>
      <c r="D135" s="10">
        <f>IF(VoxelMeshDefinition!AE331="✅", IF(VoxelMeshDefinition!U331&lt;&gt;"", VoxelMeshDefinition!U331, ""),"")</f>
      </c>
      <c r="E135" s="9">
        <f>IF(VoxelMeshDefinition!AE331="✅", IF(VoxelMeshDefinition!V331&lt;&gt;"", VoxelMeshDefinition!V331, ""),"")</f>
      </c>
      <c r="F135">
        <f>IF(VoxelMeshDefinition!AE331="✅", IF(VoxelMeshDefinition!W331&lt;&gt;"", VoxelMeshDefinition!W331, ""),"")</f>
      </c>
      <c r="G135">
        <f>IF(VoxelMeshDefinition!AE331="✅", IF(VoxelMeshDefinition!X331&lt;&gt;"", VoxelMeshDefinition!X331, ""),"")</f>
      </c>
      <c r="H135">
        <f>IF(VoxelMeshDefinition!AE331="✅", IF(VoxelMeshDefinition!Y331&lt;&gt;"", VoxelMeshDefinition!Y331, ""),"")</f>
      </c>
      <c r="I135">
        <f>IF(VoxelMeshDefinition!AE331="✅", IF(VoxelMeshDefinition!Z331&lt;&gt;"", VoxelMeshDefinition!Z331, ""),"")</f>
      </c>
      <c r="J135">
        <f>IF(VoxelMeshDefinition!AE331="✅", IF(VoxelMeshDefinition!AA331&lt;&gt;"", VoxelMeshDefinition!AA331, ""),"")</f>
      </c>
      <c r="K135" s="1">
        <f>IF(VoxelMeshDefinition!AE331="✅", VLOOKUP(A135,VoxelMeshDefinition!S:AE,10,FALSE),"")</f>
      </c>
    </row>
    <row r="136">
      <c r="A136">
        <f>IF(VoxelMeshDefinition!AE332="✅", IF(#REF!&lt;&gt;"", #REF!, ""),"")</f>
      </c>
      <c r="B136" s="5">
        <f>IF(VoxelMeshDefinition!AE332="✅", "/Script/Engine.StaticMesh'/Game/Item/Mesh/Voxel/" &amp; VoxelMeshDefinition!Q332 &amp; "/" &amp; VoxelMeshDefinition!H332 &amp; "/" &amp; VoxelMeshDefinition!E332 &amp; "." &amp; VoxelMeshDefinition!E332 &amp; "'", "")</f>
      </c>
      <c r="C136">
        <f>IF(VoxelMeshDefinition!AE332="✅", IF(VoxelMeshDefinition!T332&lt;&gt;"", VoxelMeshDefinition!T332, ""), "")</f>
      </c>
      <c r="D136" s="10">
        <f>IF(VoxelMeshDefinition!AE332="✅", IF(VoxelMeshDefinition!U332&lt;&gt;"", VoxelMeshDefinition!U332, ""),"")</f>
      </c>
      <c r="E136" s="9">
        <f>IF(VoxelMeshDefinition!AE332="✅", IF(VoxelMeshDefinition!V332&lt;&gt;"", VoxelMeshDefinition!V332, ""),"")</f>
      </c>
      <c r="F136">
        <f>IF(VoxelMeshDefinition!AE332="✅", IF(VoxelMeshDefinition!W332&lt;&gt;"", VoxelMeshDefinition!W332, ""),"")</f>
      </c>
      <c r="G136">
        <f>IF(VoxelMeshDefinition!AE332="✅", IF(VoxelMeshDefinition!X332&lt;&gt;"", VoxelMeshDefinition!X332, ""),"")</f>
      </c>
      <c r="H136">
        <f>IF(VoxelMeshDefinition!AE332="✅", IF(VoxelMeshDefinition!Y332&lt;&gt;"", VoxelMeshDefinition!Y332, ""),"")</f>
      </c>
      <c r="I136">
        <f>IF(VoxelMeshDefinition!AE332="✅", IF(VoxelMeshDefinition!Z332&lt;&gt;"", VoxelMeshDefinition!Z332, ""),"")</f>
      </c>
      <c r="J136">
        <f>IF(VoxelMeshDefinition!AE332="✅", IF(VoxelMeshDefinition!AA332&lt;&gt;"", VoxelMeshDefinition!AA332, ""),"")</f>
      </c>
      <c r="K136" s="1">
        <f>IF(VoxelMeshDefinition!AE332="✅", VLOOKUP(A136,VoxelMeshDefinition!S:AE,10,FALSE),"")</f>
      </c>
    </row>
    <row r="137">
      <c r="A137">
        <f>IF(VoxelMeshDefinition!AE333="✅", IF(#REF!&lt;&gt;"", #REF!, ""),"")</f>
      </c>
      <c r="B137" s="5">
        <f>IF(VoxelMeshDefinition!AE333="✅", "/Script/Engine.StaticMesh'/Game/Item/Mesh/Voxel/" &amp; VoxelMeshDefinition!Q333 &amp; "/" &amp; VoxelMeshDefinition!H333 &amp; "/" &amp; VoxelMeshDefinition!E333 &amp; "." &amp; VoxelMeshDefinition!E333 &amp; "'", "")</f>
      </c>
      <c r="C137">
        <f>IF(VoxelMeshDefinition!AE333="✅", IF(VoxelMeshDefinition!T333&lt;&gt;"", VoxelMeshDefinition!T333, ""), "")</f>
      </c>
      <c r="D137" s="10">
        <f>IF(VoxelMeshDefinition!AE333="✅", IF(VoxelMeshDefinition!U333&lt;&gt;"", VoxelMeshDefinition!U333, ""),"")</f>
      </c>
      <c r="E137" s="9">
        <f>IF(VoxelMeshDefinition!AE333="✅", IF(VoxelMeshDefinition!V333&lt;&gt;"", VoxelMeshDefinition!V333, ""),"")</f>
      </c>
      <c r="F137">
        <f>IF(VoxelMeshDefinition!AE333="✅", IF(VoxelMeshDefinition!W333&lt;&gt;"", VoxelMeshDefinition!W333, ""),"")</f>
      </c>
      <c r="G137">
        <f>IF(VoxelMeshDefinition!AE333="✅", IF(VoxelMeshDefinition!X333&lt;&gt;"", VoxelMeshDefinition!X333, ""),"")</f>
      </c>
      <c r="H137">
        <f>IF(VoxelMeshDefinition!AE333="✅", IF(VoxelMeshDefinition!Y333&lt;&gt;"", VoxelMeshDefinition!Y333, ""),"")</f>
      </c>
      <c r="I137">
        <f>IF(VoxelMeshDefinition!AE333="✅", IF(VoxelMeshDefinition!Z333&lt;&gt;"", VoxelMeshDefinition!Z333, ""),"")</f>
      </c>
      <c r="J137">
        <f>IF(VoxelMeshDefinition!AE333="✅", IF(VoxelMeshDefinition!AA333&lt;&gt;"", VoxelMeshDefinition!AA333, ""),"")</f>
      </c>
      <c r="K137" s="1">
        <f>IF(VoxelMeshDefinition!AE333="✅", VLOOKUP(A137,VoxelMeshDefinition!S:AE,10,FALSE),"")</f>
      </c>
    </row>
    <row r="138">
      <c r="A138">
        <f>IF(VoxelMeshDefinition!AE342="✅", IF(#REF!&lt;&gt;"", #REF!, ""),"")</f>
      </c>
      <c r="B138" s="5">
        <f>IF(VoxelMeshDefinition!AE342="✅", "/Script/Engine.StaticMesh'/Game/Item/Mesh/Voxel/" &amp; VoxelMeshDefinition!Q342 &amp; "/" &amp; VoxelMeshDefinition!H342 &amp; "/" &amp; VoxelMeshDefinition!E342 &amp; "." &amp; VoxelMeshDefinition!E342 &amp; "'", "")</f>
      </c>
      <c r="C138">
        <f>IF(VoxelMeshDefinition!AE342="✅", IF(VoxelMeshDefinition!T342&lt;&gt;"", VoxelMeshDefinition!T342, ""), "")</f>
      </c>
      <c r="D138" s="10">
        <f>IF(VoxelMeshDefinition!AE342="✅", IF(VoxelMeshDefinition!U342&lt;&gt;"", VoxelMeshDefinition!U342, ""),"")</f>
      </c>
      <c r="E138" s="9">
        <f>IF(VoxelMeshDefinition!AE342="✅", IF(VoxelMeshDefinition!V342&lt;&gt;"", VoxelMeshDefinition!V342, ""),"")</f>
      </c>
      <c r="F138">
        <f>IF(VoxelMeshDefinition!AE342="✅", IF(VoxelMeshDefinition!W342&lt;&gt;"", VoxelMeshDefinition!W342, ""),"")</f>
      </c>
      <c r="G138">
        <f>IF(VoxelMeshDefinition!AE342="✅", IF(VoxelMeshDefinition!X342&lt;&gt;"", VoxelMeshDefinition!X342, ""),"")</f>
      </c>
      <c r="H138">
        <f>IF(VoxelMeshDefinition!AE342="✅", IF(VoxelMeshDefinition!Y342&lt;&gt;"", VoxelMeshDefinition!Y342, ""),"")</f>
      </c>
      <c r="I138">
        <f>IF(VoxelMeshDefinition!AE342="✅", IF(VoxelMeshDefinition!Z342&lt;&gt;"", VoxelMeshDefinition!Z342, ""),"")</f>
      </c>
      <c r="J138">
        <f>IF(VoxelMeshDefinition!AE342="✅", IF(VoxelMeshDefinition!AA342&lt;&gt;"", VoxelMeshDefinition!AA342, ""),"")</f>
      </c>
      <c r="K138" s="1">
        <f>IF(VoxelMeshDefinition!AE342="✅", VLOOKUP(A138,VoxelMeshDefinition!S:AE,10,FALSE),"")</f>
      </c>
    </row>
    <row r="139">
      <c r="A139">
        <f>IF(VoxelMeshDefinition!AE343="✅", IF(#REF!&lt;&gt;"", #REF!, ""),"")</f>
      </c>
      <c r="B139" s="5">
        <f>IF(VoxelMeshDefinition!AE343="✅", "/Script/Engine.StaticMesh'/Game/Item/Mesh/Voxel/" &amp; VoxelMeshDefinition!Q343 &amp; "/" &amp; VoxelMeshDefinition!H343 &amp; "/" &amp; VoxelMeshDefinition!E343 &amp; "." &amp; VoxelMeshDefinition!E343 &amp; "'", "")</f>
      </c>
      <c r="C139">
        <f>IF(VoxelMeshDefinition!AE343="✅", IF(VoxelMeshDefinition!T343&lt;&gt;"", VoxelMeshDefinition!T343, ""), "")</f>
      </c>
      <c r="D139" s="10">
        <f>IF(VoxelMeshDefinition!AE343="✅", IF(VoxelMeshDefinition!U343&lt;&gt;"", VoxelMeshDefinition!U343, ""),"")</f>
      </c>
      <c r="E139" s="9">
        <f>IF(VoxelMeshDefinition!AE343="✅", IF(VoxelMeshDefinition!V343&lt;&gt;"", VoxelMeshDefinition!V343, ""),"")</f>
      </c>
      <c r="F139">
        <f>IF(VoxelMeshDefinition!AE343="✅", IF(VoxelMeshDefinition!W343&lt;&gt;"", VoxelMeshDefinition!W343, ""),"")</f>
      </c>
      <c r="G139">
        <f>IF(VoxelMeshDefinition!AE343="✅", IF(VoxelMeshDefinition!X343&lt;&gt;"", VoxelMeshDefinition!X343, ""),"")</f>
      </c>
      <c r="H139">
        <f>IF(VoxelMeshDefinition!AE343="✅", IF(VoxelMeshDefinition!Y343&lt;&gt;"", VoxelMeshDefinition!Y343, ""),"")</f>
      </c>
      <c r="I139">
        <f>IF(VoxelMeshDefinition!AE343="✅", IF(VoxelMeshDefinition!Z343&lt;&gt;"", VoxelMeshDefinition!Z343, ""),"")</f>
      </c>
      <c r="J139">
        <f>IF(VoxelMeshDefinition!AE343="✅", IF(VoxelMeshDefinition!AA343&lt;&gt;"", VoxelMeshDefinition!AA343, ""),"")</f>
      </c>
      <c r="K139" s="1">
        <f>IF(VoxelMeshDefinition!AE343="✅", VLOOKUP(A139,VoxelMeshDefinition!S:AE,10,FALSE),"")</f>
      </c>
    </row>
    <row r="140">
      <c r="A140">
        <f>IF(VoxelMeshDefinition!AE334="✅", IF(#REF!&lt;&gt;"", #REF!, ""),"")</f>
      </c>
      <c r="B140" s="5">
        <f>IF(VoxelMeshDefinition!AE334="✅", "/Script/Engine.StaticMesh'/Game/Item/Mesh/Voxel/" &amp; VoxelMeshDefinition!Q334 &amp; "/" &amp; VoxelMeshDefinition!H334 &amp; "/" &amp; VoxelMeshDefinition!E334 &amp; "." &amp; VoxelMeshDefinition!E334 &amp; "'", "")</f>
      </c>
      <c r="C140">
        <f>IF(VoxelMeshDefinition!AE334="✅", IF(VoxelMeshDefinition!T334&lt;&gt;"", VoxelMeshDefinition!T334, ""), "")</f>
      </c>
      <c r="D140" s="10">
        <f>IF(VoxelMeshDefinition!AE334="✅", IF(VoxelMeshDefinition!U334&lt;&gt;"", VoxelMeshDefinition!U334, ""),"")</f>
      </c>
      <c r="E140" s="9">
        <f>IF(VoxelMeshDefinition!AE334="✅", IF(VoxelMeshDefinition!V334&lt;&gt;"", VoxelMeshDefinition!V334, ""),"")</f>
      </c>
      <c r="F140">
        <f>IF(VoxelMeshDefinition!AE334="✅", IF(VoxelMeshDefinition!W334&lt;&gt;"", VoxelMeshDefinition!W334, ""),"")</f>
      </c>
      <c r="G140">
        <f>IF(VoxelMeshDefinition!AE334="✅", IF(VoxelMeshDefinition!X334&lt;&gt;"", VoxelMeshDefinition!X334, ""),"")</f>
      </c>
      <c r="H140">
        <f>IF(VoxelMeshDefinition!AE334="✅", IF(VoxelMeshDefinition!Y334&lt;&gt;"", VoxelMeshDefinition!Y334, ""),"")</f>
      </c>
      <c r="I140">
        <f>IF(VoxelMeshDefinition!AE334="✅", IF(VoxelMeshDefinition!Z334&lt;&gt;"", VoxelMeshDefinition!Z334, ""),"")</f>
      </c>
      <c r="J140">
        <f>IF(VoxelMeshDefinition!AE334="✅", IF(VoxelMeshDefinition!AA334&lt;&gt;"", VoxelMeshDefinition!AA334, ""),"")</f>
      </c>
      <c r="K140" s="1">
        <f>IF(VoxelMeshDefinition!AE334="✅", VLOOKUP(A140,VoxelMeshDefinition!S:AE,10,FALSE),"")</f>
      </c>
    </row>
    <row r="141">
      <c r="A141">
        <f>IF(VoxelMeshDefinition!AE335="✅", IF(#REF!&lt;&gt;"", #REF!, ""),"")</f>
      </c>
      <c r="B141" s="5">
        <f>IF(VoxelMeshDefinition!AE335="✅", "/Script/Engine.StaticMesh'/Game/Item/Mesh/Voxel/" &amp; VoxelMeshDefinition!Q335 &amp; "/" &amp; VoxelMeshDefinition!H335 &amp; "/" &amp; VoxelMeshDefinition!E335 &amp; "." &amp; VoxelMeshDefinition!E335 &amp; "'", "")</f>
      </c>
      <c r="C141">
        <f>IF(VoxelMeshDefinition!AE335="✅", IF(VoxelMeshDefinition!T335&lt;&gt;"", VoxelMeshDefinition!T335, ""), "")</f>
      </c>
      <c r="D141" s="10">
        <f>IF(VoxelMeshDefinition!AE335="✅", IF(VoxelMeshDefinition!U335&lt;&gt;"", VoxelMeshDefinition!U335, ""),"")</f>
      </c>
      <c r="E141" s="9">
        <f>IF(VoxelMeshDefinition!AE335="✅", IF(VoxelMeshDefinition!V335&lt;&gt;"", VoxelMeshDefinition!V335, ""),"")</f>
      </c>
      <c r="F141">
        <f>IF(VoxelMeshDefinition!AE335="✅", IF(VoxelMeshDefinition!W335&lt;&gt;"", VoxelMeshDefinition!W335, ""),"")</f>
      </c>
      <c r="G141">
        <f>IF(VoxelMeshDefinition!AE335="✅", IF(VoxelMeshDefinition!X335&lt;&gt;"", VoxelMeshDefinition!X335, ""),"")</f>
      </c>
      <c r="H141">
        <f>IF(VoxelMeshDefinition!AE335="✅", IF(VoxelMeshDefinition!Y335&lt;&gt;"", VoxelMeshDefinition!Y335, ""),"")</f>
      </c>
      <c r="I141">
        <f>IF(VoxelMeshDefinition!AE335="✅", IF(VoxelMeshDefinition!Z335&lt;&gt;"", VoxelMeshDefinition!Z335, ""),"")</f>
      </c>
      <c r="J141">
        <f>IF(VoxelMeshDefinition!AE335="✅", IF(VoxelMeshDefinition!AA335&lt;&gt;"", VoxelMeshDefinition!AA335, ""),"")</f>
      </c>
      <c r="K141" s="1">
        <f>IF(VoxelMeshDefinition!AE335="✅", VLOOKUP(A141,VoxelMeshDefinition!S:AE,10,FALSE),"")</f>
      </c>
    </row>
    <row r="142">
      <c r="A142">
        <f>IF(VoxelMeshDefinition!AE336="✅", IF(#REF!&lt;&gt;"", #REF!, ""),"")</f>
      </c>
      <c r="B142" s="5">
        <f>IF(VoxelMeshDefinition!AE336="✅", "/Script/Engine.StaticMesh'/Game/Item/Mesh/Voxel/" &amp; VoxelMeshDefinition!Q336 &amp; "/" &amp; VoxelMeshDefinition!H336 &amp; "/" &amp; VoxelMeshDefinition!E336 &amp; "." &amp; VoxelMeshDefinition!E336 &amp; "'", "")</f>
      </c>
      <c r="C142">
        <f>IF(VoxelMeshDefinition!AE336="✅", IF(VoxelMeshDefinition!T336&lt;&gt;"", VoxelMeshDefinition!T336, ""), "")</f>
      </c>
      <c r="D142" s="10">
        <f>IF(VoxelMeshDefinition!AE336="✅", IF(VoxelMeshDefinition!U336&lt;&gt;"", VoxelMeshDefinition!U336, ""),"")</f>
      </c>
      <c r="E142" s="9">
        <f>IF(VoxelMeshDefinition!AE336="✅", IF(VoxelMeshDefinition!V336&lt;&gt;"", VoxelMeshDefinition!V336, ""),"")</f>
      </c>
      <c r="F142">
        <f>IF(VoxelMeshDefinition!AE336="✅", IF(VoxelMeshDefinition!W336&lt;&gt;"", VoxelMeshDefinition!W336, ""),"")</f>
      </c>
      <c r="G142">
        <f>IF(VoxelMeshDefinition!AE336="✅", IF(VoxelMeshDefinition!X336&lt;&gt;"", VoxelMeshDefinition!X336, ""),"")</f>
      </c>
      <c r="H142">
        <f>IF(VoxelMeshDefinition!AE336="✅", IF(VoxelMeshDefinition!Y336&lt;&gt;"", VoxelMeshDefinition!Y336, ""),"")</f>
      </c>
      <c r="I142">
        <f>IF(VoxelMeshDefinition!AE336="✅", IF(VoxelMeshDefinition!Z336&lt;&gt;"", VoxelMeshDefinition!Z336, ""),"")</f>
      </c>
      <c r="J142">
        <f>IF(VoxelMeshDefinition!AE336="✅", IF(VoxelMeshDefinition!AA336&lt;&gt;"", VoxelMeshDefinition!AA336, ""),"")</f>
      </c>
      <c r="K142" s="1">
        <f>IF(VoxelMeshDefinition!AE336="✅", VLOOKUP(A142,VoxelMeshDefinition!S:AE,10,FALSE),"")</f>
      </c>
    </row>
    <row r="143">
      <c r="A143">
        <f>IF(VoxelMeshDefinition!AE337="✅", IF(#REF!&lt;&gt;"", #REF!, ""),"")</f>
      </c>
      <c r="B143" s="5">
        <f>IF(VoxelMeshDefinition!AE337="✅", "/Script/Engine.StaticMesh'/Game/Item/Mesh/Voxel/" &amp; VoxelMeshDefinition!Q337 &amp; "/" &amp; VoxelMeshDefinition!H337 &amp; "/" &amp; VoxelMeshDefinition!E337 &amp; "." &amp; VoxelMeshDefinition!E337 &amp; "'", "")</f>
      </c>
      <c r="C143">
        <f>IF(VoxelMeshDefinition!AE337="✅", IF(VoxelMeshDefinition!T337&lt;&gt;"", VoxelMeshDefinition!T337, ""), "")</f>
      </c>
      <c r="D143" s="10">
        <f>IF(VoxelMeshDefinition!AE337="✅", IF(VoxelMeshDefinition!U337&lt;&gt;"", VoxelMeshDefinition!U337, ""),"")</f>
      </c>
      <c r="E143" s="9">
        <f>IF(VoxelMeshDefinition!AE337="✅", IF(VoxelMeshDefinition!V337&lt;&gt;"", VoxelMeshDefinition!V337, ""),"")</f>
      </c>
      <c r="F143">
        <f>IF(VoxelMeshDefinition!AE337="✅", IF(VoxelMeshDefinition!W337&lt;&gt;"", VoxelMeshDefinition!W337, ""),"")</f>
      </c>
      <c r="G143">
        <f>IF(VoxelMeshDefinition!AE337="✅", IF(VoxelMeshDefinition!X337&lt;&gt;"", VoxelMeshDefinition!X337, ""),"")</f>
      </c>
      <c r="H143">
        <f>IF(VoxelMeshDefinition!AE337="✅", IF(VoxelMeshDefinition!Y337&lt;&gt;"", VoxelMeshDefinition!Y337, ""),"")</f>
      </c>
      <c r="I143">
        <f>IF(VoxelMeshDefinition!AE337="✅", IF(VoxelMeshDefinition!Z337&lt;&gt;"", VoxelMeshDefinition!Z337, ""),"")</f>
      </c>
      <c r="J143">
        <f>IF(VoxelMeshDefinition!AE337="✅", IF(VoxelMeshDefinition!AA337&lt;&gt;"", VoxelMeshDefinition!AA337, ""),"")</f>
      </c>
      <c r="K143" s="1">
        <f>IF(VoxelMeshDefinition!AE337="✅", VLOOKUP(A143,VoxelMeshDefinition!S:AE,10,FALSE),"")</f>
      </c>
    </row>
    <row r="144">
      <c r="A144">
        <f>IF(VoxelMeshDefinition!AE344="✅", IF(#REF!&lt;&gt;"", #REF!, ""),"")</f>
      </c>
      <c r="B144" s="5">
        <f>IF(VoxelMeshDefinition!AE344="✅", "/Script/Engine.StaticMesh'/Game/Item/Mesh/Voxel/" &amp; VoxelMeshDefinition!Q344 &amp; "/" &amp; VoxelMeshDefinition!H344 &amp; "/" &amp; VoxelMeshDefinition!E344 &amp; "." &amp; VoxelMeshDefinition!E344 &amp; "'", "")</f>
      </c>
      <c r="C144">
        <f>IF(VoxelMeshDefinition!AE344="✅", IF(VoxelMeshDefinition!T344&lt;&gt;"", VoxelMeshDefinition!T344, ""), "")</f>
      </c>
      <c r="D144" s="10">
        <f>IF(VoxelMeshDefinition!AE344="✅", IF(VoxelMeshDefinition!U344&lt;&gt;"", VoxelMeshDefinition!U344, ""),"")</f>
      </c>
      <c r="E144" s="9">
        <f>IF(VoxelMeshDefinition!AE344="✅", IF(VoxelMeshDefinition!V344&lt;&gt;"", VoxelMeshDefinition!V344, ""),"")</f>
      </c>
      <c r="F144">
        <f>IF(VoxelMeshDefinition!AE344="✅", IF(VoxelMeshDefinition!W344&lt;&gt;"", VoxelMeshDefinition!W344, ""),"")</f>
      </c>
      <c r="G144">
        <f>IF(VoxelMeshDefinition!AE344="✅", IF(VoxelMeshDefinition!X344&lt;&gt;"", VoxelMeshDefinition!X344, ""),"")</f>
      </c>
      <c r="H144">
        <f>IF(VoxelMeshDefinition!AE344="✅", IF(VoxelMeshDefinition!Y344&lt;&gt;"", VoxelMeshDefinition!Y344, ""),"")</f>
      </c>
      <c r="I144">
        <f>IF(VoxelMeshDefinition!AE344="✅", IF(VoxelMeshDefinition!Z344&lt;&gt;"", VoxelMeshDefinition!Z344, ""),"")</f>
      </c>
      <c r="J144">
        <f>IF(VoxelMeshDefinition!AE344="✅", IF(VoxelMeshDefinition!AA344&lt;&gt;"", VoxelMeshDefinition!AA344, ""),"")</f>
      </c>
      <c r="K144" s="1">
        <f>IF(VoxelMeshDefinition!AE344="✅", VLOOKUP(A144,VoxelMeshDefinition!S:AE,10,FALSE),"")</f>
      </c>
    </row>
    <row r="145">
      <c r="A145">
        <f>IF(VoxelMeshDefinition!AE338="✅", IF(#REF!&lt;&gt;"", #REF!, ""),"")</f>
      </c>
      <c r="B145" s="5">
        <f>IF(VoxelMeshDefinition!AE338="✅", "/Script/Engine.StaticMesh'/Game/Item/Mesh/Voxel/" &amp; VoxelMeshDefinition!Q338 &amp; "/" &amp; VoxelMeshDefinition!H338 &amp; "/" &amp; VoxelMeshDefinition!E338 &amp; "." &amp; VoxelMeshDefinition!E338 &amp; "'", "")</f>
      </c>
      <c r="C145">
        <f>IF(VoxelMeshDefinition!AE338="✅", IF(VoxelMeshDefinition!T338&lt;&gt;"", VoxelMeshDefinition!T338, ""), "")</f>
      </c>
      <c r="D145" s="10">
        <f>IF(VoxelMeshDefinition!AE338="✅", IF(VoxelMeshDefinition!U338&lt;&gt;"", VoxelMeshDefinition!U338, ""),"")</f>
      </c>
      <c r="E145" s="9">
        <f>IF(VoxelMeshDefinition!AE338="✅", IF(VoxelMeshDefinition!V338&lt;&gt;"", VoxelMeshDefinition!V338, ""),"")</f>
      </c>
      <c r="F145">
        <f>IF(VoxelMeshDefinition!AE338="✅", IF(VoxelMeshDefinition!W338&lt;&gt;"", VoxelMeshDefinition!W338, ""),"")</f>
      </c>
      <c r="G145">
        <f>IF(VoxelMeshDefinition!AE338="✅", IF(VoxelMeshDefinition!X338&lt;&gt;"", VoxelMeshDefinition!X338, ""),"")</f>
      </c>
      <c r="H145">
        <f>IF(VoxelMeshDefinition!AE338="✅", IF(VoxelMeshDefinition!Y338&lt;&gt;"", VoxelMeshDefinition!Y338, ""),"")</f>
      </c>
      <c r="I145">
        <f>IF(VoxelMeshDefinition!AE338="✅", IF(VoxelMeshDefinition!Z338&lt;&gt;"", VoxelMeshDefinition!Z338, ""),"")</f>
      </c>
      <c r="J145">
        <f>IF(VoxelMeshDefinition!AE338="✅", IF(VoxelMeshDefinition!AA338&lt;&gt;"", VoxelMeshDefinition!AA338, ""),"")</f>
      </c>
      <c r="K145" s="1">
        <f>IF(VoxelMeshDefinition!AE338="✅", VLOOKUP(A145,VoxelMeshDefinition!S:AE,10,FALSE),"")</f>
      </c>
    </row>
    <row r="146">
      <c r="A146">
        <f>IF(VoxelMeshDefinition!AE347="✅", IF(#REF!&lt;&gt;"", #REF!, ""),"")</f>
      </c>
      <c r="B146" s="5">
        <f>IF(VoxelMeshDefinition!AE347="✅", "/Script/Engine.StaticMesh'/Game/Item/Mesh/Voxel/" &amp; VoxelMeshDefinition!Q347 &amp; "/" &amp; VoxelMeshDefinition!H347 &amp; "/" &amp; VoxelMeshDefinition!E347 &amp; "." &amp; VoxelMeshDefinition!E347 &amp; "'", "")</f>
      </c>
      <c r="C146">
        <f>IF(VoxelMeshDefinition!AE347="✅", IF(VoxelMeshDefinition!T347&lt;&gt;"", VoxelMeshDefinition!T347, ""), "")</f>
      </c>
      <c r="D146" s="10">
        <f>IF(VoxelMeshDefinition!AE347="✅", IF(VoxelMeshDefinition!U347&lt;&gt;"", VoxelMeshDefinition!U347, ""),"")</f>
      </c>
      <c r="E146" s="9">
        <f>IF(VoxelMeshDefinition!AE347="✅", IF(VoxelMeshDefinition!V347&lt;&gt;"", VoxelMeshDefinition!V347, ""),"")</f>
      </c>
      <c r="F146">
        <f>IF(VoxelMeshDefinition!AE347="✅", IF(VoxelMeshDefinition!W347&lt;&gt;"", VoxelMeshDefinition!W347, ""),"")</f>
      </c>
      <c r="G146">
        <f>IF(VoxelMeshDefinition!AE347="✅", IF(VoxelMeshDefinition!X347&lt;&gt;"", VoxelMeshDefinition!X347, ""),"")</f>
      </c>
      <c r="H146">
        <f>IF(VoxelMeshDefinition!AE347="✅", IF(VoxelMeshDefinition!Y347&lt;&gt;"", VoxelMeshDefinition!Y347, ""),"")</f>
      </c>
      <c r="I146">
        <f>IF(VoxelMeshDefinition!AE347="✅", IF(VoxelMeshDefinition!Z347&lt;&gt;"", VoxelMeshDefinition!Z347, ""),"")</f>
      </c>
      <c r="J146">
        <f>IF(VoxelMeshDefinition!AE347="✅", IF(VoxelMeshDefinition!AA347&lt;&gt;"", VoxelMeshDefinition!AA347, ""),"")</f>
      </c>
      <c r="K146" s="1">
        <f>IF(VoxelMeshDefinition!AE347="✅", VLOOKUP(A146,VoxelMeshDefinition!S:AE,10,FALSE),"")</f>
      </c>
    </row>
    <row r="147">
      <c r="A147">
        <f>IF(VoxelMeshDefinition!AE348="✅", IF(#REF!&lt;&gt;"", #REF!, ""),"")</f>
      </c>
      <c r="B147" s="5">
        <f>IF(VoxelMeshDefinition!AE348="✅", "/Script/Engine.StaticMesh'/Game/Item/Mesh/Voxel/" &amp; VoxelMeshDefinition!Q348 &amp; "/" &amp; VoxelMeshDefinition!H348 &amp; "/" &amp; VoxelMeshDefinition!E348 &amp; "." &amp; VoxelMeshDefinition!E348 &amp; "'", "")</f>
      </c>
      <c r="C147">
        <f>IF(VoxelMeshDefinition!AE348="✅", IF(VoxelMeshDefinition!T348&lt;&gt;"", VoxelMeshDefinition!T348, ""), "")</f>
      </c>
      <c r="D147" s="10">
        <f>IF(VoxelMeshDefinition!AE348="✅", IF(VoxelMeshDefinition!U348&lt;&gt;"", VoxelMeshDefinition!U348, ""),"")</f>
      </c>
      <c r="E147" s="9">
        <f>IF(VoxelMeshDefinition!AE348="✅", IF(VoxelMeshDefinition!V348&lt;&gt;"", VoxelMeshDefinition!V348, ""),"")</f>
      </c>
      <c r="F147">
        <f>IF(VoxelMeshDefinition!AE348="✅", IF(VoxelMeshDefinition!W348&lt;&gt;"", VoxelMeshDefinition!W348, ""),"")</f>
      </c>
      <c r="G147">
        <f>IF(VoxelMeshDefinition!AE348="✅", IF(VoxelMeshDefinition!X348&lt;&gt;"", VoxelMeshDefinition!X348, ""),"")</f>
      </c>
      <c r="H147">
        <f>IF(VoxelMeshDefinition!AE348="✅", IF(VoxelMeshDefinition!Y348&lt;&gt;"", VoxelMeshDefinition!Y348, ""),"")</f>
      </c>
      <c r="I147">
        <f>IF(VoxelMeshDefinition!AE348="✅", IF(VoxelMeshDefinition!Z348&lt;&gt;"", VoxelMeshDefinition!Z348, ""),"")</f>
      </c>
      <c r="J147">
        <f>IF(VoxelMeshDefinition!AE348="✅", IF(VoxelMeshDefinition!AA348&lt;&gt;"", VoxelMeshDefinition!AA348, ""),"")</f>
      </c>
      <c r="K147" s="1">
        <f>IF(VoxelMeshDefinition!AE348="✅", VLOOKUP(A147,VoxelMeshDefinition!S:AE,10,FALSE),"")</f>
      </c>
    </row>
    <row r="148">
      <c r="A148">
        <f>IF(VoxelMeshDefinition!AE349="✅", IF(#REF!&lt;&gt;"", #REF!, ""),"")</f>
      </c>
      <c r="B148" s="5">
        <f>IF(VoxelMeshDefinition!AE349="✅", "/Script/Engine.StaticMesh'/Game/Item/Mesh/Voxel/" &amp; VoxelMeshDefinition!Q349 &amp; "/" &amp; VoxelMeshDefinition!H349 &amp; "/" &amp; VoxelMeshDefinition!E349 &amp; "." &amp; VoxelMeshDefinition!E349 &amp; "'", "")</f>
      </c>
      <c r="C148">
        <f>IF(VoxelMeshDefinition!AE349="✅", IF(VoxelMeshDefinition!T349&lt;&gt;"", VoxelMeshDefinition!T349, ""), "")</f>
      </c>
      <c r="D148" s="10">
        <f>IF(VoxelMeshDefinition!AE349="✅", IF(VoxelMeshDefinition!U349&lt;&gt;"", VoxelMeshDefinition!U349, ""),"")</f>
      </c>
      <c r="E148" s="9">
        <f>IF(VoxelMeshDefinition!AE349="✅", IF(VoxelMeshDefinition!V349&lt;&gt;"", VoxelMeshDefinition!V349, ""),"")</f>
      </c>
      <c r="F148">
        <f>IF(VoxelMeshDefinition!AE349="✅", IF(VoxelMeshDefinition!W349&lt;&gt;"", VoxelMeshDefinition!W349, ""),"")</f>
      </c>
      <c r="G148">
        <f>IF(VoxelMeshDefinition!AE349="✅", IF(VoxelMeshDefinition!X349&lt;&gt;"", VoxelMeshDefinition!X349, ""),"")</f>
      </c>
      <c r="H148">
        <f>IF(VoxelMeshDefinition!AE349="✅", IF(VoxelMeshDefinition!Y349&lt;&gt;"", VoxelMeshDefinition!Y349, ""),"")</f>
      </c>
      <c r="I148">
        <f>IF(VoxelMeshDefinition!AE349="✅", IF(VoxelMeshDefinition!Z349&lt;&gt;"", VoxelMeshDefinition!Z349, ""),"")</f>
      </c>
      <c r="J148">
        <f>IF(VoxelMeshDefinition!AE349="✅", IF(VoxelMeshDefinition!AA349&lt;&gt;"", VoxelMeshDefinition!AA349, ""),"")</f>
      </c>
      <c r="K148" s="1">
        <f>IF(VoxelMeshDefinition!AE349="✅", VLOOKUP(A148,VoxelMeshDefinition!S:AE,10,FALSE),"")</f>
      </c>
    </row>
    <row r="149">
      <c r="A149">
        <f>IF(VoxelMeshDefinition!AE350="✅", IF(#REF!&lt;&gt;"", #REF!, ""),"")</f>
      </c>
      <c r="B149" s="5">
        <f>IF(VoxelMeshDefinition!AE350="✅", "/Script/Engine.StaticMesh'/Game/Item/Mesh/Voxel/" &amp; VoxelMeshDefinition!Q350 &amp; "/" &amp; VoxelMeshDefinition!H350 &amp; "/" &amp; VoxelMeshDefinition!E350 &amp; "." &amp; VoxelMeshDefinition!E350 &amp; "'", "")</f>
      </c>
      <c r="C149">
        <f>IF(VoxelMeshDefinition!AE350="✅", IF(VoxelMeshDefinition!T350&lt;&gt;"", VoxelMeshDefinition!T350, ""), "")</f>
      </c>
      <c r="D149" s="10">
        <f>IF(VoxelMeshDefinition!AE350="✅", IF(VoxelMeshDefinition!U350&lt;&gt;"", VoxelMeshDefinition!U350, ""),"")</f>
      </c>
      <c r="E149" s="9">
        <f>IF(VoxelMeshDefinition!AE350="✅", IF(VoxelMeshDefinition!V350&lt;&gt;"", VoxelMeshDefinition!V350, ""),"")</f>
      </c>
      <c r="F149">
        <f>IF(VoxelMeshDefinition!AE350="✅", IF(VoxelMeshDefinition!W350&lt;&gt;"", VoxelMeshDefinition!W350, ""),"")</f>
      </c>
      <c r="G149">
        <f>IF(VoxelMeshDefinition!AE350="✅", IF(VoxelMeshDefinition!X350&lt;&gt;"", VoxelMeshDefinition!X350, ""),"")</f>
      </c>
      <c r="H149">
        <f>IF(VoxelMeshDefinition!AE350="✅", IF(VoxelMeshDefinition!Y350&lt;&gt;"", VoxelMeshDefinition!Y350, ""),"")</f>
      </c>
      <c r="I149">
        <f>IF(VoxelMeshDefinition!AE350="✅", IF(VoxelMeshDefinition!Z350&lt;&gt;"", VoxelMeshDefinition!Z350, ""),"")</f>
      </c>
      <c r="J149">
        <f>IF(VoxelMeshDefinition!AE350="✅", IF(VoxelMeshDefinition!AA350&lt;&gt;"", VoxelMeshDefinition!AA350, ""),"")</f>
      </c>
      <c r="K149" s="1">
        <f>IF(VoxelMeshDefinition!AE350="✅", VLOOKUP(A149,VoxelMeshDefinition!S:AE,10,FALSE),"")</f>
      </c>
    </row>
    <row r="150">
      <c r="A150">
        <f>IF(VoxelMeshDefinition!AE351="✅", IF(#REF!&lt;&gt;"", #REF!, ""),"")</f>
      </c>
      <c r="B150" s="5">
        <f>IF(VoxelMeshDefinition!AE351="✅", "/Script/Engine.StaticMesh'/Game/Item/Mesh/Voxel/" &amp; VoxelMeshDefinition!Q351 &amp; "/" &amp; VoxelMeshDefinition!H351 &amp; "/" &amp; VoxelMeshDefinition!E351 &amp; "." &amp; VoxelMeshDefinition!E351 &amp; "'", "")</f>
      </c>
      <c r="C150">
        <f>IF(VoxelMeshDefinition!AE351="✅", IF(VoxelMeshDefinition!T351&lt;&gt;"", VoxelMeshDefinition!T351, ""), "")</f>
      </c>
      <c r="D150" s="10">
        <f>IF(VoxelMeshDefinition!AE351="✅", IF(VoxelMeshDefinition!U351&lt;&gt;"", VoxelMeshDefinition!U351, ""),"")</f>
      </c>
      <c r="E150" s="9">
        <f>IF(VoxelMeshDefinition!AE351="✅", IF(VoxelMeshDefinition!V351&lt;&gt;"", VoxelMeshDefinition!V351, ""),"")</f>
      </c>
      <c r="F150">
        <f>IF(VoxelMeshDefinition!AE351="✅", IF(VoxelMeshDefinition!W351&lt;&gt;"", VoxelMeshDefinition!W351, ""),"")</f>
      </c>
      <c r="G150">
        <f>IF(VoxelMeshDefinition!AE351="✅", IF(VoxelMeshDefinition!X351&lt;&gt;"", VoxelMeshDefinition!X351, ""),"")</f>
      </c>
      <c r="H150">
        <f>IF(VoxelMeshDefinition!AE351="✅", IF(VoxelMeshDefinition!Y351&lt;&gt;"", VoxelMeshDefinition!Y351, ""),"")</f>
      </c>
      <c r="I150">
        <f>IF(VoxelMeshDefinition!AE351="✅", IF(VoxelMeshDefinition!Z351&lt;&gt;"", VoxelMeshDefinition!Z351, ""),"")</f>
      </c>
      <c r="J150">
        <f>IF(VoxelMeshDefinition!AE351="✅", IF(VoxelMeshDefinition!AA351&lt;&gt;"", VoxelMeshDefinition!AA351, ""),"")</f>
      </c>
      <c r="K150" s="1">
        <f>IF(VoxelMeshDefinition!AE351="✅", VLOOKUP(A150,VoxelMeshDefinition!S:AE,10,FALSE),"")</f>
      </c>
    </row>
    <row r="151">
      <c r="A151">
        <f>IF(VoxelMeshDefinition!AE352="✅", IF(#REF!&lt;&gt;"", #REF!, ""),"")</f>
      </c>
      <c r="B151" s="5">
        <f>IF(VoxelMeshDefinition!AE352="✅", "/Script/Engine.StaticMesh'/Game/Item/Mesh/Voxel/" &amp; VoxelMeshDefinition!Q352 &amp; "/" &amp; VoxelMeshDefinition!H352 &amp; "/" &amp; VoxelMeshDefinition!E352 &amp; "." &amp; VoxelMeshDefinition!E352 &amp; "'", "")</f>
      </c>
      <c r="C151">
        <f>IF(VoxelMeshDefinition!AE352="✅", IF(VoxelMeshDefinition!T352&lt;&gt;"", VoxelMeshDefinition!T352, ""), "")</f>
      </c>
      <c r="D151" s="10">
        <f>IF(VoxelMeshDefinition!AE352="✅", IF(VoxelMeshDefinition!U352&lt;&gt;"", VoxelMeshDefinition!U352, ""),"")</f>
      </c>
      <c r="E151" s="9">
        <f>IF(VoxelMeshDefinition!AE352="✅", IF(VoxelMeshDefinition!V352&lt;&gt;"", VoxelMeshDefinition!V352, ""),"")</f>
      </c>
      <c r="F151">
        <f>IF(VoxelMeshDefinition!AE352="✅", IF(VoxelMeshDefinition!W352&lt;&gt;"", VoxelMeshDefinition!W352, ""),"")</f>
      </c>
      <c r="G151">
        <f>IF(VoxelMeshDefinition!AE352="✅", IF(VoxelMeshDefinition!X352&lt;&gt;"", VoxelMeshDefinition!X352, ""),"")</f>
      </c>
      <c r="H151">
        <f>IF(VoxelMeshDefinition!AE352="✅", IF(VoxelMeshDefinition!Y352&lt;&gt;"", VoxelMeshDefinition!Y352, ""),"")</f>
      </c>
      <c r="I151">
        <f>IF(VoxelMeshDefinition!AE352="✅", IF(VoxelMeshDefinition!Z352&lt;&gt;"", VoxelMeshDefinition!Z352, ""),"")</f>
      </c>
      <c r="J151">
        <f>IF(VoxelMeshDefinition!AE352="✅", IF(VoxelMeshDefinition!AA352&lt;&gt;"", VoxelMeshDefinition!AA352, ""),"")</f>
      </c>
      <c r="K151" s="1">
        <f>IF(VoxelMeshDefinition!AE352="✅", VLOOKUP(A151,VoxelMeshDefinition!S:AE,10,FALSE),"")</f>
      </c>
    </row>
    <row r="152">
      <c r="A152">
        <f>IF(VoxelMeshDefinition!AE353="✅", IF(#REF!&lt;&gt;"", #REF!, ""),"")</f>
      </c>
      <c r="B152" s="5">
        <f>IF(VoxelMeshDefinition!AE353="✅", "/Script/Engine.StaticMesh'/Game/Item/Mesh/Voxel/" &amp; VoxelMeshDefinition!Q353 &amp; "/" &amp; VoxelMeshDefinition!H353 &amp; "/" &amp; VoxelMeshDefinition!E353 &amp; "." &amp; VoxelMeshDefinition!E353 &amp; "'", "")</f>
      </c>
      <c r="C152">
        <f>IF(VoxelMeshDefinition!AE353="✅", IF(VoxelMeshDefinition!T353&lt;&gt;"", VoxelMeshDefinition!T353, ""), "")</f>
      </c>
      <c r="D152" s="10">
        <f>IF(VoxelMeshDefinition!AE353="✅", IF(VoxelMeshDefinition!U353&lt;&gt;"", VoxelMeshDefinition!U353, ""),"")</f>
      </c>
      <c r="E152" s="9">
        <f>IF(VoxelMeshDefinition!AE353="✅", IF(VoxelMeshDefinition!V353&lt;&gt;"", VoxelMeshDefinition!V353, ""),"")</f>
      </c>
      <c r="F152">
        <f>IF(VoxelMeshDefinition!AE353="✅", IF(VoxelMeshDefinition!W353&lt;&gt;"", VoxelMeshDefinition!W353, ""),"")</f>
      </c>
      <c r="G152">
        <f>IF(VoxelMeshDefinition!AE353="✅", IF(VoxelMeshDefinition!X353&lt;&gt;"", VoxelMeshDefinition!X353, ""),"")</f>
      </c>
      <c r="H152">
        <f>IF(VoxelMeshDefinition!AE353="✅", IF(VoxelMeshDefinition!Y353&lt;&gt;"", VoxelMeshDefinition!Y353, ""),"")</f>
      </c>
      <c r="I152">
        <f>IF(VoxelMeshDefinition!AE353="✅", IF(VoxelMeshDefinition!Z353&lt;&gt;"", VoxelMeshDefinition!Z353, ""),"")</f>
      </c>
      <c r="J152">
        <f>IF(VoxelMeshDefinition!AE353="✅", IF(VoxelMeshDefinition!AA353&lt;&gt;"", VoxelMeshDefinition!AA353, ""),"")</f>
      </c>
      <c r="K152" s="1">
        <f>IF(VoxelMeshDefinition!AE353="✅", VLOOKUP(A152,VoxelMeshDefinition!S:AE,10,FALSE),"")</f>
      </c>
    </row>
    <row r="153">
      <c r="A153">
        <f>IF(VoxelMeshDefinition!AE354="✅", IF(#REF!&lt;&gt;"", #REF!, ""),"")</f>
      </c>
      <c r="B153" s="5">
        <f>IF(VoxelMeshDefinition!AE354="✅", "/Script/Engine.StaticMesh'/Game/Item/Mesh/Voxel/" &amp; VoxelMeshDefinition!Q354 &amp; "/" &amp; VoxelMeshDefinition!H354 &amp; "/" &amp; VoxelMeshDefinition!E354 &amp; "." &amp; VoxelMeshDefinition!E354 &amp; "'", "")</f>
      </c>
      <c r="C153">
        <f>IF(VoxelMeshDefinition!AE354="✅", IF(VoxelMeshDefinition!T354&lt;&gt;"", VoxelMeshDefinition!T354, ""), "")</f>
      </c>
      <c r="D153" s="10">
        <f>IF(VoxelMeshDefinition!AE354="✅", IF(VoxelMeshDefinition!U354&lt;&gt;"", VoxelMeshDefinition!U354, ""),"")</f>
      </c>
      <c r="E153" s="9">
        <f>IF(VoxelMeshDefinition!AE354="✅", IF(VoxelMeshDefinition!V354&lt;&gt;"", VoxelMeshDefinition!V354, ""),"")</f>
      </c>
      <c r="F153">
        <f>IF(VoxelMeshDefinition!AE354="✅", IF(VoxelMeshDefinition!W354&lt;&gt;"", VoxelMeshDefinition!W354, ""),"")</f>
      </c>
      <c r="G153">
        <f>IF(VoxelMeshDefinition!AE354="✅", IF(VoxelMeshDefinition!X354&lt;&gt;"", VoxelMeshDefinition!X354, ""),"")</f>
      </c>
      <c r="H153">
        <f>IF(VoxelMeshDefinition!AE354="✅", IF(VoxelMeshDefinition!Y354&lt;&gt;"", VoxelMeshDefinition!Y354, ""),"")</f>
      </c>
      <c r="I153">
        <f>IF(VoxelMeshDefinition!AE354="✅", IF(VoxelMeshDefinition!Z354&lt;&gt;"", VoxelMeshDefinition!Z354, ""),"")</f>
      </c>
      <c r="J153">
        <f>IF(VoxelMeshDefinition!AE354="✅", IF(VoxelMeshDefinition!AA354&lt;&gt;"", VoxelMeshDefinition!AA354, ""),"")</f>
      </c>
      <c r="K153" s="1">
        <f>IF(VoxelMeshDefinition!AE354="✅", VLOOKUP(A153,VoxelMeshDefinition!S:AE,10,FALSE),"")</f>
      </c>
    </row>
    <row r="154">
      <c r="A154">
        <f>IF(VoxelMeshDefinition!AE355="✅", IF(#REF!&lt;&gt;"", #REF!, ""),"")</f>
      </c>
      <c r="B154" s="5">
        <f>IF(VoxelMeshDefinition!AE355="✅", "/Script/Engine.StaticMesh'/Game/Item/Mesh/Voxel/" &amp; VoxelMeshDefinition!Q355 &amp; "/" &amp; VoxelMeshDefinition!H355 &amp; "/" &amp; VoxelMeshDefinition!E355 &amp; "." &amp; VoxelMeshDefinition!E355 &amp; "'", "")</f>
      </c>
      <c r="C154">
        <f>IF(VoxelMeshDefinition!AE355="✅", IF(VoxelMeshDefinition!T355&lt;&gt;"", VoxelMeshDefinition!T355, ""), "")</f>
      </c>
      <c r="D154" s="10">
        <f>IF(VoxelMeshDefinition!AE355="✅", IF(VoxelMeshDefinition!U355&lt;&gt;"", VoxelMeshDefinition!U355, ""),"")</f>
      </c>
      <c r="E154" s="9">
        <f>IF(VoxelMeshDefinition!AE355="✅", IF(VoxelMeshDefinition!V355&lt;&gt;"", VoxelMeshDefinition!V355, ""),"")</f>
      </c>
      <c r="F154">
        <f>IF(VoxelMeshDefinition!AE355="✅", IF(VoxelMeshDefinition!W355&lt;&gt;"", VoxelMeshDefinition!W355, ""),"")</f>
      </c>
      <c r="G154">
        <f>IF(VoxelMeshDefinition!AE355="✅", IF(VoxelMeshDefinition!X355&lt;&gt;"", VoxelMeshDefinition!X355, ""),"")</f>
      </c>
      <c r="H154">
        <f>IF(VoxelMeshDefinition!AE355="✅", IF(VoxelMeshDefinition!Y355&lt;&gt;"", VoxelMeshDefinition!Y355, ""),"")</f>
      </c>
      <c r="I154">
        <f>IF(VoxelMeshDefinition!AE355="✅", IF(VoxelMeshDefinition!Z355&lt;&gt;"", VoxelMeshDefinition!Z355, ""),"")</f>
      </c>
      <c r="J154">
        <f>IF(VoxelMeshDefinition!AE355="✅", IF(VoxelMeshDefinition!AA355&lt;&gt;"", VoxelMeshDefinition!AA355, ""),"")</f>
      </c>
      <c r="K154" s="1">
        <f>IF(VoxelMeshDefinition!AE355="✅", VLOOKUP(A154,VoxelMeshDefinition!S:AE,10,FALSE),"")</f>
      </c>
    </row>
    <row r="155">
      <c r="A155">
        <f>IF(VoxelMeshDefinition!AE339="✅", IF(#REF!&lt;&gt;"", #REF!, ""),"")</f>
      </c>
      <c r="B155" s="5">
        <f>IF(VoxelMeshDefinition!AE339="✅", "/Script/Engine.StaticMesh'/Game/Item/Mesh/Voxel/" &amp; VoxelMeshDefinition!Q339 &amp; "/" &amp; VoxelMeshDefinition!H339 &amp; "/" &amp; VoxelMeshDefinition!E339 &amp; "." &amp; VoxelMeshDefinition!E339 &amp; "'", "")</f>
      </c>
      <c r="C155">
        <f>IF(VoxelMeshDefinition!AE339="✅", IF(VoxelMeshDefinition!T339&lt;&gt;"", VoxelMeshDefinition!T339, ""), "")</f>
      </c>
      <c r="D155" s="10">
        <f>IF(VoxelMeshDefinition!AE339="✅", IF(VoxelMeshDefinition!U339&lt;&gt;"", VoxelMeshDefinition!U339, ""),"")</f>
      </c>
      <c r="E155" s="9">
        <f>IF(VoxelMeshDefinition!AE339="✅", IF(VoxelMeshDefinition!V339&lt;&gt;"", VoxelMeshDefinition!V339, ""),"")</f>
      </c>
      <c r="F155">
        <f>IF(VoxelMeshDefinition!AE339="✅", IF(VoxelMeshDefinition!W339&lt;&gt;"", VoxelMeshDefinition!W339, ""),"")</f>
      </c>
      <c r="G155">
        <f>IF(VoxelMeshDefinition!AE339="✅", IF(VoxelMeshDefinition!X339&lt;&gt;"", VoxelMeshDefinition!X339, ""),"")</f>
      </c>
      <c r="H155">
        <f>IF(VoxelMeshDefinition!AE339="✅", IF(VoxelMeshDefinition!Y339&lt;&gt;"", VoxelMeshDefinition!Y339, ""),"")</f>
      </c>
      <c r="I155">
        <f>IF(VoxelMeshDefinition!AE339="✅", IF(VoxelMeshDefinition!Z339&lt;&gt;"", VoxelMeshDefinition!Z339, ""),"")</f>
      </c>
      <c r="J155">
        <f>IF(VoxelMeshDefinition!AE339="✅", IF(VoxelMeshDefinition!AA339&lt;&gt;"", VoxelMeshDefinition!AA339, ""),"")</f>
      </c>
      <c r="K155" s="1">
        <f>IF(VoxelMeshDefinition!AE339="✅", VLOOKUP(A155,VoxelMeshDefinition!S:AE,10,FALSE),"")</f>
      </c>
    </row>
    <row r="156">
      <c r="A156">
        <f>IF(VoxelMeshDefinition!AE340="✅", IF(#REF!&lt;&gt;"", #REF!, ""),"")</f>
      </c>
      <c r="B156" s="5">
        <f>IF(VoxelMeshDefinition!AE340="✅", "/Script/Engine.StaticMesh'/Game/Item/Mesh/Voxel/" &amp; VoxelMeshDefinition!Q340 &amp; "/" &amp; VoxelMeshDefinition!H340 &amp; "/" &amp; VoxelMeshDefinition!E340 &amp; "." &amp; VoxelMeshDefinition!E340 &amp; "'", "")</f>
      </c>
      <c r="C156">
        <f>IF(VoxelMeshDefinition!AE340="✅", IF(VoxelMeshDefinition!T340&lt;&gt;"", VoxelMeshDefinition!T340, ""), "")</f>
      </c>
      <c r="D156" s="10">
        <f>IF(VoxelMeshDefinition!AE340="✅", IF(VoxelMeshDefinition!U340&lt;&gt;"", VoxelMeshDefinition!U340, ""),"")</f>
      </c>
      <c r="E156" s="9">
        <f>IF(VoxelMeshDefinition!AE340="✅", IF(VoxelMeshDefinition!V340&lt;&gt;"", VoxelMeshDefinition!V340, ""),"")</f>
      </c>
      <c r="F156">
        <f>IF(VoxelMeshDefinition!AE340="✅", IF(VoxelMeshDefinition!W340&lt;&gt;"", VoxelMeshDefinition!W340, ""),"")</f>
      </c>
      <c r="G156">
        <f>IF(VoxelMeshDefinition!AE340="✅", IF(VoxelMeshDefinition!X340&lt;&gt;"", VoxelMeshDefinition!X340, ""),"")</f>
      </c>
      <c r="H156">
        <f>IF(VoxelMeshDefinition!AE340="✅", IF(VoxelMeshDefinition!Y340&lt;&gt;"", VoxelMeshDefinition!Y340, ""),"")</f>
      </c>
      <c r="I156">
        <f>IF(VoxelMeshDefinition!AE340="✅", IF(VoxelMeshDefinition!Z340&lt;&gt;"", VoxelMeshDefinition!Z340, ""),"")</f>
      </c>
      <c r="J156">
        <f>IF(VoxelMeshDefinition!AE340="✅", IF(VoxelMeshDefinition!AA340&lt;&gt;"", VoxelMeshDefinition!AA340, ""),"")</f>
      </c>
      <c r="K156" s="1">
        <f>IF(VoxelMeshDefinition!AE340="✅", VLOOKUP(A156,VoxelMeshDefinition!S:AE,10,FALSE),"")</f>
      </c>
    </row>
    <row r="157">
      <c r="A157">
        <f>IF(VoxelMeshDefinition!AE341="✅", IF(#REF!&lt;&gt;"", #REF!, ""),"")</f>
      </c>
      <c r="B157" s="5">
        <f>IF(VoxelMeshDefinition!AE341="✅", "/Script/Engine.StaticMesh'/Game/Item/Mesh/Voxel/" &amp; VoxelMeshDefinition!Q341 &amp; "/" &amp; VoxelMeshDefinition!H341 &amp; "/" &amp; VoxelMeshDefinition!E341 &amp; "." &amp; VoxelMeshDefinition!E341 &amp; "'", "")</f>
      </c>
      <c r="C157">
        <f>IF(VoxelMeshDefinition!AE341="✅", IF(VoxelMeshDefinition!T341&lt;&gt;"", VoxelMeshDefinition!T341, ""), "")</f>
      </c>
      <c r="D157" s="10">
        <f>IF(VoxelMeshDefinition!AE341="✅", IF(VoxelMeshDefinition!U341&lt;&gt;"", VoxelMeshDefinition!U341, ""),"")</f>
      </c>
      <c r="E157" s="9">
        <f>IF(VoxelMeshDefinition!AE341="✅", IF(VoxelMeshDefinition!V341&lt;&gt;"", VoxelMeshDefinition!V341, ""),"")</f>
      </c>
      <c r="F157">
        <f>IF(VoxelMeshDefinition!AE341="✅", IF(VoxelMeshDefinition!W341&lt;&gt;"", VoxelMeshDefinition!W341, ""),"")</f>
      </c>
      <c r="G157">
        <f>IF(VoxelMeshDefinition!AE341="✅", IF(VoxelMeshDefinition!X341&lt;&gt;"", VoxelMeshDefinition!X341, ""),"")</f>
      </c>
      <c r="H157">
        <f>IF(VoxelMeshDefinition!AE341="✅", IF(VoxelMeshDefinition!Y341&lt;&gt;"", VoxelMeshDefinition!Y341, ""),"")</f>
      </c>
      <c r="I157">
        <f>IF(VoxelMeshDefinition!AE341="✅", IF(VoxelMeshDefinition!Z341&lt;&gt;"", VoxelMeshDefinition!Z341, ""),"")</f>
      </c>
      <c r="J157">
        <f>IF(VoxelMeshDefinition!AE341="✅", IF(VoxelMeshDefinition!AA341&lt;&gt;"", VoxelMeshDefinition!AA341, ""),"")</f>
      </c>
      <c r="K157" s="1">
        <f>IF(VoxelMeshDefinition!AE341="✅", VLOOKUP(A157,VoxelMeshDefinition!S:AE,10,FALSE),"")</f>
      </c>
    </row>
    <row r="158">
      <c r="A158">
        <f>IF(VoxelMeshDefinition!AE356="✅", IF(#REF!&lt;&gt;"", #REF!, ""),"")</f>
      </c>
      <c r="B158" s="5">
        <f>IF(VoxelMeshDefinition!AE356="✅", "/Script/Engine.StaticMesh'/Game/Item/Mesh/Voxel/" &amp; VoxelMeshDefinition!Q356 &amp; "/" &amp; VoxelMeshDefinition!H356 &amp; "/" &amp; VoxelMeshDefinition!E356 &amp; "." &amp; VoxelMeshDefinition!E356 &amp; "'", "")</f>
      </c>
      <c r="C158">
        <f>IF(VoxelMeshDefinition!AE356="✅", IF(VoxelMeshDefinition!T356&lt;&gt;"", VoxelMeshDefinition!T356, ""), "")</f>
      </c>
      <c r="D158" s="10">
        <f>IF(VoxelMeshDefinition!AE356="✅", IF(VoxelMeshDefinition!U356&lt;&gt;"", VoxelMeshDefinition!U356, ""),"")</f>
      </c>
      <c r="E158" s="9">
        <f>IF(VoxelMeshDefinition!AE356="✅", IF(VoxelMeshDefinition!V356&lt;&gt;"", VoxelMeshDefinition!V356, ""),"")</f>
      </c>
      <c r="F158">
        <f>IF(VoxelMeshDefinition!AE356="✅", IF(VoxelMeshDefinition!W356&lt;&gt;"", VoxelMeshDefinition!W356, ""),"")</f>
      </c>
      <c r="G158">
        <f>IF(VoxelMeshDefinition!AE356="✅", IF(VoxelMeshDefinition!X356&lt;&gt;"", VoxelMeshDefinition!X356, ""),"")</f>
      </c>
      <c r="H158">
        <f>IF(VoxelMeshDefinition!AE356="✅", IF(VoxelMeshDefinition!Y356&lt;&gt;"", VoxelMeshDefinition!Y356, ""),"")</f>
      </c>
      <c r="I158">
        <f>IF(VoxelMeshDefinition!AE356="✅", IF(VoxelMeshDefinition!Z356&lt;&gt;"", VoxelMeshDefinition!Z356, ""),"")</f>
      </c>
      <c r="J158">
        <f>IF(VoxelMeshDefinition!AE356="✅", IF(VoxelMeshDefinition!AA356&lt;&gt;"", VoxelMeshDefinition!AA356, ""),"")</f>
      </c>
      <c r="K158" s="1">
        <f>IF(VoxelMeshDefinition!AE356="✅", VLOOKUP(A158,VoxelMeshDefinition!S:AE,10,FALSE),"")</f>
      </c>
    </row>
    <row r="159">
      <c r="A159">
        <f>IF(VoxelMeshDefinition!AE345="✅", IF(#REF!&lt;&gt;"", #REF!, ""),"")</f>
      </c>
      <c r="B159" s="5">
        <f>IF(VoxelMeshDefinition!AE345="✅", "/Script/Engine.StaticMesh'/Game/Item/Mesh/Voxel/" &amp; VoxelMeshDefinition!Q345 &amp; "/" &amp; VoxelMeshDefinition!H345 &amp; "/" &amp; VoxelMeshDefinition!E345 &amp; "." &amp; VoxelMeshDefinition!E345 &amp; "'", "")</f>
      </c>
      <c r="C159">
        <f>IF(VoxelMeshDefinition!AE345="✅", IF(VoxelMeshDefinition!T345&lt;&gt;"", VoxelMeshDefinition!T345, ""), "")</f>
      </c>
      <c r="D159" s="10">
        <f>IF(VoxelMeshDefinition!AE345="✅", IF(VoxelMeshDefinition!U345&lt;&gt;"", VoxelMeshDefinition!U345, ""),"")</f>
      </c>
      <c r="E159" s="9">
        <f>IF(VoxelMeshDefinition!AE345="✅", IF(VoxelMeshDefinition!V345&lt;&gt;"", VoxelMeshDefinition!V345, ""),"")</f>
      </c>
      <c r="F159">
        <f>IF(VoxelMeshDefinition!AE345="✅", IF(VoxelMeshDefinition!W345&lt;&gt;"", VoxelMeshDefinition!W345, ""),"")</f>
      </c>
      <c r="G159">
        <f>IF(VoxelMeshDefinition!AE345="✅", IF(VoxelMeshDefinition!X345&lt;&gt;"", VoxelMeshDefinition!X345, ""),"")</f>
      </c>
      <c r="H159">
        <f>IF(VoxelMeshDefinition!AE345="✅", IF(VoxelMeshDefinition!Y345&lt;&gt;"", VoxelMeshDefinition!Y345, ""),"")</f>
      </c>
      <c r="I159">
        <f>IF(VoxelMeshDefinition!AE345="✅", IF(VoxelMeshDefinition!Z345&lt;&gt;"", VoxelMeshDefinition!Z345, ""),"")</f>
      </c>
      <c r="J159">
        <f>IF(VoxelMeshDefinition!AE345="✅", IF(VoxelMeshDefinition!AA345&lt;&gt;"", VoxelMeshDefinition!AA345, ""),"")</f>
      </c>
      <c r="K159" s="1">
        <f>IF(VoxelMeshDefinition!AE345="✅", VLOOKUP(A159,VoxelMeshDefinition!S:AE,10,FALSE),"")</f>
      </c>
    </row>
    <row r="160">
      <c r="A160">
        <f>IF(VoxelMeshDefinition!AE346="✅", IF(#REF!&lt;&gt;"", #REF!, ""),"")</f>
      </c>
      <c r="B160" s="5">
        <f>IF(VoxelMeshDefinition!AE346="✅", "/Script/Engine.StaticMesh'/Game/Item/Mesh/Voxel/" &amp; VoxelMeshDefinition!Q346 &amp; "/" &amp; VoxelMeshDefinition!H346 &amp; "/" &amp; VoxelMeshDefinition!E346 &amp; "." &amp; VoxelMeshDefinition!E346 &amp; "'", "")</f>
      </c>
      <c r="C160">
        <f>IF(VoxelMeshDefinition!AE346="✅", IF(VoxelMeshDefinition!T346&lt;&gt;"", VoxelMeshDefinition!T346, ""), "")</f>
      </c>
      <c r="D160" s="10">
        <f>IF(VoxelMeshDefinition!AE346="✅", IF(VoxelMeshDefinition!U346&lt;&gt;"", VoxelMeshDefinition!U346, ""),"")</f>
      </c>
      <c r="E160" s="9">
        <f>IF(VoxelMeshDefinition!AE346="✅", IF(VoxelMeshDefinition!V346&lt;&gt;"", VoxelMeshDefinition!V346, ""),"")</f>
      </c>
      <c r="F160">
        <f>IF(VoxelMeshDefinition!AE346="✅", IF(VoxelMeshDefinition!W346&lt;&gt;"", VoxelMeshDefinition!W346, ""),"")</f>
      </c>
      <c r="G160">
        <f>IF(VoxelMeshDefinition!AE346="✅", IF(VoxelMeshDefinition!X346&lt;&gt;"", VoxelMeshDefinition!X346, ""),"")</f>
      </c>
      <c r="H160">
        <f>IF(VoxelMeshDefinition!AE346="✅", IF(VoxelMeshDefinition!Y346&lt;&gt;"", VoxelMeshDefinition!Y346, ""),"")</f>
      </c>
      <c r="I160">
        <f>IF(VoxelMeshDefinition!AE346="✅", IF(VoxelMeshDefinition!Z346&lt;&gt;"", VoxelMeshDefinition!Z346, ""),"")</f>
      </c>
      <c r="J160">
        <f>IF(VoxelMeshDefinition!AE346="✅", IF(VoxelMeshDefinition!AA346&lt;&gt;"", VoxelMeshDefinition!AA346, ""),"")</f>
      </c>
      <c r="K160" s="1">
        <f>IF(VoxelMeshDefinition!AE346="✅", VLOOKUP(A160,VoxelMeshDefinition!S:AE,10,FALSE),"")</f>
      </c>
    </row>
    <row r="161">
      <c r="A161">
        <f>IF(#REF!="✅", IF(#REF!&lt;&gt;"", #REF!, ""),"")</f>
      </c>
      <c r="B161" s="5">
        <f>IF(#REF!="✅", "/Script/Engine.StaticMesh'/Game/Item/Mesh/Voxel/" &amp; #REF! &amp; "/" &amp; #REF! &amp; "/" &amp; #REF! &amp; "." &amp; #REF! &amp; "'", "")</f>
      </c>
      <c r="C161">
        <f>IF(#REF!="✅", IF(#REF!&lt;&gt;"", #REF!, ""), "")</f>
      </c>
      <c r="D161" s="10">
        <f>IF(#REF!="✅", IF(#REF!&lt;&gt;"", #REF!, ""),"")</f>
      </c>
      <c r="E161" s="9">
        <f>IF(#REF!="✅", IF(#REF!&lt;&gt;"", #REF!, ""),"")</f>
      </c>
      <c r="F161">
        <f>IF(#REF!="✅", IF(#REF!&lt;&gt;"", #REF!, ""),"")</f>
      </c>
      <c r="G161">
        <f>IF(#REF!="✅", IF(#REF!&lt;&gt;"", #REF!, ""),"")</f>
      </c>
      <c r="H161">
        <f>IF(#REF!="✅", IF(#REF!&lt;&gt;"", #REF!, ""),"")</f>
      </c>
      <c r="I161">
        <f>IF(#REF!="✅", IF(#REF!&lt;&gt;"", #REF!, ""),"")</f>
      </c>
      <c r="J161">
        <f>IF(#REF!="✅", IF(#REF!&lt;&gt;"", #REF!, ""),"")</f>
      </c>
      <c r="K161" s="1">
        <f>IF(#REF!="✅", VLOOKUP(A161,VoxelMeshDefinition!S:AE,10,FALSE),"")</f>
      </c>
    </row>
    <row r="162">
      <c r="A162">
        <f>IF(VoxelMeshDefinition!AE357="✅", IF(#REF!&lt;&gt;"", #REF!, ""),"")</f>
      </c>
      <c r="B162" s="5">
        <f>IF(VoxelMeshDefinition!AE357="✅", "/Script/Engine.StaticMesh'/Game/Item/Mesh/Voxel/" &amp; VoxelMeshDefinition!Q357 &amp; "/" &amp; VoxelMeshDefinition!H357 &amp; "/" &amp; VoxelMeshDefinition!E357 &amp; "." &amp; VoxelMeshDefinition!E357 &amp; "'", "")</f>
      </c>
      <c r="C162">
        <f>IF(VoxelMeshDefinition!AE357="✅", IF(VoxelMeshDefinition!T357&lt;&gt;"", VoxelMeshDefinition!T357, ""), "")</f>
      </c>
      <c r="D162" s="10">
        <f>IF(VoxelMeshDefinition!AE357="✅", IF(VoxelMeshDefinition!U357&lt;&gt;"", VoxelMeshDefinition!U357, ""),"")</f>
      </c>
      <c r="E162" s="9">
        <f>IF(VoxelMeshDefinition!AE357="✅", IF(VoxelMeshDefinition!V357&lt;&gt;"", VoxelMeshDefinition!V357, ""),"")</f>
      </c>
      <c r="F162">
        <f>IF(VoxelMeshDefinition!AE357="✅", IF(VoxelMeshDefinition!W357&lt;&gt;"", VoxelMeshDefinition!W357, ""),"")</f>
      </c>
      <c r="G162">
        <f>IF(VoxelMeshDefinition!AE357="✅", IF(VoxelMeshDefinition!X357&lt;&gt;"", VoxelMeshDefinition!X357, ""),"")</f>
      </c>
      <c r="H162">
        <f>IF(VoxelMeshDefinition!AE357="✅", IF(VoxelMeshDefinition!Y357&lt;&gt;"", VoxelMeshDefinition!Y357, ""),"")</f>
      </c>
      <c r="I162">
        <f>IF(VoxelMeshDefinition!AE357="✅", IF(VoxelMeshDefinition!Z357&lt;&gt;"", VoxelMeshDefinition!Z357, ""),"")</f>
      </c>
      <c r="J162">
        <f>IF(VoxelMeshDefinition!AE357="✅", IF(VoxelMeshDefinition!AA357&lt;&gt;"", VoxelMeshDefinition!AA357, ""),"")</f>
      </c>
      <c r="K162" s="1">
        <f>IF(VoxelMeshDefinition!AE357="✅", VLOOKUP(A162,VoxelMeshDefinition!S:AE,10,FALSE),"")</f>
      </c>
    </row>
    <row r="163">
      <c r="A163">
        <f>IF(#REF!="✅", IF(#REF!&lt;&gt;"", #REF!, ""),"")</f>
      </c>
      <c r="B163" s="5">
        <f>IF(#REF!="✅", "/Script/Engine.StaticMesh'/Game/Item/Mesh/Voxel/" &amp; #REF! &amp; "/" &amp; #REF! &amp; "/" &amp; #REF! &amp; "." &amp; #REF! &amp; "'", "")</f>
      </c>
      <c r="C163">
        <f>IF(#REF!="✅", IF(#REF!&lt;&gt;"", #REF!, ""), "")</f>
      </c>
      <c r="D163" s="10">
        <f>IF(#REF!="✅", IF(#REF!&lt;&gt;"", #REF!, ""),"")</f>
      </c>
      <c r="E163" s="9">
        <f>IF(#REF!="✅", IF(#REF!&lt;&gt;"", #REF!, ""),"")</f>
      </c>
      <c r="F163">
        <f>IF(#REF!="✅", IF(#REF!&lt;&gt;"", #REF!, ""),"")</f>
      </c>
      <c r="G163">
        <f>IF(#REF!="✅", IF(#REF!&lt;&gt;"", #REF!, ""),"")</f>
      </c>
      <c r="H163">
        <f>IF(#REF!="✅", IF(#REF!&lt;&gt;"", #REF!, ""),"")</f>
      </c>
      <c r="I163">
        <f>IF(#REF!="✅", IF(#REF!&lt;&gt;"", #REF!, ""),"")</f>
      </c>
      <c r="J163">
        <f>IF(#REF!="✅", IF(#REF!&lt;&gt;"", #REF!, ""),"")</f>
      </c>
      <c r="K163" s="1">
        <f>IF(#REF!="✅", VLOOKUP(A163,VoxelMeshDefinition!S:AE,10,FALSE),"")</f>
      </c>
    </row>
    <row r="164">
      <c r="A164">
        <f>IF(#REF!="✅", IF(#REF!&lt;&gt;"", #REF!, ""),"")</f>
      </c>
      <c r="B164" s="5">
        <f>IF(#REF!="✅", "/Script/Engine.StaticMesh'/Game/Item/Mesh/Voxel/" &amp; #REF! &amp; "/" &amp; #REF! &amp; "/" &amp; #REF! &amp; "." &amp; #REF! &amp; "'", "")</f>
      </c>
      <c r="C164">
        <f>IF(#REF!="✅", IF(#REF!&lt;&gt;"", #REF!, ""), "")</f>
      </c>
      <c r="D164" s="10">
        <f>IF(#REF!="✅", IF(#REF!&lt;&gt;"", #REF!, ""),"")</f>
      </c>
      <c r="E164" s="9">
        <f>IF(#REF!="✅", IF(#REF!&lt;&gt;"", #REF!, ""),"")</f>
      </c>
      <c r="F164">
        <f>IF(#REF!="✅", IF(#REF!&lt;&gt;"", #REF!, ""),"")</f>
      </c>
      <c r="G164">
        <f>IF(#REF!="✅", IF(#REF!&lt;&gt;"", #REF!, ""),"")</f>
      </c>
      <c r="H164">
        <f>IF(#REF!="✅", IF(#REF!&lt;&gt;"", #REF!, ""),"")</f>
      </c>
      <c r="I164">
        <f>IF(#REF!="✅", IF(#REF!&lt;&gt;"", #REF!, ""),"")</f>
      </c>
      <c r="J164">
        <f>IF(#REF!="✅", IF(#REF!&lt;&gt;"", #REF!, ""),"")</f>
      </c>
      <c r="K164" s="1">
        <f>IF(#REF!="✅", VLOOKUP(A164,VoxelMeshDefinition!S:AE,10,FALSE),"")</f>
      </c>
    </row>
    <row r="165">
      <c r="A165">
        <f>IF(#REF!="✅", IF(#REF!&lt;&gt;"", #REF!, ""),"")</f>
      </c>
      <c r="B165" s="5">
        <f>IF(#REF!="✅", "/Script/Engine.StaticMesh'/Game/Item/Mesh/Voxel/" &amp; #REF! &amp; "/" &amp; #REF! &amp; "/" &amp; #REF! &amp; "." &amp; #REF! &amp; "'", "")</f>
      </c>
      <c r="C165">
        <f>IF(#REF!="✅", IF(#REF!&lt;&gt;"", #REF!, ""), "")</f>
      </c>
      <c r="D165" s="10">
        <f>IF(#REF!="✅", IF(#REF!&lt;&gt;"", #REF!, ""),"")</f>
      </c>
      <c r="E165" s="9">
        <f>IF(#REF!="✅", IF(#REF!&lt;&gt;"", #REF!, ""),"")</f>
      </c>
      <c r="F165">
        <f>IF(#REF!="✅", IF(#REF!&lt;&gt;"", #REF!, ""),"")</f>
      </c>
      <c r="G165">
        <f>IF(#REF!="✅", IF(#REF!&lt;&gt;"", #REF!, ""),"")</f>
      </c>
      <c r="H165">
        <f>IF(#REF!="✅", IF(#REF!&lt;&gt;"", #REF!, ""),"")</f>
      </c>
      <c r="I165">
        <f>IF(#REF!="✅", IF(#REF!&lt;&gt;"", #REF!, ""),"")</f>
      </c>
      <c r="J165">
        <f>IF(#REF!="✅", IF(#REF!&lt;&gt;"", #REF!, ""),"")</f>
      </c>
      <c r="K165" s="1">
        <f>IF(#REF!="✅", VLOOKUP(A165,VoxelMeshDefinition!S:AE,10,FALSE),"")</f>
      </c>
    </row>
    <row r="166">
      <c r="A166">
        <f>IF(#REF!="✅", IF(#REF!&lt;&gt;"", #REF!, ""),"")</f>
      </c>
      <c r="B166" s="5">
        <f>IF(#REF!="✅", "/Script/Engine.StaticMesh'/Game/Item/Mesh/Voxel/" &amp; #REF! &amp; "/" &amp; #REF! &amp; "/" &amp; #REF! &amp; "." &amp; #REF! &amp; "'", "")</f>
      </c>
      <c r="C166">
        <f>IF(#REF!="✅", IF(#REF!&lt;&gt;"", #REF!, ""), "")</f>
      </c>
      <c r="D166" s="10">
        <f>IF(#REF!="✅", IF(#REF!&lt;&gt;"", #REF!, ""),"")</f>
      </c>
      <c r="E166" s="9">
        <f>IF(#REF!="✅", IF(#REF!&lt;&gt;"", #REF!, ""),"")</f>
      </c>
      <c r="F166">
        <f>IF(#REF!="✅", IF(#REF!&lt;&gt;"", #REF!, ""),"")</f>
      </c>
      <c r="G166">
        <f>IF(#REF!="✅", IF(#REF!&lt;&gt;"", #REF!, ""),"")</f>
      </c>
      <c r="H166">
        <f>IF(#REF!="✅", IF(#REF!&lt;&gt;"", #REF!, ""),"")</f>
      </c>
      <c r="I166">
        <f>IF(#REF!="✅", IF(#REF!&lt;&gt;"", #REF!, ""),"")</f>
      </c>
      <c r="J166">
        <f>IF(#REF!="✅", IF(#REF!&lt;&gt;"", #REF!, ""),"")</f>
      </c>
      <c r="K166" s="1">
        <f>IF(#REF!="✅", VLOOKUP(A166,VoxelMeshDefinition!S:AE,10,FALSE),"")</f>
      </c>
    </row>
    <row r="167">
      <c r="A167">
        <f>IF(#REF!="✅", IF(#REF!&lt;&gt;"", #REF!, ""),"")</f>
      </c>
      <c r="B167" s="5">
        <f>IF(#REF!="✅", "/Script/Engine.StaticMesh'/Game/Item/Mesh/Voxel/" &amp; #REF! &amp; "/" &amp; #REF! &amp; "/" &amp; #REF! &amp; "." &amp; #REF! &amp; "'", "")</f>
      </c>
      <c r="C167">
        <f>IF(#REF!="✅", IF(#REF!&lt;&gt;"", #REF!, ""), "")</f>
      </c>
      <c r="D167" s="10">
        <f>IF(#REF!="✅", IF(#REF!&lt;&gt;"", #REF!, ""),"")</f>
      </c>
      <c r="E167" s="9">
        <f>IF(#REF!="✅", IF(#REF!&lt;&gt;"", #REF!, ""),"")</f>
      </c>
      <c r="F167">
        <f>IF(#REF!="✅", IF(#REF!&lt;&gt;"", #REF!, ""),"")</f>
      </c>
      <c r="G167">
        <f>IF(#REF!="✅", IF(#REF!&lt;&gt;"", #REF!, ""),"")</f>
      </c>
      <c r="H167">
        <f>IF(#REF!="✅", IF(#REF!&lt;&gt;"", #REF!, ""),"")</f>
      </c>
      <c r="I167">
        <f>IF(#REF!="✅", IF(#REF!&lt;&gt;"", #REF!, ""),"")</f>
      </c>
      <c r="J167">
        <f>IF(#REF!="✅", IF(#REF!&lt;&gt;"", #REF!, ""),"")</f>
      </c>
      <c r="K167" s="1">
        <f>IF(#REF!="✅", VLOOKUP(A167,VoxelMeshDefinition!S:AE,10,FALSE),"")</f>
      </c>
    </row>
    <row r="168">
      <c r="A168">
        <f>IF(#REF!="✅", IF(#REF!&lt;&gt;"", #REF!, ""),"")</f>
      </c>
      <c r="B168" s="5">
        <f>IF(#REF!="✅", "/Script/Engine.StaticMesh'/Game/Item/Mesh/Voxel/" &amp; #REF! &amp; "/" &amp; #REF! &amp; "/" &amp; #REF! &amp; "." &amp; #REF! &amp; "'", "")</f>
      </c>
      <c r="C168">
        <f>IF(#REF!="✅", IF(#REF!&lt;&gt;"", #REF!, ""), "")</f>
      </c>
      <c r="D168" s="10">
        <f>IF(#REF!="✅", IF(#REF!&lt;&gt;"", #REF!, ""),"")</f>
      </c>
      <c r="E168" s="9">
        <f>IF(#REF!="✅", IF(#REF!&lt;&gt;"", #REF!, ""),"")</f>
      </c>
      <c r="F168">
        <f>IF(#REF!="✅", IF(#REF!&lt;&gt;"", #REF!, ""),"")</f>
      </c>
      <c r="G168">
        <f>IF(#REF!="✅", IF(#REF!&lt;&gt;"", #REF!, ""),"")</f>
      </c>
      <c r="H168">
        <f>IF(#REF!="✅", IF(#REF!&lt;&gt;"", #REF!, ""),"")</f>
      </c>
      <c r="I168">
        <f>IF(#REF!="✅", IF(#REF!&lt;&gt;"", #REF!, ""),"")</f>
      </c>
      <c r="J168">
        <f>IF(#REF!="✅", IF(#REF!&lt;&gt;"", #REF!, ""),"")</f>
      </c>
      <c r="K168" s="1">
        <f>IF(#REF!="✅", VLOOKUP(A168,VoxelMeshDefinition!S:AE,10,FALSE),"")</f>
      </c>
    </row>
    <row r="169">
      <c r="A169">
        <f>IF(#REF!="✅", IF(#REF!&lt;&gt;"", #REF!, ""),"")</f>
      </c>
      <c r="B169" s="5">
        <f>IF(#REF!="✅", "/Script/Engine.StaticMesh'/Game/Item/Mesh/Voxel/" &amp; #REF! &amp; "/" &amp; #REF! &amp; "/" &amp; #REF! &amp; "." &amp; #REF! &amp; "'", "")</f>
      </c>
      <c r="C169">
        <f>IF(#REF!="✅", IF(#REF!&lt;&gt;"", #REF!, ""), "")</f>
      </c>
      <c r="D169" s="10">
        <f>IF(#REF!="✅", IF(#REF!&lt;&gt;"", #REF!, ""),"")</f>
      </c>
      <c r="E169" s="9">
        <f>IF(#REF!="✅", IF(#REF!&lt;&gt;"", #REF!, ""),"")</f>
      </c>
      <c r="F169">
        <f>IF(#REF!="✅", IF(#REF!&lt;&gt;"", #REF!, ""),"")</f>
      </c>
      <c r="G169">
        <f>IF(#REF!="✅", IF(#REF!&lt;&gt;"", #REF!, ""),"")</f>
      </c>
      <c r="H169">
        <f>IF(#REF!="✅", IF(#REF!&lt;&gt;"", #REF!, ""),"")</f>
      </c>
      <c r="I169">
        <f>IF(#REF!="✅", IF(#REF!&lt;&gt;"", #REF!, ""),"")</f>
      </c>
      <c r="J169">
        <f>IF(#REF!="✅", IF(#REF!&lt;&gt;"", #REF!, ""),"")</f>
      </c>
      <c r="K169" s="1">
        <f>IF(#REF!="✅", VLOOKUP(A169,VoxelMeshDefinition!S:AE,10,FALSE),"")</f>
      </c>
    </row>
    <row r="170">
      <c r="A170">
        <f>IF(#REF!="✅", IF(#REF!&lt;&gt;"", #REF!, ""),"")</f>
      </c>
      <c r="B170" s="5">
        <f>IF(#REF!="✅", "/Script/Engine.StaticMesh'/Game/Item/Mesh/Voxel/" &amp; #REF! &amp; "/" &amp; #REF! &amp; "/" &amp; #REF! &amp; "." &amp; #REF! &amp; "'", "")</f>
      </c>
      <c r="C170">
        <f>IF(#REF!="✅", IF(#REF!&lt;&gt;"", #REF!, ""), "")</f>
      </c>
      <c r="D170" s="10">
        <f>IF(#REF!="✅", IF(#REF!&lt;&gt;"", #REF!, ""),"")</f>
      </c>
      <c r="E170" s="9">
        <f>IF(#REF!="✅", IF(#REF!&lt;&gt;"", #REF!, ""),"")</f>
      </c>
      <c r="F170">
        <f>IF(#REF!="✅", IF(#REF!&lt;&gt;"", #REF!, ""),"")</f>
      </c>
      <c r="G170">
        <f>IF(#REF!="✅", IF(#REF!&lt;&gt;"", #REF!, ""),"")</f>
      </c>
      <c r="H170">
        <f>IF(#REF!="✅", IF(#REF!&lt;&gt;"", #REF!, ""),"")</f>
      </c>
      <c r="I170">
        <f>IF(#REF!="✅", IF(#REF!&lt;&gt;"", #REF!, ""),"")</f>
      </c>
      <c r="J170">
        <f>IF(#REF!="✅", IF(#REF!&lt;&gt;"", #REF!, ""),"")</f>
      </c>
      <c r="K170" s="1">
        <f>IF(#REF!="✅", VLOOKUP(A170,VoxelMeshDefinition!S:AE,10,FALSE),"")</f>
      </c>
    </row>
    <row r="171">
      <c r="A171">
        <f>IF(#REF!="✅", IF(#REF!&lt;&gt;"", #REF!, ""),"")</f>
      </c>
      <c r="B171" s="5">
        <f>IF(#REF!="✅", "/Script/Engine.StaticMesh'/Game/Item/Mesh/Voxel/" &amp; #REF! &amp; "/" &amp; #REF! &amp; "/" &amp; #REF! &amp; "." &amp; #REF! &amp; "'", "")</f>
      </c>
      <c r="C171">
        <f>IF(#REF!="✅", IF(#REF!&lt;&gt;"", #REF!, ""), "")</f>
      </c>
      <c r="D171" s="10">
        <f>IF(#REF!="✅", IF(#REF!&lt;&gt;"", #REF!, ""),"")</f>
      </c>
      <c r="E171" s="9">
        <f>IF(#REF!="✅", IF(#REF!&lt;&gt;"", #REF!, ""),"")</f>
      </c>
      <c r="F171">
        <f>IF(#REF!="✅", IF(#REF!&lt;&gt;"", #REF!, ""),"")</f>
      </c>
      <c r="G171">
        <f>IF(#REF!="✅", IF(#REF!&lt;&gt;"", #REF!, ""),"")</f>
      </c>
      <c r="H171">
        <f>IF(#REF!="✅", IF(#REF!&lt;&gt;"", #REF!, ""),"")</f>
      </c>
      <c r="I171">
        <f>IF(#REF!="✅", IF(#REF!&lt;&gt;"", #REF!, ""),"")</f>
      </c>
      <c r="J171">
        <f>IF(#REF!="✅", IF(#REF!&lt;&gt;"", #REF!, ""),"")</f>
      </c>
      <c r="K171" s="1">
        <f>IF(#REF!="✅", VLOOKUP(A171,VoxelMeshDefinition!S:AE,10,FALSE),"")</f>
      </c>
    </row>
    <row r="172">
      <c r="A172">
        <f>IF(#REF!="✅", IF(#REF!&lt;&gt;"", #REF!, ""),"")</f>
      </c>
      <c r="B172" s="5">
        <f>IF(#REF!="✅", "/Script/Engine.StaticMesh'/Game/Item/Mesh/Voxel/" &amp; #REF! &amp; "/" &amp; #REF! &amp; "/" &amp; #REF! &amp; "." &amp; #REF! &amp; "'", "")</f>
      </c>
      <c r="C172">
        <f>IF(#REF!="✅", IF(#REF!&lt;&gt;"", #REF!, ""), "")</f>
      </c>
      <c r="D172" s="10">
        <f>IF(#REF!="✅", IF(#REF!&lt;&gt;"", #REF!, ""),"")</f>
      </c>
      <c r="E172" s="9">
        <f>IF(#REF!="✅", IF(#REF!&lt;&gt;"", #REF!, ""),"")</f>
      </c>
      <c r="F172">
        <f>IF(#REF!="✅", IF(#REF!&lt;&gt;"", #REF!, ""),"")</f>
      </c>
      <c r="G172">
        <f>IF(#REF!="✅", IF(#REF!&lt;&gt;"", #REF!, ""),"")</f>
      </c>
      <c r="H172">
        <f>IF(#REF!="✅", IF(#REF!&lt;&gt;"", #REF!, ""),"")</f>
      </c>
      <c r="I172">
        <f>IF(#REF!="✅", IF(#REF!&lt;&gt;"", #REF!, ""),"")</f>
      </c>
      <c r="J172">
        <f>IF(#REF!="✅", IF(#REF!&lt;&gt;"", #REF!, ""),"")</f>
      </c>
      <c r="K172" s="1">
        <f>IF(#REF!="✅", VLOOKUP(A172,VoxelMeshDefinition!S:AE,10,FALSE),"")</f>
      </c>
    </row>
    <row r="173">
      <c r="A173">
        <f>IF(#REF!="✅", IF(#REF!&lt;&gt;"", #REF!, ""),"")</f>
      </c>
      <c r="B173" s="5">
        <f>IF(#REF!="✅", "/Script/Engine.StaticMesh'/Game/Item/Mesh/Voxel/" &amp; #REF! &amp; "/" &amp; #REF! &amp; "/" &amp; #REF! &amp; "." &amp; #REF! &amp; "'", "")</f>
      </c>
      <c r="C173">
        <f>IF(#REF!="✅", IF(#REF!&lt;&gt;"", #REF!, ""), "")</f>
      </c>
      <c r="D173" s="10">
        <f>IF(#REF!="✅", IF(#REF!&lt;&gt;"", #REF!, ""),"")</f>
      </c>
      <c r="E173" s="9">
        <f>IF(#REF!="✅", IF(#REF!&lt;&gt;"", #REF!, ""),"")</f>
      </c>
      <c r="F173">
        <f>IF(#REF!="✅", IF(#REF!&lt;&gt;"", #REF!, ""),"")</f>
      </c>
      <c r="G173">
        <f>IF(#REF!="✅", IF(#REF!&lt;&gt;"", #REF!, ""),"")</f>
      </c>
      <c r="H173">
        <f>IF(#REF!="✅", IF(#REF!&lt;&gt;"", #REF!, ""),"")</f>
      </c>
      <c r="I173">
        <f>IF(#REF!="✅", IF(#REF!&lt;&gt;"", #REF!, ""),"")</f>
      </c>
      <c r="J173">
        <f>IF(#REF!="✅", IF(#REF!&lt;&gt;"", #REF!, ""),"")</f>
      </c>
      <c r="K173" s="1">
        <f>IF(#REF!="✅", VLOOKUP(A173,VoxelMeshDefinition!S:AE,10,FALSE),"")</f>
      </c>
    </row>
    <row r="174">
      <c r="A174">
        <f>IF(#REF!="✅", IF(#REF!&lt;&gt;"", #REF!, ""),"")</f>
      </c>
      <c r="B174" s="5">
        <f>IF(#REF!="✅", "/Script/Engine.StaticMesh'/Game/Item/Mesh/Voxel/" &amp; #REF! &amp; "/" &amp; #REF! &amp; "/" &amp; #REF! &amp; "." &amp; #REF! &amp; "'", "")</f>
      </c>
      <c r="C174">
        <f>IF(#REF!="✅", IF(#REF!&lt;&gt;"", #REF!, ""), "")</f>
      </c>
      <c r="D174" s="10">
        <f>IF(#REF!="✅", IF(#REF!&lt;&gt;"", #REF!, ""),"")</f>
      </c>
      <c r="E174" s="9">
        <f>IF(#REF!="✅", IF(#REF!&lt;&gt;"", #REF!, ""),"")</f>
      </c>
      <c r="F174">
        <f>IF(#REF!="✅", IF(#REF!&lt;&gt;"", #REF!, ""),"")</f>
      </c>
      <c r="G174">
        <f>IF(#REF!="✅", IF(#REF!&lt;&gt;"", #REF!, ""),"")</f>
      </c>
      <c r="H174">
        <f>IF(#REF!="✅", IF(#REF!&lt;&gt;"", #REF!, ""),"")</f>
      </c>
      <c r="I174">
        <f>IF(#REF!="✅", IF(#REF!&lt;&gt;"", #REF!, ""),"")</f>
      </c>
      <c r="J174">
        <f>IF(#REF!="✅", IF(#REF!&lt;&gt;"", #REF!, ""),"")</f>
      </c>
      <c r="K174" s="1">
        <f>IF(#REF!="✅", VLOOKUP(A174,VoxelMeshDefinition!S:AE,10,FALSE),"")</f>
      </c>
    </row>
    <row r="175">
      <c r="A175">
        <f>IF(#REF!="✅", IF(#REF!&lt;&gt;"", #REF!, ""),"")</f>
      </c>
      <c r="B175" s="5">
        <f>IF(#REF!="✅", "/Script/Engine.StaticMesh'/Game/Item/Mesh/Voxel/" &amp; #REF! &amp; "/" &amp; #REF! &amp; "/" &amp; #REF! &amp; "." &amp; #REF! &amp; "'", "")</f>
      </c>
      <c r="C175">
        <f>IF(#REF!="✅", IF(#REF!&lt;&gt;"", #REF!, ""), "")</f>
      </c>
      <c r="D175" s="10">
        <f>IF(#REF!="✅", IF(#REF!&lt;&gt;"", #REF!, ""),"")</f>
      </c>
      <c r="E175" s="9">
        <f>IF(#REF!="✅", IF(#REF!&lt;&gt;"", #REF!, ""),"")</f>
      </c>
      <c r="F175">
        <f>IF(#REF!="✅", IF(#REF!&lt;&gt;"", #REF!, ""),"")</f>
      </c>
      <c r="G175">
        <f>IF(#REF!="✅", IF(#REF!&lt;&gt;"", #REF!, ""),"")</f>
      </c>
      <c r="H175">
        <f>IF(#REF!="✅", IF(#REF!&lt;&gt;"", #REF!, ""),"")</f>
      </c>
      <c r="I175">
        <f>IF(#REF!="✅", IF(#REF!&lt;&gt;"", #REF!, ""),"")</f>
      </c>
      <c r="J175">
        <f>IF(#REF!="✅", IF(#REF!&lt;&gt;"", #REF!, ""),"")</f>
      </c>
      <c r="K175" s="1">
        <f>IF(#REF!="✅", VLOOKUP(A175,VoxelMeshDefinition!S:AE,10,FALSE),"")</f>
      </c>
    </row>
    <row r="176">
      <c r="A176">
        <f>IF(#REF!="✅", IF(#REF!&lt;&gt;"", #REF!, ""),"")</f>
      </c>
      <c r="B176" s="5">
        <f>IF(#REF!="✅", "/Script/Engine.StaticMesh'/Game/Item/Mesh/Voxel/" &amp; #REF! &amp; "/" &amp; #REF! &amp; "/" &amp; #REF! &amp; "." &amp; #REF! &amp; "'", "")</f>
      </c>
      <c r="C176">
        <f>IF(#REF!="✅", IF(#REF!&lt;&gt;"", #REF!, ""), "")</f>
      </c>
      <c r="D176" s="10">
        <f>IF(#REF!="✅", IF(#REF!&lt;&gt;"", #REF!, ""),"")</f>
      </c>
      <c r="E176" s="9">
        <f>IF(#REF!="✅", IF(#REF!&lt;&gt;"", #REF!, ""),"")</f>
      </c>
      <c r="F176">
        <f>IF(#REF!="✅", IF(#REF!&lt;&gt;"", #REF!, ""),"")</f>
      </c>
      <c r="G176">
        <f>IF(#REF!="✅", IF(#REF!&lt;&gt;"", #REF!, ""),"")</f>
      </c>
      <c r="H176">
        <f>IF(#REF!="✅", IF(#REF!&lt;&gt;"", #REF!, ""),"")</f>
      </c>
      <c r="I176">
        <f>IF(#REF!="✅", IF(#REF!&lt;&gt;"", #REF!, ""),"")</f>
      </c>
      <c r="J176">
        <f>IF(#REF!="✅", IF(#REF!&lt;&gt;"", #REF!, ""),"")</f>
      </c>
      <c r="K176" s="1">
        <f>IF(#REF!="✅", VLOOKUP(A176,VoxelMeshDefinition!S:AE,10,FALSE),"")</f>
      </c>
    </row>
    <row r="177">
      <c r="A177">
        <f>IF(#REF!="✅", IF(#REF!&lt;&gt;"", #REF!, ""),"")</f>
      </c>
      <c r="B177" s="5">
        <f>IF(#REF!="✅", "/Script/Engine.StaticMesh'/Game/Item/Mesh/Voxel/" &amp; #REF! &amp; "/" &amp; #REF! &amp; "/" &amp; #REF! &amp; "." &amp; #REF! &amp; "'", "")</f>
      </c>
      <c r="C177">
        <f>IF(#REF!="✅", IF(#REF!&lt;&gt;"", #REF!, ""), "")</f>
      </c>
      <c r="D177" s="10">
        <f>IF(#REF!="✅", IF(#REF!&lt;&gt;"", #REF!, ""),"")</f>
      </c>
      <c r="E177" s="9">
        <f>IF(#REF!="✅", IF(#REF!&lt;&gt;"", #REF!, ""),"")</f>
      </c>
      <c r="F177">
        <f>IF(#REF!="✅", IF(#REF!&lt;&gt;"", #REF!, ""),"")</f>
      </c>
      <c r="G177">
        <f>IF(#REF!="✅", IF(#REF!&lt;&gt;"", #REF!, ""),"")</f>
      </c>
      <c r="H177">
        <f>IF(#REF!="✅", IF(#REF!&lt;&gt;"", #REF!, ""),"")</f>
      </c>
      <c r="I177">
        <f>IF(#REF!="✅", IF(#REF!&lt;&gt;"", #REF!, ""),"")</f>
      </c>
      <c r="J177">
        <f>IF(#REF!="✅", IF(#REF!&lt;&gt;"", #REF!, ""),"")</f>
      </c>
      <c r="K177" s="1">
        <f>IF(#REF!="✅", VLOOKUP(A177,VoxelMeshDefinition!S:AE,10,FALSE),"")</f>
      </c>
    </row>
    <row r="178">
      <c r="A178">
        <f>IF(#REF!="✅", IF(#REF!&lt;&gt;"", #REF!, ""),"")</f>
      </c>
      <c r="B178" s="5">
        <f>IF(#REF!="✅", "/Script/Engine.StaticMesh'/Game/Item/Mesh/Voxel/" &amp; #REF! &amp; "/" &amp; #REF! &amp; "/" &amp; #REF! &amp; "." &amp; #REF! &amp; "'", "")</f>
      </c>
      <c r="C178">
        <f>IF(#REF!="✅", IF(#REF!&lt;&gt;"", #REF!, ""), "")</f>
      </c>
      <c r="D178" s="10">
        <f>IF(#REF!="✅", IF(#REF!&lt;&gt;"", #REF!, ""),"")</f>
      </c>
      <c r="E178" s="9">
        <f>IF(#REF!="✅", IF(#REF!&lt;&gt;"", #REF!, ""),"")</f>
      </c>
      <c r="F178">
        <f>IF(#REF!="✅", IF(#REF!&lt;&gt;"", #REF!, ""),"")</f>
      </c>
      <c r="G178">
        <f>IF(#REF!="✅", IF(#REF!&lt;&gt;"", #REF!, ""),"")</f>
      </c>
      <c r="H178">
        <f>IF(#REF!="✅", IF(#REF!&lt;&gt;"", #REF!, ""),"")</f>
      </c>
      <c r="I178">
        <f>IF(#REF!="✅", IF(#REF!&lt;&gt;"", #REF!, ""),"")</f>
      </c>
      <c r="J178">
        <f>IF(#REF!="✅", IF(#REF!&lt;&gt;"", #REF!, ""),"")</f>
      </c>
      <c r="K178" s="1">
        <f>IF(#REF!="✅", VLOOKUP(A178,VoxelMeshDefinition!S:AE,10,FALSE),"")</f>
      </c>
    </row>
    <row r="179">
      <c r="A179">
        <f>IF(#REF!="✅", IF(#REF!&lt;&gt;"", #REF!, ""),"")</f>
      </c>
      <c r="B179" s="5">
        <f>IF(#REF!="✅", "/Script/Engine.StaticMesh'/Game/Item/Mesh/Voxel/" &amp; #REF! &amp; "/" &amp; #REF! &amp; "/" &amp; #REF! &amp; "." &amp; #REF! &amp; "'", "")</f>
      </c>
      <c r="C179">
        <f>IF(#REF!="✅", IF(#REF!&lt;&gt;"", #REF!, ""), "")</f>
      </c>
      <c r="D179" s="10">
        <f>IF(#REF!="✅", IF(#REF!&lt;&gt;"", #REF!, ""),"")</f>
      </c>
      <c r="E179" s="9">
        <f>IF(#REF!="✅", IF(#REF!&lt;&gt;"", #REF!, ""),"")</f>
      </c>
      <c r="F179">
        <f>IF(#REF!="✅", IF(#REF!&lt;&gt;"", #REF!, ""),"")</f>
      </c>
      <c r="G179">
        <f>IF(#REF!="✅", IF(#REF!&lt;&gt;"", #REF!, ""),"")</f>
      </c>
      <c r="H179">
        <f>IF(#REF!="✅", IF(#REF!&lt;&gt;"", #REF!, ""),"")</f>
      </c>
      <c r="I179">
        <f>IF(#REF!="✅", IF(#REF!&lt;&gt;"", #REF!, ""),"")</f>
      </c>
      <c r="J179">
        <f>IF(#REF!="✅", IF(#REF!&lt;&gt;"", #REF!, ""),"")</f>
      </c>
      <c r="K179" s="1">
        <f>IF(#REF!="✅", VLOOKUP(A179,VoxelMeshDefinition!S:AE,10,FALSE),"")</f>
      </c>
    </row>
    <row r="180">
      <c r="A180">
        <f>IF(#REF!="✅", IF(#REF!&lt;&gt;"", #REF!, ""),"")</f>
      </c>
      <c r="B180" s="5">
        <f>IF(#REF!="✅", "/Script/Engine.StaticMesh'/Game/Item/Mesh/Voxel/" &amp; #REF! &amp; "/" &amp; #REF! &amp; "/" &amp; #REF! &amp; "." &amp; #REF! &amp; "'", "")</f>
      </c>
      <c r="C180">
        <f>IF(#REF!="✅", IF(#REF!&lt;&gt;"", #REF!, ""), "")</f>
      </c>
      <c r="D180" s="10">
        <f>IF(#REF!="✅", IF(#REF!&lt;&gt;"", #REF!, ""),"")</f>
      </c>
      <c r="E180" s="9">
        <f>IF(#REF!="✅", IF(#REF!&lt;&gt;"", #REF!, ""),"")</f>
      </c>
      <c r="F180">
        <f>IF(#REF!="✅", IF(#REF!&lt;&gt;"", #REF!, ""),"")</f>
      </c>
      <c r="G180">
        <f>IF(#REF!="✅", IF(#REF!&lt;&gt;"", #REF!, ""),"")</f>
      </c>
      <c r="H180">
        <f>IF(#REF!="✅", IF(#REF!&lt;&gt;"", #REF!, ""),"")</f>
      </c>
      <c r="I180">
        <f>IF(#REF!="✅", IF(#REF!&lt;&gt;"", #REF!, ""),"")</f>
      </c>
      <c r="J180">
        <f>IF(#REF!="✅", IF(#REF!&lt;&gt;"", #REF!, ""),"")</f>
      </c>
      <c r="K180" s="1">
        <f>IF(#REF!="✅", VLOOKUP(A180,VoxelMeshDefinition!S:AE,10,FALSE),"")</f>
      </c>
    </row>
    <row r="181">
      <c r="A181">
        <f>IF(#REF!="✅", IF(#REF!&lt;&gt;"", #REF!, ""),"")</f>
      </c>
      <c r="B181" s="5">
        <f>IF(#REF!="✅", "/Script/Engine.StaticMesh'/Game/Item/Mesh/Voxel/" &amp; #REF! &amp; "/" &amp; #REF! &amp; "/" &amp; #REF! &amp; "." &amp; #REF! &amp; "'", "")</f>
      </c>
      <c r="C181">
        <f>IF(#REF!="✅", IF(#REF!&lt;&gt;"", #REF!, ""), "")</f>
      </c>
      <c r="D181" s="10">
        <f>IF(#REF!="✅", IF(#REF!&lt;&gt;"", #REF!, ""),"")</f>
      </c>
      <c r="E181" s="9">
        <f>IF(#REF!="✅", IF(#REF!&lt;&gt;"", #REF!, ""),"")</f>
      </c>
      <c r="F181">
        <f>IF(#REF!="✅", IF(#REF!&lt;&gt;"", #REF!, ""),"")</f>
      </c>
      <c r="G181">
        <f>IF(#REF!="✅", IF(#REF!&lt;&gt;"", #REF!, ""),"")</f>
      </c>
      <c r="H181">
        <f>IF(#REF!="✅", IF(#REF!&lt;&gt;"", #REF!, ""),"")</f>
      </c>
      <c r="I181">
        <f>IF(#REF!="✅", IF(#REF!&lt;&gt;"", #REF!, ""),"")</f>
      </c>
      <c r="J181">
        <f>IF(#REF!="✅", IF(#REF!&lt;&gt;"", #REF!, ""),"")</f>
      </c>
      <c r="K181" s="1">
        <f>IF(#REF!="✅", VLOOKUP(A181,VoxelMeshDefinition!S:AE,10,FALSE),"")</f>
      </c>
    </row>
    <row r="182">
      <c r="A182">
        <f>IF(#REF!="✅", IF(#REF!&lt;&gt;"", #REF!, ""),"")</f>
      </c>
      <c r="B182" s="5">
        <f>IF(#REF!="✅", "/Script/Engine.StaticMesh'/Game/Item/Mesh/Voxel/" &amp; #REF! &amp; "/" &amp; #REF! &amp; "/" &amp; #REF! &amp; "." &amp; #REF! &amp; "'", "")</f>
      </c>
      <c r="C182">
        <f>IF(#REF!="✅", IF(#REF!&lt;&gt;"", #REF!, ""), "")</f>
      </c>
      <c r="D182" s="10">
        <f>IF(#REF!="✅", IF(#REF!&lt;&gt;"", #REF!, ""),"")</f>
      </c>
      <c r="E182" s="9">
        <f>IF(#REF!="✅", IF(#REF!&lt;&gt;"", #REF!, ""),"")</f>
      </c>
      <c r="F182">
        <f>IF(#REF!="✅", IF(#REF!&lt;&gt;"", #REF!, ""),"")</f>
      </c>
      <c r="G182">
        <f>IF(#REF!="✅", IF(#REF!&lt;&gt;"", #REF!, ""),"")</f>
      </c>
      <c r="H182">
        <f>IF(#REF!="✅", IF(#REF!&lt;&gt;"", #REF!, ""),"")</f>
      </c>
      <c r="I182">
        <f>IF(#REF!="✅", IF(#REF!&lt;&gt;"", #REF!, ""),"")</f>
      </c>
      <c r="J182">
        <f>IF(#REF!="✅", IF(#REF!&lt;&gt;"", #REF!, ""),"")</f>
      </c>
      <c r="K182" s="1">
        <f>IF(#REF!="✅", VLOOKUP(A182,VoxelMeshDefinition!S:AE,10,FALSE),"")</f>
      </c>
    </row>
    <row r="183">
      <c r="A183">
        <f>IF(#REF!="✅", IF(#REF!&lt;&gt;"", #REF!, ""),"")</f>
      </c>
      <c r="B183" s="5">
        <f>IF(#REF!="✅", "/Script/Engine.StaticMesh'/Game/Item/Mesh/Voxel/" &amp; #REF! &amp; "/" &amp; #REF! &amp; "/" &amp; #REF! &amp; "." &amp; #REF! &amp; "'", "")</f>
      </c>
      <c r="C183">
        <f>IF(#REF!="✅", IF(#REF!&lt;&gt;"", #REF!, ""), "")</f>
      </c>
      <c r="D183" s="10">
        <f>IF(#REF!="✅", IF(#REF!&lt;&gt;"", #REF!, ""),"")</f>
      </c>
      <c r="E183" s="9">
        <f>IF(#REF!="✅", IF(#REF!&lt;&gt;"", #REF!, ""),"")</f>
      </c>
      <c r="F183">
        <f>IF(#REF!="✅", IF(#REF!&lt;&gt;"", #REF!, ""),"")</f>
      </c>
      <c r="G183">
        <f>IF(#REF!="✅", IF(#REF!&lt;&gt;"", #REF!, ""),"")</f>
      </c>
      <c r="H183">
        <f>IF(#REF!="✅", IF(#REF!&lt;&gt;"", #REF!, ""),"")</f>
      </c>
      <c r="I183">
        <f>IF(#REF!="✅", IF(#REF!&lt;&gt;"", #REF!, ""),"")</f>
      </c>
      <c r="J183">
        <f>IF(#REF!="✅", IF(#REF!&lt;&gt;"", #REF!, ""),"")</f>
      </c>
      <c r="K183" s="1">
        <f>IF(#REF!="✅", VLOOKUP(A183,VoxelMeshDefinition!S:AE,10,FALSE),"")</f>
      </c>
    </row>
    <row r="184">
      <c r="A184">
        <f>IF(#REF!="✅", IF(#REF!&lt;&gt;"", #REF!, ""),"")</f>
      </c>
      <c r="B184" s="5">
        <f>IF(#REF!="✅", "/Script/Engine.StaticMesh'/Game/Item/Mesh/Voxel/" &amp; #REF! &amp; "/" &amp; #REF! &amp; "/" &amp; #REF! &amp; "." &amp; #REF! &amp; "'", "")</f>
      </c>
      <c r="C184">
        <f>IF(#REF!="✅", IF(#REF!&lt;&gt;"", #REF!, ""), "")</f>
      </c>
      <c r="D184" s="10">
        <f>IF(#REF!="✅", IF(#REF!&lt;&gt;"", #REF!, ""),"")</f>
      </c>
      <c r="E184" s="9">
        <f>IF(#REF!="✅", IF(#REF!&lt;&gt;"", #REF!, ""),"")</f>
      </c>
      <c r="F184">
        <f>IF(#REF!="✅", IF(#REF!&lt;&gt;"", #REF!, ""),"")</f>
      </c>
      <c r="G184">
        <f>IF(#REF!="✅", IF(#REF!&lt;&gt;"", #REF!, ""),"")</f>
      </c>
      <c r="H184">
        <f>IF(#REF!="✅", IF(#REF!&lt;&gt;"", #REF!, ""),"")</f>
      </c>
      <c r="I184">
        <f>IF(#REF!="✅", IF(#REF!&lt;&gt;"", #REF!, ""),"")</f>
      </c>
      <c r="J184">
        <f>IF(#REF!="✅", IF(#REF!&lt;&gt;"", #REF!, ""),"")</f>
      </c>
      <c r="K184" s="1">
        <f>IF(#REF!="✅", VLOOKUP(A184,VoxelMeshDefinition!S:AE,10,FALSE),"")</f>
      </c>
    </row>
    <row r="185">
      <c r="A185">
        <f>IF(#REF!="✅", IF(#REF!&lt;&gt;"", #REF!, ""),"")</f>
      </c>
      <c r="B185" s="5">
        <f>IF(#REF!="✅", "/Script/Engine.StaticMesh'/Game/Item/Mesh/Voxel/" &amp; #REF! &amp; "/" &amp; #REF! &amp; "/" &amp; #REF! &amp; "." &amp; #REF! &amp; "'", "")</f>
      </c>
      <c r="C185">
        <f>IF(#REF!="✅", IF(#REF!&lt;&gt;"", #REF!, ""), "")</f>
      </c>
      <c r="D185" s="10">
        <f>IF(#REF!="✅", IF(#REF!&lt;&gt;"", #REF!, ""),"")</f>
      </c>
      <c r="E185" s="9">
        <f>IF(#REF!="✅", IF(#REF!&lt;&gt;"", #REF!, ""),"")</f>
      </c>
      <c r="F185">
        <f>IF(#REF!="✅", IF(#REF!&lt;&gt;"", #REF!, ""),"")</f>
      </c>
      <c r="G185">
        <f>IF(#REF!="✅", IF(#REF!&lt;&gt;"", #REF!, ""),"")</f>
      </c>
      <c r="H185">
        <f>IF(#REF!="✅", IF(#REF!&lt;&gt;"", #REF!, ""),"")</f>
      </c>
      <c r="I185">
        <f>IF(#REF!="✅", IF(#REF!&lt;&gt;"", #REF!, ""),"")</f>
      </c>
      <c r="J185">
        <f>IF(#REF!="✅", IF(#REF!&lt;&gt;"", #REF!, ""),"")</f>
      </c>
      <c r="K185" s="1">
        <f>IF(#REF!="✅", VLOOKUP(A185,VoxelMeshDefinition!S:AE,10,FALSE),"")</f>
      </c>
    </row>
    <row r="186">
      <c r="A186">
        <f>IF(#REF!="✅", IF(#REF!&lt;&gt;"", #REF!, ""),"")</f>
      </c>
      <c r="B186" s="5">
        <f>IF(#REF!="✅", "/Script/Engine.StaticMesh'/Game/Item/Mesh/Voxel/" &amp; #REF! &amp; "/" &amp; #REF! &amp; "/" &amp; #REF! &amp; "." &amp; #REF! &amp; "'", "")</f>
      </c>
      <c r="C186">
        <f>IF(#REF!="✅", IF(#REF!&lt;&gt;"", #REF!, ""), "")</f>
      </c>
      <c r="D186" s="10">
        <f>IF(#REF!="✅", IF(#REF!&lt;&gt;"", #REF!, ""),"")</f>
      </c>
      <c r="E186" s="9">
        <f>IF(#REF!="✅", IF(#REF!&lt;&gt;"", #REF!, ""),"")</f>
      </c>
      <c r="F186">
        <f>IF(#REF!="✅", IF(#REF!&lt;&gt;"", #REF!, ""),"")</f>
      </c>
      <c r="G186">
        <f>IF(#REF!="✅", IF(#REF!&lt;&gt;"", #REF!, ""),"")</f>
      </c>
      <c r="H186">
        <f>IF(#REF!="✅", IF(#REF!&lt;&gt;"", #REF!, ""),"")</f>
      </c>
      <c r="I186">
        <f>IF(#REF!="✅", IF(#REF!&lt;&gt;"", #REF!, ""),"")</f>
      </c>
      <c r="J186">
        <f>IF(#REF!="✅", IF(#REF!&lt;&gt;"", #REF!, ""),"")</f>
      </c>
      <c r="K186" s="1">
        <f>IF(#REF!="✅", VLOOKUP(A186,VoxelMeshDefinition!S:AE,10,FALSE),"")</f>
      </c>
    </row>
    <row r="187">
      <c r="A187">
        <f>IF(#REF!="✅", IF(#REF!&lt;&gt;"", #REF!, ""),"")</f>
      </c>
      <c r="B187" s="5">
        <f>IF(#REF!="✅", "/Script/Engine.StaticMesh'/Game/Item/Mesh/Voxel/" &amp; #REF! &amp; "/" &amp; #REF! &amp; "/" &amp; #REF! &amp; "." &amp; #REF! &amp; "'", "")</f>
      </c>
      <c r="C187">
        <f>IF(#REF!="✅", IF(#REF!&lt;&gt;"", #REF!, ""), "")</f>
      </c>
      <c r="D187" s="10">
        <f>IF(#REF!="✅", IF(#REF!&lt;&gt;"", #REF!, ""),"")</f>
      </c>
      <c r="E187" s="9">
        <f>IF(#REF!="✅", IF(#REF!&lt;&gt;"", #REF!, ""),"")</f>
      </c>
      <c r="F187">
        <f>IF(#REF!="✅", IF(#REF!&lt;&gt;"", #REF!, ""),"")</f>
      </c>
      <c r="G187">
        <f>IF(#REF!="✅", IF(#REF!&lt;&gt;"", #REF!, ""),"")</f>
      </c>
      <c r="H187">
        <f>IF(#REF!="✅", IF(#REF!&lt;&gt;"", #REF!, ""),"")</f>
      </c>
      <c r="I187">
        <f>IF(#REF!="✅", IF(#REF!&lt;&gt;"", #REF!, ""),"")</f>
      </c>
      <c r="J187">
        <f>IF(#REF!="✅", IF(#REF!&lt;&gt;"", #REF!, ""),"")</f>
      </c>
      <c r="K187" s="1">
        <f>IF(#REF!="✅", VLOOKUP(A187,VoxelMeshDefinition!S:AE,10,FALSE),"")</f>
      </c>
    </row>
    <row r="188">
      <c r="A188">
        <f>IF(#REF!="✅", IF(#REF!&lt;&gt;"", #REF!, ""),"")</f>
      </c>
      <c r="B188" s="5">
        <f>IF(#REF!="✅", "/Script/Engine.StaticMesh'/Game/Item/Mesh/Voxel/" &amp; #REF! &amp; "/" &amp; #REF! &amp; "/" &amp; #REF! &amp; "." &amp; #REF! &amp; "'", "")</f>
      </c>
      <c r="C188">
        <f>IF(#REF!="✅", IF(#REF!&lt;&gt;"", #REF!, ""), "")</f>
      </c>
      <c r="D188" s="10">
        <f>IF(#REF!="✅", IF(#REF!&lt;&gt;"", #REF!, ""),"")</f>
      </c>
      <c r="E188" s="9">
        <f>IF(#REF!="✅", IF(#REF!&lt;&gt;"", #REF!, ""),"")</f>
      </c>
      <c r="F188">
        <f>IF(#REF!="✅", IF(#REF!&lt;&gt;"", #REF!, ""),"")</f>
      </c>
      <c r="G188">
        <f>IF(#REF!="✅", IF(#REF!&lt;&gt;"", #REF!, ""),"")</f>
      </c>
      <c r="H188">
        <f>IF(#REF!="✅", IF(#REF!&lt;&gt;"", #REF!, ""),"")</f>
      </c>
      <c r="I188">
        <f>IF(#REF!="✅", IF(#REF!&lt;&gt;"", #REF!, ""),"")</f>
      </c>
      <c r="J188">
        <f>IF(#REF!="✅", IF(#REF!&lt;&gt;"", #REF!, ""),"")</f>
      </c>
      <c r="K188" s="1">
        <f>IF(#REF!="✅", VLOOKUP(A188,VoxelMeshDefinition!S:AE,10,FALSE),"")</f>
      </c>
    </row>
    <row r="189">
      <c r="A189">
        <f>IF(#REF!="✅", IF(#REF!&lt;&gt;"", #REF!, ""),"")</f>
      </c>
      <c r="B189" s="5">
        <f>IF(#REF!="✅", "/Script/Engine.StaticMesh'/Game/Item/Mesh/Voxel/" &amp; #REF! &amp; "/" &amp; #REF! &amp; "/" &amp; #REF! &amp; "." &amp; #REF! &amp; "'", "")</f>
      </c>
      <c r="C189">
        <f>IF(#REF!="✅", IF(#REF!&lt;&gt;"", #REF!, ""), "")</f>
      </c>
      <c r="D189" s="10">
        <f>IF(#REF!="✅", IF(#REF!&lt;&gt;"", #REF!, ""),"")</f>
      </c>
      <c r="E189" s="9">
        <f>IF(#REF!="✅", IF(#REF!&lt;&gt;"", #REF!, ""),"")</f>
      </c>
      <c r="F189">
        <f>IF(#REF!="✅", IF(#REF!&lt;&gt;"", #REF!, ""),"")</f>
      </c>
      <c r="G189">
        <f>IF(#REF!="✅", IF(#REF!&lt;&gt;"", #REF!, ""),"")</f>
      </c>
      <c r="H189">
        <f>IF(#REF!="✅", IF(#REF!&lt;&gt;"", #REF!, ""),"")</f>
      </c>
      <c r="I189">
        <f>IF(#REF!="✅", IF(#REF!&lt;&gt;"", #REF!, ""),"")</f>
      </c>
      <c r="J189">
        <f>IF(#REF!="✅", IF(#REF!&lt;&gt;"", #REF!, ""),"")</f>
      </c>
      <c r="K189" s="1">
        <f>IF(#REF!="✅", VLOOKUP(A189,VoxelMeshDefinition!S:AE,10,FALSE),"")</f>
      </c>
    </row>
    <row r="190">
      <c r="A190">
        <f>IF(#REF!="✅", IF(#REF!&lt;&gt;"", #REF!, ""),"")</f>
      </c>
      <c r="B190" s="5">
        <f>IF(#REF!="✅", "/Script/Engine.StaticMesh'/Game/Item/Mesh/Voxel/" &amp; #REF! &amp; "/" &amp; #REF! &amp; "/" &amp; #REF! &amp; "." &amp; #REF! &amp; "'", "")</f>
      </c>
      <c r="C190">
        <f>IF(#REF!="✅", IF(#REF!&lt;&gt;"", #REF!, ""), "")</f>
      </c>
      <c r="D190" s="10">
        <f>IF(#REF!="✅", IF(#REF!&lt;&gt;"", #REF!, ""),"")</f>
      </c>
      <c r="E190" s="9">
        <f>IF(#REF!="✅", IF(#REF!&lt;&gt;"", #REF!, ""),"")</f>
      </c>
      <c r="F190">
        <f>IF(#REF!="✅", IF(#REF!&lt;&gt;"", #REF!, ""),"")</f>
      </c>
      <c r="G190">
        <f>IF(#REF!="✅", IF(#REF!&lt;&gt;"", #REF!, ""),"")</f>
      </c>
      <c r="H190">
        <f>IF(#REF!="✅", IF(#REF!&lt;&gt;"", #REF!, ""),"")</f>
      </c>
      <c r="I190">
        <f>IF(#REF!="✅", IF(#REF!&lt;&gt;"", #REF!, ""),"")</f>
      </c>
      <c r="J190">
        <f>IF(#REF!="✅", IF(#REF!&lt;&gt;"", #REF!, ""),"")</f>
      </c>
      <c r="K190" s="1">
        <f>IF(#REF!="✅", VLOOKUP(A190,VoxelMeshDefinition!S:AE,10,FALSE),"")</f>
      </c>
    </row>
    <row r="191">
      <c r="A191">
        <f>IF(#REF!="✅", IF(#REF!&lt;&gt;"", #REF!, ""),"")</f>
      </c>
      <c r="B191" s="5">
        <f>IF(#REF!="✅", "/Script/Engine.StaticMesh'/Game/Item/Mesh/Voxel/" &amp; #REF! &amp; "/" &amp; #REF! &amp; "/" &amp; #REF! &amp; "." &amp; #REF! &amp; "'", "")</f>
      </c>
      <c r="C191">
        <f>IF(#REF!="✅", IF(#REF!&lt;&gt;"", #REF!, ""), "")</f>
      </c>
      <c r="D191" s="10">
        <f>IF(#REF!="✅", IF(#REF!&lt;&gt;"", #REF!, ""),"")</f>
      </c>
      <c r="E191" s="9">
        <f>IF(#REF!="✅", IF(#REF!&lt;&gt;"", #REF!, ""),"")</f>
      </c>
      <c r="F191">
        <f>IF(#REF!="✅", IF(#REF!&lt;&gt;"", #REF!, ""),"")</f>
      </c>
      <c r="G191">
        <f>IF(#REF!="✅", IF(#REF!&lt;&gt;"", #REF!, ""),"")</f>
      </c>
      <c r="H191">
        <f>IF(#REF!="✅", IF(#REF!&lt;&gt;"", #REF!, ""),"")</f>
      </c>
      <c r="I191">
        <f>IF(#REF!="✅", IF(#REF!&lt;&gt;"", #REF!, ""),"")</f>
      </c>
      <c r="J191">
        <f>IF(#REF!="✅", IF(#REF!&lt;&gt;"", #REF!, ""),"")</f>
      </c>
      <c r="K191" s="1">
        <f>IF(#REF!="✅", VLOOKUP(A191,VoxelMeshDefinition!S:AE,10,FALSE),"")</f>
      </c>
    </row>
    <row r="192">
      <c r="A192">
        <f>IF(#REF!="✅", IF(#REF!&lt;&gt;"", #REF!, ""),"")</f>
      </c>
      <c r="B192" s="5">
        <f>IF(#REF!="✅", "/Script/Engine.StaticMesh'/Game/Item/Mesh/Voxel/" &amp; #REF! &amp; "/" &amp; #REF! &amp; "/" &amp; #REF! &amp; "." &amp; #REF! &amp; "'", "")</f>
      </c>
      <c r="C192">
        <f>IF(#REF!="✅", IF(#REF!&lt;&gt;"", #REF!, ""), "")</f>
      </c>
      <c r="D192" s="10">
        <f>IF(#REF!="✅", IF(#REF!&lt;&gt;"", #REF!, ""),"")</f>
      </c>
      <c r="E192" s="9">
        <f>IF(#REF!="✅", IF(#REF!&lt;&gt;"", #REF!, ""),"")</f>
      </c>
      <c r="F192">
        <f>IF(#REF!="✅", IF(#REF!&lt;&gt;"", #REF!, ""),"")</f>
      </c>
      <c r="G192">
        <f>IF(#REF!="✅", IF(#REF!&lt;&gt;"", #REF!, ""),"")</f>
      </c>
      <c r="H192">
        <f>IF(#REF!="✅", IF(#REF!&lt;&gt;"", #REF!, ""),"")</f>
      </c>
      <c r="I192">
        <f>IF(#REF!="✅", IF(#REF!&lt;&gt;"", #REF!, ""),"")</f>
      </c>
      <c r="J192">
        <f>IF(#REF!="✅", IF(#REF!&lt;&gt;"", #REF!, ""),"")</f>
      </c>
      <c r="K192" s="1">
        <f>IF(#REF!="✅", VLOOKUP(A192,VoxelMeshDefinition!S:AE,10,FALSE),"")</f>
      </c>
    </row>
    <row r="193">
      <c r="A193">
        <f>IF(#REF!="✅", IF(#REF!&lt;&gt;"", #REF!, ""),"")</f>
      </c>
      <c r="B193" s="5">
        <f>IF(#REF!="✅", "/Script/Engine.StaticMesh'/Game/Item/Mesh/Voxel/" &amp; #REF! &amp; "/" &amp; #REF! &amp; "/" &amp; #REF! &amp; "." &amp; #REF! &amp; "'", "")</f>
      </c>
      <c r="C193">
        <f>IF(#REF!="✅", IF(#REF!&lt;&gt;"", #REF!, ""), "")</f>
      </c>
      <c r="D193" s="10">
        <f>IF(#REF!="✅", IF(#REF!&lt;&gt;"", #REF!, ""),"")</f>
      </c>
      <c r="E193" s="9">
        <f>IF(#REF!="✅", IF(#REF!&lt;&gt;"", #REF!, ""),"")</f>
      </c>
      <c r="F193">
        <f>IF(#REF!="✅", IF(#REF!&lt;&gt;"", #REF!, ""),"")</f>
      </c>
      <c r="G193">
        <f>IF(#REF!="✅", IF(#REF!&lt;&gt;"", #REF!, ""),"")</f>
      </c>
      <c r="H193">
        <f>IF(#REF!="✅", IF(#REF!&lt;&gt;"", #REF!, ""),"")</f>
      </c>
      <c r="I193">
        <f>IF(#REF!="✅", IF(#REF!&lt;&gt;"", #REF!, ""),"")</f>
      </c>
      <c r="J193">
        <f>IF(#REF!="✅", IF(#REF!&lt;&gt;"", #REF!, ""),"")</f>
      </c>
      <c r="K193" s="1">
        <f>IF(#REF!="✅", VLOOKUP(A193,VoxelMeshDefinition!S:AE,10,FALSE),"")</f>
      </c>
    </row>
    <row r="194">
      <c r="A194">
        <f>IF(#REF!="✅", IF(#REF!&lt;&gt;"", #REF!, ""),"")</f>
      </c>
      <c r="B194" s="5">
        <f>IF(#REF!="✅", "/Script/Engine.StaticMesh'/Game/Item/Mesh/Voxel/" &amp; #REF! &amp; "/" &amp; #REF! &amp; "/" &amp; #REF! &amp; "." &amp; #REF! &amp; "'", "")</f>
      </c>
      <c r="C194">
        <f>IF(#REF!="✅", IF(#REF!&lt;&gt;"", #REF!, ""), "")</f>
      </c>
      <c r="D194" s="10">
        <f>IF(#REF!="✅", IF(#REF!&lt;&gt;"", #REF!, ""),"")</f>
      </c>
      <c r="E194" s="9">
        <f>IF(#REF!="✅", IF(#REF!&lt;&gt;"", #REF!, ""),"")</f>
      </c>
      <c r="F194">
        <f>IF(#REF!="✅", IF(#REF!&lt;&gt;"", #REF!, ""),"")</f>
      </c>
      <c r="G194">
        <f>IF(#REF!="✅", IF(#REF!&lt;&gt;"", #REF!, ""),"")</f>
      </c>
      <c r="H194">
        <f>IF(#REF!="✅", IF(#REF!&lt;&gt;"", #REF!, ""),"")</f>
      </c>
      <c r="I194">
        <f>IF(#REF!="✅", IF(#REF!&lt;&gt;"", #REF!, ""),"")</f>
      </c>
      <c r="J194">
        <f>IF(#REF!="✅", IF(#REF!&lt;&gt;"", #REF!, ""),"")</f>
      </c>
      <c r="K194" s="1">
        <f>IF(#REF!="✅", VLOOKUP(A194,VoxelMeshDefinition!S:AE,10,FALSE),"")</f>
      </c>
    </row>
    <row r="195">
      <c r="A195">
        <f>IF(#REF!="✅", IF(#REF!&lt;&gt;"", #REF!, ""),"")</f>
      </c>
      <c r="B195" s="5">
        <f>IF(#REF!="✅", "/Script/Engine.StaticMesh'/Game/Item/Mesh/Voxel/" &amp; #REF! &amp; "/" &amp; #REF! &amp; "/" &amp; #REF! &amp; "." &amp; #REF! &amp; "'", "")</f>
      </c>
      <c r="C195">
        <f>IF(#REF!="✅", IF(#REF!&lt;&gt;"", #REF!, ""), "")</f>
      </c>
      <c r="D195" s="10">
        <f>IF(#REF!="✅", IF(#REF!&lt;&gt;"", #REF!, ""),"")</f>
      </c>
      <c r="E195" s="9">
        <f>IF(#REF!="✅", IF(#REF!&lt;&gt;"", #REF!, ""),"")</f>
      </c>
      <c r="F195">
        <f>IF(#REF!="✅", IF(#REF!&lt;&gt;"", #REF!, ""),"")</f>
      </c>
      <c r="G195">
        <f>IF(#REF!="✅", IF(#REF!&lt;&gt;"", #REF!, ""),"")</f>
      </c>
      <c r="H195">
        <f>IF(#REF!="✅", IF(#REF!&lt;&gt;"", #REF!, ""),"")</f>
      </c>
      <c r="I195">
        <f>IF(#REF!="✅", IF(#REF!&lt;&gt;"", #REF!, ""),"")</f>
      </c>
      <c r="J195">
        <f>IF(#REF!="✅", IF(#REF!&lt;&gt;"", #REF!, ""),"")</f>
      </c>
      <c r="K195" s="1">
        <f>IF(#REF!="✅", VLOOKUP(A195,VoxelMeshDefinition!S:AE,10,FALSE),"")</f>
      </c>
    </row>
    <row r="196">
      <c r="A196">
        <f>IF(#REF!="✅", IF(#REF!&lt;&gt;"", #REF!, ""),"")</f>
      </c>
      <c r="B196" s="5">
        <f>IF(#REF!="✅", "/Script/Engine.StaticMesh'/Game/Item/Mesh/Voxel/" &amp; #REF! &amp; "/" &amp; #REF! &amp; "/" &amp; #REF! &amp; "." &amp; #REF! &amp; "'", "")</f>
      </c>
      <c r="C196">
        <f>IF(#REF!="✅", IF(#REF!&lt;&gt;"", #REF!, ""), "")</f>
      </c>
      <c r="D196" s="10">
        <f>IF(#REF!="✅", IF(#REF!&lt;&gt;"", #REF!, ""),"")</f>
      </c>
      <c r="E196" s="9">
        <f>IF(#REF!="✅", IF(#REF!&lt;&gt;"", #REF!, ""),"")</f>
      </c>
      <c r="F196">
        <f>IF(#REF!="✅", IF(#REF!&lt;&gt;"", #REF!, ""),"")</f>
      </c>
      <c r="G196">
        <f>IF(#REF!="✅", IF(#REF!&lt;&gt;"", #REF!, ""),"")</f>
      </c>
      <c r="H196">
        <f>IF(#REF!="✅", IF(#REF!&lt;&gt;"", #REF!, ""),"")</f>
      </c>
      <c r="I196">
        <f>IF(#REF!="✅", IF(#REF!&lt;&gt;"", #REF!, ""),"")</f>
      </c>
      <c r="J196">
        <f>IF(#REF!="✅", IF(#REF!&lt;&gt;"", #REF!, ""),"")</f>
      </c>
      <c r="K196" s="1">
        <f>IF(#REF!="✅", VLOOKUP(A196,VoxelMeshDefinition!S:AE,10,FALSE),"")</f>
      </c>
    </row>
    <row r="197">
      <c r="A197">
        <f>IF(#REF!="✅", IF(#REF!&lt;&gt;"", #REF!, ""),"")</f>
      </c>
      <c r="B197" s="5">
        <f>IF(#REF!="✅", "/Script/Engine.StaticMesh'/Game/Item/Mesh/Voxel/" &amp; #REF! &amp; "/" &amp; #REF! &amp; "/" &amp; #REF! &amp; "." &amp; #REF! &amp; "'", "")</f>
      </c>
      <c r="C197">
        <f>IF(#REF!="✅", IF(#REF!&lt;&gt;"", #REF!, ""), "")</f>
      </c>
      <c r="D197" s="10">
        <f>IF(#REF!="✅", IF(#REF!&lt;&gt;"", #REF!, ""),"")</f>
      </c>
      <c r="E197" s="9">
        <f>IF(#REF!="✅", IF(#REF!&lt;&gt;"", #REF!, ""),"")</f>
      </c>
      <c r="F197">
        <f>IF(#REF!="✅", IF(#REF!&lt;&gt;"", #REF!, ""),"")</f>
      </c>
      <c r="G197">
        <f>IF(#REF!="✅", IF(#REF!&lt;&gt;"", #REF!, ""),"")</f>
      </c>
      <c r="H197">
        <f>IF(#REF!="✅", IF(#REF!&lt;&gt;"", #REF!, ""),"")</f>
      </c>
      <c r="I197">
        <f>IF(#REF!="✅", IF(#REF!&lt;&gt;"", #REF!, ""),"")</f>
      </c>
      <c r="J197">
        <f>IF(#REF!="✅", IF(#REF!&lt;&gt;"", #REF!, ""),"")</f>
      </c>
      <c r="K197" s="1">
        <f>IF(#REF!="✅", VLOOKUP(A197,VoxelMeshDefinition!S:AE,10,FALSE),"")</f>
      </c>
    </row>
    <row r="198">
      <c r="A198">
        <f>IF(#REF!="✅", IF(#REF!&lt;&gt;"", #REF!, ""),"")</f>
      </c>
      <c r="B198" s="5">
        <f>IF(#REF!="✅", "/Script/Engine.StaticMesh'/Game/Item/Mesh/Voxel/" &amp; #REF! &amp; "/" &amp; #REF! &amp; "/" &amp; #REF! &amp; "." &amp; #REF! &amp; "'", "")</f>
      </c>
      <c r="C198">
        <f>IF(#REF!="✅", IF(#REF!&lt;&gt;"", #REF!, ""), "")</f>
      </c>
      <c r="D198" s="10">
        <f>IF(#REF!="✅", IF(#REF!&lt;&gt;"", #REF!, ""),"")</f>
      </c>
      <c r="E198" s="9">
        <f>IF(#REF!="✅", IF(#REF!&lt;&gt;"", #REF!, ""),"")</f>
      </c>
      <c r="F198">
        <f>IF(#REF!="✅", IF(#REF!&lt;&gt;"", #REF!, ""),"")</f>
      </c>
      <c r="G198">
        <f>IF(#REF!="✅", IF(#REF!&lt;&gt;"", #REF!, ""),"")</f>
      </c>
      <c r="H198">
        <f>IF(#REF!="✅", IF(#REF!&lt;&gt;"", #REF!, ""),"")</f>
      </c>
      <c r="I198">
        <f>IF(#REF!="✅", IF(#REF!&lt;&gt;"", #REF!, ""),"")</f>
      </c>
      <c r="J198">
        <f>IF(#REF!="✅", IF(#REF!&lt;&gt;"", #REF!, ""),"")</f>
      </c>
      <c r="K198" s="1">
        <f>IF(#REF!="✅", VLOOKUP(A198,VoxelMeshDefinition!S:AE,10,FALSE),"")</f>
      </c>
    </row>
    <row r="199">
      <c r="A199">
        <f>IF(#REF!="✅", IF(#REF!&lt;&gt;"", #REF!, ""),"")</f>
      </c>
      <c r="B199" s="5">
        <f>IF(#REF!="✅", "/Script/Engine.StaticMesh'/Game/Item/Mesh/Voxel/" &amp; #REF! &amp; "/" &amp; #REF! &amp; "/" &amp; #REF! &amp; "." &amp; #REF! &amp; "'", "")</f>
      </c>
      <c r="C199">
        <f>IF(#REF!="✅", IF(#REF!&lt;&gt;"", #REF!, ""), "")</f>
      </c>
      <c r="D199" s="10">
        <f>IF(#REF!="✅", IF(#REF!&lt;&gt;"", #REF!, ""),"")</f>
      </c>
      <c r="E199" s="9">
        <f>IF(#REF!="✅", IF(#REF!&lt;&gt;"", #REF!, ""),"")</f>
      </c>
      <c r="F199">
        <f>IF(#REF!="✅", IF(#REF!&lt;&gt;"", #REF!, ""),"")</f>
      </c>
      <c r="G199">
        <f>IF(#REF!="✅", IF(#REF!&lt;&gt;"", #REF!, ""),"")</f>
      </c>
      <c r="H199">
        <f>IF(#REF!="✅", IF(#REF!&lt;&gt;"", #REF!, ""),"")</f>
      </c>
      <c r="I199">
        <f>IF(#REF!="✅", IF(#REF!&lt;&gt;"", #REF!, ""),"")</f>
      </c>
      <c r="J199">
        <f>IF(#REF!="✅", IF(#REF!&lt;&gt;"", #REF!, ""),"")</f>
      </c>
      <c r="K199" s="1">
        <f>IF(#REF!="✅", VLOOKUP(A199,VoxelMeshDefinition!S:AE,10,FALSE),"")</f>
      </c>
    </row>
    <row r="200">
      <c r="A200">
        <f>IF(#REF!="✅", IF(#REF!&lt;&gt;"", #REF!, ""),"")</f>
      </c>
      <c r="B200" s="5">
        <f>IF(#REF!="✅", "/Script/Engine.StaticMesh'/Game/Item/Mesh/Voxel/" &amp; #REF! &amp; "/" &amp; #REF! &amp; "/" &amp; #REF! &amp; "." &amp; #REF! &amp; "'", "")</f>
      </c>
      <c r="C200">
        <f>IF(#REF!="✅", IF(#REF!&lt;&gt;"", #REF!, ""), "")</f>
      </c>
      <c r="D200" s="10">
        <f>IF(#REF!="✅", IF(#REF!&lt;&gt;"", #REF!, ""),"")</f>
      </c>
      <c r="E200" s="9">
        <f>IF(#REF!="✅", IF(#REF!&lt;&gt;"", #REF!, ""),"")</f>
      </c>
      <c r="F200">
        <f>IF(#REF!="✅", IF(#REF!&lt;&gt;"", #REF!, ""),"")</f>
      </c>
      <c r="G200">
        <f>IF(#REF!="✅", IF(#REF!&lt;&gt;"", #REF!, ""),"")</f>
      </c>
      <c r="H200">
        <f>IF(#REF!="✅", IF(#REF!&lt;&gt;"", #REF!, ""),"")</f>
      </c>
      <c r="I200">
        <f>IF(#REF!="✅", IF(#REF!&lt;&gt;"", #REF!, ""),"")</f>
      </c>
      <c r="J200">
        <f>IF(#REF!="✅", IF(#REF!&lt;&gt;"", #REF!, ""),"")</f>
      </c>
      <c r="K200" s="1">
        <f>IF(#REF!="✅", VLOOKUP(A200,VoxelMeshDefinition!S:AE,10,FALSE),"")</f>
      </c>
    </row>
    <row r="201">
      <c r="A201">
        <f>IF(#REF!="✅", IF(#REF!&lt;&gt;"", #REF!, ""),"")</f>
      </c>
      <c r="B201" s="5">
        <f>IF(#REF!="✅", "/Script/Engine.StaticMesh'/Game/Item/Mesh/Voxel/" &amp; #REF! &amp; "/" &amp; #REF! &amp; "/" &amp; #REF! &amp; "." &amp; #REF! &amp; "'", "")</f>
      </c>
      <c r="C201">
        <f>IF(#REF!="✅", IF(#REF!&lt;&gt;"", #REF!, ""), "")</f>
      </c>
      <c r="D201" s="10">
        <f>IF(#REF!="✅", IF(#REF!&lt;&gt;"", #REF!, ""),"")</f>
      </c>
      <c r="E201" s="9">
        <f>IF(#REF!="✅", IF(#REF!&lt;&gt;"", #REF!, ""),"")</f>
      </c>
      <c r="F201">
        <f>IF(#REF!="✅", IF(#REF!&lt;&gt;"", #REF!, ""),"")</f>
      </c>
      <c r="G201">
        <f>IF(#REF!="✅", IF(#REF!&lt;&gt;"", #REF!, ""),"")</f>
      </c>
      <c r="H201">
        <f>IF(#REF!="✅", IF(#REF!&lt;&gt;"", #REF!, ""),"")</f>
      </c>
      <c r="I201">
        <f>IF(#REF!="✅", IF(#REF!&lt;&gt;"", #REF!, ""),"")</f>
      </c>
      <c r="J201">
        <f>IF(#REF!="✅", IF(#REF!&lt;&gt;"", #REF!, ""),"")</f>
      </c>
      <c r="K201" s="1">
        <f>IF(#REF!="✅", VLOOKUP(A201,VoxelMeshDefinition!S:AE,10,FALSE),"")</f>
      </c>
    </row>
    <row r="202">
      <c r="A202">
        <f>IF(#REF!="✅", IF(#REF!&lt;&gt;"", #REF!, ""),"")</f>
      </c>
      <c r="B202" s="5">
        <f>IF(#REF!="✅", "/Script/Engine.StaticMesh'/Game/Item/Mesh/Voxel/" &amp; #REF! &amp; "/" &amp; #REF! &amp; "/" &amp; #REF! &amp; "." &amp; #REF! &amp; "'", "")</f>
      </c>
      <c r="C202">
        <f>IF(#REF!="✅", IF(#REF!&lt;&gt;"", #REF!, ""), "")</f>
      </c>
      <c r="D202" s="10">
        <f>IF(#REF!="✅", IF(#REF!&lt;&gt;"", #REF!, ""),"")</f>
      </c>
      <c r="E202" s="9">
        <f>IF(#REF!="✅", IF(#REF!&lt;&gt;"", #REF!, ""),"")</f>
      </c>
      <c r="F202">
        <f>IF(#REF!="✅", IF(#REF!&lt;&gt;"", #REF!, ""),"")</f>
      </c>
      <c r="G202">
        <f>IF(#REF!="✅", IF(#REF!&lt;&gt;"", #REF!, ""),"")</f>
      </c>
      <c r="H202">
        <f>IF(#REF!="✅", IF(#REF!&lt;&gt;"", #REF!, ""),"")</f>
      </c>
      <c r="I202">
        <f>IF(#REF!="✅", IF(#REF!&lt;&gt;"", #REF!, ""),"")</f>
      </c>
      <c r="J202">
        <f>IF(#REF!="✅", IF(#REF!&lt;&gt;"", #REF!, ""),"")</f>
      </c>
      <c r="K202" s="1">
        <f>IF(#REF!="✅", VLOOKUP(A202,VoxelMeshDefinition!S:AE,10,FALSE),"")</f>
      </c>
    </row>
    <row r="203">
      <c r="A203">
        <f>IF(#REF!="✅", IF(#REF!&lt;&gt;"", #REF!, ""),"")</f>
      </c>
      <c r="B203" s="5">
        <f>IF(#REF!="✅", "/Script/Engine.StaticMesh'/Game/Item/Mesh/Voxel/" &amp; #REF! &amp; "/" &amp; #REF! &amp; "/" &amp; #REF! &amp; "." &amp; #REF! &amp; "'", "")</f>
      </c>
      <c r="C203">
        <f>IF(#REF!="✅", IF(#REF!&lt;&gt;"", #REF!, ""), "")</f>
      </c>
      <c r="D203" s="10">
        <f>IF(#REF!="✅", IF(#REF!&lt;&gt;"", #REF!, ""),"")</f>
      </c>
      <c r="E203" s="9">
        <f>IF(#REF!="✅", IF(#REF!&lt;&gt;"", #REF!, ""),"")</f>
      </c>
      <c r="F203">
        <f>IF(#REF!="✅", IF(#REF!&lt;&gt;"", #REF!, ""),"")</f>
      </c>
      <c r="G203">
        <f>IF(#REF!="✅", IF(#REF!&lt;&gt;"", #REF!, ""),"")</f>
      </c>
      <c r="H203">
        <f>IF(#REF!="✅", IF(#REF!&lt;&gt;"", #REF!, ""),"")</f>
      </c>
      <c r="I203">
        <f>IF(#REF!="✅", IF(#REF!&lt;&gt;"", #REF!, ""),"")</f>
      </c>
      <c r="J203">
        <f>IF(#REF!="✅", IF(#REF!&lt;&gt;"", #REF!, ""),"")</f>
      </c>
      <c r="K203" s="1">
        <f>IF(#REF!="✅", VLOOKUP(A203,VoxelMeshDefinition!S:AE,10,FALSE),"")</f>
      </c>
    </row>
    <row r="204">
      <c r="A204">
        <f>IF(#REF!="✅", IF(#REF!&lt;&gt;"", #REF!, ""),"")</f>
      </c>
      <c r="B204" s="5">
        <f>IF(#REF!="✅", "/Script/Engine.StaticMesh'/Game/Item/Mesh/Voxel/" &amp; #REF! &amp; "/" &amp; #REF! &amp; "/" &amp; #REF! &amp; "." &amp; #REF! &amp; "'", "")</f>
      </c>
      <c r="C204">
        <f>IF(#REF!="✅", IF(#REF!&lt;&gt;"", #REF!, ""), "")</f>
      </c>
      <c r="D204" s="10">
        <f>IF(#REF!="✅", IF(#REF!&lt;&gt;"", #REF!, ""),"")</f>
      </c>
      <c r="E204" s="9">
        <f>IF(#REF!="✅", IF(#REF!&lt;&gt;"", #REF!, ""),"")</f>
      </c>
      <c r="F204">
        <f>IF(#REF!="✅", IF(#REF!&lt;&gt;"", #REF!, ""),"")</f>
      </c>
      <c r="G204">
        <f>IF(#REF!="✅", IF(#REF!&lt;&gt;"", #REF!, ""),"")</f>
      </c>
      <c r="H204">
        <f>IF(#REF!="✅", IF(#REF!&lt;&gt;"", #REF!, ""),"")</f>
      </c>
      <c r="I204">
        <f>IF(#REF!="✅", IF(#REF!&lt;&gt;"", #REF!, ""),"")</f>
      </c>
      <c r="J204">
        <f>IF(#REF!="✅", IF(#REF!&lt;&gt;"", #REF!, ""),"")</f>
      </c>
      <c r="K204" s="1">
        <f>IF(#REF!="✅", VLOOKUP(A204,VoxelMeshDefinition!S:AE,10,FALSE),"")</f>
      </c>
    </row>
    <row r="205">
      <c r="A205">
        <f>IF(#REF!="✅", IF(#REF!&lt;&gt;"", #REF!, ""),"")</f>
      </c>
      <c r="B205" s="5">
        <f>IF(#REF!="✅", "/Script/Engine.StaticMesh'/Game/Item/Mesh/Voxel/" &amp; #REF! &amp; "/" &amp; #REF! &amp; "/" &amp; #REF! &amp; "." &amp; #REF! &amp; "'", "")</f>
      </c>
      <c r="C205">
        <f>IF(#REF!="✅", IF(#REF!&lt;&gt;"", #REF!, ""), "")</f>
      </c>
      <c r="D205" s="10">
        <f>IF(#REF!="✅", IF(#REF!&lt;&gt;"", #REF!, ""),"")</f>
      </c>
      <c r="E205" s="9">
        <f>IF(#REF!="✅", IF(#REF!&lt;&gt;"", #REF!, ""),"")</f>
      </c>
      <c r="F205">
        <f>IF(#REF!="✅", IF(#REF!&lt;&gt;"", #REF!, ""),"")</f>
      </c>
      <c r="G205">
        <f>IF(#REF!="✅", IF(#REF!&lt;&gt;"", #REF!, ""),"")</f>
      </c>
      <c r="H205">
        <f>IF(#REF!="✅", IF(#REF!&lt;&gt;"", #REF!, ""),"")</f>
      </c>
      <c r="I205">
        <f>IF(#REF!="✅", IF(#REF!&lt;&gt;"", #REF!, ""),"")</f>
      </c>
      <c r="J205">
        <f>IF(#REF!="✅", IF(#REF!&lt;&gt;"", #REF!, ""),"")</f>
      </c>
      <c r="K205" s="1">
        <f>IF(#REF!="✅", VLOOKUP(A205,VoxelMeshDefinition!S:AE,10,FALSE),"")</f>
      </c>
    </row>
    <row r="206">
      <c r="A206">
        <f>IF(#REF!="✅", IF(#REF!&lt;&gt;"", #REF!, ""),"")</f>
      </c>
      <c r="B206" s="5">
        <f>IF(#REF!="✅", "/Script/Engine.StaticMesh'/Game/Item/Mesh/Voxel/" &amp; #REF! &amp; "/" &amp; #REF! &amp; "/" &amp; #REF! &amp; "." &amp; #REF! &amp; "'", "")</f>
      </c>
      <c r="C206">
        <f>IF(#REF!="✅", IF(#REF!&lt;&gt;"", #REF!, ""), "")</f>
      </c>
      <c r="D206" s="10">
        <f>IF(#REF!="✅", IF(#REF!&lt;&gt;"", #REF!, ""),"")</f>
      </c>
      <c r="E206" s="9">
        <f>IF(#REF!="✅", IF(#REF!&lt;&gt;"", #REF!, ""),"")</f>
      </c>
      <c r="F206">
        <f>IF(#REF!="✅", IF(#REF!&lt;&gt;"", #REF!, ""),"")</f>
      </c>
      <c r="G206">
        <f>IF(#REF!="✅", IF(#REF!&lt;&gt;"", #REF!, ""),"")</f>
      </c>
      <c r="H206">
        <f>IF(#REF!="✅", IF(#REF!&lt;&gt;"", #REF!, ""),"")</f>
      </c>
      <c r="I206">
        <f>IF(#REF!="✅", IF(#REF!&lt;&gt;"", #REF!, ""),"")</f>
      </c>
      <c r="J206">
        <f>IF(#REF!="✅", IF(#REF!&lt;&gt;"", #REF!, ""),"")</f>
      </c>
      <c r="K206" s="1">
        <f>IF(#REF!="✅", VLOOKUP(A206,VoxelMeshDefinition!S:AE,10,FALSE),"")</f>
      </c>
    </row>
    <row r="207">
      <c r="A207">
        <f>IF(#REF!="✅", IF(#REF!&lt;&gt;"", #REF!, ""),"")</f>
      </c>
      <c r="B207" s="5">
        <f>IF(#REF!="✅", "/Script/Engine.StaticMesh'/Game/Item/Mesh/Voxel/" &amp; #REF! &amp; "/" &amp; #REF! &amp; "/" &amp; #REF! &amp; "." &amp; #REF! &amp; "'", "")</f>
      </c>
      <c r="C207">
        <f>IF(#REF!="✅", IF(#REF!&lt;&gt;"", #REF!, ""), "")</f>
      </c>
      <c r="D207" s="10">
        <f>IF(#REF!="✅", IF(#REF!&lt;&gt;"", #REF!, ""),"")</f>
      </c>
      <c r="E207" s="9">
        <f>IF(#REF!="✅", IF(#REF!&lt;&gt;"", #REF!, ""),"")</f>
      </c>
      <c r="F207">
        <f>IF(#REF!="✅", IF(#REF!&lt;&gt;"", #REF!, ""),"")</f>
      </c>
      <c r="G207">
        <f>IF(#REF!="✅", IF(#REF!&lt;&gt;"", #REF!, ""),"")</f>
      </c>
      <c r="H207">
        <f>IF(#REF!="✅", IF(#REF!&lt;&gt;"", #REF!, ""),"")</f>
      </c>
      <c r="I207">
        <f>IF(#REF!="✅", IF(#REF!&lt;&gt;"", #REF!, ""),"")</f>
      </c>
      <c r="J207">
        <f>IF(#REF!="✅", IF(#REF!&lt;&gt;"", #REF!, ""),"")</f>
      </c>
      <c r="K207" s="1">
        <f>IF(#REF!="✅", VLOOKUP(A207,VoxelMeshDefinition!S:AE,10,FALSE),"")</f>
      </c>
    </row>
    <row r="208">
      <c r="A208">
        <f>IF(#REF!="✅", IF(#REF!&lt;&gt;"", #REF!, ""),"")</f>
      </c>
      <c r="B208" s="5">
        <f>IF(#REF!="✅", "/Script/Engine.StaticMesh'/Game/Item/Mesh/Voxel/" &amp; #REF! &amp; "/" &amp; #REF! &amp; "/" &amp; #REF! &amp; "." &amp; #REF! &amp; "'", "")</f>
      </c>
      <c r="C208">
        <f>IF(#REF!="✅", IF(#REF!&lt;&gt;"", #REF!, ""), "")</f>
      </c>
      <c r="D208" s="10">
        <f>IF(#REF!="✅", IF(#REF!&lt;&gt;"", #REF!, ""),"")</f>
      </c>
      <c r="E208" s="9">
        <f>IF(#REF!="✅", IF(#REF!&lt;&gt;"", #REF!, ""),"")</f>
      </c>
      <c r="F208">
        <f>IF(#REF!="✅", IF(#REF!&lt;&gt;"", #REF!, ""),"")</f>
      </c>
      <c r="G208">
        <f>IF(#REF!="✅", IF(#REF!&lt;&gt;"", #REF!, ""),"")</f>
      </c>
      <c r="H208">
        <f>IF(#REF!="✅", IF(#REF!&lt;&gt;"", #REF!, ""),"")</f>
      </c>
      <c r="I208">
        <f>IF(#REF!="✅", IF(#REF!&lt;&gt;"", #REF!, ""),"")</f>
      </c>
      <c r="J208">
        <f>IF(#REF!="✅", IF(#REF!&lt;&gt;"", #REF!, ""),"")</f>
      </c>
      <c r="K208" s="1">
        <f>IF(#REF!="✅", VLOOKUP(A208,VoxelMeshDefinition!S:AE,10,FALSE),"")</f>
      </c>
    </row>
    <row r="209">
      <c r="A209">
        <f>IF(#REF!="✅", IF(#REF!&lt;&gt;"", #REF!, ""),"")</f>
      </c>
      <c r="B209" s="5">
        <f>IF(#REF!="✅", "/Script/Engine.StaticMesh'/Game/Item/Mesh/Voxel/" &amp; #REF! &amp; "/" &amp; #REF! &amp; "/" &amp; #REF! &amp; "." &amp; #REF! &amp; "'", "")</f>
      </c>
      <c r="C209">
        <f>IF(#REF!="✅", IF(#REF!&lt;&gt;"", #REF!, ""), "")</f>
      </c>
      <c r="D209" s="10">
        <f>IF(#REF!="✅", IF(#REF!&lt;&gt;"", #REF!, ""),"")</f>
      </c>
      <c r="E209" s="9">
        <f>IF(#REF!="✅", IF(#REF!&lt;&gt;"", #REF!, ""),"")</f>
      </c>
      <c r="F209">
        <f>IF(#REF!="✅", IF(#REF!&lt;&gt;"", #REF!, ""),"")</f>
      </c>
      <c r="G209">
        <f>IF(#REF!="✅", IF(#REF!&lt;&gt;"", #REF!, ""),"")</f>
      </c>
      <c r="H209">
        <f>IF(#REF!="✅", IF(#REF!&lt;&gt;"", #REF!, ""),"")</f>
      </c>
      <c r="I209">
        <f>IF(#REF!="✅", IF(#REF!&lt;&gt;"", #REF!, ""),"")</f>
      </c>
      <c r="J209">
        <f>IF(#REF!="✅", IF(#REF!&lt;&gt;"", #REF!, ""),"")</f>
      </c>
      <c r="K209" s="1">
        <f>IF(#REF!="✅", VLOOKUP(A209,VoxelMeshDefinition!S:AE,10,FALSE),"")</f>
      </c>
    </row>
    <row r="210">
      <c r="A210">
        <f>IF(#REF!="✅", IF(#REF!&lt;&gt;"", #REF!, ""),"")</f>
      </c>
      <c r="B210" s="5">
        <f>IF(#REF!="✅", "/Script/Engine.StaticMesh'/Game/Item/Mesh/Voxel/" &amp; #REF! &amp; "/" &amp; #REF! &amp; "/" &amp; #REF! &amp; "." &amp; #REF! &amp; "'", "")</f>
      </c>
      <c r="C210">
        <f>IF(#REF!="✅", IF(#REF!&lt;&gt;"", #REF!, ""), "")</f>
      </c>
      <c r="D210" s="10">
        <f>IF(#REF!="✅", IF(#REF!&lt;&gt;"", #REF!, ""),"")</f>
      </c>
      <c r="E210" s="9">
        <f>IF(#REF!="✅", IF(#REF!&lt;&gt;"", #REF!, ""),"")</f>
      </c>
      <c r="F210">
        <f>IF(#REF!="✅", IF(#REF!&lt;&gt;"", #REF!, ""),"")</f>
      </c>
      <c r="G210">
        <f>IF(#REF!="✅", IF(#REF!&lt;&gt;"", #REF!, ""),"")</f>
      </c>
      <c r="H210">
        <f>IF(#REF!="✅", IF(#REF!&lt;&gt;"", #REF!, ""),"")</f>
      </c>
      <c r="I210">
        <f>IF(#REF!="✅", IF(#REF!&lt;&gt;"", #REF!, ""),"")</f>
      </c>
      <c r="J210">
        <f>IF(#REF!="✅", IF(#REF!&lt;&gt;"", #REF!, ""),"")</f>
      </c>
      <c r="K210" s="1">
        <f>IF(#REF!="✅", VLOOKUP(A210,VoxelMeshDefinition!S:AE,10,FALSE),"")</f>
      </c>
    </row>
    <row r="211">
      <c r="A211">
        <f>IF(#REF!="✅", IF(#REF!&lt;&gt;"", #REF!, ""),"")</f>
      </c>
      <c r="B211" s="5">
        <f>IF(#REF!="✅", "/Script/Engine.StaticMesh'/Game/Item/Mesh/Voxel/" &amp; #REF! &amp; "/" &amp; #REF! &amp; "/" &amp; #REF! &amp; "." &amp; #REF! &amp; "'", "")</f>
      </c>
      <c r="C211">
        <f>IF(#REF!="✅", IF(#REF!&lt;&gt;"", #REF!, ""), "")</f>
      </c>
      <c r="D211" s="10">
        <f>IF(#REF!="✅", IF(#REF!&lt;&gt;"", #REF!, ""),"")</f>
      </c>
      <c r="E211" s="9">
        <f>IF(#REF!="✅", IF(#REF!&lt;&gt;"", #REF!, ""),"")</f>
      </c>
      <c r="F211">
        <f>IF(#REF!="✅", IF(#REF!&lt;&gt;"", #REF!, ""),"")</f>
      </c>
      <c r="G211">
        <f>IF(#REF!="✅", IF(#REF!&lt;&gt;"", #REF!, ""),"")</f>
      </c>
      <c r="H211">
        <f>IF(#REF!="✅", IF(#REF!&lt;&gt;"", #REF!, ""),"")</f>
      </c>
      <c r="I211">
        <f>IF(#REF!="✅", IF(#REF!&lt;&gt;"", #REF!, ""),"")</f>
      </c>
      <c r="J211">
        <f>IF(#REF!="✅", IF(#REF!&lt;&gt;"", #REF!, ""),"")</f>
      </c>
      <c r="K211" s="1">
        <f>IF(#REF!="✅", VLOOKUP(A211,VoxelMeshDefinition!S:AE,10,FALSE),"")</f>
      </c>
    </row>
    <row r="212">
      <c r="A212">
        <f>IF(#REF!="✅", IF(#REF!&lt;&gt;"", #REF!, ""),"")</f>
      </c>
      <c r="B212" s="5">
        <f>IF(#REF!="✅", "/Script/Engine.StaticMesh'/Game/Item/Mesh/Voxel/" &amp; #REF! &amp; "/" &amp; #REF! &amp; "/" &amp; #REF! &amp; "." &amp; #REF! &amp; "'", "")</f>
      </c>
      <c r="C212">
        <f>IF(#REF!="✅", IF(#REF!&lt;&gt;"", #REF!, ""), "")</f>
      </c>
      <c r="D212" s="10">
        <f>IF(#REF!="✅", IF(#REF!&lt;&gt;"", #REF!, ""),"")</f>
      </c>
      <c r="E212" s="9">
        <f>IF(#REF!="✅", IF(#REF!&lt;&gt;"", #REF!, ""),"")</f>
      </c>
      <c r="F212">
        <f>IF(#REF!="✅", IF(#REF!&lt;&gt;"", #REF!, ""),"")</f>
      </c>
      <c r="G212">
        <f>IF(#REF!="✅", IF(#REF!&lt;&gt;"", #REF!, ""),"")</f>
      </c>
      <c r="H212">
        <f>IF(#REF!="✅", IF(#REF!&lt;&gt;"", #REF!, ""),"")</f>
      </c>
      <c r="I212">
        <f>IF(#REF!="✅", IF(#REF!&lt;&gt;"", #REF!, ""),"")</f>
      </c>
      <c r="J212">
        <f>IF(#REF!="✅", IF(#REF!&lt;&gt;"", #REF!, ""),"")</f>
      </c>
      <c r="K212" s="1">
        <f>IF(#REF!="✅", VLOOKUP(A212,VoxelMeshDefinition!S:AE,10,FALSE),"")</f>
      </c>
    </row>
    <row r="213">
      <c r="A213">
        <f>IF(#REF!="✅", IF(#REF!&lt;&gt;"", #REF!, ""),"")</f>
      </c>
      <c r="B213" s="5">
        <f>IF(#REF!="✅", "/Script/Engine.StaticMesh'/Game/Item/Mesh/Voxel/" &amp; #REF! &amp; "/" &amp; #REF! &amp; "/" &amp; #REF! &amp; "." &amp; #REF! &amp; "'", "")</f>
      </c>
      <c r="C213">
        <f>IF(#REF!="✅", IF(#REF!&lt;&gt;"", #REF!, ""), "")</f>
      </c>
      <c r="D213" s="10">
        <f>IF(#REF!="✅", IF(#REF!&lt;&gt;"", #REF!, ""),"")</f>
      </c>
      <c r="E213" s="9">
        <f>IF(#REF!="✅", IF(#REF!&lt;&gt;"", #REF!, ""),"")</f>
      </c>
      <c r="F213">
        <f>IF(#REF!="✅", IF(#REF!&lt;&gt;"", #REF!, ""),"")</f>
      </c>
      <c r="G213">
        <f>IF(#REF!="✅", IF(#REF!&lt;&gt;"", #REF!, ""),"")</f>
      </c>
      <c r="H213">
        <f>IF(#REF!="✅", IF(#REF!&lt;&gt;"", #REF!, ""),"")</f>
      </c>
      <c r="I213">
        <f>IF(#REF!="✅", IF(#REF!&lt;&gt;"", #REF!, ""),"")</f>
      </c>
      <c r="J213">
        <f>IF(#REF!="✅", IF(#REF!&lt;&gt;"", #REF!, ""),"")</f>
      </c>
      <c r="K213" s="1">
        <f>IF(#REF!="✅", VLOOKUP(A213,VoxelMeshDefinition!S:AE,10,FALSE),"")</f>
      </c>
    </row>
    <row r="214">
      <c r="A214">
        <f>IF(#REF!="✅", IF(#REF!&lt;&gt;"", #REF!, ""),"")</f>
      </c>
      <c r="B214" s="5">
        <f>IF(#REF!="✅", "/Script/Engine.StaticMesh'/Game/Item/Mesh/Voxel/" &amp; #REF! &amp; "/" &amp; #REF! &amp; "/" &amp; #REF! &amp; "." &amp; #REF! &amp; "'", "")</f>
      </c>
      <c r="C214">
        <f>IF(#REF!="✅", IF(#REF!&lt;&gt;"", #REF!, ""), "")</f>
      </c>
      <c r="D214" s="10">
        <f>IF(#REF!="✅", IF(#REF!&lt;&gt;"", #REF!, ""),"")</f>
      </c>
      <c r="E214" s="9">
        <f>IF(#REF!="✅", IF(#REF!&lt;&gt;"", #REF!, ""),"")</f>
      </c>
      <c r="F214">
        <f>IF(#REF!="✅", IF(#REF!&lt;&gt;"", #REF!, ""),"")</f>
      </c>
      <c r="G214">
        <f>IF(#REF!="✅", IF(#REF!&lt;&gt;"", #REF!, ""),"")</f>
      </c>
      <c r="H214">
        <f>IF(#REF!="✅", IF(#REF!&lt;&gt;"", #REF!, ""),"")</f>
      </c>
      <c r="I214">
        <f>IF(#REF!="✅", IF(#REF!&lt;&gt;"", #REF!, ""),"")</f>
      </c>
      <c r="J214">
        <f>IF(#REF!="✅", IF(#REF!&lt;&gt;"", #REF!, ""),"")</f>
      </c>
      <c r="K214" s="1">
        <f>IF(#REF!="✅", VLOOKUP(A214,VoxelMeshDefinition!S:AE,10,FALSE),"")</f>
      </c>
    </row>
    <row r="215">
      <c r="A215">
        <f>IF(#REF!="✅", IF(#REF!&lt;&gt;"", #REF!, ""),"")</f>
      </c>
      <c r="B215" s="5">
        <f>IF(#REF!="✅", "/Script/Engine.StaticMesh'/Game/Item/Mesh/Voxel/" &amp; #REF! &amp; "/" &amp; #REF! &amp; "/" &amp; #REF! &amp; "." &amp; #REF! &amp; "'", "")</f>
      </c>
      <c r="C215">
        <f>IF(#REF!="✅", IF(#REF!&lt;&gt;"", #REF!, ""), "")</f>
      </c>
      <c r="D215" s="10">
        <f>IF(#REF!="✅", IF(#REF!&lt;&gt;"", #REF!, ""),"")</f>
      </c>
      <c r="E215" s="9">
        <f>IF(#REF!="✅", IF(#REF!&lt;&gt;"", #REF!, ""),"")</f>
      </c>
      <c r="F215">
        <f>IF(#REF!="✅", IF(#REF!&lt;&gt;"", #REF!, ""),"")</f>
      </c>
      <c r="G215">
        <f>IF(#REF!="✅", IF(#REF!&lt;&gt;"", #REF!, ""),"")</f>
      </c>
      <c r="H215">
        <f>IF(#REF!="✅", IF(#REF!&lt;&gt;"", #REF!, ""),"")</f>
      </c>
      <c r="I215">
        <f>IF(#REF!="✅", IF(#REF!&lt;&gt;"", #REF!, ""),"")</f>
      </c>
      <c r="J215">
        <f>IF(#REF!="✅", IF(#REF!&lt;&gt;"", #REF!, ""),"")</f>
      </c>
      <c r="K215" s="1">
        <f>IF(#REF!="✅", VLOOKUP(A215,VoxelMeshDefinition!S:AE,10,FALSE),"")</f>
      </c>
    </row>
    <row r="216">
      <c r="A216">
        <f>IF(#REF!="✅", IF(#REF!&lt;&gt;"", #REF!, ""),"")</f>
      </c>
      <c r="B216" s="5">
        <f>IF(#REF!="✅", "/Script/Engine.StaticMesh'/Game/Item/Mesh/Voxel/" &amp; #REF! &amp; "/" &amp; #REF! &amp; "/" &amp; #REF! &amp; "." &amp; #REF! &amp; "'", "")</f>
      </c>
      <c r="C216">
        <f>IF(#REF!="✅", IF(#REF!&lt;&gt;"", #REF!, ""), "")</f>
      </c>
      <c r="D216" s="10">
        <f>IF(#REF!="✅", IF(#REF!&lt;&gt;"", #REF!, ""),"")</f>
      </c>
      <c r="E216" s="9">
        <f>IF(#REF!="✅", IF(#REF!&lt;&gt;"", #REF!, ""),"")</f>
      </c>
      <c r="F216">
        <f>IF(#REF!="✅", IF(#REF!&lt;&gt;"", #REF!, ""),"")</f>
      </c>
      <c r="G216">
        <f>IF(#REF!="✅", IF(#REF!&lt;&gt;"", #REF!, ""),"")</f>
      </c>
      <c r="H216">
        <f>IF(#REF!="✅", IF(#REF!&lt;&gt;"", #REF!, ""),"")</f>
      </c>
      <c r="I216">
        <f>IF(#REF!="✅", IF(#REF!&lt;&gt;"", #REF!, ""),"")</f>
      </c>
      <c r="J216">
        <f>IF(#REF!="✅", IF(#REF!&lt;&gt;"", #REF!, ""),"")</f>
      </c>
      <c r="K216" s="1">
        <f>IF(#REF!="✅", VLOOKUP(A216,VoxelMeshDefinition!S:AE,10,FALSE),"")</f>
      </c>
    </row>
    <row r="217">
      <c r="A217">
        <f>IF(#REF!="✅", IF(#REF!&lt;&gt;"", #REF!, ""),"")</f>
      </c>
      <c r="B217" s="5">
        <f>IF(#REF!="✅", "/Script/Engine.StaticMesh'/Game/Item/Mesh/Voxel/" &amp; #REF! &amp; "/" &amp; #REF! &amp; "/" &amp; #REF! &amp; "." &amp; #REF! &amp; "'", "")</f>
      </c>
      <c r="C217">
        <f>IF(#REF!="✅", IF(#REF!&lt;&gt;"", #REF!, ""), "")</f>
      </c>
      <c r="D217" s="10">
        <f>IF(#REF!="✅", IF(#REF!&lt;&gt;"", #REF!, ""),"")</f>
      </c>
      <c r="E217" s="9">
        <f>IF(#REF!="✅", IF(#REF!&lt;&gt;"", #REF!, ""),"")</f>
      </c>
      <c r="F217">
        <f>IF(#REF!="✅", IF(#REF!&lt;&gt;"", #REF!, ""),"")</f>
      </c>
      <c r="G217">
        <f>IF(#REF!="✅", IF(#REF!&lt;&gt;"", #REF!, ""),"")</f>
      </c>
      <c r="H217">
        <f>IF(#REF!="✅", IF(#REF!&lt;&gt;"", #REF!, ""),"")</f>
      </c>
      <c r="I217">
        <f>IF(#REF!="✅", IF(#REF!&lt;&gt;"", #REF!, ""),"")</f>
      </c>
      <c r="J217">
        <f>IF(#REF!="✅", IF(#REF!&lt;&gt;"", #REF!, ""),"")</f>
      </c>
      <c r="K217" s="1">
        <f>IF(#REF!="✅", VLOOKUP(A217,VoxelMeshDefinition!S:AE,10,FALSE),"")</f>
      </c>
    </row>
    <row r="218">
      <c r="A218">
        <f>IF(#REF!="✅", IF(#REF!&lt;&gt;"", #REF!, ""),"")</f>
      </c>
      <c r="B218" s="5">
        <f>IF(#REF!="✅", "/Script/Engine.StaticMesh'/Game/Item/Mesh/Voxel/" &amp; #REF! &amp; "/" &amp; #REF! &amp; "/" &amp; #REF! &amp; "." &amp; #REF! &amp; "'", "")</f>
      </c>
      <c r="C218">
        <f>IF(#REF!="✅", IF(#REF!&lt;&gt;"", #REF!, ""), "")</f>
      </c>
      <c r="D218" s="10">
        <f>IF(#REF!="✅", IF(#REF!&lt;&gt;"", #REF!, ""),"")</f>
      </c>
      <c r="E218" s="9">
        <f>IF(#REF!="✅", IF(#REF!&lt;&gt;"", #REF!, ""),"")</f>
      </c>
      <c r="F218">
        <f>IF(#REF!="✅", IF(#REF!&lt;&gt;"", #REF!, ""),"")</f>
      </c>
      <c r="G218">
        <f>IF(#REF!="✅", IF(#REF!&lt;&gt;"", #REF!, ""),"")</f>
      </c>
      <c r="H218">
        <f>IF(#REF!="✅", IF(#REF!&lt;&gt;"", #REF!, ""),"")</f>
      </c>
      <c r="I218">
        <f>IF(#REF!="✅", IF(#REF!&lt;&gt;"", #REF!, ""),"")</f>
      </c>
      <c r="J218">
        <f>IF(#REF!="✅", IF(#REF!&lt;&gt;"", #REF!, ""),"")</f>
      </c>
      <c r="K218" s="1">
        <f>IF(#REF!="✅", VLOOKUP(A218,VoxelMeshDefinition!S:AE,10,FALSE),"")</f>
      </c>
    </row>
    <row r="219">
      <c r="A219">
        <f>IF(#REF!="✅", IF(#REF!&lt;&gt;"", #REF!, ""),"")</f>
      </c>
      <c r="B219" s="5">
        <f>IF(#REF!="✅", "/Script/Engine.StaticMesh'/Game/Item/Mesh/Voxel/" &amp; #REF! &amp; "/" &amp; #REF! &amp; "/" &amp; #REF! &amp; "." &amp; #REF! &amp; "'", "")</f>
      </c>
      <c r="C219">
        <f>IF(#REF!="✅", IF(#REF!&lt;&gt;"", #REF!, ""), "")</f>
      </c>
      <c r="D219" s="10">
        <f>IF(#REF!="✅", IF(#REF!&lt;&gt;"", #REF!, ""),"")</f>
      </c>
      <c r="E219" s="9">
        <f>IF(#REF!="✅", IF(#REF!&lt;&gt;"", #REF!, ""),"")</f>
      </c>
      <c r="F219">
        <f>IF(#REF!="✅", IF(#REF!&lt;&gt;"", #REF!, ""),"")</f>
      </c>
      <c r="G219">
        <f>IF(#REF!="✅", IF(#REF!&lt;&gt;"", #REF!, ""),"")</f>
      </c>
      <c r="H219">
        <f>IF(#REF!="✅", IF(#REF!&lt;&gt;"", #REF!, ""),"")</f>
      </c>
      <c r="I219">
        <f>IF(#REF!="✅", IF(#REF!&lt;&gt;"", #REF!, ""),"")</f>
      </c>
      <c r="J219">
        <f>IF(#REF!="✅", IF(#REF!&lt;&gt;"", #REF!, ""),"")</f>
      </c>
      <c r="K219" s="1">
        <f>IF(#REF!="✅", VLOOKUP(A219,VoxelMeshDefinition!S:AE,10,FALSE),"")</f>
      </c>
    </row>
    <row r="220">
      <c r="A220">
        <f>IF(#REF!="✅", IF(#REF!&lt;&gt;"", #REF!, ""),"")</f>
      </c>
      <c r="B220" s="5">
        <f>IF(#REF!="✅", "/Script/Engine.StaticMesh'/Game/Item/Mesh/Voxel/" &amp; #REF! &amp; "/" &amp; #REF! &amp; "/" &amp; #REF! &amp; "." &amp; #REF! &amp; "'", "")</f>
      </c>
      <c r="C220">
        <f>IF(#REF!="✅", IF(#REF!&lt;&gt;"", #REF!, ""), "")</f>
      </c>
      <c r="D220" s="10">
        <f>IF(#REF!="✅", IF(#REF!&lt;&gt;"", #REF!, ""),"")</f>
      </c>
      <c r="E220" s="9">
        <f>IF(#REF!="✅", IF(#REF!&lt;&gt;"", #REF!, ""),"")</f>
      </c>
      <c r="F220">
        <f>IF(#REF!="✅", IF(#REF!&lt;&gt;"", #REF!, ""),"")</f>
      </c>
      <c r="G220">
        <f>IF(#REF!="✅", IF(#REF!&lt;&gt;"", #REF!, ""),"")</f>
      </c>
      <c r="H220">
        <f>IF(#REF!="✅", IF(#REF!&lt;&gt;"", #REF!, ""),"")</f>
      </c>
      <c r="I220">
        <f>IF(#REF!="✅", IF(#REF!&lt;&gt;"", #REF!, ""),"")</f>
      </c>
      <c r="J220">
        <f>IF(#REF!="✅", IF(#REF!&lt;&gt;"", #REF!, ""),"")</f>
      </c>
      <c r="K220" s="1">
        <f>IF(#REF!="✅", VLOOKUP(A220,VoxelMeshDefinition!S:AE,10,FALSE),"")</f>
      </c>
    </row>
    <row r="221">
      <c r="A221">
        <f>IF(#REF!="✅", IF(#REF!&lt;&gt;"", #REF!, ""),"")</f>
      </c>
      <c r="B221" s="5">
        <f>IF(#REF!="✅", "/Script/Engine.StaticMesh'/Game/Item/Mesh/Voxel/" &amp; #REF! &amp; "/" &amp; #REF! &amp; "/" &amp; #REF! &amp; "." &amp; #REF! &amp; "'", "")</f>
      </c>
      <c r="C221">
        <f>IF(#REF!="✅", IF(#REF!&lt;&gt;"", #REF!, ""), "")</f>
      </c>
      <c r="D221" s="10">
        <f>IF(#REF!="✅", IF(#REF!&lt;&gt;"", #REF!, ""),"")</f>
      </c>
      <c r="E221" s="9">
        <f>IF(#REF!="✅", IF(#REF!&lt;&gt;"", #REF!, ""),"")</f>
      </c>
      <c r="F221">
        <f>IF(#REF!="✅", IF(#REF!&lt;&gt;"", #REF!, ""),"")</f>
      </c>
      <c r="G221">
        <f>IF(#REF!="✅", IF(#REF!&lt;&gt;"", #REF!, ""),"")</f>
      </c>
      <c r="H221">
        <f>IF(#REF!="✅", IF(#REF!&lt;&gt;"", #REF!, ""),"")</f>
      </c>
      <c r="I221">
        <f>IF(#REF!="✅", IF(#REF!&lt;&gt;"", #REF!, ""),"")</f>
      </c>
      <c r="J221">
        <f>IF(#REF!="✅", IF(#REF!&lt;&gt;"", #REF!, ""),"")</f>
      </c>
      <c r="K221" s="1">
        <f>IF(#REF!="✅", VLOOKUP(A221,VoxelMeshDefinition!S:AE,10,FALSE),"")</f>
      </c>
    </row>
    <row r="222">
      <c r="A222">
        <f>IF(#REF!="✅", IF(#REF!&lt;&gt;"", #REF!, ""),"")</f>
      </c>
      <c r="B222" s="5">
        <f>IF(#REF!="✅", "/Script/Engine.StaticMesh'/Game/Item/Mesh/Voxel/" &amp; #REF! &amp; "/" &amp; #REF! &amp; "/" &amp; #REF! &amp; "." &amp; #REF! &amp; "'", "")</f>
      </c>
      <c r="C222">
        <f>IF(#REF!="✅", IF(#REF!&lt;&gt;"", #REF!, ""), "")</f>
      </c>
      <c r="D222" s="10">
        <f>IF(#REF!="✅", IF(#REF!&lt;&gt;"", #REF!, ""),"")</f>
      </c>
      <c r="E222" s="9">
        <f>IF(#REF!="✅", IF(#REF!&lt;&gt;"", #REF!, ""),"")</f>
      </c>
      <c r="F222">
        <f>IF(#REF!="✅", IF(#REF!&lt;&gt;"", #REF!, ""),"")</f>
      </c>
      <c r="G222">
        <f>IF(#REF!="✅", IF(#REF!&lt;&gt;"", #REF!, ""),"")</f>
      </c>
      <c r="H222">
        <f>IF(#REF!="✅", IF(#REF!&lt;&gt;"", #REF!, ""),"")</f>
      </c>
      <c r="I222">
        <f>IF(#REF!="✅", IF(#REF!&lt;&gt;"", #REF!, ""),"")</f>
      </c>
      <c r="J222">
        <f>IF(#REF!="✅", IF(#REF!&lt;&gt;"", #REF!, ""),"")</f>
      </c>
      <c r="K222" s="1">
        <f>IF(#REF!="✅", VLOOKUP(A222,VoxelMeshDefinition!S:AE,10,FALSE),"")</f>
      </c>
    </row>
    <row r="223">
      <c r="A223">
        <f>IF(#REF!="✅", IF(#REF!&lt;&gt;"", #REF!, ""),"")</f>
      </c>
      <c r="B223" s="5">
        <f>IF(#REF!="✅", "/Script/Engine.StaticMesh'/Game/Item/Mesh/Voxel/" &amp; #REF! &amp; "/" &amp; #REF! &amp; "/" &amp; #REF! &amp; "." &amp; #REF! &amp; "'", "")</f>
      </c>
      <c r="C223">
        <f>IF(#REF!="✅", IF(#REF!&lt;&gt;"", #REF!, ""), "")</f>
      </c>
      <c r="D223" s="10">
        <f>IF(#REF!="✅", IF(#REF!&lt;&gt;"", #REF!, ""),"")</f>
      </c>
      <c r="E223" s="9">
        <f>IF(#REF!="✅", IF(#REF!&lt;&gt;"", #REF!, ""),"")</f>
      </c>
      <c r="F223">
        <f>IF(#REF!="✅", IF(#REF!&lt;&gt;"", #REF!, ""),"")</f>
      </c>
      <c r="G223">
        <f>IF(#REF!="✅", IF(#REF!&lt;&gt;"", #REF!, ""),"")</f>
      </c>
      <c r="H223">
        <f>IF(#REF!="✅", IF(#REF!&lt;&gt;"", #REF!, ""),"")</f>
      </c>
      <c r="I223">
        <f>IF(#REF!="✅", IF(#REF!&lt;&gt;"", #REF!, ""),"")</f>
      </c>
      <c r="J223">
        <f>IF(#REF!="✅", IF(#REF!&lt;&gt;"", #REF!, ""),"")</f>
      </c>
      <c r="K223" s="1">
        <f>IF(#REF!="✅", VLOOKUP(A223,VoxelMeshDefinition!S:AE,10,FALSE),"")</f>
      </c>
    </row>
    <row r="224">
      <c r="A224">
        <f>IF(#REF!="✅", IF(#REF!&lt;&gt;"", #REF!, ""),"")</f>
      </c>
      <c r="B224" s="5">
        <f>IF(#REF!="✅", "/Script/Engine.StaticMesh'/Game/Item/Mesh/Voxel/" &amp; #REF! &amp; "/" &amp; #REF! &amp; "/" &amp; #REF! &amp; "." &amp; #REF! &amp; "'", "")</f>
      </c>
      <c r="C224">
        <f>IF(#REF!="✅", IF(#REF!&lt;&gt;"", #REF!, ""), "")</f>
      </c>
      <c r="D224" s="10">
        <f>IF(#REF!="✅", IF(#REF!&lt;&gt;"", #REF!, ""),"")</f>
      </c>
      <c r="E224" s="9">
        <f>IF(#REF!="✅", IF(#REF!&lt;&gt;"", #REF!, ""),"")</f>
      </c>
      <c r="F224">
        <f>IF(#REF!="✅", IF(#REF!&lt;&gt;"", #REF!, ""),"")</f>
      </c>
      <c r="G224">
        <f>IF(#REF!="✅", IF(#REF!&lt;&gt;"", #REF!, ""),"")</f>
      </c>
      <c r="H224">
        <f>IF(#REF!="✅", IF(#REF!&lt;&gt;"", #REF!, ""),"")</f>
      </c>
      <c r="I224">
        <f>IF(#REF!="✅", IF(#REF!&lt;&gt;"", #REF!, ""),"")</f>
      </c>
      <c r="J224">
        <f>IF(#REF!="✅", IF(#REF!&lt;&gt;"", #REF!, ""),"")</f>
      </c>
      <c r="K224" s="1">
        <f>IF(#REF!="✅", VLOOKUP(A224,VoxelMeshDefinition!S:AE,10,FALSE),"")</f>
      </c>
    </row>
    <row r="225">
      <c r="A225">
        <f>IF(#REF!="✅", IF(#REF!&lt;&gt;"", #REF!, ""),"")</f>
      </c>
      <c r="B225" s="5">
        <f>IF(#REF!="✅", "/Script/Engine.StaticMesh'/Game/Item/Mesh/Voxel/" &amp; #REF! &amp; "/" &amp; #REF! &amp; "/" &amp; #REF! &amp; "." &amp; #REF! &amp; "'", "")</f>
      </c>
      <c r="C225">
        <f>IF(#REF!="✅", IF(#REF!&lt;&gt;"", #REF!, ""), "")</f>
      </c>
      <c r="D225" s="10">
        <f>IF(#REF!="✅", IF(#REF!&lt;&gt;"", #REF!, ""),"")</f>
      </c>
      <c r="E225" s="9">
        <f>IF(#REF!="✅", IF(#REF!&lt;&gt;"", #REF!, ""),"")</f>
      </c>
      <c r="F225">
        <f>IF(#REF!="✅", IF(#REF!&lt;&gt;"", #REF!, ""),"")</f>
      </c>
      <c r="G225">
        <f>IF(#REF!="✅", IF(#REF!&lt;&gt;"", #REF!, ""),"")</f>
      </c>
      <c r="H225">
        <f>IF(#REF!="✅", IF(#REF!&lt;&gt;"", #REF!, ""),"")</f>
      </c>
      <c r="I225">
        <f>IF(#REF!="✅", IF(#REF!&lt;&gt;"", #REF!, ""),"")</f>
      </c>
      <c r="J225">
        <f>IF(#REF!="✅", IF(#REF!&lt;&gt;"", #REF!, ""),"")</f>
      </c>
      <c r="K225" s="1">
        <f>IF(#REF!="✅", VLOOKUP(A225,VoxelMeshDefinition!S:AE,10,FALSE),"")</f>
      </c>
    </row>
    <row r="226">
      <c r="A226">
        <f>IF(#REF!="✅", IF(#REF!&lt;&gt;"", #REF!, ""),"")</f>
      </c>
      <c r="B226" s="5">
        <f>IF(#REF!="✅", "/Script/Engine.StaticMesh'/Game/Item/Mesh/Voxel/" &amp; #REF! &amp; "/" &amp; #REF! &amp; "/" &amp; #REF! &amp; "." &amp; #REF! &amp; "'", "")</f>
      </c>
      <c r="C226">
        <f>IF(#REF!="✅", IF(#REF!&lt;&gt;"", #REF!, ""), "")</f>
      </c>
      <c r="D226" s="10">
        <f>IF(#REF!="✅", IF(#REF!&lt;&gt;"", #REF!, ""),"")</f>
      </c>
      <c r="E226" s="9">
        <f>IF(#REF!="✅", IF(#REF!&lt;&gt;"", #REF!, ""),"")</f>
      </c>
      <c r="F226">
        <f>IF(#REF!="✅", IF(#REF!&lt;&gt;"", #REF!, ""),"")</f>
      </c>
      <c r="G226">
        <f>IF(#REF!="✅", IF(#REF!&lt;&gt;"", #REF!, ""),"")</f>
      </c>
      <c r="H226">
        <f>IF(#REF!="✅", IF(#REF!&lt;&gt;"", #REF!, ""),"")</f>
      </c>
      <c r="I226">
        <f>IF(#REF!="✅", IF(#REF!&lt;&gt;"", #REF!, ""),"")</f>
      </c>
      <c r="J226">
        <f>IF(#REF!="✅", IF(#REF!&lt;&gt;"", #REF!, ""),"")</f>
      </c>
      <c r="K226" s="1" t="b">
        <v>1</v>
      </c>
    </row>
    <row r="227">
      <c r="A227">
        <f>IF(#REF!="✅", IF(#REF!&lt;&gt;"", #REF!, ""),"")</f>
      </c>
      <c r="B227" s="5">
        <f>IF(#REF!="✅", "/Script/Engine.StaticMesh'/Game/Item/Mesh/Voxel/" &amp; #REF! &amp; "/" &amp; #REF! &amp; "/" &amp; #REF! &amp; "." &amp; #REF! &amp; "'", "")</f>
      </c>
      <c r="C227">
        <f>IF(#REF!="✅", IF(#REF!&lt;&gt;"", #REF!, ""), "")</f>
      </c>
      <c r="D227" s="10">
        <f>IF(#REF!="✅", IF(#REF!&lt;&gt;"", #REF!, ""),"")</f>
      </c>
      <c r="E227" s="9">
        <f>IF(#REF!="✅", IF(#REF!&lt;&gt;"", #REF!, ""),"")</f>
      </c>
      <c r="F227">
        <f>IF(#REF!="✅", IF(#REF!&lt;&gt;"", #REF!, ""),"")</f>
      </c>
      <c r="G227">
        <f>IF(#REF!="✅", IF(#REF!&lt;&gt;"", #REF!, ""),"")</f>
      </c>
      <c r="H227">
        <f>IF(#REF!="✅", IF(#REF!&lt;&gt;"", #REF!, ""),"")</f>
      </c>
      <c r="I227">
        <f>IF(#REF!="✅", IF(#REF!&lt;&gt;"", #REF!, ""),"")</f>
      </c>
      <c r="J227">
        <f>IF(#REF!="✅", IF(#REF!&lt;&gt;"", #REF!, ""),"")</f>
      </c>
      <c r="K227" s="1">
        <f>IF(#REF!="✅", VLOOKUP(A227,VoxelMeshDefinition!S:AE,10,FALSE),"")</f>
      </c>
    </row>
    <row r="228">
      <c r="A228">
        <f>IF(#REF!="✅", IF(#REF!&lt;&gt;"", #REF!, ""),"")</f>
      </c>
      <c r="B228" s="5">
        <f>IF(#REF!="✅", "/Script/Engine.StaticMesh'/Game/Item/Mesh/Voxel/" &amp; #REF! &amp; "/" &amp; #REF! &amp; "/" &amp; #REF! &amp; "." &amp; #REF! &amp; "'", "")</f>
      </c>
      <c r="C228">
        <f>IF(#REF!="✅", IF(#REF!&lt;&gt;"", #REF!, ""), "")</f>
      </c>
      <c r="D228" s="10">
        <f>IF(#REF!="✅", IF(#REF!&lt;&gt;"", #REF!, ""),"")</f>
      </c>
      <c r="E228" s="9">
        <f>IF(#REF!="✅", IF(#REF!&lt;&gt;"", #REF!, ""),"")</f>
      </c>
      <c r="F228">
        <f>IF(#REF!="✅", IF(#REF!&lt;&gt;"", #REF!, ""),"")</f>
      </c>
      <c r="G228">
        <f>IF(#REF!="✅", IF(#REF!&lt;&gt;"", #REF!, ""),"")</f>
      </c>
      <c r="H228">
        <f>IF(#REF!="✅", IF(#REF!&lt;&gt;"", #REF!, ""),"")</f>
      </c>
      <c r="I228">
        <f>IF(#REF!="✅", IF(#REF!&lt;&gt;"", #REF!, ""),"")</f>
      </c>
      <c r="J228">
        <f>IF(#REF!="✅", IF(#REF!&lt;&gt;"", #REF!, ""),"")</f>
      </c>
      <c r="K228" s="1">
        <f>IF(#REF!="✅", VLOOKUP(A228,VoxelMeshDefinition!S:AE,10,FALSE),"")</f>
      </c>
    </row>
    <row r="229">
      <c r="A229">
        <f>IF(#REF!="✅", IF(#REF!&lt;&gt;"", #REF!, ""),"")</f>
      </c>
      <c r="B229" s="5">
        <f>IF(#REF!="✅", "/Script/Engine.StaticMesh'/Game/Item/Mesh/Voxel/" &amp; #REF! &amp; "/" &amp; #REF! &amp; "/" &amp; #REF! &amp; "." &amp; #REF! &amp; "'", "")</f>
      </c>
      <c r="C229">
        <f>IF(#REF!="✅", IF(#REF!&lt;&gt;"", #REF!, ""), "")</f>
      </c>
      <c r="D229" s="10">
        <f>IF(#REF!="✅", IF(#REF!&lt;&gt;"", #REF!, ""),"")</f>
      </c>
      <c r="E229" s="9">
        <f>IF(#REF!="✅", IF(#REF!&lt;&gt;"", #REF!, ""),"")</f>
      </c>
      <c r="F229">
        <f>IF(#REF!="✅", IF(#REF!&lt;&gt;"", #REF!, ""),"")</f>
      </c>
      <c r="G229">
        <f>IF(#REF!="✅", IF(#REF!&lt;&gt;"", #REF!, ""),"")</f>
      </c>
      <c r="H229">
        <f>IF(#REF!="✅", IF(#REF!&lt;&gt;"", #REF!, ""),"")</f>
      </c>
      <c r="I229">
        <f>IF(#REF!="✅", IF(#REF!&lt;&gt;"", #REF!, ""),"")</f>
      </c>
      <c r="J229">
        <f>IF(#REF!="✅", IF(#REF!&lt;&gt;"", #REF!, ""),"")</f>
      </c>
      <c r="K229" s="1">
        <f>IF(#REF!="✅", VLOOKUP(A229,VoxelMeshDefinition!S:AE,10,FALSE),"")</f>
      </c>
    </row>
    <row r="230">
      <c r="A230">
        <f>IF(#REF!="✅", IF(#REF!&lt;&gt;"", #REF!, ""),"")</f>
      </c>
      <c r="B230" s="5">
        <f>IF(#REF!="✅", "/Script/Engine.StaticMesh'/Game/Item/Mesh/Voxel/" &amp; #REF! &amp; "/" &amp; #REF! &amp; "/" &amp; #REF! &amp; "." &amp; #REF! &amp; "'", "")</f>
      </c>
      <c r="C230">
        <f>IF(#REF!="✅", IF(#REF!&lt;&gt;"", #REF!, ""), "")</f>
      </c>
      <c r="D230" s="10">
        <f>IF(#REF!="✅", IF(#REF!&lt;&gt;"", #REF!, ""),"")</f>
      </c>
      <c r="E230" s="9">
        <f>IF(#REF!="✅", IF(#REF!&lt;&gt;"", #REF!, ""),"")</f>
      </c>
      <c r="F230">
        <f>IF(#REF!="✅", IF(#REF!&lt;&gt;"", #REF!, ""),"")</f>
      </c>
      <c r="G230">
        <f>IF(#REF!="✅", IF(#REF!&lt;&gt;"", #REF!, ""),"")</f>
      </c>
      <c r="H230">
        <f>IF(#REF!="✅", IF(#REF!&lt;&gt;"", #REF!, ""),"")</f>
      </c>
      <c r="I230">
        <f>IF(#REF!="✅", IF(#REF!&lt;&gt;"", #REF!, ""),"")</f>
      </c>
      <c r="J230">
        <f>IF(#REF!="✅", IF(#REF!&lt;&gt;"", #REF!, ""),"")</f>
      </c>
      <c r="K230" s="1">
        <f>IF(#REF!="✅", VLOOKUP(A230,VoxelMeshDefinition!S:AE,10,FALSE),"")</f>
      </c>
    </row>
    <row r="231">
      <c r="A231">
        <f>IF(#REF!="✅", IF(#REF!&lt;&gt;"", #REF!, ""),"")</f>
      </c>
      <c r="B231" s="5">
        <f>IF(#REF!="✅", "/Script/Engine.StaticMesh'/Game/Item/Mesh/Voxel/" &amp; #REF! &amp; "/" &amp; #REF! &amp; "/" &amp; #REF! &amp; "." &amp; #REF! &amp; "'", "")</f>
      </c>
      <c r="C231">
        <f>IF(#REF!="✅", IF(#REF!&lt;&gt;"", #REF!, ""), "")</f>
      </c>
      <c r="D231" s="10">
        <f>IF(#REF!="✅", IF(#REF!&lt;&gt;"", #REF!, ""),"")</f>
      </c>
      <c r="E231" s="9">
        <f>IF(#REF!="✅", IF(#REF!&lt;&gt;"", #REF!, ""),"")</f>
      </c>
      <c r="F231">
        <f>IF(#REF!="✅", IF(#REF!&lt;&gt;"", #REF!, ""),"")</f>
      </c>
      <c r="G231">
        <f>IF(#REF!="✅", IF(#REF!&lt;&gt;"", #REF!, ""),"")</f>
      </c>
      <c r="H231">
        <f>IF(#REF!="✅", IF(#REF!&lt;&gt;"", #REF!, ""),"")</f>
      </c>
      <c r="I231">
        <f>IF(#REF!="✅", IF(#REF!&lt;&gt;"", #REF!, ""),"")</f>
      </c>
      <c r="J231">
        <f>IF(#REF!="✅", IF(#REF!&lt;&gt;"", #REF!, ""),"")</f>
      </c>
      <c r="K231" s="1">
        <f>IF(#REF!="✅", VLOOKUP(A231,VoxelMeshDefinition!S:AE,10,FALSE),"")</f>
      </c>
    </row>
    <row r="232">
      <c r="A232">
        <f>IF(#REF!="✅", IF(#REF!&lt;&gt;"", #REF!, ""),"")</f>
      </c>
      <c r="B232" s="5">
        <f>IF(#REF!="✅", "/Script/Engine.StaticMesh'/Game/Item/Mesh/Voxel/" &amp; #REF! &amp; "/" &amp; #REF! &amp; "/" &amp; #REF! &amp; "." &amp; #REF! &amp; "'", "")</f>
      </c>
      <c r="C232">
        <f>IF(#REF!="✅", IF(#REF!&lt;&gt;"", #REF!, ""), "")</f>
      </c>
      <c r="D232" s="10">
        <f>IF(#REF!="✅", IF(#REF!&lt;&gt;"", #REF!, ""),"")</f>
      </c>
      <c r="E232" s="9">
        <f>IF(#REF!="✅", IF(#REF!&lt;&gt;"", #REF!, ""),"")</f>
      </c>
      <c r="F232">
        <f>IF(#REF!="✅", IF(#REF!&lt;&gt;"", #REF!, ""),"")</f>
      </c>
      <c r="G232">
        <f>IF(#REF!="✅", IF(#REF!&lt;&gt;"", #REF!, ""),"")</f>
      </c>
      <c r="H232">
        <f>IF(#REF!="✅", IF(#REF!&lt;&gt;"", #REF!, ""),"")</f>
      </c>
      <c r="I232">
        <f>IF(#REF!="✅", IF(#REF!&lt;&gt;"", #REF!, ""),"")</f>
      </c>
      <c r="J232">
        <f>IF(#REF!="✅", IF(#REF!&lt;&gt;"", #REF!, ""),"")</f>
      </c>
      <c r="K232" s="1">
        <f>IF(#REF!="✅", VLOOKUP(A232,VoxelMeshDefinition!S:AE,10,FALSE),"")</f>
      </c>
    </row>
    <row r="233">
      <c r="A233">
        <f>IF(#REF!="✅", IF(#REF!&lt;&gt;"", #REF!, ""),"")</f>
      </c>
      <c r="B233" s="5">
        <f>IF(#REF!="✅", "/Script/Engine.StaticMesh'/Game/Item/Mesh/Voxel/" &amp; #REF! &amp; "/" &amp; #REF! &amp; "/" &amp; #REF! &amp; "." &amp; #REF! &amp; "'", "")</f>
      </c>
      <c r="C233">
        <f>IF(#REF!="✅", IF(#REF!&lt;&gt;"", #REF!, ""), "")</f>
      </c>
      <c r="D233" s="10">
        <f>IF(#REF!="✅", IF(#REF!&lt;&gt;"", #REF!, ""),"")</f>
      </c>
      <c r="E233" s="9">
        <f>IF(#REF!="✅", IF(#REF!&lt;&gt;"", #REF!, ""),"")</f>
      </c>
      <c r="F233">
        <f>IF(#REF!="✅", IF(#REF!&lt;&gt;"", #REF!, ""),"")</f>
      </c>
      <c r="G233">
        <f>IF(#REF!="✅", IF(#REF!&lt;&gt;"", #REF!, ""),"")</f>
      </c>
      <c r="H233">
        <f>IF(#REF!="✅", IF(#REF!&lt;&gt;"", #REF!, ""),"")</f>
      </c>
      <c r="I233">
        <f>IF(#REF!="✅", IF(#REF!&lt;&gt;"", #REF!, ""),"")</f>
      </c>
      <c r="J233">
        <f>IF(#REF!="✅", IF(#REF!&lt;&gt;"", #REF!, ""),"")</f>
      </c>
      <c r="K233" s="1">
        <f>IF(#REF!="✅", VLOOKUP(A233,VoxelMeshDefinition!S:AE,10,FALSE),"")</f>
      </c>
    </row>
    <row r="234">
      <c r="A234">
        <f>IF(#REF!="✅", IF(#REF!&lt;&gt;"", #REF!, ""),"")</f>
      </c>
      <c r="B234" s="5">
        <f>IF(#REF!="✅", "/Script/Engine.StaticMesh'/Game/Item/Mesh/Voxel/" &amp; #REF! &amp; "/" &amp; #REF! &amp; "/" &amp; #REF! &amp; "." &amp; #REF! &amp; "'", "")</f>
      </c>
      <c r="C234">
        <f>IF(#REF!="✅", IF(#REF!&lt;&gt;"", #REF!, ""), "")</f>
      </c>
      <c r="D234" s="10">
        <f>IF(#REF!="✅", IF(#REF!&lt;&gt;"", #REF!, ""),"")</f>
      </c>
      <c r="E234" s="9">
        <f>IF(#REF!="✅", IF(#REF!&lt;&gt;"", #REF!, ""),"")</f>
      </c>
      <c r="F234">
        <f>IF(#REF!="✅", IF(#REF!&lt;&gt;"", #REF!, ""),"")</f>
      </c>
      <c r="G234">
        <f>IF(#REF!="✅", IF(#REF!&lt;&gt;"", #REF!, ""),"")</f>
      </c>
      <c r="H234">
        <f>IF(#REF!="✅", IF(#REF!&lt;&gt;"", #REF!, ""),"")</f>
      </c>
      <c r="I234">
        <f>IF(#REF!="✅", IF(#REF!&lt;&gt;"", #REF!, ""),"")</f>
      </c>
      <c r="J234">
        <f>IF(#REF!="✅", IF(#REF!&lt;&gt;"", #REF!, ""),"")</f>
      </c>
      <c r="K234" s="1">
        <f>IF(#REF!="✅", VLOOKUP(A234,VoxelMeshDefinition!S:AE,10,FALSE),"")</f>
      </c>
    </row>
    <row r="235">
      <c r="A235">
        <f>IF(#REF!="✅", IF(#REF!&lt;&gt;"", #REF!, ""),"")</f>
      </c>
      <c r="B235" s="5">
        <f>IF(#REF!="✅", "/Script/Engine.StaticMesh'/Game/Item/Mesh/Voxel/" &amp; #REF! &amp; "/" &amp; #REF! &amp; "/" &amp; #REF! &amp; "." &amp; #REF! &amp; "'", "")</f>
      </c>
      <c r="C235">
        <f>IF(#REF!="✅", IF(#REF!&lt;&gt;"", #REF!, ""), "")</f>
      </c>
      <c r="D235" s="10">
        <f>IF(#REF!="✅", IF(#REF!&lt;&gt;"", #REF!, ""),"")</f>
      </c>
      <c r="E235" s="9">
        <f>IF(#REF!="✅", IF(#REF!&lt;&gt;"", #REF!, ""),"")</f>
      </c>
      <c r="F235">
        <f>IF(#REF!="✅", IF(#REF!&lt;&gt;"", #REF!, ""),"")</f>
      </c>
      <c r="G235">
        <f>IF(#REF!="✅", IF(#REF!&lt;&gt;"", #REF!, ""),"")</f>
      </c>
      <c r="H235">
        <f>IF(#REF!="✅", IF(#REF!&lt;&gt;"", #REF!, ""),"")</f>
      </c>
      <c r="I235">
        <f>IF(#REF!="✅", IF(#REF!&lt;&gt;"", #REF!, ""),"")</f>
      </c>
      <c r="J235">
        <f>IF(#REF!="✅", IF(#REF!&lt;&gt;"", #REF!, ""),"")</f>
      </c>
      <c r="K235" s="1">
        <f>IF(#REF!="✅", VLOOKUP(A235,VoxelMeshDefinition!S:AE,10,FALSE),"")</f>
      </c>
    </row>
    <row r="236">
      <c r="A236">
        <f>IF(#REF!="✅", IF(#REF!&lt;&gt;"", #REF!, ""),"")</f>
      </c>
      <c r="B236" s="5">
        <f>IF(#REF!="✅", "/Script/Engine.StaticMesh'/Game/Item/Mesh/Voxel/" &amp; #REF! &amp; "/" &amp; #REF! &amp; "/" &amp; #REF! &amp; "." &amp; #REF! &amp; "'", "")</f>
      </c>
      <c r="C236">
        <f>IF(#REF!="✅", IF(#REF!&lt;&gt;"", #REF!, ""), "")</f>
      </c>
      <c r="D236" s="10">
        <f>IF(#REF!="✅", IF(#REF!&lt;&gt;"", #REF!, ""),"")</f>
      </c>
      <c r="E236" s="9">
        <f>IF(#REF!="✅", IF(#REF!&lt;&gt;"", #REF!, ""),"")</f>
      </c>
      <c r="F236">
        <f>IF(#REF!="✅", IF(#REF!&lt;&gt;"", #REF!, ""),"")</f>
      </c>
      <c r="G236">
        <f>IF(#REF!="✅", IF(#REF!&lt;&gt;"", #REF!, ""),"")</f>
      </c>
      <c r="H236">
        <f>IF(#REF!="✅", IF(#REF!&lt;&gt;"", #REF!, ""),"")</f>
      </c>
      <c r="I236">
        <f>IF(#REF!="✅", IF(#REF!&lt;&gt;"", #REF!, ""),"")</f>
      </c>
      <c r="J236">
        <f>IF(#REF!="✅", IF(#REF!&lt;&gt;"", #REF!, ""),"")</f>
      </c>
      <c r="K236" s="1">
        <f>IF(#REF!="✅", VLOOKUP(A236,VoxelMeshDefinition!S:AE,10,FALSE),"")</f>
      </c>
    </row>
    <row r="237">
      <c r="A237">
        <f>IF(#REF!="✅", IF(#REF!&lt;&gt;"", #REF!, ""),"")</f>
      </c>
      <c r="B237" s="5">
        <f>IF(#REF!="✅", "/Script/Engine.StaticMesh'/Game/Item/Mesh/Voxel/" &amp; #REF! &amp; "/" &amp; #REF! &amp; "/" &amp; #REF! &amp; "." &amp; #REF! &amp; "'", "")</f>
      </c>
      <c r="C237">
        <f>IF(#REF!="✅", IF(#REF!&lt;&gt;"", #REF!, ""), "")</f>
      </c>
      <c r="D237" s="10">
        <f>IF(#REF!="✅", IF(#REF!&lt;&gt;"", #REF!, ""),"")</f>
      </c>
      <c r="E237" s="9">
        <f>IF(#REF!="✅", IF(#REF!&lt;&gt;"", #REF!, ""),"")</f>
      </c>
      <c r="F237">
        <f>IF(#REF!="✅", IF(#REF!&lt;&gt;"", #REF!, ""),"")</f>
      </c>
      <c r="G237">
        <f>IF(#REF!="✅", IF(#REF!&lt;&gt;"", #REF!, ""),"")</f>
      </c>
      <c r="H237">
        <f>IF(#REF!="✅", IF(#REF!&lt;&gt;"", #REF!, ""),"")</f>
      </c>
      <c r="I237">
        <f>IF(#REF!="✅", IF(#REF!&lt;&gt;"", #REF!, ""),"")</f>
      </c>
      <c r="J237">
        <f>IF(#REF!="✅", IF(#REF!&lt;&gt;"", #REF!, ""),"")</f>
      </c>
      <c r="K237" s="1">
        <f>IF(#REF!="✅", VLOOKUP(A237,VoxelMeshDefinition!S:AE,10,FALSE),"")</f>
      </c>
    </row>
    <row r="238">
      <c r="A238">
        <f>IF(#REF!="✅", IF(#REF!&lt;&gt;"", #REF!, ""),"")</f>
      </c>
      <c r="B238" s="5">
        <f>IF(#REF!="✅", "/Script/Engine.StaticMesh'/Game/Item/Mesh/Voxel/" &amp; #REF! &amp; "/" &amp; #REF! &amp; "/" &amp; #REF! &amp; "." &amp; #REF! &amp; "'", "")</f>
      </c>
      <c r="C238">
        <f>IF(#REF!="✅", IF(#REF!&lt;&gt;"", #REF!, ""), "")</f>
      </c>
      <c r="D238" s="10">
        <f>IF(#REF!="✅", IF(#REF!&lt;&gt;"", #REF!, ""),"")</f>
      </c>
      <c r="E238" s="9">
        <f>IF(#REF!="✅", IF(#REF!&lt;&gt;"", #REF!, ""),"")</f>
      </c>
      <c r="F238">
        <f>IF(#REF!="✅", IF(#REF!&lt;&gt;"", #REF!, ""),"")</f>
      </c>
      <c r="G238">
        <f>IF(#REF!="✅", IF(#REF!&lt;&gt;"", #REF!, ""),"")</f>
      </c>
      <c r="H238">
        <f>IF(#REF!="✅", IF(#REF!&lt;&gt;"", #REF!, ""),"")</f>
      </c>
      <c r="I238">
        <f>IF(#REF!="✅", IF(#REF!&lt;&gt;"", #REF!, ""),"")</f>
      </c>
      <c r="J238">
        <f>IF(#REF!="✅", IF(#REF!&lt;&gt;"", #REF!, ""),"")</f>
      </c>
      <c r="K238" s="1">
        <f>IF(#REF!="✅", VLOOKUP(A238,VoxelMeshDefinition!S:AE,10,FALSE),"")</f>
      </c>
    </row>
    <row r="239">
      <c r="A239">
        <f>IF(#REF!="✅", IF(#REF!&lt;&gt;"", #REF!, ""),"")</f>
      </c>
      <c r="B239" s="5">
        <f>IF(#REF!="✅", "/Script/Engine.StaticMesh'/Game/Item/Mesh/Voxel/" &amp; #REF! &amp; "/" &amp; #REF! &amp; "/" &amp; #REF! &amp; "." &amp; #REF! &amp; "'", "")</f>
      </c>
      <c r="C239">
        <f>IF(#REF!="✅", IF(#REF!&lt;&gt;"", #REF!, ""), "")</f>
      </c>
      <c r="D239" s="10">
        <f>IF(#REF!="✅", IF(#REF!&lt;&gt;"", #REF!, ""),"")</f>
      </c>
      <c r="E239" s="9">
        <f>IF(#REF!="✅", IF(#REF!&lt;&gt;"", #REF!, ""),"")</f>
      </c>
      <c r="F239">
        <f>IF(#REF!="✅", IF(#REF!&lt;&gt;"", #REF!, ""),"")</f>
      </c>
      <c r="G239">
        <f>IF(#REF!="✅", IF(#REF!&lt;&gt;"", #REF!, ""),"")</f>
      </c>
      <c r="H239">
        <f>IF(#REF!="✅", IF(#REF!&lt;&gt;"", #REF!, ""),"")</f>
      </c>
      <c r="I239">
        <f>IF(#REF!="✅", IF(#REF!&lt;&gt;"", #REF!, ""),"")</f>
      </c>
      <c r="J239">
        <f>IF(#REF!="✅", IF(#REF!&lt;&gt;"", #REF!, ""),"")</f>
      </c>
      <c r="K239" s="1">
        <f>IF(#REF!="✅", VLOOKUP(A239,VoxelMeshDefinition!S:AE,10,FALSE),"")</f>
      </c>
    </row>
    <row r="240">
      <c r="A240">
        <f>IF(#REF!="✅", IF(#REF!&lt;&gt;"", #REF!, ""),"")</f>
      </c>
      <c r="B240" s="5">
        <f>IF(#REF!="✅", "/Script/Engine.StaticMesh'/Game/Item/Mesh/Voxel/" &amp; #REF! &amp; "/" &amp; #REF! &amp; "/" &amp; #REF! &amp; "." &amp; #REF! &amp; "'", "")</f>
      </c>
      <c r="C240">
        <f>IF(#REF!="✅", IF(#REF!&lt;&gt;"", #REF!, ""), "")</f>
      </c>
      <c r="D240" s="10">
        <f>IF(#REF!="✅", IF(#REF!&lt;&gt;"", #REF!, ""),"")</f>
      </c>
      <c r="E240" s="9">
        <f>IF(#REF!="✅", IF(#REF!&lt;&gt;"", #REF!, ""),"")</f>
      </c>
      <c r="F240">
        <f>IF(#REF!="✅", IF(#REF!&lt;&gt;"", #REF!, ""),"")</f>
      </c>
      <c r="G240">
        <f>IF(#REF!="✅", IF(#REF!&lt;&gt;"", #REF!, ""),"")</f>
      </c>
      <c r="H240">
        <f>IF(#REF!="✅", IF(#REF!&lt;&gt;"", #REF!, ""),"")</f>
      </c>
      <c r="I240">
        <f>IF(#REF!="✅", IF(#REF!&lt;&gt;"", #REF!, ""),"")</f>
      </c>
      <c r="J240">
        <f>IF(#REF!="✅", IF(#REF!&lt;&gt;"", #REF!, ""),"")</f>
      </c>
      <c r="K240" s="1">
        <f>IF(#REF!="✅", VLOOKUP(A240,VoxelMeshDefinition!S:AE,10,FALSE),"")</f>
      </c>
    </row>
    <row r="241">
      <c r="A241">
        <f>IF(#REF!="✅", IF(#REF!&lt;&gt;"", #REF!, ""),"")</f>
      </c>
      <c r="B241" s="5">
        <f>IF(#REF!="✅", "/Script/Engine.StaticMesh'/Game/Item/Mesh/Voxel/" &amp; #REF! &amp; "/" &amp; #REF! &amp; "/" &amp; #REF! &amp; "." &amp; #REF! &amp; "'", "")</f>
      </c>
      <c r="C241">
        <f>IF(#REF!="✅", IF(#REF!&lt;&gt;"", #REF!, ""), "")</f>
      </c>
      <c r="D241" s="10">
        <f>IF(#REF!="✅", IF(#REF!&lt;&gt;"", #REF!, ""),"")</f>
      </c>
      <c r="E241" s="9">
        <f>IF(#REF!="✅", IF(#REF!&lt;&gt;"", #REF!, ""),"")</f>
      </c>
      <c r="F241">
        <f>IF(#REF!="✅", IF(#REF!&lt;&gt;"", #REF!, ""),"")</f>
      </c>
      <c r="G241">
        <f>IF(#REF!="✅", IF(#REF!&lt;&gt;"", #REF!, ""),"")</f>
      </c>
      <c r="H241">
        <f>IF(#REF!="✅", IF(#REF!&lt;&gt;"", #REF!, ""),"")</f>
      </c>
      <c r="I241">
        <f>IF(#REF!="✅", IF(#REF!&lt;&gt;"", #REF!, ""),"")</f>
      </c>
      <c r="J241">
        <f>IF(#REF!="✅", IF(#REF!&lt;&gt;"", #REF!, ""),"")</f>
      </c>
      <c r="K241" s="1">
        <f>IF(#REF!="✅", VLOOKUP(A241,VoxelMeshDefinition!S:AE,10,FALSE),"")</f>
      </c>
    </row>
    <row r="242">
      <c r="A242">
        <f>IF(#REF!="✅", IF(#REF!&lt;&gt;"", #REF!, ""),"")</f>
      </c>
      <c r="B242" s="5">
        <f>IF(#REF!="✅", "/Script/Engine.StaticMesh'/Game/Item/Mesh/Voxel/" &amp; #REF! &amp; "/" &amp; #REF! &amp; "/" &amp; #REF! &amp; "." &amp; #REF! &amp; "'", "")</f>
      </c>
      <c r="C242">
        <f>IF(#REF!="✅", IF(#REF!&lt;&gt;"", #REF!, ""), "")</f>
      </c>
      <c r="D242" s="10">
        <f>IF(#REF!="✅", IF(#REF!&lt;&gt;"", #REF!, ""),"")</f>
      </c>
      <c r="E242" s="9">
        <f>IF(#REF!="✅", IF(#REF!&lt;&gt;"", #REF!, ""),"")</f>
      </c>
      <c r="F242">
        <f>IF(#REF!="✅", IF(#REF!&lt;&gt;"", #REF!, ""),"")</f>
      </c>
      <c r="G242">
        <f>IF(#REF!="✅", IF(#REF!&lt;&gt;"", #REF!, ""),"")</f>
      </c>
      <c r="H242">
        <f>IF(#REF!="✅", IF(#REF!&lt;&gt;"", #REF!, ""),"")</f>
      </c>
      <c r="I242">
        <f>IF(#REF!="✅", IF(#REF!&lt;&gt;"", #REF!, ""),"")</f>
      </c>
      <c r="J242">
        <f>IF(#REF!="✅", IF(#REF!&lt;&gt;"", #REF!, ""),"")</f>
      </c>
      <c r="K242" s="1">
        <f>IF(#REF!="✅", VLOOKUP(A242,VoxelMeshDefinition!S:AE,10,FALSE),"")</f>
      </c>
    </row>
    <row r="243">
      <c r="A243">
        <f>IF(#REF!="✅", IF(#REF!&lt;&gt;"", #REF!, ""),"")</f>
      </c>
      <c r="B243" s="5">
        <f>IF(#REF!="✅", "/Script/Engine.StaticMesh'/Game/Item/Mesh/Voxel/" &amp; #REF! &amp; "/" &amp; #REF! &amp; "/" &amp; #REF! &amp; "." &amp; #REF! &amp; "'", "")</f>
      </c>
      <c r="C243">
        <f>IF(#REF!="✅", IF(#REF!&lt;&gt;"", #REF!, ""), "")</f>
      </c>
      <c r="D243" s="10">
        <f>IF(#REF!="✅", IF(#REF!&lt;&gt;"", #REF!, ""),"")</f>
      </c>
      <c r="E243" s="9">
        <f>IF(#REF!="✅", IF(#REF!&lt;&gt;"", #REF!, ""),"")</f>
      </c>
      <c r="F243">
        <f>IF(#REF!="✅", IF(#REF!&lt;&gt;"", #REF!, ""),"")</f>
      </c>
      <c r="G243">
        <f>IF(#REF!="✅", IF(#REF!&lt;&gt;"", #REF!, ""),"")</f>
      </c>
      <c r="H243">
        <f>IF(#REF!="✅", IF(#REF!&lt;&gt;"", #REF!, ""),"")</f>
      </c>
      <c r="I243">
        <f>IF(#REF!="✅", IF(#REF!&lt;&gt;"", #REF!, ""),"")</f>
      </c>
      <c r="J243">
        <f>IF(#REF!="✅", IF(#REF!&lt;&gt;"", #REF!, ""),"")</f>
      </c>
      <c r="K243" s="1">
        <f>IF(#REF!="✅", VLOOKUP(A243,VoxelMeshDefinition!S:AE,10,FALSE),"")</f>
      </c>
    </row>
    <row r="244">
      <c r="A244">
        <f>IF(#REF!="✅", IF(#REF!&lt;&gt;"", #REF!, ""),"")</f>
      </c>
      <c r="B244" s="5">
        <f>IF(#REF!="✅", "/Script/Engine.StaticMesh'/Game/Item/Mesh/Voxel/" &amp; #REF! &amp; "/" &amp; #REF! &amp; "/" &amp; #REF! &amp; "." &amp; #REF! &amp; "'", "")</f>
      </c>
      <c r="C244">
        <f>IF(#REF!="✅", IF(#REF!&lt;&gt;"", #REF!, ""), "")</f>
      </c>
      <c r="D244" s="10">
        <f>IF(#REF!="✅", IF(#REF!&lt;&gt;"", #REF!, ""),"")</f>
      </c>
      <c r="E244" s="9">
        <f>IF(#REF!="✅", IF(#REF!&lt;&gt;"", #REF!, ""),"")</f>
      </c>
      <c r="F244">
        <f>IF(#REF!="✅", IF(#REF!&lt;&gt;"", #REF!, ""),"")</f>
      </c>
      <c r="G244">
        <f>IF(#REF!="✅", IF(#REF!&lt;&gt;"", #REF!, ""),"")</f>
      </c>
      <c r="H244">
        <f>IF(#REF!="✅", IF(#REF!&lt;&gt;"", #REF!, ""),"")</f>
      </c>
      <c r="I244">
        <f>IF(#REF!="✅", IF(#REF!&lt;&gt;"", #REF!, ""),"")</f>
      </c>
      <c r="J244">
        <f>IF(#REF!="✅", IF(#REF!&lt;&gt;"", #REF!, ""),"")</f>
      </c>
      <c r="K244" s="1">
        <f>IF(#REF!="✅", VLOOKUP(A244,VoxelMeshDefinition!S:AE,10,FALSE),"")</f>
      </c>
    </row>
    <row r="245">
      <c r="A245">
        <f>IF(#REF!="✅", IF(#REF!&lt;&gt;"", #REF!, ""),"")</f>
      </c>
      <c r="B245" s="5">
        <f>IF(#REF!="✅", "/Script/Engine.StaticMesh'/Game/Item/Mesh/Voxel/" &amp; #REF! &amp; "/" &amp; #REF! &amp; "/" &amp; #REF! &amp; "." &amp; #REF! &amp; "'", "")</f>
      </c>
      <c r="C245">
        <f>IF(#REF!="✅", IF(#REF!&lt;&gt;"", #REF!, ""), "")</f>
      </c>
      <c r="D245" s="10">
        <f>IF(#REF!="✅", IF(#REF!&lt;&gt;"", #REF!, ""),"")</f>
      </c>
      <c r="E245" s="9">
        <f>IF(#REF!="✅", IF(#REF!&lt;&gt;"", #REF!, ""),"")</f>
      </c>
      <c r="F245">
        <f>IF(#REF!="✅", IF(#REF!&lt;&gt;"", #REF!, ""),"")</f>
      </c>
      <c r="G245">
        <f>IF(#REF!="✅", IF(#REF!&lt;&gt;"", #REF!, ""),"")</f>
      </c>
      <c r="H245">
        <f>IF(#REF!="✅", IF(#REF!&lt;&gt;"", #REF!, ""),"")</f>
      </c>
      <c r="I245">
        <f>IF(#REF!="✅", IF(#REF!&lt;&gt;"", #REF!, ""),"")</f>
      </c>
      <c r="J245">
        <f>IF(#REF!="✅", IF(#REF!&lt;&gt;"", #REF!, ""),"")</f>
      </c>
      <c r="K245" s="1">
        <f>IF(#REF!="✅", VLOOKUP(A245,VoxelMeshDefinition!S:AE,10,FALSE),"")</f>
      </c>
    </row>
    <row r="246">
      <c r="A246">
        <f>IF(#REF!="✅", IF(#REF!&lt;&gt;"", #REF!, ""),"")</f>
      </c>
      <c r="B246" s="5">
        <f>IF(#REF!="✅", "/Script/Engine.StaticMesh'/Game/Item/Mesh/Voxel/" &amp; #REF! &amp; "/" &amp; #REF! &amp; "/" &amp; #REF! &amp; "." &amp; #REF! &amp; "'", "")</f>
      </c>
      <c r="C246">
        <f>IF(#REF!="✅", IF(#REF!&lt;&gt;"", #REF!, ""), "")</f>
      </c>
      <c r="D246" s="10">
        <f>IF(#REF!="✅", IF(#REF!&lt;&gt;"", #REF!, ""),"")</f>
      </c>
      <c r="E246" s="9">
        <f>IF(#REF!="✅", IF(#REF!&lt;&gt;"", #REF!, ""),"")</f>
      </c>
      <c r="F246">
        <f>IF(#REF!="✅", IF(#REF!&lt;&gt;"", #REF!, ""),"")</f>
      </c>
      <c r="G246">
        <f>IF(#REF!="✅", IF(#REF!&lt;&gt;"", #REF!, ""),"")</f>
      </c>
      <c r="H246">
        <f>IF(#REF!="✅", IF(#REF!&lt;&gt;"", #REF!, ""),"")</f>
      </c>
      <c r="I246">
        <f>IF(#REF!="✅", IF(#REF!&lt;&gt;"", #REF!, ""),"")</f>
      </c>
      <c r="J246">
        <f>IF(#REF!="✅", IF(#REF!&lt;&gt;"", #REF!, ""),"")</f>
      </c>
      <c r="K246" s="1">
        <f>IF(#REF!="✅", VLOOKUP(A246,VoxelMeshDefinition!S:AE,10,FALSE),"")</f>
      </c>
    </row>
    <row r="247">
      <c r="A247">
        <f>IF(#REF!="✅", IF(#REF!&lt;&gt;"", #REF!, ""),"")</f>
      </c>
      <c r="B247" s="5">
        <f>IF(#REF!="✅", "/Script/Engine.StaticMesh'/Game/Item/Mesh/Voxel/" &amp; #REF! &amp; "/" &amp; #REF! &amp; "/" &amp; #REF! &amp; "." &amp; #REF! &amp; "'", "")</f>
      </c>
      <c r="C247">
        <f>IF(#REF!="✅", IF(#REF!&lt;&gt;"", #REF!, ""), "")</f>
      </c>
      <c r="D247" s="10">
        <f>IF(#REF!="✅", IF(#REF!&lt;&gt;"", #REF!, ""),"")</f>
      </c>
      <c r="E247" s="9">
        <f>IF(#REF!="✅", IF(#REF!&lt;&gt;"", #REF!, ""),"")</f>
      </c>
      <c r="F247">
        <f>IF(#REF!="✅", IF(#REF!&lt;&gt;"", #REF!, ""),"")</f>
      </c>
      <c r="G247">
        <f>IF(#REF!="✅", IF(#REF!&lt;&gt;"", #REF!, ""),"")</f>
      </c>
      <c r="H247">
        <f>IF(#REF!="✅", IF(#REF!&lt;&gt;"", #REF!, ""),"")</f>
      </c>
      <c r="I247">
        <f>IF(#REF!="✅", IF(#REF!&lt;&gt;"", #REF!, ""),"")</f>
      </c>
      <c r="J247">
        <f>IF(#REF!="✅", IF(#REF!&lt;&gt;"", #REF!, ""),"")</f>
      </c>
      <c r="K247" s="1">
        <f>IF(#REF!="✅", VLOOKUP(A247,VoxelMeshDefinition!S:AE,10,FALSE),"")</f>
      </c>
    </row>
    <row r="248">
      <c r="A248">
        <f>IF(#REF!="✅", IF(#REF!&lt;&gt;"", #REF!, ""),"")</f>
      </c>
      <c r="B248" s="5">
        <f>IF(#REF!="✅", "/Script/Engine.StaticMesh'/Game/Item/Mesh/Voxel/" &amp; #REF! &amp; "/" &amp; #REF! &amp; "/" &amp; #REF! &amp; "." &amp; #REF! &amp; "'", "")</f>
      </c>
      <c r="C248">
        <f>IF(#REF!="✅", IF(#REF!&lt;&gt;"", #REF!, ""), "")</f>
      </c>
      <c r="D248" s="10">
        <f>IF(#REF!="✅", IF(#REF!&lt;&gt;"", #REF!, ""),"")</f>
      </c>
      <c r="E248" s="9">
        <f>IF(#REF!="✅", IF(#REF!&lt;&gt;"", #REF!, ""),"")</f>
      </c>
      <c r="F248">
        <f>IF(#REF!="✅", IF(#REF!&lt;&gt;"", #REF!, ""),"")</f>
      </c>
      <c r="G248">
        <f>IF(#REF!="✅", IF(#REF!&lt;&gt;"", #REF!, ""),"")</f>
      </c>
      <c r="H248">
        <f>IF(#REF!="✅", IF(#REF!&lt;&gt;"", #REF!, ""),"")</f>
      </c>
      <c r="I248">
        <f>IF(#REF!="✅", IF(#REF!&lt;&gt;"", #REF!, ""),"")</f>
      </c>
      <c r="J248">
        <f>IF(#REF!="✅", IF(#REF!&lt;&gt;"", #REF!, ""),"")</f>
      </c>
      <c r="K248" s="1">
        <f>IF(#REF!="✅", VLOOKUP(A248,VoxelMeshDefinition!S:AE,10,FALSE),"")</f>
      </c>
    </row>
    <row r="249">
      <c r="A249">
        <f>IF(#REF!="✅", IF(#REF!&lt;&gt;"", #REF!, ""),"")</f>
      </c>
      <c r="B249" s="5">
        <f>IF(#REF!="✅", "/Script/Engine.StaticMesh'/Game/Item/Mesh/Voxel/" &amp; #REF! &amp; "/" &amp; #REF! &amp; "/" &amp; #REF! &amp; "." &amp; #REF! &amp; "'", "")</f>
      </c>
      <c r="C249">
        <f>IF(#REF!="✅", IF(#REF!&lt;&gt;"", #REF!, ""), "")</f>
      </c>
      <c r="D249" s="10">
        <f>IF(#REF!="✅", IF(#REF!&lt;&gt;"", #REF!, ""),"")</f>
      </c>
      <c r="E249" s="9">
        <f>IF(#REF!="✅", IF(#REF!&lt;&gt;"", #REF!, ""),"")</f>
      </c>
      <c r="F249">
        <f>IF(#REF!="✅", IF(#REF!&lt;&gt;"", #REF!, ""),"")</f>
      </c>
      <c r="G249">
        <f>IF(#REF!="✅", IF(#REF!&lt;&gt;"", #REF!, ""),"")</f>
      </c>
      <c r="H249">
        <f>IF(#REF!="✅", IF(#REF!&lt;&gt;"", #REF!, ""),"")</f>
      </c>
      <c r="I249">
        <f>IF(#REF!="✅", IF(#REF!&lt;&gt;"", #REF!, ""),"")</f>
      </c>
      <c r="J249">
        <f>IF(#REF!="✅", IF(#REF!&lt;&gt;"", #REF!, ""),"")</f>
      </c>
      <c r="K249" s="1">
        <f>IF(#REF!="✅", VLOOKUP(A249,VoxelMeshDefinition!S:AE,10,FALSE),"")</f>
      </c>
    </row>
    <row r="250">
      <c r="A250">
        <f>IF(#REF!="✅", IF(#REF!&lt;&gt;"", #REF!, ""),"")</f>
      </c>
      <c r="B250" s="5">
        <f>IF(#REF!="✅", "/Script/Engine.StaticMesh'/Game/Item/Mesh/Voxel/" &amp; #REF! &amp; "/" &amp; #REF! &amp; "/" &amp; #REF! &amp; "." &amp; #REF! &amp; "'", "")</f>
      </c>
      <c r="C250">
        <f>IF(#REF!="✅", IF(#REF!&lt;&gt;"", #REF!, ""), "")</f>
      </c>
      <c r="D250" s="10">
        <f>IF(#REF!="✅", IF(#REF!&lt;&gt;"", #REF!, ""),"")</f>
      </c>
      <c r="E250" s="9">
        <f>IF(#REF!="✅", IF(#REF!&lt;&gt;"", #REF!, ""),"")</f>
      </c>
      <c r="F250">
        <f>IF(#REF!="✅", IF(#REF!&lt;&gt;"", #REF!, ""),"")</f>
      </c>
      <c r="G250">
        <f>IF(#REF!="✅", IF(#REF!&lt;&gt;"", #REF!, ""),"")</f>
      </c>
      <c r="H250">
        <f>IF(#REF!="✅", IF(#REF!&lt;&gt;"", #REF!, ""),"")</f>
      </c>
      <c r="I250">
        <f>IF(#REF!="✅", IF(#REF!&lt;&gt;"", #REF!, ""),"")</f>
      </c>
      <c r="J250">
        <f>IF(#REF!="✅", IF(#REF!&lt;&gt;"", #REF!, ""),"")</f>
      </c>
      <c r="K250" s="1">
        <f>IF(#REF!="✅", VLOOKUP(A250,VoxelMeshDefinition!S:AE,10,FALSE),"")</f>
      </c>
    </row>
    <row r="251">
      <c r="A251">
        <f>IF(#REF!="✅", IF(#REF!&lt;&gt;"", #REF!, ""),"")</f>
      </c>
      <c r="B251" s="5">
        <f>IF(#REF!="✅", "/Script/Engine.StaticMesh'/Game/Item/Mesh/Voxel/" &amp; #REF! &amp; "/" &amp; #REF! &amp; "/" &amp; #REF! &amp; "." &amp; #REF! &amp; "'", "")</f>
      </c>
      <c r="C251">
        <f>IF(#REF!="✅", IF(#REF!&lt;&gt;"", #REF!, ""), "")</f>
      </c>
      <c r="D251" s="10">
        <f>IF(#REF!="✅", IF(#REF!&lt;&gt;"", #REF!, ""),"")</f>
      </c>
      <c r="E251" s="9">
        <f>IF(#REF!="✅", IF(#REF!&lt;&gt;"", #REF!, ""),"")</f>
      </c>
      <c r="F251">
        <f>IF(#REF!="✅", IF(#REF!&lt;&gt;"", #REF!, ""),"")</f>
      </c>
      <c r="G251">
        <f>IF(#REF!="✅", IF(#REF!&lt;&gt;"", #REF!, ""),"")</f>
      </c>
      <c r="H251">
        <f>IF(#REF!="✅", IF(#REF!&lt;&gt;"", #REF!, ""),"")</f>
      </c>
      <c r="I251">
        <f>IF(#REF!="✅", IF(#REF!&lt;&gt;"", #REF!, ""),"")</f>
      </c>
      <c r="J251">
        <f>IF(#REF!="✅", IF(#REF!&lt;&gt;"", #REF!, ""),"")</f>
      </c>
      <c r="K251" s="1">
        <f>IF(#REF!="✅", VLOOKUP(A251,VoxelMeshDefinition!S:AE,10,FALSE),"")</f>
      </c>
    </row>
    <row r="252">
      <c r="A252">
        <f>IF(#REF!="✅", IF(#REF!&lt;&gt;"", #REF!, ""),"")</f>
      </c>
      <c r="B252" s="5">
        <f>IF(#REF!="✅", "/Script/Engine.StaticMesh'/Game/Item/Mesh/Voxel/" &amp; #REF! &amp; "/" &amp; #REF! &amp; "/" &amp; #REF! &amp; "." &amp; #REF! &amp; "'", "")</f>
      </c>
      <c r="C252">
        <f>IF(#REF!="✅", IF(#REF!&lt;&gt;"", #REF!, ""), "")</f>
      </c>
      <c r="D252" s="10">
        <f>IF(#REF!="✅", IF(#REF!&lt;&gt;"", #REF!, ""),"")</f>
      </c>
      <c r="E252" s="9">
        <f>IF(#REF!="✅", IF(#REF!&lt;&gt;"", #REF!, ""),"")</f>
      </c>
      <c r="F252">
        <f>IF(#REF!="✅", IF(#REF!&lt;&gt;"", #REF!, ""),"")</f>
      </c>
      <c r="G252">
        <f>IF(#REF!="✅", IF(#REF!&lt;&gt;"", #REF!, ""),"")</f>
      </c>
      <c r="H252">
        <f>IF(#REF!="✅", IF(#REF!&lt;&gt;"", #REF!, ""),"")</f>
      </c>
      <c r="I252">
        <f>IF(#REF!="✅", IF(#REF!&lt;&gt;"", #REF!, ""),"")</f>
      </c>
      <c r="J252">
        <f>IF(#REF!="✅", IF(#REF!&lt;&gt;"", #REF!, ""),"")</f>
      </c>
      <c r="K252" s="1">
        <f>IF(#REF!="✅", VLOOKUP(A252,VoxelMeshDefinition!S:AE,10,FALSE),"")</f>
      </c>
    </row>
    <row r="253">
      <c r="A253">
        <f>IF(#REF!="✅", IF(#REF!&lt;&gt;"", #REF!, ""),"")</f>
      </c>
      <c r="B253" s="5">
        <f>IF(#REF!="✅", "/Script/Engine.StaticMesh'/Game/Item/Mesh/Voxel/" &amp; #REF! &amp; "/" &amp; #REF! &amp; "/" &amp; #REF! &amp; "." &amp; #REF! &amp; "'", "")</f>
      </c>
      <c r="C253">
        <f>IF(#REF!="✅", IF(#REF!&lt;&gt;"", #REF!, ""), "")</f>
      </c>
      <c r="D253" s="10">
        <f>IF(#REF!="✅", IF(#REF!&lt;&gt;"", #REF!, ""),"")</f>
      </c>
      <c r="E253" s="9">
        <f>IF(#REF!="✅", IF(#REF!&lt;&gt;"", #REF!, ""),"")</f>
      </c>
      <c r="F253">
        <f>IF(#REF!="✅", IF(#REF!&lt;&gt;"", #REF!, ""),"")</f>
      </c>
      <c r="G253">
        <f>IF(#REF!="✅", IF(#REF!&lt;&gt;"", #REF!, ""),"")</f>
      </c>
      <c r="H253">
        <f>IF(#REF!="✅", IF(#REF!&lt;&gt;"", #REF!, ""),"")</f>
      </c>
      <c r="I253">
        <f>IF(#REF!="✅", IF(#REF!&lt;&gt;"", #REF!, ""),"")</f>
      </c>
      <c r="J253">
        <f>IF(#REF!="✅", IF(#REF!&lt;&gt;"", #REF!, ""),"")</f>
      </c>
      <c r="K253" s="1">
        <f>IF(#REF!="✅", VLOOKUP(A253,VoxelMeshDefinition!S:AE,10,FALSE),"")</f>
      </c>
    </row>
    <row r="254">
      <c r="A254">
        <f>IF(#REF!="✅", IF(#REF!&lt;&gt;"", #REF!, ""),"")</f>
      </c>
      <c r="B254" s="5">
        <f>IF(#REF!="✅", "/Script/Engine.StaticMesh'/Game/Item/Mesh/Voxel/" &amp; #REF! &amp; "/" &amp; #REF! &amp; "/" &amp; #REF! &amp; "." &amp; #REF! &amp; "'", "")</f>
      </c>
      <c r="C254">
        <f>IF(#REF!="✅", IF(#REF!&lt;&gt;"", #REF!, ""), "")</f>
      </c>
      <c r="D254" s="10">
        <f>IF(#REF!="✅", IF(#REF!&lt;&gt;"", #REF!, ""),"")</f>
      </c>
      <c r="E254" s="9">
        <f>IF(#REF!="✅", IF(#REF!&lt;&gt;"", #REF!, ""),"")</f>
      </c>
      <c r="F254">
        <f>IF(#REF!="✅", IF(#REF!&lt;&gt;"", #REF!, ""),"")</f>
      </c>
      <c r="G254">
        <f>IF(#REF!="✅", IF(#REF!&lt;&gt;"", #REF!, ""),"")</f>
      </c>
      <c r="H254">
        <f>IF(#REF!="✅", IF(#REF!&lt;&gt;"", #REF!, ""),"")</f>
      </c>
      <c r="I254">
        <f>IF(#REF!="✅", IF(#REF!&lt;&gt;"", #REF!, ""),"")</f>
      </c>
      <c r="J254">
        <f>IF(#REF!="✅", IF(#REF!&lt;&gt;"", #REF!, ""),"")</f>
      </c>
      <c r="K254" s="1">
        <f>IF(#REF!="✅", VLOOKUP(A254,VoxelMeshDefinition!S:AE,10,FALSE),"")</f>
      </c>
    </row>
    <row r="255">
      <c r="A255">
        <f>IF(VoxelMeshDefinition!AE358="✅", IF(#REF!&lt;&gt;"", #REF!, ""),"")</f>
      </c>
      <c r="B255" s="5">
        <f>IF(VoxelMeshDefinition!AE358="✅", "/Script/Engine.StaticMesh'/Game/Item/Mesh/Voxel/" &amp; VoxelMeshDefinition!Q358 &amp; "/" &amp; VoxelMeshDefinition!H358 &amp; "/" &amp; VoxelMeshDefinition!E358 &amp; "." &amp; VoxelMeshDefinition!E358 &amp; "'", "")</f>
      </c>
      <c r="C255">
        <f>IF(VoxelMeshDefinition!AE358="✅", IF(VoxelMeshDefinition!T358&lt;&gt;"", VoxelMeshDefinition!T358, ""), "")</f>
      </c>
      <c r="D255" s="10">
        <f>IF(VoxelMeshDefinition!AE358="✅", IF(VoxelMeshDefinition!U358&lt;&gt;"", VoxelMeshDefinition!U358, ""),"")</f>
      </c>
      <c r="E255" s="9">
        <f>IF(VoxelMeshDefinition!AE358="✅", IF(VoxelMeshDefinition!V358&lt;&gt;"", VoxelMeshDefinition!V358, ""),"")</f>
      </c>
      <c r="F255">
        <f>IF(VoxelMeshDefinition!AE358="✅", IF(VoxelMeshDefinition!W358&lt;&gt;"", VoxelMeshDefinition!W358, ""),"")</f>
      </c>
      <c r="G255">
        <f>IF(VoxelMeshDefinition!AE358="✅", IF(VoxelMeshDefinition!X358&lt;&gt;"", VoxelMeshDefinition!X358, ""),"")</f>
      </c>
      <c r="H255">
        <f>IF(VoxelMeshDefinition!AE358="✅", IF(VoxelMeshDefinition!Y358&lt;&gt;"", VoxelMeshDefinition!Y358, ""),"")</f>
      </c>
      <c r="I255">
        <f>IF(VoxelMeshDefinition!AE358="✅", IF(VoxelMeshDefinition!Z358&lt;&gt;"", VoxelMeshDefinition!Z358, ""),"")</f>
      </c>
      <c r="J255">
        <f>IF(VoxelMeshDefinition!AE358="✅", IF(VoxelMeshDefinition!AA358&lt;&gt;"", VoxelMeshDefinition!AA358, ""),"")</f>
      </c>
      <c r="K255" s="1">
        <f>IF(VoxelMeshDefinition!AE358="✅", VLOOKUP(A255,VoxelMeshDefinition!S:AE,10,FALSE),"")</f>
      </c>
    </row>
    <row r="256">
      <c r="A256">
        <f>IF(VoxelMeshDefinition!AE359="✅", IF(#REF!&lt;&gt;"", #REF!, ""),"")</f>
      </c>
      <c r="B256" s="5">
        <f>IF(VoxelMeshDefinition!AE359="✅", "/Script/Engine.StaticMesh'/Game/Item/Mesh/Voxel/" &amp; VoxelMeshDefinition!Q359 &amp; "/" &amp; VoxelMeshDefinition!H359 &amp; "/" &amp; VoxelMeshDefinition!E359 &amp; "." &amp; VoxelMeshDefinition!E359 &amp; "'", "")</f>
      </c>
      <c r="C256">
        <f>IF(VoxelMeshDefinition!AE359="✅", IF(VoxelMeshDefinition!T359&lt;&gt;"", VoxelMeshDefinition!T359, ""), "")</f>
      </c>
      <c r="D256" s="10">
        <f>IF(VoxelMeshDefinition!AE359="✅", IF(VoxelMeshDefinition!U359&lt;&gt;"", VoxelMeshDefinition!U359, ""),"")</f>
      </c>
      <c r="E256" s="9">
        <f>IF(VoxelMeshDefinition!AE359="✅", IF(VoxelMeshDefinition!V359&lt;&gt;"", VoxelMeshDefinition!V359, ""),"")</f>
      </c>
      <c r="F256">
        <f>IF(VoxelMeshDefinition!AE359="✅", IF(VoxelMeshDefinition!W359&lt;&gt;"", VoxelMeshDefinition!W359, ""),"")</f>
      </c>
      <c r="G256">
        <f>IF(VoxelMeshDefinition!AE359="✅", IF(VoxelMeshDefinition!X359&lt;&gt;"", VoxelMeshDefinition!X359, ""),"")</f>
      </c>
      <c r="H256">
        <f>IF(VoxelMeshDefinition!AE359="✅", IF(VoxelMeshDefinition!Y359&lt;&gt;"", VoxelMeshDefinition!Y359, ""),"")</f>
      </c>
      <c r="I256">
        <f>IF(VoxelMeshDefinition!AE359="✅", IF(VoxelMeshDefinition!Z359&lt;&gt;"", VoxelMeshDefinition!Z359, ""),"")</f>
      </c>
      <c r="J256">
        <f>IF(VoxelMeshDefinition!AE359="✅", IF(VoxelMeshDefinition!AA359&lt;&gt;"", VoxelMeshDefinition!AA359, ""),"")</f>
      </c>
      <c r="K256" s="1">
        <f>IF(VoxelMeshDefinition!AE359="✅", VLOOKUP(A256,VoxelMeshDefinition!S:AE,10,FALSE),"")</f>
      </c>
    </row>
    <row r="257">
      <c r="A257">
        <f>IF(VoxelMeshDefinition!AE360="✅", IF(#REF!&lt;&gt;"", #REF!, ""),"")</f>
      </c>
      <c r="B257" s="5">
        <f>IF(VoxelMeshDefinition!AE360="✅", "/Script/Engine.StaticMesh'/Game/Item/Mesh/Voxel/" &amp; VoxelMeshDefinition!Q360 &amp; "/" &amp; VoxelMeshDefinition!H360 &amp; "/" &amp; VoxelMeshDefinition!E360 &amp; "." &amp; VoxelMeshDefinition!E360 &amp; "'", "")</f>
      </c>
      <c r="C257">
        <f>IF(VoxelMeshDefinition!AE360="✅", IF(VoxelMeshDefinition!T360&lt;&gt;"", VoxelMeshDefinition!T360, ""), "")</f>
      </c>
      <c r="D257" s="10">
        <f>IF(VoxelMeshDefinition!AE360="✅", IF(VoxelMeshDefinition!U360&lt;&gt;"", VoxelMeshDefinition!U360, ""),"")</f>
      </c>
      <c r="E257" s="9">
        <f>IF(VoxelMeshDefinition!AE360="✅", IF(VoxelMeshDefinition!V360&lt;&gt;"", VoxelMeshDefinition!V360, ""),"")</f>
      </c>
      <c r="F257">
        <f>IF(VoxelMeshDefinition!AE360="✅", IF(VoxelMeshDefinition!W360&lt;&gt;"", VoxelMeshDefinition!W360, ""),"")</f>
      </c>
      <c r="G257">
        <f>IF(VoxelMeshDefinition!AE360="✅", IF(VoxelMeshDefinition!X360&lt;&gt;"", VoxelMeshDefinition!X360, ""),"")</f>
      </c>
      <c r="H257">
        <f>IF(VoxelMeshDefinition!AE360="✅", IF(VoxelMeshDefinition!Y360&lt;&gt;"", VoxelMeshDefinition!Y360, ""),"")</f>
      </c>
      <c r="I257">
        <f>IF(VoxelMeshDefinition!AE360="✅", IF(VoxelMeshDefinition!Z360&lt;&gt;"", VoxelMeshDefinition!Z360, ""),"")</f>
      </c>
      <c r="J257">
        <f>IF(VoxelMeshDefinition!AE360="✅", IF(VoxelMeshDefinition!AA360&lt;&gt;"", VoxelMeshDefinition!AA360, ""),"")</f>
      </c>
      <c r="K257" s="1">
        <f>IF(VoxelMeshDefinition!AE360="✅", VLOOKUP(A257,VoxelMeshDefinition!S:AE,10,FALSE),"")</f>
      </c>
    </row>
    <row r="258">
      <c r="A258">
        <f>IF(VoxelMeshDefinition!AE361="✅", IF(#REF!&lt;&gt;"", #REF!, ""),"")</f>
      </c>
      <c r="B258" s="5">
        <f>IF(VoxelMeshDefinition!AE361="✅", "/Script/Engine.StaticMesh'/Game/Item/Mesh/Voxel/" &amp; VoxelMeshDefinition!Q361 &amp; "/" &amp; VoxelMeshDefinition!H361 &amp; "/" &amp; VoxelMeshDefinition!E361 &amp; "." &amp; VoxelMeshDefinition!E361 &amp; "'", "")</f>
      </c>
      <c r="C258">
        <f>IF(VoxelMeshDefinition!AE361="✅", IF(VoxelMeshDefinition!T361&lt;&gt;"", VoxelMeshDefinition!T361, ""), "")</f>
      </c>
      <c r="D258" s="10">
        <f>IF(VoxelMeshDefinition!AE361="✅", IF(VoxelMeshDefinition!U361&lt;&gt;"", VoxelMeshDefinition!U361, ""),"")</f>
      </c>
      <c r="E258" s="9">
        <f>IF(VoxelMeshDefinition!AE361="✅", IF(VoxelMeshDefinition!V361&lt;&gt;"", VoxelMeshDefinition!V361, ""),"")</f>
      </c>
      <c r="F258">
        <f>IF(VoxelMeshDefinition!AE361="✅", IF(VoxelMeshDefinition!W361&lt;&gt;"", VoxelMeshDefinition!W361, ""),"")</f>
      </c>
      <c r="G258">
        <f>IF(VoxelMeshDefinition!AE361="✅", IF(VoxelMeshDefinition!X361&lt;&gt;"", VoxelMeshDefinition!X361, ""),"")</f>
      </c>
      <c r="H258">
        <f>IF(VoxelMeshDefinition!AE361="✅", IF(VoxelMeshDefinition!Y361&lt;&gt;"", VoxelMeshDefinition!Y361, ""),"")</f>
      </c>
      <c r="I258">
        <f>IF(VoxelMeshDefinition!AE361="✅", IF(VoxelMeshDefinition!Z361&lt;&gt;"", VoxelMeshDefinition!Z361, ""),"")</f>
      </c>
      <c r="J258">
        <f>IF(VoxelMeshDefinition!AE361="✅", IF(VoxelMeshDefinition!AA361&lt;&gt;"", VoxelMeshDefinition!AA361, ""),"")</f>
      </c>
      <c r="K258" s="1">
        <f>IF(VoxelMeshDefinition!AE361="✅", VLOOKUP(A258,VoxelMeshDefinition!S:AE,10,FALSE),"")</f>
      </c>
    </row>
    <row r="259">
      <c r="A259">
        <f>IF(VoxelMeshDefinition!AE362="✅", IF(#REF!&lt;&gt;"", #REF!, ""),"")</f>
      </c>
      <c r="B259" s="5">
        <f>IF(VoxelMeshDefinition!AE362="✅", "/Script/Engine.StaticMesh'/Game/Item/Mesh/Voxel/" &amp; VoxelMeshDefinition!Q362 &amp; "/" &amp; VoxelMeshDefinition!H362 &amp; "/" &amp; VoxelMeshDefinition!E362 &amp; "." &amp; VoxelMeshDefinition!E362 &amp; "'", "")</f>
      </c>
      <c r="C259">
        <f>IF(VoxelMeshDefinition!AE362="✅", IF(VoxelMeshDefinition!T362&lt;&gt;"", VoxelMeshDefinition!T362, ""), "")</f>
      </c>
      <c r="D259" s="10">
        <f>IF(VoxelMeshDefinition!AE362="✅", IF(VoxelMeshDefinition!U362&lt;&gt;"", VoxelMeshDefinition!U362, ""),"")</f>
      </c>
      <c r="E259" s="9">
        <f>IF(VoxelMeshDefinition!AE362="✅", IF(VoxelMeshDefinition!V362&lt;&gt;"", VoxelMeshDefinition!V362, ""),"")</f>
      </c>
      <c r="F259">
        <f>IF(VoxelMeshDefinition!AE362="✅", IF(VoxelMeshDefinition!W362&lt;&gt;"", VoxelMeshDefinition!W362, ""),"")</f>
      </c>
      <c r="G259">
        <f>IF(VoxelMeshDefinition!AE362="✅", IF(VoxelMeshDefinition!X362&lt;&gt;"", VoxelMeshDefinition!X362, ""),"")</f>
      </c>
      <c r="H259">
        <f>IF(VoxelMeshDefinition!AE362="✅", IF(VoxelMeshDefinition!Y362&lt;&gt;"", VoxelMeshDefinition!Y362, ""),"")</f>
      </c>
      <c r="I259">
        <f>IF(VoxelMeshDefinition!AE362="✅", IF(VoxelMeshDefinition!Z362&lt;&gt;"", VoxelMeshDefinition!Z362, ""),"")</f>
      </c>
      <c r="J259">
        <f>IF(VoxelMeshDefinition!AE362="✅", IF(VoxelMeshDefinition!AA362&lt;&gt;"", VoxelMeshDefinition!AA362, ""),"")</f>
      </c>
      <c r="K259" s="1">
        <f>IF(VoxelMeshDefinition!AE362="✅", VLOOKUP(A259,VoxelMeshDefinition!S:AE,10,FALSE),"")</f>
      </c>
    </row>
    <row r="260">
      <c r="A260">
        <f>IF(VoxelMeshDefinition!AE363="✅", IF(#REF!&lt;&gt;"", #REF!, ""),"")</f>
      </c>
      <c r="B260" s="5">
        <f>IF(VoxelMeshDefinition!AE363="✅", "/Script/Engine.StaticMesh'/Game/Item/Mesh/Voxel/" &amp; VoxelMeshDefinition!Q363 &amp; "/" &amp; VoxelMeshDefinition!H363 &amp; "/" &amp; VoxelMeshDefinition!E363 &amp; "." &amp; VoxelMeshDefinition!E363 &amp; "'", "")</f>
      </c>
      <c r="C260">
        <f>IF(VoxelMeshDefinition!AE363="✅", IF(VoxelMeshDefinition!T363&lt;&gt;"", VoxelMeshDefinition!T363, ""), "")</f>
      </c>
      <c r="D260" s="10">
        <f>IF(VoxelMeshDefinition!AE363="✅", IF(VoxelMeshDefinition!U363&lt;&gt;"", VoxelMeshDefinition!U363, ""),"")</f>
      </c>
      <c r="E260" s="9">
        <f>IF(VoxelMeshDefinition!AE363="✅", IF(VoxelMeshDefinition!V363&lt;&gt;"", VoxelMeshDefinition!V363, ""),"")</f>
      </c>
      <c r="F260">
        <f>IF(VoxelMeshDefinition!AE363="✅", IF(VoxelMeshDefinition!W363&lt;&gt;"", VoxelMeshDefinition!W363, ""),"")</f>
      </c>
      <c r="G260">
        <f>IF(VoxelMeshDefinition!AE363="✅", IF(VoxelMeshDefinition!X363&lt;&gt;"", VoxelMeshDefinition!X363, ""),"")</f>
      </c>
      <c r="H260">
        <f>IF(VoxelMeshDefinition!AE363="✅", IF(VoxelMeshDefinition!Y363&lt;&gt;"", VoxelMeshDefinition!Y363, ""),"")</f>
      </c>
      <c r="I260">
        <f>IF(VoxelMeshDefinition!AE363="✅", IF(VoxelMeshDefinition!Z363&lt;&gt;"", VoxelMeshDefinition!Z363, ""),"")</f>
      </c>
      <c r="J260">
        <f>IF(VoxelMeshDefinition!AE363="✅", IF(VoxelMeshDefinition!AA363&lt;&gt;"", VoxelMeshDefinition!AA363, ""),"")</f>
      </c>
      <c r="K260" s="1">
        <f>IF(VoxelMeshDefinition!AE363="✅", VLOOKUP(A260,VoxelMeshDefinition!S:AE,10,FALSE),"")</f>
      </c>
    </row>
    <row r="261">
      <c r="A261">
        <f>IF(VoxelMeshDefinition!AE364="✅", IF(#REF!&lt;&gt;"", #REF!, ""),"")</f>
      </c>
      <c r="B261" s="5">
        <f>IF(VoxelMeshDefinition!AE364="✅", "/Script/Engine.StaticMesh'/Game/Item/Mesh/Voxel/" &amp; VoxelMeshDefinition!Q364 &amp; "/" &amp; VoxelMeshDefinition!H364 &amp; "/" &amp; VoxelMeshDefinition!E364 &amp; "." &amp; VoxelMeshDefinition!E364 &amp; "'", "")</f>
      </c>
      <c r="C261">
        <f>IF(VoxelMeshDefinition!AE364="✅", IF(VoxelMeshDefinition!T364&lt;&gt;"", VoxelMeshDefinition!T364, ""), "")</f>
      </c>
      <c r="D261" s="10">
        <f>IF(VoxelMeshDefinition!AE364="✅", IF(VoxelMeshDefinition!U364&lt;&gt;"", VoxelMeshDefinition!U364, ""),"")</f>
      </c>
      <c r="E261" s="9">
        <f>IF(VoxelMeshDefinition!AE364="✅", IF(VoxelMeshDefinition!V364&lt;&gt;"", VoxelMeshDefinition!V364, ""),"")</f>
      </c>
      <c r="F261">
        <f>IF(VoxelMeshDefinition!AE364="✅", IF(VoxelMeshDefinition!W364&lt;&gt;"", VoxelMeshDefinition!W364, ""),"")</f>
      </c>
      <c r="G261">
        <f>IF(VoxelMeshDefinition!AE364="✅", IF(VoxelMeshDefinition!X364&lt;&gt;"", VoxelMeshDefinition!X364, ""),"")</f>
      </c>
      <c r="H261">
        <f>IF(VoxelMeshDefinition!AE364="✅", IF(VoxelMeshDefinition!Y364&lt;&gt;"", VoxelMeshDefinition!Y364, ""),"")</f>
      </c>
      <c r="I261">
        <f>IF(VoxelMeshDefinition!AE364="✅", IF(VoxelMeshDefinition!Z364&lt;&gt;"", VoxelMeshDefinition!Z364, ""),"")</f>
      </c>
      <c r="J261">
        <f>IF(VoxelMeshDefinition!AE364="✅", IF(VoxelMeshDefinition!AA364&lt;&gt;"", VoxelMeshDefinition!AA364, ""),"")</f>
      </c>
      <c r="K261" s="1">
        <f>IF(VoxelMeshDefinition!AE364="✅", VLOOKUP(A261,VoxelMeshDefinition!S:AE,10,FALSE),"")</f>
      </c>
    </row>
    <row r="262">
      <c r="A262">
        <f>IF(VoxelMeshDefinition!AE365="✅", IF(#REF!&lt;&gt;"", #REF!, ""),"")</f>
      </c>
      <c r="B262" s="5">
        <f>IF(VoxelMeshDefinition!AE365="✅", "/Script/Engine.StaticMesh'/Game/Item/Mesh/Voxel/" &amp; VoxelMeshDefinition!Q365 &amp; "/" &amp; VoxelMeshDefinition!H365 &amp; "/" &amp; VoxelMeshDefinition!E365 &amp; "." &amp; VoxelMeshDefinition!E365 &amp; "'", "")</f>
      </c>
      <c r="C262">
        <f>IF(VoxelMeshDefinition!AE365="✅", IF(VoxelMeshDefinition!T365&lt;&gt;"", VoxelMeshDefinition!T365, ""), "")</f>
      </c>
      <c r="D262" s="10">
        <f>IF(VoxelMeshDefinition!AE365="✅", IF(VoxelMeshDefinition!U365&lt;&gt;"", VoxelMeshDefinition!U365, ""),"")</f>
      </c>
      <c r="E262" s="9">
        <f>IF(VoxelMeshDefinition!AE365="✅", IF(VoxelMeshDefinition!V365&lt;&gt;"", VoxelMeshDefinition!V365, ""),"")</f>
      </c>
      <c r="F262">
        <f>IF(VoxelMeshDefinition!AE365="✅", IF(VoxelMeshDefinition!W365&lt;&gt;"", VoxelMeshDefinition!W365, ""),"")</f>
      </c>
      <c r="G262">
        <f>IF(VoxelMeshDefinition!AE365="✅", IF(VoxelMeshDefinition!X365&lt;&gt;"", VoxelMeshDefinition!X365, ""),"")</f>
      </c>
      <c r="H262">
        <f>IF(VoxelMeshDefinition!AE365="✅", IF(VoxelMeshDefinition!Y365&lt;&gt;"", VoxelMeshDefinition!Y365, ""),"")</f>
      </c>
      <c r="I262">
        <f>IF(VoxelMeshDefinition!AE365="✅", IF(VoxelMeshDefinition!Z365&lt;&gt;"", VoxelMeshDefinition!Z365, ""),"")</f>
      </c>
      <c r="J262">
        <f>IF(VoxelMeshDefinition!AE365="✅", IF(VoxelMeshDefinition!AA365&lt;&gt;"", VoxelMeshDefinition!AA365, ""),"")</f>
      </c>
      <c r="K262" s="1">
        <f>IF(VoxelMeshDefinition!AE365="✅", VLOOKUP(A262,VoxelMeshDefinition!S:AE,10,FALSE),"")</f>
      </c>
    </row>
    <row r="263">
      <c r="A263">
        <f>IF(VoxelMeshDefinition!AE366="✅", IF(#REF!&lt;&gt;"", #REF!, ""),"")</f>
      </c>
      <c r="B263" s="5">
        <f>IF(VoxelMeshDefinition!AE366="✅", "/Script/Engine.StaticMesh'/Game/Item/Mesh/Voxel/" &amp; VoxelMeshDefinition!Q366 &amp; "/" &amp; VoxelMeshDefinition!H366 &amp; "/" &amp; VoxelMeshDefinition!E366 &amp; "." &amp; VoxelMeshDefinition!E366 &amp; "'", "")</f>
      </c>
      <c r="C263">
        <f>IF(VoxelMeshDefinition!AE366="✅", IF(VoxelMeshDefinition!T366&lt;&gt;"", VoxelMeshDefinition!T366, ""), "")</f>
      </c>
      <c r="D263" s="10">
        <f>IF(VoxelMeshDefinition!AE366="✅", IF(VoxelMeshDefinition!U366&lt;&gt;"", VoxelMeshDefinition!U366, ""),"")</f>
      </c>
      <c r="E263" s="9">
        <f>IF(VoxelMeshDefinition!AE366="✅", IF(VoxelMeshDefinition!V366&lt;&gt;"", VoxelMeshDefinition!V366, ""),"")</f>
      </c>
      <c r="F263">
        <f>IF(VoxelMeshDefinition!AE366="✅", IF(VoxelMeshDefinition!W366&lt;&gt;"", VoxelMeshDefinition!W366, ""),"")</f>
      </c>
      <c r="G263">
        <f>IF(VoxelMeshDefinition!AE366="✅", IF(VoxelMeshDefinition!X366&lt;&gt;"", VoxelMeshDefinition!X366, ""),"")</f>
      </c>
      <c r="H263">
        <f>IF(VoxelMeshDefinition!AE366="✅", IF(VoxelMeshDefinition!Y366&lt;&gt;"", VoxelMeshDefinition!Y366, ""),"")</f>
      </c>
      <c r="I263">
        <f>IF(VoxelMeshDefinition!AE366="✅", IF(VoxelMeshDefinition!Z366&lt;&gt;"", VoxelMeshDefinition!Z366, ""),"")</f>
      </c>
      <c r="J263">
        <f>IF(VoxelMeshDefinition!AE366="✅", IF(VoxelMeshDefinition!AA366&lt;&gt;"", VoxelMeshDefinition!AA366, ""),"")</f>
      </c>
      <c r="K263" s="1">
        <f>IF(VoxelMeshDefinition!AE366="✅", VLOOKUP(A263,VoxelMeshDefinition!S:AE,10,FALSE),"")</f>
      </c>
    </row>
    <row r="264">
      <c r="A264">
        <f>IF(VoxelMeshDefinition!AE367="✅", IF(#REF!&lt;&gt;"", #REF!, ""),"")</f>
      </c>
      <c r="B264" s="5">
        <f>IF(VoxelMeshDefinition!AE367="✅", "/Script/Engine.StaticMesh'/Game/Item/Mesh/Voxel/" &amp; VoxelMeshDefinition!Q367 &amp; "/" &amp; VoxelMeshDefinition!H367 &amp; "/" &amp; VoxelMeshDefinition!E367 &amp; "." &amp; VoxelMeshDefinition!E367 &amp; "'", "")</f>
      </c>
      <c r="C264">
        <f>IF(VoxelMeshDefinition!AE367="✅", IF(VoxelMeshDefinition!T367&lt;&gt;"", VoxelMeshDefinition!T367, ""), "")</f>
      </c>
      <c r="D264" s="10">
        <f>IF(VoxelMeshDefinition!AE367="✅", IF(VoxelMeshDefinition!U367&lt;&gt;"", VoxelMeshDefinition!U367, ""),"")</f>
      </c>
      <c r="E264" s="9">
        <f>IF(VoxelMeshDefinition!AE367="✅", IF(VoxelMeshDefinition!V367&lt;&gt;"", VoxelMeshDefinition!V367, ""),"")</f>
      </c>
      <c r="F264">
        <f>IF(VoxelMeshDefinition!AE367="✅", IF(VoxelMeshDefinition!W367&lt;&gt;"", VoxelMeshDefinition!W367, ""),"")</f>
      </c>
      <c r="G264">
        <f>IF(VoxelMeshDefinition!AE367="✅", IF(VoxelMeshDefinition!X367&lt;&gt;"", VoxelMeshDefinition!X367, ""),"")</f>
      </c>
      <c r="H264">
        <f>IF(VoxelMeshDefinition!AE367="✅", IF(VoxelMeshDefinition!Y367&lt;&gt;"", VoxelMeshDefinition!Y367, ""),"")</f>
      </c>
      <c r="I264">
        <f>IF(VoxelMeshDefinition!AE367="✅", IF(VoxelMeshDefinition!Z367&lt;&gt;"", VoxelMeshDefinition!Z367, ""),"")</f>
      </c>
      <c r="J264">
        <f>IF(VoxelMeshDefinition!AE367="✅", IF(VoxelMeshDefinition!AA367&lt;&gt;"", VoxelMeshDefinition!AA367, ""),"")</f>
      </c>
      <c r="K264" s="1">
        <f>IF(VoxelMeshDefinition!AE367="✅", VLOOKUP(A264,VoxelMeshDefinition!S:AE,10,FALSE),"")</f>
      </c>
    </row>
    <row r="265">
      <c r="A265">
        <f>IF(VoxelMeshDefinition!AE368="✅", IF(#REF!&lt;&gt;"", #REF!, ""),"")</f>
      </c>
      <c r="B265" s="5">
        <f>IF(VoxelMeshDefinition!AE368="✅", "/Script/Engine.StaticMesh'/Game/Item/Mesh/Voxel/" &amp; VoxelMeshDefinition!Q368 &amp; "/" &amp; VoxelMeshDefinition!H368 &amp; "/" &amp; VoxelMeshDefinition!E368 &amp; "." &amp; VoxelMeshDefinition!E368 &amp; "'", "")</f>
      </c>
      <c r="C265">
        <f>IF(VoxelMeshDefinition!AE368="✅", IF(VoxelMeshDefinition!T368&lt;&gt;"", VoxelMeshDefinition!T368, ""), "")</f>
      </c>
      <c r="D265" s="10">
        <f>IF(VoxelMeshDefinition!AE368="✅", IF(VoxelMeshDefinition!U368&lt;&gt;"", VoxelMeshDefinition!U368, ""),"")</f>
      </c>
      <c r="E265" s="9">
        <f>IF(VoxelMeshDefinition!AE368="✅", IF(VoxelMeshDefinition!V368&lt;&gt;"", VoxelMeshDefinition!V368, ""),"")</f>
      </c>
      <c r="F265">
        <f>IF(VoxelMeshDefinition!AE368="✅", IF(VoxelMeshDefinition!W368&lt;&gt;"", VoxelMeshDefinition!W368, ""),"")</f>
      </c>
      <c r="G265">
        <f>IF(VoxelMeshDefinition!AE368="✅", IF(VoxelMeshDefinition!X368&lt;&gt;"", VoxelMeshDefinition!X368, ""),"")</f>
      </c>
      <c r="H265">
        <f>IF(VoxelMeshDefinition!AE368="✅", IF(VoxelMeshDefinition!Y368&lt;&gt;"", VoxelMeshDefinition!Y368, ""),"")</f>
      </c>
      <c r="I265">
        <f>IF(VoxelMeshDefinition!AE368="✅", IF(VoxelMeshDefinition!Z368&lt;&gt;"", VoxelMeshDefinition!Z368, ""),"")</f>
      </c>
      <c r="J265">
        <f>IF(VoxelMeshDefinition!AE368="✅", IF(VoxelMeshDefinition!AA368&lt;&gt;"", VoxelMeshDefinition!AA368, ""),"")</f>
      </c>
      <c r="K265" s="1">
        <f>IF(VoxelMeshDefinition!AE368="✅", VLOOKUP(A265,VoxelMeshDefinition!S:AE,10,FALSE),"")</f>
      </c>
    </row>
    <row r="266">
      <c r="A266">
        <f>IF(VoxelMeshDefinition!AE369="✅", IF(#REF!&lt;&gt;"", #REF!, ""),"")</f>
      </c>
      <c r="B266" s="5">
        <f>IF(VoxelMeshDefinition!AE369="✅", "/Script/Engine.StaticMesh'/Game/Item/Mesh/Voxel/" &amp; VoxelMeshDefinition!Q369 &amp; "/" &amp; VoxelMeshDefinition!H369 &amp; "/" &amp; VoxelMeshDefinition!E369 &amp; "." &amp; VoxelMeshDefinition!E369 &amp; "'", "")</f>
      </c>
      <c r="C266">
        <f>IF(VoxelMeshDefinition!AE369="✅", IF(VoxelMeshDefinition!T369&lt;&gt;"", VoxelMeshDefinition!T369, ""), "")</f>
      </c>
      <c r="D266" s="10">
        <f>IF(VoxelMeshDefinition!AE369="✅", IF(VoxelMeshDefinition!U369&lt;&gt;"", VoxelMeshDefinition!U369, ""),"")</f>
      </c>
      <c r="E266" s="9">
        <f>IF(VoxelMeshDefinition!AE369="✅", IF(VoxelMeshDefinition!V369&lt;&gt;"", VoxelMeshDefinition!V369, ""),"")</f>
      </c>
      <c r="F266">
        <f>IF(VoxelMeshDefinition!AE369="✅", IF(VoxelMeshDefinition!W369&lt;&gt;"", VoxelMeshDefinition!W369, ""),"")</f>
      </c>
      <c r="G266">
        <f>IF(VoxelMeshDefinition!AE369="✅", IF(VoxelMeshDefinition!X369&lt;&gt;"", VoxelMeshDefinition!X369, ""),"")</f>
      </c>
      <c r="H266">
        <f>IF(VoxelMeshDefinition!AE369="✅", IF(VoxelMeshDefinition!Y369&lt;&gt;"", VoxelMeshDefinition!Y369, ""),"")</f>
      </c>
      <c r="I266">
        <f>IF(VoxelMeshDefinition!AE369="✅", IF(VoxelMeshDefinition!Z369&lt;&gt;"", VoxelMeshDefinition!Z369, ""),"")</f>
      </c>
      <c r="J266">
        <f>IF(VoxelMeshDefinition!AE369="✅", IF(VoxelMeshDefinition!AA369&lt;&gt;"", VoxelMeshDefinition!AA369, ""),"")</f>
      </c>
      <c r="K266" s="1">
        <f>IF(VoxelMeshDefinition!AE369="✅", VLOOKUP(A266,VoxelMeshDefinition!S:AE,10,FALSE),"")</f>
      </c>
    </row>
    <row r="267">
      <c r="A267">
        <f>IF(VoxelMeshDefinition!AE370="✅", IF(#REF!&lt;&gt;"", #REF!, ""),"")</f>
      </c>
      <c r="B267" s="5">
        <f>IF(VoxelMeshDefinition!AE370="✅", "/Script/Engine.StaticMesh'/Game/Item/Mesh/Voxel/" &amp; VoxelMeshDefinition!Q370 &amp; "/" &amp; VoxelMeshDefinition!H370 &amp; "/" &amp; VoxelMeshDefinition!E370 &amp; "." &amp; VoxelMeshDefinition!E370 &amp; "'", "")</f>
      </c>
      <c r="C267">
        <f>IF(VoxelMeshDefinition!AE370="✅", IF(VoxelMeshDefinition!T370&lt;&gt;"", VoxelMeshDefinition!T370, ""), "")</f>
      </c>
      <c r="D267" s="10">
        <f>IF(VoxelMeshDefinition!AE370="✅", IF(VoxelMeshDefinition!U370&lt;&gt;"", VoxelMeshDefinition!U370, ""),"")</f>
      </c>
      <c r="E267" s="9">
        <f>IF(VoxelMeshDefinition!AE370="✅", IF(VoxelMeshDefinition!V370&lt;&gt;"", VoxelMeshDefinition!V370, ""),"")</f>
      </c>
      <c r="F267">
        <f>IF(VoxelMeshDefinition!AE370="✅", IF(VoxelMeshDefinition!W370&lt;&gt;"", VoxelMeshDefinition!W370, ""),"")</f>
      </c>
      <c r="G267">
        <f>IF(VoxelMeshDefinition!AE370="✅", IF(VoxelMeshDefinition!X370&lt;&gt;"", VoxelMeshDefinition!X370, ""),"")</f>
      </c>
      <c r="H267">
        <f>IF(VoxelMeshDefinition!AE370="✅", IF(VoxelMeshDefinition!Y370&lt;&gt;"", VoxelMeshDefinition!Y370, ""),"")</f>
      </c>
      <c r="I267">
        <f>IF(VoxelMeshDefinition!AE370="✅", IF(VoxelMeshDefinition!Z370&lt;&gt;"", VoxelMeshDefinition!Z370, ""),"")</f>
      </c>
      <c r="J267">
        <f>IF(VoxelMeshDefinition!AE370="✅", IF(VoxelMeshDefinition!AA370&lt;&gt;"", VoxelMeshDefinition!AA370, ""),"")</f>
      </c>
      <c r="K267" s="1">
        <f>IF(VoxelMeshDefinition!AE370="✅", VLOOKUP(A267,VoxelMeshDefinition!S:AE,10,FALSE),"")</f>
      </c>
    </row>
    <row r="268">
      <c r="A268">
        <f>IF(VoxelMeshDefinition!AE371="✅", IF(#REF!&lt;&gt;"", #REF!, ""),"")</f>
      </c>
      <c r="B268" s="5">
        <f>IF(VoxelMeshDefinition!AE371="✅", "/Script/Engine.StaticMesh'/Game/Item/Mesh/Voxel/" &amp; VoxelMeshDefinition!Q371 &amp; "/" &amp; VoxelMeshDefinition!H371 &amp; "/" &amp; VoxelMeshDefinition!E371 &amp; "." &amp; VoxelMeshDefinition!E371 &amp; "'", "")</f>
      </c>
      <c r="C268">
        <f>IF(VoxelMeshDefinition!AE371="✅", IF(VoxelMeshDefinition!T371&lt;&gt;"", VoxelMeshDefinition!T371, ""), "")</f>
      </c>
      <c r="D268" s="10">
        <f>IF(VoxelMeshDefinition!AE371="✅", IF(VoxelMeshDefinition!U371&lt;&gt;"", VoxelMeshDefinition!U371, ""),"")</f>
      </c>
      <c r="E268" s="9">
        <f>IF(VoxelMeshDefinition!AE371="✅", IF(VoxelMeshDefinition!V371&lt;&gt;"", VoxelMeshDefinition!V371, ""),"")</f>
      </c>
      <c r="F268">
        <f>IF(VoxelMeshDefinition!AE371="✅", IF(VoxelMeshDefinition!W371&lt;&gt;"", VoxelMeshDefinition!W371, ""),"")</f>
      </c>
      <c r="G268">
        <f>IF(VoxelMeshDefinition!AE371="✅", IF(VoxelMeshDefinition!X371&lt;&gt;"", VoxelMeshDefinition!X371, ""),"")</f>
      </c>
      <c r="H268">
        <f>IF(VoxelMeshDefinition!AE371="✅", IF(VoxelMeshDefinition!Y371&lt;&gt;"", VoxelMeshDefinition!Y371, ""),"")</f>
      </c>
      <c r="I268">
        <f>IF(VoxelMeshDefinition!AE371="✅", IF(VoxelMeshDefinition!Z371&lt;&gt;"", VoxelMeshDefinition!Z371, ""),"")</f>
      </c>
      <c r="J268">
        <f>IF(VoxelMeshDefinition!AE371="✅", IF(VoxelMeshDefinition!AA371&lt;&gt;"", VoxelMeshDefinition!AA371, ""),"")</f>
      </c>
      <c r="K268" s="1">
        <f>IF(VoxelMeshDefinition!AE371="✅", VLOOKUP(A268,VoxelMeshDefinition!S:AE,10,FALSE),"")</f>
      </c>
    </row>
    <row r="269">
      <c r="A269">
        <f>IF(VoxelMeshDefinition!AE372="✅", IF(#REF!&lt;&gt;"", #REF!, ""),"")</f>
      </c>
      <c r="B269" s="5">
        <f>IF(VoxelMeshDefinition!AE372="✅", "/Script/Engine.StaticMesh'/Game/Item/Mesh/Voxel/" &amp; VoxelMeshDefinition!Q372 &amp; "/" &amp; VoxelMeshDefinition!H372 &amp; "/" &amp; VoxelMeshDefinition!E372 &amp; "." &amp; VoxelMeshDefinition!E372 &amp; "'", "")</f>
      </c>
      <c r="C269">
        <f>IF(VoxelMeshDefinition!AE372="✅", IF(VoxelMeshDefinition!T372&lt;&gt;"", VoxelMeshDefinition!T372, ""), "")</f>
      </c>
      <c r="D269" s="10">
        <f>IF(VoxelMeshDefinition!AE372="✅", IF(VoxelMeshDefinition!U372&lt;&gt;"", VoxelMeshDefinition!U372, ""),"")</f>
      </c>
      <c r="E269" s="9">
        <f>IF(VoxelMeshDefinition!AE372="✅", IF(VoxelMeshDefinition!V372&lt;&gt;"", VoxelMeshDefinition!V372, ""),"")</f>
      </c>
      <c r="F269">
        <f>IF(VoxelMeshDefinition!AE372="✅", IF(VoxelMeshDefinition!W372&lt;&gt;"", VoxelMeshDefinition!W372, ""),"")</f>
      </c>
      <c r="G269">
        <f>IF(VoxelMeshDefinition!AE372="✅", IF(VoxelMeshDefinition!X372&lt;&gt;"", VoxelMeshDefinition!X372, ""),"")</f>
      </c>
      <c r="H269">
        <f>IF(VoxelMeshDefinition!AE372="✅", IF(VoxelMeshDefinition!Y372&lt;&gt;"", VoxelMeshDefinition!Y372, ""),"")</f>
      </c>
      <c r="I269">
        <f>IF(VoxelMeshDefinition!AE372="✅", IF(VoxelMeshDefinition!Z372&lt;&gt;"", VoxelMeshDefinition!Z372, ""),"")</f>
      </c>
      <c r="J269">
        <f>IF(VoxelMeshDefinition!AE372="✅", IF(VoxelMeshDefinition!AA372&lt;&gt;"", VoxelMeshDefinition!AA372, ""),"")</f>
      </c>
      <c r="K269" s="1">
        <f>IF(VoxelMeshDefinition!AE372="✅", VLOOKUP(A269,VoxelMeshDefinition!S:AE,10,FALSE),"")</f>
      </c>
    </row>
    <row r="270">
      <c r="A270">
        <f>IF(VoxelMeshDefinition!AE373="✅", IF(#REF!&lt;&gt;"", #REF!, ""),"")</f>
      </c>
      <c r="B270" s="5">
        <f>IF(VoxelMeshDefinition!AE373="✅", "/Script/Engine.StaticMesh'/Game/Item/Mesh/Voxel/" &amp; VoxelMeshDefinition!Q373 &amp; "/" &amp; VoxelMeshDefinition!H373 &amp; "/" &amp; VoxelMeshDefinition!E373 &amp; "." &amp; VoxelMeshDefinition!E373 &amp; "'", "")</f>
      </c>
      <c r="C270">
        <f>IF(VoxelMeshDefinition!AE373="✅", IF(VoxelMeshDefinition!T373&lt;&gt;"", VoxelMeshDefinition!T373, ""), "")</f>
      </c>
      <c r="D270" s="10">
        <f>IF(VoxelMeshDefinition!AE373="✅", IF(VoxelMeshDefinition!U373&lt;&gt;"", VoxelMeshDefinition!U373, ""),"")</f>
      </c>
      <c r="E270" s="9">
        <f>IF(VoxelMeshDefinition!AE373="✅", IF(VoxelMeshDefinition!V373&lt;&gt;"", VoxelMeshDefinition!V373, ""),"")</f>
      </c>
      <c r="F270">
        <f>IF(VoxelMeshDefinition!AE373="✅", IF(VoxelMeshDefinition!W373&lt;&gt;"", VoxelMeshDefinition!W373, ""),"")</f>
      </c>
      <c r="G270">
        <f>IF(VoxelMeshDefinition!AE373="✅", IF(VoxelMeshDefinition!X373&lt;&gt;"", VoxelMeshDefinition!X373, ""),"")</f>
      </c>
      <c r="H270">
        <f>IF(VoxelMeshDefinition!AE373="✅", IF(VoxelMeshDefinition!Y373&lt;&gt;"", VoxelMeshDefinition!Y373, ""),"")</f>
      </c>
      <c r="I270">
        <f>IF(VoxelMeshDefinition!AE373="✅", IF(VoxelMeshDefinition!Z373&lt;&gt;"", VoxelMeshDefinition!Z373, ""),"")</f>
      </c>
      <c r="J270">
        <f>IF(VoxelMeshDefinition!AE373="✅", IF(VoxelMeshDefinition!AA373&lt;&gt;"", VoxelMeshDefinition!AA373, ""),"")</f>
      </c>
      <c r="K270" s="1">
        <f>IF(VoxelMeshDefinition!AE373="✅", VLOOKUP(A270,VoxelMeshDefinition!S:AE,10,FALSE),"")</f>
      </c>
    </row>
    <row r="271">
      <c r="A271">
        <f>IF(VoxelMeshDefinition!AE374="✅", IF(#REF!&lt;&gt;"", #REF!, ""),"")</f>
      </c>
      <c r="B271" s="5">
        <f>IF(VoxelMeshDefinition!AE374="✅", "/Script/Engine.StaticMesh'/Game/Item/Mesh/Voxel/" &amp; VoxelMeshDefinition!Q374 &amp; "/" &amp; VoxelMeshDefinition!H374 &amp; "/" &amp; VoxelMeshDefinition!E374 &amp; "." &amp; VoxelMeshDefinition!E374 &amp; "'", "")</f>
      </c>
      <c r="C271">
        <f>IF(VoxelMeshDefinition!AE374="✅", IF(VoxelMeshDefinition!T374&lt;&gt;"", VoxelMeshDefinition!T374, ""), "")</f>
      </c>
      <c r="D271" s="10">
        <f>IF(VoxelMeshDefinition!AE374="✅", IF(VoxelMeshDefinition!U374&lt;&gt;"", VoxelMeshDefinition!U374, ""),"")</f>
      </c>
      <c r="E271" s="9">
        <f>IF(VoxelMeshDefinition!AE374="✅", IF(VoxelMeshDefinition!V374&lt;&gt;"", VoxelMeshDefinition!V374, ""),"")</f>
      </c>
      <c r="F271">
        <f>IF(VoxelMeshDefinition!AE374="✅", IF(VoxelMeshDefinition!W374&lt;&gt;"", VoxelMeshDefinition!W374, ""),"")</f>
      </c>
      <c r="G271">
        <f>IF(VoxelMeshDefinition!AE374="✅", IF(VoxelMeshDefinition!X374&lt;&gt;"", VoxelMeshDefinition!X374, ""),"")</f>
      </c>
      <c r="H271">
        <f>IF(VoxelMeshDefinition!AE374="✅", IF(VoxelMeshDefinition!Y374&lt;&gt;"", VoxelMeshDefinition!Y374, ""),"")</f>
      </c>
      <c r="I271">
        <f>IF(VoxelMeshDefinition!AE374="✅", IF(VoxelMeshDefinition!Z374&lt;&gt;"", VoxelMeshDefinition!Z374, ""),"")</f>
      </c>
      <c r="J271">
        <f>IF(VoxelMeshDefinition!AE374="✅", IF(VoxelMeshDefinition!AA374&lt;&gt;"", VoxelMeshDefinition!AA374, ""),"")</f>
      </c>
      <c r="K271" s="1">
        <f>IF(VoxelMeshDefinition!AE374="✅", VLOOKUP(A271,VoxelMeshDefinition!S:AE,10,FALSE),"")</f>
      </c>
    </row>
    <row r="272">
      <c r="A272">
        <f>IF(VoxelMeshDefinition!AE375="✅", IF(#REF!&lt;&gt;"", #REF!, ""),"")</f>
      </c>
      <c r="B272" s="5">
        <f>IF(VoxelMeshDefinition!AE375="✅", "/Script/Engine.StaticMesh'/Game/Item/Mesh/Voxel/" &amp; VoxelMeshDefinition!Q375 &amp; "/" &amp; VoxelMeshDefinition!H375 &amp; "/" &amp; VoxelMeshDefinition!E375 &amp; "." &amp; VoxelMeshDefinition!E375 &amp; "'", "")</f>
      </c>
      <c r="C272">
        <f>IF(VoxelMeshDefinition!AE375="✅", IF(VoxelMeshDefinition!T375&lt;&gt;"", VoxelMeshDefinition!T375, ""), "")</f>
      </c>
      <c r="D272" s="10">
        <f>IF(VoxelMeshDefinition!AE375="✅", IF(VoxelMeshDefinition!U375&lt;&gt;"", VoxelMeshDefinition!U375, ""),"")</f>
      </c>
      <c r="E272" s="9">
        <f>IF(VoxelMeshDefinition!AE375="✅", IF(VoxelMeshDefinition!V375&lt;&gt;"", VoxelMeshDefinition!V375, ""),"")</f>
      </c>
      <c r="F272">
        <f>IF(VoxelMeshDefinition!AE375="✅", IF(VoxelMeshDefinition!W375&lt;&gt;"", VoxelMeshDefinition!W375, ""),"")</f>
      </c>
      <c r="G272">
        <f>IF(VoxelMeshDefinition!AE375="✅", IF(VoxelMeshDefinition!X375&lt;&gt;"", VoxelMeshDefinition!X375, ""),"")</f>
      </c>
      <c r="H272">
        <f>IF(VoxelMeshDefinition!AE375="✅", IF(VoxelMeshDefinition!Y375&lt;&gt;"", VoxelMeshDefinition!Y375, ""),"")</f>
      </c>
      <c r="I272">
        <f>IF(VoxelMeshDefinition!AE375="✅", IF(VoxelMeshDefinition!Z375&lt;&gt;"", VoxelMeshDefinition!Z375, ""),"")</f>
      </c>
      <c r="J272">
        <f>IF(VoxelMeshDefinition!AE375="✅", IF(VoxelMeshDefinition!AA375&lt;&gt;"", VoxelMeshDefinition!AA375, ""),"")</f>
      </c>
      <c r="K272" s="1">
        <f>IF(VoxelMeshDefinition!AE375="✅", VLOOKUP(A272,VoxelMeshDefinition!S:AE,10,FALSE),"")</f>
      </c>
    </row>
    <row r="273">
      <c r="A273">
        <f>IF(VoxelMeshDefinition!AE376="✅", IF(#REF!&lt;&gt;"", #REF!, ""),"")</f>
      </c>
      <c r="B273" s="5">
        <f>IF(VoxelMeshDefinition!AE376="✅", "/Script/Engine.StaticMesh'/Game/Item/Mesh/Voxel/" &amp; VoxelMeshDefinition!Q376 &amp; "/" &amp; VoxelMeshDefinition!H376 &amp; "/" &amp; VoxelMeshDefinition!E376 &amp; "." &amp; VoxelMeshDefinition!E376 &amp; "'", "")</f>
      </c>
      <c r="C273">
        <f>IF(VoxelMeshDefinition!AE376="✅", IF(VoxelMeshDefinition!T376&lt;&gt;"", VoxelMeshDefinition!T376, ""), "")</f>
      </c>
      <c r="D273" s="10">
        <f>IF(VoxelMeshDefinition!AE376="✅", IF(VoxelMeshDefinition!U376&lt;&gt;"", VoxelMeshDefinition!U376, ""),"")</f>
      </c>
      <c r="E273" s="9">
        <f>IF(VoxelMeshDefinition!AE376="✅", IF(VoxelMeshDefinition!V376&lt;&gt;"", VoxelMeshDefinition!V376, ""),"")</f>
      </c>
      <c r="F273">
        <f>IF(VoxelMeshDefinition!AE376="✅", IF(VoxelMeshDefinition!W376&lt;&gt;"", VoxelMeshDefinition!W376, ""),"")</f>
      </c>
      <c r="G273">
        <f>IF(VoxelMeshDefinition!AE376="✅", IF(VoxelMeshDefinition!X376&lt;&gt;"", VoxelMeshDefinition!X376, ""),"")</f>
      </c>
      <c r="H273">
        <f>IF(VoxelMeshDefinition!AE376="✅", IF(VoxelMeshDefinition!Y376&lt;&gt;"", VoxelMeshDefinition!Y376, ""),"")</f>
      </c>
      <c r="I273">
        <f>IF(VoxelMeshDefinition!AE376="✅", IF(VoxelMeshDefinition!Z376&lt;&gt;"", VoxelMeshDefinition!Z376, ""),"")</f>
      </c>
      <c r="J273">
        <f>IF(VoxelMeshDefinition!AE376="✅", IF(VoxelMeshDefinition!AA376&lt;&gt;"", VoxelMeshDefinition!AA376, ""),"")</f>
      </c>
      <c r="K273" s="1">
        <f>IF(VoxelMeshDefinition!AE376="✅", VLOOKUP(A273,VoxelMeshDefinition!S:AE,10,FALSE),"")</f>
      </c>
    </row>
    <row r="274">
      <c r="A274">
        <f>IF(VoxelMeshDefinition!AE377="✅", IF(#REF!&lt;&gt;"", #REF!, ""),"")</f>
      </c>
      <c r="B274" s="5">
        <f>IF(VoxelMeshDefinition!AE377="✅", "/Script/Engine.StaticMesh'/Game/Item/Mesh/Voxel/" &amp; VoxelMeshDefinition!Q377 &amp; "/" &amp; VoxelMeshDefinition!H377 &amp; "/" &amp; VoxelMeshDefinition!E377 &amp; "." &amp; VoxelMeshDefinition!E377 &amp; "'", "")</f>
      </c>
      <c r="C274">
        <f>IF(VoxelMeshDefinition!AE377="✅", IF(VoxelMeshDefinition!T377&lt;&gt;"", VoxelMeshDefinition!T377, ""), "")</f>
      </c>
      <c r="D274" s="10">
        <f>IF(VoxelMeshDefinition!AE377="✅", IF(VoxelMeshDefinition!U377&lt;&gt;"", VoxelMeshDefinition!U377, ""),"")</f>
      </c>
      <c r="E274" s="9">
        <f>IF(VoxelMeshDefinition!AE377="✅", IF(VoxelMeshDefinition!V377&lt;&gt;"", VoxelMeshDefinition!V377, ""),"")</f>
      </c>
      <c r="F274">
        <f>IF(VoxelMeshDefinition!AE377="✅", IF(VoxelMeshDefinition!W377&lt;&gt;"", VoxelMeshDefinition!W377, ""),"")</f>
      </c>
      <c r="G274">
        <f>IF(VoxelMeshDefinition!AE377="✅", IF(VoxelMeshDefinition!X377&lt;&gt;"", VoxelMeshDefinition!X377, ""),"")</f>
      </c>
      <c r="H274">
        <f>IF(VoxelMeshDefinition!AE377="✅", IF(VoxelMeshDefinition!Y377&lt;&gt;"", VoxelMeshDefinition!Y377, ""),"")</f>
      </c>
      <c r="I274">
        <f>IF(VoxelMeshDefinition!AE377="✅", IF(VoxelMeshDefinition!Z377&lt;&gt;"", VoxelMeshDefinition!Z377, ""),"")</f>
      </c>
      <c r="J274">
        <f>IF(VoxelMeshDefinition!AE377="✅", IF(VoxelMeshDefinition!AA377&lt;&gt;"", VoxelMeshDefinition!AA377, ""),"")</f>
      </c>
      <c r="K274" s="1">
        <f>IF(VoxelMeshDefinition!AE377="✅", VLOOKUP(A274,VoxelMeshDefinition!S:AE,10,FALSE),"")</f>
      </c>
    </row>
    <row r="275">
      <c r="A275">
        <f>IF(VoxelMeshDefinition!AE378="✅", IF(#REF!&lt;&gt;"", #REF!, ""),"")</f>
      </c>
      <c r="B275" s="5">
        <f>IF(VoxelMeshDefinition!AE378="✅", "/Script/Engine.StaticMesh'/Game/Item/Mesh/Voxel/" &amp; VoxelMeshDefinition!Q378 &amp; "/" &amp; VoxelMeshDefinition!H378 &amp; "/" &amp; VoxelMeshDefinition!E378 &amp; "." &amp; VoxelMeshDefinition!E378 &amp; "'", "")</f>
      </c>
      <c r="C275">
        <f>IF(VoxelMeshDefinition!AE378="✅", IF(VoxelMeshDefinition!T378&lt;&gt;"", VoxelMeshDefinition!T378, ""), "")</f>
      </c>
      <c r="D275" s="10">
        <f>IF(VoxelMeshDefinition!AE378="✅", IF(VoxelMeshDefinition!U378&lt;&gt;"", VoxelMeshDefinition!U378, ""),"")</f>
      </c>
      <c r="E275" s="9">
        <f>IF(VoxelMeshDefinition!AE378="✅", IF(VoxelMeshDefinition!V378&lt;&gt;"", VoxelMeshDefinition!V378, ""),"")</f>
      </c>
      <c r="F275">
        <f>IF(VoxelMeshDefinition!AE378="✅", IF(VoxelMeshDefinition!W378&lt;&gt;"", VoxelMeshDefinition!W378, ""),"")</f>
      </c>
      <c r="G275">
        <f>IF(VoxelMeshDefinition!AE378="✅", IF(VoxelMeshDefinition!X378&lt;&gt;"", VoxelMeshDefinition!X378, ""),"")</f>
      </c>
      <c r="H275">
        <f>IF(VoxelMeshDefinition!AE378="✅", IF(VoxelMeshDefinition!Y378&lt;&gt;"", VoxelMeshDefinition!Y378, ""),"")</f>
      </c>
      <c r="I275">
        <f>IF(VoxelMeshDefinition!AE378="✅", IF(VoxelMeshDefinition!Z378&lt;&gt;"", VoxelMeshDefinition!Z378, ""),"")</f>
      </c>
      <c r="J275">
        <f>IF(VoxelMeshDefinition!AE378="✅", IF(VoxelMeshDefinition!AA378&lt;&gt;"", VoxelMeshDefinition!AA378, ""),"")</f>
      </c>
      <c r="K275" s="1">
        <f>IF(VoxelMeshDefinition!AE378="✅", VLOOKUP(A275,VoxelMeshDefinition!S:AE,10,FALSE),"")</f>
      </c>
    </row>
    <row r="276">
      <c r="A276">
        <f>IF(VoxelMeshDefinition!AE379="✅", IF(#REF!&lt;&gt;"", #REF!, ""),"")</f>
      </c>
      <c r="B276" s="5">
        <f>IF(VoxelMeshDefinition!AE379="✅", "/Script/Engine.StaticMesh'/Game/Item/Mesh/Voxel/" &amp; VoxelMeshDefinition!Q379 &amp; "/" &amp; VoxelMeshDefinition!H379 &amp; "/" &amp; VoxelMeshDefinition!E379 &amp; "." &amp; VoxelMeshDefinition!E379 &amp; "'", "")</f>
      </c>
      <c r="C276">
        <f>IF(VoxelMeshDefinition!AE379="✅", IF(VoxelMeshDefinition!T379&lt;&gt;"", VoxelMeshDefinition!T379, ""), "")</f>
      </c>
      <c r="D276" s="10">
        <f>IF(VoxelMeshDefinition!AE379="✅", IF(VoxelMeshDefinition!U379&lt;&gt;"", VoxelMeshDefinition!U379, ""),"")</f>
      </c>
      <c r="E276" s="9">
        <f>IF(VoxelMeshDefinition!AE379="✅", IF(VoxelMeshDefinition!V379&lt;&gt;"", VoxelMeshDefinition!V379, ""),"")</f>
      </c>
      <c r="F276">
        <f>IF(VoxelMeshDefinition!AE379="✅", IF(VoxelMeshDefinition!W379&lt;&gt;"", VoxelMeshDefinition!W379, ""),"")</f>
      </c>
      <c r="G276">
        <f>IF(VoxelMeshDefinition!AE379="✅", IF(VoxelMeshDefinition!X379&lt;&gt;"", VoxelMeshDefinition!X379, ""),"")</f>
      </c>
      <c r="H276">
        <f>IF(VoxelMeshDefinition!AE379="✅", IF(VoxelMeshDefinition!Y379&lt;&gt;"", VoxelMeshDefinition!Y379, ""),"")</f>
      </c>
      <c r="I276">
        <f>IF(VoxelMeshDefinition!AE379="✅", IF(VoxelMeshDefinition!Z379&lt;&gt;"", VoxelMeshDefinition!Z379, ""),"")</f>
      </c>
      <c r="J276">
        <f>IF(VoxelMeshDefinition!AE379="✅", IF(VoxelMeshDefinition!AA379&lt;&gt;"", VoxelMeshDefinition!AA379, ""),"")</f>
      </c>
      <c r="K276" s="1">
        <f>IF(VoxelMeshDefinition!AE379="✅", VLOOKUP(A276,VoxelMeshDefinition!S:AE,10,FALSE),"")</f>
      </c>
    </row>
    <row r="277">
      <c r="A277">
        <f>IF(VoxelMeshDefinition!AE380="✅", IF(#REF!&lt;&gt;"", #REF!, ""),"")</f>
      </c>
      <c r="B277" s="5">
        <f>IF(VoxelMeshDefinition!AE380="✅", "/Script/Engine.StaticMesh'/Game/Item/Mesh/Voxel/" &amp; VoxelMeshDefinition!Q380 &amp; "/" &amp; VoxelMeshDefinition!H380 &amp; "/" &amp; VoxelMeshDefinition!E380 &amp; "." &amp; VoxelMeshDefinition!E380 &amp; "'", "")</f>
      </c>
      <c r="C277">
        <f>IF(VoxelMeshDefinition!AE380="✅", IF(VoxelMeshDefinition!T380&lt;&gt;"", VoxelMeshDefinition!T380, ""), "")</f>
      </c>
      <c r="D277" s="10">
        <f>IF(VoxelMeshDefinition!AE380="✅", IF(VoxelMeshDefinition!U380&lt;&gt;"", VoxelMeshDefinition!U380, ""),"")</f>
      </c>
      <c r="E277" s="9">
        <f>IF(VoxelMeshDefinition!AE380="✅", IF(VoxelMeshDefinition!V380&lt;&gt;"", VoxelMeshDefinition!V380, ""),"")</f>
      </c>
      <c r="F277">
        <f>IF(VoxelMeshDefinition!AE380="✅", IF(VoxelMeshDefinition!W380&lt;&gt;"", VoxelMeshDefinition!W380, ""),"")</f>
      </c>
      <c r="G277">
        <f>IF(VoxelMeshDefinition!AE380="✅", IF(VoxelMeshDefinition!X380&lt;&gt;"", VoxelMeshDefinition!X380, ""),"")</f>
      </c>
      <c r="H277">
        <f>IF(VoxelMeshDefinition!AE380="✅", IF(VoxelMeshDefinition!Y380&lt;&gt;"", VoxelMeshDefinition!Y380, ""),"")</f>
      </c>
      <c r="I277">
        <f>IF(VoxelMeshDefinition!AE380="✅", IF(VoxelMeshDefinition!Z380&lt;&gt;"", VoxelMeshDefinition!Z380, ""),"")</f>
      </c>
      <c r="J277">
        <f>IF(VoxelMeshDefinition!AE380="✅", IF(VoxelMeshDefinition!AA380&lt;&gt;"", VoxelMeshDefinition!AA380, ""),"")</f>
      </c>
      <c r="K277" s="1">
        <f>IF(VoxelMeshDefinition!AE380="✅", VLOOKUP(A277,VoxelMeshDefinition!S:AE,10,FALSE),"")</f>
      </c>
    </row>
    <row r="278">
      <c r="A278">
        <f>IF(VoxelMeshDefinition!AE381="✅", IF(#REF!&lt;&gt;"", #REF!, ""),"")</f>
      </c>
      <c r="B278" s="5">
        <f>IF(VoxelMeshDefinition!AE381="✅", "/Script/Engine.StaticMesh'/Game/Item/Mesh/Voxel/" &amp; VoxelMeshDefinition!Q381 &amp; "/" &amp; VoxelMeshDefinition!H381 &amp; "/" &amp; VoxelMeshDefinition!E381 &amp; "." &amp; VoxelMeshDefinition!E381 &amp; "'", "")</f>
      </c>
      <c r="C278">
        <f>IF(VoxelMeshDefinition!AE381="✅", IF(VoxelMeshDefinition!T381&lt;&gt;"", VoxelMeshDefinition!T381, ""), "")</f>
      </c>
      <c r="D278" s="10">
        <f>IF(VoxelMeshDefinition!AE381="✅", IF(VoxelMeshDefinition!U381&lt;&gt;"", VoxelMeshDefinition!U381, ""),"")</f>
      </c>
      <c r="E278" s="9">
        <f>IF(VoxelMeshDefinition!AE381="✅", IF(VoxelMeshDefinition!V381&lt;&gt;"", VoxelMeshDefinition!V381, ""),"")</f>
      </c>
      <c r="F278">
        <f>IF(VoxelMeshDefinition!AE381="✅", IF(VoxelMeshDefinition!W381&lt;&gt;"", VoxelMeshDefinition!W381, ""),"")</f>
      </c>
      <c r="G278">
        <f>IF(VoxelMeshDefinition!AE381="✅", IF(VoxelMeshDefinition!X381&lt;&gt;"", VoxelMeshDefinition!X381, ""),"")</f>
      </c>
      <c r="H278">
        <f>IF(VoxelMeshDefinition!AE381="✅", IF(VoxelMeshDefinition!Y381&lt;&gt;"", VoxelMeshDefinition!Y381, ""),"")</f>
      </c>
      <c r="I278">
        <f>IF(VoxelMeshDefinition!AE381="✅", IF(VoxelMeshDefinition!Z381&lt;&gt;"", VoxelMeshDefinition!Z381, ""),"")</f>
      </c>
      <c r="J278">
        <f>IF(VoxelMeshDefinition!AE381="✅", IF(VoxelMeshDefinition!AA381&lt;&gt;"", VoxelMeshDefinition!AA381, ""),"")</f>
      </c>
      <c r="K278" s="1">
        <f>IF(VoxelMeshDefinition!AE381="✅", VLOOKUP(A278,VoxelMeshDefinition!S:AE,10,FALSE),"")</f>
      </c>
    </row>
    <row r="279">
      <c r="A279">
        <f>IF(VoxelMeshDefinition!AE382="✅", IF(#REF!&lt;&gt;"", #REF!, ""),"")</f>
      </c>
      <c r="B279" s="5">
        <f>IF(VoxelMeshDefinition!AE382="✅", "/Script/Engine.StaticMesh'/Game/Item/Mesh/Voxel/" &amp; VoxelMeshDefinition!Q382 &amp; "/" &amp; VoxelMeshDefinition!H382 &amp; "/" &amp; VoxelMeshDefinition!E382 &amp; "." &amp; VoxelMeshDefinition!E382 &amp; "'", "")</f>
      </c>
      <c r="C279">
        <f>IF(VoxelMeshDefinition!AE382="✅", IF(VoxelMeshDefinition!T382&lt;&gt;"", VoxelMeshDefinition!T382, ""), "")</f>
      </c>
      <c r="D279" s="10">
        <f>IF(VoxelMeshDefinition!AE382="✅", IF(VoxelMeshDefinition!U382&lt;&gt;"", VoxelMeshDefinition!U382, ""),"")</f>
      </c>
      <c r="E279" s="9">
        <f>IF(VoxelMeshDefinition!AE382="✅", IF(VoxelMeshDefinition!V382&lt;&gt;"", VoxelMeshDefinition!V382, ""),"")</f>
      </c>
      <c r="F279">
        <f>IF(VoxelMeshDefinition!AE382="✅", IF(VoxelMeshDefinition!W382&lt;&gt;"", VoxelMeshDefinition!W382, ""),"")</f>
      </c>
      <c r="G279">
        <f>IF(VoxelMeshDefinition!AE382="✅", IF(VoxelMeshDefinition!X382&lt;&gt;"", VoxelMeshDefinition!X382, ""),"")</f>
      </c>
      <c r="H279">
        <f>IF(VoxelMeshDefinition!AE382="✅", IF(VoxelMeshDefinition!Y382&lt;&gt;"", VoxelMeshDefinition!Y382, ""),"")</f>
      </c>
      <c r="I279">
        <f>IF(VoxelMeshDefinition!AE382="✅", IF(VoxelMeshDefinition!Z382&lt;&gt;"", VoxelMeshDefinition!Z382, ""),"")</f>
      </c>
      <c r="J279">
        <f>IF(VoxelMeshDefinition!AE382="✅", IF(VoxelMeshDefinition!AA382&lt;&gt;"", VoxelMeshDefinition!AA382, ""),"")</f>
      </c>
      <c r="K279" s="1">
        <f>IF(VoxelMeshDefinition!AE382="✅", VLOOKUP(A279,VoxelMeshDefinition!S:AE,10,FALSE),"")</f>
      </c>
    </row>
    <row r="280">
      <c r="A280">
        <f>IF(VoxelMeshDefinition!AE383="✅", IF(#REF!&lt;&gt;"", #REF!, ""),"")</f>
      </c>
      <c r="B280" s="5">
        <f>IF(VoxelMeshDefinition!AE383="✅", "/Script/Engine.StaticMesh'/Game/Item/Mesh/Voxel/" &amp; VoxelMeshDefinition!Q383 &amp; "/" &amp; VoxelMeshDefinition!H383 &amp; "/" &amp; VoxelMeshDefinition!E383 &amp; "." &amp; VoxelMeshDefinition!E383 &amp; "'", "")</f>
      </c>
      <c r="C280">
        <f>IF(VoxelMeshDefinition!AE383="✅", IF(VoxelMeshDefinition!T383&lt;&gt;"", VoxelMeshDefinition!T383, ""), "")</f>
      </c>
      <c r="D280" s="10">
        <f>IF(VoxelMeshDefinition!AE383="✅", IF(VoxelMeshDefinition!U383&lt;&gt;"", VoxelMeshDefinition!U383, ""),"")</f>
      </c>
      <c r="E280" s="9">
        <f>IF(VoxelMeshDefinition!AE383="✅", IF(VoxelMeshDefinition!V383&lt;&gt;"", VoxelMeshDefinition!V383, ""),"")</f>
      </c>
      <c r="F280">
        <f>IF(VoxelMeshDefinition!AE383="✅", IF(VoxelMeshDefinition!W383&lt;&gt;"", VoxelMeshDefinition!W383, ""),"")</f>
      </c>
      <c r="G280">
        <f>IF(VoxelMeshDefinition!AE383="✅", IF(VoxelMeshDefinition!X383&lt;&gt;"", VoxelMeshDefinition!X383, ""),"")</f>
      </c>
      <c r="H280">
        <f>IF(VoxelMeshDefinition!AE383="✅", IF(VoxelMeshDefinition!Y383&lt;&gt;"", VoxelMeshDefinition!Y383, ""),"")</f>
      </c>
      <c r="I280">
        <f>IF(VoxelMeshDefinition!AE383="✅", IF(VoxelMeshDefinition!Z383&lt;&gt;"", VoxelMeshDefinition!Z383, ""),"")</f>
      </c>
      <c r="J280">
        <f>IF(VoxelMeshDefinition!AE383="✅", IF(VoxelMeshDefinition!AA383&lt;&gt;"", VoxelMeshDefinition!AA383, ""),"")</f>
      </c>
      <c r="K280" s="1">
        <f>IF(VoxelMeshDefinition!AE383="✅", VLOOKUP(A280,VoxelMeshDefinition!S:AE,10,FALSE),"")</f>
      </c>
    </row>
    <row r="281">
      <c r="A281">
        <f>IF(VoxelMeshDefinition!AE384="✅", IF(#REF!&lt;&gt;"", #REF!, ""),"")</f>
      </c>
      <c r="B281" s="5">
        <f>IF(VoxelMeshDefinition!AE384="✅", "/Script/Engine.StaticMesh'/Game/Item/Mesh/Voxel/" &amp; VoxelMeshDefinition!Q384 &amp; "/" &amp; VoxelMeshDefinition!H384 &amp; "/" &amp; VoxelMeshDefinition!E384 &amp; "." &amp; VoxelMeshDefinition!E384 &amp; "'", "")</f>
      </c>
      <c r="C281">
        <f>IF(VoxelMeshDefinition!AE384="✅", IF(VoxelMeshDefinition!T384&lt;&gt;"", VoxelMeshDefinition!T384, ""), "")</f>
      </c>
      <c r="D281" s="10">
        <f>IF(VoxelMeshDefinition!AE384="✅", IF(VoxelMeshDefinition!U384&lt;&gt;"", VoxelMeshDefinition!U384, ""),"")</f>
      </c>
      <c r="E281" s="9">
        <f>IF(VoxelMeshDefinition!AE384="✅", IF(VoxelMeshDefinition!V384&lt;&gt;"", VoxelMeshDefinition!V384, ""),"")</f>
      </c>
      <c r="F281">
        <f>IF(VoxelMeshDefinition!AE384="✅", IF(VoxelMeshDefinition!W384&lt;&gt;"", VoxelMeshDefinition!W384, ""),"")</f>
      </c>
      <c r="G281">
        <f>IF(VoxelMeshDefinition!AE384="✅", IF(VoxelMeshDefinition!X384&lt;&gt;"", VoxelMeshDefinition!X384, ""),"")</f>
      </c>
      <c r="H281">
        <f>IF(VoxelMeshDefinition!AE384="✅", IF(VoxelMeshDefinition!Y384&lt;&gt;"", VoxelMeshDefinition!Y384, ""),"")</f>
      </c>
      <c r="I281">
        <f>IF(VoxelMeshDefinition!AE384="✅", IF(VoxelMeshDefinition!Z384&lt;&gt;"", VoxelMeshDefinition!Z384, ""),"")</f>
      </c>
      <c r="J281">
        <f>IF(VoxelMeshDefinition!AE384="✅", IF(VoxelMeshDefinition!AA384&lt;&gt;"", VoxelMeshDefinition!AA384, ""),"")</f>
      </c>
      <c r="K281" s="1">
        <f>IF(VoxelMeshDefinition!AE384="✅", VLOOKUP(A281,VoxelMeshDefinition!S:AE,10,FALSE),"")</f>
      </c>
    </row>
    <row r="282">
      <c r="A282">
        <f>IF(VoxelMeshDefinition!AE385="✅", IF(#REF!&lt;&gt;"", #REF!, ""),"")</f>
      </c>
      <c r="B282" s="5">
        <f>IF(VoxelMeshDefinition!AE385="✅", "/Script/Engine.StaticMesh'/Game/Item/Mesh/Voxel/" &amp; VoxelMeshDefinition!Q385 &amp; "/" &amp; VoxelMeshDefinition!H385 &amp; "/" &amp; VoxelMeshDefinition!E385 &amp; "." &amp; VoxelMeshDefinition!E385 &amp; "'", "")</f>
      </c>
      <c r="C282">
        <f>IF(VoxelMeshDefinition!AE385="✅", IF(VoxelMeshDefinition!T385&lt;&gt;"", VoxelMeshDefinition!T385, ""), "")</f>
      </c>
      <c r="D282" s="10">
        <f>IF(VoxelMeshDefinition!AE385="✅", IF(VoxelMeshDefinition!U385&lt;&gt;"", VoxelMeshDefinition!U385, ""),"")</f>
      </c>
      <c r="E282" s="9">
        <f>IF(VoxelMeshDefinition!AE385="✅", IF(VoxelMeshDefinition!V385&lt;&gt;"", VoxelMeshDefinition!V385, ""),"")</f>
      </c>
      <c r="F282">
        <f>IF(VoxelMeshDefinition!AE385="✅", IF(VoxelMeshDefinition!W385&lt;&gt;"", VoxelMeshDefinition!W385, ""),"")</f>
      </c>
      <c r="G282">
        <f>IF(VoxelMeshDefinition!AE385="✅", IF(VoxelMeshDefinition!X385&lt;&gt;"", VoxelMeshDefinition!X385, ""),"")</f>
      </c>
      <c r="H282">
        <f>IF(VoxelMeshDefinition!AE385="✅", IF(VoxelMeshDefinition!Y385&lt;&gt;"", VoxelMeshDefinition!Y385, ""),"")</f>
      </c>
      <c r="I282">
        <f>IF(VoxelMeshDefinition!AE385="✅", IF(VoxelMeshDefinition!Z385&lt;&gt;"", VoxelMeshDefinition!Z385, ""),"")</f>
      </c>
      <c r="J282">
        <f>IF(VoxelMeshDefinition!AE385="✅", IF(VoxelMeshDefinition!AA385&lt;&gt;"", VoxelMeshDefinition!AA385, ""),"")</f>
      </c>
      <c r="K282" s="1">
        <f>IF(VoxelMeshDefinition!AE385="✅", VLOOKUP(A282,VoxelMeshDefinition!S:AE,10,FALSE),"")</f>
      </c>
    </row>
    <row r="283">
      <c r="A283">
        <f>IF(VoxelMeshDefinition!AE386="✅", IF(#REF!&lt;&gt;"", #REF!, ""),"")</f>
      </c>
      <c r="B283" s="5">
        <f>IF(VoxelMeshDefinition!AE386="✅", "/Script/Engine.StaticMesh'/Game/Item/Mesh/Voxel/" &amp; VoxelMeshDefinition!Q386 &amp; "/" &amp; VoxelMeshDefinition!H386 &amp; "/" &amp; VoxelMeshDefinition!E386 &amp; "." &amp; VoxelMeshDefinition!E386 &amp; "'", "")</f>
      </c>
      <c r="C283">
        <f>IF(VoxelMeshDefinition!AE386="✅", IF(VoxelMeshDefinition!T386&lt;&gt;"", VoxelMeshDefinition!T386, ""), "")</f>
      </c>
      <c r="D283" s="10">
        <f>IF(VoxelMeshDefinition!AE386="✅", IF(VoxelMeshDefinition!U386&lt;&gt;"", VoxelMeshDefinition!U386, ""),"")</f>
      </c>
      <c r="E283" s="9">
        <f>IF(VoxelMeshDefinition!AE386="✅", IF(VoxelMeshDefinition!V386&lt;&gt;"", VoxelMeshDefinition!V386, ""),"")</f>
      </c>
      <c r="F283">
        <f>IF(VoxelMeshDefinition!AE386="✅", IF(VoxelMeshDefinition!W386&lt;&gt;"", VoxelMeshDefinition!W386, ""),"")</f>
      </c>
      <c r="G283">
        <f>IF(VoxelMeshDefinition!AE386="✅", IF(VoxelMeshDefinition!X386&lt;&gt;"", VoxelMeshDefinition!X386, ""),"")</f>
      </c>
      <c r="H283">
        <f>IF(VoxelMeshDefinition!AE386="✅", IF(VoxelMeshDefinition!Y386&lt;&gt;"", VoxelMeshDefinition!Y386, ""),"")</f>
      </c>
      <c r="I283">
        <f>IF(VoxelMeshDefinition!AE386="✅", IF(VoxelMeshDefinition!Z386&lt;&gt;"", VoxelMeshDefinition!Z386, ""),"")</f>
      </c>
      <c r="J283">
        <f>IF(VoxelMeshDefinition!AE386="✅", IF(VoxelMeshDefinition!AA386&lt;&gt;"", VoxelMeshDefinition!AA386, ""),"")</f>
      </c>
      <c r="K283" s="1">
        <f>IF(VoxelMeshDefinition!AE386="✅", VLOOKUP(A283,VoxelMeshDefinition!S:AE,10,FALSE),"")</f>
      </c>
    </row>
    <row r="284">
      <c r="A284">
        <f>IF(VoxelMeshDefinition!AE387="✅", IF(#REF!&lt;&gt;"", #REF!, ""),"")</f>
      </c>
      <c r="B284" s="5">
        <f>IF(VoxelMeshDefinition!AE387="✅", "/Script/Engine.StaticMesh'/Game/Item/Mesh/Voxel/" &amp; VoxelMeshDefinition!Q387 &amp; "/" &amp; VoxelMeshDefinition!H387 &amp; "/" &amp; VoxelMeshDefinition!E387 &amp; "." &amp; VoxelMeshDefinition!E387 &amp; "'", "")</f>
      </c>
      <c r="C284">
        <f>IF(VoxelMeshDefinition!AE387="✅", IF(VoxelMeshDefinition!T387&lt;&gt;"", VoxelMeshDefinition!T387, ""), "")</f>
      </c>
      <c r="D284" s="10">
        <f>IF(VoxelMeshDefinition!AE387="✅", IF(VoxelMeshDefinition!U387&lt;&gt;"", VoxelMeshDefinition!U387, ""),"")</f>
      </c>
      <c r="E284" s="9">
        <f>IF(VoxelMeshDefinition!AE387="✅", IF(VoxelMeshDefinition!V387&lt;&gt;"", VoxelMeshDefinition!V387, ""),"")</f>
      </c>
      <c r="F284">
        <f>IF(VoxelMeshDefinition!AE387="✅", IF(VoxelMeshDefinition!W387&lt;&gt;"", VoxelMeshDefinition!W387, ""),"")</f>
      </c>
      <c r="G284">
        <f>IF(VoxelMeshDefinition!AE387="✅", IF(VoxelMeshDefinition!X387&lt;&gt;"", VoxelMeshDefinition!X387, ""),"")</f>
      </c>
      <c r="H284">
        <f>IF(VoxelMeshDefinition!AE387="✅", IF(VoxelMeshDefinition!Y387&lt;&gt;"", VoxelMeshDefinition!Y387, ""),"")</f>
      </c>
      <c r="I284">
        <f>IF(VoxelMeshDefinition!AE387="✅", IF(VoxelMeshDefinition!Z387&lt;&gt;"", VoxelMeshDefinition!Z387, ""),"")</f>
      </c>
      <c r="J284">
        <f>IF(VoxelMeshDefinition!AE387="✅", IF(VoxelMeshDefinition!AA387&lt;&gt;"", VoxelMeshDefinition!AA387, ""),"")</f>
      </c>
      <c r="K284" s="1">
        <f>IF(VoxelMeshDefinition!AE387="✅", VLOOKUP(A284,VoxelMeshDefinition!S:AE,10,FALSE),"")</f>
      </c>
    </row>
    <row r="285">
      <c r="A285">
        <f>IF(#REF!="✅", IF(#REF!&lt;&gt;"", #REF!, ""),"")</f>
      </c>
      <c r="B285" s="5">
        <f>IF(#REF!="✅", "/Script/Engine.StaticMesh'/Game/Item/Mesh/Voxel/" &amp; VoxelMeshDefinition!Q513 &amp; "/" &amp; VoxelMeshDefinition!H513 &amp; "/" &amp; VoxelMeshDefinition!E513 &amp; "." &amp; VoxelMeshDefinition!E513 &amp; "'", "")</f>
      </c>
      <c r="C285">
        <f>IF(#REF!="✅", IF(VoxelMeshDefinition!T513&lt;&gt;"", VoxelMeshDefinition!T513, ""), "")</f>
      </c>
      <c r="D285" s="10">
        <f>IF(#REF!="✅", IF(VoxelMeshDefinition!U513&lt;&gt;"", VoxelMeshDefinition!U513, ""),"")</f>
      </c>
      <c r="E285" s="9">
        <f>IF(#REF!="✅", IF(VoxelMeshDefinition!V513&lt;&gt;"", VoxelMeshDefinition!V513, ""),"")</f>
      </c>
      <c r="F285">
        <f>IF(#REF!="✅", IF(VoxelMeshDefinition!W513&lt;&gt;"", VoxelMeshDefinition!W513, ""),"")</f>
      </c>
      <c r="G285">
        <f>IF(#REF!="✅", IF(VoxelMeshDefinition!X513&lt;&gt;"", VoxelMeshDefinition!X513, ""),"")</f>
      </c>
      <c r="H285">
        <f>IF(#REF!="✅", IF(VoxelMeshDefinition!Y513&lt;&gt;"", VoxelMeshDefinition!Y513, ""),"")</f>
      </c>
      <c r="I285">
        <f>IF(#REF!="✅", IF(VoxelMeshDefinition!Z513&lt;&gt;"", VoxelMeshDefinition!Z513, ""),"")</f>
      </c>
      <c r="J285">
        <f>IF(#REF!="✅", IF(VoxelMeshDefinition!AA513&lt;&gt;"", VoxelMeshDefinition!AA513, ""),"")</f>
      </c>
      <c r="K285" s="1">
        <f>IF(#REF!="✅", VLOOKUP(A285,VoxelMeshDefinition!S:AE,10,FALSE),"")</f>
      </c>
    </row>
    <row r="286">
      <c r="A286">
        <f>IF(#REF!="✅", IF(#REF!&lt;&gt;"", #REF!, ""),"")</f>
      </c>
      <c r="B286" s="5">
        <f>IF(#REF!="✅", "/Script/Engine.StaticMesh'/Game/Item/Mesh/Voxel/" &amp; VoxelMeshDefinition!Q514 &amp; "/" &amp; VoxelMeshDefinition!H514 &amp; "/" &amp; VoxelMeshDefinition!E514 &amp; "." &amp; VoxelMeshDefinition!E514 &amp; "'", "")</f>
      </c>
      <c r="C286">
        <f>IF(#REF!="✅", IF(VoxelMeshDefinition!T514&lt;&gt;"", VoxelMeshDefinition!T514, ""), "")</f>
      </c>
      <c r="D286" s="10">
        <f>IF(#REF!="✅", IF(VoxelMeshDefinition!U514&lt;&gt;"", VoxelMeshDefinition!U514, ""),"")</f>
      </c>
      <c r="E286" s="9">
        <f>IF(#REF!="✅", IF(VoxelMeshDefinition!V514&lt;&gt;"", VoxelMeshDefinition!V514, ""),"")</f>
      </c>
      <c r="F286">
        <f>IF(#REF!="✅", IF(VoxelMeshDefinition!W514&lt;&gt;"", VoxelMeshDefinition!W514, ""),"")</f>
      </c>
      <c r="G286">
        <f>IF(#REF!="✅", IF(VoxelMeshDefinition!X514&lt;&gt;"", VoxelMeshDefinition!X514, ""),"")</f>
      </c>
      <c r="H286">
        <f>IF(#REF!="✅", IF(VoxelMeshDefinition!Y514&lt;&gt;"", VoxelMeshDefinition!Y514, ""),"")</f>
      </c>
      <c r="I286">
        <f>IF(#REF!="✅", IF(VoxelMeshDefinition!Z514&lt;&gt;"", VoxelMeshDefinition!Z514, ""),"")</f>
      </c>
      <c r="J286">
        <f>IF(#REF!="✅", IF(VoxelMeshDefinition!AA514&lt;&gt;"", VoxelMeshDefinition!AA514, ""),"")</f>
      </c>
      <c r="K286" s="1">
        <f>IF(#REF!="✅", VLOOKUP(A286,VoxelMeshDefinition!S:AE,10,FALSE),"")</f>
      </c>
    </row>
    <row r="287">
      <c r="A287">
        <f>IF(#REF!="✅", IF(#REF!&lt;&gt;"", #REF!, ""),"")</f>
      </c>
      <c r="B287" s="5">
        <f>IF(#REF!="✅", "/Script/Engine.StaticMesh'/Game/Item/Mesh/Voxel/" &amp; VoxelMeshDefinition!Q515 &amp; "/" &amp; VoxelMeshDefinition!H515 &amp; "/" &amp; VoxelMeshDefinition!E515 &amp; "." &amp; VoxelMeshDefinition!E515 &amp; "'", "")</f>
      </c>
      <c r="C287">
        <f>IF(#REF!="✅", IF(VoxelMeshDefinition!T515&lt;&gt;"", VoxelMeshDefinition!T515, ""), "")</f>
      </c>
      <c r="D287" s="10">
        <f>IF(#REF!="✅", IF(VoxelMeshDefinition!U515&lt;&gt;"", VoxelMeshDefinition!U515, ""),"")</f>
      </c>
      <c r="E287" s="9">
        <f>IF(#REF!="✅", IF(VoxelMeshDefinition!V515&lt;&gt;"", VoxelMeshDefinition!V515, ""),"")</f>
      </c>
      <c r="F287">
        <f>IF(#REF!="✅", IF(VoxelMeshDefinition!W515&lt;&gt;"", VoxelMeshDefinition!W515, ""),"")</f>
      </c>
      <c r="G287">
        <f>IF(#REF!="✅", IF(VoxelMeshDefinition!X515&lt;&gt;"", VoxelMeshDefinition!X515, ""),"")</f>
      </c>
      <c r="H287">
        <f>IF(#REF!="✅", IF(VoxelMeshDefinition!Y515&lt;&gt;"", VoxelMeshDefinition!Y515, ""),"")</f>
      </c>
      <c r="I287">
        <f>IF(#REF!="✅", IF(VoxelMeshDefinition!Z515&lt;&gt;"", VoxelMeshDefinition!Z515, ""),"")</f>
      </c>
      <c r="J287">
        <f>IF(#REF!="✅", IF(VoxelMeshDefinition!AA515&lt;&gt;"", VoxelMeshDefinition!AA515, ""),"")</f>
      </c>
      <c r="K287" s="1">
        <f>IF(#REF!="✅", VLOOKUP(A287,VoxelMeshDefinition!S:AE,10,FALSE),"")</f>
      </c>
    </row>
    <row r="288">
      <c r="A288">
        <f>IF(#REF!="✅", IF(#REF!&lt;&gt;"", #REF!, ""),"")</f>
      </c>
      <c r="B288" s="5">
        <f>IF(#REF!="✅", "/Script/Engine.StaticMesh'/Game/Item/Mesh/Voxel/" &amp; VoxelMeshDefinition!Q516 &amp; "/" &amp; VoxelMeshDefinition!H516 &amp; "/" &amp; VoxelMeshDefinition!E516 &amp; "." &amp; VoxelMeshDefinition!E516 &amp; "'", "")</f>
      </c>
      <c r="C288">
        <f>IF(#REF!="✅", IF(VoxelMeshDefinition!T516&lt;&gt;"", VoxelMeshDefinition!T516, ""), "")</f>
      </c>
      <c r="D288" s="10">
        <f>IF(#REF!="✅", IF(VoxelMeshDefinition!U516&lt;&gt;"", VoxelMeshDefinition!U516, ""),"")</f>
      </c>
      <c r="E288" s="9">
        <f>IF(#REF!="✅", IF(VoxelMeshDefinition!V516&lt;&gt;"", VoxelMeshDefinition!V516, ""),"")</f>
      </c>
      <c r="F288">
        <f>IF(#REF!="✅", IF(VoxelMeshDefinition!W516&lt;&gt;"", VoxelMeshDefinition!W516, ""),"")</f>
      </c>
      <c r="G288">
        <f>IF(#REF!="✅", IF(VoxelMeshDefinition!X516&lt;&gt;"", VoxelMeshDefinition!X516, ""),"")</f>
      </c>
      <c r="H288">
        <f>IF(#REF!="✅", IF(VoxelMeshDefinition!Y516&lt;&gt;"", VoxelMeshDefinition!Y516, ""),"")</f>
      </c>
      <c r="I288">
        <f>IF(#REF!="✅", IF(VoxelMeshDefinition!Z516&lt;&gt;"", VoxelMeshDefinition!Z516, ""),"")</f>
      </c>
      <c r="J288">
        <f>IF(#REF!="✅", IF(VoxelMeshDefinition!AA516&lt;&gt;"", VoxelMeshDefinition!AA516, ""),"")</f>
      </c>
      <c r="K288" s="1">
        <f>IF(#REF!="✅", VLOOKUP(A288,VoxelMeshDefinition!S:AE,10,FALSE),"")</f>
      </c>
    </row>
    <row r="289">
      <c r="A289">
        <f>IF(#REF!="✅", IF(#REF!&lt;&gt;"", #REF!, ""),"")</f>
      </c>
      <c r="B289" s="5">
        <f>IF(#REF!="✅", "/Script/Engine.StaticMesh'/Game/Item/Mesh/Voxel/" &amp; VoxelMeshDefinition!Q517 &amp; "/" &amp; VoxelMeshDefinition!H517 &amp; "/" &amp; VoxelMeshDefinition!E517 &amp; "." &amp; VoxelMeshDefinition!E517 &amp; "'", "")</f>
      </c>
      <c r="C289">
        <f>IF(#REF!="✅", IF(VoxelMeshDefinition!T517&lt;&gt;"", VoxelMeshDefinition!T517, ""), "")</f>
      </c>
      <c r="D289" s="10">
        <f>IF(#REF!="✅", IF(VoxelMeshDefinition!U517&lt;&gt;"", VoxelMeshDefinition!U517, ""),"")</f>
      </c>
      <c r="E289" s="9">
        <f>IF(#REF!="✅", IF(VoxelMeshDefinition!V517&lt;&gt;"", VoxelMeshDefinition!V517, ""),"")</f>
      </c>
      <c r="F289">
        <f>IF(#REF!="✅", IF(VoxelMeshDefinition!W517&lt;&gt;"", VoxelMeshDefinition!W517, ""),"")</f>
      </c>
      <c r="G289">
        <f>IF(#REF!="✅", IF(VoxelMeshDefinition!X517&lt;&gt;"", VoxelMeshDefinition!X517, ""),"")</f>
      </c>
      <c r="H289">
        <f>IF(#REF!="✅", IF(VoxelMeshDefinition!Y517&lt;&gt;"", VoxelMeshDefinition!Y517, ""),"")</f>
      </c>
      <c r="I289">
        <f>IF(#REF!="✅", IF(VoxelMeshDefinition!Z517&lt;&gt;"", VoxelMeshDefinition!Z517, ""),"")</f>
      </c>
      <c r="J289">
        <f>IF(#REF!="✅", IF(VoxelMeshDefinition!AA517&lt;&gt;"", VoxelMeshDefinition!AA517, ""),"")</f>
      </c>
      <c r="K289" s="1">
        <f>IF(#REF!="✅", VLOOKUP(A289,VoxelMeshDefinition!S:AE,10,FALSE),"")</f>
      </c>
    </row>
    <row r="290">
      <c r="A290">
        <f>IF(#REF!="✅", IF(#REF!&lt;&gt;"", #REF!, ""),"")</f>
      </c>
      <c r="B290" s="5">
        <f>IF(#REF!="✅", "/Script/Engine.StaticMesh'/Game/Item/Mesh/Voxel/" &amp; VoxelMeshDefinition!Q518 &amp; "/" &amp; VoxelMeshDefinition!H518 &amp; "/" &amp; VoxelMeshDefinition!E518 &amp; "." &amp; VoxelMeshDefinition!E518 &amp; "'", "")</f>
      </c>
      <c r="C290">
        <f>IF(#REF!="✅", IF(VoxelMeshDefinition!T518&lt;&gt;"", VoxelMeshDefinition!T518, ""), "")</f>
      </c>
      <c r="D290" s="10">
        <f>IF(#REF!="✅", IF(VoxelMeshDefinition!U518&lt;&gt;"", VoxelMeshDefinition!U518, ""),"")</f>
      </c>
      <c r="E290" s="9">
        <f>IF(#REF!="✅", IF(VoxelMeshDefinition!V518&lt;&gt;"", VoxelMeshDefinition!V518, ""),"")</f>
      </c>
      <c r="F290">
        <f>IF(#REF!="✅", IF(VoxelMeshDefinition!W518&lt;&gt;"", VoxelMeshDefinition!W518, ""),"")</f>
      </c>
      <c r="G290">
        <f>IF(#REF!="✅", IF(VoxelMeshDefinition!X518&lt;&gt;"", VoxelMeshDefinition!X518, ""),"")</f>
      </c>
      <c r="H290">
        <f>IF(#REF!="✅", IF(VoxelMeshDefinition!Y518&lt;&gt;"", VoxelMeshDefinition!Y518, ""),"")</f>
      </c>
      <c r="I290">
        <f>IF(#REF!="✅", IF(VoxelMeshDefinition!Z518&lt;&gt;"", VoxelMeshDefinition!Z518, ""),"")</f>
      </c>
      <c r="J290">
        <f>IF(#REF!="✅", IF(VoxelMeshDefinition!AA518&lt;&gt;"", VoxelMeshDefinition!AA518, ""),"")</f>
      </c>
      <c r="K290" s="1">
        <f>IF(#REF!="✅", VLOOKUP(A290,VoxelMeshDefinition!S:AE,10,FALSE),"")</f>
      </c>
    </row>
    <row r="291">
      <c r="A291">
        <f>IF(#REF!="✅", IF(#REF!&lt;&gt;"", #REF!, ""),"")</f>
      </c>
      <c r="B291" s="5">
        <f>IF(#REF!="✅", "/Script/Engine.StaticMesh'/Game/Item/Mesh/Voxel/" &amp; VoxelMeshDefinition!Q519 &amp; "/" &amp; VoxelMeshDefinition!H519 &amp; "/" &amp; VoxelMeshDefinition!E519 &amp; "." &amp; VoxelMeshDefinition!E519 &amp; "'", "")</f>
      </c>
      <c r="C291">
        <f>IF(#REF!="✅", IF(VoxelMeshDefinition!T519&lt;&gt;"", VoxelMeshDefinition!T519, ""), "")</f>
      </c>
      <c r="D291" s="10">
        <f>IF(#REF!="✅", IF(VoxelMeshDefinition!U519&lt;&gt;"", VoxelMeshDefinition!U519, ""),"")</f>
      </c>
      <c r="E291" s="9">
        <f>IF(#REF!="✅", IF(VoxelMeshDefinition!V519&lt;&gt;"", VoxelMeshDefinition!V519, ""),"")</f>
      </c>
      <c r="F291">
        <f>IF(#REF!="✅", IF(VoxelMeshDefinition!W519&lt;&gt;"", VoxelMeshDefinition!W519, ""),"")</f>
      </c>
      <c r="G291">
        <f>IF(#REF!="✅", IF(VoxelMeshDefinition!X519&lt;&gt;"", VoxelMeshDefinition!X519, ""),"")</f>
      </c>
      <c r="H291">
        <f>IF(#REF!="✅", IF(VoxelMeshDefinition!Y519&lt;&gt;"", VoxelMeshDefinition!Y519, ""),"")</f>
      </c>
      <c r="I291">
        <f>IF(#REF!="✅", IF(VoxelMeshDefinition!Z519&lt;&gt;"", VoxelMeshDefinition!Z519, ""),"")</f>
      </c>
      <c r="J291">
        <f>IF(#REF!="✅", IF(VoxelMeshDefinition!AA519&lt;&gt;"", VoxelMeshDefinition!AA519, ""),"")</f>
      </c>
      <c r="K291" s="1">
        <f>IF(#REF!="✅", VLOOKUP(A291,VoxelMeshDefinition!S:AE,10,FALSE),"")</f>
      </c>
    </row>
    <row r="292">
      <c r="B292" s="5"/>
      <c r="D292" s="10"/>
      <c r="E292" s="9"/>
      <c r="K292" s="1">
        <f>IF(#REF!="✅", VLOOKUP(A292,VoxelMeshDefinition!S:AE,10,FALSE),"")</f>
      </c>
    </row>
    <row r="293">
      <c r="B293" s="5"/>
      <c r="D293" s="10"/>
      <c r="E293" s="9"/>
      <c r="K293" s="1">
        <f>IF(#REF!="✅", VLOOKUP(A293,VoxelMeshDefinition!S:AE,10,FALSE),"")</f>
      </c>
    </row>
    <row r="294">
      <c r="B294" s="5"/>
      <c r="D294" s="10"/>
      <c r="E294" s="9"/>
      <c r="K294" s="1">
        <f>IF(#REF!="✅", VLOOKUP(A294,VoxelMeshDefinition!S:AE,10,FALSE),"")</f>
      </c>
    </row>
    <row r="295">
      <c r="B295" s="5"/>
      <c r="D295" s="10"/>
      <c r="E295" s="9"/>
      <c r="K295" s="1">
        <f>IF(#REF!="✅", VLOOKUP(A295,VoxelMeshDefinition!S:AE,10,FALSE),"")</f>
      </c>
    </row>
    <row r="296">
      <c r="B296" s="5"/>
      <c r="D296" s="10"/>
      <c r="E296" s="9"/>
      <c r="K296" s="1">
        <f>IF(#REF!="✅", VLOOKUP(A296,VoxelMeshDefinition!S:AE,10,FALSE),"")</f>
      </c>
    </row>
    <row r="297">
      <c r="B297" s="5"/>
      <c r="D297" s="10"/>
      <c r="E297" s="9"/>
      <c r="K297" s="1">
        <f>IF(#REF!="✅", VLOOKUP(A297,VoxelMeshDefinition!S:AE,10,FALSE),"")</f>
      </c>
    </row>
    <row r="298">
      <c r="B298" s="5"/>
      <c r="D298" s="10"/>
      <c r="E298" s="9"/>
      <c r="K298" s="1">
        <f>IF(#REF!="✅", VLOOKUP(A298,VoxelMeshDefinition!S:AE,10,FALSE),"")</f>
      </c>
    </row>
    <row r="299">
      <c r="B299" s="5"/>
      <c r="D299" s="10"/>
      <c r="E299" s="9"/>
      <c r="K299" s="1">
        <f>IF(#REF!="✅", VLOOKUP(A299,VoxelMeshDefinition!S:AE,10,FALSE),"")</f>
      </c>
    </row>
    <row r="300">
      <c r="B300" s="5"/>
      <c r="D300" s="10"/>
      <c r="E300" s="9"/>
      <c r="K300" s="1">
        <f>IF(#REF!="✅", VLOOKUP(A300,VoxelMeshDefinition!S:AE,10,FALSE),"")</f>
      </c>
    </row>
    <row r="301">
      <c r="B301" s="5"/>
      <c r="D301" s="10"/>
      <c r="E301" s="9"/>
      <c r="K301" s="1">
        <f>IF(#REF!="✅", VLOOKUP(A301,VoxelMeshDefinition!S:AE,10,FALSE),"")</f>
      </c>
    </row>
    <row r="302">
      <c r="B302" s="5"/>
      <c r="D302" s="10"/>
      <c r="E302" s="9"/>
      <c r="K302" s="1">
        <f>IF(#REF!="✅", VLOOKUP(A302,VoxelMeshDefinition!S:AE,10,FALSE),"")</f>
      </c>
    </row>
    <row r="303">
      <c r="B303" s="5"/>
      <c r="D303" s="10"/>
      <c r="E303" s="9"/>
      <c r="K303" s="1">
        <f>IF(#REF!="✅", VLOOKUP(A303,VoxelMeshDefinition!S:AE,10,FALSE),"")</f>
      </c>
    </row>
    <row r="304">
      <c r="B304" s="5"/>
      <c r="D304" s="10"/>
      <c r="E304" s="9"/>
      <c r="K304" s="1">
        <f>IF(#REF!="✅", VLOOKUP(A304,VoxelMeshDefinition!S:AE,10,FALSE),"")</f>
      </c>
    </row>
    <row r="305">
      <c r="B305" s="5"/>
      <c r="D305" s="10"/>
      <c r="E305" s="9"/>
      <c r="K305" s="1">
        <f>IF(#REF!="✅", VLOOKUP(A305,VoxelMeshDefinition!S:AE,10,FALSE),"")</f>
      </c>
    </row>
    <row r="306">
      <c r="B306" s="5"/>
      <c r="D306" s="10"/>
      <c r="E306" s="9"/>
      <c r="K306" s="1">
        <f>IF(#REF!="✅", VLOOKUP(A306,VoxelMeshDefinition!S:AE,10,FALSE),"")</f>
      </c>
    </row>
    <row r="307">
      <c r="B307" s="5"/>
      <c r="D307" s="10"/>
      <c r="E307" s="9"/>
      <c r="K307" s="1">
        <f>IF(#REF!="✅", VLOOKUP(A307,VoxelMeshDefinition!S:AE,10,FALSE),"")</f>
      </c>
    </row>
    <row r="308">
      <c r="B308" s="5"/>
      <c r="D308" s="10"/>
      <c r="E308" s="9"/>
      <c r="K308" s="1">
        <f>IF(#REF!="✅", VLOOKUP(A308,VoxelMeshDefinition!S:AE,10,FALSE),"")</f>
      </c>
    </row>
    <row r="309">
      <c r="B309" s="5"/>
      <c r="D309" s="10"/>
      <c r="E309" s="9"/>
      <c r="K309" s="1">
        <f>IF(#REF!="✅", VLOOKUP(A309,VoxelMeshDefinition!S:AE,10,FALSE),"")</f>
      </c>
    </row>
    <row r="310">
      <c r="B310" s="5"/>
      <c r="D310" s="10"/>
      <c r="E310" s="9"/>
      <c r="K310" s="1">
        <f>IF(#REF!="✅", VLOOKUP(A310,VoxelMeshDefinition!S:AE,10,FALSE),"")</f>
      </c>
    </row>
    <row r="311">
      <c r="B311" s="5"/>
      <c r="D311" s="10"/>
      <c r="E311" s="9"/>
      <c r="K311" s="1">
        <f>IF(#REF!="✅", VLOOKUP(A311,VoxelMeshDefinition!S:AE,10,FALSE),"")</f>
      </c>
    </row>
    <row r="312">
      <c r="B312" s="5"/>
      <c r="D312" s="10"/>
      <c r="E312" s="9"/>
      <c r="K312" s="1">
        <f>IF(#REF!="✅", VLOOKUP(A312,VoxelMeshDefinition!S:AE,10,FALSE),"")</f>
      </c>
    </row>
    <row r="313">
      <c r="B313" s="5"/>
      <c r="D313" s="10"/>
      <c r="E313" s="9"/>
      <c r="K313" s="1">
        <f>IF(#REF!="✅", VLOOKUP(A313,VoxelMeshDefinition!S:AE,10,FALSE),"")</f>
      </c>
    </row>
    <row r="314">
      <c r="B314" s="5"/>
      <c r="D314" s="10"/>
      <c r="E314" s="9"/>
      <c r="K314" s="1">
        <f>IF(#REF!="✅", VLOOKUP(A314,VoxelMeshDefinition!S:AE,10,FALSE),"")</f>
      </c>
    </row>
    <row r="315">
      <c r="B315" s="5"/>
      <c r="D315" s="10"/>
      <c r="E315" s="9"/>
      <c r="K315" s="1">
        <f>IF(#REF!="✅", VLOOKUP(A315,VoxelMeshDefinition!S:AE,10,FALSE),"")</f>
      </c>
    </row>
    <row r="316">
      <c r="B316" s="5"/>
      <c r="D316" s="10"/>
      <c r="E316" s="9"/>
      <c r="K316" s="1">
        <f>IF(#REF!="✅", VLOOKUP(A316,VoxelMeshDefinition!S:AE,10,FALSE),"")</f>
      </c>
    </row>
    <row r="317">
      <c r="B317" s="5"/>
      <c r="D317" s="10"/>
      <c r="E317" s="9"/>
      <c r="K317" s="1">
        <f>IF(#REF!="✅", VLOOKUP(A317,VoxelMeshDefinition!S:AE,10,FALSE),"")</f>
      </c>
    </row>
    <row r="318">
      <c r="B318" s="5"/>
      <c r="D318" s="10"/>
      <c r="E318" s="9"/>
      <c r="K318" s="1">
        <f>IF(#REF!="✅", VLOOKUP(A318,VoxelMeshDefinition!S:AE,10,FALSE),"")</f>
      </c>
    </row>
    <row r="319">
      <c r="B319" s="5"/>
      <c r="D319" s="10"/>
      <c r="E319" s="9"/>
      <c r="K319" s="1">
        <f>IF(#REF!="✅", VLOOKUP(A319,VoxelMeshDefinition!S:AE,10,FALSE),"")</f>
      </c>
    </row>
    <row r="320">
      <c r="B320" s="5"/>
      <c r="D320" s="10"/>
      <c r="E320" s="9"/>
      <c r="K320" s="1">
        <f>IF(#REF!="✅", VLOOKUP(A320,VoxelMeshDefinition!S:AE,10,FALSE),"")</f>
      </c>
    </row>
    <row r="321">
      <c r="B321" s="5"/>
      <c r="D321" s="10"/>
      <c r="E321" s="9"/>
      <c r="K321" s="1">
        <f>IF(#REF!="✅", VLOOKUP(A321,VoxelMeshDefinition!S:AE,10,FALSE),"")</f>
      </c>
    </row>
    <row r="322">
      <c r="B322" s="5"/>
      <c r="D322" s="10"/>
      <c r="E322" s="9"/>
      <c r="K322" s="1">
        <f>IF(#REF!="✅", VLOOKUP(A322,VoxelMeshDefinition!S:AE,10,FALSE),"")</f>
      </c>
    </row>
    <row r="323">
      <c r="B323" s="5"/>
      <c r="D323" s="10"/>
      <c r="E323" s="9"/>
      <c r="K323" s="1">
        <f>IF(#REF!="✅", VLOOKUP(A323,VoxelMeshDefinition!S:AE,10,FALSE),"")</f>
      </c>
    </row>
    <row r="324">
      <c r="B324" s="5"/>
      <c r="D324" s="10"/>
      <c r="E324" s="9"/>
      <c r="K324" s="1">
        <f>IF(#REF!="✅", VLOOKUP(A324,VoxelMeshDefinition!S:AE,10,FALSE),"")</f>
      </c>
    </row>
    <row r="325">
      <c r="B325" s="5"/>
      <c r="D325" s="10"/>
      <c r="E325" s="9"/>
      <c r="K325" s="1">
        <f>IF(#REF!="✅", VLOOKUP(A325,VoxelMeshDefinition!S:AE,10,FALSE),"")</f>
      </c>
    </row>
    <row r="326">
      <c r="B326" s="5"/>
      <c r="D326" s="10"/>
      <c r="E326" s="9"/>
      <c r="K326" s="1">
        <f>IF(#REF!="✅", VLOOKUP(A326,VoxelMeshDefinition!S:AE,10,FALSE),"")</f>
      </c>
    </row>
    <row r="327">
      <c r="B327" s="5"/>
      <c r="D327" s="10"/>
      <c r="E327" s="9"/>
      <c r="K327" s="1">
        <f>IF(#REF!="✅", VLOOKUP(A327,VoxelMeshDefinition!S:AE,10,FALSE),"")</f>
      </c>
    </row>
    <row r="328">
      <c r="B328" s="5"/>
      <c r="D328" s="10"/>
      <c r="E328" s="9"/>
      <c r="K328" s="1">
        <f>IF(#REF!="✅", VLOOKUP(A328,VoxelMeshDefinition!S:AE,10,FALSE),"")</f>
      </c>
    </row>
    <row r="329">
      <c r="B329" s="5"/>
      <c r="D329" s="10"/>
      <c r="E329" s="9"/>
      <c r="K329" s="1">
        <f>IF(#REF!="✅", VLOOKUP(A329,VoxelMeshDefinition!S:AE,10,FALSE),"")</f>
      </c>
    </row>
    <row r="330">
      <c r="B330" s="5"/>
      <c r="D330" s="10"/>
      <c r="E330" s="9"/>
      <c r="K330" s="1">
        <f>IF(#REF!="✅", VLOOKUP(A330,VoxelMeshDefinition!S:AE,10,FALSE),"")</f>
      </c>
    </row>
    <row r="331">
      <c r="B331" s="5"/>
      <c r="D331" s="10"/>
      <c r="E331" s="9"/>
      <c r="K331" s="1">
        <f>IF(#REF!="✅", VLOOKUP(A331,VoxelMeshDefinition!S:AE,10,FALSE),"")</f>
      </c>
    </row>
    <row r="332">
      <c r="B332" s="5"/>
      <c r="D332" s="10"/>
      <c r="E332" s="9"/>
      <c r="K332" s="1">
        <f>IF(#REF!="✅", VLOOKUP(A332,VoxelMeshDefinition!S:AE,10,FALSE),"")</f>
      </c>
    </row>
    <row r="333">
      <c r="B333" s="5"/>
      <c r="D333" s="10"/>
      <c r="E333" s="9"/>
      <c r="K333" s="1">
        <f>IF(#REF!="✅", VLOOKUP(A333,VoxelMeshDefinition!S:AE,10,FALSE),"")</f>
      </c>
    </row>
    <row r="334">
      <c r="B334" s="5"/>
      <c r="D334" s="10"/>
      <c r="E334" s="9"/>
      <c r="K334" s="1">
        <f>IF(#REF!="✅", VLOOKUP(A334,VoxelMeshDefinition!S:AE,10,FALSE),"")</f>
      </c>
    </row>
    <row r="335">
      <c r="B335" s="5"/>
      <c r="D335" s="10"/>
      <c r="E335" s="9"/>
      <c r="K335" s="1">
        <f>IF(#REF!="✅", VLOOKUP(A335,VoxelMeshDefinition!S:AE,10,FALSE),"")</f>
      </c>
    </row>
    <row r="336">
      <c r="B336" s="5"/>
      <c r="D336" s="10"/>
      <c r="E336" s="9"/>
      <c r="K336" s="1">
        <f>IF(#REF!="✅", VLOOKUP(A336,VoxelMeshDefinition!S:AE,10,FALSE),"")</f>
      </c>
    </row>
    <row r="337">
      <c r="B337" s="5"/>
      <c r="D337" s="10"/>
      <c r="E337" s="9"/>
      <c r="K337" s="1">
        <f>IF(#REF!="✅", VLOOKUP(A337,VoxelMeshDefinition!S:AE,10,FALSE),"")</f>
      </c>
    </row>
    <row r="338">
      <c r="B338" s="5"/>
      <c r="D338" s="10"/>
      <c r="E338" s="9"/>
      <c r="K338" s="1">
        <f>IF(#REF!="✅", VLOOKUP(A338,VoxelMeshDefinition!S:AE,10,FALSE),"")</f>
      </c>
    </row>
    <row r="339">
      <c r="B339" s="5"/>
      <c r="D339" s="10"/>
      <c r="E339" s="9"/>
      <c r="K339" s="1">
        <f>IF(#REF!="✅", VLOOKUP(A339,VoxelMeshDefinition!S:AE,10,FALSE),"")</f>
      </c>
    </row>
    <row r="340">
      <c r="B340" s="5"/>
      <c r="D340" s="10"/>
      <c r="E340" s="9"/>
      <c r="K340" s="1">
        <f>IF(#REF!="✅", VLOOKUP(A340,VoxelMeshDefinition!S:AE,10,FALSE),"")</f>
      </c>
    </row>
    <row r="341">
      <c r="B341" s="5"/>
      <c r="D341" s="10"/>
      <c r="E341" s="9"/>
      <c r="K341" s="1">
        <f>IF(#REF!="✅", VLOOKUP(A341,VoxelMeshDefinition!S:AE,10,FALSE),"")</f>
      </c>
    </row>
    <row r="342">
      <c r="B342" s="5"/>
      <c r="D342" s="10"/>
      <c r="E342" s="9"/>
      <c r="K342" s="1">
        <f>IF(#REF!="✅", VLOOKUP(A342,VoxelMeshDefinition!S:AE,10,FALSE),"")</f>
      </c>
    </row>
    <row r="343">
      <c r="B343" s="5"/>
      <c r="D343" s="10"/>
      <c r="E343" s="9"/>
      <c r="K343" s="1">
        <f>IF(#REF!="✅", VLOOKUP(A343,VoxelMeshDefinition!S:AE,10,FALSE),"")</f>
      </c>
    </row>
    <row r="344">
      <c r="B344" s="5"/>
      <c r="D344" s="10"/>
      <c r="E344" s="9"/>
      <c r="K344" s="1">
        <f>IF(#REF!="✅", VLOOKUP(A344,VoxelMeshDefinition!S:AE,10,FALSE),"")</f>
      </c>
    </row>
    <row r="345">
      <c r="B345" s="5"/>
      <c r="D345" s="10"/>
      <c r="E345" s="9"/>
      <c r="K345" s="1">
        <f>IF(#REF!="✅", VLOOKUP(A345,VoxelMeshDefinition!S:AE,10,FALSE),"")</f>
      </c>
    </row>
    <row r="346">
      <c r="B346" s="5"/>
      <c r="D346" s="10"/>
      <c r="E346" s="9"/>
      <c r="K346" s="1">
        <f>IF(#REF!="✅", VLOOKUP(A346,VoxelMeshDefinition!S:AE,10,FALSE),"")</f>
      </c>
    </row>
    <row r="347">
      <c r="B347" s="5"/>
      <c r="D347" s="10"/>
      <c r="E347" s="9"/>
      <c r="K347" s="1">
        <f>IF(#REF!="✅", VLOOKUP(A347,VoxelMeshDefinition!S:AE,10,FALSE),"")</f>
      </c>
    </row>
    <row r="348">
      <c r="B348" s="5"/>
      <c r="D348" s="10"/>
      <c r="E348" s="9"/>
      <c r="K348" s="1">
        <f>IF(#REF!="✅", VLOOKUP(A348,VoxelMeshDefinition!S:AE,10,FALSE),"")</f>
      </c>
    </row>
    <row r="349">
      <c r="B349" s="5"/>
      <c r="D349" s="10"/>
      <c r="E349" s="9"/>
      <c r="K349" s="1">
        <f>IF(#REF!="✅", VLOOKUP(A349,VoxelMeshDefinition!S:AE,10,FALSE),"")</f>
      </c>
    </row>
    <row r="350">
      <c r="B350" s="5"/>
      <c r="D350" s="10"/>
      <c r="E350" s="9"/>
      <c r="K350" s="1">
        <f>IF(#REF!="✅", VLOOKUP(A350,VoxelMeshDefinition!S:AE,10,FALSE),"")</f>
      </c>
    </row>
    <row r="351">
      <c r="B351" s="5"/>
      <c r="D351" s="10"/>
      <c r="E351" s="9"/>
      <c r="K351" s="1">
        <f>IF(#REF!="✅", VLOOKUP(A351,VoxelMeshDefinition!S:AE,10,FALSE),"")</f>
      </c>
    </row>
    <row r="352">
      <c r="B352" s="5"/>
      <c r="D352" s="10"/>
      <c r="E352" s="9"/>
      <c r="K352" s="1">
        <f>IF(#REF!="✅", VLOOKUP(A352,VoxelMeshDefinition!S:AE,10,FALSE),"")</f>
      </c>
    </row>
    <row r="353">
      <c r="B353" s="5"/>
      <c r="D353" s="10"/>
      <c r="E353" s="9"/>
      <c r="K353" s="1">
        <f>IF(#REF!="✅", VLOOKUP(A353,VoxelMeshDefinition!S:AE,10,FALSE),"")</f>
      </c>
    </row>
    <row r="354">
      <c r="B354" s="5"/>
      <c r="D354" s="10"/>
      <c r="E354" s="9"/>
      <c r="K354" s="1">
        <f>IF(#REF!="✅", VLOOKUP(A354,VoxelMeshDefinition!S:AE,10,FALSE),"")</f>
      </c>
    </row>
    <row r="355">
      <c r="B355" s="5"/>
      <c r="D355" s="10"/>
      <c r="E355" s="9"/>
      <c r="K355" s="1">
        <f>IF(#REF!="✅", VLOOKUP(A355,VoxelMeshDefinition!S:AE,10,FALSE),"")</f>
      </c>
    </row>
    <row r="356">
      <c r="B356" s="5"/>
      <c r="D356" s="10"/>
      <c r="E356" s="9"/>
      <c r="K356" s="1">
        <f>IF(#REF!="✅", VLOOKUP(A356,VoxelMeshDefinition!S:AE,10,FALSE),"")</f>
      </c>
    </row>
    <row r="357">
      <c r="B357" s="5"/>
      <c r="D357" s="10"/>
      <c r="E357" s="9"/>
      <c r="K357" s="1">
        <f>IF(#REF!="✅", VLOOKUP(A357,VoxelMeshDefinition!S:AE,10,FALSE),"")</f>
      </c>
    </row>
    <row r="358">
      <c r="B358" s="5"/>
      <c r="D358" s="10"/>
      <c r="E358" s="9"/>
      <c r="K358" s="1">
        <f>IF(#REF!="✅", VLOOKUP(A358,VoxelMeshDefinition!S:AE,10,FALSE),"")</f>
      </c>
    </row>
    <row r="359">
      <c r="B359" s="5"/>
      <c r="D359" s="10"/>
      <c r="E359" s="9"/>
      <c r="K359" s="1">
        <f>IF(#REF!="✅", VLOOKUP(A359,VoxelMeshDefinition!S:AE,10,FALSE),"")</f>
      </c>
    </row>
    <row r="360">
      <c r="B360" s="5"/>
      <c r="D360" s="10"/>
      <c r="E360" s="9"/>
      <c r="K360" s="1">
        <f>IF(#REF!="✅", VLOOKUP(A360,VoxelMeshDefinition!S:AE,10,FALSE),"")</f>
      </c>
    </row>
    <row r="361">
      <c r="B361" s="5"/>
      <c r="D361" s="10"/>
      <c r="E361" s="9"/>
      <c r="K361" s="1">
        <f>IF(#REF!="✅", VLOOKUP(A361,VoxelMeshDefinition!S:AE,10,FALSE),"")</f>
      </c>
    </row>
    <row r="362">
      <c r="B362" s="5"/>
      <c r="D362" s="10"/>
      <c r="E362" s="9"/>
      <c r="K362" s="1">
        <f>IF(#REF!="✅", VLOOKUP(A362,VoxelMeshDefinition!S:AE,10,FALSE),"")</f>
      </c>
    </row>
    <row r="363">
      <c r="B363" s="5"/>
      <c r="D363" s="10"/>
      <c r="E363" s="9"/>
      <c r="K363" s="1">
        <f>IF(#REF!="✅", VLOOKUP(A363,VoxelMeshDefinition!S:AE,10,FALSE),"")</f>
      </c>
    </row>
    <row r="364">
      <c r="B364" s="5"/>
      <c r="D364" s="10"/>
      <c r="E364" s="9"/>
      <c r="K364" s="1">
        <f>IF(#REF!="✅", VLOOKUP(A364,VoxelMeshDefinition!S:AE,10,FALSE),"")</f>
      </c>
    </row>
    <row r="365">
      <c r="B365" s="5"/>
      <c r="D365" s="10"/>
      <c r="E365" s="9"/>
      <c r="K365" s="1">
        <f>IF(#REF!="✅", VLOOKUP(A365,VoxelMeshDefinition!S:AE,10,FALSE),"")</f>
      </c>
    </row>
    <row r="366">
      <c r="B366" s="5"/>
      <c r="D366" s="10"/>
      <c r="E366" s="9"/>
      <c r="K366" s="1">
        <f>IF(#REF!="✅", VLOOKUP(A366,VoxelMeshDefinition!S:AE,10,FALSE),"")</f>
      </c>
    </row>
    <row r="367">
      <c r="B367" s="5"/>
      <c r="D367" s="10"/>
      <c r="E367" s="9"/>
      <c r="K367" s="1">
        <f>IF(#REF!="✅", VLOOKUP(A367,VoxelMeshDefinition!S:AE,10,FALSE),"")</f>
      </c>
    </row>
    <row r="368">
      <c r="B368" s="5"/>
      <c r="D368" s="10"/>
      <c r="E368" s="9"/>
      <c r="K368" s="1">
        <f>IF(#REF!="✅", VLOOKUP(A368,VoxelMeshDefinition!S:AE,10,FALSE),"")</f>
      </c>
    </row>
    <row r="369">
      <c r="B369" s="5"/>
      <c r="D369" s="10"/>
      <c r="E369" s="9"/>
      <c r="K369" s="1">
        <f>IF(#REF!="✅", VLOOKUP(A369,VoxelMeshDefinition!S:AE,10,FALSE),"")</f>
      </c>
    </row>
    <row r="370">
      <c r="B370" s="5"/>
      <c r="D370" s="10"/>
      <c r="E370" s="9"/>
      <c r="K370" s="1">
        <f>IF(#REF!="✅", VLOOKUP(A370,VoxelMeshDefinition!S:AE,10,FALSE),"")</f>
      </c>
    </row>
    <row r="371">
      <c r="B371" s="5"/>
      <c r="D371" s="10"/>
      <c r="E371" s="9"/>
      <c r="K371" s="1">
        <f>IF(#REF!="✅", VLOOKUP(A371,VoxelMeshDefinition!S:AE,10,FALSE),"")</f>
      </c>
    </row>
    <row r="372">
      <c r="B372" s="5"/>
      <c r="D372" s="10"/>
      <c r="E372" s="9"/>
      <c r="K372" s="1">
        <f>IF(#REF!="✅", VLOOKUP(A372,VoxelMeshDefinition!S:AE,10,FALSE),"")</f>
      </c>
    </row>
    <row r="373">
      <c r="B373" s="5"/>
      <c r="D373" s="10"/>
      <c r="E373" s="9"/>
      <c r="K373" s="1">
        <f>IF(#REF!="✅", VLOOKUP(A373,VoxelMeshDefinition!S:AE,10,FALSE),"")</f>
      </c>
    </row>
    <row r="374">
      <c r="B374" s="5"/>
      <c r="D374" s="10"/>
      <c r="E374" s="9"/>
      <c r="K374" s="1">
        <f>IF(#REF!="✅", VLOOKUP(A374,VoxelMeshDefinition!S:AE,10,FALSE),"")</f>
      </c>
    </row>
    <row r="375">
      <c r="B375" s="5"/>
      <c r="D375" s="10"/>
      <c r="E375" s="9"/>
      <c r="K375" s="1">
        <f>IF(#REF!="✅", VLOOKUP(A375,VoxelMeshDefinition!S:AE,10,FALSE),"")</f>
      </c>
    </row>
    <row r="376">
      <c r="B376" s="5"/>
      <c r="D376" s="10"/>
      <c r="E376" s="9"/>
      <c r="K376" s="1">
        <f>IF(#REF!="✅", VLOOKUP(A376,VoxelMeshDefinition!S:AE,10,FALSE),"")</f>
      </c>
    </row>
    <row r="377">
      <c r="B377" s="5"/>
      <c r="D377" s="10"/>
      <c r="E377" s="9"/>
      <c r="K377" s="1">
        <f>IF(#REF!="✅", VLOOKUP(A377,VoxelMeshDefinition!S:AE,10,FALSE),"")</f>
      </c>
    </row>
    <row r="378">
      <c r="B378" s="5"/>
      <c r="D378" s="10"/>
      <c r="E378" s="9"/>
      <c r="K378" s="1">
        <f>IF(#REF!="✅", VLOOKUP(A378,VoxelMeshDefinition!S:AE,10,FALSE),"")</f>
      </c>
    </row>
    <row r="379">
      <c r="B379" s="5"/>
      <c r="D379" s="10"/>
      <c r="E379" s="9"/>
      <c r="K379" s="1">
        <f>IF(#REF!="✅", VLOOKUP(A379,VoxelMeshDefinition!S:AE,10,FALSE),"")</f>
      </c>
    </row>
    <row r="380">
      <c r="B380" s="5"/>
      <c r="D380" s="10"/>
      <c r="E380" s="9"/>
      <c r="K380" s="1">
        <f>IF(#REF!="✅", VLOOKUP(A380,VoxelMeshDefinition!S:AE,10,FALSE),"")</f>
      </c>
    </row>
    <row r="381">
      <c r="B381" s="5"/>
      <c r="D381" s="10"/>
      <c r="E381" s="9"/>
      <c r="K381" s="1">
        <f>IF(#REF!="✅", VLOOKUP(A381,VoxelMeshDefinition!S:AE,10,FALSE),"")</f>
      </c>
    </row>
    <row r="382">
      <c r="B382" s="5"/>
      <c r="D382" s="10"/>
      <c r="E382" s="9"/>
      <c r="K382" s="1">
        <f>IF(#REF!="✅", VLOOKUP(A382,VoxelMeshDefinition!S:AE,10,FALSE),"")</f>
      </c>
    </row>
    <row r="383">
      <c r="B383" s="5"/>
      <c r="D383" s="10"/>
      <c r="E383" s="9"/>
      <c r="K383" s="1">
        <f>IF(#REF!="✅", VLOOKUP(A383,VoxelMeshDefinition!S:AE,10,FALSE),"")</f>
      </c>
    </row>
    <row r="384">
      <c r="B384" s="5"/>
      <c r="D384" s="10"/>
      <c r="E384" s="9"/>
      <c r="K384" s="1">
        <f>IF(#REF!="✅", VLOOKUP(A384,VoxelMeshDefinition!S:AE,10,FALSE),"")</f>
      </c>
    </row>
    <row r="385">
      <c r="B385" s="5"/>
      <c r="D385" s="10"/>
      <c r="E385" s="9"/>
      <c r="K385" s="1">
        <f>IF(#REF!="✅", VLOOKUP(A385,VoxelMeshDefinition!S:AE,10,FALSE),"")</f>
      </c>
    </row>
    <row r="386">
      <c r="B386" s="5"/>
      <c r="D386" s="10"/>
      <c r="E386" s="9"/>
      <c r="K386" s="1">
        <f>IF(#REF!="✅", VLOOKUP(A386,VoxelMeshDefinition!S:AE,10,FALSE),"")</f>
      </c>
    </row>
    <row r="387">
      <c r="B387" s="5"/>
      <c r="D387" s="10"/>
      <c r="E387" s="9"/>
      <c r="K387" s="1">
        <f>IF(#REF!="✅", VLOOKUP(A387,VoxelMeshDefinition!S:AE,10,FALSE),"")</f>
      </c>
    </row>
    <row r="388">
      <c r="B388" s="5"/>
      <c r="D388" s="10"/>
      <c r="E388" s="9"/>
      <c r="K388" s="1">
        <f>IF(#REF!="✅", VLOOKUP(A388,VoxelMeshDefinition!S:AE,10,FALSE),"")</f>
      </c>
    </row>
    <row r="389">
      <c r="B389" s="5"/>
      <c r="D389" s="10"/>
      <c r="E389" s="9"/>
      <c r="K389" s="1">
        <f>IF(#REF!="✅", VLOOKUP(A389,VoxelMeshDefinition!S:AE,10,FALSE),"")</f>
      </c>
    </row>
    <row r="390">
      <c r="B390" s="5"/>
      <c r="D390" s="10"/>
      <c r="E390" s="9"/>
      <c r="K390" s="1">
        <f>IF(#REF!="✅", VLOOKUP(A390,VoxelMeshDefinition!S:AE,10,FALSE),"")</f>
      </c>
    </row>
    <row r="391">
      <c r="B391" s="5"/>
      <c r="D391" s="10"/>
      <c r="E391" s="9"/>
      <c r="K391" s="1">
        <f>IF(#REF!="✅", VLOOKUP(A391,VoxelMeshDefinition!S:AE,10,FALSE),"")</f>
      </c>
    </row>
    <row r="392">
      <c r="B392" s="5"/>
      <c r="D392" s="10"/>
      <c r="E392" s="9"/>
      <c r="K392" s="1">
        <f>IF(#REF!="✅", VLOOKUP(A392,VoxelMeshDefinition!S:AE,10,FALSE),"")</f>
      </c>
    </row>
    <row r="393">
      <c r="B393" s="5"/>
      <c r="D393" s="10"/>
      <c r="E393" s="9"/>
      <c r="K393" s="1">
        <f>IF(#REF!="✅", VLOOKUP(A393,VoxelMeshDefinition!S:AE,10,FALSE),"")</f>
      </c>
    </row>
    <row r="394">
      <c r="B394" s="5"/>
      <c r="D394" s="10"/>
      <c r="E394" s="9"/>
      <c r="K394" s="1">
        <f>IF(#REF!="✅", VLOOKUP(A394,VoxelMeshDefinition!S:AE,10,FALSE),"")</f>
      </c>
    </row>
    <row r="395">
      <c r="B395" s="5"/>
      <c r="D395" s="10"/>
      <c r="E395" s="9"/>
      <c r="K395" s="1">
        <f>IF(#REF!="✅", VLOOKUP(A395,VoxelMeshDefinition!S:AE,10,FALSE),"")</f>
      </c>
    </row>
    <row r="396">
      <c r="B396" s="5"/>
      <c r="D396" s="10"/>
      <c r="E396" s="9"/>
      <c r="K396" s="1">
        <f>IF(#REF!="✅", VLOOKUP(A396,VoxelMeshDefinition!S:AE,10,FALSE),"")</f>
      </c>
    </row>
    <row r="397">
      <c r="B397" s="5"/>
      <c r="D397" s="10"/>
      <c r="E397" s="9"/>
      <c r="K397" s="1">
        <f>IF(#REF!="✅", VLOOKUP(A397,VoxelMeshDefinition!S:AE,10,FALSE),"")</f>
      </c>
    </row>
    <row r="398">
      <c r="B398" s="5"/>
      <c r="D398" s="10"/>
      <c r="E398" s="9"/>
      <c r="K398" s="1">
        <f>IF(#REF!="✅", VLOOKUP(A398,VoxelMeshDefinition!S:AE,10,FALSE),"")</f>
      </c>
    </row>
    <row r="399">
      <c r="B399" s="5"/>
      <c r="D399" s="10"/>
      <c r="E399" s="9"/>
      <c r="K399" s="1">
        <f>IF(#REF!="✅", VLOOKUP(A399,VoxelMeshDefinition!S:AE,10,FALSE),"")</f>
      </c>
    </row>
    <row r="400">
      <c r="B400" s="5"/>
      <c r="D400" s="10"/>
      <c r="E400" s="9"/>
      <c r="K400" s="1">
        <f>IF(#REF!="✅", VLOOKUP(A400,VoxelMeshDefinition!S:AE,10,FALSE),"")</f>
      </c>
    </row>
    <row r="401">
      <c r="B401" s="5"/>
      <c r="D401" s="10"/>
      <c r="E401" s="9"/>
      <c r="K401" s="1">
        <f>IF(#REF!="✅", VLOOKUP(A401,VoxelMeshDefinition!S:AE,10,FALSE),"")</f>
      </c>
    </row>
    <row r="402">
      <c r="B402" s="5"/>
      <c r="D402" s="10"/>
      <c r="E402" s="9"/>
      <c r="K402" s="1">
        <f>IF(#REF!="✅", VLOOKUP(A402,VoxelMeshDefinition!S:AE,10,FALSE),"")</f>
      </c>
    </row>
    <row r="403">
      <c r="B403" s="5"/>
      <c r="D403" s="10"/>
      <c r="E403" s="9"/>
      <c r="K403" s="1">
        <f>IF(#REF!="✅", VLOOKUP(A403,VoxelMeshDefinition!S:AE,10,FALSE),"")</f>
      </c>
    </row>
    <row r="404">
      <c r="B404" s="5"/>
      <c r="D404" s="10"/>
      <c r="E404" s="9"/>
      <c r="K404" s="1">
        <f>IF(#REF!="✅", VLOOKUP(A404,VoxelMeshDefinition!S:AE,10,FALSE),"")</f>
      </c>
    </row>
    <row r="405">
      <c r="B405" s="5"/>
      <c r="D405" s="10"/>
      <c r="E405" s="9"/>
      <c r="K405" s="1">
        <f>IF(#REF!="✅", VLOOKUP(A405,VoxelMeshDefinition!S:AE,10,FALSE),"")</f>
      </c>
    </row>
    <row r="406">
      <c r="B406" s="5"/>
      <c r="D406" s="10"/>
      <c r="E406" s="9"/>
      <c r="K406" s="1">
        <f>IF(#REF!="✅", VLOOKUP(A406,VoxelMeshDefinition!S:AE,10,FALSE),"")</f>
      </c>
    </row>
    <row r="407">
      <c r="B407" s="5"/>
      <c r="D407" s="10"/>
      <c r="E407" s="9"/>
      <c r="K407" s="1">
        <f>IF(#REF!="✅", VLOOKUP(A407,VoxelMeshDefinition!S:AE,10,FALSE),"")</f>
      </c>
    </row>
    <row r="408">
      <c r="B408" s="5"/>
      <c r="D408" s="10"/>
      <c r="E408" s="9"/>
      <c r="K408" s="1">
        <f>IF(#REF!="✅", VLOOKUP(A408,VoxelMeshDefinition!S:AE,10,FALSE),"")</f>
      </c>
    </row>
    <row r="409">
      <c r="B409" s="5"/>
      <c r="D409" s="10"/>
      <c r="E409" s="9"/>
      <c r="K409" s="1">
        <f>IF(#REF!="✅", VLOOKUP(A409,VoxelMeshDefinition!S:AE,10,FALSE),"")</f>
      </c>
    </row>
    <row r="410">
      <c r="B410" s="5"/>
      <c r="D410" s="10"/>
      <c r="E410" s="9"/>
      <c r="K410" s="1">
        <f>IF(#REF!="✅", VLOOKUP(A410,VoxelMeshDefinition!S:AE,10,FALSE),"")</f>
      </c>
    </row>
    <row r="411">
      <c r="B411" s="5"/>
      <c r="D411" s="10"/>
      <c r="E411" s="9"/>
      <c r="K411" s="1">
        <f>IF(#REF!="✅", VLOOKUP(A411,VoxelMeshDefinition!S:AE,10,FALSE),"")</f>
      </c>
    </row>
    <row r="412">
      <c r="B412" s="5"/>
      <c r="D412" s="10"/>
      <c r="E412" s="9"/>
      <c r="K412" s="1">
        <f>IF(#REF!="✅", VLOOKUP(A412,VoxelMeshDefinition!S:AE,10,FALSE),"")</f>
      </c>
    </row>
    <row r="413">
      <c r="B413" s="5"/>
      <c r="D413" s="10"/>
      <c r="E413" s="9"/>
      <c r="K413" s="1">
        <f>IF(#REF!="✅", VLOOKUP(A413,VoxelMeshDefinition!S:AE,10,FALSE),"")</f>
      </c>
    </row>
    <row r="414">
      <c r="B414" s="5"/>
      <c r="D414" s="10"/>
      <c r="E414" s="9"/>
      <c r="K414" s="1">
        <f>IF(#REF!="✅", VLOOKUP(A414,VoxelMeshDefinition!S:AE,10,FALSE),"")</f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0"/>
    <col collapsed="false" customWidth="true" hidden="false" max="3" min="3" style="0" width="4"/>
    <col collapsed="false" customWidth="true" hidden="false" max="4" min="4" style="0" width="1"/>
    <col collapsed="false" customWidth="true" hidden="false" max="5" min="5" style="0" width="9"/>
    <col collapsed="false" customWidth="true" hidden="false" max="6" min="6" style="0" width="13"/>
    <col collapsed="false" customWidth="true" hidden="false" max="7" min="7" style="0" width="4"/>
    <col collapsed="false" customWidth="true" hidden="false" max="8" min="8" style="0" width="1"/>
    <col collapsed="false" customWidth="true" hidden="false" max="9" min="9" style="0" width="13"/>
    <col collapsed="false" customWidth="true" hidden="false" max="10" min="10" style="0" width="11"/>
    <col collapsed="false" customWidth="true" hidden="false" max="11" min="11" style="0" width="4"/>
    <col collapsed="false" customWidth="true" hidden="false" max="12" min="12" style="0" width="20"/>
    <col collapsed="false" customWidth="true" hidden="false" max="13" min="13" style="0" width="1"/>
    <col collapsed="false" customWidth="true" hidden="false" max="16" min="16" style="0" width="1"/>
    <col collapsed="false" customWidth="true" hidden="false" max="17" min="17" style="0" width="12"/>
    <col collapsed="false" customWidth="true" hidden="false" max="18" min="18" style="0" width="4"/>
    <col collapsed="false" customWidth="true" hidden="false" max="19" min="19" style="0" width="4"/>
    <col collapsed="false" customWidth="true" hidden="false" max="20" min="20" style="0" width="1"/>
    <col collapsed="false" customWidth="true" hidden="false" max="22" min="22" style="0" width="14"/>
    <col collapsed="false" customWidth="true" hidden="false" max="23" min="23" style="0" width="1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"/>
    <col collapsed="false" customWidth="true" hidden="false" max="32" min="32" style="0" width="1"/>
    <col collapsed="false" customWidth="true" hidden="false" max="34" min="34" style="0" width="14"/>
    <col collapsed="false" customWidth="true" hidden="false" max="35" min="35" style="0" width="1"/>
    <col collapsed="false" customWidth="true" hidden="false" max="36" min="36" style="0" width="4"/>
    <col collapsed="false" customWidth="true" hidden="false" max="37" min="37" style="0" width="10"/>
  </cols>
  <sheetData>
    <row r="1">
      <c r="A1" s="11" t="str">
        <v>Type</v>
      </c>
      <c r="B1" s="11" t="str">
        <v>特征</v>
      </c>
      <c r="C1" s="11" t="str">
        <v>难度</v>
      </c>
      <c r="D1" s="11" t="str" xml:space="preserve">
        <v> </v>
      </c>
      <c r="E1" s="11" t="str">
        <v>Direction</v>
      </c>
      <c r="F1" s="11" t="str">
        <v>方向</v>
      </c>
      <c r="G1" s="11" t="str">
        <v>难度</v>
      </c>
      <c r="H1" s="11" t="str" xml:space="preserve">
        <v> </v>
      </c>
      <c r="I1" s="11" t="str">
        <v>Config</v>
      </c>
      <c r="J1" s="11" t="str">
        <v>配置</v>
      </c>
      <c r="K1" s="11" t="str">
        <v>难度</v>
      </c>
      <c r="L1" s="11" t="str">
        <v>ConfigCombinition</v>
      </c>
      <c r="M1" s="11" t="str" xml:space="preserve">
        <v> </v>
      </c>
      <c r="N1" s="11" t="str">
        <v>Position</v>
      </c>
      <c r="O1" s="11" t="str">
        <v>Proxy位置</v>
      </c>
      <c r="P1" s="11" t="str" xml:space="preserve">
        <v> </v>
      </c>
      <c r="Q1" s="11" t="str">
        <v>World</v>
      </c>
      <c r="R1" s="11" t="str">
        <v>No.</v>
      </c>
      <c r="S1" s="11" t="str">
        <v>世界</v>
      </c>
      <c r="T1" s="11" t="str" xml:space="preserve">
        <v> </v>
      </c>
      <c r="U1" s="11" t="str">
        <v>Position</v>
      </c>
      <c r="V1" s="11" t="str">
        <v>位置</v>
      </c>
      <c r="W1" s="11" t="str" xml:space="preserve">
        <v> </v>
      </c>
      <c r="X1" s="11" t="str">
        <v>Style Desc</v>
      </c>
      <c r="Y1" s="11" t="str">
        <v>风格</v>
      </c>
      <c r="Z1" s="11" t="str" xml:space="preserve">
        <v> </v>
      </c>
      <c r="AA1" s="11" t="str">
        <v>Edge Style</v>
      </c>
      <c r="AB1" s="11" t="str">
        <v>Style No.</v>
      </c>
      <c r="AC1" s="11" t="str" xml:space="preserve">
        <v> </v>
      </c>
      <c r="AD1" s="14" t="str">
        <v>Angle</v>
      </c>
      <c r="AE1" s="11" t="str">
        <v>角度</v>
      </c>
      <c r="AF1" s="11" t="str" xml:space="preserve">
        <v> </v>
      </c>
      <c r="AG1" s="11" t="str">
        <v>Face</v>
      </c>
      <c r="AH1" s="11" t="str">
        <v>面情况</v>
      </c>
      <c r="AI1" s="11" t="str" xml:space="preserve">
        <v> </v>
      </c>
      <c r="AJ1" s="11" t="str">
        <v>进度</v>
      </c>
      <c r="AK1" s="11" t="str">
        <v>描述</v>
      </c>
    </row>
    <row r="2">
      <c r="A2" s="5" t="str">
        <v>Start</v>
      </c>
      <c r="B2" s="5" t="str">
        <v>起点</v>
      </c>
      <c r="C2" s="5">
        <v>0</v>
      </c>
      <c r="E2" s="5" t="str">
        <v>F</v>
      </c>
      <c r="F2" s="5" t="str">
        <v>向前</v>
      </c>
      <c r="G2" s="5">
        <v>0</v>
      </c>
      <c r="I2" s="5" t="str">
        <v>Borderless</v>
      </c>
      <c r="J2" s="5" t="str">
        <v>所有边缺失</v>
      </c>
      <c r="K2" s="5">
        <v>2</v>
      </c>
      <c r="L2" s="5" t="str">
        <v>Normal</v>
      </c>
      <c r="N2" s="5" t="str">
        <v>B</v>
      </c>
      <c r="O2" s="5" t="str">
        <v>底部代理</v>
      </c>
      <c r="Q2" s="5" t="str">
        <v>Test</v>
      </c>
      <c r="R2" s="13" t="str">
        <v>00</v>
      </c>
      <c r="S2" s="5" t="str">
        <v>测试</v>
      </c>
      <c r="U2" s="5" t="str">
        <v>Blank</v>
      </c>
      <c r="V2" s="5" t="str">
        <v>空置占位</v>
      </c>
      <c r="X2" s="5" t="str">
        <v>Sidewalk</v>
      </c>
      <c r="Y2" s="5" t="str">
        <v>人行道</v>
      </c>
      <c r="Z2" s="5"/>
      <c r="AA2" s="5" t="str">
        <v>Blank</v>
      </c>
      <c r="AB2" s="5">
        <v>0</v>
      </c>
      <c r="AD2" s="5" t="str">
        <v>B</v>
      </c>
      <c r="AE2" s="5" t="str">
        <v>后</v>
      </c>
      <c r="AG2" s="5" t="str">
        <v>Hollow</v>
      </c>
      <c r="AH2" s="5" t="str">
        <v>镂空</v>
      </c>
      <c r="AI2" s="5"/>
      <c r="AJ2" s="5" t="str">
        <v>⭕</v>
      </c>
      <c r="AK2" s="5" t="str">
        <v>待办</v>
      </c>
    </row>
    <row r="3">
      <c r="A3" s="5" t="str">
        <v>End</v>
      </c>
      <c r="B3" s="5" t="str">
        <v>终点</v>
      </c>
      <c r="C3" s="5">
        <v>0</v>
      </c>
      <c r="E3" s="5" t="str">
        <v>L90</v>
      </c>
      <c r="F3" s="5" t="str">
        <v>90度向左</v>
      </c>
      <c r="G3" s="5">
        <v>0</v>
      </c>
      <c r="I3" s="5" t="str">
        <v>Borderless_L</v>
      </c>
      <c r="J3" s="5" t="str">
        <v>左侧边缺失</v>
      </c>
      <c r="K3" s="5">
        <v>1</v>
      </c>
      <c r="L3" s="5">
        <f t="array" ref="L3:L18">UNIQUE(FILTER(RailDefinition!J3:J5202&amp;IF((RailDefinition!J3:J5202&lt;&gt;"")*(RailDefinition!K3:K5202&lt;&gt;""),"_","")&amp;RailDefinition!K3:K5202,RailDefinition!J3:J5202&amp;RailDefinition!K3:K5202&lt;&gt;""))</f>
      </c>
      <c r="N3" s="5" t="str">
        <v>L</v>
      </c>
      <c r="O3" s="5" t="str">
        <v>左侧代理</v>
      </c>
      <c r="Q3" s="5" t="str">
        <v>TheCity</v>
      </c>
      <c r="R3" s="13" t="str">
        <v>01</v>
      </c>
      <c r="S3" s="5" t="str">
        <v>都市</v>
      </c>
      <c r="U3" s="5" t="str">
        <v>Ground</v>
      </c>
      <c r="V3" s="5" t="str">
        <v>地面</v>
      </c>
      <c r="X3" s="5" t="str">
        <v>Grass</v>
      </c>
      <c r="Y3" s="5" t="str">
        <v>草地</v>
      </c>
      <c r="Z3" s="5"/>
      <c r="AA3" s="5" t="str">
        <v>Sidewalk</v>
      </c>
      <c r="AB3" s="5">
        <v>1</v>
      </c>
      <c r="AD3" s="5" t="str">
        <v>C</v>
      </c>
      <c r="AE3" s="5" t="str">
        <v>中</v>
      </c>
      <c r="AG3" s="5" t="str">
        <v>Single</v>
      </c>
      <c r="AH3" s="5" t="str">
        <v>单面实心</v>
      </c>
      <c r="AI3" s="5"/>
      <c r="AJ3" s="5" t="str">
        <v>✅</v>
      </c>
      <c r="AK3" s="5" t="str">
        <v>完成</v>
      </c>
    </row>
    <row r="4">
      <c r="A4" s="5" t="str">
        <v>CheckPoint</v>
      </c>
      <c r="B4" s="5" t="str">
        <v>检查点</v>
      </c>
      <c r="C4" s="5">
        <v>0</v>
      </c>
      <c r="E4" s="5" t="str">
        <v>R90</v>
      </c>
      <c r="F4" s="5" t="str">
        <v>90度向右</v>
      </c>
      <c r="G4" s="5">
        <v>0</v>
      </c>
      <c r="I4" s="5" t="str">
        <v>Borderless_R</v>
      </c>
      <c r="J4" s="5" t="str">
        <v>右侧边缺失</v>
      </c>
      <c r="K4" s="5">
        <v>1</v>
      </c>
      <c r="N4" s="5" t="str">
        <v>R</v>
      </c>
      <c r="O4" s="5" t="str">
        <v>右侧代理</v>
      </c>
      <c r="Q4" s="5" t="str">
        <v>TheMine</v>
      </c>
      <c r="R4" s="13" t="str">
        <v>02</v>
      </c>
      <c r="S4" s="5" t="str">
        <v>矿洞</v>
      </c>
      <c r="U4" s="5" t="str">
        <v>GroundLine</v>
      </c>
      <c r="V4" s="5" t="str">
        <v>地面整条</v>
      </c>
      <c r="X4" s="5" t="str">
        <v>Road</v>
      </c>
      <c r="Y4" s="5" t="str">
        <v>马路</v>
      </c>
      <c r="Z4" s="5"/>
      <c r="AA4" s="5" t="str">
        <v>Grass</v>
      </c>
      <c r="AB4" s="5">
        <v>2</v>
      </c>
      <c r="AD4" s="5" t="str">
        <v>T</v>
      </c>
      <c r="AE4" s="5" t="str">
        <v>前</v>
      </c>
      <c r="AG4" s="5" t="str">
        <v>Corner</v>
      </c>
      <c r="AH4" s="5" t="str">
        <v>两面角落</v>
      </c>
      <c r="AI4" s="5"/>
      <c r="AJ4" s="5" t="str">
        <v>❌</v>
      </c>
      <c r="AK4" s="5" t="str">
        <v>废弃</v>
      </c>
    </row>
    <row r="5">
      <c r="A5" s="5" t="str">
        <v>Gap</v>
      </c>
      <c r="B5" s="5" t="str">
        <v>空隙</v>
      </c>
      <c r="C5" s="5">
        <v>2</v>
      </c>
      <c r="E5" s="5" t="str">
        <v>T</v>
      </c>
      <c r="F5" s="5" t="str">
        <v>T字路口</v>
      </c>
      <c r="G5" s="5">
        <v>0</v>
      </c>
      <c r="I5" s="5" t="str">
        <v>Borderless_I</v>
      </c>
      <c r="J5" s="5" t="str">
        <v>内侧边缺失</v>
      </c>
      <c r="K5" s="5">
        <v>0</v>
      </c>
      <c r="N5" s="5" t="str">
        <v>BL</v>
      </c>
      <c r="O5" s="5" t="str">
        <v>左侧底部代理</v>
      </c>
      <c r="Q5" s="5" t="str">
        <v>TheIsland</v>
      </c>
      <c r="R5" s="13" t="str">
        <v>03</v>
      </c>
      <c r="S5" s="5" t="str">
        <v>海岛</v>
      </c>
      <c r="U5" s="5" t="str">
        <v>Side</v>
      </c>
      <c r="V5" s="5" t="str">
        <v>两边</v>
      </c>
      <c r="X5" s="5" t="str">
        <v>SidewalkToRoad</v>
      </c>
      <c r="Y5" s="5" t="str">
        <v>人行道到马路</v>
      </c>
      <c r="Z5" s="5"/>
      <c r="AA5" s="5" t="str">
        <v>Road</v>
      </c>
      <c r="AB5" s="5">
        <v>3</v>
      </c>
      <c r="AD5" s="5" t="str">
        <v>L</v>
      </c>
      <c r="AE5" s="5" t="str">
        <v>左</v>
      </c>
      <c r="AG5" s="5" t="str">
        <v>Double</v>
      </c>
      <c r="AH5" s="5" t="str">
        <v>两面实心</v>
      </c>
      <c r="AI5" s="5"/>
      <c r="AJ5" s="5" t="str">
        <v>➖</v>
      </c>
      <c r="AK5" s="5" t="str">
        <v>搁置</v>
      </c>
    </row>
    <row r="6">
      <c r="A6" s="5" t="str">
        <v>Straight</v>
      </c>
      <c r="B6" s="5" t="str">
        <v>直轨</v>
      </c>
      <c r="C6" s="5">
        <v>0</v>
      </c>
      <c r="E6" s="5" t="str">
        <v>CR</v>
      </c>
      <c r="F6" s="5" t="str">
        <v>十字路口</v>
      </c>
      <c r="G6" s="5">
        <v>0</v>
      </c>
      <c r="I6" s="5" t="str">
        <v>Borderless_O</v>
      </c>
      <c r="J6" s="5" t="str">
        <v>外侧边缺失</v>
      </c>
      <c r="K6" s="5">
        <v>1.5</v>
      </c>
      <c r="N6" s="5" t="str">
        <v>BR</v>
      </c>
      <c r="O6" s="5" t="str">
        <v>右侧底部代理</v>
      </c>
      <c r="Q6" s="5" t="str">
        <v>TheValley</v>
      </c>
      <c r="R6" s="13" t="str">
        <v>04</v>
      </c>
      <c r="S6" s="5" t="str">
        <v>峡谷</v>
      </c>
      <c r="U6" s="5" t="str">
        <v>SideL</v>
      </c>
      <c r="V6" s="5" t="str">
        <v>左边</v>
      </c>
      <c r="X6" s="5" t="str">
        <v>SidewalkToGrass</v>
      </c>
      <c r="Y6" s="5" t="str">
        <v>人行道到草地</v>
      </c>
      <c r="Z6" s="5"/>
      <c r="AA6" s="5" t="str">
        <v>Sidework-Grass</v>
      </c>
      <c r="AB6" s="5">
        <v>4</v>
      </c>
      <c r="AD6" s="5" t="str">
        <v>R</v>
      </c>
      <c r="AE6" s="5" t="str">
        <v>右</v>
      </c>
      <c r="AG6" s="5" t="str">
        <v>Tri</v>
      </c>
      <c r="AH6" s="5" t="str">
        <v>三面实心</v>
      </c>
      <c r="AI6" s="5"/>
      <c r="AJ6" s="5" t="str">
        <v>❓</v>
      </c>
      <c r="AK6" s="5" t="str">
        <v>待定</v>
      </c>
    </row>
    <row r="7">
      <c r="A7" s="5" t="str">
        <v>Curve</v>
      </c>
      <c r="B7" s="5" t="str">
        <v>弯轨</v>
      </c>
      <c r="C7" s="5">
        <v>1</v>
      </c>
      <c r="E7" s="5" t="str">
        <v>FL90</v>
      </c>
      <c r="F7" s="5" t="str">
        <v>向前或90度向左</v>
      </c>
      <c r="G7" s="5">
        <v>0</v>
      </c>
      <c r="I7" s="5" t="str">
        <v>Borderless_T</v>
      </c>
      <c r="J7" s="5" t="str">
        <v>前侧边缺失</v>
      </c>
      <c r="K7" s="5">
        <v>2</v>
      </c>
      <c r="N7" s="5" t="str">
        <v>Side</v>
      </c>
      <c r="O7" s="5" t="str">
        <v>周围代理</v>
      </c>
      <c r="Q7" s="5" t="str">
        <v>TheBlackHole</v>
      </c>
      <c r="R7" s="13" t="str">
        <v>05</v>
      </c>
      <c r="S7" s="5" t="str">
        <v>黑洞</v>
      </c>
      <c r="U7" s="5" t="str">
        <v>SideR</v>
      </c>
      <c r="V7" s="5" t="str">
        <v>右边</v>
      </c>
      <c r="X7" s="5" t="str">
        <v>GrassToSidewalk</v>
      </c>
      <c r="Y7" s="5" t="str">
        <v>草地到人行道</v>
      </c>
      <c r="Z7" s="5"/>
      <c r="AA7" s="5" t="str">
        <v>Grass-Sidework</v>
      </c>
      <c r="AB7" s="5">
        <v>5</v>
      </c>
      <c r="AD7" s="5" t="str">
        <v>S</v>
      </c>
      <c r="AE7" s="5" t="str">
        <v>单独</v>
      </c>
      <c r="AG7" s="5" t="str">
        <v>Full</v>
      </c>
      <c r="AH7" s="5" t="str">
        <v>四面实心</v>
      </c>
      <c r="AI7" s="5"/>
      <c r="AJ7" s="5" t="str">
        <v>❗</v>
      </c>
      <c r="AK7" s="5" t="str">
        <v>特殊/有问题</v>
      </c>
    </row>
    <row r="8">
      <c r="A8" s="5" t="str">
        <v>Bump</v>
      </c>
      <c r="B8" s="5" t="str">
        <v>颠簸</v>
      </c>
      <c r="C8" s="5">
        <v>2</v>
      </c>
      <c r="E8" s="5" t="str">
        <v>FR90</v>
      </c>
      <c r="F8" s="5" t="str">
        <v>向前或90度向右</v>
      </c>
      <c r="G8" s="5">
        <v>0</v>
      </c>
      <c r="I8" s="5" t="str">
        <v>Borderless_Side</v>
      </c>
      <c r="J8" s="5" t="str">
        <v>两侧边缺失</v>
      </c>
      <c r="K8" s="5">
        <v>3</v>
      </c>
      <c r="N8" s="5" t="str">
        <v>F</v>
      </c>
      <c r="O8" s="5" t="str">
        <v>前侧代理</v>
      </c>
      <c r="Q8" s="5" t="str">
        <v>TheDarkRoom</v>
      </c>
      <c r="R8" s="13" t="str">
        <v>06</v>
      </c>
      <c r="S8" s="5" t="str">
        <v>暗室</v>
      </c>
      <c r="U8" s="5" t="str">
        <v>StartHole</v>
      </c>
      <c r="V8" s="5" t="str">
        <v>起点洞</v>
      </c>
      <c r="X8" s="5" t="str">
        <v>House</v>
      </c>
      <c r="Y8" s="5" t="str">
        <v>房子</v>
      </c>
      <c r="Z8" s="5"/>
      <c r="AA8" s="5" t="str">
        <v>Sidework-Road</v>
      </c>
      <c r="AB8" s="5">
        <v>6</v>
      </c>
      <c r="AD8" s="5" t="str">
        <v>Loop</v>
      </c>
      <c r="AE8" s="5" t="str">
        <v>循环</v>
      </c>
      <c r="AJ8" s="5"/>
      <c r="AK8" s="5"/>
    </row>
    <row r="9">
      <c r="A9" s="5" t="str">
        <v>BoxTube</v>
      </c>
      <c r="B9" s="5" t="str">
        <v>方管道</v>
      </c>
      <c r="C9" s="5">
        <v>0</v>
      </c>
      <c r="E9" s="5" t="str">
        <v>U90</v>
      </c>
      <c r="F9" s="5" t="str">
        <v>90度向上</v>
      </c>
      <c r="G9" s="5">
        <v>1</v>
      </c>
      <c r="I9" s="5" t="str">
        <v>Caved</v>
      </c>
      <c r="J9" s="5" t="str">
        <v>开槽</v>
      </c>
      <c r="K9" s="5">
        <v>-1</v>
      </c>
      <c r="U9" s="5" t="str">
        <v>EndHole</v>
      </c>
      <c r="V9" s="5" t="str">
        <v>终点洞</v>
      </c>
      <c r="X9" s="5" t="str">
        <v>MudBottom</v>
      </c>
      <c r="Y9" s="5" t="str">
        <v>仅泥土地面</v>
      </c>
      <c r="AA9" s="5" t="str">
        <v>Road-Sidework</v>
      </c>
      <c r="AB9" s="5">
        <v>7</v>
      </c>
      <c r="AD9" s="5" t="str">
        <v>BL</v>
      </c>
      <c r="AE9" s="5" t="str">
        <v>左后</v>
      </c>
      <c r="AJ9" s="5"/>
      <c r="AK9" s="5"/>
    </row>
    <row r="10">
      <c r="A10" s="5" t="str">
        <v>RoundTube</v>
      </c>
      <c r="B10" s="5" t="str">
        <v>圆管道</v>
      </c>
      <c r="C10" s="5">
        <v>0</v>
      </c>
      <c r="E10" s="5" t="str">
        <v>D90</v>
      </c>
      <c r="F10" s="5" t="str">
        <v>90度向下</v>
      </c>
      <c r="G10" s="5">
        <v>2</v>
      </c>
      <c r="I10" s="5" t="str">
        <v>Tube</v>
      </c>
      <c r="J10" s="5" t="str">
        <v>管状</v>
      </c>
      <c r="K10" s="5">
        <v>-2</v>
      </c>
      <c r="U10" s="5" t="str">
        <v>CheckHole</v>
      </c>
      <c r="V10" s="5" t="str">
        <v>检查点洞</v>
      </c>
      <c r="X10" s="5" t="str">
        <v>GrassSide</v>
      </c>
      <c r="Y10" s="5" t="str">
        <v>草地侧面</v>
      </c>
      <c r="AA10" s="5" t="str">
        <v>RoadLineA</v>
      </c>
      <c r="AB10" s="5">
        <v>8</v>
      </c>
      <c r="AD10" s="5" t="str">
        <v>BR</v>
      </c>
      <c r="AE10" s="5" t="str">
        <v>右后</v>
      </c>
      <c r="AJ10" s="5"/>
      <c r="AK10" s="5"/>
    </row>
    <row r="11">
      <c r="A11" s="5" t="str">
        <v>TriggerElevator</v>
      </c>
      <c r="B11" s="5" t="str">
        <v>触发电梯</v>
      </c>
      <c r="C11" s="5">
        <v>3</v>
      </c>
      <c r="E11" s="5" t="str">
        <v>FU</v>
      </c>
      <c r="F11" s="5" t="str">
        <v>向前上移</v>
      </c>
      <c r="G11" s="5">
        <v>1</v>
      </c>
      <c r="I11" s="5" t="str">
        <v>HoleInRail</v>
      </c>
      <c r="J11" s="5" t="str">
        <v>开洞</v>
      </c>
      <c r="K11" s="5">
        <v>2</v>
      </c>
      <c r="U11" s="5" t="str">
        <v>RailHole</v>
      </c>
      <c r="V11" s="5" t="str">
        <v>轨道中洞</v>
      </c>
      <c r="X11" s="5" t="str">
        <v>RoadSide</v>
      </c>
      <c r="Y11" s="5" t="str">
        <v>马路侧面</v>
      </c>
      <c r="AA11" s="5" t="str">
        <v>RoadLineB</v>
      </c>
      <c r="AB11" s="5">
        <v>9</v>
      </c>
      <c r="AD11" s="5" t="str">
        <v>TL</v>
      </c>
      <c r="AE11" s="5" t="str">
        <v>左前</v>
      </c>
      <c r="AJ11" s="5"/>
      <c r="AK11" s="5"/>
    </row>
    <row r="12">
      <c r="A12" s="5" t="str">
        <v>OrbitRotationElevator</v>
      </c>
      <c r="B12" s="5" t="str">
        <v>公转电梯</v>
      </c>
      <c r="C12" s="5">
        <v>3</v>
      </c>
      <c r="E12" s="5" t="str">
        <v>FD</v>
      </c>
      <c r="F12" s="5" t="str">
        <v>向前下移</v>
      </c>
      <c r="G12" s="5">
        <v>2</v>
      </c>
      <c r="I12" s="5" t="str">
        <v>CheckHole</v>
      </c>
      <c r="J12" s="5" t="str">
        <v>检查点尺寸洞</v>
      </c>
      <c r="K12" s="5">
        <v>-1</v>
      </c>
      <c r="U12" s="5" t="str">
        <v>HoleLine</v>
      </c>
      <c r="V12" s="5" t="str">
        <v>洞口</v>
      </c>
      <c r="X12" s="5" t="str">
        <v>SidewalkSide</v>
      </c>
      <c r="Y12" s="5" t="str">
        <v>人行道侧面</v>
      </c>
      <c r="AA12" s="5" t="str">
        <v>HousePK</v>
      </c>
      <c r="AB12" s="5">
        <v>10</v>
      </c>
      <c r="AD12" s="5" t="str">
        <v>TR</v>
      </c>
      <c r="AE12" s="5" t="str">
        <v>右前</v>
      </c>
      <c r="AJ12" s="5"/>
      <c r="AK12" s="5"/>
    </row>
    <row r="13">
      <c r="A13" s="5" t="str">
        <v>SpinRotationElevator</v>
      </c>
      <c r="B13" s="5" t="str">
        <v>自转电梯</v>
      </c>
      <c r="C13" s="5">
        <v>4</v>
      </c>
      <c r="I13" s="5" t="str">
        <v>FunnelStarts</v>
      </c>
      <c r="J13" s="5" t="str">
        <v>漏斗展开</v>
      </c>
      <c r="K13" s="5">
        <v>0</v>
      </c>
      <c r="U13" s="5" t="str">
        <v>Special</v>
      </c>
      <c r="V13" s="5" t="str">
        <v>特殊用途</v>
      </c>
      <c r="AJ13" s="5"/>
      <c r="AK13" s="5"/>
    </row>
    <row r="14">
      <c r="A14" s="5" t="str">
        <v>SplineElevator</v>
      </c>
      <c r="B14" s="5" t="str">
        <v>轨道电梯</v>
      </c>
      <c r="C14" s="5">
        <v>4</v>
      </c>
      <c r="I14" s="5" t="str">
        <v>FunnelEnds</v>
      </c>
      <c r="J14" s="5" t="str">
        <v>漏斗结束</v>
      </c>
      <c r="K14" s="5">
        <v>0</v>
      </c>
      <c r="AJ14" s="5"/>
      <c r="AK14" s="5"/>
    </row>
    <row r="15">
      <c r="A15" s="5" t="str">
        <v>SwingBasket</v>
      </c>
      <c r="B15" s="5" t="str">
        <v>吊篮</v>
      </c>
      <c r="C15" s="5">
        <v>3</v>
      </c>
      <c r="I15" s="5" t="str">
        <v>Rotate_Y</v>
      </c>
      <c r="J15" s="5" t="str">
        <v>绕Y轴旋转</v>
      </c>
      <c r="K15" s="5">
        <v>3</v>
      </c>
      <c r="R15" s="13"/>
      <c r="AJ15" s="5"/>
      <c r="AK15" s="5"/>
    </row>
    <row r="16">
      <c r="A16" s="5" t="str">
        <v>RailBasket</v>
      </c>
      <c r="B16" s="5" t="str">
        <v>轨道矿车</v>
      </c>
      <c r="C16" s="5">
        <v>2</v>
      </c>
      <c r="I16" s="5" t="str">
        <v>Rotate_X</v>
      </c>
      <c r="J16" s="5" t="str">
        <v>绕Z轴旋转</v>
      </c>
      <c r="K16" s="5">
        <v>3</v>
      </c>
      <c r="R16" s="13"/>
      <c r="AJ16" s="5"/>
      <c r="AK16" s="5"/>
    </row>
    <row r="17">
      <c r="A17" s="5" t="str">
        <v>FlipDoor</v>
      </c>
      <c r="B17" s="5" t="str">
        <v>翻板门</v>
      </c>
      <c r="C17" s="5">
        <v>1</v>
      </c>
      <c r="R17" s="13"/>
      <c r="AD17" s="5" t="str">
        <v>DiagBLTR</v>
      </c>
      <c r="AE17" s="5" t="str">
        <v>对角线左下右上</v>
      </c>
      <c r="AJ17" s="5"/>
      <c r="AK17" s="5"/>
    </row>
    <row r="18">
      <c r="A18" s="5" t="str">
        <v>SlideDoor</v>
      </c>
      <c r="B18" s="5" t="str">
        <v>闸门</v>
      </c>
      <c r="C18" s="5">
        <v>1</v>
      </c>
      <c r="R18" s="13"/>
      <c r="AD18" s="5" t="str">
        <v>DiagTLBR</v>
      </c>
      <c r="AE18" s="5" t="str">
        <v>对角线左上右下</v>
      </c>
      <c r="AJ18" s="5"/>
      <c r="AK18" s="5"/>
    </row>
    <row r="19">
      <c r="B19" s="5" t="str">
        <v>开槽</v>
      </c>
      <c r="R19" s="13"/>
      <c r="AD19" s="5" t="str">
        <v>TLCenter</v>
      </c>
      <c r="AE19" s="5" t="str">
        <v>顶部左侧中央</v>
      </c>
      <c r="AJ19" s="5"/>
      <c r="AK19" s="5"/>
    </row>
    <row r="20">
      <c r="B20" s="5" t="str">
        <v>轨道带洞</v>
      </c>
      <c r="R20" s="13"/>
      <c r="AD20" s="5" t="str">
        <v>TLMid</v>
      </c>
      <c r="AE20" s="5" t="str">
        <v>顶部左侧腰部</v>
      </c>
      <c r="AJ20" s="5"/>
      <c r="AK20" s="5"/>
    </row>
    <row r="21">
      <c r="B21" s="5" t="str">
        <v>一侧边缺失</v>
      </c>
      <c r="R21" s="13"/>
      <c r="AJ21" s="5"/>
      <c r="AK21" s="5"/>
    </row>
    <row r="22">
      <c r="B22" s="5" t="str">
        <v>两侧边缺失</v>
      </c>
      <c r="R22" s="13"/>
      <c r="AD22" s="5" t="str">
        <v>TRCenter</v>
      </c>
      <c r="AE22" s="5" t="str">
        <v>顶部右侧中央</v>
      </c>
      <c r="AJ22" s="5"/>
      <c r="AK22" s="5"/>
    </row>
    <row r="23">
      <c r="R23" s="13"/>
      <c r="AD23" s="5" t="str">
        <v>TRMid</v>
      </c>
      <c r="AE23" s="5" t="str">
        <v>顶部右侧腰部</v>
      </c>
      <c r="AJ23" s="5"/>
      <c r="AK23" s="5"/>
    </row>
    <row r="24">
      <c r="R24" s="13"/>
      <c r="AJ24" s="5"/>
      <c r="AK24" s="5"/>
    </row>
    <row r="25">
      <c r="R25" s="13"/>
      <c r="AD25" s="5" t="str">
        <v>BLCenter</v>
      </c>
      <c r="AE25" s="5" t="str">
        <v>底部左侧中央</v>
      </c>
      <c r="AJ25" s="5"/>
      <c r="AK25" s="5"/>
    </row>
    <row r="26">
      <c r="R26" s="13"/>
      <c r="AD26" s="5" t="str">
        <v>BLMid</v>
      </c>
      <c r="AE26" s="5" t="str">
        <v>底部左侧腰部</v>
      </c>
      <c r="AJ26" s="5"/>
      <c r="AK26" s="5"/>
    </row>
    <row r="27">
      <c r="R27" s="13"/>
      <c r="AJ27" s="5"/>
      <c r="AK27" s="5"/>
    </row>
    <row r="28">
      <c r="R28" s="13"/>
      <c r="AD28" s="5" t="str">
        <v>BRCenter</v>
      </c>
      <c r="AE28" s="5" t="str">
        <v>底部右侧中央</v>
      </c>
      <c r="AJ28" s="5"/>
      <c r="AK28" s="5"/>
    </row>
    <row r="29">
      <c r="R29" s="13"/>
      <c r="AD29" s="5" t="str">
        <v>BRMid</v>
      </c>
      <c r="AE29" s="5" t="str">
        <v>底部右侧腰部</v>
      </c>
      <c r="AJ29" s="5"/>
      <c r="AK29" s="5"/>
    </row>
    <row r="30">
      <c r="R30" s="13"/>
      <c r="AJ30" s="5"/>
      <c r="AK30" s="5"/>
    </row>
    <row r="31">
      <c r="R31" s="13"/>
      <c r="AJ31" s="5"/>
      <c r="AK31" s="5"/>
    </row>
    <row r="32">
      <c r="R32" s="13"/>
      <c r="AJ32" s="5"/>
      <c r="AK32" s="5"/>
    </row>
    <row r="33">
      <c r="R33" s="13"/>
      <c r="AJ33" s="5"/>
      <c r="AK33" s="5"/>
    </row>
    <row r="34">
      <c r="R34" s="13"/>
      <c r="AJ34" s="5"/>
      <c r="AK34" s="5"/>
    </row>
    <row r="35">
      <c r="R35" s="13"/>
      <c r="AJ35" s="5"/>
      <c r="AK35" s="5"/>
    </row>
    <row r="36">
      <c r="R36" s="13"/>
      <c r="AJ36" s="5"/>
      <c r="AK36" s="5"/>
    </row>
    <row r="37">
      <c r="R37" s="13"/>
      <c r="AJ37" s="5"/>
      <c r="AK37" s="5"/>
    </row>
    <row r="38">
      <c r="R38" s="13"/>
      <c r="AJ38" s="5"/>
      <c r="AK38" s="5"/>
    </row>
    <row r="39">
      <c r="R39" s="13"/>
      <c r="AJ39" s="5"/>
      <c r="AK39" s="5"/>
    </row>
    <row r="40">
      <c r="R40" s="13"/>
      <c r="AJ40" s="5"/>
      <c r="AK40" s="5"/>
    </row>
    <row r="41">
      <c r="R41" s="13"/>
      <c r="AJ41" s="5"/>
      <c r="AK41" s="5"/>
    </row>
    <row r="42">
      <c r="R42" s="13"/>
      <c r="AJ42" s="5"/>
      <c r="AK42" s="5"/>
    </row>
    <row r="43">
      <c r="R43" s="13"/>
      <c r="AJ43" s="5"/>
      <c r="AK43" s="5"/>
    </row>
    <row r="44">
      <c r="R44" s="13"/>
      <c r="AJ44" s="5"/>
      <c r="AK44" s="5"/>
    </row>
    <row r="45">
      <c r="R45" s="13"/>
      <c r="AJ45" s="5"/>
      <c r="AK45" s="5"/>
    </row>
    <row r="46">
      <c r="R46" s="13"/>
      <c r="AJ46" s="5"/>
      <c r="AK46" s="5"/>
    </row>
    <row r="47">
      <c r="R47" s="13"/>
      <c r="AJ47" s="5"/>
      <c r="AK47" s="5"/>
    </row>
    <row r="48">
      <c r="R48" s="13"/>
      <c r="AJ48" s="5"/>
      <c r="AK48" s="5"/>
    </row>
    <row r="49">
      <c r="R49" s="13"/>
      <c r="AJ49" s="5"/>
      <c r="AK49" s="5"/>
    </row>
    <row r="50">
      <c r="R50" s="13"/>
      <c r="AJ50" s="5"/>
      <c r="AK50" s="5"/>
    </row>
    <row r="51">
      <c r="R51" s="13"/>
      <c r="AJ51" s="5"/>
      <c r="AK51" s="5"/>
    </row>
    <row r="52">
      <c r="R52" s="13"/>
      <c r="AJ52" s="5"/>
      <c r="AK52" s="5"/>
    </row>
    <row r="53">
      <c r="R53" s="13"/>
      <c r="AJ53" s="5"/>
      <c r="AK53" s="5"/>
    </row>
    <row r="54">
      <c r="R54" s="13"/>
      <c r="AJ54" s="5"/>
      <c r="AK54" s="5"/>
    </row>
    <row r="55">
      <c r="R55" s="13"/>
      <c r="AJ55" s="5"/>
      <c r="AK55" s="5"/>
    </row>
    <row r="56">
      <c r="R56" s="13"/>
      <c r="AJ56" s="5"/>
      <c r="AK56" s="5"/>
    </row>
    <row r="57">
      <c r="R57" s="13"/>
      <c r="AJ57" s="5"/>
      <c r="AK57" s="5"/>
    </row>
    <row r="58">
      <c r="R58" s="13"/>
      <c r="AJ58" s="5"/>
      <c r="AK58" s="5"/>
    </row>
    <row r="59">
      <c r="R59" s="13"/>
      <c r="AJ59" s="5"/>
      <c r="AK59" s="5"/>
    </row>
    <row r="60">
      <c r="R60" s="13"/>
      <c r="AJ60" s="5"/>
      <c r="AK60" s="5"/>
    </row>
    <row r="61">
      <c r="R61" s="13"/>
      <c r="AJ61" s="5"/>
      <c r="AK61" s="5"/>
    </row>
    <row r="62">
      <c r="R62" s="13"/>
      <c r="AJ62" s="5"/>
      <c r="AK62" s="5"/>
    </row>
    <row r="63">
      <c r="R63" s="13"/>
      <c r="AJ63" s="5"/>
      <c r="AK63" s="5"/>
    </row>
    <row r="64">
      <c r="R64" s="13"/>
      <c r="AJ64" s="5"/>
      <c r="AK64" s="5"/>
    </row>
    <row r="65">
      <c r="R65" s="13"/>
      <c r="AJ65" s="5"/>
      <c r="AK65" s="5"/>
    </row>
    <row r="66">
      <c r="R66" s="13"/>
      <c r="AJ66" s="5"/>
      <c r="AK66" s="5"/>
    </row>
    <row r="67">
      <c r="R67" s="13"/>
      <c r="AJ67" s="5"/>
      <c r="AK67" s="5"/>
    </row>
    <row r="68">
      <c r="R68" s="13"/>
      <c r="AJ68" s="5"/>
      <c r="AK68" s="5"/>
    </row>
    <row r="69">
      <c r="R69" s="13"/>
      <c r="AJ69" s="5"/>
      <c r="AK69" s="5"/>
    </row>
    <row r="70">
      <c r="R70" s="13"/>
      <c r="AJ70" s="5"/>
      <c r="AK70" s="5"/>
    </row>
    <row r="71">
      <c r="R71" s="13"/>
      <c r="AJ71" s="5"/>
      <c r="AK71" s="5"/>
    </row>
    <row r="72">
      <c r="R72" s="13"/>
      <c r="AJ72" s="5"/>
      <c r="AK72" s="5"/>
    </row>
    <row r="73">
      <c r="R73" s="13"/>
      <c r="AJ73" s="5"/>
      <c r="AK73" s="5"/>
    </row>
    <row r="74">
      <c r="R74" s="13"/>
      <c r="AJ74" s="5"/>
      <c r="AK74" s="5"/>
    </row>
    <row r="75">
      <c r="R75" s="13"/>
      <c r="AJ75" s="5"/>
      <c r="AK75" s="5"/>
    </row>
    <row r="76">
      <c r="R76" s="13"/>
      <c r="AJ76" s="5"/>
      <c r="AK76" s="5"/>
    </row>
    <row r="77">
      <c r="R77" s="13"/>
      <c r="AJ77" s="5"/>
      <c r="AK77" s="5"/>
    </row>
    <row r="78">
      <c r="R78" s="13"/>
      <c r="AJ78" s="5"/>
      <c r="AK78" s="5"/>
    </row>
    <row r="79">
      <c r="R79" s="13"/>
      <c r="AJ79" s="5"/>
      <c r="AK79" s="5"/>
    </row>
    <row r="80">
      <c r="R80" s="13"/>
      <c r="AJ80" s="5"/>
      <c r="AK80" s="5"/>
    </row>
    <row r="81">
      <c r="R81" s="13"/>
      <c r="AJ81" s="5"/>
      <c r="AK81" s="5"/>
    </row>
    <row r="82">
      <c r="R82" s="13"/>
      <c r="AJ82" s="5"/>
      <c r="AK82" s="5"/>
    </row>
    <row r="83">
      <c r="R83" s="13"/>
      <c r="AJ83" s="5"/>
      <c r="AK83" s="5"/>
    </row>
    <row r="84">
      <c r="R84" s="13"/>
      <c r="AJ84" s="5"/>
      <c r="AK84" s="5"/>
    </row>
    <row r="85">
      <c r="R85" s="13"/>
      <c r="AJ85" s="5"/>
      <c r="AK85" s="5"/>
    </row>
    <row r="86">
      <c r="R86" s="13"/>
      <c r="AJ86" s="5"/>
      <c r="AK86" s="5"/>
    </row>
    <row r="87">
      <c r="R87" s="13"/>
      <c r="AJ87" s="5"/>
      <c r="AK87" s="5"/>
    </row>
    <row r="88">
      <c r="R88" s="13"/>
      <c r="AJ88" s="5"/>
      <c r="AK88" s="5"/>
    </row>
    <row r="89">
      <c r="R89" s="13"/>
      <c r="AJ89" s="5"/>
      <c r="AK89" s="5"/>
    </row>
    <row r="90">
      <c r="R90" s="13"/>
      <c r="AJ90" s="5"/>
      <c r="AK90" s="5"/>
    </row>
    <row r="91">
      <c r="R91" s="13"/>
      <c r="AJ91" s="5"/>
      <c r="AK91" s="5"/>
    </row>
    <row r="92">
      <c r="R92" s="13"/>
      <c r="AJ92" s="5"/>
      <c r="AK92" s="5"/>
    </row>
    <row r="93">
      <c r="R93" s="13"/>
      <c r="AJ93" s="5"/>
      <c r="AK93" s="5"/>
    </row>
    <row r="94">
      <c r="R94" s="13"/>
      <c r="AJ94" s="5"/>
      <c r="AK94" s="5"/>
    </row>
    <row r="95">
      <c r="R95" s="13"/>
      <c r="AJ95" s="5"/>
      <c r="AK95" s="5"/>
    </row>
    <row r="96">
      <c r="R96" s="13"/>
      <c r="AJ96" s="5"/>
      <c r="AK96" s="5"/>
    </row>
    <row r="97">
      <c r="R97" s="13"/>
      <c r="AJ97" s="5"/>
      <c r="AK97" s="5"/>
    </row>
    <row r="98">
      <c r="R98" s="13"/>
      <c r="AJ98" s="5"/>
      <c r="AK98" s="5"/>
    </row>
    <row r="99">
      <c r="R99" s="13"/>
      <c r="AJ99" s="5"/>
      <c r="AK99" s="5"/>
    </row>
    <row r="100">
      <c r="R100" s="13"/>
      <c r="AJ100" s="5"/>
      <c r="AK100" s="5"/>
    </row>
    <row r="101">
      <c r="R101" s="13"/>
      <c r="AJ101" s="5"/>
      <c r="AK101" s="5"/>
    </row>
    <row r="102">
      <c r="R102" s="13"/>
      <c r="AJ102" s="5"/>
      <c r="AK102" s="5"/>
    </row>
    <row r="103">
      <c r="R103" s="13"/>
      <c r="AJ103" s="5"/>
      <c r="AK103" s="5"/>
    </row>
    <row r="104">
      <c r="R104" s="13"/>
      <c r="AJ104" s="5"/>
      <c r="AK104" s="5"/>
    </row>
    <row r="105">
      <c r="R105" s="13"/>
      <c r="AJ105" s="5"/>
      <c r="AK105" s="5"/>
    </row>
    <row r="106">
      <c r="R106" s="13"/>
      <c r="AJ106" s="5"/>
      <c r="AK106" s="5"/>
    </row>
    <row r="107">
      <c r="R107" s="13"/>
      <c r="AJ107" s="5"/>
      <c r="AK107" s="5"/>
    </row>
    <row r="108">
      <c r="R108" s="13"/>
      <c r="AJ108" s="5"/>
      <c r="AK108" s="5"/>
    </row>
    <row r="109">
      <c r="R109" s="13"/>
      <c r="AJ109" s="5"/>
      <c r="AK109" s="5"/>
    </row>
    <row r="110">
      <c r="R110" s="13"/>
      <c r="AJ110" s="5"/>
      <c r="AK110" s="5"/>
    </row>
    <row r="111">
      <c r="R111" s="13"/>
      <c r="AJ111" s="5"/>
      <c r="AK111" s="5"/>
    </row>
    <row r="112">
      <c r="R112" s="13"/>
      <c r="AJ112" s="5"/>
      <c r="AK112" s="5"/>
    </row>
    <row r="113">
      <c r="R113" s="13"/>
      <c r="AJ113" s="5"/>
      <c r="AK113" s="5"/>
    </row>
    <row r="114">
      <c r="R114" s="13"/>
      <c r="AJ114" s="5"/>
      <c r="AK114" s="5"/>
    </row>
    <row r="115">
      <c r="R115" s="13"/>
      <c r="AJ115" s="5"/>
      <c r="AK115" s="5"/>
    </row>
    <row r="116">
      <c r="R116" s="13"/>
      <c r="AJ116" s="5"/>
      <c r="AK116" s="5"/>
    </row>
    <row r="117">
      <c r="R117" s="13"/>
      <c r="AJ117" s="5"/>
      <c r="AK117" s="5"/>
    </row>
    <row r="118">
      <c r="R118" s="13"/>
      <c r="AJ118" s="5"/>
      <c r="AK118" s="5"/>
    </row>
    <row r="119">
      <c r="R119" s="13"/>
      <c r="AJ119" s="5"/>
      <c r="AK119" s="5"/>
    </row>
    <row r="120">
      <c r="R120" s="13"/>
      <c r="AJ120" s="5"/>
      <c r="AK120" s="5"/>
    </row>
    <row r="121">
      <c r="R121" s="13"/>
      <c r="AJ121" s="5"/>
      <c r="AK121" s="5"/>
    </row>
    <row r="122">
      <c r="R122" s="13"/>
      <c r="AJ122" s="5"/>
      <c r="AK122" s="5"/>
    </row>
    <row r="123">
      <c r="R123" s="13"/>
      <c r="AJ123" s="5"/>
      <c r="AK123" s="5"/>
    </row>
    <row r="124">
      <c r="R124" s="13"/>
      <c r="AJ124" s="5"/>
      <c r="AK124" s="5"/>
    </row>
    <row r="125">
      <c r="R125" s="13"/>
      <c r="AJ125" s="5"/>
      <c r="AK125" s="5"/>
    </row>
    <row r="126">
      <c r="R126" s="13"/>
      <c r="AJ126" s="5"/>
      <c r="AK126" s="5"/>
    </row>
    <row r="127">
      <c r="R127" s="13"/>
      <c r="AJ127" s="5"/>
      <c r="AK127" s="5"/>
    </row>
    <row r="128">
      <c r="R128" s="13"/>
      <c r="AJ128" s="5"/>
      <c r="AK128" s="5"/>
    </row>
    <row r="129">
      <c r="R129" s="13"/>
      <c r="AJ129" s="5"/>
      <c r="AK129" s="5"/>
    </row>
    <row r="130">
      <c r="R130" s="13"/>
      <c r="AJ130" s="5"/>
      <c r="AK130" s="5"/>
    </row>
    <row r="131">
      <c r="R131" s="13"/>
      <c r="AJ131" s="5"/>
      <c r="AK131" s="5"/>
    </row>
    <row r="132">
      <c r="R132" s="13"/>
      <c r="AJ132" s="5"/>
      <c r="AK132" s="5"/>
    </row>
    <row r="133">
      <c r="R133" s="13"/>
      <c r="AJ133" s="5"/>
      <c r="AK133" s="5"/>
    </row>
    <row r="134">
      <c r="R134" s="13"/>
      <c r="AJ134" s="5"/>
      <c r="AK134" s="5"/>
    </row>
    <row r="135">
      <c r="R135" s="13"/>
      <c r="AJ135" s="5"/>
      <c r="AK135" s="5"/>
    </row>
    <row r="136">
      <c r="R136" s="13"/>
      <c r="AJ136" s="5"/>
      <c r="AK136" s="5"/>
    </row>
    <row r="137">
      <c r="R137" s="13"/>
      <c r="AJ137" s="5"/>
      <c r="AK137" s="5"/>
    </row>
    <row r="138">
      <c r="R138" s="13"/>
      <c r="AJ138" s="5"/>
      <c r="AK138" s="5"/>
    </row>
    <row r="139">
      <c r="R139" s="13"/>
      <c r="AJ139" s="5"/>
      <c r="AK139" s="5"/>
    </row>
    <row r="140">
      <c r="R140" s="13"/>
      <c r="AJ140" s="5"/>
      <c r="AK140" s="5"/>
    </row>
    <row r="141">
      <c r="R141" s="13"/>
      <c r="AJ141" s="5"/>
      <c r="AK141" s="5"/>
    </row>
    <row r="142">
      <c r="R142" s="13"/>
      <c r="AJ142" s="5"/>
      <c r="AK142" s="5"/>
    </row>
    <row r="143">
      <c r="R143" s="13"/>
      <c r="AJ143" s="5"/>
      <c r="AK143" s="5"/>
    </row>
    <row r="144">
      <c r="R144" s="13"/>
      <c r="AJ144" s="5"/>
      <c r="AK144" s="5"/>
    </row>
    <row r="145">
      <c r="R145" s="13"/>
      <c r="AJ145" s="5"/>
      <c r="AK145" s="5"/>
    </row>
    <row r="146">
      <c r="R146" s="13"/>
      <c r="AJ146" s="5"/>
      <c r="AK146" s="5"/>
    </row>
    <row r="147">
      <c r="R147" s="13"/>
      <c r="AJ147" s="5"/>
      <c r="AK147" s="5"/>
    </row>
    <row r="148">
      <c r="R148" s="13"/>
      <c r="AJ148" s="5"/>
      <c r="AK148" s="5"/>
    </row>
    <row r="149">
      <c r="R149" s="13"/>
      <c r="AJ149" s="5"/>
      <c r="AK149" s="5"/>
    </row>
    <row r="150">
      <c r="R150" s="13"/>
      <c r="AJ150" s="5"/>
      <c r="AK150" s="5"/>
    </row>
    <row r="151">
      <c r="R151" s="13"/>
      <c r="AJ151" s="5"/>
      <c r="AK151" s="5"/>
    </row>
    <row r="152">
      <c r="R152" s="13"/>
      <c r="AJ152" s="5"/>
      <c r="AK152" s="5"/>
    </row>
    <row r="153">
      <c r="R153" s="13"/>
      <c r="AJ153" s="5"/>
      <c r="AK153" s="5"/>
    </row>
    <row r="154">
      <c r="R154" s="13"/>
      <c r="AJ154" s="5"/>
      <c r="AK154" s="5"/>
    </row>
    <row r="155">
      <c r="R155" s="13"/>
      <c r="AJ155" s="5"/>
      <c r="AK155" s="5"/>
    </row>
    <row r="156">
      <c r="R156" s="13"/>
      <c r="AJ156" s="5"/>
      <c r="AK156" s="5"/>
    </row>
    <row r="157">
      <c r="R157" s="13"/>
      <c r="AJ157" s="5"/>
      <c r="AK157" s="5"/>
    </row>
    <row r="158">
      <c r="R158" s="13"/>
      <c r="AJ158" s="5"/>
      <c r="AK158" s="5"/>
    </row>
    <row r="159">
      <c r="R159" s="13"/>
      <c r="AJ159" s="5"/>
      <c r="AK159" s="5"/>
    </row>
    <row r="160">
      <c r="R160" s="13"/>
      <c r="AJ160" s="5"/>
      <c r="AK160" s="5"/>
    </row>
    <row r="161">
      <c r="R161" s="13"/>
      <c r="AJ161" s="5"/>
      <c r="AK161" s="5"/>
    </row>
    <row r="162">
      <c r="R162" s="13"/>
      <c r="AJ162" s="5"/>
      <c r="AK162" s="5"/>
    </row>
    <row r="163">
      <c r="R163" s="13"/>
      <c r="AJ163" s="5"/>
      <c r="AK163" s="5"/>
    </row>
    <row r="164">
      <c r="R164" s="13"/>
      <c r="AJ164" s="5"/>
      <c r="AK164" s="5"/>
    </row>
    <row r="165">
      <c r="R165" s="13"/>
      <c r="AJ165" s="5"/>
      <c r="AK165" s="5"/>
    </row>
    <row r="166">
      <c r="R166" s="13"/>
      <c r="AJ166" s="5"/>
      <c r="AK166" s="5"/>
    </row>
    <row r="167">
      <c r="R167" s="13"/>
      <c r="AJ167" s="5"/>
      <c r="AK167" s="5"/>
    </row>
    <row r="168">
      <c r="R168" s="13"/>
      <c r="AJ168" s="5"/>
      <c r="AK168" s="5"/>
    </row>
    <row r="169">
      <c r="R169" s="13"/>
      <c r="AJ169" s="5"/>
      <c r="AK169" s="5"/>
    </row>
    <row r="170">
      <c r="R170" s="13"/>
      <c r="AJ170" s="5"/>
      <c r="AK170" s="5"/>
    </row>
    <row r="171">
      <c r="R171" s="13"/>
      <c r="AJ171" s="5"/>
      <c r="AK171" s="5"/>
    </row>
    <row r="172">
      <c r="R172" s="13"/>
      <c r="AJ172" s="5"/>
      <c r="AK172" s="5"/>
    </row>
    <row r="173">
      <c r="R173" s="13"/>
      <c r="AJ173" s="5"/>
      <c r="AK173" s="5"/>
    </row>
    <row r="174">
      <c r="R174" s="13"/>
      <c r="AJ174" s="5"/>
      <c r="AK174" s="5"/>
    </row>
    <row r="175">
      <c r="R175" s="13"/>
      <c r="AJ175" s="5"/>
      <c r="AK175" s="5"/>
    </row>
    <row r="176">
      <c r="R176" s="13"/>
      <c r="AJ176" s="5"/>
      <c r="AK176" s="5"/>
    </row>
    <row r="177">
      <c r="R177" s="13"/>
      <c r="AJ177" s="5"/>
      <c r="AK177" s="5"/>
    </row>
    <row r="178">
      <c r="R178" s="13"/>
      <c r="AJ178" s="5"/>
      <c r="AK178" s="5"/>
    </row>
    <row r="179">
      <c r="R179" s="13"/>
      <c r="AJ179" s="5"/>
      <c r="AK179" s="5"/>
    </row>
    <row r="180">
      <c r="R180" s="13"/>
      <c r="AJ180" s="5"/>
      <c r="AK180" s="5"/>
    </row>
    <row r="181">
      <c r="R181" s="13"/>
      <c r="AJ181" s="5"/>
      <c r="AK181" s="5"/>
    </row>
    <row r="182">
      <c r="R182" s="13"/>
      <c r="AJ182" s="5"/>
      <c r="AK182" s="5"/>
    </row>
    <row r="183">
      <c r="R183" s="13"/>
      <c r="AJ183" s="5"/>
      <c r="AK183" s="5"/>
    </row>
    <row r="184">
      <c r="R184" s="13"/>
      <c r="AJ184" s="5"/>
      <c r="AK184" s="5"/>
    </row>
    <row r="185">
      <c r="R185" s="13"/>
      <c r="AJ185" s="5"/>
      <c r="AK185" s="5"/>
    </row>
    <row r="186">
      <c r="R186" s="13"/>
      <c r="AJ186" s="5"/>
      <c r="AK186" s="5"/>
    </row>
    <row r="187">
      <c r="R187" s="13"/>
      <c r="AJ187" s="5"/>
      <c r="AK187" s="5"/>
    </row>
    <row r="188">
      <c r="R188" s="13"/>
      <c r="AJ188" s="5"/>
      <c r="AK188" s="5"/>
    </row>
    <row r="189">
      <c r="R189" s="13"/>
      <c r="AJ189" s="5"/>
      <c r="AK189" s="5"/>
    </row>
    <row r="190">
      <c r="R190" s="13"/>
      <c r="AJ190" s="5"/>
      <c r="AK190" s="5"/>
    </row>
    <row r="191">
      <c r="R191" s="13"/>
      <c r="AJ191" s="5"/>
      <c r="AK191" s="5"/>
    </row>
    <row r="192">
      <c r="R192" s="13"/>
      <c r="AJ192" s="5"/>
      <c r="AK192" s="5"/>
    </row>
    <row r="193">
      <c r="R193" s="13"/>
      <c r="AJ193" s="5"/>
      <c r="AK193" s="5"/>
    </row>
    <row r="194">
      <c r="R194" s="13"/>
      <c r="AJ194" s="5"/>
      <c r="AK194" s="5"/>
    </row>
    <row r="195">
      <c r="R195" s="13"/>
      <c r="AJ195" s="5"/>
      <c r="AK195" s="5"/>
    </row>
    <row r="196">
      <c r="R196" s="13"/>
      <c r="AJ196" s="5"/>
      <c r="AK196" s="5"/>
    </row>
    <row r="197">
      <c r="R197" s="13"/>
      <c r="AJ197" s="5"/>
      <c r="AK197" s="5"/>
    </row>
    <row r="198">
      <c r="R198" s="13"/>
      <c r="AJ198" s="5"/>
      <c r="AK198" s="5"/>
    </row>
    <row r="199">
      <c r="R199" s="13"/>
      <c r="AJ199" s="5"/>
      <c r="AK199" s="5"/>
    </row>
    <row r="200">
      <c r="R200" s="13"/>
      <c r="AJ200" s="5"/>
      <c r="AK200" s="5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ad82f7"/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8"/>
    <col collapsed="false" customWidth="true" hidden="false" max="3" min="3" style="0" width="67"/>
    <col collapsed="false" customWidth="true" hidden="false" max="4" min="4" style="0" width="12"/>
    <col collapsed="false" customWidth="true" hidden="false" max="5" min="5" style="0" width="34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"/>
    <col collapsed="false" customWidth="true" hidden="false" max="10" min="10" style="0" width="12"/>
    <col collapsed="false" customWidth="true" hidden="false" max="11" min="11" style="0" width="4"/>
  </cols>
  <sheetData>
    <row r="1">
      <c r="A1" s="18" t="str">
        <v>No.</v>
      </c>
      <c r="B1" s="18" t="str">
        <v>名称</v>
      </c>
      <c r="C1" s="18" t="str">
        <v>Description</v>
      </c>
      <c r="D1" s="18" t="str">
        <v>Name</v>
      </c>
      <c r="E1" s="18" t="str">
        <v>Comment</v>
      </c>
      <c r="F1" s="18">
        <f>"模型  "&amp; COUNTIF(F2:F1000,"✅") &amp; "/" &amp; COUNTA(F2:F1000)</f>
      </c>
      <c r="G1" s="18">
        <f>"贴纸 "&amp; COUNTIF(G2:G1000,"✅") &amp; "/" &amp; COUNTA(G2:G1000)</f>
      </c>
      <c r="H1" s="18">
        <f>"开发 "&amp; COUNTIF(H2:H1000,"✅") &amp; "/" &amp; COUNTA(H2:H1000)</f>
      </c>
      <c r="I1" s="17" t="str" xml:space="preserve">
        <v> </v>
      </c>
      <c r="J1" s="16" t="str">
        <v>平均每关需要</v>
      </c>
      <c r="K1" s="17">
        <f>(MAX(A:A) * K2) / MAX('迷宫世界规划'!G:G)</f>
      </c>
      <c r="L1" s="5" t="str">
        <v>星可以解锁所有小球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>
      <c r="A2" s="9">
        <v>1</v>
      </c>
      <c r="B2" s="9" t="str">
        <v>普通球</v>
      </c>
      <c r="C2" s="9" t="str">
        <v>没有特殊能力，但当首次以普通球3星过关时，额外获得1颗星星。</v>
      </c>
      <c r="D2" s="9" t="str">
        <v>Normal Ball</v>
      </c>
      <c r="E2" s="9" t="str">
        <v>“Exceptionally Ordinary.”</v>
      </c>
      <c r="F2" s="3" t="str">
        <v>✅</v>
      </c>
      <c r="G2" s="3" t="str">
        <v>⭕</v>
      </c>
      <c r="H2" s="3" t="str">
        <v>✅</v>
      </c>
      <c r="J2" s="16" t="str">
        <v>1张兑奖券需要</v>
      </c>
      <c r="K2" s="17">
        <v>6</v>
      </c>
      <c r="L2" s="5" t="str">
        <v>颗星星获取</v>
      </c>
    </row>
    <row r="3">
      <c r="A3" s="9">
        <v>2</v>
      </c>
      <c r="B3" s="9" t="str">
        <v>引力球</v>
      </c>
      <c r="C3" s="9" t="s">
        <v>2</v>
      </c>
      <c r="D3" s="9" t="str">
        <v>Attraction Ball</v>
      </c>
      <c r="E3" s="9" t="str">
        <v>超能力小球会互相吸引。</v>
      </c>
      <c r="F3" s="3" t="str">
        <v>✅</v>
      </c>
      <c r="G3" s="3" t="str">
        <v>⭕</v>
      </c>
      <c r="H3" s="3" t="str">
        <v>✅</v>
      </c>
    </row>
    <row r="4">
      <c r="A4" s="9">
        <v>3</v>
      </c>
      <c r="B4" s="9" t="str">
        <v>斥力球</v>
      </c>
      <c r="C4" s="9" t="s">
        <v>1</v>
      </c>
      <c r="D4" s="9" t="str">
        <v>Repulsion Ball</v>
      </c>
      <c r="E4" s="9" t="str">
        <v>不要靠近我啊啊啊啊！</v>
      </c>
      <c r="F4" s="3" t="str">
        <v>✅</v>
      </c>
      <c r="G4" s="3" t="str">
        <v>⭕</v>
      </c>
      <c r="H4" s="3" t="str">
        <v>✅</v>
      </c>
    </row>
    <row r="5">
      <c r="A5" s="9">
        <v>4</v>
      </c>
      <c r="B5" s="9" t="str">
        <v>相位球</v>
      </c>
      <c r="C5" s="9" t="s">
        <v>4</v>
      </c>
      <c r="D5" s="9" t="str">
        <v>Phasing Ball</v>
      </c>
      <c r="E5" s="9" t="str">
        <v>“This is gonna feel kinda weird.”</v>
      </c>
      <c r="F5" s="3" t="str">
        <v>✅</v>
      </c>
      <c r="G5" s="3" t="str">
        <v>⭕</v>
      </c>
      <c r="H5" s="3" t="str">
        <v>✅</v>
      </c>
    </row>
    <row r="6">
      <c r="A6" s="9">
        <v>5</v>
      </c>
      <c r="B6" s="9" t="str">
        <v>篮球</v>
      </c>
      <c r="C6" s="9" t="s">
        <v>3</v>
      </c>
      <c r="D6" s="9" t="str">
        <v>Basketball</v>
      </c>
      <c r="E6" s="9" t="str">
        <v>也会唱、跳、Rap。</v>
      </c>
      <c r="F6" s="3" t="str">
        <v>✅</v>
      </c>
      <c r="G6" s="3" t="str">
        <v>✅</v>
      </c>
      <c r="H6" s="3" t="str">
        <v>✅</v>
      </c>
    </row>
    <row r="7">
      <c r="A7" s="9">
        <v>6</v>
      </c>
      <c r="B7" s="9" t="str">
        <v>仓鼠球</v>
      </c>
      <c r="C7" s="9" t="s">
        <v>5</v>
      </c>
      <c r="D7" s="9" t="str">
        <v>Hamsterball</v>
      </c>
      <c r="E7" s="9" t="str">
        <v>本游戏制作过程中无动物受到伤害或虐待。</v>
      </c>
      <c r="F7" s="3" t="str">
        <v>✅</v>
      </c>
      <c r="G7" s="3" t="str">
        <v>⭕</v>
      </c>
      <c r="H7" s="3" t="str">
        <v>✅</v>
      </c>
    </row>
    <row r="8">
      <c r="A8" s="9">
        <v>7</v>
      </c>
      <c r="B8" s="5" t="str">
        <v>高尔夫球</v>
      </c>
      <c r="C8" s="5" t="str">
        <v>在轨道上按下瞄准，再次按下后挥杆，将小球击出</v>
      </c>
      <c r="F8" s="3" t="str">
        <v>✅</v>
      </c>
      <c r="G8" s="3" t="str">
        <v>✅</v>
      </c>
      <c r="H8" s="3" t="str">
        <v>⭕</v>
      </c>
    </row>
    <row r="9">
      <c r="A9" s="9">
        <v>8</v>
      </c>
      <c r="B9" s="5" t="str">
        <v>油漆球</v>
      </c>
      <c r="C9" s="15" t="str">
        <v>滚动时会在轨道上留下油漆痕迹。按下使用，可以将小球溶解在油漆痕迹中自由移动。再次按下从油漆中恢复。油漆会逐渐干涸。</v>
      </c>
      <c r="E9" s="5" t="str">
        <v>它超油型的。</v>
      </c>
      <c r="F9" s="3" t="str">
        <v>⭕</v>
      </c>
      <c r="G9" s="3" t="str">
        <v>⭕</v>
      </c>
      <c r="H9" s="3" t="str">
        <v>⭕</v>
      </c>
    </row>
    <row r="10">
      <c r="A10" s="9">
        <v>9</v>
      </c>
      <c r="B10" s="5" t="str">
        <v>时停球</v>
      </c>
      <c r="C10" s="15" t="str">
        <v>按下使用，使小球静止在原地。再次按下后，小球不会恢复先前的运动。静止期间，迷宫的碰撞依旧可以带动小球位移。</v>
      </c>
      <c r="E10" s="5" t="str">
        <v>“ザ・ワールド！時よ止まれ！”</v>
      </c>
      <c r="F10" s="3" t="str">
        <v>⭕</v>
      </c>
      <c r="G10" s="3" t="str">
        <v>⭕</v>
      </c>
      <c r="H10" s="3" t="str">
        <v>⭕</v>
      </c>
    </row>
    <row r="11">
      <c r="A11" s="9">
        <v>10</v>
      </c>
      <c r="B11" s="5" t="str">
        <v>锁定球</v>
      </c>
      <c r="C11" s="15" t="str">
        <v>按下使用，使小球锁定在原地。再次按下后，小球会恢复先前的运动。锁定期间，小球可能会卡住迷宫。</v>
      </c>
      <c r="F11" s="3" t="str">
        <v>⭕</v>
      </c>
      <c r="G11" s="3" t="str">
        <v>⭕</v>
      </c>
      <c r="H11" s="3" t="str">
        <v>⭕</v>
      </c>
    </row>
    <row r="12">
      <c r="A12" s="9">
        <v>11</v>
      </c>
      <c r="B12" s="5" t="str">
        <v>浮空球</v>
      </c>
      <c r="C12" s="5" t="str">
        <v>持续使用，使小球不受重力影响。</v>
      </c>
      <c r="E12" s="5" t="str">
        <v>“It's Leviosa, not Leviosar.”</v>
      </c>
      <c r="F12" s="3" t="str">
        <v>⭕</v>
      </c>
      <c r="G12" s="3" t="str">
        <v>⭕</v>
      </c>
      <c r="H12" s="3" t="str">
        <v>⭕</v>
      </c>
    </row>
    <row r="13">
      <c r="A13" s="9">
        <v>12</v>
      </c>
      <c r="B13" s="5" t="str">
        <v>网球</v>
      </c>
      <c r="C13" s="15" t="str">
        <v>持续使用，在空中瞄准。释放时将小球打向目标方向。瞄准期间似乎时间都变慢了。</v>
      </c>
      <c r="F13" s="3" t="str">
        <v>✅</v>
      </c>
      <c r="G13" s="3" t="str">
        <v>✅</v>
      </c>
      <c r="H13" s="3" t="str">
        <v>⭕</v>
      </c>
    </row>
    <row r="14">
      <c r="A14" s="9">
        <v>13</v>
      </c>
      <c r="B14" s="5" t="str">
        <v>匹克球</v>
      </c>
      <c r="C14" s="5" t="str">
        <v>这颗球不受风力和浮力影响。</v>
      </c>
      <c r="F14" s="3" t="str">
        <v>⭕</v>
      </c>
      <c r="G14" s="3" t="str">
        <v>⭕</v>
      </c>
      <c r="H14" s="3" t="str">
        <v>⭕</v>
      </c>
    </row>
    <row r="15">
      <c r="A15" s="9">
        <v>14</v>
      </c>
      <c r="B15" s="5" t="str">
        <v>两颗球</v>
      </c>
      <c r="C15" s="15" t="str">
        <v>每次开始时，会有两颗球被生成。任意一颗球都能触发检查点和终点。两颗球都掉落才会判定掉落。</v>
      </c>
      <c r="E15" s="9" t="str">
        <v>多就是好。</v>
      </c>
      <c r="F15" s="3" t="str">
        <v>⭕</v>
      </c>
      <c r="G15" s="3" t="str">
        <v>⭕</v>
      </c>
      <c r="H15" s="3" t="str">
        <v>⭕</v>
      </c>
    </row>
    <row r="16">
      <c r="A16" s="9">
        <v>15</v>
      </c>
      <c r="B16" s="5" t="str">
        <v>保龄球</v>
      </c>
      <c r="C16" s="5" t="str">
        <v>这颗球似乎比其他球更光滑、也更重一些。</v>
      </c>
      <c r="F16" s="3" t="str">
        <v>⭕</v>
      </c>
      <c r="G16" s="3" t="str">
        <v>⭕</v>
      </c>
      <c r="H16" s="3" t="str">
        <v>⭕</v>
      </c>
    </row>
    <row r="17">
      <c r="A17" s="9">
        <v>16</v>
      </c>
      <c r="B17" s="5" t="str">
        <v>橄榄球</v>
      </c>
      <c r="C17" s="5" t="str">
        <v>按下使用，向前踢出小球。小球长得和别人似乎也有一些不一样。</v>
      </c>
      <c r="F17" s="3" t="str">
        <v>⭕</v>
      </c>
      <c r="G17" s="3" t="str">
        <v>⭕</v>
      </c>
      <c r="H17" s="3" t="str">
        <v>⭕</v>
      </c>
    </row>
    <row r="18">
      <c r="A18" s="9">
        <v>17</v>
      </c>
      <c r="B18" s="5" t="str">
        <v>史莱姆球</v>
      </c>
      <c r="C18" s="5" t="str">
        <v>持续使用，使小球粘附在墙壁或天花板上滚动。另外，这颗球似乎没什么弹性？</v>
      </c>
      <c r="F18" s="3" t="str">
        <v>⭕</v>
      </c>
      <c r="G18" s="3" t="str">
        <v>⭕</v>
      </c>
      <c r="H18" s="3" t="str">
        <v>⭕</v>
      </c>
    </row>
    <row r="19">
      <c r="A19" s="9">
        <v>18</v>
      </c>
      <c r="B19" s="5" t="str">
        <v>玻璃球</v>
      </c>
      <c r="C19" s="5" t="str">
        <v>极其脆弱，从高处跌落或以高速度撞墙会直接碎裂。</v>
      </c>
      <c r="F19" s="3" t="str">
        <v>⭕</v>
      </c>
      <c r="G19" s="3" t="str">
        <v>⭕</v>
      </c>
      <c r="H19" s="3" t="str">
        <v>⭕</v>
      </c>
    </row>
    <row r="20">
      <c r="A20" s="9">
        <v>19</v>
      </c>
      <c r="B20" s="5" t="str">
        <v>回溯球</v>
      </c>
      <c r="C20" s="15" t="str">
        <v>按下使用，在当前位置留下一个“残影”。再次按下，小球会瞬间传送回残影的位置，并且小球不会恢复先前的运动。残影只能存在最多10秒。</v>
      </c>
      <c r="F20" s="3" t="str">
        <v>⭕</v>
      </c>
      <c r="G20" s="3" t="str">
        <v>⭕</v>
      </c>
      <c r="H20" s="3" t="str">
        <v>⭕</v>
      </c>
    </row>
    <row r="21">
      <c r="A21" s="9">
        <v>20</v>
      </c>
      <c r="B21" s="5" t="str">
        <v>方块球</v>
      </c>
      <c r="C21" s="5" t="str">
        <v>很显然，这是一个正方体。</v>
      </c>
      <c r="F21" s="3" t="str">
        <v>⭕</v>
      </c>
      <c r="G21" s="3" t="str">
        <v>⭕</v>
      </c>
      <c r="H21" s="3" t="str">
        <v>⭕</v>
      </c>
    </row>
    <row r="22">
      <c r="A22" s="9">
        <v>21</v>
      </c>
      <c r="B22" s="5" t="str">
        <v>灯泡球</v>
      </c>
      <c r="C22" s="5" t="str">
        <v>按下使用，点亮或熄灭自己。</v>
      </c>
      <c r="E22" s="5" t="str">
        <v>要有光。</v>
      </c>
      <c r="F22" s="3" t="str">
        <v>⭕</v>
      </c>
      <c r="G22" s="3" t="str">
        <v>⭕</v>
      </c>
      <c r="H22" s="3" t="str">
        <v>⭕</v>
      </c>
    </row>
    <row r="23">
      <c r="A23" s="9">
        <v>22</v>
      </c>
      <c r="B23" s="5" t="str">
        <v>炸弹球</v>
      </c>
      <c r="C23" s="15" t="str">
        <v>按下使用，3秒后爆炸。爆炸不会摧毁小球，但产生的冲击波会将小球垂直弹起，同时摧毁周围的轨道。</v>
      </c>
      <c r="E23" s="5" t="str">
        <v>“芸術は爆発だ！”</v>
      </c>
      <c r="F23" s="3" t="str">
        <v>⭕</v>
      </c>
      <c r="G23" s="3" t="str">
        <v>⭕</v>
      </c>
      <c r="H23" s="3" t="str">
        <v>⭕</v>
      </c>
    </row>
    <row r="24">
      <c r="A24" s="9">
        <v>23</v>
      </c>
      <c r="B24" s="5" t="str">
        <v>悠悠球</v>
      </c>
      <c r="C24" s="5" t="str">
        <v>持续使用，使小球被悠悠球绳拴住，并高速自转。释放后，小球会被拉回到原位。</v>
      </c>
      <c r="F24" s="3" t="str">
        <v>⭕</v>
      </c>
      <c r="G24" s="3" t="str">
        <v>⭕</v>
      </c>
      <c r="H24" s="3" t="str">
        <v>⭕</v>
      </c>
    </row>
    <row r="25">
      <c r="A25" s="9">
        <v>24</v>
      </c>
      <c r="B25" s="5" t="str">
        <v>乒乓球</v>
      </c>
      <c r="C25" s="5" t="str">
        <v>按下使用，将小球垂直打出。这颗球似乎弹性格外的好？</v>
      </c>
      <c r="F25" s="3" t="str">
        <v>⭕</v>
      </c>
      <c r="G25" s="3" t="str">
        <v>⭕</v>
      </c>
      <c r="H25" s="3" t="str">
        <v>⭕</v>
      </c>
    </row>
    <row r="26">
      <c r="A26" s="9">
        <v>25</v>
      </c>
      <c r="B26" s="5" t="str">
        <v>羽毛球</v>
      </c>
      <c r="C26" s="5" t="str">
        <v>这颗球似乎比其他球更轻一些，感觉掉在地上也没事。</v>
      </c>
      <c r="F26" s="3" t="str">
        <v>⭕</v>
      </c>
      <c r="G26" s="3" t="str">
        <v>⭕</v>
      </c>
      <c r="H26" s="3" t="str">
        <v>⭕</v>
      </c>
    </row>
    <row r="27">
      <c r="A27" s="9">
        <v>26</v>
      </c>
      <c r="B27" s="5" t="str">
        <v>冰球</v>
      </c>
      <c r="C27" s="5" t="str">
        <v>这颗球似乎完全光滑。</v>
      </c>
      <c r="F27" s="3" t="str">
        <v>⭕</v>
      </c>
      <c r="G27" s="3" t="str">
        <v>⭕</v>
      </c>
      <c r="H27" s="3" t="str">
        <v>⭕</v>
      </c>
    </row>
    <row r="28">
      <c r="A28" s="9">
        <v>27</v>
      </c>
      <c r="B28" s="5" t="str">
        <v>火箭球</v>
      </c>
      <c r="C28" s="5" t="str">
        <v>持续使用，使小球喷射起飞，飞行期间可以控制方向，但飞一会要休息一下。</v>
      </c>
      <c r="E28" s="5" t="str">
        <v>“To infinity and beyond!”</v>
      </c>
      <c r="F28" s="3" t="str">
        <v>⭕</v>
      </c>
      <c r="G28" s="3" t="str">
        <v>⭕</v>
      </c>
      <c r="H28" s="3" t="str">
        <v>⭕</v>
      </c>
    </row>
    <row r="29">
      <c r="A29" s="9">
        <v>28</v>
      </c>
      <c r="B29" s="5" t="str">
        <v>大号球</v>
      </c>
      <c r="C29" s="5" t="str">
        <v>这颗球似乎稍大一些</v>
      </c>
      <c r="E29" s="5" t="str">
        <v>大就是美。</v>
      </c>
      <c r="F29" s="3" t="str">
        <v>⭕</v>
      </c>
      <c r="G29" s="3" t="str">
        <v>⭕</v>
      </c>
      <c r="H29" s="3" t="str">
        <v>⭕</v>
      </c>
    </row>
    <row r="30">
      <c r="A30" s="9">
        <v>29</v>
      </c>
      <c r="B30" s="5" t="str">
        <v>小号球</v>
      </c>
      <c r="C30" s="5" t="str">
        <v>这颗球似乎稍小一些</v>
      </c>
      <c r="F30" s="3" t="str">
        <v>⭕</v>
      </c>
      <c r="G30" s="3" t="str">
        <v>⭕</v>
      </c>
      <c r="H30" s="3" t="str">
        <v>⭕</v>
      </c>
    </row>
    <row r="31">
      <c r="A31" s="9">
        <v>30</v>
      </c>
      <c r="B31" s="5" t="str">
        <v>篝火球</v>
      </c>
      <c r="C31" s="15" t="str">
        <v>按下使用，在轨道上释放一个临时的检查点。小球掉落后，会从检查点而非起点复活。再次使用、或者激活轨道上的其他检查点，会移除已经放置的检查点。</v>
      </c>
      <c r="E31" s="5" t="str">
        <v>“赞美太阳！”</v>
      </c>
      <c r="F31" s="3" t="str">
        <v>⭕</v>
      </c>
      <c r="G31" s="3" t="str">
        <v>⭕</v>
      </c>
      <c r="H31" s="3" t="str">
        <v>⭕</v>
      </c>
    </row>
    <row r="32">
      <c r="A32" s="5">
        <v>31</v>
      </c>
      <c r="B32" s="5" t="str">
        <v>桌球</v>
      </c>
      <c r="F32" s="3" t="str">
        <v>⭕</v>
      </c>
      <c r="G32" s="3" t="str">
        <v>✅</v>
      </c>
      <c r="H32" s="3" t="str">
        <v>⭕</v>
      </c>
    </row>
    <row r="33">
      <c r="A33" s="5">
        <v>32</v>
      </c>
      <c r="B33" s="5" t="str">
        <v>棒球</v>
      </c>
      <c r="F33" s="3" t="str">
        <v>⭕</v>
      </c>
      <c r="G33" s="3" t="str">
        <v>✅</v>
      </c>
      <c r="H33" s="3" t="str">
        <v>⭕</v>
      </c>
    </row>
    <row r="34">
      <c r="F34" s="3"/>
      <c r="G34" s="3"/>
      <c r="H34" s="2"/>
    </row>
    <row r="35">
      <c r="F35" s="3"/>
      <c r="G35" s="3"/>
      <c r="H35" s="2"/>
    </row>
    <row r="36">
      <c r="F36" s="3"/>
      <c r="G36" s="3"/>
      <c r="H36" s="2"/>
    </row>
    <row r="37">
      <c r="F37" s="3"/>
      <c r="G37" s="3"/>
      <c r="H37" s="2"/>
    </row>
    <row r="38">
      <c r="F38" s="3"/>
      <c r="G38" s="3"/>
      <c r="H38" s="2"/>
    </row>
    <row r="39">
      <c r="F39" s="3"/>
      <c r="G39" s="3"/>
      <c r="H39" s="2"/>
    </row>
    <row r="40">
      <c r="F40" s="3"/>
      <c r="G40" s="3"/>
      <c r="H40" s="2"/>
    </row>
    <row r="41">
      <c r="F41" s="3"/>
      <c r="G41" s="3"/>
      <c r="H41" s="2"/>
    </row>
    <row r="42">
      <c r="F42" s="3"/>
      <c r="G42" s="3"/>
      <c r="H42" s="2"/>
    </row>
    <row r="43">
      <c r="F43" s="3"/>
      <c r="G43" s="3"/>
      <c r="H43" s="2"/>
    </row>
    <row r="44">
      <c r="F44" s="3"/>
      <c r="G44" s="3"/>
      <c r="H44" s="2"/>
    </row>
    <row r="45">
      <c r="F45" s="3"/>
      <c r="G45" s="3"/>
      <c r="H45" s="2"/>
    </row>
    <row r="46">
      <c r="F46" s="3"/>
      <c r="G46" s="3"/>
      <c r="H46" s="2"/>
    </row>
    <row r="47">
      <c r="F47" s="3"/>
      <c r="G47" s="3"/>
      <c r="H47" s="2"/>
    </row>
    <row r="48">
      <c r="F48" s="3"/>
      <c r="G48" s="3"/>
      <c r="H48" s="2"/>
    </row>
    <row r="49">
      <c r="F49" s="3"/>
      <c r="G49" s="3"/>
      <c r="H49" s="2"/>
    </row>
    <row r="50">
      <c r="F50" s="3"/>
      <c r="G50" s="3"/>
      <c r="H50" s="2"/>
    </row>
    <row r="51">
      <c r="F51" s="3"/>
      <c r="G51" s="3"/>
      <c r="H51" s="2"/>
    </row>
    <row r="52">
      <c r="F52" s="3"/>
      <c r="G52" s="3"/>
      <c r="H52" s="2"/>
    </row>
    <row r="53">
      <c r="F53" s="3"/>
      <c r="G53" s="3"/>
      <c r="H53" s="2"/>
    </row>
    <row r="54">
      <c r="F54" s="3"/>
      <c r="G54" s="3"/>
      <c r="H54" s="2"/>
    </row>
    <row r="55">
      <c r="F55" s="3"/>
      <c r="G55" s="3"/>
      <c r="H55" s="2"/>
    </row>
    <row r="56">
      <c r="F56" s="3"/>
      <c r="G56" s="3"/>
      <c r="H56" s="2"/>
    </row>
    <row r="57">
      <c r="F57" s="3"/>
      <c r="G57" s="3"/>
      <c r="H57" s="2"/>
    </row>
    <row r="58">
      <c r="F58" s="3"/>
      <c r="G58" s="3"/>
      <c r="H58" s="2"/>
    </row>
    <row r="59">
      <c r="F59" s="3"/>
      <c r="G59" s="3"/>
      <c r="H59" s="2"/>
    </row>
    <row r="60">
      <c r="F60" s="3"/>
      <c r="G60" s="3"/>
      <c r="H60" s="2"/>
    </row>
    <row r="61">
      <c r="F61" s="3"/>
      <c r="G61" s="3"/>
      <c r="H61" s="2"/>
    </row>
    <row r="62">
      <c r="F62" s="3"/>
      <c r="G62" s="3"/>
      <c r="H62" s="2"/>
    </row>
    <row r="63">
      <c r="F63" s="3"/>
      <c r="G63" s="3"/>
      <c r="H63" s="2"/>
    </row>
    <row r="64">
      <c r="F64" s="3"/>
      <c r="G64" s="3"/>
      <c r="H64" s="2"/>
    </row>
    <row r="65">
      <c r="F65" s="3"/>
      <c r="G65" s="3"/>
      <c r="H65" s="2"/>
    </row>
    <row r="66">
      <c r="F66" s="3"/>
      <c r="G66" s="3"/>
      <c r="H66" s="2"/>
    </row>
    <row r="67">
      <c r="F67" s="3"/>
      <c r="G67" s="3"/>
      <c r="H67" s="2"/>
    </row>
    <row r="68">
      <c r="F68" s="3"/>
      <c r="G68" s="3"/>
      <c r="H68" s="2"/>
    </row>
    <row r="69">
      <c r="F69" s="3"/>
      <c r="G69" s="3"/>
      <c r="H69" s="2"/>
    </row>
    <row r="70">
      <c r="F70" s="3"/>
      <c r="G70" s="3"/>
      <c r="H70" s="2"/>
    </row>
    <row r="71">
      <c r="F71" s="3"/>
      <c r="G71" s="3"/>
      <c r="H71" s="2"/>
    </row>
    <row r="72">
      <c r="F72" s="3"/>
      <c r="G72" s="3"/>
      <c r="H72" s="2"/>
    </row>
    <row r="73">
      <c r="F73" s="3"/>
      <c r="G73" s="3"/>
      <c r="H73" s="2"/>
    </row>
    <row r="74">
      <c r="F74" s="3"/>
      <c r="G74" s="3"/>
      <c r="H74" s="2"/>
    </row>
    <row r="75">
      <c r="F75" s="3"/>
      <c r="G75" s="3"/>
      <c r="H75" s="2"/>
    </row>
    <row r="76">
      <c r="F76" s="3"/>
      <c r="G76" s="3"/>
      <c r="H76" s="2"/>
    </row>
    <row r="77">
      <c r="F77" s="3"/>
      <c r="G77" s="3"/>
      <c r="H77" s="2"/>
    </row>
    <row r="78">
      <c r="F78" s="3"/>
      <c r="G78" s="3"/>
      <c r="H78" s="2"/>
    </row>
    <row r="79">
      <c r="F79" s="3"/>
      <c r="G79" s="3"/>
      <c r="H79" s="2"/>
    </row>
    <row r="80">
      <c r="F80" s="3"/>
      <c r="G80" s="3"/>
      <c r="H80" s="2"/>
    </row>
    <row r="81">
      <c r="F81" s="3"/>
      <c r="G81" s="3"/>
      <c r="H81" s="2"/>
    </row>
    <row r="82">
      <c r="F82" s="3"/>
      <c r="G82" s="3"/>
      <c r="H82" s="2"/>
    </row>
    <row r="83">
      <c r="F83" s="3"/>
      <c r="G83" s="3"/>
      <c r="H83" s="2"/>
    </row>
    <row r="84">
      <c r="F84" s="3"/>
      <c r="G84" s="3"/>
      <c r="H84" s="2"/>
    </row>
    <row r="85">
      <c r="F85" s="3"/>
      <c r="G85" s="3"/>
      <c r="H85" s="2"/>
    </row>
    <row r="86">
      <c r="F86" s="3"/>
      <c r="G86" s="3"/>
      <c r="H86" s="2"/>
    </row>
    <row r="87">
      <c r="F87" s="3"/>
      <c r="G87" s="3"/>
      <c r="H87" s="2"/>
    </row>
    <row r="88">
      <c r="F88" s="3"/>
      <c r="G88" s="3"/>
      <c r="H88" s="2"/>
    </row>
    <row r="89">
      <c r="F89" s="3"/>
      <c r="G89" s="3"/>
      <c r="H89" s="2"/>
    </row>
    <row r="90">
      <c r="F90" s="3"/>
      <c r="G90" s="3"/>
      <c r="H90" s="2"/>
    </row>
    <row r="91">
      <c r="F91" s="3"/>
      <c r="G91" s="3"/>
      <c r="H91" s="2"/>
    </row>
    <row r="92">
      <c r="F92" s="3"/>
      <c r="G92" s="3"/>
      <c r="H92" s="2"/>
    </row>
    <row r="93">
      <c r="F93" s="3"/>
      <c r="G93" s="3"/>
      <c r="H93" s="2"/>
    </row>
    <row r="94">
      <c r="F94" s="3"/>
      <c r="G94" s="3"/>
      <c r="H94" s="2"/>
    </row>
    <row r="95">
      <c r="F95" s="3"/>
      <c r="G95" s="3"/>
      <c r="H95" s="2"/>
    </row>
    <row r="96">
      <c r="F96" s="3"/>
      <c r="G96" s="3"/>
      <c r="H96" s="2"/>
    </row>
    <row r="97">
      <c r="F97" s="3"/>
      <c r="G97" s="3"/>
      <c r="H97" s="2"/>
    </row>
    <row r="98">
      <c r="F98" s="3"/>
      <c r="G98" s="3"/>
      <c r="H98" s="2"/>
    </row>
    <row r="99">
      <c r="F99" s="3"/>
      <c r="G99" s="3"/>
      <c r="H99" s="2"/>
    </row>
    <row r="100">
      <c r="F100" s="3"/>
      <c r="G100" s="3"/>
      <c r="H100" s="2"/>
    </row>
    <row r="101">
      <c r="F101" s="3"/>
      <c r="G101" s="3"/>
      <c r="H101" s="2"/>
    </row>
    <row r="102">
      <c r="F102" s="3"/>
      <c r="G102" s="3"/>
      <c r="H102" s="2"/>
    </row>
    <row r="103">
      <c r="F103" s="3"/>
      <c r="G103" s="3"/>
      <c r="H103" s="2"/>
    </row>
    <row r="104">
      <c r="F104" s="3"/>
      <c r="G104" s="3"/>
      <c r="H104" s="2"/>
    </row>
    <row r="105">
      <c r="F105" s="3"/>
      <c r="G105" s="3"/>
      <c r="H105" s="2"/>
    </row>
    <row r="106">
      <c r="F106" s="3"/>
      <c r="G106" s="3"/>
      <c r="H106" s="2"/>
    </row>
    <row r="107">
      <c r="F107" s="3"/>
      <c r="G107" s="3"/>
      <c r="H107" s="2"/>
    </row>
    <row r="108">
      <c r="F108" s="3"/>
      <c r="G108" s="3"/>
      <c r="H108" s="2"/>
    </row>
    <row r="109">
      <c r="F109" s="3"/>
      <c r="G109" s="3"/>
      <c r="H109" s="2"/>
    </row>
    <row r="110">
      <c r="F110" s="3"/>
      <c r="G110" s="3"/>
      <c r="H110" s="2"/>
    </row>
    <row r="111">
      <c r="F111" s="3"/>
      <c r="G111" s="3"/>
      <c r="H111" s="2"/>
    </row>
    <row r="112">
      <c r="F112" s="3"/>
      <c r="G112" s="3"/>
      <c r="H112" s="2"/>
    </row>
    <row r="113">
      <c r="F113" s="3"/>
      <c r="G113" s="3"/>
      <c r="H113" s="2"/>
    </row>
    <row r="114">
      <c r="F114" s="3"/>
      <c r="G114" s="3"/>
      <c r="H114" s="2"/>
    </row>
    <row r="115">
      <c r="F115" s="3"/>
      <c r="G115" s="3"/>
      <c r="H115" s="2"/>
    </row>
    <row r="116">
      <c r="F116" s="3"/>
      <c r="G116" s="3"/>
      <c r="H116" s="2"/>
    </row>
    <row r="117">
      <c r="F117" s="3"/>
      <c r="G117" s="3"/>
      <c r="H117" s="2"/>
    </row>
    <row r="118">
      <c r="F118" s="3"/>
      <c r="G118" s="3"/>
      <c r="H118" s="2"/>
    </row>
    <row r="119">
      <c r="F119" s="3"/>
      <c r="G119" s="3"/>
      <c r="H119" s="2"/>
    </row>
    <row r="120">
      <c r="F120" s="3"/>
      <c r="G120" s="3"/>
      <c r="H120" s="2"/>
    </row>
    <row r="121">
      <c r="F121" s="3"/>
      <c r="G121" s="3"/>
      <c r="H121" s="2"/>
    </row>
    <row r="122">
      <c r="F122" s="3"/>
      <c r="G122" s="3"/>
      <c r="H122" s="2"/>
    </row>
    <row r="123">
      <c r="F123" s="3"/>
      <c r="G123" s="3"/>
      <c r="H123" s="2"/>
    </row>
    <row r="124">
      <c r="F124" s="3"/>
      <c r="G124" s="3"/>
      <c r="H124" s="2"/>
    </row>
    <row r="125">
      <c r="F125" s="3"/>
      <c r="G125" s="3"/>
      <c r="H125" s="2"/>
    </row>
    <row r="126">
      <c r="F126" s="3"/>
      <c r="G126" s="3"/>
      <c r="H126" s="2"/>
    </row>
    <row r="127">
      <c r="F127" s="3"/>
      <c r="G127" s="3"/>
      <c r="H127" s="2"/>
    </row>
    <row r="128">
      <c r="F128" s="3"/>
      <c r="G128" s="3"/>
      <c r="H128" s="2"/>
    </row>
    <row r="129">
      <c r="F129" s="3"/>
      <c r="G129" s="3"/>
      <c r="H129" s="2"/>
    </row>
    <row r="130">
      <c r="F130" s="3"/>
      <c r="G130" s="3"/>
      <c r="H130" s="2"/>
    </row>
    <row r="131">
      <c r="F131" s="3"/>
      <c r="G131" s="3"/>
      <c r="H131" s="2"/>
    </row>
    <row r="132">
      <c r="F132" s="3"/>
      <c r="G132" s="3"/>
      <c r="H132" s="2"/>
    </row>
    <row r="133">
      <c r="F133" s="3"/>
      <c r="G133" s="3"/>
      <c r="H133" s="2"/>
    </row>
    <row r="134">
      <c r="F134" s="3"/>
      <c r="G134" s="3"/>
      <c r="H134" s="2"/>
    </row>
    <row r="135">
      <c r="F135" s="3"/>
      <c r="G135" s="3"/>
      <c r="H135" s="2"/>
    </row>
    <row r="136">
      <c r="F136" s="3"/>
      <c r="G136" s="3"/>
      <c r="H136" s="2"/>
    </row>
    <row r="137">
      <c r="F137" s="3"/>
      <c r="G137" s="3"/>
      <c r="H137" s="2"/>
    </row>
    <row r="138">
      <c r="F138" s="3"/>
      <c r="G138" s="3"/>
      <c r="H138" s="2"/>
    </row>
    <row r="139">
      <c r="F139" s="3"/>
      <c r="G139" s="3"/>
      <c r="H139" s="2"/>
    </row>
    <row r="140">
      <c r="F140" s="3"/>
      <c r="G140" s="3"/>
      <c r="H140" s="2"/>
    </row>
    <row r="141">
      <c r="F141" s="3"/>
      <c r="G141" s="3"/>
      <c r="H141" s="2"/>
    </row>
    <row r="142">
      <c r="F142" s="3"/>
      <c r="G142" s="3"/>
      <c r="H142" s="2"/>
    </row>
    <row r="143">
      <c r="F143" s="3"/>
      <c r="G143" s="3"/>
      <c r="H143" s="2"/>
    </row>
    <row r="144">
      <c r="F144" s="3"/>
      <c r="G144" s="3"/>
      <c r="H144" s="2"/>
    </row>
    <row r="145">
      <c r="F145" s="3"/>
      <c r="G145" s="3"/>
      <c r="H145" s="2"/>
    </row>
    <row r="146">
      <c r="F146" s="3"/>
      <c r="G146" s="3"/>
      <c r="H146" s="2"/>
    </row>
    <row r="147">
      <c r="F147" s="3"/>
      <c r="G147" s="3"/>
      <c r="H147" s="2"/>
    </row>
    <row r="148">
      <c r="F148" s="3"/>
      <c r="G148" s="3"/>
      <c r="H148" s="2"/>
    </row>
    <row r="149">
      <c r="F149" s="3"/>
      <c r="G149" s="3"/>
      <c r="H149" s="2"/>
    </row>
    <row r="150">
      <c r="F150" s="3"/>
      <c r="G150" s="3"/>
      <c r="H150" s="2"/>
    </row>
    <row r="151">
      <c r="F151" s="3"/>
      <c r="G151" s="3"/>
      <c r="H151" s="2"/>
    </row>
    <row r="152">
      <c r="F152" s="3"/>
      <c r="G152" s="3"/>
      <c r="H152" s="2"/>
    </row>
    <row r="153">
      <c r="F153" s="3"/>
      <c r="G153" s="3"/>
      <c r="H153" s="2"/>
    </row>
    <row r="154">
      <c r="F154" s="3"/>
      <c r="G154" s="3"/>
      <c r="H154" s="2"/>
    </row>
    <row r="155">
      <c r="F155" s="3"/>
      <c r="G155" s="3"/>
      <c r="H155" s="2"/>
    </row>
    <row r="156">
      <c r="F156" s="3"/>
      <c r="G156" s="3"/>
      <c r="H156" s="2"/>
    </row>
    <row r="157">
      <c r="F157" s="3"/>
      <c r="G157" s="3"/>
      <c r="H157" s="2"/>
    </row>
    <row r="158">
      <c r="F158" s="3"/>
      <c r="G158" s="3"/>
      <c r="H158" s="2"/>
    </row>
    <row r="159">
      <c r="F159" s="3"/>
      <c r="G159" s="3"/>
      <c r="H159" s="2"/>
    </row>
    <row r="160">
      <c r="F160" s="3"/>
      <c r="G160" s="3"/>
      <c r="H160" s="2"/>
    </row>
    <row r="161">
      <c r="F161" s="3"/>
      <c r="G161" s="3"/>
      <c r="H161" s="2"/>
    </row>
    <row r="162">
      <c r="F162" s="3"/>
      <c r="G162" s="3"/>
      <c r="H162" s="2"/>
    </row>
    <row r="163">
      <c r="F163" s="3"/>
      <c r="G163" s="3"/>
      <c r="H163" s="2"/>
    </row>
    <row r="164">
      <c r="F164" s="3"/>
      <c r="G164" s="3"/>
      <c r="H164" s="2"/>
    </row>
    <row r="165">
      <c r="F165" s="3"/>
      <c r="G165" s="3"/>
      <c r="H165" s="2"/>
    </row>
    <row r="166">
      <c r="F166" s="3"/>
      <c r="G166" s="3"/>
      <c r="H166" s="2"/>
    </row>
    <row r="167">
      <c r="F167" s="3"/>
      <c r="G167" s="3"/>
      <c r="H167" s="2"/>
    </row>
    <row r="168">
      <c r="F168" s="3"/>
      <c r="G168" s="3"/>
      <c r="H168" s="2"/>
    </row>
    <row r="169">
      <c r="F169" s="3"/>
      <c r="G169" s="3"/>
      <c r="H169" s="2"/>
    </row>
    <row r="170">
      <c r="F170" s="3"/>
      <c r="G170" s="3"/>
      <c r="H170" s="2"/>
    </row>
    <row r="171">
      <c r="F171" s="3"/>
      <c r="G171" s="3"/>
      <c r="H171" s="2"/>
    </row>
    <row r="172">
      <c r="F172" s="3"/>
      <c r="G172" s="3"/>
      <c r="H172" s="2"/>
    </row>
    <row r="173">
      <c r="F173" s="3"/>
      <c r="G173" s="3"/>
      <c r="H173" s="2"/>
    </row>
    <row r="174">
      <c r="F174" s="3"/>
      <c r="G174" s="3"/>
      <c r="H174" s="2"/>
    </row>
    <row r="175">
      <c r="F175" s="3"/>
      <c r="G175" s="3"/>
      <c r="H175" s="2"/>
    </row>
    <row r="176">
      <c r="F176" s="3"/>
      <c r="G176" s="3"/>
      <c r="H176" s="2"/>
    </row>
    <row r="177">
      <c r="F177" s="3"/>
      <c r="G177" s="3"/>
      <c r="H177" s="2"/>
    </row>
    <row r="178">
      <c r="F178" s="3"/>
      <c r="G178" s="3"/>
      <c r="H178" s="2"/>
    </row>
    <row r="179">
      <c r="F179" s="3"/>
      <c r="G179" s="3"/>
      <c r="H179" s="2"/>
    </row>
    <row r="180">
      <c r="F180" s="3"/>
      <c r="G180" s="3"/>
      <c r="H180" s="2"/>
    </row>
    <row r="181">
      <c r="F181" s="3"/>
      <c r="G181" s="3"/>
      <c r="H181" s="2"/>
    </row>
    <row r="182">
      <c r="F182" s="3"/>
      <c r="G182" s="3"/>
      <c r="H182" s="2"/>
    </row>
    <row r="183">
      <c r="F183" s="3"/>
      <c r="G183" s="3"/>
      <c r="H183" s="2"/>
    </row>
    <row r="184">
      <c r="F184" s="3"/>
      <c r="G184" s="3"/>
      <c r="H184" s="2"/>
    </row>
    <row r="185">
      <c r="F185" s="3"/>
      <c r="G185" s="3"/>
      <c r="H185" s="2"/>
    </row>
    <row r="186">
      <c r="F186" s="3"/>
      <c r="G186" s="3"/>
      <c r="H186" s="2"/>
    </row>
    <row r="187">
      <c r="F187" s="3"/>
      <c r="G187" s="3"/>
      <c r="H187" s="2"/>
    </row>
    <row r="188">
      <c r="F188" s="3"/>
      <c r="G188" s="3"/>
      <c r="H188" s="2"/>
    </row>
    <row r="189">
      <c r="F189" s="3"/>
      <c r="G189" s="3"/>
      <c r="H189" s="2"/>
    </row>
    <row r="190">
      <c r="F190" s="3"/>
      <c r="G190" s="3"/>
      <c r="H190" s="2"/>
    </row>
    <row r="191">
      <c r="F191" s="3"/>
      <c r="G191" s="3"/>
      <c r="H191" s="2"/>
    </row>
    <row r="192">
      <c r="F192" s="3"/>
      <c r="G192" s="3"/>
      <c r="H192" s="2"/>
    </row>
    <row r="193">
      <c r="F193" s="3"/>
      <c r="G193" s="3"/>
      <c r="H193" s="2"/>
    </row>
    <row r="194">
      <c r="F194" s="3"/>
      <c r="G194" s="3"/>
      <c r="H194" s="2"/>
    </row>
    <row r="195">
      <c r="F195" s="3"/>
      <c r="G195" s="3"/>
      <c r="H195" s="2"/>
    </row>
    <row r="196">
      <c r="F196" s="3"/>
      <c r="G196" s="3"/>
      <c r="H196" s="2"/>
    </row>
    <row r="197">
      <c r="F197" s="3"/>
      <c r="G197" s="3"/>
      <c r="H197" s="2"/>
    </row>
    <row r="198">
      <c r="F198" s="3"/>
      <c r="G198" s="3"/>
      <c r="H198" s="2"/>
    </row>
    <row r="199">
      <c r="F199" s="3"/>
      <c r="G199" s="3"/>
      <c r="H199" s="2"/>
    </row>
    <row r="200">
      <c r="F200" s="3"/>
      <c r="G200" s="3"/>
      <c r="H200" s="2"/>
    </row>
  </sheetData>
  <conditionalFormatting sqref="B1:B1048576">
    <cfRule dxfId="1" priority="2" stopIfTrue="true" type="duplicateValues"/>
  </conditionalFormatting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DropDown="true" showErrorMessage="true" xr:uid="{4F9C1BDA-75E6-479C-8283-FD7A9B4AEF52}">
          <x14:formula1>
            <xm:f>'引用列表'!$AJ$2:$AJ$20</xm:f>
          </x14:formula1>
          <xm:sqref>G2:G200 H2:H200 F2:F200</xm:sqref>
        </x14:dataValidation>
      </x14:dataValidations>
    </ext>
  </extLst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ad355"/>
    <outlinePr summaryBelow="false" summaryRight="false"/>
  </sheetPr>
  <dimension ref="A1"/>
  <sheetViews>
    <sheetView showGridLines="true" workbookViewId="0">
      <pane state="frozen" topLeftCell="G2" xSplit="6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3" min="3" style="0" width="14"/>
    <col collapsed="false" customWidth="true" hidden="false" max="5" min="5" style="0" width="15"/>
    <col collapsed="false" customWidth="true" hidden="false" max="6" min="6" style="0" width="43"/>
    <col collapsed="false" customWidth="true" hidden="false" max="7" min="7" style="0" width="5"/>
    <col collapsed="false" customWidth="true" hidden="false" max="11" min="11" style="0" width="14"/>
    <col collapsed="false" customWidth="true" hidden="false" max="12" min="12" style="0" width="1"/>
    <col collapsed="false" customWidth="true" hidden="false" max="13" min="13" style="0" width="16"/>
    <col collapsed="false" customWidth="true" hidden="false" max="14" min="14" style="0" width="26"/>
    <col collapsed="false" customWidth="true" hidden="false" max="15" min="15" style="0" width="8"/>
    <col collapsed="false" customWidth="true" hidden="false" max="26" min="26" style="0" width="6"/>
  </cols>
  <sheetData>
    <row r="1">
      <c r="A1" s="4"/>
      <c r="B1" s="11" t="str">
        <v>World</v>
      </c>
      <c r="C1" s="4"/>
      <c r="D1" s="11" t="str">
        <v>Position</v>
      </c>
      <c r="E1" s="11" t="str">
        <v>Style Desc</v>
      </c>
      <c r="F1" s="4">
        <f>IF(G1&lt;&gt;"", G1&amp;"_", "") &amp; IF(B1&lt;&gt;"", B1, "") &amp; IF(D1&lt;&gt;"", "_" &amp; D1, "") &amp; IF(E1&lt;&gt;"", "_" &amp; E1, "")  &amp; IF(H1&lt;&gt;"", "_" &amp; H1, "") &amp; IF(I1&lt;&gt;"", "_" &amp; I1, "") &amp; IF(J1&lt;&gt;"", "_" &amp; J1, "") &amp; IF(K1&lt;&gt;"", "_" &amp; K1, "")</f>
      </c>
      <c r="G1" s="11" t="str">
        <v>Type</v>
      </c>
      <c r="H1" s="14" t="str">
        <v>Angle</v>
      </c>
      <c r="I1" s="14" t="str">
        <v>Face</v>
      </c>
      <c r="J1" s="70" t="str">
        <v>C1</v>
      </c>
      <c r="K1" s="70" t="str">
        <v>C2</v>
      </c>
      <c r="L1" s="11" t="str" xml:space="preserve">
        <v> </v>
      </c>
      <c r="M1" s="11" t="str">
        <v>Folder Name</v>
      </c>
      <c r="N1" s="11" t="str">
        <v>Row Name</v>
      </c>
      <c r="O1" s="14" t="str">
        <v>Mesh</v>
      </c>
      <c r="P1" s="14" t="str">
        <v>StartOpeningType</v>
      </c>
      <c r="Q1" s="70" t="str">
        <v>EndOpeningType</v>
      </c>
      <c r="R1" s="14" t="str">
        <v>LeftOpeningType</v>
      </c>
      <c r="S1" s="14" t="str">
        <v>RightOpeningType</v>
      </c>
      <c r="T1" s="14" t="str">
        <v>StartStyleType</v>
      </c>
      <c r="U1" s="14" t="str">
        <v>EndStyleType</v>
      </c>
      <c r="V1" s="14" t="str">
        <v>LeftStyleType</v>
      </c>
      <c r="W1" s="14" t="str">
        <v>RightStyleType</v>
      </c>
      <c r="X1" s="14" t="str">
        <v>bEndOnly</v>
      </c>
      <c r="Y1" s="7" t="str" xml:space="preserve">
        <v> </v>
      </c>
      <c r="Z1" s="6">
        <f>"建模 "&amp;COUNTIF(Z61:Z252,"✅")</f>
      </c>
      <c r="AA1" s="11" t="str">
        <v>材质实例</v>
      </c>
      <c r="AB1" s="11" t="str">
        <v>贴图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customHeight="true" ht="19" outlineLevel="1" r="2">
      <c r="A2" s="4"/>
      <c r="B2" s="20" t="str">
        <v>TheMine</v>
      </c>
      <c r="C2" s="4"/>
      <c r="D2" s="20" t="str">
        <v>Ground</v>
      </c>
      <c r="E2" s="19" t="str">
        <v>YellowSoil</v>
      </c>
      <c r="F2" s="4">
        <f>IF(G2&lt;&gt;"", G2&amp;"_", "") &amp; IF(B2&lt;&gt;"", B2, "") &amp; IF(D2&lt;&gt;"", "_" &amp; D2, "") &amp; IF(E2&lt;&gt;"", "_" &amp; E2, "")  &amp; IF(H2&lt;&gt;"", "_" &amp; H2, "") &amp; IF(I2&lt;&gt;"", "_" &amp; I2, "") &amp; IF(J2&lt;&gt;"", "_" &amp; J2, "") &amp; IF(K2&lt;&gt;"", "_" &amp; K2, "")</f>
      </c>
      <c r="G2" s="21" t="str">
        <v>SM</v>
      </c>
      <c r="H2" s="21" t="str">
        <v>C</v>
      </c>
      <c r="I2" s="21" t="str">
        <v>Single</v>
      </c>
      <c r="J2" s="23" t="str">
        <v>Major</v>
      </c>
      <c r="K2" s="22">
        <v>1</v>
      </c>
      <c r="L2" s="21"/>
      <c r="M2" s="20">
        <f>"World_"&amp;VLOOKUP(B2,'引用列表'!Q:R,2,FALSE)&amp;"_"&amp;B2&amp;IF(COUNTIF(D2,"*Hole*"),"/Hole","")</f>
      </c>
      <c r="N2" s="20">
        <f>IF(B2&lt;&gt;"", B2, "") &amp; IF(D2&lt;&gt;"", "_" &amp; D2, "") &amp; IF(E2&lt;&gt;"", "_" &amp; E2, "")  &amp; IF(H2&lt;&gt;"", "_" &amp; H2, "") &amp; IF(I2&lt;&gt;"", "_" &amp; I2, "") &amp; IF(J2&lt;&gt;"", "_" &amp; J2, "") &amp; IF(K2&lt;&gt;"", "_" &amp; K2, "")</f>
      </c>
      <c r="O2" s="19"/>
      <c r="P2" s="20"/>
      <c r="Q2" s="20"/>
      <c r="R2" s="21"/>
      <c r="S2" s="21"/>
      <c r="T2" s="19"/>
      <c r="U2" s="19"/>
      <c r="V2" s="21"/>
      <c r="W2" s="21"/>
      <c r="X2" s="20"/>
      <c r="Y2" s="21"/>
      <c r="Z2" s="24"/>
      <c r="AA2" s="20"/>
      <c r="AB2" s="20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</row>
    <row customHeight="true" ht="19" outlineLevel="1" r="3">
      <c r="A3" s="4"/>
      <c r="B3" s="20" t="str">
        <v>TheMine</v>
      </c>
      <c r="C3" s="4"/>
      <c r="D3" s="20" t="str">
        <v>Ground</v>
      </c>
      <c r="E3" s="19" t="str">
        <v>YellowSoil</v>
      </c>
      <c r="F3" s="4">
        <f>IF(G3&lt;&gt;"", G3&amp;"_", "") &amp; IF(B3&lt;&gt;"", B3, "") &amp; IF(D3&lt;&gt;"", "_" &amp; D3, "") &amp; IF(E3&lt;&gt;"", "_" &amp; E3, "")  &amp; IF(H3&lt;&gt;"", "_" &amp; H3, "") &amp; IF(I3&lt;&gt;"", "_" &amp; I3, "") &amp; IF(J3&lt;&gt;"", "_" &amp; J3, "") &amp; IF(K3&lt;&gt;"", "_" &amp; K3, "")</f>
      </c>
      <c r="G3" s="21" t="str">
        <v>SM</v>
      </c>
      <c r="H3" s="21" t="str">
        <v>T</v>
      </c>
      <c r="I3" s="21" t="str">
        <v>Single</v>
      </c>
      <c r="J3" s="23" t="str">
        <v>Major</v>
      </c>
      <c r="K3" s="22">
        <v>1</v>
      </c>
      <c r="L3" s="21"/>
      <c r="M3" s="20">
        <f>"World_"&amp;VLOOKUP(B3,'引用列表'!Q:R,2,FALSE)&amp;"_"&amp;B3&amp;IF(COUNTIF(D3,"*Hole*"),"/Hole","")</f>
      </c>
      <c r="N3" s="20">
        <f>IF(B3&lt;&gt;"", B3, "") &amp; IF(D3&lt;&gt;"", "_" &amp; D3, "") &amp; IF(E3&lt;&gt;"", "_" &amp; E3, "")  &amp; IF(H3&lt;&gt;"", "_" &amp; H3, "") &amp; IF(I3&lt;&gt;"", "_" &amp; I3, "") &amp; IF(J3&lt;&gt;"", "_" &amp; J3, "") &amp; IF(K3&lt;&gt;"", "_" &amp; K3, "")</f>
      </c>
      <c r="O3" s="19"/>
      <c r="P3" s="20"/>
      <c r="Q3" s="20"/>
      <c r="R3" s="21"/>
      <c r="S3" s="21"/>
      <c r="T3" s="19"/>
      <c r="U3" s="19"/>
      <c r="V3" s="21"/>
      <c r="W3" s="21"/>
      <c r="X3" s="20"/>
      <c r="Y3" s="21"/>
      <c r="Z3" s="24"/>
      <c r="AA3" s="20"/>
      <c r="AB3" s="20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</row>
    <row customHeight="true" ht="19" outlineLevel="1" r="4">
      <c r="A4" s="4"/>
      <c r="B4" s="20" t="str">
        <v>TheMine</v>
      </c>
      <c r="C4" s="4"/>
      <c r="D4" s="20" t="str">
        <v>Ground</v>
      </c>
      <c r="E4" s="19" t="str">
        <v>YellowSoil</v>
      </c>
      <c r="F4" s="4">
        <f>IF(G4&lt;&gt;"", G4&amp;"_", "") &amp; IF(B4&lt;&gt;"", B4, "") &amp; IF(D4&lt;&gt;"", "_" &amp; D4, "") &amp; IF(E4&lt;&gt;"", "_" &amp; E4, "")  &amp; IF(H4&lt;&gt;"", "_" &amp; H4, "") &amp; IF(I4&lt;&gt;"", "_" &amp; I4, "") &amp; IF(J4&lt;&gt;"", "_" &amp; J4, "") &amp; IF(K4&lt;&gt;"", "_" &amp; K4, "")</f>
      </c>
      <c r="G4" s="21" t="str">
        <v>SM</v>
      </c>
      <c r="H4" s="21" t="str">
        <v>TR</v>
      </c>
      <c r="I4" s="21" t="str">
        <v>Corner</v>
      </c>
      <c r="J4" s="23" t="str">
        <v>Major</v>
      </c>
      <c r="K4" s="22">
        <v>1</v>
      </c>
      <c r="L4" s="21"/>
      <c r="M4" s="20">
        <f>"World_"&amp;VLOOKUP(B4,'引用列表'!Q:R,2,FALSE)&amp;"_"&amp;B4&amp;IF(COUNTIF(D4,"*Hole*"),"/Hole","")</f>
      </c>
      <c r="N4" s="20">
        <f>IF(B4&lt;&gt;"", B4, "") &amp; IF(D4&lt;&gt;"", "_" &amp; D4, "") &amp; IF(E4&lt;&gt;"", "_" &amp; E4, "")  &amp; IF(H4&lt;&gt;"", "_" &amp; H4, "") &amp; IF(I4&lt;&gt;"", "_" &amp; I4, "") &amp; IF(J4&lt;&gt;"", "_" &amp; J4, "") &amp; IF(K4&lt;&gt;"", "_" &amp; K4, "")</f>
      </c>
      <c r="O4" s="19"/>
      <c r="P4" s="20"/>
      <c r="Q4" s="20"/>
      <c r="R4" s="21"/>
      <c r="S4" s="21"/>
      <c r="T4" s="19"/>
      <c r="U4" s="19"/>
      <c r="V4" s="21"/>
      <c r="W4" s="21"/>
      <c r="X4" s="20"/>
      <c r="Y4" s="21"/>
      <c r="Z4" s="24"/>
      <c r="AA4" s="20"/>
      <c r="AB4" s="20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</row>
    <row customHeight="true" ht="19" outlineLevel="1" r="5">
      <c r="A5" s="4"/>
      <c r="B5" s="64" t="str">
        <v>TheMine</v>
      </c>
      <c r="C5" s="4"/>
      <c r="D5" s="64" t="str">
        <v>Ground</v>
      </c>
      <c r="E5" s="66" t="str">
        <v>RedSoil</v>
      </c>
      <c r="F5" s="4">
        <f>IF(G5&lt;&gt;"", G5&amp;"_", "") &amp; IF(B5&lt;&gt;"", B5, "") &amp; IF(D5&lt;&gt;"", "_" &amp; D5, "") &amp; IF(E5&lt;&gt;"", "_" &amp; E5, "")  &amp; IF(H5&lt;&gt;"", "_" &amp; H5, "") &amp; IF(I5&lt;&gt;"", "_" &amp; I5, "") &amp; IF(J5&lt;&gt;"", "_" &amp; J5, "") &amp; IF(K5&lt;&gt;"", "_" &amp; K5, "")</f>
      </c>
      <c r="G5" s="65" t="str">
        <v>SM</v>
      </c>
      <c r="H5" s="65" t="str">
        <v>C</v>
      </c>
      <c r="I5" s="65" t="str">
        <v>Single</v>
      </c>
      <c r="J5" s="67" t="str">
        <v>Major</v>
      </c>
      <c r="K5" s="69">
        <v>1</v>
      </c>
      <c r="L5" s="65"/>
      <c r="M5" s="64">
        <f>"World_"&amp;VLOOKUP(B5,'引用列表'!Q:R,2,FALSE)&amp;"_"&amp;B5&amp;IF(COUNTIF(D5,"*Hole*"),"/Hole","")</f>
      </c>
      <c r="N5" s="64">
        <f>IF(B5&lt;&gt;"", B5, "") &amp; IF(D5&lt;&gt;"", "_" &amp; D5, "") &amp; IF(E5&lt;&gt;"", "_" &amp; E5, "")  &amp; IF(H5&lt;&gt;"", "_" &amp; H5, "") &amp; IF(I5&lt;&gt;"", "_" &amp; I5, "") &amp; IF(J5&lt;&gt;"", "_" &amp; J5, "") &amp; IF(K5&lt;&gt;"", "_" &amp; K5, "")</f>
      </c>
      <c r="O5" s="66"/>
      <c r="P5" s="64"/>
      <c r="Q5" s="64"/>
      <c r="R5" s="65"/>
      <c r="S5" s="65"/>
      <c r="T5" s="66"/>
      <c r="U5" s="66"/>
      <c r="V5" s="65"/>
      <c r="W5" s="65"/>
      <c r="X5" s="64"/>
      <c r="Y5" s="65"/>
      <c r="Z5" s="68"/>
      <c r="AA5" s="64"/>
      <c r="AB5" s="64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</row>
    <row customHeight="true" ht="19" outlineLevel="1" r="6">
      <c r="A6" s="4"/>
      <c r="B6" s="64" t="str">
        <v>TheMine</v>
      </c>
      <c r="C6" s="4"/>
      <c r="D6" s="64" t="str">
        <v>Ground</v>
      </c>
      <c r="E6" s="66" t="str">
        <v>RedSoil</v>
      </c>
      <c r="F6" s="4">
        <f>IF(G6&lt;&gt;"", G6&amp;"_", "") &amp; IF(B6&lt;&gt;"", B6, "") &amp; IF(D6&lt;&gt;"", "_" &amp; D6, "") &amp; IF(E6&lt;&gt;"", "_" &amp; E6, "")  &amp; IF(H6&lt;&gt;"", "_" &amp; H6, "") &amp; IF(I6&lt;&gt;"", "_" &amp; I6, "") &amp; IF(J6&lt;&gt;"", "_" &amp; J6, "") &amp; IF(K6&lt;&gt;"", "_" &amp; K6, "")</f>
      </c>
      <c r="G6" s="65" t="str">
        <v>SM</v>
      </c>
      <c r="H6" s="65" t="str">
        <v>T</v>
      </c>
      <c r="I6" s="65" t="str">
        <v>Single</v>
      </c>
      <c r="J6" s="67" t="str">
        <v>Major</v>
      </c>
      <c r="K6" s="69">
        <v>1</v>
      </c>
      <c r="L6" s="65"/>
      <c r="M6" s="64">
        <f>"World_"&amp;VLOOKUP(B6,'引用列表'!Q:R,2,FALSE)&amp;"_"&amp;B6&amp;IF(COUNTIF(D6,"*Hole*"),"/Hole","")</f>
      </c>
      <c r="N6" s="64">
        <f>IF(B6&lt;&gt;"", B6, "") &amp; IF(D6&lt;&gt;"", "_" &amp; D6, "") &amp; IF(E6&lt;&gt;"", "_" &amp; E6, "")  &amp; IF(H6&lt;&gt;"", "_" &amp; H6, "") &amp; IF(I6&lt;&gt;"", "_" &amp; I6, "") &amp; IF(J6&lt;&gt;"", "_" &amp; J6, "") &amp; IF(K6&lt;&gt;"", "_" &amp; K6, "")</f>
      </c>
      <c r="O6" s="66"/>
      <c r="P6" s="64"/>
      <c r="Q6" s="64"/>
      <c r="R6" s="65"/>
      <c r="S6" s="65"/>
      <c r="T6" s="66"/>
      <c r="U6" s="66"/>
      <c r="V6" s="65"/>
      <c r="W6" s="65"/>
      <c r="X6" s="64"/>
      <c r="Y6" s="65"/>
      <c r="Z6" s="68"/>
      <c r="AA6" s="64"/>
      <c r="AB6" s="64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</row>
    <row customHeight="true" ht="19" outlineLevel="1" r="7">
      <c r="A7" s="4"/>
      <c r="B7" s="64" t="str">
        <v>TheMine</v>
      </c>
      <c r="C7" s="4"/>
      <c r="D7" s="64" t="str">
        <v>Ground</v>
      </c>
      <c r="E7" s="66" t="str">
        <v>RedSoil</v>
      </c>
      <c r="F7" s="4">
        <f>IF(G7&lt;&gt;"", G7&amp;"_", "") &amp; IF(B7&lt;&gt;"", B7, "") &amp; IF(D7&lt;&gt;"", "_" &amp; D7, "") &amp; IF(E7&lt;&gt;"", "_" &amp; E7, "")  &amp; IF(H7&lt;&gt;"", "_" &amp; H7, "") &amp; IF(I7&lt;&gt;"", "_" &amp; I7, "") &amp; IF(J7&lt;&gt;"", "_" &amp; J7, "") &amp; IF(K7&lt;&gt;"", "_" &amp; K7, "")</f>
      </c>
      <c r="G7" s="65" t="str">
        <v>SM</v>
      </c>
      <c r="H7" s="65" t="str">
        <v>TR</v>
      </c>
      <c r="I7" s="65" t="str">
        <v>Corner</v>
      </c>
      <c r="J7" s="67" t="str">
        <v>Major</v>
      </c>
      <c r="K7" s="69">
        <v>1</v>
      </c>
      <c r="L7" s="65"/>
      <c r="M7" s="64">
        <f>"World_"&amp;VLOOKUP(B7,'引用列表'!Q:R,2,FALSE)&amp;"_"&amp;B7&amp;IF(COUNTIF(D7,"*Hole*"),"/Hole","")</f>
      </c>
      <c r="N7" s="64">
        <f>IF(B7&lt;&gt;"", B7, "") &amp; IF(D7&lt;&gt;"", "_" &amp; D7, "") &amp; IF(E7&lt;&gt;"", "_" &amp; E7, "")  &amp; IF(H7&lt;&gt;"", "_" &amp; H7, "") &amp; IF(I7&lt;&gt;"", "_" &amp; I7, "") &amp; IF(J7&lt;&gt;"", "_" &amp; J7, "") &amp; IF(K7&lt;&gt;"", "_" &amp; K7, "")</f>
      </c>
      <c r="O7" s="66"/>
      <c r="P7" s="64"/>
      <c r="Q7" s="64"/>
      <c r="R7" s="65"/>
      <c r="S7" s="65"/>
      <c r="T7" s="66"/>
      <c r="U7" s="66"/>
      <c r="V7" s="65"/>
      <c r="W7" s="65"/>
      <c r="X7" s="64"/>
      <c r="Y7" s="65"/>
      <c r="Z7" s="68"/>
      <c r="AA7" s="64"/>
      <c r="AB7" s="64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</row>
    <row customHeight="true" ht="19" outlineLevel="1" r="8">
      <c r="A8" s="4"/>
      <c r="B8" s="61" t="str">
        <v>TheMine</v>
      </c>
      <c r="C8" s="4"/>
      <c r="D8" s="61" t="str">
        <v>Ground</v>
      </c>
      <c r="E8" s="62" t="str">
        <v>RedToYellow</v>
      </c>
      <c r="F8" s="4">
        <f>IF(G8&lt;&gt;"", G8&amp;"_", "") &amp; IF(B8&lt;&gt;"", B8, "") &amp; IF(D8&lt;&gt;"", "_" &amp; D8, "") &amp; IF(E8&lt;&gt;"", "_" &amp; E8, "")  &amp; IF(H8&lt;&gt;"", "_" &amp; H8, "") &amp; IF(I8&lt;&gt;"", "_" &amp; I8, "") &amp; IF(J8&lt;&gt;"", "_" &amp; J8, "") &amp; IF(K8&lt;&gt;"", "_" &amp; K8, "")</f>
      </c>
      <c r="G8" s="60" t="str">
        <v>SM</v>
      </c>
      <c r="H8" s="60" t="str">
        <v>B</v>
      </c>
      <c r="I8" s="60" t="str">
        <v>Single</v>
      </c>
      <c r="J8" s="58" t="str">
        <v>Major</v>
      </c>
      <c r="K8" s="63">
        <v>1</v>
      </c>
      <c r="L8" s="60"/>
      <c r="M8" s="61">
        <f>"World_"&amp;VLOOKUP(B8,'引用列表'!Q:R,2,FALSE)&amp;"_"&amp;B8&amp;IF(COUNTIF(D8,"*Hole*"),"/Hole","")</f>
      </c>
      <c r="N8" s="61">
        <f>IF(B8&lt;&gt;"", B8, "") &amp; IF(D8&lt;&gt;"", "_" &amp; D8, "") &amp; IF(E8&lt;&gt;"", "_" &amp; E8, "")  &amp; IF(H8&lt;&gt;"", "_" &amp; H8, "") &amp; IF(I8&lt;&gt;"", "_" &amp; I8, "") &amp; IF(J8&lt;&gt;"", "_" &amp; J8, "") &amp; IF(K8&lt;&gt;"", "_" &amp; K8, "")</f>
      </c>
      <c r="O8" s="62"/>
      <c r="P8" s="61"/>
      <c r="Q8" s="61"/>
      <c r="R8" s="60"/>
      <c r="S8" s="60"/>
      <c r="T8" s="62"/>
      <c r="U8" s="62"/>
      <c r="V8" s="60"/>
      <c r="W8" s="60"/>
      <c r="X8" s="61"/>
      <c r="Y8" s="60"/>
      <c r="Z8" s="59"/>
      <c r="AA8" s="61"/>
      <c r="AB8" s="61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</row>
    <row customHeight="true" ht="19" outlineLevel="1" r="9">
      <c r="A9" s="4"/>
      <c r="B9" s="61" t="str">
        <v>TheMine</v>
      </c>
      <c r="C9" s="4"/>
      <c r="D9" s="61" t="str">
        <v>Ground</v>
      </c>
      <c r="E9" s="62" t="str">
        <v>RedToYellow</v>
      </c>
      <c r="F9" s="4">
        <f>IF(G9&lt;&gt;"", G9&amp;"_", "") &amp; IF(B9&lt;&gt;"", B9, "") &amp; IF(D9&lt;&gt;"", "_" &amp; D9, "") &amp; IF(E9&lt;&gt;"", "_" &amp; E9, "")  &amp; IF(H9&lt;&gt;"", "_" &amp; H9, "") &amp; IF(I9&lt;&gt;"", "_" &amp; I9, "") &amp; IF(J9&lt;&gt;"", "_" &amp; J9, "") &amp; IF(K9&lt;&gt;"", "_" &amp; K9, "")</f>
      </c>
      <c r="G9" s="60" t="str">
        <v>SM</v>
      </c>
      <c r="H9" s="60" t="str">
        <v>B</v>
      </c>
      <c r="I9" s="60" t="str">
        <v>Single</v>
      </c>
      <c r="J9" s="58" t="str">
        <v>Major</v>
      </c>
      <c r="K9" s="63">
        <v>2</v>
      </c>
      <c r="L9" s="60"/>
      <c r="M9" s="61">
        <f>"World_"&amp;VLOOKUP(B9,'引用列表'!Q:R,2,FALSE)&amp;"_"&amp;B9&amp;IF(COUNTIF(D9,"*Hole*"),"/Hole","")</f>
      </c>
      <c r="N9" s="61">
        <f>IF(B9&lt;&gt;"", B9, "") &amp; IF(D9&lt;&gt;"", "_" &amp; D9, "") &amp; IF(E9&lt;&gt;"", "_" &amp; E9, "")  &amp; IF(H9&lt;&gt;"", "_" &amp; H9, "") &amp; IF(I9&lt;&gt;"", "_" &amp; I9, "") &amp; IF(J9&lt;&gt;"", "_" &amp; J9, "") &amp; IF(K9&lt;&gt;"", "_" &amp; K9, "")</f>
      </c>
      <c r="O9" s="62"/>
      <c r="P9" s="61"/>
      <c r="Q9" s="61"/>
      <c r="R9" s="60"/>
      <c r="S9" s="60"/>
      <c r="T9" s="62"/>
      <c r="U9" s="62"/>
      <c r="V9" s="60"/>
      <c r="W9" s="60"/>
      <c r="X9" s="61"/>
      <c r="Y9" s="60"/>
      <c r="Z9" s="59"/>
      <c r="AA9" s="61"/>
      <c r="AB9" s="61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</row>
    <row customHeight="true" ht="19" outlineLevel="1" r="10">
      <c r="A10" s="4"/>
      <c r="B10" s="43" t="str">
        <v>TheMine</v>
      </c>
      <c r="C10" s="4"/>
      <c r="D10" s="43" t="str">
        <v>Ground</v>
      </c>
      <c r="E10" s="47" t="str">
        <v>RedSoil</v>
      </c>
      <c r="F10" s="4">
        <f>IF(G10&lt;&gt;"", G10&amp;"_", "") &amp; IF(B10&lt;&gt;"", B10, "") &amp; IF(D10&lt;&gt;"", "_" &amp; D10, "") &amp; IF(E10&lt;&gt;"", "_" &amp; E10, "")  &amp; IF(H10&lt;&gt;"", "_" &amp; H10, "") &amp; IF(I10&lt;&gt;"", "_" &amp; I10, "") &amp; IF(J10&lt;&gt;"", "_" &amp; J10, "") &amp; IF(K10&lt;&gt;"", "_" &amp; K10, "")</f>
      </c>
      <c r="G10" s="42" t="str">
        <v>SM</v>
      </c>
      <c r="H10" s="42" t="str">
        <v>C</v>
      </c>
      <c r="I10" s="42" t="str">
        <v>Hollow</v>
      </c>
      <c r="J10" s="44" t="str">
        <v>Major</v>
      </c>
      <c r="K10" s="45">
        <v>1</v>
      </c>
      <c r="L10" s="42"/>
      <c r="M10" s="43">
        <f>"World_"&amp;VLOOKUP(B10,'引用列表'!Q:R,2,FALSE)&amp;"_"&amp;B10&amp;IF(COUNTIF(D10,"*Hole*"),"/Hole","")</f>
      </c>
      <c r="N10" s="43">
        <f>IF(B10&lt;&gt;"", B10, "") &amp; IF(D10&lt;&gt;"", "_" &amp; D10, "") &amp; IF(E10&lt;&gt;"", "_" &amp; E10, "")  &amp; IF(H10&lt;&gt;"", "_" &amp; H10, "") &amp; IF(I10&lt;&gt;"", "_" &amp; I10, "") &amp; IF(J10&lt;&gt;"", "_" &amp; J10, "") &amp; IF(K10&lt;&gt;"", "_" &amp; K10, "")</f>
      </c>
      <c r="O10" s="47"/>
      <c r="P10" s="43"/>
      <c r="Q10" s="43"/>
      <c r="R10" s="42"/>
      <c r="S10" s="42"/>
      <c r="T10" s="47"/>
      <c r="U10" s="47"/>
      <c r="V10" s="42"/>
      <c r="W10" s="42"/>
      <c r="X10" s="43"/>
      <c r="Y10" s="42"/>
      <c r="Z10" s="46"/>
      <c r="AA10" s="43"/>
      <c r="AB10" s="43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</row>
    <row customHeight="true" ht="19" outlineLevel="1" r="11">
      <c r="A11" s="4"/>
      <c r="B11" s="43" t="str">
        <v>TheMine</v>
      </c>
      <c r="C11" s="4"/>
      <c r="D11" s="43" t="str">
        <v>Ground</v>
      </c>
      <c r="E11" s="47" t="str">
        <v>YellowSoil</v>
      </c>
      <c r="F11" s="4">
        <f>IF(G11&lt;&gt;"", G11&amp;"_", "") &amp; IF(B11&lt;&gt;"", B11, "") &amp; IF(D11&lt;&gt;"", "_" &amp; D11, "") &amp; IF(E11&lt;&gt;"", "_" &amp; E11, "")  &amp; IF(H11&lt;&gt;"", "_" &amp; H11, "") &amp; IF(I11&lt;&gt;"", "_" &amp; I11, "") &amp; IF(J11&lt;&gt;"", "_" &amp; J11, "") &amp; IF(K11&lt;&gt;"", "_" &amp; K11, "")</f>
      </c>
      <c r="G11" s="42" t="str">
        <v>SM</v>
      </c>
      <c r="H11" s="42" t="str">
        <v>C</v>
      </c>
      <c r="I11" s="42" t="str">
        <v>Hollow</v>
      </c>
      <c r="J11" s="44" t="str">
        <v>Major</v>
      </c>
      <c r="K11" s="45">
        <v>1</v>
      </c>
      <c r="L11" s="42"/>
      <c r="M11" s="43">
        <f>"World_"&amp;VLOOKUP(B11,'引用列表'!Q:R,2,FALSE)&amp;"_"&amp;B11&amp;IF(COUNTIF(D11,"*Hole*"),"/Hole","")</f>
      </c>
      <c r="N11" s="43">
        <f>IF(B11&lt;&gt;"", B11, "") &amp; IF(D11&lt;&gt;"", "_" &amp; D11, "") &amp; IF(E11&lt;&gt;"", "_" &amp; E11, "")  &amp; IF(H11&lt;&gt;"", "_" &amp; H11, "") &amp; IF(I11&lt;&gt;"", "_" &amp; I11, "") &amp; IF(J11&lt;&gt;"", "_" &amp; J11, "") &amp; IF(K11&lt;&gt;"", "_" &amp; K11, "")</f>
      </c>
      <c r="O11" s="47"/>
      <c r="P11" s="43"/>
      <c r="Q11" s="43"/>
      <c r="R11" s="42"/>
      <c r="S11" s="42"/>
      <c r="T11" s="47"/>
      <c r="U11" s="47"/>
      <c r="V11" s="42"/>
      <c r="W11" s="42"/>
      <c r="X11" s="43"/>
      <c r="Y11" s="42"/>
      <c r="Z11" s="46"/>
      <c r="AA11" s="43"/>
      <c r="AB11" s="43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</row>
    <row customHeight="true" ht="19" outlineLevel="1" r="12">
      <c r="A12" s="4"/>
      <c r="B12" s="43" t="str">
        <v>TheMine</v>
      </c>
      <c r="C12" s="4"/>
      <c r="D12" s="43" t="str">
        <v>Ground</v>
      </c>
      <c r="E12" s="47" t="str">
        <v>RedSoil</v>
      </c>
      <c r="F12" s="4">
        <f>IF(G12&lt;&gt;"", G12&amp;"_", "") &amp; IF(B12&lt;&gt;"", B12, "") &amp; IF(D12&lt;&gt;"", "_" &amp; D12, "") &amp; IF(E12&lt;&gt;"", "_" &amp; E12, "")  &amp; IF(H12&lt;&gt;"", "_" &amp; H12, "") &amp; IF(I12&lt;&gt;"", "_" &amp; I12, "") &amp; IF(J12&lt;&gt;"", "_" &amp; J12, "") &amp; IF(K12&lt;&gt;"", "_" &amp; K12, "")</f>
      </c>
      <c r="G12" s="42" t="str">
        <v>SM</v>
      </c>
      <c r="H12" s="50" t="str">
        <v>Round</v>
      </c>
      <c r="I12" s="42"/>
      <c r="J12" s="44"/>
      <c r="K12" s="45">
        <v>1</v>
      </c>
      <c r="L12" s="42"/>
      <c r="M12" s="43">
        <f>"World_"&amp;VLOOKUP(B12,'引用列表'!Q:R,2,FALSE)&amp;"_"&amp;B12&amp;IF(COUNTIF(D12,"*Hole*"),"/Hole","")</f>
      </c>
      <c r="N12" s="43">
        <f>IF(B12&lt;&gt;"", B12, "") &amp; IF(D12&lt;&gt;"", "_" &amp; D12, "") &amp; IF(E12&lt;&gt;"", "_" &amp; E12, "")  &amp; IF(H12&lt;&gt;"", "_" &amp; H12, "") &amp; IF(I12&lt;&gt;"", "_" &amp; I12, "") &amp; IF(J12&lt;&gt;"", "_" &amp; J12, "") &amp; IF(K12&lt;&gt;"", "_" &amp; K12, "")</f>
      </c>
      <c r="O12" s="47"/>
      <c r="P12" s="43"/>
      <c r="Q12" s="43"/>
      <c r="R12" s="42"/>
      <c r="S12" s="42"/>
      <c r="T12" s="47"/>
      <c r="U12" s="47"/>
      <c r="V12" s="42"/>
      <c r="W12" s="42"/>
      <c r="X12" s="43"/>
      <c r="Y12" s="42"/>
      <c r="Z12" s="46"/>
      <c r="AA12" s="43"/>
      <c r="AB12" s="43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</row>
    <row customHeight="true" ht="19" outlineLevel="1" r="13">
      <c r="A13" s="4"/>
      <c r="B13" s="43" t="str">
        <v>TheMine</v>
      </c>
      <c r="C13" s="4"/>
      <c r="D13" s="43" t="str">
        <v>Ground</v>
      </c>
      <c r="E13" s="47" t="str">
        <v>RedSoil</v>
      </c>
      <c r="F13" s="4">
        <f>IF(G13&lt;&gt;"", G13&amp;"_", "") &amp; IF(B13&lt;&gt;"", B13, "") &amp; IF(D13&lt;&gt;"", "_" &amp; D13, "") &amp; IF(E13&lt;&gt;"", "_" &amp; E13, "")  &amp; IF(H13&lt;&gt;"", "_" &amp; H13, "") &amp; IF(I13&lt;&gt;"", "_" &amp; I13, "") &amp; IF(J13&lt;&gt;"", "_" &amp; J13, "") &amp; IF(K13&lt;&gt;"", "_" &amp; K13, "")</f>
      </c>
      <c r="G13" s="42" t="str">
        <v>SM</v>
      </c>
      <c r="H13" s="50" t="str">
        <v>Round</v>
      </c>
      <c r="I13" s="42"/>
      <c r="J13" s="44"/>
      <c r="K13" s="45">
        <v>2</v>
      </c>
      <c r="L13" s="42"/>
      <c r="M13" s="43">
        <f>"World_"&amp;VLOOKUP(B13,'引用列表'!Q:R,2,FALSE)&amp;"_"&amp;B13&amp;IF(COUNTIF(D13,"*Hole*"),"/Hole","")</f>
      </c>
      <c r="N13" s="43">
        <f>IF(B13&lt;&gt;"", B13, "") &amp; IF(D13&lt;&gt;"", "_" &amp; D13, "") &amp; IF(E13&lt;&gt;"", "_" &amp; E13, "")  &amp; IF(H13&lt;&gt;"", "_" &amp; H13, "") &amp; IF(I13&lt;&gt;"", "_" &amp; I13, "") &amp; IF(J13&lt;&gt;"", "_" &amp; J13, "") &amp; IF(K13&lt;&gt;"", "_" &amp; K13, "")</f>
      </c>
      <c r="O13" s="47"/>
      <c r="P13" s="43"/>
      <c r="Q13" s="43"/>
      <c r="R13" s="42"/>
      <c r="S13" s="42"/>
      <c r="T13" s="47"/>
      <c r="U13" s="47"/>
      <c r="V13" s="42"/>
      <c r="W13" s="42"/>
      <c r="X13" s="43"/>
      <c r="Y13" s="42"/>
      <c r="Z13" s="46"/>
      <c r="AA13" s="43"/>
      <c r="AB13" s="43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</row>
    <row customHeight="true" ht="19" outlineLevel="1" r="14">
      <c r="A14" s="4"/>
      <c r="B14" s="43" t="str">
        <v>TheMine</v>
      </c>
      <c r="C14" s="4"/>
      <c r="D14" s="43" t="str">
        <v>Ground</v>
      </c>
      <c r="E14" s="47" t="str">
        <v>RedSoil</v>
      </c>
      <c r="F14" s="4">
        <f>IF(G14&lt;&gt;"", G14&amp;"_", "") &amp; IF(B14&lt;&gt;"", B14, "") &amp; IF(D14&lt;&gt;"", "_" &amp; D14, "") &amp; IF(E14&lt;&gt;"", "_" &amp; E14, "")  &amp; IF(H14&lt;&gt;"", "_" &amp; H14, "") &amp; IF(I14&lt;&gt;"", "_" &amp; I14, "") &amp; IF(J14&lt;&gt;"", "_" &amp; J14, "") &amp; IF(K14&lt;&gt;"", "_" &amp; K14, "")</f>
      </c>
      <c r="G14" s="42" t="str">
        <v>SM</v>
      </c>
      <c r="H14" s="50" t="str">
        <v>Round</v>
      </c>
      <c r="I14" s="42"/>
      <c r="J14" s="44"/>
      <c r="K14" s="45">
        <v>3</v>
      </c>
      <c r="L14" s="42"/>
      <c r="M14" s="43">
        <f>"World_"&amp;VLOOKUP(B14,'引用列表'!Q:R,2,FALSE)&amp;"_"&amp;B14&amp;IF(COUNTIF(D14,"*Hole*"),"/Hole","")</f>
      </c>
      <c r="N14" s="43">
        <f>IF(B14&lt;&gt;"", B14, "") &amp; IF(D14&lt;&gt;"", "_" &amp; D14, "") &amp; IF(E14&lt;&gt;"", "_" &amp; E14, "")  &amp; IF(H14&lt;&gt;"", "_" &amp; H14, "") &amp; IF(I14&lt;&gt;"", "_" &amp; I14, "") &amp; IF(J14&lt;&gt;"", "_" &amp; J14, "") &amp; IF(K14&lt;&gt;"", "_" &amp; K14, "")</f>
      </c>
      <c r="O14" s="47"/>
      <c r="P14" s="43"/>
      <c r="Q14" s="43"/>
      <c r="R14" s="42"/>
      <c r="S14" s="42"/>
      <c r="T14" s="47"/>
      <c r="U14" s="47"/>
      <c r="V14" s="42"/>
      <c r="W14" s="42"/>
      <c r="X14" s="43"/>
      <c r="Y14" s="42"/>
      <c r="Z14" s="46"/>
      <c r="AA14" s="43"/>
      <c r="AB14" s="43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</row>
    <row customHeight="true" ht="19" outlineLevel="1" r="15">
      <c r="A15" s="4"/>
      <c r="B15" s="43" t="str">
        <v>TheMine</v>
      </c>
      <c r="C15" s="4"/>
      <c r="D15" s="43" t="str">
        <v>Ground</v>
      </c>
      <c r="E15" s="47" t="str">
        <v>RedSoil</v>
      </c>
      <c r="F15" s="4">
        <f>IF(G15&lt;&gt;"", G15&amp;"_", "") &amp; IF(B15&lt;&gt;"", B15, "") &amp; IF(D15&lt;&gt;"", "_" &amp; D15, "") &amp; IF(E15&lt;&gt;"", "_" &amp; E15, "")  &amp; IF(H15&lt;&gt;"", "_" &amp; H15, "") &amp; IF(I15&lt;&gt;"", "_" &amp; I15, "") &amp; IF(J15&lt;&gt;"", "_" &amp; J15, "") &amp; IF(K15&lt;&gt;"", "_" &amp; K15, "")</f>
      </c>
      <c r="G15" s="42" t="str">
        <v>SM</v>
      </c>
      <c r="H15" s="50" t="str">
        <v>Round</v>
      </c>
      <c r="I15" s="42"/>
      <c r="J15" s="44"/>
      <c r="K15" s="45">
        <v>4</v>
      </c>
      <c r="L15" s="42"/>
      <c r="M15" s="43">
        <f>"World_"&amp;VLOOKUP(B15,'引用列表'!Q:R,2,FALSE)&amp;"_"&amp;B15&amp;IF(COUNTIF(D15,"*Hole*"),"/Hole","")</f>
      </c>
      <c r="N15" s="43">
        <f>IF(B15&lt;&gt;"", B15, "") &amp; IF(D15&lt;&gt;"", "_" &amp; D15, "") &amp; IF(E15&lt;&gt;"", "_" &amp; E15, "")  &amp; IF(H15&lt;&gt;"", "_" &amp; H15, "") &amp; IF(I15&lt;&gt;"", "_" &amp; I15, "") &amp; IF(J15&lt;&gt;"", "_" &amp; J15, "") &amp; IF(K15&lt;&gt;"", "_" &amp; K15, "")</f>
      </c>
      <c r="O15" s="47"/>
      <c r="P15" s="43"/>
      <c r="Q15" s="43"/>
      <c r="R15" s="42"/>
      <c r="S15" s="42"/>
      <c r="T15" s="47"/>
      <c r="U15" s="47"/>
      <c r="V15" s="42"/>
      <c r="W15" s="42"/>
      <c r="X15" s="43"/>
      <c r="Y15" s="42"/>
      <c r="Z15" s="46"/>
      <c r="AA15" s="43"/>
      <c r="AB15" s="43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</row>
    <row customHeight="true" ht="19" outlineLevel="1" r="16">
      <c r="A16" s="4"/>
      <c r="B16" s="43" t="str">
        <v>TheMine</v>
      </c>
      <c r="C16" s="4"/>
      <c r="D16" s="43" t="str">
        <v>Ground</v>
      </c>
      <c r="E16" s="47" t="str">
        <v>RedToYellow</v>
      </c>
      <c r="F16" s="4">
        <f>IF(G16&lt;&gt;"", G16&amp;"_", "") &amp; IF(B16&lt;&gt;"", B16, "") &amp; IF(D16&lt;&gt;"", "_" &amp; D16, "") &amp; IF(E16&lt;&gt;"", "_" &amp; E16, "")  &amp; IF(H16&lt;&gt;"", "_" &amp; H16, "") &amp; IF(I16&lt;&gt;"", "_" &amp; I16, "") &amp; IF(J16&lt;&gt;"", "_" &amp; J16, "") &amp; IF(K16&lt;&gt;"", "_" &amp; K16, "")</f>
      </c>
      <c r="G16" s="42" t="str">
        <v>SM</v>
      </c>
      <c r="H16" s="50" t="str">
        <v>Round</v>
      </c>
      <c r="I16" s="42"/>
      <c r="J16" s="44"/>
      <c r="K16" s="45">
        <v>1</v>
      </c>
      <c r="L16" s="42"/>
      <c r="M16" s="43">
        <f>"World_"&amp;VLOOKUP(B16,'引用列表'!Q:R,2,FALSE)&amp;"_"&amp;B16&amp;IF(COUNTIF(D16,"*Hole*"),"/Hole","")</f>
      </c>
      <c r="N16" s="43">
        <f>IF(B16&lt;&gt;"", B16, "") &amp; IF(D16&lt;&gt;"", "_" &amp; D16, "") &amp; IF(E16&lt;&gt;"", "_" &amp; E16, "")  &amp; IF(H16&lt;&gt;"", "_" &amp; H16, "") &amp; IF(I16&lt;&gt;"", "_" &amp; I16, "") &amp; IF(J16&lt;&gt;"", "_" &amp; J16, "") &amp; IF(K16&lt;&gt;"", "_" &amp; K16, "")</f>
      </c>
      <c r="O16" s="47"/>
      <c r="P16" s="43"/>
      <c r="Q16" s="43"/>
      <c r="R16" s="42"/>
      <c r="S16" s="42"/>
      <c r="T16" s="47"/>
      <c r="U16" s="47"/>
      <c r="V16" s="42"/>
      <c r="W16" s="42"/>
      <c r="X16" s="43"/>
      <c r="Y16" s="42"/>
      <c r="Z16" s="46"/>
      <c r="AA16" s="43"/>
      <c r="AB16" s="43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</row>
    <row customHeight="true" ht="19" outlineLevel="1" r="17">
      <c r="A17" s="4"/>
      <c r="B17" s="43" t="str">
        <v>TheMine</v>
      </c>
      <c r="C17" s="4"/>
      <c r="D17" s="43" t="str">
        <v>Ground</v>
      </c>
      <c r="E17" s="47" t="str">
        <v>RedToYellow</v>
      </c>
      <c r="F17" s="4">
        <f>IF(G17&lt;&gt;"", G17&amp;"_", "") &amp; IF(B17&lt;&gt;"", B17, "") &amp; IF(D17&lt;&gt;"", "_" &amp; D17, "") &amp; IF(E17&lt;&gt;"", "_" &amp; E17, "")  &amp; IF(H17&lt;&gt;"", "_" &amp; H17, "") &amp; IF(I17&lt;&gt;"", "_" &amp; I17, "") &amp; IF(J17&lt;&gt;"", "_" &amp; J17, "") &amp; IF(K17&lt;&gt;"", "_" &amp; K17, "")</f>
      </c>
      <c r="G17" s="42" t="str">
        <v>SM</v>
      </c>
      <c r="H17" s="50" t="str">
        <v>Round</v>
      </c>
      <c r="I17" s="42"/>
      <c r="J17" s="44"/>
      <c r="K17" s="45">
        <v>2</v>
      </c>
      <c r="L17" s="42"/>
      <c r="M17" s="43">
        <f>"World_"&amp;VLOOKUP(B17,'引用列表'!Q:R,2,FALSE)&amp;"_"&amp;B17&amp;IF(COUNTIF(D17,"*Hole*"),"/Hole","")</f>
      </c>
      <c r="N17" s="43">
        <f>IF(B17&lt;&gt;"", B17, "") &amp; IF(D17&lt;&gt;"", "_" &amp; D17, "") &amp; IF(E17&lt;&gt;"", "_" &amp; E17, "")  &amp; IF(H17&lt;&gt;"", "_" &amp; H17, "") &amp; IF(I17&lt;&gt;"", "_" &amp; I17, "") &amp; IF(J17&lt;&gt;"", "_" &amp; J17, "") &amp; IF(K17&lt;&gt;"", "_" &amp; K17, "")</f>
      </c>
      <c r="O17" s="47"/>
      <c r="P17" s="43"/>
      <c r="Q17" s="43"/>
      <c r="R17" s="42"/>
      <c r="S17" s="42"/>
      <c r="T17" s="47"/>
      <c r="U17" s="47"/>
      <c r="V17" s="42"/>
      <c r="W17" s="42"/>
      <c r="X17" s="43"/>
      <c r="Y17" s="42"/>
      <c r="Z17" s="46"/>
      <c r="AA17" s="43"/>
      <c r="AB17" s="43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</row>
    <row customHeight="true" ht="19" outlineLevel="1" r="18">
      <c r="A18" s="4"/>
      <c r="B18" s="43" t="str">
        <v>TheMine</v>
      </c>
      <c r="C18" s="4"/>
      <c r="D18" s="43" t="str">
        <v>Ground</v>
      </c>
      <c r="E18" s="47" t="str">
        <v>RedToYellow</v>
      </c>
      <c r="F18" s="4">
        <f>IF(G18&lt;&gt;"", G18&amp;"_", "") &amp; IF(B18&lt;&gt;"", B18, "") &amp; IF(D18&lt;&gt;"", "_" &amp; D18, "") &amp; IF(E18&lt;&gt;"", "_" &amp; E18, "")  &amp; IF(H18&lt;&gt;"", "_" &amp; H18, "") &amp; IF(I18&lt;&gt;"", "_" &amp; I18, "") &amp; IF(J18&lt;&gt;"", "_" &amp; J18, "") &amp; IF(K18&lt;&gt;"", "_" &amp; K18, "")</f>
      </c>
      <c r="G18" s="42" t="str">
        <v>SM</v>
      </c>
      <c r="H18" s="50" t="str">
        <v>Round</v>
      </c>
      <c r="I18" s="42"/>
      <c r="J18" s="44"/>
      <c r="K18" s="45">
        <v>3</v>
      </c>
      <c r="L18" s="42"/>
      <c r="M18" s="43">
        <f>"World_"&amp;VLOOKUP(B18,'引用列表'!Q:R,2,FALSE)&amp;"_"&amp;B18&amp;IF(COUNTIF(D18,"*Hole*"),"/Hole","")</f>
      </c>
      <c r="N18" s="43">
        <f>IF(B18&lt;&gt;"", B18, "") &amp; IF(D18&lt;&gt;"", "_" &amp; D18, "") &amp; IF(E18&lt;&gt;"", "_" &amp; E18, "")  &amp; IF(H18&lt;&gt;"", "_" &amp; H18, "") &amp; IF(I18&lt;&gt;"", "_" &amp; I18, "") &amp; IF(J18&lt;&gt;"", "_" &amp; J18, "") &amp; IF(K18&lt;&gt;"", "_" &amp; K18, "")</f>
      </c>
      <c r="O18" s="47"/>
      <c r="P18" s="43"/>
      <c r="Q18" s="43"/>
      <c r="R18" s="42"/>
      <c r="S18" s="42"/>
      <c r="T18" s="47"/>
      <c r="U18" s="47"/>
      <c r="V18" s="42"/>
      <c r="W18" s="42"/>
      <c r="X18" s="43"/>
      <c r="Y18" s="42"/>
      <c r="Z18" s="46"/>
      <c r="AA18" s="43"/>
      <c r="AB18" s="43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</row>
    <row customHeight="true" ht="19" outlineLevel="1" r="19">
      <c r="A19" s="38"/>
      <c r="B19" s="35" t="str">
        <v>TheMine</v>
      </c>
      <c r="C19" s="38"/>
      <c r="D19" s="35" t="str">
        <v>Ground</v>
      </c>
      <c r="E19" s="37" t="str">
        <v>YellowSoil</v>
      </c>
      <c r="F19" s="38">
        <f>IF(G19&lt;&gt;"", G19&amp;"_", "") &amp; IF(B19&lt;&gt;"", B19, "") &amp; IF(D19&lt;&gt;"", "_" &amp; D19, "") &amp; IF(E19&lt;&gt;"", "_" &amp; E19, "")  &amp; IF(H19&lt;&gt;"", "_" &amp; H19, "") &amp; IF(I19&lt;&gt;"", "_" &amp; I19, "") &amp; IF(J19&lt;&gt;"", "_" &amp; J19, "") &amp; IF(K19&lt;&gt;"", "_" &amp; K19, "")</f>
      </c>
      <c r="G19" s="36" t="str">
        <v>SM</v>
      </c>
      <c r="H19" s="49" t="str">
        <v>Hole</v>
      </c>
      <c r="I19" s="49">
        <v>20</v>
      </c>
      <c r="J19" s="40"/>
      <c r="K19" s="39">
        <v>1</v>
      </c>
      <c r="L19" s="36"/>
      <c r="M19" s="35">
        <f>"World_"&amp;VLOOKUP(B19,'引用列表'!Q:R,2,FALSE)&amp;"_"&amp;B19&amp;IF(COUNTIF(D19,"*Hole*"),"/Hole","")</f>
      </c>
      <c r="N19" s="35">
        <f>IF(B19&lt;&gt;"", B19, "") &amp; IF(D19&lt;&gt;"", "_" &amp; D19, "") &amp; IF(E19&lt;&gt;"", "_" &amp; E19, "")  &amp; IF(H19&lt;&gt;"", "_" &amp; H19, "") &amp; IF(I19&lt;&gt;"", "_" &amp; I19, "") &amp; IF(J19&lt;&gt;"", "_" &amp; J19, "") &amp; IF(K19&lt;&gt;"", "_" &amp; K19, "")</f>
      </c>
      <c r="O19" s="37"/>
      <c r="P19" s="35"/>
      <c r="Q19" s="35"/>
      <c r="R19" s="36"/>
      <c r="S19" s="36"/>
      <c r="T19" s="37"/>
      <c r="U19" s="37"/>
      <c r="V19" s="36"/>
      <c r="W19" s="36"/>
      <c r="X19" s="35"/>
      <c r="Y19" s="36"/>
      <c r="Z19" s="41"/>
      <c r="AA19" s="35"/>
      <c r="AB19" s="35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customHeight="true" ht="19" outlineLevel="1" r="20">
      <c r="A20" s="38"/>
      <c r="B20" s="35" t="str">
        <v>TheMine</v>
      </c>
      <c r="C20" s="38"/>
      <c r="D20" s="35" t="str">
        <v>Ground</v>
      </c>
      <c r="E20" s="37" t="str">
        <v>YellowSoil</v>
      </c>
      <c r="F20" s="38">
        <f>IF(G20&lt;&gt;"", G20&amp;"_", "") &amp; IF(B20&lt;&gt;"", B20, "") &amp; IF(D20&lt;&gt;"", "_" &amp; D20, "") &amp; IF(E20&lt;&gt;"", "_" &amp; E20, "")  &amp; IF(H20&lt;&gt;"", "_" &amp; H20, "") &amp; IF(I20&lt;&gt;"", "_" &amp; I20, "") &amp; IF(J20&lt;&gt;"", "_" &amp; J20, "") &amp; IF(K20&lt;&gt;"", "_" &amp; K20, "")</f>
      </c>
      <c r="G20" s="36" t="str">
        <v>SM</v>
      </c>
      <c r="H20" s="49" t="str">
        <v>Hole</v>
      </c>
      <c r="I20" s="49">
        <v>40</v>
      </c>
      <c r="J20" s="40"/>
      <c r="K20" s="39">
        <v>1</v>
      </c>
      <c r="L20" s="36"/>
      <c r="M20" s="35">
        <f>"World_"&amp;VLOOKUP(B20,'引用列表'!Q:R,2,FALSE)&amp;"_"&amp;B20&amp;IF(COUNTIF(D20,"*Hole*"),"/Hole","")</f>
      </c>
      <c r="N20" s="35">
        <f>IF(B20&lt;&gt;"", B20, "") &amp; IF(D20&lt;&gt;"", "_" &amp; D20, "") &amp; IF(E20&lt;&gt;"", "_" &amp; E20, "")  &amp; IF(H20&lt;&gt;"", "_" &amp; H20, "") &amp; IF(I20&lt;&gt;"", "_" &amp; I20, "") &amp; IF(J20&lt;&gt;"", "_" &amp; J20, "") &amp; IF(K20&lt;&gt;"", "_" &amp; K20, "")</f>
      </c>
      <c r="O20" s="37"/>
      <c r="P20" s="35"/>
      <c r="Q20" s="35"/>
      <c r="R20" s="36"/>
      <c r="S20" s="36"/>
      <c r="T20" s="37"/>
      <c r="U20" s="37"/>
      <c r="V20" s="36"/>
      <c r="W20" s="36"/>
      <c r="X20" s="35"/>
      <c r="Y20" s="36"/>
      <c r="Z20" s="41"/>
      <c r="AA20" s="35"/>
      <c r="AB20" s="35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customHeight="true" ht="19" outlineLevel="1" r="21">
      <c r="A21" s="38"/>
      <c r="B21" s="35" t="str">
        <v>TheMine</v>
      </c>
      <c r="C21" s="38"/>
      <c r="D21" s="35" t="str">
        <v>Ground</v>
      </c>
      <c r="E21" s="37" t="str">
        <v>YellowSoil</v>
      </c>
      <c r="F21" s="38">
        <f>IF(G21&lt;&gt;"", G21&amp;"_", "") &amp; IF(B21&lt;&gt;"", B21, "") &amp; IF(D21&lt;&gt;"", "_" &amp; D21, "") &amp; IF(E21&lt;&gt;"", "_" &amp; E21, "")  &amp; IF(H21&lt;&gt;"", "_" &amp; H21, "") &amp; IF(I21&lt;&gt;"", "_" &amp; I21, "") &amp; IF(J21&lt;&gt;"", "_" &amp; J21, "") &amp; IF(K21&lt;&gt;"", "_" &amp; K21, "")</f>
      </c>
      <c r="G21" s="36" t="str">
        <v>SM</v>
      </c>
      <c r="H21" s="49" t="str">
        <v>Hole</v>
      </c>
      <c r="I21" s="49">
        <v>60</v>
      </c>
      <c r="J21" s="40"/>
      <c r="K21" s="39">
        <v>1</v>
      </c>
      <c r="L21" s="36"/>
      <c r="M21" s="35">
        <f>"World_"&amp;VLOOKUP(B21,'引用列表'!Q:R,2,FALSE)&amp;"_"&amp;B21&amp;IF(COUNTIF(D21,"*Hole*"),"/Hole","")</f>
      </c>
      <c r="N21" s="35">
        <f>IF(B21&lt;&gt;"", B21, "") &amp; IF(D21&lt;&gt;"", "_" &amp; D21, "") &amp; IF(E21&lt;&gt;"", "_" &amp; E21, "")  &amp; IF(H21&lt;&gt;"", "_" &amp; H21, "") &amp; IF(I21&lt;&gt;"", "_" &amp; I21, "") &amp; IF(J21&lt;&gt;"", "_" &amp; J21, "") &amp; IF(K21&lt;&gt;"", "_" &amp; K21, "")</f>
      </c>
      <c r="O21" s="37"/>
      <c r="P21" s="35"/>
      <c r="Q21" s="35"/>
      <c r="R21" s="36"/>
      <c r="S21" s="36"/>
      <c r="T21" s="37"/>
      <c r="U21" s="37"/>
      <c r="V21" s="36"/>
      <c r="W21" s="36"/>
      <c r="X21" s="35"/>
      <c r="Y21" s="36"/>
      <c r="Z21" s="41"/>
      <c r="AA21" s="35"/>
      <c r="AB21" s="35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customHeight="true" ht="19" outlineLevel="1" r="22">
      <c r="A22" s="38"/>
      <c r="B22" s="35" t="str">
        <v>TheMine</v>
      </c>
      <c r="C22" s="38"/>
      <c r="D22" s="35" t="str">
        <v>Ground</v>
      </c>
      <c r="E22" s="37" t="str">
        <v>YellowSoil</v>
      </c>
      <c r="F22" s="38">
        <f>IF(G22&lt;&gt;"", G22&amp;"_", "") &amp; IF(B22&lt;&gt;"", B22, "") &amp; IF(D22&lt;&gt;"", "_" &amp; D22, "") &amp; IF(E22&lt;&gt;"", "_" &amp; E22, "")  &amp; IF(H22&lt;&gt;"", "_" &amp; H22, "") &amp; IF(I22&lt;&gt;"", "_" &amp; I22, "") &amp; IF(J22&lt;&gt;"", "_" &amp; J22, "") &amp; IF(K22&lt;&gt;"", "_" &amp; K22, "")</f>
      </c>
      <c r="G22" s="36" t="str">
        <v>SM</v>
      </c>
      <c r="H22" s="49" t="str">
        <v>Hole</v>
      </c>
      <c r="I22" s="49">
        <v>60</v>
      </c>
      <c r="J22" s="40"/>
      <c r="K22" s="39">
        <v>2</v>
      </c>
      <c r="L22" s="36"/>
      <c r="M22" s="35">
        <f>"World_"&amp;VLOOKUP(B22,'引用列表'!Q:R,2,FALSE)&amp;"_"&amp;B22&amp;IF(COUNTIF(D22,"*Hole*"),"/Hole","")</f>
      </c>
      <c r="N22" s="35">
        <f>IF(B22&lt;&gt;"", B22, "") &amp; IF(D22&lt;&gt;"", "_" &amp; D22, "") &amp; IF(E22&lt;&gt;"", "_" &amp; E22, "")  &amp; IF(H22&lt;&gt;"", "_" &amp; H22, "") &amp; IF(I22&lt;&gt;"", "_" &amp; I22, "") &amp; IF(J22&lt;&gt;"", "_" &amp; J22, "") &amp; IF(K22&lt;&gt;"", "_" &amp; K22, "")</f>
      </c>
      <c r="O22" s="37"/>
      <c r="P22" s="35"/>
      <c r="Q22" s="35"/>
      <c r="R22" s="36"/>
      <c r="S22" s="36"/>
      <c r="T22" s="37"/>
      <c r="U22" s="37"/>
      <c r="V22" s="36"/>
      <c r="W22" s="36"/>
      <c r="X22" s="35"/>
      <c r="Y22" s="36"/>
      <c r="Z22" s="41"/>
      <c r="AA22" s="35"/>
      <c r="AB22" s="35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customHeight="true" ht="19" outlineLevel="1" r="23">
      <c r="A23" s="38"/>
      <c r="B23" s="35" t="str">
        <v>TheMine</v>
      </c>
      <c r="C23" s="38"/>
      <c r="D23" s="35" t="str">
        <v>Ground</v>
      </c>
      <c r="E23" s="37" t="str">
        <v>RedSoil</v>
      </c>
      <c r="F23" s="38">
        <f>IF(G23&lt;&gt;"", G23&amp;"_", "") &amp; IF(B23&lt;&gt;"", B23, "") &amp; IF(D23&lt;&gt;"", "_" &amp; D23, "") &amp; IF(E23&lt;&gt;"", "_" &amp; E23, "")  &amp; IF(H23&lt;&gt;"", "_" &amp; H23, "") &amp; IF(I23&lt;&gt;"", "_" &amp; I23, "") &amp; IF(J23&lt;&gt;"", "_" &amp; J23, "") &amp; IF(K23&lt;&gt;"", "_" &amp; K23, "")</f>
      </c>
      <c r="G23" s="36" t="str">
        <v>SM</v>
      </c>
      <c r="H23" s="49" t="str">
        <v>Hole</v>
      </c>
      <c r="I23" s="49">
        <v>120</v>
      </c>
      <c r="J23" s="40"/>
      <c r="K23" s="39">
        <v>1</v>
      </c>
      <c r="L23" s="36"/>
      <c r="M23" s="35">
        <f>"World_"&amp;VLOOKUP(B23,'引用列表'!Q:R,2,FALSE)&amp;"_"&amp;B23&amp;IF(COUNTIF(D23,"*Hole*"),"/Hole","")</f>
      </c>
      <c r="N23" s="35">
        <f>IF(B23&lt;&gt;"", B23, "") &amp; IF(D23&lt;&gt;"", "_" &amp; D23, "") &amp; IF(E23&lt;&gt;"", "_" &amp; E23, "")  &amp; IF(H23&lt;&gt;"", "_" &amp; H23, "") &amp; IF(I23&lt;&gt;"", "_" &amp; I23, "") &amp; IF(J23&lt;&gt;"", "_" &amp; J23, "") &amp; IF(K23&lt;&gt;"", "_" &amp; K23, "")</f>
      </c>
      <c r="O23" s="37"/>
      <c r="P23" s="35"/>
      <c r="Q23" s="35"/>
      <c r="R23" s="36"/>
      <c r="S23" s="36"/>
      <c r="T23" s="37"/>
      <c r="U23" s="37"/>
      <c r="V23" s="36"/>
      <c r="W23" s="36"/>
      <c r="X23" s="35"/>
      <c r="Y23" s="36"/>
      <c r="Z23" s="41"/>
      <c r="AA23" s="35"/>
      <c r="AB23" s="35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customHeight="true" ht="19" outlineLevel="1" r="24">
      <c r="A24" s="38"/>
      <c r="B24" s="35" t="str">
        <v>TheMine</v>
      </c>
      <c r="C24" s="38"/>
      <c r="D24" s="35" t="str">
        <v>Ground</v>
      </c>
      <c r="E24" s="37" t="str">
        <v>RedSoil</v>
      </c>
      <c r="F24" s="38">
        <f>IF(G24&lt;&gt;"", G24&amp;"_", "") &amp; IF(B24&lt;&gt;"", B24, "") &amp; IF(D24&lt;&gt;"", "_" &amp; D24, "") &amp; IF(E24&lt;&gt;"", "_" &amp; E24, "")  &amp; IF(H24&lt;&gt;"", "_" &amp; H24, "") &amp; IF(I24&lt;&gt;"", "_" &amp; I24, "") &amp; IF(J24&lt;&gt;"", "_" &amp; J24, "") &amp; IF(K24&lt;&gt;"", "_" &amp; K24, "")</f>
      </c>
      <c r="G24" s="36" t="str">
        <v>SM</v>
      </c>
      <c r="H24" s="49" t="str">
        <v>Hole</v>
      </c>
      <c r="I24" s="49">
        <v>120</v>
      </c>
      <c r="J24" s="40"/>
      <c r="K24" s="39">
        <v>2</v>
      </c>
      <c r="L24" s="36"/>
      <c r="M24" s="35">
        <f>"World_"&amp;VLOOKUP(B24,'引用列表'!Q:R,2,FALSE)&amp;"_"&amp;B24&amp;IF(COUNTIF(D24,"*Hole*"),"/Hole","")</f>
      </c>
      <c r="N24" s="35">
        <f>IF(B24&lt;&gt;"", B24, "") &amp; IF(D24&lt;&gt;"", "_" &amp; D24, "") &amp; IF(E24&lt;&gt;"", "_" &amp; E24, "")  &amp; IF(H24&lt;&gt;"", "_" &amp; H24, "") &amp; IF(I24&lt;&gt;"", "_" &amp; I24, "") &amp; IF(J24&lt;&gt;"", "_" &amp; J24, "") &amp; IF(K24&lt;&gt;"", "_" &amp; K24, "")</f>
      </c>
      <c r="O24" s="37"/>
      <c r="P24" s="35"/>
      <c r="Q24" s="35"/>
      <c r="R24" s="36"/>
      <c r="S24" s="36"/>
      <c r="T24" s="37"/>
      <c r="U24" s="37"/>
      <c r="V24" s="36"/>
      <c r="W24" s="36"/>
      <c r="X24" s="35"/>
      <c r="Y24" s="36"/>
      <c r="Z24" s="41"/>
      <c r="AA24" s="35"/>
      <c r="AB24" s="35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customHeight="true" ht="19" outlineLevel="1" r="25">
      <c r="A25" s="38"/>
      <c r="B25" s="35" t="str">
        <v>TheMine</v>
      </c>
      <c r="C25" s="38"/>
      <c r="D25" s="35" t="str">
        <v>Ground</v>
      </c>
      <c r="E25" s="37" t="str">
        <v>RedToYellow</v>
      </c>
      <c r="F25" s="38">
        <f>IF(G25&lt;&gt;"", G25&amp;"_", "") &amp; IF(B25&lt;&gt;"", B25, "") &amp; IF(D25&lt;&gt;"", "_" &amp; D25, "") &amp; IF(E25&lt;&gt;"", "_" &amp; E25, "")  &amp; IF(H25&lt;&gt;"", "_" &amp; H25, "") &amp; IF(I25&lt;&gt;"", "_" &amp; I25, "") &amp; IF(J25&lt;&gt;"", "_" &amp; J25, "") &amp; IF(K25&lt;&gt;"", "_" &amp; K25, "")</f>
      </c>
      <c r="G25" s="36" t="str">
        <v>SM</v>
      </c>
      <c r="H25" s="49" t="str">
        <v>Hole</v>
      </c>
      <c r="I25" s="49">
        <v>120</v>
      </c>
      <c r="J25" s="40"/>
      <c r="K25" s="39">
        <v>1</v>
      </c>
      <c r="L25" s="36"/>
      <c r="M25" s="35">
        <f>"World_"&amp;VLOOKUP(B25,'引用列表'!Q:R,2,FALSE)&amp;"_"&amp;B25&amp;IF(COUNTIF(D25,"*Hole*"),"/Hole","")</f>
      </c>
      <c r="N25" s="35">
        <f>IF(B25&lt;&gt;"", B25, "") &amp; IF(D25&lt;&gt;"", "_" &amp; D25, "") &amp; IF(E25&lt;&gt;"", "_" &amp; E25, "")  &amp; IF(H25&lt;&gt;"", "_" &amp; H25, "") &amp; IF(I25&lt;&gt;"", "_" &amp; I25, "") &amp; IF(J25&lt;&gt;"", "_" &amp; J25, "") &amp; IF(K25&lt;&gt;"", "_" &amp; K25, "")</f>
      </c>
      <c r="O25" s="37"/>
      <c r="P25" s="35"/>
      <c r="Q25" s="35"/>
      <c r="R25" s="36"/>
      <c r="S25" s="36"/>
      <c r="T25" s="37"/>
      <c r="U25" s="37"/>
      <c r="V25" s="36"/>
      <c r="W25" s="36"/>
      <c r="X25" s="35"/>
      <c r="Y25" s="36"/>
      <c r="Z25" s="41"/>
      <c r="AA25" s="35"/>
      <c r="AB25" s="35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customHeight="true" ht="19" outlineLevel="1" r="26">
      <c r="A26" s="38"/>
      <c r="B26" s="35" t="str">
        <v>TheMine</v>
      </c>
      <c r="C26" s="38"/>
      <c r="D26" s="35" t="str">
        <v>Ground</v>
      </c>
      <c r="E26" s="37" t="str">
        <v>YellowSoil</v>
      </c>
      <c r="F26" s="38">
        <f>IF(G26&lt;&gt;"", G26&amp;"_", "") &amp; IF(B26&lt;&gt;"", B26, "") &amp; IF(D26&lt;&gt;"", "_" &amp; D26, "") &amp; IF(E26&lt;&gt;"", "_" &amp; E26, "")  &amp; IF(H26&lt;&gt;"", "_" &amp; H26, "") &amp; IF(I26&lt;&gt;"", "_" &amp; I26, "") &amp; IF(J26&lt;&gt;"", "_" &amp; J26, "") &amp; IF(K26&lt;&gt;"", "_" &amp; K26, "")</f>
      </c>
      <c r="G26" s="36" t="str">
        <v>SM</v>
      </c>
      <c r="H26" s="49" t="str">
        <v>Hole</v>
      </c>
      <c r="I26" s="49">
        <v>120</v>
      </c>
      <c r="J26" s="40"/>
      <c r="K26" s="39">
        <v>1</v>
      </c>
      <c r="L26" s="36"/>
      <c r="M26" s="35">
        <f>"World_"&amp;VLOOKUP(B26,'引用列表'!Q:R,2,FALSE)&amp;"_"&amp;B26&amp;IF(COUNTIF(D26,"*Hole*"),"/Hole","")</f>
      </c>
      <c r="N26" s="35">
        <f>IF(B26&lt;&gt;"", B26, "") &amp; IF(D26&lt;&gt;"", "_" &amp; D26, "") &amp; IF(E26&lt;&gt;"", "_" &amp; E26, "")  &amp; IF(H26&lt;&gt;"", "_" &amp; H26, "") &amp; IF(I26&lt;&gt;"", "_" &amp; I26, "") &amp; IF(J26&lt;&gt;"", "_" &amp; J26, "") &amp; IF(K26&lt;&gt;"", "_" &amp; K26, "")</f>
      </c>
      <c r="O26" s="37"/>
      <c r="P26" s="35"/>
      <c r="Q26" s="35"/>
      <c r="R26" s="36"/>
      <c r="S26" s="36"/>
      <c r="T26" s="37"/>
      <c r="U26" s="37"/>
      <c r="V26" s="36"/>
      <c r="W26" s="36"/>
      <c r="X26" s="35"/>
      <c r="Y26" s="36"/>
      <c r="Z26" s="41"/>
      <c r="AA26" s="35"/>
      <c r="AB26" s="35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customHeight="true" ht="19" outlineLevel="1" r="27">
      <c r="A27" s="38"/>
      <c r="B27" s="35" t="str">
        <v>TheMine</v>
      </c>
      <c r="C27" s="38"/>
      <c r="D27" s="35" t="str">
        <v>Ground</v>
      </c>
      <c r="E27" s="37" t="str">
        <v>YellowSoil</v>
      </c>
      <c r="F27" s="38">
        <f>IF(G27&lt;&gt;"", G27&amp;"_", "") &amp; IF(B27&lt;&gt;"", B27, "") &amp; IF(D27&lt;&gt;"", "_" &amp; D27, "") &amp; IF(E27&lt;&gt;"", "_" &amp; E27, "")  &amp; IF(H27&lt;&gt;"", "_" &amp; H27, "") &amp; IF(I27&lt;&gt;"", "_" &amp; I27, "") &amp; IF(J27&lt;&gt;"", "_" &amp; J27, "") &amp; IF(K27&lt;&gt;"", "_" &amp; K27, "")</f>
      </c>
      <c r="G27" s="36" t="str">
        <v>SM</v>
      </c>
      <c r="H27" s="49" t="str">
        <v>Hole</v>
      </c>
      <c r="I27" s="49">
        <v>120</v>
      </c>
      <c r="J27" s="40"/>
      <c r="K27" s="39">
        <v>2</v>
      </c>
      <c r="L27" s="36"/>
      <c r="M27" s="35">
        <f>"World_"&amp;VLOOKUP(B27,'引用列表'!Q:R,2,FALSE)&amp;"_"&amp;B27&amp;IF(COUNTIF(D27,"*Hole*"),"/Hole","")</f>
      </c>
      <c r="N27" s="35">
        <f>IF(B27&lt;&gt;"", B27, "") &amp; IF(D27&lt;&gt;"", "_" &amp; D27, "") &amp; IF(E27&lt;&gt;"", "_" &amp; E27, "")  &amp; IF(H27&lt;&gt;"", "_" &amp; H27, "") &amp; IF(I27&lt;&gt;"", "_" &amp; I27, "") &amp; IF(J27&lt;&gt;"", "_" &amp; J27, "") &amp; IF(K27&lt;&gt;"", "_" &amp; K27, "")</f>
      </c>
      <c r="O27" s="37"/>
      <c r="P27" s="35"/>
      <c r="Q27" s="35"/>
      <c r="R27" s="36"/>
      <c r="S27" s="36"/>
      <c r="T27" s="37"/>
      <c r="U27" s="37"/>
      <c r="V27" s="36"/>
      <c r="W27" s="36"/>
      <c r="X27" s="35"/>
      <c r="Y27" s="36"/>
      <c r="Z27" s="41"/>
      <c r="AA27" s="35"/>
      <c r="AB27" s="35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customHeight="true" ht="19" outlineLevel="1" r="28">
      <c r="A28" s="25"/>
      <c r="B28" s="20" t="str">
        <v>TheMine</v>
      </c>
      <c r="C28" s="25"/>
      <c r="D28" s="20" t="str">
        <v>Ground</v>
      </c>
      <c r="E28" s="19" t="str">
        <v>RedToYellow</v>
      </c>
      <c r="F28" s="25">
        <f>IF(G28&lt;&gt;"", G28&amp;"_", "") &amp; IF(B28&lt;&gt;"", B28, "") &amp; IF(D28&lt;&gt;"", "_" &amp; D28, "") &amp; IF(E28&lt;&gt;"", "_" &amp; E28, "")  &amp; IF(H28&lt;&gt;"", "_" &amp; H28, "") &amp; IF(I28&lt;&gt;"", "_" &amp; I28, "") &amp; IF(J28&lt;&gt;"", "_" &amp; J28, "") &amp; IF(K28&lt;&gt;"", "_" &amp; K28, "")</f>
      </c>
      <c r="G28" s="21" t="str">
        <v>SM</v>
      </c>
      <c r="H28" s="26" t="str">
        <v>C</v>
      </c>
      <c r="I28" s="26" t="str">
        <v>Hollow</v>
      </c>
      <c r="J28" s="23"/>
      <c r="K28" s="22">
        <v>1</v>
      </c>
      <c r="L28" s="21"/>
      <c r="M28" s="20">
        <f>"World_"&amp;VLOOKUP(B28,'引用列表'!Q:R,2,FALSE)&amp;"_"&amp;B28&amp;IF(COUNTIF(D28,"*Hole*"),"/Hole","")</f>
      </c>
      <c r="N28" s="20">
        <f>IF(B28&lt;&gt;"", B28, "") &amp; IF(D28&lt;&gt;"", "_" &amp; D28, "") &amp; IF(E28&lt;&gt;"", "_" &amp; E28, "")  &amp; IF(H28&lt;&gt;"", "_" &amp; H28, "") &amp; IF(I28&lt;&gt;"", "_" &amp; I28, "") &amp; IF(J28&lt;&gt;"", "_" &amp; J28, "") &amp; IF(K28&lt;&gt;"", "_" &amp; K28, "")</f>
      </c>
      <c r="O28" s="19"/>
      <c r="P28" s="20"/>
      <c r="Q28" s="20"/>
      <c r="R28" s="21"/>
      <c r="S28" s="21"/>
      <c r="T28" s="19"/>
      <c r="U28" s="19"/>
      <c r="V28" s="21"/>
      <c r="W28" s="21"/>
      <c r="X28" s="20"/>
      <c r="Y28" s="21"/>
      <c r="Z28" s="24"/>
      <c r="AA28" s="20"/>
      <c r="AB28" s="20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</row>
    <row customHeight="true" ht="19" outlineLevel="1" r="29">
      <c r="A29" s="25"/>
      <c r="B29" s="20" t="str">
        <v>TheMine</v>
      </c>
      <c r="C29" s="25"/>
      <c r="D29" s="20" t="str">
        <v>Ground</v>
      </c>
      <c r="E29" s="19" t="str">
        <v>RedToYellow</v>
      </c>
      <c r="F29" s="25">
        <f>IF(G29&lt;&gt;"", G29&amp;"_", "") &amp; IF(B29&lt;&gt;"", B29, "") &amp; IF(D29&lt;&gt;"", "_" &amp; D29, "") &amp; IF(E29&lt;&gt;"", "_" &amp; E29, "")  &amp; IF(H29&lt;&gt;"", "_" &amp; H29, "") &amp; IF(I29&lt;&gt;"", "_" &amp; I29, "") &amp; IF(J29&lt;&gt;"", "_" &amp; J29, "") &amp; IF(K29&lt;&gt;"", "_" &amp; K29, "")</f>
      </c>
      <c r="G29" s="21" t="str">
        <v>SM</v>
      </c>
      <c r="H29" s="26" t="str">
        <v>T</v>
      </c>
      <c r="I29" s="26" t="str">
        <v>Single</v>
      </c>
      <c r="J29" s="23"/>
      <c r="K29" s="22">
        <v>1</v>
      </c>
      <c r="L29" s="21"/>
      <c r="M29" s="20">
        <f>"World_"&amp;VLOOKUP(B29,'引用列表'!Q:R,2,FALSE)&amp;"_"&amp;B29&amp;IF(COUNTIF(D29,"*Hole*"),"/Hole","")</f>
      </c>
      <c r="N29" s="20">
        <f>IF(B29&lt;&gt;"", B29, "") &amp; IF(D29&lt;&gt;"", "_" &amp; D29, "") &amp; IF(E29&lt;&gt;"", "_" &amp; E29, "")  &amp; IF(H29&lt;&gt;"", "_" &amp; H29, "") &amp; IF(I29&lt;&gt;"", "_" &amp; I29, "") &amp; IF(J29&lt;&gt;"", "_" &amp; J29, "") &amp; IF(K29&lt;&gt;"", "_" &amp; K29, "")</f>
      </c>
      <c r="O29" s="19"/>
      <c r="P29" s="20"/>
      <c r="Q29" s="20"/>
      <c r="R29" s="21"/>
      <c r="S29" s="21"/>
      <c r="T29" s="19"/>
      <c r="U29" s="19"/>
      <c r="V29" s="21"/>
      <c r="W29" s="21"/>
      <c r="X29" s="20"/>
      <c r="Y29" s="21"/>
      <c r="Z29" s="24"/>
      <c r="AA29" s="20"/>
      <c r="AB29" s="20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</row>
    <row customHeight="true" ht="19" outlineLevel="1" r="30">
      <c r="A30" s="25"/>
      <c r="B30" s="20" t="str">
        <v>TheMine</v>
      </c>
      <c r="C30" s="25"/>
      <c r="D30" s="20" t="str">
        <v>Ground</v>
      </c>
      <c r="E30" s="19" t="str">
        <v>RedToYellow</v>
      </c>
      <c r="F30" s="25">
        <f>IF(G30&lt;&gt;"", G30&amp;"_", "") &amp; IF(B30&lt;&gt;"", B30, "") &amp; IF(D30&lt;&gt;"", "_" &amp; D30, "") &amp; IF(E30&lt;&gt;"", "_" &amp; E30, "")  &amp; IF(H30&lt;&gt;"", "_" &amp; H30, "") &amp; IF(I30&lt;&gt;"", "_" &amp; I30, "") &amp; IF(J30&lt;&gt;"", "_" &amp; J30, "") &amp; IF(K30&lt;&gt;"", "_" &amp; K30, "")</f>
      </c>
      <c r="G30" s="21" t="str">
        <v>SM</v>
      </c>
      <c r="H30" s="26" t="str">
        <v>Deco</v>
      </c>
      <c r="I30" s="26">
        <v>120</v>
      </c>
      <c r="J30" s="23"/>
      <c r="K30" s="22">
        <v>1</v>
      </c>
      <c r="L30" s="21"/>
      <c r="M30" s="20">
        <f>"World_"&amp;VLOOKUP(B30,'引用列表'!Q:R,2,FALSE)&amp;"_"&amp;B30&amp;IF(COUNTIF(D30,"*Hole*"),"/Hole","")</f>
      </c>
      <c r="N30" s="20">
        <f>IF(B30&lt;&gt;"", B30, "") &amp; IF(D30&lt;&gt;"", "_" &amp; D30, "") &amp; IF(E30&lt;&gt;"", "_" &amp; E30, "")  &amp; IF(H30&lt;&gt;"", "_" &amp; H30, "") &amp; IF(I30&lt;&gt;"", "_" &amp; I30, "") &amp; IF(J30&lt;&gt;"", "_" &amp; J30, "") &amp; IF(K30&lt;&gt;"", "_" &amp; K30, "")</f>
      </c>
      <c r="O30" s="19"/>
      <c r="P30" s="20"/>
      <c r="Q30" s="20"/>
      <c r="R30" s="21"/>
      <c r="S30" s="21"/>
      <c r="T30" s="19"/>
      <c r="U30" s="19"/>
      <c r="V30" s="21"/>
      <c r="W30" s="21"/>
      <c r="X30" s="20"/>
      <c r="Y30" s="21"/>
      <c r="Z30" s="24"/>
      <c r="AA30" s="20"/>
      <c r="AB30" s="20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</row>
    <row customHeight="true" ht="19" outlineLevel="1" r="31">
      <c r="A31" s="25"/>
      <c r="B31" s="20" t="str">
        <v>TheMine</v>
      </c>
      <c r="C31" s="25"/>
      <c r="D31" s="20" t="str">
        <v>Ground</v>
      </c>
      <c r="E31" s="19" t="str">
        <v>RedToYellow</v>
      </c>
      <c r="F31" s="25">
        <f>IF(G31&lt;&gt;"", G31&amp;"_", "") &amp; IF(B31&lt;&gt;"", B31, "") &amp; IF(D31&lt;&gt;"", "_" &amp; D31, "") &amp; IF(E31&lt;&gt;"", "_" &amp; E31, "")  &amp; IF(H31&lt;&gt;"", "_" &amp; H31, "") &amp; IF(I31&lt;&gt;"", "_" &amp; I31, "") &amp; IF(J31&lt;&gt;"", "_" &amp; J31, "") &amp; IF(K31&lt;&gt;"", "_" &amp; K31, "")</f>
      </c>
      <c r="G31" s="21" t="str">
        <v>SM</v>
      </c>
      <c r="H31" s="26" t="str">
        <v>Deco</v>
      </c>
      <c r="I31" s="26">
        <v>120</v>
      </c>
      <c r="J31" s="23"/>
      <c r="K31" s="22">
        <v>2</v>
      </c>
      <c r="L31" s="21"/>
      <c r="M31" s="20">
        <f>"World_"&amp;VLOOKUP(B31,'引用列表'!Q:R,2,FALSE)&amp;"_"&amp;B31&amp;IF(COUNTIF(D31,"*Hole*"),"/Hole","")</f>
      </c>
      <c r="N31" s="20">
        <f>IF(B31&lt;&gt;"", B31, "") &amp; IF(D31&lt;&gt;"", "_" &amp; D31, "") &amp; IF(E31&lt;&gt;"", "_" &amp; E31, "")  &amp; IF(H31&lt;&gt;"", "_" &amp; H31, "") &amp; IF(I31&lt;&gt;"", "_" &amp; I31, "") &amp; IF(J31&lt;&gt;"", "_" &amp; J31, "") &amp; IF(K31&lt;&gt;"", "_" &amp; K31, "")</f>
      </c>
      <c r="O31" s="19"/>
      <c r="P31" s="20"/>
      <c r="Q31" s="20"/>
      <c r="R31" s="21"/>
      <c r="S31" s="21"/>
      <c r="T31" s="19"/>
      <c r="U31" s="19"/>
      <c r="V31" s="21"/>
      <c r="W31" s="21"/>
      <c r="X31" s="20"/>
      <c r="Y31" s="21"/>
      <c r="Z31" s="24"/>
      <c r="AA31" s="20"/>
      <c r="AB31" s="20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</row>
    <row customHeight="true" ht="19" outlineLevel="1" r="32">
      <c r="A32" s="25"/>
      <c r="B32" s="20" t="str">
        <v>TheMine</v>
      </c>
      <c r="C32" s="25"/>
      <c r="D32" s="20" t="str">
        <v>Ground</v>
      </c>
      <c r="E32" s="19" t="str">
        <v>RedToYellow</v>
      </c>
      <c r="F32" s="25">
        <f>IF(G32&lt;&gt;"", G32&amp;"_", "") &amp; IF(B32&lt;&gt;"", B32, "") &amp; IF(D32&lt;&gt;"", "_" &amp; D32, "") &amp; IF(E32&lt;&gt;"", "_" &amp; E32, "")  &amp; IF(H32&lt;&gt;"", "_" &amp; H32, "") &amp; IF(I32&lt;&gt;"", "_" &amp; I32, "") &amp; IF(J32&lt;&gt;"", "_" &amp; J32, "") &amp; IF(K32&lt;&gt;"", "_" &amp; K32, "")</f>
      </c>
      <c r="G32" s="21" t="str">
        <v>SM</v>
      </c>
      <c r="H32" s="26" t="str">
        <v>Deco</v>
      </c>
      <c r="I32" s="26">
        <v>120</v>
      </c>
      <c r="J32" s="23"/>
      <c r="K32" s="22">
        <v>3</v>
      </c>
      <c r="L32" s="21"/>
      <c r="M32" s="20">
        <f>"World_"&amp;VLOOKUP(B32,'引用列表'!Q:R,2,FALSE)&amp;"_"&amp;B32&amp;IF(COUNTIF(D32,"*Hole*"),"/Hole","")</f>
      </c>
      <c r="N32" s="20">
        <f>IF(B32&lt;&gt;"", B32, "") &amp; IF(D32&lt;&gt;"", "_" &amp; D32, "") &amp; IF(E32&lt;&gt;"", "_" &amp; E32, "")  &amp; IF(H32&lt;&gt;"", "_" &amp; H32, "") &amp; IF(I32&lt;&gt;"", "_" &amp; I32, "") &amp; IF(J32&lt;&gt;"", "_" &amp; J32, "") &amp; IF(K32&lt;&gt;"", "_" &amp; K32, "")</f>
      </c>
      <c r="O32" s="19"/>
      <c r="P32" s="20"/>
      <c r="Q32" s="20"/>
      <c r="R32" s="21"/>
      <c r="S32" s="21"/>
      <c r="T32" s="19"/>
      <c r="U32" s="19"/>
      <c r="V32" s="21"/>
      <c r="W32" s="21"/>
      <c r="X32" s="20"/>
      <c r="Y32" s="21"/>
      <c r="Z32" s="24"/>
      <c r="AA32" s="20"/>
      <c r="AB32" s="20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</row>
    <row customHeight="true" ht="19" outlineLevel="1" r="33">
      <c r="A33" s="25"/>
      <c r="B33" s="20" t="str">
        <v>TheMine</v>
      </c>
      <c r="C33" s="25"/>
      <c r="D33" s="20" t="str">
        <v>Ground</v>
      </c>
      <c r="E33" s="19" t="str">
        <v>RedToYellow</v>
      </c>
      <c r="F33" s="25">
        <f>IF(G33&lt;&gt;"", G33&amp;"_", "") &amp; IF(B33&lt;&gt;"", B33, "") &amp; IF(D33&lt;&gt;"", "_" &amp; D33, "") &amp; IF(E33&lt;&gt;"", "_" &amp; E33, "")  &amp; IF(H33&lt;&gt;"", "_" &amp; H33, "") &amp; IF(I33&lt;&gt;"", "_" &amp; I33, "") &amp; IF(J33&lt;&gt;"", "_" &amp; J33, "") &amp; IF(K33&lt;&gt;"", "_" &amp; K33, "")</f>
      </c>
      <c r="G33" s="21" t="str">
        <v>SM</v>
      </c>
      <c r="H33" s="26" t="str">
        <v>Deco</v>
      </c>
      <c r="I33" s="26">
        <v>120</v>
      </c>
      <c r="J33" s="23"/>
      <c r="K33" s="22">
        <v>4</v>
      </c>
      <c r="L33" s="21"/>
      <c r="M33" s="20">
        <f>"World_"&amp;VLOOKUP(B33,'引用列表'!Q:R,2,FALSE)&amp;"_"&amp;B33&amp;IF(COUNTIF(D33,"*Hole*"),"/Hole","")</f>
      </c>
      <c r="N33" s="20">
        <f>IF(B33&lt;&gt;"", B33, "") &amp; IF(D33&lt;&gt;"", "_" &amp; D33, "") &amp; IF(E33&lt;&gt;"", "_" &amp; E33, "")  &amp; IF(H33&lt;&gt;"", "_" &amp; H33, "") &amp; IF(I33&lt;&gt;"", "_" &amp; I33, "") &amp; IF(J33&lt;&gt;"", "_" &amp; J33, "") &amp; IF(K33&lt;&gt;"", "_" &amp; K33, "")</f>
      </c>
      <c r="O33" s="19"/>
      <c r="P33" s="20"/>
      <c r="Q33" s="20"/>
      <c r="R33" s="21"/>
      <c r="S33" s="21"/>
      <c r="T33" s="19"/>
      <c r="U33" s="19"/>
      <c r="V33" s="21"/>
      <c r="W33" s="21"/>
      <c r="X33" s="20"/>
      <c r="Y33" s="21"/>
      <c r="Z33" s="24"/>
      <c r="AA33" s="20"/>
      <c r="AB33" s="20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</row>
    <row customHeight="true" ht="19" outlineLevel="1" r="34">
      <c r="A34" s="25"/>
      <c r="B34" s="20" t="str">
        <v>TheMine</v>
      </c>
      <c r="C34" s="25"/>
      <c r="D34" s="20" t="str">
        <v>Ground</v>
      </c>
      <c r="E34" s="19" t="str">
        <v>RedToYellow</v>
      </c>
      <c r="F34" s="25">
        <f>IF(G34&lt;&gt;"", G34&amp;"_", "") &amp; IF(B34&lt;&gt;"", B34, "") &amp; IF(D34&lt;&gt;"", "_" &amp; D34, "") &amp; IF(E34&lt;&gt;"", "_" &amp; E34, "")  &amp; IF(H34&lt;&gt;"", "_" &amp; H34, "") &amp; IF(I34&lt;&gt;"", "_" &amp; I34, "") &amp; IF(J34&lt;&gt;"", "_" &amp; J34, "") &amp; IF(K34&lt;&gt;"", "_" &amp; K34, "")</f>
      </c>
      <c r="G34" s="21" t="str">
        <v>SM</v>
      </c>
      <c r="H34" s="26" t="str">
        <v>Deco</v>
      </c>
      <c r="I34" s="26">
        <v>120</v>
      </c>
      <c r="J34" s="23"/>
      <c r="K34" s="22">
        <v>5</v>
      </c>
      <c r="L34" s="21"/>
      <c r="M34" s="20">
        <f>"World_"&amp;VLOOKUP(B34,'引用列表'!Q:R,2,FALSE)&amp;"_"&amp;B34&amp;IF(COUNTIF(D34,"*Hole*"),"/Hole","")</f>
      </c>
      <c r="N34" s="20">
        <f>IF(B34&lt;&gt;"", B34, "") &amp; IF(D34&lt;&gt;"", "_" &amp; D34, "") &amp; IF(E34&lt;&gt;"", "_" &amp; E34, "")  &amp; IF(H34&lt;&gt;"", "_" &amp; H34, "") &amp; IF(I34&lt;&gt;"", "_" &amp; I34, "") &amp; IF(J34&lt;&gt;"", "_" &amp; J34, "") &amp; IF(K34&lt;&gt;"", "_" &amp; K34, "")</f>
      </c>
      <c r="O34" s="19"/>
      <c r="P34" s="20"/>
      <c r="Q34" s="20"/>
      <c r="R34" s="21"/>
      <c r="S34" s="21"/>
      <c r="T34" s="19"/>
      <c r="U34" s="19"/>
      <c r="V34" s="21"/>
      <c r="W34" s="21"/>
      <c r="X34" s="20"/>
      <c r="Y34" s="21"/>
      <c r="Z34" s="24"/>
      <c r="AA34" s="20"/>
      <c r="AB34" s="20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</row>
    <row customHeight="true" ht="19" outlineLevel="1" r="35">
      <c r="A35" s="25"/>
      <c r="B35" s="20" t="str">
        <v>TheMine</v>
      </c>
      <c r="C35" s="25"/>
      <c r="D35" s="20" t="str">
        <v>Ground</v>
      </c>
      <c r="E35" s="19" t="str">
        <v>RedToYellow</v>
      </c>
      <c r="F35" s="25">
        <f>IF(G35&lt;&gt;"", G35&amp;"_", "") &amp; IF(B35&lt;&gt;"", B35, "") &amp; IF(D35&lt;&gt;"", "_" &amp; D35, "") &amp; IF(E35&lt;&gt;"", "_" &amp; E35, "")  &amp; IF(H35&lt;&gt;"", "_" &amp; H35, "") &amp; IF(I35&lt;&gt;"", "_" &amp; I35, "") &amp; IF(J35&lt;&gt;"", "_" &amp; J35, "") &amp; IF(K35&lt;&gt;"", "_" &amp; K35, "")</f>
      </c>
      <c r="G35" s="21" t="str">
        <v>SM</v>
      </c>
      <c r="H35" s="26" t="str">
        <v>Deco</v>
      </c>
      <c r="I35" s="26">
        <v>120</v>
      </c>
      <c r="J35" s="23"/>
      <c r="K35" s="22">
        <v>6</v>
      </c>
      <c r="L35" s="21"/>
      <c r="M35" s="20">
        <f>"World_"&amp;VLOOKUP(B35,'引用列表'!Q:R,2,FALSE)&amp;"_"&amp;B35&amp;IF(COUNTIF(D35,"*Hole*"),"/Hole","")</f>
      </c>
      <c r="N35" s="20">
        <f>IF(B35&lt;&gt;"", B35, "") &amp; IF(D35&lt;&gt;"", "_" &amp; D35, "") &amp; IF(E35&lt;&gt;"", "_" &amp; E35, "")  &amp; IF(H35&lt;&gt;"", "_" &amp; H35, "") &amp; IF(I35&lt;&gt;"", "_" &amp; I35, "") &amp; IF(J35&lt;&gt;"", "_" &amp; J35, "") &amp; IF(K35&lt;&gt;"", "_" &amp; K35, "")</f>
      </c>
      <c r="O35" s="19"/>
      <c r="P35" s="20"/>
      <c r="Q35" s="20"/>
      <c r="R35" s="21"/>
      <c r="S35" s="21"/>
      <c r="T35" s="19"/>
      <c r="U35" s="19"/>
      <c r="V35" s="21"/>
      <c r="W35" s="21"/>
      <c r="X35" s="20"/>
      <c r="Y35" s="21"/>
      <c r="Z35" s="24"/>
      <c r="AA35" s="20"/>
      <c r="AB35" s="20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</row>
    <row customHeight="true" ht="19" outlineLevel="1" r="36">
      <c r="A36" s="25"/>
      <c r="B36" s="20" t="str">
        <v>TheMine</v>
      </c>
      <c r="C36" s="25"/>
      <c r="D36" s="20" t="str">
        <v>Ground</v>
      </c>
      <c r="E36" s="19" t="str">
        <v>RedToYellow</v>
      </c>
      <c r="F36" s="25">
        <f>IF(G36&lt;&gt;"", G36&amp;"_", "") &amp; IF(B36&lt;&gt;"", B36, "") &amp; IF(D36&lt;&gt;"", "_" &amp; D36, "") &amp; IF(E36&lt;&gt;"", "_" &amp; E36, "")  &amp; IF(H36&lt;&gt;"", "_" &amp; H36, "") &amp; IF(I36&lt;&gt;"", "_" &amp; I36, "") &amp; IF(J36&lt;&gt;"", "_" &amp; J36, "") &amp; IF(K36&lt;&gt;"", "_" &amp; K36, "")</f>
      </c>
      <c r="G36" s="21" t="str">
        <v>SM</v>
      </c>
      <c r="H36" s="26" t="str">
        <v>Deco</v>
      </c>
      <c r="I36" s="26">
        <v>120</v>
      </c>
      <c r="J36" s="23"/>
      <c r="K36" s="22">
        <v>7</v>
      </c>
      <c r="L36" s="21"/>
      <c r="M36" s="20">
        <f>"World_"&amp;VLOOKUP(B36,'引用列表'!Q:R,2,FALSE)&amp;"_"&amp;B36&amp;IF(COUNTIF(D36,"*Hole*"),"/Hole","")</f>
      </c>
      <c r="N36" s="20">
        <f>IF(B36&lt;&gt;"", B36, "") &amp; IF(D36&lt;&gt;"", "_" &amp; D36, "") &amp; IF(E36&lt;&gt;"", "_" &amp; E36, "")  &amp; IF(H36&lt;&gt;"", "_" &amp; H36, "") &amp; IF(I36&lt;&gt;"", "_" &amp; I36, "") &amp; IF(J36&lt;&gt;"", "_" &amp; J36, "") &amp; IF(K36&lt;&gt;"", "_" &amp; K36, "")</f>
      </c>
      <c r="O36" s="19"/>
      <c r="P36" s="20"/>
      <c r="Q36" s="20"/>
      <c r="R36" s="21"/>
      <c r="S36" s="21"/>
      <c r="T36" s="19"/>
      <c r="U36" s="19"/>
      <c r="V36" s="21"/>
      <c r="W36" s="21"/>
      <c r="X36" s="20"/>
      <c r="Y36" s="21"/>
      <c r="Z36" s="24"/>
      <c r="AA36" s="20"/>
      <c r="AB36" s="20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</row>
    <row customHeight="true" ht="19" outlineLevel="1" r="37">
      <c r="A37" s="25"/>
      <c r="B37" s="20" t="str">
        <v>TheMine</v>
      </c>
      <c r="C37" s="25"/>
      <c r="D37" s="20" t="str">
        <v>Ground</v>
      </c>
      <c r="E37" s="19" t="str">
        <v>RedToYellow</v>
      </c>
      <c r="F37" s="25">
        <f>IF(G37&lt;&gt;"", G37&amp;"_", "") &amp; IF(B37&lt;&gt;"", B37, "") &amp; IF(D37&lt;&gt;"", "_" &amp; D37, "") &amp; IF(E37&lt;&gt;"", "_" &amp; E37, "")  &amp; IF(H37&lt;&gt;"", "_" &amp; H37, "") &amp; IF(I37&lt;&gt;"", "_" &amp; I37, "") &amp; IF(J37&lt;&gt;"", "_" &amp; J37, "") &amp; IF(K37&lt;&gt;"", "_" &amp; K37, "")</f>
      </c>
      <c r="G37" s="21" t="str">
        <v>SM</v>
      </c>
      <c r="H37" s="26" t="str">
        <v>Deco</v>
      </c>
      <c r="I37" s="26">
        <v>120</v>
      </c>
      <c r="J37" s="23"/>
      <c r="K37" s="22">
        <v>8</v>
      </c>
      <c r="L37" s="21"/>
      <c r="M37" s="20">
        <f>"World_"&amp;VLOOKUP(B37,'引用列表'!Q:R,2,FALSE)&amp;"_"&amp;B37&amp;IF(COUNTIF(D37,"*Hole*"),"/Hole","")</f>
      </c>
      <c r="N37" s="20">
        <f>IF(B37&lt;&gt;"", B37, "") &amp; IF(D37&lt;&gt;"", "_" &amp; D37, "") &amp; IF(E37&lt;&gt;"", "_" &amp; E37, "")  &amp; IF(H37&lt;&gt;"", "_" &amp; H37, "") &amp; IF(I37&lt;&gt;"", "_" &amp; I37, "") &amp; IF(J37&lt;&gt;"", "_" &amp; J37, "") &amp; IF(K37&lt;&gt;"", "_" &amp; K37, "")</f>
      </c>
      <c r="O37" s="19"/>
      <c r="P37" s="20"/>
      <c r="Q37" s="20"/>
      <c r="R37" s="21"/>
      <c r="S37" s="21"/>
      <c r="T37" s="19"/>
      <c r="U37" s="19"/>
      <c r="V37" s="21"/>
      <c r="W37" s="21"/>
      <c r="X37" s="20"/>
      <c r="Y37" s="21"/>
      <c r="Z37" s="24"/>
      <c r="AA37" s="20"/>
      <c r="AB37" s="20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</row>
    <row customHeight="true" ht="19" outlineLevel="1" r="38">
      <c r="A38" s="25"/>
      <c r="B38" s="20" t="str">
        <v>TheMine</v>
      </c>
      <c r="C38" s="25"/>
      <c r="D38" s="20" t="str">
        <v>Ground</v>
      </c>
      <c r="E38" s="19" t="str">
        <v>RedToYellow</v>
      </c>
      <c r="F38" s="25">
        <f>IF(G38&lt;&gt;"", G38&amp;"_", "") &amp; IF(B38&lt;&gt;"", B38, "") &amp; IF(D38&lt;&gt;"", "_" &amp; D38, "") &amp; IF(E38&lt;&gt;"", "_" &amp; E38, "")  &amp; IF(H38&lt;&gt;"", "_" &amp; H38, "") &amp; IF(I38&lt;&gt;"", "_" &amp; I38, "") &amp; IF(J38&lt;&gt;"", "_" &amp; J38, "") &amp; IF(K38&lt;&gt;"", "_" &amp; K38, "")</f>
      </c>
      <c r="G38" s="21" t="str">
        <v>SM</v>
      </c>
      <c r="H38" s="26" t="str">
        <v>Deco</v>
      </c>
      <c r="I38" s="26">
        <v>120</v>
      </c>
      <c r="J38" s="23"/>
      <c r="K38" s="22">
        <v>9</v>
      </c>
      <c r="L38" s="21"/>
      <c r="M38" s="20">
        <f>"World_"&amp;VLOOKUP(B38,'引用列表'!Q:R,2,FALSE)&amp;"_"&amp;B38&amp;IF(COUNTIF(D38,"*Hole*"),"/Hole","")</f>
      </c>
      <c r="N38" s="20">
        <f>IF(B38&lt;&gt;"", B38, "") &amp; IF(D38&lt;&gt;"", "_" &amp; D38, "") &amp; IF(E38&lt;&gt;"", "_" &amp; E38, "")  &amp; IF(H38&lt;&gt;"", "_" &amp; H38, "") &amp; IF(I38&lt;&gt;"", "_" &amp; I38, "") &amp; IF(J38&lt;&gt;"", "_" &amp; J38, "") &amp; IF(K38&lt;&gt;"", "_" &amp; K38, "")</f>
      </c>
      <c r="O38" s="19"/>
      <c r="P38" s="20"/>
      <c r="Q38" s="20"/>
      <c r="R38" s="21"/>
      <c r="S38" s="21"/>
      <c r="T38" s="19"/>
      <c r="U38" s="19"/>
      <c r="V38" s="21"/>
      <c r="W38" s="21"/>
      <c r="X38" s="20"/>
      <c r="Y38" s="21"/>
      <c r="Z38" s="24"/>
      <c r="AA38" s="20"/>
      <c r="AB38" s="20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</row>
    <row customHeight="true" ht="19" outlineLevel="1" r="39">
      <c r="A39" s="25"/>
      <c r="B39" s="20" t="str">
        <v>TheMine</v>
      </c>
      <c r="C39" s="25"/>
      <c r="D39" s="20" t="str">
        <v>Ground</v>
      </c>
      <c r="E39" s="19" t="str">
        <v>RedToYellow</v>
      </c>
      <c r="F39" s="25">
        <f>IF(G39&lt;&gt;"", G39&amp;"_", "") &amp; IF(B39&lt;&gt;"", B39, "") &amp; IF(D39&lt;&gt;"", "_" &amp; D39, "") &amp; IF(E39&lt;&gt;"", "_" &amp; E39, "")  &amp; IF(H39&lt;&gt;"", "_" &amp; H39, "") &amp; IF(I39&lt;&gt;"", "_" &amp; I39, "") &amp; IF(J39&lt;&gt;"", "_" &amp; J39, "") &amp; IF(K39&lt;&gt;"", "_" &amp; K39, "")</f>
      </c>
      <c r="G39" s="21" t="str">
        <v>SM</v>
      </c>
      <c r="H39" s="26" t="str">
        <v>Deco</v>
      </c>
      <c r="I39" s="26">
        <v>120</v>
      </c>
      <c r="J39" s="23"/>
      <c r="K39" s="22">
        <v>10</v>
      </c>
      <c r="L39" s="21"/>
      <c r="M39" s="20">
        <f>"World_"&amp;VLOOKUP(B39,'引用列表'!Q:R,2,FALSE)&amp;"_"&amp;B39&amp;IF(COUNTIF(D39,"*Hole*"),"/Hole","")</f>
      </c>
      <c r="N39" s="20">
        <f>IF(B39&lt;&gt;"", B39, "") &amp; IF(D39&lt;&gt;"", "_" &amp; D39, "") &amp; IF(E39&lt;&gt;"", "_" &amp; E39, "")  &amp; IF(H39&lt;&gt;"", "_" &amp; H39, "") &amp; IF(I39&lt;&gt;"", "_" &amp; I39, "") &amp; IF(J39&lt;&gt;"", "_" &amp; J39, "") &amp; IF(K39&lt;&gt;"", "_" &amp; K39, "")</f>
      </c>
      <c r="O39" s="19"/>
      <c r="P39" s="20"/>
      <c r="Q39" s="20"/>
      <c r="R39" s="21"/>
      <c r="S39" s="21"/>
      <c r="T39" s="19"/>
      <c r="U39" s="19"/>
      <c r="V39" s="21"/>
      <c r="W39" s="21"/>
      <c r="X39" s="20"/>
      <c r="Y39" s="21"/>
      <c r="Z39" s="24"/>
      <c r="AA39" s="20"/>
      <c r="AB39" s="20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</row>
    <row customHeight="true" ht="19" outlineLevel="1" r="40">
      <c r="A40" s="25"/>
      <c r="B40" s="20" t="str">
        <v>TheMine</v>
      </c>
      <c r="C40" s="25"/>
      <c r="D40" s="20" t="str">
        <v>Ground</v>
      </c>
      <c r="E40" s="19" t="str">
        <v>RedToYellow</v>
      </c>
      <c r="F40" s="25">
        <f>IF(G40&lt;&gt;"", G40&amp;"_", "") &amp; IF(B40&lt;&gt;"", B40, "") &amp; IF(D40&lt;&gt;"", "_" &amp; D40, "") &amp; IF(E40&lt;&gt;"", "_" &amp; E40, "")  &amp; IF(H40&lt;&gt;"", "_" &amp; H40, "") &amp; IF(I40&lt;&gt;"", "_" &amp; I40, "") &amp; IF(J40&lt;&gt;"", "_" &amp; J40, "") &amp; IF(K40&lt;&gt;"", "_" &amp; K40, "")</f>
      </c>
      <c r="G40" s="21" t="str">
        <v>SM</v>
      </c>
      <c r="H40" s="26" t="str">
        <v>Deco</v>
      </c>
      <c r="I40" s="26">
        <v>120</v>
      </c>
      <c r="J40" s="23"/>
      <c r="K40" s="22">
        <v>11</v>
      </c>
      <c r="L40" s="21"/>
      <c r="M40" s="20">
        <f>"World_"&amp;VLOOKUP(B40,'引用列表'!Q:R,2,FALSE)&amp;"_"&amp;B40&amp;IF(COUNTIF(D40,"*Hole*"),"/Hole","")</f>
      </c>
      <c r="N40" s="20">
        <f>IF(B40&lt;&gt;"", B40, "") &amp; IF(D40&lt;&gt;"", "_" &amp; D40, "") &amp; IF(E40&lt;&gt;"", "_" &amp; E40, "")  &amp; IF(H40&lt;&gt;"", "_" &amp; H40, "") &amp; IF(I40&lt;&gt;"", "_" &amp; I40, "") &amp; IF(J40&lt;&gt;"", "_" &amp; J40, "") &amp; IF(K40&lt;&gt;"", "_" &amp; K40, "")</f>
      </c>
      <c r="O40" s="19"/>
      <c r="P40" s="20"/>
      <c r="Q40" s="20"/>
      <c r="R40" s="21"/>
      <c r="S40" s="21"/>
      <c r="T40" s="19"/>
      <c r="U40" s="19"/>
      <c r="V40" s="21"/>
      <c r="W40" s="21"/>
      <c r="X40" s="20"/>
      <c r="Y40" s="21"/>
      <c r="Z40" s="24"/>
      <c r="AA40" s="20"/>
      <c r="AB40" s="20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</row>
    <row customHeight="true" ht="19" outlineLevel="1" r="41">
      <c r="A41" s="25"/>
      <c r="B41" s="20" t="str">
        <v>TheMine</v>
      </c>
      <c r="C41" s="25"/>
      <c r="D41" s="20" t="str">
        <v>Ground</v>
      </c>
      <c r="E41" s="19" t="str">
        <v>RedToYellow</v>
      </c>
      <c r="F41" s="25">
        <f>IF(G41&lt;&gt;"", G41&amp;"_", "") &amp; IF(B41&lt;&gt;"", B41, "") &amp; IF(D41&lt;&gt;"", "_" &amp; D41, "") &amp; IF(E41&lt;&gt;"", "_" &amp; E41, "")  &amp; IF(H41&lt;&gt;"", "_" &amp; H41, "") &amp; IF(I41&lt;&gt;"", "_" &amp; I41, "") &amp; IF(J41&lt;&gt;"", "_" &amp; J41, "") &amp; IF(K41&lt;&gt;"", "_" &amp; K41, "")</f>
      </c>
      <c r="G41" s="21" t="str">
        <v>SM</v>
      </c>
      <c r="H41" s="26" t="str">
        <v>Deco</v>
      </c>
      <c r="I41" s="26">
        <v>120</v>
      </c>
      <c r="J41" s="23"/>
      <c r="K41" s="22">
        <v>12</v>
      </c>
      <c r="L41" s="21"/>
      <c r="M41" s="20">
        <f>"World_"&amp;VLOOKUP(B41,'引用列表'!Q:R,2,FALSE)&amp;"_"&amp;B41&amp;IF(COUNTIF(D41,"*Hole*"),"/Hole","")</f>
      </c>
      <c r="N41" s="20">
        <f>IF(B41&lt;&gt;"", B41, "") &amp; IF(D41&lt;&gt;"", "_" &amp; D41, "") &amp; IF(E41&lt;&gt;"", "_" &amp; E41, "")  &amp; IF(H41&lt;&gt;"", "_" &amp; H41, "") &amp; IF(I41&lt;&gt;"", "_" &amp; I41, "") &amp; IF(J41&lt;&gt;"", "_" &amp; J41, "") &amp; IF(K41&lt;&gt;"", "_" &amp; K41, "")</f>
      </c>
      <c r="O41" s="19"/>
      <c r="P41" s="20"/>
      <c r="Q41" s="20"/>
      <c r="R41" s="21"/>
      <c r="S41" s="21"/>
      <c r="T41" s="19"/>
      <c r="U41" s="19"/>
      <c r="V41" s="21"/>
      <c r="W41" s="21"/>
      <c r="X41" s="20"/>
      <c r="Y41" s="21"/>
      <c r="Z41" s="24"/>
      <c r="AA41" s="20"/>
      <c r="AB41" s="20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</row>
    <row customHeight="true" ht="19" outlineLevel="1" r="42">
      <c r="A42" s="25"/>
      <c r="B42" s="20" t="str">
        <v>TheMine</v>
      </c>
      <c r="C42" s="25"/>
      <c r="D42" s="20" t="str">
        <v>Ground</v>
      </c>
      <c r="E42" s="19" t="str">
        <v>RedToYellow</v>
      </c>
      <c r="F42" s="25">
        <f>IF(G42&lt;&gt;"", G42&amp;"_", "") &amp; IF(B42&lt;&gt;"", B42, "") &amp; IF(D42&lt;&gt;"", "_" &amp; D42, "") &amp; IF(E42&lt;&gt;"", "_" &amp; E42, "")  &amp; IF(H42&lt;&gt;"", "_" &amp; H42, "") &amp; IF(I42&lt;&gt;"", "_" &amp; I42, "") &amp; IF(J42&lt;&gt;"", "_" &amp; J42, "") &amp; IF(K42&lt;&gt;"", "_" &amp; K42, "")</f>
      </c>
      <c r="G42" s="21" t="str">
        <v>SM</v>
      </c>
      <c r="H42" s="26" t="str">
        <v>Deco</v>
      </c>
      <c r="I42" s="26">
        <v>120</v>
      </c>
      <c r="J42" s="23"/>
      <c r="K42" s="22">
        <v>13</v>
      </c>
      <c r="L42" s="21"/>
      <c r="M42" s="20">
        <f>"World_"&amp;VLOOKUP(B42,'引用列表'!Q:R,2,FALSE)&amp;"_"&amp;B42&amp;IF(COUNTIF(D42,"*Hole*"),"/Hole","")</f>
      </c>
      <c r="N42" s="20">
        <f>IF(B42&lt;&gt;"", B42, "") &amp; IF(D42&lt;&gt;"", "_" &amp; D42, "") &amp; IF(E42&lt;&gt;"", "_" &amp; E42, "")  &amp; IF(H42&lt;&gt;"", "_" &amp; H42, "") &amp; IF(I42&lt;&gt;"", "_" &amp; I42, "") &amp; IF(J42&lt;&gt;"", "_" &amp; J42, "") &amp; IF(K42&lt;&gt;"", "_" &amp; K42, "")</f>
      </c>
      <c r="O42" s="19"/>
      <c r="P42" s="20"/>
      <c r="Q42" s="20"/>
      <c r="R42" s="21"/>
      <c r="S42" s="21"/>
      <c r="T42" s="19"/>
      <c r="U42" s="19"/>
      <c r="V42" s="21"/>
      <c r="W42" s="21"/>
      <c r="X42" s="20"/>
      <c r="Y42" s="21"/>
      <c r="Z42" s="24"/>
      <c r="AA42" s="20"/>
      <c r="AB42" s="20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</row>
    <row customHeight="true" ht="19" outlineLevel="1" r="43">
      <c r="A43" s="25"/>
      <c r="B43" s="20" t="str">
        <v>TheMine</v>
      </c>
      <c r="C43" s="25"/>
      <c r="D43" s="20" t="str">
        <v>Ground</v>
      </c>
      <c r="E43" s="19" t="str">
        <v>RedToYellow</v>
      </c>
      <c r="F43" s="25">
        <f>IF(G43&lt;&gt;"", G43&amp;"_", "") &amp; IF(B43&lt;&gt;"", B43, "") &amp; IF(D43&lt;&gt;"", "_" &amp; D43, "") &amp; IF(E43&lt;&gt;"", "_" &amp; E43, "")  &amp; IF(H43&lt;&gt;"", "_" &amp; H43, "") &amp; IF(I43&lt;&gt;"", "_" &amp; I43, "") &amp; IF(J43&lt;&gt;"", "_" &amp; J43, "") &amp; IF(K43&lt;&gt;"", "_" &amp; K43, "")</f>
      </c>
      <c r="G43" s="21" t="str">
        <v>SM</v>
      </c>
      <c r="H43" s="26" t="str">
        <v>Deco</v>
      </c>
      <c r="I43" s="26">
        <v>120</v>
      </c>
      <c r="J43" s="23"/>
      <c r="K43" s="22">
        <v>14</v>
      </c>
      <c r="L43" s="21"/>
      <c r="M43" s="20">
        <f>"World_"&amp;VLOOKUP(B43,'引用列表'!Q:R,2,FALSE)&amp;"_"&amp;B43&amp;IF(COUNTIF(D43,"*Hole*"),"/Hole","")</f>
      </c>
      <c r="N43" s="20">
        <f>IF(B43&lt;&gt;"", B43, "") &amp; IF(D43&lt;&gt;"", "_" &amp; D43, "") &amp; IF(E43&lt;&gt;"", "_" &amp; E43, "")  &amp; IF(H43&lt;&gt;"", "_" &amp; H43, "") &amp; IF(I43&lt;&gt;"", "_" &amp; I43, "") &amp; IF(J43&lt;&gt;"", "_" &amp; J43, "") &amp; IF(K43&lt;&gt;"", "_" &amp; K43, "")</f>
      </c>
      <c r="O43" s="19"/>
      <c r="P43" s="20"/>
      <c r="Q43" s="20"/>
      <c r="R43" s="21"/>
      <c r="S43" s="21"/>
      <c r="T43" s="19"/>
      <c r="U43" s="19"/>
      <c r="V43" s="21"/>
      <c r="W43" s="21"/>
      <c r="X43" s="20"/>
      <c r="Y43" s="21"/>
      <c r="Z43" s="24"/>
      <c r="AA43" s="20"/>
      <c r="AB43" s="20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</row>
    <row customHeight="true" ht="19" outlineLevel="1" r="44">
      <c r="A44" s="25"/>
      <c r="B44" s="20" t="str">
        <v>TheMine</v>
      </c>
      <c r="C44" s="25"/>
      <c r="D44" s="20" t="str">
        <v>Ground</v>
      </c>
      <c r="E44" s="19" t="str">
        <v>RedToYellow</v>
      </c>
      <c r="F44" s="25">
        <f>IF(G44&lt;&gt;"", G44&amp;"_", "") &amp; IF(B44&lt;&gt;"", B44, "") &amp; IF(D44&lt;&gt;"", "_" &amp; D44, "") &amp; IF(E44&lt;&gt;"", "_" &amp; E44, "")  &amp; IF(H44&lt;&gt;"", "_" &amp; H44, "") &amp; IF(I44&lt;&gt;"", "_" &amp; I44, "") &amp; IF(J44&lt;&gt;"", "_" &amp; J44, "") &amp; IF(K44&lt;&gt;"", "_" &amp; K44, "")</f>
      </c>
      <c r="G44" s="21" t="str">
        <v>SM</v>
      </c>
      <c r="H44" s="26" t="str">
        <v>Deco</v>
      </c>
      <c r="I44" s="26">
        <v>120</v>
      </c>
      <c r="J44" s="23"/>
      <c r="K44" s="22">
        <v>15</v>
      </c>
      <c r="L44" s="21"/>
      <c r="M44" s="20">
        <f>"World_"&amp;VLOOKUP(B44,'引用列表'!Q:R,2,FALSE)&amp;"_"&amp;B44&amp;IF(COUNTIF(D44,"*Hole*"),"/Hole","")</f>
      </c>
      <c r="N44" s="20">
        <f>IF(B44&lt;&gt;"", B44, "") &amp; IF(D44&lt;&gt;"", "_" &amp; D44, "") &amp; IF(E44&lt;&gt;"", "_" &amp; E44, "")  &amp; IF(H44&lt;&gt;"", "_" &amp; H44, "") &amp; IF(I44&lt;&gt;"", "_" &amp; I44, "") &amp; IF(J44&lt;&gt;"", "_" &amp; J44, "") &amp; IF(K44&lt;&gt;"", "_" &amp; K44, "")</f>
      </c>
      <c r="O44" s="19"/>
      <c r="P44" s="20"/>
      <c r="Q44" s="20"/>
      <c r="R44" s="21"/>
      <c r="S44" s="21"/>
      <c r="T44" s="19"/>
      <c r="U44" s="19"/>
      <c r="V44" s="21"/>
      <c r="W44" s="21"/>
      <c r="X44" s="20"/>
      <c r="Y44" s="21"/>
      <c r="Z44" s="24"/>
      <c r="AA44" s="20"/>
      <c r="AB44" s="20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</row>
    <row customHeight="true" ht="19" outlineLevel="1" r="45">
      <c r="A45" s="25"/>
      <c r="B45" s="20" t="str">
        <v>TheMine</v>
      </c>
      <c r="C45" s="25"/>
      <c r="D45" s="20" t="str">
        <v>Ground</v>
      </c>
      <c r="E45" s="19" t="str">
        <v>Yellow</v>
      </c>
      <c r="F45" s="25">
        <f>IF(G45&lt;&gt;"", G45&amp;"_", "") &amp; IF(B45&lt;&gt;"", B45, "") &amp; IF(D45&lt;&gt;"", "_" &amp; D45, "") &amp; IF(E45&lt;&gt;"", "_" &amp; E45, "")  &amp; IF(H45&lt;&gt;"", "_" &amp; H45, "") &amp; IF(I45&lt;&gt;"", "_" &amp; I45, "") &amp; IF(J45&lt;&gt;"", "_" &amp; J45, "") &amp; IF(K45&lt;&gt;"", "_" &amp; K45, "")</f>
      </c>
      <c r="G45" s="21" t="str">
        <v>SM</v>
      </c>
      <c r="H45" s="26" t="str">
        <v>C</v>
      </c>
      <c r="I45" s="26" t="str">
        <v>Hollow</v>
      </c>
      <c r="J45" s="23" t="str">
        <v>Deco</v>
      </c>
      <c r="K45" s="22">
        <v>1</v>
      </c>
      <c r="L45" s="21"/>
      <c r="M45" s="20">
        <f>"World_"&amp;VLOOKUP(B45,'引用列表'!Q:R,2,FALSE)&amp;"_"&amp;B45&amp;IF(COUNTIF(D45,"*Hole*"),"/Hole","")</f>
      </c>
      <c r="N45" s="20">
        <f>IF(B45&lt;&gt;"", B45, "") &amp; IF(D45&lt;&gt;"", "_" &amp; D45, "") &amp; IF(E45&lt;&gt;"", "_" &amp; E45, "")  &amp; IF(H45&lt;&gt;"", "_" &amp; H45, "") &amp; IF(I45&lt;&gt;"", "_" &amp; I45, "") &amp; IF(J45&lt;&gt;"", "_" &amp; J45, "") &amp; IF(K45&lt;&gt;"", "_" &amp; K45, "")</f>
      </c>
      <c r="O45" s="19"/>
      <c r="P45" s="20"/>
      <c r="Q45" s="20"/>
      <c r="R45" s="21"/>
      <c r="S45" s="21"/>
      <c r="T45" s="19"/>
      <c r="U45" s="19"/>
      <c r="V45" s="21"/>
      <c r="W45" s="21"/>
      <c r="X45" s="20"/>
      <c r="Y45" s="21"/>
      <c r="Z45" s="24"/>
      <c r="AA45" s="20"/>
      <c r="AB45" s="20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</row>
    <row customHeight="true" ht="19" outlineLevel="1" r="46">
      <c r="A46" s="25"/>
      <c r="B46" s="20" t="str">
        <v>TheMine</v>
      </c>
      <c r="C46" s="25"/>
      <c r="D46" s="20" t="str">
        <v>Ground</v>
      </c>
      <c r="E46" s="19" t="str">
        <v>Yellow</v>
      </c>
      <c r="F46" s="25">
        <f>IF(G46&lt;&gt;"", G46&amp;"_", "") &amp; IF(B46&lt;&gt;"", B46, "") &amp; IF(D46&lt;&gt;"", "_" &amp; D46, "") &amp; IF(E46&lt;&gt;"", "_" &amp; E46, "")  &amp; IF(H46&lt;&gt;"", "_" &amp; H46, "") &amp; IF(I46&lt;&gt;"", "_" &amp; I46, "") &amp; IF(J46&lt;&gt;"", "_" &amp; J46, "") &amp; IF(K46&lt;&gt;"", "_" &amp; K46, "")</f>
      </c>
      <c r="G46" s="21" t="str">
        <v>SM</v>
      </c>
      <c r="H46" s="26" t="str">
        <v>C</v>
      </c>
      <c r="I46" s="26" t="str">
        <v>Hollow</v>
      </c>
      <c r="J46" s="23" t="str">
        <v>Deco</v>
      </c>
      <c r="K46" s="22">
        <v>2</v>
      </c>
      <c r="L46" s="21"/>
      <c r="M46" s="20">
        <f>"World_"&amp;VLOOKUP(B46,'引用列表'!Q:R,2,FALSE)&amp;"_"&amp;B46&amp;IF(COUNTIF(D46,"*Hole*"),"/Hole","")</f>
      </c>
      <c r="N46" s="20">
        <f>IF(B46&lt;&gt;"", B46, "") &amp; IF(D46&lt;&gt;"", "_" &amp; D46, "") &amp; IF(E46&lt;&gt;"", "_" &amp; E46, "")  &amp; IF(H46&lt;&gt;"", "_" &amp; H46, "") &amp; IF(I46&lt;&gt;"", "_" &amp; I46, "") &amp; IF(J46&lt;&gt;"", "_" &amp; J46, "") &amp; IF(K46&lt;&gt;"", "_" &amp; K46, "")</f>
      </c>
      <c r="O46" s="19"/>
      <c r="P46" s="20"/>
      <c r="Q46" s="20"/>
      <c r="R46" s="21"/>
      <c r="S46" s="21"/>
      <c r="T46" s="19"/>
      <c r="U46" s="19"/>
      <c r="V46" s="21"/>
      <c r="W46" s="21"/>
      <c r="X46" s="20"/>
      <c r="Y46" s="21"/>
      <c r="Z46" s="24"/>
      <c r="AA46" s="20"/>
      <c r="AB46" s="20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</row>
    <row customHeight="true" ht="19" outlineLevel="1" r="47">
      <c r="A47" s="25"/>
      <c r="B47" s="20" t="str">
        <v>TheMine</v>
      </c>
      <c r="C47" s="25"/>
      <c r="D47" s="20" t="str">
        <v>Ground</v>
      </c>
      <c r="E47" s="19" t="str">
        <v>Yellow</v>
      </c>
      <c r="F47" s="25">
        <f>IF(G47&lt;&gt;"", G47&amp;"_", "") &amp; IF(B47&lt;&gt;"", B47, "") &amp; IF(D47&lt;&gt;"", "_" &amp; D47, "") &amp; IF(E47&lt;&gt;"", "_" &amp; E47, "")  &amp; IF(H47&lt;&gt;"", "_" &amp; H47, "") &amp; IF(I47&lt;&gt;"", "_" &amp; I47, "") &amp; IF(J47&lt;&gt;"", "_" &amp; J47, "") &amp; IF(K47&lt;&gt;"", "_" &amp; K47, "")</f>
      </c>
      <c r="G47" s="21" t="str">
        <v>SM</v>
      </c>
      <c r="H47" s="26" t="str">
        <v>C</v>
      </c>
      <c r="I47" s="26" t="str">
        <v>Hollow</v>
      </c>
      <c r="J47" s="23" t="str">
        <v>Deco</v>
      </c>
      <c r="K47" s="22">
        <v>3</v>
      </c>
      <c r="L47" s="21"/>
      <c r="M47" s="20">
        <f>"World_"&amp;VLOOKUP(B47,'引用列表'!Q:R,2,FALSE)&amp;"_"&amp;B47&amp;IF(COUNTIF(D47,"*Hole*"),"/Hole","")</f>
      </c>
      <c r="N47" s="20">
        <f>IF(B47&lt;&gt;"", B47, "") &amp; IF(D47&lt;&gt;"", "_" &amp; D47, "") &amp; IF(E47&lt;&gt;"", "_" &amp; E47, "")  &amp; IF(H47&lt;&gt;"", "_" &amp; H47, "") &amp; IF(I47&lt;&gt;"", "_" &amp; I47, "") &amp; IF(J47&lt;&gt;"", "_" &amp; J47, "") &amp; IF(K47&lt;&gt;"", "_" &amp; K47, "")</f>
      </c>
      <c r="O47" s="19"/>
      <c r="P47" s="20"/>
      <c r="Q47" s="20"/>
      <c r="R47" s="21"/>
      <c r="S47" s="21"/>
      <c r="T47" s="19"/>
      <c r="U47" s="19"/>
      <c r="V47" s="21"/>
      <c r="W47" s="21"/>
      <c r="X47" s="20"/>
      <c r="Y47" s="21"/>
      <c r="Z47" s="24"/>
      <c r="AA47" s="20"/>
      <c r="AB47" s="20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</row>
    <row customHeight="true" ht="19" outlineLevel="1" r="48">
      <c r="A48" s="25"/>
      <c r="B48" s="20" t="str">
        <v>TheMine</v>
      </c>
      <c r="C48" s="25"/>
      <c r="D48" s="20" t="str">
        <v>Ground</v>
      </c>
      <c r="E48" s="19" t="str">
        <v>Yellow</v>
      </c>
      <c r="F48" s="25">
        <f>IF(G48&lt;&gt;"", G48&amp;"_", "") &amp; IF(B48&lt;&gt;"", B48, "") &amp; IF(D48&lt;&gt;"", "_" &amp; D48, "") &amp; IF(E48&lt;&gt;"", "_" &amp; E48, "")  &amp; IF(H48&lt;&gt;"", "_" &amp; H48, "") &amp; IF(I48&lt;&gt;"", "_" &amp; I48, "") &amp; IF(J48&lt;&gt;"", "_" &amp; J48, "") &amp; IF(K48&lt;&gt;"", "_" &amp; K48, "")</f>
      </c>
      <c r="G48" s="21" t="str">
        <v>SM</v>
      </c>
      <c r="H48" s="26" t="str">
        <v>C</v>
      </c>
      <c r="I48" s="26" t="str">
        <v>Hollow</v>
      </c>
      <c r="J48" s="23" t="str">
        <v>Deco</v>
      </c>
      <c r="K48" s="22">
        <v>4</v>
      </c>
      <c r="L48" s="21"/>
      <c r="M48" s="20">
        <f>"World_"&amp;VLOOKUP(B48,'引用列表'!Q:R,2,FALSE)&amp;"_"&amp;B48&amp;IF(COUNTIF(D48,"*Hole*"),"/Hole","")</f>
      </c>
      <c r="N48" s="20">
        <f>IF(B48&lt;&gt;"", B48, "") &amp; IF(D48&lt;&gt;"", "_" &amp; D48, "") &amp; IF(E48&lt;&gt;"", "_" &amp; E48, "")  &amp; IF(H48&lt;&gt;"", "_" &amp; H48, "") &amp; IF(I48&lt;&gt;"", "_" &amp; I48, "") &amp; IF(J48&lt;&gt;"", "_" &amp; J48, "") &amp; IF(K48&lt;&gt;"", "_" &amp; K48, "")</f>
      </c>
      <c r="O48" s="19"/>
      <c r="P48" s="20"/>
      <c r="Q48" s="20"/>
      <c r="R48" s="21"/>
      <c r="S48" s="21"/>
      <c r="T48" s="19"/>
      <c r="U48" s="19"/>
      <c r="V48" s="21"/>
      <c r="W48" s="21"/>
      <c r="X48" s="20"/>
      <c r="Y48" s="21"/>
      <c r="Z48" s="24"/>
      <c r="AA48" s="20"/>
      <c r="AB48" s="20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</row>
    <row customHeight="true" ht="19" outlineLevel="1" r="49">
      <c r="A49" s="25"/>
      <c r="B49" s="20" t="str">
        <v>TheMine</v>
      </c>
      <c r="C49" s="25"/>
      <c r="D49" s="20" t="str">
        <v>Ground</v>
      </c>
      <c r="E49" s="19" t="str">
        <v>Yellow</v>
      </c>
      <c r="F49" s="25">
        <f>IF(G49&lt;&gt;"", G49&amp;"_", "") &amp; IF(B49&lt;&gt;"", B49, "") &amp; IF(D49&lt;&gt;"", "_" &amp; D49, "") &amp; IF(E49&lt;&gt;"", "_" &amp; E49, "")  &amp; IF(H49&lt;&gt;"", "_" &amp; H49, "") &amp; IF(I49&lt;&gt;"", "_" &amp; I49, "") &amp; IF(J49&lt;&gt;"", "_" &amp; J49, "") &amp; IF(K49&lt;&gt;"", "_" &amp; K49, "")</f>
      </c>
      <c r="G49" s="21" t="str">
        <v>SM</v>
      </c>
      <c r="H49" s="26" t="str">
        <v>C</v>
      </c>
      <c r="I49" s="26" t="str">
        <v>Hollow</v>
      </c>
      <c r="J49" s="23" t="str">
        <v>Deco</v>
      </c>
      <c r="K49" s="22">
        <v>5</v>
      </c>
      <c r="L49" s="21"/>
      <c r="M49" s="20">
        <f>"World_"&amp;VLOOKUP(B49,'引用列表'!Q:R,2,FALSE)&amp;"_"&amp;B49&amp;IF(COUNTIF(D49,"*Hole*"),"/Hole","")</f>
      </c>
      <c r="N49" s="20">
        <f>IF(B49&lt;&gt;"", B49, "") &amp; IF(D49&lt;&gt;"", "_" &amp; D49, "") &amp; IF(E49&lt;&gt;"", "_" &amp; E49, "")  &amp; IF(H49&lt;&gt;"", "_" &amp; H49, "") &amp; IF(I49&lt;&gt;"", "_" &amp; I49, "") &amp; IF(J49&lt;&gt;"", "_" &amp; J49, "") &amp; IF(K49&lt;&gt;"", "_" &amp; K49, "")</f>
      </c>
      <c r="O49" s="19"/>
      <c r="P49" s="20"/>
      <c r="Q49" s="20"/>
      <c r="R49" s="21"/>
      <c r="S49" s="21"/>
      <c r="T49" s="19"/>
      <c r="U49" s="19"/>
      <c r="V49" s="21"/>
      <c r="W49" s="21"/>
      <c r="X49" s="20"/>
      <c r="Y49" s="21"/>
      <c r="Z49" s="24"/>
      <c r="AA49" s="20"/>
      <c r="AB49" s="20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</row>
    <row customHeight="true" ht="19" outlineLevel="1" r="50">
      <c r="A50" s="25"/>
      <c r="B50" s="20" t="str">
        <v>TheMine</v>
      </c>
      <c r="C50" s="25"/>
      <c r="D50" s="20" t="str">
        <v>Ground</v>
      </c>
      <c r="E50" s="19" t="str">
        <v>Yellow</v>
      </c>
      <c r="F50" s="25">
        <f>IF(G50&lt;&gt;"", G50&amp;"_", "") &amp; IF(B50&lt;&gt;"", B50, "") &amp; IF(D50&lt;&gt;"", "_" &amp; D50, "") &amp; IF(E50&lt;&gt;"", "_" &amp; E50, "")  &amp; IF(H50&lt;&gt;"", "_" &amp; H50, "") &amp; IF(I50&lt;&gt;"", "_" &amp; I50, "") &amp; IF(J50&lt;&gt;"", "_" &amp; J50, "") &amp; IF(K50&lt;&gt;"", "_" &amp; K50, "")</f>
      </c>
      <c r="G50" s="21" t="str">
        <v>SM</v>
      </c>
      <c r="H50" s="26" t="str">
        <v>C</v>
      </c>
      <c r="I50" s="26" t="str">
        <v>Hollow</v>
      </c>
      <c r="J50" s="23" t="str">
        <v>Deco</v>
      </c>
      <c r="K50" s="22">
        <v>6</v>
      </c>
      <c r="L50" s="21"/>
      <c r="M50" s="20">
        <f>"World_"&amp;VLOOKUP(B50,'引用列表'!Q:R,2,FALSE)&amp;"_"&amp;B50&amp;IF(COUNTIF(D50,"*Hole*"),"/Hole","")</f>
      </c>
      <c r="N50" s="20">
        <f>IF(B50&lt;&gt;"", B50, "") &amp; IF(D50&lt;&gt;"", "_" &amp; D50, "") &amp; IF(E50&lt;&gt;"", "_" &amp; E50, "")  &amp; IF(H50&lt;&gt;"", "_" &amp; H50, "") &amp; IF(I50&lt;&gt;"", "_" &amp; I50, "") &amp; IF(J50&lt;&gt;"", "_" &amp; J50, "") &amp; IF(K50&lt;&gt;"", "_" &amp; K50, "")</f>
      </c>
      <c r="O50" s="19"/>
      <c r="P50" s="20"/>
      <c r="Q50" s="20"/>
      <c r="R50" s="21"/>
      <c r="S50" s="21"/>
      <c r="T50" s="19"/>
      <c r="U50" s="19"/>
      <c r="V50" s="21"/>
      <c r="W50" s="21"/>
      <c r="X50" s="20"/>
      <c r="Y50" s="21"/>
      <c r="Z50" s="24"/>
      <c r="AA50" s="20"/>
      <c r="AB50" s="20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</row>
    <row customHeight="true" ht="19" outlineLevel="1" r="51">
      <c r="A51" s="25"/>
      <c r="B51" s="20" t="str">
        <v>TheMine</v>
      </c>
      <c r="C51" s="25"/>
      <c r="D51" s="20" t="str">
        <v>Ground</v>
      </c>
      <c r="E51" s="19" t="str">
        <v>Yellow</v>
      </c>
      <c r="F51" s="25">
        <f>IF(G51&lt;&gt;"", G51&amp;"_", "") &amp; IF(B51&lt;&gt;"", B51, "") &amp; IF(D51&lt;&gt;"", "_" &amp; D51, "") &amp; IF(E51&lt;&gt;"", "_" &amp; E51, "")  &amp; IF(H51&lt;&gt;"", "_" &amp; H51, "") &amp; IF(I51&lt;&gt;"", "_" &amp; I51, "") &amp; IF(J51&lt;&gt;"", "_" &amp; J51, "") &amp; IF(K51&lt;&gt;"", "_" &amp; K51, "")</f>
      </c>
      <c r="G51" s="21" t="str">
        <v>SM</v>
      </c>
      <c r="H51" s="26" t="str">
        <v>C</v>
      </c>
      <c r="I51" s="26" t="str">
        <v>Hollow</v>
      </c>
      <c r="J51" s="23" t="str">
        <v>Deco</v>
      </c>
      <c r="K51" s="22">
        <v>7</v>
      </c>
      <c r="L51" s="21"/>
      <c r="M51" s="20">
        <f>"World_"&amp;VLOOKUP(B51,'引用列表'!Q:R,2,FALSE)&amp;"_"&amp;B51&amp;IF(COUNTIF(D51,"*Hole*"),"/Hole","")</f>
      </c>
      <c r="N51" s="20">
        <f>IF(B51&lt;&gt;"", B51, "") &amp; IF(D51&lt;&gt;"", "_" &amp; D51, "") &amp; IF(E51&lt;&gt;"", "_" &amp; E51, "")  &amp; IF(H51&lt;&gt;"", "_" &amp; H51, "") &amp; IF(I51&lt;&gt;"", "_" &amp; I51, "") &amp; IF(J51&lt;&gt;"", "_" &amp; J51, "") &amp; IF(K51&lt;&gt;"", "_" &amp; K51, "")</f>
      </c>
      <c r="O51" s="19"/>
      <c r="P51" s="20"/>
      <c r="Q51" s="20"/>
      <c r="R51" s="21"/>
      <c r="S51" s="21"/>
      <c r="T51" s="19"/>
      <c r="U51" s="19"/>
      <c r="V51" s="21"/>
      <c r="W51" s="21"/>
      <c r="X51" s="20"/>
      <c r="Y51" s="21"/>
      <c r="Z51" s="24"/>
      <c r="AA51" s="20"/>
      <c r="AB51" s="20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</row>
    <row customHeight="true" ht="19" outlineLevel="1" r="52">
      <c r="A52" s="25"/>
      <c r="B52" s="20" t="str">
        <v>TheMine</v>
      </c>
      <c r="C52" s="25"/>
      <c r="D52" s="20" t="str">
        <v>Ground</v>
      </c>
      <c r="E52" s="19" t="str">
        <v>Yellow</v>
      </c>
      <c r="F52" s="25">
        <f>IF(G52&lt;&gt;"", G52&amp;"_", "") &amp; IF(B52&lt;&gt;"", B52, "") &amp; IF(D52&lt;&gt;"", "_" &amp; D52, "") &amp; IF(E52&lt;&gt;"", "_" &amp; E52, "")  &amp; IF(H52&lt;&gt;"", "_" &amp; H52, "") &amp; IF(I52&lt;&gt;"", "_" &amp; I52, "") &amp; IF(J52&lt;&gt;"", "_" &amp; J52, "") &amp; IF(K52&lt;&gt;"", "_" &amp; K52, "")</f>
      </c>
      <c r="G52" s="21" t="str">
        <v>SM</v>
      </c>
      <c r="H52" s="26" t="str">
        <v>C</v>
      </c>
      <c r="I52" s="26" t="str">
        <v>Hollow</v>
      </c>
      <c r="J52" s="23" t="str">
        <v>Deco</v>
      </c>
      <c r="K52" s="22">
        <v>8</v>
      </c>
      <c r="L52" s="21"/>
      <c r="M52" s="20">
        <f>"World_"&amp;VLOOKUP(B52,'引用列表'!Q:R,2,FALSE)&amp;"_"&amp;B52&amp;IF(COUNTIF(D52,"*Hole*"),"/Hole","")</f>
      </c>
      <c r="N52" s="20">
        <f>IF(B52&lt;&gt;"", B52, "") &amp; IF(D52&lt;&gt;"", "_" &amp; D52, "") &amp; IF(E52&lt;&gt;"", "_" &amp; E52, "")  &amp; IF(H52&lt;&gt;"", "_" &amp; H52, "") &amp; IF(I52&lt;&gt;"", "_" &amp; I52, "") &amp; IF(J52&lt;&gt;"", "_" &amp; J52, "") &amp; IF(K52&lt;&gt;"", "_" &amp; K52, "")</f>
      </c>
      <c r="O52" s="19"/>
      <c r="P52" s="20"/>
      <c r="Q52" s="20"/>
      <c r="R52" s="21"/>
      <c r="S52" s="21"/>
      <c r="T52" s="19"/>
      <c r="U52" s="19"/>
      <c r="V52" s="21"/>
      <c r="W52" s="21"/>
      <c r="X52" s="20"/>
      <c r="Y52" s="21"/>
      <c r="Z52" s="24"/>
      <c r="AA52" s="20"/>
      <c r="AB52" s="20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</row>
    <row customHeight="true" ht="19" outlineLevel="1" r="53">
      <c r="A53" s="25"/>
      <c r="B53" s="20" t="str">
        <v>TheMine</v>
      </c>
      <c r="C53" s="25"/>
      <c r="D53" s="20" t="str">
        <v>Ground</v>
      </c>
      <c r="E53" s="19" t="str">
        <v>Yellow</v>
      </c>
      <c r="F53" s="25">
        <f>IF(G53&lt;&gt;"", G53&amp;"_", "") &amp; IF(B53&lt;&gt;"", B53, "") &amp; IF(D53&lt;&gt;"", "_" &amp; D53, "") &amp; IF(E53&lt;&gt;"", "_" &amp; E53, "")  &amp; IF(H53&lt;&gt;"", "_" &amp; H53, "") &amp; IF(I53&lt;&gt;"", "_" &amp; I53, "") &amp; IF(J53&lt;&gt;"", "_" &amp; J53, "") &amp; IF(K53&lt;&gt;"", "_" &amp; K53, "")</f>
      </c>
      <c r="G53" s="21" t="str">
        <v>SM</v>
      </c>
      <c r="H53" s="26" t="str">
        <v>C</v>
      </c>
      <c r="I53" s="26" t="str">
        <v>Hollow</v>
      </c>
      <c r="J53" s="23" t="str">
        <v>Deco</v>
      </c>
      <c r="K53" s="22">
        <v>9</v>
      </c>
      <c r="L53" s="21"/>
      <c r="M53" s="20">
        <f>"World_"&amp;VLOOKUP(B53,'引用列表'!Q:R,2,FALSE)&amp;"_"&amp;B53&amp;IF(COUNTIF(D53,"*Hole*"),"/Hole","")</f>
      </c>
      <c r="N53" s="20">
        <f>IF(B53&lt;&gt;"", B53, "") &amp; IF(D53&lt;&gt;"", "_" &amp; D53, "") &amp; IF(E53&lt;&gt;"", "_" &amp; E53, "")  &amp; IF(H53&lt;&gt;"", "_" &amp; H53, "") &amp; IF(I53&lt;&gt;"", "_" &amp; I53, "") &amp; IF(J53&lt;&gt;"", "_" &amp; J53, "") &amp; IF(K53&lt;&gt;"", "_" &amp; K53, "")</f>
      </c>
      <c r="O53" s="19"/>
      <c r="P53" s="20"/>
      <c r="Q53" s="20"/>
      <c r="R53" s="21"/>
      <c r="S53" s="21"/>
      <c r="T53" s="19"/>
      <c r="U53" s="19"/>
      <c r="V53" s="21"/>
      <c r="W53" s="21"/>
      <c r="X53" s="20"/>
      <c r="Y53" s="21"/>
      <c r="Z53" s="24"/>
      <c r="AA53" s="20"/>
      <c r="AB53" s="20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</row>
    <row customHeight="true" ht="19" outlineLevel="1" r="54">
      <c r="A54" s="25"/>
      <c r="B54" s="20" t="str">
        <v>TheMine</v>
      </c>
      <c r="C54" s="25"/>
      <c r="D54" s="20" t="str">
        <v>Ground</v>
      </c>
      <c r="E54" s="19" t="str">
        <v>Yellow</v>
      </c>
      <c r="F54" s="25">
        <f>IF(G54&lt;&gt;"", G54&amp;"_", "") &amp; IF(B54&lt;&gt;"", B54, "") &amp; IF(D54&lt;&gt;"", "_" &amp; D54, "") &amp; IF(E54&lt;&gt;"", "_" &amp; E54, "")  &amp; IF(H54&lt;&gt;"", "_" &amp; H54, "") &amp; IF(I54&lt;&gt;"", "_" &amp; I54, "") &amp; IF(J54&lt;&gt;"", "_" &amp; J54, "") &amp; IF(K54&lt;&gt;"", "_" &amp; K54, "")</f>
      </c>
      <c r="G54" s="21" t="str">
        <v>SM</v>
      </c>
      <c r="H54" s="26" t="str">
        <v>C</v>
      </c>
      <c r="I54" s="26" t="str">
        <v>Hollow</v>
      </c>
      <c r="J54" s="23" t="str">
        <v>Deco</v>
      </c>
      <c r="K54" s="22">
        <v>10</v>
      </c>
      <c r="L54" s="21"/>
      <c r="M54" s="20">
        <f>"World_"&amp;VLOOKUP(B54,'引用列表'!Q:R,2,FALSE)&amp;"_"&amp;B54&amp;IF(COUNTIF(D54,"*Hole*"),"/Hole","")</f>
      </c>
      <c r="N54" s="20">
        <f>IF(B54&lt;&gt;"", B54, "") &amp; IF(D54&lt;&gt;"", "_" &amp; D54, "") &amp; IF(E54&lt;&gt;"", "_" &amp; E54, "")  &amp; IF(H54&lt;&gt;"", "_" &amp; H54, "") &amp; IF(I54&lt;&gt;"", "_" &amp; I54, "") &amp; IF(J54&lt;&gt;"", "_" &amp; J54, "") &amp; IF(K54&lt;&gt;"", "_" &amp; K54, "")</f>
      </c>
      <c r="O54" s="19"/>
      <c r="P54" s="20"/>
      <c r="Q54" s="20"/>
      <c r="R54" s="21"/>
      <c r="S54" s="21"/>
      <c r="T54" s="19"/>
      <c r="U54" s="19"/>
      <c r="V54" s="21"/>
      <c r="W54" s="21"/>
      <c r="X54" s="20"/>
      <c r="Y54" s="21"/>
      <c r="Z54" s="24"/>
      <c r="AA54" s="20"/>
      <c r="AB54" s="20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</row>
    <row customHeight="true" ht="19" r="55">
      <c r="A55" s="4"/>
      <c r="B55" s="20"/>
      <c r="C55" s="4"/>
      <c r="D55" s="20"/>
      <c r="E55" s="19"/>
      <c r="F55" s="4"/>
      <c r="G55" s="21"/>
      <c r="H55" s="21"/>
      <c r="I55" s="21"/>
      <c r="J55" s="23"/>
      <c r="K55" s="22"/>
      <c r="L55" s="21"/>
      <c r="M55" s="20"/>
      <c r="N55" s="20"/>
      <c r="O55" s="19"/>
      <c r="P55" s="20"/>
      <c r="Q55" s="20"/>
      <c r="R55" s="21"/>
      <c r="S55" s="21"/>
      <c r="T55" s="19"/>
      <c r="U55" s="19"/>
      <c r="V55" s="21"/>
      <c r="W55" s="21"/>
      <c r="X55" s="20"/>
      <c r="Y55" s="21"/>
      <c r="Z55" s="24"/>
      <c r="AA55" s="20"/>
      <c r="AB55" s="20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</row>
    <row customHeight="true" ht="19" r="56">
      <c r="A56" s="4"/>
      <c r="B56" s="20"/>
      <c r="C56" s="4"/>
      <c r="D56" s="20"/>
      <c r="E56" s="19"/>
      <c r="F56" s="4"/>
      <c r="G56" s="21"/>
      <c r="H56" s="21"/>
      <c r="I56" s="21"/>
      <c r="J56" s="23"/>
      <c r="K56" s="22"/>
      <c r="L56" s="21"/>
      <c r="M56" s="20"/>
      <c r="N56" s="20"/>
      <c r="O56" s="19"/>
      <c r="P56" s="20"/>
      <c r="Q56" s="20"/>
      <c r="R56" s="21"/>
      <c r="S56" s="21"/>
      <c r="T56" s="19"/>
      <c r="U56" s="19"/>
      <c r="V56" s="21"/>
      <c r="W56" s="21"/>
      <c r="X56" s="20"/>
      <c r="Y56" s="21"/>
      <c r="Z56" s="24"/>
      <c r="AA56" s="20"/>
      <c r="AB56" s="20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</row>
    <row r="57">
      <c r="A57" s="4"/>
      <c r="B57" s="20" t="str">
        <v>TheCity</v>
      </c>
      <c r="C57" s="4"/>
      <c r="D57" s="20" t="str">
        <v>Ground</v>
      </c>
      <c r="E57" s="19" t="str">
        <v>Sidewalk</v>
      </c>
      <c r="F57" s="4">
        <f>IF(G57&lt;&gt;"", G57&amp;"_", "") &amp; IF(B57&lt;&gt;"", B57, "") &amp; IF(D57&lt;&gt;"", "_" &amp; D57, "") &amp; IF(E57&lt;&gt;"", "_" &amp; E57, "")  &amp; IF(H57&lt;&gt;"", "_" &amp; H57, "") &amp; IF(I57&lt;&gt;"", "_" &amp; I57, "") &amp; IF(J57&lt;&gt;"", "_" &amp; J57, "") &amp; IF(K57&lt;&gt;"", "_" &amp; K57, "")</f>
      </c>
      <c r="G57" s="21" t="str">
        <v>SM</v>
      </c>
      <c r="H57" s="21" t="str">
        <v>C</v>
      </c>
      <c r="I57" s="21" t="str">
        <v>Hollow</v>
      </c>
      <c r="J57" s="23" t="str">
        <v>Alt</v>
      </c>
      <c r="K57" s="22">
        <v>1</v>
      </c>
      <c r="L57" s="21"/>
      <c r="M57" s="20">
        <f>"World_"&amp;VLOOKUP(B57,'引用列表'!Q:R,2,FALSE)&amp;"_"&amp;B57&amp;IF(COUNTIF(D57,"*Hole*"),"/Hole","")</f>
      </c>
      <c r="N57" s="20">
        <f>IF(B57&lt;&gt;"", B57, "") &amp; IF(D57&lt;&gt;"", "_" &amp; D57, "") &amp; IF(E57&lt;&gt;"", "_" &amp; E57, "")  &amp; IF(H57&lt;&gt;"", "_" &amp; H57, "") &amp; IF(I57&lt;&gt;"", "_" &amp; I57, "") &amp; IF(J57&lt;&gt;"", "_" &amp; J57, "") &amp; IF(K57&lt;&gt;"", "_" &amp; K57, "")</f>
      </c>
      <c r="O57" s="19">
        <f>IF(Z57="✅", "/Script/Engine.StaticMesh'/Game/Item/Mesh/Voxel/" &amp; M57 &amp; "/" &amp; D57 &amp; "/" &amp; F57 &amp; "." &amp; F57 &amp; "'", "")</f>
      </c>
      <c r="P57" s="20"/>
      <c r="Q57" s="20"/>
      <c r="R57" s="21"/>
      <c r="S57" s="21"/>
      <c r="T57" s="19"/>
      <c r="U57" s="19"/>
      <c r="V57" s="21"/>
      <c r="W57" s="21"/>
      <c r="X57" s="20"/>
      <c r="Y57" s="21"/>
      <c r="Z57" s="24" t="str">
        <v>⭕</v>
      </c>
      <c r="AA57" s="20">
        <f>IF(G57&lt;&gt;"", "MI"&amp;"_", "") &amp; IF(B57&lt;&gt;"", B57, "") &amp; IF(D57&lt;&gt;"", "_" &amp; D57, "") &amp; IF(E57&lt;&gt;"", "_" &amp; E57, "")  &amp; IF(H57&lt;&gt;"", "_" &amp; H57, "") &amp; IF(I57&lt;&gt;"", "_" &amp; I57, "") &amp; IF(J57&lt;&gt;"", "_" &amp; J57, "") &amp; IF(K57&lt;&gt;"", "_" &amp; K57, "")</f>
      </c>
      <c r="AB57" s="20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</row>
    <row customHeight="true" ht="19" r="58">
      <c r="A58" s="4"/>
      <c r="B58" s="20" t="str">
        <v>TheCity</v>
      </c>
      <c r="C58" s="4"/>
      <c r="D58" s="20" t="str">
        <v>Ground</v>
      </c>
      <c r="E58" s="19" t="str">
        <v>Sidewalk</v>
      </c>
      <c r="F58" s="4">
        <f>IF(G58&lt;&gt;"", G58&amp;"_", "") &amp; IF(B58&lt;&gt;"", B58, "") &amp; IF(D58&lt;&gt;"", "_" &amp; D58, "") &amp; IF(E58&lt;&gt;"", "_" &amp; E58, "")  &amp; IF(H58&lt;&gt;"", "_" &amp; H58, "") &amp; IF(I58&lt;&gt;"", "_" &amp; I58, "") &amp; IF(J58&lt;&gt;"", "_" &amp; J58, "") &amp; IF(K58&lt;&gt;"", "_" &amp; K58, "")</f>
      </c>
      <c r="G58" s="21" t="str">
        <v>SM</v>
      </c>
      <c r="H58" s="21" t="str">
        <v>T</v>
      </c>
      <c r="I58" s="21" t="str">
        <v>Single</v>
      </c>
      <c r="J58" s="23" t="str">
        <v>Alt</v>
      </c>
      <c r="K58" s="22">
        <v>1</v>
      </c>
      <c r="L58" s="21"/>
      <c r="M58" s="20">
        <f>"World_"&amp;VLOOKUP(B58,'引用列表'!Q:R,2,FALSE)&amp;"_"&amp;B58&amp;IF(COUNTIF(D58,"*Hole*"),"/Hole","")</f>
      </c>
      <c r="N58" s="20">
        <f>IF(B58&lt;&gt;"", B58, "") &amp; IF(D58&lt;&gt;"", "_" &amp; D58, "") &amp; IF(E58&lt;&gt;"", "_" &amp; E58, "")  &amp; IF(H58&lt;&gt;"", "_" &amp; H58, "") &amp; IF(I58&lt;&gt;"", "_" &amp; I58, "") &amp; IF(J58&lt;&gt;"", "_" &amp; J58, "") &amp; IF(K58&lt;&gt;"", "_" &amp; K58, "")</f>
      </c>
      <c r="O58" s="19">
        <f>IF(Z58="✅", "/Script/Engine.StaticMesh'/Game/Item/Mesh/Voxel/" &amp; M58 &amp; "/" &amp; D58 &amp; "/" &amp; F58 &amp; "." &amp; F58 &amp; "'", "")</f>
      </c>
      <c r="P58" s="20"/>
      <c r="Q58" s="20"/>
      <c r="R58" s="21"/>
      <c r="S58" s="21"/>
      <c r="T58" s="19"/>
      <c r="U58" s="19"/>
      <c r="V58" s="21"/>
      <c r="W58" s="21"/>
      <c r="X58" s="20"/>
      <c r="Y58" s="21"/>
      <c r="Z58" s="24" t="str">
        <v>⭕</v>
      </c>
      <c r="AA58" s="20">
        <f>IF(G58&lt;&gt;"", "MI"&amp;"_", "") &amp; IF(B58&lt;&gt;"", B58, "") &amp; IF(D58&lt;&gt;"", "_" &amp; D58, "") &amp; IF(E58&lt;&gt;"", "_" &amp; E58, "")  &amp; IF(H58&lt;&gt;"", "_" &amp; H58, "") &amp; IF(I58&lt;&gt;"", "_" &amp; I58, "") &amp; IF(J58&lt;&gt;"", "_" &amp; J58, "") &amp; IF(K58&lt;&gt;"", "_" &amp; K58, "")</f>
      </c>
      <c r="AB58" s="20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</row>
    <row customHeight="true" ht="19" r="59">
      <c r="A59" s="4"/>
      <c r="B59" s="20" t="str">
        <v>TheCity</v>
      </c>
      <c r="C59" s="4"/>
      <c r="D59" s="20" t="str">
        <v>Ground</v>
      </c>
      <c r="E59" s="19" t="str">
        <v>Sidewalk</v>
      </c>
      <c r="F59" s="4">
        <f>IF(G59&lt;&gt;"", G59&amp;"_", "") &amp; IF(B59&lt;&gt;"", B59, "") &amp; IF(D59&lt;&gt;"", "_" &amp; D59, "") &amp; IF(E59&lt;&gt;"", "_" &amp; E59, "")  &amp; IF(H59&lt;&gt;"", "_" &amp; H59, "") &amp; IF(I59&lt;&gt;"", "_" &amp; I59, "") &amp; IF(J59&lt;&gt;"", "_" &amp; J59, "") &amp; IF(K59&lt;&gt;"", "_" &amp; K59, "")</f>
      </c>
      <c r="G59" s="21" t="str">
        <v>SM</v>
      </c>
      <c r="H59" s="21" t="str">
        <v>R</v>
      </c>
      <c r="I59" s="21" t="str">
        <v>Single</v>
      </c>
      <c r="J59" s="23" t="str">
        <v>Alt</v>
      </c>
      <c r="K59" s="22">
        <v>1</v>
      </c>
      <c r="L59" s="21"/>
      <c r="M59" s="20">
        <f>"World_"&amp;VLOOKUP(B59,'引用列表'!Q:R,2,FALSE)&amp;"_"&amp;B59&amp;IF(COUNTIF(D59,"*Hole*"),"/Hole","")</f>
      </c>
      <c r="N59" s="20">
        <f>IF(B59&lt;&gt;"", B59, "") &amp; IF(D59&lt;&gt;"", "_" &amp; D59, "") &amp; IF(E59&lt;&gt;"", "_" &amp; E59, "")  &amp; IF(H59&lt;&gt;"", "_" &amp; H59, "") &amp; IF(I59&lt;&gt;"", "_" &amp; I59, "") &amp; IF(J59&lt;&gt;"", "_" &amp; J59, "") &amp; IF(K59&lt;&gt;"", "_" &amp; K59, "")</f>
      </c>
      <c r="O59" s="19">
        <f>IF(Z59="✅", "/Script/Engine.StaticMesh'/Game/Item/Mesh/Voxel/" &amp; M59 &amp; "/" &amp; D59 &amp; "/" &amp; F59 &amp; "." &amp; F59 &amp; "'", "")</f>
      </c>
      <c r="P59" s="20"/>
      <c r="Q59" s="20"/>
      <c r="R59" s="21"/>
      <c r="S59" s="21"/>
      <c r="T59" s="19"/>
      <c r="U59" s="19"/>
      <c r="V59" s="21"/>
      <c r="W59" s="21"/>
      <c r="X59" s="20"/>
      <c r="Y59" s="21"/>
      <c r="Z59" s="24" t="str">
        <v>⭕</v>
      </c>
      <c r="AA59" s="20">
        <f>IF(G59&lt;&gt;"", "MI"&amp;"_", "") &amp; IF(B59&lt;&gt;"", B59, "") &amp; IF(D59&lt;&gt;"", "_" &amp; D59, "") &amp; IF(E59&lt;&gt;"", "_" &amp; E59, "")  &amp; IF(H59&lt;&gt;"", "_" &amp; H59, "") &amp; IF(I59&lt;&gt;"", "_" &amp; I59, "") &amp; IF(J59&lt;&gt;"", "_" &amp; J59, "") &amp; IF(K59&lt;&gt;"", "_" &amp; K59, "")</f>
      </c>
      <c r="AB59" s="20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</row>
    <row customHeight="true" ht="19" r="60">
      <c r="A60" s="4"/>
      <c r="B60" s="20" t="str">
        <v>TheCity</v>
      </c>
      <c r="C60" s="4"/>
      <c r="D60" s="20" t="str">
        <v>Ground</v>
      </c>
      <c r="E60" s="19" t="str">
        <v>Sidewalk</v>
      </c>
      <c r="F60" s="4">
        <f>IF(G60&lt;&gt;"", G60&amp;"_", "") &amp; IF(B60&lt;&gt;"", B60, "") &amp; IF(D60&lt;&gt;"", "_" &amp; D60, "") &amp; IF(E60&lt;&gt;"", "_" &amp; E60, "")  &amp; IF(H60&lt;&gt;"", "_" &amp; H60, "") &amp; IF(I60&lt;&gt;"", "_" &amp; I60, "") &amp; IF(J60&lt;&gt;"", "_" &amp; J60, "") &amp; IF(K60&lt;&gt;"", "_" &amp; K60, "")</f>
      </c>
      <c r="G60" s="21" t="str">
        <v>SM</v>
      </c>
      <c r="H60" s="21" t="str">
        <v>TR</v>
      </c>
      <c r="I60" s="21" t="str">
        <v>Corner</v>
      </c>
      <c r="J60" s="23" t="str">
        <v>Alt</v>
      </c>
      <c r="K60" s="22">
        <v>1</v>
      </c>
      <c r="L60" s="21"/>
      <c r="M60" s="20">
        <f>"World_"&amp;VLOOKUP(B60,'引用列表'!Q:R,2,FALSE)&amp;"_"&amp;B60&amp;IF(COUNTIF(D60,"*Hole*"),"/Hole","")</f>
      </c>
      <c r="N60" s="20">
        <f>IF(B60&lt;&gt;"", B60, "") &amp; IF(D60&lt;&gt;"", "_" &amp; D60, "") &amp; IF(E60&lt;&gt;"", "_" &amp; E60, "")  &amp; IF(H60&lt;&gt;"", "_" &amp; H60, "") &amp; IF(I60&lt;&gt;"", "_" &amp; I60, "") &amp; IF(J60&lt;&gt;"", "_" &amp; J60, "") &amp; IF(K60&lt;&gt;"", "_" &amp; K60, "")</f>
      </c>
      <c r="O60" s="19">
        <f>IF(Z60="✅", "/Script/Engine.StaticMesh'/Game/Item/Mesh/Voxel/" &amp; M60 &amp; "/" &amp; D60 &amp; "/" &amp; F60 &amp; "." &amp; F60 &amp; "'", "")</f>
      </c>
      <c r="P60" s="20"/>
      <c r="Q60" s="20"/>
      <c r="R60" s="21"/>
      <c r="S60" s="21"/>
      <c r="T60" s="19"/>
      <c r="U60" s="19"/>
      <c r="V60" s="21"/>
      <c r="W60" s="21"/>
      <c r="X60" s="20"/>
      <c r="Y60" s="21"/>
      <c r="Z60" s="24" t="str">
        <v>⭕</v>
      </c>
      <c r="AA60" s="20">
        <f>IF(G60&lt;&gt;"", "MI"&amp;"_", "") &amp; IF(B60&lt;&gt;"", B60, "") &amp; IF(D60&lt;&gt;"", "_" &amp; D60, "") &amp; IF(E60&lt;&gt;"", "_" &amp; E60, "")  &amp; IF(H60&lt;&gt;"", "_" &amp; H60, "") &amp; IF(I60&lt;&gt;"", "_" &amp; I60, "") &amp; IF(J60&lt;&gt;"", "_" &amp; J60, "") &amp; IF(K60&lt;&gt;"", "_" &amp; K60, "")</f>
      </c>
      <c r="AB60" s="20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</row>
    <row r="61">
      <c r="A61" s="71"/>
      <c r="B61" s="61" t="str">
        <v>TheCity</v>
      </c>
      <c r="C61" s="71"/>
      <c r="D61" s="61" t="str">
        <v>Ground</v>
      </c>
      <c r="E61" s="62" t="str">
        <v>Sidewalk</v>
      </c>
      <c r="F61" s="71">
        <f>IF(G61&lt;&gt;"", G61&amp;"_", "") &amp; IF(B61&lt;&gt;"", B61, "") &amp; IF(D61&lt;&gt;"", "_" &amp; D61, "") &amp; IF(E61&lt;&gt;"", "_" &amp; E61, "")  &amp; IF(H61&lt;&gt;"", "_" &amp; H61, "") &amp; IF(I61&lt;&gt;"", "_" &amp; I61, "") &amp; IF(J61&lt;&gt;"", "_" &amp; J61, "") &amp; IF(K61&lt;&gt;"", "_" &amp; K61, "")</f>
      </c>
      <c r="G61" s="60" t="str">
        <v>SM</v>
      </c>
      <c r="H61" s="60" t="str">
        <v>C</v>
      </c>
      <c r="I61" s="60" t="str">
        <v>Hollow</v>
      </c>
      <c r="J61" s="58"/>
      <c r="K61" s="63">
        <v>1</v>
      </c>
      <c r="L61" s="60"/>
      <c r="M61" s="61">
        <f>"World_"&amp;VLOOKUP(B61,'引用列表'!Q:R,2,FALSE)&amp;"_"&amp;B61&amp;IF(COUNTIF(D61,"*Hole*"),"/Hole","")</f>
      </c>
      <c r="N61" s="61">
        <f>IF(B61&lt;&gt;"", B61, "") &amp; IF(D61&lt;&gt;"", "_" &amp; D61, "") &amp; IF(E61&lt;&gt;"", "_" &amp; E61, "")  &amp; IF(H61&lt;&gt;"", "_" &amp; H61, "") &amp; IF(I61&lt;&gt;"", "_" &amp; I61, "") &amp; IF(J61&lt;&gt;"", "_" &amp; J61, "") &amp; IF(K61&lt;&gt;"", "_" &amp; K61, "")</f>
      </c>
      <c r="O61" s="62">
        <f>IF(Z61="✅", "/Script/Engine.StaticMesh'/Game/Item/Mesh/Voxel/" &amp; M61 &amp; "/" &amp; D61 &amp; "/" &amp; F61 &amp; "." &amp; F61 &amp; "'", "")</f>
      </c>
      <c r="P61" s="61"/>
      <c r="Q61" s="61"/>
      <c r="R61" s="60"/>
      <c r="S61" s="60"/>
      <c r="T61" s="62"/>
      <c r="U61" s="62"/>
      <c r="V61" s="60"/>
      <c r="W61" s="60"/>
      <c r="X61" s="61"/>
      <c r="Y61" s="60"/>
      <c r="Z61" s="59" t="str">
        <v>⭕</v>
      </c>
      <c r="AA61" s="61">
        <f>IF(G61&lt;&gt;"", "MI"&amp;"_", "") &amp; IF(B61&lt;&gt;"", B61, "") &amp; IF(D61&lt;&gt;"", "_" &amp; D61, "") &amp; IF(E61&lt;&gt;"", "_" &amp; E61, "")  &amp; IF(H61&lt;&gt;"", "_" &amp; H61, "") &amp; IF(I61&lt;&gt;"", "_" &amp; I61, "") &amp; IF(J61&lt;&gt;"", "_" &amp; J61, "") &amp; IF(K61&lt;&gt;"", "_" &amp; K61, "")</f>
      </c>
      <c r="AB61" s="61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</row>
    <row r="62">
      <c r="A62" s="71"/>
      <c r="B62" s="61" t="str">
        <v>TheCity</v>
      </c>
      <c r="C62" s="71"/>
      <c r="D62" s="61" t="str">
        <v>Ground</v>
      </c>
      <c r="E62" s="62" t="str">
        <v>Sidewalk</v>
      </c>
      <c r="F62" s="71">
        <f>IF(G62&lt;&gt;"", G62&amp;"_", "") &amp; IF(B62&lt;&gt;"", B62, "") &amp; IF(D62&lt;&gt;"", "_" &amp; D62, "") &amp; IF(E62&lt;&gt;"", "_" &amp; E62, "")  &amp; IF(H62&lt;&gt;"", "_" &amp; H62, "") &amp; IF(I62&lt;&gt;"", "_" &amp; I62, "") &amp; IF(J62&lt;&gt;"", "_" &amp; J62, "") &amp; IF(K62&lt;&gt;"", "_" &amp; K62, "")</f>
      </c>
      <c r="G62" s="60" t="str">
        <v>SM</v>
      </c>
      <c r="H62" s="60" t="str">
        <v>T</v>
      </c>
      <c r="I62" s="60" t="str">
        <v>Single</v>
      </c>
      <c r="J62" s="58"/>
      <c r="K62" s="63">
        <v>1</v>
      </c>
      <c r="L62" s="60"/>
      <c r="M62" s="61">
        <f>"World_"&amp;VLOOKUP(B62,'引用列表'!Q:R,2,FALSE)&amp;"_"&amp;B62&amp;IF(COUNTIF(D62,"*Hole*"),"/Hole","")</f>
      </c>
      <c r="N62" s="61">
        <f>IF(B62&lt;&gt;"", B62, "") &amp; IF(D62&lt;&gt;"", "_" &amp; D62, "") &amp; IF(E62&lt;&gt;"", "_" &amp; E62, "")  &amp; IF(H62&lt;&gt;"", "_" &amp; H62, "") &amp; IF(I62&lt;&gt;"", "_" &amp; I62, "") &amp; IF(J62&lt;&gt;"", "_" &amp; J62, "") &amp; IF(K62&lt;&gt;"", "_" &amp; K62, "")</f>
      </c>
      <c r="O62" s="62">
        <f>IF(Z62="✅", "/Script/Engine.StaticMesh'/Game/Item/Mesh/Voxel/" &amp; M62 &amp; "/" &amp; D62 &amp; "/" &amp; F62 &amp; "." &amp; F62 &amp; "'", "")</f>
      </c>
      <c r="P62" s="61"/>
      <c r="Q62" s="61"/>
      <c r="R62" s="60"/>
      <c r="S62" s="60"/>
      <c r="T62" s="62"/>
      <c r="U62" s="62"/>
      <c r="V62" s="60"/>
      <c r="W62" s="60"/>
      <c r="X62" s="61"/>
      <c r="Y62" s="60"/>
      <c r="Z62" s="59" t="str">
        <v>⭕</v>
      </c>
      <c r="AA62" s="61">
        <f>IF(G62&lt;&gt;"", "MI"&amp;"_", "") &amp; IF(B62&lt;&gt;"", B62, "") &amp; IF(D62&lt;&gt;"", "_" &amp; D62, "") &amp; IF(E62&lt;&gt;"", "_" &amp; E62, "")  &amp; IF(H62&lt;&gt;"", "_" &amp; H62, "") &amp; IF(I62&lt;&gt;"", "_" &amp; I62, "") &amp; IF(J62&lt;&gt;"", "_" &amp; J62, "") &amp; IF(K62&lt;&gt;"", "_" &amp; K62, "")</f>
      </c>
      <c r="AB62" s="61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</row>
    <row r="63">
      <c r="A63" s="71"/>
      <c r="B63" s="61" t="str">
        <v>TheCity</v>
      </c>
      <c r="C63" s="71"/>
      <c r="D63" s="61" t="str">
        <v>Ground</v>
      </c>
      <c r="E63" s="62" t="str">
        <v>Sidewalk</v>
      </c>
      <c r="F63" s="71">
        <f>IF(G63&lt;&gt;"", G63&amp;"_", "") &amp; IF(B63&lt;&gt;"", B63, "") &amp; IF(D63&lt;&gt;"", "_" &amp; D63, "") &amp; IF(E63&lt;&gt;"", "_" &amp; E63, "")  &amp; IF(H63&lt;&gt;"", "_" &amp; H63, "") &amp; IF(I63&lt;&gt;"", "_" &amp; I63, "") &amp; IF(J63&lt;&gt;"", "_" &amp; J63, "") &amp; IF(K63&lt;&gt;"", "_" &amp; K63, "")</f>
      </c>
      <c r="G63" s="60" t="str">
        <v>SM</v>
      </c>
      <c r="H63" s="60" t="str">
        <v>R</v>
      </c>
      <c r="I63" s="60" t="str">
        <v>Single</v>
      </c>
      <c r="J63" s="58"/>
      <c r="K63" s="63">
        <v>1</v>
      </c>
      <c r="L63" s="60"/>
      <c r="M63" s="61">
        <f>"World_"&amp;VLOOKUP(B63,'引用列表'!Q:R,2,FALSE)&amp;"_"&amp;B63&amp;IF(COUNTIF(D63,"*Hole*"),"/Hole","")</f>
      </c>
      <c r="N63" s="61">
        <f>IF(B63&lt;&gt;"", B63, "") &amp; IF(D63&lt;&gt;"", "_" &amp; D63, "") &amp; IF(E63&lt;&gt;"", "_" &amp; E63, "")  &amp; IF(H63&lt;&gt;"", "_" &amp; H63, "") &amp; IF(I63&lt;&gt;"", "_" &amp; I63, "") &amp; IF(J63&lt;&gt;"", "_" &amp; J63, "") &amp; IF(K63&lt;&gt;"", "_" &amp; K63, "")</f>
      </c>
      <c r="O63" s="62">
        <f>IF(Z63="✅", "/Script/Engine.StaticMesh'/Game/Item/Mesh/Voxel/" &amp; M63 &amp; "/" &amp; D63 &amp; "/" &amp; F63 &amp; "." &amp; F63 &amp; "'", "")</f>
      </c>
      <c r="P63" s="61"/>
      <c r="Q63" s="61"/>
      <c r="R63" s="60"/>
      <c r="S63" s="60"/>
      <c r="T63" s="62"/>
      <c r="U63" s="62"/>
      <c r="V63" s="60"/>
      <c r="W63" s="60"/>
      <c r="X63" s="61"/>
      <c r="Y63" s="60"/>
      <c r="Z63" s="59" t="str">
        <v>⭕</v>
      </c>
      <c r="AA63" s="61">
        <f>IF(G63&lt;&gt;"", "MI"&amp;"_", "") &amp; IF(B63&lt;&gt;"", B63, "") &amp; IF(D63&lt;&gt;"", "_" &amp; D63, "") &amp; IF(E63&lt;&gt;"", "_" &amp; E63, "")  &amp; IF(H63&lt;&gt;"", "_" &amp; H63, "") &amp; IF(I63&lt;&gt;"", "_" &amp; I63, "") &amp; IF(J63&lt;&gt;"", "_" &amp; J63, "") &amp; IF(K63&lt;&gt;"", "_" &amp; K63, "")</f>
      </c>
      <c r="AB63" s="61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</row>
    <row r="64">
      <c r="A64" s="71"/>
      <c r="B64" s="61" t="str">
        <v>TheCity</v>
      </c>
      <c r="C64" s="71"/>
      <c r="D64" s="61" t="str">
        <v>Ground</v>
      </c>
      <c r="E64" s="62" t="str">
        <v>Sidewalk</v>
      </c>
      <c r="F64" s="71">
        <f>IF(G64&lt;&gt;"", G64&amp;"_", "") &amp; IF(B64&lt;&gt;"", B64, "") &amp; IF(D64&lt;&gt;"", "_" &amp; D64, "") &amp; IF(E64&lt;&gt;"", "_" &amp; E64, "")  &amp; IF(H64&lt;&gt;"", "_" &amp; H64, "") &amp; IF(I64&lt;&gt;"", "_" &amp; I64, "") &amp; IF(J64&lt;&gt;"", "_" &amp; J64, "") &amp; IF(K64&lt;&gt;"", "_" &amp; K64, "")</f>
      </c>
      <c r="G64" s="60" t="str">
        <v>SM</v>
      </c>
      <c r="H64" s="60" t="str">
        <v>TR</v>
      </c>
      <c r="I64" s="60" t="str">
        <v>Corner</v>
      </c>
      <c r="J64" s="58"/>
      <c r="K64" s="63">
        <v>1</v>
      </c>
      <c r="L64" s="60"/>
      <c r="M64" s="61">
        <f>"World_"&amp;VLOOKUP(B64,'引用列表'!Q:R,2,FALSE)&amp;"_"&amp;B64&amp;IF(COUNTIF(D64,"*Hole*"),"/Hole","")</f>
      </c>
      <c r="N64" s="61">
        <f>IF(B64&lt;&gt;"", B64, "") &amp; IF(D64&lt;&gt;"", "_" &amp; D64, "") &amp; IF(E64&lt;&gt;"", "_" &amp; E64, "")  &amp; IF(H64&lt;&gt;"", "_" &amp; H64, "") &amp; IF(I64&lt;&gt;"", "_" &amp; I64, "") &amp; IF(J64&lt;&gt;"", "_" &amp; J64, "") &amp; IF(K64&lt;&gt;"", "_" &amp; K64, "")</f>
      </c>
      <c r="O64" s="62">
        <f>IF(Z64="✅", "/Script/Engine.StaticMesh'/Game/Item/Mesh/Voxel/" &amp; M64 &amp; "/" &amp; D64 &amp; "/" &amp; F64 &amp; "." &amp; F64 &amp; "'", "")</f>
      </c>
      <c r="P64" s="61"/>
      <c r="Q64" s="61"/>
      <c r="R64" s="60"/>
      <c r="S64" s="60"/>
      <c r="T64" s="62"/>
      <c r="U64" s="62"/>
      <c r="V64" s="60"/>
      <c r="W64" s="60"/>
      <c r="X64" s="61"/>
      <c r="Y64" s="60"/>
      <c r="Z64" s="59" t="str">
        <v>⭕</v>
      </c>
      <c r="AA64" s="61">
        <f>IF(G64&lt;&gt;"", "MI"&amp;"_", "") &amp; IF(B64&lt;&gt;"", B64, "") &amp; IF(D64&lt;&gt;"", "_" &amp; D64, "") &amp; IF(E64&lt;&gt;"", "_" &amp; E64, "")  &amp; IF(H64&lt;&gt;"", "_" &amp; H64, "") &amp; IF(I64&lt;&gt;"", "_" &amp; I64, "") &amp; IF(J64&lt;&gt;"", "_" &amp; J64, "") &amp; IF(K64&lt;&gt;"", "_" &amp; K64, "")</f>
      </c>
      <c r="AB64" s="61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</row>
    <row r="65">
      <c r="A65" s="48"/>
      <c r="B65" s="43" t="str">
        <v>TheCity</v>
      </c>
      <c r="C65" s="48"/>
      <c r="D65" s="43" t="str">
        <v>Ground</v>
      </c>
      <c r="E65" s="47" t="str">
        <v>Sidewalk</v>
      </c>
      <c r="F65" s="48">
        <f>IF(G65&lt;&gt;"", G65&amp;"_", "") &amp; IF(B65&lt;&gt;"", B65, "") &amp; IF(D65&lt;&gt;"", "_" &amp; D65, "") &amp; IF(E65&lt;&gt;"", "_" &amp; E65, "")  &amp; IF(H65&lt;&gt;"", "_" &amp; H65, "") &amp; IF(I65&lt;&gt;"", "_" &amp; I65, "") &amp; IF(J65&lt;&gt;"", "_" &amp; J65, "") &amp; IF(K65&lt;&gt;"", "_" &amp; K65, "")</f>
      </c>
      <c r="G65" s="42" t="str">
        <v>SM</v>
      </c>
      <c r="H65" s="42" t="str">
        <v>T</v>
      </c>
      <c r="I65" s="42" t="str">
        <v>Single</v>
      </c>
      <c r="J65" s="44" t="str">
        <v>DecoA</v>
      </c>
      <c r="K65" s="45">
        <v>1</v>
      </c>
      <c r="L65" s="42"/>
      <c r="M65" s="43">
        <f>"World_"&amp;VLOOKUP(B65,'引用列表'!Q:R,2,FALSE)&amp;"_"&amp;B65&amp;IF(COUNTIF(D65,"*Hole*"),"/Hole","")</f>
      </c>
      <c r="N65" s="43">
        <f>IF(B65&lt;&gt;"", B65, "") &amp; IF(D65&lt;&gt;"", "_" &amp; D65, "") &amp; IF(E65&lt;&gt;"", "_" &amp; E65, "")  &amp; IF(H65&lt;&gt;"", "_" &amp; H65, "") &amp; IF(I65&lt;&gt;"", "_" &amp; I65, "") &amp; IF(J65&lt;&gt;"", "_" &amp; J65, "") &amp; IF(K65&lt;&gt;"", "_" &amp; K65, "")</f>
      </c>
      <c r="O65" s="47">
        <f>IF(Z65="✅", "/Script/Engine.StaticMesh'/Game/Item/Mesh/Voxel/" &amp; M65 &amp; "/" &amp; D65 &amp; "/" &amp; F65 &amp; "." &amp; F65 &amp; "'", "")</f>
      </c>
      <c r="P65" s="43"/>
      <c r="Q65" s="43"/>
      <c r="R65" s="42"/>
      <c r="S65" s="42"/>
      <c r="T65" s="47"/>
      <c r="U65" s="47"/>
      <c r="V65" s="42"/>
      <c r="W65" s="42"/>
      <c r="X65" s="43"/>
      <c r="Y65" s="42"/>
      <c r="Z65" s="46" t="str">
        <v>⭕</v>
      </c>
      <c r="AA65" s="43">
        <f>IF(G65&lt;&gt;"", "MI"&amp;"_", "") &amp; IF(B65&lt;&gt;"", B65, "") &amp; IF(D65&lt;&gt;"", "_" &amp; D65, "") &amp; IF(E65&lt;&gt;"", "_" &amp; E65, "")  &amp; IF(H65&lt;&gt;"", "_" &amp; H65, "") &amp; IF(I65&lt;&gt;"", "_" &amp; I65, "") &amp; IF(J65&lt;&gt;"", "_" &amp; J65, "") &amp; IF(K65&lt;&gt;"", "_" &amp; K65, "")</f>
      </c>
      <c r="AB65" s="43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</row>
    <row r="66">
      <c r="A66" s="48"/>
      <c r="B66" s="43" t="str">
        <v>TheCity</v>
      </c>
      <c r="C66" s="48"/>
      <c r="D66" s="43" t="str">
        <v>Ground</v>
      </c>
      <c r="E66" s="47" t="str">
        <v>Sidewalk</v>
      </c>
      <c r="F66" s="48">
        <f>IF(G66&lt;&gt;"", G66&amp;"_", "") &amp; IF(B66&lt;&gt;"", B66, "") &amp; IF(D66&lt;&gt;"", "_" &amp; D66, "") &amp; IF(E66&lt;&gt;"", "_" &amp; E66, "")  &amp; IF(H66&lt;&gt;"", "_" &amp; H66, "") &amp; IF(I66&lt;&gt;"", "_" &amp; I66, "") &amp; IF(J66&lt;&gt;"", "_" &amp; J66, "") &amp; IF(K66&lt;&gt;"", "_" &amp; K66, "")</f>
      </c>
      <c r="G66" s="42" t="str">
        <v>SM</v>
      </c>
      <c r="H66" s="42" t="str">
        <v>C</v>
      </c>
      <c r="I66" s="42" t="str">
        <v>Hollow</v>
      </c>
      <c r="J66" s="44" t="str">
        <v>DecoA</v>
      </c>
      <c r="K66" s="45">
        <v>1</v>
      </c>
      <c r="L66" s="42"/>
      <c r="M66" s="43">
        <f>"World_"&amp;VLOOKUP(B66,'引用列表'!Q:R,2,FALSE)&amp;"_"&amp;B66&amp;IF(COUNTIF(D66,"*Hole*"),"/Hole","")</f>
      </c>
      <c r="N66" s="43">
        <f>IF(B66&lt;&gt;"", B66, "") &amp; IF(D66&lt;&gt;"", "_" &amp; D66, "") &amp; IF(E66&lt;&gt;"", "_" &amp; E66, "")  &amp; IF(H66&lt;&gt;"", "_" &amp; H66, "") &amp; IF(I66&lt;&gt;"", "_" &amp; I66, "") &amp; IF(J66&lt;&gt;"", "_" &amp; J66, "") &amp; IF(K66&lt;&gt;"", "_" &amp; K66, "")</f>
      </c>
      <c r="O66" s="47">
        <f>IF(Z66="✅", "/Script/Engine.StaticMesh'/Game/Item/Mesh/Voxel/" &amp; M66 &amp; "/" &amp; D66 &amp; "/" &amp; F66 &amp; "." &amp; F66 &amp; "'", "")</f>
      </c>
      <c r="P66" s="43"/>
      <c r="Q66" s="43"/>
      <c r="R66" s="42"/>
      <c r="S66" s="42"/>
      <c r="T66" s="47"/>
      <c r="U66" s="47"/>
      <c r="V66" s="42"/>
      <c r="W66" s="42"/>
      <c r="X66" s="43"/>
      <c r="Y66" s="42"/>
      <c r="Z66" s="46" t="str">
        <v>⭕</v>
      </c>
      <c r="AA66" s="43">
        <f>IF(G66&lt;&gt;"", "MI"&amp;"_", "") &amp; IF(B66&lt;&gt;"", B66, "") &amp; IF(D66&lt;&gt;"", "_" &amp; D66, "") &amp; IF(E66&lt;&gt;"", "_" &amp; E66, "")  &amp; IF(H66&lt;&gt;"", "_" &amp; H66, "") &amp; IF(I66&lt;&gt;"", "_" &amp; I66, "") &amp; IF(J66&lt;&gt;"", "_" &amp; J66, "") &amp; IF(K66&lt;&gt;"", "_" &amp; K66, "")</f>
      </c>
      <c r="AB66" s="43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</row>
    <row r="67">
      <c r="A67" s="48"/>
      <c r="B67" s="43" t="str">
        <v>TheCity</v>
      </c>
      <c r="C67" s="48"/>
      <c r="D67" s="43" t="str">
        <v>Ground</v>
      </c>
      <c r="E67" s="47" t="str">
        <v>Sidewalk</v>
      </c>
      <c r="F67" s="48">
        <f>IF(G67&lt;&gt;"", G67&amp;"_", "") &amp; IF(B67&lt;&gt;"", B67, "") &amp; IF(D67&lt;&gt;"", "_" &amp; D67, "") &amp; IF(E67&lt;&gt;"", "_" &amp; E67, "")  &amp; IF(H67&lt;&gt;"", "_" &amp; H67, "") &amp; IF(I67&lt;&gt;"", "_" &amp; I67, "") &amp; IF(J67&lt;&gt;"", "_" &amp; J67, "") &amp; IF(K67&lt;&gt;"", "_" &amp; K67, "")</f>
      </c>
      <c r="G67" s="42" t="str">
        <v>SM</v>
      </c>
      <c r="H67" s="42" t="str">
        <v>C</v>
      </c>
      <c r="I67" s="42" t="str">
        <v>Hollow</v>
      </c>
      <c r="J67" s="44" t="str">
        <v>DecoA</v>
      </c>
      <c r="K67" s="45">
        <v>2</v>
      </c>
      <c r="L67" s="42"/>
      <c r="M67" s="43">
        <f>"World_"&amp;VLOOKUP(B67,'引用列表'!Q:R,2,FALSE)&amp;"_"&amp;B67&amp;IF(COUNTIF(D67,"*Hole*"),"/Hole","")</f>
      </c>
      <c r="N67" s="43">
        <f>IF(B67&lt;&gt;"", B67, "") &amp; IF(D67&lt;&gt;"", "_" &amp; D67, "") &amp; IF(E67&lt;&gt;"", "_" &amp; E67, "")  &amp; IF(H67&lt;&gt;"", "_" &amp; H67, "") &amp; IF(I67&lt;&gt;"", "_" &amp; I67, "") &amp; IF(J67&lt;&gt;"", "_" &amp; J67, "") &amp; IF(K67&lt;&gt;"", "_" &amp; K67, "")</f>
      </c>
      <c r="O67" s="47">
        <f>IF(Z67="✅", "/Script/Engine.StaticMesh'/Game/Item/Mesh/Voxel/" &amp; M67 &amp; "/" &amp; D67 &amp; "/" &amp; F67 &amp; "." &amp; F67 &amp; "'", "")</f>
      </c>
      <c r="P67" s="43"/>
      <c r="Q67" s="43"/>
      <c r="R67" s="42"/>
      <c r="S67" s="42"/>
      <c r="T67" s="47"/>
      <c r="U67" s="47"/>
      <c r="V67" s="42"/>
      <c r="W67" s="42"/>
      <c r="X67" s="43"/>
      <c r="Y67" s="42"/>
      <c r="Z67" s="46" t="str">
        <v>⭕</v>
      </c>
      <c r="AA67" s="43">
        <f>IF(G67&lt;&gt;"", "MI"&amp;"_", "") &amp; IF(B67&lt;&gt;"", B67, "") &amp; IF(D67&lt;&gt;"", "_" &amp; D67, "") &amp; IF(E67&lt;&gt;"", "_" &amp; E67, "")  &amp; IF(H67&lt;&gt;"", "_" &amp; H67, "") &amp; IF(I67&lt;&gt;"", "_" &amp; I67, "") &amp; IF(J67&lt;&gt;"", "_" &amp; J67, "") &amp; IF(K67&lt;&gt;"", "_" &amp; K67, "")</f>
      </c>
      <c r="AB67" s="43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</row>
    <row r="68">
      <c r="A68" s="48"/>
      <c r="B68" s="43" t="str">
        <v>TheCity</v>
      </c>
      <c r="C68" s="48"/>
      <c r="D68" s="43" t="str">
        <v>Ground</v>
      </c>
      <c r="E68" s="47" t="str">
        <v>Sidewalk</v>
      </c>
      <c r="F68" s="48">
        <f>IF(G68&lt;&gt;"", G68&amp;"_", "") &amp; IF(B68&lt;&gt;"", B68, "") &amp; IF(D68&lt;&gt;"", "_" &amp; D68, "") &amp; IF(E68&lt;&gt;"", "_" &amp; E68, "")  &amp; IF(H68&lt;&gt;"", "_" &amp; H68, "") &amp; IF(I68&lt;&gt;"", "_" &amp; I68, "") &amp; IF(J68&lt;&gt;"", "_" &amp; J68, "") &amp; IF(K68&lt;&gt;"", "_" &amp; K68, "")</f>
      </c>
      <c r="G68" s="42" t="str">
        <v>SM</v>
      </c>
      <c r="H68" s="42" t="str">
        <v>C</v>
      </c>
      <c r="I68" s="42" t="str">
        <v>Hollow</v>
      </c>
      <c r="J68" s="44" t="str">
        <v>DecoA</v>
      </c>
      <c r="K68" s="45">
        <v>3</v>
      </c>
      <c r="L68" s="42"/>
      <c r="M68" s="43">
        <f>"World_"&amp;VLOOKUP(B68,'引用列表'!Q:R,2,FALSE)&amp;"_"&amp;B68&amp;IF(COUNTIF(D68,"*Hole*"),"/Hole","")</f>
      </c>
      <c r="N68" s="43">
        <f>IF(B68&lt;&gt;"", B68, "") &amp; IF(D68&lt;&gt;"", "_" &amp; D68, "") &amp; IF(E68&lt;&gt;"", "_" &amp; E68, "")  &amp; IF(H68&lt;&gt;"", "_" &amp; H68, "") &amp; IF(I68&lt;&gt;"", "_" &amp; I68, "") &amp; IF(J68&lt;&gt;"", "_" &amp; J68, "") &amp; IF(K68&lt;&gt;"", "_" &amp; K68, "")</f>
      </c>
      <c r="O68" s="47">
        <f>IF(Z68="✅", "/Script/Engine.StaticMesh'/Game/Item/Mesh/Voxel/" &amp; M68 &amp; "/" &amp; D68 &amp; "/" &amp; F68 &amp; "." &amp; F68 &amp; "'", "")</f>
      </c>
      <c r="P68" s="43"/>
      <c r="Q68" s="43"/>
      <c r="R68" s="42"/>
      <c r="S68" s="42"/>
      <c r="T68" s="47"/>
      <c r="U68" s="47"/>
      <c r="V68" s="42"/>
      <c r="W68" s="42"/>
      <c r="X68" s="43"/>
      <c r="Y68" s="42"/>
      <c r="Z68" s="46" t="str">
        <v>⭕</v>
      </c>
      <c r="AA68" s="43">
        <f>IF(G68&lt;&gt;"", "MI"&amp;"_", "") &amp; IF(B68&lt;&gt;"", B68, "") &amp; IF(D68&lt;&gt;"", "_" &amp; D68, "") &amp; IF(E68&lt;&gt;"", "_" &amp; E68, "")  &amp; IF(H68&lt;&gt;"", "_" &amp; H68, "") &amp; IF(I68&lt;&gt;"", "_" &amp; I68, "") &amp; IF(J68&lt;&gt;"", "_" &amp; J68, "") &amp; IF(K68&lt;&gt;"", "_" &amp; K68, "")</f>
      </c>
      <c r="AB68" s="43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</row>
    <row r="69">
      <c r="A69" s="48"/>
      <c r="B69" s="43" t="str">
        <v>TheCity</v>
      </c>
      <c r="C69" s="48"/>
      <c r="D69" s="43" t="str">
        <v>Ground</v>
      </c>
      <c r="E69" s="47" t="str">
        <v>Sidewalk</v>
      </c>
      <c r="F69" s="48">
        <f>IF(G69&lt;&gt;"", G69&amp;"_", "") &amp; IF(B69&lt;&gt;"", B69, "") &amp; IF(D69&lt;&gt;"", "_" &amp; D69, "") &amp; IF(E69&lt;&gt;"", "_" &amp; E69, "")  &amp; IF(H69&lt;&gt;"", "_" &amp; H69, "") &amp; IF(I69&lt;&gt;"", "_" &amp; I69, "") &amp; IF(J69&lt;&gt;"", "_" &amp; J69, "") &amp; IF(K69&lt;&gt;"", "_" &amp; K69, "")</f>
      </c>
      <c r="G69" s="42" t="str">
        <v>SM</v>
      </c>
      <c r="H69" s="42" t="str">
        <v>T</v>
      </c>
      <c r="I69" s="42" t="str">
        <v>Single</v>
      </c>
      <c r="J69" s="44" t="str">
        <v>DecoB</v>
      </c>
      <c r="K69" s="45">
        <v>1</v>
      </c>
      <c r="L69" s="42"/>
      <c r="M69" s="43">
        <f>"World_"&amp;VLOOKUP(B69,'引用列表'!Q:R,2,FALSE)&amp;"_"&amp;B69&amp;IF(COUNTIF(D69,"*Hole*"),"/Hole","")</f>
      </c>
      <c r="N69" s="43">
        <f>IF(B69&lt;&gt;"", B69, "") &amp; IF(D69&lt;&gt;"", "_" &amp; D69, "") &amp; IF(E69&lt;&gt;"", "_" &amp; E69, "")  &amp; IF(H69&lt;&gt;"", "_" &amp; H69, "") &amp; IF(I69&lt;&gt;"", "_" &amp; I69, "") &amp; IF(J69&lt;&gt;"", "_" &amp; J69, "") &amp; IF(K69&lt;&gt;"", "_" &amp; K69, "")</f>
      </c>
      <c r="O69" s="47">
        <f>IF(Z69="✅", "/Script/Engine.StaticMesh'/Game/Item/Mesh/Voxel/" &amp; M69 &amp; "/" &amp; D69 &amp; "/" &amp; F69 &amp; "." &amp; F69 &amp; "'", "")</f>
      </c>
      <c r="P69" s="43"/>
      <c r="Q69" s="43"/>
      <c r="R69" s="42"/>
      <c r="S69" s="42"/>
      <c r="T69" s="47"/>
      <c r="U69" s="47"/>
      <c r="V69" s="42"/>
      <c r="W69" s="42"/>
      <c r="X69" s="43"/>
      <c r="Y69" s="42"/>
      <c r="Z69" s="46" t="str">
        <v>⭕</v>
      </c>
      <c r="AA69" s="43">
        <f>IF(G69&lt;&gt;"", "MI"&amp;"_", "") &amp; IF(B69&lt;&gt;"", B69, "") &amp; IF(D69&lt;&gt;"", "_" &amp; D69, "") &amp; IF(E69&lt;&gt;"", "_" &amp; E69, "")  &amp; IF(H69&lt;&gt;"", "_" &amp; H69, "") &amp; IF(I69&lt;&gt;"", "_" &amp; I69, "") &amp; IF(J69&lt;&gt;"", "_" &amp; J69, "") &amp; IF(K69&lt;&gt;"", "_" &amp; K69, "")</f>
      </c>
      <c r="AB69" s="43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</row>
    <row r="70">
      <c r="A70" s="48"/>
      <c r="B70" s="43" t="str">
        <v>TheCity</v>
      </c>
      <c r="C70" s="48"/>
      <c r="D70" s="43" t="str">
        <v>Ground</v>
      </c>
      <c r="E70" s="47" t="str">
        <v>Sidewalk</v>
      </c>
      <c r="F70" s="48">
        <f>IF(G70&lt;&gt;"", G70&amp;"_", "") &amp; IF(B70&lt;&gt;"", B70, "") &amp; IF(D70&lt;&gt;"", "_" &amp; D70, "") &amp; IF(E70&lt;&gt;"", "_" &amp; E70, "")  &amp; IF(H70&lt;&gt;"", "_" &amp; H70, "") &amp; IF(I70&lt;&gt;"", "_" &amp; I70, "") &amp; IF(J70&lt;&gt;"", "_" &amp; J70, "") &amp; IF(K70&lt;&gt;"", "_" &amp; K70, "")</f>
      </c>
      <c r="G70" s="42" t="str">
        <v>SM</v>
      </c>
      <c r="H70" s="42" t="str">
        <v>TR</v>
      </c>
      <c r="I70" s="42" t="str">
        <v>Corner</v>
      </c>
      <c r="J70" s="44" t="str">
        <v>DecoB</v>
      </c>
      <c r="K70" s="45">
        <v>1</v>
      </c>
      <c r="L70" s="42"/>
      <c r="M70" s="43">
        <f>"World_"&amp;VLOOKUP(B70,'引用列表'!Q:R,2,FALSE)&amp;"_"&amp;B70&amp;IF(COUNTIF(D70,"*Hole*"),"/Hole","")</f>
      </c>
      <c r="N70" s="43">
        <f>IF(B70&lt;&gt;"", B70, "") &amp; IF(D70&lt;&gt;"", "_" &amp; D70, "") &amp; IF(E70&lt;&gt;"", "_" &amp; E70, "")  &amp; IF(H70&lt;&gt;"", "_" &amp; H70, "") &amp; IF(I70&lt;&gt;"", "_" &amp; I70, "") &amp; IF(J70&lt;&gt;"", "_" &amp; J70, "") &amp; IF(K70&lt;&gt;"", "_" &amp; K70, "")</f>
      </c>
      <c r="O70" s="47">
        <f>IF(Z70="✅", "/Script/Engine.StaticMesh'/Game/Item/Mesh/Voxel/" &amp; M70 &amp; "/" &amp; D70 &amp; "/" &amp; F70 &amp; "." &amp; F70 &amp; "'", "")</f>
      </c>
      <c r="P70" s="43"/>
      <c r="Q70" s="43"/>
      <c r="R70" s="42"/>
      <c r="S70" s="42"/>
      <c r="T70" s="47"/>
      <c r="U70" s="47"/>
      <c r="V70" s="42"/>
      <c r="W70" s="42"/>
      <c r="X70" s="43"/>
      <c r="Y70" s="42"/>
      <c r="Z70" s="46" t="str">
        <v>⭕</v>
      </c>
      <c r="AA70" s="43">
        <f>IF(G70&lt;&gt;"", "MI"&amp;"_", "") &amp; IF(B70&lt;&gt;"", B70, "") &amp; IF(D70&lt;&gt;"", "_" &amp; D70, "") &amp; IF(E70&lt;&gt;"", "_" &amp; E70, "")  &amp; IF(H70&lt;&gt;"", "_" &amp; H70, "") &amp; IF(I70&lt;&gt;"", "_" &amp; I70, "") &amp; IF(J70&lt;&gt;"", "_" &amp; J70, "") &amp; IF(K70&lt;&gt;"", "_" &amp; K70, "")</f>
      </c>
      <c r="AB70" s="43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</row>
    <row r="71">
      <c r="A71" s="48"/>
      <c r="B71" s="43" t="str">
        <v>TheCity</v>
      </c>
      <c r="C71" s="48"/>
      <c r="D71" s="43" t="str">
        <v>Ground</v>
      </c>
      <c r="E71" s="47" t="str">
        <v>Sidewalk</v>
      </c>
      <c r="F71" s="48">
        <f>IF(G71&lt;&gt;"", G71&amp;"_", "") &amp; IF(B71&lt;&gt;"", B71, "") &amp; IF(D71&lt;&gt;"", "_" &amp; D71, "") &amp; IF(E71&lt;&gt;"", "_" &amp; E71, "")  &amp; IF(H71&lt;&gt;"", "_" &amp; H71, "") &amp; IF(I71&lt;&gt;"", "_" &amp; I71, "") &amp; IF(J71&lt;&gt;"", "_" &amp; J71, "") &amp; IF(K71&lt;&gt;"", "_" &amp; K71, "")</f>
      </c>
      <c r="G71" s="42" t="str">
        <v>SM</v>
      </c>
      <c r="H71" s="42" t="str">
        <v>R</v>
      </c>
      <c r="I71" s="42" t="str">
        <v>Single</v>
      </c>
      <c r="J71" s="44" t="str">
        <v>DecoB</v>
      </c>
      <c r="K71" s="45">
        <v>1</v>
      </c>
      <c r="L71" s="42"/>
      <c r="M71" s="43">
        <f>"World_"&amp;VLOOKUP(B71,'引用列表'!Q:R,2,FALSE)&amp;"_"&amp;B71&amp;IF(COUNTIF(D71,"*Hole*"),"/Hole","")</f>
      </c>
      <c r="N71" s="43">
        <f>IF(B71&lt;&gt;"", B71, "") &amp; IF(D71&lt;&gt;"", "_" &amp; D71, "") &amp; IF(E71&lt;&gt;"", "_" &amp; E71, "")  &amp; IF(H71&lt;&gt;"", "_" &amp; H71, "") &amp; IF(I71&lt;&gt;"", "_" &amp; I71, "") &amp; IF(J71&lt;&gt;"", "_" &amp; J71, "") &amp; IF(K71&lt;&gt;"", "_" &amp; K71, "")</f>
      </c>
      <c r="O71" s="47">
        <f>IF(Z71="✅", "/Script/Engine.StaticMesh'/Game/Item/Mesh/Voxel/" &amp; M71 &amp; "/" &amp; D71 &amp; "/" &amp; F71 &amp; "." &amp; F71 &amp; "'", "")</f>
      </c>
      <c r="P71" s="43"/>
      <c r="Q71" s="43"/>
      <c r="R71" s="42"/>
      <c r="S71" s="42"/>
      <c r="T71" s="47"/>
      <c r="U71" s="47"/>
      <c r="V71" s="42"/>
      <c r="W71" s="42"/>
      <c r="X71" s="43"/>
      <c r="Y71" s="42"/>
      <c r="Z71" s="46" t="str">
        <v>⭕</v>
      </c>
      <c r="AA71" s="43">
        <f>IF(G71&lt;&gt;"", "MI"&amp;"_", "") &amp; IF(B71&lt;&gt;"", B71, "") &amp; IF(D71&lt;&gt;"", "_" &amp; D71, "") &amp; IF(E71&lt;&gt;"", "_" &amp; E71, "")  &amp; IF(H71&lt;&gt;"", "_" &amp; H71, "") &amp; IF(I71&lt;&gt;"", "_" &amp; I71, "") &amp; IF(J71&lt;&gt;"", "_" &amp; J71, "") &amp; IF(K71&lt;&gt;"", "_" &amp; K71, "")</f>
      </c>
      <c r="AB71" s="43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</row>
    <row customHeight="true" ht="19" r="72">
      <c r="A72" s="48"/>
      <c r="B72" s="43" t="str">
        <v>TheCity</v>
      </c>
      <c r="C72" s="48"/>
      <c r="D72" s="43" t="str">
        <v>Ground</v>
      </c>
      <c r="E72" s="47" t="str">
        <v>Sidewalk</v>
      </c>
      <c r="F72" s="48">
        <f>IF(G72&lt;&gt;"", G72&amp;"_", "") &amp; IF(B72&lt;&gt;"", B72, "") &amp; IF(D72&lt;&gt;"", "_" &amp; D72, "") &amp; IF(E72&lt;&gt;"", "_" &amp; E72, "")  &amp; IF(H72&lt;&gt;"", "_" &amp; H72, "") &amp; IF(I72&lt;&gt;"", "_" &amp; I72, "") &amp; IF(J72&lt;&gt;"", "_" &amp; J72, "") &amp; IF(K72&lt;&gt;"", "_" &amp; K72, "")</f>
      </c>
      <c r="G72" s="42" t="str">
        <v>SM</v>
      </c>
      <c r="H72" s="42" t="str">
        <v>R</v>
      </c>
      <c r="I72" s="42" t="str">
        <v>Single</v>
      </c>
      <c r="J72" s="44" t="str">
        <v>DecoB</v>
      </c>
      <c r="K72" s="45">
        <v>2</v>
      </c>
      <c r="L72" s="42"/>
      <c r="M72" s="43">
        <f>"World_"&amp;VLOOKUP(B72,'引用列表'!Q:R,2,FALSE)&amp;"_"&amp;B72&amp;IF(COUNTIF(D72,"*Hole*"),"/Hole","")</f>
      </c>
      <c r="N72" s="43">
        <f>IF(B72&lt;&gt;"", B72, "") &amp; IF(D72&lt;&gt;"", "_" &amp; D72, "") &amp; IF(E72&lt;&gt;"", "_" &amp; E72, "")  &amp; IF(H72&lt;&gt;"", "_" &amp; H72, "") &amp; IF(I72&lt;&gt;"", "_" &amp; I72, "") &amp; IF(J72&lt;&gt;"", "_" &amp; J72, "") &amp; IF(K72&lt;&gt;"", "_" &amp; K72, "")</f>
      </c>
      <c r="O72" s="47">
        <f>IF(Z72="✅", "/Script/Engine.StaticMesh'/Game/Item/Mesh/Voxel/" &amp; M72 &amp; "/" &amp; D72 &amp; "/" &amp; F72 &amp; "." &amp; F72 &amp; "'", "")</f>
      </c>
      <c r="P72" s="43"/>
      <c r="Q72" s="43"/>
      <c r="R72" s="42"/>
      <c r="S72" s="42"/>
      <c r="T72" s="47"/>
      <c r="U72" s="47"/>
      <c r="V72" s="42"/>
      <c r="W72" s="42"/>
      <c r="X72" s="43"/>
      <c r="Y72" s="42"/>
      <c r="Z72" s="46" t="str">
        <v>⭕</v>
      </c>
      <c r="AA72" s="43">
        <f>IF(G72&lt;&gt;"", "MI"&amp;"_", "") &amp; IF(B72&lt;&gt;"", B72, "") &amp; IF(D72&lt;&gt;"", "_" &amp; D72, "") &amp; IF(E72&lt;&gt;"", "_" &amp; E72, "")  &amp; IF(H72&lt;&gt;"", "_" &amp; H72, "") &amp; IF(I72&lt;&gt;"", "_" &amp; I72, "") &amp; IF(J72&lt;&gt;"", "_" &amp; J72, "") &amp; IF(K72&lt;&gt;"", "_" &amp; K72, "")</f>
      </c>
      <c r="AB72" s="43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</row>
    <row r="73">
      <c r="A73" s="48"/>
      <c r="B73" s="43" t="str">
        <v>TheCity</v>
      </c>
      <c r="C73" s="48"/>
      <c r="D73" s="43" t="str">
        <v>Ground</v>
      </c>
      <c r="E73" s="47" t="str">
        <v>SidewalkToGrass</v>
      </c>
      <c r="F73" s="48">
        <f>IF(G73&lt;&gt;"", G73&amp;"_", "") &amp; IF(B73&lt;&gt;"", B73, "") &amp; IF(D73&lt;&gt;"", "_" &amp; D73, "") &amp; IF(E73&lt;&gt;"", "_" &amp; E73, "")  &amp; IF(H73&lt;&gt;"", "_" &amp; H73, "") &amp; IF(I73&lt;&gt;"", "_" &amp; I73, "") &amp; IF(J73&lt;&gt;"", "_" &amp; J73, "") &amp; IF(K73&lt;&gt;"", "_" &amp; K73, "")</f>
      </c>
      <c r="G73" s="42" t="str">
        <v>SM</v>
      </c>
      <c r="H73" s="42" t="str">
        <v>T</v>
      </c>
      <c r="I73" s="42" t="str">
        <v>Single</v>
      </c>
      <c r="J73" s="44"/>
      <c r="K73" s="45">
        <v>1</v>
      </c>
      <c r="L73" s="42"/>
      <c r="M73" s="43">
        <f>"World_"&amp;VLOOKUP(B73,'引用列表'!Q:R,2,FALSE)&amp;"_"&amp;B73&amp;IF(COUNTIF(D73,"*Hole*"),"/Hole","")</f>
      </c>
      <c r="N73" s="43">
        <f>IF(B73&lt;&gt;"", B73, "") &amp; IF(D73&lt;&gt;"", "_" &amp; D73, "") &amp; IF(E73&lt;&gt;"", "_" &amp; E73, "")  &amp; IF(H73&lt;&gt;"", "_" &amp; H73, "") &amp; IF(I73&lt;&gt;"", "_" &amp; I73, "") &amp; IF(J73&lt;&gt;"", "_" &amp; J73, "") &amp; IF(K73&lt;&gt;"", "_" &amp; K73, "")</f>
      </c>
      <c r="O73" s="47">
        <f>IF(Z73="✅", "/Script/Engine.StaticMesh'/Game/Item/Mesh/Voxel/" &amp; M73 &amp; "/" &amp; D73 &amp; "/" &amp; F73 &amp; "." &amp; F73 &amp; "'", "")</f>
      </c>
      <c r="P73" s="43"/>
      <c r="Q73" s="43"/>
      <c r="R73" s="42"/>
      <c r="S73" s="42"/>
      <c r="T73" s="47"/>
      <c r="U73" s="47"/>
      <c r="V73" s="42"/>
      <c r="W73" s="42"/>
      <c r="X73" s="43"/>
      <c r="Y73" s="42"/>
      <c r="Z73" s="46" t="str">
        <v>⭕</v>
      </c>
      <c r="AA73" s="43">
        <f>IF(G73&lt;&gt;"", "MI"&amp;"_", "") &amp; IF(B73&lt;&gt;"", B73, "") &amp; IF(D73&lt;&gt;"", "_" &amp; D73, "") &amp; IF(E73&lt;&gt;"", "_" &amp; E73, "")  &amp; IF(H73&lt;&gt;"", "_" &amp; H73, "") &amp; IF(I73&lt;&gt;"", "_" &amp; I73, "") &amp; IF(J73&lt;&gt;"", "_" &amp; J73, "") &amp; IF(K73&lt;&gt;"", "_" &amp; K73, "")</f>
      </c>
      <c r="AB73" s="43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</row>
    <row r="74">
      <c r="A74" s="53"/>
      <c r="B74" s="52" t="str">
        <v>TheCity</v>
      </c>
      <c r="C74" s="53"/>
      <c r="D74" s="52" t="str">
        <v>Ground</v>
      </c>
      <c r="E74" s="54" t="str">
        <v>SidewalkToGrass</v>
      </c>
      <c r="F74" s="53">
        <f>IF(G74&lt;&gt;"", G74&amp;"_", "") &amp; IF(B74&lt;&gt;"", B74, "") &amp; IF(D74&lt;&gt;"", "_" &amp; D74, "") &amp; IF(E74&lt;&gt;"", "_" &amp; E74, "")  &amp; IF(H74&lt;&gt;"", "_" &amp; H74, "") &amp; IF(I74&lt;&gt;"", "_" &amp; I74, "") &amp; IF(J74&lt;&gt;"", "_" &amp; J74, "") &amp; IF(K74&lt;&gt;"", "_" &amp; K74, "")</f>
      </c>
      <c r="G74" s="51" t="str">
        <v>SM</v>
      </c>
      <c r="H74" s="51" t="str">
        <v>T</v>
      </c>
      <c r="I74" s="51" t="str">
        <v>Hollow</v>
      </c>
      <c r="J74" s="55"/>
      <c r="K74" s="57">
        <v>1</v>
      </c>
      <c r="L74" s="51"/>
      <c r="M74" s="52">
        <f>"World_"&amp;VLOOKUP(B74,'引用列表'!Q:R,2,FALSE)&amp;"_"&amp;B74&amp;IF(COUNTIF(D74,"*Hole*"),"/Hole","")</f>
      </c>
      <c r="N74" s="52">
        <f>IF(B74&lt;&gt;"", B74, "") &amp; IF(D74&lt;&gt;"", "_" &amp; D74, "") &amp; IF(E74&lt;&gt;"", "_" &amp; E74, "")  &amp; IF(H74&lt;&gt;"", "_" &amp; H74, "") &amp; IF(I74&lt;&gt;"", "_" &amp; I74, "") &amp; IF(J74&lt;&gt;"", "_" &amp; J74, "") &amp; IF(K74&lt;&gt;"", "_" &amp; K74, "")</f>
      </c>
      <c r="O74" s="54">
        <f>IF(Z74="✅", "/Script/Engine.StaticMesh'/Game/Item/Mesh/Voxel/" &amp; M74 &amp; "/" &amp; D74 &amp; "/" &amp; F74 &amp; "." &amp; F74 &amp; "'", "")</f>
      </c>
      <c r="P74" s="52"/>
      <c r="Q74" s="52"/>
      <c r="R74" s="51"/>
      <c r="S74" s="51"/>
      <c r="T74" s="54"/>
      <c r="U74" s="54"/>
      <c r="V74" s="51"/>
      <c r="W74" s="51"/>
      <c r="X74" s="52"/>
      <c r="Y74" s="51"/>
      <c r="Z74" s="56" t="str">
        <v>⭕</v>
      </c>
      <c r="AA74" s="52">
        <f>IF(G74&lt;&gt;"", "MI"&amp;"_", "") &amp; IF(B74&lt;&gt;"", B74, "") &amp; IF(D74&lt;&gt;"", "_" &amp; D74, "") &amp; IF(E74&lt;&gt;"", "_" &amp; E74, "")  &amp; IF(H74&lt;&gt;"", "_" &amp; H74, "") &amp; IF(I74&lt;&gt;"", "_" &amp; I74, "") &amp; IF(J74&lt;&gt;"", "_" &amp; J74, "") &amp; IF(K74&lt;&gt;"", "_" &amp; K74, "")</f>
      </c>
      <c r="AB74" s="52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</row>
    <row r="75">
      <c r="A75" s="53"/>
      <c r="B75" s="52" t="str">
        <v>TheCity</v>
      </c>
      <c r="C75" s="53"/>
      <c r="D75" s="52" t="str">
        <v>Ground</v>
      </c>
      <c r="E75" s="54" t="str">
        <v>SidewalkToGrass</v>
      </c>
      <c r="F75" s="53">
        <f>IF(G75&lt;&gt;"", G75&amp;"_", "") &amp; IF(B75&lt;&gt;"", B75, "") &amp; IF(D75&lt;&gt;"", "_" &amp; D75, "") &amp; IF(E75&lt;&gt;"", "_" &amp; E75, "")  &amp; IF(H75&lt;&gt;"", "_" &amp; H75, "") &amp; IF(I75&lt;&gt;"", "_" &amp; I75, "") &amp; IF(J75&lt;&gt;"", "_" &amp; J75, "") &amp; IF(K75&lt;&gt;"", "_" &amp; K75, "")</f>
      </c>
      <c r="G75" s="51" t="str">
        <v>SM</v>
      </c>
      <c r="H75" s="51" t="str">
        <v>C</v>
      </c>
      <c r="I75" s="51" t="str">
        <v>Hollow</v>
      </c>
      <c r="J75" s="55" t="str">
        <v>Deco</v>
      </c>
      <c r="K75" s="57">
        <v>1</v>
      </c>
      <c r="L75" s="51"/>
      <c r="M75" s="52">
        <f>"World_"&amp;VLOOKUP(B75,'引用列表'!Q:R,2,FALSE)&amp;"_"&amp;B75&amp;IF(COUNTIF(D75,"*Hole*"),"/Hole","")</f>
      </c>
      <c r="N75" s="52">
        <f>IF(B75&lt;&gt;"", B75, "") &amp; IF(D75&lt;&gt;"", "_" &amp; D75, "") &amp; IF(E75&lt;&gt;"", "_" &amp; E75, "")  &amp; IF(H75&lt;&gt;"", "_" &amp; H75, "") &amp; IF(I75&lt;&gt;"", "_" &amp; I75, "") &amp; IF(J75&lt;&gt;"", "_" &amp; J75, "") &amp; IF(K75&lt;&gt;"", "_" &amp; K75, "")</f>
      </c>
      <c r="O75" s="54">
        <f>IF(Z75="✅", "/Script/Engine.StaticMesh'/Game/Item/Mesh/Voxel/" &amp; M75 &amp; "/" &amp; D75 &amp; "/" &amp; F75 &amp; "." &amp; F75 &amp; "'", "")</f>
      </c>
      <c r="P75" s="52"/>
      <c r="Q75" s="52"/>
      <c r="R75" s="51"/>
      <c r="S75" s="51"/>
      <c r="T75" s="54"/>
      <c r="U75" s="54"/>
      <c r="V75" s="51"/>
      <c r="W75" s="51"/>
      <c r="X75" s="52"/>
      <c r="Y75" s="51"/>
      <c r="Z75" s="56" t="str">
        <v>⭕</v>
      </c>
      <c r="AA75" s="52">
        <f>IF(G75&lt;&gt;"", "MI"&amp;"_", "") &amp; IF(B75&lt;&gt;"", B75, "") &amp; IF(D75&lt;&gt;"", "_" &amp; D75, "") &amp; IF(E75&lt;&gt;"", "_" &amp; E75, "")  &amp; IF(H75&lt;&gt;"", "_" &amp; H75, "") &amp; IF(I75&lt;&gt;"", "_" &amp; I75, "") &amp; IF(J75&lt;&gt;"", "_" &amp; J75, "") &amp; IF(K75&lt;&gt;"", "_" &amp; K75, "")</f>
      </c>
      <c r="AB75" s="52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</row>
    <row r="76">
      <c r="A76" s="53"/>
      <c r="B76" s="52" t="str">
        <v>TheCity</v>
      </c>
      <c r="C76" s="53"/>
      <c r="D76" s="52" t="str">
        <v>Ground</v>
      </c>
      <c r="E76" s="54" t="str">
        <v>SidewalkToGrass</v>
      </c>
      <c r="F76" s="53">
        <f>IF(G76&lt;&gt;"", G76&amp;"_", "") &amp; IF(B76&lt;&gt;"", B76, "") &amp; IF(D76&lt;&gt;"", "_" &amp; D76, "") &amp; IF(E76&lt;&gt;"", "_" &amp; E76, "")  &amp; IF(H76&lt;&gt;"", "_" &amp; H76, "") &amp; IF(I76&lt;&gt;"", "_" &amp; I76, "") &amp; IF(J76&lt;&gt;"", "_" &amp; J76, "") &amp; IF(K76&lt;&gt;"", "_" &amp; K76, "")</f>
      </c>
      <c r="G76" s="51" t="str">
        <v>SM</v>
      </c>
      <c r="H76" s="51" t="str">
        <v>C</v>
      </c>
      <c r="I76" s="51" t="str">
        <v>Hollow</v>
      </c>
      <c r="J76" s="55" t="str">
        <v>Deco</v>
      </c>
      <c r="K76" s="57">
        <v>2</v>
      </c>
      <c r="L76" s="51"/>
      <c r="M76" s="52">
        <f>"World_"&amp;VLOOKUP(B76,'引用列表'!Q:R,2,FALSE)&amp;"_"&amp;B76&amp;IF(COUNTIF(D76,"*Hole*"),"/Hole","")</f>
      </c>
      <c r="N76" s="52">
        <f>IF(B76&lt;&gt;"", B76, "") &amp; IF(D76&lt;&gt;"", "_" &amp; D76, "") &amp; IF(E76&lt;&gt;"", "_" &amp; E76, "")  &amp; IF(H76&lt;&gt;"", "_" &amp; H76, "") &amp; IF(I76&lt;&gt;"", "_" &amp; I76, "") &amp; IF(J76&lt;&gt;"", "_" &amp; J76, "") &amp; IF(K76&lt;&gt;"", "_" &amp; K76, "")</f>
      </c>
      <c r="O76" s="54">
        <f>IF(Z76="✅", "/Script/Engine.StaticMesh'/Game/Item/Mesh/Voxel/" &amp; M76 &amp; "/" &amp; D76 &amp; "/" &amp; F76 &amp; "." &amp; F76 &amp; "'", "")</f>
      </c>
      <c r="P76" s="52"/>
      <c r="Q76" s="52"/>
      <c r="R76" s="51"/>
      <c r="S76" s="51"/>
      <c r="T76" s="54"/>
      <c r="U76" s="54"/>
      <c r="V76" s="51"/>
      <c r="W76" s="51"/>
      <c r="X76" s="52"/>
      <c r="Y76" s="51"/>
      <c r="Z76" s="56" t="str">
        <v>⭕</v>
      </c>
      <c r="AA76" s="52">
        <f>IF(G76&lt;&gt;"", "MI"&amp;"_", "") &amp; IF(B76&lt;&gt;"", B76, "") &amp; IF(D76&lt;&gt;"", "_" &amp; D76, "") &amp; IF(E76&lt;&gt;"", "_" &amp; E76, "")  &amp; IF(H76&lt;&gt;"", "_" &amp; H76, "") &amp; IF(I76&lt;&gt;"", "_" &amp; I76, "") &amp; IF(J76&lt;&gt;"", "_" &amp; J76, "") &amp; IF(K76&lt;&gt;"", "_" &amp; K76, "")</f>
      </c>
      <c r="AB76" s="52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</row>
    <row r="77">
      <c r="A77" s="53"/>
      <c r="B77" s="52" t="str">
        <v>TheCity</v>
      </c>
      <c r="C77" s="53"/>
      <c r="D77" s="52" t="str">
        <v>Ground</v>
      </c>
      <c r="E77" s="54" t="str">
        <v>SidewalkToGrass</v>
      </c>
      <c r="F77" s="53">
        <f>IF(G77&lt;&gt;"", G77&amp;"_", "") &amp; IF(B77&lt;&gt;"", B77, "") &amp; IF(D77&lt;&gt;"", "_" &amp; D77, "") &amp; IF(E77&lt;&gt;"", "_" &amp; E77, "")  &amp; IF(H77&lt;&gt;"", "_" &amp; H77, "") &amp; IF(I77&lt;&gt;"", "_" &amp; I77, "") &amp; IF(J77&lt;&gt;"", "_" &amp; J77, "") &amp; IF(K77&lt;&gt;"", "_" &amp; K77, "")</f>
      </c>
      <c r="G77" s="51" t="str">
        <v>SM</v>
      </c>
      <c r="H77" s="51" t="str">
        <v>C</v>
      </c>
      <c r="I77" s="51" t="str">
        <v>Hollow</v>
      </c>
      <c r="J77" s="55" t="str">
        <v>Deco</v>
      </c>
      <c r="K77" s="57">
        <v>3</v>
      </c>
      <c r="L77" s="51"/>
      <c r="M77" s="52">
        <f>"World_"&amp;VLOOKUP(B77,'引用列表'!Q:R,2,FALSE)&amp;"_"&amp;B77&amp;IF(COUNTIF(D77,"*Hole*"),"/Hole","")</f>
      </c>
      <c r="N77" s="52">
        <f>IF(B77&lt;&gt;"", B77, "") &amp; IF(D77&lt;&gt;"", "_" &amp; D77, "") &amp; IF(E77&lt;&gt;"", "_" &amp; E77, "")  &amp; IF(H77&lt;&gt;"", "_" &amp; H77, "") &amp; IF(I77&lt;&gt;"", "_" &amp; I77, "") &amp; IF(J77&lt;&gt;"", "_" &amp; J77, "") &amp; IF(K77&lt;&gt;"", "_" &amp; K77, "")</f>
      </c>
      <c r="O77" s="54">
        <f>IF(Z77="✅", "/Script/Engine.StaticMesh'/Game/Item/Mesh/Voxel/" &amp; M77 &amp; "/" &amp; D77 &amp; "/" &amp; F77 &amp; "." &amp; F77 &amp; "'", "")</f>
      </c>
      <c r="P77" s="52"/>
      <c r="Q77" s="52"/>
      <c r="R77" s="51"/>
      <c r="S77" s="51"/>
      <c r="T77" s="54"/>
      <c r="U77" s="54"/>
      <c r="V77" s="51"/>
      <c r="W77" s="51"/>
      <c r="X77" s="52"/>
      <c r="Y77" s="51"/>
      <c r="Z77" s="56" t="str">
        <v>⭕</v>
      </c>
      <c r="AA77" s="52">
        <f>IF(G77&lt;&gt;"", "MI"&amp;"_", "") &amp; IF(B77&lt;&gt;"", B77, "") &amp; IF(D77&lt;&gt;"", "_" &amp; D77, "") &amp; IF(E77&lt;&gt;"", "_" &amp; E77, "")  &amp; IF(H77&lt;&gt;"", "_" &amp; H77, "") &amp; IF(I77&lt;&gt;"", "_" &amp; I77, "") &amp; IF(J77&lt;&gt;"", "_" &amp; J77, "") &amp; IF(K77&lt;&gt;"", "_" &amp; K77, "")</f>
      </c>
      <c r="AB77" s="52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</row>
    <row r="78">
      <c r="A78" s="53"/>
      <c r="B78" s="52" t="str">
        <v>TheCity</v>
      </c>
      <c r="C78" s="53"/>
      <c r="D78" s="52" t="str">
        <v>Ground</v>
      </c>
      <c r="E78" s="54" t="str">
        <v>SidewalkToGrass</v>
      </c>
      <c r="F78" s="53">
        <f>IF(G78&lt;&gt;"", G78&amp;"_", "") &amp; IF(B78&lt;&gt;"", B78, "") &amp; IF(D78&lt;&gt;"", "_" &amp; D78, "") &amp; IF(E78&lt;&gt;"", "_" &amp; E78, "")  &amp; IF(H78&lt;&gt;"", "_" &amp; H78, "") &amp; IF(I78&lt;&gt;"", "_" &amp; I78, "") &amp; IF(J78&lt;&gt;"", "_" &amp; J78, "") &amp; IF(K78&lt;&gt;"", "_" &amp; K78, "")</f>
      </c>
      <c r="G78" s="51" t="str">
        <v>SM</v>
      </c>
      <c r="H78" s="51" t="str">
        <v>C</v>
      </c>
      <c r="I78" s="51" t="str">
        <v>Hollow</v>
      </c>
      <c r="J78" s="55" t="str">
        <v>Deco</v>
      </c>
      <c r="K78" s="57">
        <v>4</v>
      </c>
      <c r="L78" s="51"/>
      <c r="M78" s="52">
        <f>"World_"&amp;VLOOKUP(B78,'引用列表'!Q:R,2,FALSE)&amp;"_"&amp;B78&amp;IF(COUNTIF(D78,"*Hole*"),"/Hole","")</f>
      </c>
      <c r="N78" s="52">
        <f>IF(B78&lt;&gt;"", B78, "") &amp; IF(D78&lt;&gt;"", "_" &amp; D78, "") &amp; IF(E78&lt;&gt;"", "_" &amp; E78, "")  &amp; IF(H78&lt;&gt;"", "_" &amp; H78, "") &amp; IF(I78&lt;&gt;"", "_" &amp; I78, "") &amp; IF(J78&lt;&gt;"", "_" &amp; J78, "") &amp; IF(K78&lt;&gt;"", "_" &amp; K78, "")</f>
      </c>
      <c r="O78" s="54">
        <f>IF(Z78="✅", "/Script/Engine.StaticMesh'/Game/Item/Mesh/Voxel/" &amp; M78 &amp; "/" &amp; D78 &amp; "/" &amp; F78 &amp; "." &amp; F78 &amp; "'", "")</f>
      </c>
      <c r="P78" s="52"/>
      <c r="Q78" s="52"/>
      <c r="R78" s="51"/>
      <c r="S78" s="51"/>
      <c r="T78" s="54"/>
      <c r="U78" s="54"/>
      <c r="V78" s="51"/>
      <c r="W78" s="51"/>
      <c r="X78" s="52"/>
      <c r="Y78" s="51"/>
      <c r="Z78" s="56" t="str">
        <v>⭕</v>
      </c>
      <c r="AA78" s="52">
        <f>IF(G78&lt;&gt;"", "MI"&amp;"_", "") &amp; IF(B78&lt;&gt;"", B78, "") &amp; IF(D78&lt;&gt;"", "_" &amp; D78, "") &amp; IF(E78&lt;&gt;"", "_" &amp; E78, "")  &amp; IF(H78&lt;&gt;"", "_" &amp; H78, "") &amp; IF(I78&lt;&gt;"", "_" &amp; I78, "") &amp; IF(J78&lt;&gt;"", "_" &amp; J78, "") &amp; IF(K78&lt;&gt;"", "_" &amp; K78, "")</f>
      </c>
      <c r="AB78" s="52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</row>
    <row r="79">
      <c r="A79" s="53"/>
      <c r="B79" s="52" t="str">
        <v>TheCity</v>
      </c>
      <c r="C79" s="53"/>
      <c r="D79" s="52" t="str">
        <v>Ground</v>
      </c>
      <c r="E79" s="54" t="str">
        <v>SidewalkToGrass</v>
      </c>
      <c r="F79" s="53">
        <f>IF(G79&lt;&gt;"", G79&amp;"_", "") &amp; IF(B79&lt;&gt;"", B79, "") &amp; IF(D79&lt;&gt;"", "_" &amp; D79, "") &amp; IF(E79&lt;&gt;"", "_" &amp; E79, "")  &amp; IF(H79&lt;&gt;"", "_" &amp; H79, "") &amp; IF(I79&lt;&gt;"", "_" &amp; I79, "") &amp; IF(J79&lt;&gt;"", "_" &amp; J79, "") &amp; IF(K79&lt;&gt;"", "_" &amp; K79, "")</f>
      </c>
      <c r="G79" s="51" t="str">
        <v>SM</v>
      </c>
      <c r="H79" s="51" t="str">
        <v>C</v>
      </c>
      <c r="I79" s="51" t="str">
        <v>Hollow</v>
      </c>
      <c r="J79" s="55" t="str">
        <v>Deco</v>
      </c>
      <c r="K79" s="57">
        <v>5</v>
      </c>
      <c r="L79" s="51"/>
      <c r="M79" s="52">
        <f>"World_"&amp;VLOOKUP(B79,'引用列表'!Q:R,2,FALSE)&amp;"_"&amp;B79&amp;IF(COUNTIF(D79,"*Hole*"),"/Hole","")</f>
      </c>
      <c r="N79" s="52">
        <f>IF(B79&lt;&gt;"", B79, "") &amp; IF(D79&lt;&gt;"", "_" &amp; D79, "") &amp; IF(E79&lt;&gt;"", "_" &amp; E79, "")  &amp; IF(H79&lt;&gt;"", "_" &amp; H79, "") &amp; IF(I79&lt;&gt;"", "_" &amp; I79, "") &amp; IF(J79&lt;&gt;"", "_" &amp; J79, "") &amp; IF(K79&lt;&gt;"", "_" &amp; K79, "")</f>
      </c>
      <c r="O79" s="54">
        <f>IF(Z79="✅", "/Script/Engine.StaticMesh'/Game/Item/Mesh/Voxel/" &amp; M79 &amp; "/" &amp; D79 &amp; "/" &amp; F79 &amp; "." &amp; F79 &amp; "'", "")</f>
      </c>
      <c r="P79" s="52"/>
      <c r="Q79" s="52"/>
      <c r="R79" s="51"/>
      <c r="S79" s="51"/>
      <c r="T79" s="54"/>
      <c r="U79" s="54"/>
      <c r="V79" s="51"/>
      <c r="W79" s="51"/>
      <c r="X79" s="52"/>
      <c r="Y79" s="51"/>
      <c r="Z79" s="56" t="str">
        <v>⭕</v>
      </c>
      <c r="AA79" s="52">
        <f>IF(G79&lt;&gt;"", "MI"&amp;"_", "") &amp; IF(B79&lt;&gt;"", B79, "") &amp; IF(D79&lt;&gt;"", "_" &amp; D79, "") &amp; IF(E79&lt;&gt;"", "_" &amp; E79, "")  &amp; IF(H79&lt;&gt;"", "_" &amp; H79, "") &amp; IF(I79&lt;&gt;"", "_" &amp; I79, "") &amp; IF(J79&lt;&gt;"", "_" &amp; J79, "") &amp; IF(K79&lt;&gt;"", "_" &amp; K79, "")</f>
      </c>
      <c r="AB79" s="52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</row>
    <row r="80">
      <c r="A80" s="53"/>
      <c r="B80" s="52" t="str">
        <v>TheCity</v>
      </c>
      <c r="C80" s="53"/>
      <c r="D80" s="52" t="str">
        <v>Ground</v>
      </c>
      <c r="E80" s="54" t="str">
        <v>SidewalkToGrass</v>
      </c>
      <c r="F80" s="53">
        <f>IF(G80&lt;&gt;"", G80&amp;"_", "") &amp; IF(B80&lt;&gt;"", B80, "") &amp; IF(D80&lt;&gt;"", "_" &amp; D80, "") &amp; IF(E80&lt;&gt;"", "_" &amp; E80, "")  &amp; IF(H80&lt;&gt;"", "_" &amp; H80, "") &amp; IF(I80&lt;&gt;"", "_" &amp; I80, "") &amp; IF(J80&lt;&gt;"", "_" &amp; J80, "") &amp; IF(K80&lt;&gt;"", "_" &amp; K80, "")</f>
      </c>
      <c r="G80" s="51" t="str">
        <v>SM</v>
      </c>
      <c r="H80" s="51" t="str">
        <v>C</v>
      </c>
      <c r="I80" s="51" t="str">
        <v>Hollow</v>
      </c>
      <c r="J80" s="55" t="str">
        <v>Deco</v>
      </c>
      <c r="K80" s="57">
        <v>6</v>
      </c>
      <c r="L80" s="51"/>
      <c r="M80" s="52">
        <f>"World_"&amp;VLOOKUP(B80,'引用列表'!Q:R,2,FALSE)&amp;"_"&amp;B80&amp;IF(COUNTIF(D80,"*Hole*"),"/Hole","")</f>
      </c>
      <c r="N80" s="52">
        <f>IF(B80&lt;&gt;"", B80, "") &amp; IF(D80&lt;&gt;"", "_" &amp; D80, "") &amp; IF(E80&lt;&gt;"", "_" &amp; E80, "")  &amp; IF(H80&lt;&gt;"", "_" &amp; H80, "") &amp; IF(I80&lt;&gt;"", "_" &amp; I80, "") &amp; IF(J80&lt;&gt;"", "_" &amp; J80, "") &amp; IF(K80&lt;&gt;"", "_" &amp; K80, "")</f>
      </c>
      <c r="O80" s="54">
        <f>IF(Z80="✅", "/Script/Engine.StaticMesh'/Game/Item/Mesh/Voxel/" &amp; M80 &amp; "/" &amp; D80 &amp; "/" &amp; F80 &amp; "." &amp; F80 &amp; "'", "")</f>
      </c>
      <c r="P80" s="52"/>
      <c r="Q80" s="52"/>
      <c r="R80" s="51"/>
      <c r="S80" s="51"/>
      <c r="T80" s="54"/>
      <c r="U80" s="54"/>
      <c r="V80" s="51"/>
      <c r="W80" s="51"/>
      <c r="X80" s="52"/>
      <c r="Y80" s="51"/>
      <c r="Z80" s="56" t="str">
        <v>⭕</v>
      </c>
      <c r="AA80" s="52">
        <f>IF(G80&lt;&gt;"", "MI"&amp;"_", "") &amp; IF(B80&lt;&gt;"", B80, "") &amp; IF(D80&lt;&gt;"", "_" &amp; D80, "") &amp; IF(E80&lt;&gt;"", "_" &amp; E80, "")  &amp; IF(H80&lt;&gt;"", "_" &amp; H80, "") &amp; IF(I80&lt;&gt;"", "_" &amp; I80, "") &amp; IF(J80&lt;&gt;"", "_" &amp; J80, "") &amp; IF(K80&lt;&gt;"", "_" &amp; K80, "")</f>
      </c>
      <c r="AB80" s="52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</row>
    <row r="81">
      <c r="A81" s="53"/>
      <c r="B81" s="52" t="str">
        <v>TheCity</v>
      </c>
      <c r="C81" s="53"/>
      <c r="D81" s="52" t="str">
        <v>Ground</v>
      </c>
      <c r="E81" s="54" t="str">
        <v>SidewalkToGrass</v>
      </c>
      <c r="F81" s="53">
        <f>IF(G81&lt;&gt;"", G81&amp;"_", "") &amp; IF(B81&lt;&gt;"", B81, "") &amp; IF(D81&lt;&gt;"", "_" &amp; D81, "") &amp; IF(E81&lt;&gt;"", "_" &amp; E81, "")  &amp; IF(H81&lt;&gt;"", "_" &amp; H81, "") &amp; IF(I81&lt;&gt;"", "_" &amp; I81, "") &amp; IF(J81&lt;&gt;"", "_" &amp; J81, "") &amp; IF(K81&lt;&gt;"", "_" &amp; K81, "")</f>
      </c>
      <c r="G81" s="51" t="str">
        <v>SM</v>
      </c>
      <c r="H81" s="51" t="str">
        <v>C</v>
      </c>
      <c r="I81" s="51" t="str">
        <v>Hollow</v>
      </c>
      <c r="J81" s="55" t="str">
        <v>Deco</v>
      </c>
      <c r="K81" s="57">
        <v>7</v>
      </c>
      <c r="L81" s="51"/>
      <c r="M81" s="52">
        <f>"World_"&amp;VLOOKUP(B81,'引用列表'!Q:R,2,FALSE)&amp;"_"&amp;B81&amp;IF(COUNTIF(D81,"*Hole*"),"/Hole","")</f>
      </c>
      <c r="N81" s="52">
        <f>IF(B81&lt;&gt;"", B81, "") &amp; IF(D81&lt;&gt;"", "_" &amp; D81, "") &amp; IF(E81&lt;&gt;"", "_" &amp; E81, "")  &amp; IF(H81&lt;&gt;"", "_" &amp; H81, "") &amp; IF(I81&lt;&gt;"", "_" &amp; I81, "") &amp; IF(J81&lt;&gt;"", "_" &amp; J81, "") &amp; IF(K81&lt;&gt;"", "_" &amp; K81, "")</f>
      </c>
      <c r="O81" s="54">
        <f>IF(Z81="✅", "/Script/Engine.StaticMesh'/Game/Item/Mesh/Voxel/" &amp; M81 &amp; "/" &amp; D81 &amp; "/" &amp; F81 &amp; "." &amp; F81 &amp; "'", "")</f>
      </c>
      <c r="P81" s="52"/>
      <c r="Q81" s="52"/>
      <c r="R81" s="51"/>
      <c r="S81" s="51"/>
      <c r="T81" s="54"/>
      <c r="U81" s="54"/>
      <c r="V81" s="51"/>
      <c r="W81" s="51"/>
      <c r="X81" s="52"/>
      <c r="Y81" s="51"/>
      <c r="Z81" s="56" t="str">
        <v>⭕</v>
      </c>
      <c r="AA81" s="52">
        <f>IF(G81&lt;&gt;"", "MI"&amp;"_", "") &amp; IF(B81&lt;&gt;"", B81, "") &amp; IF(D81&lt;&gt;"", "_" &amp; D81, "") &amp; IF(E81&lt;&gt;"", "_" &amp; E81, "")  &amp; IF(H81&lt;&gt;"", "_" &amp; H81, "") &amp; IF(I81&lt;&gt;"", "_" &amp; I81, "") &amp; IF(J81&lt;&gt;"", "_" &amp; J81, "") &amp; IF(K81&lt;&gt;"", "_" &amp; K81, "")</f>
      </c>
      <c r="AB81" s="52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</row>
    <row r="82">
      <c r="A82" s="53"/>
      <c r="B82" s="52" t="str">
        <v>TheCity</v>
      </c>
      <c r="C82" s="53"/>
      <c r="D82" s="52" t="str">
        <v>Ground</v>
      </c>
      <c r="E82" s="54" t="str">
        <v>SidewalkToGrass</v>
      </c>
      <c r="F82" s="53">
        <f>IF(G82&lt;&gt;"", G82&amp;"_", "") &amp; IF(B82&lt;&gt;"", B82, "") &amp; IF(D82&lt;&gt;"", "_" &amp; D82, "") &amp; IF(E82&lt;&gt;"", "_" &amp; E82, "")  &amp; IF(H82&lt;&gt;"", "_" &amp; H82, "") &amp; IF(I82&lt;&gt;"", "_" &amp; I82, "") &amp; IF(J82&lt;&gt;"", "_" &amp; J82, "") &amp; IF(K82&lt;&gt;"", "_" &amp; K82, "")</f>
      </c>
      <c r="G82" s="51" t="str">
        <v>SM</v>
      </c>
      <c r="H82" s="51" t="str">
        <v>C</v>
      </c>
      <c r="I82" s="51" t="str">
        <v>Hollow</v>
      </c>
      <c r="J82" s="55" t="str">
        <v>Deco</v>
      </c>
      <c r="K82" s="57">
        <v>8</v>
      </c>
      <c r="L82" s="51"/>
      <c r="M82" s="52">
        <f>"World_"&amp;VLOOKUP(B82,'引用列表'!Q:R,2,FALSE)&amp;"_"&amp;B82&amp;IF(COUNTIF(D82,"*Hole*"),"/Hole","")</f>
      </c>
      <c r="N82" s="52">
        <f>IF(B82&lt;&gt;"", B82, "") &amp; IF(D82&lt;&gt;"", "_" &amp; D82, "") &amp; IF(E82&lt;&gt;"", "_" &amp; E82, "")  &amp; IF(H82&lt;&gt;"", "_" &amp; H82, "") &amp; IF(I82&lt;&gt;"", "_" &amp; I82, "") &amp; IF(J82&lt;&gt;"", "_" &amp; J82, "") &amp; IF(K82&lt;&gt;"", "_" &amp; K82, "")</f>
      </c>
      <c r="O82" s="54">
        <f>IF(Z82="✅", "/Script/Engine.StaticMesh'/Game/Item/Mesh/Voxel/" &amp; M82 &amp; "/" &amp; D82 &amp; "/" &amp; F82 &amp; "." &amp; F82 &amp; "'", "")</f>
      </c>
      <c r="P82" s="52"/>
      <c r="Q82" s="52"/>
      <c r="R82" s="51"/>
      <c r="S82" s="51"/>
      <c r="T82" s="54"/>
      <c r="U82" s="54"/>
      <c r="V82" s="51"/>
      <c r="W82" s="51"/>
      <c r="X82" s="52"/>
      <c r="Y82" s="51"/>
      <c r="Z82" s="56" t="str">
        <v>⭕</v>
      </c>
      <c r="AA82" s="52">
        <f>IF(G82&lt;&gt;"", "MI"&amp;"_", "") &amp; IF(B82&lt;&gt;"", B82, "") &amp; IF(D82&lt;&gt;"", "_" &amp; D82, "") &amp; IF(E82&lt;&gt;"", "_" &amp; E82, "")  &amp; IF(H82&lt;&gt;"", "_" &amp; H82, "") &amp; IF(I82&lt;&gt;"", "_" &amp; I82, "") &amp; IF(J82&lt;&gt;"", "_" &amp; J82, "") &amp; IF(K82&lt;&gt;"", "_" &amp; K82, "")</f>
      </c>
      <c r="AB82" s="52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</row>
    <row r="83">
      <c r="A83" s="53"/>
      <c r="B83" s="52" t="str">
        <v>TheCity</v>
      </c>
      <c r="C83" s="53"/>
      <c r="D83" s="52" t="str">
        <v>Ground</v>
      </c>
      <c r="E83" s="54" t="str">
        <v>SidewalkToGrass</v>
      </c>
      <c r="F83" s="53">
        <f>IF(G83&lt;&gt;"", G83&amp;"_", "") &amp; IF(B83&lt;&gt;"", B83, "") &amp; IF(D83&lt;&gt;"", "_" &amp; D83, "") &amp; IF(E83&lt;&gt;"", "_" &amp; E83, "")  &amp; IF(H83&lt;&gt;"", "_" &amp; H83, "") &amp; IF(I83&lt;&gt;"", "_" &amp; I83, "") &amp; IF(J83&lt;&gt;"", "_" &amp; J83, "") &amp; IF(K83&lt;&gt;"", "_" &amp; K83, "")</f>
      </c>
      <c r="G83" s="51" t="str">
        <v>SM</v>
      </c>
      <c r="H83" s="51" t="str">
        <v>C</v>
      </c>
      <c r="I83" s="51" t="str">
        <v>Hollow</v>
      </c>
      <c r="J83" s="55" t="str">
        <v>Deco</v>
      </c>
      <c r="K83" s="57">
        <v>9</v>
      </c>
      <c r="L83" s="51"/>
      <c r="M83" s="52">
        <f>"World_"&amp;VLOOKUP(B83,'引用列表'!Q:R,2,FALSE)&amp;"_"&amp;B83&amp;IF(COUNTIF(D83,"*Hole*"),"/Hole","")</f>
      </c>
      <c r="N83" s="52">
        <f>IF(B83&lt;&gt;"", B83, "") &amp; IF(D83&lt;&gt;"", "_" &amp; D83, "") &amp; IF(E83&lt;&gt;"", "_" &amp; E83, "")  &amp; IF(H83&lt;&gt;"", "_" &amp; H83, "") &amp; IF(I83&lt;&gt;"", "_" &amp; I83, "") &amp; IF(J83&lt;&gt;"", "_" &amp; J83, "") &amp; IF(K83&lt;&gt;"", "_" &amp; K83, "")</f>
      </c>
      <c r="O83" s="54">
        <f>IF(Z83="✅", "/Script/Engine.StaticMesh'/Game/Item/Mesh/Voxel/" &amp; M83 &amp; "/" &amp; D83 &amp; "/" &amp; F83 &amp; "." &amp; F83 &amp; "'", "")</f>
      </c>
      <c r="P83" s="52"/>
      <c r="Q83" s="52"/>
      <c r="R83" s="51"/>
      <c r="S83" s="51"/>
      <c r="T83" s="54"/>
      <c r="U83" s="54"/>
      <c r="V83" s="51"/>
      <c r="W83" s="51"/>
      <c r="X83" s="52"/>
      <c r="Y83" s="51"/>
      <c r="Z83" s="56" t="str">
        <v>⭕</v>
      </c>
      <c r="AA83" s="52">
        <f>IF(G83&lt;&gt;"", "MI"&amp;"_", "") &amp; IF(B83&lt;&gt;"", B83, "") &amp; IF(D83&lt;&gt;"", "_" &amp; D83, "") &amp; IF(E83&lt;&gt;"", "_" &amp; E83, "")  &amp; IF(H83&lt;&gt;"", "_" &amp; H83, "") &amp; IF(I83&lt;&gt;"", "_" &amp; I83, "") &amp; IF(J83&lt;&gt;"", "_" &amp; J83, "") &amp; IF(K83&lt;&gt;"", "_" &amp; K83, "")</f>
      </c>
      <c r="AB83" s="52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</row>
    <row r="84">
      <c r="A84" s="48"/>
      <c r="B84" s="43" t="str">
        <v>TheCity</v>
      </c>
      <c r="C84" s="48"/>
      <c r="D84" s="43" t="str">
        <v>Ground</v>
      </c>
      <c r="E84" s="47" t="str">
        <v>SidewalkToRoad</v>
      </c>
      <c r="F84" s="48">
        <f>IF(G84&lt;&gt;"", G84&amp;"_", "") &amp; IF(B84&lt;&gt;"", B84, "") &amp; IF(D84&lt;&gt;"", "_" &amp; D84, "") &amp; IF(E84&lt;&gt;"", "_" &amp; E84, "")  &amp; IF(H84&lt;&gt;"", "_" &amp; H84, "") &amp; IF(I84&lt;&gt;"", "_" &amp; I84, "") &amp; IF(J84&lt;&gt;"", "_" &amp; J84, "") &amp; IF(K84&lt;&gt;"", "_" &amp; K84, "")</f>
      </c>
      <c r="G84" s="42" t="str">
        <v>SM</v>
      </c>
      <c r="H84" s="42" t="str">
        <v>T</v>
      </c>
      <c r="I84" s="42" t="str">
        <v>Single</v>
      </c>
      <c r="J84" s="44"/>
      <c r="K84" s="45">
        <v>1</v>
      </c>
      <c r="L84" s="42"/>
      <c r="M84" s="43">
        <f>"World_"&amp;VLOOKUP(B84,'引用列表'!Q:R,2,FALSE)&amp;"_"&amp;B84&amp;IF(COUNTIF(D84,"*Hole*"),"/Hole","")</f>
      </c>
      <c r="N84" s="43">
        <f>IF(B84&lt;&gt;"", B84, "") &amp; IF(D84&lt;&gt;"", "_" &amp; D84, "") &amp; IF(E84&lt;&gt;"", "_" &amp; E84, "")  &amp; IF(H84&lt;&gt;"", "_" &amp; H84, "") &amp; IF(I84&lt;&gt;"", "_" &amp; I84, "") &amp; IF(J84&lt;&gt;"", "_" &amp; J84, "") &amp; IF(K84&lt;&gt;"", "_" &amp; K84, "")</f>
      </c>
      <c r="O84" s="47">
        <f>IF(Z84="✅", "/Script/Engine.StaticMesh'/Game/Item/Mesh/Voxel/" &amp; M84 &amp; "/" &amp; D84 &amp; "/" &amp; F84 &amp; "." &amp; F84 &amp; "'", "")</f>
      </c>
      <c r="P84" s="43"/>
      <c r="Q84" s="43"/>
      <c r="R84" s="42"/>
      <c r="S84" s="42"/>
      <c r="T84" s="47"/>
      <c r="U84" s="47"/>
      <c r="V84" s="42"/>
      <c r="W84" s="42"/>
      <c r="X84" s="43"/>
      <c r="Y84" s="42"/>
      <c r="Z84" s="46" t="str">
        <v>⭕</v>
      </c>
      <c r="AA84" s="43">
        <f>IF(G84&lt;&gt;"", "MI"&amp;"_", "") &amp; IF(B84&lt;&gt;"", B84, "") &amp; IF(D84&lt;&gt;"", "_" &amp; D84, "") &amp; IF(E84&lt;&gt;"", "_" &amp; E84, "")  &amp; IF(H84&lt;&gt;"", "_" &amp; H84, "") &amp; IF(I84&lt;&gt;"", "_" &amp; I84, "") &amp; IF(J84&lt;&gt;"", "_" &amp; J84, "") &amp; IF(K84&lt;&gt;"", "_" &amp; K84, "")</f>
      </c>
      <c r="AB84" s="43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</row>
    <row r="85">
      <c r="A85" s="48"/>
      <c r="B85" s="43" t="str">
        <v>TheCity</v>
      </c>
      <c r="C85" s="48"/>
      <c r="D85" s="43" t="str">
        <v>Ground</v>
      </c>
      <c r="E85" s="47" t="str">
        <v>SidewalkToRoad</v>
      </c>
      <c r="F85" s="48">
        <f>IF(G85&lt;&gt;"", G85&amp;"_", "") &amp; IF(B85&lt;&gt;"", B85, "") &amp; IF(D85&lt;&gt;"", "_" &amp; D85, "") &amp; IF(E85&lt;&gt;"", "_" &amp; E85, "")  &amp; IF(H85&lt;&gt;"", "_" &amp; H85, "") &amp; IF(I85&lt;&gt;"", "_" &amp; I85, "") &amp; IF(J85&lt;&gt;"", "_" &amp; J85, "") &amp; IF(K85&lt;&gt;"", "_" &amp; K85, "")</f>
      </c>
      <c r="G85" s="42" t="str">
        <v>SM</v>
      </c>
      <c r="H85" s="42" t="str">
        <v>C</v>
      </c>
      <c r="I85" s="42" t="str">
        <v>Hollow</v>
      </c>
      <c r="J85" s="44"/>
      <c r="K85" s="45">
        <v>1</v>
      </c>
      <c r="L85" s="42"/>
      <c r="M85" s="43">
        <f>"World_"&amp;VLOOKUP(B85,'引用列表'!Q:R,2,FALSE)&amp;"_"&amp;B85&amp;IF(COUNTIF(D85,"*Hole*"),"/Hole","")</f>
      </c>
      <c r="N85" s="43">
        <f>IF(B85&lt;&gt;"", B85, "") &amp; IF(D85&lt;&gt;"", "_" &amp; D85, "") &amp; IF(E85&lt;&gt;"", "_" &amp; E85, "")  &amp; IF(H85&lt;&gt;"", "_" &amp; H85, "") &amp; IF(I85&lt;&gt;"", "_" &amp; I85, "") &amp; IF(J85&lt;&gt;"", "_" &amp; J85, "") &amp; IF(K85&lt;&gt;"", "_" &amp; K85, "")</f>
      </c>
      <c r="O85" s="47">
        <f>IF(Z85="✅", "/Script/Engine.StaticMesh'/Game/Item/Mesh/Voxel/" &amp; M85 &amp; "/" &amp; D85 &amp; "/" &amp; F85 &amp; "." &amp; F85 &amp; "'", "")</f>
      </c>
      <c r="P85" s="43"/>
      <c r="Q85" s="43"/>
      <c r="R85" s="42"/>
      <c r="S85" s="42"/>
      <c r="T85" s="47"/>
      <c r="U85" s="47"/>
      <c r="V85" s="42"/>
      <c r="W85" s="42"/>
      <c r="X85" s="43"/>
      <c r="Y85" s="42"/>
      <c r="Z85" s="46" t="str">
        <v>⭕</v>
      </c>
      <c r="AA85" s="43">
        <f>IF(G85&lt;&gt;"", "MI"&amp;"_", "") &amp; IF(B85&lt;&gt;"", B85, "") &amp; IF(D85&lt;&gt;"", "_" &amp; D85, "") &amp; IF(E85&lt;&gt;"", "_" &amp; E85, "")  &amp; IF(H85&lt;&gt;"", "_" &amp; H85, "") &amp; IF(I85&lt;&gt;"", "_" &amp; I85, "") &amp; IF(J85&lt;&gt;"", "_" &amp; J85, "") &amp; IF(K85&lt;&gt;"", "_" &amp; K85, "")</f>
      </c>
      <c r="AB85" s="43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</row>
    <row r="86">
      <c r="A86" s="48"/>
      <c r="B86" s="43" t="str">
        <v>TheCity</v>
      </c>
      <c r="C86" s="48"/>
      <c r="D86" s="43" t="str">
        <v>Ground</v>
      </c>
      <c r="E86" s="47" t="str">
        <v>SidewalkToRoad</v>
      </c>
      <c r="F86" s="48">
        <f>IF(G86&lt;&gt;"", G86&amp;"_", "") &amp; IF(B86&lt;&gt;"", B86, "") &amp; IF(D86&lt;&gt;"", "_" &amp; D86, "") &amp; IF(E86&lt;&gt;"", "_" &amp; E86, "")  &amp; IF(H86&lt;&gt;"", "_" &amp; H86, "") &amp; IF(I86&lt;&gt;"", "_" &amp; I86, "") &amp; IF(J86&lt;&gt;"", "_" &amp; J86, "") &amp; IF(K86&lt;&gt;"", "_" &amp; K86, "")</f>
      </c>
      <c r="G86" s="42" t="str">
        <v>SM</v>
      </c>
      <c r="H86" s="42" t="str">
        <v>C</v>
      </c>
      <c r="I86" s="42" t="str">
        <v>Hollow</v>
      </c>
      <c r="J86" s="44" t="str">
        <v>Deco</v>
      </c>
      <c r="K86" s="45">
        <v>1</v>
      </c>
      <c r="L86" s="42"/>
      <c r="M86" s="43">
        <f>"World_"&amp;VLOOKUP(B86,'引用列表'!Q:R,2,FALSE)&amp;"_"&amp;B86&amp;IF(COUNTIF(D86,"*Hole*"),"/Hole","")</f>
      </c>
      <c r="N86" s="43">
        <f>IF(B86&lt;&gt;"", B86, "") &amp; IF(D86&lt;&gt;"", "_" &amp; D86, "") &amp; IF(E86&lt;&gt;"", "_" &amp; E86, "")  &amp; IF(H86&lt;&gt;"", "_" &amp; H86, "") &amp; IF(I86&lt;&gt;"", "_" &amp; I86, "") &amp; IF(J86&lt;&gt;"", "_" &amp; J86, "") &amp; IF(K86&lt;&gt;"", "_" &amp; K86, "")</f>
      </c>
      <c r="O86" s="47">
        <f>IF(Z86="✅", "/Script/Engine.StaticMesh'/Game/Item/Mesh/Voxel/" &amp; M86 &amp; "/" &amp; D86 &amp; "/" &amp; F86 &amp; "." &amp; F86 &amp; "'", "")</f>
      </c>
      <c r="P86" s="43"/>
      <c r="Q86" s="43"/>
      <c r="R86" s="42"/>
      <c r="S86" s="42"/>
      <c r="T86" s="47"/>
      <c r="U86" s="47"/>
      <c r="V86" s="42"/>
      <c r="W86" s="42"/>
      <c r="X86" s="43"/>
      <c r="Y86" s="42"/>
      <c r="Z86" s="46" t="str">
        <v>⭕</v>
      </c>
      <c r="AA86" s="43">
        <f>IF(G86&lt;&gt;"", "MI"&amp;"_", "") &amp; IF(B86&lt;&gt;"", B86, "") &amp; IF(D86&lt;&gt;"", "_" &amp; D86, "") &amp; IF(E86&lt;&gt;"", "_" &amp; E86, "")  &amp; IF(H86&lt;&gt;"", "_" &amp; H86, "") &amp; IF(I86&lt;&gt;"", "_" &amp; I86, "") &amp; IF(J86&lt;&gt;"", "_" &amp; J86, "") &amp; IF(K86&lt;&gt;"", "_" &amp; K86, "")</f>
      </c>
      <c r="AB86" s="43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</row>
    <row r="87">
      <c r="A87" s="48"/>
      <c r="B87" s="43" t="str">
        <v>TheCity</v>
      </c>
      <c r="C87" s="48"/>
      <c r="D87" s="43" t="str">
        <v>Ground</v>
      </c>
      <c r="E87" s="47" t="str">
        <v>SidewalkToRoad</v>
      </c>
      <c r="F87" s="48">
        <f>IF(G87&lt;&gt;"", G87&amp;"_", "") &amp; IF(B87&lt;&gt;"", B87, "") &amp; IF(D87&lt;&gt;"", "_" &amp; D87, "") &amp; IF(E87&lt;&gt;"", "_" &amp; E87, "")  &amp; IF(H87&lt;&gt;"", "_" &amp; H87, "") &amp; IF(I87&lt;&gt;"", "_" &amp; I87, "") &amp; IF(J87&lt;&gt;"", "_" &amp; J87, "") &amp; IF(K87&lt;&gt;"", "_" &amp; K87, "")</f>
      </c>
      <c r="G87" s="42" t="str">
        <v>SM</v>
      </c>
      <c r="H87" s="42" t="str">
        <v>C</v>
      </c>
      <c r="I87" s="42" t="str">
        <v>Hollow</v>
      </c>
      <c r="J87" s="44" t="str">
        <v>Deco</v>
      </c>
      <c r="K87" s="45">
        <v>2</v>
      </c>
      <c r="L87" s="42"/>
      <c r="M87" s="43">
        <f>"World_"&amp;VLOOKUP(B87,'引用列表'!Q:R,2,FALSE)&amp;"_"&amp;B87&amp;IF(COUNTIF(D87,"*Hole*"),"/Hole","")</f>
      </c>
      <c r="N87" s="43">
        <f>IF(B87&lt;&gt;"", B87, "") &amp; IF(D87&lt;&gt;"", "_" &amp; D87, "") &amp; IF(E87&lt;&gt;"", "_" &amp; E87, "")  &amp; IF(H87&lt;&gt;"", "_" &amp; H87, "") &amp; IF(I87&lt;&gt;"", "_" &amp; I87, "") &amp; IF(J87&lt;&gt;"", "_" &amp; J87, "") &amp; IF(K87&lt;&gt;"", "_" &amp; K87, "")</f>
      </c>
      <c r="O87" s="47">
        <f>IF(Z87="✅", "/Script/Engine.StaticMesh'/Game/Item/Mesh/Voxel/" &amp; M87 &amp; "/" &amp; D87 &amp; "/" &amp; F87 &amp; "." &amp; F87 &amp; "'", "")</f>
      </c>
      <c r="P87" s="43"/>
      <c r="Q87" s="43"/>
      <c r="R87" s="42"/>
      <c r="S87" s="42"/>
      <c r="T87" s="47"/>
      <c r="U87" s="47"/>
      <c r="V87" s="42"/>
      <c r="W87" s="42"/>
      <c r="X87" s="43"/>
      <c r="Y87" s="42"/>
      <c r="Z87" s="46" t="str">
        <v>⭕</v>
      </c>
      <c r="AA87" s="43">
        <f>IF(G87&lt;&gt;"", "MI"&amp;"_", "") &amp; IF(B87&lt;&gt;"", B87, "") &amp; IF(D87&lt;&gt;"", "_" &amp; D87, "") &amp; IF(E87&lt;&gt;"", "_" &amp; E87, "")  &amp; IF(H87&lt;&gt;"", "_" &amp; H87, "") &amp; IF(I87&lt;&gt;"", "_" &amp; I87, "") &amp; IF(J87&lt;&gt;"", "_" &amp; J87, "") &amp; IF(K87&lt;&gt;"", "_" &amp; K87, "")</f>
      </c>
      <c r="AB87" s="43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</row>
    <row r="88">
      <c r="A88" s="48"/>
      <c r="B88" s="43" t="str">
        <v>TheCity</v>
      </c>
      <c r="C88" s="48"/>
      <c r="D88" s="43" t="str">
        <v>Ground</v>
      </c>
      <c r="E88" s="47" t="str">
        <v>SidewalkToRoad</v>
      </c>
      <c r="F88" s="48">
        <f>IF(G88&lt;&gt;"", G88&amp;"_", "") &amp; IF(B88&lt;&gt;"", B88, "") &amp; IF(D88&lt;&gt;"", "_" &amp; D88, "") &amp; IF(E88&lt;&gt;"", "_" &amp; E88, "")  &amp; IF(H88&lt;&gt;"", "_" &amp; H88, "") &amp; IF(I88&lt;&gt;"", "_" &amp; I88, "") &amp; IF(J88&lt;&gt;"", "_" &amp; J88, "") &amp; IF(K88&lt;&gt;"", "_" &amp; K88, "")</f>
      </c>
      <c r="G88" s="42" t="str">
        <v>SM</v>
      </c>
      <c r="H88" s="42" t="str">
        <v>C</v>
      </c>
      <c r="I88" s="42" t="str">
        <v>Hollow</v>
      </c>
      <c r="J88" s="44" t="str">
        <v>Deco</v>
      </c>
      <c r="K88" s="45">
        <v>3</v>
      </c>
      <c r="L88" s="42"/>
      <c r="M88" s="43">
        <f>"World_"&amp;VLOOKUP(B88,'引用列表'!Q:R,2,FALSE)&amp;"_"&amp;B88&amp;IF(COUNTIF(D88,"*Hole*"),"/Hole","")</f>
      </c>
      <c r="N88" s="43">
        <f>IF(B88&lt;&gt;"", B88, "") &amp; IF(D88&lt;&gt;"", "_" &amp; D88, "") &amp; IF(E88&lt;&gt;"", "_" &amp; E88, "")  &amp; IF(H88&lt;&gt;"", "_" &amp; H88, "") &amp; IF(I88&lt;&gt;"", "_" &amp; I88, "") &amp; IF(J88&lt;&gt;"", "_" &amp; J88, "") &amp; IF(K88&lt;&gt;"", "_" &amp; K88, "")</f>
      </c>
      <c r="O88" s="47">
        <f>IF(Z88="✅", "/Script/Engine.StaticMesh'/Game/Item/Mesh/Voxel/" &amp; M88 &amp; "/" &amp; D88 &amp; "/" &amp; F88 &amp; "." &amp; F88 &amp; "'", "")</f>
      </c>
      <c r="P88" s="43"/>
      <c r="Q88" s="43"/>
      <c r="R88" s="42"/>
      <c r="S88" s="42"/>
      <c r="T88" s="47"/>
      <c r="U88" s="47"/>
      <c r="V88" s="42"/>
      <c r="W88" s="42"/>
      <c r="X88" s="43"/>
      <c r="Y88" s="42"/>
      <c r="Z88" s="46" t="str">
        <v>⭕</v>
      </c>
      <c r="AA88" s="43">
        <f>IF(G88&lt;&gt;"", "MI"&amp;"_", "") &amp; IF(B88&lt;&gt;"", B88, "") &amp; IF(D88&lt;&gt;"", "_" &amp; D88, "") &amp; IF(E88&lt;&gt;"", "_" &amp; E88, "")  &amp; IF(H88&lt;&gt;"", "_" &amp; H88, "") &amp; IF(I88&lt;&gt;"", "_" &amp; I88, "") &amp; IF(J88&lt;&gt;"", "_" &amp; J88, "") &amp; IF(K88&lt;&gt;"", "_" &amp; K88, "")</f>
      </c>
      <c r="AB88" s="43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</row>
    <row r="89">
      <c r="A89" s="48"/>
      <c r="B89" s="43" t="str">
        <v>TheCity</v>
      </c>
      <c r="C89" s="48"/>
      <c r="D89" s="43" t="str">
        <v>Ground</v>
      </c>
      <c r="E89" s="47" t="str">
        <v>SidewalkToRoad</v>
      </c>
      <c r="F89" s="48">
        <f>IF(G89&lt;&gt;"", G89&amp;"_", "") &amp; IF(B89&lt;&gt;"", B89, "") &amp; IF(D89&lt;&gt;"", "_" &amp; D89, "") &amp; IF(E89&lt;&gt;"", "_" &amp; E89, "")  &amp; IF(H89&lt;&gt;"", "_" &amp; H89, "") &amp; IF(I89&lt;&gt;"", "_" &amp; I89, "") &amp; IF(J89&lt;&gt;"", "_" &amp; J89, "") &amp; IF(K89&lt;&gt;"", "_" &amp; K89, "")</f>
      </c>
      <c r="G89" s="42" t="str">
        <v>SM</v>
      </c>
      <c r="H89" s="42" t="str">
        <v>C</v>
      </c>
      <c r="I89" s="42" t="str">
        <v>Hollow</v>
      </c>
      <c r="J89" s="44" t="str">
        <v>Deco</v>
      </c>
      <c r="K89" s="45">
        <v>4</v>
      </c>
      <c r="L89" s="42"/>
      <c r="M89" s="43">
        <f>"World_"&amp;VLOOKUP(B89,'引用列表'!Q:R,2,FALSE)&amp;"_"&amp;B89&amp;IF(COUNTIF(D89,"*Hole*"),"/Hole","")</f>
      </c>
      <c r="N89" s="43">
        <f>IF(B89&lt;&gt;"", B89, "") &amp; IF(D89&lt;&gt;"", "_" &amp; D89, "") &amp; IF(E89&lt;&gt;"", "_" &amp; E89, "")  &amp; IF(H89&lt;&gt;"", "_" &amp; H89, "") &amp; IF(I89&lt;&gt;"", "_" &amp; I89, "") &amp; IF(J89&lt;&gt;"", "_" &amp; J89, "") &amp; IF(K89&lt;&gt;"", "_" &amp; K89, "")</f>
      </c>
      <c r="O89" s="47">
        <f>IF(Z89="✅", "/Script/Engine.StaticMesh'/Game/Item/Mesh/Voxel/" &amp; M89 &amp; "/" &amp; D89 &amp; "/" &amp; F89 &amp; "." &amp; F89 &amp; "'", "")</f>
      </c>
      <c r="P89" s="43"/>
      <c r="Q89" s="43"/>
      <c r="R89" s="42"/>
      <c r="S89" s="42"/>
      <c r="T89" s="47"/>
      <c r="U89" s="47"/>
      <c r="V89" s="42"/>
      <c r="W89" s="42"/>
      <c r="X89" s="43"/>
      <c r="Y89" s="42"/>
      <c r="Z89" s="46" t="str">
        <v>⭕</v>
      </c>
      <c r="AA89" s="43">
        <f>IF(G89&lt;&gt;"", "MI"&amp;"_", "") &amp; IF(B89&lt;&gt;"", B89, "") &amp; IF(D89&lt;&gt;"", "_" &amp; D89, "") &amp; IF(E89&lt;&gt;"", "_" &amp; E89, "")  &amp; IF(H89&lt;&gt;"", "_" &amp; H89, "") &amp; IF(I89&lt;&gt;"", "_" &amp; I89, "") &amp; IF(J89&lt;&gt;"", "_" &amp; J89, "") &amp; IF(K89&lt;&gt;"", "_" &amp; K89, "")</f>
      </c>
      <c r="AB89" s="43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</row>
    <row r="90">
      <c r="A90" s="48"/>
      <c r="B90" s="43" t="str">
        <v>TheCity</v>
      </c>
      <c r="C90" s="48"/>
      <c r="D90" s="43" t="str">
        <v>Ground</v>
      </c>
      <c r="E90" s="47" t="str">
        <v>SidewalkToRoad</v>
      </c>
      <c r="F90" s="48">
        <f>IF(G90&lt;&gt;"", G90&amp;"_", "") &amp; IF(B90&lt;&gt;"", B90, "") &amp; IF(D90&lt;&gt;"", "_" &amp; D90, "") &amp; IF(E90&lt;&gt;"", "_" &amp; E90, "")  &amp; IF(H90&lt;&gt;"", "_" &amp; H90, "") &amp; IF(I90&lt;&gt;"", "_" &amp; I90, "") &amp; IF(J90&lt;&gt;"", "_" &amp; J90, "") &amp; IF(K90&lt;&gt;"", "_" &amp; K90, "")</f>
      </c>
      <c r="G90" s="42" t="str">
        <v>SM</v>
      </c>
      <c r="H90" s="42" t="str">
        <v>C</v>
      </c>
      <c r="I90" s="42" t="str">
        <v>Hollow</v>
      </c>
      <c r="J90" s="44" t="str">
        <v>Deco</v>
      </c>
      <c r="K90" s="45">
        <v>5</v>
      </c>
      <c r="L90" s="42"/>
      <c r="M90" s="43">
        <f>"World_"&amp;VLOOKUP(B90,'引用列表'!Q:R,2,FALSE)&amp;"_"&amp;B90&amp;IF(COUNTIF(D90,"*Hole*"),"/Hole","")</f>
      </c>
      <c r="N90" s="43">
        <f>IF(B90&lt;&gt;"", B90, "") &amp; IF(D90&lt;&gt;"", "_" &amp; D90, "") &amp; IF(E90&lt;&gt;"", "_" &amp; E90, "")  &amp; IF(H90&lt;&gt;"", "_" &amp; H90, "") &amp; IF(I90&lt;&gt;"", "_" &amp; I90, "") &amp; IF(J90&lt;&gt;"", "_" &amp; J90, "") &amp; IF(K90&lt;&gt;"", "_" &amp; K90, "")</f>
      </c>
      <c r="O90" s="47">
        <f>IF(Z90="✅", "/Script/Engine.StaticMesh'/Game/Item/Mesh/Voxel/" &amp; M90 &amp; "/" &amp; D90 &amp; "/" &amp; F90 &amp; "." &amp; F90 &amp; "'", "")</f>
      </c>
      <c r="P90" s="43"/>
      <c r="Q90" s="43"/>
      <c r="R90" s="42"/>
      <c r="S90" s="42"/>
      <c r="T90" s="47"/>
      <c r="U90" s="47"/>
      <c r="V90" s="42"/>
      <c r="W90" s="42"/>
      <c r="X90" s="43"/>
      <c r="Y90" s="42"/>
      <c r="Z90" s="46" t="str">
        <v>⭕</v>
      </c>
      <c r="AA90" s="43">
        <f>IF(G90&lt;&gt;"", "MI"&amp;"_", "") &amp; IF(B90&lt;&gt;"", B90, "") &amp; IF(D90&lt;&gt;"", "_" &amp; D90, "") &amp; IF(E90&lt;&gt;"", "_" &amp; E90, "")  &amp; IF(H90&lt;&gt;"", "_" &amp; H90, "") &amp; IF(I90&lt;&gt;"", "_" &amp; I90, "") &amp; IF(J90&lt;&gt;"", "_" &amp; J90, "") &amp; IF(K90&lt;&gt;"", "_" &amp; K90, "")</f>
      </c>
      <c r="AB90" s="43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>
      <c r="A91" s="48"/>
      <c r="B91" s="43" t="str">
        <v>TheCity</v>
      </c>
      <c r="C91" s="48"/>
      <c r="D91" s="43" t="str">
        <v>Ground</v>
      </c>
      <c r="E91" s="47" t="str">
        <v>SidewalkToRoad</v>
      </c>
      <c r="F91" s="48">
        <f>IF(G91&lt;&gt;"", G91&amp;"_", "") &amp; IF(B91&lt;&gt;"", B91, "") &amp; IF(D91&lt;&gt;"", "_" &amp; D91, "") &amp; IF(E91&lt;&gt;"", "_" &amp; E91, "")  &amp; IF(H91&lt;&gt;"", "_" &amp; H91, "") &amp; IF(I91&lt;&gt;"", "_" &amp; I91, "") &amp; IF(J91&lt;&gt;"", "_" &amp; J91, "") &amp; IF(K91&lt;&gt;"", "_" &amp; K91, "")</f>
      </c>
      <c r="G91" s="42" t="str">
        <v>SM</v>
      </c>
      <c r="H91" s="42" t="str">
        <v>C</v>
      </c>
      <c r="I91" s="42" t="str">
        <v>Hollow</v>
      </c>
      <c r="J91" s="44" t="str">
        <v>Deco</v>
      </c>
      <c r="K91" s="45">
        <v>6</v>
      </c>
      <c r="L91" s="42"/>
      <c r="M91" s="43">
        <f>"World_"&amp;VLOOKUP(B91,'引用列表'!Q:R,2,FALSE)&amp;"_"&amp;B91&amp;IF(COUNTIF(D91,"*Hole*"),"/Hole","")</f>
      </c>
      <c r="N91" s="43">
        <f>IF(B91&lt;&gt;"", B91, "") &amp; IF(D91&lt;&gt;"", "_" &amp; D91, "") &amp; IF(E91&lt;&gt;"", "_" &amp; E91, "")  &amp; IF(H91&lt;&gt;"", "_" &amp; H91, "") &amp; IF(I91&lt;&gt;"", "_" &amp; I91, "") &amp; IF(J91&lt;&gt;"", "_" &amp; J91, "") &amp; IF(K91&lt;&gt;"", "_" &amp; K91, "")</f>
      </c>
      <c r="O91" s="47">
        <f>IF(Z91="✅", "/Script/Engine.StaticMesh'/Game/Item/Mesh/Voxel/" &amp; M91 &amp; "/" &amp; D91 &amp; "/" &amp; F91 &amp; "." &amp; F91 &amp; "'", "")</f>
      </c>
      <c r="P91" s="43"/>
      <c r="Q91" s="43"/>
      <c r="R91" s="42"/>
      <c r="S91" s="42"/>
      <c r="T91" s="47"/>
      <c r="U91" s="47"/>
      <c r="V91" s="42"/>
      <c r="W91" s="42"/>
      <c r="X91" s="43"/>
      <c r="Y91" s="42"/>
      <c r="Z91" s="46" t="str">
        <v>⭕</v>
      </c>
      <c r="AA91" s="43">
        <f>IF(G91&lt;&gt;"", "MI"&amp;"_", "") &amp; IF(B91&lt;&gt;"", B91, "") &amp; IF(D91&lt;&gt;"", "_" &amp; D91, "") &amp; IF(E91&lt;&gt;"", "_" &amp; E91, "")  &amp; IF(H91&lt;&gt;"", "_" &amp; H91, "") &amp; IF(I91&lt;&gt;"", "_" &amp; I91, "") &amp; IF(J91&lt;&gt;"", "_" &amp; J91, "") &amp; IF(K91&lt;&gt;"", "_" &amp; K91, "")</f>
      </c>
      <c r="AB91" s="43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</row>
    <row r="92">
      <c r="A92" s="48"/>
      <c r="B92" s="43" t="str">
        <v>TheCity</v>
      </c>
      <c r="C92" s="48"/>
      <c r="D92" s="43" t="str">
        <v>Ground</v>
      </c>
      <c r="E92" s="47" t="str">
        <v>SidewalkToRoad</v>
      </c>
      <c r="F92" s="48">
        <f>IF(G92&lt;&gt;"", G92&amp;"_", "") &amp; IF(B92&lt;&gt;"", B92, "") &amp; IF(D92&lt;&gt;"", "_" &amp; D92, "") &amp; IF(E92&lt;&gt;"", "_" &amp; E92, "")  &amp; IF(H92&lt;&gt;"", "_" &amp; H92, "") &amp; IF(I92&lt;&gt;"", "_" &amp; I92, "") &amp; IF(J92&lt;&gt;"", "_" &amp; J92, "") &amp; IF(K92&lt;&gt;"", "_" &amp; K92, "")</f>
      </c>
      <c r="G92" s="42" t="str">
        <v>SM</v>
      </c>
      <c r="H92" s="42" t="str">
        <v>C</v>
      </c>
      <c r="I92" s="42" t="str">
        <v>Hollow</v>
      </c>
      <c r="J92" s="44" t="str">
        <v>Deco</v>
      </c>
      <c r="K92" s="45">
        <v>7</v>
      </c>
      <c r="L92" s="42"/>
      <c r="M92" s="43">
        <f>"World_"&amp;VLOOKUP(B92,'引用列表'!Q:R,2,FALSE)&amp;"_"&amp;B92&amp;IF(COUNTIF(D92,"*Hole*"),"/Hole","")</f>
      </c>
      <c r="N92" s="43">
        <f>IF(B92&lt;&gt;"", B92, "") &amp; IF(D92&lt;&gt;"", "_" &amp; D92, "") &amp; IF(E92&lt;&gt;"", "_" &amp; E92, "")  &amp; IF(H92&lt;&gt;"", "_" &amp; H92, "") &amp; IF(I92&lt;&gt;"", "_" &amp; I92, "") &amp; IF(J92&lt;&gt;"", "_" &amp; J92, "") &amp; IF(K92&lt;&gt;"", "_" &amp; K92, "")</f>
      </c>
      <c r="O92" s="47">
        <f>IF(Z92="✅", "/Script/Engine.StaticMesh'/Game/Item/Mesh/Voxel/" &amp; M92 &amp; "/" &amp; D92 &amp; "/" &amp; F92 &amp; "." &amp; F92 &amp; "'", "")</f>
      </c>
      <c r="P92" s="43"/>
      <c r="Q92" s="43"/>
      <c r="R92" s="42"/>
      <c r="S92" s="42"/>
      <c r="T92" s="47"/>
      <c r="U92" s="47"/>
      <c r="V92" s="42"/>
      <c r="W92" s="42"/>
      <c r="X92" s="43"/>
      <c r="Y92" s="42"/>
      <c r="Z92" s="46" t="str">
        <v>⭕</v>
      </c>
      <c r="AA92" s="43">
        <f>IF(G92&lt;&gt;"", "MI"&amp;"_", "") &amp; IF(B92&lt;&gt;"", B92, "") &amp; IF(D92&lt;&gt;"", "_" &amp; D92, "") &amp; IF(E92&lt;&gt;"", "_" &amp; E92, "")  &amp; IF(H92&lt;&gt;"", "_" &amp; H92, "") &amp; IF(I92&lt;&gt;"", "_" &amp; I92, "") &amp; IF(J92&lt;&gt;"", "_" &amp; J92, "") &amp; IF(K92&lt;&gt;"", "_" &amp; K92, "")</f>
      </c>
      <c r="AB92" s="43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3">
      <c r="A93" s="48"/>
      <c r="B93" s="43" t="str">
        <v>TheCity</v>
      </c>
      <c r="C93" s="48"/>
      <c r="D93" s="43" t="str">
        <v>Ground</v>
      </c>
      <c r="E93" s="47" t="str">
        <v>SidewalkToRoad</v>
      </c>
      <c r="F93" s="48">
        <f>IF(G93&lt;&gt;"", G93&amp;"_", "") &amp; IF(B93&lt;&gt;"", B93, "") &amp; IF(D93&lt;&gt;"", "_" &amp; D93, "") &amp; IF(E93&lt;&gt;"", "_" &amp; E93, "")  &amp; IF(H93&lt;&gt;"", "_" &amp; H93, "") &amp; IF(I93&lt;&gt;"", "_" &amp; I93, "") &amp; IF(J93&lt;&gt;"", "_" &amp; J93, "") &amp; IF(K93&lt;&gt;"", "_" &amp; K93, "")</f>
      </c>
      <c r="G93" s="42" t="str">
        <v>SM</v>
      </c>
      <c r="H93" s="42" t="str">
        <v>C</v>
      </c>
      <c r="I93" s="42" t="str">
        <v>Hollow</v>
      </c>
      <c r="J93" s="44" t="str">
        <v>Deco</v>
      </c>
      <c r="K93" s="45">
        <v>8</v>
      </c>
      <c r="L93" s="42"/>
      <c r="M93" s="43">
        <f>"World_"&amp;VLOOKUP(B93,'引用列表'!Q:R,2,FALSE)&amp;"_"&amp;B93&amp;IF(COUNTIF(D93,"*Hole*"),"/Hole","")</f>
      </c>
      <c r="N93" s="43">
        <f>IF(B93&lt;&gt;"", B93, "") &amp; IF(D93&lt;&gt;"", "_" &amp; D93, "") &amp; IF(E93&lt;&gt;"", "_" &amp; E93, "")  &amp; IF(H93&lt;&gt;"", "_" &amp; H93, "") &amp; IF(I93&lt;&gt;"", "_" &amp; I93, "") &amp; IF(J93&lt;&gt;"", "_" &amp; J93, "") &amp; IF(K93&lt;&gt;"", "_" &amp; K93, "")</f>
      </c>
      <c r="O93" s="47">
        <f>IF(Z93="✅", "/Script/Engine.StaticMesh'/Game/Item/Mesh/Voxel/" &amp; M93 &amp; "/" &amp; D93 &amp; "/" &amp; F93 &amp; "." &amp; F93 &amp; "'", "")</f>
      </c>
      <c r="P93" s="43"/>
      <c r="Q93" s="43"/>
      <c r="R93" s="42"/>
      <c r="S93" s="42"/>
      <c r="T93" s="47"/>
      <c r="U93" s="47"/>
      <c r="V93" s="42"/>
      <c r="W93" s="42"/>
      <c r="X93" s="43"/>
      <c r="Y93" s="42"/>
      <c r="Z93" s="46" t="str">
        <v>⭕</v>
      </c>
      <c r="AA93" s="43">
        <f>IF(G93&lt;&gt;"", "MI"&amp;"_", "") &amp; IF(B93&lt;&gt;"", B93, "") &amp; IF(D93&lt;&gt;"", "_" &amp; D93, "") &amp; IF(E93&lt;&gt;"", "_" &amp; E93, "")  &amp; IF(H93&lt;&gt;"", "_" &amp; H93, "") &amp; IF(I93&lt;&gt;"", "_" &amp; I93, "") &amp; IF(J93&lt;&gt;"", "_" &amp; J93, "") &amp; IF(K93&lt;&gt;"", "_" &amp; K93, "")</f>
      </c>
      <c r="AB93" s="43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</row>
    <row r="94">
      <c r="A94" s="48"/>
      <c r="B94" s="43" t="str">
        <v>TheCity</v>
      </c>
      <c r="C94" s="48"/>
      <c r="D94" s="43" t="str">
        <v>Ground</v>
      </c>
      <c r="E94" s="47" t="str">
        <v>SidewalkToRoad</v>
      </c>
      <c r="F94" s="48">
        <f>IF(G94&lt;&gt;"", G94&amp;"_", "") &amp; IF(B94&lt;&gt;"", B94, "") &amp; IF(D94&lt;&gt;"", "_" &amp; D94, "") &amp; IF(E94&lt;&gt;"", "_" &amp; E94, "")  &amp; IF(H94&lt;&gt;"", "_" &amp; H94, "") &amp; IF(I94&lt;&gt;"", "_" &amp; I94, "") &amp; IF(J94&lt;&gt;"", "_" &amp; J94, "") &amp; IF(K94&lt;&gt;"", "_" &amp; K94, "")</f>
      </c>
      <c r="G94" s="42" t="str">
        <v>SM</v>
      </c>
      <c r="H94" s="42" t="str">
        <v>C</v>
      </c>
      <c r="I94" s="42" t="str">
        <v>Hollow</v>
      </c>
      <c r="J94" s="44" t="str">
        <v>Deco</v>
      </c>
      <c r="K94" s="45">
        <v>9</v>
      </c>
      <c r="L94" s="42"/>
      <c r="M94" s="43">
        <f>"World_"&amp;VLOOKUP(B94,'引用列表'!Q:R,2,FALSE)&amp;"_"&amp;B94&amp;IF(COUNTIF(D94,"*Hole*"),"/Hole","")</f>
      </c>
      <c r="N94" s="43">
        <f>IF(B94&lt;&gt;"", B94, "") &amp; IF(D94&lt;&gt;"", "_" &amp; D94, "") &amp; IF(E94&lt;&gt;"", "_" &amp; E94, "")  &amp; IF(H94&lt;&gt;"", "_" &amp; H94, "") &amp; IF(I94&lt;&gt;"", "_" &amp; I94, "") &amp; IF(J94&lt;&gt;"", "_" &amp; J94, "") &amp; IF(K94&lt;&gt;"", "_" &amp; K94, "")</f>
      </c>
      <c r="O94" s="47">
        <f>IF(Z94="✅", "/Script/Engine.StaticMesh'/Game/Item/Mesh/Voxel/" &amp; M94 &amp; "/" &amp; D94 &amp; "/" &amp; F94 &amp; "." &amp; F94 &amp; "'", "")</f>
      </c>
      <c r="P94" s="43"/>
      <c r="Q94" s="43"/>
      <c r="R94" s="42"/>
      <c r="S94" s="42"/>
      <c r="T94" s="47"/>
      <c r="U94" s="47"/>
      <c r="V94" s="42"/>
      <c r="W94" s="42"/>
      <c r="X94" s="43"/>
      <c r="Y94" s="42"/>
      <c r="Z94" s="46" t="str">
        <v>⭕</v>
      </c>
      <c r="AA94" s="43">
        <f>IF(G94&lt;&gt;"", "MI"&amp;"_", "") &amp; IF(B94&lt;&gt;"", B94, "") &amp; IF(D94&lt;&gt;"", "_" &amp; D94, "") &amp; IF(E94&lt;&gt;"", "_" &amp; E94, "")  &amp; IF(H94&lt;&gt;"", "_" &amp; H94, "") &amp; IF(I94&lt;&gt;"", "_" &amp; I94, "") &amp; IF(J94&lt;&gt;"", "_" &amp; J94, "") &amp; IF(K94&lt;&gt;"", "_" &amp; K94, "")</f>
      </c>
      <c r="AB94" s="43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</row>
    <row r="95">
      <c r="A95" s="38"/>
      <c r="B95" s="35" t="str">
        <v>TheCity</v>
      </c>
      <c r="C95" s="38"/>
      <c r="D95" s="35" t="str">
        <v>Ground</v>
      </c>
      <c r="E95" s="37" t="str">
        <v>Road</v>
      </c>
      <c r="F95" s="38">
        <f>IF(G95&lt;&gt;"", G95&amp;"_", "") &amp; IF(B95&lt;&gt;"", B95, "") &amp; IF(D95&lt;&gt;"", "_" &amp; D95, "") &amp; IF(E95&lt;&gt;"", "_" &amp; E95, "")  &amp; IF(H95&lt;&gt;"", "_" &amp; H95, "") &amp; IF(I95&lt;&gt;"", "_" &amp; I95, "") &amp; IF(J95&lt;&gt;"", "_" &amp; J95, "") &amp; IF(K95&lt;&gt;"", "_" &amp; K95, "")</f>
      </c>
      <c r="G95" s="36" t="str">
        <v>SM</v>
      </c>
      <c r="H95" s="36" t="str">
        <v>R</v>
      </c>
      <c r="I95" s="36" t="str">
        <v>Single</v>
      </c>
      <c r="J95" s="40" t="str">
        <v>Alt</v>
      </c>
      <c r="K95" s="39">
        <v>1</v>
      </c>
      <c r="L95" s="36"/>
      <c r="M95" s="35">
        <f>"World_"&amp;VLOOKUP(B95,'引用列表'!Q:R,2,FALSE)&amp;"_"&amp;B95&amp;IF(COUNTIF(D95,"*Hole*"),"/Hole","")</f>
      </c>
      <c r="N95" s="35">
        <f>IF(B95&lt;&gt;"", B95, "") &amp; IF(D95&lt;&gt;"", "_" &amp; D95, "") &amp; IF(E95&lt;&gt;"", "_" &amp; E95, "")  &amp; IF(H95&lt;&gt;"", "_" &amp; H95, "") &amp; IF(I95&lt;&gt;"", "_" &amp; I95, "") &amp; IF(J95&lt;&gt;"", "_" &amp; J95, "") &amp; IF(K95&lt;&gt;"", "_" &amp; K95, "")</f>
      </c>
      <c r="O95" s="37">
        <f>IF(Z95="✅", "/Script/Engine.StaticMesh'/Game/Item/Mesh/Voxel/" &amp; M95 &amp; "/" &amp; D95 &amp; "/" &amp; F95 &amp; "." &amp; F95 &amp; "'", "")</f>
      </c>
      <c r="P95" s="35"/>
      <c r="Q95" s="35"/>
      <c r="R95" s="36"/>
      <c r="S95" s="36"/>
      <c r="T95" s="37"/>
      <c r="U95" s="37"/>
      <c r="V95" s="36"/>
      <c r="W95" s="36"/>
      <c r="X95" s="35"/>
      <c r="Y95" s="36"/>
      <c r="Z95" s="41" t="str">
        <v>⭕</v>
      </c>
      <c r="AA95" s="35">
        <f>IF(G95&lt;&gt;"", "MI"&amp;"_", "") &amp; IF(B95&lt;&gt;"", B95, "") &amp; IF(D95&lt;&gt;"", "_" &amp; D95, "") &amp; IF(E95&lt;&gt;"", "_" &amp; E95, "")  &amp; IF(H95&lt;&gt;"", "_" &amp; H95, "") &amp; IF(I95&lt;&gt;"", "_" &amp; I95, "") &amp; IF(J95&lt;&gt;"", "_" &amp; J95, "") &amp; IF(K95&lt;&gt;"", "_" &amp; K95, "")</f>
      </c>
      <c r="AB95" s="35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</row>
    <row r="96">
      <c r="A96" s="38"/>
      <c r="B96" s="35" t="str">
        <v>TheCity</v>
      </c>
      <c r="C96" s="38"/>
      <c r="D96" s="35" t="str">
        <v>Ground</v>
      </c>
      <c r="E96" s="37" t="str">
        <v>Road</v>
      </c>
      <c r="F96" s="38">
        <f>IF(G96&lt;&gt;"", G96&amp;"_", "") &amp; IF(B96&lt;&gt;"", B96, "") &amp; IF(D96&lt;&gt;"", "_" &amp; D96, "") &amp; IF(E96&lt;&gt;"", "_" &amp; E96, "")  &amp; IF(H96&lt;&gt;"", "_" &amp; H96, "") &amp; IF(I96&lt;&gt;"", "_" &amp; I96, "") &amp; IF(J96&lt;&gt;"", "_" &amp; J96, "") &amp; IF(K96&lt;&gt;"", "_" &amp; K96, "")</f>
      </c>
      <c r="G96" s="36" t="str">
        <v>SM</v>
      </c>
      <c r="H96" s="36" t="str">
        <v>C</v>
      </c>
      <c r="I96" s="36" t="str">
        <v>Hollow</v>
      </c>
      <c r="J96" s="40" t="str">
        <v>Alt</v>
      </c>
      <c r="K96" s="39">
        <v>1</v>
      </c>
      <c r="L96" s="36"/>
      <c r="M96" s="35">
        <f>"World_"&amp;VLOOKUP(B96,'引用列表'!Q:R,2,FALSE)&amp;"_"&amp;B96&amp;IF(COUNTIF(D96,"*Hole*"),"/Hole","")</f>
      </c>
      <c r="N96" s="35">
        <f>IF(B96&lt;&gt;"", B96, "") &amp; IF(D96&lt;&gt;"", "_" &amp; D96, "") &amp; IF(E96&lt;&gt;"", "_" &amp; E96, "")  &amp; IF(H96&lt;&gt;"", "_" &amp; H96, "") &amp; IF(I96&lt;&gt;"", "_" &amp; I96, "") &amp; IF(J96&lt;&gt;"", "_" &amp; J96, "") &amp; IF(K96&lt;&gt;"", "_" &amp; K96, "")</f>
      </c>
      <c r="O96" s="37">
        <f>IF(Z96="✅", "/Script/Engine.StaticMesh'/Game/Item/Mesh/Voxel/" &amp; M96 &amp; "/" &amp; D96 &amp; "/" &amp; F96 &amp; "." &amp; F96 &amp; "'", "")</f>
      </c>
      <c r="P96" s="35"/>
      <c r="Q96" s="35"/>
      <c r="R96" s="36"/>
      <c r="S96" s="36"/>
      <c r="T96" s="37"/>
      <c r="U96" s="37"/>
      <c r="V96" s="36"/>
      <c r="W96" s="36"/>
      <c r="X96" s="35"/>
      <c r="Y96" s="36"/>
      <c r="Z96" s="41" t="str">
        <v>⭕</v>
      </c>
      <c r="AA96" s="35">
        <f>IF(G96&lt;&gt;"", "MI"&amp;"_", "") &amp; IF(B96&lt;&gt;"", B96, "") &amp; IF(D96&lt;&gt;"", "_" &amp; D96, "") &amp; IF(E96&lt;&gt;"", "_" &amp; E96, "")  &amp; IF(H96&lt;&gt;"", "_" &amp; H96, "") &amp; IF(I96&lt;&gt;"", "_" &amp; I96, "") &amp; IF(J96&lt;&gt;"", "_" &amp; J96, "") &amp; IF(K96&lt;&gt;"", "_" &amp; K96, "")</f>
      </c>
      <c r="AB96" s="35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</row>
    <row r="97">
      <c r="A97" s="38"/>
      <c r="B97" s="35" t="str">
        <v>TheCity</v>
      </c>
      <c r="C97" s="38"/>
      <c r="D97" s="35" t="str">
        <v>Ground</v>
      </c>
      <c r="E97" s="37" t="str">
        <v>Road</v>
      </c>
      <c r="F97" s="38">
        <f>IF(G97&lt;&gt;"", G97&amp;"_", "") &amp; IF(B97&lt;&gt;"", B97, "") &amp; IF(D97&lt;&gt;"", "_" &amp; D97, "") &amp; IF(E97&lt;&gt;"", "_" &amp; E97, "")  &amp; IF(H97&lt;&gt;"", "_" &amp; H97, "") &amp; IF(I97&lt;&gt;"", "_" &amp; I97, "") &amp; IF(J97&lt;&gt;"", "_" &amp; J97, "") &amp; IF(K97&lt;&gt;"", "_" &amp; K97, "")</f>
      </c>
      <c r="G97" s="36" t="str">
        <v>SM</v>
      </c>
      <c r="H97" s="36" t="str">
        <v>T</v>
      </c>
      <c r="I97" s="36" t="str">
        <v>Single</v>
      </c>
      <c r="J97" s="40" t="str">
        <v>Alt</v>
      </c>
      <c r="K97" s="39">
        <v>1</v>
      </c>
      <c r="L97" s="36"/>
      <c r="M97" s="35">
        <f>"World_"&amp;VLOOKUP(B97,'引用列表'!Q:R,2,FALSE)&amp;"_"&amp;B97&amp;IF(COUNTIF(D97,"*Hole*"),"/Hole","")</f>
      </c>
      <c r="N97" s="35">
        <f>IF(B97&lt;&gt;"", B97, "") &amp; IF(D97&lt;&gt;"", "_" &amp; D97, "") &amp; IF(E97&lt;&gt;"", "_" &amp; E97, "")  &amp; IF(H97&lt;&gt;"", "_" &amp; H97, "") &amp; IF(I97&lt;&gt;"", "_" &amp; I97, "") &amp; IF(J97&lt;&gt;"", "_" &amp; J97, "") &amp; IF(K97&lt;&gt;"", "_" &amp; K97, "")</f>
      </c>
      <c r="O97" s="37">
        <f>IF(Z97="✅", "/Script/Engine.StaticMesh'/Game/Item/Mesh/Voxel/" &amp; M97 &amp; "/" &amp; D97 &amp; "/" &amp; F97 &amp; "." &amp; F97 &amp; "'", "")</f>
      </c>
      <c r="P97" s="35"/>
      <c r="Q97" s="35"/>
      <c r="R97" s="36"/>
      <c r="S97" s="36"/>
      <c r="T97" s="37"/>
      <c r="U97" s="37"/>
      <c r="V97" s="36"/>
      <c r="W97" s="36"/>
      <c r="X97" s="35"/>
      <c r="Y97" s="36"/>
      <c r="Z97" s="41" t="str">
        <v>⭕</v>
      </c>
      <c r="AA97" s="35">
        <f>IF(G97&lt;&gt;"", "MI"&amp;"_", "") &amp; IF(B97&lt;&gt;"", B97, "") &amp; IF(D97&lt;&gt;"", "_" &amp; D97, "") &amp; IF(E97&lt;&gt;"", "_" &amp; E97, "")  &amp; IF(H97&lt;&gt;"", "_" &amp; H97, "") &amp; IF(I97&lt;&gt;"", "_" &amp; I97, "") &amp; IF(J97&lt;&gt;"", "_" &amp; J97, "") &amp; IF(K97&lt;&gt;"", "_" &amp; K97, "")</f>
      </c>
      <c r="AB97" s="35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</row>
    <row r="98">
      <c r="A98" s="38"/>
      <c r="B98" s="35" t="str">
        <v>TheCity</v>
      </c>
      <c r="C98" s="38"/>
      <c r="D98" s="35" t="str">
        <v>Ground</v>
      </c>
      <c r="E98" s="37" t="str">
        <v>Road</v>
      </c>
      <c r="F98" s="38">
        <f>IF(G98&lt;&gt;"", G98&amp;"_", "") &amp; IF(B98&lt;&gt;"", B98, "") &amp; IF(D98&lt;&gt;"", "_" &amp; D98, "") &amp; IF(E98&lt;&gt;"", "_" &amp; E98, "")  &amp; IF(H98&lt;&gt;"", "_" &amp; H98, "") &amp; IF(I98&lt;&gt;"", "_" &amp; I98, "") &amp; IF(J98&lt;&gt;"", "_" &amp; J98, "") &amp; IF(K98&lt;&gt;"", "_" &amp; K98, "")</f>
      </c>
      <c r="G98" s="36" t="str">
        <v>SM</v>
      </c>
      <c r="H98" s="36" t="str">
        <v>TR</v>
      </c>
      <c r="I98" s="36" t="str">
        <v>Corner</v>
      </c>
      <c r="J98" s="40" t="str">
        <v>Alt</v>
      </c>
      <c r="K98" s="39">
        <v>1</v>
      </c>
      <c r="L98" s="36"/>
      <c r="M98" s="35">
        <f>"World_"&amp;VLOOKUP(B98,'引用列表'!Q:R,2,FALSE)&amp;"_"&amp;B98&amp;IF(COUNTIF(D98,"*Hole*"),"/Hole","")</f>
      </c>
      <c r="N98" s="35">
        <f>IF(B98&lt;&gt;"", B98, "") &amp; IF(D98&lt;&gt;"", "_" &amp; D98, "") &amp; IF(E98&lt;&gt;"", "_" &amp; E98, "")  &amp; IF(H98&lt;&gt;"", "_" &amp; H98, "") &amp; IF(I98&lt;&gt;"", "_" &amp; I98, "") &amp; IF(J98&lt;&gt;"", "_" &amp; J98, "") &amp; IF(K98&lt;&gt;"", "_" &amp; K98, "")</f>
      </c>
      <c r="O98" s="37">
        <f>IF(Z98="✅", "/Script/Engine.StaticMesh'/Game/Item/Mesh/Voxel/" &amp; M98 &amp; "/" &amp; D98 &amp; "/" &amp; F98 &amp; "." &amp; F98 &amp; "'", "")</f>
      </c>
      <c r="P98" s="35"/>
      <c r="Q98" s="35"/>
      <c r="R98" s="36"/>
      <c r="S98" s="36"/>
      <c r="T98" s="37"/>
      <c r="U98" s="37"/>
      <c r="V98" s="36"/>
      <c r="W98" s="36"/>
      <c r="X98" s="35"/>
      <c r="Y98" s="36"/>
      <c r="Z98" s="41" t="str">
        <v>⭕</v>
      </c>
      <c r="AA98" s="35">
        <f>IF(G98&lt;&gt;"", "MI"&amp;"_", "") &amp; IF(B98&lt;&gt;"", B98, "") &amp; IF(D98&lt;&gt;"", "_" &amp; D98, "") &amp; IF(E98&lt;&gt;"", "_" &amp; E98, "")  &amp; IF(H98&lt;&gt;"", "_" &amp; H98, "") &amp; IF(I98&lt;&gt;"", "_" &amp; I98, "") &amp; IF(J98&lt;&gt;"", "_" &amp; J98, "") &amp; IF(K98&lt;&gt;"", "_" &amp; K98, "")</f>
      </c>
      <c r="AB98" s="35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</row>
    <row r="99">
      <c r="A99" s="34"/>
      <c r="B99" s="32" t="str">
        <v>TheCity</v>
      </c>
      <c r="C99" s="34"/>
      <c r="D99" s="32" t="str">
        <v>Ground</v>
      </c>
      <c r="E99" s="29" t="str">
        <v>Road</v>
      </c>
      <c r="F99" s="34">
        <f>IF(G99&lt;&gt;"", G99&amp;"_", "") &amp; IF(B99&lt;&gt;"", B99, "") &amp; IF(D99&lt;&gt;"", "_" &amp; D99, "") &amp; IF(E99&lt;&gt;"", "_" &amp; E99, "")  &amp; IF(H99&lt;&gt;"", "_" &amp; H99, "") &amp; IF(I99&lt;&gt;"", "_" &amp; I99, "") &amp; IF(J99&lt;&gt;"", "_" &amp; J99, "") &amp; IF(K99&lt;&gt;"", "_" &amp; K99, "")</f>
      </c>
      <c r="G99" s="28" t="str">
        <v>SM</v>
      </c>
      <c r="H99" s="28" t="str">
        <v>C</v>
      </c>
      <c r="I99" s="28" t="str">
        <v>Hollow</v>
      </c>
      <c r="J99" s="31" t="str">
        <v>Alt_Deco</v>
      </c>
      <c r="K99" s="33">
        <v>1</v>
      </c>
      <c r="L99" s="28"/>
      <c r="M99" s="32">
        <f>"World_"&amp;VLOOKUP(B99,'引用列表'!Q:R,2,FALSE)&amp;"_"&amp;B99&amp;IF(COUNTIF(D99,"*Hole*"),"/Hole","")</f>
      </c>
      <c r="N99" s="32">
        <f>IF(B99&lt;&gt;"", B99, "") &amp; IF(D99&lt;&gt;"", "_" &amp; D99, "") &amp; IF(E99&lt;&gt;"", "_" &amp; E99, "")  &amp; IF(H99&lt;&gt;"", "_" &amp; H99, "") &amp; IF(I99&lt;&gt;"", "_" &amp; I99, "") &amp; IF(J99&lt;&gt;"", "_" &amp; J99, "") &amp; IF(K99&lt;&gt;"", "_" &amp; K99, "")</f>
      </c>
      <c r="O99" s="29">
        <f>IF(Z99="✅", "/Script/Engine.StaticMesh'/Game/Item/Mesh/Voxel/" &amp; M99 &amp; "/" &amp; D99 &amp; "/" &amp; F99 &amp; "." &amp; F99 &amp; "'", "")</f>
      </c>
      <c r="P99" s="32"/>
      <c r="Q99" s="32"/>
      <c r="R99" s="28"/>
      <c r="S99" s="28"/>
      <c r="T99" s="29"/>
      <c r="U99" s="29"/>
      <c r="V99" s="28"/>
      <c r="W99" s="28"/>
      <c r="X99" s="32"/>
      <c r="Y99" s="28"/>
      <c r="Z99" s="30" t="str">
        <v>⭕</v>
      </c>
      <c r="AA99" s="32">
        <f>IF(G99&lt;&gt;"", "MI"&amp;"_", "") &amp; IF(B99&lt;&gt;"", B99, "") &amp; IF(D99&lt;&gt;"", "_" &amp; D99, "") &amp; IF(E99&lt;&gt;"", "_" &amp; E99, "")  &amp; IF(H99&lt;&gt;"", "_" &amp; H99, "") &amp; IF(I99&lt;&gt;"", "_" &amp; I99, "") &amp; IF(J99&lt;&gt;"", "_" &amp; J99, "") &amp; IF(K99&lt;&gt;"", "_" &amp; K99, "")</f>
      </c>
      <c r="AB99" s="32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</row>
    <row r="100">
      <c r="A100" s="34"/>
      <c r="B100" s="32" t="str">
        <v>TheCity</v>
      </c>
      <c r="C100" s="34"/>
      <c r="D100" s="32" t="str">
        <v>Ground</v>
      </c>
      <c r="E100" s="29" t="str">
        <v>Road</v>
      </c>
      <c r="F100" s="34">
        <f>IF(G100&lt;&gt;"", G100&amp;"_", "") &amp; IF(B100&lt;&gt;"", B100, "") &amp; IF(D100&lt;&gt;"", "_" &amp; D100, "") &amp; IF(E100&lt;&gt;"", "_" &amp; E100, "")  &amp; IF(H100&lt;&gt;"", "_" &amp; H100, "") &amp; IF(I100&lt;&gt;"", "_" &amp; I100, "") &amp; IF(J100&lt;&gt;"", "_" &amp; J100, "") &amp; IF(K100&lt;&gt;"", "_" &amp; K100, "")</f>
      </c>
      <c r="G100" s="28" t="str">
        <v>SM</v>
      </c>
      <c r="H100" s="28" t="str">
        <v>TR</v>
      </c>
      <c r="I100" s="28" t="str">
        <v>Corner</v>
      </c>
      <c r="J100" s="31" t="str">
        <v>Alt_Deco</v>
      </c>
      <c r="K100" s="33">
        <v>2</v>
      </c>
      <c r="L100" s="28"/>
      <c r="M100" s="32">
        <f>"World_"&amp;VLOOKUP(B100,'引用列表'!Q:R,2,FALSE)&amp;"_"&amp;B100&amp;IF(COUNTIF(D100,"*Hole*"),"/Hole","")</f>
      </c>
      <c r="N100" s="32">
        <f>IF(B100&lt;&gt;"", B100, "") &amp; IF(D100&lt;&gt;"", "_" &amp; D100, "") &amp; IF(E100&lt;&gt;"", "_" &amp; E100, "")  &amp; IF(H100&lt;&gt;"", "_" &amp; H100, "") &amp; IF(I100&lt;&gt;"", "_" &amp; I100, "") &amp; IF(J100&lt;&gt;"", "_" &amp; J100, "") &amp; IF(K100&lt;&gt;"", "_" &amp; K100, "")</f>
      </c>
      <c r="O100" s="29">
        <f>IF(Z100="✅", "/Script/Engine.StaticMesh'/Game/Item/Mesh/Voxel/" &amp; M100 &amp; "/" &amp; D100 &amp; "/" &amp; F100 &amp; "." &amp; F100 &amp; "'", "")</f>
      </c>
      <c r="P100" s="32"/>
      <c r="Q100" s="32"/>
      <c r="R100" s="28"/>
      <c r="S100" s="28"/>
      <c r="T100" s="29"/>
      <c r="U100" s="29"/>
      <c r="V100" s="28"/>
      <c r="W100" s="28"/>
      <c r="X100" s="32"/>
      <c r="Y100" s="28"/>
      <c r="Z100" s="30" t="str">
        <v>⭕</v>
      </c>
      <c r="AA100" s="32">
        <f>IF(G100&lt;&gt;"", "MI"&amp;"_", "") &amp; IF(B100&lt;&gt;"", B100, "") &amp; IF(D100&lt;&gt;"", "_" &amp; D100, "") &amp; IF(E100&lt;&gt;"", "_" &amp; E100, "")  &amp; IF(H100&lt;&gt;"", "_" &amp; H100, "") &amp; IF(I100&lt;&gt;"", "_" &amp; I100, "") &amp; IF(J100&lt;&gt;"", "_" &amp; J100, "") &amp; IF(K100&lt;&gt;"", "_" &amp; K100, "")</f>
      </c>
      <c r="AB100" s="32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</row>
    <row r="101">
      <c r="A101" s="34"/>
      <c r="B101" s="32" t="str">
        <v>TheCity</v>
      </c>
      <c r="C101" s="34"/>
      <c r="D101" s="32" t="str">
        <v>Ground</v>
      </c>
      <c r="E101" s="29" t="str">
        <v>Road</v>
      </c>
      <c r="F101" s="34">
        <f>IF(G101&lt;&gt;"", G101&amp;"_", "") &amp; IF(B101&lt;&gt;"", B101, "") &amp; IF(D101&lt;&gt;"", "_" &amp; D101, "") &amp; IF(E101&lt;&gt;"", "_" &amp; E101, "")  &amp; IF(H101&lt;&gt;"", "_" &amp; H101, "") &amp; IF(I101&lt;&gt;"", "_" &amp; I101, "") &amp; IF(J101&lt;&gt;"", "_" &amp; J101, "") &amp; IF(K101&lt;&gt;"", "_" &amp; K101, "")</f>
      </c>
      <c r="G101" s="28" t="str">
        <v>SM</v>
      </c>
      <c r="H101" s="28" t="str">
        <v>TR</v>
      </c>
      <c r="I101" s="28" t="str">
        <v>Corner</v>
      </c>
      <c r="J101" s="31" t="str">
        <v>Alt_Deco</v>
      </c>
      <c r="K101" s="33">
        <v>3</v>
      </c>
      <c r="L101" s="28"/>
      <c r="M101" s="32">
        <f>"World_"&amp;VLOOKUP(B101,'引用列表'!Q:R,2,FALSE)&amp;"_"&amp;B101&amp;IF(COUNTIF(D101,"*Hole*"),"/Hole","")</f>
      </c>
      <c r="N101" s="32">
        <f>IF(B101&lt;&gt;"", B101, "") &amp; IF(D101&lt;&gt;"", "_" &amp; D101, "") &amp; IF(E101&lt;&gt;"", "_" &amp; E101, "")  &amp; IF(H101&lt;&gt;"", "_" &amp; H101, "") &amp; IF(I101&lt;&gt;"", "_" &amp; I101, "") &amp; IF(J101&lt;&gt;"", "_" &amp; J101, "") &amp; IF(K101&lt;&gt;"", "_" &amp; K101, "")</f>
      </c>
      <c r="O101" s="29">
        <f>IF(Z101="✅", "/Script/Engine.StaticMesh'/Game/Item/Mesh/Voxel/" &amp; M101 &amp; "/" &amp; D101 &amp; "/" &amp; F101 &amp; "." &amp; F101 &amp; "'", "")</f>
      </c>
      <c r="P101" s="32"/>
      <c r="Q101" s="32"/>
      <c r="R101" s="28"/>
      <c r="S101" s="28"/>
      <c r="T101" s="29"/>
      <c r="U101" s="29"/>
      <c r="V101" s="28"/>
      <c r="W101" s="28"/>
      <c r="X101" s="32"/>
      <c r="Y101" s="28"/>
      <c r="Z101" s="30" t="str">
        <v>⭕</v>
      </c>
      <c r="AA101" s="32">
        <f>IF(G101&lt;&gt;"", "MI"&amp;"_", "") &amp; IF(B101&lt;&gt;"", B101, "") &amp; IF(D101&lt;&gt;"", "_" &amp; D101, "") &amp; IF(E101&lt;&gt;"", "_" &amp; E101, "")  &amp; IF(H101&lt;&gt;"", "_" &amp; H101, "") &amp; IF(I101&lt;&gt;"", "_" &amp; I101, "") &amp; IF(J101&lt;&gt;"", "_" &amp; J101, "") &amp; IF(K101&lt;&gt;"", "_" &amp; K101, "")</f>
      </c>
      <c r="AB101" s="32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</row>
    <row r="102">
      <c r="A102" s="34"/>
      <c r="B102" s="32" t="str">
        <v>TheCity</v>
      </c>
      <c r="C102" s="34"/>
      <c r="D102" s="32" t="str">
        <v>Ground</v>
      </c>
      <c r="E102" s="29" t="str">
        <v>Road</v>
      </c>
      <c r="F102" s="34">
        <f>IF(G102&lt;&gt;"", G102&amp;"_", "") &amp; IF(B102&lt;&gt;"", B102, "") &amp; IF(D102&lt;&gt;"", "_" &amp; D102, "") &amp; IF(E102&lt;&gt;"", "_" &amp; E102, "")  &amp; IF(H102&lt;&gt;"", "_" &amp; H102, "") &amp; IF(I102&lt;&gt;"", "_" &amp; I102, "") &amp; IF(J102&lt;&gt;"", "_" &amp; J102, "") &amp; IF(K102&lt;&gt;"", "_" &amp; K102, "")</f>
      </c>
      <c r="G102" s="28" t="str">
        <v>SM</v>
      </c>
      <c r="H102" s="28" t="str">
        <v>TR</v>
      </c>
      <c r="I102" s="28" t="str">
        <v>Corner</v>
      </c>
      <c r="J102" s="31" t="str">
        <v>Alt_Deco</v>
      </c>
      <c r="K102" s="33">
        <v>4</v>
      </c>
      <c r="L102" s="28"/>
      <c r="M102" s="32">
        <f>"World_"&amp;VLOOKUP(B102,'引用列表'!Q:R,2,FALSE)&amp;"_"&amp;B102&amp;IF(COUNTIF(D102,"*Hole*"),"/Hole","")</f>
      </c>
      <c r="N102" s="32">
        <f>IF(B102&lt;&gt;"", B102, "") &amp; IF(D102&lt;&gt;"", "_" &amp; D102, "") &amp; IF(E102&lt;&gt;"", "_" &amp; E102, "")  &amp; IF(H102&lt;&gt;"", "_" &amp; H102, "") &amp; IF(I102&lt;&gt;"", "_" &amp; I102, "") &amp; IF(J102&lt;&gt;"", "_" &amp; J102, "") &amp; IF(K102&lt;&gt;"", "_" &amp; K102, "")</f>
      </c>
      <c r="O102" s="29">
        <f>IF(Z102="✅", "/Script/Engine.StaticMesh'/Game/Item/Mesh/Voxel/" &amp; M102 &amp; "/" &amp; D102 &amp; "/" &amp; F102 &amp; "." &amp; F102 &amp; "'", "")</f>
      </c>
      <c r="P102" s="32"/>
      <c r="Q102" s="32"/>
      <c r="R102" s="28"/>
      <c r="S102" s="28"/>
      <c r="T102" s="29"/>
      <c r="U102" s="29"/>
      <c r="V102" s="28"/>
      <c r="W102" s="28"/>
      <c r="X102" s="32"/>
      <c r="Y102" s="28"/>
      <c r="Z102" s="30" t="str">
        <v>⭕</v>
      </c>
      <c r="AA102" s="32">
        <f>IF(G102&lt;&gt;"", "MI"&amp;"_", "") &amp; IF(B102&lt;&gt;"", B102, "") &amp; IF(D102&lt;&gt;"", "_" &amp; D102, "") &amp; IF(E102&lt;&gt;"", "_" &amp; E102, "")  &amp; IF(H102&lt;&gt;"", "_" &amp; H102, "") &amp; IF(I102&lt;&gt;"", "_" &amp; I102, "") &amp; IF(J102&lt;&gt;"", "_" &amp; J102, "") &amp; IF(K102&lt;&gt;"", "_" &amp; K102, "")</f>
      </c>
      <c r="AB102" s="32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</row>
    <row r="103">
      <c r="A103" s="34"/>
      <c r="B103" s="32" t="str">
        <v>TheCity</v>
      </c>
      <c r="C103" s="34"/>
      <c r="D103" s="32" t="str">
        <v>Ground</v>
      </c>
      <c r="E103" s="29" t="str">
        <v>Road</v>
      </c>
      <c r="F103" s="34">
        <f>IF(G103&lt;&gt;"", G103&amp;"_", "") &amp; IF(B103&lt;&gt;"", B103, "") &amp; IF(D103&lt;&gt;"", "_" &amp; D103, "") &amp; IF(E103&lt;&gt;"", "_" &amp; E103, "")  &amp; IF(H103&lt;&gt;"", "_" &amp; H103, "") &amp; IF(I103&lt;&gt;"", "_" &amp; I103, "") &amp; IF(J103&lt;&gt;"", "_" &amp; J103, "") &amp; IF(K103&lt;&gt;"", "_" &amp; K103, "")</f>
      </c>
      <c r="G103" s="28" t="str">
        <v>SM</v>
      </c>
      <c r="H103" s="28" t="str">
        <v>TR</v>
      </c>
      <c r="I103" s="28" t="str">
        <v>Corner</v>
      </c>
      <c r="J103" s="31" t="str">
        <v>Alt_Deco</v>
      </c>
      <c r="K103" s="33">
        <v>5</v>
      </c>
      <c r="L103" s="28"/>
      <c r="M103" s="32">
        <f>"World_"&amp;VLOOKUP(B103,'引用列表'!Q:R,2,FALSE)&amp;"_"&amp;B103&amp;IF(COUNTIF(D103,"*Hole*"),"/Hole","")</f>
      </c>
      <c r="N103" s="32">
        <f>IF(B103&lt;&gt;"", B103, "") &amp; IF(D103&lt;&gt;"", "_" &amp; D103, "") &amp; IF(E103&lt;&gt;"", "_" &amp; E103, "")  &amp; IF(H103&lt;&gt;"", "_" &amp; H103, "") &amp; IF(I103&lt;&gt;"", "_" &amp; I103, "") &amp; IF(J103&lt;&gt;"", "_" &amp; J103, "") &amp; IF(K103&lt;&gt;"", "_" &amp; K103, "")</f>
      </c>
      <c r="O103" s="29">
        <f>IF(Z103="✅", "/Script/Engine.StaticMesh'/Game/Item/Mesh/Voxel/" &amp; M103 &amp; "/" &amp; D103 &amp; "/" &amp; F103 &amp; "." &amp; F103 &amp; "'", "")</f>
      </c>
      <c r="P103" s="32"/>
      <c r="Q103" s="32"/>
      <c r="R103" s="28"/>
      <c r="S103" s="28"/>
      <c r="T103" s="29"/>
      <c r="U103" s="29"/>
      <c r="V103" s="28"/>
      <c r="W103" s="28"/>
      <c r="X103" s="32"/>
      <c r="Y103" s="28"/>
      <c r="Z103" s="30" t="str">
        <v>⭕</v>
      </c>
      <c r="AA103" s="32">
        <f>IF(G103&lt;&gt;"", "MI"&amp;"_", "") &amp; IF(B103&lt;&gt;"", B103, "") &amp; IF(D103&lt;&gt;"", "_" &amp; D103, "") &amp; IF(E103&lt;&gt;"", "_" &amp; E103, "")  &amp; IF(H103&lt;&gt;"", "_" &amp; H103, "") &amp; IF(I103&lt;&gt;"", "_" &amp; I103, "") &amp; IF(J103&lt;&gt;"", "_" &amp; J103, "") &amp; IF(K103&lt;&gt;"", "_" &amp; K103, "")</f>
      </c>
      <c r="AB103" s="32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</row>
    <row r="104">
      <c r="A104" s="25"/>
      <c r="B104" s="20" t="str">
        <v>TheCity</v>
      </c>
      <c r="C104" s="25"/>
      <c r="D104" s="20" t="str">
        <v>Ground</v>
      </c>
      <c r="E104" s="19" t="str">
        <v>Road</v>
      </c>
      <c r="F104" s="25">
        <f>IF(G104&lt;&gt;"", G104&amp;"_", "") &amp; IF(B104&lt;&gt;"", B104, "") &amp; IF(D104&lt;&gt;"", "_" &amp; D104, "") &amp; IF(E104&lt;&gt;"", "_" &amp; E104, "")  &amp; IF(H104&lt;&gt;"", "_" &amp; H104, "") &amp; IF(I104&lt;&gt;"", "_" &amp; I104, "") &amp; IF(J104&lt;&gt;"", "_" &amp; J104, "") &amp; IF(K104&lt;&gt;"", "_" &amp; K104, "")</f>
      </c>
      <c r="G104" s="21" t="str">
        <v>SM</v>
      </c>
      <c r="H104" s="21" t="str">
        <v>T</v>
      </c>
      <c r="I104" s="21" t="str">
        <v>Single</v>
      </c>
      <c r="J104" s="23" t="str">
        <v>Deco</v>
      </c>
      <c r="K104" s="22">
        <v>1</v>
      </c>
      <c r="L104" s="21"/>
      <c r="M104" s="20">
        <f>"World_"&amp;VLOOKUP(B104,'引用列表'!Q:R,2,FALSE)&amp;"_"&amp;B104&amp;IF(COUNTIF(D104,"*Hole*"),"/Hole","")</f>
      </c>
      <c r="N104" s="20">
        <f>IF(B104&lt;&gt;"", B104, "") &amp; IF(D104&lt;&gt;"", "_" &amp; D104, "") &amp; IF(E104&lt;&gt;"", "_" &amp; E104, "")  &amp; IF(H104&lt;&gt;"", "_" &amp; H104, "") &amp; IF(I104&lt;&gt;"", "_" &amp; I104, "") &amp; IF(J104&lt;&gt;"", "_" &amp; J104, "") &amp; IF(K104&lt;&gt;"", "_" &amp; K104, "")</f>
      </c>
      <c r="O104" s="19">
        <f>IF(Z104="✅", "/Script/Engine.StaticMesh'/Game/Item/Mesh/Voxel/" &amp; M104 &amp; "/" &amp; D104 &amp; "/" &amp; F104 &amp; "." &amp; F104 &amp; "'", "")</f>
      </c>
      <c r="P104" s="20"/>
      <c r="Q104" s="20"/>
      <c r="R104" s="21"/>
      <c r="S104" s="21"/>
      <c r="T104" s="19"/>
      <c r="U104" s="19"/>
      <c r="V104" s="21"/>
      <c r="W104" s="21"/>
      <c r="X104" s="20"/>
      <c r="Y104" s="21"/>
      <c r="Z104" s="24" t="str">
        <v>⭕</v>
      </c>
      <c r="AA104" s="20">
        <f>IF(G104&lt;&gt;"", "MI"&amp;"_", "") &amp; IF(B104&lt;&gt;"", B104, "") &amp; IF(D104&lt;&gt;"", "_" &amp; D104, "") &amp; IF(E104&lt;&gt;"", "_" &amp; E104, "")  &amp; IF(H104&lt;&gt;"", "_" &amp; H104, "") &amp; IF(I104&lt;&gt;"", "_" &amp; I104, "") &amp; IF(J104&lt;&gt;"", "_" &amp; J104, "") &amp; IF(K104&lt;&gt;"", "_" &amp; K104, "")</f>
      </c>
      <c r="AB104" s="20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</row>
    <row r="105">
      <c r="A105" s="25"/>
      <c r="B105" s="20" t="str">
        <v>TheCity</v>
      </c>
      <c r="C105" s="25"/>
      <c r="D105" s="20" t="str">
        <v>Ground</v>
      </c>
      <c r="E105" s="19" t="str">
        <v>Road</v>
      </c>
      <c r="F105" s="25">
        <f>IF(G105&lt;&gt;"", G105&amp;"_", "") &amp; IF(B105&lt;&gt;"", B105, "") &amp; IF(D105&lt;&gt;"", "_" &amp; D105, "") &amp; IF(E105&lt;&gt;"", "_" &amp; E105, "")  &amp; IF(H105&lt;&gt;"", "_" &amp; H105, "") &amp; IF(I105&lt;&gt;"", "_" &amp; I105, "") &amp; IF(J105&lt;&gt;"", "_" &amp; J105, "") &amp; IF(K105&lt;&gt;"", "_" &amp; K105, "")</f>
      </c>
      <c r="G105" s="21" t="str">
        <v>SM</v>
      </c>
      <c r="H105" s="21" t="str">
        <v>C</v>
      </c>
      <c r="I105" s="21" t="str">
        <v>Hollow</v>
      </c>
      <c r="J105" s="23" t="str">
        <v>Deco</v>
      </c>
      <c r="K105" s="22">
        <v>1</v>
      </c>
      <c r="L105" s="21"/>
      <c r="M105" s="20">
        <f>"World_"&amp;VLOOKUP(B105,'引用列表'!Q:R,2,FALSE)&amp;"_"&amp;B105&amp;IF(COUNTIF(D105,"*Hole*"),"/Hole","")</f>
      </c>
      <c r="N105" s="20">
        <f>IF(B105&lt;&gt;"", B105, "") &amp; IF(D105&lt;&gt;"", "_" &amp; D105, "") &amp; IF(E105&lt;&gt;"", "_" &amp; E105, "")  &amp; IF(H105&lt;&gt;"", "_" &amp; H105, "") &amp; IF(I105&lt;&gt;"", "_" &amp; I105, "") &amp; IF(J105&lt;&gt;"", "_" &amp; J105, "") &amp; IF(K105&lt;&gt;"", "_" &amp; K105, "")</f>
      </c>
      <c r="O105" s="19">
        <f>IF(Z105="✅", "/Script/Engine.StaticMesh'/Game/Item/Mesh/Voxel/" &amp; M105 &amp; "/" &amp; D105 &amp; "/" &amp; F105 &amp; "." &amp; F105 &amp; "'", "")</f>
      </c>
      <c r="P105" s="20"/>
      <c r="Q105" s="20"/>
      <c r="R105" s="21"/>
      <c r="S105" s="21"/>
      <c r="T105" s="19"/>
      <c r="U105" s="19"/>
      <c r="V105" s="21"/>
      <c r="W105" s="21"/>
      <c r="X105" s="20"/>
      <c r="Y105" s="21"/>
      <c r="Z105" s="24" t="str">
        <v>⭕</v>
      </c>
      <c r="AA105" s="20">
        <f>IF(G105&lt;&gt;"", "MI"&amp;"_", "") &amp; IF(B105&lt;&gt;"", B105, "") &amp; IF(D105&lt;&gt;"", "_" &amp; D105, "") &amp; IF(E105&lt;&gt;"", "_" &amp; E105, "")  &amp; IF(H105&lt;&gt;"", "_" &amp; H105, "") &amp; IF(I105&lt;&gt;"", "_" &amp; I105, "") &amp; IF(J105&lt;&gt;"", "_" &amp; J105, "") &amp; IF(K105&lt;&gt;"", "_" &amp; K105, "")</f>
      </c>
      <c r="AB105" s="20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</row>
    <row r="106">
      <c r="A106" s="25"/>
      <c r="B106" s="20" t="str">
        <v>TheCity</v>
      </c>
      <c r="C106" s="25"/>
      <c r="D106" s="20" t="str">
        <v>Ground</v>
      </c>
      <c r="E106" s="19" t="str">
        <v>Road</v>
      </c>
      <c r="F106" s="25">
        <f>IF(G106&lt;&gt;"", G106&amp;"_", "") &amp; IF(B106&lt;&gt;"", B106, "") &amp; IF(D106&lt;&gt;"", "_" &amp; D106, "") &amp; IF(E106&lt;&gt;"", "_" &amp; E106, "")  &amp; IF(H106&lt;&gt;"", "_" &amp; H106, "") &amp; IF(I106&lt;&gt;"", "_" &amp; I106, "") &amp; IF(J106&lt;&gt;"", "_" &amp; J106, "") &amp; IF(K106&lt;&gt;"", "_" &amp; K106, "")</f>
      </c>
      <c r="G106" s="21" t="str">
        <v>SM</v>
      </c>
      <c r="H106" s="21" t="str">
        <v>C</v>
      </c>
      <c r="I106" s="21" t="str">
        <v>Hollow</v>
      </c>
      <c r="J106" s="23" t="str">
        <v>Deco</v>
      </c>
      <c r="K106" s="22">
        <v>2</v>
      </c>
      <c r="L106" s="21"/>
      <c r="M106" s="20">
        <f>"World_"&amp;VLOOKUP(B106,'引用列表'!Q:R,2,FALSE)&amp;"_"&amp;B106&amp;IF(COUNTIF(D106,"*Hole*"),"/Hole","")</f>
      </c>
      <c r="N106" s="20">
        <f>IF(B106&lt;&gt;"", B106, "") &amp; IF(D106&lt;&gt;"", "_" &amp; D106, "") &amp; IF(E106&lt;&gt;"", "_" &amp; E106, "")  &amp; IF(H106&lt;&gt;"", "_" &amp; H106, "") &amp; IF(I106&lt;&gt;"", "_" &amp; I106, "") &amp; IF(J106&lt;&gt;"", "_" &amp; J106, "") &amp; IF(K106&lt;&gt;"", "_" &amp; K106, "")</f>
      </c>
      <c r="O106" s="19">
        <f>IF(Z106="✅", "/Script/Engine.StaticMesh'/Game/Item/Mesh/Voxel/" &amp; M106 &amp; "/" &amp; D106 &amp; "/" &amp; F106 &amp; "." &amp; F106 &amp; "'", "")</f>
      </c>
      <c r="P106" s="20"/>
      <c r="Q106" s="20"/>
      <c r="R106" s="21"/>
      <c r="S106" s="21"/>
      <c r="T106" s="19"/>
      <c r="U106" s="19"/>
      <c r="V106" s="21"/>
      <c r="W106" s="21"/>
      <c r="X106" s="20"/>
      <c r="Y106" s="21"/>
      <c r="Z106" s="24" t="str">
        <v>⭕</v>
      </c>
      <c r="AA106" s="20">
        <f>IF(G106&lt;&gt;"", "MI"&amp;"_", "") &amp; IF(B106&lt;&gt;"", B106, "") &amp; IF(D106&lt;&gt;"", "_" &amp; D106, "") &amp; IF(E106&lt;&gt;"", "_" &amp; E106, "")  &amp; IF(H106&lt;&gt;"", "_" &amp; H106, "") &amp; IF(I106&lt;&gt;"", "_" &amp; I106, "") &amp; IF(J106&lt;&gt;"", "_" &amp; J106, "") &amp; IF(K106&lt;&gt;"", "_" &amp; K106, "")</f>
      </c>
      <c r="AB106" s="20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</row>
    <row r="107">
      <c r="A107" s="25"/>
      <c r="B107" s="20" t="str">
        <v>TheCity</v>
      </c>
      <c r="C107" s="25"/>
      <c r="D107" s="20" t="str">
        <v>Ground</v>
      </c>
      <c r="E107" s="19" t="str">
        <v>Road</v>
      </c>
      <c r="F107" s="25">
        <f>IF(G107&lt;&gt;"", G107&amp;"_", "") &amp; IF(B107&lt;&gt;"", B107, "") &amp; IF(D107&lt;&gt;"", "_" &amp; D107, "") &amp; IF(E107&lt;&gt;"", "_" &amp; E107, "")  &amp; IF(H107&lt;&gt;"", "_" &amp; H107, "") &amp; IF(I107&lt;&gt;"", "_" &amp; I107, "") &amp; IF(J107&lt;&gt;"", "_" &amp; J107, "") &amp; IF(K107&lt;&gt;"", "_" &amp; K107, "")</f>
      </c>
      <c r="G107" s="21" t="str">
        <v>SM</v>
      </c>
      <c r="H107" s="21" t="str">
        <v>C</v>
      </c>
      <c r="I107" s="21" t="str">
        <v>Hollow</v>
      </c>
      <c r="J107" s="23" t="str">
        <v>Deco</v>
      </c>
      <c r="K107" s="22">
        <v>3</v>
      </c>
      <c r="L107" s="21"/>
      <c r="M107" s="20">
        <f>"World_"&amp;VLOOKUP(B107,'引用列表'!Q:R,2,FALSE)&amp;"_"&amp;B107&amp;IF(COUNTIF(D107,"*Hole*"),"/Hole","")</f>
      </c>
      <c r="N107" s="20">
        <f>IF(B107&lt;&gt;"", B107, "") &amp; IF(D107&lt;&gt;"", "_" &amp; D107, "") &amp; IF(E107&lt;&gt;"", "_" &amp; E107, "")  &amp; IF(H107&lt;&gt;"", "_" &amp; H107, "") &amp; IF(I107&lt;&gt;"", "_" &amp; I107, "") &amp; IF(J107&lt;&gt;"", "_" &amp; J107, "") &amp; IF(K107&lt;&gt;"", "_" &amp; K107, "")</f>
      </c>
      <c r="O107" s="19">
        <f>IF(Z107="✅", "/Script/Engine.StaticMesh'/Game/Item/Mesh/Voxel/" &amp; M107 &amp; "/" &amp; D107 &amp; "/" &amp; F107 &amp; "." &amp; F107 &amp; "'", "")</f>
      </c>
      <c r="P107" s="20"/>
      <c r="Q107" s="20"/>
      <c r="R107" s="21"/>
      <c r="S107" s="21"/>
      <c r="T107" s="19"/>
      <c r="U107" s="19"/>
      <c r="V107" s="21"/>
      <c r="W107" s="21"/>
      <c r="X107" s="20"/>
      <c r="Y107" s="21"/>
      <c r="Z107" s="24" t="str">
        <v>⭕</v>
      </c>
      <c r="AA107" s="20">
        <f>IF(G107&lt;&gt;"", "MI"&amp;"_", "") &amp; IF(B107&lt;&gt;"", B107, "") &amp; IF(D107&lt;&gt;"", "_" &amp; D107, "") &amp; IF(E107&lt;&gt;"", "_" &amp; E107, "")  &amp; IF(H107&lt;&gt;"", "_" &amp; H107, "") &amp; IF(I107&lt;&gt;"", "_" &amp; I107, "") &amp; IF(J107&lt;&gt;"", "_" &amp; J107, "") &amp; IF(K107&lt;&gt;"", "_" &amp; K107, "")</f>
      </c>
      <c r="AB107" s="20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</row>
    <row r="108">
      <c r="A108" s="25"/>
      <c r="B108" s="20" t="str">
        <v>TheCity</v>
      </c>
      <c r="C108" s="25"/>
      <c r="D108" s="20" t="str">
        <v>Ground</v>
      </c>
      <c r="E108" s="19" t="str">
        <v>Road</v>
      </c>
      <c r="F108" s="25">
        <f>IF(G108&lt;&gt;"", G108&amp;"_", "") &amp; IF(B108&lt;&gt;"", B108, "") &amp; IF(D108&lt;&gt;"", "_" &amp; D108, "") &amp; IF(E108&lt;&gt;"", "_" &amp; E108, "")  &amp; IF(H108&lt;&gt;"", "_" &amp; H108, "") &amp; IF(I108&lt;&gt;"", "_" &amp; I108, "") &amp; IF(J108&lt;&gt;"", "_" &amp; J108, "") &amp; IF(K108&lt;&gt;"", "_" &amp; K108, "")</f>
      </c>
      <c r="G108" s="21" t="str">
        <v>SM</v>
      </c>
      <c r="H108" s="21" t="str">
        <v>C</v>
      </c>
      <c r="I108" s="21" t="str">
        <v>Hollow</v>
      </c>
      <c r="J108" s="23" t="str">
        <v>Deco</v>
      </c>
      <c r="K108" s="22">
        <v>4</v>
      </c>
      <c r="L108" s="21"/>
      <c r="M108" s="20">
        <f>"World_"&amp;VLOOKUP(B108,'引用列表'!Q:R,2,FALSE)&amp;"_"&amp;B108&amp;IF(COUNTIF(D108,"*Hole*"),"/Hole","")</f>
      </c>
      <c r="N108" s="20">
        <f>IF(B108&lt;&gt;"", B108, "") &amp; IF(D108&lt;&gt;"", "_" &amp; D108, "") &amp; IF(E108&lt;&gt;"", "_" &amp; E108, "")  &amp; IF(H108&lt;&gt;"", "_" &amp; H108, "") &amp; IF(I108&lt;&gt;"", "_" &amp; I108, "") &amp; IF(J108&lt;&gt;"", "_" &amp; J108, "") &amp; IF(K108&lt;&gt;"", "_" &amp; K108, "")</f>
      </c>
      <c r="O108" s="19">
        <f>IF(Z108="✅", "/Script/Engine.StaticMesh'/Game/Item/Mesh/Voxel/" &amp; M108 &amp; "/" &amp; D108 &amp; "/" &amp; F108 &amp; "." &amp; F108 &amp; "'", "")</f>
      </c>
      <c r="P108" s="20"/>
      <c r="Q108" s="20"/>
      <c r="R108" s="21"/>
      <c r="S108" s="21"/>
      <c r="T108" s="19"/>
      <c r="U108" s="19"/>
      <c r="V108" s="21"/>
      <c r="W108" s="21"/>
      <c r="X108" s="20"/>
      <c r="Y108" s="21"/>
      <c r="Z108" s="24" t="str">
        <v>⭕</v>
      </c>
      <c r="AA108" s="20">
        <f>IF(G108&lt;&gt;"", "MI"&amp;"_", "") &amp; IF(B108&lt;&gt;"", B108, "") &amp; IF(D108&lt;&gt;"", "_" &amp; D108, "") &amp; IF(E108&lt;&gt;"", "_" &amp; E108, "")  &amp; IF(H108&lt;&gt;"", "_" &amp; H108, "") &amp; IF(I108&lt;&gt;"", "_" &amp; I108, "") &amp; IF(J108&lt;&gt;"", "_" &amp; J108, "") &amp; IF(K108&lt;&gt;"", "_" &amp; K108, "")</f>
      </c>
      <c r="AB108" s="20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</row>
    <row r="109">
      <c r="A109" s="25"/>
      <c r="B109" s="20" t="str">
        <v>TheCity</v>
      </c>
      <c r="C109" s="25"/>
      <c r="D109" s="20" t="str">
        <v>Ground</v>
      </c>
      <c r="E109" s="19" t="str">
        <v>Road</v>
      </c>
      <c r="F109" s="25">
        <f>IF(G109&lt;&gt;"", G109&amp;"_", "") &amp; IF(B109&lt;&gt;"", B109, "") &amp; IF(D109&lt;&gt;"", "_" &amp; D109, "") &amp; IF(E109&lt;&gt;"", "_" &amp; E109, "")  &amp; IF(H109&lt;&gt;"", "_" &amp; H109, "") &amp; IF(I109&lt;&gt;"", "_" &amp; I109, "") &amp; IF(J109&lt;&gt;"", "_" &amp; J109, "") &amp; IF(K109&lt;&gt;"", "_" &amp; K109, "")</f>
      </c>
      <c r="G109" s="21" t="str">
        <v>SM</v>
      </c>
      <c r="H109" s="21" t="str">
        <v>C</v>
      </c>
      <c r="I109" s="21" t="str">
        <v>Hollow</v>
      </c>
      <c r="J109" s="23" t="str">
        <v>Deco</v>
      </c>
      <c r="K109" s="22">
        <v>5</v>
      </c>
      <c r="L109" s="21"/>
      <c r="M109" s="20">
        <f>"World_"&amp;VLOOKUP(B109,'引用列表'!Q:R,2,FALSE)&amp;"_"&amp;B109&amp;IF(COUNTIF(D109,"*Hole*"),"/Hole","")</f>
      </c>
      <c r="N109" s="20">
        <f>IF(B109&lt;&gt;"", B109, "") &amp; IF(D109&lt;&gt;"", "_" &amp; D109, "") &amp; IF(E109&lt;&gt;"", "_" &amp; E109, "")  &amp; IF(H109&lt;&gt;"", "_" &amp; H109, "") &amp; IF(I109&lt;&gt;"", "_" &amp; I109, "") &amp; IF(J109&lt;&gt;"", "_" &amp; J109, "") &amp; IF(K109&lt;&gt;"", "_" &amp; K109, "")</f>
      </c>
      <c r="O109" s="19">
        <f>IF(Z109="✅", "/Script/Engine.StaticMesh'/Game/Item/Mesh/Voxel/" &amp; M109 &amp; "/" &amp; D109 &amp; "/" &amp; F109 &amp; "." &amp; F109 &amp; "'", "")</f>
      </c>
      <c r="P109" s="20"/>
      <c r="Q109" s="20"/>
      <c r="R109" s="21"/>
      <c r="S109" s="21"/>
      <c r="T109" s="19"/>
      <c r="U109" s="19"/>
      <c r="V109" s="21"/>
      <c r="W109" s="21"/>
      <c r="X109" s="20"/>
      <c r="Y109" s="21"/>
      <c r="Z109" s="24" t="str">
        <v>⭕</v>
      </c>
      <c r="AA109" s="20">
        <f>IF(G109&lt;&gt;"", "MI"&amp;"_", "") &amp; IF(B109&lt;&gt;"", B109, "") &amp; IF(D109&lt;&gt;"", "_" &amp; D109, "") &amp; IF(E109&lt;&gt;"", "_" &amp; E109, "")  &amp; IF(H109&lt;&gt;"", "_" &amp; H109, "") &amp; IF(I109&lt;&gt;"", "_" &amp; I109, "") &amp; IF(J109&lt;&gt;"", "_" &amp; J109, "") &amp; IF(K109&lt;&gt;"", "_" &amp; K109, "")</f>
      </c>
      <c r="AB109" s="20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</row>
    <row r="110">
      <c r="A110" s="25"/>
      <c r="B110" s="20" t="str">
        <v>TheCity</v>
      </c>
      <c r="C110" s="25"/>
      <c r="D110" s="20" t="str">
        <v>Ground</v>
      </c>
      <c r="E110" s="19" t="str">
        <v>Road</v>
      </c>
      <c r="F110" s="25">
        <f>IF(G110&lt;&gt;"", G110&amp;"_", "") &amp; IF(B110&lt;&gt;"", B110, "") &amp; IF(D110&lt;&gt;"", "_" &amp; D110, "") &amp; IF(E110&lt;&gt;"", "_" &amp; E110, "")  &amp; IF(H110&lt;&gt;"", "_" &amp; H110, "") &amp; IF(I110&lt;&gt;"", "_" &amp; I110, "") &amp; IF(J110&lt;&gt;"", "_" &amp; J110, "") &amp; IF(K110&lt;&gt;"", "_" &amp; K110, "")</f>
      </c>
      <c r="G110" s="21" t="str">
        <v>SM</v>
      </c>
      <c r="H110" s="21" t="str">
        <v>C</v>
      </c>
      <c r="I110" s="21" t="str">
        <v>Hollow</v>
      </c>
      <c r="J110" s="23" t="str">
        <v>Deco</v>
      </c>
      <c r="K110" s="22">
        <v>6</v>
      </c>
      <c r="L110" s="21"/>
      <c r="M110" s="20">
        <f>"World_"&amp;VLOOKUP(B110,'引用列表'!Q:R,2,FALSE)&amp;"_"&amp;B110&amp;IF(COUNTIF(D110,"*Hole*"),"/Hole","")</f>
      </c>
      <c r="N110" s="20">
        <f>IF(B110&lt;&gt;"", B110, "") &amp; IF(D110&lt;&gt;"", "_" &amp; D110, "") &amp; IF(E110&lt;&gt;"", "_" &amp; E110, "")  &amp; IF(H110&lt;&gt;"", "_" &amp; H110, "") &amp; IF(I110&lt;&gt;"", "_" &amp; I110, "") &amp; IF(J110&lt;&gt;"", "_" &amp; J110, "") &amp; IF(K110&lt;&gt;"", "_" &amp; K110, "")</f>
      </c>
      <c r="O110" s="19">
        <f>IF(Z110="✅", "/Script/Engine.StaticMesh'/Game/Item/Mesh/Voxel/" &amp; M110 &amp; "/" &amp; D110 &amp; "/" &amp; F110 &amp; "." &amp; F110 &amp; "'", "")</f>
      </c>
      <c r="P110" s="20"/>
      <c r="Q110" s="20"/>
      <c r="R110" s="21"/>
      <c r="S110" s="21"/>
      <c r="T110" s="19"/>
      <c r="U110" s="19"/>
      <c r="V110" s="21"/>
      <c r="W110" s="21"/>
      <c r="X110" s="20"/>
      <c r="Y110" s="21"/>
      <c r="Z110" s="24" t="str">
        <v>⭕</v>
      </c>
      <c r="AA110" s="20">
        <f>IF(G110&lt;&gt;"", "MI"&amp;"_", "") &amp; IF(B110&lt;&gt;"", B110, "") &amp; IF(D110&lt;&gt;"", "_" &amp; D110, "") &amp; IF(E110&lt;&gt;"", "_" &amp; E110, "")  &amp; IF(H110&lt;&gt;"", "_" &amp; H110, "") &amp; IF(I110&lt;&gt;"", "_" &amp; I110, "") &amp; IF(J110&lt;&gt;"", "_" &amp; J110, "") &amp; IF(K110&lt;&gt;"", "_" &amp; K110, "")</f>
      </c>
      <c r="AB110" s="20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</row>
    <row r="111">
      <c r="A111" s="14" t="str">
        <v>World_01_TheCity</v>
      </c>
      <c r="B111" s="1"/>
      <c r="C111" s="4"/>
      <c r="D111" s="1"/>
      <c r="E111" s="9"/>
      <c r="F111" s="4"/>
      <c r="G111" s="5"/>
      <c r="H111" s="5"/>
      <c r="I111" s="5"/>
      <c r="J111" s="27"/>
      <c r="K111" s="10"/>
      <c r="L111" s="5"/>
      <c r="M111" s="1"/>
      <c r="N111" s="1"/>
      <c r="O111" s="9"/>
      <c r="P111" s="1"/>
      <c r="Q111" s="1"/>
      <c r="R111" s="5"/>
      <c r="S111" s="5"/>
      <c r="T111" s="9"/>
      <c r="U111" s="9"/>
      <c r="V111" s="5"/>
      <c r="W111" s="5"/>
      <c r="X111" s="1"/>
      <c r="Y111" s="5"/>
      <c r="Z111" s="2"/>
      <c r="AA111" s="1"/>
      <c r="AB111" s="1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customHeight="true" ht="19" r="112">
      <c r="A112" s="14"/>
      <c r="B112" s="1"/>
      <c r="C112" s="14" t="str">
        <v>Hole</v>
      </c>
      <c r="D112" s="1"/>
      <c r="E112" s="9"/>
      <c r="F112" s="4"/>
      <c r="G112" s="5"/>
      <c r="H112" s="5"/>
      <c r="I112" s="5"/>
      <c r="J112" s="27"/>
      <c r="K112" s="10"/>
      <c r="L112" s="5"/>
      <c r="M112" s="1"/>
      <c r="N112" s="1"/>
      <c r="O112" s="9"/>
      <c r="P112" s="1"/>
      <c r="Q112" s="1"/>
      <c r="R112" s="5"/>
      <c r="S112" s="5"/>
      <c r="T112" s="9"/>
      <c r="U112" s="9"/>
      <c r="V112" s="5"/>
      <c r="W112" s="5"/>
      <c r="X112" s="1"/>
      <c r="Y112" s="5"/>
      <c r="Z112" s="2"/>
      <c r="AA112" s="1"/>
      <c r="AB112" s="1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25"/>
      <c r="B113" s="20" t="str">
        <v>TheCity</v>
      </c>
      <c r="C113" s="25"/>
      <c r="D113" s="20" t="str">
        <v>StartHole</v>
      </c>
      <c r="E113" s="19" t="str">
        <v>Grass</v>
      </c>
      <c r="F113" s="25">
        <f>IF(G113&lt;&gt;"", G113&amp;"_", "") &amp; IF(B113&lt;&gt;"", B113, "") &amp; IF(D113&lt;&gt;"", "_" &amp; D113, "") &amp; IF(E113&lt;&gt;"", "_" &amp; E113, "")  &amp; IF(H113&lt;&gt;"", "_" &amp; H113, "") &amp; IF(I113&lt;&gt;"", "_" &amp; I113, "") &amp; IF(J113&lt;&gt;"", "_" &amp; J113, "") &amp; IF(K113&lt;&gt;"", "_" &amp; K113, "")</f>
      </c>
      <c r="G113" s="21" t="str">
        <v>SM</v>
      </c>
      <c r="H113" s="21"/>
      <c r="I113" s="21"/>
      <c r="J113" s="23"/>
      <c r="K113" s="22">
        <v>16</v>
      </c>
      <c r="L113" s="21"/>
      <c r="M113" s="20">
        <f>"World_"&amp;VLOOKUP(B113,'引用列表'!Q:R,2,FALSE)&amp;"_"&amp;B113&amp;IF(COUNTIF(D113,"*Hole*"),"/Hole","")</f>
      </c>
      <c r="N113" s="20">
        <f>IF(B113&lt;&gt;"", B113, "") &amp; IF(D113&lt;&gt;"", "_" &amp; D113, "") &amp; IF(E113&lt;&gt;"", "_" &amp; E113, "")  &amp; IF(H113&lt;&gt;"", "_" &amp; H113, "") &amp; IF(I113&lt;&gt;"", "_" &amp; I113, "") &amp; IF(J113&lt;&gt;"", "_" &amp; J113, "") &amp; IF(K113&lt;&gt;"", "_" &amp; K113, "")</f>
      </c>
      <c r="O113" s="19">
        <f>IF(Z113="✅", "/Script/Engine.StaticMesh'/Game/Item/Mesh/Voxel/" &amp; M113 &amp; "/" &amp; D113 &amp; "/" &amp; F113 &amp; "." &amp; F113 &amp; "'", "")</f>
      </c>
      <c r="P113" s="20"/>
      <c r="Q113" s="20"/>
      <c r="R113" s="21"/>
      <c r="S113" s="21"/>
      <c r="T113" s="19"/>
      <c r="U113" s="19"/>
      <c r="V113" s="21"/>
      <c r="W113" s="21"/>
      <c r="X113" s="20"/>
      <c r="Y113" s="21"/>
      <c r="Z113" s="24" t="str">
        <v>✅</v>
      </c>
      <c r="AA113" s="20">
        <f>IF(G113&lt;&gt;"", "MI"&amp;"_", "") &amp; IF(B113&lt;&gt;"", B113, "") &amp; IF(D113&lt;&gt;"", "_" &amp; D113, "") &amp; IF(E113&lt;&gt;"", "_" &amp; E113, "")  &amp; IF(H113&lt;&gt;"", "_" &amp; H113, "") &amp; IF(I113&lt;&gt;"", "_" &amp; I113, "") &amp; IF(J113&lt;&gt;"", "_" &amp; J113, "") &amp; IF(K113&lt;&gt;"", "_" &amp; K113, "")</f>
      </c>
      <c r="AB113" s="20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</row>
    <row r="114">
      <c r="A114" s="25"/>
      <c r="B114" s="20" t="str">
        <v>TheCity</v>
      </c>
      <c r="C114" s="25"/>
      <c r="D114" s="20" t="str">
        <v>StartHole</v>
      </c>
      <c r="E114" s="19" t="str">
        <v>Sidewalk</v>
      </c>
      <c r="F114" s="25">
        <f>IF(G114&lt;&gt;"", G114&amp;"_", "") &amp; IF(B114&lt;&gt;"", B114, "") &amp; IF(D114&lt;&gt;"", "_" &amp; D114, "") &amp; IF(E114&lt;&gt;"", "_" &amp; E114, "")  &amp; IF(H114&lt;&gt;"", "_" &amp; H114, "") &amp; IF(I114&lt;&gt;"", "_" &amp; I114, "") &amp; IF(J114&lt;&gt;"", "_" &amp; J114, "") &amp; IF(K114&lt;&gt;"", "_" &amp; K114, "")</f>
      </c>
      <c r="G114" s="21" t="str">
        <v>SM</v>
      </c>
      <c r="H114" s="21"/>
      <c r="I114" s="21"/>
      <c r="J114" s="23"/>
      <c r="K114" s="22">
        <v>13</v>
      </c>
      <c r="L114" s="21"/>
      <c r="M114" s="20">
        <f>"World_"&amp;VLOOKUP(B114,'引用列表'!Q:R,2,FALSE)&amp;"_"&amp;B114&amp;IF(COUNTIF(D114,"*Hole*"),"/Hole","")</f>
      </c>
      <c r="N114" s="20">
        <f>IF(B114&lt;&gt;"", B114, "") &amp; IF(D114&lt;&gt;"", "_" &amp; D114, "") &amp; IF(E114&lt;&gt;"", "_" &amp; E114, "")  &amp; IF(H114&lt;&gt;"", "_" &amp; H114, "") &amp; IF(I114&lt;&gt;"", "_" &amp; I114, "") &amp; IF(J114&lt;&gt;"", "_" &amp; J114, "") &amp; IF(K114&lt;&gt;"", "_" &amp; K114, "")</f>
      </c>
      <c r="O114" s="19">
        <f>IF(Z114="✅", "/Script/Engine.StaticMesh'/Game/Item/Mesh/Voxel/" &amp; M114 &amp; "/" &amp; D114 &amp; "/" &amp; F114 &amp; "." &amp; F114 &amp; "'", "")</f>
      </c>
      <c r="P114" s="20"/>
      <c r="Q114" s="20"/>
      <c r="R114" s="21"/>
      <c r="S114" s="21"/>
      <c r="T114" s="19"/>
      <c r="U114" s="19"/>
      <c r="V114" s="21"/>
      <c r="W114" s="21"/>
      <c r="X114" s="20"/>
      <c r="Y114" s="21"/>
      <c r="Z114" s="24" t="str">
        <v>✅</v>
      </c>
      <c r="AA114" s="20">
        <f>IF(G114&lt;&gt;"", "MI"&amp;"_", "") &amp; IF(B114&lt;&gt;"", B114, "") &amp; IF(D114&lt;&gt;"", "_" &amp; D114, "") &amp; IF(E114&lt;&gt;"", "_" &amp; E114, "")  &amp; IF(H114&lt;&gt;"", "_" &amp; H114, "") &amp; IF(I114&lt;&gt;"", "_" &amp; I114, "") &amp; IF(J114&lt;&gt;"", "_" &amp; J114, "") &amp; IF(K114&lt;&gt;"", "_" &amp; K114, "")</f>
      </c>
      <c r="AB114" s="20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</row>
    <row r="115">
      <c r="A115" s="25"/>
      <c r="B115" s="20" t="str">
        <v>TheCity</v>
      </c>
      <c r="C115" s="25"/>
      <c r="D115" s="20" t="str">
        <v>StartHole</v>
      </c>
      <c r="E115" s="19" t="str">
        <v>SidewalkToGrass</v>
      </c>
      <c r="F115" s="25">
        <f>IF(G115&lt;&gt;"", G115&amp;"_", "") &amp; IF(B115&lt;&gt;"", B115, "") &amp; IF(D115&lt;&gt;"", "_" &amp; D115, "") &amp; IF(E115&lt;&gt;"", "_" &amp; E115, "")  &amp; IF(H115&lt;&gt;"", "_" &amp; H115, "") &amp; IF(I115&lt;&gt;"", "_" &amp; I115, "") &amp; IF(J115&lt;&gt;"", "_" &amp; J115, "") &amp; IF(K115&lt;&gt;"", "_" &amp; K115, "")</f>
      </c>
      <c r="G115" s="21" t="str">
        <v>SM</v>
      </c>
      <c r="H115" s="21"/>
      <c r="I115" s="21"/>
      <c r="J115" s="23"/>
      <c r="K115" s="22">
        <v>14</v>
      </c>
      <c r="L115" s="21"/>
      <c r="M115" s="20">
        <f>"World_"&amp;VLOOKUP(B115,'引用列表'!Q:R,2,FALSE)&amp;"_"&amp;B115&amp;IF(COUNTIF(D115,"*Hole*"),"/Hole","")</f>
      </c>
      <c r="N115" s="20">
        <f>IF(B115&lt;&gt;"", B115, "") &amp; IF(D115&lt;&gt;"", "_" &amp; D115, "") &amp; IF(E115&lt;&gt;"", "_" &amp; E115, "")  &amp; IF(H115&lt;&gt;"", "_" &amp; H115, "") &amp; IF(I115&lt;&gt;"", "_" &amp; I115, "") &amp; IF(J115&lt;&gt;"", "_" &amp; J115, "") &amp; IF(K115&lt;&gt;"", "_" &amp; K115, "")</f>
      </c>
      <c r="O115" s="19">
        <f>IF(Z115="✅", "/Script/Engine.StaticMesh'/Game/Item/Mesh/Voxel/" &amp; M115 &amp; "/" &amp; D115 &amp; "/" &amp; F115 &amp; "." &amp; F115 &amp; "'", "")</f>
      </c>
      <c r="P115" s="20"/>
      <c r="Q115" s="20"/>
      <c r="R115" s="21"/>
      <c r="S115" s="21"/>
      <c r="T115" s="19"/>
      <c r="U115" s="19"/>
      <c r="V115" s="21"/>
      <c r="W115" s="21"/>
      <c r="X115" s="20"/>
      <c r="Y115" s="21"/>
      <c r="Z115" s="24" t="str">
        <v>✅</v>
      </c>
      <c r="AA115" s="20">
        <f>IF(G115&lt;&gt;"", "MI"&amp;"_", "") &amp; IF(B115&lt;&gt;"", B115, "") &amp; IF(D115&lt;&gt;"", "_" &amp; D115, "") &amp; IF(E115&lt;&gt;"", "_" &amp; E115, "")  &amp; IF(H115&lt;&gt;"", "_" &amp; H115, "") &amp; IF(I115&lt;&gt;"", "_" &amp; I115, "") &amp; IF(J115&lt;&gt;"", "_" &amp; J115, "") &amp; IF(K115&lt;&gt;"", "_" &amp; K115, "")</f>
      </c>
      <c r="AB115" s="20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</row>
    <row r="116">
      <c r="A116" s="25"/>
      <c r="B116" s="20" t="str">
        <v>TheCity</v>
      </c>
      <c r="C116" s="25"/>
      <c r="D116" s="20" t="str">
        <v>StartHole</v>
      </c>
      <c r="E116" s="19" t="str">
        <v>SidewalkToRoad</v>
      </c>
      <c r="F116" s="25">
        <f>IF(G116&lt;&gt;"", G116&amp;"_", "") &amp; IF(B116&lt;&gt;"", B116, "") &amp; IF(D116&lt;&gt;"", "_" &amp; D116, "") &amp; IF(E116&lt;&gt;"", "_" &amp; E116, "")  &amp; IF(H116&lt;&gt;"", "_" &amp; H116, "") &amp; IF(I116&lt;&gt;"", "_" &amp; I116, "") &amp; IF(J116&lt;&gt;"", "_" &amp; J116, "") &amp; IF(K116&lt;&gt;"", "_" &amp; K116, "")</f>
      </c>
      <c r="G116" s="21" t="str">
        <v>SM</v>
      </c>
      <c r="H116" s="21"/>
      <c r="I116" s="21"/>
      <c r="J116" s="23"/>
      <c r="K116" s="22">
        <v>14</v>
      </c>
      <c r="L116" s="21"/>
      <c r="M116" s="20">
        <f>"World_"&amp;VLOOKUP(B116,'引用列表'!Q:R,2,FALSE)&amp;"_"&amp;B116&amp;IF(COUNTIF(D116,"*Hole*"),"/Hole","")</f>
      </c>
      <c r="N116" s="20">
        <f>IF(B116&lt;&gt;"", B116, "") &amp; IF(D116&lt;&gt;"", "_" &amp; D116, "") &amp; IF(E116&lt;&gt;"", "_" &amp; E116, "")  &amp; IF(H116&lt;&gt;"", "_" &amp; H116, "") &amp; IF(I116&lt;&gt;"", "_" &amp; I116, "") &amp; IF(J116&lt;&gt;"", "_" &amp; J116, "") &amp; IF(K116&lt;&gt;"", "_" &amp; K116, "")</f>
      </c>
      <c r="O116" s="19">
        <f>IF(Z116="✅", "/Script/Engine.StaticMesh'/Game/Item/Mesh/Voxel/" &amp; M116 &amp; "/" &amp; D116 &amp; "/" &amp; F116 &amp; "." &amp; F116 &amp; "'", "")</f>
      </c>
      <c r="P116" s="20"/>
      <c r="Q116" s="20"/>
      <c r="R116" s="21"/>
      <c r="S116" s="21"/>
      <c r="T116" s="19"/>
      <c r="U116" s="19"/>
      <c r="V116" s="21"/>
      <c r="W116" s="21"/>
      <c r="X116" s="20"/>
      <c r="Y116" s="21"/>
      <c r="Z116" s="24" t="str">
        <v>✅</v>
      </c>
      <c r="AA116" s="20">
        <f>IF(G116&lt;&gt;"", "MI"&amp;"_", "") &amp; IF(B116&lt;&gt;"", B116, "") &amp; IF(D116&lt;&gt;"", "_" &amp; D116, "") &amp; IF(E116&lt;&gt;"", "_" &amp; E116, "")  &amp; IF(H116&lt;&gt;"", "_" &amp; H116, "") &amp; IF(I116&lt;&gt;"", "_" &amp; I116, "") &amp; IF(J116&lt;&gt;"", "_" &amp; J116, "") &amp; IF(K116&lt;&gt;"", "_" &amp; K116, "")</f>
      </c>
      <c r="AB116" s="20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</row>
    <row r="117">
      <c r="A117" s="4"/>
      <c r="C117" s="4"/>
      <c r="F117" s="4">
        <f>IF(G117&lt;&gt;"", G117&amp;"_", "") &amp; IF(B117&lt;&gt;"", B117, "") &amp; IF(D117&lt;&gt;"", "_" &amp; D117, "") &amp; IF(E117&lt;&gt;"", "_" &amp; E117, "")  &amp; IF(H117&lt;&gt;"", "_" &amp; H117, "") &amp; IF(I117&lt;&gt;"", "_" &amp; I117, "") &amp; IF(J117&lt;&gt;"", "_" &amp; J117, "") &amp; IF(K117&lt;&gt;"", "_" &amp; K117, "")</f>
      </c>
      <c r="H117" s="5"/>
      <c r="I117" s="5"/>
    </row>
    <row r="118">
      <c r="A118" s="4"/>
      <c r="C118" s="4"/>
      <c r="F118" s="4">
        <f>IF(G118&lt;&gt;"", G118&amp;"_", "") &amp; IF(B118&lt;&gt;"", B118, "") &amp; IF(D118&lt;&gt;"", "_" &amp; D118, "") &amp; IF(E118&lt;&gt;"", "_" &amp; E118, "")  &amp; IF(H118&lt;&gt;"", "_" &amp; H118, "") &amp; IF(I118&lt;&gt;"", "_" &amp; I118, "") &amp; IF(J118&lt;&gt;"", "_" &amp; J118, "") &amp; IF(K118&lt;&gt;"", "_" &amp; K118, "")</f>
      </c>
      <c r="H118" s="5"/>
      <c r="I118" s="5"/>
    </row>
    <row r="119">
      <c r="A119" s="4"/>
      <c r="C119" s="4"/>
      <c r="F119" s="4">
        <f>IF(G119&lt;&gt;"", G119&amp;"_", "") &amp; IF(B119&lt;&gt;"", B119, "") &amp; IF(D119&lt;&gt;"", "_" &amp; D119, "") &amp; IF(E119&lt;&gt;"", "_" &amp; E119, "")  &amp; IF(H119&lt;&gt;"", "_" &amp; H119, "") &amp; IF(I119&lt;&gt;"", "_" &amp; I119, "") &amp; IF(J119&lt;&gt;"", "_" &amp; J119, "") &amp; IF(K119&lt;&gt;"", "_" &amp; K119, "")</f>
      </c>
      <c r="H119" s="5"/>
      <c r="I119" s="5"/>
    </row>
    <row r="120">
      <c r="A120" s="4"/>
      <c r="C120" s="4"/>
      <c r="F120" s="4">
        <f>IF(G120&lt;&gt;"", G120&amp;"_", "") &amp; IF(B120&lt;&gt;"", B120, "") &amp; IF(D120&lt;&gt;"", "_" &amp; D120, "") &amp; IF(E120&lt;&gt;"", "_" &amp; E120, "")  &amp; IF(H120&lt;&gt;"", "_" &amp; H120, "") &amp; IF(I120&lt;&gt;"", "_" &amp; I120, "") &amp; IF(J120&lt;&gt;"", "_" &amp; J120, "") &amp; IF(K120&lt;&gt;"", "_" &amp; K120, "")</f>
      </c>
      <c r="H120" s="5"/>
      <c r="I120" s="5"/>
    </row>
    <row r="121">
      <c r="A121" s="4"/>
      <c r="C121" s="4"/>
      <c r="F121" s="4">
        <f>IF(G121&lt;&gt;"", G121&amp;"_", "") &amp; IF(B121&lt;&gt;"", B121, "") &amp; IF(D121&lt;&gt;"", "_" &amp; D121, "") &amp; IF(E121&lt;&gt;"", "_" &amp; E121, "")  &amp; IF(H121&lt;&gt;"", "_" &amp; H121, "") &amp; IF(I121&lt;&gt;"", "_" &amp; I121, "") &amp; IF(J121&lt;&gt;"", "_" &amp; J121, "") &amp; IF(K121&lt;&gt;"", "_" &amp; K121, "")</f>
      </c>
      <c r="H121" s="5"/>
      <c r="I121" s="5"/>
    </row>
    <row r="122">
      <c r="A122" s="4"/>
      <c r="C122" s="4"/>
      <c r="F122" s="4">
        <f>IF(G122&lt;&gt;"", G122&amp;"_", "") &amp; IF(B122&lt;&gt;"", B122, "") &amp; IF(D122&lt;&gt;"", "_" &amp; D122, "") &amp; IF(E122&lt;&gt;"", "_" &amp; E122, "")  &amp; IF(H122&lt;&gt;"", "_" &amp; H122, "") &amp; IF(I122&lt;&gt;"", "_" &amp; I122, "") &amp; IF(J122&lt;&gt;"", "_" &amp; J122, "") &amp; IF(K122&lt;&gt;"", "_" &amp; K122, "")</f>
      </c>
      <c r="H122" s="5"/>
      <c r="I122" s="5"/>
    </row>
    <row r="123">
      <c r="A123" s="4"/>
      <c r="C123" s="4"/>
      <c r="F123" s="4">
        <f>IF(G123&lt;&gt;"", G123&amp;"_", "") &amp; IF(B123&lt;&gt;"", B123, "") &amp; IF(D123&lt;&gt;"", "_" &amp; D123, "") &amp; IF(E123&lt;&gt;"", "_" &amp; E123, "")  &amp; IF(H123&lt;&gt;"", "_" &amp; H123, "") &amp; IF(I123&lt;&gt;"", "_" &amp; I123, "") &amp; IF(J123&lt;&gt;"", "_" &amp; J123, "") &amp; IF(K123&lt;&gt;"", "_" &amp; K123, "")</f>
      </c>
      <c r="H123" s="5"/>
      <c r="I123" s="5"/>
    </row>
    <row r="124">
      <c r="A124" s="4"/>
      <c r="C124" s="4"/>
      <c r="F124" s="4">
        <f>IF(G124&lt;&gt;"", G124&amp;"_", "") &amp; IF(B124&lt;&gt;"", B124, "") &amp; IF(D124&lt;&gt;"", "_" &amp; D124, "") &amp; IF(E124&lt;&gt;"", "_" &amp; E124, "")  &amp; IF(H124&lt;&gt;"", "_" &amp; H124, "") &amp; IF(I124&lt;&gt;"", "_" &amp; I124, "") &amp; IF(J124&lt;&gt;"", "_" &amp; J124, "") &amp; IF(K124&lt;&gt;"", "_" &amp; K124, "")</f>
      </c>
      <c r="H124" s="5"/>
      <c r="I124" s="5"/>
    </row>
    <row r="125">
      <c r="A125" s="4"/>
      <c r="C125" s="4"/>
      <c r="F125" s="4">
        <f>IF(G125&lt;&gt;"", G125&amp;"_", "") &amp; IF(B125&lt;&gt;"", B125, "") &amp; IF(D125&lt;&gt;"", "_" &amp; D125, "") &amp; IF(E125&lt;&gt;"", "_" &amp; E125, "")  &amp; IF(H125&lt;&gt;"", "_" &amp; H125, "") &amp; IF(I125&lt;&gt;"", "_" &amp; I125, "") &amp; IF(J125&lt;&gt;"", "_" &amp; J125, "") &amp; IF(K125&lt;&gt;"", "_" &amp; K125, "")</f>
      </c>
      <c r="H125" s="5"/>
      <c r="I125" s="5"/>
    </row>
    <row r="126">
      <c r="A126" s="4"/>
      <c r="C126" s="4"/>
      <c r="F126" s="4">
        <f>IF(G126&lt;&gt;"", G126&amp;"_", "") &amp; IF(B126&lt;&gt;"", B126, "") &amp; IF(D126&lt;&gt;"", "_" &amp; D126, "") &amp; IF(E126&lt;&gt;"", "_" &amp; E126, "")  &amp; IF(H126&lt;&gt;"", "_" &amp; H126, "") &amp; IF(I126&lt;&gt;"", "_" &amp; I126, "") &amp; IF(J126&lt;&gt;"", "_" &amp; J126, "") &amp; IF(K126&lt;&gt;"", "_" &amp; K126, "")</f>
      </c>
      <c r="H126" s="5"/>
      <c r="I126" s="5"/>
    </row>
    <row r="127">
      <c r="A127" s="4"/>
      <c r="C127" s="4"/>
      <c r="F127" s="4">
        <f>IF(G127&lt;&gt;"", G127&amp;"_", "") &amp; IF(B127&lt;&gt;"", B127, "") &amp; IF(D127&lt;&gt;"", "_" &amp; D127, "") &amp; IF(E127&lt;&gt;"", "_" &amp; E127, "")  &amp; IF(H127&lt;&gt;"", "_" &amp; H127, "") &amp; IF(I127&lt;&gt;"", "_" &amp; I127, "") &amp; IF(J127&lt;&gt;"", "_" &amp; J127, "") &amp; IF(K127&lt;&gt;"", "_" &amp; K127, "")</f>
      </c>
      <c r="H127" s="5"/>
      <c r="I127" s="5"/>
    </row>
    <row r="128">
      <c r="A128" s="4"/>
      <c r="C128" s="4"/>
      <c r="F128" s="4">
        <f>IF(G128&lt;&gt;"", G128&amp;"_", "") &amp; IF(B128&lt;&gt;"", B128, "") &amp; IF(D128&lt;&gt;"", "_" &amp; D128, "") &amp; IF(E128&lt;&gt;"", "_" &amp; E128, "")  &amp; IF(H128&lt;&gt;"", "_" &amp; H128, "") &amp; IF(I128&lt;&gt;"", "_" &amp; I128, "") &amp; IF(J128&lt;&gt;"", "_" &amp; J128, "") &amp; IF(K128&lt;&gt;"", "_" &amp; K128, "")</f>
      </c>
      <c r="H128" s="5"/>
      <c r="I128" s="5"/>
    </row>
    <row r="129">
      <c r="A129" s="4"/>
      <c r="C129" s="4"/>
      <c r="F129" s="4">
        <f>IF(G129&lt;&gt;"", G129&amp;"_", "") &amp; IF(B129&lt;&gt;"", B129, "") &amp; IF(D129&lt;&gt;"", "_" &amp; D129, "") &amp; IF(E129&lt;&gt;"", "_" &amp; E129, "")  &amp; IF(H129&lt;&gt;"", "_" &amp; H129, "") &amp; IF(I129&lt;&gt;"", "_" &amp; I129, "") &amp; IF(J129&lt;&gt;"", "_" &amp; J129, "") &amp; IF(K129&lt;&gt;"", "_" &amp; K129, "")</f>
      </c>
      <c r="H129" s="5"/>
      <c r="I129" s="5"/>
    </row>
    <row r="130">
      <c r="A130" s="4"/>
      <c r="C130" s="4"/>
      <c r="F130" s="4">
        <f>IF(G130&lt;&gt;"", G130&amp;"_", "") &amp; IF(B130&lt;&gt;"", B130, "") &amp; IF(D130&lt;&gt;"", "_" &amp; D130, "") &amp; IF(E130&lt;&gt;"", "_" &amp; E130, "")  &amp; IF(H130&lt;&gt;"", "_" &amp; H130, "") &amp; IF(I130&lt;&gt;"", "_" &amp; I130, "") &amp; IF(J130&lt;&gt;"", "_" &amp; J130, "") &amp; IF(K130&lt;&gt;"", "_" &amp; K130, "")</f>
      </c>
      <c r="H130" s="5"/>
      <c r="I130" s="5"/>
    </row>
    <row r="131">
      <c r="A131" s="4"/>
      <c r="C131" s="4"/>
      <c r="F131" s="4">
        <f>IF(G131&lt;&gt;"", G131&amp;"_", "") &amp; IF(B131&lt;&gt;"", B131, "") &amp; IF(D131&lt;&gt;"", "_" &amp; D131, "") &amp; IF(E131&lt;&gt;"", "_" &amp; E131, "")  &amp; IF(H131&lt;&gt;"", "_" &amp; H131, "") &amp; IF(I131&lt;&gt;"", "_" &amp; I131, "") &amp; IF(J131&lt;&gt;"", "_" &amp; J131, "") &amp; IF(K131&lt;&gt;"", "_" &amp; K131, "")</f>
      </c>
      <c r="H131" s="5"/>
      <c r="I131" s="5"/>
    </row>
    <row r="132">
      <c r="A132" s="4"/>
      <c r="C132" s="4"/>
      <c r="F132" s="4">
        <f>IF(G132&lt;&gt;"", G132&amp;"_", "") &amp; IF(B132&lt;&gt;"", B132, "") &amp; IF(D132&lt;&gt;"", "_" &amp; D132, "") &amp; IF(E132&lt;&gt;"", "_" &amp; E132, "")  &amp; IF(H132&lt;&gt;"", "_" &amp; H132, "") &amp; IF(I132&lt;&gt;"", "_" &amp; I132, "") &amp; IF(J132&lt;&gt;"", "_" &amp; J132, "") &amp; IF(K132&lt;&gt;"", "_" &amp; K132, "")</f>
      </c>
      <c r="H132" s="5"/>
      <c r="I132" s="5"/>
    </row>
    <row r="133">
      <c r="A133" s="4"/>
      <c r="C133" s="4"/>
      <c r="F133" s="4">
        <f>IF(G133&lt;&gt;"", G133&amp;"_", "") &amp; IF(B133&lt;&gt;"", B133, "") &amp; IF(D133&lt;&gt;"", "_" &amp; D133, "") &amp; IF(E133&lt;&gt;"", "_" &amp; E133, "")  &amp; IF(H133&lt;&gt;"", "_" &amp; H133, "") &amp; IF(I133&lt;&gt;"", "_" &amp; I133, "") &amp; IF(J133&lt;&gt;"", "_" &amp; J133, "") &amp; IF(K133&lt;&gt;"", "_" &amp; K133, "")</f>
      </c>
      <c r="H133" s="5"/>
      <c r="I133" s="5"/>
    </row>
    <row r="134">
      <c r="A134" s="4"/>
      <c r="C134" s="4"/>
      <c r="F134" s="4">
        <f>IF(G134&lt;&gt;"", G134&amp;"_", "") &amp; IF(B134&lt;&gt;"", B134, "") &amp; IF(D134&lt;&gt;"", "_" &amp; D134, "") &amp; IF(E134&lt;&gt;"", "_" &amp; E134, "")  &amp; IF(H134&lt;&gt;"", "_" &amp; H134, "") &amp; IF(I134&lt;&gt;"", "_" &amp; I134, "") &amp; IF(J134&lt;&gt;"", "_" &amp; J134, "") &amp; IF(K134&lt;&gt;"", "_" &amp; K134, "")</f>
      </c>
      <c r="H134" s="5"/>
      <c r="I134" s="5"/>
    </row>
    <row r="135">
      <c r="A135" s="4"/>
      <c r="C135" s="4"/>
      <c r="F135" s="4">
        <f>IF(G135&lt;&gt;"", G135&amp;"_", "") &amp; IF(B135&lt;&gt;"", B135, "") &amp; IF(D135&lt;&gt;"", "_" &amp; D135, "") &amp; IF(E135&lt;&gt;"", "_" &amp; E135, "")  &amp; IF(H135&lt;&gt;"", "_" &amp; H135, "") &amp; IF(I135&lt;&gt;"", "_" &amp; I135, "") &amp; IF(J135&lt;&gt;"", "_" &amp; J135, "") &amp; IF(K135&lt;&gt;"", "_" &amp; K135, "")</f>
      </c>
      <c r="H135" s="5"/>
      <c r="I135" s="5"/>
    </row>
    <row r="136">
      <c r="A136" s="4"/>
      <c r="C136" s="4"/>
      <c r="F136" s="4">
        <f>IF(G136&lt;&gt;"", G136&amp;"_", "") &amp; IF(B136&lt;&gt;"", B136, "") &amp; IF(D136&lt;&gt;"", "_" &amp; D136, "") &amp; IF(E136&lt;&gt;"", "_" &amp; E136, "")  &amp; IF(H136&lt;&gt;"", "_" &amp; H136, "") &amp; IF(I136&lt;&gt;"", "_" &amp; I136, "") &amp; IF(J136&lt;&gt;"", "_" &amp; J136, "") &amp; IF(K136&lt;&gt;"", "_" &amp; K136, "")</f>
      </c>
      <c r="H136" s="5"/>
      <c r="I136" s="5"/>
    </row>
    <row r="137">
      <c r="A137" s="4"/>
      <c r="C137" s="4"/>
      <c r="F137" s="4">
        <f>IF(G137&lt;&gt;"", G137&amp;"_", "") &amp; IF(B137&lt;&gt;"", B137, "") &amp; IF(D137&lt;&gt;"", "_" &amp; D137, "") &amp; IF(E137&lt;&gt;"", "_" &amp; E137, "")  &amp; IF(H137&lt;&gt;"", "_" &amp; H137, "") &amp; IF(I137&lt;&gt;"", "_" &amp; I137, "") &amp; IF(J137&lt;&gt;"", "_" &amp; J137, "") &amp; IF(K137&lt;&gt;"", "_" &amp; K137, "")</f>
      </c>
      <c r="H137" s="5"/>
      <c r="I137" s="5"/>
    </row>
    <row r="138">
      <c r="A138" s="4"/>
      <c r="C138" s="4"/>
      <c r="F138" s="4">
        <f>IF(G138&lt;&gt;"", G138&amp;"_", "") &amp; IF(B138&lt;&gt;"", B138, "") &amp; IF(D138&lt;&gt;"", "_" &amp; D138, "") &amp; IF(E138&lt;&gt;"", "_" &amp; E138, "")  &amp; IF(H138&lt;&gt;"", "_" &amp; H138, "") &amp; IF(I138&lt;&gt;"", "_" &amp; I138, "") &amp; IF(J138&lt;&gt;"", "_" &amp; J138, "") &amp; IF(K138&lt;&gt;"", "_" &amp; K138, "")</f>
      </c>
      <c r="H138" s="5"/>
      <c r="I138" s="5"/>
    </row>
    <row r="139">
      <c r="A139" s="4"/>
      <c r="C139" s="4"/>
      <c r="F139" s="4">
        <f>IF(G139&lt;&gt;"", G139&amp;"_", "") &amp; IF(B139&lt;&gt;"", B139, "") &amp; IF(D139&lt;&gt;"", "_" &amp; D139, "") &amp; IF(E139&lt;&gt;"", "_" &amp; E139, "")  &amp; IF(H139&lt;&gt;"", "_" &amp; H139, "") &amp; IF(I139&lt;&gt;"", "_" &amp; I139, "") &amp; IF(J139&lt;&gt;"", "_" &amp; J139, "") &amp; IF(K139&lt;&gt;"", "_" &amp; K139, "")</f>
      </c>
      <c r="H139" s="5"/>
      <c r="I139" s="5"/>
    </row>
    <row r="140">
      <c r="A140" s="4"/>
      <c r="C140" s="4"/>
      <c r="F140" s="4">
        <f>IF(G140&lt;&gt;"", G140&amp;"_", "") &amp; IF(B140&lt;&gt;"", B140, "") &amp; IF(D140&lt;&gt;"", "_" &amp; D140, "") &amp; IF(E140&lt;&gt;"", "_" &amp; E140, "")  &amp; IF(H140&lt;&gt;"", "_" &amp; H140, "") &amp; IF(I140&lt;&gt;"", "_" &amp; I140, "") &amp; IF(J140&lt;&gt;"", "_" &amp; J140, "") &amp; IF(K140&lt;&gt;"", "_" &amp; K140, "")</f>
      </c>
      <c r="H140" s="5"/>
      <c r="I140" s="5"/>
    </row>
    <row r="141">
      <c r="A141" s="4"/>
      <c r="C141" s="4"/>
      <c r="F141" s="4">
        <f>IF(G141&lt;&gt;"", G141&amp;"_", "") &amp; IF(B141&lt;&gt;"", B141, "") &amp; IF(D141&lt;&gt;"", "_" &amp; D141, "") &amp; IF(E141&lt;&gt;"", "_" &amp; E141, "")  &amp; IF(H141&lt;&gt;"", "_" &amp; H141, "") &amp; IF(I141&lt;&gt;"", "_" &amp; I141, "") &amp; IF(J141&lt;&gt;"", "_" &amp; J141, "") &amp; IF(K141&lt;&gt;"", "_" &amp; K141, "")</f>
      </c>
      <c r="H141" s="5"/>
      <c r="I141" s="5"/>
    </row>
    <row r="142">
      <c r="A142" s="4"/>
      <c r="C142" s="4"/>
      <c r="F142" s="4">
        <f>IF(G142&lt;&gt;"", G142&amp;"_", "") &amp; IF(B142&lt;&gt;"", B142, "") &amp; IF(D142&lt;&gt;"", "_" &amp; D142, "") &amp; IF(E142&lt;&gt;"", "_" &amp; E142, "")  &amp; IF(H142&lt;&gt;"", "_" &amp; H142, "") &amp; IF(I142&lt;&gt;"", "_" &amp; I142, "") &amp; IF(J142&lt;&gt;"", "_" &amp; J142, "") &amp; IF(K142&lt;&gt;"", "_" &amp; K142, "")</f>
      </c>
      <c r="H142" s="5"/>
      <c r="I142" s="5"/>
    </row>
    <row r="143">
      <c r="A143" s="4"/>
      <c r="C143" s="4"/>
      <c r="F143" s="4">
        <f>IF(G143&lt;&gt;"", G143&amp;"_", "") &amp; IF(B143&lt;&gt;"", B143, "") &amp; IF(D143&lt;&gt;"", "_" &amp; D143, "") &amp; IF(E143&lt;&gt;"", "_" &amp; E143, "")  &amp; IF(H143&lt;&gt;"", "_" &amp; H143, "") &amp; IF(I143&lt;&gt;"", "_" &amp; I143, "") &amp; IF(J143&lt;&gt;"", "_" &amp; J143, "") &amp; IF(K143&lt;&gt;"", "_" &amp; K143, "")</f>
      </c>
      <c r="H143" s="5"/>
      <c r="I143" s="5"/>
    </row>
    <row r="144">
      <c r="A144" s="4"/>
      <c r="C144" s="4"/>
      <c r="F144" s="4">
        <f>IF(G144&lt;&gt;"", G144&amp;"_", "") &amp; IF(B144&lt;&gt;"", B144, "") &amp; IF(D144&lt;&gt;"", "_" &amp; D144, "") &amp; IF(E144&lt;&gt;"", "_" &amp; E144, "")  &amp; IF(H144&lt;&gt;"", "_" &amp; H144, "") &amp; IF(I144&lt;&gt;"", "_" &amp; I144, "") &amp; IF(J144&lt;&gt;"", "_" &amp; J144, "") &amp; IF(K144&lt;&gt;"", "_" &amp; K144, "")</f>
      </c>
      <c r="H144" s="5"/>
      <c r="I144" s="5"/>
    </row>
    <row r="145">
      <c r="A145" s="4"/>
      <c r="C145" s="4"/>
      <c r="F145" s="4">
        <f>IF(G145&lt;&gt;"", G145&amp;"_", "") &amp; IF(B145&lt;&gt;"", B145, "") &amp; IF(D145&lt;&gt;"", "_" &amp; D145, "") &amp; IF(E145&lt;&gt;"", "_" &amp; E145, "")  &amp; IF(H145&lt;&gt;"", "_" &amp; H145, "") &amp; IF(I145&lt;&gt;"", "_" &amp; I145, "") &amp; IF(J145&lt;&gt;"", "_" &amp; J145, "") &amp; IF(K145&lt;&gt;"", "_" &amp; K145, "")</f>
      </c>
      <c r="H145" s="5"/>
      <c r="I145" s="5"/>
    </row>
    <row r="146">
      <c r="A146" s="4"/>
      <c r="C146" s="4"/>
      <c r="F146" s="4">
        <f>IF(G146&lt;&gt;"", G146&amp;"_", "") &amp; IF(B146&lt;&gt;"", B146, "") &amp; IF(D146&lt;&gt;"", "_" &amp; D146, "") &amp; IF(E146&lt;&gt;"", "_" &amp; E146, "")  &amp; IF(H146&lt;&gt;"", "_" &amp; H146, "") &amp; IF(I146&lt;&gt;"", "_" &amp; I146, "") &amp; IF(J146&lt;&gt;"", "_" &amp; J146, "") &amp; IF(K146&lt;&gt;"", "_" &amp; K146, "")</f>
      </c>
      <c r="H146" s="5"/>
      <c r="I146" s="5"/>
    </row>
    <row r="147">
      <c r="A147" s="4"/>
      <c r="C147" s="4"/>
      <c r="F147" s="4">
        <f>IF(G147&lt;&gt;"", G147&amp;"_", "") &amp; IF(B147&lt;&gt;"", B147, "") &amp; IF(D147&lt;&gt;"", "_" &amp; D147, "") &amp; IF(E147&lt;&gt;"", "_" &amp; E147, "")  &amp; IF(H147&lt;&gt;"", "_" &amp; H147, "") &amp; IF(I147&lt;&gt;"", "_" &amp; I147, "") &amp; IF(J147&lt;&gt;"", "_" &amp; J147, "") &amp; IF(K147&lt;&gt;"", "_" &amp; K147, "")</f>
      </c>
      <c r="H147" s="5"/>
      <c r="I147" s="5"/>
    </row>
    <row r="148">
      <c r="A148" s="4"/>
      <c r="C148" s="4"/>
      <c r="F148" s="4">
        <f>IF(G148&lt;&gt;"", G148&amp;"_", "") &amp; IF(B148&lt;&gt;"", B148, "") &amp; IF(D148&lt;&gt;"", "_" &amp; D148, "") &amp; IF(E148&lt;&gt;"", "_" &amp; E148, "")  &amp; IF(H148&lt;&gt;"", "_" &amp; H148, "") &amp; IF(I148&lt;&gt;"", "_" &amp; I148, "") &amp; IF(J148&lt;&gt;"", "_" &amp; J148, "") &amp; IF(K148&lt;&gt;"", "_" &amp; K148, "")</f>
      </c>
      <c r="H148" s="5"/>
      <c r="I148" s="5"/>
    </row>
    <row r="149">
      <c r="A149" s="4"/>
      <c r="C149" s="4"/>
      <c r="F149" s="4">
        <f>IF(G149&lt;&gt;"", G149&amp;"_", "") &amp; IF(B149&lt;&gt;"", B149, "") &amp; IF(D149&lt;&gt;"", "_" &amp; D149, "") &amp; IF(E149&lt;&gt;"", "_" &amp; E149, "")  &amp; IF(H149&lt;&gt;"", "_" &amp; H149, "") &amp; IF(I149&lt;&gt;"", "_" &amp; I149, "") &amp; IF(J149&lt;&gt;"", "_" &amp; J149, "") &amp; IF(K149&lt;&gt;"", "_" &amp; K149, "")</f>
      </c>
      <c r="H149" s="5"/>
      <c r="I149" s="5"/>
    </row>
    <row r="150">
      <c r="A150" s="4"/>
      <c r="C150" s="4"/>
      <c r="F150" s="4">
        <f>IF(G150&lt;&gt;"", G150&amp;"_", "") &amp; IF(B150&lt;&gt;"", B150, "") &amp; IF(D150&lt;&gt;"", "_" &amp; D150, "") &amp; IF(E150&lt;&gt;"", "_" &amp; E150, "")  &amp; IF(H150&lt;&gt;"", "_" &amp; H150, "") &amp; IF(I150&lt;&gt;"", "_" &amp; I150, "") &amp; IF(J150&lt;&gt;"", "_" &amp; J150, "") &amp; IF(K150&lt;&gt;"", "_" &amp; K150, "")</f>
      </c>
      <c r="H150" s="5"/>
      <c r="I150" s="5"/>
    </row>
    <row r="151">
      <c r="A151" s="4"/>
      <c r="C151" s="4"/>
      <c r="F151" s="4">
        <f>IF(G151&lt;&gt;"", G151&amp;"_", "") &amp; IF(B151&lt;&gt;"", B151, "") &amp; IF(D151&lt;&gt;"", "_" &amp; D151, "") &amp; IF(E151&lt;&gt;"", "_" &amp; E151, "")  &amp; IF(H151&lt;&gt;"", "_" &amp; H151, "") &amp; IF(I151&lt;&gt;"", "_" &amp; I151, "") &amp; IF(J151&lt;&gt;"", "_" &amp; J151, "") &amp; IF(K151&lt;&gt;"", "_" &amp; K151, "")</f>
      </c>
      <c r="H151" s="5"/>
      <c r="I151" s="5"/>
    </row>
    <row r="152">
      <c r="A152" s="4"/>
      <c r="C152" s="4"/>
      <c r="F152" s="4">
        <f>IF(G152&lt;&gt;"", G152&amp;"_", "") &amp; IF(B152&lt;&gt;"", B152, "") &amp; IF(D152&lt;&gt;"", "_" &amp; D152, "") &amp; IF(E152&lt;&gt;"", "_" &amp; E152, "")  &amp; IF(H152&lt;&gt;"", "_" &amp; H152, "") &amp; IF(I152&lt;&gt;"", "_" &amp; I152, "") &amp; IF(J152&lt;&gt;"", "_" &amp; J152, "") &amp; IF(K152&lt;&gt;"", "_" &amp; K152, "")</f>
      </c>
      <c r="H152" s="5"/>
      <c r="I152" s="5"/>
    </row>
    <row r="153">
      <c r="A153" s="4"/>
      <c r="C153" s="4"/>
      <c r="F153" s="4">
        <f>IF(G153&lt;&gt;"", G153&amp;"_", "") &amp; IF(B153&lt;&gt;"", B153, "") &amp; IF(D153&lt;&gt;"", "_" &amp; D153, "") &amp; IF(E153&lt;&gt;"", "_" &amp; E153, "")  &amp; IF(H153&lt;&gt;"", "_" &amp; H153, "") &amp; IF(I153&lt;&gt;"", "_" &amp; I153, "") &amp; IF(J153&lt;&gt;"", "_" &amp; J153, "") &amp; IF(K153&lt;&gt;"", "_" &amp; K153, "")</f>
      </c>
      <c r="H153" s="5"/>
      <c r="I153" s="5"/>
    </row>
    <row r="154">
      <c r="A154" s="4"/>
      <c r="C154" s="4"/>
      <c r="F154" s="4">
        <f>IF(G154&lt;&gt;"", G154&amp;"_", "") &amp; IF(B154&lt;&gt;"", B154, "") &amp; IF(D154&lt;&gt;"", "_" &amp; D154, "") &amp; IF(E154&lt;&gt;"", "_" &amp; E154, "")  &amp; IF(H154&lt;&gt;"", "_" &amp; H154, "") &amp; IF(I154&lt;&gt;"", "_" &amp; I154, "") &amp; IF(J154&lt;&gt;"", "_" &amp; J154, "") &amp; IF(K154&lt;&gt;"", "_" &amp; K154, "")</f>
      </c>
      <c r="H154" s="5"/>
      <c r="I154" s="5"/>
    </row>
    <row r="155">
      <c r="A155" s="4"/>
      <c r="C155" s="4"/>
      <c r="F155" s="4">
        <f>IF(G155&lt;&gt;"", G155&amp;"_", "") &amp; IF(B155&lt;&gt;"", B155, "") &amp; IF(D155&lt;&gt;"", "_" &amp; D155, "") &amp; IF(E155&lt;&gt;"", "_" &amp; E155, "")  &amp; IF(H155&lt;&gt;"", "_" &amp; H155, "") &amp; IF(I155&lt;&gt;"", "_" &amp; I155, "") &amp; IF(J155&lt;&gt;"", "_" &amp; J155, "") &amp; IF(K155&lt;&gt;"", "_" &amp; K155, "")</f>
      </c>
      <c r="H155" s="5"/>
      <c r="I155" s="5"/>
    </row>
    <row r="156">
      <c r="A156" s="4"/>
      <c r="C156" s="4"/>
      <c r="F156" s="4">
        <f>IF(G156&lt;&gt;"", G156&amp;"_", "") &amp; IF(B156&lt;&gt;"", B156, "") &amp; IF(D156&lt;&gt;"", "_" &amp; D156, "") &amp; IF(E156&lt;&gt;"", "_" &amp; E156, "")  &amp; IF(H156&lt;&gt;"", "_" &amp; H156, "") &amp; IF(I156&lt;&gt;"", "_" &amp; I156, "") &amp; IF(J156&lt;&gt;"", "_" &amp; J156, "") &amp; IF(K156&lt;&gt;"", "_" &amp; K156, "")</f>
      </c>
      <c r="H156" s="5"/>
      <c r="I156" s="5"/>
    </row>
    <row r="157">
      <c r="A157" s="4"/>
      <c r="C157" s="4"/>
      <c r="F157" s="4">
        <f>IF(G157&lt;&gt;"", G157&amp;"_", "") &amp; IF(B157&lt;&gt;"", B157, "") &amp; IF(D157&lt;&gt;"", "_" &amp; D157, "") &amp; IF(E157&lt;&gt;"", "_" &amp; E157, "")  &amp; IF(H157&lt;&gt;"", "_" &amp; H157, "") &amp; IF(I157&lt;&gt;"", "_" &amp; I157, "") &amp; IF(J157&lt;&gt;"", "_" &amp; J157, "") &amp; IF(K157&lt;&gt;"", "_" &amp; K157, "")</f>
      </c>
      <c r="H157" s="5"/>
      <c r="I157" s="5"/>
    </row>
    <row r="158">
      <c r="A158" s="4"/>
      <c r="C158" s="4"/>
      <c r="F158" s="4">
        <f>IF(G158&lt;&gt;"", G158&amp;"_", "") &amp; IF(B158&lt;&gt;"", B158, "") &amp; IF(D158&lt;&gt;"", "_" &amp; D158, "") &amp; IF(E158&lt;&gt;"", "_" &amp; E158, "")  &amp; IF(H158&lt;&gt;"", "_" &amp; H158, "") &amp; IF(I158&lt;&gt;"", "_" &amp; I158, "") &amp; IF(J158&lt;&gt;"", "_" &amp; J158, "") &amp; IF(K158&lt;&gt;"", "_" &amp; K158, "")</f>
      </c>
      <c r="H158" s="5"/>
      <c r="I158" s="5"/>
    </row>
    <row r="159">
      <c r="A159" s="4"/>
      <c r="C159" s="4"/>
      <c r="F159" s="4">
        <f>IF(G159&lt;&gt;"", G159&amp;"_", "") &amp; IF(B159&lt;&gt;"", B159, "") &amp; IF(D159&lt;&gt;"", "_" &amp; D159, "") &amp; IF(E159&lt;&gt;"", "_" &amp; E159, "")  &amp; IF(H159&lt;&gt;"", "_" &amp; H159, "") &amp; IF(I159&lt;&gt;"", "_" &amp; I159, "") &amp; IF(J159&lt;&gt;"", "_" &amp; J159, "") &amp; IF(K159&lt;&gt;"", "_" &amp; K159, "")</f>
      </c>
      <c r="H159" s="5"/>
      <c r="I159" s="5"/>
    </row>
    <row r="160">
      <c r="A160" s="4"/>
      <c r="C160" s="4"/>
      <c r="F160" s="4">
        <f>IF(G160&lt;&gt;"", G160&amp;"_", "") &amp; IF(B160&lt;&gt;"", B160, "") &amp; IF(D160&lt;&gt;"", "_" &amp; D160, "") &amp; IF(E160&lt;&gt;"", "_" &amp; E160, "")  &amp; IF(H160&lt;&gt;"", "_" &amp; H160, "") &amp; IF(I160&lt;&gt;"", "_" &amp; I160, "") &amp; IF(J160&lt;&gt;"", "_" &amp; J160, "") &amp; IF(K160&lt;&gt;"", "_" &amp; K160, "")</f>
      </c>
      <c r="H160" s="5"/>
      <c r="I160" s="5"/>
    </row>
    <row r="161">
      <c r="A161" s="4"/>
      <c r="C161" s="4"/>
      <c r="F161" s="4">
        <f>IF(G161&lt;&gt;"", G161&amp;"_", "") &amp; IF(B161&lt;&gt;"", B161, "") &amp; IF(D161&lt;&gt;"", "_" &amp; D161, "") &amp; IF(E161&lt;&gt;"", "_" &amp; E161, "")  &amp; IF(H161&lt;&gt;"", "_" &amp; H161, "") &amp; IF(I161&lt;&gt;"", "_" &amp; I161, "") &amp; IF(J161&lt;&gt;"", "_" &amp; J161, "") &amp; IF(K161&lt;&gt;"", "_" &amp; K161, "")</f>
      </c>
      <c r="H161" s="5"/>
      <c r="I161" s="5"/>
    </row>
    <row r="162">
      <c r="A162" s="4"/>
      <c r="C162" s="4"/>
      <c r="F162" s="4">
        <f>IF(G162&lt;&gt;"", G162&amp;"_", "") &amp; IF(B162&lt;&gt;"", B162, "") &amp; IF(D162&lt;&gt;"", "_" &amp; D162, "") &amp; IF(E162&lt;&gt;"", "_" &amp; E162, "")  &amp; IF(H162&lt;&gt;"", "_" &amp; H162, "") &amp; IF(I162&lt;&gt;"", "_" &amp; I162, "") &amp; IF(J162&lt;&gt;"", "_" &amp; J162, "") &amp; IF(K162&lt;&gt;"", "_" &amp; K162, "")</f>
      </c>
      <c r="H162" s="5"/>
      <c r="I162" s="5"/>
    </row>
    <row r="163">
      <c r="A163" s="4"/>
      <c r="C163" s="4"/>
      <c r="F163" s="4">
        <f>IF(G163&lt;&gt;"", G163&amp;"_", "") &amp; IF(B163&lt;&gt;"", B163, "") &amp; IF(D163&lt;&gt;"", "_" &amp; D163, "") &amp; IF(E163&lt;&gt;"", "_" &amp; E163, "")  &amp; IF(H163&lt;&gt;"", "_" &amp; H163, "") &amp; IF(I163&lt;&gt;"", "_" &amp; I163, "") &amp; IF(J163&lt;&gt;"", "_" &amp; J163, "") &amp; IF(K163&lt;&gt;"", "_" &amp; K163, "")</f>
      </c>
      <c r="H163" s="5"/>
      <c r="I163" s="5"/>
    </row>
    <row r="164">
      <c r="A164" s="4"/>
      <c r="C164" s="4"/>
      <c r="F164" s="4">
        <f>IF(G164&lt;&gt;"", G164&amp;"_", "") &amp; IF(B164&lt;&gt;"", B164, "") &amp; IF(D164&lt;&gt;"", "_" &amp; D164, "") &amp; IF(E164&lt;&gt;"", "_" &amp; E164, "")  &amp; IF(H164&lt;&gt;"", "_" &amp; H164, "") &amp; IF(I164&lt;&gt;"", "_" &amp; I164, "") &amp; IF(J164&lt;&gt;"", "_" &amp; J164, "") &amp; IF(K164&lt;&gt;"", "_" &amp; K164, "")</f>
      </c>
      <c r="H164" s="5"/>
      <c r="I164" s="5"/>
    </row>
    <row r="165">
      <c r="A165" s="4"/>
      <c r="C165" s="4"/>
      <c r="F165" s="4">
        <f>IF(G165&lt;&gt;"", G165&amp;"_", "") &amp; IF(B165&lt;&gt;"", B165, "") &amp; IF(D165&lt;&gt;"", "_" &amp; D165, "") &amp; IF(E165&lt;&gt;"", "_" &amp; E165, "")  &amp; IF(H165&lt;&gt;"", "_" &amp; H165, "") &amp; IF(I165&lt;&gt;"", "_" &amp; I165, "") &amp; IF(J165&lt;&gt;"", "_" &amp; J165, "") &amp; IF(K165&lt;&gt;"", "_" &amp; K165, "")</f>
      </c>
      <c r="H165" s="5"/>
      <c r="I165" s="5"/>
    </row>
    <row r="166">
      <c r="A166" s="4"/>
      <c r="C166" s="4"/>
      <c r="F166" s="4">
        <f>IF(G166&lt;&gt;"", G166&amp;"_", "") &amp; IF(B166&lt;&gt;"", B166, "") &amp; IF(D166&lt;&gt;"", "_" &amp; D166, "") &amp; IF(E166&lt;&gt;"", "_" &amp; E166, "")  &amp; IF(H166&lt;&gt;"", "_" &amp; H166, "") &amp; IF(I166&lt;&gt;"", "_" &amp; I166, "") &amp; IF(J166&lt;&gt;"", "_" &amp; J166, "") &amp; IF(K166&lt;&gt;"", "_" &amp; K166, "")</f>
      </c>
      <c r="H166" s="5"/>
      <c r="I166" s="5"/>
    </row>
    <row r="167">
      <c r="A167" s="4"/>
      <c r="C167" s="4"/>
      <c r="F167" s="4">
        <f>IF(G167&lt;&gt;"", G167&amp;"_", "") &amp; IF(B167&lt;&gt;"", B167, "") &amp; IF(D167&lt;&gt;"", "_" &amp; D167, "") &amp; IF(E167&lt;&gt;"", "_" &amp; E167, "")  &amp; IF(H167&lt;&gt;"", "_" &amp; H167, "") &amp; IF(I167&lt;&gt;"", "_" &amp; I167, "") &amp; IF(J167&lt;&gt;"", "_" &amp; J167, "") &amp; IF(K167&lt;&gt;"", "_" &amp; K167, "")</f>
      </c>
      <c r="H167" s="5"/>
      <c r="I167" s="5"/>
    </row>
    <row r="168">
      <c r="A168" s="4"/>
      <c r="C168" s="4"/>
      <c r="F168" s="4">
        <f>IF(G168&lt;&gt;"", G168&amp;"_", "") &amp; IF(B168&lt;&gt;"", B168, "") &amp; IF(D168&lt;&gt;"", "_" &amp; D168, "") &amp; IF(E168&lt;&gt;"", "_" &amp; E168, "")  &amp; IF(H168&lt;&gt;"", "_" &amp; H168, "") &amp; IF(I168&lt;&gt;"", "_" &amp; I168, "") &amp; IF(J168&lt;&gt;"", "_" &amp; J168, "") &amp; IF(K168&lt;&gt;"", "_" &amp; K168, "")</f>
      </c>
      <c r="H168" s="5"/>
      <c r="I168" s="5"/>
    </row>
    <row r="169">
      <c r="A169" s="4"/>
      <c r="C169" s="4"/>
      <c r="F169" s="4">
        <f>IF(G169&lt;&gt;"", G169&amp;"_", "") &amp; IF(B169&lt;&gt;"", B169, "") &amp; IF(D169&lt;&gt;"", "_" &amp; D169, "") &amp; IF(E169&lt;&gt;"", "_" &amp; E169, "")  &amp; IF(H169&lt;&gt;"", "_" &amp; H169, "") &amp; IF(I169&lt;&gt;"", "_" &amp; I169, "") &amp; IF(J169&lt;&gt;"", "_" &amp; J169, "") &amp; IF(K169&lt;&gt;"", "_" &amp; K169, "")</f>
      </c>
      <c r="H169" s="5"/>
      <c r="I169" s="5"/>
    </row>
    <row r="170">
      <c r="A170" s="4"/>
      <c r="C170" s="4"/>
      <c r="F170" s="4">
        <f>IF(G170&lt;&gt;"", G170&amp;"_", "") &amp; IF(B170&lt;&gt;"", B170, "") &amp; IF(D170&lt;&gt;"", "_" &amp; D170, "") &amp; IF(E170&lt;&gt;"", "_" &amp; E170, "")  &amp; IF(H170&lt;&gt;"", "_" &amp; H170, "") &amp; IF(I170&lt;&gt;"", "_" &amp; I170, "") &amp; IF(J170&lt;&gt;"", "_" &amp; J170, "") &amp; IF(K170&lt;&gt;"", "_" &amp; K170, "")</f>
      </c>
      <c r="H170" s="5"/>
      <c r="I170" s="5"/>
    </row>
    <row r="171">
      <c r="A171" s="4"/>
      <c r="C171" s="4"/>
      <c r="F171" s="4">
        <f>IF(G171&lt;&gt;"", G171&amp;"_", "") &amp; IF(B171&lt;&gt;"", B171, "") &amp; IF(D171&lt;&gt;"", "_" &amp; D171, "") &amp; IF(E171&lt;&gt;"", "_" &amp; E171, "")  &amp; IF(H171&lt;&gt;"", "_" &amp; H171, "") &amp; IF(I171&lt;&gt;"", "_" &amp; I171, "") &amp; IF(J171&lt;&gt;"", "_" &amp; J171, "") &amp; IF(K171&lt;&gt;"", "_" &amp; K171, "")</f>
      </c>
      <c r="H171" s="5"/>
      <c r="I171" s="5"/>
    </row>
    <row r="172">
      <c r="A172" s="4"/>
      <c r="C172" s="4"/>
      <c r="F172" s="4">
        <f>IF(G172&lt;&gt;"", G172&amp;"_", "") &amp; IF(B172&lt;&gt;"", B172, "") &amp; IF(D172&lt;&gt;"", "_" &amp; D172, "") &amp; IF(E172&lt;&gt;"", "_" &amp; E172, "")  &amp; IF(H172&lt;&gt;"", "_" &amp; H172, "") &amp; IF(I172&lt;&gt;"", "_" &amp; I172, "") &amp; IF(J172&lt;&gt;"", "_" &amp; J172, "") &amp; IF(K172&lt;&gt;"", "_" &amp; K172, "")</f>
      </c>
      <c r="H172" s="5"/>
      <c r="I172" s="5"/>
    </row>
    <row r="173">
      <c r="A173" s="4"/>
      <c r="C173" s="4"/>
      <c r="F173" s="4">
        <f>IF(G173&lt;&gt;"", G173&amp;"_", "") &amp; IF(B173&lt;&gt;"", B173, "") &amp; IF(D173&lt;&gt;"", "_" &amp; D173, "") &amp; IF(E173&lt;&gt;"", "_" &amp; E173, "")  &amp; IF(H173&lt;&gt;"", "_" &amp; H173, "") &amp; IF(I173&lt;&gt;"", "_" &amp; I173, "") &amp; IF(J173&lt;&gt;"", "_" &amp; J173, "") &amp; IF(K173&lt;&gt;"", "_" &amp; K173, "")</f>
      </c>
      <c r="H173" s="5"/>
      <c r="I173" s="5"/>
    </row>
    <row r="174">
      <c r="A174" s="4"/>
      <c r="C174" s="4"/>
      <c r="F174" s="4">
        <f>IF(G174&lt;&gt;"", G174&amp;"_", "") &amp; IF(B174&lt;&gt;"", B174, "") &amp; IF(D174&lt;&gt;"", "_" &amp; D174, "") &amp; IF(E174&lt;&gt;"", "_" &amp; E174, "")  &amp; IF(H174&lt;&gt;"", "_" &amp; H174, "") &amp; IF(I174&lt;&gt;"", "_" &amp; I174, "") &amp; IF(J174&lt;&gt;"", "_" &amp; J174, "") &amp; IF(K174&lt;&gt;"", "_" &amp; K174, "")</f>
      </c>
      <c r="H174" s="5"/>
      <c r="I174" s="5"/>
    </row>
    <row r="175">
      <c r="A175" s="4"/>
      <c r="C175" s="4"/>
      <c r="F175" s="4">
        <f>IF(G175&lt;&gt;"", G175&amp;"_", "") &amp; IF(B175&lt;&gt;"", B175, "") &amp; IF(D175&lt;&gt;"", "_" &amp; D175, "") &amp; IF(E175&lt;&gt;"", "_" &amp; E175, "")  &amp; IF(H175&lt;&gt;"", "_" &amp; H175, "") &amp; IF(I175&lt;&gt;"", "_" &amp; I175, "") &amp; IF(J175&lt;&gt;"", "_" &amp; J175, "") &amp; IF(K175&lt;&gt;"", "_" &amp; K175, "")</f>
      </c>
      <c r="H175" s="5"/>
      <c r="I175" s="5"/>
    </row>
    <row r="176">
      <c r="A176" s="4"/>
      <c r="C176" s="4"/>
      <c r="F176" s="4">
        <f>IF(G176&lt;&gt;"", G176&amp;"_", "") &amp; IF(B176&lt;&gt;"", B176, "") &amp; IF(D176&lt;&gt;"", "_" &amp; D176, "") &amp; IF(E176&lt;&gt;"", "_" &amp; E176, "")  &amp; IF(H176&lt;&gt;"", "_" &amp; H176, "") &amp; IF(I176&lt;&gt;"", "_" &amp; I176, "") &amp; IF(J176&lt;&gt;"", "_" &amp; J176, "") &amp; IF(K176&lt;&gt;"", "_" &amp; K176, "")</f>
      </c>
      <c r="H176" s="5"/>
      <c r="I176" s="5"/>
    </row>
    <row r="177">
      <c r="A177" s="4"/>
      <c r="C177" s="4"/>
      <c r="F177" s="4">
        <f>IF(G177&lt;&gt;"", G177&amp;"_", "") &amp; IF(B177&lt;&gt;"", B177, "") &amp; IF(D177&lt;&gt;"", "_" &amp; D177, "") &amp; IF(E177&lt;&gt;"", "_" &amp; E177, "")  &amp; IF(H177&lt;&gt;"", "_" &amp; H177, "") &amp; IF(I177&lt;&gt;"", "_" &amp; I177, "") &amp; IF(J177&lt;&gt;"", "_" &amp; J177, "") &amp; IF(K177&lt;&gt;"", "_" &amp; K177, "")</f>
      </c>
      <c r="H177" s="5"/>
      <c r="I177" s="5"/>
    </row>
    <row r="178">
      <c r="A178" s="4"/>
      <c r="C178" s="4"/>
      <c r="F178" s="4">
        <f>IF(G178&lt;&gt;"", G178&amp;"_", "") &amp; IF(B178&lt;&gt;"", B178, "") &amp; IF(D178&lt;&gt;"", "_" &amp; D178, "") &amp; IF(E178&lt;&gt;"", "_" &amp; E178, "")  &amp; IF(H178&lt;&gt;"", "_" &amp; H178, "") &amp; IF(I178&lt;&gt;"", "_" &amp; I178, "") &amp; IF(J178&lt;&gt;"", "_" &amp; J178, "") &amp; IF(K178&lt;&gt;"", "_" &amp; K178, "")</f>
      </c>
      <c r="H178" s="5"/>
      <c r="I178" s="5"/>
    </row>
    <row r="179">
      <c r="A179" s="4"/>
      <c r="C179" s="4"/>
      <c r="F179" s="4">
        <f>IF(G179&lt;&gt;"", G179&amp;"_", "") &amp; IF(B179&lt;&gt;"", B179, "") &amp; IF(D179&lt;&gt;"", "_" &amp; D179, "") &amp; IF(E179&lt;&gt;"", "_" &amp; E179, "")  &amp; IF(H179&lt;&gt;"", "_" &amp; H179, "") &amp; IF(I179&lt;&gt;"", "_" &amp; I179, "") &amp; IF(J179&lt;&gt;"", "_" &amp; J179, "") &amp; IF(K179&lt;&gt;"", "_" &amp; K179, "")</f>
      </c>
      <c r="H179" s="5"/>
      <c r="I179" s="5"/>
    </row>
    <row r="180">
      <c r="A180" s="4"/>
      <c r="C180" s="4"/>
      <c r="F180" s="4">
        <f>IF(G180&lt;&gt;"", G180&amp;"_", "") &amp; IF(B180&lt;&gt;"", B180, "") &amp; IF(D180&lt;&gt;"", "_" &amp; D180, "") &amp; IF(E180&lt;&gt;"", "_" &amp; E180, "")  &amp; IF(H180&lt;&gt;"", "_" &amp; H180, "") &amp; IF(I180&lt;&gt;"", "_" &amp; I180, "") &amp; IF(J180&lt;&gt;"", "_" &amp; J180, "") &amp; IF(K180&lt;&gt;"", "_" &amp; K180, "")</f>
      </c>
      <c r="H180" s="5"/>
      <c r="I180" s="5"/>
    </row>
    <row r="181">
      <c r="A181" s="4"/>
      <c r="C181" s="4"/>
      <c r="F181" s="4">
        <f>IF(G181&lt;&gt;"", G181&amp;"_", "") &amp; IF(B181&lt;&gt;"", B181, "") &amp; IF(D181&lt;&gt;"", "_" &amp; D181, "") &amp; IF(E181&lt;&gt;"", "_" &amp; E181, "")  &amp; IF(H181&lt;&gt;"", "_" &amp; H181, "") &amp; IF(I181&lt;&gt;"", "_" &amp; I181, "") &amp; IF(J181&lt;&gt;"", "_" &amp; J181, "") &amp; IF(K181&lt;&gt;"", "_" &amp; K181, "")</f>
      </c>
      <c r="H181" s="5"/>
      <c r="I181" s="5"/>
    </row>
    <row r="182">
      <c r="A182" s="4"/>
      <c r="C182" s="4"/>
      <c r="F182" s="4">
        <f>IF(G182&lt;&gt;"", G182&amp;"_", "") &amp; IF(B182&lt;&gt;"", B182, "") &amp; IF(D182&lt;&gt;"", "_" &amp; D182, "") &amp; IF(E182&lt;&gt;"", "_" &amp; E182, "")  &amp; IF(H182&lt;&gt;"", "_" &amp; H182, "") &amp; IF(I182&lt;&gt;"", "_" &amp; I182, "") &amp; IF(J182&lt;&gt;"", "_" &amp; J182, "") &amp; IF(K182&lt;&gt;"", "_" &amp; K182, "")</f>
      </c>
      <c r="H182" s="5"/>
      <c r="I182" s="5"/>
    </row>
    <row r="183">
      <c r="A183" s="4"/>
      <c r="C183" s="4"/>
      <c r="F183" s="4">
        <f>IF(G183&lt;&gt;"", G183&amp;"_", "") &amp; IF(B183&lt;&gt;"", B183, "") &amp; IF(D183&lt;&gt;"", "_" &amp; D183, "") &amp; IF(E183&lt;&gt;"", "_" &amp; E183, "")  &amp; IF(H183&lt;&gt;"", "_" &amp; H183, "") &amp; IF(I183&lt;&gt;"", "_" &amp; I183, "") &amp; IF(J183&lt;&gt;"", "_" &amp; J183, "") &amp; IF(K183&lt;&gt;"", "_" &amp; K183, "")</f>
      </c>
      <c r="H183" s="5"/>
      <c r="I183" s="5"/>
    </row>
    <row r="184">
      <c r="A184" s="4"/>
      <c r="C184" s="4"/>
      <c r="F184" s="4">
        <f>IF(G184&lt;&gt;"", G184&amp;"_", "") &amp; IF(B184&lt;&gt;"", B184, "") &amp; IF(D184&lt;&gt;"", "_" &amp; D184, "") &amp; IF(E184&lt;&gt;"", "_" &amp; E184, "")  &amp; IF(H184&lt;&gt;"", "_" &amp; H184, "") &amp; IF(I184&lt;&gt;"", "_" &amp; I184, "") &amp; IF(J184&lt;&gt;"", "_" &amp; J184, "") &amp; IF(K184&lt;&gt;"", "_" &amp; K184, "")</f>
      </c>
      <c r="H184" s="5"/>
      <c r="I184" s="5"/>
    </row>
    <row r="185">
      <c r="A185" s="4"/>
      <c r="C185" s="4"/>
      <c r="F185" s="4">
        <f>IF(G185&lt;&gt;"", G185&amp;"_", "") &amp; IF(B185&lt;&gt;"", B185, "") &amp; IF(D185&lt;&gt;"", "_" &amp; D185, "") &amp; IF(E185&lt;&gt;"", "_" &amp; E185, "")  &amp; IF(H185&lt;&gt;"", "_" &amp; H185, "") &amp; IF(I185&lt;&gt;"", "_" &amp; I185, "") &amp; IF(J185&lt;&gt;"", "_" &amp; J185, "") &amp; IF(K185&lt;&gt;"", "_" &amp; K185, "")</f>
      </c>
      <c r="H185" s="5"/>
      <c r="I185" s="5"/>
    </row>
    <row r="186">
      <c r="A186" s="4"/>
      <c r="C186" s="4"/>
      <c r="F186" s="4">
        <f>IF(G186&lt;&gt;"", G186&amp;"_", "") &amp; IF(B186&lt;&gt;"", B186, "") &amp; IF(D186&lt;&gt;"", "_" &amp; D186, "") &amp; IF(E186&lt;&gt;"", "_" &amp; E186, "")  &amp; IF(H186&lt;&gt;"", "_" &amp; H186, "") &amp; IF(I186&lt;&gt;"", "_" &amp; I186, "") &amp; IF(J186&lt;&gt;"", "_" &amp; J186, "") &amp; IF(K186&lt;&gt;"", "_" &amp; K186, "")</f>
      </c>
      <c r="H186" s="5"/>
      <c r="I186" s="5"/>
    </row>
    <row r="187">
      <c r="A187" s="4"/>
      <c r="C187" s="4"/>
      <c r="F187" s="4">
        <f>IF(G187&lt;&gt;"", G187&amp;"_", "") &amp; IF(B187&lt;&gt;"", B187, "") &amp; IF(D187&lt;&gt;"", "_" &amp; D187, "") &amp; IF(E187&lt;&gt;"", "_" &amp; E187, "")  &amp; IF(H187&lt;&gt;"", "_" &amp; H187, "") &amp; IF(I187&lt;&gt;"", "_" &amp; I187, "") &amp; IF(J187&lt;&gt;"", "_" &amp; J187, "") &amp; IF(K187&lt;&gt;"", "_" &amp; K187, "")</f>
      </c>
      <c r="H187" s="5"/>
      <c r="I187" s="5"/>
    </row>
    <row r="188">
      <c r="A188" s="4"/>
      <c r="C188" s="4"/>
      <c r="F188" s="4">
        <f>IF(G188&lt;&gt;"", G188&amp;"_", "") &amp; IF(B188&lt;&gt;"", B188, "") &amp; IF(D188&lt;&gt;"", "_" &amp; D188, "") &amp; IF(E188&lt;&gt;"", "_" &amp; E188, "")  &amp; IF(H188&lt;&gt;"", "_" &amp; H188, "") &amp; IF(I188&lt;&gt;"", "_" &amp; I188, "") &amp; IF(J188&lt;&gt;"", "_" &amp; J188, "") &amp; IF(K188&lt;&gt;"", "_" &amp; K188, "")</f>
      </c>
      <c r="H188" s="5"/>
      <c r="I188" s="5"/>
    </row>
    <row r="189">
      <c r="A189" s="4"/>
      <c r="C189" s="4"/>
      <c r="F189" s="4">
        <f>IF(G189&lt;&gt;"", G189&amp;"_", "") &amp; IF(B189&lt;&gt;"", B189, "") &amp; IF(D189&lt;&gt;"", "_" &amp; D189, "") &amp; IF(E189&lt;&gt;"", "_" &amp; E189, "")  &amp; IF(H189&lt;&gt;"", "_" &amp; H189, "") &amp; IF(I189&lt;&gt;"", "_" &amp; I189, "") &amp; IF(J189&lt;&gt;"", "_" &amp; J189, "") &amp; IF(K189&lt;&gt;"", "_" &amp; K189, "")</f>
      </c>
      <c r="H189" s="5"/>
      <c r="I189" s="5"/>
    </row>
    <row r="190">
      <c r="A190" s="4"/>
      <c r="C190" s="4"/>
      <c r="F190" s="4">
        <f>IF(G190&lt;&gt;"", G190&amp;"_", "") &amp; IF(B190&lt;&gt;"", B190, "") &amp; IF(D190&lt;&gt;"", "_" &amp; D190, "") &amp; IF(E190&lt;&gt;"", "_" &amp; E190, "")  &amp; IF(H190&lt;&gt;"", "_" &amp; H190, "") &amp; IF(I190&lt;&gt;"", "_" &amp; I190, "") &amp; IF(J190&lt;&gt;"", "_" &amp; J190, "") &amp; IF(K190&lt;&gt;"", "_" &amp; K190, "")</f>
      </c>
      <c r="H190" s="5"/>
      <c r="I190" s="5"/>
    </row>
    <row r="191">
      <c r="A191" s="4"/>
      <c r="C191" s="4"/>
      <c r="F191" s="4">
        <f>IF(G191&lt;&gt;"", G191&amp;"_", "") &amp; IF(B191&lt;&gt;"", B191, "") &amp; IF(D191&lt;&gt;"", "_" &amp; D191, "") &amp; IF(E191&lt;&gt;"", "_" &amp; E191, "")  &amp; IF(H191&lt;&gt;"", "_" &amp; H191, "") &amp; IF(I191&lt;&gt;"", "_" &amp; I191, "") &amp; IF(J191&lt;&gt;"", "_" &amp; J191, "") &amp; IF(K191&lt;&gt;"", "_" &amp; K191, "")</f>
      </c>
      <c r="H191" s="5"/>
      <c r="I191" s="5"/>
    </row>
    <row r="192">
      <c r="A192" s="4"/>
      <c r="C192" s="4"/>
      <c r="F192" s="4">
        <f>IF(G192&lt;&gt;"", G192&amp;"_", "") &amp; IF(B192&lt;&gt;"", B192, "") &amp; IF(D192&lt;&gt;"", "_" &amp; D192, "") &amp; IF(E192&lt;&gt;"", "_" &amp; E192, "")  &amp; IF(H192&lt;&gt;"", "_" &amp; H192, "") &amp; IF(I192&lt;&gt;"", "_" &amp; I192, "") &amp; IF(J192&lt;&gt;"", "_" &amp; J192, "") &amp; IF(K192&lt;&gt;"", "_" &amp; K192, "")</f>
      </c>
      <c r="H192" s="5"/>
      <c r="I192" s="5"/>
    </row>
    <row r="193">
      <c r="A193" s="4"/>
      <c r="C193" s="4"/>
      <c r="F193" s="4">
        <f>IF(G193&lt;&gt;"", G193&amp;"_", "") &amp; IF(B193&lt;&gt;"", B193, "") &amp; IF(D193&lt;&gt;"", "_" &amp; D193, "") &amp; IF(E193&lt;&gt;"", "_" &amp; E193, "")  &amp; IF(H193&lt;&gt;"", "_" &amp; H193, "") &amp; IF(I193&lt;&gt;"", "_" &amp; I193, "") &amp; IF(J193&lt;&gt;"", "_" &amp; J193, "") &amp; IF(K193&lt;&gt;"", "_" &amp; K193, "")</f>
      </c>
      <c r="H193" s="5"/>
      <c r="I193" s="5"/>
    </row>
    <row r="194">
      <c r="A194" s="4"/>
      <c r="C194" s="4"/>
      <c r="F194" s="4">
        <f>IF(G194&lt;&gt;"", G194&amp;"_", "") &amp; IF(B194&lt;&gt;"", B194, "") &amp; IF(D194&lt;&gt;"", "_" &amp; D194, "") &amp; IF(E194&lt;&gt;"", "_" &amp; E194, "")  &amp; IF(H194&lt;&gt;"", "_" &amp; H194, "") &amp; IF(I194&lt;&gt;"", "_" &amp; I194, "") &amp; IF(J194&lt;&gt;"", "_" &amp; J194, "") &amp; IF(K194&lt;&gt;"", "_" &amp; K194, "")</f>
      </c>
      <c r="H194" s="5"/>
      <c r="I194" s="5"/>
    </row>
    <row r="195">
      <c r="A195" s="4"/>
      <c r="C195" s="4"/>
      <c r="F195" s="4">
        <f>IF(G195&lt;&gt;"", G195&amp;"_", "") &amp; IF(B195&lt;&gt;"", B195, "") &amp; IF(D195&lt;&gt;"", "_" &amp; D195, "") &amp; IF(E195&lt;&gt;"", "_" &amp; E195, "")  &amp; IF(H195&lt;&gt;"", "_" &amp; H195, "") &amp; IF(I195&lt;&gt;"", "_" &amp; I195, "") &amp; IF(J195&lt;&gt;"", "_" &amp; J195, "") &amp; IF(K195&lt;&gt;"", "_" &amp; K195, "")</f>
      </c>
      <c r="H195" s="5"/>
      <c r="I195" s="5"/>
    </row>
    <row r="196">
      <c r="A196" s="4"/>
      <c r="C196" s="4"/>
      <c r="F196" s="4">
        <f>IF(G196&lt;&gt;"", G196&amp;"_", "") &amp; IF(B196&lt;&gt;"", B196, "") &amp; IF(D196&lt;&gt;"", "_" &amp; D196, "") &amp; IF(E196&lt;&gt;"", "_" &amp; E196, "")  &amp; IF(H196&lt;&gt;"", "_" &amp; H196, "") &amp; IF(I196&lt;&gt;"", "_" &amp; I196, "") &amp; IF(J196&lt;&gt;"", "_" &amp; J196, "") &amp; IF(K196&lt;&gt;"", "_" &amp; K196, "")</f>
      </c>
      <c r="H196" s="5"/>
      <c r="I196" s="5"/>
    </row>
    <row r="197">
      <c r="A197" s="4"/>
      <c r="C197" s="4"/>
      <c r="F197" s="4">
        <f>IF(G197&lt;&gt;"", G197&amp;"_", "") &amp; IF(B197&lt;&gt;"", B197, "") &amp; IF(D197&lt;&gt;"", "_" &amp; D197, "") &amp; IF(E197&lt;&gt;"", "_" &amp; E197, "")  &amp; IF(H197&lt;&gt;"", "_" &amp; H197, "") &amp; IF(I197&lt;&gt;"", "_" &amp; I197, "") &amp; IF(J197&lt;&gt;"", "_" &amp; J197, "") &amp; IF(K197&lt;&gt;"", "_" &amp; K197, "")</f>
      </c>
      <c r="H197" s="5"/>
      <c r="I197" s="5"/>
    </row>
    <row r="198">
      <c r="A198" s="4"/>
      <c r="C198" s="4"/>
      <c r="F198" s="4">
        <f>IF(G198&lt;&gt;"", G198&amp;"_", "") &amp; IF(B198&lt;&gt;"", B198, "") &amp; IF(D198&lt;&gt;"", "_" &amp; D198, "") &amp; IF(E198&lt;&gt;"", "_" &amp; E198, "")  &amp; IF(H198&lt;&gt;"", "_" &amp; H198, "") &amp; IF(I198&lt;&gt;"", "_" &amp; I198, "") &amp; IF(J198&lt;&gt;"", "_" &amp; J198, "") &amp; IF(K198&lt;&gt;"", "_" &amp; K198, "")</f>
      </c>
      <c r="H198" s="5"/>
      <c r="I198" s="5"/>
    </row>
    <row r="199">
      <c r="A199" s="4"/>
      <c r="C199" s="4"/>
      <c r="F199" s="4">
        <f>IF(G199&lt;&gt;"", G199&amp;"_", "") &amp; IF(B199&lt;&gt;"", B199, "") &amp; IF(D199&lt;&gt;"", "_" &amp; D199, "") &amp; IF(E199&lt;&gt;"", "_" &amp; E199, "")  &amp; IF(H199&lt;&gt;"", "_" &amp; H199, "") &amp; IF(I199&lt;&gt;"", "_" &amp; I199, "") &amp; IF(J199&lt;&gt;"", "_" &amp; J199, "") &amp; IF(K199&lt;&gt;"", "_" &amp; K199, "")</f>
      </c>
      <c r="H199" s="5"/>
      <c r="I199" s="5"/>
    </row>
    <row r="200">
      <c r="A200" s="4"/>
      <c r="C200" s="4"/>
      <c r="F200" s="4">
        <f>IF(G200&lt;&gt;"", G200&amp;"_", "") &amp; IF(B200&lt;&gt;"", B200, "") &amp; IF(D200&lt;&gt;"", "_" &amp; D200, "") &amp; IF(E200&lt;&gt;"", "_" &amp; E200, "")  &amp; IF(H200&lt;&gt;"", "_" &amp; H200, "") &amp; IF(I200&lt;&gt;"", "_" &amp; I200, "") &amp; IF(J200&lt;&gt;"", "_" &amp; J200, "") &amp; IF(K200&lt;&gt;"", "_" &amp; K200, "")</f>
      </c>
      <c r="H200" s="5"/>
      <c r="I200" s="5"/>
    </row>
    <row r="201">
      <c r="A201" s="4"/>
      <c r="C201" s="4"/>
      <c r="F201" s="4">
        <f>IF(G201&lt;&gt;"", G201&amp;"_", "") &amp; IF(B201&lt;&gt;"", B201, "") &amp; IF(D201&lt;&gt;"", "_" &amp; D201, "") &amp; IF(E201&lt;&gt;"", "_" &amp; E201, "")  &amp; IF(H201&lt;&gt;"", "_" &amp; H201, "") &amp; IF(I201&lt;&gt;"", "_" &amp; I201, "") &amp; IF(J201&lt;&gt;"", "_" &amp; J201, "") &amp; IF(K201&lt;&gt;"", "_" &amp; K201, "")</f>
      </c>
      <c r="H201" s="5"/>
      <c r="I201" s="5"/>
    </row>
    <row r="202">
      <c r="A202" s="4"/>
      <c r="C202" s="4"/>
      <c r="F202" s="4">
        <f>IF(G202&lt;&gt;"", G202&amp;"_", "") &amp; IF(B202&lt;&gt;"", B202, "") &amp; IF(D202&lt;&gt;"", "_" &amp; D202, "") &amp; IF(E202&lt;&gt;"", "_" &amp; E202, "")  &amp; IF(H202&lt;&gt;"", "_" &amp; H202, "") &amp; IF(I202&lt;&gt;"", "_" &amp; I202, "") &amp; IF(J202&lt;&gt;"", "_" &amp; J202, "") &amp; IF(K202&lt;&gt;"", "_" &amp; K202, "")</f>
      </c>
      <c r="H202" s="5"/>
      <c r="I202" s="5"/>
    </row>
    <row r="203">
      <c r="A203" s="4"/>
      <c r="C203" s="4"/>
      <c r="F203" s="4">
        <f>IF(G203&lt;&gt;"", G203&amp;"_", "") &amp; IF(B203&lt;&gt;"", B203, "") &amp; IF(D203&lt;&gt;"", "_" &amp; D203, "") &amp; IF(E203&lt;&gt;"", "_" &amp; E203, "")  &amp; IF(H203&lt;&gt;"", "_" &amp; H203, "") &amp; IF(I203&lt;&gt;"", "_" &amp; I203, "") &amp; IF(J203&lt;&gt;"", "_" &amp; J203, "") &amp; IF(K203&lt;&gt;"", "_" &amp; K203, "")</f>
      </c>
      <c r="H203" s="5"/>
      <c r="I203" s="5"/>
    </row>
    <row r="204">
      <c r="A204" s="4"/>
      <c r="C204" s="4"/>
      <c r="F204" s="4">
        <f>IF(G204&lt;&gt;"", G204&amp;"_", "") &amp; IF(B204&lt;&gt;"", B204, "") &amp; IF(D204&lt;&gt;"", "_" &amp; D204, "") &amp; IF(E204&lt;&gt;"", "_" &amp; E204, "")  &amp; IF(H204&lt;&gt;"", "_" &amp; H204, "") &amp; IF(I204&lt;&gt;"", "_" &amp; I204, "") &amp; IF(J204&lt;&gt;"", "_" &amp; J204, "") &amp; IF(K204&lt;&gt;"", "_" &amp; K204, "")</f>
      </c>
      <c r="H204" s="5"/>
      <c r="I204" s="5"/>
    </row>
    <row r="205">
      <c r="A205" s="4"/>
      <c r="C205" s="4"/>
      <c r="F205" s="4">
        <f>IF(G205&lt;&gt;"", G205&amp;"_", "") &amp; IF(B205&lt;&gt;"", B205, "") &amp; IF(D205&lt;&gt;"", "_" &amp; D205, "") &amp; IF(E205&lt;&gt;"", "_" &amp; E205, "")  &amp; IF(H205&lt;&gt;"", "_" &amp; H205, "") &amp; IF(I205&lt;&gt;"", "_" &amp; I205, "") &amp; IF(J205&lt;&gt;"", "_" &amp; J205, "") &amp; IF(K205&lt;&gt;"", "_" &amp; K205, "")</f>
      </c>
      <c r="H205" s="5"/>
      <c r="I205" s="5"/>
    </row>
    <row r="206">
      <c r="A206" s="4"/>
      <c r="C206" s="4"/>
      <c r="F206" s="4">
        <f>IF(G206&lt;&gt;"", G206&amp;"_", "") &amp; IF(B206&lt;&gt;"", B206, "") &amp; IF(D206&lt;&gt;"", "_" &amp; D206, "") &amp; IF(E206&lt;&gt;"", "_" &amp; E206, "")  &amp; IF(H206&lt;&gt;"", "_" &amp; H206, "") &amp; IF(I206&lt;&gt;"", "_" &amp; I206, "") &amp; IF(J206&lt;&gt;"", "_" &amp; J206, "") &amp; IF(K206&lt;&gt;"", "_" &amp; K206, "")</f>
      </c>
      <c r="H206" s="5"/>
      <c r="I206" s="5"/>
    </row>
    <row r="207">
      <c r="A207" s="4"/>
      <c r="C207" s="4"/>
      <c r="F207" s="4">
        <f>IF(G207&lt;&gt;"", G207&amp;"_", "") &amp; IF(B207&lt;&gt;"", B207, "") &amp; IF(D207&lt;&gt;"", "_" &amp; D207, "") &amp; IF(E207&lt;&gt;"", "_" &amp; E207, "")  &amp; IF(H207&lt;&gt;"", "_" &amp; H207, "") &amp; IF(I207&lt;&gt;"", "_" &amp; I207, "") &amp; IF(J207&lt;&gt;"", "_" &amp; J207, "") &amp; IF(K207&lt;&gt;"", "_" &amp; K207, "")</f>
      </c>
      <c r="H207" s="5"/>
      <c r="I207" s="5"/>
    </row>
    <row r="208">
      <c r="A208" s="4"/>
      <c r="C208" s="4"/>
      <c r="F208" s="4">
        <f>IF(G208&lt;&gt;"", G208&amp;"_", "") &amp; IF(B208&lt;&gt;"", B208, "") &amp; IF(D208&lt;&gt;"", "_" &amp; D208, "") &amp; IF(E208&lt;&gt;"", "_" &amp; E208, "")  &amp; IF(H208&lt;&gt;"", "_" &amp; H208, "") &amp; IF(I208&lt;&gt;"", "_" &amp; I208, "") &amp; IF(J208&lt;&gt;"", "_" &amp; J208, "") &amp; IF(K208&lt;&gt;"", "_" &amp; K208, "")</f>
      </c>
      <c r="H208" s="5"/>
      <c r="I208" s="5"/>
    </row>
    <row r="209">
      <c r="A209" s="4"/>
      <c r="C209" s="4"/>
      <c r="F209" s="4">
        <f>IF(G209&lt;&gt;"", G209&amp;"_", "") &amp; IF(B209&lt;&gt;"", B209, "") &amp; IF(D209&lt;&gt;"", "_" &amp; D209, "") &amp; IF(E209&lt;&gt;"", "_" &amp; E209, "")  &amp; IF(H209&lt;&gt;"", "_" &amp; H209, "") &amp; IF(I209&lt;&gt;"", "_" &amp; I209, "") &amp; IF(J209&lt;&gt;"", "_" &amp; J209, "") &amp; IF(K209&lt;&gt;"", "_" &amp; K209, "")</f>
      </c>
      <c r="H209" s="5"/>
      <c r="I209" s="5"/>
    </row>
    <row r="210">
      <c r="A210" s="4"/>
      <c r="C210" s="4"/>
      <c r="F210" s="4">
        <f>IF(G210&lt;&gt;"", G210&amp;"_", "") &amp; IF(B210&lt;&gt;"", B210, "") &amp; IF(D210&lt;&gt;"", "_" &amp; D210, "") &amp; IF(E210&lt;&gt;"", "_" &amp; E210, "")  &amp; IF(H210&lt;&gt;"", "_" &amp; H210, "") &amp; IF(I210&lt;&gt;"", "_" &amp; I210, "") &amp; IF(J210&lt;&gt;"", "_" &amp; J210, "") &amp; IF(K210&lt;&gt;"", "_" &amp; K210, "")</f>
      </c>
      <c r="H210" s="5"/>
      <c r="I210" s="5"/>
    </row>
    <row r="211">
      <c r="A211" s="4"/>
      <c r="C211" s="4"/>
      <c r="F211" s="4">
        <f>IF(G211&lt;&gt;"", G211&amp;"_", "") &amp; IF(B211&lt;&gt;"", B211, "") &amp; IF(D211&lt;&gt;"", "_" &amp; D211, "") &amp; IF(E211&lt;&gt;"", "_" &amp; E211, "")  &amp; IF(H211&lt;&gt;"", "_" &amp; H211, "") &amp; IF(I211&lt;&gt;"", "_" &amp; I211, "") &amp; IF(J211&lt;&gt;"", "_" &amp; J211, "") &amp; IF(K211&lt;&gt;"", "_" &amp; K211, "")</f>
      </c>
      <c r="H211" s="5"/>
      <c r="I211" s="5"/>
    </row>
    <row r="212">
      <c r="A212" s="4"/>
      <c r="C212" s="4"/>
      <c r="F212" s="4">
        <f>IF(G212&lt;&gt;"", G212&amp;"_", "") &amp; IF(B212&lt;&gt;"", B212, "") &amp; IF(D212&lt;&gt;"", "_" &amp; D212, "") &amp; IF(E212&lt;&gt;"", "_" &amp; E212, "")  &amp; IF(H212&lt;&gt;"", "_" &amp; H212, "") &amp; IF(I212&lt;&gt;"", "_" &amp; I212, "") &amp; IF(J212&lt;&gt;"", "_" &amp; J212, "") &amp; IF(K212&lt;&gt;"", "_" &amp; K212, "")</f>
      </c>
      <c r="H212" s="5"/>
      <c r="I212" s="5"/>
    </row>
    <row r="213">
      <c r="A213" s="4"/>
      <c r="C213" s="4"/>
      <c r="F213" s="4">
        <f>IF(G213&lt;&gt;"", G213&amp;"_", "") &amp; IF(B213&lt;&gt;"", B213, "") &amp; IF(D213&lt;&gt;"", "_" &amp; D213, "") &amp; IF(E213&lt;&gt;"", "_" &amp; E213, "")  &amp; IF(H213&lt;&gt;"", "_" &amp; H213, "") &amp; IF(I213&lt;&gt;"", "_" &amp; I213, "") &amp; IF(J213&lt;&gt;"", "_" &amp; J213, "") &amp; IF(K213&lt;&gt;"", "_" &amp; K213, "")</f>
      </c>
      <c r="H213" s="5"/>
      <c r="I213" s="5"/>
    </row>
    <row r="214">
      <c r="A214" s="4"/>
      <c r="C214" s="4"/>
      <c r="F214" s="4">
        <f>IF(G214&lt;&gt;"", G214&amp;"_", "") &amp; IF(B214&lt;&gt;"", B214, "") &amp; IF(D214&lt;&gt;"", "_" &amp; D214, "") &amp; IF(E214&lt;&gt;"", "_" &amp; E214, "")  &amp; IF(H214&lt;&gt;"", "_" &amp; H214, "") &amp; IF(I214&lt;&gt;"", "_" &amp; I214, "") &amp; IF(J214&lt;&gt;"", "_" &amp; J214, "") &amp; IF(K214&lt;&gt;"", "_" &amp; K214, "")</f>
      </c>
      <c r="H214" s="5"/>
      <c r="I214" s="5"/>
    </row>
    <row r="215">
      <c r="A215" s="4"/>
      <c r="C215" s="4"/>
      <c r="F215" s="4">
        <f>IF(G215&lt;&gt;"", G215&amp;"_", "") &amp; IF(B215&lt;&gt;"", B215, "") &amp; IF(D215&lt;&gt;"", "_" &amp; D215, "") &amp; IF(E215&lt;&gt;"", "_" &amp; E215, "")  &amp; IF(H215&lt;&gt;"", "_" &amp; H215, "") &amp; IF(I215&lt;&gt;"", "_" &amp; I215, "") &amp; IF(J215&lt;&gt;"", "_" &amp; J215, "") &amp; IF(K215&lt;&gt;"", "_" &amp; K215, "")</f>
      </c>
      <c r="H215" s="5"/>
      <c r="I215" s="5"/>
    </row>
    <row r="216">
      <c r="A216" s="4"/>
      <c r="C216" s="4"/>
      <c r="F216" s="4">
        <f>IF(G216&lt;&gt;"", G216&amp;"_", "") &amp; IF(B216&lt;&gt;"", B216, "") &amp; IF(D216&lt;&gt;"", "_" &amp; D216, "") &amp; IF(E216&lt;&gt;"", "_" &amp; E216, "")  &amp; IF(H216&lt;&gt;"", "_" &amp; H216, "") &amp; IF(I216&lt;&gt;"", "_" &amp; I216, "") &amp; IF(J216&lt;&gt;"", "_" &amp; J216, "") &amp; IF(K216&lt;&gt;"", "_" &amp; K216, "")</f>
      </c>
      <c r="H216" s="5"/>
      <c r="I216" s="5"/>
    </row>
    <row r="217">
      <c r="A217" s="4"/>
      <c r="C217" s="4"/>
      <c r="F217" s="4">
        <f>IF(G217&lt;&gt;"", G217&amp;"_", "") &amp; IF(B217&lt;&gt;"", B217, "") &amp; IF(D217&lt;&gt;"", "_" &amp; D217, "") &amp; IF(E217&lt;&gt;"", "_" &amp; E217, "")  &amp; IF(H217&lt;&gt;"", "_" &amp; H217, "") &amp; IF(I217&lt;&gt;"", "_" &amp; I217, "") &amp; IF(J217&lt;&gt;"", "_" &amp; J217, "") &amp; IF(K217&lt;&gt;"", "_" &amp; K217, "")</f>
      </c>
      <c r="H217" s="5"/>
      <c r="I217" s="5"/>
    </row>
    <row r="218">
      <c r="A218" s="4"/>
      <c r="C218" s="4"/>
      <c r="F218" s="4">
        <f>IF(G218&lt;&gt;"", G218&amp;"_", "") &amp; IF(B218&lt;&gt;"", B218, "") &amp; IF(D218&lt;&gt;"", "_" &amp; D218, "") &amp; IF(E218&lt;&gt;"", "_" &amp; E218, "")  &amp; IF(H218&lt;&gt;"", "_" &amp; H218, "") &amp; IF(I218&lt;&gt;"", "_" &amp; I218, "") &amp; IF(J218&lt;&gt;"", "_" &amp; J218, "") &amp; IF(K218&lt;&gt;"", "_" &amp; K218, "")</f>
      </c>
      <c r="H218" s="5"/>
      <c r="I218" s="5"/>
    </row>
    <row r="219">
      <c r="A219" s="4"/>
      <c r="C219" s="4"/>
      <c r="F219" s="4">
        <f>IF(G219&lt;&gt;"", G219&amp;"_", "") &amp; IF(B219&lt;&gt;"", B219, "") &amp; IF(D219&lt;&gt;"", "_" &amp; D219, "") &amp; IF(E219&lt;&gt;"", "_" &amp; E219, "")  &amp; IF(H219&lt;&gt;"", "_" &amp; H219, "") &amp; IF(I219&lt;&gt;"", "_" &amp; I219, "") &amp; IF(J219&lt;&gt;"", "_" &amp; J219, "") &amp; IF(K219&lt;&gt;"", "_" &amp; K219, "")</f>
      </c>
      <c r="H219" s="5"/>
      <c r="I219" s="5"/>
    </row>
    <row r="220">
      <c r="A220" s="4"/>
      <c r="C220" s="4"/>
      <c r="F220" s="4">
        <f>IF(G220&lt;&gt;"", G220&amp;"_", "") &amp; IF(B220&lt;&gt;"", B220, "") &amp; IF(D220&lt;&gt;"", "_" &amp; D220, "") &amp; IF(E220&lt;&gt;"", "_" &amp; E220, "")  &amp; IF(H220&lt;&gt;"", "_" &amp; H220, "") &amp; IF(I220&lt;&gt;"", "_" &amp; I220, "") &amp; IF(J220&lt;&gt;"", "_" &amp; J220, "") &amp; IF(K220&lt;&gt;"", "_" &amp; K220, "")</f>
      </c>
      <c r="H220" s="5"/>
      <c r="I220" s="5"/>
    </row>
    <row r="221">
      <c r="A221" s="4"/>
      <c r="C221" s="4"/>
      <c r="F221" s="4">
        <f>IF(G221&lt;&gt;"", G221&amp;"_", "") &amp; IF(B221&lt;&gt;"", B221, "") &amp; IF(D221&lt;&gt;"", "_" &amp; D221, "") &amp; IF(E221&lt;&gt;"", "_" &amp; E221, "")  &amp; IF(H221&lt;&gt;"", "_" &amp; H221, "") &amp; IF(I221&lt;&gt;"", "_" &amp; I221, "") &amp; IF(J221&lt;&gt;"", "_" &amp; J221, "") &amp; IF(K221&lt;&gt;"", "_" &amp; K221, "")</f>
      </c>
      <c r="H221" s="5"/>
      <c r="I221" s="5"/>
    </row>
    <row r="222">
      <c r="A222" s="4"/>
      <c r="C222" s="4"/>
      <c r="F222" s="4">
        <f>IF(G222&lt;&gt;"", G222&amp;"_", "") &amp; IF(B222&lt;&gt;"", B222, "") &amp; IF(D222&lt;&gt;"", "_" &amp; D222, "") &amp; IF(E222&lt;&gt;"", "_" &amp; E222, "")  &amp; IF(H222&lt;&gt;"", "_" &amp; H222, "") &amp; IF(I222&lt;&gt;"", "_" &amp; I222, "") &amp; IF(J222&lt;&gt;"", "_" &amp; J222, "") &amp; IF(K222&lt;&gt;"", "_" &amp; K222, "")</f>
      </c>
      <c r="H222" s="5"/>
      <c r="I222" s="5"/>
    </row>
    <row r="223">
      <c r="A223" s="4"/>
      <c r="C223" s="4"/>
      <c r="F223" s="4">
        <f>IF(G223&lt;&gt;"", G223&amp;"_", "") &amp; IF(B223&lt;&gt;"", B223, "") &amp; IF(D223&lt;&gt;"", "_" &amp; D223, "") &amp; IF(E223&lt;&gt;"", "_" &amp; E223, "")  &amp; IF(H223&lt;&gt;"", "_" &amp; H223, "") &amp; IF(I223&lt;&gt;"", "_" &amp; I223, "") &amp; IF(J223&lt;&gt;"", "_" &amp; J223, "") &amp; IF(K223&lt;&gt;"", "_" &amp; K223, "")</f>
      </c>
      <c r="H223" s="5"/>
      <c r="I223" s="5"/>
    </row>
    <row r="224">
      <c r="A224" s="4"/>
      <c r="C224" s="4"/>
      <c r="F224" s="4">
        <f>IF(G224&lt;&gt;"", G224&amp;"_", "") &amp; IF(B224&lt;&gt;"", B224, "") &amp; IF(D224&lt;&gt;"", "_" &amp; D224, "") &amp; IF(E224&lt;&gt;"", "_" &amp; E224, "")  &amp; IF(H224&lt;&gt;"", "_" &amp; H224, "") &amp; IF(I224&lt;&gt;"", "_" &amp; I224, "") &amp; IF(J224&lt;&gt;"", "_" &amp; J224, "") &amp; IF(K224&lt;&gt;"", "_" &amp; K224, "")</f>
      </c>
      <c r="H224" s="5"/>
      <c r="I224" s="5"/>
    </row>
    <row r="225">
      <c r="A225" s="4"/>
      <c r="C225" s="4"/>
      <c r="F225" s="4">
        <f>IF(G225&lt;&gt;"", G225&amp;"_", "") &amp; IF(B225&lt;&gt;"", B225, "") &amp; IF(D225&lt;&gt;"", "_" &amp; D225, "") &amp; IF(E225&lt;&gt;"", "_" &amp; E225, "")  &amp; IF(H225&lt;&gt;"", "_" &amp; H225, "") &amp; IF(I225&lt;&gt;"", "_" &amp; I225, "") &amp; IF(J225&lt;&gt;"", "_" &amp; J225, "") &amp; IF(K225&lt;&gt;"", "_" &amp; K225, "")</f>
      </c>
      <c r="H225" s="5"/>
      <c r="I225" s="5"/>
    </row>
    <row r="226">
      <c r="A226" s="4"/>
      <c r="C226" s="4"/>
      <c r="F226" s="4">
        <f>IF(G226&lt;&gt;"", G226&amp;"_", "") &amp; IF(B226&lt;&gt;"", B226, "") &amp; IF(D226&lt;&gt;"", "_" &amp; D226, "") &amp; IF(E226&lt;&gt;"", "_" &amp; E226, "")  &amp; IF(H226&lt;&gt;"", "_" &amp; H226, "") &amp; IF(I226&lt;&gt;"", "_" &amp; I226, "") &amp; IF(J226&lt;&gt;"", "_" &amp; J226, "") &amp; IF(K226&lt;&gt;"", "_" &amp; K226, "")</f>
      </c>
      <c r="H226" s="5"/>
      <c r="I226" s="5"/>
    </row>
    <row r="227">
      <c r="A227" s="4"/>
      <c r="C227" s="4"/>
      <c r="F227" s="4">
        <f>IF(G227&lt;&gt;"", G227&amp;"_", "") &amp; IF(B227&lt;&gt;"", B227, "") &amp; IF(D227&lt;&gt;"", "_" &amp; D227, "") &amp; IF(E227&lt;&gt;"", "_" &amp; E227, "")  &amp; IF(H227&lt;&gt;"", "_" &amp; H227, "") &amp; IF(I227&lt;&gt;"", "_" &amp; I227, "") &amp; IF(J227&lt;&gt;"", "_" &amp; J227, "") &amp; IF(K227&lt;&gt;"", "_" &amp; K227, "")</f>
      </c>
      <c r="H227" s="5"/>
      <c r="I227" s="5"/>
    </row>
    <row r="228">
      <c r="A228" s="4"/>
      <c r="C228" s="4"/>
      <c r="F228" s="4">
        <f>IF(G228&lt;&gt;"", G228&amp;"_", "") &amp; IF(B228&lt;&gt;"", B228, "") &amp; IF(D228&lt;&gt;"", "_" &amp; D228, "") &amp; IF(E228&lt;&gt;"", "_" &amp; E228, "")  &amp; IF(H228&lt;&gt;"", "_" &amp; H228, "") &amp; IF(I228&lt;&gt;"", "_" &amp; I228, "") &amp; IF(J228&lt;&gt;"", "_" &amp; J228, "") &amp; IF(K228&lt;&gt;"", "_" &amp; K228, "")</f>
      </c>
      <c r="H228" s="5"/>
      <c r="I228" s="5"/>
    </row>
    <row r="229">
      <c r="A229" s="4"/>
      <c r="C229" s="4"/>
      <c r="F229" s="4">
        <f>IF(G229&lt;&gt;"", G229&amp;"_", "") &amp; IF(B229&lt;&gt;"", B229, "") &amp; IF(D229&lt;&gt;"", "_" &amp; D229, "") &amp; IF(E229&lt;&gt;"", "_" &amp; E229, "")  &amp; IF(H229&lt;&gt;"", "_" &amp; H229, "") &amp; IF(I229&lt;&gt;"", "_" &amp; I229, "") &amp; IF(J229&lt;&gt;"", "_" &amp; J229, "") &amp; IF(K229&lt;&gt;"", "_" &amp; K229, "")</f>
      </c>
      <c r="H229" s="5"/>
      <c r="I229" s="5"/>
    </row>
    <row r="230">
      <c r="A230" s="4"/>
      <c r="C230" s="4"/>
      <c r="F230" s="4">
        <f>IF(G230&lt;&gt;"", G230&amp;"_", "") &amp; IF(B230&lt;&gt;"", B230, "") &amp; IF(D230&lt;&gt;"", "_" &amp; D230, "") &amp; IF(E230&lt;&gt;"", "_" &amp; E230, "")  &amp; IF(H230&lt;&gt;"", "_" &amp; H230, "") &amp; IF(I230&lt;&gt;"", "_" &amp; I230, "") &amp; IF(J230&lt;&gt;"", "_" &amp; J230, "") &amp; IF(K230&lt;&gt;"", "_" &amp; K230, "")</f>
      </c>
      <c r="H230" s="5"/>
      <c r="I230" s="5"/>
    </row>
    <row r="231">
      <c r="A231" s="4"/>
      <c r="C231" s="4"/>
      <c r="F231" s="4">
        <f>IF(G231&lt;&gt;"", G231&amp;"_", "") &amp; IF(B231&lt;&gt;"", B231, "") &amp; IF(D231&lt;&gt;"", "_" &amp; D231, "") &amp; IF(E231&lt;&gt;"", "_" &amp; E231, "")  &amp; IF(H231&lt;&gt;"", "_" &amp; H231, "") &amp; IF(I231&lt;&gt;"", "_" &amp; I231, "") &amp; IF(J231&lt;&gt;"", "_" &amp; J231, "") &amp; IF(K231&lt;&gt;"", "_" &amp; K231, "")</f>
      </c>
      <c r="H231" s="5"/>
      <c r="I231" s="5"/>
    </row>
    <row r="232">
      <c r="A232" s="4"/>
      <c r="C232" s="4"/>
      <c r="F232" s="4">
        <f>IF(G232&lt;&gt;"", G232&amp;"_", "") &amp; IF(B232&lt;&gt;"", B232, "") &amp; IF(D232&lt;&gt;"", "_" &amp; D232, "") &amp; IF(E232&lt;&gt;"", "_" &amp; E232, "")  &amp; IF(H232&lt;&gt;"", "_" &amp; H232, "") &amp; IF(I232&lt;&gt;"", "_" &amp; I232, "") &amp; IF(J232&lt;&gt;"", "_" &amp; J232, "") &amp; IF(K232&lt;&gt;"", "_" &amp; K232, "")</f>
      </c>
      <c r="H232" s="5"/>
      <c r="I232" s="5"/>
    </row>
    <row r="233">
      <c r="A233" s="4"/>
      <c r="C233" s="4"/>
      <c r="F233" s="4">
        <f>IF(G233&lt;&gt;"", G233&amp;"_", "") &amp; IF(B233&lt;&gt;"", B233, "") &amp; IF(D233&lt;&gt;"", "_" &amp; D233, "") &amp; IF(E233&lt;&gt;"", "_" &amp; E233, "")  &amp; IF(H233&lt;&gt;"", "_" &amp; H233, "") &amp; IF(I233&lt;&gt;"", "_" &amp; I233, "") &amp; IF(J233&lt;&gt;"", "_" &amp; J233, "") &amp; IF(K233&lt;&gt;"", "_" &amp; K233, "")</f>
      </c>
      <c r="H233" s="5"/>
      <c r="I233" s="5"/>
    </row>
    <row r="234">
      <c r="A234" s="4"/>
      <c r="C234" s="4"/>
      <c r="F234" s="4">
        <f>IF(G234&lt;&gt;"", G234&amp;"_", "") &amp; IF(B234&lt;&gt;"", B234, "") &amp; IF(D234&lt;&gt;"", "_" &amp; D234, "") &amp; IF(E234&lt;&gt;"", "_" &amp; E234, "")  &amp; IF(H234&lt;&gt;"", "_" &amp; H234, "") &amp; IF(I234&lt;&gt;"", "_" &amp; I234, "") &amp; IF(J234&lt;&gt;"", "_" &amp; J234, "") &amp; IF(K234&lt;&gt;"", "_" &amp; K234, "")</f>
      </c>
      <c r="H234" s="5"/>
      <c r="I234" s="5"/>
    </row>
    <row r="235">
      <c r="A235" s="4"/>
      <c r="C235" s="4"/>
      <c r="F235" s="4">
        <f>IF(G235&lt;&gt;"", G235&amp;"_", "") &amp; IF(B235&lt;&gt;"", B235, "") &amp; IF(D235&lt;&gt;"", "_" &amp; D235, "") &amp; IF(E235&lt;&gt;"", "_" &amp; E235, "")  &amp; IF(H235&lt;&gt;"", "_" &amp; H235, "") &amp; IF(I235&lt;&gt;"", "_" &amp; I235, "") &amp; IF(J235&lt;&gt;"", "_" &amp; J235, "") &amp; IF(K235&lt;&gt;"", "_" &amp; K235, "")</f>
      </c>
      <c r="H235" s="5"/>
      <c r="I235" s="5"/>
    </row>
    <row r="236">
      <c r="A236" s="4"/>
      <c r="C236" s="4"/>
      <c r="F236" s="4">
        <f>IF(G236&lt;&gt;"", G236&amp;"_", "") &amp; IF(B236&lt;&gt;"", B236, "") &amp; IF(D236&lt;&gt;"", "_" &amp; D236, "") &amp; IF(E236&lt;&gt;"", "_" &amp; E236, "")  &amp; IF(H236&lt;&gt;"", "_" &amp; H236, "") &amp; IF(I236&lt;&gt;"", "_" &amp; I236, "") &amp; IF(J236&lt;&gt;"", "_" &amp; J236, "") &amp; IF(K236&lt;&gt;"", "_" &amp; K236, "")</f>
      </c>
      <c r="H236" s="5"/>
      <c r="I236" s="5"/>
    </row>
    <row r="237">
      <c r="A237" s="4"/>
      <c r="C237" s="4"/>
      <c r="F237" s="4">
        <f>IF(G237&lt;&gt;"", G237&amp;"_", "") &amp; IF(B237&lt;&gt;"", B237, "") &amp; IF(D237&lt;&gt;"", "_" &amp; D237, "") &amp; IF(E237&lt;&gt;"", "_" &amp; E237, "")  &amp; IF(H237&lt;&gt;"", "_" &amp; H237, "") &amp; IF(I237&lt;&gt;"", "_" &amp; I237, "") &amp; IF(J237&lt;&gt;"", "_" &amp; J237, "") &amp; IF(K237&lt;&gt;"", "_" &amp; K237, "")</f>
      </c>
      <c r="H237" s="5"/>
      <c r="I237" s="5"/>
    </row>
    <row r="238">
      <c r="A238" s="4"/>
      <c r="C238" s="4"/>
      <c r="F238" s="4">
        <f>IF(G238&lt;&gt;"", G238&amp;"_", "") &amp; IF(B238&lt;&gt;"", B238, "") &amp; IF(D238&lt;&gt;"", "_" &amp; D238, "") &amp; IF(E238&lt;&gt;"", "_" &amp; E238, "")  &amp; IF(H238&lt;&gt;"", "_" &amp; H238, "") &amp; IF(I238&lt;&gt;"", "_" &amp; I238, "") &amp; IF(J238&lt;&gt;"", "_" &amp; J238, "") &amp; IF(K238&lt;&gt;"", "_" &amp; K238, "")</f>
      </c>
      <c r="H238" s="5"/>
      <c r="I238" s="5"/>
    </row>
    <row r="239">
      <c r="A239" s="4"/>
      <c r="C239" s="4"/>
      <c r="F239" s="4">
        <f>IF(G239&lt;&gt;"", G239&amp;"_", "") &amp; IF(B239&lt;&gt;"", B239, "") &amp; IF(D239&lt;&gt;"", "_" &amp; D239, "") &amp; IF(E239&lt;&gt;"", "_" &amp; E239, "")  &amp; IF(H239&lt;&gt;"", "_" &amp; H239, "") &amp; IF(I239&lt;&gt;"", "_" &amp; I239, "") &amp; IF(J239&lt;&gt;"", "_" &amp; J239, "") &amp; IF(K239&lt;&gt;"", "_" &amp; K239, "")</f>
      </c>
      <c r="H239" s="5"/>
      <c r="I239" s="5"/>
    </row>
    <row r="240">
      <c r="A240" s="4"/>
      <c r="C240" s="4"/>
      <c r="F240" s="4">
        <f>IF(G240&lt;&gt;"", G240&amp;"_", "") &amp; IF(B240&lt;&gt;"", B240, "") &amp; IF(D240&lt;&gt;"", "_" &amp; D240, "") &amp; IF(E240&lt;&gt;"", "_" &amp; E240, "")  &amp; IF(H240&lt;&gt;"", "_" &amp; H240, "") &amp; IF(I240&lt;&gt;"", "_" &amp; I240, "") &amp; IF(J240&lt;&gt;"", "_" &amp; J240, "") &amp; IF(K240&lt;&gt;"", "_" &amp; K240, "")</f>
      </c>
      <c r="H240" s="5"/>
      <c r="I240" s="5"/>
    </row>
    <row r="241">
      <c r="A241" s="4"/>
      <c r="C241" s="4"/>
      <c r="F241" s="4">
        <f>IF(G241&lt;&gt;"", G241&amp;"_", "") &amp; IF(B241&lt;&gt;"", B241, "") &amp; IF(D241&lt;&gt;"", "_" &amp; D241, "") &amp; IF(E241&lt;&gt;"", "_" &amp; E241, "")  &amp; IF(H241&lt;&gt;"", "_" &amp; H241, "") &amp; IF(I241&lt;&gt;"", "_" &amp; I241, "") &amp; IF(J241&lt;&gt;"", "_" &amp; J241, "") &amp; IF(K241&lt;&gt;"", "_" &amp; K241, "")</f>
      </c>
      <c r="H241" s="5"/>
      <c r="I241" s="5"/>
    </row>
    <row r="242">
      <c r="A242" s="4"/>
      <c r="C242" s="4"/>
      <c r="F242" s="4">
        <f>IF(G242&lt;&gt;"", G242&amp;"_", "") &amp; IF(B242&lt;&gt;"", B242, "") &amp; IF(D242&lt;&gt;"", "_" &amp; D242, "") &amp; IF(E242&lt;&gt;"", "_" &amp; E242, "")  &amp; IF(H242&lt;&gt;"", "_" &amp; H242, "") &amp; IF(I242&lt;&gt;"", "_" &amp; I242, "") &amp; IF(J242&lt;&gt;"", "_" &amp; J242, "") &amp; IF(K242&lt;&gt;"", "_" &amp; K242, "")</f>
      </c>
      <c r="H242" s="5"/>
      <c r="I242" s="5"/>
    </row>
    <row r="243">
      <c r="A243" s="4"/>
      <c r="C243" s="4"/>
      <c r="F243" s="4">
        <f>IF(G243&lt;&gt;"", G243&amp;"_", "") &amp; IF(B243&lt;&gt;"", B243, "") &amp; IF(D243&lt;&gt;"", "_" &amp; D243, "") &amp; IF(E243&lt;&gt;"", "_" &amp; E243, "")  &amp; IF(H243&lt;&gt;"", "_" &amp; H243, "") &amp; IF(I243&lt;&gt;"", "_" &amp; I243, "") &amp; IF(J243&lt;&gt;"", "_" &amp; J243, "") &amp; IF(K243&lt;&gt;"", "_" &amp; K243, "")</f>
      </c>
      <c r="H243" s="5"/>
      <c r="I243" s="5"/>
    </row>
    <row r="244">
      <c r="A244" s="4"/>
      <c r="C244" s="4"/>
      <c r="F244" s="4">
        <f>IF(G244&lt;&gt;"", G244&amp;"_", "") &amp; IF(B244&lt;&gt;"", B244, "") &amp; IF(D244&lt;&gt;"", "_" &amp; D244, "") &amp; IF(E244&lt;&gt;"", "_" &amp; E244, "")  &amp; IF(H244&lt;&gt;"", "_" &amp; H244, "") &amp; IF(I244&lt;&gt;"", "_" &amp; I244, "") &amp; IF(J244&lt;&gt;"", "_" &amp; J244, "") &amp; IF(K244&lt;&gt;"", "_" &amp; K244, "")</f>
      </c>
      <c r="H244" s="5"/>
      <c r="I244" s="5"/>
    </row>
    <row r="245">
      <c r="A245" s="4"/>
      <c r="C245" s="4"/>
      <c r="F245" s="4">
        <f>IF(G245&lt;&gt;"", G245&amp;"_", "") &amp; IF(B245&lt;&gt;"", B245, "") &amp; IF(D245&lt;&gt;"", "_" &amp; D245, "") &amp; IF(E245&lt;&gt;"", "_" &amp; E245, "")  &amp; IF(H245&lt;&gt;"", "_" &amp; H245, "") &amp; IF(I245&lt;&gt;"", "_" &amp; I245, "") &amp; IF(J245&lt;&gt;"", "_" &amp; J245, "") &amp; IF(K245&lt;&gt;"", "_" &amp; K245, "")</f>
      </c>
      <c r="H245" s="5"/>
      <c r="I245" s="5"/>
    </row>
    <row r="246">
      <c r="A246" s="4"/>
      <c r="C246" s="4"/>
      <c r="F246" s="4">
        <f>IF(G246&lt;&gt;"", G246&amp;"_", "") &amp; IF(B246&lt;&gt;"", B246, "") &amp; IF(D246&lt;&gt;"", "_" &amp; D246, "") &amp; IF(E246&lt;&gt;"", "_" &amp; E246, "")  &amp; IF(H246&lt;&gt;"", "_" &amp; H246, "") &amp; IF(I246&lt;&gt;"", "_" &amp; I246, "") &amp; IF(J246&lt;&gt;"", "_" &amp; J246, "") &amp; IF(K246&lt;&gt;"", "_" &amp; K246, "")</f>
      </c>
      <c r="H246" s="5"/>
      <c r="I246" s="5"/>
    </row>
    <row r="247">
      <c r="A247" s="4"/>
      <c r="C247" s="4"/>
      <c r="F247" s="4">
        <f>IF(G247&lt;&gt;"", G247&amp;"_", "") &amp; IF(B247&lt;&gt;"", B247, "") &amp; IF(D247&lt;&gt;"", "_" &amp; D247, "") &amp; IF(E247&lt;&gt;"", "_" &amp; E247, "")  &amp; IF(H247&lt;&gt;"", "_" &amp; H247, "") &amp; IF(I247&lt;&gt;"", "_" &amp; I247, "") &amp; IF(J247&lt;&gt;"", "_" &amp; J247, "") &amp; IF(K247&lt;&gt;"", "_" &amp; K247, "")</f>
      </c>
      <c r="H247" s="5"/>
      <c r="I247" s="5"/>
    </row>
    <row r="248">
      <c r="A248" s="4"/>
      <c r="C248" s="4"/>
      <c r="F248" s="4">
        <f>IF(G248&lt;&gt;"", G248&amp;"_", "") &amp; IF(B248&lt;&gt;"", B248, "") &amp; IF(D248&lt;&gt;"", "_" &amp; D248, "") &amp; IF(E248&lt;&gt;"", "_" &amp; E248, "")  &amp; IF(H248&lt;&gt;"", "_" &amp; H248, "") &amp; IF(I248&lt;&gt;"", "_" &amp; I248, "") &amp; IF(J248&lt;&gt;"", "_" &amp; J248, "") &amp; IF(K248&lt;&gt;"", "_" &amp; K248, "")</f>
      </c>
      <c r="H248" s="5"/>
      <c r="I248" s="5"/>
    </row>
    <row r="249">
      <c r="A249" s="4"/>
      <c r="C249" s="4"/>
      <c r="F249" s="4">
        <f>IF(G249&lt;&gt;"", G249&amp;"_", "") &amp; IF(B249&lt;&gt;"", B249, "") &amp; IF(D249&lt;&gt;"", "_" &amp; D249, "") &amp; IF(E249&lt;&gt;"", "_" &amp; E249, "")  &amp; IF(H249&lt;&gt;"", "_" &amp; H249, "") &amp; IF(I249&lt;&gt;"", "_" &amp; I249, "") &amp; IF(J249&lt;&gt;"", "_" &amp; J249, "") &amp; IF(K249&lt;&gt;"", "_" &amp; K249, "")</f>
      </c>
      <c r="H249" s="5"/>
      <c r="I249" s="5"/>
    </row>
    <row r="250">
      <c r="A250" s="4"/>
      <c r="C250" s="4"/>
      <c r="F250" s="4">
        <f>IF(G250&lt;&gt;"", G250&amp;"_", "") &amp; IF(B250&lt;&gt;"", B250, "") &amp; IF(D250&lt;&gt;"", "_" &amp; D250, "") &amp; IF(E250&lt;&gt;"", "_" &amp; E250, "")  &amp; IF(H250&lt;&gt;"", "_" &amp; H250, "") &amp; IF(I250&lt;&gt;"", "_" &amp; I250, "") &amp; IF(J250&lt;&gt;"", "_" &amp; J250, "") &amp; IF(K250&lt;&gt;"", "_" &amp; K250, "")</f>
      </c>
      <c r="H250" s="5"/>
      <c r="I250" s="5"/>
    </row>
    <row r="251">
      <c r="A251" s="4"/>
      <c r="C251" s="4"/>
      <c r="F251" s="4">
        <f>IF(G251&lt;&gt;"", G251&amp;"_", "") &amp; IF(B251&lt;&gt;"", B251, "") &amp; IF(D251&lt;&gt;"", "_" &amp; D251, "") &amp; IF(E251&lt;&gt;"", "_" &amp; E251, "")  &amp; IF(H251&lt;&gt;"", "_" &amp; H251, "") &amp; IF(I251&lt;&gt;"", "_" &amp; I251, "") &amp; IF(J251&lt;&gt;"", "_" &amp; J251, "") &amp; IF(K251&lt;&gt;"", "_" &amp; K251, "")</f>
      </c>
      <c r="H251" s="5"/>
      <c r="I251" s="5"/>
    </row>
    <row r="252">
      <c r="A252" s="4"/>
      <c r="C252" s="4"/>
      <c r="F252" s="4">
        <f>IF(G252&lt;&gt;"", G252&amp;"_", "") &amp; IF(B252&lt;&gt;"", B252, "") &amp; IF(D252&lt;&gt;"", "_" &amp; D252, "") &amp; IF(E252&lt;&gt;"", "_" &amp; E252, "")  &amp; IF(H252&lt;&gt;"", "_" &amp; H252, "") &amp; IF(I252&lt;&gt;"", "_" &amp; I252, "") &amp; IF(J252&lt;&gt;"", "_" &amp; J252, "") &amp; IF(K252&lt;&gt;"", "_" &amp; K252, "")</f>
      </c>
      <c r="H252" s="5"/>
      <c r="I252" s="5"/>
    </row>
  </sheetData>
  <conditionalFormatting sqref="A1:A1048576 F1:F1048576">
    <cfRule dxfId="2" priority="2" stopIfTrue="true" type="duplicateValues"/>
  </conditionalFormatting>
  <dataValidations count="3">
    <dataValidation allowBlank="true" errorStyle="stop" showDropDown="true" showErrorMessage="true" sqref="X2:X116" type="list">
      <formula1>"False,True"</formula1>
    </dataValidation>
    <dataValidation allowBlank="true" errorStyle="stop" showDropDown="true" showErrorMessage="true" sqref="S2:S116 R2:R116" type="list">
      <formula1>"Close,Open,1_Close_1,0_Open_0,0_Open_1,1_Open_0,1_Open_1"</formula1>
    </dataValidation>
    <dataValidation allowBlank="true" errorStyle="stop" showDropDown="true" showErrorMessage="true" sqref="G2:G116" type="list">
      <formula1>"SM,M,T"</formula1>
    </dataValidation>
  </dataValidation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true" errorStyle="stop" showDropDown="true" showErrorMessage="true" xr:uid="{2FB30779-A8B4-4A7F-B5E9-6317DDCBFB2C}">
          <x14:formula1>
            <xm:f>'引用列表'!$Q$2:$Q$20</xm:f>
          </x14:formula1>
          <xm:sqref>B2:B116</xm:sqref>
        </x14:dataValidation>
        <x14:dataValidation type="list" allowBlank="true" errorStyle="stop" showDropDown="true" showErrorMessage="true" xr:uid="{10F9CB61-021D-4BB1-AC5F-E903186D445A}">
          <x14:formula1>
            <xm:f>'引用列表'!$AD$2:$AD$20</xm:f>
          </x14:formula1>
          <xm:sqref>H2:H11 H55:H252</xm:sqref>
        </x14:dataValidation>
        <x14:dataValidation type="list" allowBlank="true" errorStyle="stop" showDropDown="true" showErrorMessage="true" xr:uid="{FFA2730D-2F19-46F6-BC55-72DED18447A9}">
          <x14:formula1>
            <xm:f>'引用列表'!$AA$2:$AA$20</xm:f>
          </x14:formula1>
          <xm:sqref>U2:U116 T2:T116</xm:sqref>
        </x14:dataValidation>
        <x14:dataValidation type="list" allowBlank="true" errorStyle="stop" showDropDown="true" showErrorMessage="true" xr:uid="{128D0E08-6172-4CD1-9DC4-050E901E975D}">
          <x14:formula1>
            <xm:f>'引用列表'!$U$2:$U$20</xm:f>
          </x14:formula1>
          <xm:sqref>D2:D116</xm:sqref>
        </x14:dataValidation>
        <x14:dataValidation type="list" allowBlank="true" errorStyle="stop" showDropDown="true" showErrorMessage="true" xr:uid="{B278288C-CB26-4CC3-A597-5FB5394FEFA5}">
          <x14:formula1>
            <xm:f>'引用列表'!$AG$2:$AG$20</xm:f>
          </x14:formula1>
          <xm:sqref>I2:I18 I55:I252</xm:sqref>
        </x14:dataValidation>
        <x14:dataValidation type="list" allowBlank="true" errorStyle="stop" showDropDown="true" showErrorMessage="true" xr:uid="{ECA99790-11D5-4250-A153-5ACC1C0235CE}">
          <x14:formula1>
            <xm:f>'引用列表'!$AJ$2:$AJ$20</xm:f>
          </x14:formula1>
          <xm:sqref>Z2:Z116</xm:sqref>
        </x14:dataValidation>
      </x14:dataValidations>
    </ext>
  </extLst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ad355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31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10"/>
    <col collapsed="false" customWidth="true" hidden="false" max="8" min="8" style="0" width="35"/>
  </cols>
  <sheetData>
    <row r="1">
      <c r="A1" s="17" t="str">
        <v>世界</v>
      </c>
      <c r="B1" s="17" t="str">
        <v>类型</v>
      </c>
      <c r="C1" s="17" t="str">
        <v>位置</v>
      </c>
      <c r="D1" s="17" t="str">
        <v>循环配置</v>
      </c>
      <c r="E1" s="17" t="str">
        <v>样式变种</v>
      </c>
      <c r="F1" s="17" t="str">
        <v>颜色变种</v>
      </c>
      <c r="G1" s="17" t="str">
        <v>总计变种</v>
      </c>
      <c r="H1" s="17" t="str">
        <v>进度</v>
      </c>
      <c r="I1" s="17" t="str">
        <v>视觉元素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>
      <c r="A2" t="str">
        <v>都市</v>
      </c>
      <c r="B2" s="5" t="str">
        <v>主要</v>
      </c>
      <c r="C2" s="5" t="str">
        <v>地面</v>
      </c>
      <c r="D2" s="5" t="str">
        <v>Back,Mid,Side,Corner</v>
      </c>
      <c r="E2" s="5">
        <v>3</v>
      </c>
      <c r="F2" s="5">
        <v>1</v>
      </c>
      <c r="G2" s="5">
        <f>F2*E2</f>
      </c>
      <c r="H2" s="5" t="str">
        <v>DONE</v>
      </c>
      <c r="I2" s="5" t="str">
        <v>人行道；柏油马路</v>
      </c>
    </row>
    <row r="3">
      <c r="A3" t="str">
        <v>都市</v>
      </c>
      <c r="B3" t="str">
        <v>次要</v>
      </c>
      <c r="C3" t="str">
        <v>地面</v>
      </c>
      <c r="D3" s="5" t="str">
        <v>Back,Mid,Side,Corner</v>
      </c>
      <c r="E3" s="5">
        <v>3</v>
      </c>
      <c r="F3" s="5">
        <v>1</v>
      </c>
      <c r="G3" s="5">
        <f>F3*E3</f>
      </c>
      <c r="H3" s="5" t="str">
        <v>DONE，草地带小花的版本还待完善</v>
      </c>
      <c r="I3" s="5" t="str">
        <v>人行道；草地</v>
      </c>
    </row>
    <row customHeight="true" ht="19" r="4">
      <c r="A4" t="str">
        <v>都市</v>
      </c>
      <c r="B4" s="5" t="str">
        <v>主要</v>
      </c>
      <c r="C4" s="5" t="str">
        <v>侧面</v>
      </c>
      <c r="D4" s="5" t="str">
        <v>Back,Mid,Top</v>
      </c>
      <c r="E4" s="5">
        <v>2</v>
      </c>
      <c r="F4" s="5">
        <v>4</v>
      </c>
      <c r="G4" s="5">
        <f>F4*E4</f>
      </c>
      <c r="H4" s="5" t="str">
        <v>DONE，但不是标准尺寸，是由BLENDER缩放</v>
      </c>
      <c r="I4" s="5" t="str">
        <v>砖墙树篱。4个颜色主要是给多人模式用，每个人的侧面颜色会不一样。</v>
      </c>
    </row>
    <row customHeight="true" ht="19" r="5">
      <c r="A5" t="str">
        <v>都市</v>
      </c>
      <c r="B5" t="str">
        <v>次要</v>
      </c>
      <c r="C5" s="5" t="str">
        <v>侧面</v>
      </c>
      <c r="D5" s="5" t="str">
        <v>Back,Mid,Top</v>
      </c>
      <c r="E5" s="5">
        <v>2</v>
      </c>
      <c r="F5" s="5">
        <v>4</v>
      </c>
      <c r="G5" s="5">
        <f>F5*E5</f>
      </c>
      <c r="H5" s="5" t="str">
        <v>DONE，但最终的颗粒度版本只有一个颜色</v>
      </c>
      <c r="I5" s="5" t="str">
        <v>铁栏杆。</v>
      </c>
    </row>
    <row customHeight="true" ht="19" r="6">
      <c r="A6" t="str">
        <v>都市</v>
      </c>
      <c r="B6" s="5" t="str">
        <v>偶尔</v>
      </c>
      <c r="C6" s="5" t="str">
        <v>侧面</v>
      </c>
      <c r="D6" t="str">
        <v>Single</v>
      </c>
      <c r="E6" s="5">
        <v>6</v>
      </c>
      <c r="F6" s="5">
        <v>1</v>
      </c>
      <c r="G6" s="5">
        <f>F6*E6</f>
      </c>
      <c r="H6" s="5" t="str">
        <v>TBD，尺寸不均一，建议整体检查一遍</v>
      </c>
      <c r="I6" s="5" t="str">
        <v>小装饰物：路灯、邮箱、长椅、垃圾桶、路牌。这些就不强求做多个颜色了，有当然可以继续用</v>
      </c>
    </row>
    <row customHeight="true" ht="19" r="7">
      <c r="B7" s="5"/>
      <c r="C7" s="5"/>
      <c r="E7" s="5"/>
      <c r="F7" s="5"/>
      <c r="G7" s="5"/>
      <c r="H7" s="5"/>
      <c r="I7" s="5"/>
    </row>
    <row r="8">
      <c r="A8" t="str">
        <v>矿洞</v>
      </c>
      <c r="B8" s="5" t="str">
        <v>主要</v>
      </c>
      <c r="C8" s="5" t="str">
        <v>地面</v>
      </c>
      <c r="E8" s="5"/>
      <c r="F8" s="5"/>
      <c r="G8" s="5"/>
      <c r="H8" s="5"/>
      <c r="I8" s="5"/>
    </row>
    <row r="9">
      <c r="A9" t="str">
        <v>矿洞</v>
      </c>
      <c r="B9" t="str">
        <v>次要</v>
      </c>
      <c r="C9" t="str">
        <v>地面</v>
      </c>
    </row>
  </sheetData>
  <dataValidations count="3">
    <dataValidation allowBlank="true" errorStyle="stop" showDropDown="true" showErrorMessage="true" sqref="B2:B204" type="list">
      <formula1>"主要,次要,偶尔"</formula1>
    </dataValidation>
    <dataValidation allowBlank="true" errorStyle="stop" showDropDown="true" showErrorMessage="true" sqref="C2:C204" type="list">
      <formula1>"侧面,地面"</formula1>
    </dataValidation>
    <dataValidation allowBlank="true" errorStyle="stop" showDropDown="true" showErrorMessage="true" sqref="D2:D204" type="list">
      <formula1>"Back,Mid,Side,Corner,Top,Single"</formula1>
    </dataValidation>
  </dataValidation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DropDown="true" showErrorMessage="true" xr:uid="{B3C3982A-5649-43D2-93B1-DFA2879D59B5}">
          <x14:formula1>
            <xm:f>'引用列表'!$S$2:$S$70</xm:f>
          </x14:formula1>
          <xm:sqref>A2:A204</xm:sqref>
        </x14:dataValidation>
      </x14:dataValidations>
    </ext>
  </extLst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ad355"/>
    <outlinePr summaryBelow="false" summaryRight="false"/>
  </sheetPr>
  <dimension ref="A1"/>
  <sheetViews>
    <sheetView showGridLines="true" workbookViewId="0">
      <pane state="frozen" topLeftCell="F2" xSplit="5" ySplit="1"/>
    </sheetView>
  </sheetViews>
  <sheetFormatPr defaultColWidth="14" defaultRowHeight="19"/>
  <cols>
    <col collapsed="false" customWidth="true" hidden="false" max="1" min="1" style="0" width="2"/>
    <col collapsed="false" customWidth="true" hidden="false" max="2" min="2" style="0" width="2"/>
    <col collapsed="false" customWidth="true" hidden="false" max="3" min="3" style="0" width="2"/>
    <col collapsed="false" customWidth="true" hidden="false" max="4" min="4" style="0" width="2"/>
    <col collapsed="false" customWidth="true" hidden="false" max="5" min="5" style="0" width="49"/>
    <col collapsed="false" customWidth="true" hidden="false" max="6" min="6" style="0" width="8"/>
    <col collapsed="false" customWidth="true" hidden="false" max="7" min="7" style="0" width="9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"/>
    <col collapsed="false" customWidth="true" hidden="false" max="17" min="17" style="0" width="16"/>
    <col collapsed="false" hidden="false" max="18" min="18" style="0" width="107"/>
    <col collapsed="false" customWidth="true" hidden="false" max="19" min="19" outlineLevel="1" style="0" width="107"/>
    <col collapsed="false" customWidth="true" hidden="false" max="20" min="20" outlineLevel="1" style="0" width="13"/>
    <col collapsed="false" customWidth="true" hidden="false" max="21" min="21" outlineLevel="1" style="0" width="13"/>
    <col collapsed="false" customWidth="true" hidden="true" max="22" min="22" outlineLevel="1" style="0" width="13"/>
    <col collapsed="false" customWidth="true" hidden="true" max="23" min="23" outlineLevel="1" style="0" width="13"/>
    <col collapsed="false" customWidth="true" hidden="false" max="24" min="24" outlineLevel="1" style="0" width="13"/>
    <col collapsed="false" customWidth="true" hidden="false" max="25" min="25" outlineLevel="1" style="0" width="13"/>
    <col collapsed="false" customWidth="true" hidden="true" max="26" min="26" outlineLevel="1" style="0" width="13"/>
    <col collapsed="false" customWidth="true" hidden="true" max="27" min="27" outlineLevel="1" style="0" width="13"/>
    <col collapsed="false" customWidth="true" hidden="false" max="28" min="28" outlineLevel="1" style="0" width="13"/>
    <col collapsed="false" customWidth="true" hidden="false" max="29" min="29" style="0" width="4"/>
    <col collapsed="false" customWidth="true" hidden="false" max="30" min="30" style="0" width="40"/>
    <col collapsed="false" customWidth="true" hidden="false" max="31" min="31" style="0" width="10"/>
    <col collapsed="false" customWidth="true" hidden="false" max="32" min="32" style="0" width="15"/>
    <col collapsed="false" customWidth="true" hidden="false" max="33" min="33" style="0" width="46"/>
    <col collapsed="false" customWidth="true" hidden="false" max="34" min="34" style="0" width="35"/>
  </cols>
  <sheetData>
    <row r="1">
      <c r="A1" s="4" t="str" xml:space="preserve">
        <v> </v>
      </c>
      <c r="B1" s="11"/>
      <c r="C1" s="11"/>
      <c r="D1" s="11"/>
      <c r="E1" s="11" t="str">
        <v>Name</v>
      </c>
      <c r="F1" s="11" t="str">
        <v>Type</v>
      </c>
      <c r="G1" s="11" t="str">
        <v>World</v>
      </c>
      <c r="H1" s="11" t="str">
        <v>Usage</v>
      </c>
      <c r="I1" s="11" t="str">
        <v>PCG Detail</v>
      </c>
      <c r="J1" s="11" t="str">
        <v>Style 1</v>
      </c>
      <c r="K1" s="70" t="str">
        <v>Style 2</v>
      </c>
      <c r="L1" s="14" t="str">
        <v>Angle</v>
      </c>
      <c r="M1" s="14" t="str">
        <v>Face</v>
      </c>
      <c r="N1" s="70" t="str">
        <v>C1</v>
      </c>
      <c r="O1" s="70" t="str">
        <v>C2</v>
      </c>
      <c r="P1" s="11" t="str" xml:space="preserve">
        <v> </v>
      </c>
      <c r="Q1" s="11" t="str">
        <v>Folder Name</v>
      </c>
      <c r="R1" s="11" t="str" xml:space="preserve">
        <v> </v>
      </c>
      <c r="S1" s="14" t="str">
        <v>MeshRef</v>
      </c>
      <c r="T1" s="14" t="str">
        <v>StartOpeningType</v>
      </c>
      <c r="U1" s="70" t="str">
        <v>EndOpeningType</v>
      </c>
      <c r="V1" s="14" t="str">
        <v>LeftOpeningType</v>
      </c>
      <c r="W1" s="14" t="str">
        <v>RightOpeningType</v>
      </c>
      <c r="X1" s="14" t="str">
        <v>StartStyleType</v>
      </c>
      <c r="Y1" s="14" t="str">
        <v>EndStyleType</v>
      </c>
      <c r="Z1" s="14" t="str">
        <v>LeftStyleType</v>
      </c>
      <c r="AA1" s="14" t="str">
        <v>RightStyleType</v>
      </c>
      <c r="AB1" s="14" t="str">
        <v>bEndOnly</v>
      </c>
      <c r="AC1" s="7" t="str" xml:space="preserve">
        <v> </v>
      </c>
      <c r="AD1" s="11" t="str">
        <v>适配TAG</v>
      </c>
      <c r="AE1" s="6">
        <f>"建模 "&amp;COUNTIF(AE2:AE1098,"✅")</f>
      </c>
      <c r="AF1" s="11"/>
      <c r="AG1" s="11" t="str">
        <v>材质实例</v>
      </c>
      <c r="AH1" s="11" t="str">
        <v>贴图</v>
      </c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customHeight="true" ht="19" r="2">
      <c r="A2" s="34" t="str" xml:space="preserve">
        <v> </v>
      </c>
      <c r="B2" s="34" t="str" xml:space="preserve">
        <v> </v>
      </c>
      <c r="C2" s="34" t="str" xml:space="preserve">
        <v> </v>
      </c>
      <c r="D2" s="34"/>
      <c r="E2" s="34">
        <f>IF(F2="", "", TEXTJOIN("_", TRUE, F2:O2))</f>
      </c>
      <c r="F2" s="29" t="str">
        <v>SM</v>
      </c>
      <c r="G2" s="34" t="str">
        <v>Test</v>
      </c>
      <c r="H2" s="34" t="str">
        <v>Blank</v>
      </c>
      <c r="I2" s="31"/>
      <c r="J2" s="31" t="str">
        <v>Any</v>
      </c>
      <c r="K2" s="31"/>
      <c r="L2" s="29"/>
      <c r="M2" s="29"/>
      <c r="N2" s="31"/>
      <c r="O2" s="31"/>
      <c r="P2" s="29"/>
      <c r="Q2" s="32">
        <f>"World_"&amp;VLOOKUP(G2,'引用列表'!Q:R,2,FALSE)&amp;"_"&amp;G2</f>
      </c>
      <c r="R2" s="34"/>
      <c r="S2" s="29">
        <f>IF(AE2="✅", "/Script/Engine.StaticMesh'/Game/Item/Mesh/Voxel/" &amp; Q2 &amp; "/" &amp; TEXTJOIN("_", TRUE, H2, I2) &amp; "/" &amp; E2 &amp; "." &amp; E2 &amp; "'", "")</f>
      </c>
      <c r="T2" s="29"/>
      <c r="U2" s="29"/>
      <c r="V2" s="29"/>
      <c r="W2" s="29"/>
      <c r="X2" s="29"/>
      <c r="Y2" s="29"/>
      <c r="Z2" s="29"/>
      <c r="AA2" s="29"/>
      <c r="AB2" s="34" t="b">
        <v>0</v>
      </c>
      <c r="AC2" s="29"/>
      <c r="AD2" s="32" t="str">
        <v>Blank</v>
      </c>
      <c r="AE2" s="74" t="str">
        <v>❗</v>
      </c>
      <c r="AF2" s="32">
        <f t="array" ref="AF2:AF210">TEXTJOIN(H2:I210,"_",TRUE)</f>
      </c>
      <c r="AG2" s="34"/>
      <c r="AH2" s="34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</row>
    <row customHeight="true" ht="19" r="3">
      <c r="A3" s="34" t="str" xml:space="preserve">
        <v> </v>
      </c>
      <c r="B3" s="34" t="str" xml:space="preserve">
        <v> </v>
      </c>
      <c r="C3" s="34" t="str" xml:space="preserve">
        <v> </v>
      </c>
      <c r="D3" s="34"/>
      <c r="E3" s="34">
        <f>IF(F3="", "", TEXTJOIN("_", TRUE, F3:O3))</f>
      </c>
      <c r="F3" s="29" t="str">
        <v>SM</v>
      </c>
      <c r="G3" s="34" t="str">
        <v>Test</v>
      </c>
      <c r="H3" s="34" t="str">
        <v>Blank</v>
      </c>
      <c r="I3" s="31"/>
      <c r="J3" s="31" t="str">
        <v>Close</v>
      </c>
      <c r="K3" s="31"/>
      <c r="L3" s="29"/>
      <c r="M3" s="29"/>
      <c r="N3" s="31"/>
      <c r="O3" s="31"/>
      <c r="P3" s="29"/>
      <c r="Q3" s="32">
        <f>"World_"&amp;VLOOKUP(G3,'引用列表'!Q:R,2,FALSE)&amp;"_"&amp;G3</f>
      </c>
      <c r="R3" s="34"/>
      <c r="S3" s="29">
        <f>IF(AE3="✅", "/Script/Engine.StaticMesh'/Game/Item/Mesh/Voxel/" &amp; Q3 &amp; "/" &amp; TEXTJOIN("_", TRUE, H3, I3) &amp; "/" &amp; E3 &amp; "." &amp; E3 &amp; "'", "")</f>
      </c>
      <c r="T3" s="29" t="str">
        <v>Close</v>
      </c>
      <c r="U3" s="29" t="str">
        <v>Close</v>
      </c>
      <c r="V3" s="29" t="str">
        <v>Close</v>
      </c>
      <c r="W3" s="29" t="str">
        <v>Close</v>
      </c>
      <c r="X3" s="29"/>
      <c r="Y3" s="29"/>
      <c r="Z3" s="29"/>
      <c r="AA3" s="29"/>
      <c r="AB3" s="34" t="b">
        <v>0</v>
      </c>
      <c r="AC3" s="29"/>
      <c r="AD3" s="32" t="str">
        <v>Blank</v>
      </c>
      <c r="AE3" s="74" t="str">
        <v>❗</v>
      </c>
      <c r="AF3" s="32" t="str">
        <v>Blank</v>
      </c>
      <c r="AG3" s="34"/>
      <c r="AH3" s="34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</row>
    <row customHeight="true" ht="19" r="4">
      <c r="A4" s="34" t="str" xml:space="preserve">
        <v> </v>
      </c>
      <c r="B4" s="34" t="str" xml:space="preserve">
        <v> </v>
      </c>
      <c r="C4" s="34" t="str" xml:space="preserve">
        <v> </v>
      </c>
      <c r="D4" s="34"/>
      <c r="E4" s="34">
        <f>IF(F4="", "", TEXTJOIN("_", TRUE, F4:O4))</f>
      </c>
      <c r="F4" s="29" t="str">
        <v>SM</v>
      </c>
      <c r="G4" s="34" t="str">
        <v>Test</v>
      </c>
      <c r="H4" s="34" t="str">
        <v>Blank</v>
      </c>
      <c r="I4" s="31"/>
      <c r="J4" s="31" t="str">
        <v>Open</v>
      </c>
      <c r="K4" s="31"/>
      <c r="L4" s="29"/>
      <c r="M4" s="29"/>
      <c r="N4" s="31"/>
      <c r="O4" s="31"/>
      <c r="P4" s="29"/>
      <c r="Q4" s="32">
        <f>"World_"&amp;VLOOKUP(G4,'引用列表'!Q:R,2,FALSE)&amp;"_"&amp;G4</f>
      </c>
      <c r="R4" s="34"/>
      <c r="S4" s="29">
        <f>IF(AE4="✅", "/Script/Engine.StaticMesh'/Game/Item/Mesh/Voxel/" &amp; Q4 &amp; "/" &amp; TEXTJOIN("_", TRUE, H4, I4) &amp; "/" &amp; E4 &amp; "." &amp; E4 &amp; "'", "")</f>
      </c>
      <c r="T4" s="29" t="str">
        <v>Open</v>
      </c>
      <c r="U4" s="29" t="str">
        <v>Open</v>
      </c>
      <c r="V4" s="29" t="str">
        <v>Open</v>
      </c>
      <c r="W4" s="29" t="str">
        <v>Open</v>
      </c>
      <c r="X4" s="29"/>
      <c r="Y4" s="29"/>
      <c r="Z4" s="29"/>
      <c r="AA4" s="29"/>
      <c r="AB4" s="34" t="b">
        <v>0</v>
      </c>
      <c r="AC4" s="29"/>
      <c r="AD4" s="32" t="str">
        <v>Blank</v>
      </c>
      <c r="AE4" s="74" t="str">
        <v>❗</v>
      </c>
      <c r="AF4" s="32" t="str">
        <v>Blank</v>
      </c>
      <c r="AG4" s="34"/>
      <c r="AH4" s="34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</row>
    <row customHeight="true" ht="19" r="5">
      <c r="A5" s="14" t="str">
        <v>World_01_TheCity</v>
      </c>
      <c r="B5" s="14"/>
      <c r="C5" s="14"/>
      <c r="D5" s="14"/>
      <c r="E5" s="98"/>
      <c r="F5" s="96"/>
      <c r="G5" s="98"/>
      <c r="H5" s="98"/>
      <c r="I5" s="96"/>
      <c r="J5" s="96"/>
      <c r="K5" s="97"/>
      <c r="L5" s="96"/>
      <c r="M5" s="96"/>
      <c r="N5" s="97"/>
      <c r="O5" s="97"/>
      <c r="P5" s="96"/>
      <c r="Q5" s="99"/>
      <c r="R5" s="98"/>
      <c r="S5" s="96">
        <f>IF(AE5="✅", "/Script/Engine.StaticMesh'/Game/Item/Mesh/Voxel/" &amp; Q5 &amp; "/" &amp; TEXTJOIN("_", TRUE, H5, I5) &amp; "/" &amp; E5 &amp; "." &amp; E5 &amp; "'", "")</f>
      </c>
      <c r="T5" s="96"/>
      <c r="U5" s="96"/>
      <c r="V5" s="96"/>
      <c r="W5" s="96"/>
      <c r="X5" s="96"/>
      <c r="Y5" s="96"/>
      <c r="Z5" s="96"/>
      <c r="AA5" s="96"/>
      <c r="AB5" s="98"/>
      <c r="AC5" s="96"/>
      <c r="AD5" s="98"/>
      <c r="AE5" s="100"/>
      <c r="AF5" s="98" t="str"/>
      <c r="AG5" s="98"/>
      <c r="AH5" s="98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</row>
    <row collapsed="true" customHeight="true" ht="19" outlineLevel="1" r="6">
      <c r="A6" s="4" t="str" xml:space="preserve">
        <v> </v>
      </c>
      <c r="B6" s="14" t="str">
        <v>Side</v>
      </c>
      <c r="C6" s="14"/>
      <c r="D6" s="14"/>
      <c r="E6" s="98"/>
      <c r="F6" s="96"/>
      <c r="G6" s="98"/>
      <c r="H6" s="98"/>
      <c r="I6" s="96"/>
      <c r="J6" s="96"/>
      <c r="K6" s="97"/>
      <c r="L6" s="96"/>
      <c r="M6" s="96"/>
      <c r="N6" s="97"/>
      <c r="O6" s="97"/>
      <c r="P6" s="96"/>
      <c r="Q6" s="99"/>
      <c r="R6" s="98"/>
      <c r="S6" s="96">
        <f>IF(AE6="✅", "/Script/Engine.StaticMesh'/Game/Item/Mesh/Voxel/" &amp; Q6 &amp; "/" &amp; TEXTJOIN("_", TRUE, H6, I6) &amp; "/" &amp; E6 &amp; "." &amp; E6 &amp; "'", "")</f>
      </c>
      <c r="T6" s="96"/>
      <c r="U6" s="96"/>
      <c r="V6" s="96"/>
      <c r="W6" s="96"/>
      <c r="X6" s="96"/>
      <c r="Y6" s="96"/>
      <c r="Z6" s="96"/>
      <c r="AA6" s="96"/>
      <c r="AB6" s="98"/>
      <c r="AC6" s="96"/>
      <c r="AD6" s="98"/>
      <c r="AE6" s="100"/>
      <c r="AF6" s="98" t="str"/>
      <c r="AG6" s="98"/>
      <c r="AH6" s="98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</row>
    <row collapsed="true" customHeight="true" hidden="true" ht="19" outlineLevel="2" r="7">
      <c r="A7" s="4"/>
      <c r="B7" s="14"/>
      <c r="C7" s="14" t="str">
        <v>Major</v>
      </c>
      <c r="D7" s="14"/>
      <c r="E7" s="98"/>
      <c r="F7" s="96"/>
      <c r="G7" s="98"/>
      <c r="H7" s="98"/>
      <c r="I7" s="96"/>
      <c r="J7" s="96"/>
      <c r="K7" s="97"/>
      <c r="L7" s="96"/>
      <c r="M7" s="96"/>
      <c r="N7" s="97"/>
      <c r="O7" s="97"/>
      <c r="P7" s="96"/>
      <c r="Q7" s="99"/>
      <c r="R7" s="98"/>
      <c r="S7" s="96">
        <f>IF(AE7="✅", "/Script/Engine.StaticMesh'/Game/Item/Mesh/Voxel/" &amp; Q7 &amp; "/" &amp; TEXTJOIN("_", TRUE, H7, I7) &amp; "/" &amp; E7 &amp; "." &amp; E7 &amp; "'", "")</f>
      </c>
      <c r="T7" s="96"/>
      <c r="U7" s="96"/>
      <c r="V7" s="96"/>
      <c r="W7" s="96"/>
      <c r="X7" s="96"/>
      <c r="Y7" s="96"/>
      <c r="Z7" s="96"/>
      <c r="AA7" s="96"/>
      <c r="AB7" s="98"/>
      <c r="AC7" s="96"/>
      <c r="AD7" s="98"/>
      <c r="AE7" s="100"/>
      <c r="AF7" s="98" t="str"/>
      <c r="AG7" s="98"/>
      <c r="AH7" s="98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</row>
    <row customHeight="true" hidden="true" ht="19" outlineLevel="3" r="8">
      <c r="A8" s="4" t="str" xml:space="preserve">
        <v> </v>
      </c>
      <c r="B8" s="73" t="str" xml:space="preserve">
        <v> </v>
      </c>
      <c r="C8" s="14" t="str" xml:space="preserve">
        <v> </v>
      </c>
      <c r="D8" s="14"/>
      <c r="E8" s="78">
        <f>IF(F8="", "", TEXTJOIN("_", TRUE, F8:O8))</f>
      </c>
      <c r="F8" s="91" t="str">
        <v>SM</v>
      </c>
      <c r="G8" s="92" t="str">
        <v>TheCity</v>
      </c>
      <c r="H8" s="92" t="str">
        <v>Side</v>
      </c>
      <c r="I8" s="79"/>
      <c r="J8" s="79" t="str">
        <v>Major</v>
      </c>
      <c r="K8" s="79"/>
      <c r="L8" s="91" t="str">
        <v>B</v>
      </c>
      <c r="M8" s="91"/>
      <c r="N8" s="93"/>
      <c r="O8" s="93">
        <v>1</v>
      </c>
      <c r="P8" s="91"/>
      <c r="Q8" s="92">
        <f>"World_"&amp;VLOOKUP(G8,'引用列表'!Q:R,2,FALSE)&amp;"_"&amp;G8</f>
      </c>
      <c r="R8" s="92"/>
      <c r="S8" s="79">
        <f>IF(AE8="✅", "/Script/Engine.StaticMesh'/Game/Item/Mesh/Voxel/" &amp; Q8 &amp; "/" &amp; TEXTJOIN("_", TRUE, H8, I8) &amp; "/" &amp; E8 &amp; "." &amp; E8 &amp; "'", "")</f>
      </c>
      <c r="T8" s="92" t="str">
        <v>Close</v>
      </c>
      <c r="U8" s="92" t="str">
        <v>Open</v>
      </c>
      <c r="V8" s="91"/>
      <c r="W8" s="91"/>
      <c r="X8" s="79"/>
      <c r="Y8" s="79" t="str">
        <v>CityMajor</v>
      </c>
      <c r="Z8" s="91"/>
      <c r="AA8" s="91"/>
      <c r="AB8" s="92" t="b">
        <v>0</v>
      </c>
      <c r="AC8" s="91"/>
      <c r="AD8" s="92" t="str">
        <v>Side</v>
      </c>
      <c r="AE8" s="94" t="str">
        <v>✅</v>
      </c>
      <c r="AF8" s="92" t="str">
        <v>Side</v>
      </c>
      <c r="AG8" s="92">
        <f>IF(F8="", "", TEXTJOIN("_", TRUE, F8:O8))&amp;"_MI"</f>
      </c>
      <c r="AH8" s="92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</row>
    <row customHeight="true" hidden="true" ht="19" outlineLevel="3" r="9">
      <c r="A9" s="4" t="str" xml:space="preserve">
        <v> </v>
      </c>
      <c r="B9" s="73" t="str" xml:space="preserve">
        <v> </v>
      </c>
      <c r="C9" s="14" t="str" xml:space="preserve">
        <v> </v>
      </c>
      <c r="D9" s="14"/>
      <c r="E9" s="78">
        <f>IF(F9="", "", TEXTJOIN("_", TRUE, F9:O9))</f>
      </c>
      <c r="F9" s="91" t="str">
        <v>SM</v>
      </c>
      <c r="G9" s="92" t="str">
        <v>TheCity</v>
      </c>
      <c r="H9" s="92" t="str">
        <v>Side</v>
      </c>
      <c r="I9" s="79"/>
      <c r="J9" s="79" t="str">
        <v>Major</v>
      </c>
      <c r="K9" s="79"/>
      <c r="L9" s="91" t="str">
        <v>C</v>
      </c>
      <c r="M9" s="91"/>
      <c r="N9" s="93"/>
      <c r="O9" s="93">
        <v>1</v>
      </c>
      <c r="P9" s="91"/>
      <c r="Q9" s="92">
        <f>"World_"&amp;VLOOKUP(G9,'引用列表'!Q:R,2,FALSE)&amp;"_"&amp;G9</f>
      </c>
      <c r="R9" s="92"/>
      <c r="S9" s="79">
        <f>IF(AE9="✅", "/Script/Engine.StaticMesh'/Game/Item/Mesh/Voxel/" &amp; Q9 &amp; "/" &amp; TEXTJOIN("_", TRUE, H9, I9) &amp; "/" &amp; E9 &amp; "." &amp; E9 &amp; "'", "")</f>
      </c>
      <c r="T9" s="92" t="str">
        <v>Open</v>
      </c>
      <c r="U9" s="92" t="str">
        <v>Open</v>
      </c>
      <c r="V9" s="91"/>
      <c r="W9" s="91"/>
      <c r="X9" s="79" t="str">
        <v>CityMajor</v>
      </c>
      <c r="Y9" s="79" t="str">
        <v>CityMajor</v>
      </c>
      <c r="Z9" s="91"/>
      <c r="AA9" s="91"/>
      <c r="AB9" s="92" t="b">
        <v>0</v>
      </c>
      <c r="AC9" s="91"/>
      <c r="AD9" s="92" t="str">
        <v>Side</v>
      </c>
      <c r="AE9" s="94" t="str">
        <v>✅</v>
      </c>
      <c r="AF9" s="92" t="str">
        <v>Side</v>
      </c>
      <c r="AG9" s="92">
        <f>IF(F9="", "", TEXTJOIN("_", TRUE, F9:O9))&amp;"_MI"</f>
      </c>
      <c r="AH9" s="92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</row>
    <row customHeight="true" hidden="true" ht="19" outlineLevel="3" r="10">
      <c r="A10" s="4" t="str" xml:space="preserve">
        <v> </v>
      </c>
      <c r="B10" s="73" t="str" xml:space="preserve">
        <v> </v>
      </c>
      <c r="C10" s="14" t="str" xml:space="preserve">
        <v> </v>
      </c>
      <c r="D10" s="14"/>
      <c r="E10" s="78">
        <f>IF(F10="", "", TEXTJOIN("_", TRUE, F10:O10))</f>
      </c>
      <c r="F10" s="91" t="str">
        <v>SM</v>
      </c>
      <c r="G10" s="92" t="str">
        <v>TheCity</v>
      </c>
      <c r="H10" s="92" t="str">
        <v>Side</v>
      </c>
      <c r="I10" s="79"/>
      <c r="J10" s="79" t="str">
        <v>Major</v>
      </c>
      <c r="K10" s="79"/>
      <c r="L10" s="91" t="str">
        <v>T</v>
      </c>
      <c r="M10" s="91"/>
      <c r="N10" s="93"/>
      <c r="O10" s="93">
        <v>1</v>
      </c>
      <c r="P10" s="91"/>
      <c r="Q10" s="92">
        <f>"World_"&amp;VLOOKUP(G10,'引用列表'!Q:R,2,FALSE)&amp;"_"&amp;G10</f>
      </c>
      <c r="R10" s="92"/>
      <c r="S10" s="79">
        <f>IF(AE10="✅", "/Script/Engine.StaticMesh'/Game/Item/Mesh/Voxel/" &amp; Q10 &amp; "/" &amp; TEXTJOIN("_", TRUE, H10, I10) &amp; "/" &amp; E10 &amp; "." &amp; E10 &amp; "'", "")</f>
      </c>
      <c r="T10" s="92" t="str">
        <v>Open</v>
      </c>
      <c r="U10" s="92" t="str">
        <v>Close</v>
      </c>
      <c r="V10" s="91"/>
      <c r="W10" s="91"/>
      <c r="X10" s="79" t="str">
        <v>CityMajor</v>
      </c>
      <c r="Y10" s="79"/>
      <c r="Z10" s="91"/>
      <c r="AA10" s="91"/>
      <c r="AB10" s="92" t="b">
        <v>1</v>
      </c>
      <c r="AC10" s="91"/>
      <c r="AD10" s="92" t="str">
        <v>Side</v>
      </c>
      <c r="AE10" s="94" t="str">
        <v>✅</v>
      </c>
      <c r="AF10" s="92" t="str">
        <v>Side</v>
      </c>
      <c r="AG10" s="92">
        <f>IF(F10="", "", TEXTJOIN("_", TRUE, F10:O10))&amp;"_MI"</f>
      </c>
      <c r="AH10" s="92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</row>
    <row customHeight="true" hidden="true" ht="19" outlineLevel="3" r="11">
      <c r="A11" s="78" t="str" xml:space="preserve">
        <v> </v>
      </c>
      <c r="B11" s="82" t="str" xml:space="preserve">
        <v> </v>
      </c>
      <c r="C11" s="82" t="str" xml:space="preserve">
        <v> </v>
      </c>
      <c r="D11" s="82"/>
      <c r="E11" s="78">
        <f>IF(F11="", "", TEXTJOIN("_", TRUE, F11:O11))</f>
      </c>
      <c r="F11" s="91" t="str">
        <v>SM</v>
      </c>
      <c r="G11" s="92" t="str">
        <v>TheCity</v>
      </c>
      <c r="H11" s="92" t="str">
        <v>Side</v>
      </c>
      <c r="I11" s="79"/>
      <c r="J11" s="79" t="str">
        <v>Major</v>
      </c>
      <c r="K11" s="79"/>
      <c r="L11" s="91" t="str">
        <v>S</v>
      </c>
      <c r="M11" s="91"/>
      <c r="N11" s="93"/>
      <c r="O11" s="93">
        <v>1</v>
      </c>
      <c r="P11" s="91"/>
      <c r="Q11" s="92">
        <f>"World_"&amp;VLOOKUP(G11,'引用列表'!Q:R,2,FALSE)&amp;"_"&amp;G11</f>
      </c>
      <c r="R11" s="92"/>
      <c r="S11" s="79">
        <f>IF(AE11="✅", "/Script/Engine.StaticMesh'/Game/Item/Mesh/Voxel/" &amp; Q11 &amp; "/" &amp; TEXTJOIN("_", TRUE, H11, I11) &amp; "/" &amp; E11 &amp; "." &amp; E11 &amp; "'", "")</f>
      </c>
      <c r="T11" s="92" t="str">
        <v>Close</v>
      </c>
      <c r="U11" s="92" t="str">
        <v>Close</v>
      </c>
      <c r="V11" s="91"/>
      <c r="W11" s="91"/>
      <c r="X11" s="79"/>
      <c r="Y11" s="79"/>
      <c r="Z11" s="91"/>
      <c r="AA11" s="91"/>
      <c r="AB11" s="92" t="b">
        <v>0</v>
      </c>
      <c r="AC11" s="91"/>
      <c r="AD11" s="92" t="str">
        <v>Side</v>
      </c>
      <c r="AE11" s="94" t="str">
        <v>✅</v>
      </c>
      <c r="AF11" s="92" t="str">
        <v>Side</v>
      </c>
      <c r="AG11" s="92">
        <f>IF(F11="", "", TEXTJOIN("_", TRUE, F11:O11))&amp;"_MI"</f>
      </c>
      <c r="AH11" s="92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</row>
    <row customHeight="true" hidden="true" ht="19" outlineLevel="3" r="12">
      <c r="A12" s="4" t="str" xml:space="preserve">
        <v> </v>
      </c>
      <c r="B12" s="73" t="str" xml:space="preserve">
        <v> </v>
      </c>
      <c r="C12" s="14" t="str" xml:space="preserve">
        <v> </v>
      </c>
      <c r="D12" s="14"/>
      <c r="E12" s="85">
        <f>IF(F12="", "", TEXTJOIN("_", TRUE, F12:O12))</f>
      </c>
      <c r="F12" s="103" t="str">
        <v>SM</v>
      </c>
      <c r="G12" s="102" t="str">
        <v>TheCity</v>
      </c>
      <c r="H12" s="102" t="str">
        <v>Side</v>
      </c>
      <c r="I12" s="83"/>
      <c r="J12" s="83" t="str">
        <v>Major</v>
      </c>
      <c r="K12" s="83"/>
      <c r="L12" s="103" t="str">
        <v>B</v>
      </c>
      <c r="M12" s="103"/>
      <c r="N12" s="104"/>
      <c r="O12" s="104">
        <v>2</v>
      </c>
      <c r="P12" s="103"/>
      <c r="Q12" s="102">
        <f>"World_"&amp;VLOOKUP(G12,'引用列表'!Q:R,2,FALSE)&amp;"_"&amp;G12</f>
      </c>
      <c r="R12" s="102"/>
      <c r="S12" s="83">
        <f>IF(AE12="✅", "/Script/Engine.StaticMesh'/Game/Item/Mesh/Voxel/" &amp; Q12 &amp; "/" &amp; TEXTJOIN("_", TRUE, H12, I12) &amp; "/" &amp; E12 &amp; "." &amp; E12 &amp; "'", "")</f>
      </c>
      <c r="T12" s="102" t="str">
        <v>Close</v>
      </c>
      <c r="U12" s="102" t="str">
        <v>Open</v>
      </c>
      <c r="V12" s="103"/>
      <c r="W12" s="103"/>
      <c r="X12" s="83"/>
      <c r="Y12" s="83" t="str">
        <v>CityMajor</v>
      </c>
      <c r="Z12" s="103"/>
      <c r="AA12" s="103"/>
      <c r="AB12" s="102" t="b">
        <v>0</v>
      </c>
      <c r="AC12" s="103"/>
      <c r="AD12" s="102"/>
      <c r="AE12" s="105" t="str">
        <v>⭕</v>
      </c>
      <c r="AF12" s="102" t="str">
        <v>Side</v>
      </c>
      <c r="AG12" s="102">
        <f>IF(F12="", "", TEXTJOIN("_", TRUE, F12:O12))&amp;"_MI"</f>
      </c>
      <c r="AH12" s="102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</row>
    <row customHeight="true" hidden="true" ht="19" outlineLevel="3" r="13">
      <c r="A13" s="4" t="str" xml:space="preserve">
        <v> </v>
      </c>
      <c r="B13" s="73" t="str" xml:space="preserve">
        <v> </v>
      </c>
      <c r="C13" s="14" t="str" xml:space="preserve">
        <v> </v>
      </c>
      <c r="D13" s="14"/>
      <c r="E13" s="85">
        <f>IF(F13="", "", TEXTJOIN("_", TRUE, F13:O13))</f>
      </c>
      <c r="F13" s="103" t="str">
        <v>SM</v>
      </c>
      <c r="G13" s="102" t="str">
        <v>TheCity</v>
      </c>
      <c r="H13" s="102" t="str">
        <v>Side</v>
      </c>
      <c r="I13" s="83"/>
      <c r="J13" s="83" t="str">
        <v>Major</v>
      </c>
      <c r="K13" s="83"/>
      <c r="L13" s="103" t="str">
        <v>C</v>
      </c>
      <c r="M13" s="103"/>
      <c r="N13" s="104"/>
      <c r="O13" s="104">
        <v>2</v>
      </c>
      <c r="P13" s="103"/>
      <c r="Q13" s="102">
        <f>"World_"&amp;VLOOKUP(G13,'引用列表'!Q:R,2,FALSE)&amp;"_"&amp;G13</f>
      </c>
      <c r="R13" s="102"/>
      <c r="S13" s="83">
        <f>IF(AE13="✅", "/Script/Engine.StaticMesh'/Game/Item/Mesh/Voxel/" &amp; Q13 &amp; "/" &amp; TEXTJOIN("_", TRUE, H13, I13) &amp; "/" &amp; E13 &amp; "." &amp; E13 &amp; "'", "")</f>
      </c>
      <c r="T13" s="102" t="str">
        <v>Close</v>
      </c>
      <c r="U13" s="102" t="str">
        <v>Open</v>
      </c>
      <c r="V13" s="103"/>
      <c r="W13" s="103"/>
      <c r="X13" s="83"/>
      <c r="Y13" s="83" t="str">
        <v>CityMajor</v>
      </c>
      <c r="Z13" s="103"/>
      <c r="AA13" s="103"/>
      <c r="AB13" s="102" t="b">
        <v>0</v>
      </c>
      <c r="AC13" s="103"/>
      <c r="AD13" s="102"/>
      <c r="AE13" s="105" t="str">
        <v>⭕</v>
      </c>
      <c r="AF13" s="102" t="str">
        <v>Side</v>
      </c>
      <c r="AG13" s="102">
        <f>IF(F13="", "", TEXTJOIN("_", TRUE, F13:O13))&amp;"_MI"</f>
      </c>
      <c r="AH13" s="102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</row>
    <row customHeight="true" hidden="true" ht="19" outlineLevel="3" r="14">
      <c r="A14" s="4" t="str" xml:space="preserve">
        <v> </v>
      </c>
      <c r="B14" s="73" t="str" xml:space="preserve">
        <v> </v>
      </c>
      <c r="C14" s="14" t="str" xml:space="preserve">
        <v> </v>
      </c>
      <c r="D14" s="14"/>
      <c r="E14" s="85">
        <f>IF(F14="", "", TEXTJOIN("_", TRUE, F14:O14))</f>
      </c>
      <c r="F14" s="103" t="str">
        <v>SM</v>
      </c>
      <c r="G14" s="102" t="str">
        <v>TheCity</v>
      </c>
      <c r="H14" s="102" t="str">
        <v>Side</v>
      </c>
      <c r="I14" s="83"/>
      <c r="J14" s="83" t="str">
        <v>Major</v>
      </c>
      <c r="K14" s="83"/>
      <c r="L14" s="103" t="str">
        <v>T</v>
      </c>
      <c r="M14" s="103"/>
      <c r="N14" s="104"/>
      <c r="O14" s="104">
        <v>2</v>
      </c>
      <c r="P14" s="103"/>
      <c r="Q14" s="102">
        <f>"World_"&amp;VLOOKUP(G14,'引用列表'!Q:R,2,FALSE)&amp;"_"&amp;G14</f>
      </c>
      <c r="R14" s="102"/>
      <c r="S14" s="83">
        <f>IF(AE14="✅", "/Script/Engine.StaticMesh'/Game/Item/Mesh/Voxel/" &amp; Q14 &amp; "/" &amp; TEXTJOIN("_", TRUE, H14, I14) &amp; "/" &amp; E14 &amp; "." &amp; E14 &amp; "'", "")</f>
      </c>
      <c r="T14" s="102" t="str">
        <v>Close</v>
      </c>
      <c r="U14" s="102" t="str">
        <v>Open</v>
      </c>
      <c r="V14" s="103"/>
      <c r="W14" s="103"/>
      <c r="X14" s="83"/>
      <c r="Y14" s="83" t="str">
        <v>CityMajor</v>
      </c>
      <c r="Z14" s="103"/>
      <c r="AA14" s="103"/>
      <c r="AB14" s="102" t="b">
        <v>0</v>
      </c>
      <c r="AC14" s="103"/>
      <c r="AD14" s="102"/>
      <c r="AE14" s="105" t="str">
        <v>⭕</v>
      </c>
      <c r="AF14" s="102" t="str">
        <v>Side</v>
      </c>
      <c r="AG14" s="102">
        <f>IF(F14="", "", TEXTJOIN("_", TRUE, F14:O14))&amp;"_MI"</f>
      </c>
      <c r="AH14" s="102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</row>
    <row customHeight="true" hidden="true" ht="19" outlineLevel="3" r="15">
      <c r="A15" s="4" t="str" xml:space="preserve">
        <v> </v>
      </c>
      <c r="B15" s="73" t="str" xml:space="preserve">
        <v> </v>
      </c>
      <c r="C15" s="14" t="str" xml:space="preserve">
        <v> </v>
      </c>
      <c r="D15" s="14"/>
      <c r="E15" s="85">
        <f>IF(F15="", "", TEXTJOIN("_", TRUE, F15:O15))</f>
      </c>
      <c r="F15" s="103" t="str">
        <v>SM</v>
      </c>
      <c r="G15" s="102" t="str">
        <v>TheCity</v>
      </c>
      <c r="H15" s="102" t="str">
        <v>Side</v>
      </c>
      <c r="I15" s="83"/>
      <c r="J15" s="83" t="str">
        <v>Major</v>
      </c>
      <c r="K15" s="83"/>
      <c r="L15" s="103" t="str">
        <v>B</v>
      </c>
      <c r="M15" s="103"/>
      <c r="N15" s="104"/>
      <c r="O15" s="104">
        <v>3</v>
      </c>
      <c r="P15" s="103"/>
      <c r="Q15" s="102">
        <f>"World_"&amp;VLOOKUP(G15,'引用列表'!Q:R,2,FALSE)&amp;"_"&amp;G15</f>
      </c>
      <c r="R15" s="102"/>
      <c r="S15" s="83">
        <f>IF(AE15="✅", "/Script/Engine.StaticMesh'/Game/Item/Mesh/Voxel/" &amp; Q15 &amp; "/" &amp; TEXTJOIN("_", TRUE, H15, I15) &amp; "/" &amp; E15 &amp; "." &amp; E15 &amp; "'", "")</f>
      </c>
      <c r="T15" s="102" t="str">
        <v>Close</v>
      </c>
      <c r="U15" s="102" t="str">
        <v>Open</v>
      </c>
      <c r="V15" s="103"/>
      <c r="W15" s="103"/>
      <c r="X15" s="83"/>
      <c r="Y15" s="83" t="str">
        <v>CityMajor</v>
      </c>
      <c r="Z15" s="103"/>
      <c r="AA15" s="103"/>
      <c r="AB15" s="102" t="b">
        <v>0</v>
      </c>
      <c r="AC15" s="103"/>
      <c r="AD15" s="102"/>
      <c r="AE15" s="105" t="str">
        <v>⭕</v>
      </c>
      <c r="AF15" s="102" t="str">
        <v>Side</v>
      </c>
      <c r="AG15" s="102">
        <f>IF(F15="", "", TEXTJOIN("_", TRUE, F15:O15))&amp;"_MI"</f>
      </c>
      <c r="AH15" s="102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</row>
    <row customHeight="true" hidden="true" ht="19" outlineLevel="3" r="16">
      <c r="A16" s="4" t="str" xml:space="preserve">
        <v> </v>
      </c>
      <c r="B16" s="73" t="str" xml:space="preserve">
        <v> </v>
      </c>
      <c r="C16" s="14" t="str" xml:space="preserve">
        <v> </v>
      </c>
      <c r="D16" s="14"/>
      <c r="E16" s="85">
        <f>IF(F16="", "", TEXTJOIN("_", TRUE, F16:O16))</f>
      </c>
      <c r="F16" s="103" t="str">
        <v>SM</v>
      </c>
      <c r="G16" s="102" t="str">
        <v>TheCity</v>
      </c>
      <c r="H16" s="102" t="str">
        <v>Side</v>
      </c>
      <c r="I16" s="83"/>
      <c r="J16" s="83" t="str">
        <v>Major</v>
      </c>
      <c r="K16" s="83"/>
      <c r="L16" s="103" t="str">
        <v>C</v>
      </c>
      <c r="M16" s="103"/>
      <c r="N16" s="104"/>
      <c r="O16" s="104">
        <v>3</v>
      </c>
      <c r="P16" s="103"/>
      <c r="Q16" s="102">
        <f>"World_"&amp;VLOOKUP(G16,'引用列表'!Q:R,2,FALSE)&amp;"_"&amp;G16</f>
      </c>
      <c r="R16" s="102"/>
      <c r="S16" s="83">
        <f>IF(AE16="✅", "/Script/Engine.StaticMesh'/Game/Item/Mesh/Voxel/" &amp; Q16 &amp; "/" &amp; TEXTJOIN("_", TRUE, H16, I16) &amp; "/" &amp; E16 &amp; "." &amp; E16 &amp; "'", "")</f>
      </c>
      <c r="T16" s="102" t="str">
        <v>Close</v>
      </c>
      <c r="U16" s="102" t="str">
        <v>Open</v>
      </c>
      <c r="V16" s="103"/>
      <c r="W16" s="103"/>
      <c r="X16" s="83"/>
      <c r="Y16" s="83" t="str">
        <v>CityMajor</v>
      </c>
      <c r="Z16" s="103"/>
      <c r="AA16" s="103"/>
      <c r="AB16" s="102" t="b">
        <v>0</v>
      </c>
      <c r="AC16" s="103"/>
      <c r="AD16" s="102"/>
      <c r="AE16" s="105" t="str">
        <v>⭕</v>
      </c>
      <c r="AF16" s="102" t="str">
        <v>Side</v>
      </c>
      <c r="AG16" s="102">
        <f>IF(F16="", "", TEXTJOIN("_", TRUE, F16:O16))&amp;"_MI"</f>
      </c>
      <c r="AH16" s="102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</row>
    <row customHeight="true" hidden="true" ht="19" outlineLevel="3" r="17">
      <c r="A17" s="4" t="str" xml:space="preserve">
        <v> </v>
      </c>
      <c r="B17" s="73" t="str" xml:space="preserve">
        <v> </v>
      </c>
      <c r="C17" s="14" t="str" xml:space="preserve">
        <v> </v>
      </c>
      <c r="D17" s="14"/>
      <c r="E17" s="85">
        <f>IF(F17="", "", TEXTJOIN("_", TRUE, F17:O17))</f>
      </c>
      <c r="F17" s="103" t="str">
        <v>SM</v>
      </c>
      <c r="G17" s="102" t="str">
        <v>TheCity</v>
      </c>
      <c r="H17" s="102" t="str">
        <v>Side</v>
      </c>
      <c r="I17" s="83"/>
      <c r="J17" s="83" t="str">
        <v>Major</v>
      </c>
      <c r="K17" s="83"/>
      <c r="L17" s="103" t="str">
        <v>T</v>
      </c>
      <c r="M17" s="103"/>
      <c r="N17" s="104"/>
      <c r="O17" s="104">
        <v>3</v>
      </c>
      <c r="P17" s="103"/>
      <c r="Q17" s="102">
        <f>"World_"&amp;VLOOKUP(G17,'引用列表'!Q:R,2,FALSE)&amp;"_"&amp;G17</f>
      </c>
      <c r="R17" s="102"/>
      <c r="S17" s="83">
        <f>IF(AE17="✅", "/Script/Engine.StaticMesh'/Game/Item/Mesh/Voxel/" &amp; Q17 &amp; "/" &amp; TEXTJOIN("_", TRUE, H17, I17) &amp; "/" &amp; E17 &amp; "." &amp; E17 &amp; "'", "")</f>
      </c>
      <c r="T17" s="102" t="str">
        <v>Close</v>
      </c>
      <c r="U17" s="102" t="str">
        <v>Open</v>
      </c>
      <c r="V17" s="103"/>
      <c r="W17" s="103"/>
      <c r="X17" s="83"/>
      <c r="Y17" s="83" t="str">
        <v>CityMajor</v>
      </c>
      <c r="Z17" s="103"/>
      <c r="AA17" s="103"/>
      <c r="AB17" s="102" t="b">
        <v>0</v>
      </c>
      <c r="AC17" s="103"/>
      <c r="AD17" s="102"/>
      <c r="AE17" s="105" t="str">
        <v>⭕</v>
      </c>
      <c r="AF17" s="102" t="str">
        <v>Side</v>
      </c>
      <c r="AG17" s="102">
        <f>IF(F17="", "", TEXTJOIN("_", TRUE, F17:O17))&amp;"_MI"</f>
      </c>
      <c r="AH17" s="102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</row>
    <row customHeight="true" hidden="true" ht="19" outlineLevel="3" r="18">
      <c r="A18" s="4" t="str" xml:space="preserve">
        <v> </v>
      </c>
      <c r="B18" s="73" t="str" xml:space="preserve">
        <v> </v>
      </c>
      <c r="C18" s="14" t="str" xml:space="preserve">
        <v> </v>
      </c>
      <c r="D18" s="14"/>
      <c r="E18" s="85">
        <f>IF(F18="", "", TEXTJOIN("_", TRUE, F18:O18))</f>
      </c>
      <c r="F18" s="103" t="str">
        <v>SM</v>
      </c>
      <c r="G18" s="102" t="str">
        <v>TheCity</v>
      </c>
      <c r="H18" s="102" t="str">
        <v>Side</v>
      </c>
      <c r="I18" s="83"/>
      <c r="J18" s="83" t="str">
        <v>Major</v>
      </c>
      <c r="K18" s="83"/>
      <c r="L18" s="103" t="str">
        <v>B</v>
      </c>
      <c r="M18" s="103"/>
      <c r="N18" s="104"/>
      <c r="O18" s="104">
        <v>4</v>
      </c>
      <c r="P18" s="103"/>
      <c r="Q18" s="102">
        <f>"World_"&amp;VLOOKUP(G18,'引用列表'!Q:R,2,FALSE)&amp;"_"&amp;G18</f>
      </c>
      <c r="R18" s="102"/>
      <c r="S18" s="83">
        <f>IF(AE18="✅", "/Script/Engine.StaticMesh'/Game/Item/Mesh/Voxel/" &amp; Q18 &amp; "/" &amp; TEXTJOIN("_", TRUE, H18, I18) &amp; "/" &amp; E18 &amp; "." &amp; E18 &amp; "'", "")</f>
      </c>
      <c r="T18" s="102" t="str">
        <v>Close</v>
      </c>
      <c r="U18" s="102" t="str">
        <v>Open</v>
      </c>
      <c r="V18" s="103"/>
      <c r="W18" s="103"/>
      <c r="X18" s="83"/>
      <c r="Y18" s="83" t="str">
        <v>CityMajor</v>
      </c>
      <c r="Z18" s="103"/>
      <c r="AA18" s="103"/>
      <c r="AB18" s="102" t="b">
        <v>0</v>
      </c>
      <c r="AC18" s="103"/>
      <c r="AD18" s="102"/>
      <c r="AE18" s="105" t="str">
        <v>⭕</v>
      </c>
      <c r="AF18" s="102" t="str">
        <v>Side</v>
      </c>
      <c r="AG18" s="102">
        <f>IF(F18="", "", TEXTJOIN("_", TRUE, F18:O18))&amp;"_MI"</f>
      </c>
      <c r="AH18" s="102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</row>
    <row customHeight="true" hidden="true" ht="19" outlineLevel="3" r="19">
      <c r="A19" s="4" t="str" xml:space="preserve">
        <v> </v>
      </c>
      <c r="B19" s="73" t="str" xml:space="preserve">
        <v> </v>
      </c>
      <c r="C19" s="14" t="str" xml:space="preserve">
        <v> </v>
      </c>
      <c r="D19" s="14"/>
      <c r="E19" s="85">
        <f>IF(F19="", "", TEXTJOIN("_", TRUE, F19:O19))</f>
      </c>
      <c r="F19" s="103" t="str">
        <v>SM</v>
      </c>
      <c r="G19" s="102" t="str">
        <v>TheCity</v>
      </c>
      <c r="H19" s="102" t="str">
        <v>Side</v>
      </c>
      <c r="I19" s="83"/>
      <c r="J19" s="83" t="str">
        <v>Major</v>
      </c>
      <c r="K19" s="83"/>
      <c r="L19" s="103" t="str">
        <v>C</v>
      </c>
      <c r="M19" s="103"/>
      <c r="N19" s="104"/>
      <c r="O19" s="104">
        <v>4</v>
      </c>
      <c r="P19" s="103"/>
      <c r="Q19" s="102">
        <f>"World_"&amp;VLOOKUP(G19,'引用列表'!Q:R,2,FALSE)&amp;"_"&amp;G19</f>
      </c>
      <c r="R19" s="102"/>
      <c r="S19" s="83">
        <f>IF(AE19="✅", "/Script/Engine.StaticMesh'/Game/Item/Mesh/Voxel/" &amp; Q19 &amp; "/" &amp; TEXTJOIN("_", TRUE, H19, I19) &amp; "/" &amp; E19 &amp; "." &amp; E19 &amp; "'", "")</f>
      </c>
      <c r="T19" s="102" t="str">
        <v>Close</v>
      </c>
      <c r="U19" s="102" t="str">
        <v>Open</v>
      </c>
      <c r="V19" s="103"/>
      <c r="W19" s="103"/>
      <c r="X19" s="83"/>
      <c r="Y19" s="83" t="str">
        <v>CityMajor</v>
      </c>
      <c r="Z19" s="103"/>
      <c r="AA19" s="103"/>
      <c r="AB19" s="102" t="b">
        <v>0</v>
      </c>
      <c r="AC19" s="103"/>
      <c r="AD19" s="102"/>
      <c r="AE19" s="105" t="str">
        <v>⭕</v>
      </c>
      <c r="AF19" s="102" t="str">
        <v>Side</v>
      </c>
      <c r="AG19" s="102">
        <f>IF(F19="", "", TEXTJOIN("_", TRUE, F19:O19))&amp;"_MI"</f>
      </c>
      <c r="AH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</row>
    <row customHeight="true" hidden="true" ht="19" outlineLevel="3" r="20">
      <c r="A20" s="4" t="str" xml:space="preserve">
        <v> </v>
      </c>
      <c r="B20" s="73" t="str" xml:space="preserve">
        <v> </v>
      </c>
      <c r="C20" s="14" t="str" xml:space="preserve">
        <v> </v>
      </c>
      <c r="D20" s="14"/>
      <c r="E20" s="85">
        <f>IF(F20="", "", TEXTJOIN("_", TRUE, F20:O20))</f>
      </c>
      <c r="F20" s="103" t="str">
        <v>SM</v>
      </c>
      <c r="G20" s="102" t="str">
        <v>TheCity</v>
      </c>
      <c r="H20" s="102" t="str">
        <v>Side</v>
      </c>
      <c r="I20" s="83"/>
      <c r="J20" s="83" t="str">
        <v>Major</v>
      </c>
      <c r="K20" s="83"/>
      <c r="L20" s="103" t="str">
        <v>T</v>
      </c>
      <c r="M20" s="103"/>
      <c r="N20" s="104"/>
      <c r="O20" s="104">
        <v>4</v>
      </c>
      <c r="P20" s="103"/>
      <c r="Q20" s="102">
        <f>"World_"&amp;VLOOKUP(G20,'引用列表'!Q:R,2,FALSE)&amp;"_"&amp;G20</f>
      </c>
      <c r="R20" s="102"/>
      <c r="S20" s="83">
        <f>IF(AE20="✅", "/Script/Engine.StaticMesh'/Game/Item/Mesh/Voxel/" &amp; Q20 &amp; "/" &amp; TEXTJOIN("_", TRUE, H20, I20) &amp; "/" &amp; E20 &amp; "." &amp; E20 &amp; "'", "")</f>
      </c>
      <c r="T20" s="102" t="str">
        <v>Close</v>
      </c>
      <c r="U20" s="102" t="str">
        <v>Open</v>
      </c>
      <c r="V20" s="103"/>
      <c r="W20" s="103"/>
      <c r="X20" s="83"/>
      <c r="Y20" s="83" t="str">
        <v>CityMajor</v>
      </c>
      <c r="Z20" s="103"/>
      <c r="AA20" s="103"/>
      <c r="AB20" s="102" t="b">
        <v>0</v>
      </c>
      <c r="AC20" s="103"/>
      <c r="AD20" s="102"/>
      <c r="AE20" s="105" t="str">
        <v>⭕</v>
      </c>
      <c r="AF20" s="102" t="str">
        <v>Side</v>
      </c>
      <c r="AG20" s="102">
        <f>IF(F20="", "", TEXTJOIN("_", TRUE, F20:O20))&amp;"_MI"</f>
      </c>
      <c r="AH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</row>
    <row customHeight="true" hidden="true" ht="19" outlineLevel="3" r="21">
      <c r="A21" s="4" t="str" xml:space="preserve">
        <v> </v>
      </c>
      <c r="B21" s="73" t="str" xml:space="preserve">
        <v> </v>
      </c>
      <c r="C21" s="14" t="str" xml:space="preserve">
        <v> </v>
      </c>
      <c r="D21" s="14"/>
      <c r="E21" s="85">
        <f>IF(F21="", "", TEXTJOIN("_", TRUE, F21:O21))</f>
      </c>
      <c r="F21" s="103" t="str">
        <v>SM</v>
      </c>
      <c r="G21" s="102" t="str">
        <v>TheCity</v>
      </c>
      <c r="H21" s="102" t="str">
        <v>Side</v>
      </c>
      <c r="I21" s="83"/>
      <c r="J21" s="83" t="str">
        <v>Major</v>
      </c>
      <c r="K21" s="83"/>
      <c r="L21" s="103" t="str">
        <v>B</v>
      </c>
      <c r="M21" s="103"/>
      <c r="N21" s="104"/>
      <c r="O21" s="104">
        <v>5</v>
      </c>
      <c r="P21" s="103"/>
      <c r="Q21" s="102">
        <f>"World_"&amp;VLOOKUP(G21,'引用列表'!Q:R,2,FALSE)&amp;"_"&amp;G21</f>
      </c>
      <c r="R21" s="102"/>
      <c r="S21" s="83">
        <f>IF(AE21="✅", "/Script/Engine.StaticMesh'/Game/Item/Mesh/Voxel/" &amp; Q21 &amp; "/" &amp; TEXTJOIN("_", TRUE, H21, I21) &amp; "/" &amp; E21 &amp; "." &amp; E21 &amp; "'", "")</f>
      </c>
      <c r="T21" s="102" t="str">
        <v>Close</v>
      </c>
      <c r="U21" s="102" t="str">
        <v>Open</v>
      </c>
      <c r="V21" s="103"/>
      <c r="W21" s="103"/>
      <c r="X21" s="83"/>
      <c r="Y21" s="83" t="str">
        <v>CityMajor</v>
      </c>
      <c r="Z21" s="103"/>
      <c r="AA21" s="103"/>
      <c r="AB21" s="102" t="b">
        <v>0</v>
      </c>
      <c r="AC21" s="103"/>
      <c r="AD21" s="102"/>
      <c r="AE21" s="105" t="str">
        <v>⭕</v>
      </c>
      <c r="AF21" s="102" t="str">
        <v>Side</v>
      </c>
      <c r="AG21" s="102">
        <f>IF(F21="", "", TEXTJOIN("_", TRUE, F21:O21))&amp;"_MI"</f>
      </c>
      <c r="AH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</row>
    <row customHeight="true" hidden="true" ht="19" outlineLevel="3" r="22">
      <c r="A22" s="4" t="str" xml:space="preserve">
        <v> </v>
      </c>
      <c r="B22" s="73" t="str" xml:space="preserve">
        <v> </v>
      </c>
      <c r="C22" s="14" t="str" xml:space="preserve">
        <v> </v>
      </c>
      <c r="D22" s="14"/>
      <c r="E22" s="85">
        <f>IF(F22="", "", TEXTJOIN("_", TRUE, F22:O22))</f>
      </c>
      <c r="F22" s="103" t="str">
        <v>SM</v>
      </c>
      <c r="G22" s="102" t="str">
        <v>TheCity</v>
      </c>
      <c r="H22" s="102" t="str">
        <v>Side</v>
      </c>
      <c r="I22" s="83"/>
      <c r="J22" s="83" t="str">
        <v>Major</v>
      </c>
      <c r="K22" s="83"/>
      <c r="L22" s="103" t="str">
        <v>C</v>
      </c>
      <c r="M22" s="103"/>
      <c r="N22" s="104"/>
      <c r="O22" s="104">
        <v>5</v>
      </c>
      <c r="P22" s="103"/>
      <c r="Q22" s="102">
        <f>"World_"&amp;VLOOKUP(G22,'引用列表'!Q:R,2,FALSE)&amp;"_"&amp;G22</f>
      </c>
      <c r="R22" s="102"/>
      <c r="S22" s="83">
        <f>IF(AE22="✅", "/Script/Engine.StaticMesh'/Game/Item/Mesh/Voxel/" &amp; Q22 &amp; "/" &amp; TEXTJOIN("_", TRUE, H22, I22) &amp; "/" &amp; E22 &amp; "." &amp; E22 &amp; "'", "")</f>
      </c>
      <c r="T22" s="102" t="str">
        <v>Close</v>
      </c>
      <c r="U22" s="102" t="str">
        <v>Open</v>
      </c>
      <c r="V22" s="103"/>
      <c r="W22" s="103"/>
      <c r="X22" s="83"/>
      <c r="Y22" s="83" t="str">
        <v>CityMajor</v>
      </c>
      <c r="Z22" s="103"/>
      <c r="AA22" s="103"/>
      <c r="AB22" s="102" t="b">
        <v>0</v>
      </c>
      <c r="AC22" s="103"/>
      <c r="AD22" s="102"/>
      <c r="AE22" s="105" t="str">
        <v>⭕</v>
      </c>
      <c r="AF22" s="102" t="str">
        <v>Side</v>
      </c>
      <c r="AG22" s="102">
        <f>IF(F22="", "", TEXTJOIN("_", TRUE, F22:O22))&amp;"_MI"</f>
      </c>
      <c r="AH22" s="102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</row>
    <row customHeight="true" hidden="true" ht="19" outlineLevel="3" r="23">
      <c r="A23" s="4" t="str" xml:space="preserve">
        <v> </v>
      </c>
      <c r="B23" s="73" t="str" xml:space="preserve">
        <v> </v>
      </c>
      <c r="C23" s="14" t="str" xml:space="preserve">
        <v> </v>
      </c>
      <c r="D23" s="14"/>
      <c r="E23" s="85">
        <f>IF(F23="", "", TEXTJOIN("_", TRUE, F23:O23))</f>
      </c>
      <c r="F23" s="103" t="str">
        <v>SM</v>
      </c>
      <c r="G23" s="102" t="str">
        <v>TheCity</v>
      </c>
      <c r="H23" s="102" t="str">
        <v>Side</v>
      </c>
      <c r="I23" s="83"/>
      <c r="J23" s="83" t="str">
        <v>Major</v>
      </c>
      <c r="K23" s="83"/>
      <c r="L23" s="103" t="str">
        <v>T</v>
      </c>
      <c r="M23" s="103"/>
      <c r="N23" s="104"/>
      <c r="O23" s="104">
        <v>5</v>
      </c>
      <c r="P23" s="103"/>
      <c r="Q23" s="102">
        <f>"World_"&amp;VLOOKUP(G23,'引用列表'!Q:R,2,FALSE)&amp;"_"&amp;G23</f>
      </c>
      <c r="R23" s="102"/>
      <c r="S23" s="83">
        <f>IF(AE23="✅", "/Script/Engine.StaticMesh'/Game/Item/Mesh/Voxel/" &amp; Q23 &amp; "/" &amp; TEXTJOIN("_", TRUE, H23, I23) &amp; "/" &amp; E23 &amp; "." &amp; E23 &amp; "'", "")</f>
      </c>
      <c r="T23" s="102" t="str">
        <v>Close</v>
      </c>
      <c r="U23" s="102" t="str">
        <v>Open</v>
      </c>
      <c r="V23" s="103"/>
      <c r="W23" s="103"/>
      <c r="X23" s="83"/>
      <c r="Y23" s="83" t="str">
        <v>CityMajor</v>
      </c>
      <c r="Z23" s="103"/>
      <c r="AA23" s="103"/>
      <c r="AB23" s="102" t="b">
        <v>0</v>
      </c>
      <c r="AC23" s="103"/>
      <c r="AD23" s="102"/>
      <c r="AE23" s="105" t="str">
        <v>⭕</v>
      </c>
      <c r="AF23" s="102" t="str">
        <v>Side</v>
      </c>
      <c r="AG23" s="102">
        <f>IF(F23="", "", TEXTJOIN("_", TRUE, F23:O23))&amp;"_MI"</f>
      </c>
      <c r="AH23" s="102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</row>
    <row customHeight="true" hidden="true" ht="19" outlineLevel="2" r="24">
      <c r="A24" s="4"/>
      <c r="B24" s="14"/>
      <c r="C24" s="14" t="str">
        <v>Minor</v>
      </c>
      <c r="D24" s="14"/>
      <c r="E24" s="4"/>
      <c r="F24" s="5"/>
      <c r="G24" s="1"/>
      <c r="H24" s="1"/>
      <c r="I24" s="9"/>
      <c r="J24" s="9"/>
      <c r="K24" s="9"/>
      <c r="L24" s="5"/>
      <c r="M24" s="5"/>
      <c r="N24" s="10"/>
      <c r="O24" s="10"/>
      <c r="P24" s="5"/>
      <c r="Q24" s="1"/>
      <c r="R24" s="1"/>
      <c r="S24" s="9">
        <f>IF(AE24="✅", "/Script/Engine.StaticMesh'/Game/Item/Mesh/Voxel/" &amp; Q24 &amp; "/" &amp; TEXTJOIN("_", TRUE, H24, I24) &amp; "/" &amp; E24 &amp; "." &amp; E24 &amp; "'", "")</f>
      </c>
      <c r="T24" s="1"/>
      <c r="U24" s="1"/>
      <c r="V24" s="5"/>
      <c r="W24" s="5"/>
      <c r="X24" s="9"/>
      <c r="Y24" s="9"/>
      <c r="Z24" s="5"/>
      <c r="AA24" s="5"/>
      <c r="AB24" s="1"/>
      <c r="AC24" s="5"/>
      <c r="AD24" s="1"/>
      <c r="AE24" s="3"/>
      <c r="AF24" s="1" t="str"/>
      <c r="AG24" s="1"/>
      <c r="AH24" s="1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customHeight="true" hidden="true" ht="19" outlineLevel="3" r="25">
      <c r="A25" s="4" t="str" xml:space="preserve">
        <v> </v>
      </c>
      <c r="B25" s="73" t="str" xml:space="preserve">
        <v> </v>
      </c>
      <c r="C25" s="14" t="str" xml:space="preserve">
        <v> </v>
      </c>
      <c r="D25" s="14"/>
      <c r="E25" s="71">
        <f>IF(F25="", "", TEXTJOIN("_", TRUE, F25:O25))</f>
      </c>
      <c r="F25" s="60" t="str">
        <v>SM</v>
      </c>
      <c r="G25" s="61" t="str">
        <v>TheCity</v>
      </c>
      <c r="H25" s="61" t="str">
        <v>Side</v>
      </c>
      <c r="I25" s="62"/>
      <c r="J25" s="62" t="str">
        <v>Minor</v>
      </c>
      <c r="K25" s="62"/>
      <c r="L25" s="60" t="str">
        <v>B</v>
      </c>
      <c r="M25" s="60"/>
      <c r="N25" s="63"/>
      <c r="O25" s="63">
        <v>1</v>
      </c>
      <c r="P25" s="60"/>
      <c r="Q25" s="61">
        <f>"World_"&amp;VLOOKUP(G25,'引用列表'!Q:R,2,FALSE)&amp;"_"&amp;G25</f>
      </c>
      <c r="R25" s="61"/>
      <c r="S25" s="62">
        <f>IF(AE25="✅", "/Script/Engine.StaticMesh'/Game/Item/Mesh/Voxel/" &amp; Q25 &amp; "/" &amp; TEXTJOIN("_", TRUE, H25, I25) &amp; "/" &amp; E25 &amp; "." &amp; E25 &amp; "'", "")</f>
      </c>
      <c r="T25" s="61" t="str">
        <v>Close</v>
      </c>
      <c r="U25" s="61" t="str">
        <v>Open</v>
      </c>
      <c r="V25" s="60"/>
      <c r="W25" s="60"/>
      <c r="X25" s="62"/>
      <c r="Y25" s="62" t="str">
        <v>CityMinor</v>
      </c>
      <c r="Z25" s="60"/>
      <c r="AA25" s="60"/>
      <c r="AB25" s="61" t="b">
        <v>0</v>
      </c>
      <c r="AC25" s="60"/>
      <c r="AD25" s="61" t="str">
        <v>Side</v>
      </c>
      <c r="AE25" s="87" t="str">
        <v>✅</v>
      </c>
      <c r="AF25" s="61" t="str">
        <v>Side</v>
      </c>
      <c r="AG25" s="61">
        <f>IF(G25&lt;&gt;"", "MI"&amp;"_", "") &amp; IF(H25&lt;&gt;"", H25, "") &amp; IF(J25&lt;&gt;"", "_" &amp; J25, "") &amp; IF(L25&lt;&gt;"", "_" &amp; L25, "")  &amp; IF(M25&lt;&gt;"", "_" &amp; M25, "") &amp; IF(K25&lt;&gt;"", "_" &amp; K25, "") &amp; IF(O25&lt;&gt;"", "_" &amp; O25, "") &amp; IF(P25&lt;&gt;"", "_" &amp; P25, "")</f>
      </c>
      <c r="AH25" s="61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customHeight="true" hidden="true" ht="19" outlineLevel="3" r="26">
      <c r="A26" s="4" t="str" xml:space="preserve">
        <v> </v>
      </c>
      <c r="B26" s="73" t="str" xml:space="preserve">
        <v> </v>
      </c>
      <c r="C26" s="14" t="str" xml:space="preserve">
        <v> </v>
      </c>
      <c r="D26" s="14"/>
      <c r="E26" s="71">
        <f>IF(F26="", "", TEXTJOIN("_", TRUE, F26:O26))</f>
      </c>
      <c r="F26" s="60" t="str">
        <v>SM</v>
      </c>
      <c r="G26" s="61" t="str">
        <v>TheCity</v>
      </c>
      <c r="H26" s="61" t="str">
        <v>Side</v>
      </c>
      <c r="I26" s="62"/>
      <c r="J26" s="62" t="str">
        <v>Minor</v>
      </c>
      <c r="K26" s="62"/>
      <c r="L26" s="60" t="str">
        <v>C</v>
      </c>
      <c r="M26" s="60"/>
      <c r="N26" s="63"/>
      <c r="O26" s="63">
        <v>1</v>
      </c>
      <c r="P26" s="60"/>
      <c r="Q26" s="61">
        <f>"World_"&amp;VLOOKUP(G26,'引用列表'!Q:R,2,FALSE)&amp;"_"&amp;G26</f>
      </c>
      <c r="R26" s="61"/>
      <c r="S26" s="62">
        <f>IF(AE26="✅", "/Script/Engine.StaticMesh'/Game/Item/Mesh/Voxel/" &amp; Q26 &amp; "/" &amp; TEXTJOIN("_", TRUE, H26, I26) &amp; "/" &amp; E26 &amp; "." &amp; E26 &amp; "'", "")</f>
      </c>
      <c r="T26" s="61" t="str">
        <v>Open</v>
      </c>
      <c r="U26" s="61" t="str">
        <v>Open</v>
      </c>
      <c r="V26" s="60"/>
      <c r="W26" s="60"/>
      <c r="X26" s="62" t="str">
        <v>CityMinor</v>
      </c>
      <c r="Y26" s="62" t="str">
        <v>CityMinor</v>
      </c>
      <c r="Z26" s="60"/>
      <c r="AA26" s="60"/>
      <c r="AB26" s="61" t="b">
        <v>0</v>
      </c>
      <c r="AC26" s="60"/>
      <c r="AD26" s="61" t="str">
        <v>Side</v>
      </c>
      <c r="AE26" s="87" t="str">
        <v>✅</v>
      </c>
      <c r="AF26" s="61" t="str">
        <v>Side</v>
      </c>
      <c r="AG26" s="61">
        <f>IF(G26&lt;&gt;"", "MI"&amp;"_", "") &amp; IF(H26&lt;&gt;"", H26, "") &amp; IF(J26&lt;&gt;"", "_" &amp; J26, "") &amp; IF(L26&lt;&gt;"", "_" &amp; L26, "")  &amp; IF(M26&lt;&gt;"", "_" &amp; M26, "") &amp; IF(K26&lt;&gt;"", "_" &amp; K26, "") &amp; IF(O26&lt;&gt;"", "_" &amp; O26, "") &amp; IF(P26&lt;&gt;"", "_" &amp; P26, "")</f>
      </c>
      <c r="AH26" s="61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customHeight="true" hidden="true" ht="19" outlineLevel="3" r="27">
      <c r="A27" s="4" t="str" xml:space="preserve">
        <v> </v>
      </c>
      <c r="B27" s="73" t="str" xml:space="preserve">
        <v> </v>
      </c>
      <c r="C27" s="14" t="str" xml:space="preserve">
        <v> </v>
      </c>
      <c r="D27" s="14"/>
      <c r="E27" s="71">
        <f>IF(F27="", "", TEXTJOIN("_", TRUE, F27:O27))</f>
      </c>
      <c r="F27" s="60" t="str">
        <v>SM</v>
      </c>
      <c r="G27" s="61" t="str">
        <v>TheCity</v>
      </c>
      <c r="H27" s="61" t="str">
        <v>Side</v>
      </c>
      <c r="I27" s="62"/>
      <c r="J27" s="62" t="str">
        <v>Minor</v>
      </c>
      <c r="K27" s="62"/>
      <c r="L27" s="60" t="str">
        <v>T</v>
      </c>
      <c r="M27" s="60"/>
      <c r="N27" s="63"/>
      <c r="O27" s="63">
        <v>1</v>
      </c>
      <c r="P27" s="60"/>
      <c r="Q27" s="61">
        <f>"World_"&amp;VLOOKUP(G27,'引用列表'!Q:R,2,FALSE)&amp;"_"&amp;G27</f>
      </c>
      <c r="R27" s="61"/>
      <c r="S27" s="62">
        <f>IF(AE27="✅", "/Script/Engine.StaticMesh'/Game/Item/Mesh/Voxel/" &amp; Q27 &amp; "/" &amp; TEXTJOIN("_", TRUE, H27, I27) &amp; "/" &amp; E27 &amp; "." &amp; E27 &amp; "'", "")</f>
      </c>
      <c r="T27" s="61" t="str">
        <v>Open</v>
      </c>
      <c r="U27" s="61" t="str">
        <v>Close</v>
      </c>
      <c r="V27" s="60"/>
      <c r="W27" s="60"/>
      <c r="X27" s="62" t="str">
        <v>CityMinor</v>
      </c>
      <c r="Y27" s="62"/>
      <c r="Z27" s="60"/>
      <c r="AA27" s="60"/>
      <c r="AB27" s="61" t="b">
        <v>1</v>
      </c>
      <c r="AC27" s="60"/>
      <c r="AD27" s="61" t="str">
        <v>Side</v>
      </c>
      <c r="AE27" s="87" t="str">
        <v>✅</v>
      </c>
      <c r="AF27" s="61" t="str">
        <v>Side</v>
      </c>
      <c r="AG27" s="61">
        <f>IF(G27&lt;&gt;"", "MI"&amp;"_", "") &amp; IF(H27&lt;&gt;"", H27, "") &amp; IF(J27&lt;&gt;"", "_" &amp; J27, "") &amp; IF(L27&lt;&gt;"", "_" &amp; L27, "")  &amp; IF(M27&lt;&gt;"", "_" &amp; M27, "") &amp; IF(K27&lt;&gt;"", "_" &amp; K27, "") &amp; IF(O27&lt;&gt;"", "_" &amp; O27, "") &amp; IF(P27&lt;&gt;"", "_" &amp; P27, "")</f>
      </c>
      <c r="AH27" s="61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</row>
    <row customHeight="true" hidden="true" ht="19" outlineLevel="3" r="28">
      <c r="A28" s="71" t="str" xml:space="preserve">
        <v> </v>
      </c>
      <c r="B28" s="114" t="str" xml:space="preserve">
        <v> </v>
      </c>
      <c r="C28" s="114" t="str" xml:space="preserve">
        <v> </v>
      </c>
      <c r="D28" s="114"/>
      <c r="E28" s="71">
        <f>IF(F28="", "", TEXTJOIN("_", TRUE, F28:O28))</f>
      </c>
      <c r="F28" s="62" t="str">
        <v>SM</v>
      </c>
      <c r="G28" s="71" t="str">
        <v>TheCity</v>
      </c>
      <c r="H28" s="71" t="str">
        <v>Side</v>
      </c>
      <c r="I28" s="62"/>
      <c r="J28" s="62" t="str">
        <v>Minor</v>
      </c>
      <c r="K28" s="62"/>
      <c r="L28" s="62" t="str">
        <v>S</v>
      </c>
      <c r="M28" s="62"/>
      <c r="N28" s="58"/>
      <c r="O28" s="58">
        <v>1</v>
      </c>
      <c r="P28" s="62"/>
      <c r="Q28" s="71">
        <f>"World_"&amp;VLOOKUP(G28,'引用列表'!Q:R,2,FALSE)&amp;"_"&amp;G28</f>
      </c>
      <c r="R28" s="71"/>
      <c r="S28" s="62">
        <f>IF(AE28="✅", "/Script/Engine.StaticMesh'/Game/Item/Mesh/Voxel/" &amp; Q28 &amp; "/" &amp; TEXTJOIN("_", TRUE, H28, I28) &amp; "/" &amp; E28 &amp; "." &amp; E28 &amp; "'", "")</f>
      </c>
      <c r="T28" s="71" t="str">
        <v>Close</v>
      </c>
      <c r="U28" s="71" t="str">
        <v>Close</v>
      </c>
      <c r="V28" s="62"/>
      <c r="W28" s="62"/>
      <c r="X28" s="62"/>
      <c r="Y28" s="62"/>
      <c r="Z28" s="62"/>
      <c r="AA28" s="62"/>
      <c r="AB28" s="71" t="b">
        <v>0</v>
      </c>
      <c r="AC28" s="62"/>
      <c r="AD28" s="71" t="str">
        <v>Side</v>
      </c>
      <c r="AE28" s="59" t="str">
        <v>✅</v>
      </c>
      <c r="AF28" s="71" t="str">
        <v>Side</v>
      </c>
      <c r="AG28" s="71">
        <f>IF(F28="", "", TEXTJOIN("_", TRUE, F28:O28))&amp;"_MI"</f>
      </c>
      <c r="AH28" s="71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</row>
    <row customHeight="true" hidden="true" ht="19" outlineLevel="3" r="29">
      <c r="A29" s="4" t="str" xml:space="preserve">
        <v> </v>
      </c>
      <c r="B29" s="73" t="str" xml:space="preserve">
        <v> </v>
      </c>
      <c r="C29" s="14" t="str" xml:space="preserve">
        <v> </v>
      </c>
      <c r="D29" s="14"/>
      <c r="E29" s="38">
        <f>IF(F29="", "", TEXTJOIN("_", TRUE, F29:O29))</f>
      </c>
      <c r="F29" s="36" t="str">
        <v>SM</v>
      </c>
      <c r="G29" s="35" t="str">
        <v>TheCity</v>
      </c>
      <c r="H29" s="35" t="str">
        <v>Side</v>
      </c>
      <c r="I29" s="37"/>
      <c r="J29" s="37" t="str">
        <v>Minor</v>
      </c>
      <c r="K29" s="37"/>
      <c r="L29" s="36" t="str">
        <v>B</v>
      </c>
      <c r="M29" s="36"/>
      <c r="N29" s="39"/>
      <c r="O29" s="39">
        <v>2</v>
      </c>
      <c r="P29" s="36"/>
      <c r="Q29" s="35">
        <f>"World_"&amp;VLOOKUP(G29,'引用列表'!Q:R,2,FALSE)&amp;"_"&amp;G29</f>
      </c>
      <c r="R29" s="35"/>
      <c r="S29" s="37">
        <f>IF(AE29="✅", "/Script/Engine.StaticMesh'/Game/Item/Mesh/Voxel/" &amp; Q29 &amp; "/" &amp; TEXTJOIN("_", TRUE, H29, I29) &amp; "/" &amp; E29 &amp; "." &amp; E29 &amp; "'", "")</f>
      </c>
      <c r="T29" s="35" t="str">
        <v>Close</v>
      </c>
      <c r="U29" s="35" t="str">
        <v>Open</v>
      </c>
      <c r="V29" s="36"/>
      <c r="W29" s="36"/>
      <c r="X29" s="37"/>
      <c r="Y29" s="37" t="str">
        <v>CityMajor</v>
      </c>
      <c r="Z29" s="36"/>
      <c r="AA29" s="36"/>
      <c r="AB29" s="35" t="b">
        <v>0</v>
      </c>
      <c r="AC29" s="36"/>
      <c r="AD29" s="35"/>
      <c r="AE29" s="72" t="str">
        <v>⭕</v>
      </c>
      <c r="AF29" s="35" t="str">
        <v>Side</v>
      </c>
      <c r="AG29" s="35">
        <f>IF(G29&lt;&gt;"", "MI"&amp;"_", "") &amp; IF(H29&lt;&gt;"", H29, "") &amp; IF(J29&lt;&gt;"", "_" &amp; J29, "") &amp; IF(L29&lt;&gt;"", "_" &amp; L29, "")  &amp; IF(M29&lt;&gt;"", "_" &amp; M29, "") &amp; IF(K29&lt;&gt;"", "_" &amp; K29, "") &amp; IF(O29&lt;&gt;"", "_" &amp; O29, "") &amp; IF(P29&lt;&gt;"", "_" &amp; P29, "")</f>
      </c>
      <c r="AH29" s="35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</row>
    <row customHeight="true" hidden="true" ht="19" outlineLevel="3" r="30">
      <c r="A30" s="4" t="str" xml:space="preserve">
        <v> </v>
      </c>
      <c r="B30" s="73" t="str" xml:space="preserve">
        <v> </v>
      </c>
      <c r="C30" s="14" t="str" xml:space="preserve">
        <v> </v>
      </c>
      <c r="D30" s="14"/>
      <c r="E30" s="38">
        <f>IF(F30="", "", TEXTJOIN("_", TRUE, F30:O30))</f>
      </c>
      <c r="F30" s="36" t="str">
        <v>SM</v>
      </c>
      <c r="G30" s="35" t="str">
        <v>TheCity</v>
      </c>
      <c r="H30" s="35" t="str">
        <v>Side</v>
      </c>
      <c r="I30" s="37"/>
      <c r="J30" s="37" t="str">
        <v>Minor</v>
      </c>
      <c r="K30" s="37"/>
      <c r="L30" s="36" t="str">
        <v>C</v>
      </c>
      <c r="M30" s="36"/>
      <c r="N30" s="39"/>
      <c r="O30" s="39">
        <v>2</v>
      </c>
      <c r="P30" s="36"/>
      <c r="Q30" s="35">
        <f>"World_"&amp;VLOOKUP(G30,'引用列表'!Q:R,2,FALSE)&amp;"_"&amp;G30</f>
      </c>
      <c r="R30" s="35"/>
      <c r="S30" s="37">
        <f>IF(AE30="✅", "/Script/Engine.StaticMesh'/Game/Item/Mesh/Voxel/" &amp; Q30 &amp; "/" &amp; TEXTJOIN("_", TRUE, H30, I30) &amp; "/" &amp; E30 &amp; "." &amp; E30 &amp; "'", "")</f>
      </c>
      <c r="T30" s="35" t="str">
        <v>Close</v>
      </c>
      <c r="U30" s="35" t="str">
        <v>Open</v>
      </c>
      <c r="V30" s="36"/>
      <c r="W30" s="36"/>
      <c r="X30" s="37"/>
      <c r="Y30" s="37" t="str">
        <v>CityMajor</v>
      </c>
      <c r="Z30" s="36"/>
      <c r="AA30" s="36"/>
      <c r="AB30" s="35" t="b">
        <v>0</v>
      </c>
      <c r="AC30" s="36"/>
      <c r="AD30" s="35"/>
      <c r="AE30" s="72" t="str">
        <v>⭕</v>
      </c>
      <c r="AF30" s="35" t="str">
        <v>Side</v>
      </c>
      <c r="AG30" s="35">
        <f>IF(G30&lt;&gt;"", "MI"&amp;"_", "") &amp; IF(H30&lt;&gt;"", H30, "") &amp; IF(J30&lt;&gt;"", "_" &amp; J30, "") &amp; IF(L30&lt;&gt;"", "_" &amp; L30, "")  &amp; IF(M30&lt;&gt;"", "_" &amp; M30, "") &amp; IF(K30&lt;&gt;"", "_" &amp; K30, "") &amp; IF(O30&lt;&gt;"", "_" &amp; O30, "") &amp; IF(P30&lt;&gt;"", "_" &amp; P30, "")</f>
      </c>
      <c r="AH30" s="35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</row>
    <row customHeight="true" hidden="true" ht="19" outlineLevel="3" r="31">
      <c r="A31" s="4" t="str" xml:space="preserve">
        <v> </v>
      </c>
      <c r="B31" s="73" t="str" xml:space="preserve">
        <v> </v>
      </c>
      <c r="C31" s="14" t="str" xml:space="preserve">
        <v> </v>
      </c>
      <c r="D31" s="14"/>
      <c r="E31" s="38">
        <f>IF(F31="", "", TEXTJOIN("_", TRUE, F31:O31))</f>
      </c>
      <c r="F31" s="36" t="str">
        <v>SM</v>
      </c>
      <c r="G31" s="35" t="str">
        <v>TheCity</v>
      </c>
      <c r="H31" s="35" t="str">
        <v>Side</v>
      </c>
      <c r="I31" s="37"/>
      <c r="J31" s="37" t="str">
        <v>Minor</v>
      </c>
      <c r="K31" s="37"/>
      <c r="L31" s="36" t="str">
        <v>T</v>
      </c>
      <c r="M31" s="36"/>
      <c r="N31" s="39"/>
      <c r="O31" s="39">
        <v>2</v>
      </c>
      <c r="P31" s="36"/>
      <c r="Q31" s="35">
        <f>"World_"&amp;VLOOKUP(G31,'引用列表'!Q:R,2,FALSE)&amp;"_"&amp;G31</f>
      </c>
      <c r="R31" s="35"/>
      <c r="S31" s="37">
        <f>IF(AE31="✅", "/Script/Engine.StaticMesh'/Game/Item/Mesh/Voxel/" &amp; Q31 &amp; "/" &amp; TEXTJOIN("_", TRUE, H31, I31) &amp; "/" &amp; E31 &amp; "." &amp; E31 &amp; "'", "")</f>
      </c>
      <c r="T31" s="35" t="str">
        <v>Close</v>
      </c>
      <c r="U31" s="35" t="str">
        <v>Open</v>
      </c>
      <c r="V31" s="36"/>
      <c r="W31" s="36"/>
      <c r="X31" s="37"/>
      <c r="Y31" s="37" t="str">
        <v>CityMajor</v>
      </c>
      <c r="Z31" s="36"/>
      <c r="AA31" s="36"/>
      <c r="AB31" s="35" t="b">
        <v>0</v>
      </c>
      <c r="AC31" s="36"/>
      <c r="AD31" s="35"/>
      <c r="AE31" s="72" t="str">
        <v>⭕</v>
      </c>
      <c r="AF31" s="35" t="str">
        <v>Side</v>
      </c>
      <c r="AG31" s="35">
        <f>IF(G31&lt;&gt;"", "MI"&amp;"_", "") &amp; IF(H31&lt;&gt;"", H31, "") &amp; IF(J31&lt;&gt;"", "_" &amp; J31, "") &amp; IF(L31&lt;&gt;"", "_" &amp; L31, "")  &amp; IF(M31&lt;&gt;"", "_" &amp; M31, "") &amp; IF(K31&lt;&gt;"", "_" &amp; K31, "") &amp; IF(O31&lt;&gt;"", "_" &amp; O31, "") &amp; IF(P31&lt;&gt;"", "_" &amp; P31, "")</f>
      </c>
      <c r="AH31" s="35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</row>
    <row customHeight="true" hidden="true" ht="19" outlineLevel="3" r="32">
      <c r="A32" s="4" t="str" xml:space="preserve">
        <v> </v>
      </c>
      <c r="B32" s="73" t="str" xml:space="preserve">
        <v> </v>
      </c>
      <c r="C32" s="14" t="str" xml:space="preserve">
        <v> </v>
      </c>
      <c r="D32" s="14"/>
      <c r="E32" s="38">
        <f>IF(F32="", "", TEXTJOIN("_", TRUE, F32:O32))</f>
      </c>
      <c r="F32" s="36" t="str">
        <v>SM</v>
      </c>
      <c r="G32" s="35" t="str">
        <v>TheCity</v>
      </c>
      <c r="H32" s="35" t="str">
        <v>Side</v>
      </c>
      <c r="I32" s="37"/>
      <c r="J32" s="37" t="str">
        <v>Minor</v>
      </c>
      <c r="K32" s="37"/>
      <c r="L32" s="36" t="str">
        <v>B</v>
      </c>
      <c r="M32" s="36"/>
      <c r="N32" s="39"/>
      <c r="O32" s="39">
        <v>3</v>
      </c>
      <c r="P32" s="36"/>
      <c r="Q32" s="35">
        <f>"World_"&amp;VLOOKUP(G32,'引用列表'!Q:R,2,FALSE)&amp;"_"&amp;G32</f>
      </c>
      <c r="R32" s="35"/>
      <c r="S32" s="37">
        <f>IF(AE32="✅", "/Script/Engine.StaticMesh'/Game/Item/Mesh/Voxel/" &amp; Q32 &amp; "/" &amp; TEXTJOIN("_", TRUE, H32, I32) &amp; "/" &amp; E32 &amp; "." &amp; E32 &amp; "'", "")</f>
      </c>
      <c r="T32" s="35" t="str">
        <v>Close</v>
      </c>
      <c r="U32" s="35" t="str">
        <v>Open</v>
      </c>
      <c r="V32" s="36"/>
      <c r="W32" s="36"/>
      <c r="X32" s="37"/>
      <c r="Y32" s="37" t="str">
        <v>CityMajor</v>
      </c>
      <c r="Z32" s="36"/>
      <c r="AA32" s="36"/>
      <c r="AB32" s="35" t="b">
        <v>0</v>
      </c>
      <c r="AC32" s="36"/>
      <c r="AD32" s="35"/>
      <c r="AE32" s="72" t="str">
        <v>⭕</v>
      </c>
      <c r="AF32" s="35" t="str">
        <v>Side</v>
      </c>
      <c r="AG32" s="35">
        <f>IF(G32&lt;&gt;"", "MI"&amp;"_", "") &amp; IF(H32&lt;&gt;"", H32, "") &amp; IF(J32&lt;&gt;"", "_" &amp; J32, "") &amp; IF(L32&lt;&gt;"", "_" &amp; L32, "")  &amp; IF(M32&lt;&gt;"", "_" &amp; M32, "") &amp; IF(K32&lt;&gt;"", "_" &amp; K32, "") &amp; IF(O32&lt;&gt;"", "_" &amp; O32, "") &amp; IF(P32&lt;&gt;"", "_" &amp; P32, "")</f>
      </c>
      <c r="AH32" s="35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</row>
    <row customHeight="true" hidden="true" ht="19" outlineLevel="3" r="33">
      <c r="A33" s="4" t="str" xml:space="preserve">
        <v> </v>
      </c>
      <c r="B33" s="73" t="str" xml:space="preserve">
        <v> </v>
      </c>
      <c r="C33" s="14" t="str" xml:space="preserve">
        <v> </v>
      </c>
      <c r="D33" s="14"/>
      <c r="E33" s="38">
        <f>IF(F33="", "", TEXTJOIN("_", TRUE, F33:O33))</f>
      </c>
      <c r="F33" s="36" t="str">
        <v>SM</v>
      </c>
      <c r="G33" s="35" t="str">
        <v>TheCity</v>
      </c>
      <c r="H33" s="35" t="str">
        <v>Side</v>
      </c>
      <c r="I33" s="37"/>
      <c r="J33" s="37" t="str">
        <v>Minor</v>
      </c>
      <c r="K33" s="37"/>
      <c r="L33" s="36" t="str">
        <v>C</v>
      </c>
      <c r="M33" s="36"/>
      <c r="N33" s="39"/>
      <c r="O33" s="39">
        <v>3</v>
      </c>
      <c r="P33" s="36"/>
      <c r="Q33" s="35">
        <f>"World_"&amp;VLOOKUP(G33,'引用列表'!Q:R,2,FALSE)&amp;"_"&amp;G33</f>
      </c>
      <c r="R33" s="35"/>
      <c r="S33" s="37">
        <f>IF(AE33="✅", "/Script/Engine.StaticMesh'/Game/Item/Mesh/Voxel/" &amp; Q33 &amp; "/" &amp; TEXTJOIN("_", TRUE, H33, I33) &amp; "/" &amp; E33 &amp; "." &amp; E33 &amp; "'", "")</f>
      </c>
      <c r="T33" s="35" t="str">
        <v>Close</v>
      </c>
      <c r="U33" s="35" t="str">
        <v>Open</v>
      </c>
      <c r="V33" s="36"/>
      <c r="W33" s="36"/>
      <c r="X33" s="37"/>
      <c r="Y33" s="37" t="str">
        <v>CityMajor</v>
      </c>
      <c r="Z33" s="36"/>
      <c r="AA33" s="36"/>
      <c r="AB33" s="35" t="b">
        <v>0</v>
      </c>
      <c r="AC33" s="36"/>
      <c r="AD33" s="35"/>
      <c r="AE33" s="72" t="str">
        <v>⭕</v>
      </c>
      <c r="AF33" s="35" t="str">
        <v>Side</v>
      </c>
      <c r="AG33" s="35">
        <f>IF(G33&lt;&gt;"", "MI"&amp;"_", "") &amp; IF(H33&lt;&gt;"", H33, "") &amp; IF(J33&lt;&gt;"", "_" &amp; J33, "") &amp; IF(L33&lt;&gt;"", "_" &amp; L33, "")  &amp; IF(M33&lt;&gt;"", "_" &amp; M33, "") &amp; IF(K33&lt;&gt;"", "_" &amp; K33, "") &amp; IF(O33&lt;&gt;"", "_" &amp; O33, "") &amp; IF(P33&lt;&gt;"", "_" &amp; P33, "")</f>
      </c>
      <c r="AH33" s="35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</row>
    <row customHeight="true" hidden="true" ht="19" outlineLevel="3" r="34">
      <c r="A34" s="4" t="str" xml:space="preserve">
        <v> </v>
      </c>
      <c r="B34" s="73" t="str" xml:space="preserve">
        <v> </v>
      </c>
      <c r="C34" s="14" t="str" xml:space="preserve">
        <v> </v>
      </c>
      <c r="D34" s="14"/>
      <c r="E34" s="38">
        <f>IF(F34="", "", TEXTJOIN("_", TRUE, F34:O34))</f>
      </c>
      <c r="F34" s="36" t="str">
        <v>SM</v>
      </c>
      <c r="G34" s="35" t="str">
        <v>TheCity</v>
      </c>
      <c r="H34" s="35" t="str">
        <v>Side</v>
      </c>
      <c r="I34" s="37"/>
      <c r="J34" s="37" t="str">
        <v>Minor</v>
      </c>
      <c r="K34" s="37"/>
      <c r="L34" s="36" t="str">
        <v>T</v>
      </c>
      <c r="M34" s="36"/>
      <c r="N34" s="39"/>
      <c r="O34" s="39">
        <v>3</v>
      </c>
      <c r="P34" s="36"/>
      <c r="Q34" s="35">
        <f>"World_"&amp;VLOOKUP(G34,'引用列表'!Q:R,2,FALSE)&amp;"_"&amp;G34</f>
      </c>
      <c r="R34" s="35"/>
      <c r="S34" s="37">
        <f>IF(AE34="✅", "/Script/Engine.StaticMesh'/Game/Item/Mesh/Voxel/" &amp; Q34 &amp; "/" &amp; TEXTJOIN("_", TRUE, H34, I34) &amp; "/" &amp; E34 &amp; "." &amp; E34 &amp; "'", "")</f>
      </c>
      <c r="T34" s="35" t="str">
        <v>Close</v>
      </c>
      <c r="U34" s="35" t="str">
        <v>Open</v>
      </c>
      <c r="V34" s="36"/>
      <c r="W34" s="36"/>
      <c r="X34" s="37"/>
      <c r="Y34" s="37" t="str">
        <v>CityMajor</v>
      </c>
      <c r="Z34" s="36"/>
      <c r="AA34" s="36"/>
      <c r="AB34" s="35" t="b">
        <v>0</v>
      </c>
      <c r="AC34" s="36"/>
      <c r="AD34" s="35"/>
      <c r="AE34" s="72" t="str">
        <v>⭕</v>
      </c>
      <c r="AF34" s="35" t="str">
        <v>Side</v>
      </c>
      <c r="AG34" s="35">
        <f>IF(G34&lt;&gt;"", "MI"&amp;"_", "") &amp; IF(H34&lt;&gt;"", H34, "") &amp; IF(J34&lt;&gt;"", "_" &amp; J34, "") &amp; IF(L34&lt;&gt;"", "_" &amp; L34, "")  &amp; IF(M34&lt;&gt;"", "_" &amp; M34, "") &amp; IF(K34&lt;&gt;"", "_" &amp; K34, "") &amp; IF(O34&lt;&gt;"", "_" &amp; O34, "") &amp; IF(P34&lt;&gt;"", "_" &amp; P34, "")</f>
      </c>
      <c r="AH34" s="35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</row>
    <row customHeight="true" hidden="true" ht="19" outlineLevel="3" r="35">
      <c r="A35" s="4" t="str" xml:space="preserve">
        <v> </v>
      </c>
      <c r="B35" s="73" t="str" xml:space="preserve">
        <v> </v>
      </c>
      <c r="C35" s="14" t="str" xml:space="preserve">
        <v> </v>
      </c>
      <c r="D35" s="14"/>
      <c r="E35" s="38">
        <f>IF(F35="", "", TEXTJOIN("_", TRUE, F35:O35))</f>
      </c>
      <c r="F35" s="36" t="str">
        <v>SM</v>
      </c>
      <c r="G35" s="35" t="str">
        <v>TheCity</v>
      </c>
      <c r="H35" s="35" t="str">
        <v>Side</v>
      </c>
      <c r="I35" s="37"/>
      <c r="J35" s="37" t="str">
        <v>Minor</v>
      </c>
      <c r="K35" s="37"/>
      <c r="L35" s="36" t="str">
        <v>B</v>
      </c>
      <c r="M35" s="36"/>
      <c r="N35" s="39"/>
      <c r="O35" s="39">
        <v>4</v>
      </c>
      <c r="P35" s="36"/>
      <c r="Q35" s="35">
        <f>"World_"&amp;VLOOKUP(G35,'引用列表'!Q:R,2,FALSE)&amp;"_"&amp;G35</f>
      </c>
      <c r="R35" s="35"/>
      <c r="S35" s="37">
        <f>IF(AE35="✅", "/Script/Engine.StaticMesh'/Game/Item/Mesh/Voxel/" &amp; Q35 &amp; "/" &amp; TEXTJOIN("_", TRUE, H35, I35) &amp; "/" &amp; E35 &amp; "." &amp; E35 &amp; "'", "")</f>
      </c>
      <c r="T35" s="35" t="str">
        <v>Close</v>
      </c>
      <c r="U35" s="35" t="str">
        <v>Open</v>
      </c>
      <c r="V35" s="36"/>
      <c r="W35" s="36"/>
      <c r="X35" s="37"/>
      <c r="Y35" s="37" t="str">
        <v>CityMajor</v>
      </c>
      <c r="Z35" s="36"/>
      <c r="AA35" s="36"/>
      <c r="AB35" s="35" t="b">
        <v>0</v>
      </c>
      <c r="AC35" s="36"/>
      <c r="AD35" s="35"/>
      <c r="AE35" s="72" t="str">
        <v>⭕</v>
      </c>
      <c r="AF35" s="35" t="str">
        <v>Side</v>
      </c>
      <c r="AG35" s="35">
        <f>IF(G35&lt;&gt;"", "MI"&amp;"_", "") &amp; IF(H35&lt;&gt;"", H35, "") &amp; IF(J35&lt;&gt;"", "_" &amp; J35, "") &amp; IF(L35&lt;&gt;"", "_" &amp; L35, "")  &amp; IF(M35&lt;&gt;"", "_" &amp; M35, "") &amp; IF(K35&lt;&gt;"", "_" &amp; K35, "") &amp; IF(O35&lt;&gt;"", "_" &amp; O35, "") &amp; IF(P35&lt;&gt;"", "_" &amp; P35, "")</f>
      </c>
      <c r="AH35" s="35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</row>
    <row customHeight="true" hidden="true" ht="19" outlineLevel="3" r="36">
      <c r="A36" s="4" t="str" xml:space="preserve">
        <v> </v>
      </c>
      <c r="B36" s="73" t="str" xml:space="preserve">
        <v> </v>
      </c>
      <c r="C36" s="14" t="str" xml:space="preserve">
        <v> </v>
      </c>
      <c r="D36" s="14"/>
      <c r="E36" s="38">
        <f>IF(F36="", "", TEXTJOIN("_", TRUE, F36:O36))</f>
      </c>
      <c r="F36" s="36" t="str">
        <v>SM</v>
      </c>
      <c r="G36" s="35" t="str">
        <v>TheCity</v>
      </c>
      <c r="H36" s="35" t="str">
        <v>Side</v>
      </c>
      <c r="I36" s="37"/>
      <c r="J36" s="37" t="str">
        <v>Minor</v>
      </c>
      <c r="K36" s="37"/>
      <c r="L36" s="36" t="str">
        <v>C</v>
      </c>
      <c r="M36" s="36"/>
      <c r="N36" s="39"/>
      <c r="O36" s="39">
        <v>4</v>
      </c>
      <c r="P36" s="36"/>
      <c r="Q36" s="35">
        <f>"World_"&amp;VLOOKUP(G36,'引用列表'!Q:R,2,FALSE)&amp;"_"&amp;G36</f>
      </c>
      <c r="R36" s="35"/>
      <c r="S36" s="37">
        <f>IF(AE36="✅", "/Script/Engine.StaticMesh'/Game/Item/Mesh/Voxel/" &amp; Q36 &amp; "/" &amp; TEXTJOIN("_", TRUE, H36, I36) &amp; "/" &amp; E36 &amp; "." &amp; E36 &amp; "'", "")</f>
      </c>
      <c r="T36" s="35" t="str">
        <v>Close</v>
      </c>
      <c r="U36" s="35" t="str">
        <v>Open</v>
      </c>
      <c r="V36" s="36"/>
      <c r="W36" s="36"/>
      <c r="X36" s="37"/>
      <c r="Y36" s="37" t="str">
        <v>CityMajor</v>
      </c>
      <c r="Z36" s="36"/>
      <c r="AA36" s="36"/>
      <c r="AB36" s="35" t="b">
        <v>0</v>
      </c>
      <c r="AC36" s="36"/>
      <c r="AD36" s="35"/>
      <c r="AE36" s="72" t="str">
        <v>⭕</v>
      </c>
      <c r="AF36" s="35" t="str">
        <v>Side</v>
      </c>
      <c r="AG36" s="35">
        <f>IF(G36&lt;&gt;"", "MI"&amp;"_", "") &amp; IF(H36&lt;&gt;"", H36, "") &amp; IF(J36&lt;&gt;"", "_" &amp; J36, "") &amp; IF(L36&lt;&gt;"", "_" &amp; L36, "")  &amp; IF(M36&lt;&gt;"", "_" &amp; M36, "") &amp; IF(K36&lt;&gt;"", "_" &amp; K36, "") &amp; IF(O36&lt;&gt;"", "_" &amp; O36, "") &amp; IF(P36&lt;&gt;"", "_" &amp; P36, "")</f>
      </c>
      <c r="AH36" s="35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</row>
    <row customHeight="true" hidden="true" ht="19" outlineLevel="3" r="37">
      <c r="A37" s="4" t="str" xml:space="preserve">
        <v> </v>
      </c>
      <c r="B37" s="73" t="str" xml:space="preserve">
        <v> </v>
      </c>
      <c r="C37" s="14" t="str" xml:space="preserve">
        <v> </v>
      </c>
      <c r="D37" s="14"/>
      <c r="E37" s="38">
        <f>IF(F37="", "", TEXTJOIN("_", TRUE, F37:O37))</f>
      </c>
      <c r="F37" s="36" t="str">
        <v>SM</v>
      </c>
      <c r="G37" s="35" t="str">
        <v>TheCity</v>
      </c>
      <c r="H37" s="35" t="str">
        <v>Side</v>
      </c>
      <c r="I37" s="37"/>
      <c r="J37" s="37" t="str">
        <v>Minor</v>
      </c>
      <c r="K37" s="37"/>
      <c r="L37" s="36" t="str">
        <v>T</v>
      </c>
      <c r="M37" s="36"/>
      <c r="N37" s="39"/>
      <c r="O37" s="39">
        <v>4</v>
      </c>
      <c r="P37" s="36"/>
      <c r="Q37" s="35">
        <f>"World_"&amp;VLOOKUP(G37,'引用列表'!Q:R,2,FALSE)&amp;"_"&amp;G37</f>
      </c>
      <c r="R37" s="35"/>
      <c r="S37" s="37">
        <f>IF(AE37="✅", "/Script/Engine.StaticMesh'/Game/Item/Mesh/Voxel/" &amp; Q37 &amp; "/" &amp; TEXTJOIN("_", TRUE, H37, I37) &amp; "/" &amp; E37 &amp; "." &amp; E37 &amp; "'", "")</f>
      </c>
      <c r="T37" s="35" t="str">
        <v>Close</v>
      </c>
      <c r="U37" s="35" t="str">
        <v>Open</v>
      </c>
      <c r="V37" s="36"/>
      <c r="W37" s="36"/>
      <c r="X37" s="37"/>
      <c r="Y37" s="37" t="str">
        <v>CityMajor</v>
      </c>
      <c r="Z37" s="36"/>
      <c r="AA37" s="36"/>
      <c r="AB37" s="35" t="b">
        <v>0</v>
      </c>
      <c r="AC37" s="36"/>
      <c r="AD37" s="35"/>
      <c r="AE37" s="72" t="str">
        <v>⭕</v>
      </c>
      <c r="AF37" s="35" t="str">
        <v>Side</v>
      </c>
      <c r="AG37" s="35">
        <f>IF(G37&lt;&gt;"", "MI"&amp;"_", "") &amp; IF(H37&lt;&gt;"", H37, "") &amp; IF(J37&lt;&gt;"", "_" &amp; J37, "") &amp; IF(L37&lt;&gt;"", "_" &amp; L37, "")  &amp; IF(M37&lt;&gt;"", "_" &amp; M37, "") &amp; IF(K37&lt;&gt;"", "_" &amp; K37, "") &amp; IF(O37&lt;&gt;"", "_" &amp; O37, "") &amp; IF(P37&lt;&gt;"", "_" &amp; P37, "")</f>
      </c>
      <c r="AH37" s="35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</row>
    <row customHeight="true" hidden="true" ht="19" outlineLevel="3" r="38">
      <c r="A38" s="4" t="str" xml:space="preserve">
        <v> </v>
      </c>
      <c r="B38" s="73" t="str" xml:space="preserve">
        <v> </v>
      </c>
      <c r="C38" s="14" t="str" xml:space="preserve">
        <v> </v>
      </c>
      <c r="D38" s="14"/>
      <c r="E38" s="38">
        <f>IF(F38="", "", TEXTJOIN("_", TRUE, F38:O38))</f>
      </c>
      <c r="F38" s="36" t="str">
        <v>SM</v>
      </c>
      <c r="G38" s="35" t="str">
        <v>TheCity</v>
      </c>
      <c r="H38" s="35" t="str">
        <v>Side</v>
      </c>
      <c r="I38" s="37"/>
      <c r="J38" s="37" t="str">
        <v>Minor</v>
      </c>
      <c r="K38" s="37"/>
      <c r="L38" s="36" t="str">
        <v>B</v>
      </c>
      <c r="M38" s="36"/>
      <c r="N38" s="39"/>
      <c r="O38" s="39">
        <v>5</v>
      </c>
      <c r="P38" s="36"/>
      <c r="Q38" s="35">
        <f>"World_"&amp;VLOOKUP(G38,'引用列表'!Q:R,2,FALSE)&amp;"_"&amp;G38</f>
      </c>
      <c r="R38" s="35"/>
      <c r="S38" s="37">
        <f>IF(AE38="✅", "/Script/Engine.StaticMesh'/Game/Item/Mesh/Voxel/" &amp; Q38 &amp; "/" &amp; TEXTJOIN("_", TRUE, H38, I38) &amp; "/" &amp; E38 &amp; "." &amp; E38 &amp; "'", "")</f>
      </c>
      <c r="T38" s="35" t="str">
        <v>Close</v>
      </c>
      <c r="U38" s="35" t="str">
        <v>Open</v>
      </c>
      <c r="V38" s="36"/>
      <c r="W38" s="36"/>
      <c r="X38" s="37"/>
      <c r="Y38" s="37" t="str">
        <v>CityMajor</v>
      </c>
      <c r="Z38" s="36"/>
      <c r="AA38" s="36"/>
      <c r="AB38" s="35" t="b">
        <v>0</v>
      </c>
      <c r="AC38" s="36"/>
      <c r="AD38" s="35"/>
      <c r="AE38" s="72" t="str">
        <v>⭕</v>
      </c>
      <c r="AF38" s="35" t="str">
        <v>Side</v>
      </c>
      <c r="AG38" s="35">
        <f>IF(G38&lt;&gt;"", "MI"&amp;"_", "") &amp; IF(H38&lt;&gt;"", H38, "") &amp; IF(J38&lt;&gt;"", "_" &amp; J38, "") &amp; IF(L38&lt;&gt;"", "_" &amp; L38, "")  &amp; IF(M38&lt;&gt;"", "_" &amp; M38, "") &amp; IF(K38&lt;&gt;"", "_" &amp; K38, "") &amp; IF(O38&lt;&gt;"", "_" &amp; O38, "") &amp; IF(P38&lt;&gt;"", "_" &amp; P38, "")</f>
      </c>
      <c r="AH38" s="35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</row>
    <row customHeight="true" hidden="true" ht="19" outlineLevel="3" r="39">
      <c r="A39" s="4" t="str" xml:space="preserve">
        <v> </v>
      </c>
      <c r="B39" s="73" t="str" xml:space="preserve">
        <v> </v>
      </c>
      <c r="C39" s="14" t="str" xml:space="preserve">
        <v> </v>
      </c>
      <c r="D39" s="14"/>
      <c r="E39" s="38">
        <f>IF(F39="", "", TEXTJOIN("_", TRUE, F39:O39))</f>
      </c>
      <c r="F39" s="36" t="str">
        <v>SM</v>
      </c>
      <c r="G39" s="35" t="str">
        <v>TheCity</v>
      </c>
      <c r="H39" s="35" t="str">
        <v>Side</v>
      </c>
      <c r="I39" s="37"/>
      <c r="J39" s="37" t="str">
        <v>Minor</v>
      </c>
      <c r="K39" s="37"/>
      <c r="L39" s="36" t="str">
        <v>C</v>
      </c>
      <c r="M39" s="36"/>
      <c r="N39" s="39"/>
      <c r="O39" s="39">
        <v>5</v>
      </c>
      <c r="P39" s="36"/>
      <c r="Q39" s="35">
        <f>"World_"&amp;VLOOKUP(G39,'引用列表'!Q:R,2,FALSE)&amp;"_"&amp;G39</f>
      </c>
      <c r="R39" s="35"/>
      <c r="S39" s="37">
        <f>IF(AE39="✅", "/Script/Engine.StaticMesh'/Game/Item/Mesh/Voxel/" &amp; Q39 &amp; "/" &amp; TEXTJOIN("_", TRUE, H39, I39) &amp; "/" &amp; E39 &amp; "." &amp; E39 &amp; "'", "")</f>
      </c>
      <c r="T39" s="35" t="str">
        <v>Close</v>
      </c>
      <c r="U39" s="35" t="str">
        <v>Open</v>
      </c>
      <c r="V39" s="36"/>
      <c r="W39" s="36"/>
      <c r="X39" s="37"/>
      <c r="Y39" s="37" t="str">
        <v>CityMajor</v>
      </c>
      <c r="Z39" s="36"/>
      <c r="AA39" s="36"/>
      <c r="AB39" s="35" t="b">
        <v>0</v>
      </c>
      <c r="AC39" s="36"/>
      <c r="AD39" s="35"/>
      <c r="AE39" s="72" t="str">
        <v>⭕</v>
      </c>
      <c r="AF39" s="35" t="str">
        <v>Side</v>
      </c>
      <c r="AG39" s="35">
        <f>IF(G39&lt;&gt;"", "MI"&amp;"_", "") &amp; IF(H39&lt;&gt;"", H39, "") &amp; IF(J39&lt;&gt;"", "_" &amp; J39, "") &amp; IF(L39&lt;&gt;"", "_" &amp; L39, "")  &amp; IF(M39&lt;&gt;"", "_" &amp; M39, "") &amp; IF(K39&lt;&gt;"", "_" &amp; K39, "") &amp; IF(O39&lt;&gt;"", "_" &amp; O39, "") &amp; IF(P39&lt;&gt;"", "_" &amp; P39, "")</f>
      </c>
      <c r="AH39" s="35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</row>
    <row customHeight="true" hidden="true" ht="19" outlineLevel="3" r="40">
      <c r="A40" s="4" t="str" xml:space="preserve">
        <v> </v>
      </c>
      <c r="B40" s="73" t="str" xml:space="preserve">
        <v> </v>
      </c>
      <c r="C40" s="14" t="str" xml:space="preserve">
        <v> </v>
      </c>
      <c r="D40" s="14"/>
      <c r="E40" s="38">
        <f>IF(F40="", "", TEXTJOIN("_", TRUE, F40:O40))</f>
      </c>
      <c r="F40" s="36" t="str">
        <v>SM</v>
      </c>
      <c r="G40" s="35" t="str">
        <v>TheCity</v>
      </c>
      <c r="H40" s="35" t="str">
        <v>Side</v>
      </c>
      <c r="I40" s="37"/>
      <c r="J40" s="37" t="str">
        <v>Minor</v>
      </c>
      <c r="K40" s="37"/>
      <c r="L40" s="36" t="str">
        <v>T</v>
      </c>
      <c r="M40" s="36"/>
      <c r="N40" s="39"/>
      <c r="O40" s="39">
        <v>5</v>
      </c>
      <c r="P40" s="36"/>
      <c r="Q40" s="35">
        <f>"World_"&amp;VLOOKUP(G40,'引用列表'!Q:R,2,FALSE)&amp;"_"&amp;G40</f>
      </c>
      <c r="R40" s="35"/>
      <c r="S40" s="37">
        <f>IF(AE40="✅", "/Script/Engine.StaticMesh'/Game/Item/Mesh/Voxel/" &amp; Q40 &amp; "/" &amp; TEXTJOIN("_", TRUE, H40, I40) &amp; "/" &amp; E40 &amp; "." &amp; E40 &amp; "'", "")</f>
      </c>
      <c r="T40" s="35" t="str">
        <v>Close</v>
      </c>
      <c r="U40" s="35" t="str">
        <v>Open</v>
      </c>
      <c r="V40" s="36"/>
      <c r="W40" s="36"/>
      <c r="X40" s="37"/>
      <c r="Y40" s="37" t="str">
        <v>CityMajor</v>
      </c>
      <c r="Z40" s="36"/>
      <c r="AA40" s="36"/>
      <c r="AB40" s="35" t="b">
        <v>0</v>
      </c>
      <c r="AC40" s="36"/>
      <c r="AD40" s="35"/>
      <c r="AE40" s="72" t="str">
        <v>⭕</v>
      </c>
      <c r="AF40" s="35" t="str">
        <v>Side</v>
      </c>
      <c r="AG40" s="35">
        <f>IF(G40&lt;&gt;"", "MI"&amp;"_", "") &amp; IF(H40&lt;&gt;"", H40, "") &amp; IF(J40&lt;&gt;"", "_" &amp; J40, "") &amp; IF(L40&lt;&gt;"", "_" &amp; L40, "")  &amp; IF(M40&lt;&gt;"", "_" &amp; M40, "") &amp; IF(K40&lt;&gt;"", "_" &amp; K40, "") &amp; IF(O40&lt;&gt;"", "_" &amp; O40, "") &amp; IF(P40&lt;&gt;"", "_" &amp; P40, "")</f>
      </c>
      <c r="AH40" s="35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</row>
    <row customHeight="true" hidden="true" ht="19" outlineLevel="2" r="41">
      <c r="A41" s="4"/>
      <c r="B41" s="14"/>
      <c r="C41" s="14" t="str">
        <v>Special</v>
      </c>
      <c r="D41" s="14"/>
      <c r="E41" s="4"/>
      <c r="F41" s="5"/>
      <c r="G41" s="1"/>
      <c r="H41" s="1"/>
      <c r="I41" s="9"/>
      <c r="J41" s="9"/>
      <c r="K41" s="27"/>
      <c r="L41" s="5"/>
      <c r="M41" s="5"/>
      <c r="N41" s="10"/>
      <c r="O41" s="10"/>
      <c r="P41" s="5"/>
      <c r="Q41" s="1"/>
      <c r="R41" s="1"/>
      <c r="S41" s="9">
        <f>IF(AE41="✅", "/Script/Engine.StaticMesh'/Game/Item/Mesh/Voxel/" &amp; Q41 &amp; "/" &amp; TEXTJOIN("_", TRUE, H41, I41) &amp; "/" &amp; E41 &amp; "." &amp; E41 &amp; "'", "")</f>
      </c>
      <c r="T41" s="1"/>
      <c r="U41" s="1"/>
      <c r="V41" s="5"/>
      <c r="W41" s="5"/>
      <c r="X41" s="9"/>
      <c r="Y41" s="9"/>
      <c r="Z41" s="5"/>
      <c r="AA41" s="5"/>
      <c r="AB41" s="1"/>
      <c r="AC41" s="5"/>
      <c r="AD41" s="1"/>
      <c r="AE41" s="3"/>
      <c r="AF41" s="1" t="str"/>
      <c r="AG41" s="1"/>
      <c r="AH41" s="1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customHeight="true" hidden="true" ht="19" outlineLevel="3" r="42">
      <c r="A42" s="4" t="str" xml:space="preserve">
        <v> </v>
      </c>
      <c r="B42" s="73" t="str" xml:space="preserve">
        <v> </v>
      </c>
      <c r="C42" s="14" t="str" xml:space="preserve">
        <v> </v>
      </c>
      <c r="D42" s="14"/>
      <c r="E42" s="78">
        <f>IF(F42="", "", TEXTJOIN("_", TRUE, F42:O42))</f>
      </c>
      <c r="F42" s="91" t="str">
        <v>SM</v>
      </c>
      <c r="G42" s="92" t="str">
        <v>TheCity</v>
      </c>
      <c r="H42" s="92" t="str">
        <v>Side</v>
      </c>
      <c r="I42" s="79"/>
      <c r="J42" s="79" t="str">
        <v>Special</v>
      </c>
      <c r="K42" s="80" t="str">
        <v>Pipe</v>
      </c>
      <c r="L42" s="91" t="str">
        <v>S</v>
      </c>
      <c r="M42" s="91"/>
      <c r="N42" s="93"/>
      <c r="O42" s="93">
        <v>1</v>
      </c>
      <c r="P42" s="91"/>
      <c r="Q42" s="92">
        <f>"World_"&amp;VLOOKUP(G42,'引用列表'!Q:R,2,FALSE)&amp;"_"&amp;G42</f>
      </c>
      <c r="R42" s="92"/>
      <c r="S42" s="79">
        <f>IF(AE42="✅", "/Script/Engine.StaticMesh'/Game/Item/Mesh/Voxel/" &amp; Q42 &amp; "/" &amp; TEXTJOIN("_", TRUE, H42, I42) &amp; "/" &amp; E42 &amp; "." &amp; E42 &amp; "'", "")</f>
      </c>
      <c r="T42" s="92" t="str">
        <v>Close</v>
      </c>
      <c r="U42" s="92" t="str">
        <v>Open</v>
      </c>
      <c r="V42" s="91"/>
      <c r="W42" s="91"/>
      <c r="X42" s="79"/>
      <c r="Y42" s="79" t="str">
        <v>CityMajor</v>
      </c>
      <c r="Z42" s="91"/>
      <c r="AA42" s="91"/>
      <c r="AB42" s="92" t="b">
        <v>0</v>
      </c>
      <c r="AC42" s="91"/>
      <c r="AD42" s="92"/>
      <c r="AE42" s="94" t="str">
        <v>⭕</v>
      </c>
      <c r="AF42" s="92" t="str">
        <v>Side</v>
      </c>
      <c r="AG42" s="92">
        <f>IF(G42&lt;&gt;"", "MI"&amp;"_", "") &amp; IF(H42&lt;&gt;"", H42, "") &amp; IF(J42&lt;&gt;"", "_" &amp; J42, "") &amp; IF(L42&lt;&gt;"", "_" &amp; L42, "")  &amp; IF(M42&lt;&gt;"", "_" &amp; M42, "") &amp; IF(K42&lt;&gt;"", "_" &amp; K42, "") &amp; IF(O42&lt;&gt;"", "_" &amp; O42, "") &amp; IF(P42&lt;&gt;"", "_" &amp; P42, "")</f>
      </c>
      <c r="AH42" s="92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</row>
    <row customHeight="true" hidden="true" ht="19" outlineLevel="3" r="43">
      <c r="A43" s="4" t="str" xml:space="preserve">
        <v> </v>
      </c>
      <c r="B43" s="73" t="str" xml:space="preserve">
        <v> </v>
      </c>
      <c r="C43" s="14" t="str" xml:space="preserve">
        <v> </v>
      </c>
      <c r="D43" s="14"/>
      <c r="E43" s="78">
        <f>IF(F43="", "", TEXTJOIN("_", TRUE, F43:O43))</f>
      </c>
      <c r="F43" s="91" t="str">
        <v>SM</v>
      </c>
      <c r="G43" s="92" t="str">
        <v>TheCity</v>
      </c>
      <c r="H43" s="92" t="str">
        <v>Side</v>
      </c>
      <c r="I43" s="79"/>
      <c r="J43" s="79" t="str">
        <v>Special</v>
      </c>
      <c r="K43" s="80" t="str">
        <v>MailBox</v>
      </c>
      <c r="L43" s="91" t="str">
        <v>S</v>
      </c>
      <c r="M43" s="91"/>
      <c r="N43" s="93"/>
      <c r="O43" s="93">
        <v>1</v>
      </c>
      <c r="P43" s="91"/>
      <c r="Q43" s="92">
        <f>"World_"&amp;VLOOKUP(G43,'引用列表'!Q:R,2,FALSE)&amp;"_"&amp;G43</f>
      </c>
      <c r="R43" s="92"/>
      <c r="S43" s="79">
        <f>IF(AE43="✅", "/Script/Engine.StaticMesh'/Game/Item/Mesh/Voxel/" &amp; Q43 &amp; "/" &amp; TEXTJOIN("_", TRUE, H43, I43) &amp; "/" &amp; E43 &amp; "." &amp; E43 &amp; "'", "")</f>
      </c>
      <c r="T43" s="92" t="str">
        <v>Close</v>
      </c>
      <c r="U43" s="92" t="str">
        <v>Open</v>
      </c>
      <c r="V43" s="91"/>
      <c r="W43" s="91"/>
      <c r="X43" s="79"/>
      <c r="Y43" s="79" t="str">
        <v>CityMajor</v>
      </c>
      <c r="Z43" s="91"/>
      <c r="AA43" s="91"/>
      <c r="AB43" s="92" t="b">
        <v>0</v>
      </c>
      <c r="AC43" s="91"/>
      <c r="AD43" s="92"/>
      <c r="AE43" s="94" t="str">
        <v>⭕</v>
      </c>
      <c r="AF43" s="92" t="str">
        <v>Side</v>
      </c>
      <c r="AG43" s="92">
        <f>IF(G43&lt;&gt;"", "MI"&amp;"_", "") &amp; IF(H43&lt;&gt;"", H43, "") &amp; IF(J43&lt;&gt;"", "_" &amp; J43, "") &amp; IF(L43&lt;&gt;"", "_" &amp; L43, "")  &amp; IF(M43&lt;&gt;"", "_" &amp; M43, "") &amp; IF(K43&lt;&gt;"", "_" &amp; K43, "") &amp; IF(O43&lt;&gt;"", "_" &amp; O43, "") &amp; IF(P43&lt;&gt;"", "_" &amp; P43, "")</f>
      </c>
      <c r="AH43" s="92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</row>
    <row hidden="true" outlineLevel="3" r="44">
      <c r="A44" s="4" t="str" xml:space="preserve">
        <v> </v>
      </c>
      <c r="B44" s="73" t="str" xml:space="preserve">
        <v> </v>
      </c>
      <c r="C44" s="14" t="str" xml:space="preserve">
        <v> </v>
      </c>
      <c r="D44" s="14"/>
      <c r="E44" s="78">
        <f>IF(F44="", "", TEXTJOIN("_", TRUE, F44:O44))</f>
      </c>
      <c r="F44" s="91" t="str">
        <v>SM</v>
      </c>
      <c r="G44" s="92" t="str">
        <v>TheCity</v>
      </c>
      <c r="H44" s="92" t="str">
        <v>Side</v>
      </c>
      <c r="I44" s="79"/>
      <c r="J44" s="79" t="str">
        <v>Special</v>
      </c>
      <c r="K44" s="80" t="str">
        <v>RoadPlate</v>
      </c>
      <c r="L44" s="91" t="str">
        <v>S</v>
      </c>
      <c r="M44" s="91"/>
      <c r="N44" s="93"/>
      <c r="O44" s="93">
        <v>1</v>
      </c>
      <c r="P44" s="91"/>
      <c r="Q44" s="92">
        <f>"World_"&amp;VLOOKUP(G44,'引用列表'!Q:R,2,FALSE)&amp;"_"&amp;G44</f>
      </c>
      <c r="R44" s="92"/>
      <c r="S44" s="79">
        <f>IF(AE44="✅", "/Script/Engine.StaticMesh'/Game/Item/Mesh/Voxel/" &amp; Q44 &amp; "/" &amp; TEXTJOIN("_", TRUE, H44, I44) &amp; "/" &amp; E44 &amp; "." &amp; E44 &amp; "'", "")</f>
      </c>
      <c r="T44" s="92" t="str">
        <v>Close</v>
      </c>
      <c r="U44" s="92" t="str">
        <v>Open</v>
      </c>
      <c r="V44" s="91"/>
      <c r="W44" s="91"/>
      <c r="X44" s="79"/>
      <c r="Y44" s="79" t="str">
        <v>CityMajor</v>
      </c>
      <c r="Z44" s="91"/>
      <c r="AA44" s="91"/>
      <c r="AB44" s="92" t="b">
        <v>0</v>
      </c>
      <c r="AC44" s="91"/>
      <c r="AD44" s="92"/>
      <c r="AE44" s="94" t="str">
        <v>⭕</v>
      </c>
      <c r="AF44" s="92" t="str">
        <v>Side</v>
      </c>
      <c r="AG44" s="92">
        <f>IF(G44&lt;&gt;"", "MI"&amp;"_", "") &amp; IF(H44&lt;&gt;"", H44, "") &amp; IF(J44&lt;&gt;"", "_" &amp; J44, "") &amp; IF(L44&lt;&gt;"", "_" &amp; L44, "")  &amp; IF(M44&lt;&gt;"", "_" &amp; M44, "") &amp; IF(K44&lt;&gt;"", "_" &amp; K44, "") &amp; IF(O44&lt;&gt;"", "_" &amp; O44, "") &amp; IF(P44&lt;&gt;"", "_" &amp; P44, "")</f>
      </c>
      <c r="AH44" s="92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</row>
    <row hidden="true" outlineLevel="3" r="45">
      <c r="A45" s="4" t="str" xml:space="preserve">
        <v> </v>
      </c>
      <c r="B45" s="73" t="str" xml:space="preserve">
        <v> </v>
      </c>
      <c r="C45" s="14" t="str" xml:space="preserve">
        <v> </v>
      </c>
      <c r="D45" s="14"/>
      <c r="E45" s="78">
        <f>IF(F45="", "", TEXTJOIN("_", TRUE, F45:O45))</f>
      </c>
      <c r="F45" s="91" t="str">
        <v>SM</v>
      </c>
      <c r="G45" s="92" t="str">
        <v>TheCity</v>
      </c>
      <c r="H45" s="92" t="str">
        <v>Side</v>
      </c>
      <c r="I45" s="79"/>
      <c r="J45" s="79" t="str">
        <v>Special</v>
      </c>
      <c r="K45" s="80" t="str">
        <v>RoadPlate</v>
      </c>
      <c r="L45" s="91" t="str">
        <v>S</v>
      </c>
      <c r="M45" s="91"/>
      <c r="N45" s="93"/>
      <c r="O45" s="93">
        <v>2</v>
      </c>
      <c r="P45" s="91"/>
      <c r="Q45" s="92">
        <f>"World_"&amp;VLOOKUP(G45,'引用列表'!Q:R,2,FALSE)&amp;"_"&amp;G45</f>
      </c>
      <c r="R45" s="92"/>
      <c r="S45" s="79">
        <f>IF(AE45="✅", "/Script/Engine.StaticMesh'/Game/Item/Mesh/Voxel/" &amp; Q45 &amp; "/" &amp; TEXTJOIN("_", TRUE, H45, I45) &amp; "/" &amp; E45 &amp; "." &amp; E45 &amp; "'", "")</f>
      </c>
      <c r="T45" s="92" t="str">
        <v>Close</v>
      </c>
      <c r="U45" s="92" t="str">
        <v>Open</v>
      </c>
      <c r="V45" s="91"/>
      <c r="W45" s="91"/>
      <c r="X45" s="79"/>
      <c r="Y45" s="79" t="str">
        <v>CityMajor</v>
      </c>
      <c r="Z45" s="91"/>
      <c r="AA45" s="91"/>
      <c r="AB45" s="92" t="b">
        <v>0</v>
      </c>
      <c r="AC45" s="91"/>
      <c r="AD45" s="92"/>
      <c r="AE45" s="94" t="str">
        <v>⭕</v>
      </c>
      <c r="AF45" s="92" t="str">
        <v>Side</v>
      </c>
      <c r="AG45" s="92">
        <f>IF(G45&lt;&gt;"", "MI"&amp;"_", "") &amp; IF(H45&lt;&gt;"", H45, "") &amp; IF(J45&lt;&gt;"", "_" &amp; J45, "") &amp; IF(L45&lt;&gt;"", "_" &amp; L45, "")  &amp; IF(M45&lt;&gt;"", "_" &amp; M45, "") &amp; IF(K45&lt;&gt;"", "_" &amp; K45, "") &amp; IF(O45&lt;&gt;"", "_" &amp; O45, "") &amp; IF(P45&lt;&gt;"", "_" &amp; P45, "")</f>
      </c>
      <c r="AH45" s="92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</row>
    <row customHeight="true" hidden="true" ht="19" outlineLevel="3" r="46">
      <c r="A46" s="4" t="str" xml:space="preserve">
        <v> </v>
      </c>
      <c r="B46" s="73" t="str" xml:space="preserve">
        <v> </v>
      </c>
      <c r="C46" s="14" t="str" xml:space="preserve">
        <v> </v>
      </c>
      <c r="D46" s="14"/>
      <c r="E46" s="78">
        <f>IF(F46="", "", TEXTJOIN("_", TRUE, F46:O46))</f>
      </c>
      <c r="F46" s="91" t="str">
        <v>SM</v>
      </c>
      <c r="G46" s="92" t="str">
        <v>TheCity</v>
      </c>
      <c r="H46" s="92" t="str">
        <v>Side</v>
      </c>
      <c r="I46" s="79"/>
      <c r="J46" s="79" t="str">
        <v>Special</v>
      </c>
      <c r="K46" s="80" t="str">
        <v>RoadPlate</v>
      </c>
      <c r="L46" s="91" t="str">
        <v>S</v>
      </c>
      <c r="M46" s="91"/>
      <c r="N46" s="93"/>
      <c r="O46" s="93">
        <v>3</v>
      </c>
      <c r="P46" s="91"/>
      <c r="Q46" s="92">
        <f>"World_"&amp;VLOOKUP(G46,'引用列表'!Q:R,2,FALSE)&amp;"_"&amp;G46</f>
      </c>
      <c r="R46" s="92"/>
      <c r="S46" s="79">
        <f>IF(AE46="✅", "/Script/Engine.StaticMesh'/Game/Item/Mesh/Voxel/" &amp; Q46 &amp; "/" &amp; TEXTJOIN("_", TRUE, H46, I46) &amp; "/" &amp; E46 &amp; "." &amp; E46 &amp; "'", "")</f>
      </c>
      <c r="T46" s="92" t="str">
        <v>Close</v>
      </c>
      <c r="U46" s="92" t="str">
        <v>Open</v>
      </c>
      <c r="V46" s="91"/>
      <c r="W46" s="91"/>
      <c r="X46" s="79"/>
      <c r="Y46" s="79" t="str">
        <v>CityMajor</v>
      </c>
      <c r="Z46" s="91"/>
      <c r="AA46" s="91"/>
      <c r="AB46" s="92" t="b">
        <v>0</v>
      </c>
      <c r="AC46" s="91"/>
      <c r="AD46" s="92"/>
      <c r="AE46" s="94" t="str">
        <v>⭕</v>
      </c>
      <c r="AF46" s="92" t="str">
        <v>Side</v>
      </c>
      <c r="AG46" s="92">
        <f>IF(G46&lt;&gt;"", "MI"&amp;"_", "") &amp; IF(H46&lt;&gt;"", H46, "") &amp; IF(J46&lt;&gt;"", "_" &amp; J46, "") &amp; IF(L46&lt;&gt;"", "_" &amp; L46, "")  &amp; IF(M46&lt;&gt;"", "_" &amp; M46, "") &amp; IF(K46&lt;&gt;"", "_" &amp; K46, "") &amp; IF(O46&lt;&gt;"", "_" &amp; O46, "") &amp; IF(P46&lt;&gt;"", "_" &amp; P46, "")</f>
      </c>
      <c r="AH46" s="92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</row>
    <row customHeight="true" hidden="true" ht="19" outlineLevel="3" r="47">
      <c r="A47" s="4" t="str" xml:space="preserve">
        <v> </v>
      </c>
      <c r="B47" s="73" t="str" xml:space="preserve">
        <v> </v>
      </c>
      <c r="C47" s="14" t="str" xml:space="preserve">
        <v> </v>
      </c>
      <c r="D47" s="14"/>
      <c r="E47" s="78">
        <f>IF(F47="", "", TEXTJOIN("_", TRUE, F47:O47))</f>
      </c>
      <c r="F47" s="91" t="str">
        <v>SM</v>
      </c>
      <c r="G47" s="92" t="str">
        <v>TheCity</v>
      </c>
      <c r="H47" s="92" t="str">
        <v>Side</v>
      </c>
      <c r="I47" s="79"/>
      <c r="J47" s="79" t="str">
        <v>Special</v>
      </c>
      <c r="K47" s="80" t="str">
        <v>WaterPlate</v>
      </c>
      <c r="L47" s="91" t="str">
        <v>S</v>
      </c>
      <c r="M47" s="91"/>
      <c r="N47" s="93"/>
      <c r="O47" s="93">
        <v>1</v>
      </c>
      <c r="P47" s="91"/>
      <c r="Q47" s="92">
        <f>"World_"&amp;VLOOKUP(G47,'引用列表'!Q:R,2,FALSE)&amp;"_"&amp;G47</f>
      </c>
      <c r="R47" s="92"/>
      <c r="S47" s="79">
        <f>IF(AE47="✅", "/Script/Engine.StaticMesh'/Game/Item/Mesh/Voxel/" &amp; Q47 &amp; "/" &amp; TEXTJOIN("_", TRUE, H47, I47) &amp; "/" &amp; E47 &amp; "." &amp; E47 &amp; "'", "")</f>
      </c>
      <c r="T47" s="92" t="str">
        <v>Close</v>
      </c>
      <c r="U47" s="92" t="str">
        <v>Open</v>
      </c>
      <c r="V47" s="91"/>
      <c r="W47" s="91"/>
      <c r="X47" s="79"/>
      <c r="Y47" s="79" t="str">
        <v>CityMajor</v>
      </c>
      <c r="Z47" s="91"/>
      <c r="AA47" s="91"/>
      <c r="AB47" s="92" t="b">
        <v>0</v>
      </c>
      <c r="AC47" s="91"/>
      <c r="AD47" s="92"/>
      <c r="AE47" s="94" t="str">
        <v>⭕</v>
      </c>
      <c r="AF47" s="92" t="str">
        <v>Side</v>
      </c>
      <c r="AG47" s="92">
        <f>IF(G47&lt;&gt;"", "MI"&amp;"_", "") &amp; IF(H47&lt;&gt;"", H47, "") &amp; IF(J47&lt;&gt;"", "_" &amp; J47, "") &amp; IF(L47&lt;&gt;"", "_" &amp; L47, "")  &amp; IF(M47&lt;&gt;"", "_" &amp; M47, "") &amp; IF(K47&lt;&gt;"", "_" &amp; K47, "") &amp; IF(O47&lt;&gt;"", "_" &amp; O47, "") &amp; IF(P47&lt;&gt;"", "_" &amp; P47, "")</f>
      </c>
      <c r="AH47" s="92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</row>
    <row hidden="true" outlineLevel="3" r="48">
      <c r="A48" s="4" t="str" xml:space="preserve">
        <v> </v>
      </c>
      <c r="B48" s="73" t="str" xml:space="preserve">
        <v> </v>
      </c>
      <c r="C48" s="14" t="str" xml:space="preserve">
        <v> </v>
      </c>
      <c r="D48" s="14"/>
      <c r="E48" s="78">
        <f>IF(F48="", "", TEXTJOIN("_", TRUE, F48:O48))</f>
      </c>
      <c r="F48" s="91" t="str">
        <v>SM</v>
      </c>
      <c r="G48" s="92" t="str">
        <v>TheCity</v>
      </c>
      <c r="H48" s="92" t="str">
        <v>Side</v>
      </c>
      <c r="I48" s="79"/>
      <c r="J48" s="79" t="str">
        <v>Special</v>
      </c>
      <c r="K48" s="80" t="str">
        <v>ChairYellow</v>
      </c>
      <c r="L48" s="91" t="str">
        <v>B</v>
      </c>
      <c r="M48" s="91"/>
      <c r="N48" s="93"/>
      <c r="O48" s="93">
        <v>1</v>
      </c>
      <c r="P48" s="91"/>
      <c r="Q48" s="92">
        <f>"World_"&amp;VLOOKUP(G48,'引用列表'!Q:R,2,FALSE)&amp;"_"&amp;G48</f>
      </c>
      <c r="R48" s="92"/>
      <c r="S48" s="79">
        <f>IF(AE48="✅", "/Script/Engine.StaticMesh'/Game/Item/Mesh/Voxel/" &amp; Q48 &amp; "/" &amp; TEXTJOIN("_", TRUE, H48, I48) &amp; "/" &amp; E48 &amp; "." &amp; E48 &amp; "'", "")</f>
      </c>
      <c r="T48" s="92" t="str">
        <v>Close</v>
      </c>
      <c r="U48" s="92" t="str">
        <v>Open</v>
      </c>
      <c r="V48" s="91"/>
      <c r="W48" s="91"/>
      <c r="X48" s="79"/>
      <c r="Y48" s="79" t="str">
        <v>CityMajor</v>
      </c>
      <c r="Z48" s="91"/>
      <c r="AA48" s="91"/>
      <c r="AB48" s="92" t="b">
        <v>0</v>
      </c>
      <c r="AC48" s="91"/>
      <c r="AD48" s="92"/>
      <c r="AE48" s="94" t="str">
        <v>⭕</v>
      </c>
      <c r="AF48" s="92" t="str">
        <v>Side</v>
      </c>
      <c r="AG48" s="92">
        <f>IF(G48&lt;&gt;"", "MI"&amp;"_", "") &amp; IF(H48&lt;&gt;"", H48, "") &amp; IF(J48&lt;&gt;"", "_" &amp; J48, "") &amp; IF(L48&lt;&gt;"", "_" &amp; L48, "")  &amp; IF(M48&lt;&gt;"", "_" &amp; M48, "") &amp; IF(K48&lt;&gt;"", "_" &amp; K48, "") &amp; IF(O48&lt;&gt;"", "_" &amp; O48, "") &amp; IF(P48&lt;&gt;"", "_" &amp; P48, "")</f>
      </c>
      <c r="AH48" s="92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</row>
    <row hidden="true" outlineLevel="3" r="49">
      <c r="A49" s="4" t="str" xml:space="preserve">
        <v> </v>
      </c>
      <c r="B49" s="73" t="str" xml:space="preserve">
        <v> </v>
      </c>
      <c r="C49" s="14" t="str" xml:space="preserve">
        <v> </v>
      </c>
      <c r="D49" s="14"/>
      <c r="E49" s="78">
        <f>IF(F49="", "", TEXTJOIN("_", TRUE, F49:O49))</f>
      </c>
      <c r="F49" s="91" t="str">
        <v>SM</v>
      </c>
      <c r="G49" s="92" t="str">
        <v>TheCity</v>
      </c>
      <c r="H49" s="92" t="str">
        <v>Side</v>
      </c>
      <c r="I49" s="79"/>
      <c r="J49" s="79" t="str">
        <v>Special</v>
      </c>
      <c r="K49" s="80" t="str">
        <v>ChairYellow</v>
      </c>
      <c r="L49" s="91" t="str">
        <v>B</v>
      </c>
      <c r="M49" s="91"/>
      <c r="N49" s="93"/>
      <c r="O49" s="93">
        <v>2</v>
      </c>
      <c r="P49" s="91"/>
      <c r="Q49" s="92">
        <f>"World_"&amp;VLOOKUP(G49,'引用列表'!Q:R,2,FALSE)&amp;"_"&amp;G49</f>
      </c>
      <c r="R49" s="92"/>
      <c r="S49" s="79">
        <f>IF(AE49="✅", "/Script/Engine.StaticMesh'/Game/Item/Mesh/Voxel/" &amp; Q49 &amp; "/" &amp; TEXTJOIN("_", TRUE, H49, I49) &amp; "/" &amp; E49 &amp; "." &amp; E49 &amp; "'", "")</f>
      </c>
      <c r="T49" s="92" t="str">
        <v>Close</v>
      </c>
      <c r="U49" s="92" t="str">
        <v>Open</v>
      </c>
      <c r="V49" s="91"/>
      <c r="W49" s="91"/>
      <c r="X49" s="79"/>
      <c r="Y49" s="79" t="str">
        <v>CityMajor</v>
      </c>
      <c r="Z49" s="91"/>
      <c r="AA49" s="91"/>
      <c r="AB49" s="92" t="b">
        <v>0</v>
      </c>
      <c r="AC49" s="91"/>
      <c r="AD49" s="92"/>
      <c r="AE49" s="94" t="str">
        <v>⭕</v>
      </c>
      <c r="AF49" s="92" t="str">
        <v>Side</v>
      </c>
      <c r="AG49" s="92">
        <f>IF(G49&lt;&gt;"", "MI"&amp;"_", "") &amp; IF(H49&lt;&gt;"", H49, "") &amp; IF(J49&lt;&gt;"", "_" &amp; J49, "") &amp; IF(L49&lt;&gt;"", "_" &amp; L49, "")  &amp; IF(M49&lt;&gt;"", "_" &amp; M49, "") &amp; IF(K49&lt;&gt;"", "_" &amp; K49, "") &amp; IF(O49&lt;&gt;"", "_" &amp; O49, "") &amp; IF(P49&lt;&gt;"", "_" &amp; P49, "")</f>
      </c>
      <c r="AH49" s="92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</row>
    <row hidden="true" outlineLevel="3" r="50">
      <c r="A50" s="4" t="str" xml:space="preserve">
        <v> </v>
      </c>
      <c r="B50" s="73" t="str" xml:space="preserve">
        <v> </v>
      </c>
      <c r="C50" s="14" t="str" xml:space="preserve">
        <v> </v>
      </c>
      <c r="D50" s="14"/>
      <c r="E50" s="78">
        <f>IF(F50="", "", TEXTJOIN("_", TRUE, F50:O50))</f>
      </c>
      <c r="F50" s="91" t="str">
        <v>SM</v>
      </c>
      <c r="G50" s="92" t="str">
        <v>TheCity</v>
      </c>
      <c r="H50" s="92" t="str">
        <v>Side</v>
      </c>
      <c r="I50" s="79"/>
      <c r="J50" s="79" t="str">
        <v>Special</v>
      </c>
      <c r="K50" s="80" t="str">
        <v>ChairGreen</v>
      </c>
      <c r="L50" s="91" t="str">
        <v>B</v>
      </c>
      <c r="M50" s="91"/>
      <c r="N50" s="93"/>
      <c r="O50" s="93">
        <v>1</v>
      </c>
      <c r="P50" s="91"/>
      <c r="Q50" s="92">
        <f>"World_"&amp;VLOOKUP(G50,'引用列表'!Q:R,2,FALSE)&amp;"_"&amp;G50</f>
      </c>
      <c r="R50" s="92"/>
      <c r="S50" s="79">
        <f>IF(AE50="✅", "/Script/Engine.StaticMesh'/Game/Item/Mesh/Voxel/" &amp; Q50 &amp; "/" &amp; TEXTJOIN("_", TRUE, H50, I50) &amp; "/" &amp; E50 &amp; "." &amp; E50 &amp; "'", "")</f>
      </c>
      <c r="T50" s="92" t="str">
        <v>Close</v>
      </c>
      <c r="U50" s="92" t="str">
        <v>Open</v>
      </c>
      <c r="V50" s="91"/>
      <c r="W50" s="91"/>
      <c r="X50" s="79"/>
      <c r="Y50" s="79" t="str">
        <v>CityMajor</v>
      </c>
      <c r="Z50" s="91"/>
      <c r="AA50" s="91"/>
      <c r="AB50" s="92" t="b">
        <v>0</v>
      </c>
      <c r="AC50" s="91"/>
      <c r="AD50" s="92"/>
      <c r="AE50" s="94" t="str">
        <v>⭕</v>
      </c>
      <c r="AF50" s="92" t="str">
        <v>Side</v>
      </c>
      <c r="AG50" s="92">
        <f>IF(G50&lt;&gt;"", "MI"&amp;"_", "") &amp; IF(H50&lt;&gt;"", H50, "") &amp; IF(J50&lt;&gt;"", "_" &amp; J50, "") &amp; IF(L50&lt;&gt;"", "_" &amp; L50, "")  &amp; IF(M50&lt;&gt;"", "_" &amp; M50, "") &amp; IF(K50&lt;&gt;"", "_" &amp; K50, "") &amp; IF(O50&lt;&gt;"", "_" &amp; O50, "") &amp; IF(P50&lt;&gt;"", "_" &amp; P50, "")</f>
      </c>
      <c r="AH50" s="92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</row>
    <row customHeight="true" hidden="true" ht="19" outlineLevel="3" r="51">
      <c r="A51" s="4" t="str" xml:space="preserve">
        <v> </v>
      </c>
      <c r="B51" s="73" t="str" xml:space="preserve">
        <v> </v>
      </c>
      <c r="C51" s="14" t="str" xml:space="preserve">
        <v> </v>
      </c>
      <c r="D51" s="14"/>
      <c r="E51" s="78">
        <f>IF(F51="", "", TEXTJOIN("_", TRUE, F51:O51))</f>
      </c>
      <c r="F51" s="91" t="str">
        <v>SM</v>
      </c>
      <c r="G51" s="92" t="str">
        <v>TheCity</v>
      </c>
      <c r="H51" s="92" t="str">
        <v>Side</v>
      </c>
      <c r="I51" s="79"/>
      <c r="J51" s="79" t="str">
        <v>Special</v>
      </c>
      <c r="K51" s="80" t="str">
        <v>ChairGreen</v>
      </c>
      <c r="L51" s="91" t="str">
        <v>C</v>
      </c>
      <c r="M51" s="91"/>
      <c r="N51" s="93"/>
      <c r="O51" s="93">
        <v>1</v>
      </c>
      <c r="P51" s="91"/>
      <c r="Q51" s="92">
        <f>"World_"&amp;VLOOKUP(G51,'引用列表'!Q:R,2,FALSE)&amp;"_"&amp;G51</f>
      </c>
      <c r="R51" s="92"/>
      <c r="S51" s="79">
        <f>IF(AE51="✅", "/Script/Engine.StaticMesh'/Game/Item/Mesh/Voxel/" &amp; Q51 &amp; "/" &amp; TEXTJOIN("_", TRUE, H51, I51) &amp; "/" &amp; E51 &amp; "." &amp; E51 &amp; "'", "")</f>
      </c>
      <c r="T51" s="92" t="str">
        <v>Close</v>
      </c>
      <c r="U51" s="92" t="str">
        <v>Open</v>
      </c>
      <c r="V51" s="91"/>
      <c r="W51" s="91"/>
      <c r="X51" s="79"/>
      <c r="Y51" s="79" t="str">
        <v>CityMajor</v>
      </c>
      <c r="Z51" s="91"/>
      <c r="AA51" s="91"/>
      <c r="AB51" s="92" t="b">
        <v>0</v>
      </c>
      <c r="AC51" s="91"/>
      <c r="AD51" s="92"/>
      <c r="AE51" s="94" t="str">
        <v>⭕</v>
      </c>
      <c r="AF51" s="92" t="str">
        <v>Side</v>
      </c>
      <c r="AG51" s="92">
        <f>IF(G51&lt;&gt;"", "MI"&amp;"_", "") &amp; IF(H51&lt;&gt;"", H51, "") &amp; IF(J51&lt;&gt;"", "_" &amp; J51, "") &amp; IF(L51&lt;&gt;"", "_" &amp; L51, "")  &amp; IF(M51&lt;&gt;"", "_" &amp; M51, "") &amp; IF(K51&lt;&gt;"", "_" &amp; K51, "") &amp; IF(O51&lt;&gt;"", "_" &amp; O51, "") &amp; IF(P51&lt;&gt;"", "_" &amp; P51, "")</f>
      </c>
      <c r="AH51" s="92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</row>
    <row hidden="true" outlineLevel="3" r="52">
      <c r="A52" s="4" t="str" xml:space="preserve">
        <v> </v>
      </c>
      <c r="B52" s="73" t="str" xml:space="preserve">
        <v> </v>
      </c>
      <c r="C52" s="14" t="str" xml:space="preserve">
        <v> </v>
      </c>
      <c r="D52" s="14"/>
      <c r="E52" s="78">
        <f>IF(F52="", "", TEXTJOIN("_", TRUE, F52:O52))</f>
      </c>
      <c r="F52" s="91" t="str">
        <v>SM</v>
      </c>
      <c r="G52" s="92" t="str">
        <v>TheCity</v>
      </c>
      <c r="H52" s="92" t="str">
        <v>Side</v>
      </c>
      <c r="I52" s="79"/>
      <c r="J52" s="79" t="str">
        <v>Special</v>
      </c>
      <c r="K52" s="80" t="str">
        <v>ChairGreen</v>
      </c>
      <c r="L52" s="91" t="str">
        <v>T</v>
      </c>
      <c r="M52" s="91"/>
      <c r="N52" s="93"/>
      <c r="O52" s="93">
        <v>1</v>
      </c>
      <c r="P52" s="91"/>
      <c r="Q52" s="92">
        <f>"World_"&amp;VLOOKUP(G52,'引用列表'!Q:R,2,FALSE)&amp;"_"&amp;G52</f>
      </c>
      <c r="R52" s="92"/>
      <c r="S52" s="79">
        <f>IF(AE52="✅", "/Script/Engine.StaticMesh'/Game/Item/Mesh/Voxel/" &amp; Q52 &amp; "/" &amp; TEXTJOIN("_", TRUE, H52, I52) &amp; "/" &amp; E52 &amp; "." &amp; E52 &amp; "'", "")</f>
      </c>
      <c r="T52" s="92" t="str">
        <v>Close</v>
      </c>
      <c r="U52" s="92" t="str">
        <v>Open</v>
      </c>
      <c r="V52" s="91"/>
      <c r="W52" s="91"/>
      <c r="X52" s="79"/>
      <c r="Y52" s="79" t="str">
        <v>CityMajor</v>
      </c>
      <c r="Z52" s="91"/>
      <c r="AA52" s="91"/>
      <c r="AB52" s="92" t="b">
        <v>0</v>
      </c>
      <c r="AC52" s="91"/>
      <c r="AD52" s="92"/>
      <c r="AE52" s="94" t="str">
        <v>⭕</v>
      </c>
      <c r="AF52" s="92" t="str">
        <v>Side</v>
      </c>
      <c r="AG52" s="92">
        <f>IF(G52&lt;&gt;"", "MI"&amp;"_", "") &amp; IF(H52&lt;&gt;"", H52, "") &amp; IF(J52&lt;&gt;"", "_" &amp; J52, "") &amp; IF(L52&lt;&gt;"", "_" &amp; L52, "")  &amp; IF(M52&lt;&gt;"", "_" &amp; M52, "") &amp; IF(K52&lt;&gt;"", "_" &amp; K52, "") &amp; IF(O52&lt;&gt;"", "_" &amp; O52, "") &amp; IF(P52&lt;&gt;"", "_" &amp; P52, "")</f>
      </c>
      <c r="AH52" s="92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</row>
    <row collapsed="true" customHeight="true" ht="19" outlineLevel="1" r="53">
      <c r="A53" s="4"/>
      <c r="B53" s="14" t="str">
        <v>Gound</v>
      </c>
      <c r="C53" s="14"/>
      <c r="D53" s="14"/>
      <c r="E53" s="4"/>
      <c r="F53" s="5"/>
      <c r="G53" s="1"/>
      <c r="H53" s="1"/>
      <c r="I53" s="5"/>
      <c r="J53" s="5"/>
      <c r="K53" s="27"/>
      <c r="L53" s="5"/>
      <c r="M53" s="5"/>
      <c r="N53" s="10"/>
      <c r="O53" s="10"/>
      <c r="P53" s="5"/>
      <c r="Q53" s="1"/>
      <c r="R53" s="1"/>
      <c r="S53" s="9"/>
      <c r="T53" s="5"/>
      <c r="U53" s="5"/>
      <c r="V53" s="5"/>
      <c r="W53" s="5"/>
      <c r="X53" s="5"/>
      <c r="Y53" s="5"/>
      <c r="Z53" s="5"/>
      <c r="AA53" s="5"/>
      <c r="AB53" s="1"/>
      <c r="AC53" s="5"/>
      <c r="AD53" s="4"/>
      <c r="AE53" s="2"/>
      <c r="AF53" s="4" t="str"/>
      <c r="AG53" s="1"/>
      <c r="AH53" s="1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customHeight="true" hidden="true" ht="19" outlineLevel="2" r="54">
      <c r="A54" s="4"/>
      <c r="B54" s="14"/>
      <c r="C54" s="14" t="str">
        <v>Sidewalk</v>
      </c>
      <c r="D54" s="14"/>
      <c r="E54" s="4"/>
      <c r="F54" s="5"/>
      <c r="G54" s="1"/>
      <c r="H54" s="1"/>
      <c r="I54" s="5"/>
      <c r="J54" s="5"/>
      <c r="K54" s="27"/>
      <c r="L54" s="5"/>
      <c r="M54" s="5"/>
      <c r="N54" s="10"/>
      <c r="O54" s="10"/>
      <c r="P54" s="5"/>
      <c r="Q54" s="1"/>
      <c r="R54" s="1"/>
      <c r="S54" s="9"/>
      <c r="T54" s="5"/>
      <c r="U54" s="5"/>
      <c r="V54" s="5"/>
      <c r="W54" s="5"/>
      <c r="X54" s="5"/>
      <c r="Y54" s="5"/>
      <c r="Z54" s="5"/>
      <c r="AA54" s="5"/>
      <c r="AB54" s="1"/>
      <c r="AC54" s="5"/>
      <c r="AD54" s="4"/>
      <c r="AE54" s="2"/>
      <c r="AF54" s="4" t="str"/>
      <c r="AG54" s="1"/>
      <c r="AH54" s="1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customHeight="true" hidden="true" ht="19" outlineLevel="3" r="55">
      <c r="A55" s="4" t="str" xml:space="preserve">
        <v> </v>
      </c>
      <c r="B55" s="14"/>
      <c r="C55" s="14"/>
      <c r="D55" s="14"/>
      <c r="E55" s="71">
        <f>IF(F55="", "", TEXTJOIN("_", TRUE, F55:O55))</f>
      </c>
      <c r="F55" s="60" t="str">
        <v>SM</v>
      </c>
      <c r="G55" s="61" t="str">
        <v>TheCity</v>
      </c>
      <c r="H55" s="61" t="str">
        <v>Ground</v>
      </c>
      <c r="I55" s="60"/>
      <c r="J55" s="58" t="str">
        <v>Major</v>
      </c>
      <c r="K55" s="60" t="str">
        <v>Sidewalk</v>
      </c>
      <c r="L55" s="60" t="str">
        <v>TR</v>
      </c>
      <c r="M55" s="60" t="str">
        <v>Corner</v>
      </c>
      <c r="N55" s="60"/>
      <c r="O55" s="63">
        <v>2</v>
      </c>
      <c r="P55" s="60"/>
      <c r="Q55" s="61">
        <f>"World_"&amp;VLOOKUP(G55,'引用列表'!Q:R,2,FALSE)&amp;"_"&amp;G55</f>
      </c>
      <c r="R55" s="61"/>
      <c r="S55" s="62">
        <f>IF(AE55="✅", "/Script/Engine.StaticMesh'/Game/Item/Mesh/Voxel/" &amp; Q55 &amp; "/" &amp; TEXTJOIN("_", TRUE, H55, I55) &amp; "/" &amp; E55 &amp; "." &amp; E55 &amp; "'", "")</f>
      </c>
      <c r="T55" s="60" t="str">
        <v>Close</v>
      </c>
      <c r="U55" s="60" t="str">
        <v>Close</v>
      </c>
      <c r="V55" s="60"/>
      <c r="W55" s="60"/>
      <c r="X55" s="60"/>
      <c r="Y55" s="60" t="str">
        <v>Road</v>
      </c>
      <c r="Z55" s="60"/>
      <c r="AA55" s="60"/>
      <c r="AB55" s="61" t="b">
        <v>0</v>
      </c>
      <c r="AC55" s="60"/>
      <c r="AD55" s="71"/>
      <c r="AE55" s="59" t="str">
        <v>➖</v>
      </c>
      <c r="AF55" s="71" t="str">
        <v>Ground</v>
      </c>
      <c r="AG55" s="61"/>
      <c r="AH55" s="61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</row>
    <row customHeight="true" hidden="true" ht="19" outlineLevel="3" r="56">
      <c r="A56" s="4" t="str" xml:space="preserve">
        <v> </v>
      </c>
      <c r="B56" s="14"/>
      <c r="C56" s="14"/>
      <c r="D56" s="14"/>
      <c r="E56" s="71">
        <f>IF(F56="", "", TEXTJOIN("_", TRUE, F56:O56))</f>
      </c>
      <c r="F56" s="60" t="str">
        <v>SM</v>
      </c>
      <c r="G56" s="61" t="str">
        <v>TheCity</v>
      </c>
      <c r="H56" s="61" t="str">
        <v>Ground</v>
      </c>
      <c r="I56" s="60"/>
      <c r="J56" s="58" t="str">
        <v>Major</v>
      </c>
      <c r="K56" s="60" t="str">
        <v>Sidewalk</v>
      </c>
      <c r="L56" s="60" t="str">
        <v>TR</v>
      </c>
      <c r="M56" s="60" t="str">
        <v>Corner</v>
      </c>
      <c r="N56" s="60"/>
      <c r="O56" s="63">
        <v>3</v>
      </c>
      <c r="P56" s="60"/>
      <c r="Q56" s="61">
        <f>"World_"&amp;VLOOKUP(G56,'引用列表'!Q:R,2,FALSE)&amp;"_"&amp;G56</f>
      </c>
      <c r="R56" s="61"/>
      <c r="S56" s="62">
        <f>IF(AE56="✅", "/Script/Engine.StaticMesh'/Game/Item/Mesh/Voxel/" &amp; Q56 &amp; "/" &amp; TEXTJOIN("_", TRUE, H56, I56) &amp; "/" &amp; E56 &amp; "." &amp; E56 &amp; "'", "")</f>
      </c>
      <c r="T56" s="60" t="str">
        <v>Close</v>
      </c>
      <c r="U56" s="60" t="str">
        <v>Close</v>
      </c>
      <c r="V56" s="60"/>
      <c r="W56" s="60"/>
      <c r="X56" s="60"/>
      <c r="Y56" s="60" t="str">
        <v>Road</v>
      </c>
      <c r="Z56" s="60"/>
      <c r="AA56" s="60"/>
      <c r="AB56" s="61" t="b">
        <v>0</v>
      </c>
      <c r="AC56" s="60"/>
      <c r="AD56" s="71"/>
      <c r="AE56" s="59" t="str">
        <v>➖</v>
      </c>
      <c r="AF56" s="71" t="str">
        <v>Ground</v>
      </c>
      <c r="AG56" s="61"/>
      <c r="AH56" s="61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</row>
    <row customHeight="true" hidden="true" ht="19" outlineLevel="3" r="57">
      <c r="A57" s="4" t="str" xml:space="preserve">
        <v> </v>
      </c>
      <c r="B57" s="14"/>
      <c r="C57" s="14"/>
      <c r="D57" s="14"/>
      <c r="E57" s="71">
        <f>IF(F57="", "", TEXTJOIN("_", TRUE, F57:O57))</f>
      </c>
      <c r="F57" s="60" t="str">
        <v>SM</v>
      </c>
      <c r="G57" s="61" t="str">
        <v>TheCity</v>
      </c>
      <c r="H57" s="61" t="str">
        <v>Ground</v>
      </c>
      <c r="I57" s="60"/>
      <c r="J57" s="58" t="str">
        <v>Major</v>
      </c>
      <c r="K57" s="60" t="str">
        <v>Sidewalk</v>
      </c>
      <c r="L57" s="60" t="str">
        <v>TL</v>
      </c>
      <c r="M57" s="60" t="str">
        <v>Corner</v>
      </c>
      <c r="N57" s="60"/>
      <c r="O57" s="63">
        <v>1</v>
      </c>
      <c r="P57" s="60"/>
      <c r="Q57" s="61">
        <f>"World_"&amp;VLOOKUP(G57,'引用列表'!Q:R,2,FALSE)&amp;"_"&amp;G57</f>
      </c>
      <c r="R57" s="61"/>
      <c r="S57" s="62">
        <f>IF(AE57="✅", "/Script/Engine.StaticMesh'/Game/Item/Mesh/Voxel/" &amp; Q57 &amp; "/" &amp; TEXTJOIN("_", TRUE, H57, I57) &amp; "/" &amp; E57 &amp; "." &amp; E57 &amp; "'", "")</f>
      </c>
      <c r="T57" s="60" t="str">
        <v>Close</v>
      </c>
      <c r="U57" s="60" t="str">
        <v>Close</v>
      </c>
      <c r="V57" s="60"/>
      <c r="W57" s="60"/>
      <c r="X57" s="60"/>
      <c r="Y57" s="60" t="str">
        <v>Road</v>
      </c>
      <c r="Z57" s="60"/>
      <c r="AA57" s="60"/>
      <c r="AB57" s="61" t="b">
        <v>0</v>
      </c>
      <c r="AC57" s="60"/>
      <c r="AD57" s="71"/>
      <c r="AE57" s="59" t="str">
        <v>➖</v>
      </c>
      <c r="AF57" s="71" t="str">
        <v>Ground</v>
      </c>
      <c r="AG57" s="61"/>
      <c r="AH57" s="61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</row>
    <row customHeight="true" hidden="true" ht="19" outlineLevel="3" r="58">
      <c r="A58" s="4" t="str" xml:space="preserve">
        <v> </v>
      </c>
      <c r="B58" s="14"/>
      <c r="C58" s="14"/>
      <c r="D58" s="14"/>
      <c r="E58" s="71">
        <f>IF(F58="", "", TEXTJOIN("_", TRUE, F58:O58))</f>
      </c>
      <c r="F58" s="60" t="str">
        <v>SM</v>
      </c>
      <c r="G58" s="61" t="str">
        <v>TheCity</v>
      </c>
      <c r="H58" s="61" t="str">
        <v>Ground</v>
      </c>
      <c r="I58" s="60"/>
      <c r="J58" s="58" t="str">
        <v>Major</v>
      </c>
      <c r="K58" s="60" t="str">
        <v>Sidewalk</v>
      </c>
      <c r="L58" s="60" t="str">
        <v>TL</v>
      </c>
      <c r="M58" s="60" t="str">
        <v>Hollow</v>
      </c>
      <c r="N58" s="60"/>
      <c r="O58" s="63">
        <v>1</v>
      </c>
      <c r="P58" s="60"/>
      <c r="Q58" s="61">
        <f>"World_"&amp;VLOOKUP(G58,'引用列表'!Q:R,2,FALSE)&amp;"_"&amp;G58</f>
      </c>
      <c r="R58" s="61"/>
      <c r="S58" s="62">
        <f>IF(AE58="✅", "/Script/Engine.StaticMesh'/Game/Item/Mesh/Voxel/" &amp; Q58 &amp; "/" &amp; TEXTJOIN("_", TRUE, H58, I58) &amp; "/" &amp; E58 &amp; "." &amp; E58 &amp; "'", "")</f>
      </c>
      <c r="T58" s="60" t="str">
        <v>Close</v>
      </c>
      <c r="U58" s="60" t="str">
        <v>Close</v>
      </c>
      <c r="V58" s="60"/>
      <c r="W58" s="60"/>
      <c r="X58" s="60"/>
      <c r="Y58" s="60" t="str">
        <v>Road</v>
      </c>
      <c r="Z58" s="60"/>
      <c r="AA58" s="60"/>
      <c r="AB58" s="61" t="b">
        <v>0</v>
      </c>
      <c r="AC58" s="60"/>
      <c r="AD58" s="71"/>
      <c r="AE58" s="59" t="str">
        <v>➖</v>
      </c>
      <c r="AF58" s="71" t="str">
        <v>Ground</v>
      </c>
      <c r="AG58" s="61"/>
      <c r="AH58" s="61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</row>
    <row customHeight="true" hidden="true" ht="19" outlineLevel="2" r="59">
      <c r="A59" s="4"/>
      <c r="B59" s="14"/>
      <c r="C59" s="14" t="str">
        <v>SidewalkToRoad</v>
      </c>
      <c r="D59" s="14"/>
      <c r="E59" s="4"/>
      <c r="F59" s="5"/>
      <c r="G59" s="1"/>
      <c r="H59" s="1"/>
      <c r="I59" s="5"/>
      <c r="J59" s="27"/>
      <c r="K59" s="5"/>
      <c r="L59" s="5"/>
      <c r="M59" s="5"/>
      <c r="N59" s="5"/>
      <c r="O59" s="10"/>
      <c r="P59" s="5"/>
      <c r="Q59" s="1"/>
      <c r="R59" s="1"/>
      <c r="S59" s="9"/>
      <c r="T59" s="5"/>
      <c r="U59" s="5"/>
      <c r="V59" s="5"/>
      <c r="W59" s="5"/>
      <c r="X59" s="5"/>
      <c r="Y59" s="5"/>
      <c r="Z59" s="5"/>
      <c r="AA59" s="5"/>
      <c r="AB59" s="1"/>
      <c r="AC59" s="5"/>
      <c r="AD59" s="4"/>
      <c r="AE59" s="2"/>
      <c r="AF59" s="4" t="str"/>
      <c r="AG59" s="1"/>
      <c r="AH59" s="1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customHeight="true" hidden="true" ht="19" outlineLevel="3" r="60">
      <c r="A60" s="85" t="str" xml:space="preserve">
        <v> </v>
      </c>
      <c r="B60" s="115" t="str" xml:space="preserve">
        <v> </v>
      </c>
      <c r="C60" s="115" t="str" xml:space="preserve">
        <v> </v>
      </c>
      <c r="D60" s="115"/>
      <c r="E60" s="85">
        <f>IF(F60="", "", TEXTJOIN("_", TRUE, F60:O60))</f>
      </c>
      <c r="F60" s="103" t="str">
        <v>SM</v>
      </c>
      <c r="G60" s="102" t="str">
        <v>TheCity</v>
      </c>
      <c r="H60" s="102" t="str">
        <v>Ground</v>
      </c>
      <c r="I60" s="103"/>
      <c r="J60" s="84" t="str">
        <v>Major</v>
      </c>
      <c r="K60" s="103" t="str">
        <v>SidewalkToRoad</v>
      </c>
      <c r="L60" s="103" t="str">
        <v>TL</v>
      </c>
      <c r="M60" s="103" t="str">
        <v>Hollow</v>
      </c>
      <c r="N60" s="103"/>
      <c r="O60" s="104">
        <v>1</v>
      </c>
      <c r="P60" s="103"/>
      <c r="Q60" s="102">
        <f>"World_"&amp;VLOOKUP(G60,'引用列表'!Q:R,2,FALSE)&amp;"_"&amp;G60</f>
      </c>
      <c r="R60" s="102"/>
      <c r="S60" s="83">
        <f>IF(AE60="✅", "/Script/Engine.StaticMesh'/Game/Item/Mesh/Voxel/" &amp; Q60 &amp; "/" &amp; TEXTJOIN("_", TRUE, H60, I60) &amp; "/" &amp; E60 &amp; "." &amp; E60 &amp; "'", "")</f>
      </c>
      <c r="T60" s="103" t="str">
        <v>Close</v>
      </c>
      <c r="U60" s="103" t="str">
        <v>Close</v>
      </c>
      <c r="V60" s="103"/>
      <c r="W60" s="103"/>
      <c r="X60" s="103"/>
      <c r="Y60" s="103" t="str">
        <v>Road</v>
      </c>
      <c r="Z60" s="103"/>
      <c r="AA60" s="103"/>
      <c r="AB60" s="102" t="b">
        <v>0</v>
      </c>
      <c r="AC60" s="103"/>
      <c r="AD60" s="85"/>
      <c r="AE60" s="86" t="str">
        <v>➖</v>
      </c>
      <c r="AF60" s="85" t="str">
        <v>Ground</v>
      </c>
      <c r="AG60" s="102"/>
      <c r="AH60" s="102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</row>
    <row customHeight="true" ht="19" outlineLevel="1" r="61">
      <c r="A61" s="4" t="str" xml:space="preserve">
        <v> </v>
      </c>
      <c r="B61" s="14" t="str">
        <v>GroundLine</v>
      </c>
      <c r="C61" s="14"/>
      <c r="D61" s="14"/>
      <c r="E61" s="4"/>
      <c r="F61" s="5"/>
      <c r="G61" s="1"/>
      <c r="H61" s="1"/>
      <c r="I61" s="5"/>
      <c r="J61" s="5"/>
      <c r="K61" s="27"/>
      <c r="L61" s="5"/>
      <c r="M61" s="5"/>
      <c r="N61" s="10"/>
      <c r="O61" s="10"/>
      <c r="P61" s="5"/>
      <c r="Q61" s="1"/>
      <c r="R61" s="1"/>
      <c r="S61" s="9">
        <f>IF(AE61="✅", "/Script/Engine.StaticMesh'/Game/Item/Mesh/Voxel/" &amp; Q61 &amp; "/" &amp; TEXTJOIN("_", TRUE, H61, I61) &amp; "/" &amp; E61 &amp; "." &amp; E61 &amp; "'", "")</f>
      </c>
      <c r="T61" s="5"/>
      <c r="U61" s="5"/>
      <c r="V61" s="5"/>
      <c r="W61" s="5"/>
      <c r="X61" s="5"/>
      <c r="Y61" s="5"/>
      <c r="Z61" s="5"/>
      <c r="AA61" s="5"/>
      <c r="AB61" s="1"/>
      <c r="AC61" s="5"/>
      <c r="AD61" s="4"/>
      <c r="AE61" s="2"/>
      <c r="AF61" s="4" t="str"/>
      <c r="AG61" s="1"/>
      <c r="AH61" s="1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customHeight="true" ht="19" outlineLevel="2" r="62">
      <c r="B62" s="14"/>
      <c r="C62" s="14" t="str">
        <v>Road</v>
      </c>
      <c r="D62" s="14"/>
      <c r="E62" s="4"/>
      <c r="F62" s="5"/>
      <c r="G62" s="1"/>
      <c r="H62" s="1"/>
      <c r="I62" s="5"/>
      <c r="J62" s="5"/>
      <c r="K62" s="27"/>
      <c r="L62" s="5"/>
      <c r="M62" s="5"/>
      <c r="N62" s="10"/>
      <c r="O62" s="10"/>
      <c r="P62" s="5"/>
      <c r="Q62" s="1"/>
      <c r="R62" s="1"/>
      <c r="S62" s="9">
        <f>IF(AE62="✅", "/Script/Engine.StaticMesh'/Game/Item/Mesh/Voxel/" &amp; Q62 &amp; "/" &amp; TEXTJOIN("_", TRUE, H62, I62) &amp; "/" &amp; E62 &amp; "." &amp; E62 &amp; "'", "")</f>
      </c>
      <c r="T62" s="5"/>
      <c r="U62" s="5"/>
      <c r="V62" s="5"/>
      <c r="W62" s="5"/>
      <c r="X62" s="5"/>
      <c r="Y62" s="5"/>
      <c r="Z62" s="5"/>
      <c r="AA62" s="5"/>
      <c r="AB62" s="1"/>
      <c r="AC62" s="5"/>
      <c r="AD62" s="4"/>
      <c r="AE62" s="2"/>
      <c r="AF62" s="4" t="str"/>
      <c r="AG62" s="1"/>
      <c r="AH62" s="1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customHeight="true" ht="19" outlineLevel="2" r="63">
      <c r="B63" s="14"/>
      <c r="C63" s="14"/>
      <c r="D63" s="14" t="str">
        <v>F</v>
      </c>
      <c r="E63" s="4"/>
      <c r="F63" s="5"/>
      <c r="G63" s="1"/>
      <c r="H63" s="1"/>
      <c r="I63" s="5"/>
      <c r="J63" s="5"/>
      <c r="K63" s="27"/>
      <c r="L63" s="5"/>
      <c r="M63" s="5"/>
      <c r="N63" s="10"/>
      <c r="O63" s="10"/>
      <c r="P63" s="5"/>
      <c r="Q63" s="1"/>
      <c r="R63" s="1"/>
      <c r="S63" s="9"/>
      <c r="T63" s="5"/>
      <c r="U63" s="5"/>
      <c r="V63" s="5"/>
      <c r="W63" s="5"/>
      <c r="X63" s="5"/>
      <c r="Y63" s="5"/>
      <c r="Z63" s="5"/>
      <c r="AA63" s="5"/>
      <c r="AB63" s="1"/>
      <c r="AC63" s="5"/>
      <c r="AD63" s="4"/>
      <c r="AE63" s="2"/>
      <c r="AF63" s="4" t="str"/>
      <c r="AG63" s="1"/>
      <c r="AH63" s="1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outlineLevel="3" r="64">
      <c r="A64" s="4" t="str" xml:space="preserve">
        <v> </v>
      </c>
      <c r="B64" s="14"/>
      <c r="C64" s="14"/>
      <c r="D64" s="14"/>
      <c r="E64" s="71">
        <f>IF(F64="", "", TEXTJOIN("_", TRUE, F64:O64))</f>
      </c>
      <c r="F64" s="60" t="str">
        <v>SM</v>
      </c>
      <c r="G64" s="61" t="str">
        <v>TheCity</v>
      </c>
      <c r="H64" s="61" t="str">
        <v>GroundLine</v>
      </c>
      <c r="I64" s="60"/>
      <c r="J64" s="58" t="str">
        <v>Major</v>
      </c>
      <c r="K64" s="60" t="str">
        <v>Road</v>
      </c>
      <c r="L64" s="60" t="str">
        <v>B</v>
      </c>
      <c r="M64" s="60"/>
      <c r="N64" s="60"/>
      <c r="O64" s="63">
        <v>1</v>
      </c>
      <c r="P64" s="60"/>
      <c r="Q64" s="61">
        <f>"World_"&amp;VLOOKUP(G64,'引用列表'!Q:R,2,FALSE)&amp;"_"&amp;G64</f>
      </c>
      <c r="R64" s="61"/>
      <c r="S64" s="62">
        <f>IF(AE64="✅", "/Script/Engine.StaticMesh'/Game/Item/Mesh/Voxel/" &amp; Q64 &amp; "/" &amp; TEXTJOIN("_", TRUE, H64, I64) &amp; "/" &amp; E64 &amp; "." &amp; E64 &amp; "'", "")</f>
      </c>
      <c r="T64" s="60" t="str">
        <v>Close</v>
      </c>
      <c r="U64" s="60" t="str">
        <v>Open</v>
      </c>
      <c r="V64" s="60"/>
      <c r="W64" s="60"/>
      <c r="X64" s="60"/>
      <c r="Y64" s="60" t="str">
        <v>Road</v>
      </c>
      <c r="Z64" s="60"/>
      <c r="AA64" s="60"/>
      <c r="AB64" s="61" t="b">
        <v>0</v>
      </c>
      <c r="AC64" s="60"/>
      <c r="AD64" s="71" t="str">
        <v>GroundLine</v>
      </c>
      <c r="AE64" s="59" t="str">
        <v>✅</v>
      </c>
      <c r="AF64" s="71" t="str">
        <v>GroundLine</v>
      </c>
      <c r="AG64" s="61"/>
      <c r="AH64" s="61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</row>
    <row customHeight="true" ht="19" outlineLevel="3" r="65">
      <c r="A65" s="4" t="str" xml:space="preserve">
        <v> </v>
      </c>
      <c r="B65" s="14"/>
      <c r="C65" s="14"/>
      <c r="D65" s="14"/>
      <c r="E65" s="71">
        <f>IF(F65="", "", TEXTJOIN("_", TRUE, F65:O65))</f>
      </c>
      <c r="F65" s="60" t="str">
        <v>SM</v>
      </c>
      <c r="G65" s="61" t="str">
        <v>TheCity</v>
      </c>
      <c r="H65" s="61" t="str">
        <v>GroundLine</v>
      </c>
      <c r="I65" s="60"/>
      <c r="J65" s="58" t="str">
        <v>Major</v>
      </c>
      <c r="K65" s="60" t="str">
        <v>Road</v>
      </c>
      <c r="L65" s="60" t="str">
        <v>C</v>
      </c>
      <c r="M65" s="60"/>
      <c r="N65" s="60"/>
      <c r="O65" s="63">
        <v>1</v>
      </c>
      <c r="P65" s="60"/>
      <c r="Q65" s="61">
        <f>"World_"&amp;VLOOKUP(G65,'引用列表'!Q:R,2,FALSE)&amp;"_"&amp;G65</f>
      </c>
      <c r="R65" s="61"/>
      <c r="S65" s="62">
        <f>IF(AE65="✅", "/Script/Engine.StaticMesh'/Game/Item/Mesh/Voxel/" &amp; Q65 &amp; "/" &amp; TEXTJOIN("_", TRUE, H65, I65) &amp; "/" &amp; E65 &amp; "." &amp; E65 &amp; "'", "")</f>
      </c>
      <c r="T65" s="60" t="str">
        <v>Open</v>
      </c>
      <c r="U65" s="60" t="str">
        <v>Open</v>
      </c>
      <c r="V65" s="60"/>
      <c r="W65" s="60"/>
      <c r="X65" s="60" t="str">
        <v>Road</v>
      </c>
      <c r="Y65" s="60" t="str">
        <v>Road</v>
      </c>
      <c r="Z65" s="60"/>
      <c r="AA65" s="60"/>
      <c r="AB65" s="61" t="b">
        <v>0</v>
      </c>
      <c r="AC65" s="60"/>
      <c r="AD65" s="71" t="str">
        <v>GroundLine,StartHole,CheckHole,EndHole</v>
      </c>
      <c r="AE65" s="59" t="str">
        <v>✅</v>
      </c>
      <c r="AF65" s="71" t="str">
        <v>GroundLine</v>
      </c>
      <c r="AG65" s="61"/>
      <c r="AH65" s="61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</row>
    <row customHeight="true" ht="19" outlineLevel="3" r="66">
      <c r="A66" s="4" t="str" xml:space="preserve">
        <v> </v>
      </c>
      <c r="B66" s="14"/>
      <c r="C66" s="14"/>
      <c r="D66" s="14"/>
      <c r="E66" s="71">
        <f>IF(F66="", "", TEXTJOIN("_", TRUE, F66:O66))</f>
      </c>
      <c r="F66" s="60" t="str">
        <v>SM</v>
      </c>
      <c r="G66" s="61" t="str">
        <v>TheCity</v>
      </c>
      <c r="H66" s="61" t="str">
        <v>GroundLine</v>
      </c>
      <c r="I66" s="60"/>
      <c r="J66" s="58" t="str">
        <v>Major</v>
      </c>
      <c r="K66" s="60" t="str">
        <v>Road</v>
      </c>
      <c r="L66" s="60" t="str">
        <v>T</v>
      </c>
      <c r="M66" s="60"/>
      <c r="N66" s="60"/>
      <c r="O66" s="63">
        <v>1</v>
      </c>
      <c r="P66" s="60"/>
      <c r="Q66" s="61">
        <f>"World_"&amp;VLOOKUP(G66,'引用列表'!Q:R,2,FALSE)&amp;"_"&amp;G66</f>
      </c>
      <c r="R66" s="61"/>
      <c r="S66" s="62">
        <f>IF(AE66="✅", "/Script/Engine.StaticMesh'/Game/Item/Mesh/Voxel/" &amp; Q66 &amp; "/" &amp; TEXTJOIN("_", TRUE, H66, I66) &amp; "/" &amp; E66 &amp; "." &amp; E66 &amp; "'", "")</f>
      </c>
      <c r="T66" s="60" t="str">
        <v>Open</v>
      </c>
      <c r="U66" s="60" t="str">
        <v>Close</v>
      </c>
      <c r="V66" s="60"/>
      <c r="W66" s="60"/>
      <c r="X66" s="60" t="str">
        <v>Road</v>
      </c>
      <c r="Y66" s="60"/>
      <c r="Z66" s="60"/>
      <c r="AA66" s="60"/>
      <c r="AB66" s="61" t="b">
        <v>1</v>
      </c>
      <c r="AC66" s="60"/>
      <c r="AD66" s="71" t="str">
        <v>GroundLine,StartHole,CheckHole,EndHole</v>
      </c>
      <c r="AE66" s="59" t="str">
        <v>✅</v>
      </c>
      <c r="AF66" s="71" t="str">
        <v>GroundLine</v>
      </c>
      <c r="AG66" s="61"/>
      <c r="AH66" s="61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</row>
    <row customHeight="true" ht="19" outlineLevel="2" r="67">
      <c r="A67" s="4"/>
      <c r="B67" s="14"/>
      <c r="C67" s="14"/>
      <c r="D67" s="14" t="str">
        <v>CR</v>
      </c>
      <c r="E67" s="4"/>
      <c r="F67" s="5"/>
      <c r="G67" s="1"/>
      <c r="H67" s="1"/>
      <c r="I67" s="5"/>
      <c r="J67" s="27"/>
      <c r="K67" s="5"/>
      <c r="L67" s="5"/>
      <c r="M67" s="5"/>
      <c r="N67" s="5"/>
      <c r="O67" s="10"/>
      <c r="P67" s="5"/>
      <c r="Q67" s="1"/>
      <c r="R67" s="1"/>
      <c r="S67" s="9"/>
      <c r="T67" s="5"/>
      <c r="U67" s="5"/>
      <c r="V67" s="5"/>
      <c r="W67" s="5"/>
      <c r="X67" s="5"/>
      <c r="Y67" s="5"/>
      <c r="Z67" s="5"/>
      <c r="AA67" s="5"/>
      <c r="AB67" s="1"/>
      <c r="AC67" s="5"/>
      <c r="AD67" s="4"/>
      <c r="AE67" s="2"/>
      <c r="AF67" s="4" t="str"/>
      <c r="AG67" s="1"/>
      <c r="AH67" s="1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customHeight="true" ht="19" outlineLevel="3" r="68">
      <c r="A68" s="85" t="str" xml:space="preserve">
        <v> </v>
      </c>
      <c r="B68" s="115" t="str" xml:space="preserve">
        <v> </v>
      </c>
      <c r="C68" s="115" t="str" xml:space="preserve">
        <v> </v>
      </c>
      <c r="D68" s="115" t="str" xml:space="preserve">
        <v> </v>
      </c>
      <c r="E68" s="85">
        <f>IF(F68="", "", TEXTJOIN("_", TRUE, F68:O68))</f>
      </c>
      <c r="F68" s="103" t="str">
        <v>SM</v>
      </c>
      <c r="G68" s="102" t="str">
        <v>TheCity</v>
      </c>
      <c r="H68" s="102" t="str">
        <v>GroundLine</v>
      </c>
      <c r="I68" s="103"/>
      <c r="J68" s="84" t="str">
        <v>Major</v>
      </c>
      <c r="K68" s="103" t="str">
        <v>Road</v>
      </c>
      <c r="L68" s="103" t="str">
        <v>B</v>
      </c>
      <c r="M68" s="103"/>
      <c r="N68" s="103" t="str">
        <v>CR</v>
      </c>
      <c r="O68" s="104">
        <v>1</v>
      </c>
      <c r="P68" s="103"/>
      <c r="Q68" s="102">
        <f>"World_"&amp;VLOOKUP(G68,'引用列表'!Q:R,2,FALSE)&amp;"_"&amp;G68</f>
      </c>
      <c r="R68" s="102"/>
      <c r="S68" s="83">
        <f>IF(AE68="✅", "/Script/Engine.StaticMesh'/Game/Item/Mesh/Voxel/" &amp; Q68 &amp; "/" &amp; TEXTJOIN("_", TRUE, H68, I68) &amp; "/" &amp; E68 &amp; "." &amp; E68 &amp; "'", "")</f>
      </c>
      <c r="T68" s="103" t="str">
        <v>Close</v>
      </c>
      <c r="U68" s="103" t="str">
        <v>Open</v>
      </c>
      <c r="V68" s="103"/>
      <c r="W68" s="103"/>
      <c r="X68" s="103"/>
      <c r="Y68" s="103" t="str">
        <v>Road</v>
      </c>
      <c r="Z68" s="103"/>
      <c r="AA68" s="103"/>
      <c r="AB68" s="102" t="b">
        <v>0</v>
      </c>
      <c r="AC68" s="103"/>
      <c r="AD68" s="85" t="str">
        <v>GroundLine</v>
      </c>
      <c r="AE68" s="86" t="str">
        <v>✅</v>
      </c>
      <c r="AF68" s="85" t="str">
        <v>GroundLine</v>
      </c>
      <c r="AG68" s="102"/>
      <c r="AH68" s="102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</row>
    <row customHeight="true" ht="19" outlineLevel="3" r="69">
      <c r="A69" s="85" t="str" xml:space="preserve">
        <v> </v>
      </c>
      <c r="B69" s="115" t="str" xml:space="preserve">
        <v> </v>
      </c>
      <c r="C69" s="115" t="str" xml:space="preserve">
        <v> </v>
      </c>
      <c r="D69" s="115" t="str" xml:space="preserve">
        <v> </v>
      </c>
      <c r="E69" s="85">
        <f>IF(F69="", "", TEXTJOIN("_", TRUE, F69:O69))</f>
      </c>
      <c r="F69" s="103" t="str">
        <v>SM</v>
      </c>
      <c r="G69" s="102" t="str">
        <v>TheCity</v>
      </c>
      <c r="H69" s="102" t="str">
        <v>GroundLine</v>
      </c>
      <c r="I69" s="103"/>
      <c r="J69" s="84" t="str">
        <v>Major</v>
      </c>
      <c r="K69" s="103" t="str">
        <v>Road</v>
      </c>
      <c r="L69" s="103" t="str">
        <v>C</v>
      </c>
      <c r="M69" s="103"/>
      <c r="N69" s="83" t="str">
        <v>CR</v>
      </c>
      <c r="O69" s="104">
        <v>2</v>
      </c>
      <c r="P69" s="103"/>
      <c r="Q69" s="102">
        <f>"World_"&amp;VLOOKUP(G69,'引用列表'!Q:R,2,FALSE)&amp;"_"&amp;G69</f>
      </c>
      <c r="R69" s="102"/>
      <c r="S69" s="83">
        <f>IF(AE69="✅", "/Script/Engine.StaticMesh'/Game/Item/Mesh/Voxel/" &amp; Q69 &amp; "/" &amp; TEXTJOIN("_", TRUE, H69, I69) &amp; "/" &amp; E69 &amp; "." &amp; E69 &amp; "'", "")</f>
      </c>
      <c r="T69" s="103" t="str">
        <v>Open</v>
      </c>
      <c r="U69" s="103" t="str">
        <v>Open</v>
      </c>
      <c r="V69" s="103"/>
      <c r="W69" s="103"/>
      <c r="X69" s="103" t="str">
        <v>Road</v>
      </c>
      <c r="Y69" s="103" t="str">
        <v>Road</v>
      </c>
      <c r="Z69" s="103"/>
      <c r="AA69" s="103"/>
      <c r="AB69" s="102" t="b">
        <v>0</v>
      </c>
      <c r="AC69" s="103"/>
      <c r="AD69" s="85" t="str">
        <v>GroundLine,StartHole,CheckHole,EndHole</v>
      </c>
      <c r="AE69" s="86" t="str">
        <v>✅</v>
      </c>
      <c r="AF69" s="85" t="str">
        <v>GroundLine</v>
      </c>
      <c r="AG69" s="102"/>
      <c r="AH69" s="102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3"/>
    </row>
    <row customHeight="true" ht="19" outlineLevel="3" r="70">
      <c r="A70" s="85" t="str" xml:space="preserve">
        <v> </v>
      </c>
      <c r="B70" s="115" t="str" xml:space="preserve">
        <v> </v>
      </c>
      <c r="C70" s="115" t="str" xml:space="preserve">
        <v> </v>
      </c>
      <c r="D70" s="115" t="str" xml:space="preserve">
        <v> </v>
      </c>
      <c r="E70" s="85">
        <f>IF(F70="", "", TEXTJOIN("_", TRUE, F70:O70))</f>
      </c>
      <c r="F70" s="103" t="str">
        <v>SM</v>
      </c>
      <c r="G70" s="102" t="str">
        <v>TheCity</v>
      </c>
      <c r="H70" s="102" t="str">
        <v>GroundLine</v>
      </c>
      <c r="I70" s="103"/>
      <c r="J70" s="84" t="str">
        <v>Major</v>
      </c>
      <c r="K70" s="103" t="str">
        <v>Road</v>
      </c>
      <c r="L70" s="103" t="str">
        <v>C</v>
      </c>
      <c r="M70" s="103"/>
      <c r="N70" s="83" t="str">
        <v>CR</v>
      </c>
      <c r="O70" s="104">
        <v>3</v>
      </c>
      <c r="P70" s="103"/>
      <c r="Q70" s="102">
        <f>"World_"&amp;VLOOKUP(G70,'引用列表'!Q:R,2,FALSE)&amp;"_"&amp;G70</f>
      </c>
      <c r="R70" s="102"/>
      <c r="S70" s="83">
        <f>IF(AE70="✅", "/Script/Engine.StaticMesh'/Game/Item/Mesh/Voxel/" &amp; Q70 &amp; "/" &amp; TEXTJOIN("_", TRUE, H70, I70) &amp; "/" &amp; E70 &amp; "." &amp; E70 &amp; "'", "")</f>
      </c>
      <c r="T70" s="103" t="str">
        <v>Open</v>
      </c>
      <c r="U70" s="103" t="str">
        <v>Close</v>
      </c>
      <c r="V70" s="103"/>
      <c r="W70" s="103"/>
      <c r="X70" s="103" t="str">
        <v>Road</v>
      </c>
      <c r="Y70" s="103"/>
      <c r="Z70" s="103"/>
      <c r="AA70" s="103"/>
      <c r="AB70" s="102" t="b">
        <v>1</v>
      </c>
      <c r="AC70" s="103"/>
      <c r="AD70" s="85" t="str">
        <v>GroundLine,StartHole,CheckHole,EndHole</v>
      </c>
      <c r="AE70" s="86" t="str">
        <v>✅</v>
      </c>
      <c r="AF70" s="85" t="str">
        <v>GroundLine</v>
      </c>
      <c r="AG70" s="102"/>
      <c r="AH70" s="102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3"/>
    </row>
    <row customHeight="true" ht="19" outlineLevel="3" r="71">
      <c r="A71" s="85" t="str" xml:space="preserve">
        <v> </v>
      </c>
      <c r="B71" s="115" t="str" xml:space="preserve">
        <v> </v>
      </c>
      <c r="C71" s="115" t="str" xml:space="preserve">
        <v> </v>
      </c>
      <c r="D71" s="115" t="str" xml:space="preserve">
        <v> </v>
      </c>
      <c r="E71" s="85">
        <f>IF(F71="", "", TEXTJOIN("_", TRUE, F71:O71))</f>
      </c>
      <c r="F71" s="103" t="str">
        <v>SM</v>
      </c>
      <c r="G71" s="102" t="str">
        <v>TheCity</v>
      </c>
      <c r="H71" s="102" t="str">
        <v>GroundLine</v>
      </c>
      <c r="I71" s="103"/>
      <c r="J71" s="84" t="str">
        <v>Major</v>
      </c>
      <c r="K71" s="103" t="str">
        <v>Road</v>
      </c>
      <c r="L71" s="103" t="str">
        <v>C</v>
      </c>
      <c r="M71" s="103"/>
      <c r="N71" s="83" t="str">
        <v>CR</v>
      </c>
      <c r="O71" s="104">
        <v>7</v>
      </c>
      <c r="P71" s="103"/>
      <c r="Q71" s="102">
        <f>"World_"&amp;VLOOKUP(G71,'引用列表'!Q:R,2,FALSE)&amp;"_"&amp;G71</f>
      </c>
      <c r="R71" s="102"/>
      <c r="S71" s="83">
        <f>IF(AE71="✅", "/Script/Engine.StaticMesh'/Game/Item/Mesh/Voxel/" &amp; Q71 &amp; "/" &amp; TEXTJOIN("_", TRUE, H71, I71) &amp; "/" &amp; E71 &amp; "." &amp; E71 &amp; "'", "")</f>
      </c>
      <c r="T71" s="103" t="str">
        <v>Open</v>
      </c>
      <c r="U71" s="103" t="str">
        <v>Close</v>
      </c>
      <c r="V71" s="103"/>
      <c r="W71" s="103"/>
      <c r="X71" s="103" t="str">
        <v>Road</v>
      </c>
      <c r="Y71" s="103"/>
      <c r="Z71" s="103"/>
      <c r="AA71" s="103"/>
      <c r="AB71" s="102" t="b">
        <v>1</v>
      </c>
      <c r="AC71" s="103"/>
      <c r="AD71" s="85" t="str">
        <v>GroundLine,StartHole,CheckHole,EndHole</v>
      </c>
      <c r="AE71" s="86" t="str">
        <v>✅</v>
      </c>
      <c r="AF71" s="85" t="str">
        <v>GroundLine</v>
      </c>
      <c r="AG71" s="102"/>
      <c r="AH71" s="102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3"/>
    </row>
    <row customHeight="true" ht="19" outlineLevel="3" r="72">
      <c r="A72" s="85" t="str" xml:space="preserve">
        <v> </v>
      </c>
      <c r="B72" s="115" t="str" xml:space="preserve">
        <v> </v>
      </c>
      <c r="C72" s="115" t="str" xml:space="preserve">
        <v> </v>
      </c>
      <c r="D72" s="115" t="str" xml:space="preserve">
        <v> </v>
      </c>
      <c r="E72" s="85">
        <f>IF(F72="", "", TEXTJOIN("_", TRUE, F72:O72))</f>
      </c>
      <c r="F72" s="103" t="str">
        <v>SM</v>
      </c>
      <c r="G72" s="102" t="str">
        <v>TheCity</v>
      </c>
      <c r="H72" s="102" t="str">
        <v>GroundLine</v>
      </c>
      <c r="I72" s="103"/>
      <c r="J72" s="84" t="str">
        <v>Major</v>
      </c>
      <c r="K72" s="103" t="str">
        <v>Road</v>
      </c>
      <c r="L72" s="103" t="str">
        <v>T</v>
      </c>
      <c r="M72" s="103"/>
      <c r="N72" s="83" t="str">
        <v>CR</v>
      </c>
      <c r="O72" s="104">
        <v>8</v>
      </c>
      <c r="P72" s="103"/>
      <c r="Q72" s="102">
        <f>"World_"&amp;VLOOKUP(G72,'引用列表'!Q:R,2,FALSE)&amp;"_"&amp;G72</f>
      </c>
      <c r="R72" s="102"/>
      <c r="S72" s="83">
        <f>IF(AE72="✅", "/Script/Engine.StaticMesh'/Game/Item/Mesh/Voxel/" &amp; Q72 &amp; "/" &amp; TEXTJOIN("_", TRUE, H72, I72) &amp; "/" &amp; E72 &amp; "." &amp; E72 &amp; "'", "")</f>
      </c>
      <c r="T72" s="103" t="str">
        <v>Open</v>
      </c>
      <c r="U72" s="103" t="str">
        <v>Close</v>
      </c>
      <c r="V72" s="103"/>
      <c r="W72" s="103"/>
      <c r="X72" s="103" t="str">
        <v>Road</v>
      </c>
      <c r="Y72" s="103"/>
      <c r="Z72" s="103"/>
      <c r="AA72" s="103"/>
      <c r="AB72" s="102" t="b">
        <v>1</v>
      </c>
      <c r="AC72" s="103"/>
      <c r="AD72" s="85" t="str">
        <v>GroundLine,StartHole,CheckHole,EndHole</v>
      </c>
      <c r="AE72" s="86" t="str">
        <v>✅</v>
      </c>
      <c r="AF72" s="85" t="str">
        <v>GroundLine</v>
      </c>
      <c r="AG72" s="102"/>
      <c r="AH72" s="102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</row>
    <row collapsed="true" customHeight="true" ht="19" outlineLevel="2" r="73">
      <c r="A73" s="4"/>
      <c r="B73" s="14"/>
      <c r="C73" s="14" t="str">
        <v>Grass</v>
      </c>
      <c r="D73" s="14"/>
      <c r="E73" s="4"/>
      <c r="F73" s="5"/>
      <c r="G73" s="1"/>
      <c r="H73" s="1"/>
      <c r="I73" s="5"/>
      <c r="J73" s="27"/>
      <c r="K73" s="5"/>
      <c r="L73" s="5"/>
      <c r="M73" s="5"/>
      <c r="N73" s="5"/>
      <c r="O73" s="10"/>
      <c r="P73" s="5"/>
      <c r="Q73" s="1"/>
      <c r="R73" s="1"/>
      <c r="S73" s="9">
        <f>IF(AE73="✅", "/Script/Engine.StaticMesh'/Game/Item/Mesh/Voxel/" &amp; Q73 &amp; "/" &amp; TEXTJOIN("_", TRUE, H73, I73) &amp; "/" &amp; E73 &amp; "." &amp; E73 &amp; "'", "")</f>
      </c>
      <c r="T73" s="5"/>
      <c r="U73" s="5"/>
      <c r="V73" s="5"/>
      <c r="W73" s="5"/>
      <c r="X73" s="5"/>
      <c r="Y73" s="5"/>
      <c r="Z73" s="5"/>
      <c r="AA73" s="5"/>
      <c r="AB73" s="1"/>
      <c r="AC73" s="5"/>
      <c r="AD73" s="4"/>
      <c r="AE73" s="2"/>
      <c r="AF73" s="4" t="str"/>
      <c r="AG73" s="1"/>
      <c r="AH73" s="1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hidden="true" outlineLevel="3" r="74">
      <c r="A74" s="4" t="str" xml:space="preserve">
        <v> </v>
      </c>
      <c r="B74" s="14"/>
      <c r="C74" s="14"/>
      <c r="D74" s="14"/>
      <c r="E74" s="48">
        <f>IF(F74="", "", TEXTJOIN("_", TRUE, F74:O74))</f>
      </c>
      <c r="F74" s="42" t="str">
        <v>SM</v>
      </c>
      <c r="G74" s="43" t="str">
        <v>TheCity</v>
      </c>
      <c r="H74" s="43" t="str">
        <v>GroundLine</v>
      </c>
      <c r="I74" s="42"/>
      <c r="J74" s="44" t="str">
        <v>Major</v>
      </c>
      <c r="K74" s="42" t="str">
        <v>Grass</v>
      </c>
      <c r="L74" s="42" t="str">
        <v>B</v>
      </c>
      <c r="M74" s="42"/>
      <c r="N74" s="42"/>
      <c r="O74" s="45">
        <v>1</v>
      </c>
      <c r="P74" s="42"/>
      <c r="Q74" s="43">
        <f>"World_"&amp;VLOOKUP(G74,'引用列表'!Q:R,2,FALSE)&amp;"_"&amp;G74</f>
      </c>
      <c r="R74" s="43"/>
      <c r="S74" s="47">
        <f>IF(AE74="✅", "/Script/Engine.StaticMesh'/Game/Item/Mesh/Voxel/" &amp; Q74 &amp; "/" &amp; TEXTJOIN("_", TRUE, H74, I74) &amp; "/" &amp; E74 &amp; "." &amp; E74 &amp; "'", "")</f>
      </c>
      <c r="T74" s="42" t="str">
        <v>Close</v>
      </c>
      <c r="U74" s="42" t="str">
        <v>Open</v>
      </c>
      <c r="V74" s="42"/>
      <c r="W74" s="42"/>
      <c r="X74" s="47"/>
      <c r="Y74" s="42" t="str">
        <v>Grass</v>
      </c>
      <c r="Z74" s="42"/>
      <c r="AA74" s="42"/>
      <c r="AB74" s="43" t="b">
        <v>0</v>
      </c>
      <c r="AC74" s="42"/>
      <c r="AD74" s="43"/>
      <c r="AE74" s="77" t="str">
        <v>❌</v>
      </c>
      <c r="AF74" s="43" t="str">
        <v>GroundLine</v>
      </c>
      <c r="AG74" s="43"/>
      <c r="AH74" s="43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customHeight="true" hidden="true" ht="19" outlineLevel="3" r="75">
      <c r="A75" s="4" t="str" xml:space="preserve">
        <v> </v>
      </c>
      <c r="B75" s="14"/>
      <c r="C75" s="14"/>
      <c r="D75" s="14"/>
      <c r="E75" s="48">
        <f>IF(F75="", "", TEXTJOIN("_", TRUE, F75:O75))</f>
      </c>
      <c r="F75" s="42" t="str">
        <v>SM</v>
      </c>
      <c r="G75" s="43" t="str">
        <v>TheCity</v>
      </c>
      <c r="H75" s="43" t="str">
        <v>GroundLine</v>
      </c>
      <c r="I75" s="42"/>
      <c r="J75" s="44" t="str">
        <v>Major</v>
      </c>
      <c r="K75" s="42" t="str">
        <v>Grass</v>
      </c>
      <c r="L75" s="42" t="str">
        <v>C</v>
      </c>
      <c r="M75" s="42"/>
      <c r="N75" s="42"/>
      <c r="O75" s="45">
        <v>1</v>
      </c>
      <c r="P75" s="42"/>
      <c r="Q75" s="43">
        <f>"World_"&amp;VLOOKUP(G75,'引用列表'!Q:R,2,FALSE)&amp;"_"&amp;G75</f>
      </c>
      <c r="R75" s="43"/>
      <c r="S75" s="47">
        <f>IF(AE75="✅", "/Script/Engine.StaticMesh'/Game/Item/Mesh/Voxel/" &amp; Q75 &amp; "/" &amp; TEXTJOIN("_", TRUE, H75, I75) &amp; "/" &amp; E75 &amp; "." &amp; E75 &amp; "'", "")</f>
      </c>
      <c r="T75" s="42" t="str">
        <v>Open</v>
      </c>
      <c r="U75" s="42" t="str">
        <v>Open</v>
      </c>
      <c r="V75" s="42"/>
      <c r="W75" s="42"/>
      <c r="X75" s="42" t="str">
        <v>Grass</v>
      </c>
      <c r="Y75" s="42" t="str">
        <v>Grass</v>
      </c>
      <c r="Z75" s="42"/>
      <c r="AA75" s="42"/>
      <c r="AB75" s="43" t="b">
        <v>0</v>
      </c>
      <c r="AC75" s="42"/>
      <c r="AD75" s="43"/>
      <c r="AE75" s="77" t="str">
        <v>❌</v>
      </c>
      <c r="AF75" s="43" t="str">
        <v>GroundLine</v>
      </c>
      <c r="AG75" s="43"/>
      <c r="AH75" s="43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</row>
    <row hidden="true" outlineLevel="3" r="76">
      <c r="A76" s="4" t="str" xml:space="preserve">
        <v> </v>
      </c>
      <c r="B76" s="14"/>
      <c r="C76" s="14"/>
      <c r="D76" s="14"/>
      <c r="E76" s="48">
        <f>IF(F76="", "", TEXTJOIN("_", TRUE, F76:O76))</f>
      </c>
      <c r="F76" s="42" t="str">
        <v>SM</v>
      </c>
      <c r="G76" s="43" t="str">
        <v>TheCity</v>
      </c>
      <c r="H76" s="43" t="str">
        <v>GroundLine</v>
      </c>
      <c r="I76" s="42"/>
      <c r="J76" s="44" t="str">
        <v>Major</v>
      </c>
      <c r="K76" s="42" t="str">
        <v>Grass</v>
      </c>
      <c r="L76" s="42" t="str">
        <v>T</v>
      </c>
      <c r="M76" s="42"/>
      <c r="N76" s="42"/>
      <c r="O76" s="45">
        <v>1</v>
      </c>
      <c r="P76" s="42"/>
      <c r="Q76" s="43">
        <f>"World_"&amp;VLOOKUP(G76,'引用列表'!Q:R,2,FALSE)&amp;"_"&amp;G76</f>
      </c>
      <c r="R76" s="43"/>
      <c r="S76" s="47">
        <f>IF(AE76="✅", "/Script/Engine.StaticMesh'/Game/Item/Mesh/Voxel/" &amp; Q76 &amp; "/" &amp; TEXTJOIN("_", TRUE, H76, I76) &amp; "/" &amp; E76 &amp; "." &amp; E76 &amp; "'", "")</f>
      </c>
      <c r="T76" s="42" t="str">
        <v>Open</v>
      </c>
      <c r="U76" s="42" t="str">
        <v>Close</v>
      </c>
      <c r="V76" s="42"/>
      <c r="W76" s="42"/>
      <c r="X76" s="42" t="str">
        <v>Grass</v>
      </c>
      <c r="Y76" s="42"/>
      <c r="Z76" s="42"/>
      <c r="AA76" s="42"/>
      <c r="AB76" s="43" t="b">
        <v>1</v>
      </c>
      <c r="AC76" s="42"/>
      <c r="AD76" s="43"/>
      <c r="AE76" s="77" t="str">
        <v>❌</v>
      </c>
      <c r="AF76" s="43" t="str">
        <v>GroundLine</v>
      </c>
      <c r="AG76" s="43"/>
      <c r="AH76" s="43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</row>
    <row customHeight="true" ht="19" outlineLevel="2" r="77">
      <c r="A77" s="4"/>
      <c r="B77" s="14"/>
      <c r="C77" s="14" t="str">
        <v>RoadCaved</v>
      </c>
      <c r="D77" s="14"/>
      <c r="E77" s="4"/>
      <c r="F77" s="5"/>
      <c r="G77" s="1"/>
      <c r="H77" s="1"/>
      <c r="I77" s="5"/>
      <c r="J77" s="27"/>
      <c r="K77" s="5"/>
      <c r="L77" s="5"/>
      <c r="M77" s="5"/>
      <c r="N77" s="5"/>
      <c r="O77" s="10"/>
      <c r="P77" s="5"/>
      <c r="Q77" s="1"/>
      <c r="R77" s="1"/>
      <c r="S77" s="9">
        <f>IF(AE77="✅", "/Script/Engine.StaticMesh'/Game/Item/Mesh/Voxel/" &amp; Q77 &amp; "/" &amp; TEXTJOIN("_", TRUE, H77, I77) &amp; "/" &amp; E77 &amp; "." &amp; E77 &amp; "'", "")</f>
      </c>
      <c r="T77" s="5"/>
      <c r="U77" s="5"/>
      <c r="V77" s="5"/>
      <c r="W77" s="5"/>
      <c r="X77" s="5"/>
      <c r="Y77" s="5"/>
      <c r="Z77" s="5"/>
      <c r="AA77" s="5"/>
      <c r="AB77" s="1"/>
      <c r="AC77" s="5"/>
      <c r="AD77" s="1"/>
      <c r="AE77" s="3"/>
      <c r="AF77" s="1" t="str"/>
      <c r="AG77" s="1"/>
      <c r="AH77" s="1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customHeight="true" ht="19" outlineLevel="3" r="78">
      <c r="A78" s="4" t="str" xml:space="preserve">
        <v> </v>
      </c>
      <c r="B78" s="14"/>
      <c r="C78" s="14"/>
      <c r="D78" s="14"/>
      <c r="E78" s="25">
        <f>IF(F78="", "", TEXTJOIN("_", TRUE, F78:O78))</f>
      </c>
      <c r="F78" s="19" t="str">
        <v>SM</v>
      </c>
      <c r="G78" s="25" t="str">
        <v>TheCity</v>
      </c>
      <c r="H78" s="20" t="str">
        <v>GroundLine</v>
      </c>
      <c r="I78" s="19" t="str">
        <v>Caved</v>
      </c>
      <c r="J78" s="23" t="str">
        <v>Major</v>
      </c>
      <c r="K78" s="19" t="str">
        <v>Road</v>
      </c>
      <c r="L78" s="19" t="str">
        <v>B</v>
      </c>
      <c r="M78" s="19"/>
      <c r="N78" s="19"/>
      <c r="O78" s="23">
        <v>1</v>
      </c>
      <c r="P78" s="19"/>
      <c r="Q78" s="25">
        <f>"World_"&amp;VLOOKUP(G78,'引用列表'!Q:R,2,FALSE)&amp;"_"&amp;G78</f>
      </c>
      <c r="R78" s="25"/>
      <c r="S78" s="19">
        <f>IF(AE78="✅", "/Script/Engine.StaticMesh'/Game/Item/Mesh/Voxel/" &amp; Q78 &amp; "/" &amp; TEXTJOIN("_", TRUE, H78, I78) &amp; "/" &amp; E78 &amp; "." &amp; E78 &amp; "'", "")</f>
      </c>
      <c r="T78" s="25" t="str">
        <v>Close</v>
      </c>
      <c r="U78" s="19" t="str">
        <v>Open</v>
      </c>
      <c r="V78" s="19"/>
      <c r="W78" s="19"/>
      <c r="X78" s="19"/>
      <c r="Y78" s="19" t="str">
        <v>RoadCave</v>
      </c>
      <c r="Z78" s="19"/>
      <c r="AA78" s="19"/>
      <c r="AB78" s="25" t="b">
        <v>0</v>
      </c>
      <c r="AC78" s="19"/>
      <c r="AD78" s="25" t="str">
        <v>GroundLine_Caved</v>
      </c>
      <c r="AE78" s="95" t="str">
        <v>✅</v>
      </c>
      <c r="AF78" s="20" t="str">
        <v>GroundLine_Caved</v>
      </c>
      <c r="AG78" s="25"/>
      <c r="AH78" s="25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</row>
    <row customHeight="true" ht="19" outlineLevel="3" r="79">
      <c r="A79" s="4" t="str" xml:space="preserve">
        <v> </v>
      </c>
      <c r="B79" s="14"/>
      <c r="C79" s="14"/>
      <c r="D79" s="14"/>
      <c r="E79" s="25">
        <f>IF(F79="", "", TEXTJOIN("_", TRUE, F79:O79))</f>
      </c>
      <c r="F79" s="19" t="str">
        <v>SM</v>
      </c>
      <c r="G79" s="25" t="str">
        <v>TheCity</v>
      </c>
      <c r="H79" s="20" t="str">
        <v>GroundLine</v>
      </c>
      <c r="I79" s="19" t="str">
        <v>Caved</v>
      </c>
      <c r="J79" s="23" t="str">
        <v>Major</v>
      </c>
      <c r="K79" s="19" t="str">
        <v>Road</v>
      </c>
      <c r="L79" s="19" t="str">
        <v>C</v>
      </c>
      <c r="M79" s="19"/>
      <c r="N79" s="19"/>
      <c r="O79" s="23">
        <v>1</v>
      </c>
      <c r="P79" s="19"/>
      <c r="Q79" s="25">
        <f>"World_"&amp;VLOOKUP(G79,'引用列表'!Q:R,2,FALSE)&amp;"_"&amp;G79</f>
      </c>
      <c r="R79" s="25"/>
      <c r="S79" s="19">
        <f>IF(AE79="✅", "/Script/Engine.StaticMesh'/Game/Item/Mesh/Voxel/" &amp; Q79 &amp; "/" &amp; TEXTJOIN("_", TRUE, H79, I79) &amp; "/" &amp; E79 &amp; "." &amp; E79 &amp; "'", "")</f>
      </c>
      <c r="T79" s="19" t="str">
        <v>Open</v>
      </c>
      <c r="U79" s="19" t="str">
        <v>Open</v>
      </c>
      <c r="V79" s="19"/>
      <c r="W79" s="19"/>
      <c r="X79" s="19" t="str">
        <v>RoadCave</v>
      </c>
      <c r="Y79" s="19" t="str">
        <v>RoadCave</v>
      </c>
      <c r="Z79" s="19"/>
      <c r="AA79" s="19"/>
      <c r="AB79" s="25" t="b">
        <v>0</v>
      </c>
      <c r="AC79" s="19"/>
      <c r="AD79" s="25" t="str">
        <v>GroundLine_Caved</v>
      </c>
      <c r="AE79" s="95" t="str">
        <v>✅</v>
      </c>
      <c r="AF79" s="20" t="str">
        <v>GroundLine_Caved</v>
      </c>
      <c r="AG79" s="25"/>
      <c r="AH79" s="25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</row>
    <row customHeight="true" ht="19" outlineLevel="3" r="80">
      <c r="A80" s="4" t="str" xml:space="preserve">
        <v> </v>
      </c>
      <c r="B80" s="14"/>
      <c r="C80" s="14"/>
      <c r="D80" s="14"/>
      <c r="E80" s="25">
        <f>IF(F80="", "", TEXTJOIN("_", TRUE, F80:O80))</f>
      </c>
      <c r="F80" s="19" t="str">
        <v>SM</v>
      </c>
      <c r="G80" s="25" t="str">
        <v>TheCity</v>
      </c>
      <c r="H80" s="20" t="str">
        <v>GroundLine</v>
      </c>
      <c r="I80" s="19" t="str">
        <v>Caved</v>
      </c>
      <c r="J80" s="23" t="str">
        <v>Major</v>
      </c>
      <c r="K80" s="19" t="str">
        <v>Road</v>
      </c>
      <c r="L80" s="19" t="str">
        <v>T</v>
      </c>
      <c r="M80" s="19"/>
      <c r="N80" s="19"/>
      <c r="O80" s="23">
        <v>1</v>
      </c>
      <c r="P80" s="19"/>
      <c r="Q80" s="25">
        <f>"World_"&amp;VLOOKUP(G80,'引用列表'!Q:R,2,FALSE)&amp;"_"&amp;G80</f>
      </c>
      <c r="R80" s="25"/>
      <c r="S80" s="19">
        <f>IF(AE80="✅", "/Script/Engine.StaticMesh'/Game/Item/Mesh/Voxel/" &amp; Q80 &amp; "/" &amp; TEXTJOIN("_", TRUE, H80, I80) &amp; "/" &amp; E80 &amp; "." &amp; E80 &amp; "'", "")</f>
      </c>
      <c r="T80" s="19" t="str">
        <v>Open</v>
      </c>
      <c r="U80" s="25" t="str">
        <v>Close</v>
      </c>
      <c r="V80" s="19"/>
      <c r="W80" s="19"/>
      <c r="X80" s="19" t="str">
        <v>RoadCave</v>
      </c>
      <c r="Y80" s="19"/>
      <c r="Z80" s="19"/>
      <c r="AA80" s="19"/>
      <c r="AB80" s="25" t="b">
        <v>1</v>
      </c>
      <c r="AC80" s="19"/>
      <c r="AD80" s="25" t="str">
        <v>GroundLine_Caved</v>
      </c>
      <c r="AE80" s="95" t="str">
        <v>✅</v>
      </c>
      <c r="AF80" s="20" t="str">
        <v>GroundLine_Caved</v>
      </c>
      <c r="AG80" s="25"/>
      <c r="AH80" s="25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</row>
    <row collapsed="true" customHeight="true" ht="19" outlineLevel="2" r="81">
      <c r="A81" s="4"/>
      <c r="B81" s="14"/>
      <c r="C81" s="14" t="str">
        <v>GrassCaved</v>
      </c>
      <c r="D81" s="14"/>
      <c r="E81" s="4"/>
      <c r="F81" s="9"/>
      <c r="G81" s="4"/>
      <c r="H81" s="1"/>
      <c r="I81" s="9"/>
      <c r="J81" s="27"/>
      <c r="K81" s="9"/>
      <c r="L81" s="9"/>
      <c r="M81" s="9"/>
      <c r="N81" s="9"/>
      <c r="O81" s="27"/>
      <c r="P81" s="9"/>
      <c r="Q81" s="4"/>
      <c r="R81" s="4"/>
      <c r="S81" s="9">
        <f>IF(AE81="✅", "/Script/Engine.StaticMesh'/Game/Item/Mesh/Voxel/" &amp; Q81 &amp; "/" &amp; TEXTJOIN("_", TRUE, H81, I81) &amp; "/" &amp; E81 &amp; "." &amp; E81 &amp; "'", "")</f>
      </c>
      <c r="T81" s="9"/>
      <c r="U81" s="4"/>
      <c r="V81" s="9"/>
      <c r="W81" s="9"/>
      <c r="X81" s="9"/>
      <c r="Y81" s="9"/>
      <c r="Z81" s="9"/>
      <c r="AA81" s="9"/>
      <c r="AB81" s="4"/>
      <c r="AC81" s="9"/>
      <c r="AD81" s="1"/>
      <c r="AE81" s="3"/>
      <c r="AF81" s="1" t="str"/>
      <c r="AG81" s="4"/>
      <c r="AH81" s="4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</row>
    <row customHeight="true" hidden="true" ht="19" outlineLevel="3" r="82">
      <c r="A82" s="4" t="str" xml:space="preserve">
        <v> </v>
      </c>
      <c r="B82" s="14"/>
      <c r="C82" s="14"/>
      <c r="D82" s="14"/>
      <c r="E82" s="48">
        <f>IF(F82="", "", TEXTJOIN("_", TRUE, F82:O82))</f>
      </c>
      <c r="F82" s="42" t="str">
        <v>SM</v>
      </c>
      <c r="G82" s="43" t="str">
        <v>TheCity</v>
      </c>
      <c r="H82" s="43" t="str">
        <v>GroundLine</v>
      </c>
      <c r="I82" s="42" t="str">
        <v>Caved</v>
      </c>
      <c r="J82" s="44" t="str">
        <v>Major</v>
      </c>
      <c r="K82" s="42" t="str">
        <v>Grass</v>
      </c>
      <c r="L82" s="42" t="str">
        <v>B</v>
      </c>
      <c r="M82" s="42"/>
      <c r="N82" s="42"/>
      <c r="O82" s="45">
        <v>1</v>
      </c>
      <c r="P82" s="42"/>
      <c r="Q82" s="43">
        <f>"World_"&amp;VLOOKUP(G82,'引用列表'!Q:R,2,FALSE)&amp;"_"&amp;G82</f>
      </c>
      <c r="R82" s="43"/>
      <c r="S82" s="47">
        <f>IF(AE82="✅", "/Script/Engine.StaticMesh'/Game/Item/Mesh/Voxel/" &amp; Q82 &amp; "/" &amp; TEXTJOIN("_", TRUE, H82, I82) &amp; "/" &amp; E82 &amp; "." &amp; E82 &amp; "'", "")</f>
      </c>
      <c r="T82" s="42" t="str">
        <v>Close</v>
      </c>
      <c r="U82" s="42" t="str">
        <v>Open</v>
      </c>
      <c r="V82" s="42"/>
      <c r="W82" s="42"/>
      <c r="X82" s="47"/>
      <c r="Y82" s="42" t="str">
        <v>GrassCave</v>
      </c>
      <c r="Z82" s="42"/>
      <c r="AA82" s="42"/>
      <c r="AB82" s="43" t="b">
        <v>0</v>
      </c>
      <c r="AC82" s="42"/>
      <c r="AD82" s="48"/>
      <c r="AE82" s="46" t="str">
        <v>❌</v>
      </c>
      <c r="AF82" s="48" t="str">
        <v>GroundLine_Caved</v>
      </c>
      <c r="AG82" s="43"/>
      <c r="AH82" s="43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</row>
    <row customHeight="true" hidden="true" ht="19" outlineLevel="3" r="83">
      <c r="A83" s="4" t="str" xml:space="preserve">
        <v> </v>
      </c>
      <c r="B83" s="14"/>
      <c r="C83" s="14"/>
      <c r="D83" s="14"/>
      <c r="E83" s="48">
        <f>IF(F83="", "", TEXTJOIN("_", TRUE, F83:O83))</f>
      </c>
      <c r="F83" s="42" t="str">
        <v>SM</v>
      </c>
      <c r="G83" s="43" t="str">
        <v>TheCity</v>
      </c>
      <c r="H83" s="43" t="str">
        <v>GroundLine</v>
      </c>
      <c r="I83" s="42" t="str">
        <v>Caved</v>
      </c>
      <c r="J83" s="44" t="str">
        <v>Major</v>
      </c>
      <c r="K83" s="42" t="str">
        <v>Grass</v>
      </c>
      <c r="L83" s="42" t="str">
        <v>C</v>
      </c>
      <c r="M83" s="42"/>
      <c r="N83" s="42"/>
      <c r="O83" s="45">
        <v>1</v>
      </c>
      <c r="P83" s="42"/>
      <c r="Q83" s="43">
        <f>"World_"&amp;VLOOKUP(G83,'引用列表'!Q:R,2,FALSE)&amp;"_"&amp;G83</f>
      </c>
      <c r="R83" s="43"/>
      <c r="S83" s="47">
        <f>IF(AE83="✅", "/Script/Engine.StaticMesh'/Game/Item/Mesh/Voxel/" &amp; Q83 &amp; "/" &amp; TEXTJOIN("_", TRUE, H83, I83) &amp; "/" &amp; E83 &amp; "." &amp; E83 &amp; "'", "")</f>
      </c>
      <c r="T83" s="42" t="str">
        <v>Open</v>
      </c>
      <c r="U83" s="42" t="str">
        <v>Open</v>
      </c>
      <c r="V83" s="42"/>
      <c r="W83" s="42"/>
      <c r="X83" s="42" t="str">
        <v>GrassCave</v>
      </c>
      <c r="Y83" s="42" t="str">
        <v>GrassCave</v>
      </c>
      <c r="Z83" s="42"/>
      <c r="AA83" s="42"/>
      <c r="AB83" s="43" t="b">
        <v>0</v>
      </c>
      <c r="AC83" s="42"/>
      <c r="AD83" s="48"/>
      <c r="AE83" s="46" t="str">
        <v>❌</v>
      </c>
      <c r="AF83" s="48" t="str">
        <v>GroundLine_Caved</v>
      </c>
      <c r="AG83" s="43"/>
      <c r="AH83" s="43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</row>
    <row customHeight="true" hidden="true" ht="19" outlineLevel="3" r="84">
      <c r="A84" s="4" t="str" xml:space="preserve">
        <v> </v>
      </c>
      <c r="B84" s="14"/>
      <c r="C84" s="14"/>
      <c r="D84" s="14"/>
      <c r="E84" s="48">
        <f>IF(F84="", "", TEXTJOIN("_", TRUE, F84:O84))</f>
      </c>
      <c r="F84" s="42" t="str">
        <v>SM</v>
      </c>
      <c r="G84" s="43" t="str">
        <v>TheCity</v>
      </c>
      <c r="H84" s="43" t="str">
        <v>GroundLine</v>
      </c>
      <c r="I84" s="42" t="str">
        <v>Caved</v>
      </c>
      <c r="J84" s="44" t="str">
        <v>Major</v>
      </c>
      <c r="K84" s="42" t="str">
        <v>Grass</v>
      </c>
      <c r="L84" s="42" t="str">
        <v>T</v>
      </c>
      <c r="M84" s="42"/>
      <c r="N84" s="42"/>
      <c r="O84" s="45">
        <v>1</v>
      </c>
      <c r="P84" s="42"/>
      <c r="Q84" s="43">
        <f>"World_"&amp;VLOOKUP(G84,'引用列表'!Q:R,2,FALSE)&amp;"_"&amp;G84</f>
      </c>
      <c r="R84" s="43"/>
      <c r="S84" s="47">
        <f>IF(AE84="✅", "/Script/Engine.StaticMesh'/Game/Item/Mesh/Voxel/" &amp; Q84 &amp; "/" &amp; TEXTJOIN("_", TRUE, H84, I84) &amp; "/" &amp; E84 &amp; "." &amp; E84 &amp; "'", "")</f>
      </c>
      <c r="T84" s="42" t="str">
        <v>Open</v>
      </c>
      <c r="U84" s="42" t="str">
        <v>Close</v>
      </c>
      <c r="V84" s="42"/>
      <c r="W84" s="42"/>
      <c r="X84" s="42" t="str">
        <v>GrassCave</v>
      </c>
      <c r="Y84" s="42"/>
      <c r="Z84" s="42"/>
      <c r="AA84" s="42"/>
      <c r="AB84" s="43" t="b">
        <v>1</v>
      </c>
      <c r="AC84" s="42"/>
      <c r="AD84" s="48"/>
      <c r="AE84" s="46" t="str">
        <v>❌</v>
      </c>
      <c r="AF84" s="48" t="str">
        <v>GroundLine_Caved</v>
      </c>
      <c r="AG84" s="43"/>
      <c r="AH84" s="43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</row>
    <row collapsed="true" customHeight="true" ht="19" outlineLevel="1" r="85">
      <c r="A85" s="4"/>
      <c r="B85" s="14" t="str">
        <v>StartHole</v>
      </c>
      <c r="C85" s="14"/>
      <c r="D85" s="14"/>
      <c r="E85" s="4"/>
      <c r="F85" s="5"/>
      <c r="G85" s="1"/>
      <c r="H85" s="1"/>
      <c r="I85" s="5"/>
      <c r="J85" s="27"/>
      <c r="K85" s="5"/>
      <c r="L85" s="5"/>
      <c r="M85" s="5"/>
      <c r="N85" s="5"/>
      <c r="O85" s="10"/>
      <c r="P85" s="5"/>
      <c r="Q85" s="1"/>
      <c r="R85" s="1"/>
      <c r="S85" s="9">
        <f>IF(AE85="✅", "/Script/Engine.StaticMesh'/Game/Item/Mesh/Voxel/" &amp; Q85 &amp; "/" &amp; TEXTJOIN("_", TRUE, H85, I85) &amp; "/" &amp; E85 &amp; "." &amp; E85 &amp; "'", "")</f>
      </c>
      <c r="T85" s="1"/>
      <c r="U85" s="1"/>
      <c r="V85" s="5"/>
      <c r="W85" s="5"/>
      <c r="X85" s="9"/>
      <c r="Y85" s="9"/>
      <c r="Z85" s="5"/>
      <c r="AA85" s="5"/>
      <c r="AB85" s="1"/>
      <c r="AC85" s="5"/>
      <c r="AD85" s="1"/>
      <c r="AE85" s="3"/>
      <c r="AF85" s="1" t="str"/>
      <c r="AG85" s="1"/>
      <c r="AH85" s="1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customHeight="true" hidden="true" ht="19" outlineLevel="2" r="86">
      <c r="A86" s="4"/>
      <c r="B86" s="14"/>
      <c r="C86" s="14" t="str">
        <v>Sidewalk</v>
      </c>
      <c r="D86" s="14"/>
      <c r="E86" s="4"/>
      <c r="F86" s="5"/>
      <c r="G86" s="1"/>
      <c r="H86" s="1"/>
      <c r="I86" s="5"/>
      <c r="J86" s="27"/>
      <c r="K86" s="5"/>
      <c r="L86" s="5"/>
      <c r="M86" s="5"/>
      <c r="N86" s="5"/>
      <c r="O86" s="10"/>
      <c r="P86" s="5"/>
      <c r="Q86" s="1"/>
      <c r="R86" s="1"/>
      <c r="S86" s="9"/>
      <c r="T86" s="1"/>
      <c r="U86" s="1"/>
      <c r="V86" s="5"/>
      <c r="W86" s="5"/>
      <c r="X86" s="9"/>
      <c r="Y86" s="9"/>
      <c r="Z86" s="5"/>
      <c r="AA86" s="5"/>
      <c r="AB86" s="1"/>
      <c r="AC86" s="5"/>
      <c r="AD86" s="1"/>
      <c r="AE86" s="3"/>
      <c r="AF86" s="1" t="str"/>
      <c r="AG86" s="1"/>
      <c r="AH86" s="1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hidden="true" outlineLevel="3" r="87">
      <c r="A87" s="4" t="str" xml:space="preserve">
        <v> </v>
      </c>
      <c r="B87" s="14" t="str" xml:space="preserve">
        <v> </v>
      </c>
      <c r="C87" s="14"/>
      <c r="D87" s="14"/>
      <c r="E87" s="71">
        <f>IF(F87="", "", TEXTJOIN("_", TRUE, F87:O87))</f>
      </c>
      <c r="F87" s="60" t="str">
        <v>SM</v>
      </c>
      <c r="G87" s="61" t="str">
        <v>TheCity</v>
      </c>
      <c r="H87" s="61" t="str">
        <v>StartHole</v>
      </c>
      <c r="I87" s="60"/>
      <c r="J87" s="58" t="str">
        <v>Major</v>
      </c>
      <c r="K87" s="60" t="str">
        <v>Sidewalk</v>
      </c>
      <c r="L87" s="60" t="str">
        <v>B</v>
      </c>
      <c r="M87" s="60"/>
      <c r="N87" s="60"/>
      <c r="O87" s="63">
        <v>1</v>
      </c>
      <c r="P87" s="60"/>
      <c r="Q87" s="61">
        <f>"World_"&amp;VLOOKUP(G87,'引用列表'!Q:R,2,FALSE)&amp;"_"&amp;G87</f>
      </c>
      <c r="R87" s="61"/>
      <c r="S87" s="62">
        <f>IF(AE87="✅", "/Script/Engine.StaticMesh'/Game/Item/Mesh/Voxel/" &amp; Q87 &amp; "/" &amp; TEXTJOIN("_", TRUE, H87, I87) &amp; "/" &amp; E87 &amp; "." &amp; E87 &amp; "'", "")</f>
      </c>
      <c r="T87" s="61" t="str">
        <v>Close</v>
      </c>
      <c r="U87" s="61" t="str">
        <v>StartHole1</v>
      </c>
      <c r="V87" s="60"/>
      <c r="W87" s="60"/>
      <c r="X87" s="62"/>
      <c r="Y87" s="62" t="str">
        <v>Sidewalk</v>
      </c>
      <c r="Z87" s="60"/>
      <c r="AA87" s="60"/>
      <c r="AB87" s="61" t="b">
        <v>0</v>
      </c>
      <c r="AC87" s="60"/>
      <c r="AD87" s="61" t="str">
        <v>StartHole,CheckHole,EndHole</v>
      </c>
      <c r="AE87" s="87" t="str">
        <v>✅</v>
      </c>
      <c r="AF87" s="61" t="str">
        <v>StartHole</v>
      </c>
      <c r="AG87" s="61"/>
      <c r="AH87" s="61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</row>
    <row customHeight="true" hidden="true" ht="19" outlineLevel="2" r="88">
      <c r="A88" s="4"/>
      <c r="B88" s="14"/>
      <c r="C88" s="14" t="str">
        <v>SidewalkToGrass</v>
      </c>
      <c r="D88" s="14"/>
      <c r="E88" s="4"/>
      <c r="F88" s="5"/>
      <c r="G88" s="1"/>
      <c r="H88" s="1"/>
      <c r="I88" s="5"/>
      <c r="J88" s="27"/>
      <c r="K88" s="5"/>
      <c r="L88" s="5"/>
      <c r="M88" s="5"/>
      <c r="N88" s="5"/>
      <c r="O88" s="10"/>
      <c r="P88" s="5"/>
      <c r="Q88" s="1"/>
      <c r="R88" s="1"/>
      <c r="S88" s="9">
        <f>IF(AE88="✅", "/Script/Engine.StaticMesh'/Game/Item/Mesh/Voxel/" &amp; Q88 &amp; "/" &amp; TEXTJOIN("_", TRUE, H88, I88) &amp; "/" &amp; E88 &amp; "." &amp; E88 &amp; "'", "")</f>
      </c>
      <c r="T88" s="1"/>
      <c r="U88" s="1"/>
      <c r="V88" s="5"/>
      <c r="W88" s="5"/>
      <c r="X88" s="9"/>
      <c r="Y88" s="9"/>
      <c r="Z88" s="5"/>
      <c r="AA88" s="5"/>
      <c r="AB88" s="1"/>
      <c r="AC88" s="5"/>
      <c r="AD88" s="1"/>
      <c r="AE88" s="3"/>
      <c r="AF88" s="1" t="str"/>
      <c r="AG88" s="1"/>
      <c r="AH88" s="1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</row>
    <row hidden="true" outlineLevel="3" r="89">
      <c r="A89" s="4" t="str" xml:space="preserve">
        <v> </v>
      </c>
      <c r="B89" s="73" t="str" xml:space="preserve">
        <v> </v>
      </c>
      <c r="C89" s="14"/>
      <c r="D89" s="14"/>
      <c r="E89" s="38">
        <f>IF(F89="", "", TEXTJOIN("_", TRUE, F89:O89))</f>
      </c>
      <c r="F89" s="36" t="str">
        <v>SM</v>
      </c>
      <c r="G89" s="35" t="str">
        <v>TheCity</v>
      </c>
      <c r="H89" s="35" t="str">
        <v>StartHole</v>
      </c>
      <c r="I89" s="36"/>
      <c r="J89" s="40" t="str">
        <v>Major</v>
      </c>
      <c r="K89" s="36" t="str">
        <v>SidewalkToGrass</v>
      </c>
      <c r="L89" s="36" t="str">
        <v>C</v>
      </c>
      <c r="M89" s="36"/>
      <c r="N89" s="36"/>
      <c r="O89" s="39">
        <v>2</v>
      </c>
      <c r="P89" s="36"/>
      <c r="Q89" s="35">
        <f>"World_"&amp;VLOOKUP(G89,'引用列表'!Q:R,2,FALSE)&amp;"_"&amp;G89</f>
      </c>
      <c r="R89" s="35"/>
      <c r="S89" s="37">
        <f>IF(AE89="✅", "/Script/Engine.StaticMesh'/Game/Item/Mesh/Voxel/" &amp; Q89 &amp; "/" &amp; TEXTJOIN("_", TRUE, H89, I89) &amp; "/" &amp; E89 &amp; "." &amp; E89 &amp; "'", "")</f>
      </c>
      <c r="T89" s="35" t="str">
        <v>StartHole1</v>
      </c>
      <c r="U89" s="35" t="str">
        <v>StartHole2</v>
      </c>
      <c r="V89" s="36"/>
      <c r="W89" s="36"/>
      <c r="X89" s="37" t="str">
        <v>Sidewalk</v>
      </c>
      <c r="Y89" s="37" t="str">
        <v>Grass</v>
      </c>
      <c r="Z89" s="36"/>
      <c r="AA89" s="36"/>
      <c r="AB89" s="35" t="b">
        <v>0</v>
      </c>
      <c r="AC89" s="36"/>
      <c r="AD89" s="38"/>
      <c r="AE89" s="41" t="str">
        <v>❌</v>
      </c>
      <c r="AF89" s="38" t="str">
        <v>StartHole</v>
      </c>
      <c r="AG89" s="35"/>
      <c r="AH89" s="35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</row>
    <row customHeight="true" hidden="true" ht="19" outlineLevel="2" r="90">
      <c r="A90" s="4"/>
      <c r="B90" s="14"/>
      <c r="C90" s="14" t="str">
        <v>Grass</v>
      </c>
      <c r="D90" s="14"/>
      <c r="E90" s="4"/>
      <c r="F90" s="5"/>
      <c r="G90" s="1"/>
      <c r="H90" s="1"/>
      <c r="I90" s="5"/>
      <c r="J90" s="27"/>
      <c r="K90" s="5"/>
      <c r="L90" s="5"/>
      <c r="M90" s="5"/>
      <c r="N90" s="5"/>
      <c r="O90" s="10"/>
      <c r="P90" s="5"/>
      <c r="Q90" s="1"/>
      <c r="R90" s="1"/>
      <c r="S90" s="9">
        <f>IF(AE90="✅", "/Script/Engine.StaticMesh'/Game/Item/Mesh/Voxel/" &amp; Q90 &amp; "/" &amp; TEXTJOIN("_", TRUE, H90, I90) &amp; "/" &amp; E90 &amp; "." &amp; E90 &amp; "'", "")</f>
      </c>
      <c r="T90" s="1"/>
      <c r="U90" s="1"/>
      <c r="V90" s="5"/>
      <c r="W90" s="5"/>
      <c r="X90" s="9"/>
      <c r="Y90" s="9"/>
      <c r="Z90" s="5"/>
      <c r="AA90" s="5"/>
      <c r="AB90" s="1"/>
      <c r="AC90" s="5"/>
      <c r="AD90" s="1"/>
      <c r="AE90" s="3"/>
      <c r="AF90" s="1" t="str"/>
      <c r="AG90" s="1"/>
      <c r="AH90" s="1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</row>
    <row hidden="true" outlineLevel="3" r="91">
      <c r="A91" s="4" t="str" xml:space="preserve">
        <v> </v>
      </c>
      <c r="B91" s="73" t="str" xml:space="preserve">
        <v> </v>
      </c>
      <c r="C91" s="14"/>
      <c r="D91" s="14"/>
      <c r="E91" s="38">
        <f>IF(F91="", "", TEXTJOIN("_", TRUE, F91:O91))</f>
      </c>
      <c r="F91" s="36" t="str">
        <v>SM</v>
      </c>
      <c r="G91" s="35" t="str">
        <v>TheCity</v>
      </c>
      <c r="H91" s="35" t="str">
        <v>StartHole</v>
      </c>
      <c r="I91" s="36"/>
      <c r="J91" s="40" t="str">
        <v>Major</v>
      </c>
      <c r="K91" s="36" t="str">
        <v>Grass</v>
      </c>
      <c r="L91" s="36" t="str">
        <v>C</v>
      </c>
      <c r="M91" s="36"/>
      <c r="N91" s="36"/>
      <c r="O91" s="39">
        <v>3</v>
      </c>
      <c r="P91" s="36"/>
      <c r="Q91" s="35">
        <f>"World_"&amp;VLOOKUP(G91,'引用列表'!Q:R,2,FALSE)&amp;"_"&amp;G91</f>
      </c>
      <c r="R91" s="35"/>
      <c r="S91" s="37">
        <f>IF(AE91="✅", "/Script/Engine.StaticMesh'/Game/Item/Mesh/Voxel/" &amp; Q91 &amp; "/" &amp; TEXTJOIN("_", TRUE, H91, I91) &amp; "/" &amp; E91 &amp; "." &amp; E91 &amp; "'", "")</f>
      </c>
      <c r="T91" s="35" t="str">
        <v>StartHole2</v>
      </c>
      <c r="U91" s="35" t="str">
        <v>StartHole3</v>
      </c>
      <c r="V91" s="36"/>
      <c r="W91" s="36"/>
      <c r="X91" s="37" t="str">
        <v>Grass</v>
      </c>
      <c r="Y91" s="37" t="str">
        <v>Grass</v>
      </c>
      <c r="Z91" s="36"/>
      <c r="AA91" s="36"/>
      <c r="AB91" s="35" t="b">
        <v>0</v>
      </c>
      <c r="AC91" s="36"/>
      <c r="AD91" s="35"/>
      <c r="AE91" s="72" t="str">
        <v>❌</v>
      </c>
      <c r="AF91" s="35" t="str">
        <v>StartHole</v>
      </c>
      <c r="AG91" s="35"/>
      <c r="AH91" s="35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</row>
    <row hidden="true" outlineLevel="3" r="92">
      <c r="A92" s="4" t="str" xml:space="preserve">
        <v> </v>
      </c>
      <c r="B92" s="73" t="str" xml:space="preserve">
        <v> </v>
      </c>
      <c r="C92" s="14"/>
      <c r="D92" s="14"/>
      <c r="E92" s="38">
        <f>IF(F92="", "", TEXTJOIN("_", TRUE, F92:O92))</f>
      </c>
      <c r="F92" s="36" t="str">
        <v>SM</v>
      </c>
      <c r="G92" s="35" t="str">
        <v>TheCity</v>
      </c>
      <c r="H92" s="35" t="str">
        <v>StartHole</v>
      </c>
      <c r="I92" s="36"/>
      <c r="J92" s="40" t="str">
        <v>Major</v>
      </c>
      <c r="K92" s="36" t="str">
        <v>Grass</v>
      </c>
      <c r="L92" s="36" t="str">
        <v>C</v>
      </c>
      <c r="M92" s="36"/>
      <c r="N92" s="36"/>
      <c r="O92" s="39">
        <v>4</v>
      </c>
      <c r="P92" s="36"/>
      <c r="Q92" s="35">
        <f>"World_"&amp;VLOOKUP(G92,'引用列表'!Q:R,2,FALSE)&amp;"_"&amp;G92</f>
      </c>
      <c r="R92" s="35"/>
      <c r="S92" s="37">
        <f>IF(AE92="✅", "/Script/Engine.StaticMesh'/Game/Item/Mesh/Voxel/" &amp; Q92 &amp; "/" &amp; TEXTJOIN("_", TRUE, H92, I92) &amp; "/" &amp; E92 &amp; "." &amp; E92 &amp; "'", "")</f>
      </c>
      <c r="T92" s="35" t="str">
        <v>StartHole3</v>
      </c>
      <c r="U92" s="35" t="str">
        <v>StartHole4</v>
      </c>
      <c r="V92" s="36"/>
      <c r="W92" s="36"/>
      <c r="X92" s="37" t="str">
        <v>Grass</v>
      </c>
      <c r="Y92" s="37" t="str">
        <v>Grass</v>
      </c>
      <c r="Z92" s="36"/>
      <c r="AA92" s="36"/>
      <c r="AB92" s="35" t="b">
        <v>0</v>
      </c>
      <c r="AC92" s="36"/>
      <c r="AD92" s="35"/>
      <c r="AE92" s="72" t="str">
        <v>❌</v>
      </c>
      <c r="AF92" s="35" t="str">
        <v>StartHole</v>
      </c>
      <c r="AG92" s="35"/>
      <c r="AH92" s="35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</row>
    <row hidden="true" outlineLevel="3" r="93">
      <c r="A93" s="4" t="str" xml:space="preserve">
        <v> </v>
      </c>
      <c r="B93" s="73" t="str" xml:space="preserve">
        <v> </v>
      </c>
      <c r="C93" s="14"/>
      <c r="D93" s="14"/>
      <c r="E93" s="38">
        <f>IF(F93="", "", TEXTJOIN("_", TRUE, F93:O93))</f>
      </c>
      <c r="F93" s="36" t="str">
        <v>SM</v>
      </c>
      <c r="G93" s="35" t="str">
        <v>TheCity</v>
      </c>
      <c r="H93" s="35" t="str">
        <v>StartHole</v>
      </c>
      <c r="I93" s="36"/>
      <c r="J93" s="40" t="str">
        <v>Major</v>
      </c>
      <c r="K93" s="36" t="str">
        <v>Grass</v>
      </c>
      <c r="L93" s="36" t="str">
        <v>C</v>
      </c>
      <c r="M93" s="36"/>
      <c r="N93" s="36"/>
      <c r="O93" s="39">
        <v>5</v>
      </c>
      <c r="P93" s="36"/>
      <c r="Q93" s="35">
        <f>"World_"&amp;VLOOKUP(G93,'引用列表'!Q:R,2,FALSE)&amp;"_"&amp;G93</f>
      </c>
      <c r="R93" s="35"/>
      <c r="S93" s="37">
        <f>IF(AE93="✅", "/Script/Engine.StaticMesh'/Game/Item/Mesh/Voxel/" &amp; Q93 &amp; "/" &amp; TEXTJOIN("_", TRUE, H93, I93) &amp; "/" &amp; E93 &amp; "." &amp; E93 &amp; "'", "")</f>
      </c>
      <c r="T93" s="35" t="str">
        <v>StartHole5</v>
      </c>
      <c r="U93" s="35" t="str">
        <v>Open</v>
      </c>
      <c r="V93" s="36"/>
      <c r="W93" s="36"/>
      <c r="X93" s="37" t="str">
        <v>Grass</v>
      </c>
      <c r="Y93" s="37" t="str">
        <v>Grass</v>
      </c>
      <c r="Z93" s="36"/>
      <c r="AA93" s="36"/>
      <c r="AB93" s="35" t="b">
        <v>0</v>
      </c>
      <c r="AC93" s="36"/>
      <c r="AD93" s="35"/>
      <c r="AE93" s="72" t="str">
        <v>❌</v>
      </c>
      <c r="AF93" s="35" t="str">
        <v>StartHole</v>
      </c>
      <c r="AG93" s="35"/>
      <c r="AH93" s="35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</row>
    <row customHeight="true" hidden="true" ht="19" outlineLevel="2" r="94">
      <c r="A94" s="4"/>
      <c r="B94" s="14"/>
      <c r="C94" s="14" t="str">
        <v>SidewalkToRoad</v>
      </c>
      <c r="D94" s="14"/>
      <c r="E94" s="4"/>
      <c r="F94" s="5"/>
      <c r="G94" s="1"/>
      <c r="H94" s="1"/>
      <c r="I94" s="5"/>
      <c r="J94" s="27"/>
      <c r="K94" s="5"/>
      <c r="L94" s="5"/>
      <c r="M94" s="5"/>
      <c r="N94" s="5"/>
      <c r="O94" s="10"/>
      <c r="P94" s="5"/>
      <c r="Q94" s="1"/>
      <c r="R94" s="1"/>
      <c r="S94" s="9">
        <f>IF(AE94="✅", "/Script/Engine.StaticMesh'/Game/Item/Mesh/Voxel/" &amp; Q94 &amp; "/" &amp; TEXTJOIN("_", TRUE, H94, I94) &amp; "/" &amp; E94 &amp; "." &amp; E94 &amp; "'", "")</f>
      </c>
      <c r="T94" s="1"/>
      <c r="U94" s="1"/>
      <c r="V94" s="5"/>
      <c r="W94" s="5"/>
      <c r="X94" s="9"/>
      <c r="Y94" s="9"/>
      <c r="Z94" s="5"/>
      <c r="AA94" s="5"/>
      <c r="AB94" s="1"/>
      <c r="AC94" s="5"/>
      <c r="AD94" s="1"/>
      <c r="AE94" s="3"/>
      <c r="AF94" s="1" t="str"/>
      <c r="AG94" s="1"/>
      <c r="AH94" s="1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</row>
    <row customHeight="true" hidden="true" ht="19" outlineLevel="3" r="95">
      <c r="A95" s="4" t="str" xml:space="preserve">
        <v> </v>
      </c>
      <c r="B95" s="76" t="str" xml:space="preserve">
        <v> </v>
      </c>
      <c r="C95" s="14"/>
      <c r="D95" s="14"/>
      <c r="E95" s="48">
        <f>IF(F95="", "", TEXTJOIN("_", TRUE, F95:O95))</f>
      </c>
      <c r="F95" s="42" t="str">
        <v>SM</v>
      </c>
      <c r="G95" s="43" t="str">
        <v>TheCity</v>
      </c>
      <c r="H95" s="43" t="str">
        <v>StartHole</v>
      </c>
      <c r="I95" s="42"/>
      <c r="J95" s="44" t="str">
        <v>Major</v>
      </c>
      <c r="K95" s="42" t="str">
        <v>SidewalkToRoad</v>
      </c>
      <c r="L95" s="42" t="str">
        <v>C</v>
      </c>
      <c r="M95" s="42"/>
      <c r="N95" s="42"/>
      <c r="O95" s="45">
        <v>2</v>
      </c>
      <c r="P95" s="42"/>
      <c r="Q95" s="43">
        <f>"World_"&amp;VLOOKUP(G95,'引用列表'!Q:R,2,FALSE)&amp;"_"&amp;G95</f>
      </c>
      <c r="R95" s="43"/>
      <c r="S95" s="47">
        <f>IF(AE95="✅", "/Script/Engine.StaticMesh'/Game/Item/Mesh/Voxel/" &amp; Q95 &amp; "/" &amp; TEXTJOIN("_", TRUE, H95, I95) &amp; "/" &amp; E95 &amp; "." &amp; E95 &amp; "'", "")</f>
      </c>
      <c r="T95" s="43" t="str">
        <v>StartHole1</v>
      </c>
      <c r="U95" s="43" t="str">
        <v>StartHole2</v>
      </c>
      <c r="V95" s="42"/>
      <c r="W95" s="42"/>
      <c r="X95" s="47" t="str">
        <v>Sidewalk</v>
      </c>
      <c r="Y95" s="47" t="str">
        <v>Road</v>
      </c>
      <c r="Z95" s="42"/>
      <c r="AA95" s="42"/>
      <c r="AB95" s="43" t="b">
        <v>0</v>
      </c>
      <c r="AC95" s="42"/>
      <c r="AD95" s="43" t="str">
        <v>StartHole,CheckHole,EndHole</v>
      </c>
      <c r="AE95" s="77" t="str">
        <v>✅</v>
      </c>
      <c r="AF95" s="43" t="str">
        <v>StartHole</v>
      </c>
      <c r="AG95" s="43"/>
      <c r="AH95" s="43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</row>
    <row customHeight="true" hidden="true" ht="19" outlineLevel="2" r="96">
      <c r="A96" s="4"/>
      <c r="B96" s="14"/>
      <c r="C96" s="14" t="str">
        <v>Road</v>
      </c>
      <c r="D96" s="14"/>
      <c r="E96" s="4"/>
      <c r="F96" s="5"/>
      <c r="G96" s="1"/>
      <c r="H96" s="1"/>
      <c r="I96" s="5"/>
      <c r="J96" s="27"/>
      <c r="K96" s="5"/>
      <c r="L96" s="5"/>
      <c r="M96" s="5"/>
      <c r="N96" s="5"/>
      <c r="O96" s="10"/>
      <c r="P96" s="5"/>
      <c r="Q96" s="1"/>
      <c r="R96" s="1"/>
      <c r="S96" s="9">
        <f>IF(AE96="✅", "/Script/Engine.StaticMesh'/Game/Item/Mesh/Voxel/" &amp; Q96 &amp; "/" &amp; TEXTJOIN("_", TRUE, H96, I96) &amp; "/" &amp; E96 &amp; "." &amp; E96 &amp; "'", "")</f>
      </c>
      <c r="T96" s="1"/>
      <c r="U96" s="1"/>
      <c r="V96" s="5"/>
      <c r="W96" s="5"/>
      <c r="X96" s="9"/>
      <c r="Y96" s="9"/>
      <c r="Z96" s="5"/>
      <c r="AA96" s="5"/>
      <c r="AB96" s="1"/>
      <c r="AC96" s="5"/>
      <c r="AD96" s="1"/>
      <c r="AE96" s="3"/>
      <c r="AF96" s="1" t="str"/>
      <c r="AG96" s="1"/>
      <c r="AH96" s="1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</row>
    <row customHeight="true" hidden="true" ht="19" outlineLevel="3" r="97">
      <c r="A97" s="4" t="str" xml:space="preserve">
        <v> </v>
      </c>
      <c r="B97" s="76" t="str" xml:space="preserve">
        <v> </v>
      </c>
      <c r="C97" s="14"/>
      <c r="D97" s="14"/>
      <c r="E97" s="48">
        <f>IF(F97="", "", TEXTJOIN("_", TRUE, F97:O97))</f>
      </c>
      <c r="F97" s="42" t="str">
        <v>SM</v>
      </c>
      <c r="G97" s="43" t="str">
        <v>TheCity</v>
      </c>
      <c r="H97" s="43" t="str">
        <v>StartHole</v>
      </c>
      <c r="I97" s="42"/>
      <c r="J97" s="44" t="str">
        <v>Major</v>
      </c>
      <c r="K97" s="42" t="str">
        <v>Road</v>
      </c>
      <c r="L97" s="42" t="str">
        <v>C</v>
      </c>
      <c r="M97" s="42"/>
      <c r="N97" s="42"/>
      <c r="O97" s="45">
        <v>3</v>
      </c>
      <c r="P97" s="42"/>
      <c r="Q97" s="43">
        <f>"World_"&amp;VLOOKUP(G97,'引用列表'!Q:R,2,FALSE)&amp;"_"&amp;G97</f>
      </c>
      <c r="R97" s="43"/>
      <c r="S97" s="47">
        <f>IF(AE97="✅", "/Script/Engine.StaticMesh'/Game/Item/Mesh/Voxel/" &amp; Q97 &amp; "/" &amp; TEXTJOIN("_", TRUE, H97, I97) &amp; "/" &amp; E97 &amp; "." &amp; E97 &amp; "'", "")</f>
      </c>
      <c r="T97" s="43" t="str">
        <v>StartHole2</v>
      </c>
      <c r="U97" s="43" t="str">
        <v>StartHole3</v>
      </c>
      <c r="V97" s="42"/>
      <c r="W97" s="42"/>
      <c r="X97" s="47" t="str">
        <v>Road</v>
      </c>
      <c r="Y97" s="47" t="str">
        <v>Road</v>
      </c>
      <c r="Z97" s="42"/>
      <c r="AA97" s="42"/>
      <c r="AB97" s="43" t="b">
        <v>0</v>
      </c>
      <c r="AC97" s="42"/>
      <c r="AD97" s="43" t="str">
        <v>StartHole,CheckHole</v>
      </c>
      <c r="AE97" s="77" t="str">
        <v>✅</v>
      </c>
      <c r="AF97" s="43" t="str">
        <v>StartHole</v>
      </c>
      <c r="AG97" s="43"/>
      <c r="AH97" s="43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</row>
    <row customHeight="true" hidden="true" ht="19" outlineLevel="3" r="98">
      <c r="A98" s="4" t="str" xml:space="preserve">
        <v> </v>
      </c>
      <c r="B98" s="76" t="str" xml:space="preserve">
        <v> </v>
      </c>
      <c r="C98" s="14"/>
      <c r="D98" s="14"/>
      <c r="E98" s="48">
        <f>IF(F98="", "", TEXTJOIN("_", TRUE, F98:O98))</f>
      </c>
      <c r="F98" s="42" t="str">
        <v>SM</v>
      </c>
      <c r="G98" s="43" t="str">
        <v>TheCity</v>
      </c>
      <c r="H98" s="43" t="str">
        <v>StartHole</v>
      </c>
      <c r="I98" s="42"/>
      <c r="J98" s="44" t="str">
        <v>Major</v>
      </c>
      <c r="K98" s="42" t="str">
        <v>Road</v>
      </c>
      <c r="L98" s="42" t="str">
        <v>C</v>
      </c>
      <c r="M98" s="42"/>
      <c r="N98" s="42"/>
      <c r="O98" s="45">
        <v>4</v>
      </c>
      <c r="P98" s="42"/>
      <c r="Q98" s="43">
        <f>"World_"&amp;VLOOKUP(G98,'引用列表'!Q:R,2,FALSE)&amp;"_"&amp;G98</f>
      </c>
      <c r="R98" s="43"/>
      <c r="S98" s="47">
        <f>IF(AE98="✅", "/Script/Engine.StaticMesh'/Game/Item/Mesh/Voxel/" &amp; Q98 &amp; "/" &amp; TEXTJOIN("_", TRUE, H98, I98) &amp; "/" &amp; E98 &amp; "." &amp; E98 &amp; "'", "")</f>
      </c>
      <c r="T98" s="43" t="str">
        <v>StartHole3</v>
      </c>
      <c r="U98" s="43" t="str">
        <v>StartHole4</v>
      </c>
      <c r="V98" s="42"/>
      <c r="W98" s="42"/>
      <c r="X98" s="47" t="str">
        <v>Road</v>
      </c>
      <c r="Y98" s="47" t="str">
        <v>Road</v>
      </c>
      <c r="Z98" s="42"/>
      <c r="AA98" s="42"/>
      <c r="AB98" s="43" t="b">
        <v>0</v>
      </c>
      <c r="AC98" s="42"/>
      <c r="AD98" s="43" t="str">
        <v>StartHole</v>
      </c>
      <c r="AE98" s="77" t="str">
        <v>✅</v>
      </c>
      <c r="AF98" s="43" t="str">
        <v>StartHole</v>
      </c>
      <c r="AG98" s="43"/>
      <c r="AH98" s="43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</row>
    <row customHeight="true" hidden="true" ht="19" outlineLevel="3" r="99">
      <c r="A99" s="4" t="str" xml:space="preserve">
        <v> </v>
      </c>
      <c r="B99" s="76" t="str" xml:space="preserve">
        <v> </v>
      </c>
      <c r="C99" s="14"/>
      <c r="D99" s="14"/>
      <c r="E99" s="48">
        <f>IF(F99="", "", TEXTJOIN("_", TRUE, F99:O99))</f>
      </c>
      <c r="F99" s="42" t="str">
        <v>SM</v>
      </c>
      <c r="G99" s="43" t="str">
        <v>TheCity</v>
      </c>
      <c r="H99" s="43" t="str">
        <v>StartHole</v>
      </c>
      <c r="I99" s="42"/>
      <c r="J99" s="44" t="str">
        <v>Major</v>
      </c>
      <c r="K99" s="42" t="str">
        <v>Road</v>
      </c>
      <c r="L99" s="42" t="str">
        <v>C</v>
      </c>
      <c r="M99" s="42"/>
      <c r="N99" s="42"/>
      <c r="O99" s="45">
        <v>5</v>
      </c>
      <c r="P99" s="42"/>
      <c r="Q99" s="43">
        <f>"World_"&amp;VLOOKUP(G99,'引用列表'!Q:R,2,FALSE)&amp;"_"&amp;G99</f>
      </c>
      <c r="R99" s="43"/>
      <c r="S99" s="47">
        <f>IF(AE99="✅", "/Script/Engine.StaticMesh'/Game/Item/Mesh/Voxel/" &amp; Q99 &amp; "/" &amp; TEXTJOIN("_", TRUE, H99, I99) &amp; "/" &amp; E99 &amp; "." &amp; E99 &amp; "'", "")</f>
      </c>
      <c r="T99" s="43" t="str">
        <v>StartHole4</v>
      </c>
      <c r="U99" s="43" t="str">
        <v>Open</v>
      </c>
      <c r="V99" s="42"/>
      <c r="W99" s="42"/>
      <c r="X99" s="47" t="str">
        <v>Road</v>
      </c>
      <c r="Y99" s="47" t="str">
        <v>Road</v>
      </c>
      <c r="Z99" s="42"/>
      <c r="AA99" s="42"/>
      <c r="AB99" s="43" t="b">
        <v>0</v>
      </c>
      <c r="AC99" s="42"/>
      <c r="AD99" s="43" t="str">
        <v>StartHole</v>
      </c>
      <c r="AE99" s="77" t="str">
        <v>✅</v>
      </c>
      <c r="AF99" s="43" t="str">
        <v>StartHole</v>
      </c>
      <c r="AG99" s="43"/>
      <c r="AH99" s="43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</row>
    <row collapsed="true" customHeight="true" ht="19" outlineLevel="1" r="100">
      <c r="A100" s="4"/>
      <c r="B100" s="14" t="str">
        <v>CheckHole</v>
      </c>
      <c r="C100" s="14"/>
      <c r="D100" s="14"/>
      <c r="E100" s="4"/>
      <c r="F100" s="5"/>
      <c r="G100" s="1"/>
      <c r="H100" s="1"/>
      <c r="I100" s="5"/>
      <c r="J100" s="27"/>
      <c r="K100" s="5"/>
      <c r="L100" s="5"/>
      <c r="M100" s="5"/>
      <c r="N100" s="5"/>
      <c r="O100" s="10"/>
      <c r="P100" s="5"/>
      <c r="Q100" s="1"/>
      <c r="R100" s="1"/>
      <c r="S100" s="9">
        <f>IF(AE100="✅", "/Script/Engine.StaticMesh'/Game/Item/Mesh/Voxel/" &amp; Q100 &amp; "/" &amp; TEXTJOIN("_", TRUE, H100, I100) &amp; "/" &amp; E100 &amp; "." &amp; E100 &amp; "'", "")</f>
      </c>
      <c r="T100" s="1"/>
      <c r="U100" s="1"/>
      <c r="V100" s="5"/>
      <c r="W100" s="5"/>
      <c r="X100" s="9"/>
      <c r="Y100" s="9"/>
      <c r="Z100" s="5"/>
      <c r="AA100" s="5"/>
      <c r="AB100" s="1"/>
      <c r="AC100" s="5"/>
      <c r="AD100" s="1"/>
      <c r="AE100" s="3"/>
      <c r="AF100" s="1" t="str"/>
      <c r="AG100" s="1"/>
      <c r="AH100" s="1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</row>
    <row customHeight="true" hidden="true" ht="19" outlineLevel="2" r="101">
      <c r="A101" s="4"/>
      <c r="B101" s="14"/>
      <c r="C101" s="14" t="str">
        <v>Grass</v>
      </c>
      <c r="D101" s="14"/>
      <c r="E101" s="4"/>
      <c r="F101" s="5"/>
      <c r="G101" s="1"/>
      <c r="H101" s="1"/>
      <c r="I101" s="5"/>
      <c r="J101" s="27"/>
      <c r="K101" s="5"/>
      <c r="L101" s="5"/>
      <c r="M101" s="5"/>
      <c r="N101" s="5"/>
      <c r="O101" s="10"/>
      <c r="P101" s="5"/>
      <c r="Q101" s="1"/>
      <c r="R101" s="1"/>
      <c r="S101" s="9">
        <f>IF(AE101="✅", "/Script/Engine.StaticMesh'/Game/Item/Mesh/Voxel/" &amp; Q101 &amp; "/" &amp; TEXTJOIN("_", TRUE, H101, I101) &amp; "/" &amp; E101 &amp; "." &amp; E101 &amp; "'", "")</f>
      </c>
      <c r="T101" s="1"/>
      <c r="U101" s="1"/>
      <c r="V101" s="5"/>
      <c r="W101" s="5"/>
      <c r="X101" s="9"/>
      <c r="Y101" s="9"/>
      <c r="Z101" s="5"/>
      <c r="AA101" s="5"/>
      <c r="AB101" s="1"/>
      <c r="AC101" s="5"/>
      <c r="AD101" s="1"/>
      <c r="AE101" s="3"/>
      <c r="AF101" s="1" t="str"/>
      <c r="AG101" s="1"/>
      <c r="AH101" s="1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</row>
    <row customHeight="true" hidden="true" ht="19" outlineLevel="3" r="102">
      <c r="A102" s="4" t="str" xml:space="preserve">
        <v> </v>
      </c>
      <c r="B102" s="76" t="str" xml:space="preserve">
        <v> </v>
      </c>
      <c r="C102" s="14"/>
      <c r="D102" s="14"/>
      <c r="E102" s="34">
        <f>IF(F102="", "", TEXTJOIN("_", TRUE, F102:O102))</f>
      </c>
      <c r="F102" s="28" t="str">
        <v>SM</v>
      </c>
      <c r="G102" s="32" t="str">
        <v>TheCity</v>
      </c>
      <c r="H102" s="32" t="str">
        <v>CheckHole</v>
      </c>
      <c r="I102" s="28"/>
      <c r="J102" s="31" t="str">
        <v>Major</v>
      </c>
      <c r="K102" s="28" t="str">
        <v>Grass</v>
      </c>
      <c r="L102" s="28" t="str">
        <v>C</v>
      </c>
      <c r="M102" s="28"/>
      <c r="N102" s="28"/>
      <c r="O102" s="33">
        <v>4</v>
      </c>
      <c r="P102" s="28"/>
      <c r="Q102" s="32">
        <f>"World_"&amp;VLOOKUP(G102,'引用列表'!Q:R,2,FALSE)&amp;"_"&amp;G102</f>
      </c>
      <c r="R102" s="32"/>
      <c r="S102" s="29">
        <f>IF(AE102="✅", "/Script/Engine.StaticMesh'/Game/Item/Mesh/Voxel/" &amp; Q102 &amp; "/" &amp; TEXTJOIN("_", TRUE, H102, I102) &amp; "/" &amp; E102 &amp; "." &amp; E102 &amp; "'", "")</f>
      </c>
      <c r="T102" s="32" t="str">
        <v>StartHole3</v>
      </c>
      <c r="U102" s="32" t="str">
        <v>CheckHole4</v>
      </c>
      <c r="V102" s="28"/>
      <c r="W102" s="28"/>
      <c r="X102" s="29" t="str">
        <v>Grass</v>
      </c>
      <c r="Y102" s="29" t="str">
        <v>Grass</v>
      </c>
      <c r="Z102" s="28"/>
      <c r="AA102" s="28"/>
      <c r="AB102" s="32" t="b">
        <v>0</v>
      </c>
      <c r="AC102" s="28"/>
      <c r="AD102" s="32"/>
      <c r="AE102" s="74" t="str">
        <v>❌</v>
      </c>
      <c r="AF102" s="32" t="str">
        <v>CheckHole</v>
      </c>
      <c r="AG102" s="32"/>
      <c r="AH102" s="32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customHeight="true" hidden="true" ht="19" outlineLevel="3" r="103">
      <c r="A103" s="4" t="str" xml:space="preserve">
        <v> </v>
      </c>
      <c r="B103" s="75" t="str" xml:space="preserve">
        <v> </v>
      </c>
      <c r="C103" s="14"/>
      <c r="D103" s="14"/>
      <c r="E103" s="34">
        <f>IF(F103="", "", TEXTJOIN("_", TRUE, F103:O103))</f>
      </c>
      <c r="F103" s="28" t="str">
        <v>SM</v>
      </c>
      <c r="G103" s="32" t="str">
        <v>TheCity</v>
      </c>
      <c r="H103" s="32" t="str">
        <v>CheckHole</v>
      </c>
      <c r="I103" s="28"/>
      <c r="J103" s="31" t="str">
        <v>Major</v>
      </c>
      <c r="K103" s="28" t="str">
        <v>Grass</v>
      </c>
      <c r="L103" s="28" t="str">
        <v>C</v>
      </c>
      <c r="M103" s="28"/>
      <c r="N103" s="28"/>
      <c r="O103" s="33">
        <v>5</v>
      </c>
      <c r="P103" s="28"/>
      <c r="Q103" s="32">
        <f>"World_"&amp;VLOOKUP(G103,'引用列表'!Q:R,2,FALSE)&amp;"_"&amp;G103</f>
      </c>
      <c r="R103" s="32"/>
      <c r="S103" s="29">
        <f>IF(AE103="✅", "/Script/Engine.StaticMesh'/Game/Item/Mesh/Voxel/" &amp; Q103 &amp; "/" &amp; TEXTJOIN("_", TRUE, H103, I103) &amp; "/" &amp; E103 &amp; "." &amp; E103 &amp; "'", "")</f>
      </c>
      <c r="T103" s="32" t="str">
        <v>CheckHole4</v>
      </c>
      <c r="U103" s="32" t="str">
        <v>Open</v>
      </c>
      <c r="V103" s="28"/>
      <c r="W103" s="28"/>
      <c r="X103" s="29" t="str">
        <v>Grass</v>
      </c>
      <c r="Y103" s="29" t="str">
        <v>Grass</v>
      </c>
      <c r="Z103" s="28"/>
      <c r="AA103" s="28"/>
      <c r="AB103" s="32" t="b">
        <v>0</v>
      </c>
      <c r="AC103" s="28"/>
      <c r="AD103" s="32"/>
      <c r="AE103" s="74" t="str">
        <v>❌</v>
      </c>
      <c r="AF103" s="32" t="str">
        <v>CheckHole</v>
      </c>
      <c r="AG103" s="32"/>
      <c r="AH103" s="32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customHeight="true" hidden="true" ht="19" outlineLevel="2" r="104">
      <c r="A104" s="4"/>
      <c r="B104" s="14"/>
      <c r="C104" s="14" t="str">
        <v>Road</v>
      </c>
      <c r="D104" s="14"/>
      <c r="E104" s="4"/>
      <c r="F104" s="9"/>
      <c r="G104" s="4"/>
      <c r="H104" s="4"/>
      <c r="I104" s="9"/>
      <c r="J104" s="27"/>
      <c r="K104" s="27"/>
      <c r="L104" s="9"/>
      <c r="M104" s="9"/>
      <c r="N104" s="27"/>
      <c r="O104" s="27"/>
      <c r="P104" s="9"/>
      <c r="Q104" s="4"/>
      <c r="R104" s="4"/>
      <c r="S104" s="9"/>
      <c r="T104" s="4"/>
      <c r="U104" s="4"/>
      <c r="V104" s="9"/>
      <c r="W104" s="9"/>
      <c r="X104" s="9"/>
      <c r="Y104" s="9"/>
      <c r="Z104" s="9"/>
      <c r="AA104" s="9"/>
      <c r="AB104" s="4"/>
      <c r="AC104" s="9"/>
      <c r="AD104" s="4"/>
      <c r="AE104" s="2"/>
      <c r="AF104" s="4" t="str"/>
      <c r="AG104" s="4"/>
      <c r="AH104" s="4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</row>
    <row customHeight="true" hidden="true" ht="19" outlineLevel="3" r="105">
      <c r="A105" s="4" t="str" xml:space="preserve">
        <v> </v>
      </c>
      <c r="B105" s="14" t="str" xml:space="preserve">
        <v> </v>
      </c>
      <c r="C105" s="14"/>
      <c r="D105" s="14"/>
      <c r="E105" s="85">
        <f>IF(F105="", "", TEXTJOIN("_", TRUE, F105:O105))</f>
      </c>
      <c r="F105" s="83" t="str">
        <v>SM</v>
      </c>
      <c r="G105" s="85" t="str">
        <v>TheCity</v>
      </c>
      <c r="H105" s="85" t="str">
        <v>CheckHole</v>
      </c>
      <c r="I105" s="83"/>
      <c r="J105" s="84" t="str">
        <v>Major</v>
      </c>
      <c r="K105" s="84" t="str">
        <v>Road</v>
      </c>
      <c r="L105" s="83" t="str">
        <v>C</v>
      </c>
      <c r="M105" s="83"/>
      <c r="N105" s="84"/>
      <c r="O105" s="84">
        <v>4</v>
      </c>
      <c r="P105" s="83"/>
      <c r="Q105" s="85">
        <f>"World_"&amp;VLOOKUP(G105,'引用列表'!Q:R,2,FALSE)&amp;"_"&amp;G105</f>
      </c>
      <c r="R105" s="85"/>
      <c r="S105" s="83">
        <f>IF(AE105="✅", "/Script/Engine.StaticMesh'/Game/Item/Mesh/Voxel/" &amp; Q105 &amp; "/" &amp; TEXTJOIN("_", TRUE, H105, I105) &amp; "/" &amp; E105 &amp; "." &amp; E105 &amp; "'", "")</f>
      </c>
      <c r="T105" s="85" t="str">
        <v>StartHole3</v>
      </c>
      <c r="U105" s="85" t="str">
        <v>CheckHole4</v>
      </c>
      <c r="V105" s="83"/>
      <c r="W105" s="83"/>
      <c r="X105" s="83" t="str">
        <v>Road</v>
      </c>
      <c r="Y105" s="83" t="str">
        <v>Road</v>
      </c>
      <c r="Z105" s="83"/>
      <c r="AA105" s="83"/>
      <c r="AB105" s="85" t="b">
        <v>0</v>
      </c>
      <c r="AC105" s="83"/>
      <c r="AD105" s="85" t="str">
        <v>CheckHole</v>
      </c>
      <c r="AE105" s="86" t="str">
        <v>✅</v>
      </c>
      <c r="AF105" s="85" t="str">
        <v>CheckHole</v>
      </c>
      <c r="AG105" s="85"/>
      <c r="AH105" s="85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</row>
    <row customHeight="true" hidden="true" ht="19" outlineLevel="3" r="106">
      <c r="A106" s="4" t="str" xml:space="preserve">
        <v> </v>
      </c>
      <c r="B106" s="14" t="str" xml:space="preserve">
        <v> </v>
      </c>
      <c r="C106" s="14"/>
      <c r="D106" s="14"/>
      <c r="E106" s="85">
        <f>IF(F106="", "", TEXTJOIN("_", TRUE, F106:O106))</f>
      </c>
      <c r="F106" s="83" t="str">
        <v>SM</v>
      </c>
      <c r="G106" s="85" t="str">
        <v>TheCity</v>
      </c>
      <c r="H106" s="85" t="str">
        <v>CheckHole</v>
      </c>
      <c r="I106" s="83"/>
      <c r="J106" s="84" t="str">
        <v>Major</v>
      </c>
      <c r="K106" s="84" t="str">
        <v>Road</v>
      </c>
      <c r="L106" s="83" t="str">
        <v>C</v>
      </c>
      <c r="M106" s="83"/>
      <c r="N106" s="84"/>
      <c r="O106" s="84">
        <v>5</v>
      </c>
      <c r="P106" s="83"/>
      <c r="Q106" s="85">
        <f>"World_"&amp;VLOOKUP(G106,'引用列表'!Q:R,2,FALSE)&amp;"_"&amp;G106</f>
      </c>
      <c r="R106" s="85"/>
      <c r="S106" s="83">
        <f>IF(AE106="✅", "/Script/Engine.StaticMesh'/Game/Item/Mesh/Voxel/" &amp; Q106 &amp; "/" &amp; TEXTJOIN("_", TRUE, H106, I106) &amp; "/" &amp; E106 &amp; "." &amp; E106 &amp; "'", "")</f>
      </c>
      <c r="T106" s="85" t="str">
        <v>CheckHole4</v>
      </c>
      <c r="U106" s="85" t="str">
        <v>Open</v>
      </c>
      <c r="V106" s="83"/>
      <c r="W106" s="83"/>
      <c r="X106" s="83" t="str">
        <v>Road</v>
      </c>
      <c r="Y106" s="83" t="str">
        <v>Road</v>
      </c>
      <c r="Z106" s="83"/>
      <c r="AA106" s="83"/>
      <c r="AB106" s="85" t="b">
        <v>0</v>
      </c>
      <c r="AC106" s="83"/>
      <c r="AD106" s="85" t="str">
        <v>CheckHole</v>
      </c>
      <c r="AE106" s="86" t="str">
        <v>✅</v>
      </c>
      <c r="AF106" s="85" t="str">
        <v>CheckHole</v>
      </c>
      <c r="AG106" s="85"/>
      <c r="AH106" s="85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</row>
    <row collapsed="true" customHeight="true" ht="19" outlineLevel="1" r="107">
      <c r="A107" s="4"/>
      <c r="B107" s="14" t="str">
        <v>EndHole</v>
      </c>
      <c r="C107" s="14"/>
      <c r="D107" s="14"/>
      <c r="E107" s="4"/>
      <c r="F107" s="9"/>
      <c r="G107" s="4"/>
      <c r="H107" s="4"/>
      <c r="I107" s="9"/>
      <c r="J107" s="27"/>
      <c r="K107" s="27"/>
      <c r="L107" s="9"/>
      <c r="M107" s="9"/>
      <c r="N107" s="27"/>
      <c r="O107" s="27"/>
      <c r="P107" s="9"/>
      <c r="Q107" s="4"/>
      <c r="R107" s="4"/>
      <c r="S107" s="9">
        <f>IF(AE107="✅", "/Script/Engine.StaticMesh'/Game/Item/Mesh/Voxel/" &amp; Q107 &amp; "/" &amp; TEXTJOIN("_", TRUE, H107, I107) &amp; "/" &amp; E107 &amp; "." &amp; E107 &amp; "'", "")</f>
      </c>
      <c r="T107" s="4"/>
      <c r="U107" s="4"/>
      <c r="V107" s="9"/>
      <c r="W107" s="9"/>
      <c r="X107" s="9"/>
      <c r="Y107" s="9"/>
      <c r="Z107" s="9"/>
      <c r="AA107" s="9"/>
      <c r="AB107" s="4"/>
      <c r="AC107" s="9"/>
      <c r="AD107" s="4"/>
      <c r="AE107" s="2"/>
      <c r="AF107" s="4" t="str"/>
      <c r="AG107" s="4"/>
      <c r="AH107" s="4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</row>
    <row customHeight="true" hidden="true" ht="19" outlineLevel="2" r="108">
      <c r="A108" s="4"/>
      <c r="B108" s="14"/>
      <c r="C108" s="14" t="str">
        <v>Grass</v>
      </c>
      <c r="D108" s="14"/>
      <c r="E108" s="4"/>
      <c r="F108" s="9"/>
      <c r="G108" s="4"/>
      <c r="H108" s="4"/>
      <c r="I108" s="9"/>
      <c r="J108" s="27"/>
      <c r="K108" s="27"/>
      <c r="L108" s="9"/>
      <c r="M108" s="9"/>
      <c r="N108" s="27"/>
      <c r="O108" s="27"/>
      <c r="P108" s="9"/>
      <c r="Q108" s="4"/>
      <c r="R108" s="4"/>
      <c r="S108" s="9">
        <f>IF(AE108="✅", "/Script/Engine.StaticMesh'/Game/Item/Mesh/Voxel/" &amp; Q108 &amp; "/" &amp; TEXTJOIN("_", TRUE, H108, I108) &amp; "/" &amp; E108 &amp; "." &amp; E108 &amp; "'", "")</f>
      </c>
      <c r="T108" s="4"/>
      <c r="U108" s="4"/>
      <c r="V108" s="9"/>
      <c r="W108" s="9"/>
      <c r="X108" s="9"/>
      <c r="Y108" s="9"/>
      <c r="Z108" s="9"/>
      <c r="AA108" s="9"/>
      <c r="AB108" s="4"/>
      <c r="AC108" s="9"/>
      <c r="AD108" s="4"/>
      <c r="AE108" s="2"/>
      <c r="AF108" s="4" t="str"/>
      <c r="AG108" s="4"/>
      <c r="AH108" s="4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</row>
    <row customHeight="true" hidden="true" ht="19" outlineLevel="3" r="109">
      <c r="A109" s="78" t="str" xml:space="preserve">
        <v> </v>
      </c>
      <c r="B109" s="82" t="str" xml:space="preserve">
        <v> </v>
      </c>
      <c r="C109" s="14" t="str" xml:space="preserve">
        <v> </v>
      </c>
      <c r="D109" s="14"/>
      <c r="E109" s="78">
        <f>IF(F109="", "", TEXTJOIN("_", TRUE, F109:O109))</f>
      </c>
      <c r="F109" s="79" t="str">
        <v>SM</v>
      </c>
      <c r="G109" s="78" t="str">
        <v>TheCity</v>
      </c>
      <c r="H109" s="78" t="str">
        <v>EndHole</v>
      </c>
      <c r="I109" s="79"/>
      <c r="J109" s="80" t="str">
        <v>Major</v>
      </c>
      <c r="K109" s="80" t="str">
        <v>Grass</v>
      </c>
      <c r="L109" s="79" t="str">
        <v>C</v>
      </c>
      <c r="M109" s="79"/>
      <c r="N109" s="80"/>
      <c r="O109" s="80">
        <v>3</v>
      </c>
      <c r="P109" s="79"/>
      <c r="Q109" s="78">
        <f>"World_"&amp;VLOOKUP(G109,'引用列表'!Q:R,2,FALSE)&amp;"_"&amp;G109</f>
      </c>
      <c r="R109" s="78"/>
      <c r="S109" s="79">
        <f>IF(AE109="✅", "/Script/Engine.StaticMesh'/Game/Item/Mesh/Voxel/" &amp; Q109 &amp; "/" &amp; TEXTJOIN("_", TRUE, H109, I109) &amp; "/" &amp; E109 &amp; "." &amp; E109 &amp; "'", "")</f>
      </c>
      <c r="T109" s="78" t="str">
        <v>StartHole2</v>
      </c>
      <c r="U109" s="78" t="str">
        <v>EndHole3</v>
      </c>
      <c r="V109" s="79"/>
      <c r="W109" s="79"/>
      <c r="X109" s="79" t="str">
        <v>Grass</v>
      </c>
      <c r="Y109" s="79" t="str">
        <v>Grass</v>
      </c>
      <c r="Z109" s="79"/>
      <c r="AA109" s="79"/>
      <c r="AB109" s="78" t="b">
        <v>0</v>
      </c>
      <c r="AC109" s="79"/>
      <c r="AD109" s="78"/>
      <c r="AE109" s="81" t="str">
        <v>❌</v>
      </c>
      <c r="AF109" s="78" t="str">
        <v>EndHole</v>
      </c>
      <c r="AG109" s="78"/>
      <c r="AH109" s="78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</row>
    <row customHeight="true" hidden="true" ht="19" outlineLevel="3" r="110">
      <c r="A110" s="78" t="str" xml:space="preserve">
        <v> </v>
      </c>
      <c r="B110" s="82" t="str" xml:space="preserve">
        <v> </v>
      </c>
      <c r="C110" s="14" t="str" xml:space="preserve">
        <v> </v>
      </c>
      <c r="D110" s="14"/>
      <c r="E110" s="78">
        <f>IF(F110="", "", TEXTJOIN("_", TRUE, F110:O110))</f>
      </c>
      <c r="F110" s="79" t="str">
        <v>SM</v>
      </c>
      <c r="G110" s="78" t="str">
        <v>TheCity</v>
      </c>
      <c r="H110" s="78" t="str">
        <v>EndHole</v>
      </c>
      <c r="I110" s="79"/>
      <c r="J110" s="80" t="str">
        <v>Major</v>
      </c>
      <c r="K110" s="80" t="str">
        <v>Grass</v>
      </c>
      <c r="L110" s="79" t="str">
        <v>C</v>
      </c>
      <c r="M110" s="79"/>
      <c r="N110" s="80"/>
      <c r="O110" s="80">
        <v>4</v>
      </c>
      <c r="P110" s="79"/>
      <c r="Q110" s="78">
        <f>"World_"&amp;VLOOKUP(G110,'引用列表'!Q:R,2,FALSE)&amp;"_"&amp;G110</f>
      </c>
      <c r="R110" s="78"/>
      <c r="S110" s="79">
        <f>IF(AE110="✅", "/Script/Engine.StaticMesh'/Game/Item/Mesh/Voxel/" &amp; Q110 &amp; "/" &amp; TEXTJOIN("_", TRUE, H110, I110) &amp; "/" &amp; E110 &amp; "." &amp; E110 &amp; "'", "")</f>
      </c>
      <c r="T110" s="78" t="str">
        <v>EndHole3</v>
      </c>
      <c r="U110" s="78" t="str">
        <v>EndHole4</v>
      </c>
      <c r="V110" s="79"/>
      <c r="W110" s="79"/>
      <c r="X110" s="79" t="str">
        <v>Grass</v>
      </c>
      <c r="Y110" s="79" t="str">
        <v>Grass</v>
      </c>
      <c r="Z110" s="79"/>
      <c r="AA110" s="79"/>
      <c r="AB110" s="78" t="b">
        <v>0</v>
      </c>
      <c r="AC110" s="79"/>
      <c r="AD110" s="78"/>
      <c r="AE110" s="81" t="str">
        <v>❌</v>
      </c>
      <c r="AF110" s="78" t="str">
        <v>EndHole</v>
      </c>
      <c r="AG110" s="78"/>
      <c r="AH110" s="78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</row>
    <row customHeight="true" hidden="true" ht="19" outlineLevel="3" r="111">
      <c r="A111" s="78" t="str" xml:space="preserve">
        <v> </v>
      </c>
      <c r="B111" s="82" t="str" xml:space="preserve">
        <v> </v>
      </c>
      <c r="C111" s="14" t="str" xml:space="preserve">
        <v> </v>
      </c>
      <c r="D111" s="14"/>
      <c r="E111" s="78">
        <f>IF(F111="", "", TEXTJOIN("_", TRUE, F111:O111))</f>
      </c>
      <c r="F111" s="79" t="str">
        <v>SM</v>
      </c>
      <c r="G111" s="78" t="str">
        <v>TheCity</v>
      </c>
      <c r="H111" s="78" t="str">
        <v>EndHole</v>
      </c>
      <c r="I111" s="79"/>
      <c r="J111" s="80" t="str">
        <v>Major</v>
      </c>
      <c r="K111" s="80" t="str">
        <v>Grass</v>
      </c>
      <c r="L111" s="79" t="str">
        <v>C</v>
      </c>
      <c r="M111" s="79"/>
      <c r="N111" s="80"/>
      <c r="O111" s="80">
        <v>5</v>
      </c>
      <c r="P111" s="79"/>
      <c r="Q111" s="78">
        <f>"World_"&amp;VLOOKUP(G111,'引用列表'!Q:R,2,FALSE)&amp;"_"&amp;G111</f>
      </c>
      <c r="R111" s="78"/>
      <c r="S111" s="79">
        <f>IF(AE111="✅", "/Script/Engine.StaticMesh'/Game/Item/Mesh/Voxel/" &amp; Q111 &amp; "/" &amp; TEXTJOIN("_", TRUE, H111, I111) &amp; "/" &amp; E111 &amp; "." &amp; E111 &amp; "'", "")</f>
      </c>
      <c r="T111" s="78" t="str">
        <v>EndHole4</v>
      </c>
      <c r="U111" s="78" t="str">
        <v>EndHole5</v>
      </c>
      <c r="V111" s="79"/>
      <c r="W111" s="79"/>
      <c r="X111" s="79" t="str">
        <v>Grass</v>
      </c>
      <c r="Y111" s="79" t="str">
        <v>Grass</v>
      </c>
      <c r="Z111" s="79"/>
      <c r="AA111" s="79"/>
      <c r="AB111" s="78" t="b">
        <v>0</v>
      </c>
      <c r="AC111" s="79"/>
      <c r="AD111" s="78"/>
      <c r="AE111" s="81" t="str">
        <v>❌</v>
      </c>
      <c r="AF111" s="78" t="str">
        <v>EndHole</v>
      </c>
      <c r="AG111" s="78"/>
      <c r="AH111" s="78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</row>
    <row customHeight="true" hidden="true" ht="19" outlineLevel="3" r="112">
      <c r="A112" s="78" t="str" xml:space="preserve">
        <v> </v>
      </c>
      <c r="B112" s="82" t="str" xml:space="preserve">
        <v> </v>
      </c>
      <c r="C112" s="14" t="str" xml:space="preserve">
        <v> </v>
      </c>
      <c r="D112" s="14"/>
      <c r="E112" s="78">
        <f>IF(F112="", "", TEXTJOIN("_", TRUE, F112:O112))</f>
      </c>
      <c r="F112" s="79" t="str">
        <v>SM</v>
      </c>
      <c r="G112" s="78" t="str">
        <v>TheCity</v>
      </c>
      <c r="H112" s="78" t="str">
        <v>EndHole</v>
      </c>
      <c r="I112" s="79"/>
      <c r="J112" s="80" t="str">
        <v>Major</v>
      </c>
      <c r="K112" s="80" t="str">
        <v>Grass</v>
      </c>
      <c r="L112" s="79" t="str">
        <v>C</v>
      </c>
      <c r="M112" s="79"/>
      <c r="N112" s="80"/>
      <c r="O112" s="80">
        <v>6</v>
      </c>
      <c r="P112" s="79"/>
      <c r="Q112" s="78">
        <f>"World_"&amp;VLOOKUP(G112,'引用列表'!Q:R,2,FALSE)&amp;"_"&amp;G112</f>
      </c>
      <c r="R112" s="78"/>
      <c r="S112" s="79">
        <f>IF(AE112="✅", "/Script/Engine.StaticMesh'/Game/Item/Mesh/Voxel/" &amp; Q112 &amp; "/" &amp; TEXTJOIN("_", TRUE, H112, I112) &amp; "/" &amp; E112 &amp; "." &amp; E112 &amp; "'", "")</f>
      </c>
      <c r="T112" s="78" t="str">
        <v>EndHole5</v>
      </c>
      <c r="U112" s="78" t="str">
        <v>Open</v>
      </c>
      <c r="V112" s="79"/>
      <c r="W112" s="79"/>
      <c r="X112" s="79" t="str">
        <v>Grass</v>
      </c>
      <c r="Y112" s="79" t="str">
        <v>Grass</v>
      </c>
      <c r="Z112" s="79"/>
      <c r="AA112" s="79"/>
      <c r="AB112" s="78" t="b">
        <v>0</v>
      </c>
      <c r="AC112" s="79"/>
      <c r="AD112" s="78"/>
      <c r="AE112" s="81" t="str">
        <v>❌</v>
      </c>
      <c r="AF112" s="78" t="str">
        <v>EndHole</v>
      </c>
      <c r="AG112" s="78"/>
      <c r="AH112" s="78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</row>
    <row customHeight="true" hidden="true" ht="19" outlineLevel="2" r="113">
      <c r="A113" s="4"/>
      <c r="B113" s="14"/>
      <c r="C113" s="14" t="str">
        <v>Road</v>
      </c>
      <c r="D113" s="14"/>
      <c r="E113" s="4"/>
      <c r="F113" s="9"/>
      <c r="G113" s="4"/>
      <c r="H113" s="4"/>
      <c r="I113" s="9"/>
      <c r="J113" s="27"/>
      <c r="K113" s="27"/>
      <c r="L113" s="9"/>
      <c r="M113" s="9"/>
      <c r="N113" s="27"/>
      <c r="O113" s="27"/>
      <c r="P113" s="9"/>
      <c r="Q113" s="4"/>
      <c r="R113" s="4"/>
      <c r="S113" s="9"/>
      <c r="T113" s="4"/>
      <c r="U113" s="4"/>
      <c r="V113" s="9"/>
      <c r="W113" s="9"/>
      <c r="X113" s="9"/>
      <c r="Y113" s="9"/>
      <c r="Z113" s="9"/>
      <c r="AA113" s="9"/>
      <c r="AB113" s="4"/>
      <c r="AC113" s="9"/>
      <c r="AD113" s="4"/>
      <c r="AE113" s="2"/>
      <c r="AF113" s="4" t="str"/>
      <c r="AG113" s="4"/>
      <c r="AH113" s="4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</row>
    <row customHeight="true" hidden="true" ht="19" outlineLevel="3" r="114">
      <c r="A114" s="88" t="str" xml:space="preserve">
        <v> </v>
      </c>
      <c r="B114" s="89" t="str" xml:space="preserve">
        <v> </v>
      </c>
      <c r="C114" s="14" t="str" xml:space="preserve">
        <v> </v>
      </c>
      <c r="D114" s="14"/>
      <c r="E114" s="88">
        <f>IF(F114="", "", TEXTJOIN("_", TRUE, F114:O114))</f>
      </c>
      <c r="F114" s="66" t="str">
        <v>SM</v>
      </c>
      <c r="G114" s="88" t="str">
        <v>TheCity</v>
      </c>
      <c r="H114" s="88" t="str">
        <v>EndHole</v>
      </c>
      <c r="I114" s="66"/>
      <c r="J114" s="67" t="str">
        <v>Major</v>
      </c>
      <c r="K114" s="67" t="str">
        <v>Road</v>
      </c>
      <c r="L114" s="66" t="str">
        <v>C</v>
      </c>
      <c r="M114" s="66"/>
      <c r="N114" s="67"/>
      <c r="O114" s="67">
        <v>3</v>
      </c>
      <c r="P114" s="66"/>
      <c r="Q114" s="88">
        <f>"World_"&amp;VLOOKUP(G114,'引用列表'!Q:R,2,FALSE)&amp;"_"&amp;G114</f>
      </c>
      <c r="R114" s="88"/>
      <c r="S114" s="66">
        <f>IF(AE114="✅", "/Script/Engine.StaticMesh'/Game/Item/Mesh/Voxel/" &amp; Q114 &amp; "/" &amp; TEXTJOIN("_", TRUE, H114, I114) &amp; "/" &amp; E114 &amp; "." &amp; E114 &amp; "'", "")</f>
      </c>
      <c r="T114" s="88" t="str">
        <v>StartHole2</v>
      </c>
      <c r="U114" s="88" t="str">
        <v>EndHole3</v>
      </c>
      <c r="V114" s="66"/>
      <c r="W114" s="66"/>
      <c r="X114" s="66" t="str">
        <v>Road</v>
      </c>
      <c r="Y114" s="66" t="str">
        <v>Road</v>
      </c>
      <c r="Z114" s="66"/>
      <c r="AA114" s="66"/>
      <c r="AB114" s="88" t="b">
        <v>0</v>
      </c>
      <c r="AC114" s="66"/>
      <c r="AD114" s="88" t="str">
        <v>EndHole</v>
      </c>
      <c r="AE114" s="68" t="str">
        <v>✅</v>
      </c>
      <c r="AF114" s="88" t="str">
        <v>EndHole</v>
      </c>
      <c r="AG114" s="88"/>
      <c r="AH114" s="88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</row>
    <row customHeight="true" hidden="true" ht="19" outlineLevel="3" r="115">
      <c r="A115" s="88" t="str" xml:space="preserve">
        <v> </v>
      </c>
      <c r="B115" s="89" t="str" xml:space="preserve">
        <v> </v>
      </c>
      <c r="C115" s="14" t="str" xml:space="preserve">
        <v> </v>
      </c>
      <c r="D115" s="14"/>
      <c r="E115" s="88">
        <f>IF(F115="", "", TEXTJOIN("_", TRUE, F115:O115))</f>
      </c>
      <c r="F115" s="66" t="str">
        <v>SM</v>
      </c>
      <c r="G115" s="88" t="str">
        <v>TheCity</v>
      </c>
      <c r="H115" s="88" t="str">
        <v>EndHole</v>
      </c>
      <c r="I115" s="66"/>
      <c r="J115" s="67" t="str">
        <v>Major</v>
      </c>
      <c r="K115" s="67" t="str">
        <v>Road</v>
      </c>
      <c r="L115" s="66" t="str">
        <v>C</v>
      </c>
      <c r="M115" s="66"/>
      <c r="N115" s="67"/>
      <c r="O115" s="67">
        <v>4</v>
      </c>
      <c r="P115" s="66"/>
      <c r="Q115" s="88">
        <f>"World_"&amp;VLOOKUP(G115,'引用列表'!Q:R,2,FALSE)&amp;"_"&amp;G115</f>
      </c>
      <c r="R115" s="88"/>
      <c r="S115" s="66">
        <f>IF(AE115="✅", "/Script/Engine.StaticMesh'/Game/Item/Mesh/Voxel/" &amp; Q115 &amp; "/" &amp; TEXTJOIN("_", TRUE, H115, I115) &amp; "/" &amp; E115 &amp; "." &amp; E115 &amp; "'", "")</f>
      </c>
      <c r="T115" s="88" t="str">
        <v>EndHole3</v>
      </c>
      <c r="U115" s="88" t="str">
        <v>EndHole4</v>
      </c>
      <c r="V115" s="66"/>
      <c r="W115" s="66"/>
      <c r="X115" s="66" t="str">
        <v>Road</v>
      </c>
      <c r="Y115" s="66" t="str">
        <v>Road</v>
      </c>
      <c r="Z115" s="66"/>
      <c r="AA115" s="66"/>
      <c r="AB115" s="88" t="b">
        <v>0</v>
      </c>
      <c r="AC115" s="66"/>
      <c r="AD115" s="88" t="str">
        <v>EndHole</v>
      </c>
      <c r="AE115" s="68" t="str">
        <v>✅</v>
      </c>
      <c r="AF115" s="88" t="str">
        <v>EndHole</v>
      </c>
      <c r="AG115" s="88"/>
      <c r="AH115" s="88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</row>
    <row customHeight="true" hidden="true" ht="19" outlineLevel="3" r="116">
      <c r="A116" s="4" t="str" xml:space="preserve">
        <v> </v>
      </c>
      <c r="B116" s="14" t="str" xml:space="preserve">
        <v> </v>
      </c>
      <c r="C116" s="14" t="str" xml:space="preserve">
        <v> </v>
      </c>
      <c r="D116" s="14"/>
      <c r="E116" s="88">
        <f>IF(F116="", "", TEXTJOIN("_", TRUE, F116:O116))</f>
      </c>
      <c r="F116" s="66" t="str">
        <v>SM</v>
      </c>
      <c r="G116" s="88" t="str">
        <v>TheCity</v>
      </c>
      <c r="H116" s="88" t="str">
        <v>EndHole</v>
      </c>
      <c r="I116" s="66"/>
      <c r="J116" s="67" t="str">
        <v>Major</v>
      </c>
      <c r="K116" s="67" t="str">
        <v>Road</v>
      </c>
      <c r="L116" s="66" t="str">
        <v>C</v>
      </c>
      <c r="M116" s="66"/>
      <c r="N116" s="67"/>
      <c r="O116" s="67">
        <v>5</v>
      </c>
      <c r="P116" s="66"/>
      <c r="Q116" s="88">
        <f>"World_"&amp;VLOOKUP(G116,'引用列表'!Q:R,2,FALSE)&amp;"_"&amp;G116</f>
      </c>
      <c r="R116" s="88"/>
      <c r="S116" s="66">
        <f>IF(AE116="✅", "/Script/Engine.StaticMesh'/Game/Item/Mesh/Voxel/" &amp; Q116 &amp; "/" &amp; TEXTJOIN("_", TRUE, H116, I116) &amp; "/" &amp; E116 &amp; "." &amp; E116 &amp; "'", "")</f>
      </c>
      <c r="T116" s="88" t="str">
        <v>EndHole4</v>
      </c>
      <c r="U116" s="88" t="str">
        <v>EndHole5</v>
      </c>
      <c r="V116" s="66"/>
      <c r="W116" s="66"/>
      <c r="X116" s="66" t="str">
        <v>Road</v>
      </c>
      <c r="Y116" s="66" t="str">
        <v>Road</v>
      </c>
      <c r="Z116" s="66"/>
      <c r="AA116" s="66"/>
      <c r="AB116" s="88" t="b">
        <v>0</v>
      </c>
      <c r="AC116" s="66"/>
      <c r="AD116" s="88" t="str">
        <v>EndHole</v>
      </c>
      <c r="AE116" s="68" t="str">
        <v>✅</v>
      </c>
      <c r="AF116" s="88" t="str">
        <v>EndHole</v>
      </c>
      <c r="AG116" s="88"/>
      <c r="AH116" s="88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</row>
    <row customHeight="true" hidden="true" ht="19" outlineLevel="3" r="117">
      <c r="A117" s="4" t="str" xml:space="preserve">
        <v> </v>
      </c>
      <c r="B117" s="14" t="str" xml:space="preserve">
        <v> </v>
      </c>
      <c r="C117" s="14" t="str" xml:space="preserve">
        <v> </v>
      </c>
      <c r="D117" s="14"/>
      <c r="E117" s="88">
        <f>IF(F117="", "", TEXTJOIN("_", TRUE, F117:O117))</f>
      </c>
      <c r="F117" s="66" t="str">
        <v>SM</v>
      </c>
      <c r="G117" s="88" t="str">
        <v>TheCity</v>
      </c>
      <c r="H117" s="88" t="str">
        <v>EndHole</v>
      </c>
      <c r="I117" s="66"/>
      <c r="J117" s="67" t="str">
        <v>Major</v>
      </c>
      <c r="K117" s="67" t="str">
        <v>Road</v>
      </c>
      <c r="L117" s="66" t="str">
        <v>C</v>
      </c>
      <c r="M117" s="66"/>
      <c r="N117" s="67"/>
      <c r="O117" s="67">
        <v>6</v>
      </c>
      <c r="P117" s="66"/>
      <c r="Q117" s="88">
        <f>"World_"&amp;VLOOKUP(G117,'引用列表'!Q:R,2,FALSE)&amp;"_"&amp;G117</f>
      </c>
      <c r="R117" s="88"/>
      <c r="S117" s="66">
        <f>IF(AE117="✅", "/Script/Engine.StaticMesh'/Game/Item/Mesh/Voxel/" &amp; Q117 &amp; "/" &amp; TEXTJOIN("_", TRUE, H117, I117) &amp; "/" &amp; E117 &amp; "." &amp; E117 &amp; "'", "")</f>
      </c>
      <c r="T117" s="88" t="str">
        <v>EndHole5</v>
      </c>
      <c r="U117" s="88" t="str">
        <v>Open</v>
      </c>
      <c r="V117" s="66"/>
      <c r="W117" s="66"/>
      <c r="X117" s="66" t="str">
        <v>Road</v>
      </c>
      <c r="Y117" s="66" t="str">
        <v>Road</v>
      </c>
      <c r="Z117" s="66"/>
      <c r="AA117" s="66"/>
      <c r="AB117" s="88" t="b">
        <v>0</v>
      </c>
      <c r="AC117" s="66"/>
      <c r="AD117" s="88" t="str">
        <v>EndHole</v>
      </c>
      <c r="AE117" s="68" t="str">
        <v>✅</v>
      </c>
      <c r="AF117" s="88" t="str">
        <v>EndHole</v>
      </c>
      <c r="AG117" s="88"/>
      <c r="AH117" s="88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</row>
    <row collapsed="true" customHeight="true" ht="19" outlineLevel="1" r="118">
      <c r="A118" s="4" t="str" xml:space="preserve">
        <v> </v>
      </c>
      <c r="B118" s="14" t="str">
        <v>RailHole</v>
      </c>
      <c r="C118" s="14"/>
      <c r="D118" s="14"/>
      <c r="E118" s="4"/>
      <c r="F118" s="5"/>
      <c r="G118" s="1"/>
      <c r="H118" s="1"/>
      <c r="I118" s="5"/>
      <c r="J118" s="27"/>
      <c r="K118" s="5"/>
      <c r="L118" s="5"/>
      <c r="M118" s="5"/>
      <c r="N118" s="5"/>
      <c r="O118" s="10"/>
      <c r="P118" s="5"/>
      <c r="Q118" s="1"/>
      <c r="R118" s="1"/>
      <c r="S118" s="9">
        <f>IF(AE118="✅", "/Script/Engine.StaticMesh'/Game/Item/Mesh/Voxel/" &amp; Q118 &amp; "/" &amp; TEXTJOIN("_", TRUE, H118, I118) &amp; "/" &amp; E118 &amp; "." &amp; E118 &amp; "'", "")</f>
      </c>
      <c r="T118" s="1"/>
      <c r="U118" s="1"/>
      <c r="V118" s="5"/>
      <c r="W118" s="5"/>
      <c r="X118" s="9"/>
      <c r="Y118" s="9"/>
      <c r="Z118" s="5"/>
      <c r="AA118" s="5"/>
      <c r="AB118" s="1"/>
      <c r="AC118" s="5"/>
      <c r="AD118" s="1"/>
      <c r="AE118" s="3"/>
      <c r="AF118" s="1" t="str"/>
      <c r="AG118" s="1"/>
      <c r="AH118" s="1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</row>
    <row customHeight="true" hidden="true" ht="19" outlineLevel="2" r="119">
      <c r="A119" s="4"/>
      <c r="B119" s="14"/>
      <c r="C119" s="14" t="str">
        <v>Grass</v>
      </c>
      <c r="D119" s="14"/>
      <c r="E119" s="4"/>
      <c r="F119" s="5"/>
      <c r="G119" s="1"/>
      <c r="H119" s="1"/>
      <c r="I119" s="5"/>
      <c r="J119" s="27"/>
      <c r="K119" s="5"/>
      <c r="L119" s="5"/>
      <c r="M119" s="5"/>
      <c r="N119" s="5"/>
      <c r="O119" s="10"/>
      <c r="P119" s="5"/>
      <c r="Q119" s="1"/>
      <c r="R119" s="1"/>
      <c r="S119" s="9">
        <f>IF(AE119="✅", "/Script/Engine.StaticMesh'/Game/Item/Mesh/Voxel/" &amp; Q119 &amp; "/" &amp; TEXTJOIN("_", TRUE, H119, I119) &amp; "/" &amp; E119 &amp; "." &amp; E119 &amp; "'", "")</f>
      </c>
      <c r="T119" s="1"/>
      <c r="U119" s="1"/>
      <c r="V119" s="5"/>
      <c r="W119" s="5"/>
      <c r="X119" s="9"/>
      <c r="Y119" s="9"/>
      <c r="Z119" s="5"/>
      <c r="AA119" s="5"/>
      <c r="AB119" s="1"/>
      <c r="AC119" s="5"/>
      <c r="AD119" s="1"/>
      <c r="AE119" s="3"/>
      <c r="AF119" s="1" t="str"/>
      <c r="AG119" s="1"/>
      <c r="AH119" s="1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</row>
    <row hidden="true" outlineLevel="3" r="120">
      <c r="A120" s="4" t="str" xml:space="preserve">
        <v> </v>
      </c>
      <c r="B120" s="14" t="str" xml:space="preserve">
        <v> </v>
      </c>
      <c r="C120" s="14"/>
      <c r="D120" s="14"/>
      <c r="E120" s="71">
        <f>IF(F120="", "", TEXTJOIN("_", TRUE, F120:O120))</f>
      </c>
      <c r="F120" s="60" t="str">
        <v>SM</v>
      </c>
      <c r="G120" s="61" t="str">
        <v>TheCity</v>
      </c>
      <c r="H120" s="61" t="str">
        <v>RailHole</v>
      </c>
      <c r="I120" s="60"/>
      <c r="J120" s="58" t="str">
        <v>Major</v>
      </c>
      <c r="K120" s="60" t="str">
        <v>Grass</v>
      </c>
      <c r="L120" s="60" t="str">
        <v>C</v>
      </c>
      <c r="M120" s="60"/>
      <c r="N120" s="60"/>
      <c r="O120" s="63">
        <v>2</v>
      </c>
      <c r="P120" s="60"/>
      <c r="Q120" s="61">
        <f>"World_"&amp;VLOOKUP(G120,'引用列表'!Q:R,2,FALSE)&amp;"_"&amp;G120</f>
      </c>
      <c r="R120" s="61"/>
      <c r="S120" s="62">
        <f>IF(AE120="✅", "/Script/Engine.StaticMesh'/Game/Item/Mesh/Voxel/" &amp; Q120 &amp; "/" &amp; TEXTJOIN("_", TRUE, H120, I120) &amp; "/" &amp; E120 &amp; "." &amp; E120 &amp; "'", "")</f>
      </c>
      <c r="T120" s="61" t="str">
        <v>Open</v>
      </c>
      <c r="U120" s="61" t="str">
        <v>RailHole2</v>
      </c>
      <c r="V120" s="60"/>
      <c r="W120" s="60"/>
      <c r="X120" s="62" t="str">
        <v>Grass</v>
      </c>
      <c r="Y120" s="62" t="str">
        <v>Grass</v>
      </c>
      <c r="Z120" s="60"/>
      <c r="AA120" s="60"/>
      <c r="AB120" s="61" t="b">
        <v>0</v>
      </c>
      <c r="AC120" s="60"/>
      <c r="AD120" s="61"/>
      <c r="AE120" s="87" t="str">
        <v>❌</v>
      </c>
      <c r="AF120" s="61" t="str">
        <v>RailHole</v>
      </c>
      <c r="AG120" s="61"/>
      <c r="AH120" s="61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</row>
    <row customHeight="true" hidden="true" ht="19" outlineLevel="3" r="121">
      <c r="A121" s="4" t="str" xml:space="preserve">
        <v> </v>
      </c>
      <c r="B121" s="14" t="str" xml:space="preserve">
        <v> </v>
      </c>
      <c r="C121" s="14"/>
      <c r="D121" s="14"/>
      <c r="E121" s="71">
        <f>IF(F121="", "", TEXTJOIN("_", TRUE, F121:O121))</f>
      </c>
      <c r="F121" s="60" t="str">
        <v>SM</v>
      </c>
      <c r="G121" s="61" t="str">
        <v>TheCity</v>
      </c>
      <c r="H121" s="61" t="str">
        <v>RailHole</v>
      </c>
      <c r="I121" s="60"/>
      <c r="J121" s="58" t="str">
        <v>Major</v>
      </c>
      <c r="K121" s="60" t="str">
        <v>Grass</v>
      </c>
      <c r="L121" s="60" t="str">
        <v>C</v>
      </c>
      <c r="M121" s="60"/>
      <c r="N121" s="60"/>
      <c r="O121" s="63">
        <v>3</v>
      </c>
      <c r="P121" s="60"/>
      <c r="Q121" s="61">
        <f>"World_"&amp;VLOOKUP(G121,'引用列表'!Q:R,2,FALSE)&amp;"_"&amp;G121</f>
      </c>
      <c r="R121" s="61"/>
      <c r="S121" s="62">
        <f>IF(AE121="✅", "/Script/Engine.StaticMesh'/Game/Item/Mesh/Voxel/" &amp; Q121 &amp; "/" &amp; TEXTJOIN("_", TRUE, H121, I121) &amp; "/" &amp; E121 &amp; "." &amp; E121 &amp; "'", "")</f>
      </c>
      <c r="T121" s="61" t="str">
        <v>RailHole2</v>
      </c>
      <c r="U121" s="61" t="str">
        <v>RailHole3</v>
      </c>
      <c r="V121" s="60"/>
      <c r="W121" s="60"/>
      <c r="X121" s="62" t="str">
        <v>Grass</v>
      </c>
      <c r="Y121" s="62" t="str">
        <v>Grass</v>
      </c>
      <c r="Z121" s="60"/>
      <c r="AA121" s="60"/>
      <c r="AB121" s="61" t="b">
        <v>0</v>
      </c>
      <c r="AC121" s="60"/>
      <c r="AD121" s="61"/>
      <c r="AE121" s="87" t="str">
        <v>❌</v>
      </c>
      <c r="AF121" s="61" t="str">
        <v>RailHole</v>
      </c>
      <c r="AG121" s="61"/>
      <c r="AH121" s="61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</row>
    <row hidden="true" outlineLevel="3" r="122">
      <c r="A122" s="4" t="str" xml:space="preserve">
        <v> </v>
      </c>
      <c r="B122" s="14" t="str" xml:space="preserve">
        <v> </v>
      </c>
      <c r="C122" s="14"/>
      <c r="D122" s="14"/>
      <c r="E122" s="71">
        <f>IF(F122="", "", TEXTJOIN("_", TRUE, F122:O122))</f>
      </c>
      <c r="F122" s="60" t="str">
        <v>SM</v>
      </c>
      <c r="G122" s="61" t="str">
        <v>TheCity</v>
      </c>
      <c r="H122" s="61" t="str">
        <v>RailHole</v>
      </c>
      <c r="I122" s="60"/>
      <c r="J122" s="58" t="str">
        <v>Major</v>
      </c>
      <c r="K122" s="60" t="str">
        <v>Grass</v>
      </c>
      <c r="L122" s="60" t="str">
        <v>C</v>
      </c>
      <c r="M122" s="60"/>
      <c r="N122" s="60"/>
      <c r="O122" s="63">
        <v>4</v>
      </c>
      <c r="P122" s="60"/>
      <c r="Q122" s="61">
        <f>"World_"&amp;VLOOKUP(G122,'引用列表'!Q:R,2,FALSE)&amp;"_"&amp;G122</f>
      </c>
      <c r="R122" s="61"/>
      <c r="S122" s="62">
        <f>IF(AE122="✅", "/Script/Engine.StaticMesh'/Game/Item/Mesh/Voxel/" &amp; Q122 &amp; "/" &amp; TEXTJOIN("_", TRUE, H122, I122) &amp; "/" &amp; E122 &amp; "." &amp; E122 &amp; "'", "")</f>
      </c>
      <c r="T122" s="61" t="str">
        <v>RailHole3</v>
      </c>
      <c r="U122" s="61" t="str">
        <v>RailHole4</v>
      </c>
      <c r="V122" s="60"/>
      <c r="W122" s="60"/>
      <c r="X122" s="62" t="str">
        <v>Grass</v>
      </c>
      <c r="Y122" s="62" t="str">
        <v>Grass</v>
      </c>
      <c r="Z122" s="60"/>
      <c r="AA122" s="60"/>
      <c r="AB122" s="61" t="b">
        <v>0</v>
      </c>
      <c r="AC122" s="60"/>
      <c r="AD122" s="61"/>
      <c r="AE122" s="87" t="str">
        <v>❌</v>
      </c>
      <c r="AF122" s="61" t="str">
        <v>RailHole</v>
      </c>
      <c r="AG122" s="61"/>
      <c r="AH122" s="61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</row>
    <row customHeight="true" hidden="true" ht="19" outlineLevel="3" r="123">
      <c r="A123" s="4" t="str" xml:space="preserve">
        <v> </v>
      </c>
      <c r="B123" s="14" t="str" xml:space="preserve">
        <v> </v>
      </c>
      <c r="C123" s="14"/>
      <c r="D123" s="14"/>
      <c r="E123" s="71">
        <f>IF(F123="", "", TEXTJOIN("_", TRUE, F123:O123))</f>
      </c>
      <c r="F123" s="60" t="str">
        <v>SM</v>
      </c>
      <c r="G123" s="61" t="str">
        <v>TheCity</v>
      </c>
      <c r="H123" s="61" t="str">
        <v>RailHole</v>
      </c>
      <c r="I123" s="60"/>
      <c r="J123" s="58" t="str">
        <v>Major</v>
      </c>
      <c r="K123" s="60" t="str">
        <v>Grass</v>
      </c>
      <c r="L123" s="60" t="str">
        <v>C</v>
      </c>
      <c r="M123" s="60"/>
      <c r="N123" s="60"/>
      <c r="O123" s="63">
        <v>5</v>
      </c>
      <c r="P123" s="60"/>
      <c r="Q123" s="61">
        <f>"World_"&amp;VLOOKUP(G123,'引用列表'!Q:R,2,FALSE)&amp;"_"&amp;G123</f>
      </c>
      <c r="R123" s="61"/>
      <c r="S123" s="62">
        <f>IF(AE123="✅", "/Script/Engine.StaticMesh'/Game/Item/Mesh/Voxel/" &amp; Q123 &amp; "/" &amp; TEXTJOIN("_", TRUE, H123, I123) &amp; "/" &amp; E123 &amp; "." &amp; E123 &amp; "'", "")</f>
      </c>
      <c r="T123" s="61" t="str">
        <v>RailHole4</v>
      </c>
      <c r="U123" s="61" t="str">
        <v>RailHole5</v>
      </c>
      <c r="V123" s="60"/>
      <c r="W123" s="60"/>
      <c r="X123" s="62" t="str">
        <v>Grass</v>
      </c>
      <c r="Y123" s="62" t="str">
        <v>Grass</v>
      </c>
      <c r="Z123" s="60"/>
      <c r="AA123" s="60"/>
      <c r="AB123" s="61" t="b">
        <v>0</v>
      </c>
      <c r="AC123" s="60"/>
      <c r="AD123" s="61"/>
      <c r="AE123" s="87" t="str">
        <v>❌</v>
      </c>
      <c r="AF123" s="61" t="str">
        <v>RailHole</v>
      </c>
      <c r="AG123" s="61"/>
      <c r="AH123" s="61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</row>
    <row customHeight="true" hidden="true" ht="19" outlineLevel="3" r="124">
      <c r="A124" s="4" t="str" xml:space="preserve">
        <v> </v>
      </c>
      <c r="B124" s="14" t="str" xml:space="preserve">
        <v> </v>
      </c>
      <c r="C124" s="14"/>
      <c r="D124" s="14"/>
      <c r="E124" s="71">
        <f>IF(F124="", "", TEXTJOIN("_", TRUE, F124:O124))</f>
      </c>
      <c r="F124" s="60" t="str">
        <v>SM</v>
      </c>
      <c r="G124" s="61" t="str">
        <v>TheCity</v>
      </c>
      <c r="H124" s="61" t="str">
        <v>RailHole</v>
      </c>
      <c r="I124" s="60"/>
      <c r="J124" s="58" t="str">
        <v>Major</v>
      </c>
      <c r="K124" s="60" t="str">
        <v>Grass</v>
      </c>
      <c r="L124" s="60" t="str">
        <v>C</v>
      </c>
      <c r="M124" s="60"/>
      <c r="N124" s="60"/>
      <c r="O124" s="63">
        <v>6</v>
      </c>
      <c r="P124" s="60"/>
      <c r="Q124" s="61">
        <f>"World_"&amp;VLOOKUP(G124,'引用列表'!Q:R,2,FALSE)&amp;"_"&amp;G124</f>
      </c>
      <c r="R124" s="61"/>
      <c r="S124" s="62">
        <f>IF(AE124="✅", "/Script/Engine.StaticMesh'/Game/Item/Mesh/Voxel/" &amp; Q124 &amp; "/" &amp; TEXTJOIN("_", TRUE, H124, I124) &amp; "/" &amp; E124 &amp; "." &amp; E124 &amp; "'", "")</f>
      </c>
      <c r="T124" s="61" t="str">
        <v>RailHole5</v>
      </c>
      <c r="U124" s="61" t="str">
        <v>RailHole6</v>
      </c>
      <c r="V124" s="60"/>
      <c r="W124" s="60"/>
      <c r="X124" s="62" t="str">
        <v>Grass</v>
      </c>
      <c r="Y124" s="62" t="str">
        <v>Grass</v>
      </c>
      <c r="Z124" s="60"/>
      <c r="AA124" s="60"/>
      <c r="AB124" s="61" t="b">
        <v>0</v>
      </c>
      <c r="AC124" s="60"/>
      <c r="AD124" s="61"/>
      <c r="AE124" s="87" t="str">
        <v>❌</v>
      </c>
      <c r="AF124" s="61" t="str">
        <v>RailHole</v>
      </c>
      <c r="AG124" s="61"/>
      <c r="AH124" s="61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</row>
    <row customHeight="true" hidden="true" ht="19" outlineLevel="3" r="125">
      <c r="A125" s="4" t="str" xml:space="preserve">
        <v> </v>
      </c>
      <c r="B125" s="14" t="str" xml:space="preserve">
        <v> </v>
      </c>
      <c r="C125" s="14"/>
      <c r="D125" s="14"/>
      <c r="E125" s="71">
        <f>IF(F125="", "", TEXTJOIN("_", TRUE, F125:O125))</f>
      </c>
      <c r="F125" s="60" t="str">
        <v>SM</v>
      </c>
      <c r="G125" s="61" t="str">
        <v>TheCity</v>
      </c>
      <c r="H125" s="61" t="str">
        <v>RailHole</v>
      </c>
      <c r="I125" s="60"/>
      <c r="J125" s="58" t="str">
        <v>Major</v>
      </c>
      <c r="K125" s="60" t="str">
        <v>Grass</v>
      </c>
      <c r="L125" s="60" t="str">
        <v>C</v>
      </c>
      <c r="M125" s="60"/>
      <c r="N125" s="60"/>
      <c r="O125" s="63">
        <v>7</v>
      </c>
      <c r="P125" s="60"/>
      <c r="Q125" s="61">
        <f>"World_"&amp;VLOOKUP(G125,'引用列表'!Q:R,2,FALSE)&amp;"_"&amp;G125</f>
      </c>
      <c r="R125" s="61"/>
      <c r="S125" s="62">
        <f>IF(AE125="✅", "/Script/Engine.StaticMesh'/Game/Item/Mesh/Voxel/" &amp; Q125 &amp; "/" &amp; TEXTJOIN("_", TRUE, H125, I125) &amp; "/" &amp; E125 &amp; "." &amp; E125 &amp; "'", "")</f>
      </c>
      <c r="T125" s="61" t="str">
        <v>RailHole6</v>
      </c>
      <c r="U125" s="61" t="str">
        <v>Open</v>
      </c>
      <c r="V125" s="60"/>
      <c r="W125" s="60"/>
      <c r="X125" s="62" t="str">
        <v>Grass</v>
      </c>
      <c r="Y125" s="62" t="str">
        <v>Grass</v>
      </c>
      <c r="Z125" s="60"/>
      <c r="AA125" s="60"/>
      <c r="AB125" s="61" t="b">
        <v>0</v>
      </c>
      <c r="AC125" s="60"/>
      <c r="AD125" s="61"/>
      <c r="AE125" s="87" t="str">
        <v>❌</v>
      </c>
      <c r="AF125" s="61" t="str">
        <v>RailHole</v>
      </c>
      <c r="AG125" s="61"/>
      <c r="AH125" s="61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</row>
    <row customHeight="true" hidden="true" ht="19" outlineLevel="2" r="126">
      <c r="A126" s="4"/>
      <c r="B126" s="14"/>
      <c r="C126" s="14" t="str">
        <v>Road</v>
      </c>
      <c r="D126" s="14"/>
      <c r="E126" s="4"/>
      <c r="F126" s="5"/>
      <c r="G126" s="1"/>
      <c r="H126" s="1"/>
      <c r="I126" s="5"/>
      <c r="J126" s="27"/>
      <c r="K126" s="5"/>
      <c r="L126" s="5"/>
      <c r="M126" s="5"/>
      <c r="N126" s="5"/>
      <c r="O126" s="10"/>
      <c r="P126" s="5"/>
      <c r="Q126" s="1"/>
      <c r="R126" s="1"/>
      <c r="S126" s="9">
        <f>IF(AE126="✅", "/Script/Engine.StaticMesh'/Game/Item/Mesh/Voxel/" &amp; Q126 &amp; "/" &amp; TEXTJOIN("_", TRUE, H126, I126) &amp; "/" &amp; E126 &amp; "." &amp; E126 &amp; "'", "")</f>
      </c>
      <c r="T126" s="1"/>
      <c r="U126" s="1"/>
      <c r="V126" s="5"/>
      <c r="W126" s="5"/>
      <c r="X126" s="9"/>
      <c r="Y126" s="9"/>
      <c r="Z126" s="5"/>
      <c r="AA126" s="5"/>
      <c r="AB126" s="1"/>
      <c r="AC126" s="5"/>
      <c r="AD126" s="1"/>
      <c r="AE126" s="3"/>
      <c r="AF126" s="1" t="str"/>
      <c r="AG126" s="1"/>
      <c r="AH126" s="1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</row>
    <row hidden="true" outlineLevel="3" r="127">
      <c r="A127" s="4" t="str" xml:space="preserve">
        <v> </v>
      </c>
      <c r="B127" s="75" t="str" xml:space="preserve">
        <v> </v>
      </c>
      <c r="C127" s="14"/>
      <c r="D127" s="14"/>
      <c r="E127" s="34">
        <f>IF(F127="", "", TEXTJOIN("_", TRUE, F127:O127))</f>
      </c>
      <c r="F127" s="28" t="str">
        <v>SM</v>
      </c>
      <c r="G127" s="32" t="str">
        <v>TheCity</v>
      </c>
      <c r="H127" s="32" t="str">
        <v>RailHole</v>
      </c>
      <c r="I127" s="28"/>
      <c r="J127" s="31" t="str">
        <v>Major</v>
      </c>
      <c r="K127" s="28" t="str">
        <v>Road</v>
      </c>
      <c r="L127" s="28" t="str">
        <v>C</v>
      </c>
      <c r="M127" s="28"/>
      <c r="N127" s="28"/>
      <c r="O127" s="33">
        <v>2</v>
      </c>
      <c r="P127" s="28"/>
      <c r="Q127" s="32">
        <f>"World_"&amp;VLOOKUP(G127,'引用列表'!Q:R,2,FALSE)&amp;"_"&amp;G127</f>
      </c>
      <c r="R127" s="32"/>
      <c r="S127" s="29">
        <f>IF(AE127="✅", "/Script/Engine.StaticMesh'/Game/Item/Mesh/Voxel/" &amp; Q127 &amp; "/" &amp; TEXTJOIN("_", TRUE, H127, I127) &amp; "/" &amp; E127 &amp; "." &amp; E127 &amp; "'", "")</f>
      </c>
      <c r="T127" s="32" t="str">
        <v>Open</v>
      </c>
      <c r="U127" s="32" t="str">
        <v>RailHole2</v>
      </c>
      <c r="V127" s="28"/>
      <c r="W127" s="28"/>
      <c r="X127" s="29" t="str">
        <v>Road</v>
      </c>
      <c r="Y127" s="29" t="str">
        <v>Road</v>
      </c>
      <c r="Z127" s="28"/>
      <c r="AA127" s="28"/>
      <c r="AB127" s="32" t="b">
        <v>0</v>
      </c>
      <c r="AC127" s="28"/>
      <c r="AD127" s="32" t="str">
        <v>RailHole</v>
      </c>
      <c r="AE127" s="74" t="str">
        <v>✅</v>
      </c>
      <c r="AF127" s="32" t="str">
        <v>RailHole</v>
      </c>
      <c r="AG127" s="32"/>
      <c r="AH127" s="32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hidden="true" outlineLevel="3" r="128">
      <c r="A128" s="4" t="str" xml:space="preserve">
        <v> </v>
      </c>
      <c r="B128" s="75" t="str" xml:space="preserve">
        <v> </v>
      </c>
      <c r="C128" s="14"/>
      <c r="D128" s="14"/>
      <c r="E128" s="34">
        <f>IF(F128="", "", TEXTJOIN("_", TRUE, F128:O128))</f>
      </c>
      <c r="F128" s="28" t="str">
        <v>SM</v>
      </c>
      <c r="G128" s="32" t="str">
        <v>TheCity</v>
      </c>
      <c r="H128" s="32" t="str">
        <v>RailHole</v>
      </c>
      <c r="I128" s="28"/>
      <c r="J128" s="31" t="str">
        <v>Major</v>
      </c>
      <c r="K128" s="28" t="str">
        <v>Road</v>
      </c>
      <c r="L128" s="28" t="str">
        <v>C</v>
      </c>
      <c r="M128" s="28"/>
      <c r="N128" s="28"/>
      <c r="O128" s="33">
        <v>3</v>
      </c>
      <c r="P128" s="28"/>
      <c r="Q128" s="32">
        <f>"World_"&amp;VLOOKUP(G128,'引用列表'!Q:R,2,FALSE)&amp;"_"&amp;G128</f>
      </c>
      <c r="R128" s="32"/>
      <c r="S128" s="29">
        <f>IF(AE128="✅", "/Script/Engine.StaticMesh'/Game/Item/Mesh/Voxel/" &amp; Q128 &amp; "/" &amp; TEXTJOIN("_", TRUE, H128, I128) &amp; "/" &amp; E128 &amp; "." &amp; E128 &amp; "'", "")</f>
      </c>
      <c r="T128" s="32" t="str">
        <v>RailHole2</v>
      </c>
      <c r="U128" s="32" t="str">
        <v>RailHole3</v>
      </c>
      <c r="V128" s="28"/>
      <c r="W128" s="28"/>
      <c r="X128" s="29" t="str">
        <v>Road</v>
      </c>
      <c r="Y128" s="29" t="str">
        <v>Road</v>
      </c>
      <c r="Z128" s="28"/>
      <c r="AA128" s="28"/>
      <c r="AB128" s="32" t="b">
        <v>0</v>
      </c>
      <c r="AC128" s="28"/>
      <c r="AD128" s="32" t="str">
        <v>RailHole</v>
      </c>
      <c r="AE128" s="74" t="str">
        <v>✅</v>
      </c>
      <c r="AF128" s="32" t="str">
        <v>RailHole</v>
      </c>
      <c r="AG128" s="32"/>
      <c r="AH128" s="32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hidden="true" outlineLevel="3" r="129">
      <c r="A129" s="4" t="str" xml:space="preserve">
        <v> </v>
      </c>
      <c r="B129" s="75" t="str" xml:space="preserve">
        <v> </v>
      </c>
      <c r="C129" s="14"/>
      <c r="D129" s="14"/>
      <c r="E129" s="34">
        <f>IF(F129="", "", TEXTJOIN("_", TRUE, F129:O129))</f>
      </c>
      <c r="F129" s="28" t="str">
        <v>SM</v>
      </c>
      <c r="G129" s="32" t="str">
        <v>TheCity</v>
      </c>
      <c r="H129" s="32" t="str">
        <v>RailHole</v>
      </c>
      <c r="I129" s="28"/>
      <c r="J129" s="31" t="str">
        <v>Major</v>
      </c>
      <c r="K129" s="28" t="str">
        <v>Road</v>
      </c>
      <c r="L129" s="28" t="str">
        <v>C</v>
      </c>
      <c r="M129" s="28"/>
      <c r="N129" s="28"/>
      <c r="O129" s="33">
        <v>4</v>
      </c>
      <c r="P129" s="28"/>
      <c r="Q129" s="32">
        <f>"World_"&amp;VLOOKUP(G129,'引用列表'!Q:R,2,FALSE)&amp;"_"&amp;G129</f>
      </c>
      <c r="R129" s="32"/>
      <c r="S129" s="29">
        <f>IF(AE129="✅", "/Script/Engine.StaticMesh'/Game/Item/Mesh/Voxel/" &amp; Q129 &amp; "/" &amp; TEXTJOIN("_", TRUE, H129, I129) &amp; "/" &amp; E129 &amp; "." &amp; E129 &amp; "'", "")</f>
      </c>
      <c r="T129" s="32" t="str">
        <v>RailHole3</v>
      </c>
      <c r="U129" s="32" t="str">
        <v>RailHole4</v>
      </c>
      <c r="V129" s="28"/>
      <c r="W129" s="28"/>
      <c r="X129" s="29" t="str">
        <v>Road</v>
      </c>
      <c r="Y129" s="29" t="str">
        <v>Road</v>
      </c>
      <c r="Z129" s="28"/>
      <c r="AA129" s="28"/>
      <c r="AB129" s="32" t="b">
        <v>0</v>
      </c>
      <c r="AC129" s="28"/>
      <c r="AD129" s="32" t="str">
        <v>RailHole</v>
      </c>
      <c r="AE129" s="74" t="str">
        <v>✅</v>
      </c>
      <c r="AF129" s="32" t="str">
        <v>RailHole</v>
      </c>
      <c r="AG129" s="32"/>
      <c r="AH129" s="32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hidden="true" outlineLevel="3" r="130">
      <c r="A130" s="4" t="str" xml:space="preserve">
        <v> </v>
      </c>
      <c r="B130" s="75" t="str" xml:space="preserve">
        <v> </v>
      </c>
      <c r="C130" s="14"/>
      <c r="D130" s="14"/>
      <c r="E130" s="34">
        <f>IF(F130="", "", TEXTJOIN("_", TRUE, F130:O130))</f>
      </c>
      <c r="F130" s="28" t="str">
        <v>SM</v>
      </c>
      <c r="G130" s="32" t="str">
        <v>TheCity</v>
      </c>
      <c r="H130" s="32" t="str">
        <v>RailHole</v>
      </c>
      <c r="I130" s="28"/>
      <c r="J130" s="31" t="str">
        <v>Major</v>
      </c>
      <c r="K130" s="28" t="str">
        <v>Road</v>
      </c>
      <c r="L130" s="28" t="str">
        <v>C</v>
      </c>
      <c r="M130" s="28"/>
      <c r="N130" s="28"/>
      <c r="O130" s="33">
        <v>5</v>
      </c>
      <c r="P130" s="28"/>
      <c r="Q130" s="32">
        <f>"World_"&amp;VLOOKUP(G130,'引用列表'!Q:R,2,FALSE)&amp;"_"&amp;G130</f>
      </c>
      <c r="R130" s="32"/>
      <c r="S130" s="29">
        <f>IF(AE130="✅", "/Script/Engine.StaticMesh'/Game/Item/Mesh/Voxel/" &amp; Q130 &amp; "/" &amp; TEXTJOIN("_", TRUE, H130, I130) &amp; "/" &amp; E130 &amp; "." &amp; E130 &amp; "'", "")</f>
      </c>
      <c r="T130" s="32" t="str">
        <v>RailHole4</v>
      </c>
      <c r="U130" s="32" t="str">
        <v>RailHole5</v>
      </c>
      <c r="V130" s="28"/>
      <c r="W130" s="28"/>
      <c r="X130" s="29" t="str">
        <v>Road</v>
      </c>
      <c r="Y130" s="29" t="str">
        <v>Road</v>
      </c>
      <c r="Z130" s="28"/>
      <c r="AA130" s="28"/>
      <c r="AB130" s="32" t="b">
        <v>0</v>
      </c>
      <c r="AC130" s="28"/>
      <c r="AD130" s="32" t="str">
        <v>RailHole</v>
      </c>
      <c r="AE130" s="74" t="str">
        <v>✅</v>
      </c>
      <c r="AF130" s="32" t="str">
        <v>RailHole</v>
      </c>
      <c r="AG130" s="32"/>
      <c r="AH130" s="32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hidden="true" outlineLevel="3" r="131">
      <c r="A131" s="4" t="str" xml:space="preserve">
        <v> </v>
      </c>
      <c r="B131" s="75" t="str" xml:space="preserve">
        <v> </v>
      </c>
      <c r="C131" s="14"/>
      <c r="D131" s="14"/>
      <c r="E131" s="34">
        <f>IF(F131="", "", TEXTJOIN("_", TRUE, F131:O131))</f>
      </c>
      <c r="F131" s="28" t="str">
        <v>SM</v>
      </c>
      <c r="G131" s="32" t="str">
        <v>TheCity</v>
      </c>
      <c r="H131" s="32" t="str">
        <v>RailHole</v>
      </c>
      <c r="I131" s="28"/>
      <c r="J131" s="31" t="str">
        <v>Major</v>
      </c>
      <c r="K131" s="28" t="str">
        <v>Road</v>
      </c>
      <c r="L131" s="28" t="str">
        <v>C</v>
      </c>
      <c r="M131" s="28"/>
      <c r="N131" s="28"/>
      <c r="O131" s="33">
        <v>6</v>
      </c>
      <c r="P131" s="28"/>
      <c r="Q131" s="32">
        <f>"World_"&amp;VLOOKUP(G131,'引用列表'!Q:R,2,FALSE)&amp;"_"&amp;G131</f>
      </c>
      <c r="R131" s="32"/>
      <c r="S131" s="29">
        <f>IF(AE131="✅", "/Script/Engine.StaticMesh'/Game/Item/Mesh/Voxel/" &amp; Q131 &amp; "/" &amp; TEXTJOIN("_", TRUE, H131, I131) &amp; "/" &amp; E131 &amp; "." &amp; E131 &amp; "'", "")</f>
      </c>
      <c r="T131" s="32" t="str">
        <v>RailHole5</v>
      </c>
      <c r="U131" s="32" t="str">
        <v>RailHole6</v>
      </c>
      <c r="V131" s="28"/>
      <c r="W131" s="28"/>
      <c r="X131" s="29" t="str">
        <v>Road</v>
      </c>
      <c r="Y131" s="29" t="str">
        <v>Road</v>
      </c>
      <c r="Z131" s="28"/>
      <c r="AA131" s="28"/>
      <c r="AB131" s="32" t="b">
        <v>0</v>
      </c>
      <c r="AC131" s="28"/>
      <c r="AD131" s="32" t="str">
        <v>RailHole</v>
      </c>
      <c r="AE131" s="74" t="str">
        <v>✅</v>
      </c>
      <c r="AF131" s="32" t="str">
        <v>RailHole</v>
      </c>
      <c r="AG131" s="32"/>
      <c r="AH131" s="32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hidden="true" outlineLevel="3" r="132">
      <c r="A132" s="4" t="str" xml:space="preserve">
        <v> </v>
      </c>
      <c r="B132" s="75" t="str" xml:space="preserve">
        <v> </v>
      </c>
      <c r="C132" s="14"/>
      <c r="D132" s="14"/>
      <c r="E132" s="34">
        <f>IF(F132="", "", TEXTJOIN("_", TRUE, F132:O132))</f>
      </c>
      <c r="F132" s="28" t="str">
        <v>SM</v>
      </c>
      <c r="G132" s="32" t="str">
        <v>TheCity</v>
      </c>
      <c r="H132" s="32" t="str">
        <v>RailHole</v>
      </c>
      <c r="I132" s="28"/>
      <c r="J132" s="31" t="str">
        <v>Major</v>
      </c>
      <c r="K132" s="28" t="str">
        <v>Road</v>
      </c>
      <c r="L132" s="28" t="str">
        <v>C</v>
      </c>
      <c r="M132" s="28"/>
      <c r="N132" s="28"/>
      <c r="O132" s="33">
        <v>7</v>
      </c>
      <c r="P132" s="28"/>
      <c r="Q132" s="32">
        <f>"World_"&amp;VLOOKUP(G132,'引用列表'!Q:R,2,FALSE)&amp;"_"&amp;G132</f>
      </c>
      <c r="R132" s="32"/>
      <c r="S132" s="29">
        <f>IF(AE132="✅", "/Script/Engine.StaticMesh'/Game/Item/Mesh/Voxel/" &amp; Q132 &amp; "/" &amp; TEXTJOIN("_", TRUE, H132, I132) &amp; "/" &amp; E132 &amp; "." &amp; E132 &amp; "'", "")</f>
      </c>
      <c r="T132" s="32" t="str">
        <v>RailHole6</v>
      </c>
      <c r="U132" s="32" t="str">
        <v>Open</v>
      </c>
      <c r="V132" s="28"/>
      <c r="W132" s="28"/>
      <c r="X132" s="29" t="str">
        <v>Road</v>
      </c>
      <c r="Y132" s="29" t="str">
        <v>Road</v>
      </c>
      <c r="Z132" s="28"/>
      <c r="AA132" s="28"/>
      <c r="AB132" s="32" t="b">
        <v>0</v>
      </c>
      <c r="AC132" s="28"/>
      <c r="AD132" s="32" t="str">
        <v>RailHole</v>
      </c>
      <c r="AE132" s="74" t="str">
        <v>✅</v>
      </c>
      <c r="AF132" s="32" t="str">
        <v>RailHole</v>
      </c>
      <c r="AG132" s="32"/>
      <c r="AH132" s="32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customHeight="true" ht="19" r="133">
      <c r="A133" s="4"/>
      <c r="B133" s="14"/>
      <c r="C133" s="14"/>
      <c r="D133" s="14"/>
      <c r="E133" s="4"/>
      <c r="F133" s="9"/>
      <c r="G133" s="4"/>
      <c r="H133" s="4"/>
      <c r="I133" s="9"/>
      <c r="J133" s="27"/>
      <c r="K133" s="27"/>
      <c r="L133" s="9"/>
      <c r="M133" s="9"/>
      <c r="N133" s="27"/>
      <c r="O133" s="27"/>
      <c r="P133" s="9"/>
      <c r="Q133" s="4"/>
      <c r="R133" s="4"/>
      <c r="S133" s="9"/>
      <c r="T133" s="4"/>
      <c r="U133" s="4"/>
      <c r="V133" s="9"/>
      <c r="W133" s="9"/>
      <c r="X133" s="9"/>
      <c r="Y133" s="9"/>
      <c r="Z133" s="9"/>
      <c r="AA133" s="9"/>
      <c r="AB133" s="4"/>
      <c r="AC133" s="9"/>
      <c r="AD133" s="4"/>
      <c r="AE133" s="2"/>
      <c r="AF133" s="4" t="str"/>
      <c r="AG133" s="4"/>
      <c r="AH133" s="4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</row>
    <row customHeight="true" ht="19" r="134">
      <c r="A134" s="14" t="str">
        <v>World_02_TheMine</v>
      </c>
      <c r="B134" s="14"/>
      <c r="C134" s="14"/>
      <c r="D134" s="14"/>
      <c r="E134" s="4"/>
      <c r="F134" s="9"/>
      <c r="G134" s="4"/>
      <c r="H134" s="4"/>
      <c r="I134" s="9"/>
      <c r="J134" s="27"/>
      <c r="K134" s="27"/>
      <c r="L134" s="9"/>
      <c r="M134" s="9"/>
      <c r="N134" s="27"/>
      <c r="O134" s="27"/>
      <c r="P134" s="9"/>
      <c r="Q134" s="4"/>
      <c r="R134" s="4"/>
      <c r="S134" s="9"/>
      <c r="T134" s="4"/>
      <c r="U134" s="4"/>
      <c r="V134" s="9"/>
      <c r="W134" s="9"/>
      <c r="X134" s="9"/>
      <c r="Y134" s="9"/>
      <c r="Z134" s="9"/>
      <c r="AA134" s="9"/>
      <c r="AB134" s="4"/>
      <c r="AC134" s="9"/>
      <c r="AD134" s="4"/>
      <c r="AE134" s="2"/>
      <c r="AF134" s="4" t="str"/>
      <c r="AG134" s="4"/>
      <c r="AH134" s="4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</row>
    <row customHeight="true" ht="19" outlineLevel="1" r="135">
      <c r="A135" s="14"/>
      <c r="B135" s="14" t="str">
        <v>Side</v>
      </c>
      <c r="C135" s="14"/>
      <c r="D135" s="14"/>
      <c r="E135" s="4"/>
      <c r="F135" s="9"/>
      <c r="G135" s="4"/>
      <c r="H135" s="4"/>
      <c r="I135" s="9"/>
      <c r="J135" s="27"/>
      <c r="K135" s="27"/>
      <c r="L135" s="9"/>
      <c r="M135" s="9"/>
      <c r="N135" s="27"/>
      <c r="O135" s="27"/>
      <c r="P135" s="9"/>
      <c r="Q135" s="4"/>
      <c r="R135" s="4"/>
      <c r="S135" s="9"/>
      <c r="T135" s="4"/>
      <c r="U135" s="4"/>
      <c r="V135" s="9"/>
      <c r="W135" s="9"/>
      <c r="X135" s="9"/>
      <c r="Y135" s="9"/>
      <c r="Z135" s="9"/>
      <c r="AA135" s="9"/>
      <c r="AB135" s="4"/>
      <c r="AC135" s="9"/>
      <c r="AD135" s="4"/>
      <c r="AE135" s="2"/>
      <c r="AF135" s="4" t="str"/>
      <c r="AG135" s="4"/>
      <c r="AH135" s="4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</row>
    <row customHeight="true" ht="19" outlineLevel="2" r="136">
      <c r="A136" s="14"/>
      <c r="B136" s="14"/>
      <c r="C136" s="14" t="str">
        <v>Major</v>
      </c>
      <c r="D136" s="14"/>
      <c r="E136" s="4"/>
      <c r="F136" s="9"/>
      <c r="G136" s="4"/>
      <c r="H136" s="4"/>
      <c r="I136" s="9"/>
      <c r="J136" s="27"/>
      <c r="K136" s="27"/>
      <c r="L136" s="9"/>
      <c r="M136" s="9"/>
      <c r="N136" s="27"/>
      <c r="O136" s="27"/>
      <c r="P136" s="9"/>
      <c r="Q136" s="4"/>
      <c r="R136" s="4"/>
      <c r="S136" s="9"/>
      <c r="T136" s="4"/>
      <c r="U136" s="4"/>
      <c r="V136" s="9"/>
      <c r="W136" s="9"/>
      <c r="X136" s="9"/>
      <c r="Y136" s="9"/>
      <c r="Z136" s="9"/>
      <c r="AA136" s="9"/>
      <c r="AB136" s="4"/>
      <c r="AC136" s="9"/>
      <c r="AD136" s="4"/>
      <c r="AE136" s="2"/>
      <c r="AF136" s="4" t="str"/>
      <c r="AG136" s="4"/>
      <c r="AH136" s="4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</row>
    <row customHeight="true" ht="19" outlineLevel="3" r="137">
      <c r="A137" s="34" t="str" xml:space="preserve">
        <v> </v>
      </c>
      <c r="B137" s="75" t="str" xml:space="preserve">
        <v> </v>
      </c>
      <c r="C137" s="75" t="str" xml:space="preserve">
        <v> </v>
      </c>
      <c r="D137" s="75" t="str" xml:space="preserve">
        <v> </v>
      </c>
      <c r="E137" s="34">
        <f>IF(F137="", "", TEXTJOIN("_", TRUE, F137:O137))</f>
      </c>
      <c r="F137" s="28" t="str">
        <v>SM</v>
      </c>
      <c r="G137" s="32" t="str">
        <v>TheMine</v>
      </c>
      <c r="H137" s="32" t="str">
        <v>Side</v>
      </c>
      <c r="I137" s="29"/>
      <c r="J137" s="29" t="str">
        <v>Major</v>
      </c>
      <c r="K137" s="29"/>
      <c r="L137" s="28" t="str">
        <v>B</v>
      </c>
      <c r="M137" s="28"/>
      <c r="N137" s="33"/>
      <c r="O137" s="33">
        <v>1</v>
      </c>
      <c r="P137" s="28"/>
      <c r="Q137" s="32">
        <f>"World_"&amp;VLOOKUP(G137,'引用列表'!Q:R,2,FALSE)&amp;"_"&amp;G137</f>
      </c>
      <c r="R137" s="32"/>
      <c r="S137" s="29">
        <f>IF(AE137="✅", "/Script/Engine.StaticMesh'/Game/Item/Mesh/Voxel/" &amp; Q137 &amp; "/" &amp; TEXTJOIN("_", TRUE, H137, I137) &amp; "/" &amp; E137 &amp; "." &amp; E137 &amp; "'", "")</f>
      </c>
      <c r="T137" s="32" t="str">
        <v>Close</v>
      </c>
      <c r="U137" s="32" t="str">
        <v>Open</v>
      </c>
      <c r="V137" s="28"/>
      <c r="W137" s="28"/>
      <c r="X137" s="29"/>
      <c r="Y137" s="29" t="str">
        <v>MineMajor</v>
      </c>
      <c r="Z137" s="28"/>
      <c r="AA137" s="28"/>
      <c r="AB137" s="32" t="b">
        <v>0</v>
      </c>
      <c r="AC137" s="28"/>
      <c r="AD137" s="34" t="str">
        <v>Side</v>
      </c>
      <c r="AE137" s="74" t="str">
        <v>✅</v>
      </c>
      <c r="AF137" s="32" t="str">
        <v>Side</v>
      </c>
      <c r="AG137" s="32">
        <f>IF(F137="", "", TEXTJOIN("_", TRUE, F137:O137))&amp;"_MI"</f>
      </c>
      <c r="AH137" s="32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customHeight="true" ht="19" outlineLevel="3" r="138">
      <c r="A138" s="34" t="str" xml:space="preserve">
        <v> </v>
      </c>
      <c r="B138" s="75" t="str" xml:space="preserve">
        <v> </v>
      </c>
      <c r="C138" s="75" t="str" xml:space="preserve">
        <v> </v>
      </c>
      <c r="D138" s="75" t="str" xml:space="preserve">
        <v> </v>
      </c>
      <c r="E138" s="34">
        <f>IF(F138="", "", TEXTJOIN("_", TRUE, F138:O138))</f>
      </c>
      <c r="F138" s="28" t="str">
        <v>SM</v>
      </c>
      <c r="G138" s="32" t="str">
        <v>TheMine</v>
      </c>
      <c r="H138" s="32" t="str">
        <v>Side</v>
      </c>
      <c r="I138" s="29"/>
      <c r="J138" s="29" t="str">
        <v>Major</v>
      </c>
      <c r="K138" s="29"/>
      <c r="L138" s="28" t="str">
        <v>B</v>
      </c>
      <c r="M138" s="28"/>
      <c r="N138" s="33"/>
      <c r="O138" s="33">
        <v>2</v>
      </c>
      <c r="P138" s="28"/>
      <c r="Q138" s="32">
        <f>"World_"&amp;VLOOKUP(G138,'引用列表'!Q:R,2,FALSE)&amp;"_"&amp;G138</f>
      </c>
      <c r="R138" s="32"/>
      <c r="S138" s="29">
        <f>IF(AE138="✅", "/Script/Engine.StaticMesh'/Game/Item/Mesh/Voxel/" &amp; Q138 &amp; "/" &amp; TEXTJOIN("_", TRUE, H138, I138) &amp; "/" &amp; E138 &amp; "." &amp; E138 &amp; "'", "")</f>
      </c>
      <c r="T138" s="32" t="str">
        <v>Close</v>
      </c>
      <c r="U138" s="32" t="str">
        <v>Open</v>
      </c>
      <c r="V138" s="28"/>
      <c r="W138" s="28"/>
      <c r="X138" s="29"/>
      <c r="Y138" s="29" t="str">
        <v>MineMajor</v>
      </c>
      <c r="Z138" s="28"/>
      <c r="AA138" s="28"/>
      <c r="AB138" s="32" t="b">
        <v>0</v>
      </c>
      <c r="AC138" s="28"/>
      <c r="AD138" s="32" t="str">
        <v>Side</v>
      </c>
      <c r="AE138" s="74" t="str">
        <v>✅</v>
      </c>
      <c r="AF138" s="32" t="str">
        <v>Side</v>
      </c>
      <c r="AG138" s="32">
        <f>IF(F138="", "", TEXTJOIN("_", TRUE, F138:O138))&amp;"_MI"</f>
      </c>
      <c r="AH138" s="32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customHeight="true" ht="19" outlineLevel="3" r="139">
      <c r="A139" s="34" t="str" xml:space="preserve">
        <v> </v>
      </c>
      <c r="B139" s="75" t="str" xml:space="preserve">
        <v> </v>
      </c>
      <c r="C139" s="75" t="str" xml:space="preserve">
        <v> </v>
      </c>
      <c r="D139" s="75" t="str" xml:space="preserve">
        <v> </v>
      </c>
      <c r="E139" s="34">
        <f>IF(F139="", "", TEXTJOIN("_", TRUE, F139:O139))</f>
      </c>
      <c r="F139" s="28" t="str">
        <v>SM</v>
      </c>
      <c r="G139" s="32" t="str">
        <v>TheMine</v>
      </c>
      <c r="H139" s="32" t="str">
        <v>Side</v>
      </c>
      <c r="I139" s="29"/>
      <c r="J139" s="29" t="str">
        <v>Major</v>
      </c>
      <c r="K139" s="29"/>
      <c r="L139" s="28" t="str">
        <v>B</v>
      </c>
      <c r="M139" s="28"/>
      <c r="N139" s="33"/>
      <c r="O139" s="33">
        <v>3</v>
      </c>
      <c r="P139" s="28"/>
      <c r="Q139" s="32">
        <f>"World_"&amp;VLOOKUP(G139,'引用列表'!Q:R,2,FALSE)&amp;"_"&amp;G139</f>
      </c>
      <c r="R139" s="32"/>
      <c r="S139" s="29">
        <f>IF(AE139="✅", "/Script/Engine.StaticMesh'/Game/Item/Mesh/Voxel/" &amp; Q139 &amp; "/" &amp; TEXTJOIN("_", TRUE, H139, I139) &amp; "/" &amp; E139 &amp; "." &amp; E139 &amp; "'", "")</f>
      </c>
      <c r="T139" s="32" t="str">
        <v>Close</v>
      </c>
      <c r="U139" s="32" t="str">
        <v>Open</v>
      </c>
      <c r="V139" s="28"/>
      <c r="W139" s="28"/>
      <c r="X139" s="29"/>
      <c r="Y139" s="29" t="str">
        <v>MineMajor</v>
      </c>
      <c r="Z139" s="28"/>
      <c r="AA139" s="28"/>
      <c r="AB139" s="32" t="b">
        <v>0</v>
      </c>
      <c r="AC139" s="28"/>
      <c r="AD139" s="32" t="str">
        <v>Side</v>
      </c>
      <c r="AE139" s="74" t="str">
        <v>✅</v>
      </c>
      <c r="AF139" s="32" t="str">
        <v>Side</v>
      </c>
      <c r="AG139" s="32">
        <f>IF(F139="", "", TEXTJOIN("_", TRUE, F139:O139))&amp;"_MI"</f>
      </c>
      <c r="AH139" s="32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customHeight="true" ht="19" outlineLevel="3" r="140">
      <c r="A140" s="4" t="str" xml:space="preserve">
        <v> </v>
      </c>
      <c r="B140" s="73" t="str" xml:space="preserve">
        <v> </v>
      </c>
      <c r="C140" s="14" t="str" xml:space="preserve">
        <v> </v>
      </c>
      <c r="D140" s="14"/>
      <c r="E140" s="78">
        <f>IF(F140="", "", TEXTJOIN("_", TRUE, F140:O140))</f>
      </c>
      <c r="F140" s="91" t="str">
        <v>SM</v>
      </c>
      <c r="G140" s="92" t="str">
        <v>TheMine</v>
      </c>
      <c r="H140" s="92" t="str">
        <v>Side</v>
      </c>
      <c r="I140" s="79"/>
      <c r="J140" s="79" t="str">
        <v>Major</v>
      </c>
      <c r="K140" s="79"/>
      <c r="L140" s="91" t="str">
        <v>C</v>
      </c>
      <c r="M140" s="91"/>
      <c r="N140" s="93"/>
      <c r="O140" s="93">
        <v>1</v>
      </c>
      <c r="P140" s="91"/>
      <c r="Q140" s="92">
        <f>"World_"&amp;VLOOKUP(G140,'引用列表'!Q:R,2,FALSE)&amp;"_"&amp;G140</f>
      </c>
      <c r="R140" s="92"/>
      <c r="S140" s="79">
        <f>IF(AE140="✅", "/Script/Engine.StaticMesh'/Game/Item/Mesh/Voxel/" &amp; Q140 &amp; "/" &amp; TEXTJOIN("_", TRUE, H140, I140) &amp; "/" &amp; E140 &amp; "." &amp; E140 &amp; "'", "")</f>
      </c>
      <c r="T140" s="92" t="str">
        <v>Open</v>
      </c>
      <c r="U140" s="92" t="str">
        <v>Open</v>
      </c>
      <c r="V140" s="91"/>
      <c r="W140" s="91"/>
      <c r="X140" s="79" t="str">
        <v>MineMajor</v>
      </c>
      <c r="Y140" s="79" t="str">
        <v>MineMajor</v>
      </c>
      <c r="Z140" s="91"/>
      <c r="AA140" s="91"/>
      <c r="AB140" s="92" t="b">
        <v>0</v>
      </c>
      <c r="AC140" s="91"/>
      <c r="AD140" s="92" t="str">
        <v>Side</v>
      </c>
      <c r="AE140" s="94" t="str">
        <v>✅</v>
      </c>
      <c r="AF140" s="92" t="str">
        <v>Side</v>
      </c>
      <c r="AG140" s="92">
        <f>IF(F140="", "", TEXTJOIN("_", TRUE, F140:O140))&amp;"_MI"</f>
      </c>
      <c r="AH140" s="92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</row>
    <row customHeight="true" ht="19" outlineLevel="3" r="141">
      <c r="A141" s="4" t="str" xml:space="preserve">
        <v> </v>
      </c>
      <c r="B141" s="73" t="str" xml:space="preserve">
        <v> </v>
      </c>
      <c r="C141" s="14" t="str" xml:space="preserve">
        <v> </v>
      </c>
      <c r="D141" s="14"/>
      <c r="E141" s="78">
        <f>IF(F141="", "", TEXTJOIN("_", TRUE, F141:O141))</f>
      </c>
      <c r="F141" s="91" t="str">
        <v>SM</v>
      </c>
      <c r="G141" s="92" t="str">
        <v>TheMine</v>
      </c>
      <c r="H141" s="92" t="str">
        <v>Side</v>
      </c>
      <c r="I141" s="79"/>
      <c r="J141" s="79" t="str">
        <v>Major</v>
      </c>
      <c r="K141" s="79"/>
      <c r="L141" s="91" t="str">
        <v>C</v>
      </c>
      <c r="M141" s="91"/>
      <c r="N141" s="93"/>
      <c r="O141" s="93">
        <v>2</v>
      </c>
      <c r="P141" s="91"/>
      <c r="Q141" s="92">
        <f>"World_"&amp;VLOOKUP(G141,'引用列表'!Q:R,2,FALSE)&amp;"_"&amp;G141</f>
      </c>
      <c r="R141" s="92"/>
      <c r="S141" s="79">
        <f>IF(AE141="✅", "/Script/Engine.StaticMesh'/Game/Item/Mesh/Voxel/" &amp; Q141 &amp; "/" &amp; TEXTJOIN("_", TRUE, H141, I141) &amp; "/" &amp; E141 &amp; "." &amp; E141 &amp; "'", "")</f>
      </c>
      <c r="T141" s="92" t="str">
        <v>Open</v>
      </c>
      <c r="U141" s="92" t="str">
        <v>Open</v>
      </c>
      <c r="V141" s="91"/>
      <c r="W141" s="91"/>
      <c r="X141" s="79" t="str">
        <v>MineMajor</v>
      </c>
      <c r="Y141" s="79" t="str">
        <v>MineMajor</v>
      </c>
      <c r="Z141" s="91"/>
      <c r="AA141" s="91"/>
      <c r="AB141" s="92" t="b">
        <v>0</v>
      </c>
      <c r="AC141" s="91"/>
      <c r="AD141" s="92" t="str">
        <v>Side</v>
      </c>
      <c r="AE141" s="94" t="str">
        <v>✅</v>
      </c>
      <c r="AF141" s="92" t="str">
        <v>Side</v>
      </c>
      <c r="AG141" s="92">
        <f>IF(F141="", "", TEXTJOIN("_", TRUE, F141:O141))&amp;"_MI"</f>
      </c>
      <c r="AH141" s="92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</row>
    <row customHeight="true" ht="19" outlineLevel="3" r="142">
      <c r="A142" s="4" t="str" xml:space="preserve">
        <v> </v>
      </c>
      <c r="B142" s="73" t="str" xml:space="preserve">
        <v> </v>
      </c>
      <c r="C142" s="14" t="str" xml:space="preserve">
        <v> </v>
      </c>
      <c r="D142" s="14"/>
      <c r="E142" s="78">
        <f>IF(F142="", "", TEXTJOIN("_", TRUE, F142:O142))</f>
      </c>
      <c r="F142" s="91" t="str">
        <v>SM</v>
      </c>
      <c r="G142" s="92" t="str">
        <v>TheMine</v>
      </c>
      <c r="H142" s="92" t="str">
        <v>Side</v>
      </c>
      <c r="I142" s="79"/>
      <c r="J142" s="79" t="str">
        <v>Major</v>
      </c>
      <c r="K142" s="79"/>
      <c r="L142" s="91" t="str">
        <v>C</v>
      </c>
      <c r="M142" s="91"/>
      <c r="N142" s="93"/>
      <c r="O142" s="93">
        <v>3</v>
      </c>
      <c r="P142" s="91"/>
      <c r="Q142" s="92">
        <f>"World_"&amp;VLOOKUP(G142,'引用列表'!Q:R,2,FALSE)&amp;"_"&amp;G142</f>
      </c>
      <c r="R142" s="92"/>
      <c r="S142" s="79">
        <f>IF(AE142="✅", "/Script/Engine.StaticMesh'/Game/Item/Mesh/Voxel/" &amp; Q142 &amp; "/" &amp; TEXTJOIN("_", TRUE, H142, I142) &amp; "/" &amp; E142 &amp; "." &amp; E142 &amp; "'", "")</f>
      </c>
      <c r="T142" s="92" t="str">
        <v>Open</v>
      </c>
      <c r="U142" s="92" t="str">
        <v>Open</v>
      </c>
      <c r="V142" s="91"/>
      <c r="W142" s="91"/>
      <c r="X142" s="79" t="str">
        <v>MineMajor</v>
      </c>
      <c r="Y142" s="79" t="str">
        <v>MineMajor</v>
      </c>
      <c r="Z142" s="91"/>
      <c r="AA142" s="91"/>
      <c r="AB142" s="92" t="b">
        <v>0</v>
      </c>
      <c r="AC142" s="91"/>
      <c r="AD142" s="92" t="str">
        <v>Side</v>
      </c>
      <c r="AE142" s="94" t="str">
        <v>✅</v>
      </c>
      <c r="AF142" s="92" t="str">
        <v>Side</v>
      </c>
      <c r="AG142" s="92">
        <f>IF(F142="", "", TEXTJOIN("_", TRUE, F142:O142))&amp;"_MI"</f>
      </c>
      <c r="AH142" s="92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</row>
    <row customHeight="true" ht="19" outlineLevel="3" r="143">
      <c r="A143" s="4" t="str" xml:space="preserve">
        <v> </v>
      </c>
      <c r="B143" s="73" t="str" xml:space="preserve">
        <v> </v>
      </c>
      <c r="C143" s="14" t="str" xml:space="preserve">
        <v> </v>
      </c>
      <c r="D143" s="14"/>
      <c r="E143" s="78">
        <f>IF(F143="", "", TEXTJOIN("_", TRUE, F143:O143))</f>
      </c>
      <c r="F143" s="91" t="str">
        <v>SM</v>
      </c>
      <c r="G143" s="92" t="str">
        <v>TheMine</v>
      </c>
      <c r="H143" s="92" t="str">
        <v>Side</v>
      </c>
      <c r="I143" s="79"/>
      <c r="J143" s="79" t="str">
        <v>Major</v>
      </c>
      <c r="K143" s="79"/>
      <c r="L143" s="91" t="str">
        <v>C</v>
      </c>
      <c r="M143" s="91"/>
      <c r="N143" s="93"/>
      <c r="O143" s="93">
        <v>4</v>
      </c>
      <c r="P143" s="91"/>
      <c r="Q143" s="92">
        <f>"World_"&amp;VLOOKUP(G143,'引用列表'!Q:R,2,FALSE)&amp;"_"&amp;G143</f>
      </c>
      <c r="R143" s="92"/>
      <c r="S143" s="79">
        <f>IF(AE143="✅", "/Script/Engine.StaticMesh'/Game/Item/Mesh/Voxel/" &amp; Q143 &amp; "/" &amp; TEXTJOIN("_", TRUE, H143, I143) &amp; "/" &amp; E143 &amp; "." &amp; E143 &amp; "'", "")</f>
      </c>
      <c r="T143" s="92" t="str">
        <v>Open</v>
      </c>
      <c r="U143" s="92" t="str">
        <v>Open</v>
      </c>
      <c r="V143" s="91"/>
      <c r="W143" s="91"/>
      <c r="X143" s="79" t="str">
        <v>MineMajor</v>
      </c>
      <c r="Y143" s="79" t="str">
        <v>MineMajor</v>
      </c>
      <c r="Z143" s="91"/>
      <c r="AA143" s="91"/>
      <c r="AB143" s="92" t="b">
        <v>0</v>
      </c>
      <c r="AC143" s="91"/>
      <c r="AD143" s="92" t="str">
        <v>Side</v>
      </c>
      <c r="AE143" s="94" t="str">
        <v>✅</v>
      </c>
      <c r="AF143" s="92" t="str">
        <v>Side</v>
      </c>
      <c r="AG143" s="92">
        <f>IF(F143="", "", TEXTJOIN("_", TRUE, F143:O143))&amp;"_MI"</f>
      </c>
      <c r="AH143" s="92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</row>
    <row customHeight="true" ht="19" outlineLevel="3" r="144">
      <c r="A144" s="4" t="str" xml:space="preserve">
        <v> </v>
      </c>
      <c r="B144" s="73" t="str" xml:space="preserve">
        <v> </v>
      </c>
      <c r="C144" s="14" t="str" xml:space="preserve">
        <v> </v>
      </c>
      <c r="D144" s="14"/>
      <c r="E144" s="78">
        <f>IF(F144="", "", TEXTJOIN("_", TRUE, F144:O144))</f>
      </c>
      <c r="F144" s="91" t="str">
        <v>SM</v>
      </c>
      <c r="G144" s="92" t="str">
        <v>TheMine</v>
      </c>
      <c r="H144" s="92" t="str">
        <v>Side</v>
      </c>
      <c r="I144" s="79"/>
      <c r="J144" s="79" t="str">
        <v>Major</v>
      </c>
      <c r="K144" s="79"/>
      <c r="L144" s="91" t="str">
        <v>C</v>
      </c>
      <c r="M144" s="91"/>
      <c r="N144" s="93"/>
      <c r="O144" s="93">
        <v>5</v>
      </c>
      <c r="P144" s="91"/>
      <c r="Q144" s="92">
        <f>"World_"&amp;VLOOKUP(G144,'引用列表'!Q:R,2,FALSE)&amp;"_"&amp;G144</f>
      </c>
      <c r="R144" s="92"/>
      <c r="S144" s="79">
        <f>IF(AE144="✅", "/Script/Engine.StaticMesh'/Game/Item/Mesh/Voxel/" &amp; Q144 &amp; "/" &amp; TEXTJOIN("_", TRUE, H144, I144) &amp; "/" &amp; E144 &amp; "." &amp; E144 &amp; "'", "")</f>
      </c>
      <c r="T144" s="92" t="str">
        <v>Open</v>
      </c>
      <c r="U144" s="92" t="str">
        <v>Open</v>
      </c>
      <c r="V144" s="91"/>
      <c r="W144" s="91"/>
      <c r="X144" s="79" t="str">
        <v>MineMajor</v>
      </c>
      <c r="Y144" s="79" t="str">
        <v>MineMajor</v>
      </c>
      <c r="Z144" s="91"/>
      <c r="AA144" s="91"/>
      <c r="AB144" s="92" t="b">
        <v>0</v>
      </c>
      <c r="AC144" s="91"/>
      <c r="AD144" s="92" t="str">
        <v>Side</v>
      </c>
      <c r="AE144" s="94" t="str">
        <v>✅</v>
      </c>
      <c r="AF144" s="92" t="str">
        <v>Side</v>
      </c>
      <c r="AG144" s="92">
        <f>IF(F144="", "", TEXTJOIN("_", TRUE, F144:O144))&amp;"_MI"</f>
      </c>
      <c r="AH144" s="92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</row>
    <row customHeight="true" ht="19" outlineLevel="3" r="145">
      <c r="A145" s="53" t="str" xml:space="preserve">
        <v> </v>
      </c>
      <c r="B145" s="106" t="str" xml:space="preserve">
        <v> </v>
      </c>
      <c r="C145" s="106" t="str" xml:space="preserve">
        <v> </v>
      </c>
      <c r="D145" s="106"/>
      <c r="E145" s="53">
        <f>IF(F145="", "", TEXTJOIN("_", TRUE, F145:O145))</f>
      </c>
      <c r="F145" s="51" t="str">
        <v>SM</v>
      </c>
      <c r="G145" s="52" t="str">
        <v>TheMine</v>
      </c>
      <c r="H145" s="52" t="str">
        <v>Side</v>
      </c>
      <c r="I145" s="54"/>
      <c r="J145" s="54" t="str">
        <v>Major</v>
      </c>
      <c r="K145" s="54"/>
      <c r="L145" s="51" t="str">
        <v>T</v>
      </c>
      <c r="M145" s="51"/>
      <c r="N145" s="57"/>
      <c r="O145" s="57">
        <v>1</v>
      </c>
      <c r="P145" s="51"/>
      <c r="Q145" s="52">
        <f>"World_"&amp;VLOOKUP(G145,'引用列表'!Q:R,2,FALSE)&amp;"_"&amp;G145</f>
      </c>
      <c r="R145" s="52"/>
      <c r="S145" s="54">
        <f>IF(AE145="✅", "/Script/Engine.StaticMesh'/Game/Item/Mesh/Voxel/" &amp; Q145 &amp; "/" &amp; TEXTJOIN("_", TRUE, H145, I145) &amp; "/" &amp; E145 &amp; "." &amp; E145 &amp; "'", "")</f>
      </c>
      <c r="T145" s="52" t="str">
        <v>Open</v>
      </c>
      <c r="U145" s="52" t="str">
        <v>Close</v>
      </c>
      <c r="V145" s="51"/>
      <c r="W145" s="51"/>
      <c r="X145" s="54" t="str">
        <v>MineMajor</v>
      </c>
      <c r="Y145" s="54"/>
      <c r="Z145" s="51"/>
      <c r="AA145" s="51"/>
      <c r="AB145" s="52" t="b">
        <v>1</v>
      </c>
      <c r="AC145" s="51"/>
      <c r="AD145" s="52" t="str">
        <v>Side</v>
      </c>
      <c r="AE145" s="101" t="str">
        <v>✅</v>
      </c>
      <c r="AF145" s="52" t="str">
        <v>Side</v>
      </c>
      <c r="AG145" s="52">
        <f>IF(F145="", "", TEXTJOIN("_", TRUE, F145:O145))&amp;"_MI"</f>
      </c>
      <c r="AH145" s="52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</row>
    <row customHeight="true" ht="19" outlineLevel="3" r="146">
      <c r="A146" s="53" t="str" xml:space="preserve">
        <v> </v>
      </c>
      <c r="B146" s="106" t="str" xml:space="preserve">
        <v> </v>
      </c>
      <c r="C146" s="106" t="str" xml:space="preserve">
        <v> </v>
      </c>
      <c r="D146" s="106"/>
      <c r="E146" s="53">
        <f>IF(F146="", "", TEXTJOIN("_", TRUE, F146:O146))</f>
      </c>
      <c r="F146" s="51" t="str">
        <v>SM</v>
      </c>
      <c r="G146" s="52" t="str">
        <v>TheMine</v>
      </c>
      <c r="H146" s="52" t="str">
        <v>Side</v>
      </c>
      <c r="I146" s="54"/>
      <c r="J146" s="54" t="str">
        <v>Major</v>
      </c>
      <c r="K146" s="54"/>
      <c r="L146" s="51" t="str">
        <v>T</v>
      </c>
      <c r="M146" s="51"/>
      <c r="N146" s="57"/>
      <c r="O146" s="57">
        <v>2</v>
      </c>
      <c r="P146" s="51"/>
      <c r="Q146" s="52">
        <f>"World_"&amp;VLOOKUP(G146,'引用列表'!Q:R,2,FALSE)&amp;"_"&amp;G146</f>
      </c>
      <c r="R146" s="52"/>
      <c r="S146" s="54">
        <f>IF(AE146="✅", "/Script/Engine.StaticMesh'/Game/Item/Mesh/Voxel/" &amp; Q146 &amp; "/" &amp; TEXTJOIN("_", TRUE, H146, I146) &amp; "/" &amp; E146 &amp; "." &amp; E146 &amp; "'", "")</f>
      </c>
      <c r="T146" s="52" t="str">
        <v>Open</v>
      </c>
      <c r="U146" s="52" t="str">
        <v>Close</v>
      </c>
      <c r="V146" s="51"/>
      <c r="W146" s="51"/>
      <c r="X146" s="54" t="str">
        <v>MineMajor</v>
      </c>
      <c r="Y146" s="54"/>
      <c r="Z146" s="51"/>
      <c r="AA146" s="51"/>
      <c r="AB146" s="52" t="b">
        <v>1</v>
      </c>
      <c r="AC146" s="51"/>
      <c r="AD146" s="52" t="str">
        <v>Side</v>
      </c>
      <c r="AE146" s="101" t="str">
        <v>✅</v>
      </c>
      <c r="AF146" s="52" t="str">
        <v>Side</v>
      </c>
      <c r="AG146" s="52">
        <f>IF(F146="", "", TEXTJOIN("_", TRUE, F146:O146))&amp;"_MI"</f>
      </c>
      <c r="AH146" s="52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</row>
    <row customHeight="true" ht="19" outlineLevel="3" r="147">
      <c r="A147" s="53" t="str" xml:space="preserve">
        <v> </v>
      </c>
      <c r="B147" s="106" t="str" xml:space="preserve">
        <v> </v>
      </c>
      <c r="C147" s="106" t="str" xml:space="preserve">
        <v> </v>
      </c>
      <c r="D147" s="106"/>
      <c r="E147" s="53">
        <f>IF(F147="", "", TEXTJOIN("_", TRUE, F147:O147))</f>
      </c>
      <c r="F147" s="51" t="str">
        <v>SM</v>
      </c>
      <c r="G147" s="52" t="str">
        <v>TheMine</v>
      </c>
      <c r="H147" s="52" t="str">
        <v>Side</v>
      </c>
      <c r="I147" s="54"/>
      <c r="J147" s="54" t="str">
        <v>Major</v>
      </c>
      <c r="K147" s="54"/>
      <c r="L147" s="51" t="str">
        <v>T</v>
      </c>
      <c r="M147" s="51"/>
      <c r="N147" s="57"/>
      <c r="O147" s="57">
        <v>3</v>
      </c>
      <c r="P147" s="51"/>
      <c r="Q147" s="52">
        <f>"World_"&amp;VLOOKUP(G147,'引用列表'!Q:R,2,FALSE)&amp;"_"&amp;G147</f>
      </c>
      <c r="R147" s="52"/>
      <c r="S147" s="54">
        <f>IF(AE147="✅", "/Script/Engine.StaticMesh'/Game/Item/Mesh/Voxel/" &amp; Q147 &amp; "/" &amp; TEXTJOIN("_", TRUE, H147, I147) &amp; "/" &amp; E147 &amp; "." &amp; E147 &amp; "'", "")</f>
      </c>
      <c r="T147" s="52" t="str">
        <v>Open</v>
      </c>
      <c r="U147" s="52" t="str">
        <v>Close</v>
      </c>
      <c r="V147" s="51"/>
      <c r="W147" s="51"/>
      <c r="X147" s="54" t="str">
        <v>MineMajor</v>
      </c>
      <c r="Y147" s="54"/>
      <c r="Z147" s="51"/>
      <c r="AA147" s="51"/>
      <c r="AB147" s="52" t="b">
        <v>1</v>
      </c>
      <c r="AC147" s="51"/>
      <c r="AD147" s="52" t="str">
        <v>Side</v>
      </c>
      <c r="AE147" s="101" t="str">
        <v>✅</v>
      </c>
      <c r="AF147" s="52" t="str">
        <v>Side</v>
      </c>
      <c r="AG147" s="52">
        <f>IF(F147="", "", TEXTJOIN("_", TRUE, F147:O147))&amp;"_MI"</f>
      </c>
      <c r="AH147" s="52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</row>
    <row customHeight="true" ht="19" outlineLevel="3" r="148">
      <c r="A148" s="34" t="str" xml:space="preserve">
        <v> </v>
      </c>
      <c r="B148" s="75" t="str" xml:space="preserve">
        <v> </v>
      </c>
      <c r="C148" s="75" t="str" xml:space="preserve">
        <v> </v>
      </c>
      <c r="D148" s="75"/>
      <c r="E148" s="34">
        <f>IF(F148="", "", TEXTJOIN("_", TRUE, F148:O148))</f>
      </c>
      <c r="F148" s="28" t="str">
        <v>SM</v>
      </c>
      <c r="G148" s="32" t="str">
        <v>TheMine</v>
      </c>
      <c r="H148" s="32" t="str">
        <v>Side</v>
      </c>
      <c r="I148" s="29"/>
      <c r="J148" s="29" t="str">
        <v>Major</v>
      </c>
      <c r="K148" s="29"/>
      <c r="L148" s="28" t="str">
        <v>S</v>
      </c>
      <c r="M148" s="28"/>
      <c r="N148" s="33"/>
      <c r="O148" s="33">
        <v>1</v>
      </c>
      <c r="P148" s="28"/>
      <c r="Q148" s="32">
        <f>"World_"&amp;VLOOKUP(G148,'引用列表'!Q:R,2,FALSE)&amp;"_"&amp;G148</f>
      </c>
      <c r="R148" s="32"/>
      <c r="S148" s="29">
        <f>IF(AE148="✅", "/Script/Engine.StaticMesh'/Game/Item/Mesh/Voxel/" &amp; Q148 &amp; "/" &amp; TEXTJOIN("_", TRUE, H148, I148) &amp; "/" &amp; E148 &amp; "." &amp; E148 &amp; "'", "")</f>
      </c>
      <c r="T148" s="32" t="str">
        <v>Close</v>
      </c>
      <c r="U148" s="32" t="str">
        <v>Close</v>
      </c>
      <c r="V148" s="28"/>
      <c r="W148" s="28"/>
      <c r="X148" s="29"/>
      <c r="Y148" s="29"/>
      <c r="Z148" s="28"/>
      <c r="AA148" s="28"/>
      <c r="AB148" s="32" t="b">
        <v>0</v>
      </c>
      <c r="AC148" s="28"/>
      <c r="AD148" s="32" t="str">
        <v>Side</v>
      </c>
      <c r="AE148" s="74" t="str">
        <v>✅</v>
      </c>
      <c r="AF148" s="32" t="str">
        <v>Side</v>
      </c>
      <c r="AG148" s="32">
        <f>IF(F148="", "", TEXTJOIN("_", TRUE, F148:O148))&amp;"_MI"</f>
      </c>
      <c r="AH148" s="32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customHeight="true" ht="19" outlineLevel="2" r="149">
      <c r="A149" s="14"/>
      <c r="B149" s="14"/>
      <c r="C149" s="14" t="str">
        <v>Minor</v>
      </c>
      <c r="D149" s="14"/>
      <c r="E149" s="4"/>
      <c r="F149" s="9"/>
      <c r="G149" s="4"/>
      <c r="H149" s="4"/>
      <c r="I149" s="9"/>
      <c r="J149" s="27"/>
      <c r="K149" s="27"/>
      <c r="L149" s="9"/>
      <c r="M149" s="9"/>
      <c r="N149" s="27"/>
      <c r="O149" s="27"/>
      <c r="P149" s="9"/>
      <c r="Q149" s="4"/>
      <c r="R149" s="4"/>
      <c r="S149" s="9"/>
      <c r="T149" s="4"/>
      <c r="U149" s="4"/>
      <c r="V149" s="9"/>
      <c r="W149" s="9"/>
      <c r="X149" s="9"/>
      <c r="Y149" s="9"/>
      <c r="Z149" s="9"/>
      <c r="AA149" s="9"/>
      <c r="AB149" s="4"/>
      <c r="AC149" s="9"/>
      <c r="AD149" s="4"/>
      <c r="AE149" s="2"/>
      <c r="AF149" s="4" t="str"/>
      <c r="AG149" s="4"/>
      <c r="AH149" s="4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</row>
    <row customHeight="true" ht="19" outlineLevel="3" r="150">
      <c r="A150" s="34" t="str" xml:space="preserve">
        <v> </v>
      </c>
      <c r="B150" s="75" t="str" xml:space="preserve">
        <v> </v>
      </c>
      <c r="C150" s="75" t="str" xml:space="preserve">
        <v> </v>
      </c>
      <c r="D150" s="75"/>
      <c r="E150" s="34">
        <f>IF(F150="", "", TEXTJOIN("_", TRUE, F150:O150))</f>
      </c>
      <c r="F150" s="28" t="str">
        <v>SM</v>
      </c>
      <c r="G150" s="32" t="str">
        <v>TheMine</v>
      </c>
      <c r="H150" s="32" t="str">
        <v>Side</v>
      </c>
      <c r="I150" s="29"/>
      <c r="J150" s="29" t="str">
        <v>Minor</v>
      </c>
      <c r="K150" s="29"/>
      <c r="L150" s="28" t="str">
        <v>B</v>
      </c>
      <c r="M150" s="28"/>
      <c r="N150" s="33"/>
      <c r="O150" s="33">
        <v>1</v>
      </c>
      <c r="P150" s="28"/>
      <c r="Q150" s="32">
        <f>"World_"&amp;VLOOKUP(G150,'引用列表'!Q:R,2,FALSE)&amp;"_"&amp;G150</f>
      </c>
      <c r="R150" s="32"/>
      <c r="S150" s="29">
        <f>IF(AE150="✅", "/Script/Engine.StaticMesh'/Game/Item/Mesh/Voxel/" &amp; Q150 &amp; "/" &amp; TEXTJOIN("_", TRUE, H150, I150) &amp; "/" &amp; E150 &amp; "." &amp; E150 &amp; "'", "")</f>
      </c>
      <c r="T150" s="32" t="str">
        <v>Close</v>
      </c>
      <c r="U150" s="32" t="str">
        <v>Open</v>
      </c>
      <c r="V150" s="28"/>
      <c r="W150" s="28"/>
      <c r="X150" s="29"/>
      <c r="Y150" s="29" t="str">
        <v>MineMinor</v>
      </c>
      <c r="Z150" s="28"/>
      <c r="AA150" s="28"/>
      <c r="AB150" s="32" t="b">
        <v>0</v>
      </c>
      <c r="AC150" s="28"/>
      <c r="AD150" s="32" t="str">
        <v>Side</v>
      </c>
      <c r="AE150" s="74" t="str">
        <v>✅</v>
      </c>
      <c r="AF150" s="32" t="str">
        <v>Side</v>
      </c>
      <c r="AG150" s="32">
        <f>IF(F150="", "", TEXTJOIN("_", TRUE, F150:O150))&amp;"_MI"</f>
      </c>
      <c r="AH150" s="32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customHeight="true" ht="19" outlineLevel="3" r="151">
      <c r="A151" s="4" t="str" xml:space="preserve">
        <v> </v>
      </c>
      <c r="B151" s="73" t="str" xml:space="preserve">
        <v> </v>
      </c>
      <c r="C151" s="14" t="str" xml:space="preserve">
        <v> </v>
      </c>
      <c r="D151" s="14"/>
      <c r="E151" s="78">
        <f>IF(F151="", "", TEXTJOIN("_", TRUE, F151:O151))</f>
      </c>
      <c r="F151" s="91" t="str">
        <v>SM</v>
      </c>
      <c r="G151" s="92" t="str">
        <v>TheMine</v>
      </c>
      <c r="H151" s="92" t="str">
        <v>Side</v>
      </c>
      <c r="I151" s="79"/>
      <c r="J151" s="79" t="str">
        <v>Minor</v>
      </c>
      <c r="K151" s="79"/>
      <c r="L151" s="91" t="str">
        <v>C</v>
      </c>
      <c r="M151" s="91"/>
      <c r="N151" s="93"/>
      <c r="O151" s="93">
        <v>1</v>
      </c>
      <c r="P151" s="91"/>
      <c r="Q151" s="92">
        <f>"World_"&amp;VLOOKUP(G151,'引用列表'!Q:R,2,FALSE)&amp;"_"&amp;G151</f>
      </c>
      <c r="R151" s="92"/>
      <c r="S151" s="79">
        <f>IF(AE151="✅", "/Script/Engine.StaticMesh'/Game/Item/Mesh/Voxel/" &amp; Q151 &amp; "/" &amp; TEXTJOIN("_", TRUE, H151, I151) &amp; "/" &amp; E151 &amp; "." &amp; E151 &amp; "'", "")</f>
      </c>
      <c r="T151" s="92" t="str">
        <v>Open</v>
      </c>
      <c r="U151" s="92" t="str">
        <v>Open</v>
      </c>
      <c r="V151" s="91"/>
      <c r="W151" s="91"/>
      <c r="X151" s="79" t="str">
        <v>MineMajor</v>
      </c>
      <c r="Y151" s="79" t="str">
        <v>MineMinor</v>
      </c>
      <c r="Z151" s="91"/>
      <c r="AA151" s="91"/>
      <c r="AB151" s="92" t="b">
        <v>0</v>
      </c>
      <c r="AC151" s="91"/>
      <c r="AD151" s="92" t="str">
        <v>Side</v>
      </c>
      <c r="AE151" s="94" t="str">
        <v>✅</v>
      </c>
      <c r="AF151" s="92" t="str">
        <v>Side</v>
      </c>
      <c r="AG151" s="92">
        <f>IF(F151="", "", TEXTJOIN("_", TRUE, F151:O151))&amp;"_MI"</f>
      </c>
      <c r="AH151" s="92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</row>
    <row customHeight="true" ht="19" outlineLevel="3" r="152">
      <c r="A152" s="4" t="str" xml:space="preserve">
        <v> </v>
      </c>
      <c r="B152" s="73" t="str" xml:space="preserve">
        <v> </v>
      </c>
      <c r="C152" s="14" t="str" xml:space="preserve">
        <v> </v>
      </c>
      <c r="D152" s="14"/>
      <c r="E152" s="78">
        <f>IF(F152="", "", TEXTJOIN("_", TRUE, F152:O152))</f>
      </c>
      <c r="F152" s="91" t="str">
        <v>SM</v>
      </c>
      <c r="G152" s="92" t="str">
        <v>TheMine</v>
      </c>
      <c r="H152" s="92" t="str">
        <v>Side</v>
      </c>
      <c r="I152" s="79"/>
      <c r="J152" s="79" t="str">
        <v>Minor</v>
      </c>
      <c r="K152" s="79"/>
      <c r="L152" s="91" t="str">
        <v>C</v>
      </c>
      <c r="M152" s="91"/>
      <c r="N152" s="93"/>
      <c r="O152" s="93">
        <v>2</v>
      </c>
      <c r="P152" s="91"/>
      <c r="Q152" s="92">
        <f>"World_"&amp;VLOOKUP(G152,'引用列表'!Q:R,2,FALSE)&amp;"_"&amp;G152</f>
      </c>
      <c r="R152" s="92"/>
      <c r="S152" s="79">
        <f>IF(AE152="✅", "/Script/Engine.StaticMesh'/Game/Item/Mesh/Voxel/" &amp; Q152 &amp; "/" &amp; TEXTJOIN("_", TRUE, H152, I152) &amp; "/" &amp; E152 &amp; "." &amp; E152 &amp; "'", "")</f>
      </c>
      <c r="T152" s="92" t="str">
        <v>Open</v>
      </c>
      <c r="U152" s="92" t="str">
        <v>Open</v>
      </c>
      <c r="V152" s="91"/>
      <c r="W152" s="91"/>
      <c r="X152" s="79" t="str">
        <v>MineMinor</v>
      </c>
      <c r="Y152" s="79" t="str">
        <v>MineMinor</v>
      </c>
      <c r="Z152" s="91"/>
      <c r="AA152" s="91"/>
      <c r="AB152" s="92" t="b">
        <v>0</v>
      </c>
      <c r="AC152" s="91"/>
      <c r="AD152" s="92" t="str">
        <v>Side</v>
      </c>
      <c r="AE152" s="94" t="str">
        <v>✅</v>
      </c>
      <c r="AF152" s="92" t="str">
        <v>Side</v>
      </c>
      <c r="AG152" s="92">
        <f>IF(F152="", "", TEXTJOIN("_", TRUE, F152:O152))&amp;"_MI"</f>
      </c>
      <c r="AH152" s="92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</row>
    <row customHeight="true" ht="19" outlineLevel="3" r="153">
      <c r="A153" s="4" t="str" xml:space="preserve">
        <v> </v>
      </c>
      <c r="B153" s="73" t="str" xml:space="preserve">
        <v> </v>
      </c>
      <c r="C153" s="14" t="str" xml:space="preserve">
        <v> </v>
      </c>
      <c r="D153" s="14"/>
      <c r="E153" s="78">
        <f>IF(F153="", "", TEXTJOIN("_", TRUE, F153:O153))</f>
      </c>
      <c r="F153" s="91" t="str">
        <v>SM</v>
      </c>
      <c r="G153" s="92" t="str">
        <v>TheMine</v>
      </c>
      <c r="H153" s="92" t="str">
        <v>Side</v>
      </c>
      <c r="I153" s="79"/>
      <c r="J153" s="79" t="str">
        <v>Minor</v>
      </c>
      <c r="K153" s="79"/>
      <c r="L153" s="91" t="str">
        <v>C</v>
      </c>
      <c r="M153" s="91"/>
      <c r="N153" s="93"/>
      <c r="O153" s="93">
        <v>3</v>
      </c>
      <c r="P153" s="91"/>
      <c r="Q153" s="92">
        <f>"World_"&amp;VLOOKUP(G153,'引用列表'!Q:R,2,FALSE)&amp;"_"&amp;G153</f>
      </c>
      <c r="R153" s="92"/>
      <c r="S153" s="79">
        <f>IF(AE153="✅", "/Script/Engine.StaticMesh'/Game/Item/Mesh/Voxel/" &amp; Q153 &amp; "/" &amp; TEXTJOIN("_", TRUE, H153, I153) &amp; "/" &amp; E153 &amp; "." &amp; E153 &amp; "'", "")</f>
      </c>
      <c r="T153" s="92" t="str">
        <v>Open</v>
      </c>
      <c r="U153" s="92" t="str">
        <v>Open</v>
      </c>
      <c r="V153" s="91"/>
      <c r="W153" s="91"/>
      <c r="X153" s="79" t="str">
        <v>MineMinor</v>
      </c>
      <c r="Y153" s="79" t="str">
        <v>MineMajor</v>
      </c>
      <c r="Z153" s="91"/>
      <c r="AA153" s="91"/>
      <c r="AB153" s="92" t="b">
        <v>0</v>
      </c>
      <c r="AC153" s="91"/>
      <c r="AD153" s="92" t="str">
        <v>Side</v>
      </c>
      <c r="AE153" s="94" t="str">
        <v>✅</v>
      </c>
      <c r="AF153" s="92" t="str">
        <v>Side</v>
      </c>
      <c r="AG153" s="92">
        <f>IF(F153="", "", TEXTJOIN("_", TRUE, F153:O153))&amp;"_MI"</f>
      </c>
      <c r="AH153" s="92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</row>
    <row customHeight="true" ht="19" outlineLevel="3" r="154">
      <c r="A154" s="88" t="str" xml:space="preserve">
        <v> </v>
      </c>
      <c r="B154" s="89" t="str" xml:space="preserve">
        <v> </v>
      </c>
      <c r="C154" s="89" t="str" xml:space="preserve">
        <v> </v>
      </c>
      <c r="D154" s="89"/>
      <c r="E154" s="88">
        <f>IF(F154="", "", TEXTJOIN("_", TRUE, F154:O154))</f>
      </c>
      <c r="F154" s="65" t="str">
        <v>SM</v>
      </c>
      <c r="G154" s="64" t="str">
        <v>TheMine</v>
      </c>
      <c r="H154" s="64" t="str">
        <v>Side</v>
      </c>
      <c r="I154" s="66"/>
      <c r="J154" s="66" t="str">
        <v>Minor</v>
      </c>
      <c r="K154" s="66"/>
      <c r="L154" s="65" t="str">
        <v>T</v>
      </c>
      <c r="M154" s="65"/>
      <c r="N154" s="69"/>
      <c r="O154" s="69">
        <v>1</v>
      </c>
      <c r="P154" s="65"/>
      <c r="Q154" s="64">
        <f>"World_"&amp;VLOOKUP(G154,'引用列表'!Q:R,2,FALSE)&amp;"_"&amp;G154</f>
      </c>
      <c r="R154" s="64"/>
      <c r="S154" s="66">
        <f>IF(AE154="✅", "/Script/Engine.StaticMesh'/Game/Item/Mesh/Voxel/" &amp; Q154 &amp; "/" &amp; TEXTJOIN("_", TRUE, H154, I154) &amp; "/" &amp; E154 &amp; "." &amp; E154 &amp; "'", "")</f>
      </c>
      <c r="T154" s="64" t="str">
        <v>Open</v>
      </c>
      <c r="U154" s="64" t="str">
        <v>Close</v>
      </c>
      <c r="V154" s="65"/>
      <c r="W154" s="65"/>
      <c r="X154" s="66" t="str">
        <v>MineMinor</v>
      </c>
      <c r="Y154" s="66"/>
      <c r="Z154" s="65"/>
      <c r="AA154" s="65"/>
      <c r="AB154" s="64" t="b">
        <v>1</v>
      </c>
      <c r="AC154" s="65"/>
      <c r="AD154" s="64" t="str">
        <v>Side</v>
      </c>
      <c r="AE154" s="90" t="str">
        <v>✅</v>
      </c>
      <c r="AF154" s="64" t="str">
        <v>Side</v>
      </c>
      <c r="AG154" s="64">
        <f>IF(F154="", "", TEXTJOIN("_", TRUE, F154:O154))&amp;"_MI"</f>
      </c>
      <c r="AH154" s="64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</row>
    <row collapsed="true" customHeight="true" ht="19" outlineLevel="1" r="155">
      <c r="A155" s="14"/>
      <c r="B155" s="14" t="str">
        <v>Ground</v>
      </c>
      <c r="C155" s="14"/>
      <c r="D155" s="14"/>
      <c r="E155" s="4"/>
      <c r="F155" s="9"/>
      <c r="G155" s="4"/>
      <c r="H155" s="4"/>
      <c r="I155" s="9"/>
      <c r="J155" s="27"/>
      <c r="K155" s="27"/>
      <c r="L155" s="9"/>
      <c r="M155" s="9"/>
      <c r="N155" s="27"/>
      <c r="O155" s="27"/>
      <c r="P155" s="9"/>
      <c r="Q155" s="4"/>
      <c r="R155" s="4"/>
      <c r="S155" s="9"/>
      <c r="T155" s="4"/>
      <c r="U155" s="4"/>
      <c r="V155" s="9"/>
      <c r="W155" s="9"/>
      <c r="X155" s="9"/>
      <c r="Y155" s="9"/>
      <c r="Z155" s="9"/>
      <c r="AA155" s="9"/>
      <c r="AB155" s="4"/>
      <c r="AC155" s="9"/>
      <c r="AD155" s="4"/>
      <c r="AE155" s="2"/>
      <c r="AF155" s="4" t="str"/>
      <c r="AG155" s="4"/>
      <c r="AH155" s="4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</row>
    <row customHeight="true" hidden="true" ht="19" outlineLevel="2" r="156">
      <c r="A156" s="14"/>
      <c r="B156" s="14"/>
      <c r="C156" s="14" t="str">
        <v>RedSoil</v>
      </c>
      <c r="D156" s="14"/>
      <c r="E156" s="4"/>
      <c r="F156" s="9"/>
      <c r="G156" s="4"/>
      <c r="H156" s="4"/>
      <c r="I156" s="9"/>
      <c r="J156" s="27"/>
      <c r="K156" s="27"/>
      <c r="L156" s="9"/>
      <c r="M156" s="9"/>
      <c r="N156" s="27"/>
      <c r="O156" s="27"/>
      <c r="P156" s="9"/>
      <c r="Q156" s="4"/>
      <c r="R156" s="4"/>
      <c r="S156" s="9"/>
      <c r="T156" s="4"/>
      <c r="U156" s="4"/>
      <c r="V156" s="9"/>
      <c r="W156" s="9"/>
      <c r="X156" s="9"/>
      <c r="Y156" s="9"/>
      <c r="Z156" s="9"/>
      <c r="AA156" s="9"/>
      <c r="AB156" s="4"/>
      <c r="AC156" s="9"/>
      <c r="AD156" s="4"/>
      <c r="AE156" s="2"/>
      <c r="AF156" s="4" t="str"/>
      <c r="AG156" s="4"/>
      <c r="AH156" s="4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</row>
    <row customHeight="true" hidden="true" ht="19" outlineLevel="3" r="157">
      <c r="A157" s="34" t="str" xml:space="preserve">
        <v> </v>
      </c>
      <c r="B157" s="75" t="str" xml:space="preserve">
        <v> </v>
      </c>
      <c r="C157" s="75" t="str" xml:space="preserve">
        <v> </v>
      </c>
      <c r="D157" s="75"/>
      <c r="E157" s="34">
        <f>IF(F157="", "", TEXTJOIN("_", TRUE, F157:O157))</f>
      </c>
      <c r="F157" s="28" t="str">
        <v>SM</v>
      </c>
      <c r="G157" s="32" t="str">
        <v>TheMine</v>
      </c>
      <c r="H157" s="32" t="str">
        <v>Ground</v>
      </c>
      <c r="I157" s="29"/>
      <c r="J157" s="29" t="str">
        <v>Major</v>
      </c>
      <c r="K157" s="29" t="str">
        <v>RedSoil</v>
      </c>
      <c r="L157" s="28" t="str">
        <v>C</v>
      </c>
      <c r="M157" s="28" t="str">
        <v>Hollow</v>
      </c>
      <c r="N157" s="33"/>
      <c r="O157" s="33">
        <v>1</v>
      </c>
      <c r="P157" s="28"/>
      <c r="Q157" s="32">
        <f>"World_"&amp;VLOOKUP(G157,'引用列表'!Q:R,2,FALSE)&amp;"_"&amp;G157</f>
      </c>
      <c r="R157" s="32"/>
      <c r="S157" s="29">
        <f>IF(AE157="✅", "/Script/Engine.StaticMesh'/Game/Item/Mesh/Voxel/" &amp; Q157 &amp; "/" &amp; TEXTJOIN("_", TRUE, H157, I157) &amp; "/" &amp; E157 &amp; "." &amp; E157 &amp; "'", "")</f>
      </c>
      <c r="T157" s="32" t="str">
        <v>Close</v>
      </c>
      <c r="U157" s="32" t="str">
        <v>Open</v>
      </c>
      <c r="V157" s="28"/>
      <c r="W157" s="28"/>
      <c r="X157" s="29"/>
      <c r="Y157" s="29"/>
      <c r="Z157" s="28"/>
      <c r="AA157" s="28"/>
      <c r="AB157" s="32" t="b">
        <v>0</v>
      </c>
      <c r="AC157" s="28"/>
      <c r="AD157" s="34"/>
      <c r="AE157" s="30" t="str">
        <v>➖</v>
      </c>
      <c r="AF157" s="34" t="str">
        <v>Ground</v>
      </c>
      <c r="AG157" s="32">
        <f>IF(F157="", "", TEXTJOIN("_", TRUE, F157:O157))&amp;"_MI"</f>
      </c>
      <c r="AH157" s="32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customHeight="true" hidden="true" ht="19" outlineLevel="3" r="158">
      <c r="A158" s="4" t="str" xml:space="preserve">
        <v> </v>
      </c>
      <c r="B158" s="73" t="str" xml:space="preserve">
        <v> </v>
      </c>
      <c r="C158" s="14" t="str" xml:space="preserve">
        <v> </v>
      </c>
      <c r="D158" s="14"/>
      <c r="E158" s="78">
        <f>IF(F158="", "", TEXTJOIN("_", TRUE, F158:O158))</f>
      </c>
      <c r="F158" s="91" t="str">
        <v>SM</v>
      </c>
      <c r="G158" s="92" t="str">
        <v>TheMine</v>
      </c>
      <c r="H158" s="92" t="str">
        <v>Ground</v>
      </c>
      <c r="I158" s="79"/>
      <c r="J158" s="79" t="str">
        <v>Major</v>
      </c>
      <c r="K158" s="79" t="str">
        <v>RedSoil</v>
      </c>
      <c r="L158" s="91" t="str">
        <v>C</v>
      </c>
      <c r="M158" s="91" t="str">
        <v>Single</v>
      </c>
      <c r="N158" s="93"/>
      <c r="O158" s="93">
        <v>1</v>
      </c>
      <c r="P158" s="91"/>
      <c r="Q158" s="92">
        <f>"World_"&amp;VLOOKUP(G158,'引用列表'!Q:R,2,FALSE)&amp;"_"&amp;G158</f>
      </c>
      <c r="R158" s="92"/>
      <c r="S158" s="79">
        <f>IF(AE158="✅", "/Script/Engine.StaticMesh'/Game/Item/Mesh/Voxel/" &amp; Q158 &amp; "/" &amp; TEXTJOIN("_", TRUE, H158, I158) &amp; "/" &amp; E158 &amp; "." &amp; E158 &amp; "'", "")</f>
      </c>
      <c r="T158" s="92" t="str">
        <v>Open</v>
      </c>
      <c r="U158" s="92" t="str">
        <v>Open</v>
      </c>
      <c r="V158" s="91"/>
      <c r="W158" s="91"/>
      <c r="X158" s="79"/>
      <c r="Y158" s="79"/>
      <c r="Z158" s="91"/>
      <c r="AA158" s="91"/>
      <c r="AB158" s="92" t="b">
        <v>0</v>
      </c>
      <c r="AC158" s="91"/>
      <c r="AD158" s="92"/>
      <c r="AE158" s="94" t="str">
        <v>➖</v>
      </c>
      <c r="AF158" s="92" t="str">
        <v>Ground</v>
      </c>
      <c r="AG158" s="92">
        <f>IF(F158="", "", TEXTJOIN("_", TRUE, F158:O158))&amp;"_MI"</f>
      </c>
      <c r="AH158" s="92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</row>
    <row customHeight="true" hidden="true" ht="19" outlineLevel="3" r="159">
      <c r="A159" s="88" t="str" xml:space="preserve">
        <v> </v>
      </c>
      <c r="B159" s="89" t="str" xml:space="preserve">
        <v> </v>
      </c>
      <c r="C159" s="89" t="str" xml:space="preserve">
        <v> </v>
      </c>
      <c r="D159" s="89"/>
      <c r="E159" s="88">
        <f>IF(F159="", "", TEXTJOIN("_", TRUE, F159:O159))</f>
      </c>
      <c r="F159" s="65" t="str">
        <v>SM</v>
      </c>
      <c r="G159" s="64" t="str">
        <v>TheMine</v>
      </c>
      <c r="H159" s="64" t="str">
        <v>Ground</v>
      </c>
      <c r="I159" s="66"/>
      <c r="J159" s="66" t="str">
        <v>Major</v>
      </c>
      <c r="K159" s="66" t="str">
        <v>RedSoil</v>
      </c>
      <c r="L159" s="65" t="str">
        <v>T</v>
      </c>
      <c r="M159" s="65" t="str">
        <v>Single</v>
      </c>
      <c r="N159" s="69"/>
      <c r="O159" s="69">
        <v>1</v>
      </c>
      <c r="P159" s="65"/>
      <c r="Q159" s="64">
        <f>"World_"&amp;VLOOKUP(G159,'引用列表'!Q:R,2,FALSE)&amp;"_"&amp;G159</f>
      </c>
      <c r="R159" s="64"/>
      <c r="S159" s="66">
        <f>IF(AE159="✅", "/Script/Engine.StaticMesh'/Game/Item/Mesh/Voxel/" &amp; Q159 &amp; "/" &amp; TEXTJOIN("_", TRUE, H159, I159) &amp; "/" &amp; E159 &amp; "." &amp; E159 &amp; "'", "")</f>
      </c>
      <c r="T159" s="64" t="str">
        <v>Open</v>
      </c>
      <c r="U159" s="64" t="str">
        <v>Open</v>
      </c>
      <c r="V159" s="65"/>
      <c r="W159" s="65"/>
      <c r="X159" s="66"/>
      <c r="Y159" s="66"/>
      <c r="Z159" s="65"/>
      <c r="AA159" s="65"/>
      <c r="AB159" s="64" t="b">
        <v>0</v>
      </c>
      <c r="AC159" s="65"/>
      <c r="AD159" s="64"/>
      <c r="AE159" s="90" t="str">
        <v>➖</v>
      </c>
      <c r="AF159" s="64" t="str">
        <v>Ground</v>
      </c>
      <c r="AG159" s="64">
        <f>IF(F159="", "", TEXTJOIN("_", TRUE, F159:O159))&amp;"_MI"</f>
      </c>
      <c r="AH159" s="64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</row>
    <row customHeight="true" hidden="true" ht="19" outlineLevel="3" r="160">
      <c r="A160" s="53" t="str" xml:space="preserve">
        <v> </v>
      </c>
      <c r="B160" s="106" t="str" xml:space="preserve">
        <v> </v>
      </c>
      <c r="C160" s="106" t="str" xml:space="preserve">
        <v> </v>
      </c>
      <c r="D160" s="106"/>
      <c r="E160" s="53">
        <f>IF(F160="", "", TEXTJOIN("_", TRUE, F160:O160))</f>
      </c>
      <c r="F160" s="51" t="str">
        <v>SM</v>
      </c>
      <c r="G160" s="52" t="str">
        <v>TheMine</v>
      </c>
      <c r="H160" s="52" t="str">
        <v>Ground</v>
      </c>
      <c r="I160" s="54"/>
      <c r="J160" s="54" t="str">
        <v>Major</v>
      </c>
      <c r="K160" s="54" t="str">
        <v>RedSoil</v>
      </c>
      <c r="L160" s="51" t="str">
        <v>TR</v>
      </c>
      <c r="M160" s="51" t="str">
        <v>Corner</v>
      </c>
      <c r="N160" s="57"/>
      <c r="O160" s="57">
        <v>1</v>
      </c>
      <c r="P160" s="51"/>
      <c r="Q160" s="52">
        <f>"World_"&amp;VLOOKUP(G160,'引用列表'!Q:R,2,FALSE)&amp;"_"&amp;G160</f>
      </c>
      <c r="R160" s="52"/>
      <c r="S160" s="54">
        <f>IF(AE160="✅", "/Script/Engine.StaticMesh'/Game/Item/Mesh/Voxel/" &amp; Q160 &amp; "/" &amp; TEXTJOIN("_", TRUE, H160, I160) &amp; "/" &amp; E160 &amp; "." &amp; E160 &amp; "'", "")</f>
      </c>
      <c r="T160" s="52" t="str">
        <v>Open</v>
      </c>
      <c r="U160" s="52" t="str">
        <v>Open</v>
      </c>
      <c r="V160" s="51"/>
      <c r="W160" s="51"/>
      <c r="X160" s="54"/>
      <c r="Y160" s="54"/>
      <c r="Z160" s="51"/>
      <c r="AA160" s="51"/>
      <c r="AB160" s="52" t="b">
        <v>0</v>
      </c>
      <c r="AC160" s="51"/>
      <c r="AD160" s="52"/>
      <c r="AE160" s="101" t="str">
        <v>➖</v>
      </c>
      <c r="AF160" s="52" t="str">
        <v>Ground</v>
      </c>
      <c r="AG160" s="52">
        <f>IF(F160="", "", TEXTJOIN("_", TRUE, F160:O160))&amp;"_MI"</f>
      </c>
      <c r="AH160" s="52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</row>
    <row customHeight="true" hidden="true" ht="19" outlineLevel="2" r="161">
      <c r="A161" s="14" t="str" xml:space="preserve">
        <v> </v>
      </c>
      <c r="B161" s="14" t="str" xml:space="preserve">
        <v> </v>
      </c>
      <c r="C161" s="14" t="str">
        <v>YellowSoil</v>
      </c>
      <c r="D161" s="14"/>
      <c r="E161" s="4"/>
      <c r="F161" s="5"/>
      <c r="G161" s="1"/>
      <c r="H161" s="1"/>
      <c r="I161" s="9"/>
      <c r="J161" s="9"/>
      <c r="K161" s="9"/>
      <c r="L161" s="5"/>
      <c r="M161" s="5"/>
      <c r="N161" s="10"/>
      <c r="O161" s="10"/>
      <c r="P161" s="5"/>
      <c r="Q161" s="1"/>
      <c r="R161" s="1"/>
      <c r="S161" s="9"/>
      <c r="T161" s="1"/>
      <c r="U161" s="1"/>
      <c r="V161" s="5"/>
      <c r="W161" s="5"/>
      <c r="X161" s="9"/>
      <c r="Y161" s="9"/>
      <c r="Z161" s="5"/>
      <c r="AA161" s="5"/>
      <c r="AB161" s="1"/>
      <c r="AC161" s="5"/>
      <c r="AD161" s="1"/>
      <c r="AE161" s="3"/>
      <c r="AF161" s="1" t="str"/>
      <c r="AG161" s="1"/>
      <c r="AH161" s="1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</row>
    <row customHeight="true" hidden="true" ht="19" outlineLevel="3" r="162">
      <c r="A162" s="34" t="str" xml:space="preserve">
        <v> </v>
      </c>
      <c r="B162" s="75" t="str" xml:space="preserve">
        <v> </v>
      </c>
      <c r="C162" s="75" t="str" xml:space="preserve">
        <v> </v>
      </c>
      <c r="D162" s="75"/>
      <c r="E162" s="34">
        <f>IF(F162="", "", TEXTJOIN("_", TRUE, F162:O162))</f>
      </c>
      <c r="F162" s="28" t="str">
        <v>SM</v>
      </c>
      <c r="G162" s="32" t="str">
        <v>TheMine</v>
      </c>
      <c r="H162" s="32" t="str">
        <v>Ground</v>
      </c>
      <c r="I162" s="29"/>
      <c r="J162" s="29" t="str">
        <v>Major</v>
      </c>
      <c r="K162" s="29" t="str">
        <v>YellowSoil</v>
      </c>
      <c r="L162" s="28" t="str">
        <v>C</v>
      </c>
      <c r="M162" s="28" t="str">
        <v>Hollow</v>
      </c>
      <c r="N162" s="33"/>
      <c r="O162" s="33">
        <v>1</v>
      </c>
      <c r="P162" s="28"/>
      <c r="Q162" s="32">
        <f>"World_"&amp;VLOOKUP(G162,'引用列表'!Q:R,2,FALSE)&amp;"_"&amp;G162</f>
      </c>
      <c r="R162" s="32"/>
      <c r="S162" s="29">
        <f>IF(AE162="✅", "/Script/Engine.StaticMesh'/Game/Item/Mesh/Voxel/" &amp; Q162 &amp; "/" &amp; TEXTJOIN("_", TRUE, H162, I162) &amp; "/" &amp; E162 &amp; "." &amp; E162 &amp; "'", "")</f>
      </c>
      <c r="T162" s="32" t="str">
        <v>Close</v>
      </c>
      <c r="U162" s="32" t="str">
        <v>Open</v>
      </c>
      <c r="V162" s="28"/>
      <c r="W162" s="28"/>
      <c r="X162" s="29"/>
      <c r="Y162" s="29"/>
      <c r="Z162" s="28"/>
      <c r="AA162" s="28"/>
      <c r="AB162" s="32" t="b">
        <v>0</v>
      </c>
      <c r="AC162" s="28"/>
      <c r="AD162" s="32"/>
      <c r="AE162" s="74" t="str">
        <v>➖</v>
      </c>
      <c r="AF162" s="32" t="str">
        <v>Ground</v>
      </c>
      <c r="AG162" s="32">
        <f>IF(F162="", "", TEXTJOIN("_", TRUE, F162:O162))&amp;"_MI"</f>
      </c>
      <c r="AH162" s="32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</row>
    <row customHeight="true" hidden="true" ht="19" outlineLevel="3" r="163">
      <c r="A163" s="4" t="str" xml:space="preserve">
        <v> </v>
      </c>
      <c r="B163" s="73" t="str" xml:space="preserve">
        <v> </v>
      </c>
      <c r="C163" s="14" t="str" xml:space="preserve">
        <v> </v>
      </c>
      <c r="D163" s="14"/>
      <c r="E163" s="78">
        <f>IF(F163="", "", TEXTJOIN("_", TRUE, F163:O163))</f>
      </c>
      <c r="F163" s="91" t="str">
        <v>SM</v>
      </c>
      <c r="G163" s="92" t="str">
        <v>TheMine</v>
      </c>
      <c r="H163" s="92" t="str">
        <v>Ground</v>
      </c>
      <c r="I163" s="79"/>
      <c r="J163" s="79" t="str">
        <v>Major</v>
      </c>
      <c r="K163" s="79" t="str">
        <v>YellowSoil</v>
      </c>
      <c r="L163" s="91" t="str">
        <v>C</v>
      </c>
      <c r="M163" s="91" t="str">
        <v>Single</v>
      </c>
      <c r="N163" s="93"/>
      <c r="O163" s="93">
        <v>1</v>
      </c>
      <c r="P163" s="91"/>
      <c r="Q163" s="92">
        <f>"World_"&amp;VLOOKUP(G163,'引用列表'!Q:R,2,FALSE)&amp;"_"&amp;G163</f>
      </c>
      <c r="R163" s="92"/>
      <c r="S163" s="79">
        <f>IF(AE163="✅", "/Script/Engine.StaticMesh'/Game/Item/Mesh/Voxel/" &amp; Q163 &amp; "/" &amp; TEXTJOIN("_", TRUE, H163, I163) &amp; "/" &amp; E163 &amp; "." &amp; E163 &amp; "'", "")</f>
      </c>
      <c r="T163" s="92" t="str">
        <v>Open</v>
      </c>
      <c r="U163" s="92" t="str">
        <v>Open</v>
      </c>
      <c r="V163" s="91"/>
      <c r="W163" s="91"/>
      <c r="X163" s="79"/>
      <c r="Y163" s="79"/>
      <c r="Z163" s="91"/>
      <c r="AA163" s="91"/>
      <c r="AB163" s="92" t="b">
        <v>0</v>
      </c>
      <c r="AC163" s="91"/>
      <c r="AD163" s="92"/>
      <c r="AE163" s="94" t="str">
        <v>➖</v>
      </c>
      <c r="AF163" s="92" t="str">
        <v>Ground</v>
      </c>
      <c r="AG163" s="92">
        <f>IF(F163="", "", TEXTJOIN("_", TRUE, F163:O163))&amp;"_MI"</f>
      </c>
      <c r="AH163" s="92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</row>
    <row customHeight="true" hidden="true" ht="19" outlineLevel="3" r="164">
      <c r="A164" s="88" t="str" xml:space="preserve">
        <v> </v>
      </c>
      <c r="B164" s="89" t="str" xml:space="preserve">
        <v> </v>
      </c>
      <c r="C164" s="89" t="str" xml:space="preserve">
        <v> </v>
      </c>
      <c r="D164" s="89"/>
      <c r="E164" s="88">
        <f>IF(F164="", "", TEXTJOIN("_", TRUE, F164:O164))</f>
      </c>
      <c r="F164" s="65" t="str">
        <v>SM</v>
      </c>
      <c r="G164" s="64" t="str">
        <v>TheMine</v>
      </c>
      <c r="H164" s="64" t="str">
        <v>Ground</v>
      </c>
      <c r="I164" s="66"/>
      <c r="J164" s="66" t="str">
        <v>Major</v>
      </c>
      <c r="K164" s="66" t="str">
        <v>YellowSoil</v>
      </c>
      <c r="L164" s="65" t="str">
        <v>T</v>
      </c>
      <c r="M164" s="65" t="str">
        <v>Single</v>
      </c>
      <c r="N164" s="69"/>
      <c r="O164" s="69">
        <v>1</v>
      </c>
      <c r="P164" s="65"/>
      <c r="Q164" s="64">
        <f>"World_"&amp;VLOOKUP(G164,'引用列表'!Q:R,2,FALSE)&amp;"_"&amp;G164</f>
      </c>
      <c r="R164" s="64"/>
      <c r="S164" s="66">
        <f>IF(AE164="✅", "/Script/Engine.StaticMesh'/Game/Item/Mesh/Voxel/" &amp; Q164 &amp; "/" &amp; TEXTJOIN("_", TRUE, H164, I164) &amp; "/" &amp; E164 &amp; "." &amp; E164 &amp; "'", "")</f>
      </c>
      <c r="T164" s="64" t="str">
        <v>Open</v>
      </c>
      <c r="U164" s="64" t="str">
        <v>Open</v>
      </c>
      <c r="V164" s="65"/>
      <c r="W164" s="65"/>
      <c r="X164" s="66"/>
      <c r="Y164" s="66"/>
      <c r="Z164" s="65"/>
      <c r="AA164" s="65"/>
      <c r="AB164" s="64" t="b">
        <v>0</v>
      </c>
      <c r="AC164" s="65"/>
      <c r="AD164" s="64"/>
      <c r="AE164" s="90" t="str">
        <v>➖</v>
      </c>
      <c r="AF164" s="64" t="str">
        <v>Ground</v>
      </c>
      <c r="AG164" s="64">
        <f>IF(F164="", "", TEXTJOIN("_", TRUE, F164:O164))&amp;"_MI"</f>
      </c>
      <c r="AH164" s="64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</row>
    <row customHeight="true" hidden="true" ht="19" outlineLevel="3" r="165">
      <c r="A165" s="53" t="str" xml:space="preserve">
        <v> </v>
      </c>
      <c r="B165" s="106" t="str" xml:space="preserve">
        <v> </v>
      </c>
      <c r="C165" s="106" t="str" xml:space="preserve">
        <v> </v>
      </c>
      <c r="D165" s="106"/>
      <c r="E165" s="53">
        <f>IF(F165="", "", TEXTJOIN("_", TRUE, F165:O165))</f>
      </c>
      <c r="F165" s="51" t="str">
        <v>SM</v>
      </c>
      <c r="G165" s="52" t="str">
        <v>TheMine</v>
      </c>
      <c r="H165" s="52" t="str">
        <v>Ground</v>
      </c>
      <c r="I165" s="54"/>
      <c r="J165" s="54" t="str">
        <v>Major</v>
      </c>
      <c r="K165" s="54" t="str">
        <v>YellowSoil</v>
      </c>
      <c r="L165" s="51" t="str">
        <v>TR</v>
      </c>
      <c r="M165" s="51" t="str">
        <v>Corner</v>
      </c>
      <c r="N165" s="57"/>
      <c r="O165" s="57">
        <v>1</v>
      </c>
      <c r="P165" s="51"/>
      <c r="Q165" s="52">
        <f>"World_"&amp;VLOOKUP(G165,'引用列表'!Q:R,2,FALSE)&amp;"_"&amp;G165</f>
      </c>
      <c r="R165" s="52"/>
      <c r="S165" s="54">
        <f>IF(AE165="✅", "/Script/Engine.StaticMesh'/Game/Item/Mesh/Voxel/" &amp; Q165 &amp; "/" &amp; TEXTJOIN("_", TRUE, H165, I165) &amp; "/" &amp; E165 &amp; "." &amp; E165 &amp; "'", "")</f>
      </c>
      <c r="T165" s="52" t="str">
        <v>Open</v>
      </c>
      <c r="U165" s="52" t="str">
        <v>Open</v>
      </c>
      <c r="V165" s="51"/>
      <c r="W165" s="51"/>
      <c r="X165" s="54"/>
      <c r="Y165" s="54"/>
      <c r="Z165" s="51"/>
      <c r="AA165" s="51"/>
      <c r="AB165" s="52" t="b">
        <v>0</v>
      </c>
      <c r="AC165" s="51"/>
      <c r="AD165" s="52"/>
      <c r="AE165" s="101" t="str">
        <v>➖</v>
      </c>
      <c r="AF165" s="52" t="str">
        <v>Ground</v>
      </c>
      <c r="AG165" s="52">
        <f>IF(F165="", "", TEXTJOIN("_", TRUE, F165:O165))&amp;"_MI"</f>
      </c>
      <c r="AH165" s="52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</row>
    <row customHeight="true" hidden="true" ht="19" outlineLevel="2" r="166">
      <c r="A166" s="4"/>
      <c r="B166" s="14"/>
      <c r="C166" s="14" t="str">
        <v>RedToYellow</v>
      </c>
      <c r="D166" s="14"/>
      <c r="E166" s="4"/>
      <c r="F166" s="5"/>
      <c r="G166" s="1"/>
      <c r="H166" s="1"/>
      <c r="I166" s="9"/>
      <c r="J166" s="9"/>
      <c r="K166" s="9"/>
      <c r="L166" s="5"/>
      <c r="M166" s="5"/>
      <c r="N166" s="10"/>
      <c r="O166" s="10"/>
      <c r="P166" s="5"/>
      <c r="Q166" s="1"/>
      <c r="R166" s="1"/>
      <c r="S166" s="9"/>
      <c r="T166" s="1"/>
      <c r="U166" s="1"/>
      <c r="V166" s="5"/>
      <c r="W166" s="5"/>
      <c r="X166" s="9"/>
      <c r="Y166" s="9"/>
      <c r="Z166" s="5"/>
      <c r="AA166" s="5"/>
      <c r="AB166" s="1"/>
      <c r="AC166" s="5"/>
      <c r="AD166" s="1"/>
      <c r="AE166" s="3"/>
      <c r="AF166" s="1" t="str"/>
      <c r="AG166" s="1"/>
      <c r="AH166" s="1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</row>
    <row customHeight="true" hidden="true" ht="19" outlineLevel="3" r="167">
      <c r="A167" s="34" t="str" xml:space="preserve">
        <v> </v>
      </c>
      <c r="B167" s="75" t="str" xml:space="preserve">
        <v> </v>
      </c>
      <c r="C167" s="75" t="str" xml:space="preserve">
        <v> </v>
      </c>
      <c r="D167" s="75"/>
      <c r="E167" s="34">
        <f>IF(F167="", "", TEXTJOIN("_", TRUE, F167:O167))</f>
      </c>
      <c r="F167" s="28" t="str">
        <v>SM</v>
      </c>
      <c r="G167" s="32" t="str">
        <v>TheMine</v>
      </c>
      <c r="H167" s="32" t="str">
        <v>Ground</v>
      </c>
      <c r="I167" s="29"/>
      <c r="J167" s="29" t="str">
        <v>Major</v>
      </c>
      <c r="K167" s="29" t="str">
        <v>RedToYellow</v>
      </c>
      <c r="L167" s="28" t="str">
        <v>C</v>
      </c>
      <c r="M167" s="28" t="str">
        <v>Hollow</v>
      </c>
      <c r="N167" s="33"/>
      <c r="O167" s="33">
        <v>1</v>
      </c>
      <c r="P167" s="28"/>
      <c r="Q167" s="32">
        <f>"World_"&amp;VLOOKUP(G167,'引用列表'!Q:R,2,FALSE)&amp;"_"&amp;G167</f>
      </c>
      <c r="R167" s="32"/>
      <c r="S167" s="29">
        <f>IF(AE167="✅", "/Script/Engine.StaticMesh'/Game/Item/Mesh/Voxel/" &amp; Q167 &amp; "/" &amp; TEXTJOIN("_", TRUE, H167, I167) &amp; "/" &amp; E167 &amp; "." &amp; E167 &amp; "'", "")</f>
      </c>
      <c r="T167" s="32" t="str">
        <v>Close</v>
      </c>
      <c r="U167" s="32" t="str">
        <v>Open</v>
      </c>
      <c r="V167" s="28"/>
      <c r="W167" s="28"/>
      <c r="X167" s="29"/>
      <c r="Y167" s="29"/>
      <c r="Z167" s="28"/>
      <c r="AA167" s="28"/>
      <c r="AB167" s="32" t="b">
        <v>0</v>
      </c>
      <c r="AC167" s="28"/>
      <c r="AD167" s="32"/>
      <c r="AE167" s="74" t="str">
        <v>➖</v>
      </c>
      <c r="AF167" s="32" t="str">
        <v>Ground</v>
      </c>
      <c r="AG167" s="32">
        <f>IF(F167="", "", TEXTJOIN("_", TRUE, F167:O167))&amp;"_MI"</f>
      </c>
      <c r="AH167" s="32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</row>
    <row customHeight="true" hidden="true" ht="19" outlineLevel="3" r="168">
      <c r="A168" s="88" t="str" xml:space="preserve">
        <v> </v>
      </c>
      <c r="B168" s="89" t="str" xml:space="preserve">
        <v> </v>
      </c>
      <c r="C168" s="89" t="str" xml:space="preserve">
        <v> </v>
      </c>
      <c r="D168" s="89"/>
      <c r="E168" s="88">
        <f>IF(F168="", "", TEXTJOIN("_", TRUE, F168:O168))</f>
      </c>
      <c r="F168" s="65" t="str">
        <v>SM</v>
      </c>
      <c r="G168" s="64" t="str">
        <v>TheMine</v>
      </c>
      <c r="H168" s="64" t="str">
        <v>Ground</v>
      </c>
      <c r="I168" s="66"/>
      <c r="J168" s="66" t="str">
        <v>Major</v>
      </c>
      <c r="K168" s="66" t="str">
        <v>RedToYellow</v>
      </c>
      <c r="L168" s="65" t="str">
        <v>T</v>
      </c>
      <c r="M168" s="65" t="str">
        <v>Single</v>
      </c>
      <c r="N168" s="69"/>
      <c r="O168" s="69">
        <v>1</v>
      </c>
      <c r="P168" s="65"/>
      <c r="Q168" s="64">
        <f>"World_"&amp;VLOOKUP(G168,'引用列表'!Q:R,2,FALSE)&amp;"_"&amp;G168</f>
      </c>
      <c r="R168" s="64"/>
      <c r="S168" s="66">
        <f>IF(AE168="✅", "/Script/Engine.StaticMesh'/Game/Item/Mesh/Voxel/" &amp; Q168 &amp; "/" &amp; TEXTJOIN("_", TRUE, H168, I168) &amp; "/" &amp; E168 &amp; "." &amp; E168 &amp; "'", "")</f>
      </c>
      <c r="T168" s="64" t="str">
        <v>Open</v>
      </c>
      <c r="U168" s="64" t="str">
        <v>Open</v>
      </c>
      <c r="V168" s="65"/>
      <c r="W168" s="65"/>
      <c r="X168" s="66"/>
      <c r="Y168" s="66"/>
      <c r="Z168" s="65"/>
      <c r="AA168" s="65"/>
      <c r="AB168" s="64" t="b">
        <v>0</v>
      </c>
      <c r="AC168" s="65"/>
      <c r="AD168" s="64"/>
      <c r="AE168" s="90" t="str">
        <v>➖</v>
      </c>
      <c r="AF168" s="64" t="str">
        <v>Ground</v>
      </c>
      <c r="AG168" s="64">
        <f>IF(F168="", "", TEXTJOIN("_", TRUE, F168:O168))&amp;"_MI"</f>
      </c>
      <c r="AH168" s="64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</row>
    <row customHeight="true" hidden="true" ht="19" outlineLevel="3" r="169">
      <c r="A169" s="4" t="str" xml:space="preserve">
        <v> </v>
      </c>
      <c r="B169" s="73" t="str" xml:space="preserve">
        <v> </v>
      </c>
      <c r="C169" s="14" t="str" xml:space="preserve">
        <v> </v>
      </c>
      <c r="D169" s="14"/>
      <c r="E169" s="78">
        <f>IF(F169="", "", TEXTJOIN("_", TRUE, F169:O169))</f>
      </c>
      <c r="F169" s="91" t="str">
        <v>SM</v>
      </c>
      <c r="G169" s="92" t="str">
        <v>TheMine</v>
      </c>
      <c r="H169" s="92" t="str">
        <v>Ground</v>
      </c>
      <c r="I169" s="79"/>
      <c r="J169" s="79" t="str">
        <v>Major</v>
      </c>
      <c r="K169" s="79" t="str">
        <v>RedToYellow</v>
      </c>
      <c r="L169" s="91" t="str">
        <v>BR</v>
      </c>
      <c r="M169" s="91" t="str">
        <v>Hollow</v>
      </c>
      <c r="N169" s="93"/>
      <c r="O169" s="93">
        <v>1</v>
      </c>
      <c r="P169" s="91"/>
      <c r="Q169" s="92">
        <f>"World_"&amp;VLOOKUP(G169,'引用列表'!Q:R,2,FALSE)&amp;"_"&amp;G169</f>
      </c>
      <c r="R169" s="92"/>
      <c r="S169" s="79">
        <f>IF(AE169="✅", "/Script/Engine.StaticMesh'/Game/Item/Mesh/Voxel/" &amp; Q169 &amp; "/" &amp; TEXTJOIN("_", TRUE, H169, I169) &amp; "/" &amp; E169 &amp; "." &amp; E169 &amp; "'", "")</f>
      </c>
      <c r="T169" s="92" t="str">
        <v>Open</v>
      </c>
      <c r="U169" s="92" t="str">
        <v>Open</v>
      </c>
      <c r="V169" s="91"/>
      <c r="W169" s="91"/>
      <c r="X169" s="79"/>
      <c r="Y169" s="79"/>
      <c r="Z169" s="91"/>
      <c r="AA169" s="91"/>
      <c r="AB169" s="92" t="b">
        <v>0</v>
      </c>
      <c r="AC169" s="91"/>
      <c r="AD169" s="92"/>
      <c r="AE169" s="94" t="str">
        <v>➖</v>
      </c>
      <c r="AF169" s="92" t="str">
        <v>Ground</v>
      </c>
      <c r="AG169" s="92">
        <f>IF(F169="", "", TEXTJOIN("_", TRUE, F169:O169))&amp;"_MI"</f>
      </c>
      <c r="AH169" s="92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</row>
    <row customHeight="true" ht="19" outlineLevel="1" r="170">
      <c r="A170" s="14"/>
      <c r="B170" s="14" t="str">
        <v>GroundLine</v>
      </c>
      <c r="C170" s="14"/>
      <c r="D170" s="14"/>
      <c r="E170" s="4"/>
      <c r="F170" s="9"/>
      <c r="G170" s="4"/>
      <c r="H170" s="4"/>
      <c r="I170" s="9"/>
      <c r="J170" s="27"/>
      <c r="K170" s="27"/>
      <c r="L170" s="9"/>
      <c r="M170" s="9"/>
      <c r="N170" s="27"/>
      <c r="O170" s="27"/>
      <c r="P170" s="9"/>
      <c r="Q170" s="4"/>
      <c r="R170" s="4"/>
      <c r="S170" s="9"/>
      <c r="T170" s="4"/>
      <c r="U170" s="4"/>
      <c r="V170" s="9"/>
      <c r="W170" s="9"/>
      <c r="X170" s="9"/>
      <c r="Y170" s="9"/>
      <c r="Z170" s="9"/>
      <c r="AA170" s="9"/>
      <c r="AB170" s="4"/>
      <c r="AC170" s="9"/>
      <c r="AD170" s="4"/>
      <c r="AE170" s="2"/>
      <c r="AF170" s="4" t="str"/>
      <c r="AG170" s="4"/>
      <c r="AH170" s="4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</row>
    <row customHeight="true" ht="19" outlineLevel="2" r="171">
      <c r="A171" s="14"/>
      <c r="B171" s="14"/>
      <c r="C171" s="14" t="str">
        <v>YellowSoil</v>
      </c>
      <c r="D171" s="14"/>
      <c r="E171" s="4"/>
      <c r="F171" s="9"/>
      <c r="G171" s="4"/>
      <c r="H171" s="4"/>
      <c r="I171" s="9"/>
      <c r="J171" s="27"/>
      <c r="K171" s="27"/>
      <c r="L171" s="9"/>
      <c r="M171" s="9"/>
      <c r="N171" s="27"/>
      <c r="O171" s="27"/>
      <c r="P171" s="9"/>
      <c r="Q171" s="4"/>
      <c r="R171" s="4"/>
      <c r="S171" s="9"/>
      <c r="T171" s="4"/>
      <c r="U171" s="4"/>
      <c r="V171" s="9"/>
      <c r="W171" s="9"/>
      <c r="X171" s="9"/>
      <c r="Y171" s="9"/>
      <c r="Z171" s="9"/>
      <c r="AA171" s="9"/>
      <c r="AB171" s="4"/>
      <c r="AC171" s="9"/>
      <c r="AD171" s="4"/>
      <c r="AE171" s="2"/>
      <c r="AF171" s="4" t="str"/>
      <c r="AG171" s="4"/>
      <c r="AH171" s="4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</row>
    <row customHeight="true" ht="19" outlineLevel="3" r="172">
      <c r="A172" s="4" t="str" xml:space="preserve">
        <v> </v>
      </c>
      <c r="B172" s="14"/>
      <c r="C172" s="14"/>
      <c r="D172" s="14"/>
      <c r="E172" s="71">
        <f>IF(F172="", "", TEXTJOIN("_", TRUE, F172:O172))</f>
      </c>
      <c r="F172" s="60" t="str">
        <v>SM</v>
      </c>
      <c r="G172" s="61" t="str">
        <v>TheMine</v>
      </c>
      <c r="H172" s="61" t="str">
        <v>GroundLine</v>
      </c>
      <c r="I172" s="60"/>
      <c r="J172" s="58" t="str">
        <v>Major</v>
      </c>
      <c r="K172" s="60" t="str">
        <v>YellowSoil</v>
      </c>
      <c r="L172" s="60" t="str">
        <v>B</v>
      </c>
      <c r="M172" s="60"/>
      <c r="N172" s="60"/>
      <c r="O172" s="63">
        <v>1</v>
      </c>
      <c r="P172" s="60"/>
      <c r="Q172" s="61">
        <f>"World_"&amp;VLOOKUP(G172,'引用列表'!Q:R,2,FALSE)&amp;"_"&amp;G172</f>
      </c>
      <c r="R172" s="61"/>
      <c r="S172" s="62">
        <f>IF(AE172="✅", "/Script/Engine.StaticMesh'/Game/Item/Mesh/Voxel/" &amp; Q172 &amp; "/" &amp; TEXTJOIN("_", TRUE, H172, I172) &amp; "/" &amp; E172 &amp; "." &amp; E172 &amp; "'", "")</f>
      </c>
      <c r="T172" s="60" t="str">
        <v>Close</v>
      </c>
      <c r="U172" s="60" t="str">
        <v>Open</v>
      </c>
      <c r="V172" s="60"/>
      <c r="W172" s="60"/>
      <c r="X172" s="60"/>
      <c r="Y172" s="60" t="str">
        <v>YellowSoil</v>
      </c>
      <c r="Z172" s="60"/>
      <c r="AA172" s="60"/>
      <c r="AB172" s="61" t="b">
        <v>0</v>
      </c>
      <c r="AC172" s="60"/>
      <c r="AD172" s="71" t="str">
        <v>GroundLine</v>
      </c>
      <c r="AE172" s="59" t="str">
        <v>✅</v>
      </c>
      <c r="AF172" s="71" t="str">
        <v>GroundLine</v>
      </c>
      <c r="AG172" s="61"/>
      <c r="AH172" s="61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</row>
    <row customHeight="true" ht="19" outlineLevel="3" r="173">
      <c r="A173" s="4" t="str" xml:space="preserve">
        <v> </v>
      </c>
      <c r="B173" s="14"/>
      <c r="C173" s="14"/>
      <c r="D173" s="14"/>
      <c r="E173" s="71">
        <f>IF(F173="", "", TEXTJOIN("_", TRUE, F173:O173))</f>
      </c>
      <c r="F173" s="60" t="str">
        <v>SM</v>
      </c>
      <c r="G173" s="61" t="str">
        <v>TheMine</v>
      </c>
      <c r="H173" s="61" t="str">
        <v>GroundLine</v>
      </c>
      <c r="I173" s="60"/>
      <c r="J173" s="58" t="str">
        <v>Major</v>
      </c>
      <c r="K173" s="60" t="str">
        <v>YellowSoil</v>
      </c>
      <c r="L173" s="60" t="str">
        <v>C</v>
      </c>
      <c r="M173" s="60"/>
      <c r="N173" s="60"/>
      <c r="O173" s="63">
        <v>1</v>
      </c>
      <c r="P173" s="60"/>
      <c r="Q173" s="61">
        <f>"World_"&amp;VLOOKUP(G173,'引用列表'!Q:R,2,FALSE)&amp;"_"&amp;G173</f>
      </c>
      <c r="R173" s="61"/>
      <c r="S173" s="62">
        <f>IF(AE173="✅", "/Script/Engine.StaticMesh'/Game/Item/Mesh/Voxel/" &amp; Q173 &amp; "/" &amp; TEXTJOIN("_", TRUE, H173, I173) &amp; "/" &amp; E173 &amp; "." &amp; E173 &amp; "'", "")</f>
      </c>
      <c r="T173" s="60" t="str">
        <v>Open</v>
      </c>
      <c r="U173" s="62" t="str">
        <v>Open</v>
      </c>
      <c r="V173" s="60"/>
      <c r="W173" s="60"/>
      <c r="X173" s="60" t="str">
        <v>YellowSoil</v>
      </c>
      <c r="Y173" s="60" t="str">
        <v>YellowSoil</v>
      </c>
      <c r="Z173" s="60"/>
      <c r="AA173" s="60"/>
      <c r="AB173" s="61" t="b">
        <v>0</v>
      </c>
      <c r="AC173" s="60"/>
      <c r="AD173" s="71" t="str">
        <v>GroundLine,StartHole,CheckHole,EndHole</v>
      </c>
      <c r="AE173" s="59" t="str">
        <v>✅</v>
      </c>
      <c r="AF173" s="71" t="str">
        <v>GroundLine</v>
      </c>
      <c r="AG173" s="61"/>
      <c r="AH173" s="61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</row>
    <row customHeight="true" ht="19" outlineLevel="3" r="174">
      <c r="A174" s="4" t="str" xml:space="preserve">
        <v> </v>
      </c>
      <c r="B174" s="14"/>
      <c r="C174" s="14"/>
      <c r="D174" s="14"/>
      <c r="E174" s="71">
        <f>IF(F174="", "", TEXTJOIN("_", TRUE, F174:O174))</f>
      </c>
      <c r="F174" s="60" t="str">
        <v>SM</v>
      </c>
      <c r="G174" s="61" t="str">
        <v>TheMine</v>
      </c>
      <c r="H174" s="61" t="str">
        <v>GroundLine</v>
      </c>
      <c r="I174" s="60"/>
      <c r="J174" s="58" t="str">
        <v>Major</v>
      </c>
      <c r="K174" s="60" t="str">
        <v>YellowSoil</v>
      </c>
      <c r="L174" s="60" t="str">
        <v>T</v>
      </c>
      <c r="M174" s="60"/>
      <c r="N174" s="60"/>
      <c r="O174" s="63">
        <v>1</v>
      </c>
      <c r="P174" s="60"/>
      <c r="Q174" s="61">
        <f>"World_"&amp;VLOOKUP(G174,'引用列表'!Q:R,2,FALSE)&amp;"_"&amp;G174</f>
      </c>
      <c r="R174" s="61"/>
      <c r="S174" s="62">
        <f>IF(AE174="✅", "/Script/Engine.StaticMesh'/Game/Item/Mesh/Voxel/" &amp; Q174 &amp; "/" &amp; TEXTJOIN("_", TRUE, H174, I174) &amp; "/" &amp; E174 &amp; "." &amp; E174 &amp; "'", "")</f>
      </c>
      <c r="T174" s="60" t="str">
        <v>Open</v>
      </c>
      <c r="U174" s="60" t="str">
        <v>Close</v>
      </c>
      <c r="V174" s="60"/>
      <c r="W174" s="60"/>
      <c r="X174" s="60" t="str">
        <v>YellowSoil</v>
      </c>
      <c r="Y174" s="60"/>
      <c r="Z174" s="60"/>
      <c r="AA174" s="60"/>
      <c r="AB174" s="61" t="b">
        <v>1</v>
      </c>
      <c r="AC174" s="60"/>
      <c r="AD174" s="71" t="str">
        <v>GroundLine,StartHole,CheckHole,EndHole</v>
      </c>
      <c r="AE174" s="59" t="str">
        <v>✅</v>
      </c>
      <c r="AF174" s="71" t="str">
        <v>GroundLine</v>
      </c>
      <c r="AG174" s="61"/>
      <c r="AH174" s="61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</row>
    <row customHeight="true" ht="19" outlineLevel="2" r="175">
      <c r="A175" s="4"/>
      <c r="B175" s="14"/>
      <c r="C175" s="14" t="str">
        <v>YellowSoilCaved</v>
      </c>
      <c r="D175" s="14"/>
      <c r="E175" s="4"/>
      <c r="F175" s="5"/>
      <c r="G175" s="1"/>
      <c r="H175" s="1"/>
      <c r="I175" s="5"/>
      <c r="J175" s="27"/>
      <c r="K175" s="5"/>
      <c r="L175" s="5"/>
      <c r="M175" s="5"/>
      <c r="N175" s="5"/>
      <c r="O175" s="10"/>
      <c r="P175" s="5"/>
      <c r="Q175" s="1"/>
      <c r="R175" s="1"/>
      <c r="S175" s="9">
        <f>IF(AE175="✅", "/Script/Engine.StaticMesh'/Game/Item/Mesh/Voxel/" &amp; Q175 &amp; "/" &amp; TEXTJOIN("_", TRUE, H175, I175) &amp; "/" &amp; E175 &amp; "." &amp; E175 &amp; "'", "")</f>
      </c>
      <c r="T175" s="5"/>
      <c r="U175" s="5"/>
      <c r="V175" s="5"/>
      <c r="W175" s="5"/>
      <c r="X175" s="5"/>
      <c r="Y175" s="5"/>
      <c r="Z175" s="5"/>
      <c r="AA175" s="5"/>
      <c r="AB175" s="1"/>
      <c r="AC175" s="5"/>
      <c r="AD175" s="1"/>
      <c r="AE175" s="3"/>
      <c r="AF175" s="1" t="str"/>
      <c r="AG175" s="1"/>
      <c r="AH175" s="1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</row>
    <row customHeight="true" ht="19" outlineLevel="3" r="176">
      <c r="A176" s="4" t="str" xml:space="preserve">
        <v> </v>
      </c>
      <c r="B176" s="14"/>
      <c r="C176" s="14"/>
      <c r="D176" s="14"/>
      <c r="E176" s="25">
        <f>IF(F176="", "", TEXTJOIN("_", TRUE, F176:O176))</f>
      </c>
      <c r="F176" s="19" t="str">
        <v>SM</v>
      </c>
      <c r="G176" s="25" t="str">
        <v>TheMine</v>
      </c>
      <c r="H176" s="20" t="str">
        <v>GroundLine</v>
      </c>
      <c r="I176" s="19" t="str">
        <v>Caved</v>
      </c>
      <c r="J176" s="23" t="str">
        <v>Major</v>
      </c>
      <c r="K176" s="19" t="str">
        <v>YellowSoil</v>
      </c>
      <c r="L176" s="19" t="str">
        <v>B</v>
      </c>
      <c r="M176" s="19"/>
      <c r="N176" s="19"/>
      <c r="O176" s="23">
        <v>1</v>
      </c>
      <c r="P176" s="19"/>
      <c r="Q176" s="25">
        <f>"World_"&amp;VLOOKUP(G176,'引用列表'!Q:R,2,FALSE)&amp;"_"&amp;G176</f>
      </c>
      <c r="R176" s="25"/>
      <c r="S176" s="19">
        <f>IF(AE176="✅", "/Script/Engine.StaticMesh'/Game/Item/Mesh/Voxel/" &amp; Q176 &amp; "/" &amp; TEXTJOIN("_", TRUE, H176, I176) &amp; "/" &amp; E176 &amp; "." &amp; E176 &amp; "'", "")</f>
      </c>
      <c r="T176" s="25" t="str">
        <v>Close</v>
      </c>
      <c r="U176" s="19" t="str">
        <v>Open</v>
      </c>
      <c r="V176" s="19"/>
      <c r="W176" s="19"/>
      <c r="X176" s="19"/>
      <c r="Y176" s="19" t="str">
        <v>YellowSoilCave</v>
      </c>
      <c r="Z176" s="19"/>
      <c r="AA176" s="19"/>
      <c r="AB176" s="25" t="b">
        <v>0</v>
      </c>
      <c r="AC176" s="19"/>
      <c r="AD176" s="20" t="str">
        <v>GroundLine_Caved</v>
      </c>
      <c r="AE176" s="95" t="str">
        <v>✅</v>
      </c>
      <c r="AF176" s="20" t="str">
        <v>GroundLine_Caved</v>
      </c>
      <c r="AG176" s="25"/>
      <c r="AH176" s="25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</row>
    <row customHeight="true" ht="19" outlineLevel="3" r="177">
      <c r="A177" s="4" t="str" xml:space="preserve">
        <v> </v>
      </c>
      <c r="B177" s="14"/>
      <c r="C177" s="14"/>
      <c r="D177" s="14"/>
      <c r="E177" s="25">
        <f>IF(F177="", "", TEXTJOIN("_", TRUE, F177:O177))</f>
      </c>
      <c r="F177" s="19" t="str">
        <v>SM</v>
      </c>
      <c r="G177" s="25" t="str">
        <v>TheMine</v>
      </c>
      <c r="H177" s="20" t="str">
        <v>GroundLine</v>
      </c>
      <c r="I177" s="19" t="str">
        <v>Caved</v>
      </c>
      <c r="J177" s="23" t="str">
        <v>Major</v>
      </c>
      <c r="K177" s="19" t="str">
        <v>YellowSoil</v>
      </c>
      <c r="L177" s="19" t="str">
        <v>C</v>
      </c>
      <c r="M177" s="19"/>
      <c r="N177" s="19"/>
      <c r="O177" s="23">
        <v>1</v>
      </c>
      <c r="P177" s="19"/>
      <c r="Q177" s="25">
        <f>"World_"&amp;VLOOKUP(G177,'引用列表'!Q:R,2,FALSE)&amp;"_"&amp;G177</f>
      </c>
      <c r="R177" s="25"/>
      <c r="S177" s="19">
        <f>IF(AE177="✅", "/Script/Engine.StaticMesh'/Game/Item/Mesh/Voxel/" &amp; Q177 &amp; "/" &amp; TEXTJOIN("_", TRUE, H177, I177) &amp; "/" &amp; E177 &amp; "." &amp; E177 &amp; "'", "")</f>
      </c>
      <c r="T177" s="19" t="str">
        <v>Open</v>
      </c>
      <c r="U177" s="19" t="str">
        <v>Open</v>
      </c>
      <c r="V177" s="19"/>
      <c r="W177" s="19"/>
      <c r="X177" s="19" t="str">
        <v>YellowSoilCave</v>
      </c>
      <c r="Y177" s="19" t="str">
        <v>YellowSoilCave</v>
      </c>
      <c r="Z177" s="19"/>
      <c r="AA177" s="19"/>
      <c r="AB177" s="25" t="b">
        <v>0</v>
      </c>
      <c r="AC177" s="19"/>
      <c r="AD177" s="20" t="str">
        <v>GroundLine_Caved</v>
      </c>
      <c r="AE177" s="95" t="str">
        <v>✅</v>
      </c>
      <c r="AF177" s="20" t="str">
        <v>GroundLine_Caved</v>
      </c>
      <c r="AG177" s="25"/>
      <c r="AH177" s="25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</row>
    <row customHeight="true" ht="19" outlineLevel="3" r="178">
      <c r="A178" s="4" t="str" xml:space="preserve">
        <v> </v>
      </c>
      <c r="B178" s="14"/>
      <c r="C178" s="14"/>
      <c r="D178" s="14"/>
      <c r="E178" s="25">
        <f>IF(F178="", "", TEXTJOIN("_", TRUE, F178:O178))</f>
      </c>
      <c r="F178" s="19" t="str">
        <v>SM</v>
      </c>
      <c r="G178" s="25" t="str">
        <v>TheMine</v>
      </c>
      <c r="H178" s="20" t="str">
        <v>GroundLine</v>
      </c>
      <c r="I178" s="19" t="str">
        <v>Caved</v>
      </c>
      <c r="J178" s="23" t="str">
        <v>Major</v>
      </c>
      <c r="K178" s="19" t="str">
        <v>YellowSoil</v>
      </c>
      <c r="L178" s="19" t="str">
        <v>T</v>
      </c>
      <c r="M178" s="19"/>
      <c r="N178" s="19"/>
      <c r="O178" s="23">
        <v>1</v>
      </c>
      <c r="P178" s="19"/>
      <c r="Q178" s="25">
        <f>"World_"&amp;VLOOKUP(G178,'引用列表'!Q:R,2,FALSE)&amp;"_"&amp;G178</f>
      </c>
      <c r="R178" s="25"/>
      <c r="S178" s="19">
        <f>IF(AE178="✅", "/Script/Engine.StaticMesh'/Game/Item/Mesh/Voxel/" &amp; Q178 &amp; "/" &amp; TEXTJOIN("_", TRUE, H178, I178) &amp; "/" &amp; E178 &amp; "." &amp; E178 &amp; "'", "")</f>
      </c>
      <c r="T178" s="19" t="str">
        <v>Open</v>
      </c>
      <c r="U178" s="25" t="str">
        <v>Close</v>
      </c>
      <c r="V178" s="19"/>
      <c r="W178" s="19"/>
      <c r="X178" s="19" t="str">
        <v>YellowSoilCave</v>
      </c>
      <c r="Y178" s="19"/>
      <c r="Z178" s="19"/>
      <c r="AA178" s="19"/>
      <c r="AB178" s="25" t="b">
        <v>1</v>
      </c>
      <c r="AC178" s="19"/>
      <c r="AD178" s="20" t="str">
        <v>GroundLine_Caved</v>
      </c>
      <c r="AE178" s="95" t="str">
        <v>✅</v>
      </c>
      <c r="AF178" s="20" t="str">
        <v>GroundLine_Caved</v>
      </c>
      <c r="AG178" s="25"/>
      <c r="AH178" s="25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</row>
    <row customHeight="true" ht="19" outlineLevel="1" r="179">
      <c r="A179" s="14"/>
      <c r="B179" s="14" t="str">
        <v>StartHole</v>
      </c>
      <c r="C179" s="14"/>
      <c r="D179" s="14"/>
      <c r="E179" s="4"/>
      <c r="F179" s="9"/>
      <c r="G179" s="4"/>
      <c r="H179" s="4"/>
      <c r="I179" s="9"/>
      <c r="J179" s="27"/>
      <c r="K179" s="27"/>
      <c r="L179" s="9"/>
      <c r="M179" s="9"/>
      <c r="N179" s="27"/>
      <c r="O179" s="27"/>
      <c r="P179" s="9"/>
      <c r="Q179" s="4"/>
      <c r="R179" s="4"/>
      <c r="S179" s="9"/>
      <c r="T179" s="4"/>
      <c r="U179" s="4"/>
      <c r="V179" s="9"/>
      <c r="W179" s="9"/>
      <c r="X179" s="9"/>
      <c r="Y179" s="9"/>
      <c r="Z179" s="9"/>
      <c r="AA179" s="9"/>
      <c r="AB179" s="4"/>
      <c r="AC179" s="9"/>
      <c r="AD179" s="4"/>
      <c r="AE179" s="2"/>
      <c r="AF179" s="4" t="str"/>
      <c r="AG179" s="4"/>
      <c r="AH179" s="4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</row>
    <row customHeight="true" ht="19" outlineLevel="2" r="180">
      <c r="A180" s="14"/>
      <c r="B180" s="14"/>
      <c r="C180" s="14" t="str">
        <v>ResSoil</v>
      </c>
      <c r="D180" s="14"/>
      <c r="E180" s="4"/>
      <c r="F180" s="9"/>
      <c r="G180" s="4"/>
      <c r="H180" s="4"/>
      <c r="I180" s="9"/>
      <c r="J180" s="27"/>
      <c r="K180" s="27"/>
      <c r="L180" s="9"/>
      <c r="M180" s="9"/>
      <c r="N180" s="27"/>
      <c r="O180" s="27"/>
      <c r="P180" s="9"/>
      <c r="Q180" s="4"/>
      <c r="R180" s="4"/>
      <c r="S180" s="9"/>
      <c r="T180" s="4"/>
      <c r="U180" s="4"/>
      <c r="V180" s="9"/>
      <c r="W180" s="9"/>
      <c r="X180" s="9"/>
      <c r="Y180" s="9"/>
      <c r="Z180" s="9"/>
      <c r="AA180" s="9"/>
      <c r="AB180" s="4"/>
      <c r="AC180" s="9"/>
      <c r="AD180" s="4"/>
      <c r="AE180" s="2"/>
      <c r="AF180" s="4" t="str"/>
      <c r="AG180" s="4"/>
      <c r="AH180" s="4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</row>
    <row customHeight="true" ht="19" outlineLevel="2" r="181">
      <c r="A181" s="4" t="str" xml:space="preserve">
        <v> </v>
      </c>
      <c r="B181" s="14" t="str" xml:space="preserve">
        <v> </v>
      </c>
      <c r="C181" s="14" t="str" xml:space="preserve">
        <v> </v>
      </c>
      <c r="D181" s="14"/>
      <c r="E181" s="71">
        <f>IF(F181="", "", TEXTJOIN("_", TRUE, F181:O181))</f>
      </c>
      <c r="F181" s="62" t="str">
        <v>SM</v>
      </c>
      <c r="G181" s="71" t="str">
        <v>TheMine</v>
      </c>
      <c r="H181" s="71" t="str">
        <v>StartHole</v>
      </c>
      <c r="I181" s="62"/>
      <c r="J181" s="58" t="str">
        <v>Major</v>
      </c>
      <c r="K181" s="58" t="str">
        <v>RedSoil</v>
      </c>
      <c r="L181" s="62" t="str">
        <v>B</v>
      </c>
      <c r="M181" s="62"/>
      <c r="N181" s="58"/>
      <c r="O181" s="58">
        <v>1</v>
      </c>
      <c r="P181" s="62"/>
      <c r="Q181" s="71">
        <f>"World_"&amp;VLOOKUP(G181,'引用列表'!Q:R,2,FALSE)&amp;"_"&amp;G181</f>
      </c>
      <c r="R181" s="71"/>
      <c r="S181" s="62">
        <f>IF(AE181="✅", "/Script/Engine.StaticMesh'/Game/Item/Mesh/Voxel/" &amp; Q181 &amp; "/" &amp; TEXTJOIN("_", TRUE, H181, I181) &amp; "/" &amp; E181 &amp; "." &amp; E181 &amp; "'", "")</f>
      </c>
      <c r="T181" s="71" t="str">
        <v>Close</v>
      </c>
      <c r="U181" s="71" t="str">
        <v>StartHole1</v>
      </c>
      <c r="V181" s="62"/>
      <c r="W181" s="62"/>
      <c r="X181" s="62"/>
      <c r="Y181" s="62" t="str">
        <v>RedSoil</v>
      </c>
      <c r="Z181" s="62"/>
      <c r="AA181" s="62"/>
      <c r="AB181" s="71" t="b">
        <v>0</v>
      </c>
      <c r="AC181" s="62"/>
      <c r="AD181" s="71" t="str">
        <v>StartHole,CheckHole,EndHole</v>
      </c>
      <c r="AE181" s="59" t="str">
        <v>✅</v>
      </c>
      <c r="AF181" s="71" t="str">
        <v>StartHole</v>
      </c>
      <c r="AG181" s="71"/>
      <c r="AH181" s="71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</row>
    <row customHeight="true" ht="19" outlineLevel="2" r="182">
      <c r="A182" s="14"/>
      <c r="B182" s="14"/>
      <c r="C182" s="14" t="str">
        <v>RedToYellow</v>
      </c>
      <c r="D182" s="14"/>
      <c r="E182" s="4"/>
      <c r="F182" s="9"/>
      <c r="G182" s="4"/>
      <c r="H182" s="4"/>
      <c r="I182" s="9"/>
      <c r="J182" s="27"/>
      <c r="K182" s="27"/>
      <c r="L182" s="9"/>
      <c r="M182" s="9"/>
      <c r="N182" s="27"/>
      <c r="O182" s="27"/>
      <c r="P182" s="9"/>
      <c r="Q182" s="4"/>
      <c r="R182" s="4"/>
      <c r="S182" s="9"/>
      <c r="T182" s="4"/>
      <c r="U182" s="4"/>
      <c r="V182" s="9"/>
      <c r="W182" s="9"/>
      <c r="X182" s="9"/>
      <c r="Y182" s="9"/>
      <c r="Z182" s="9"/>
      <c r="AA182" s="9"/>
      <c r="AB182" s="4"/>
      <c r="AC182" s="9"/>
      <c r="AD182" s="4"/>
      <c r="AE182" s="2"/>
      <c r="AF182" s="4" t="str"/>
      <c r="AG182" s="4"/>
      <c r="AH182" s="4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</row>
    <row customHeight="true" ht="19" outlineLevel="3" r="183">
      <c r="A183" s="4" t="str" xml:space="preserve">
        <v> </v>
      </c>
      <c r="B183" s="14" t="str" xml:space="preserve">
        <v> </v>
      </c>
      <c r="C183" s="14" t="str" xml:space="preserve">
        <v> </v>
      </c>
      <c r="D183" s="14"/>
      <c r="E183" s="71">
        <f>IF(F183="", "", TEXTJOIN("_", TRUE, F183:O183))</f>
      </c>
      <c r="F183" s="60" t="str">
        <v>SM</v>
      </c>
      <c r="G183" s="61" t="str">
        <v>TheMine</v>
      </c>
      <c r="H183" s="61" t="str">
        <v>StartHole</v>
      </c>
      <c r="I183" s="60"/>
      <c r="J183" s="58" t="str">
        <v>Major</v>
      </c>
      <c r="K183" s="60" t="str">
        <v>RedToYellow</v>
      </c>
      <c r="L183" s="60" t="str">
        <v>C</v>
      </c>
      <c r="M183" s="60"/>
      <c r="N183" s="60"/>
      <c r="O183" s="63">
        <v>2</v>
      </c>
      <c r="P183" s="60"/>
      <c r="Q183" s="61">
        <f>"World_"&amp;VLOOKUP(G183,'引用列表'!Q:R,2,FALSE)&amp;"_"&amp;G183</f>
      </c>
      <c r="R183" s="61"/>
      <c r="S183" s="62">
        <f>IF(AE183="✅", "/Script/Engine.StaticMesh'/Game/Item/Mesh/Voxel/" &amp; Q183 &amp; "/" &amp; TEXTJOIN("_", TRUE, H183, I183) &amp; "/" &amp; E183 &amp; "." &amp; E183 &amp; "'", "")</f>
      </c>
      <c r="T183" s="61" t="str">
        <v>StartHole1</v>
      </c>
      <c r="U183" s="61" t="str">
        <v>StartHole2</v>
      </c>
      <c r="V183" s="60"/>
      <c r="W183" s="60"/>
      <c r="X183" s="62" t="str">
        <v>RedSoil</v>
      </c>
      <c r="Y183" s="62" t="str">
        <v>YellowSoil</v>
      </c>
      <c r="Z183" s="60"/>
      <c r="AA183" s="60"/>
      <c r="AB183" s="61" t="b">
        <v>0</v>
      </c>
      <c r="AC183" s="60"/>
      <c r="AD183" s="61" t="str">
        <v>StartHole,CheckHole,EndHole</v>
      </c>
      <c r="AE183" s="87" t="str">
        <v>✅</v>
      </c>
      <c r="AF183" s="61" t="str">
        <v>StartHole</v>
      </c>
      <c r="AG183" s="61"/>
      <c r="AH183" s="61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</row>
    <row customHeight="true" ht="19" outlineLevel="2" r="184">
      <c r="A184" s="14"/>
      <c r="B184" s="14"/>
      <c r="C184" s="14" t="str">
        <v>YellowSoil</v>
      </c>
      <c r="D184" s="14"/>
      <c r="E184" s="4"/>
      <c r="F184" s="9"/>
      <c r="G184" s="4"/>
      <c r="H184" s="4"/>
      <c r="I184" s="9"/>
      <c r="J184" s="27"/>
      <c r="K184" s="27"/>
      <c r="L184" s="9"/>
      <c r="M184" s="9"/>
      <c r="N184" s="27"/>
      <c r="O184" s="27"/>
      <c r="P184" s="9"/>
      <c r="Q184" s="4"/>
      <c r="R184" s="4"/>
      <c r="S184" s="9"/>
      <c r="T184" s="4"/>
      <c r="U184" s="4"/>
      <c r="V184" s="9"/>
      <c r="W184" s="9"/>
      <c r="X184" s="9"/>
      <c r="Y184" s="9"/>
      <c r="Z184" s="9"/>
      <c r="AA184" s="9"/>
      <c r="AB184" s="4"/>
      <c r="AC184" s="9"/>
      <c r="AD184" s="4"/>
      <c r="AE184" s="2"/>
      <c r="AF184" s="4" t="str"/>
      <c r="AG184" s="4"/>
      <c r="AH184" s="4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</row>
    <row customHeight="true" ht="19" outlineLevel="3" r="185">
      <c r="A185" s="48" t="str" xml:space="preserve">
        <v> </v>
      </c>
      <c r="B185" s="76" t="str" xml:space="preserve">
        <v> </v>
      </c>
      <c r="C185" s="76" t="str" xml:space="preserve">
        <v> </v>
      </c>
      <c r="D185" s="76"/>
      <c r="E185" s="48">
        <f>IF(F185="", "", TEXTJOIN("_", TRUE, F185:O185))</f>
      </c>
      <c r="F185" s="42" t="str">
        <v>SM</v>
      </c>
      <c r="G185" s="43" t="str">
        <v>TheMine</v>
      </c>
      <c r="H185" s="43" t="str">
        <v>StartHole</v>
      </c>
      <c r="I185" s="42"/>
      <c r="J185" s="44" t="str">
        <v>Major</v>
      </c>
      <c r="K185" s="42" t="str">
        <v>YellowSoil</v>
      </c>
      <c r="L185" s="42" t="str">
        <v>C</v>
      </c>
      <c r="M185" s="42"/>
      <c r="N185" s="42"/>
      <c r="O185" s="45">
        <v>3</v>
      </c>
      <c r="P185" s="42"/>
      <c r="Q185" s="43">
        <f>"World_"&amp;VLOOKUP(G185,'引用列表'!Q:R,2,FALSE)&amp;"_"&amp;G185</f>
      </c>
      <c r="R185" s="43"/>
      <c r="S185" s="47">
        <f>IF(AE185="✅", "/Script/Engine.StaticMesh'/Game/Item/Mesh/Voxel/" &amp; Q185 &amp; "/" &amp; TEXTJOIN("_", TRUE, H185, I185) &amp; "/" &amp; E185 &amp; "." &amp; E185 &amp; "'", "")</f>
      </c>
      <c r="T185" s="43" t="str">
        <v>StartHole2</v>
      </c>
      <c r="U185" s="43" t="str">
        <v>StartHole3</v>
      </c>
      <c r="V185" s="42"/>
      <c r="W185" s="42"/>
      <c r="X185" s="47" t="str">
        <v>YellowSoil</v>
      </c>
      <c r="Y185" s="47" t="str">
        <v>YellowSoil</v>
      </c>
      <c r="Z185" s="42"/>
      <c r="AA185" s="42"/>
      <c r="AB185" s="43" t="b">
        <v>0</v>
      </c>
      <c r="AC185" s="42"/>
      <c r="AD185" s="43" t="str">
        <v>StartHole,CheckHole</v>
      </c>
      <c r="AE185" s="77" t="str">
        <v>✅</v>
      </c>
      <c r="AF185" s="43" t="str">
        <v>StartHole</v>
      </c>
      <c r="AG185" s="43"/>
      <c r="AH185" s="43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</row>
    <row customHeight="true" ht="19" outlineLevel="3" r="186">
      <c r="A186" s="48" t="str" xml:space="preserve">
        <v> </v>
      </c>
      <c r="B186" s="76" t="str" xml:space="preserve">
        <v> </v>
      </c>
      <c r="C186" s="76" t="str" xml:space="preserve">
        <v> </v>
      </c>
      <c r="D186" s="76"/>
      <c r="E186" s="48">
        <f>IF(F186="", "", TEXTJOIN("_", TRUE, F186:O186))</f>
      </c>
      <c r="F186" s="42" t="str">
        <v>SM</v>
      </c>
      <c r="G186" s="43" t="str">
        <v>TheMine</v>
      </c>
      <c r="H186" s="43" t="str">
        <v>StartHole</v>
      </c>
      <c r="I186" s="42"/>
      <c r="J186" s="44" t="str">
        <v>Major</v>
      </c>
      <c r="K186" s="42" t="str">
        <v>YellowSoil</v>
      </c>
      <c r="L186" s="42" t="str">
        <v>C</v>
      </c>
      <c r="M186" s="42"/>
      <c r="N186" s="42"/>
      <c r="O186" s="45">
        <v>4</v>
      </c>
      <c r="P186" s="42"/>
      <c r="Q186" s="43">
        <f>"World_"&amp;VLOOKUP(G186,'引用列表'!Q:R,2,FALSE)&amp;"_"&amp;G186</f>
      </c>
      <c r="R186" s="43"/>
      <c r="S186" s="47">
        <f>IF(AE186="✅", "/Script/Engine.StaticMesh'/Game/Item/Mesh/Voxel/" &amp; Q186 &amp; "/" &amp; TEXTJOIN("_", TRUE, H186, I186) &amp; "/" &amp; E186 &amp; "." &amp; E186 &amp; "'", "")</f>
      </c>
      <c r="T186" s="43" t="str">
        <v>StartHole3</v>
      </c>
      <c r="U186" s="43" t="str">
        <v>StartHole4</v>
      </c>
      <c r="V186" s="42"/>
      <c r="W186" s="42"/>
      <c r="X186" s="47" t="str">
        <v>YellowSoil</v>
      </c>
      <c r="Y186" s="47" t="str">
        <v>YellowSoil</v>
      </c>
      <c r="Z186" s="42"/>
      <c r="AA186" s="42"/>
      <c r="AB186" s="43" t="b">
        <v>0</v>
      </c>
      <c r="AC186" s="42"/>
      <c r="AD186" s="43" t="str">
        <v>StartHole</v>
      </c>
      <c r="AE186" s="77" t="str">
        <v>✅</v>
      </c>
      <c r="AF186" s="43" t="str">
        <v>StartHole</v>
      </c>
      <c r="AG186" s="43"/>
      <c r="AH186" s="43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</row>
    <row customHeight="true" ht="19" outlineLevel="3" r="187">
      <c r="A187" s="48" t="str" xml:space="preserve">
        <v> </v>
      </c>
      <c r="B187" s="76" t="str" xml:space="preserve">
        <v> </v>
      </c>
      <c r="C187" s="76" t="str" xml:space="preserve">
        <v> </v>
      </c>
      <c r="D187" s="76"/>
      <c r="E187" s="48">
        <f>IF(F187="", "", TEXTJOIN("_", TRUE, F187:O187))</f>
      </c>
      <c r="F187" s="42" t="str">
        <v>SM</v>
      </c>
      <c r="G187" s="43" t="str">
        <v>TheMine</v>
      </c>
      <c r="H187" s="43" t="str">
        <v>StartHole</v>
      </c>
      <c r="I187" s="42"/>
      <c r="J187" s="44" t="str">
        <v>Major</v>
      </c>
      <c r="K187" s="42" t="str">
        <v>YellowSoil</v>
      </c>
      <c r="L187" s="42" t="str">
        <v>C</v>
      </c>
      <c r="M187" s="42"/>
      <c r="N187" s="42"/>
      <c r="O187" s="45">
        <v>5</v>
      </c>
      <c r="P187" s="42"/>
      <c r="Q187" s="43">
        <f>"World_"&amp;VLOOKUP(G187,'引用列表'!Q:R,2,FALSE)&amp;"_"&amp;G187</f>
      </c>
      <c r="R187" s="43"/>
      <c r="S187" s="47">
        <f>IF(AE187="✅", "/Script/Engine.StaticMesh'/Game/Item/Mesh/Voxel/" &amp; Q187 &amp; "/" &amp; TEXTJOIN("_", TRUE, H187, I187) &amp; "/" &amp; E187 &amp; "." &amp; E187 &amp; "'", "")</f>
      </c>
      <c r="T187" s="43" t="str">
        <v>StartHole4</v>
      </c>
      <c r="U187" s="43" t="str">
        <v>Open</v>
      </c>
      <c r="V187" s="42"/>
      <c r="W187" s="42"/>
      <c r="X187" s="47" t="str">
        <v>YellowSoil</v>
      </c>
      <c r="Y187" s="47" t="str">
        <v>YellowSoil</v>
      </c>
      <c r="Z187" s="42"/>
      <c r="AA187" s="42"/>
      <c r="AB187" s="43" t="b">
        <v>0</v>
      </c>
      <c r="AC187" s="42"/>
      <c r="AD187" s="43" t="str">
        <v>StartHole</v>
      </c>
      <c r="AE187" s="77" t="str">
        <v>✅</v>
      </c>
      <c r="AF187" s="43" t="str">
        <v>StartHole</v>
      </c>
      <c r="AG187" s="43"/>
      <c r="AH187" s="43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</row>
    <row customHeight="true" ht="19" outlineLevel="1" r="188">
      <c r="A188" s="14"/>
      <c r="B188" s="14" t="str">
        <v>CheckHole</v>
      </c>
      <c r="C188" s="14"/>
      <c r="D188" s="14"/>
      <c r="E188" s="4"/>
      <c r="F188" s="9"/>
      <c r="G188" s="4"/>
      <c r="H188" s="4"/>
      <c r="I188" s="9"/>
      <c r="J188" s="27"/>
      <c r="K188" s="27"/>
      <c r="L188" s="9"/>
      <c r="M188" s="9"/>
      <c r="N188" s="27"/>
      <c r="O188" s="27"/>
      <c r="P188" s="9"/>
      <c r="Q188" s="4"/>
      <c r="R188" s="4"/>
      <c r="S188" s="9"/>
      <c r="T188" s="4"/>
      <c r="U188" s="4"/>
      <c r="V188" s="9"/>
      <c r="W188" s="9"/>
      <c r="X188" s="9"/>
      <c r="Y188" s="9"/>
      <c r="Z188" s="9"/>
      <c r="AA188" s="9"/>
      <c r="AB188" s="4"/>
      <c r="AC188" s="9"/>
      <c r="AD188" s="4"/>
      <c r="AE188" s="2"/>
      <c r="AF188" s="4" t="str"/>
      <c r="AG188" s="4"/>
      <c r="AH188" s="4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</row>
    <row customHeight="true" ht="19" outlineLevel="2" r="189">
      <c r="A189" s="14"/>
      <c r="B189" s="14"/>
      <c r="C189" s="14" t="str">
        <v>YellowSoil</v>
      </c>
      <c r="D189" s="14"/>
      <c r="E189" s="4"/>
      <c r="F189" s="9"/>
      <c r="G189" s="4"/>
      <c r="H189" s="4"/>
      <c r="I189" s="9"/>
      <c r="J189" s="27"/>
      <c r="K189" s="27"/>
      <c r="L189" s="9"/>
      <c r="M189" s="9"/>
      <c r="N189" s="27"/>
      <c r="O189" s="27"/>
      <c r="P189" s="9"/>
      <c r="Q189" s="4"/>
      <c r="R189" s="4"/>
      <c r="S189" s="9"/>
      <c r="T189" s="4"/>
      <c r="U189" s="4"/>
      <c r="V189" s="9"/>
      <c r="W189" s="9"/>
      <c r="X189" s="9"/>
      <c r="Y189" s="9"/>
      <c r="Z189" s="9"/>
      <c r="AA189" s="9"/>
      <c r="AB189" s="4"/>
      <c r="AC189" s="9"/>
      <c r="AD189" s="4"/>
      <c r="AE189" s="2"/>
      <c r="AF189" s="4" t="str"/>
      <c r="AG189" s="4"/>
      <c r="AH189" s="4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</row>
    <row customHeight="true" ht="19" outlineLevel="2" r="190">
      <c r="A190" s="4" t="str" xml:space="preserve">
        <v> </v>
      </c>
      <c r="B190" s="76" t="str" xml:space="preserve">
        <v> </v>
      </c>
      <c r="C190" s="14"/>
      <c r="D190" s="14"/>
      <c r="E190" s="34">
        <f>IF(F190="", "", TEXTJOIN("_", TRUE, F190:O190))</f>
      </c>
      <c r="F190" s="28" t="str">
        <v>SM</v>
      </c>
      <c r="G190" s="32" t="str">
        <v>TheMine</v>
      </c>
      <c r="H190" s="32" t="str">
        <v>CheckHole</v>
      </c>
      <c r="I190" s="28"/>
      <c r="J190" s="31" t="str">
        <v>Major</v>
      </c>
      <c r="K190" s="28" t="str">
        <v>YellowSoil</v>
      </c>
      <c r="L190" s="28" t="str">
        <v>C</v>
      </c>
      <c r="M190" s="28"/>
      <c r="N190" s="28"/>
      <c r="O190" s="33">
        <v>4</v>
      </c>
      <c r="P190" s="28"/>
      <c r="Q190" s="32">
        <f>"World_"&amp;VLOOKUP(G190,'引用列表'!Q:R,2,FALSE)&amp;"_"&amp;G190</f>
      </c>
      <c r="R190" s="32"/>
      <c r="S190" s="29">
        <f>IF(AE190="✅", "/Script/Engine.StaticMesh'/Game/Item/Mesh/Voxel/" &amp; Q190 &amp; "/" &amp; TEXTJOIN("_", TRUE, H190, I190) &amp; "/" &amp; E190 &amp; "." &amp; E190 &amp; "'", "")</f>
      </c>
      <c r="T190" s="32" t="str">
        <v>StartHole3</v>
      </c>
      <c r="U190" s="32" t="str">
        <v>CheckHole4</v>
      </c>
      <c r="V190" s="28"/>
      <c r="W190" s="28"/>
      <c r="X190" s="29" t="str">
        <v>YellowSoil</v>
      </c>
      <c r="Y190" s="29" t="str">
        <v>YellowSoil</v>
      </c>
      <c r="Z190" s="28"/>
      <c r="AA190" s="28"/>
      <c r="AB190" s="32" t="b">
        <v>0</v>
      </c>
      <c r="AC190" s="28"/>
      <c r="AD190" s="32" t="str">
        <v>CheckHole</v>
      </c>
      <c r="AE190" s="74" t="str">
        <v>✅</v>
      </c>
      <c r="AF190" s="32" t="str">
        <v>CheckHole</v>
      </c>
      <c r="AG190" s="32"/>
      <c r="AH190" s="32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</row>
    <row customHeight="true" ht="19" outlineLevel="2" r="191">
      <c r="A191" s="4" t="str" xml:space="preserve">
        <v> </v>
      </c>
      <c r="B191" s="75" t="str" xml:space="preserve">
        <v> </v>
      </c>
      <c r="C191" s="14"/>
      <c r="D191" s="14"/>
      <c r="E191" s="34">
        <f>IF(F191="", "", TEXTJOIN("_", TRUE, F191:O191))</f>
      </c>
      <c r="F191" s="28" t="str">
        <v>SM</v>
      </c>
      <c r="G191" s="32" t="str">
        <v>TheMine</v>
      </c>
      <c r="H191" s="32" t="str">
        <v>CheckHole</v>
      </c>
      <c r="I191" s="28"/>
      <c r="J191" s="31" t="str">
        <v>Major</v>
      </c>
      <c r="K191" s="28" t="str">
        <v>YellowSoil</v>
      </c>
      <c r="L191" s="28" t="str">
        <v>C</v>
      </c>
      <c r="M191" s="28"/>
      <c r="N191" s="28"/>
      <c r="O191" s="33">
        <v>5</v>
      </c>
      <c r="P191" s="28"/>
      <c r="Q191" s="32">
        <f>"World_"&amp;VLOOKUP(G191,'引用列表'!Q:R,2,FALSE)&amp;"_"&amp;G191</f>
      </c>
      <c r="R191" s="32"/>
      <c r="S191" s="29">
        <f>IF(AE191="✅", "/Script/Engine.StaticMesh'/Game/Item/Mesh/Voxel/" &amp; Q191 &amp; "/" &amp; TEXTJOIN("_", TRUE, H191, I191) &amp; "/" &amp; E191 &amp; "." &amp; E191 &amp; "'", "")</f>
      </c>
      <c r="T191" s="32" t="str">
        <v>CheckHole4</v>
      </c>
      <c r="U191" s="32" t="str">
        <v>Open</v>
      </c>
      <c r="V191" s="28"/>
      <c r="W191" s="28"/>
      <c r="X191" s="29" t="str">
        <v>YellowSoil</v>
      </c>
      <c r="Y191" s="29" t="str">
        <v>YellowSoil</v>
      </c>
      <c r="Z191" s="28"/>
      <c r="AA191" s="28"/>
      <c r="AB191" s="32" t="b">
        <v>0</v>
      </c>
      <c r="AC191" s="28"/>
      <c r="AD191" s="32" t="str">
        <v>CheckHole</v>
      </c>
      <c r="AE191" s="74" t="str">
        <v>✅</v>
      </c>
      <c r="AF191" s="32" t="str">
        <v>CheckHole</v>
      </c>
      <c r="AG191" s="32"/>
      <c r="AH191" s="32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</row>
    <row customHeight="true" ht="19" outlineLevel="1" r="192">
      <c r="A192" s="14"/>
      <c r="B192" s="14" t="str">
        <v>EndHole</v>
      </c>
      <c r="C192" s="14"/>
      <c r="D192" s="14"/>
      <c r="E192" s="4"/>
      <c r="F192" s="9"/>
      <c r="G192" s="4"/>
      <c r="H192" s="4"/>
      <c r="I192" s="9"/>
      <c r="J192" s="27"/>
      <c r="K192" s="27"/>
      <c r="L192" s="9"/>
      <c r="M192" s="9"/>
      <c r="N192" s="27"/>
      <c r="O192" s="27"/>
      <c r="P192" s="9"/>
      <c r="Q192" s="4"/>
      <c r="R192" s="4"/>
      <c r="S192" s="9"/>
      <c r="T192" s="4"/>
      <c r="U192" s="4"/>
      <c r="V192" s="9"/>
      <c r="W192" s="9"/>
      <c r="X192" s="9"/>
      <c r="Y192" s="9"/>
      <c r="Z192" s="9"/>
      <c r="AA192" s="9"/>
      <c r="AB192" s="4"/>
      <c r="AC192" s="9"/>
      <c r="AD192" s="4"/>
      <c r="AE192" s="2"/>
      <c r="AF192" s="4" t="str"/>
      <c r="AG192" s="4"/>
      <c r="AH192" s="4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</row>
    <row customHeight="true" ht="19" outlineLevel="2" r="193">
      <c r="A193" s="14"/>
      <c r="B193" s="14"/>
      <c r="C193" s="14" t="str">
        <v>YellowSoil</v>
      </c>
      <c r="D193" s="14"/>
      <c r="E193" s="4"/>
      <c r="F193" s="9"/>
      <c r="G193" s="4"/>
      <c r="H193" s="4"/>
      <c r="I193" s="9"/>
      <c r="J193" s="27"/>
      <c r="K193" s="27"/>
      <c r="L193" s="9"/>
      <c r="M193" s="9"/>
      <c r="N193" s="27"/>
      <c r="O193" s="27"/>
      <c r="P193" s="9"/>
      <c r="Q193" s="4"/>
      <c r="R193" s="4"/>
      <c r="S193" s="9"/>
      <c r="T193" s="4"/>
      <c r="U193" s="4"/>
      <c r="V193" s="9"/>
      <c r="W193" s="9"/>
      <c r="X193" s="9"/>
      <c r="Y193" s="9"/>
      <c r="Z193" s="9"/>
      <c r="AA193" s="9"/>
      <c r="AB193" s="4"/>
      <c r="AC193" s="9"/>
      <c r="AD193" s="4"/>
      <c r="AE193" s="2"/>
      <c r="AF193" s="4" t="str"/>
      <c r="AG193" s="4"/>
      <c r="AH193" s="4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</row>
    <row customHeight="true" ht="19" outlineLevel="2" r="194">
      <c r="A194" s="25" t="str" xml:space="preserve">
        <v> </v>
      </c>
      <c r="B194" s="116" t="str" xml:space="preserve">
        <v> </v>
      </c>
      <c r="C194" s="116" t="str" xml:space="preserve">
        <v> </v>
      </c>
      <c r="D194" s="116"/>
      <c r="E194" s="25">
        <f>IF(F194="", "", TEXTJOIN("_", TRUE, F194:O194))</f>
      </c>
      <c r="F194" s="21" t="str">
        <v>SM</v>
      </c>
      <c r="G194" s="20" t="str">
        <v>TheMine</v>
      </c>
      <c r="H194" s="20" t="str">
        <v>EndHole</v>
      </c>
      <c r="I194" s="21"/>
      <c r="J194" s="23" t="str">
        <v>Major</v>
      </c>
      <c r="K194" s="21" t="str">
        <v>YellowSoil</v>
      </c>
      <c r="L194" s="21" t="str">
        <v>C</v>
      </c>
      <c r="M194" s="21"/>
      <c r="N194" s="21"/>
      <c r="O194" s="22">
        <v>3</v>
      </c>
      <c r="P194" s="21"/>
      <c r="Q194" s="20">
        <f>"World_"&amp;VLOOKUP(G194,'引用列表'!Q:R,2,FALSE)&amp;"_"&amp;G194</f>
      </c>
      <c r="R194" s="20"/>
      <c r="S194" s="19">
        <f>IF(AE194="✅", "/Script/Engine.StaticMesh'/Game/Item/Mesh/Voxel/" &amp; Q194 &amp; "/" &amp; TEXTJOIN("_", TRUE, H194, I194) &amp; "/" &amp; E194 &amp; "." &amp; E194 &amp; "'", "")</f>
      </c>
      <c r="T194" s="25" t="str">
        <v>StartHole2</v>
      </c>
      <c r="U194" s="25" t="str">
        <v>EndHole3</v>
      </c>
      <c r="V194" s="21"/>
      <c r="W194" s="21"/>
      <c r="X194" s="19" t="str">
        <v>YellowSoil</v>
      </c>
      <c r="Y194" s="19" t="str">
        <v>YellowSoil</v>
      </c>
      <c r="Z194" s="21"/>
      <c r="AA194" s="21"/>
      <c r="AB194" s="20" t="b">
        <v>0</v>
      </c>
      <c r="AC194" s="21"/>
      <c r="AD194" s="20" t="str">
        <v>EndHole</v>
      </c>
      <c r="AE194" s="95" t="str">
        <v>✅</v>
      </c>
      <c r="AF194" s="20" t="str">
        <v>EndHole</v>
      </c>
      <c r="AG194" s="20"/>
      <c r="AH194" s="20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</row>
    <row customHeight="true" ht="19" outlineLevel="2" r="195">
      <c r="A195" s="25" t="str" xml:space="preserve">
        <v> </v>
      </c>
      <c r="B195" s="116" t="str" xml:space="preserve">
        <v> </v>
      </c>
      <c r="C195" s="116" t="str" xml:space="preserve">
        <v> </v>
      </c>
      <c r="D195" s="116"/>
      <c r="E195" s="25">
        <f>IF(F195="", "", TEXTJOIN("_", TRUE, F195:O195))</f>
      </c>
      <c r="F195" s="21" t="str">
        <v>SM</v>
      </c>
      <c r="G195" s="20" t="str">
        <v>TheMine</v>
      </c>
      <c r="H195" s="20" t="str">
        <v>EndHole</v>
      </c>
      <c r="I195" s="21"/>
      <c r="J195" s="23" t="str">
        <v>Major</v>
      </c>
      <c r="K195" s="21" t="str">
        <v>YellowSoil</v>
      </c>
      <c r="L195" s="21" t="str">
        <v>C</v>
      </c>
      <c r="M195" s="21"/>
      <c r="N195" s="21"/>
      <c r="O195" s="22">
        <v>4</v>
      </c>
      <c r="P195" s="21"/>
      <c r="Q195" s="20">
        <f>"World_"&amp;VLOOKUP(G195,'引用列表'!Q:R,2,FALSE)&amp;"_"&amp;G195</f>
      </c>
      <c r="R195" s="20"/>
      <c r="S195" s="19">
        <f>IF(AE195="✅", "/Script/Engine.StaticMesh'/Game/Item/Mesh/Voxel/" &amp; Q195 &amp; "/" &amp; TEXTJOIN("_", TRUE, H195, I195) &amp; "/" &amp; E195 &amp; "." &amp; E195 &amp; "'", "")</f>
      </c>
      <c r="T195" s="25" t="str">
        <v>EndHole3</v>
      </c>
      <c r="U195" s="25" t="str">
        <v>EndHole4</v>
      </c>
      <c r="V195" s="21"/>
      <c r="W195" s="21"/>
      <c r="X195" s="19" t="str">
        <v>YellowSoil</v>
      </c>
      <c r="Y195" s="19" t="str">
        <v>YellowSoil</v>
      </c>
      <c r="Z195" s="21"/>
      <c r="AA195" s="21"/>
      <c r="AB195" s="20" t="b">
        <v>0</v>
      </c>
      <c r="AC195" s="21"/>
      <c r="AD195" s="20" t="str">
        <v>EndHole</v>
      </c>
      <c r="AE195" s="95" t="str">
        <v>✅</v>
      </c>
      <c r="AF195" s="20" t="str">
        <v>EndHole</v>
      </c>
      <c r="AG195" s="20"/>
      <c r="AH195" s="20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</row>
    <row customHeight="true" ht="19" outlineLevel="2" r="196">
      <c r="A196" s="25" t="str" xml:space="preserve">
        <v> </v>
      </c>
      <c r="B196" s="116" t="str" xml:space="preserve">
        <v> </v>
      </c>
      <c r="C196" s="116" t="str" xml:space="preserve">
        <v> </v>
      </c>
      <c r="D196" s="116"/>
      <c r="E196" s="25">
        <f>IF(F196="", "", TEXTJOIN("_", TRUE, F196:O196))</f>
      </c>
      <c r="F196" s="21" t="str">
        <v>SM</v>
      </c>
      <c r="G196" s="20" t="str">
        <v>TheMine</v>
      </c>
      <c r="H196" s="20" t="str">
        <v>EndHole</v>
      </c>
      <c r="I196" s="21"/>
      <c r="J196" s="23" t="str">
        <v>Major</v>
      </c>
      <c r="K196" s="21" t="str">
        <v>YellowSoil</v>
      </c>
      <c r="L196" s="21" t="str">
        <v>C</v>
      </c>
      <c r="M196" s="21"/>
      <c r="N196" s="21"/>
      <c r="O196" s="22">
        <v>5</v>
      </c>
      <c r="P196" s="21"/>
      <c r="Q196" s="20">
        <f>"World_"&amp;VLOOKUP(G196,'引用列表'!Q:R,2,FALSE)&amp;"_"&amp;G196</f>
      </c>
      <c r="R196" s="20"/>
      <c r="S196" s="19">
        <f>IF(AE196="✅", "/Script/Engine.StaticMesh'/Game/Item/Mesh/Voxel/" &amp; Q196 &amp; "/" &amp; TEXTJOIN("_", TRUE, H196, I196) &amp; "/" &amp; E196 &amp; "." &amp; E196 &amp; "'", "")</f>
      </c>
      <c r="T196" s="25" t="str">
        <v>EndHole4</v>
      </c>
      <c r="U196" s="25" t="str">
        <v>EndHole5</v>
      </c>
      <c r="V196" s="21"/>
      <c r="W196" s="21"/>
      <c r="X196" s="19" t="str">
        <v>YellowSoil</v>
      </c>
      <c r="Y196" s="19" t="str">
        <v>YellowSoil</v>
      </c>
      <c r="Z196" s="21"/>
      <c r="AA196" s="21"/>
      <c r="AB196" s="20" t="b">
        <v>0</v>
      </c>
      <c r="AC196" s="21"/>
      <c r="AD196" s="20" t="str">
        <v>EndHole</v>
      </c>
      <c r="AE196" s="95" t="str">
        <v>✅</v>
      </c>
      <c r="AF196" s="20" t="str">
        <v>EndHole</v>
      </c>
      <c r="AG196" s="20"/>
      <c r="AH196" s="20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</row>
    <row customHeight="true" ht="19" outlineLevel="2" r="197">
      <c r="A197" s="25" t="str" xml:space="preserve">
        <v> </v>
      </c>
      <c r="B197" s="116" t="str" xml:space="preserve">
        <v> </v>
      </c>
      <c r="C197" s="116" t="str" xml:space="preserve">
        <v> </v>
      </c>
      <c r="D197" s="116"/>
      <c r="E197" s="25">
        <f>IF(F197="", "", TEXTJOIN("_", TRUE, F197:O197))</f>
      </c>
      <c r="F197" s="21" t="str">
        <v>SM</v>
      </c>
      <c r="G197" s="20" t="str">
        <v>TheMine</v>
      </c>
      <c r="H197" s="20" t="str">
        <v>EndHole</v>
      </c>
      <c r="I197" s="21"/>
      <c r="J197" s="23" t="str">
        <v>Major</v>
      </c>
      <c r="K197" s="21" t="str">
        <v>YellowSoil</v>
      </c>
      <c r="L197" s="21" t="str">
        <v>C</v>
      </c>
      <c r="M197" s="21"/>
      <c r="N197" s="21"/>
      <c r="O197" s="22">
        <v>6</v>
      </c>
      <c r="P197" s="21"/>
      <c r="Q197" s="20">
        <f>"World_"&amp;VLOOKUP(G197,'引用列表'!Q:R,2,FALSE)&amp;"_"&amp;G197</f>
      </c>
      <c r="R197" s="20"/>
      <c r="S197" s="19">
        <f>IF(AE197="✅", "/Script/Engine.StaticMesh'/Game/Item/Mesh/Voxel/" &amp; Q197 &amp; "/" &amp; TEXTJOIN("_", TRUE, H197, I197) &amp; "/" &amp; E197 &amp; "." &amp; E197 &amp; "'", "")</f>
      </c>
      <c r="T197" s="25" t="str">
        <v>EndHole5</v>
      </c>
      <c r="U197" s="25" t="str">
        <v>Open</v>
      </c>
      <c r="V197" s="21"/>
      <c r="W197" s="21"/>
      <c r="X197" s="19" t="str">
        <v>YellowSoil</v>
      </c>
      <c r="Y197" s="19" t="str">
        <v>YellowSoil</v>
      </c>
      <c r="Z197" s="21"/>
      <c r="AA197" s="21"/>
      <c r="AB197" s="20" t="b">
        <v>0</v>
      </c>
      <c r="AC197" s="21"/>
      <c r="AD197" s="20" t="str">
        <v>EndHole</v>
      </c>
      <c r="AE197" s="95" t="str">
        <v>✅</v>
      </c>
      <c r="AF197" s="20" t="str">
        <v>EndHole</v>
      </c>
      <c r="AG197" s="20"/>
      <c r="AH197" s="20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</row>
    <row customHeight="true" ht="19" outlineLevel="1" r="198">
      <c r="A198" s="14"/>
      <c r="B198" s="14" t="str">
        <v>RailHole</v>
      </c>
      <c r="C198" s="14"/>
      <c r="D198" s="14"/>
      <c r="E198" s="4"/>
      <c r="F198" s="9"/>
      <c r="G198" s="4"/>
      <c r="H198" s="4"/>
      <c r="I198" s="9"/>
      <c r="J198" s="27"/>
      <c r="K198" s="27"/>
      <c r="L198" s="9"/>
      <c r="M198" s="9"/>
      <c r="N198" s="27"/>
      <c r="O198" s="27"/>
      <c r="P198" s="9"/>
      <c r="Q198" s="4"/>
      <c r="R198" s="4"/>
      <c r="S198" s="9"/>
      <c r="T198" s="4"/>
      <c r="U198" s="4"/>
      <c r="V198" s="9"/>
      <c r="W198" s="9"/>
      <c r="X198" s="9"/>
      <c r="Y198" s="9"/>
      <c r="Z198" s="9"/>
      <c r="AA198" s="9"/>
      <c r="AB198" s="4"/>
      <c r="AC198" s="9"/>
      <c r="AD198" s="4"/>
      <c r="AE198" s="2"/>
      <c r="AF198" s="4" t="str"/>
      <c r="AG198" s="4"/>
      <c r="AH198" s="4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</row>
    <row customHeight="true" ht="19" outlineLevel="2" r="199">
      <c r="A199" s="14"/>
      <c r="B199" s="14"/>
      <c r="C199" s="14" t="str">
        <v>YellowSoil</v>
      </c>
      <c r="D199" s="14"/>
      <c r="E199" s="4"/>
      <c r="F199" s="9"/>
      <c r="G199" s="4"/>
      <c r="H199" s="4"/>
      <c r="I199" s="9"/>
      <c r="J199" s="27"/>
      <c r="K199" s="27"/>
      <c r="L199" s="9"/>
      <c r="M199" s="9"/>
      <c r="N199" s="27"/>
      <c r="O199" s="27"/>
      <c r="P199" s="9"/>
      <c r="Q199" s="4"/>
      <c r="R199" s="4"/>
      <c r="S199" s="9"/>
      <c r="T199" s="4"/>
      <c r="U199" s="4"/>
      <c r="V199" s="9"/>
      <c r="W199" s="9"/>
      <c r="X199" s="9"/>
      <c r="Y199" s="9"/>
      <c r="Z199" s="9"/>
      <c r="AA199" s="9"/>
      <c r="AB199" s="4"/>
      <c r="AC199" s="9"/>
      <c r="AD199" s="4"/>
      <c r="AE199" s="2"/>
      <c r="AF199" s="4" t="str"/>
      <c r="AG199" s="4"/>
      <c r="AH199" s="4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</row>
    <row customHeight="true" ht="19" outlineLevel="2" r="200">
      <c r="A200" s="85" t="str" xml:space="preserve">
        <v> </v>
      </c>
      <c r="B200" s="115" t="str" xml:space="preserve">
        <v> </v>
      </c>
      <c r="C200" s="115" t="str" xml:space="preserve">
        <v> </v>
      </c>
      <c r="D200" s="115"/>
      <c r="E200" s="85">
        <f>IF(F200="", "", TEXTJOIN("_", TRUE, F200:O200))</f>
      </c>
      <c r="F200" s="103" t="str">
        <v>SM</v>
      </c>
      <c r="G200" s="102" t="str">
        <v>TheMine</v>
      </c>
      <c r="H200" s="102" t="str">
        <v>RailHole</v>
      </c>
      <c r="I200" s="103"/>
      <c r="J200" s="84" t="str">
        <v>Major</v>
      </c>
      <c r="K200" s="103" t="str">
        <v>YellowSoil</v>
      </c>
      <c r="L200" s="103" t="str">
        <v>C</v>
      </c>
      <c r="M200" s="103"/>
      <c r="N200" s="103"/>
      <c r="O200" s="104">
        <v>2</v>
      </c>
      <c r="P200" s="103"/>
      <c r="Q200" s="102">
        <f>"World_"&amp;VLOOKUP(G200,'引用列表'!Q:R,2,FALSE)&amp;"_"&amp;G200</f>
      </c>
      <c r="R200" s="102"/>
      <c r="S200" s="83">
        <f>IF(AE200="✅", "/Script/Engine.StaticMesh'/Game/Item/Mesh/Voxel/" &amp; Q200 &amp; "/" &amp; TEXTJOIN("_", TRUE, H200, I200) &amp; "/" &amp; E200 &amp; "." &amp; E200 &amp; "'", "")</f>
      </c>
      <c r="T200" s="85" t="str">
        <v>Open</v>
      </c>
      <c r="U200" s="85" t="str">
        <v>RailHole2</v>
      </c>
      <c r="V200" s="103"/>
      <c r="W200" s="103"/>
      <c r="X200" s="83" t="str">
        <v>YellowSoil</v>
      </c>
      <c r="Y200" s="83" t="str">
        <v>YellowSoil</v>
      </c>
      <c r="Z200" s="103"/>
      <c r="AA200" s="103"/>
      <c r="AB200" s="102" t="b">
        <v>0</v>
      </c>
      <c r="AC200" s="103"/>
      <c r="AD200" s="102" t="str">
        <v>RailHole</v>
      </c>
      <c r="AE200" s="105" t="str">
        <v>✅</v>
      </c>
      <c r="AF200" s="102" t="str">
        <v>RailHole</v>
      </c>
      <c r="AG200" s="102"/>
      <c r="AH200" s="102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3"/>
    </row>
    <row customHeight="true" ht="19" outlineLevel="2" r="201">
      <c r="A201" s="85" t="str" xml:space="preserve">
        <v> </v>
      </c>
      <c r="B201" s="115" t="str" xml:space="preserve">
        <v> </v>
      </c>
      <c r="C201" s="115" t="str" xml:space="preserve">
        <v> </v>
      </c>
      <c r="D201" s="115"/>
      <c r="E201" s="85">
        <f>IF(F201="", "", TEXTJOIN("_", TRUE, F201:O201))</f>
      </c>
      <c r="F201" s="103" t="str">
        <v>SM</v>
      </c>
      <c r="G201" s="102" t="str">
        <v>TheMine</v>
      </c>
      <c r="H201" s="102" t="str">
        <v>RailHole</v>
      </c>
      <c r="I201" s="103"/>
      <c r="J201" s="84" t="str">
        <v>Major</v>
      </c>
      <c r="K201" s="103" t="str">
        <v>YellowSoil</v>
      </c>
      <c r="L201" s="103" t="str">
        <v>C</v>
      </c>
      <c r="M201" s="103"/>
      <c r="N201" s="103"/>
      <c r="O201" s="104">
        <v>3</v>
      </c>
      <c r="P201" s="103"/>
      <c r="Q201" s="102">
        <f>"World_"&amp;VLOOKUP(G201,'引用列表'!Q:R,2,FALSE)&amp;"_"&amp;G201</f>
      </c>
      <c r="R201" s="102"/>
      <c r="S201" s="83">
        <f>IF(AE201="✅", "/Script/Engine.StaticMesh'/Game/Item/Mesh/Voxel/" &amp; Q201 &amp; "/" &amp; TEXTJOIN("_", TRUE, H201, I201) &amp; "/" &amp; E201 &amp; "." &amp; E201 &amp; "'", "")</f>
      </c>
      <c r="T201" s="85" t="str">
        <v>RailHole2</v>
      </c>
      <c r="U201" s="85" t="str">
        <v>RailHole3</v>
      </c>
      <c r="V201" s="103"/>
      <c r="W201" s="103"/>
      <c r="X201" s="83" t="str">
        <v>YellowSoil</v>
      </c>
      <c r="Y201" s="83" t="str">
        <v>YellowSoil</v>
      </c>
      <c r="Z201" s="103"/>
      <c r="AA201" s="103"/>
      <c r="AB201" s="102" t="b">
        <v>0</v>
      </c>
      <c r="AC201" s="103"/>
      <c r="AD201" s="102" t="str">
        <v>RailHole</v>
      </c>
      <c r="AE201" s="105" t="str">
        <v>✅</v>
      </c>
      <c r="AF201" s="102" t="str">
        <v>RailHole</v>
      </c>
      <c r="AG201" s="102"/>
      <c r="AH201" s="102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</row>
    <row customHeight="true" ht="19" outlineLevel="2" r="202">
      <c r="A202" s="85" t="str" xml:space="preserve">
        <v> </v>
      </c>
      <c r="B202" s="115" t="str" xml:space="preserve">
        <v> </v>
      </c>
      <c r="C202" s="115" t="str" xml:space="preserve">
        <v> </v>
      </c>
      <c r="D202" s="115"/>
      <c r="E202" s="85">
        <f>IF(F202="", "", TEXTJOIN("_", TRUE, F202:O202))</f>
      </c>
      <c r="F202" s="103" t="str">
        <v>SM</v>
      </c>
      <c r="G202" s="102" t="str">
        <v>TheMine</v>
      </c>
      <c r="H202" s="102" t="str">
        <v>RailHole</v>
      </c>
      <c r="I202" s="103"/>
      <c r="J202" s="84" t="str">
        <v>Major</v>
      </c>
      <c r="K202" s="103" t="str">
        <v>YellowSoil</v>
      </c>
      <c r="L202" s="103" t="str">
        <v>C</v>
      </c>
      <c r="M202" s="103"/>
      <c r="N202" s="103"/>
      <c r="O202" s="104">
        <v>4</v>
      </c>
      <c r="P202" s="103"/>
      <c r="Q202" s="102">
        <f>"World_"&amp;VLOOKUP(G202,'引用列表'!Q:R,2,FALSE)&amp;"_"&amp;G202</f>
      </c>
      <c r="R202" s="102"/>
      <c r="S202" s="83">
        <f>IF(AE202="✅", "/Script/Engine.StaticMesh'/Game/Item/Mesh/Voxel/" &amp; Q202 &amp; "/" &amp; TEXTJOIN("_", TRUE, H202, I202) &amp; "/" &amp; E202 &amp; "." &amp; E202 &amp; "'", "")</f>
      </c>
      <c r="T202" s="85" t="str">
        <v>RailHole3</v>
      </c>
      <c r="U202" s="85" t="str">
        <v>RailHole4</v>
      </c>
      <c r="V202" s="103"/>
      <c r="W202" s="103"/>
      <c r="X202" s="83" t="str">
        <v>YellowSoil</v>
      </c>
      <c r="Y202" s="83" t="str">
        <v>YellowSoil</v>
      </c>
      <c r="Z202" s="103"/>
      <c r="AA202" s="103"/>
      <c r="AB202" s="102" t="b">
        <v>0</v>
      </c>
      <c r="AC202" s="103"/>
      <c r="AD202" s="102" t="str">
        <v>RailHole</v>
      </c>
      <c r="AE202" s="105" t="str">
        <v>✅</v>
      </c>
      <c r="AF202" s="102" t="str">
        <v>RailHole</v>
      </c>
      <c r="AG202" s="102"/>
      <c r="AH202" s="102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3"/>
    </row>
    <row customHeight="true" ht="19" outlineLevel="2" r="203">
      <c r="A203" s="85" t="str" xml:space="preserve">
        <v> </v>
      </c>
      <c r="B203" s="115" t="str" xml:space="preserve">
        <v> </v>
      </c>
      <c r="C203" s="115" t="str" xml:space="preserve">
        <v> </v>
      </c>
      <c r="D203" s="115"/>
      <c r="E203" s="85">
        <f>IF(F203="", "", TEXTJOIN("_", TRUE, F203:O203))</f>
      </c>
      <c r="F203" s="103" t="str">
        <v>SM</v>
      </c>
      <c r="G203" s="102" t="str">
        <v>TheMine</v>
      </c>
      <c r="H203" s="102" t="str">
        <v>RailHole</v>
      </c>
      <c r="I203" s="103"/>
      <c r="J203" s="84" t="str">
        <v>Major</v>
      </c>
      <c r="K203" s="103" t="str">
        <v>YellowSoil</v>
      </c>
      <c r="L203" s="103" t="str">
        <v>C</v>
      </c>
      <c r="M203" s="103"/>
      <c r="N203" s="103"/>
      <c r="O203" s="104">
        <v>5</v>
      </c>
      <c r="P203" s="103"/>
      <c r="Q203" s="102">
        <f>"World_"&amp;VLOOKUP(G203,'引用列表'!Q:R,2,FALSE)&amp;"_"&amp;G203</f>
      </c>
      <c r="R203" s="102"/>
      <c r="S203" s="83">
        <f>IF(AE203="✅", "/Script/Engine.StaticMesh'/Game/Item/Mesh/Voxel/" &amp; Q203 &amp; "/" &amp; TEXTJOIN("_", TRUE, H203, I203) &amp; "/" &amp; E203 &amp; "." &amp; E203 &amp; "'", "")</f>
      </c>
      <c r="T203" s="85" t="str">
        <v>RailHole4</v>
      </c>
      <c r="U203" s="85" t="str">
        <v>RailHole5</v>
      </c>
      <c r="V203" s="103"/>
      <c r="W203" s="103"/>
      <c r="X203" s="83" t="str">
        <v>YellowSoil</v>
      </c>
      <c r="Y203" s="83" t="str">
        <v>YellowSoil</v>
      </c>
      <c r="Z203" s="103"/>
      <c r="AA203" s="103"/>
      <c r="AB203" s="102" t="b">
        <v>0</v>
      </c>
      <c r="AC203" s="103"/>
      <c r="AD203" s="102" t="str">
        <v>RailHole</v>
      </c>
      <c r="AE203" s="105" t="str">
        <v>✅</v>
      </c>
      <c r="AF203" s="102" t="str">
        <v>RailHole</v>
      </c>
      <c r="AG203" s="102"/>
      <c r="AH203" s="102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3"/>
    </row>
    <row customHeight="true" ht="19" outlineLevel="2" r="204">
      <c r="A204" s="85" t="str" xml:space="preserve">
        <v> </v>
      </c>
      <c r="B204" s="115" t="str" xml:space="preserve">
        <v> </v>
      </c>
      <c r="C204" s="115" t="str" xml:space="preserve">
        <v> </v>
      </c>
      <c r="D204" s="115"/>
      <c r="E204" s="85">
        <f>IF(F204="", "", TEXTJOIN("_", TRUE, F204:O204))</f>
      </c>
      <c r="F204" s="103" t="str">
        <v>SM</v>
      </c>
      <c r="G204" s="102" t="str">
        <v>TheMine</v>
      </c>
      <c r="H204" s="102" t="str">
        <v>RailHole</v>
      </c>
      <c r="I204" s="103"/>
      <c r="J204" s="84" t="str">
        <v>Major</v>
      </c>
      <c r="K204" s="103" t="str">
        <v>YellowSoil</v>
      </c>
      <c r="L204" s="103" t="str">
        <v>C</v>
      </c>
      <c r="M204" s="103"/>
      <c r="N204" s="103"/>
      <c r="O204" s="104">
        <v>6</v>
      </c>
      <c r="P204" s="103"/>
      <c r="Q204" s="102">
        <f>"World_"&amp;VLOOKUP(G204,'引用列表'!Q:R,2,FALSE)&amp;"_"&amp;G204</f>
      </c>
      <c r="R204" s="102"/>
      <c r="S204" s="83">
        <f>IF(AE204="✅", "/Script/Engine.StaticMesh'/Game/Item/Mesh/Voxel/" &amp; Q204 &amp; "/" &amp; TEXTJOIN("_", TRUE, H204, I204) &amp; "/" &amp; E204 &amp; "." &amp; E204 &amp; "'", "")</f>
      </c>
      <c r="T204" s="85" t="str">
        <v>RailHole5</v>
      </c>
      <c r="U204" s="85" t="str">
        <v>RailHole6</v>
      </c>
      <c r="V204" s="103"/>
      <c r="W204" s="103"/>
      <c r="X204" s="83" t="str">
        <v>YellowSoil</v>
      </c>
      <c r="Y204" s="83" t="str">
        <v>YellowSoil</v>
      </c>
      <c r="Z204" s="103"/>
      <c r="AA204" s="103"/>
      <c r="AB204" s="102" t="b">
        <v>0</v>
      </c>
      <c r="AC204" s="103"/>
      <c r="AD204" s="102" t="str">
        <v>RailHole</v>
      </c>
      <c r="AE204" s="105" t="str">
        <v>✅</v>
      </c>
      <c r="AF204" s="102" t="str">
        <v>RailHole</v>
      </c>
      <c r="AG204" s="102"/>
      <c r="AH204" s="102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3"/>
    </row>
    <row customHeight="true" ht="19" outlineLevel="2" r="205">
      <c r="A205" s="85" t="str" xml:space="preserve">
        <v> </v>
      </c>
      <c r="B205" s="115" t="str" xml:space="preserve">
        <v> </v>
      </c>
      <c r="C205" s="115" t="str" xml:space="preserve">
        <v> </v>
      </c>
      <c r="D205" s="115"/>
      <c r="E205" s="85">
        <f>IF(F205="", "", TEXTJOIN("_", TRUE, F205:O205))</f>
      </c>
      <c r="F205" s="103" t="str">
        <v>SM</v>
      </c>
      <c r="G205" s="102" t="str">
        <v>TheMine</v>
      </c>
      <c r="H205" s="102" t="str">
        <v>RailHole</v>
      </c>
      <c r="I205" s="103"/>
      <c r="J205" s="84" t="str">
        <v>Major</v>
      </c>
      <c r="K205" s="103" t="str">
        <v>YellowSoil</v>
      </c>
      <c r="L205" s="103" t="str">
        <v>C</v>
      </c>
      <c r="M205" s="103"/>
      <c r="N205" s="103"/>
      <c r="O205" s="104">
        <v>7</v>
      </c>
      <c r="P205" s="103"/>
      <c r="Q205" s="102">
        <f>"World_"&amp;VLOOKUP(G205,'引用列表'!Q:R,2,FALSE)&amp;"_"&amp;G205</f>
      </c>
      <c r="R205" s="102"/>
      <c r="S205" s="83">
        <f>IF(AE205="✅", "/Script/Engine.StaticMesh'/Game/Item/Mesh/Voxel/" &amp; Q205 &amp; "/" &amp; TEXTJOIN("_", TRUE, H205, I205) &amp; "/" &amp; E205 &amp; "." &amp; E205 &amp; "'", "")</f>
      </c>
      <c r="T205" s="85" t="str">
        <v>RailHole6</v>
      </c>
      <c r="U205" s="85" t="str">
        <v>Open</v>
      </c>
      <c r="V205" s="103"/>
      <c r="W205" s="103"/>
      <c r="X205" s="83" t="str">
        <v>YellowSoil</v>
      </c>
      <c r="Y205" s="83" t="str">
        <v>YellowSoil</v>
      </c>
      <c r="Z205" s="103"/>
      <c r="AA205" s="103"/>
      <c r="AB205" s="102" t="b">
        <v>0</v>
      </c>
      <c r="AC205" s="103"/>
      <c r="AD205" s="102" t="str">
        <v>RailHole</v>
      </c>
      <c r="AE205" s="105" t="str">
        <v>✅</v>
      </c>
      <c r="AF205" s="102" t="str">
        <v>RailHole</v>
      </c>
      <c r="AG205" s="102"/>
      <c r="AH205" s="102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3"/>
    </row>
    <row customHeight="true" ht="19" r="206">
      <c r="A206" s="14"/>
      <c r="B206" s="14"/>
      <c r="C206" s="14"/>
      <c r="D206" s="14"/>
      <c r="E206" s="4"/>
      <c r="F206" s="9"/>
      <c r="G206" s="4"/>
      <c r="H206" s="4"/>
      <c r="I206" s="9"/>
      <c r="J206" s="27"/>
      <c r="K206" s="27"/>
      <c r="L206" s="9"/>
      <c r="M206" s="9"/>
      <c r="N206" s="27"/>
      <c r="O206" s="27"/>
      <c r="P206" s="9"/>
      <c r="Q206" s="4"/>
      <c r="R206" s="4"/>
      <c r="S206" s="9"/>
      <c r="T206" s="4"/>
      <c r="U206" s="4"/>
      <c r="V206" s="9"/>
      <c r="W206" s="9"/>
      <c r="X206" s="9"/>
      <c r="Y206" s="9"/>
      <c r="Z206" s="9"/>
      <c r="AA206" s="9"/>
      <c r="AB206" s="4"/>
      <c r="AC206" s="9"/>
      <c r="AD206" s="4"/>
      <c r="AE206" s="2"/>
      <c r="AF206" s="4" t="str"/>
      <c r="AG206" s="4"/>
      <c r="AH206" s="4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</row>
    <row customHeight="true" ht="19" r="207">
      <c r="A207" s="14"/>
      <c r="B207" s="14"/>
      <c r="C207" s="14"/>
      <c r="D207" s="14"/>
      <c r="E207" s="4"/>
      <c r="F207" s="9"/>
      <c r="G207" s="4"/>
      <c r="H207" s="4"/>
      <c r="I207" s="9"/>
      <c r="J207" s="27"/>
      <c r="K207" s="27"/>
      <c r="L207" s="9"/>
      <c r="M207" s="9"/>
      <c r="N207" s="27"/>
      <c r="O207" s="27"/>
      <c r="P207" s="9"/>
      <c r="Q207" s="4"/>
      <c r="R207" s="4"/>
      <c r="S207" s="9"/>
      <c r="T207" s="4"/>
      <c r="U207" s="4"/>
      <c r="V207" s="9"/>
      <c r="W207" s="9"/>
      <c r="X207" s="9"/>
      <c r="Y207" s="9"/>
      <c r="Z207" s="9"/>
      <c r="AA207" s="9"/>
      <c r="AB207" s="4"/>
      <c r="AC207" s="9"/>
      <c r="AD207" s="4"/>
      <c r="AE207" s="2"/>
      <c r="AF207" s="4" t="str"/>
      <c r="AG207" s="4"/>
      <c r="AH207" s="4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</row>
    <row customHeight="true" ht="19" r="208">
      <c r="A208" s="14"/>
      <c r="B208" s="14"/>
      <c r="C208" s="14"/>
      <c r="D208" s="14"/>
      <c r="E208" s="4"/>
      <c r="F208" s="9"/>
      <c r="G208" s="4"/>
      <c r="H208" s="4"/>
      <c r="I208" s="9"/>
      <c r="J208" s="27"/>
      <c r="K208" s="27"/>
      <c r="L208" s="9"/>
      <c r="M208" s="9"/>
      <c r="N208" s="27"/>
      <c r="O208" s="27"/>
      <c r="P208" s="9"/>
      <c r="Q208" s="4"/>
      <c r="R208" s="4"/>
      <c r="S208" s="9"/>
      <c r="T208" s="4"/>
      <c r="U208" s="4"/>
      <c r="V208" s="9"/>
      <c r="W208" s="9"/>
      <c r="X208" s="9"/>
      <c r="Y208" s="9"/>
      <c r="Z208" s="9"/>
      <c r="AA208" s="9"/>
      <c r="AB208" s="4"/>
      <c r="AC208" s="9"/>
      <c r="AD208" s="4"/>
      <c r="AE208" s="2"/>
      <c r="AF208" s="4" t="str"/>
      <c r="AG208" s="4"/>
      <c r="AH208" s="4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</row>
    <row customHeight="true" ht="19" r="209">
      <c r="A209" s="14"/>
      <c r="B209" s="14"/>
      <c r="C209" s="14"/>
      <c r="D209" s="14"/>
      <c r="E209" s="4"/>
      <c r="F209" s="9"/>
      <c r="G209" s="4"/>
      <c r="H209" s="4"/>
      <c r="I209" s="9"/>
      <c r="J209" s="27"/>
      <c r="K209" s="27"/>
      <c r="L209" s="9"/>
      <c r="M209" s="9"/>
      <c r="N209" s="27"/>
      <c r="O209" s="27"/>
      <c r="P209" s="9"/>
      <c r="Q209" s="4"/>
      <c r="R209" s="4"/>
      <c r="S209" s="9"/>
      <c r="T209" s="4"/>
      <c r="U209" s="4"/>
      <c r="V209" s="9"/>
      <c r="W209" s="9"/>
      <c r="X209" s="9"/>
      <c r="Y209" s="9"/>
      <c r="Z209" s="9"/>
      <c r="AA209" s="9"/>
      <c r="AB209" s="4"/>
      <c r="AC209" s="9"/>
      <c r="AD209" s="4"/>
      <c r="AE209" s="2"/>
      <c r="AF209" s="4" t="str"/>
      <c r="AG209" s="4"/>
      <c r="AH209" s="4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</row>
    <row customHeight="true" ht="19" r="210">
      <c r="A210" s="14"/>
      <c r="B210" s="14"/>
      <c r="C210" s="14"/>
      <c r="D210" s="14"/>
      <c r="E210" s="4"/>
      <c r="F210" s="9"/>
      <c r="G210" s="4"/>
      <c r="H210" s="4"/>
      <c r="I210" s="9"/>
      <c r="J210" s="27"/>
      <c r="K210" s="27"/>
      <c r="L210" s="9"/>
      <c r="M210" s="9"/>
      <c r="N210" s="27"/>
      <c r="O210" s="27"/>
      <c r="P210" s="9"/>
      <c r="Q210" s="4"/>
      <c r="R210" s="4"/>
      <c r="S210" s="9"/>
      <c r="T210" s="4"/>
      <c r="U210" s="4"/>
      <c r="V210" s="9"/>
      <c r="W210" s="9"/>
      <c r="X210" s="9"/>
      <c r="Y210" s="9"/>
      <c r="Z210" s="9"/>
      <c r="AA210" s="9"/>
      <c r="AB210" s="4"/>
      <c r="AC210" s="9"/>
      <c r="AD210" s="4"/>
      <c r="AE210" s="2"/>
      <c r="AF210" s="4" t="str"/>
      <c r="AG210" s="4"/>
      <c r="AH210" s="4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</row>
    <row customHeight="true" ht="19" r="211">
      <c r="A211" s="14"/>
      <c r="B211" s="14"/>
      <c r="C211" s="14"/>
      <c r="D211" s="14"/>
      <c r="E211" s="4"/>
      <c r="F211" s="9"/>
      <c r="G211" s="4"/>
      <c r="H211" s="4"/>
      <c r="I211" s="9"/>
      <c r="J211" s="27"/>
      <c r="K211" s="27"/>
      <c r="L211" s="9"/>
      <c r="M211" s="9"/>
      <c r="N211" s="27"/>
      <c r="O211" s="27"/>
      <c r="P211" s="9"/>
      <c r="Q211" s="4"/>
      <c r="R211" s="4"/>
      <c r="S211" s="9"/>
      <c r="T211" s="4"/>
      <c r="U211" s="4"/>
      <c r="V211" s="9"/>
      <c r="W211" s="9"/>
      <c r="X211" s="9"/>
      <c r="Y211" s="9"/>
      <c r="Z211" s="9"/>
      <c r="AA211" s="9"/>
      <c r="AB211" s="4"/>
      <c r="AC211" s="9"/>
      <c r="AD211" s="4"/>
      <c r="AE211" s="2"/>
      <c r="AF211" s="4"/>
      <c r="AG211" s="4"/>
      <c r="AH211" s="4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</row>
    <row customHeight="true" ht="19" r="212">
      <c r="A212" s="14"/>
      <c r="B212" s="14"/>
      <c r="C212" s="14"/>
      <c r="D212" s="14"/>
      <c r="E212" s="4"/>
      <c r="F212" s="9"/>
      <c r="G212" s="4"/>
      <c r="H212" s="4"/>
      <c r="I212" s="9"/>
      <c r="J212" s="27"/>
      <c r="K212" s="27"/>
      <c r="L212" s="9"/>
      <c r="M212" s="9"/>
      <c r="N212" s="27"/>
      <c r="O212" s="27"/>
      <c r="P212" s="9"/>
      <c r="Q212" s="4"/>
      <c r="R212" s="4"/>
      <c r="S212" s="9"/>
      <c r="T212" s="4"/>
      <c r="U212" s="4"/>
      <c r="V212" s="9"/>
      <c r="W212" s="9"/>
      <c r="X212" s="9"/>
      <c r="Y212" s="9"/>
      <c r="Z212" s="9"/>
      <c r="AA212" s="9"/>
      <c r="AB212" s="4"/>
      <c r="AC212" s="9"/>
      <c r="AD212" s="4"/>
      <c r="AE212" s="2"/>
      <c r="AF212" s="4"/>
      <c r="AG212" s="4"/>
      <c r="AH212" s="4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</row>
    <row customHeight="true" ht="19" r="213">
      <c r="A213" s="14"/>
      <c r="B213" s="14"/>
      <c r="C213" s="14"/>
      <c r="D213" s="14"/>
      <c r="E213" s="4"/>
      <c r="F213" s="9"/>
      <c r="G213" s="4"/>
      <c r="H213" s="4"/>
      <c r="I213" s="9"/>
      <c r="J213" s="27"/>
      <c r="K213" s="27"/>
      <c r="L213" s="9"/>
      <c r="M213" s="9"/>
      <c r="N213" s="27"/>
      <c r="O213" s="27"/>
      <c r="P213" s="9"/>
      <c r="Q213" s="4"/>
      <c r="R213" s="4"/>
      <c r="S213" s="9"/>
      <c r="T213" s="4"/>
      <c r="U213" s="4"/>
      <c r="V213" s="9"/>
      <c r="W213" s="9"/>
      <c r="X213" s="9"/>
      <c r="Y213" s="9"/>
      <c r="Z213" s="9"/>
      <c r="AA213" s="9"/>
      <c r="AB213" s="4"/>
      <c r="AC213" s="9"/>
      <c r="AD213" s="4"/>
      <c r="AE213" s="2"/>
      <c r="AF213" s="4"/>
      <c r="AG213" s="4"/>
      <c r="AH213" s="4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</row>
    <row customHeight="true" ht="19" r="214">
      <c r="A214" s="14"/>
      <c r="B214" s="14"/>
      <c r="C214" s="14"/>
      <c r="D214" s="14"/>
      <c r="E214" s="4"/>
      <c r="F214" s="9"/>
      <c r="G214" s="4"/>
      <c r="H214" s="4"/>
      <c r="I214" s="9"/>
      <c r="J214" s="27"/>
      <c r="K214" s="27"/>
      <c r="L214" s="9"/>
      <c r="M214" s="9"/>
      <c r="N214" s="27"/>
      <c r="O214" s="27"/>
      <c r="P214" s="9"/>
      <c r="Q214" s="4"/>
      <c r="R214" s="4"/>
      <c r="S214" s="9"/>
      <c r="T214" s="4"/>
      <c r="U214" s="4"/>
      <c r="V214" s="9"/>
      <c r="W214" s="9"/>
      <c r="X214" s="9"/>
      <c r="Y214" s="9"/>
      <c r="Z214" s="9"/>
      <c r="AA214" s="9"/>
      <c r="AB214" s="4"/>
      <c r="AC214" s="9"/>
      <c r="AD214" s="4"/>
      <c r="AE214" s="2"/>
      <c r="AF214" s="4"/>
      <c r="AG214" s="4"/>
      <c r="AH214" s="4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</row>
    <row customHeight="true" ht="19" r="215">
      <c r="A215" s="14"/>
      <c r="B215" s="14"/>
      <c r="C215" s="14"/>
      <c r="D215" s="14"/>
      <c r="E215" s="4"/>
      <c r="F215" s="9"/>
      <c r="G215" s="4"/>
      <c r="H215" s="4"/>
      <c r="I215" s="9"/>
      <c r="J215" s="27"/>
      <c r="K215" s="27"/>
      <c r="L215" s="9"/>
      <c r="M215" s="9"/>
      <c r="N215" s="27"/>
      <c r="O215" s="27"/>
      <c r="P215" s="9"/>
      <c r="Q215" s="4"/>
      <c r="R215" s="4"/>
      <c r="S215" s="9"/>
      <c r="T215" s="4"/>
      <c r="U215" s="4"/>
      <c r="V215" s="9"/>
      <c r="W215" s="9"/>
      <c r="X215" s="9"/>
      <c r="Y215" s="9"/>
      <c r="Z215" s="9"/>
      <c r="AA215" s="9"/>
      <c r="AB215" s="4"/>
      <c r="AC215" s="9"/>
      <c r="AD215" s="4"/>
      <c r="AE215" s="2"/>
      <c r="AF215" s="4"/>
      <c r="AG215" s="4"/>
      <c r="AH215" s="4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</row>
    <row customHeight="true" ht="19" r="216">
      <c r="A216" s="14"/>
      <c r="B216" s="14"/>
      <c r="C216" s="14"/>
      <c r="D216" s="14"/>
      <c r="E216" s="4"/>
      <c r="F216" s="9"/>
      <c r="G216" s="4"/>
      <c r="H216" s="4"/>
      <c r="I216" s="9"/>
      <c r="J216" s="27"/>
      <c r="K216" s="27"/>
      <c r="L216" s="9"/>
      <c r="M216" s="9"/>
      <c r="N216" s="27"/>
      <c r="O216" s="27"/>
      <c r="P216" s="9"/>
      <c r="Q216" s="4"/>
      <c r="R216" s="4"/>
      <c r="S216" s="9"/>
      <c r="T216" s="4"/>
      <c r="U216" s="4"/>
      <c r="V216" s="9"/>
      <c r="W216" s="9"/>
      <c r="X216" s="9"/>
      <c r="Y216" s="9"/>
      <c r="Z216" s="9"/>
      <c r="AA216" s="9"/>
      <c r="AB216" s="4"/>
      <c r="AC216" s="9"/>
      <c r="AD216" s="4"/>
      <c r="AE216" s="2"/>
      <c r="AF216" s="4"/>
      <c r="AG216" s="4"/>
      <c r="AH216" s="4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</row>
    <row customHeight="true" ht="19" r="217">
      <c r="A217" s="14"/>
      <c r="B217" s="14"/>
      <c r="C217" s="14"/>
      <c r="D217" s="14"/>
      <c r="E217" s="4"/>
      <c r="F217" s="9"/>
      <c r="G217" s="4"/>
      <c r="H217" s="4"/>
      <c r="I217" s="9"/>
      <c r="J217" s="27"/>
      <c r="K217" s="27"/>
      <c r="L217" s="9"/>
      <c r="M217" s="9"/>
      <c r="N217" s="27"/>
      <c r="O217" s="27"/>
      <c r="P217" s="9"/>
      <c r="Q217" s="4"/>
      <c r="R217" s="4"/>
      <c r="S217" s="9"/>
      <c r="T217" s="4"/>
      <c r="U217" s="4"/>
      <c r="V217" s="9"/>
      <c r="W217" s="9"/>
      <c r="X217" s="9"/>
      <c r="Y217" s="9"/>
      <c r="Z217" s="9"/>
      <c r="AA217" s="9"/>
      <c r="AB217" s="4"/>
      <c r="AC217" s="9"/>
      <c r="AD217" s="4"/>
      <c r="AE217" s="2"/>
      <c r="AF217" s="4"/>
      <c r="AG217" s="4"/>
      <c r="AH217" s="4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</row>
    <row customHeight="true" ht="19" r="218">
      <c r="A218" s="14"/>
      <c r="B218" s="14"/>
      <c r="C218" s="14"/>
      <c r="D218" s="14"/>
      <c r="E218" s="4"/>
      <c r="F218" s="9"/>
      <c r="G218" s="4"/>
      <c r="H218" s="4"/>
      <c r="I218" s="9"/>
      <c r="J218" s="27"/>
      <c r="K218" s="27"/>
      <c r="L218" s="9"/>
      <c r="M218" s="9"/>
      <c r="N218" s="27"/>
      <c r="O218" s="27"/>
      <c r="P218" s="9"/>
      <c r="Q218" s="4"/>
      <c r="R218" s="4"/>
      <c r="S218" s="9"/>
      <c r="T218" s="4"/>
      <c r="U218" s="4"/>
      <c r="V218" s="9"/>
      <c r="W218" s="9"/>
      <c r="X218" s="9"/>
      <c r="Y218" s="9"/>
      <c r="Z218" s="9"/>
      <c r="AA218" s="9"/>
      <c r="AB218" s="4"/>
      <c r="AC218" s="9"/>
      <c r="AD218" s="4"/>
      <c r="AE218" s="2"/>
      <c r="AF218" s="4"/>
      <c r="AG218" s="4"/>
      <c r="AH218" s="4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</row>
    <row customHeight="true" ht="19" r="219">
      <c r="A219" s="14"/>
      <c r="B219" s="14"/>
      <c r="C219" s="14"/>
      <c r="D219" s="14"/>
      <c r="E219" s="4"/>
      <c r="F219" s="9"/>
      <c r="G219" s="4"/>
      <c r="H219" s="4"/>
      <c r="I219" s="9"/>
      <c r="J219" s="27"/>
      <c r="K219" s="27"/>
      <c r="L219" s="9"/>
      <c r="M219" s="9"/>
      <c r="N219" s="27"/>
      <c r="O219" s="27"/>
      <c r="P219" s="9"/>
      <c r="Q219" s="4"/>
      <c r="R219" s="4"/>
      <c r="S219" s="9"/>
      <c r="T219" s="4"/>
      <c r="U219" s="4"/>
      <c r="V219" s="9"/>
      <c r="W219" s="9"/>
      <c r="X219" s="9"/>
      <c r="Y219" s="9"/>
      <c r="Z219" s="9"/>
      <c r="AA219" s="9"/>
      <c r="AB219" s="4"/>
      <c r="AC219" s="9"/>
      <c r="AD219" s="4"/>
      <c r="AE219" s="2"/>
      <c r="AF219" s="4"/>
      <c r="AG219" s="4"/>
      <c r="AH219" s="4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</row>
    <row customHeight="true" ht="19" r="220">
      <c r="A220" s="14"/>
      <c r="B220" s="14"/>
      <c r="C220" s="14"/>
      <c r="D220" s="14"/>
      <c r="E220" s="4"/>
      <c r="F220" s="9"/>
      <c r="G220" s="4"/>
      <c r="H220" s="4"/>
      <c r="I220" s="9"/>
      <c r="J220" s="27"/>
      <c r="K220" s="27"/>
      <c r="L220" s="9"/>
      <c r="M220" s="9"/>
      <c r="N220" s="27"/>
      <c r="O220" s="27"/>
      <c r="P220" s="9"/>
      <c r="Q220" s="4"/>
      <c r="R220" s="4"/>
      <c r="S220" s="9"/>
      <c r="T220" s="4"/>
      <c r="U220" s="4"/>
      <c r="V220" s="9"/>
      <c r="W220" s="9"/>
      <c r="X220" s="9"/>
      <c r="Y220" s="9"/>
      <c r="Z220" s="9"/>
      <c r="AA220" s="9"/>
      <c r="AB220" s="4"/>
      <c r="AC220" s="9"/>
      <c r="AD220" s="4"/>
      <c r="AE220" s="2"/>
      <c r="AF220" s="4"/>
      <c r="AG220" s="4"/>
      <c r="AH220" s="4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</row>
    <row customHeight="true" ht="19" r="221">
      <c r="A221" s="14"/>
      <c r="B221" s="14"/>
      <c r="C221" s="14"/>
      <c r="D221" s="14"/>
      <c r="E221" s="4"/>
      <c r="F221" s="9"/>
      <c r="G221" s="4"/>
      <c r="H221" s="4"/>
      <c r="I221" s="9"/>
      <c r="J221" s="27"/>
      <c r="K221" s="27"/>
      <c r="L221" s="9"/>
      <c r="M221" s="9"/>
      <c r="N221" s="27"/>
      <c r="O221" s="27"/>
      <c r="P221" s="9"/>
      <c r="Q221" s="4"/>
      <c r="R221" s="4"/>
      <c r="S221" s="9"/>
      <c r="T221" s="4"/>
      <c r="U221" s="4"/>
      <c r="V221" s="9"/>
      <c r="W221" s="9"/>
      <c r="X221" s="9"/>
      <c r="Y221" s="9"/>
      <c r="Z221" s="9"/>
      <c r="AA221" s="9"/>
      <c r="AB221" s="4"/>
      <c r="AC221" s="9"/>
      <c r="AD221" s="4"/>
      <c r="AE221" s="2"/>
      <c r="AF221" s="4"/>
      <c r="AG221" s="4"/>
      <c r="AH221" s="4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</row>
    <row customHeight="true" ht="19" r="222">
      <c r="A222" s="14"/>
      <c r="B222" s="14"/>
      <c r="C222" s="14"/>
      <c r="D222" s="14"/>
      <c r="E222" s="4"/>
      <c r="F222" s="9"/>
      <c r="G222" s="4"/>
      <c r="H222" s="4"/>
      <c r="I222" s="9"/>
      <c r="J222" s="27"/>
      <c r="K222" s="27"/>
      <c r="L222" s="9"/>
      <c r="M222" s="9"/>
      <c r="N222" s="27"/>
      <c r="O222" s="27"/>
      <c r="P222" s="9"/>
      <c r="Q222" s="4"/>
      <c r="R222" s="4"/>
      <c r="S222" s="9"/>
      <c r="T222" s="4"/>
      <c r="U222" s="4"/>
      <c r="V222" s="9"/>
      <c r="W222" s="9"/>
      <c r="X222" s="9"/>
      <c r="Y222" s="9"/>
      <c r="Z222" s="9"/>
      <c r="AA222" s="9"/>
      <c r="AB222" s="4"/>
      <c r="AC222" s="9"/>
      <c r="AD222" s="4"/>
      <c r="AE222" s="2"/>
      <c r="AF222" s="4"/>
      <c r="AG222" s="4"/>
      <c r="AH222" s="4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</row>
    <row customHeight="true" ht="19" r="223">
      <c r="A223" s="14"/>
      <c r="B223" s="14"/>
      <c r="C223" s="14"/>
      <c r="D223" s="14"/>
      <c r="E223" s="4"/>
      <c r="F223" s="9"/>
      <c r="G223" s="4"/>
      <c r="H223" s="4"/>
      <c r="I223" s="9"/>
      <c r="J223" s="27"/>
      <c r="K223" s="27"/>
      <c r="L223" s="9"/>
      <c r="M223" s="9"/>
      <c r="N223" s="27"/>
      <c r="O223" s="27"/>
      <c r="P223" s="9"/>
      <c r="Q223" s="4"/>
      <c r="R223" s="4"/>
      <c r="S223" s="9"/>
      <c r="T223" s="4"/>
      <c r="U223" s="4"/>
      <c r="V223" s="9"/>
      <c r="W223" s="9"/>
      <c r="X223" s="9"/>
      <c r="Y223" s="9"/>
      <c r="Z223" s="9"/>
      <c r="AA223" s="9"/>
      <c r="AB223" s="4"/>
      <c r="AC223" s="9"/>
      <c r="AD223" s="4"/>
      <c r="AE223" s="2"/>
      <c r="AF223" s="4"/>
      <c r="AG223" s="4"/>
      <c r="AH223" s="4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</row>
    <row customHeight="true" ht="19" r="224">
      <c r="A224" s="14"/>
      <c r="B224" s="14"/>
      <c r="C224" s="14"/>
      <c r="D224" s="14"/>
      <c r="E224" s="4"/>
      <c r="F224" s="9"/>
      <c r="G224" s="4"/>
      <c r="H224" s="4"/>
      <c r="I224" s="9"/>
      <c r="J224" s="27"/>
      <c r="K224" s="27"/>
      <c r="L224" s="9"/>
      <c r="M224" s="9"/>
      <c r="N224" s="27"/>
      <c r="O224" s="27"/>
      <c r="P224" s="9"/>
      <c r="Q224" s="4"/>
      <c r="R224" s="4"/>
      <c r="S224" s="9"/>
      <c r="T224" s="4"/>
      <c r="U224" s="4"/>
      <c r="V224" s="9"/>
      <c r="W224" s="9"/>
      <c r="X224" s="9"/>
      <c r="Y224" s="9"/>
      <c r="Z224" s="9"/>
      <c r="AA224" s="9"/>
      <c r="AB224" s="4"/>
      <c r="AC224" s="9"/>
      <c r="AD224" s="4"/>
      <c r="AE224" s="2"/>
      <c r="AF224" s="4"/>
      <c r="AG224" s="4"/>
      <c r="AH224" s="4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</row>
    <row customHeight="true" ht="19" r="225">
      <c r="A225" s="14"/>
      <c r="B225" s="14"/>
      <c r="C225" s="14"/>
      <c r="D225" s="14"/>
      <c r="E225" s="4"/>
      <c r="F225" s="9"/>
      <c r="G225" s="4"/>
      <c r="H225" s="4"/>
      <c r="I225" s="9"/>
      <c r="J225" s="27"/>
      <c r="K225" s="27"/>
      <c r="L225" s="9"/>
      <c r="M225" s="9"/>
      <c r="N225" s="27"/>
      <c r="O225" s="27"/>
      <c r="P225" s="9"/>
      <c r="Q225" s="4"/>
      <c r="R225" s="4"/>
      <c r="S225" s="9"/>
      <c r="T225" s="4"/>
      <c r="U225" s="4"/>
      <c r="V225" s="9"/>
      <c r="W225" s="9"/>
      <c r="X225" s="9"/>
      <c r="Y225" s="9"/>
      <c r="Z225" s="9"/>
      <c r="AA225" s="9"/>
      <c r="AB225" s="4"/>
      <c r="AC225" s="9"/>
      <c r="AD225" s="4"/>
      <c r="AE225" s="2"/>
      <c r="AF225" s="4"/>
      <c r="AG225" s="4"/>
      <c r="AH225" s="4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</row>
    <row customHeight="true" ht="19" r="226">
      <c r="A226" s="14"/>
      <c r="B226" s="14"/>
      <c r="C226" s="14"/>
      <c r="D226" s="14"/>
      <c r="E226" s="4"/>
      <c r="F226" s="9"/>
      <c r="G226" s="4"/>
      <c r="H226" s="4"/>
      <c r="I226" s="9"/>
      <c r="J226" s="27"/>
      <c r="K226" s="27"/>
      <c r="L226" s="9"/>
      <c r="M226" s="9"/>
      <c r="N226" s="27"/>
      <c r="O226" s="27"/>
      <c r="P226" s="9"/>
      <c r="Q226" s="4"/>
      <c r="R226" s="4"/>
      <c r="S226" s="9"/>
      <c r="T226" s="4"/>
      <c r="U226" s="4"/>
      <c r="V226" s="9"/>
      <c r="W226" s="9"/>
      <c r="X226" s="9"/>
      <c r="Y226" s="9"/>
      <c r="Z226" s="9"/>
      <c r="AA226" s="9"/>
      <c r="AB226" s="4"/>
      <c r="AC226" s="9"/>
      <c r="AD226" s="4"/>
      <c r="AE226" s="2"/>
      <c r="AF226" s="4"/>
      <c r="AG226" s="4"/>
      <c r="AH226" s="4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</row>
    <row customHeight="true" ht="19" r="227">
      <c r="A227" s="14"/>
      <c r="B227" s="14"/>
      <c r="C227" s="14"/>
      <c r="D227" s="14"/>
      <c r="E227" s="4"/>
      <c r="F227" s="9"/>
      <c r="G227" s="4"/>
      <c r="H227" s="4"/>
      <c r="I227" s="9"/>
      <c r="J227" s="27"/>
      <c r="K227" s="27"/>
      <c r="L227" s="9"/>
      <c r="M227" s="9"/>
      <c r="N227" s="27"/>
      <c r="O227" s="27"/>
      <c r="P227" s="9"/>
      <c r="Q227" s="4"/>
      <c r="R227" s="4"/>
      <c r="S227" s="9"/>
      <c r="T227" s="4"/>
      <c r="U227" s="4"/>
      <c r="V227" s="9"/>
      <c r="W227" s="9"/>
      <c r="X227" s="9"/>
      <c r="Y227" s="9"/>
      <c r="Z227" s="9"/>
      <c r="AA227" s="9"/>
      <c r="AB227" s="4"/>
      <c r="AC227" s="9"/>
      <c r="AD227" s="4"/>
      <c r="AE227" s="2"/>
      <c r="AF227" s="4"/>
      <c r="AG227" s="4"/>
      <c r="AH227" s="4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</row>
    <row customHeight="true" ht="19" r="228">
      <c r="A228" s="14"/>
      <c r="B228" s="14"/>
      <c r="C228" s="14"/>
      <c r="D228" s="14"/>
      <c r="E228" s="4"/>
      <c r="F228" s="9"/>
      <c r="G228" s="4"/>
      <c r="H228" s="4"/>
      <c r="I228" s="9"/>
      <c r="J228" s="27"/>
      <c r="K228" s="27"/>
      <c r="L228" s="9"/>
      <c r="M228" s="9"/>
      <c r="N228" s="27"/>
      <c r="O228" s="27"/>
      <c r="P228" s="9"/>
      <c r="Q228" s="4"/>
      <c r="R228" s="4"/>
      <c r="S228" s="9"/>
      <c r="T228" s="4"/>
      <c r="U228" s="4"/>
      <c r="V228" s="9"/>
      <c r="W228" s="9"/>
      <c r="X228" s="9"/>
      <c r="Y228" s="9"/>
      <c r="Z228" s="9"/>
      <c r="AA228" s="9"/>
      <c r="AB228" s="4"/>
      <c r="AC228" s="9"/>
      <c r="AD228" s="4"/>
      <c r="AE228" s="2"/>
      <c r="AF228" s="4"/>
      <c r="AG228" s="4"/>
      <c r="AH228" s="4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</row>
    <row customHeight="true" ht="19" r="229">
      <c r="A229" s="14"/>
      <c r="B229" s="14"/>
      <c r="C229" s="14"/>
      <c r="D229" s="14"/>
      <c r="E229" s="4"/>
      <c r="F229" s="9"/>
      <c r="G229" s="4"/>
      <c r="H229" s="4"/>
      <c r="I229" s="9"/>
      <c r="J229" s="27"/>
      <c r="K229" s="27"/>
      <c r="L229" s="9"/>
      <c r="M229" s="9"/>
      <c r="N229" s="27"/>
      <c r="O229" s="27"/>
      <c r="P229" s="9"/>
      <c r="Q229" s="4"/>
      <c r="R229" s="4"/>
      <c r="S229" s="9"/>
      <c r="T229" s="4"/>
      <c r="U229" s="4"/>
      <c r="V229" s="9"/>
      <c r="W229" s="9"/>
      <c r="X229" s="9"/>
      <c r="Y229" s="9"/>
      <c r="Z229" s="9"/>
      <c r="AA229" s="9"/>
      <c r="AB229" s="4"/>
      <c r="AC229" s="9"/>
      <c r="AD229" s="4"/>
      <c r="AE229" s="2"/>
      <c r="AF229" s="4"/>
      <c r="AG229" s="4"/>
      <c r="AH229" s="4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</row>
    <row customHeight="true" ht="19" r="230">
      <c r="A230" s="14"/>
      <c r="B230" s="14"/>
      <c r="C230" s="14"/>
      <c r="D230" s="14"/>
      <c r="E230" s="4"/>
      <c r="F230" s="9"/>
      <c r="G230" s="4"/>
      <c r="H230" s="4"/>
      <c r="I230" s="9"/>
      <c r="J230" s="27"/>
      <c r="K230" s="27"/>
      <c r="L230" s="9"/>
      <c r="M230" s="9"/>
      <c r="N230" s="27"/>
      <c r="O230" s="27"/>
      <c r="P230" s="9"/>
      <c r="Q230" s="4"/>
      <c r="R230" s="4"/>
      <c r="S230" s="9"/>
      <c r="T230" s="4"/>
      <c r="U230" s="4"/>
      <c r="V230" s="9"/>
      <c r="W230" s="9"/>
      <c r="X230" s="9"/>
      <c r="Y230" s="9"/>
      <c r="Z230" s="9"/>
      <c r="AA230" s="9"/>
      <c r="AB230" s="4"/>
      <c r="AC230" s="9"/>
      <c r="AD230" s="4"/>
      <c r="AE230" s="2"/>
      <c r="AF230" s="4"/>
      <c r="AG230" s="4"/>
      <c r="AH230" s="4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</row>
    <row customHeight="true" ht="19" r="231">
      <c r="A231" s="14"/>
      <c r="B231" s="14"/>
      <c r="C231" s="14"/>
      <c r="D231" s="14"/>
      <c r="E231" s="4"/>
      <c r="F231" s="9"/>
      <c r="G231" s="4"/>
      <c r="H231" s="4"/>
      <c r="I231" s="9"/>
      <c r="J231" s="27"/>
      <c r="K231" s="27"/>
      <c r="L231" s="9"/>
      <c r="M231" s="9"/>
      <c r="N231" s="27"/>
      <c r="O231" s="27"/>
      <c r="P231" s="9"/>
      <c r="Q231" s="4"/>
      <c r="R231" s="4"/>
      <c r="S231" s="9"/>
      <c r="T231" s="4"/>
      <c r="U231" s="4"/>
      <c r="V231" s="9"/>
      <c r="W231" s="9"/>
      <c r="X231" s="9"/>
      <c r="Y231" s="9"/>
      <c r="Z231" s="9"/>
      <c r="AA231" s="9"/>
      <c r="AB231" s="4"/>
      <c r="AC231" s="9"/>
      <c r="AD231" s="4"/>
      <c r="AE231" s="2"/>
      <c r="AF231" s="4"/>
      <c r="AG231" s="4"/>
      <c r="AH231" s="4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</row>
    <row customHeight="true" ht="19" r="232">
      <c r="A232" s="14"/>
      <c r="B232" s="14"/>
      <c r="C232" s="14"/>
      <c r="D232" s="14"/>
      <c r="E232" s="4"/>
      <c r="F232" s="9"/>
      <c r="G232" s="4"/>
      <c r="H232" s="4"/>
      <c r="I232" s="9"/>
      <c r="J232" s="27"/>
      <c r="K232" s="27"/>
      <c r="L232" s="9"/>
      <c r="M232" s="9"/>
      <c r="N232" s="27"/>
      <c r="O232" s="27"/>
      <c r="P232" s="9"/>
      <c r="Q232" s="4"/>
      <c r="R232" s="4"/>
      <c r="S232" s="9"/>
      <c r="T232" s="4"/>
      <c r="U232" s="4"/>
      <c r="V232" s="9"/>
      <c r="W232" s="9"/>
      <c r="X232" s="9"/>
      <c r="Y232" s="9"/>
      <c r="Z232" s="9"/>
      <c r="AA232" s="9"/>
      <c r="AB232" s="4"/>
      <c r="AC232" s="9"/>
      <c r="AD232" s="4"/>
      <c r="AE232" s="2"/>
      <c r="AF232" s="4"/>
      <c r="AG232" s="4"/>
      <c r="AH232" s="4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</row>
    <row customHeight="true" ht="19" r="233">
      <c r="A233" s="14"/>
      <c r="B233" s="14"/>
      <c r="C233" s="14"/>
      <c r="D233" s="14"/>
      <c r="E233" s="4"/>
      <c r="F233" s="9"/>
      <c r="G233" s="4"/>
      <c r="H233" s="4"/>
      <c r="I233" s="9"/>
      <c r="J233" s="27"/>
      <c r="K233" s="27"/>
      <c r="L233" s="9"/>
      <c r="M233" s="9"/>
      <c r="N233" s="27"/>
      <c r="O233" s="27"/>
      <c r="P233" s="9"/>
      <c r="Q233" s="4"/>
      <c r="R233" s="4"/>
      <c r="S233" s="9"/>
      <c r="T233" s="4"/>
      <c r="U233" s="4"/>
      <c r="V233" s="9"/>
      <c r="W233" s="9"/>
      <c r="X233" s="9"/>
      <c r="Y233" s="9"/>
      <c r="Z233" s="9"/>
      <c r="AA233" s="9"/>
      <c r="AB233" s="4"/>
      <c r="AC233" s="9"/>
      <c r="AD233" s="4"/>
      <c r="AE233" s="2"/>
      <c r="AF233" s="4"/>
      <c r="AG233" s="4"/>
      <c r="AH233" s="4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</row>
    <row customHeight="true" ht="19" r="234">
      <c r="A234" s="14"/>
      <c r="B234" s="14"/>
      <c r="C234" s="14"/>
      <c r="D234" s="14"/>
      <c r="E234" s="4"/>
      <c r="F234" s="9"/>
      <c r="G234" s="4"/>
      <c r="H234" s="4"/>
      <c r="I234" s="9"/>
      <c r="J234" s="27"/>
      <c r="K234" s="27"/>
      <c r="L234" s="9"/>
      <c r="M234" s="9"/>
      <c r="N234" s="27"/>
      <c r="O234" s="27"/>
      <c r="P234" s="9"/>
      <c r="Q234" s="4"/>
      <c r="R234" s="4"/>
      <c r="S234" s="9"/>
      <c r="T234" s="4"/>
      <c r="U234" s="4"/>
      <c r="V234" s="9"/>
      <c r="W234" s="9"/>
      <c r="X234" s="9"/>
      <c r="Y234" s="9"/>
      <c r="Z234" s="9"/>
      <c r="AA234" s="9"/>
      <c r="AB234" s="4"/>
      <c r="AC234" s="9"/>
      <c r="AD234" s="4"/>
      <c r="AE234" s="2"/>
      <c r="AF234" s="4"/>
      <c r="AG234" s="4"/>
      <c r="AH234" s="4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</row>
    <row customHeight="true" ht="19" r="235">
      <c r="A235" s="14"/>
      <c r="B235" s="14"/>
      <c r="C235" s="14"/>
      <c r="D235" s="14"/>
      <c r="E235" s="4"/>
      <c r="F235" s="9"/>
      <c r="G235" s="4"/>
      <c r="H235" s="4"/>
      <c r="I235" s="9"/>
      <c r="J235" s="27"/>
      <c r="K235" s="27"/>
      <c r="L235" s="9"/>
      <c r="M235" s="9"/>
      <c r="N235" s="27"/>
      <c r="O235" s="27"/>
      <c r="P235" s="9"/>
      <c r="Q235" s="4"/>
      <c r="R235" s="4"/>
      <c r="S235" s="9"/>
      <c r="T235" s="4"/>
      <c r="U235" s="4"/>
      <c r="V235" s="9"/>
      <c r="W235" s="9"/>
      <c r="X235" s="9"/>
      <c r="Y235" s="9"/>
      <c r="Z235" s="9"/>
      <c r="AA235" s="9"/>
      <c r="AB235" s="4"/>
      <c r="AC235" s="9"/>
      <c r="AD235" s="4"/>
      <c r="AE235" s="2"/>
      <c r="AF235" s="4"/>
      <c r="AG235" s="4"/>
      <c r="AH235" s="4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</row>
    <row customHeight="true" ht="19" r="236">
      <c r="A236" s="14"/>
      <c r="B236" s="14"/>
      <c r="C236" s="14"/>
      <c r="D236" s="14"/>
      <c r="E236" s="4"/>
      <c r="F236" s="9"/>
      <c r="G236" s="4"/>
      <c r="H236" s="4"/>
      <c r="I236" s="9"/>
      <c r="J236" s="27"/>
      <c r="K236" s="27"/>
      <c r="L236" s="9"/>
      <c r="M236" s="9"/>
      <c r="N236" s="27"/>
      <c r="O236" s="27"/>
      <c r="P236" s="9"/>
      <c r="Q236" s="4"/>
      <c r="R236" s="4"/>
      <c r="S236" s="9"/>
      <c r="T236" s="4"/>
      <c r="U236" s="4"/>
      <c r="V236" s="9"/>
      <c r="W236" s="9"/>
      <c r="X236" s="9"/>
      <c r="Y236" s="9"/>
      <c r="Z236" s="9"/>
      <c r="AA236" s="9"/>
      <c r="AB236" s="4"/>
      <c r="AC236" s="9"/>
      <c r="AD236" s="4"/>
      <c r="AE236" s="2"/>
      <c r="AF236" s="4"/>
      <c r="AG236" s="4"/>
      <c r="AH236" s="4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</row>
    <row customHeight="true" ht="19" r="237">
      <c r="A237" s="14"/>
      <c r="B237" s="14"/>
      <c r="C237" s="14"/>
      <c r="D237" s="14"/>
      <c r="E237" s="4"/>
      <c r="F237" s="9"/>
      <c r="G237" s="4"/>
      <c r="H237" s="4"/>
      <c r="I237" s="9"/>
      <c r="J237" s="27"/>
      <c r="K237" s="27"/>
      <c r="L237" s="9"/>
      <c r="M237" s="9"/>
      <c r="N237" s="27"/>
      <c r="O237" s="27"/>
      <c r="P237" s="9"/>
      <c r="Q237" s="4"/>
      <c r="R237" s="4"/>
      <c r="S237" s="9"/>
      <c r="T237" s="4"/>
      <c r="U237" s="4"/>
      <c r="V237" s="9"/>
      <c r="W237" s="9"/>
      <c r="X237" s="9"/>
      <c r="Y237" s="9"/>
      <c r="Z237" s="9"/>
      <c r="AA237" s="9"/>
      <c r="AB237" s="4"/>
      <c r="AC237" s="9"/>
      <c r="AD237" s="4"/>
      <c r="AE237" s="2"/>
      <c r="AF237" s="4"/>
      <c r="AG237" s="4"/>
      <c r="AH237" s="4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</row>
    <row customHeight="true" ht="19" r="238">
      <c r="A238" s="14"/>
      <c r="B238" s="14"/>
      <c r="C238" s="14"/>
      <c r="D238" s="14"/>
      <c r="E238" s="4"/>
      <c r="F238" s="9"/>
      <c r="G238" s="4"/>
      <c r="H238" s="4"/>
      <c r="I238" s="9"/>
      <c r="J238" s="27"/>
      <c r="K238" s="27"/>
      <c r="L238" s="9"/>
      <c r="M238" s="9"/>
      <c r="N238" s="27"/>
      <c r="O238" s="27"/>
      <c r="P238" s="9"/>
      <c r="Q238" s="4"/>
      <c r="R238" s="4"/>
      <c r="S238" s="9"/>
      <c r="T238" s="4"/>
      <c r="U238" s="4"/>
      <c r="V238" s="9"/>
      <c r="W238" s="9"/>
      <c r="X238" s="9"/>
      <c r="Y238" s="9"/>
      <c r="Z238" s="9"/>
      <c r="AA238" s="9"/>
      <c r="AB238" s="4"/>
      <c r="AC238" s="9"/>
      <c r="AD238" s="4"/>
      <c r="AE238" s="2"/>
      <c r="AF238" s="4"/>
      <c r="AG238" s="4"/>
      <c r="AH238" s="4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</row>
    <row customHeight="true" ht="19" r="239">
      <c r="A239" s="14"/>
      <c r="B239" s="14"/>
      <c r="C239" s="14"/>
      <c r="D239" s="14"/>
      <c r="E239" s="4"/>
      <c r="F239" s="9"/>
      <c r="G239" s="4"/>
      <c r="H239" s="4"/>
      <c r="I239" s="9"/>
      <c r="J239" s="27"/>
      <c r="K239" s="27"/>
      <c r="L239" s="9"/>
      <c r="M239" s="9"/>
      <c r="N239" s="27"/>
      <c r="O239" s="27"/>
      <c r="P239" s="9"/>
      <c r="Q239" s="4"/>
      <c r="R239" s="4"/>
      <c r="S239" s="9"/>
      <c r="T239" s="4"/>
      <c r="U239" s="4"/>
      <c r="V239" s="9"/>
      <c r="W239" s="9"/>
      <c r="X239" s="9"/>
      <c r="Y239" s="9"/>
      <c r="Z239" s="9"/>
      <c r="AA239" s="9"/>
      <c r="AB239" s="4"/>
      <c r="AC239" s="9"/>
      <c r="AD239" s="4"/>
      <c r="AE239" s="2"/>
      <c r="AF239" s="4"/>
      <c r="AG239" s="4"/>
      <c r="AH239" s="4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</row>
    <row customHeight="true" ht="19" r="240">
      <c r="A240" s="14"/>
      <c r="B240" s="14"/>
      <c r="C240" s="14"/>
      <c r="D240" s="14"/>
      <c r="E240" s="4"/>
      <c r="F240" s="9"/>
      <c r="G240" s="4"/>
      <c r="H240" s="4"/>
      <c r="I240" s="9"/>
      <c r="J240" s="27"/>
      <c r="K240" s="27"/>
      <c r="L240" s="9"/>
      <c r="M240" s="9"/>
      <c r="N240" s="27"/>
      <c r="O240" s="27"/>
      <c r="P240" s="9"/>
      <c r="Q240" s="4"/>
      <c r="R240" s="4"/>
      <c r="S240" s="9"/>
      <c r="T240" s="4"/>
      <c r="U240" s="4"/>
      <c r="V240" s="9"/>
      <c r="W240" s="9"/>
      <c r="X240" s="9"/>
      <c r="Y240" s="9"/>
      <c r="Z240" s="9"/>
      <c r="AA240" s="9"/>
      <c r="AB240" s="4"/>
      <c r="AC240" s="9"/>
      <c r="AD240" s="4"/>
      <c r="AE240" s="2"/>
      <c r="AF240" s="4"/>
      <c r="AG240" s="4"/>
      <c r="AH240" s="4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</row>
    <row customHeight="true" ht="19" r="241">
      <c r="A241" s="14"/>
      <c r="B241" s="14"/>
      <c r="C241" s="14"/>
      <c r="D241" s="14"/>
      <c r="E241" s="4"/>
      <c r="F241" s="9"/>
      <c r="G241" s="4"/>
      <c r="H241" s="4"/>
      <c r="I241" s="9"/>
      <c r="J241" s="27"/>
      <c r="K241" s="27"/>
      <c r="L241" s="9"/>
      <c r="M241" s="9"/>
      <c r="N241" s="27"/>
      <c r="O241" s="27"/>
      <c r="P241" s="9"/>
      <c r="Q241" s="4"/>
      <c r="R241" s="4"/>
      <c r="S241" s="9"/>
      <c r="T241" s="4"/>
      <c r="U241" s="4"/>
      <c r="V241" s="9"/>
      <c r="W241" s="9"/>
      <c r="X241" s="9"/>
      <c r="Y241" s="9"/>
      <c r="Z241" s="9"/>
      <c r="AA241" s="9"/>
      <c r="AB241" s="4"/>
      <c r="AC241" s="9"/>
      <c r="AD241" s="4"/>
      <c r="AE241" s="2"/>
      <c r="AF241" s="4"/>
      <c r="AG241" s="4"/>
      <c r="AH241" s="4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</row>
    <row customHeight="true" ht="19" r="242">
      <c r="A242" s="14"/>
      <c r="B242" s="14"/>
      <c r="C242" s="14"/>
      <c r="D242" s="14"/>
      <c r="E242" s="4"/>
      <c r="F242" s="9"/>
      <c r="G242" s="4"/>
      <c r="H242" s="4"/>
      <c r="I242" s="9"/>
      <c r="J242" s="27"/>
      <c r="K242" s="27"/>
      <c r="L242" s="9"/>
      <c r="M242" s="9"/>
      <c r="N242" s="27"/>
      <c r="O242" s="27"/>
      <c r="P242" s="9"/>
      <c r="Q242" s="4"/>
      <c r="R242" s="4"/>
      <c r="S242" s="9"/>
      <c r="T242" s="4"/>
      <c r="U242" s="4"/>
      <c r="V242" s="9"/>
      <c r="W242" s="9"/>
      <c r="X242" s="9"/>
      <c r="Y242" s="9"/>
      <c r="Z242" s="9"/>
      <c r="AA242" s="9"/>
      <c r="AB242" s="4"/>
      <c r="AC242" s="9"/>
      <c r="AD242" s="4"/>
      <c r="AE242" s="2"/>
      <c r="AF242" s="4"/>
      <c r="AG242" s="4"/>
      <c r="AH242" s="4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</row>
    <row customHeight="true" ht="19" r="243">
      <c r="A243" s="14"/>
      <c r="B243" s="14"/>
      <c r="C243" s="14"/>
      <c r="D243" s="14"/>
      <c r="E243" s="4"/>
      <c r="F243" s="9"/>
      <c r="G243" s="4"/>
      <c r="H243" s="4"/>
      <c r="I243" s="9"/>
      <c r="J243" s="27"/>
      <c r="K243" s="27"/>
      <c r="L243" s="9"/>
      <c r="M243" s="9"/>
      <c r="N243" s="27"/>
      <c r="O243" s="27"/>
      <c r="P243" s="9"/>
      <c r="Q243" s="4"/>
      <c r="R243" s="4"/>
      <c r="S243" s="9"/>
      <c r="T243" s="4"/>
      <c r="U243" s="4"/>
      <c r="V243" s="9"/>
      <c r="W243" s="9"/>
      <c r="X243" s="9"/>
      <c r="Y243" s="9"/>
      <c r="Z243" s="9"/>
      <c r="AA243" s="9"/>
      <c r="AB243" s="4"/>
      <c r="AC243" s="9"/>
      <c r="AD243" s="4"/>
      <c r="AE243" s="2"/>
      <c r="AF243" s="4"/>
      <c r="AG243" s="4"/>
      <c r="AH243" s="4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</row>
    <row customHeight="true" ht="19" r="244">
      <c r="A244" s="14"/>
      <c r="B244" s="14"/>
      <c r="C244" s="14"/>
      <c r="D244" s="14"/>
      <c r="E244" s="4"/>
      <c r="F244" s="9"/>
      <c r="G244" s="4"/>
      <c r="H244" s="4"/>
      <c r="I244" s="9"/>
      <c r="J244" s="27"/>
      <c r="K244" s="27"/>
      <c r="L244" s="9"/>
      <c r="M244" s="9"/>
      <c r="N244" s="27"/>
      <c r="O244" s="27"/>
      <c r="P244" s="9"/>
      <c r="Q244" s="4"/>
      <c r="R244" s="4"/>
      <c r="S244" s="9"/>
      <c r="T244" s="4"/>
      <c r="U244" s="4"/>
      <c r="V244" s="9"/>
      <c r="W244" s="9"/>
      <c r="X244" s="9"/>
      <c r="Y244" s="9"/>
      <c r="Z244" s="9"/>
      <c r="AA244" s="9"/>
      <c r="AB244" s="4"/>
      <c r="AC244" s="9"/>
      <c r="AD244" s="4"/>
      <c r="AE244" s="2"/>
      <c r="AF244" s="4"/>
      <c r="AG244" s="4"/>
      <c r="AH244" s="4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</row>
    <row customHeight="true" ht="19" r="245">
      <c r="A245" s="14"/>
      <c r="B245" s="14"/>
      <c r="C245" s="14"/>
      <c r="D245" s="14"/>
      <c r="E245" s="4"/>
      <c r="F245" s="9"/>
      <c r="G245" s="4"/>
      <c r="H245" s="4"/>
      <c r="I245" s="9"/>
      <c r="J245" s="27"/>
      <c r="K245" s="27"/>
      <c r="L245" s="9"/>
      <c r="M245" s="9"/>
      <c r="N245" s="27"/>
      <c r="O245" s="27"/>
      <c r="P245" s="9"/>
      <c r="Q245" s="4"/>
      <c r="R245" s="4"/>
      <c r="S245" s="9"/>
      <c r="T245" s="4"/>
      <c r="U245" s="4"/>
      <c r="V245" s="9"/>
      <c r="W245" s="9"/>
      <c r="X245" s="9"/>
      <c r="Y245" s="9"/>
      <c r="Z245" s="9"/>
      <c r="AA245" s="9"/>
      <c r="AB245" s="4"/>
      <c r="AC245" s="9"/>
      <c r="AD245" s="4"/>
      <c r="AE245" s="2"/>
      <c r="AF245" s="4"/>
      <c r="AG245" s="4"/>
      <c r="AH245" s="4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</row>
    <row customHeight="true" ht="19" r="246">
      <c r="A246" s="14"/>
      <c r="B246" s="14"/>
      <c r="C246" s="14"/>
      <c r="D246" s="14"/>
      <c r="E246" s="4"/>
      <c r="F246" s="9"/>
      <c r="G246" s="4"/>
      <c r="H246" s="4"/>
      <c r="I246" s="9"/>
      <c r="J246" s="27"/>
      <c r="K246" s="27"/>
      <c r="L246" s="9"/>
      <c r="M246" s="9"/>
      <c r="N246" s="27"/>
      <c r="O246" s="27"/>
      <c r="P246" s="9"/>
      <c r="Q246" s="4"/>
      <c r="R246" s="4"/>
      <c r="S246" s="9"/>
      <c r="T246" s="4"/>
      <c r="U246" s="4"/>
      <c r="V246" s="9"/>
      <c r="W246" s="9"/>
      <c r="X246" s="9"/>
      <c r="Y246" s="9"/>
      <c r="Z246" s="9"/>
      <c r="AA246" s="9"/>
      <c r="AB246" s="4"/>
      <c r="AC246" s="9"/>
      <c r="AD246" s="4"/>
      <c r="AE246" s="2"/>
      <c r="AF246" s="4"/>
      <c r="AG246" s="4"/>
      <c r="AH246" s="4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</row>
    <row customHeight="true" ht="19" r="247">
      <c r="A247" s="14"/>
      <c r="B247" s="14"/>
      <c r="C247" s="14"/>
      <c r="D247" s="14"/>
      <c r="E247" s="4"/>
      <c r="F247" s="9"/>
      <c r="G247" s="4"/>
      <c r="H247" s="4"/>
      <c r="I247" s="9"/>
      <c r="J247" s="27"/>
      <c r="K247" s="27"/>
      <c r="L247" s="9"/>
      <c r="M247" s="9"/>
      <c r="N247" s="27"/>
      <c r="O247" s="27"/>
      <c r="P247" s="9"/>
      <c r="Q247" s="4"/>
      <c r="R247" s="4"/>
      <c r="S247" s="9"/>
      <c r="T247" s="4"/>
      <c r="U247" s="4"/>
      <c r="V247" s="9"/>
      <c r="W247" s="9"/>
      <c r="X247" s="9"/>
      <c r="Y247" s="9"/>
      <c r="Z247" s="9"/>
      <c r="AA247" s="9"/>
      <c r="AB247" s="4"/>
      <c r="AC247" s="9"/>
      <c r="AD247" s="4"/>
      <c r="AE247" s="2"/>
      <c r="AF247" s="4"/>
      <c r="AG247" s="4"/>
      <c r="AH247" s="4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</row>
    <row customHeight="true" ht="19" r="248">
      <c r="A248" s="4" t="str" xml:space="preserve">
        <v> </v>
      </c>
      <c r="B248" s="14" t="str" xml:space="preserve">
        <v> </v>
      </c>
      <c r="C248" s="14"/>
      <c r="D248" s="14"/>
      <c r="E248" s="34">
        <f>IF(F248="", "", TEXTJOIN("_", TRUE, F248:O248))</f>
      </c>
      <c r="F248" s="28" t="str">
        <v>SM</v>
      </c>
      <c r="G248" s="32" t="str">
        <v>City</v>
      </c>
      <c r="H248" s="32" t="str">
        <v>GroundLine</v>
      </c>
      <c r="I248" s="28"/>
      <c r="J248" s="28" t="str">
        <v>Road</v>
      </c>
      <c r="K248" s="31" t="str">
        <v>TCross</v>
      </c>
      <c r="L248" s="28" t="str">
        <v>C</v>
      </c>
      <c r="M248" s="28" t="str">
        <v>Double</v>
      </c>
      <c r="N248" s="33"/>
      <c r="O248" s="33">
        <v>5</v>
      </c>
      <c r="P248" s="28"/>
      <c r="Q248" s="32">
        <f>"World_"&amp;VLOOKUP(G248,'引用列表'!Q:R,2,FALSE)&amp;"_"&amp;G248</f>
      </c>
      <c r="R248" s="32"/>
      <c r="S248" s="29">
        <f>IF(AE248="✅", "/Script/Engine.StaticMesh'/Game/Item/Mesh/Voxel/" &amp; Q248 &amp; "/" &amp; TEXTJOIN("_", TRUE, H248, I248) &amp; "/" &amp; E248 &amp; "." &amp; E248 &amp; "'", "")</f>
      </c>
      <c r="T248" s="32" t="str">
        <v>Open5</v>
      </c>
      <c r="U248" s="32" t="str">
        <v>Open6</v>
      </c>
      <c r="V248" s="28"/>
      <c r="W248" s="28"/>
      <c r="X248" s="29" t="str">
        <v>Road</v>
      </c>
      <c r="Y248" s="29" t="str">
        <v>Road</v>
      </c>
      <c r="Z248" s="28"/>
      <c r="AA248" s="28"/>
      <c r="AB248" s="32" t="b">
        <v>0</v>
      </c>
      <c r="AC248" s="28"/>
      <c r="AD248" s="32"/>
      <c r="AE248" s="74"/>
      <c r="AF248" s="32"/>
      <c r="AG248" s="32"/>
      <c r="AH248" s="32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</row>
    <row r="249">
      <c r="A249" s="4" t="str" xml:space="preserve">
        <v> </v>
      </c>
      <c r="B249" s="14" t="str" xml:space="preserve">
        <v> </v>
      </c>
      <c r="C249" s="14"/>
      <c r="D249" s="14"/>
      <c r="E249" s="34">
        <f>IF(F249="", "", TEXTJOIN("_", TRUE, F249:O249))</f>
      </c>
      <c r="F249" s="28" t="str">
        <v>SM</v>
      </c>
      <c r="G249" s="32" t="str">
        <v>City</v>
      </c>
      <c r="H249" s="32" t="str">
        <v>GroundLine</v>
      </c>
      <c r="I249" s="28"/>
      <c r="J249" s="28" t="str">
        <v>SidewalkToRoad</v>
      </c>
      <c r="K249" s="31" t="str">
        <v>TCross</v>
      </c>
      <c r="L249" s="28" t="str">
        <v>C</v>
      </c>
      <c r="M249" s="28" t="str">
        <v>Double</v>
      </c>
      <c r="N249" s="33"/>
      <c r="O249" s="33">
        <v>6</v>
      </c>
      <c r="P249" s="28"/>
      <c r="Q249" s="32">
        <f>"World_"&amp;VLOOKUP(G249,'引用列表'!Q:R,2,FALSE)&amp;"_"&amp;G249</f>
      </c>
      <c r="R249" s="32"/>
      <c r="S249" s="29">
        <f>IF(AE249="✅", "/Script/Engine.StaticMesh'/Game/Item/Mesh/Voxel/" &amp; Q249 &amp; "/" &amp; TEXTJOIN("_", TRUE, H249, I249) &amp; "/" &amp; E249 &amp; "." &amp; E249 &amp; "'", "")</f>
      </c>
      <c r="T249" s="32" t="str">
        <v>Open6</v>
      </c>
      <c r="U249" s="32" t="str">
        <v>Open</v>
      </c>
      <c r="V249" s="28"/>
      <c r="W249" s="28"/>
      <c r="X249" s="29" t="str">
        <v>Road</v>
      </c>
      <c r="Y249" s="29" t="str">
        <v>Sidewalk</v>
      </c>
      <c r="Z249" s="28"/>
      <c r="AA249" s="28"/>
      <c r="AB249" s="32" t="b">
        <v>0</v>
      </c>
      <c r="AC249" s="28"/>
      <c r="AD249" s="32"/>
      <c r="AE249" s="74"/>
      <c r="AF249" s="32"/>
      <c r="AG249" s="32"/>
      <c r="AH249" s="32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</row>
    <row customHeight="true" ht="19" r="250">
      <c r="A250" s="4" t="str" xml:space="preserve">
        <v> </v>
      </c>
      <c r="B250" s="14" t="str" xml:space="preserve">
        <v> </v>
      </c>
      <c r="C250" s="14"/>
      <c r="D250" s="14"/>
      <c r="E250" s="78">
        <f>IF(F250="", "", TEXTJOIN("_", TRUE, F250:O250))</f>
      </c>
      <c r="F250" s="91" t="str">
        <v>SM</v>
      </c>
      <c r="G250" s="92" t="str">
        <v>City</v>
      </c>
      <c r="H250" s="92" t="str">
        <v>GroundLine</v>
      </c>
      <c r="I250" s="91"/>
      <c r="J250" s="91" t="str">
        <v>Road</v>
      </c>
      <c r="K250" s="80" t="str">
        <v>CrossRoad</v>
      </c>
      <c r="L250" s="91" t="str">
        <v>C</v>
      </c>
      <c r="M250" s="91" t="str">
        <v>Double</v>
      </c>
      <c r="N250" s="93"/>
      <c r="O250" s="93">
        <v>4</v>
      </c>
      <c r="P250" s="91"/>
      <c r="Q250" s="92">
        <f>"World_"&amp;VLOOKUP(G250,'引用列表'!Q:R,2,FALSE)&amp;"_"&amp;G250</f>
      </c>
      <c r="R250" s="92"/>
      <c r="S250" s="79">
        <f>IF(AE250="✅", "/Script/Engine.StaticMesh'/Game/Item/Mesh/Voxel/" &amp; Q250 &amp; "/" &amp; TEXTJOIN("_", TRUE, H250, I250) &amp; "/" &amp; E250 &amp; "." &amp; E250 &amp; "'", "")</f>
      </c>
      <c r="T250" s="92" t="str">
        <v>Open4</v>
      </c>
      <c r="U250" s="92" t="str">
        <v>Open5</v>
      </c>
      <c r="V250" s="91"/>
      <c r="W250" s="91"/>
      <c r="X250" s="79" t="str">
        <v>Road</v>
      </c>
      <c r="Y250" s="79" t="str">
        <v>Road</v>
      </c>
      <c r="Z250" s="91"/>
      <c r="AA250" s="91"/>
      <c r="AB250" s="92" t="b">
        <v>0</v>
      </c>
      <c r="AC250" s="91"/>
      <c r="AD250" s="92"/>
      <c r="AE250" s="94"/>
      <c r="AF250" s="92"/>
      <c r="AG250" s="92"/>
      <c r="AH250" s="92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</row>
    <row customHeight="true" ht="19" r="251">
      <c r="A251" s="4" t="str" xml:space="preserve">
        <v> </v>
      </c>
      <c r="B251" s="14" t="str" xml:space="preserve">
        <v> </v>
      </c>
      <c r="C251" s="14"/>
      <c r="D251" s="14"/>
      <c r="E251" s="78">
        <f>IF(F251="", "", TEXTJOIN("_", TRUE, F251:O251))</f>
      </c>
      <c r="F251" s="91" t="str">
        <v>SM</v>
      </c>
      <c r="G251" s="92" t="str">
        <v>City</v>
      </c>
      <c r="H251" s="92" t="str">
        <v>GroundLine</v>
      </c>
      <c r="I251" s="91"/>
      <c r="J251" s="91" t="str">
        <v>Road</v>
      </c>
      <c r="K251" s="80" t="str">
        <v>CrossRoad</v>
      </c>
      <c r="L251" s="91" t="str">
        <v>C</v>
      </c>
      <c r="M251" s="91" t="str">
        <v>Double</v>
      </c>
      <c r="N251" s="93"/>
      <c r="O251" s="93">
        <v>5</v>
      </c>
      <c r="P251" s="91"/>
      <c r="Q251" s="92">
        <f>"World_"&amp;VLOOKUP(G251,'引用列表'!Q:R,2,FALSE)&amp;"_"&amp;G251</f>
      </c>
      <c r="R251" s="92"/>
      <c r="S251" s="79">
        <f>IF(AE251="✅", "/Script/Engine.StaticMesh'/Game/Item/Mesh/Voxel/" &amp; Q251 &amp; "/" &amp; TEXTJOIN("_", TRUE, H251, I251) &amp; "/" &amp; E251 &amp; "." &amp; E251 &amp; "'", "")</f>
      </c>
      <c r="T251" s="92" t="str">
        <v>Open5</v>
      </c>
      <c r="U251" s="92" t="str">
        <v>Open6</v>
      </c>
      <c r="V251" s="91"/>
      <c r="W251" s="91"/>
      <c r="X251" s="79" t="str">
        <v>Road</v>
      </c>
      <c r="Y251" s="79" t="str">
        <v>Road</v>
      </c>
      <c r="Z251" s="91"/>
      <c r="AA251" s="91"/>
      <c r="AB251" s="92" t="b">
        <v>0</v>
      </c>
      <c r="AC251" s="91"/>
      <c r="AD251" s="92"/>
      <c r="AE251" s="94"/>
      <c r="AF251" s="92"/>
      <c r="AG251" s="92"/>
      <c r="AH251" s="92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</row>
    <row customHeight="true" ht="19" r="252">
      <c r="A252" s="4" t="str" xml:space="preserve">
        <v> </v>
      </c>
      <c r="B252" s="14" t="str" xml:space="preserve">
        <v> </v>
      </c>
      <c r="C252" s="14"/>
      <c r="D252" s="14"/>
      <c r="E252" s="78">
        <f>IF(F252="", "", TEXTJOIN("_", TRUE, F252:O252))</f>
      </c>
      <c r="F252" s="91" t="str">
        <v>SM</v>
      </c>
      <c r="G252" s="92" t="str">
        <v>City</v>
      </c>
      <c r="H252" s="92" t="str">
        <v>GroundLine</v>
      </c>
      <c r="I252" s="91"/>
      <c r="J252" s="91" t="str">
        <v>Road</v>
      </c>
      <c r="K252" s="80" t="str">
        <v>CrossRoad</v>
      </c>
      <c r="L252" s="91" t="str">
        <v>C</v>
      </c>
      <c r="M252" s="91" t="str">
        <v>Double</v>
      </c>
      <c r="N252" s="93"/>
      <c r="O252" s="93">
        <v>6</v>
      </c>
      <c r="P252" s="91"/>
      <c r="Q252" s="92">
        <f>"World_"&amp;VLOOKUP(G252,'引用列表'!Q:R,2,FALSE)&amp;"_"&amp;G252</f>
      </c>
      <c r="R252" s="92"/>
      <c r="S252" s="79">
        <f>IF(AE252="✅", "/Script/Engine.StaticMesh'/Game/Item/Mesh/Voxel/" &amp; Q252 &amp; "/" &amp; TEXTJOIN("_", TRUE, H252, I252) &amp; "/" &amp; E252 &amp; "." &amp; E252 &amp; "'", "")</f>
      </c>
      <c r="T252" s="92" t="str">
        <v>Open6</v>
      </c>
      <c r="U252" s="92" t="str">
        <v>Open7</v>
      </c>
      <c r="V252" s="91"/>
      <c r="W252" s="91"/>
      <c r="X252" s="79" t="str">
        <v>Road</v>
      </c>
      <c r="Y252" s="79" t="str">
        <v>Road</v>
      </c>
      <c r="Z252" s="91"/>
      <c r="AA252" s="91"/>
      <c r="AB252" s="92" t="b">
        <v>0</v>
      </c>
      <c r="AC252" s="91"/>
      <c r="AD252" s="92"/>
      <c r="AE252" s="94"/>
      <c r="AF252" s="92"/>
      <c r="AG252" s="92"/>
      <c r="AH252" s="92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</row>
    <row r="253">
      <c r="A253" s="4" t="str" xml:space="preserve">
        <v> </v>
      </c>
      <c r="B253" s="14" t="str" xml:space="preserve">
        <v> </v>
      </c>
      <c r="C253" s="14"/>
      <c r="D253" s="14"/>
      <c r="E253" s="78">
        <f>IF(F253="", "", TEXTJOIN("_", TRUE, F253:O253))</f>
      </c>
      <c r="F253" s="91" t="str">
        <v>SM</v>
      </c>
      <c r="G253" s="92" t="str">
        <v>City</v>
      </c>
      <c r="H253" s="92" t="str">
        <v>GroundLine</v>
      </c>
      <c r="I253" s="91"/>
      <c r="J253" s="91" t="str">
        <v>SidewalkToRoad</v>
      </c>
      <c r="K253" s="80" t="str">
        <v>CrossRoad</v>
      </c>
      <c r="L253" s="91" t="str">
        <v>T</v>
      </c>
      <c r="M253" s="91" t="str">
        <v>Tri</v>
      </c>
      <c r="N253" s="93"/>
      <c r="O253" s="93"/>
      <c r="P253" s="91"/>
      <c r="Q253" s="92">
        <f>"World_"&amp;VLOOKUP(G253,'引用列表'!Q:R,2,FALSE)&amp;"_"&amp;G253</f>
      </c>
      <c r="R253" s="92"/>
      <c r="S253" s="79">
        <f>IF(AE253="✅", "/Script/Engine.StaticMesh'/Game/Item/Mesh/Voxel/" &amp; Q253 &amp; "/" &amp; TEXTJOIN("_", TRUE, H253, I253) &amp; "/" &amp; E253 &amp; "." &amp; E253 &amp; "'", "")</f>
      </c>
      <c r="T253" s="92" t="str">
        <v>Open7</v>
      </c>
      <c r="U253" s="92" t="str">
        <v>Close</v>
      </c>
      <c r="V253" s="91"/>
      <c r="W253" s="91"/>
      <c r="X253" s="79" t="str">
        <v>Road</v>
      </c>
      <c r="Y253" s="79" t="str">
        <v>Sidewalk</v>
      </c>
      <c r="Z253" s="91"/>
      <c r="AA253" s="91"/>
      <c r="AB253" s="92" t="b">
        <v>0</v>
      </c>
      <c r="AC253" s="91"/>
      <c r="AD253" s="92"/>
      <c r="AE253" s="94"/>
      <c r="AF253" s="92"/>
      <c r="AG253" s="92"/>
      <c r="AH253" s="92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</row>
    <row customHeight="true" ht="19" r="254">
      <c r="A254" s="4" t="str" xml:space="preserve">
        <v> </v>
      </c>
      <c r="B254" s="14" t="str" xml:space="preserve">
        <v> </v>
      </c>
      <c r="C254" s="14"/>
      <c r="D254" s="14"/>
      <c r="E254" s="88">
        <f>IF(F254="", "", TEXTJOIN("_", TRUE, F254:O254))</f>
      </c>
      <c r="F254" s="65" t="str">
        <v>SM</v>
      </c>
      <c r="G254" s="64" t="str">
        <v>City</v>
      </c>
      <c r="H254" s="64" t="str">
        <v>Side</v>
      </c>
      <c r="I254" s="67"/>
      <c r="J254" s="67" t="str">
        <v>House</v>
      </c>
      <c r="K254" s="67" t="str">
        <v>CR</v>
      </c>
      <c r="L254" s="65"/>
      <c r="M254" s="65"/>
      <c r="N254" s="69"/>
      <c r="O254" s="69" t="str">
        <v>B</v>
      </c>
      <c r="P254" s="65"/>
      <c r="Q254" s="64">
        <f>"World_"&amp;VLOOKUP(G254,'引用列表'!Q:R,2,FALSE)&amp;"_"&amp;G254</f>
      </c>
      <c r="R254" s="64"/>
      <c r="S254" s="66">
        <f>IF(AE254="✅", "/Script/Engine.StaticMesh'/Game/Item/Mesh/Voxel/" &amp; Q254 &amp; "/" &amp; TEXTJOIN("_", TRUE, H254, I254) &amp; "/" &amp; E254 &amp; "." &amp; E254 &amp; "'", "")</f>
      </c>
      <c r="T254" s="65" t="str">
        <v>Close</v>
      </c>
      <c r="U254" s="65" t="str">
        <v>Open</v>
      </c>
      <c r="V254" s="65" t="str">
        <v>Close</v>
      </c>
      <c r="W254" s="65" t="str">
        <v>Close</v>
      </c>
      <c r="X254" s="65"/>
      <c r="Y254" s="67" t="str">
        <v>HouseCR</v>
      </c>
      <c r="Z254" s="65"/>
      <c r="AA254" s="65"/>
      <c r="AB254" s="64" t="b">
        <v>0</v>
      </c>
      <c r="AC254" s="65"/>
      <c r="AD254" s="64"/>
      <c r="AE254" s="90"/>
      <c r="AF254" s="64"/>
      <c r="AG254" s="64">
        <f>"MI_" &amp; #REF!</f>
      </c>
      <c r="AH254" s="64">
        <f>"T_" &amp; #REF!</f>
      </c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</row>
    <row customHeight="true" ht="19" r="255">
      <c r="A255" s="4" t="str" xml:space="preserve">
        <v> </v>
      </c>
      <c r="B255" s="14" t="str" xml:space="preserve">
        <v> </v>
      </c>
      <c r="C255" s="14"/>
      <c r="D255" s="14"/>
      <c r="E255" s="88">
        <f>IF(F255="", "", TEXTJOIN("_", TRUE, F255:O255))</f>
      </c>
      <c r="F255" s="65" t="str">
        <v>SM</v>
      </c>
      <c r="G255" s="64" t="str">
        <v>City</v>
      </c>
      <c r="H255" s="64" t="str">
        <v>Side</v>
      </c>
      <c r="I255" s="67"/>
      <c r="J255" s="67" t="str">
        <v>House</v>
      </c>
      <c r="K255" s="67" t="str">
        <v>CR</v>
      </c>
      <c r="L255" s="65"/>
      <c r="M255" s="65"/>
      <c r="N255" s="69"/>
      <c r="O255" s="69" t="str">
        <v>F</v>
      </c>
      <c r="P255" s="65"/>
      <c r="Q255" s="64">
        <f>"World_"&amp;VLOOKUP(G255,'引用列表'!Q:R,2,FALSE)&amp;"_"&amp;G255</f>
      </c>
      <c r="R255" s="64"/>
      <c r="S255" s="66">
        <f>IF(AE255="✅", "/Script/Engine.StaticMesh'/Game/Item/Mesh/Voxel/" &amp; Q255 &amp; "/" &amp; TEXTJOIN("_", TRUE, H255, I255) &amp; "/" &amp; E255 &amp; "." &amp; E255 &amp; "'", "")</f>
      </c>
      <c r="T255" s="65" t="str">
        <v>Open</v>
      </c>
      <c r="U255" s="65" t="str">
        <v>Close</v>
      </c>
      <c r="V255" s="65" t="str">
        <v>Close</v>
      </c>
      <c r="W255" s="65" t="str">
        <v>Close</v>
      </c>
      <c r="X255" s="67" t="str">
        <v>HouseCR</v>
      </c>
      <c r="Y255" s="65"/>
      <c r="Z255" s="65"/>
      <c r="AA255" s="65"/>
      <c r="AB255" s="64" t="b">
        <v>0</v>
      </c>
      <c r="AC255" s="65"/>
      <c r="AD255" s="64"/>
      <c r="AE255" s="90"/>
      <c r="AF255" s="64"/>
      <c r="AG255" s="64">
        <f>"MI_" &amp; #REF!</f>
      </c>
      <c r="AH255" s="64">
        <f>"T_" &amp; #REF!</f>
      </c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</row>
    <row customHeight="true" ht="19" r="256">
      <c r="A256" s="4" t="str" xml:space="preserve">
        <v> </v>
      </c>
      <c r="B256" s="14" t="str" xml:space="preserve">
        <v> </v>
      </c>
      <c r="C256" s="14"/>
      <c r="D256" s="14"/>
      <c r="E256" s="88">
        <f>IF(F256="", "", TEXTJOIN("_", TRUE, F256:O256))</f>
      </c>
      <c r="F256" s="65" t="str">
        <v>SM</v>
      </c>
      <c r="G256" s="64" t="str">
        <v>City</v>
      </c>
      <c r="H256" s="64" t="str">
        <v>Side</v>
      </c>
      <c r="I256" s="67"/>
      <c r="J256" s="67" t="str">
        <v>House</v>
      </c>
      <c r="K256" s="67" t="str">
        <v>CR</v>
      </c>
      <c r="L256" s="65"/>
      <c r="M256" s="65"/>
      <c r="N256" s="69"/>
      <c r="O256" s="69" t="str">
        <v>Loop</v>
      </c>
      <c r="P256" s="65"/>
      <c r="Q256" s="64">
        <f>"World_"&amp;VLOOKUP(G256,'引用列表'!Q:R,2,FALSE)&amp;"_"&amp;G256</f>
      </c>
      <c r="R256" s="64"/>
      <c r="S256" s="66">
        <f>IF(AE256="✅", "/Script/Engine.StaticMesh'/Game/Item/Mesh/Voxel/" &amp; Q256 &amp; "/" &amp; TEXTJOIN("_", TRUE, H256, I256) &amp; "/" &amp; E256 &amp; "." &amp; E256 &amp; "'", "")</f>
      </c>
      <c r="T256" s="65" t="str">
        <v>Open</v>
      </c>
      <c r="U256" s="65" t="str">
        <v>Open</v>
      </c>
      <c r="V256" s="65" t="str">
        <v>Close</v>
      </c>
      <c r="W256" s="65" t="str">
        <v>Close</v>
      </c>
      <c r="X256" s="67" t="str">
        <v>HouseCR</v>
      </c>
      <c r="Y256" s="67" t="str">
        <v>HouseCR</v>
      </c>
      <c r="Z256" s="65"/>
      <c r="AA256" s="65"/>
      <c r="AB256" s="64" t="b">
        <v>0</v>
      </c>
      <c r="AC256" s="65"/>
      <c r="AD256" s="64"/>
      <c r="AE256" s="90"/>
      <c r="AF256" s="64"/>
      <c r="AG256" s="64">
        <f>"MI_" &amp; #REF!</f>
      </c>
      <c r="AH256" s="64">
        <f>"T_" &amp; #REF!</f>
      </c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</row>
    <row customHeight="true" ht="19" r="257">
      <c r="A257" s="4" t="str" xml:space="preserve">
        <v> </v>
      </c>
      <c r="B257" s="14" t="str" xml:space="preserve">
        <v> </v>
      </c>
      <c r="C257" s="14"/>
      <c r="D257" s="14"/>
      <c r="E257" s="88">
        <f>IF(F257="", "", TEXTJOIN("_", TRUE, F257:O257))</f>
      </c>
      <c r="F257" s="65" t="str">
        <v>SM</v>
      </c>
      <c r="G257" s="64" t="str">
        <v>City</v>
      </c>
      <c r="H257" s="64" t="str">
        <v>Side</v>
      </c>
      <c r="I257" s="67"/>
      <c r="J257" s="67" t="str">
        <v>House</v>
      </c>
      <c r="K257" s="67" t="str">
        <v>CR</v>
      </c>
      <c r="L257" s="65"/>
      <c r="M257" s="65"/>
      <c r="N257" s="69"/>
      <c r="O257" s="69" t="str">
        <v>Single</v>
      </c>
      <c r="P257" s="65"/>
      <c r="Q257" s="64">
        <f>"World_"&amp;VLOOKUP(G257,'引用列表'!Q:R,2,FALSE)&amp;"_"&amp;G257</f>
      </c>
      <c r="R257" s="64"/>
      <c r="S257" s="66">
        <f>IF(AE257="✅", "/Script/Engine.StaticMesh'/Game/Item/Mesh/Voxel/" &amp; Q257 &amp; "/" &amp; TEXTJOIN("_", TRUE, H257, I257) &amp; "/" &amp; E257 &amp; "." &amp; E257 &amp; "'", "")</f>
      </c>
      <c r="T257" s="65" t="str">
        <v>Close</v>
      </c>
      <c r="U257" s="65" t="str">
        <v>Close</v>
      </c>
      <c r="V257" s="65" t="str">
        <v>Close</v>
      </c>
      <c r="W257" s="65" t="str">
        <v>Close</v>
      </c>
      <c r="X257" s="65"/>
      <c r="Y257" s="65"/>
      <c r="Z257" s="65"/>
      <c r="AA257" s="65"/>
      <c r="AB257" s="64" t="b">
        <v>0</v>
      </c>
      <c r="AC257" s="65"/>
      <c r="AD257" s="64"/>
      <c r="AE257" s="90"/>
      <c r="AF257" s="64"/>
      <c r="AG257" s="64">
        <f>"MI_" &amp; #REF!</f>
      </c>
      <c r="AH257" s="64">
        <f>"T_" &amp; #REF!</f>
      </c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</row>
    <row customHeight="true" ht="19" r="258">
      <c r="A258" s="4" t="str" xml:space="preserve">
        <v> </v>
      </c>
      <c r="B258" s="14" t="str" xml:space="preserve">
        <v> </v>
      </c>
      <c r="C258" s="14"/>
      <c r="D258" s="14"/>
      <c r="E258" s="25">
        <f>IF(F258="", "", TEXTJOIN("_", TRUE, F258:O258))</f>
      </c>
      <c r="F258" s="21" t="str">
        <v>SM</v>
      </c>
      <c r="G258" s="20" t="str">
        <v>City</v>
      </c>
      <c r="H258" s="20" t="str">
        <v>Side</v>
      </c>
      <c r="I258" s="23"/>
      <c r="J258" s="23" t="str">
        <v>House</v>
      </c>
      <c r="K258" s="23" t="str">
        <v>HB</v>
      </c>
      <c r="L258" s="21"/>
      <c r="M258" s="21"/>
      <c r="N258" s="21"/>
      <c r="O258" s="21" t="str">
        <v>B</v>
      </c>
      <c r="P258" s="21"/>
      <c r="Q258" s="20">
        <f>"World_"&amp;VLOOKUP(G258,'引用列表'!Q:R,2,FALSE)&amp;"_"&amp;G258</f>
      </c>
      <c r="R258" s="20"/>
      <c r="S258" s="19">
        <f>IF(AE258="✅", "/Script/Engine.StaticMesh'/Game/Item/Mesh/Voxel/" &amp; Q258 &amp; "/" &amp; TEXTJOIN("_", TRUE, H258, I258) &amp; "/" &amp; E258 &amp; "." &amp; E258 &amp; "'", "")</f>
      </c>
      <c r="T258" s="21" t="str">
        <v>Close</v>
      </c>
      <c r="U258" s="21" t="str">
        <v>Open</v>
      </c>
      <c r="V258" s="21" t="str">
        <v>Close</v>
      </c>
      <c r="W258" s="21" t="str">
        <v>Close</v>
      </c>
      <c r="X258" s="21"/>
      <c r="Y258" s="23" t="str">
        <v>HouseHB</v>
      </c>
      <c r="Z258" s="21"/>
      <c r="AA258" s="21"/>
      <c r="AB258" s="20" t="b">
        <v>0</v>
      </c>
      <c r="AC258" s="21"/>
      <c r="AD258" s="20"/>
      <c r="AE258" s="95"/>
      <c r="AF258" s="20"/>
      <c r="AG258" s="20">
        <f>"MI_" &amp; #REF!</f>
      </c>
      <c r="AH258" s="20">
        <f>"T_" &amp; #REF!</f>
      </c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</row>
    <row customHeight="true" ht="19" r="259">
      <c r="A259" s="4" t="str" xml:space="preserve">
        <v> </v>
      </c>
      <c r="B259" s="14" t="str" xml:space="preserve">
        <v> </v>
      </c>
      <c r="C259" s="14"/>
      <c r="D259" s="14"/>
      <c r="E259" s="25">
        <f>IF(F259="", "", TEXTJOIN("_", TRUE, F259:O259))</f>
      </c>
      <c r="F259" s="21" t="str">
        <v>SM</v>
      </c>
      <c r="G259" s="20" t="str">
        <v>City</v>
      </c>
      <c r="H259" s="20" t="str">
        <v>Side</v>
      </c>
      <c r="I259" s="23"/>
      <c r="J259" s="23" t="str">
        <v>House</v>
      </c>
      <c r="K259" s="23" t="str">
        <v>HB</v>
      </c>
      <c r="L259" s="21"/>
      <c r="M259" s="21"/>
      <c r="N259" s="21"/>
      <c r="O259" s="21" t="str">
        <v>F</v>
      </c>
      <c r="P259" s="21"/>
      <c r="Q259" s="20">
        <f>"World_"&amp;VLOOKUP(G259,'引用列表'!Q:R,2,FALSE)&amp;"_"&amp;G259</f>
      </c>
      <c r="R259" s="20"/>
      <c r="S259" s="19">
        <f>IF(AE259="✅", "/Script/Engine.StaticMesh'/Game/Item/Mesh/Voxel/" &amp; Q259 &amp; "/" &amp; TEXTJOIN("_", TRUE, H259, I259) &amp; "/" &amp; E259 &amp; "." &amp; E259 &amp; "'", "")</f>
      </c>
      <c r="T259" s="21" t="str">
        <v>Open</v>
      </c>
      <c r="U259" s="21" t="str">
        <v>Close</v>
      </c>
      <c r="V259" s="21" t="str">
        <v>Close</v>
      </c>
      <c r="W259" s="21" t="str">
        <v>Close</v>
      </c>
      <c r="X259" s="23" t="str">
        <v>HouseHB</v>
      </c>
      <c r="Y259" s="21"/>
      <c r="Z259" s="21"/>
      <c r="AA259" s="21"/>
      <c r="AB259" s="20" t="b">
        <v>0</v>
      </c>
      <c r="AC259" s="21"/>
      <c r="AD259" s="20"/>
      <c r="AE259" s="95"/>
      <c r="AF259" s="20"/>
      <c r="AG259" s="20">
        <f>"MI_" &amp; #REF!</f>
      </c>
      <c r="AH259" s="20">
        <f>"T_" &amp; #REF!</f>
      </c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</row>
    <row customHeight="true" ht="19" r="260">
      <c r="A260" s="4" t="str" xml:space="preserve">
        <v> </v>
      </c>
      <c r="B260" s="14" t="str" xml:space="preserve">
        <v> </v>
      </c>
      <c r="C260" s="14"/>
      <c r="D260" s="14"/>
      <c r="E260" s="25">
        <f>IF(F260="", "", TEXTJOIN("_", TRUE, F260:O260))</f>
      </c>
      <c r="F260" s="21" t="str">
        <v>SM</v>
      </c>
      <c r="G260" s="20" t="str">
        <v>City</v>
      </c>
      <c r="H260" s="20" t="str">
        <v>Side</v>
      </c>
      <c r="I260" s="23"/>
      <c r="J260" s="23" t="str">
        <v>House</v>
      </c>
      <c r="K260" s="23" t="str">
        <v>HB</v>
      </c>
      <c r="L260" s="21"/>
      <c r="M260" s="21"/>
      <c r="N260" s="21"/>
      <c r="O260" s="21" t="str">
        <v>Loop</v>
      </c>
      <c r="P260" s="21"/>
      <c r="Q260" s="20">
        <f>"World_"&amp;VLOOKUP(G260,'引用列表'!Q:R,2,FALSE)&amp;"_"&amp;G260</f>
      </c>
      <c r="R260" s="20"/>
      <c r="S260" s="19">
        <f>IF(AE260="✅", "/Script/Engine.StaticMesh'/Game/Item/Mesh/Voxel/" &amp; Q260 &amp; "/" &amp; TEXTJOIN("_", TRUE, H260, I260) &amp; "/" &amp; E260 &amp; "." &amp; E260 &amp; "'", "")</f>
      </c>
      <c r="T260" s="21" t="str">
        <v>Open</v>
      </c>
      <c r="U260" s="21" t="str">
        <v>Open</v>
      </c>
      <c r="V260" s="21" t="str">
        <v>Close</v>
      </c>
      <c r="W260" s="21" t="str">
        <v>Close</v>
      </c>
      <c r="X260" s="23" t="str">
        <v>HouseHB</v>
      </c>
      <c r="Y260" s="23" t="str">
        <v>HouseHB</v>
      </c>
      <c r="Z260" s="21"/>
      <c r="AA260" s="21"/>
      <c r="AB260" s="20" t="b">
        <v>0</v>
      </c>
      <c r="AC260" s="21"/>
      <c r="AD260" s="20"/>
      <c r="AE260" s="95"/>
      <c r="AF260" s="20"/>
      <c r="AG260" s="20">
        <f>"MI_" &amp; #REF!</f>
      </c>
      <c r="AH260" s="20">
        <f>"T_" &amp; #REF!</f>
      </c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</row>
    <row customHeight="true" ht="19" r="261">
      <c r="A261" s="4" t="str" xml:space="preserve">
        <v> </v>
      </c>
      <c r="B261" s="14" t="str" xml:space="preserve">
        <v> </v>
      </c>
      <c r="C261" s="14"/>
      <c r="D261" s="14"/>
      <c r="E261" s="25">
        <f>IF(F261="", "", TEXTJOIN("_", TRUE, F261:O261))</f>
      </c>
      <c r="F261" s="21" t="str">
        <v>SM</v>
      </c>
      <c r="G261" s="20" t="str">
        <v>City</v>
      </c>
      <c r="H261" s="20" t="str">
        <v>Side</v>
      </c>
      <c r="I261" s="23"/>
      <c r="J261" s="23" t="str">
        <v>House</v>
      </c>
      <c r="K261" s="23" t="str">
        <v>HB</v>
      </c>
      <c r="L261" s="21"/>
      <c r="M261" s="21"/>
      <c r="N261" s="21"/>
      <c r="O261" s="21" t="str">
        <v>Single</v>
      </c>
      <c r="P261" s="21"/>
      <c r="Q261" s="20">
        <f>"World_"&amp;VLOOKUP(G261,'引用列表'!Q:R,2,FALSE)&amp;"_"&amp;G261</f>
      </c>
      <c r="R261" s="20"/>
      <c r="S261" s="19">
        <f>IF(AE261="✅", "/Script/Engine.StaticMesh'/Game/Item/Mesh/Voxel/" &amp; Q261 &amp; "/" &amp; TEXTJOIN("_", TRUE, H261, I261) &amp; "/" &amp; E261 &amp; "." &amp; E261 &amp; "'", "")</f>
      </c>
      <c r="T261" s="21" t="str">
        <v>Close</v>
      </c>
      <c r="U261" s="21" t="str">
        <v>Close</v>
      </c>
      <c r="V261" s="21" t="str">
        <v>Close</v>
      </c>
      <c r="W261" s="21" t="str">
        <v>Close</v>
      </c>
      <c r="X261" s="21"/>
      <c r="Y261" s="21"/>
      <c r="Z261" s="21"/>
      <c r="AA261" s="21"/>
      <c r="AB261" s="20" t="b">
        <v>0</v>
      </c>
      <c r="AC261" s="21"/>
      <c r="AD261" s="20"/>
      <c r="AE261" s="95"/>
      <c r="AF261" s="20"/>
      <c r="AG261" s="20">
        <f>"MI_" &amp; #REF!</f>
      </c>
      <c r="AH261" s="20">
        <f>"T_" &amp; #REF!</f>
      </c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</row>
    <row customHeight="true" ht="19" r="262">
      <c r="A262" s="4" t="str" xml:space="preserve">
        <v> </v>
      </c>
      <c r="B262" s="14" t="str" xml:space="preserve">
        <v> </v>
      </c>
      <c r="C262" s="14"/>
      <c r="D262" s="14"/>
      <c r="E262" s="71">
        <f>IF(F262="", "", TEXTJOIN("_", TRUE, F262:O262))</f>
      </c>
      <c r="F262" s="60" t="str">
        <v>SM</v>
      </c>
      <c r="G262" s="61" t="str">
        <v>City</v>
      </c>
      <c r="H262" s="61" t="str">
        <v>Side</v>
      </c>
      <c r="I262" s="58"/>
      <c r="J262" s="58" t="str">
        <v>House</v>
      </c>
      <c r="K262" s="58" t="str">
        <v>ML</v>
      </c>
      <c r="L262" s="60"/>
      <c r="M262" s="60"/>
      <c r="N262" s="63"/>
      <c r="O262" s="63" t="str">
        <v>B</v>
      </c>
      <c r="P262" s="60"/>
      <c r="Q262" s="61">
        <f>"World_"&amp;VLOOKUP(G262,'引用列表'!Q:R,2,FALSE)&amp;"_"&amp;G262</f>
      </c>
      <c r="R262" s="61"/>
      <c r="S262" s="62">
        <f>IF(AE262="✅", "/Script/Engine.StaticMesh'/Game/Item/Mesh/Voxel/" &amp; Q262 &amp; "/" &amp; TEXTJOIN("_", TRUE, H262, I262) &amp; "/" &amp; E262 &amp; "." &amp; E262 &amp; "'", "")</f>
      </c>
      <c r="T262" s="60" t="str">
        <v>Close</v>
      </c>
      <c r="U262" s="60" t="str">
        <v>Open</v>
      </c>
      <c r="V262" s="60" t="str">
        <v>Close</v>
      </c>
      <c r="W262" s="60" t="str">
        <v>Close</v>
      </c>
      <c r="X262" s="60"/>
      <c r="Y262" s="58" t="str">
        <v>HouseML</v>
      </c>
      <c r="Z262" s="60"/>
      <c r="AA262" s="60"/>
      <c r="AB262" s="61" t="b">
        <v>0</v>
      </c>
      <c r="AC262" s="60"/>
      <c r="AD262" s="61"/>
      <c r="AE262" s="87"/>
      <c r="AF262" s="61"/>
      <c r="AG262" s="61">
        <f>"MI_" &amp; #REF!</f>
      </c>
      <c r="AH262" s="61">
        <f>"T_" &amp; #REF!</f>
      </c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</row>
    <row customHeight="true" ht="19" r="263">
      <c r="A263" s="4" t="str" xml:space="preserve">
        <v> </v>
      </c>
      <c r="B263" s="14" t="str" xml:space="preserve">
        <v> </v>
      </c>
      <c r="C263" s="14"/>
      <c r="D263" s="14"/>
      <c r="E263" s="71">
        <f>IF(F263="", "", TEXTJOIN("_", TRUE, F263:O263))</f>
      </c>
      <c r="F263" s="60" t="str">
        <v>SM</v>
      </c>
      <c r="G263" s="61" t="str">
        <v>City</v>
      </c>
      <c r="H263" s="61" t="str">
        <v>Side</v>
      </c>
      <c r="I263" s="58"/>
      <c r="J263" s="58" t="str">
        <v>House</v>
      </c>
      <c r="K263" s="58" t="str">
        <v>ML</v>
      </c>
      <c r="L263" s="60"/>
      <c r="M263" s="60"/>
      <c r="N263" s="63"/>
      <c r="O263" s="63" t="str">
        <v>F</v>
      </c>
      <c r="P263" s="60"/>
      <c r="Q263" s="61">
        <f>"World_"&amp;VLOOKUP(G263,'引用列表'!Q:R,2,FALSE)&amp;"_"&amp;G263</f>
      </c>
      <c r="R263" s="61"/>
      <c r="S263" s="62">
        <f>IF(AE263="✅", "/Script/Engine.StaticMesh'/Game/Item/Mesh/Voxel/" &amp; Q263 &amp; "/" &amp; TEXTJOIN("_", TRUE, H263, I263) &amp; "/" &amp; E263 &amp; "." &amp; E263 &amp; "'", "")</f>
      </c>
      <c r="T263" s="60" t="str">
        <v>Open</v>
      </c>
      <c r="U263" s="60" t="str">
        <v>Close</v>
      </c>
      <c r="V263" s="60" t="str">
        <v>Close</v>
      </c>
      <c r="W263" s="60" t="str">
        <v>Close</v>
      </c>
      <c r="X263" s="58" t="str">
        <v>HouseML</v>
      </c>
      <c r="Y263" s="60"/>
      <c r="Z263" s="60"/>
      <c r="AA263" s="60"/>
      <c r="AB263" s="61" t="b">
        <v>0</v>
      </c>
      <c r="AC263" s="60"/>
      <c r="AD263" s="61"/>
      <c r="AE263" s="87"/>
      <c r="AF263" s="61"/>
      <c r="AG263" s="61">
        <f>"MI_" &amp; #REF!</f>
      </c>
      <c r="AH263" s="61">
        <f>"T_" &amp; #REF!</f>
      </c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</row>
    <row customHeight="true" ht="19" r="264">
      <c r="A264" s="4" t="str" xml:space="preserve">
        <v> </v>
      </c>
      <c r="B264" s="14" t="str" xml:space="preserve">
        <v> </v>
      </c>
      <c r="C264" s="14"/>
      <c r="D264" s="14"/>
      <c r="E264" s="71">
        <f>IF(F264="", "", TEXTJOIN("_", TRUE, F264:O264))</f>
      </c>
      <c r="F264" s="60" t="str">
        <v>SM</v>
      </c>
      <c r="G264" s="61" t="str">
        <v>City</v>
      </c>
      <c r="H264" s="61" t="str">
        <v>Side</v>
      </c>
      <c r="I264" s="58"/>
      <c r="J264" s="58" t="str">
        <v>House</v>
      </c>
      <c r="K264" s="58" t="str">
        <v>ML</v>
      </c>
      <c r="L264" s="60"/>
      <c r="M264" s="60"/>
      <c r="N264" s="63"/>
      <c r="O264" s="63" t="str">
        <v>Loop</v>
      </c>
      <c r="P264" s="60"/>
      <c r="Q264" s="61">
        <f>"World_"&amp;VLOOKUP(G264,'引用列表'!Q:R,2,FALSE)&amp;"_"&amp;G264</f>
      </c>
      <c r="R264" s="61"/>
      <c r="S264" s="62">
        <f>IF(AE264="✅", "/Script/Engine.StaticMesh'/Game/Item/Mesh/Voxel/" &amp; Q264 &amp; "/" &amp; TEXTJOIN("_", TRUE, H264, I264) &amp; "/" &amp; E264 &amp; "." &amp; E264 &amp; "'", "")</f>
      </c>
      <c r="T264" s="60" t="str">
        <v>Open</v>
      </c>
      <c r="U264" s="60" t="str">
        <v>Open</v>
      </c>
      <c r="V264" s="60" t="str">
        <v>Close</v>
      </c>
      <c r="W264" s="60" t="str">
        <v>Close</v>
      </c>
      <c r="X264" s="58" t="str">
        <v>HouseML</v>
      </c>
      <c r="Y264" s="58" t="str">
        <v>HouseML</v>
      </c>
      <c r="Z264" s="60"/>
      <c r="AA264" s="60"/>
      <c r="AB264" s="61" t="b">
        <v>0</v>
      </c>
      <c r="AC264" s="60"/>
      <c r="AD264" s="61"/>
      <c r="AE264" s="87"/>
      <c r="AF264" s="61"/>
      <c r="AG264" s="61">
        <f>"MI_" &amp; #REF!</f>
      </c>
      <c r="AH264" s="61">
        <f>"T_" &amp; #REF!</f>
      </c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</row>
    <row customHeight="true" ht="19" r="265">
      <c r="A265" s="4" t="str" xml:space="preserve">
        <v> </v>
      </c>
      <c r="B265" s="14"/>
      <c r="C265" s="14"/>
      <c r="D265" s="14"/>
      <c r="E265" s="71">
        <f>IF(F265="", "", TEXTJOIN("_", TRUE, F265:O265))</f>
      </c>
      <c r="F265" s="60" t="str">
        <v>SM</v>
      </c>
      <c r="G265" s="61" t="str">
        <v>City</v>
      </c>
      <c r="H265" s="61" t="str">
        <v>Side</v>
      </c>
      <c r="I265" s="58"/>
      <c r="J265" s="58" t="str">
        <v>House</v>
      </c>
      <c r="K265" s="58" t="str">
        <v>ML</v>
      </c>
      <c r="L265" s="60"/>
      <c r="M265" s="60"/>
      <c r="N265" s="63"/>
      <c r="O265" s="63" t="str">
        <v>Single</v>
      </c>
      <c r="P265" s="60"/>
      <c r="Q265" s="61">
        <f>"World_"&amp;VLOOKUP(G265,'引用列表'!Q:R,2,FALSE)&amp;"_"&amp;G265</f>
      </c>
      <c r="R265" s="61"/>
      <c r="S265" s="62">
        <f>IF(AE265="✅", "/Script/Engine.StaticMesh'/Game/Item/Mesh/Voxel/" &amp; Q265 &amp; "/" &amp; TEXTJOIN("_", TRUE, H265, I265) &amp; "/" &amp; E265 &amp; "." &amp; E265 &amp; "'", "")</f>
      </c>
      <c r="T265" s="60" t="str">
        <v>Close</v>
      </c>
      <c r="U265" s="60" t="str">
        <v>Close</v>
      </c>
      <c r="V265" s="60" t="str">
        <v>Close</v>
      </c>
      <c r="W265" s="60" t="str">
        <v>Close</v>
      </c>
      <c r="X265" s="60"/>
      <c r="Y265" s="60"/>
      <c r="Z265" s="60"/>
      <c r="AA265" s="60"/>
      <c r="AB265" s="61" t="b">
        <v>0</v>
      </c>
      <c r="AC265" s="60"/>
      <c r="AD265" s="61"/>
      <c r="AE265" s="87"/>
      <c r="AF265" s="61"/>
      <c r="AG265" s="61">
        <f>"MI_" &amp; #REF!</f>
      </c>
      <c r="AH265" s="61">
        <f>"T_" &amp; #REF!</f>
      </c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</row>
    <row customHeight="true" ht="19" r="266">
      <c r="A266" s="4" t="str" xml:space="preserve">
        <v> </v>
      </c>
      <c r="B266" s="14"/>
      <c r="C266" s="14"/>
      <c r="D266" s="14"/>
      <c r="E266" s="48">
        <f>IF(F266="", "", TEXTJOIN("_", TRUE, F266:O266))</f>
      </c>
      <c r="F266" s="42" t="str">
        <v>SM</v>
      </c>
      <c r="G266" s="43" t="str">
        <v>City</v>
      </c>
      <c r="H266" s="43" t="str">
        <v>Side</v>
      </c>
      <c r="I266" s="44"/>
      <c r="J266" s="44" t="str">
        <v>House</v>
      </c>
      <c r="K266" s="44" t="str">
        <v>MP</v>
      </c>
      <c r="L266" s="42"/>
      <c r="M266" s="42"/>
      <c r="N266" s="45"/>
      <c r="O266" s="45" t="str">
        <v>B</v>
      </c>
      <c r="P266" s="42"/>
      <c r="Q266" s="43">
        <f>"World_"&amp;VLOOKUP(G266,'引用列表'!Q:R,2,FALSE)&amp;"_"&amp;G266</f>
      </c>
      <c r="R266" s="43"/>
      <c r="S266" s="47">
        <f>IF(AE266="✅", "/Script/Engine.StaticMesh'/Game/Item/Mesh/Voxel/" &amp; Q266 &amp; "/" &amp; TEXTJOIN("_", TRUE, H266, I266) &amp; "/" &amp; E266 &amp; "." &amp; E266 &amp; "'", "")</f>
      </c>
      <c r="T266" s="42" t="str">
        <v>Close</v>
      </c>
      <c r="U266" s="42" t="str">
        <v>Open</v>
      </c>
      <c r="V266" s="42" t="str">
        <v>Close</v>
      </c>
      <c r="W266" s="42" t="str">
        <v>Close</v>
      </c>
      <c r="X266" s="42"/>
      <c r="Y266" s="44" t="str">
        <v>HouseMP</v>
      </c>
      <c r="Z266" s="42"/>
      <c r="AA266" s="42"/>
      <c r="AB266" s="43" t="b">
        <v>0</v>
      </c>
      <c r="AC266" s="42"/>
      <c r="AD266" s="43"/>
      <c r="AE266" s="77"/>
      <c r="AF266" s="43"/>
      <c r="AG266" s="43">
        <f>"MI_" &amp; #REF!</f>
      </c>
      <c r="AH266" s="43">
        <f>"T_" &amp; #REF!</f>
      </c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</row>
    <row customHeight="true" ht="19" r="267">
      <c r="A267" s="4" t="str" xml:space="preserve">
        <v> </v>
      </c>
      <c r="B267" s="14"/>
      <c r="C267" s="14"/>
      <c r="D267" s="14"/>
      <c r="E267" s="48">
        <f>IF(F267="", "", TEXTJOIN("_", TRUE, F267:O267))</f>
      </c>
      <c r="F267" s="42" t="str">
        <v>SM</v>
      </c>
      <c r="G267" s="43" t="str">
        <v>City</v>
      </c>
      <c r="H267" s="43" t="str">
        <v>Side</v>
      </c>
      <c r="I267" s="44"/>
      <c r="J267" s="44" t="str">
        <v>House</v>
      </c>
      <c r="K267" s="44" t="str">
        <v>MP</v>
      </c>
      <c r="L267" s="42"/>
      <c r="M267" s="42"/>
      <c r="N267" s="45"/>
      <c r="O267" s="45" t="str">
        <v>F</v>
      </c>
      <c r="P267" s="42"/>
      <c r="Q267" s="43">
        <f>"World_"&amp;VLOOKUP(G267,'引用列表'!Q:R,2,FALSE)&amp;"_"&amp;G267</f>
      </c>
      <c r="R267" s="43"/>
      <c r="S267" s="47">
        <f>IF(AE267="✅", "/Script/Engine.StaticMesh'/Game/Item/Mesh/Voxel/" &amp; Q267 &amp; "/" &amp; TEXTJOIN("_", TRUE, H267, I267) &amp; "/" &amp; E267 &amp; "." &amp; E267 &amp; "'", "")</f>
      </c>
      <c r="T267" s="42" t="str">
        <v>Open</v>
      </c>
      <c r="U267" s="42" t="str">
        <v>Close</v>
      </c>
      <c r="V267" s="42" t="str">
        <v>Close</v>
      </c>
      <c r="W267" s="42" t="str">
        <v>Close</v>
      </c>
      <c r="X267" s="44" t="str">
        <v>HouseMP</v>
      </c>
      <c r="Y267" s="42"/>
      <c r="Z267" s="42"/>
      <c r="AA267" s="42"/>
      <c r="AB267" s="43" t="b">
        <v>0</v>
      </c>
      <c r="AC267" s="42"/>
      <c r="AD267" s="43"/>
      <c r="AE267" s="77"/>
      <c r="AF267" s="43"/>
      <c r="AG267" s="43">
        <f>"MI_" &amp; #REF!</f>
      </c>
      <c r="AH267" s="43">
        <f>"T_" &amp; #REF!</f>
      </c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</row>
    <row customHeight="true" ht="19" r="268">
      <c r="A268" s="4" t="str" xml:space="preserve">
        <v> </v>
      </c>
      <c r="B268" s="14"/>
      <c r="C268" s="14"/>
      <c r="D268" s="14"/>
      <c r="E268" s="48">
        <f>IF(F268="", "", TEXTJOIN("_", TRUE, F268:O268))</f>
      </c>
      <c r="F268" s="42" t="str">
        <v>SM</v>
      </c>
      <c r="G268" s="43" t="str">
        <v>City</v>
      </c>
      <c r="H268" s="43" t="str">
        <v>Side</v>
      </c>
      <c r="I268" s="44"/>
      <c r="J268" s="44" t="str">
        <v>House</v>
      </c>
      <c r="K268" s="44" t="str">
        <v>MP</v>
      </c>
      <c r="L268" s="42"/>
      <c r="M268" s="42"/>
      <c r="N268" s="45"/>
      <c r="O268" s="45" t="str">
        <v>Loop</v>
      </c>
      <c r="P268" s="42"/>
      <c r="Q268" s="43">
        <f>"World_"&amp;VLOOKUP(G268,'引用列表'!Q:R,2,FALSE)&amp;"_"&amp;G268</f>
      </c>
      <c r="R268" s="43"/>
      <c r="S268" s="47">
        <f>IF(AE268="✅", "/Script/Engine.StaticMesh'/Game/Item/Mesh/Voxel/" &amp; Q268 &amp; "/" &amp; TEXTJOIN("_", TRUE, H268, I268) &amp; "/" &amp; E268 &amp; "." &amp; E268 &amp; "'", "")</f>
      </c>
      <c r="T268" s="42" t="str">
        <v>Open</v>
      </c>
      <c r="U268" s="42" t="str">
        <v>Open</v>
      </c>
      <c r="V268" s="42" t="str">
        <v>Close</v>
      </c>
      <c r="W268" s="42" t="str">
        <v>Close</v>
      </c>
      <c r="X268" s="44" t="str">
        <v>HouseMP</v>
      </c>
      <c r="Y268" s="44" t="str">
        <v>HouseMP</v>
      </c>
      <c r="Z268" s="42"/>
      <c r="AA268" s="42"/>
      <c r="AB268" s="43" t="b">
        <v>0</v>
      </c>
      <c r="AC268" s="42"/>
      <c r="AD268" s="43"/>
      <c r="AE268" s="77"/>
      <c r="AF268" s="43"/>
      <c r="AG268" s="43">
        <f>"MI_" &amp; #REF!</f>
      </c>
      <c r="AH268" s="43">
        <f>"T_" &amp; #REF!</f>
      </c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</row>
    <row customHeight="true" ht="19" r="269">
      <c r="A269" s="4" t="str" xml:space="preserve">
        <v> </v>
      </c>
      <c r="B269" s="14"/>
      <c r="C269" s="14"/>
      <c r="D269" s="14"/>
      <c r="E269" s="48">
        <f>IF(F269="", "", TEXTJOIN("_", TRUE, F269:O269))</f>
      </c>
      <c r="F269" s="42" t="str">
        <v>SM</v>
      </c>
      <c r="G269" s="43" t="str">
        <v>City</v>
      </c>
      <c r="H269" s="43" t="str">
        <v>Side</v>
      </c>
      <c r="I269" s="44"/>
      <c r="J269" s="44" t="str">
        <v>House</v>
      </c>
      <c r="K269" s="44" t="str">
        <v>MP</v>
      </c>
      <c r="L269" s="42"/>
      <c r="M269" s="42"/>
      <c r="N269" s="45"/>
      <c r="O269" s="45" t="str">
        <v>Single</v>
      </c>
      <c r="P269" s="42"/>
      <c r="Q269" s="43">
        <f>"World_"&amp;VLOOKUP(G269,'引用列表'!Q:R,2,FALSE)&amp;"_"&amp;G269</f>
      </c>
      <c r="R269" s="43"/>
      <c r="S269" s="47">
        <f>IF(AE269="✅", "/Script/Engine.StaticMesh'/Game/Item/Mesh/Voxel/" &amp; Q269 &amp; "/" &amp; TEXTJOIN("_", TRUE, H269, I269) &amp; "/" &amp; E269 &amp; "." &amp; E269 &amp; "'", "")</f>
      </c>
      <c r="T269" s="42" t="str">
        <v>Close</v>
      </c>
      <c r="U269" s="42" t="str">
        <v>Close</v>
      </c>
      <c r="V269" s="42" t="str">
        <v>Close</v>
      </c>
      <c r="W269" s="42" t="str">
        <v>Close</v>
      </c>
      <c r="X269" s="42"/>
      <c r="Y269" s="42"/>
      <c r="Z269" s="42"/>
      <c r="AA269" s="42"/>
      <c r="AB269" s="43" t="b">
        <v>0</v>
      </c>
      <c r="AC269" s="42"/>
      <c r="AD269" s="43"/>
      <c r="AE269" s="77"/>
      <c r="AF269" s="43"/>
      <c r="AG269" s="43">
        <f>"MI_" &amp; #REF!</f>
      </c>
      <c r="AH269" s="43">
        <f>"T_" &amp; #REF!</f>
      </c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</row>
    <row customHeight="true" ht="19" r="270">
      <c r="A270" s="4" t="str" xml:space="preserve">
        <v> </v>
      </c>
      <c r="B270" s="14"/>
      <c r="C270" s="14"/>
      <c r="D270" s="14"/>
      <c r="E270" s="53">
        <f>IF(F270="", "", TEXTJOIN("_", TRUE, F270:O270))</f>
      </c>
      <c r="F270" s="51" t="str">
        <v>SM</v>
      </c>
      <c r="G270" s="52" t="str">
        <v>City</v>
      </c>
      <c r="H270" s="52" t="str">
        <v>Side</v>
      </c>
      <c r="I270" s="55"/>
      <c r="J270" s="55" t="str">
        <v>House</v>
      </c>
      <c r="K270" s="55" t="str">
        <v>SD</v>
      </c>
      <c r="L270" s="51"/>
      <c r="M270" s="51"/>
      <c r="N270" s="57"/>
      <c r="O270" s="57" t="str">
        <v>B</v>
      </c>
      <c r="P270" s="51"/>
      <c r="Q270" s="52">
        <f>"World_"&amp;VLOOKUP(G270,'引用列表'!Q:R,2,FALSE)&amp;"_"&amp;G270</f>
      </c>
      <c r="R270" s="52"/>
      <c r="S270" s="54">
        <f>IF(AE270="✅", "/Script/Engine.StaticMesh'/Game/Item/Mesh/Voxel/" &amp; Q270 &amp; "/" &amp; TEXTJOIN("_", TRUE, H270, I270) &amp; "/" &amp; E270 &amp; "." &amp; E270 &amp; "'", "")</f>
      </c>
      <c r="T270" s="51" t="str">
        <v>Close</v>
      </c>
      <c r="U270" s="51" t="str">
        <v>Open</v>
      </c>
      <c r="V270" s="51" t="str">
        <v>Close</v>
      </c>
      <c r="W270" s="51" t="str">
        <v>Close</v>
      </c>
      <c r="X270" s="51"/>
      <c r="Y270" s="55" t="str">
        <v>HouseSD</v>
      </c>
      <c r="Z270" s="51"/>
      <c r="AA270" s="51"/>
      <c r="AB270" s="52" t="b">
        <v>0</v>
      </c>
      <c r="AC270" s="51"/>
      <c r="AD270" s="52"/>
      <c r="AE270" s="101"/>
      <c r="AF270" s="52"/>
      <c r="AG270" s="52">
        <f>"MI_" &amp; #REF!</f>
      </c>
      <c r="AH270" s="52">
        <f>"T_" &amp; #REF!</f>
      </c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</row>
    <row customHeight="true" ht="19" r="271">
      <c r="A271" s="4" t="str" xml:space="preserve">
        <v> </v>
      </c>
      <c r="B271" s="14"/>
      <c r="C271" s="14"/>
      <c r="D271" s="14"/>
      <c r="E271" s="53">
        <f>IF(F271="", "", TEXTJOIN("_", TRUE, F271:O271))</f>
      </c>
      <c r="F271" s="51" t="str">
        <v>SM</v>
      </c>
      <c r="G271" s="52" t="str">
        <v>City</v>
      </c>
      <c r="H271" s="52" t="str">
        <v>Side</v>
      </c>
      <c r="I271" s="55"/>
      <c r="J271" s="55" t="str">
        <v>House</v>
      </c>
      <c r="K271" s="55" t="str">
        <v>SD</v>
      </c>
      <c r="L271" s="51"/>
      <c r="M271" s="51"/>
      <c r="N271" s="57"/>
      <c r="O271" s="57" t="str">
        <v>F</v>
      </c>
      <c r="P271" s="51"/>
      <c r="Q271" s="52">
        <f>"World_"&amp;VLOOKUP(G271,'引用列表'!Q:R,2,FALSE)&amp;"_"&amp;G271</f>
      </c>
      <c r="R271" s="52"/>
      <c r="S271" s="54">
        <f>IF(AE271="✅", "/Script/Engine.StaticMesh'/Game/Item/Mesh/Voxel/" &amp; Q271 &amp; "/" &amp; TEXTJOIN("_", TRUE, H271, I271) &amp; "/" &amp; E271 &amp; "." &amp; E271 &amp; "'", "")</f>
      </c>
      <c r="T271" s="51" t="str">
        <v>Open</v>
      </c>
      <c r="U271" s="51" t="str">
        <v>Close</v>
      </c>
      <c r="V271" s="51" t="str">
        <v>Close</v>
      </c>
      <c r="W271" s="51" t="str">
        <v>Close</v>
      </c>
      <c r="X271" s="55" t="str">
        <v>HouseSD</v>
      </c>
      <c r="Y271" s="51"/>
      <c r="Z271" s="51"/>
      <c r="AA271" s="51"/>
      <c r="AB271" s="52" t="b">
        <v>0</v>
      </c>
      <c r="AC271" s="51"/>
      <c r="AD271" s="52"/>
      <c r="AE271" s="101"/>
      <c r="AF271" s="52"/>
      <c r="AG271" s="52">
        <f>"MI_" &amp; #REF!</f>
      </c>
      <c r="AH271" s="52">
        <f>"T_" &amp; #REF!</f>
      </c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</row>
    <row customHeight="true" ht="19" r="272">
      <c r="A272" s="4" t="str" xml:space="preserve">
        <v> </v>
      </c>
      <c r="B272" s="14"/>
      <c r="C272" s="14"/>
      <c r="D272" s="14"/>
      <c r="E272" s="53">
        <f>IF(F272="", "", TEXTJOIN("_", TRUE, F272:O272))</f>
      </c>
      <c r="F272" s="51" t="str">
        <v>SM</v>
      </c>
      <c r="G272" s="52" t="str">
        <v>City</v>
      </c>
      <c r="H272" s="52" t="str">
        <v>Side</v>
      </c>
      <c r="I272" s="55"/>
      <c r="J272" s="55" t="str">
        <v>House</v>
      </c>
      <c r="K272" s="55" t="str">
        <v>SD</v>
      </c>
      <c r="L272" s="51"/>
      <c r="M272" s="51"/>
      <c r="N272" s="57"/>
      <c r="O272" s="57" t="str">
        <v>Loop</v>
      </c>
      <c r="P272" s="51"/>
      <c r="Q272" s="52">
        <f>"World_"&amp;VLOOKUP(G272,'引用列表'!Q:R,2,FALSE)&amp;"_"&amp;G272</f>
      </c>
      <c r="R272" s="52"/>
      <c r="S272" s="54">
        <f>IF(AE272="✅", "/Script/Engine.StaticMesh'/Game/Item/Mesh/Voxel/" &amp; Q272 &amp; "/" &amp; TEXTJOIN("_", TRUE, H272, I272) &amp; "/" &amp; E272 &amp; "." &amp; E272 &amp; "'", "")</f>
      </c>
      <c r="T272" s="51" t="str">
        <v>Open</v>
      </c>
      <c r="U272" s="51" t="str">
        <v>Open</v>
      </c>
      <c r="V272" s="51" t="str">
        <v>Close</v>
      </c>
      <c r="W272" s="51" t="str">
        <v>Close</v>
      </c>
      <c r="X272" s="55" t="str">
        <v>HouseSD</v>
      </c>
      <c r="Y272" s="55" t="str">
        <v>HouseSD</v>
      </c>
      <c r="Z272" s="51"/>
      <c r="AA272" s="51"/>
      <c r="AB272" s="52" t="b">
        <v>0</v>
      </c>
      <c r="AC272" s="51"/>
      <c r="AD272" s="52"/>
      <c r="AE272" s="101"/>
      <c r="AF272" s="52"/>
      <c r="AG272" s="52">
        <f>"MI_" &amp; #REF!</f>
      </c>
      <c r="AH272" s="52">
        <f>"T_" &amp; #REF!</f>
      </c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</row>
    <row r="273">
      <c r="A273" s="4" t="str" xml:space="preserve">
        <v> </v>
      </c>
      <c r="B273" s="14"/>
      <c r="C273" s="14"/>
      <c r="D273" s="14"/>
      <c r="E273" s="53">
        <f>IF(F273="", "", TEXTJOIN("_", TRUE, F273:O273))</f>
      </c>
      <c r="F273" s="51" t="str">
        <v>SM</v>
      </c>
      <c r="G273" s="52" t="str">
        <v>City</v>
      </c>
      <c r="H273" s="52" t="str">
        <v>Side</v>
      </c>
      <c r="I273" s="55"/>
      <c r="J273" s="55" t="str">
        <v>House</v>
      </c>
      <c r="K273" s="55" t="str">
        <v>SD</v>
      </c>
      <c r="L273" s="51"/>
      <c r="M273" s="51"/>
      <c r="N273" s="57"/>
      <c r="O273" s="57" t="str">
        <v>Single</v>
      </c>
      <c r="P273" s="51"/>
      <c r="Q273" s="52">
        <f>"World_"&amp;VLOOKUP(G273,'引用列表'!Q:R,2,FALSE)&amp;"_"&amp;G273</f>
      </c>
      <c r="R273" s="52"/>
      <c r="S273" s="54">
        <f>IF(AE273="✅", "/Script/Engine.StaticMesh'/Game/Item/Mesh/Voxel/" &amp; Q273 &amp; "/" &amp; TEXTJOIN("_", TRUE, H273, I273) &amp; "/" &amp; E273 &amp; "." &amp; E273 &amp; "'", "")</f>
      </c>
      <c r="T273" s="51" t="str">
        <v>Close</v>
      </c>
      <c r="U273" s="51" t="str">
        <v>Close</v>
      </c>
      <c r="V273" s="51" t="str">
        <v>Close</v>
      </c>
      <c r="W273" s="51" t="str">
        <v>Close</v>
      </c>
      <c r="X273" s="51"/>
      <c r="Y273" s="51"/>
      <c r="Z273" s="51"/>
      <c r="AA273" s="51"/>
      <c r="AB273" s="52" t="b">
        <v>0</v>
      </c>
      <c r="AC273" s="51"/>
      <c r="AD273" s="52"/>
      <c r="AE273" s="101"/>
      <c r="AF273" s="52"/>
      <c r="AG273" s="52">
        <f>"MI_" &amp; #REF!</f>
      </c>
      <c r="AH273" s="52">
        <f>"T_" &amp; #REF!</f>
      </c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</row>
    <row customHeight="true" ht="19" r="274">
      <c r="A274" s="4" t="str" xml:space="preserve">
        <v> </v>
      </c>
      <c r="B274" s="14"/>
      <c r="C274" s="14"/>
      <c r="D274" s="14"/>
      <c r="E274" s="85">
        <f>IF(F274="", "", TEXTJOIN("_", TRUE, F274:O274))</f>
      </c>
      <c r="F274" s="103" t="str">
        <v>SM</v>
      </c>
      <c r="G274" s="102" t="str">
        <v>City</v>
      </c>
      <c r="H274" s="102" t="str">
        <v>Side</v>
      </c>
      <c r="I274" s="84"/>
      <c r="J274" s="84" t="str">
        <v>House</v>
      </c>
      <c r="K274" s="84" t="str">
        <v>CC</v>
      </c>
      <c r="L274" s="103"/>
      <c r="M274" s="103"/>
      <c r="N274" s="104"/>
      <c r="O274" s="104" t="str">
        <v>B</v>
      </c>
      <c r="P274" s="103"/>
      <c r="Q274" s="102">
        <f>"World_"&amp;VLOOKUP(G274,'引用列表'!Q:R,2,FALSE)&amp;"_"&amp;G274</f>
      </c>
      <c r="R274" s="102"/>
      <c r="S274" s="83">
        <f>IF(AE274="✅", "/Script/Engine.StaticMesh'/Game/Item/Mesh/Voxel/" &amp; Q274 &amp; "/" &amp; TEXTJOIN("_", TRUE, H274, I274) &amp; "/" &amp; E274 &amp; "." &amp; E274 &amp; "'", "")</f>
      </c>
      <c r="T274" s="103" t="str">
        <v>Close</v>
      </c>
      <c r="U274" s="103" t="str">
        <v>Open</v>
      </c>
      <c r="V274" s="103" t="str">
        <v>Close</v>
      </c>
      <c r="W274" s="103" t="str">
        <v>Close</v>
      </c>
      <c r="X274" s="103"/>
      <c r="Y274" s="84" t="str">
        <v>HouseCC</v>
      </c>
      <c r="Z274" s="103"/>
      <c r="AA274" s="103"/>
      <c r="AB274" s="102" t="b">
        <v>0</v>
      </c>
      <c r="AC274" s="103"/>
      <c r="AD274" s="102"/>
      <c r="AE274" s="105"/>
      <c r="AF274" s="102"/>
      <c r="AG274" s="102">
        <f>"MI_" &amp; #REF!</f>
      </c>
      <c r="AH274" s="102">
        <f>"T_" &amp; #REF!</f>
      </c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  <c r="BM274" s="103"/>
    </row>
    <row customHeight="true" ht="19" r="275">
      <c r="A275" s="4" t="str" xml:space="preserve">
        <v> </v>
      </c>
      <c r="B275" s="14"/>
      <c r="C275" s="14"/>
      <c r="D275" s="14"/>
      <c r="E275" s="85">
        <f>IF(F275="", "", TEXTJOIN("_", TRUE, F275:O275))</f>
      </c>
      <c r="F275" s="103" t="str">
        <v>SM</v>
      </c>
      <c r="G275" s="102" t="str">
        <v>City</v>
      </c>
      <c r="H275" s="102" t="str">
        <v>Side</v>
      </c>
      <c r="I275" s="84"/>
      <c r="J275" s="84" t="str">
        <v>House</v>
      </c>
      <c r="K275" s="84" t="str">
        <v>CC</v>
      </c>
      <c r="L275" s="103"/>
      <c r="M275" s="103"/>
      <c r="N275" s="104"/>
      <c r="O275" s="104" t="str">
        <v>F</v>
      </c>
      <c r="P275" s="103"/>
      <c r="Q275" s="102">
        <f>"World_"&amp;VLOOKUP(G275,'引用列表'!Q:R,2,FALSE)&amp;"_"&amp;G275</f>
      </c>
      <c r="R275" s="102"/>
      <c r="S275" s="83">
        <f>IF(AE275="✅", "/Script/Engine.StaticMesh'/Game/Item/Mesh/Voxel/" &amp; Q275 &amp; "/" &amp; TEXTJOIN("_", TRUE, H275, I275) &amp; "/" &amp; E275 &amp; "." &amp; E275 &amp; "'", "")</f>
      </c>
      <c r="T275" s="103" t="str">
        <v>Open</v>
      </c>
      <c r="U275" s="103" t="str">
        <v>Close</v>
      </c>
      <c r="V275" s="103" t="str">
        <v>Close</v>
      </c>
      <c r="W275" s="103" t="str">
        <v>Close</v>
      </c>
      <c r="X275" s="84" t="str">
        <v>HouseCC</v>
      </c>
      <c r="Y275" s="103"/>
      <c r="Z275" s="103"/>
      <c r="AA275" s="103"/>
      <c r="AB275" s="102" t="b">
        <v>0</v>
      </c>
      <c r="AC275" s="103"/>
      <c r="AD275" s="102"/>
      <c r="AE275" s="105"/>
      <c r="AF275" s="102"/>
      <c r="AG275" s="102">
        <f>"MI_" &amp; #REF!</f>
      </c>
      <c r="AH275" s="102">
        <f>"T_" &amp; #REF!</f>
      </c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  <c r="BM275" s="103"/>
    </row>
    <row customHeight="true" ht="19" r="276">
      <c r="A276" s="4" t="str" xml:space="preserve">
        <v> </v>
      </c>
      <c r="B276" s="14"/>
      <c r="C276" s="14"/>
      <c r="D276" s="14"/>
      <c r="E276" s="85">
        <f>IF(F276="", "", TEXTJOIN("_", TRUE, F276:O276))</f>
      </c>
      <c r="F276" s="103" t="str">
        <v>SM</v>
      </c>
      <c r="G276" s="102" t="str">
        <v>City</v>
      </c>
      <c r="H276" s="102" t="str">
        <v>Side</v>
      </c>
      <c r="I276" s="84"/>
      <c r="J276" s="84" t="str">
        <v>House</v>
      </c>
      <c r="K276" s="84" t="str">
        <v>CC</v>
      </c>
      <c r="L276" s="103"/>
      <c r="M276" s="103"/>
      <c r="N276" s="104"/>
      <c r="O276" s="104" t="str">
        <v>Loop</v>
      </c>
      <c r="P276" s="103"/>
      <c r="Q276" s="102">
        <f>"World_"&amp;VLOOKUP(G276,'引用列表'!Q:R,2,FALSE)&amp;"_"&amp;G276</f>
      </c>
      <c r="R276" s="102"/>
      <c r="S276" s="83">
        <f>IF(AE276="✅", "/Script/Engine.StaticMesh'/Game/Item/Mesh/Voxel/" &amp; Q276 &amp; "/" &amp; TEXTJOIN("_", TRUE, H276, I276) &amp; "/" &amp; E276 &amp; "." &amp; E276 &amp; "'", "")</f>
      </c>
      <c r="T276" s="103" t="str">
        <v>Open</v>
      </c>
      <c r="U276" s="103" t="str">
        <v>Open</v>
      </c>
      <c r="V276" s="103" t="str">
        <v>Close</v>
      </c>
      <c r="W276" s="103" t="str">
        <v>Close</v>
      </c>
      <c r="X276" s="84" t="str">
        <v>HouseCC</v>
      </c>
      <c r="Y276" s="84" t="str">
        <v>HouseCC</v>
      </c>
      <c r="Z276" s="103"/>
      <c r="AA276" s="103"/>
      <c r="AB276" s="102" t="b">
        <v>0</v>
      </c>
      <c r="AC276" s="103"/>
      <c r="AD276" s="102"/>
      <c r="AE276" s="105"/>
      <c r="AF276" s="102"/>
      <c r="AG276" s="102">
        <f>"MI_" &amp; #REF!</f>
      </c>
      <c r="AH276" s="102">
        <f>"T_" &amp; #REF!</f>
      </c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3"/>
      <c r="BK276" s="103"/>
      <c r="BL276" s="103"/>
      <c r="BM276" s="103"/>
    </row>
    <row customHeight="true" ht="19" r="277">
      <c r="A277" s="4" t="str" xml:space="preserve">
        <v> </v>
      </c>
      <c r="B277" s="14"/>
      <c r="C277" s="14"/>
      <c r="D277" s="14"/>
      <c r="E277" s="85">
        <f>IF(F277="", "", TEXTJOIN("_", TRUE, F277:O277))</f>
      </c>
      <c r="F277" s="103" t="str">
        <v>SM</v>
      </c>
      <c r="G277" s="102" t="str">
        <v>City</v>
      </c>
      <c r="H277" s="102" t="str">
        <v>Side</v>
      </c>
      <c r="I277" s="84"/>
      <c r="J277" s="84" t="str">
        <v>House</v>
      </c>
      <c r="K277" s="84" t="str">
        <v>CC</v>
      </c>
      <c r="L277" s="103"/>
      <c r="M277" s="103"/>
      <c r="N277" s="104"/>
      <c r="O277" s="104" t="str">
        <v>Single</v>
      </c>
      <c r="P277" s="103"/>
      <c r="Q277" s="102">
        <f>"World_"&amp;VLOOKUP(G277,'引用列表'!Q:R,2,FALSE)&amp;"_"&amp;G277</f>
      </c>
      <c r="R277" s="102"/>
      <c r="S277" s="83">
        <f>IF(AE277="✅", "/Script/Engine.StaticMesh'/Game/Item/Mesh/Voxel/" &amp; Q277 &amp; "/" &amp; TEXTJOIN("_", TRUE, H277, I277) &amp; "/" &amp; E277 &amp; "." &amp; E277 &amp; "'", "")</f>
      </c>
      <c r="T277" s="103" t="str">
        <v>Close</v>
      </c>
      <c r="U277" s="103" t="str">
        <v>Close</v>
      </c>
      <c r="V277" s="103" t="str">
        <v>Close</v>
      </c>
      <c r="W277" s="103" t="str">
        <v>Close</v>
      </c>
      <c r="X277" s="103"/>
      <c r="Y277" s="103"/>
      <c r="Z277" s="103"/>
      <c r="AA277" s="103"/>
      <c r="AB277" s="102" t="b">
        <v>0</v>
      </c>
      <c r="AC277" s="103"/>
      <c r="AD277" s="102"/>
      <c r="AE277" s="105"/>
      <c r="AF277" s="102"/>
      <c r="AG277" s="102">
        <f>"MI_" &amp; #REF!</f>
      </c>
      <c r="AH277" s="102">
        <f>"T_" &amp; #REF!</f>
      </c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  <c r="BM277" s="103"/>
    </row>
    <row customHeight="true" ht="19" r="278">
      <c r="A278" s="4" t="str" xml:space="preserve">
        <v> </v>
      </c>
      <c r="B278" s="14"/>
      <c r="C278" s="14"/>
      <c r="D278" s="14"/>
      <c r="E278" s="38">
        <f>IF(F278="", "", TEXTJOIN("_", TRUE, F278:O278))</f>
      </c>
      <c r="F278" s="36" t="str">
        <v>SM</v>
      </c>
      <c r="G278" s="35" t="str">
        <v>City</v>
      </c>
      <c r="H278" s="35" t="str">
        <v>Side</v>
      </c>
      <c r="I278" s="40"/>
      <c r="J278" s="40" t="str">
        <v>House</v>
      </c>
      <c r="K278" s="40" t="str">
        <v>CF</v>
      </c>
      <c r="L278" s="36"/>
      <c r="M278" s="36"/>
      <c r="N278" s="39"/>
      <c r="O278" s="39" t="str">
        <v>B</v>
      </c>
      <c r="P278" s="36"/>
      <c r="Q278" s="35">
        <f>"World_"&amp;VLOOKUP(G278,'引用列表'!Q:R,2,FALSE)&amp;"_"&amp;G278</f>
      </c>
      <c r="R278" s="35"/>
      <c r="S278" s="37">
        <f>IF(AE278="✅", "/Script/Engine.StaticMesh'/Game/Item/Mesh/Voxel/" &amp; Q278 &amp; "/" &amp; TEXTJOIN("_", TRUE, H278, I278) &amp; "/" &amp; E278 &amp; "." &amp; E278 &amp; "'", "")</f>
      </c>
      <c r="T278" s="36" t="str">
        <v>Close</v>
      </c>
      <c r="U278" s="36" t="str">
        <v>Open</v>
      </c>
      <c r="V278" s="36" t="str">
        <v>Close</v>
      </c>
      <c r="W278" s="36" t="str">
        <v>Close</v>
      </c>
      <c r="X278" s="36"/>
      <c r="Y278" s="40" t="str">
        <v>HouseCF</v>
      </c>
      <c r="Z278" s="36"/>
      <c r="AA278" s="36"/>
      <c r="AB278" s="35" t="b">
        <v>0</v>
      </c>
      <c r="AC278" s="36"/>
      <c r="AD278" s="35"/>
      <c r="AE278" s="72"/>
      <c r="AF278" s="35"/>
      <c r="AG278" s="35">
        <f>"MI_" &amp; #REF!</f>
      </c>
      <c r="AH278" s="35">
        <f>"T_" &amp; #REF!</f>
      </c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</row>
    <row customHeight="true" ht="19" r="279">
      <c r="A279" s="4" t="str" xml:space="preserve">
        <v> </v>
      </c>
      <c r="B279" s="14"/>
      <c r="C279" s="14"/>
      <c r="D279" s="14"/>
      <c r="E279" s="38">
        <f>IF(F279="", "", TEXTJOIN("_", TRUE, F279:O279))</f>
      </c>
      <c r="F279" s="36" t="str">
        <v>SM</v>
      </c>
      <c r="G279" s="35" t="str">
        <v>City</v>
      </c>
      <c r="H279" s="35" t="str">
        <v>Side</v>
      </c>
      <c r="I279" s="40"/>
      <c r="J279" s="40" t="str">
        <v>House</v>
      </c>
      <c r="K279" s="40" t="str">
        <v>CF</v>
      </c>
      <c r="L279" s="36"/>
      <c r="M279" s="36"/>
      <c r="N279" s="39"/>
      <c r="O279" s="39" t="str">
        <v>F</v>
      </c>
      <c r="P279" s="36"/>
      <c r="Q279" s="35">
        <f>"World_"&amp;VLOOKUP(G279,'引用列表'!Q:R,2,FALSE)&amp;"_"&amp;G279</f>
      </c>
      <c r="R279" s="35"/>
      <c r="S279" s="37">
        <f>IF(AE279="✅", "/Script/Engine.StaticMesh'/Game/Item/Mesh/Voxel/" &amp; Q279 &amp; "/" &amp; TEXTJOIN("_", TRUE, H279, I279) &amp; "/" &amp; E279 &amp; "." &amp; E279 &amp; "'", "")</f>
      </c>
      <c r="T279" s="36" t="str">
        <v>Open</v>
      </c>
      <c r="U279" s="36" t="str">
        <v>Close</v>
      </c>
      <c r="V279" s="36" t="str">
        <v>Close</v>
      </c>
      <c r="W279" s="36" t="str">
        <v>Close</v>
      </c>
      <c r="X279" s="40" t="str">
        <v>HouseCF</v>
      </c>
      <c r="Y279" s="36"/>
      <c r="Z279" s="36"/>
      <c r="AA279" s="36"/>
      <c r="AB279" s="35" t="b">
        <v>0</v>
      </c>
      <c r="AC279" s="36"/>
      <c r="AD279" s="35"/>
      <c r="AE279" s="72"/>
      <c r="AF279" s="35"/>
      <c r="AG279" s="35">
        <f>"MI_" &amp; #REF!</f>
      </c>
      <c r="AH279" s="35">
        <f>"T_" &amp; #REF!</f>
      </c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</row>
    <row customHeight="true" ht="19" r="280">
      <c r="A280" s="4" t="str" xml:space="preserve">
        <v> </v>
      </c>
      <c r="B280" s="14"/>
      <c r="C280" s="14"/>
      <c r="D280" s="14"/>
      <c r="E280" s="38">
        <f>IF(F280="", "", TEXTJOIN("_", TRUE, F280:O280))</f>
      </c>
      <c r="F280" s="36" t="str">
        <v>SM</v>
      </c>
      <c r="G280" s="35" t="str">
        <v>City</v>
      </c>
      <c r="H280" s="35" t="str">
        <v>Side</v>
      </c>
      <c r="I280" s="40"/>
      <c r="J280" s="40" t="str">
        <v>House</v>
      </c>
      <c r="K280" s="40" t="str">
        <v>CF</v>
      </c>
      <c r="L280" s="36"/>
      <c r="M280" s="36"/>
      <c r="N280" s="39"/>
      <c r="O280" s="39" t="str">
        <v>Loop</v>
      </c>
      <c r="P280" s="36"/>
      <c r="Q280" s="35">
        <f>"World_"&amp;VLOOKUP(G280,'引用列表'!Q:R,2,FALSE)&amp;"_"&amp;G280</f>
      </c>
      <c r="R280" s="35"/>
      <c r="S280" s="37">
        <f>IF(AE280="✅", "/Script/Engine.StaticMesh'/Game/Item/Mesh/Voxel/" &amp; Q280 &amp; "/" &amp; TEXTJOIN("_", TRUE, H280, I280) &amp; "/" &amp; E280 &amp; "." &amp; E280 &amp; "'", "")</f>
      </c>
      <c r="T280" s="36" t="str">
        <v>Open</v>
      </c>
      <c r="U280" s="36" t="str">
        <v>Open</v>
      </c>
      <c r="V280" s="36" t="str">
        <v>Close</v>
      </c>
      <c r="W280" s="36" t="str">
        <v>Close</v>
      </c>
      <c r="X280" s="40" t="str">
        <v>HouseCF</v>
      </c>
      <c r="Y280" s="40" t="str">
        <v>HouseCF</v>
      </c>
      <c r="Z280" s="36"/>
      <c r="AA280" s="36"/>
      <c r="AB280" s="35" t="b">
        <v>0</v>
      </c>
      <c r="AC280" s="36"/>
      <c r="AD280" s="35"/>
      <c r="AE280" s="72"/>
      <c r="AF280" s="35"/>
      <c r="AG280" s="35">
        <f>"MI_" &amp; #REF!</f>
      </c>
      <c r="AH280" s="35">
        <f>"T_" &amp; #REF!</f>
      </c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</row>
    <row r="281">
      <c r="A281" s="4" t="str" xml:space="preserve">
        <v> </v>
      </c>
      <c r="B281" s="14"/>
      <c r="C281" s="14"/>
      <c r="D281" s="14"/>
      <c r="E281" s="38">
        <f>IF(F281="", "", TEXTJOIN("_", TRUE, F281:O281))</f>
      </c>
      <c r="F281" s="36" t="str">
        <v>SM</v>
      </c>
      <c r="G281" s="35" t="str">
        <v>City</v>
      </c>
      <c r="H281" s="35" t="str">
        <v>Side</v>
      </c>
      <c r="I281" s="40"/>
      <c r="J281" s="40" t="str">
        <v>House</v>
      </c>
      <c r="K281" s="40" t="str">
        <v>CF</v>
      </c>
      <c r="L281" s="36"/>
      <c r="M281" s="36"/>
      <c r="N281" s="39"/>
      <c r="O281" s="39" t="str">
        <v>Single</v>
      </c>
      <c r="P281" s="36"/>
      <c r="Q281" s="35">
        <f>"World_"&amp;VLOOKUP(G281,'引用列表'!Q:R,2,FALSE)&amp;"_"&amp;G281</f>
      </c>
      <c r="R281" s="35"/>
      <c r="S281" s="37">
        <f>IF(AE281="✅", "/Script/Engine.StaticMesh'/Game/Item/Mesh/Voxel/" &amp; Q281 &amp; "/" &amp; TEXTJOIN("_", TRUE, H281, I281) &amp; "/" &amp; E281 &amp; "." &amp; E281 &amp; "'", "")</f>
      </c>
      <c r="T281" s="36" t="str">
        <v>Close</v>
      </c>
      <c r="U281" s="36" t="str">
        <v>Close</v>
      </c>
      <c r="V281" s="36" t="str">
        <v>Close</v>
      </c>
      <c r="W281" s="36" t="str">
        <v>Close</v>
      </c>
      <c r="X281" s="36"/>
      <c r="Y281" s="36"/>
      <c r="Z281" s="36"/>
      <c r="AA281" s="36"/>
      <c r="AB281" s="35" t="b">
        <v>0</v>
      </c>
      <c r="AC281" s="36"/>
      <c r="AD281" s="35"/>
      <c r="AE281" s="72"/>
      <c r="AF281" s="35"/>
      <c r="AG281" s="35">
        <f>"MI_" &amp; #REF!</f>
      </c>
      <c r="AH281" s="35">
        <f>"T_" &amp; #REF!</f>
      </c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</row>
    <row customHeight="true" ht="19" r="282">
      <c r="A282" s="4" t="str" xml:space="preserve">
        <v> </v>
      </c>
      <c r="B282" s="14"/>
      <c r="C282" s="14"/>
      <c r="D282" s="14"/>
      <c r="E282" s="113">
        <f>IF(F282="", "", TEXTJOIN("_", TRUE, F282:O282))</f>
      </c>
      <c r="F282" s="107" t="str">
        <v>SM</v>
      </c>
      <c r="G282" s="108" t="str">
        <v>City</v>
      </c>
      <c r="H282" s="108" t="str">
        <v>Side</v>
      </c>
      <c r="I282" s="109"/>
      <c r="J282" s="109" t="str">
        <v>House</v>
      </c>
      <c r="K282" s="109" t="str">
        <v>FB</v>
      </c>
      <c r="L282" s="107"/>
      <c r="M282" s="107"/>
      <c r="N282" s="110"/>
      <c r="O282" s="110" t="str">
        <v>B</v>
      </c>
      <c r="P282" s="107"/>
      <c r="Q282" s="108">
        <f>"World_"&amp;VLOOKUP(G282,'引用列表'!Q:R,2,FALSE)&amp;"_"&amp;G282</f>
      </c>
      <c r="R282" s="108"/>
      <c r="S282" s="112">
        <f>IF(AE282="✅", "/Script/Engine.StaticMesh'/Game/Item/Mesh/Voxel/" &amp; Q282 &amp; "/" &amp; TEXTJOIN("_", TRUE, H282, I282) &amp; "/" &amp; E282 &amp; "." &amp; E282 &amp; "'", "")</f>
      </c>
      <c r="T282" s="107" t="str">
        <v>Close</v>
      </c>
      <c r="U282" s="107" t="str">
        <v>Open</v>
      </c>
      <c r="V282" s="107" t="str">
        <v>Close</v>
      </c>
      <c r="W282" s="107" t="str">
        <v>Close</v>
      </c>
      <c r="X282" s="107"/>
      <c r="Y282" s="109">
        <f>"House"&amp;K282</f>
      </c>
      <c r="Z282" s="107"/>
      <c r="AA282" s="107"/>
      <c r="AB282" s="108" t="b">
        <v>0</v>
      </c>
      <c r="AC282" s="107"/>
      <c r="AD282" s="108"/>
      <c r="AE282" s="111"/>
      <c r="AF282" s="108"/>
      <c r="AG282" s="108">
        <f>"MI_" &amp; #REF!</f>
      </c>
      <c r="AH282" s="108">
        <f>"T_" &amp; #REF!</f>
      </c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107"/>
      <c r="AZ282" s="107"/>
      <c r="BA282" s="107"/>
      <c r="BB282" s="107"/>
      <c r="BC282" s="107"/>
      <c r="BD282" s="107"/>
      <c r="BE282" s="107"/>
      <c r="BF282" s="107"/>
      <c r="BG282" s="107"/>
      <c r="BH282" s="107"/>
      <c r="BI282" s="107"/>
      <c r="BJ282" s="107"/>
      <c r="BK282" s="107"/>
      <c r="BL282" s="107"/>
      <c r="BM282" s="107"/>
    </row>
    <row customHeight="true" ht="19" r="283">
      <c r="A283" s="4" t="str" xml:space="preserve">
        <v> </v>
      </c>
      <c r="B283" s="14"/>
      <c r="C283" s="14"/>
      <c r="D283" s="14"/>
      <c r="E283" s="113">
        <f>IF(F283="", "", TEXTJOIN("_", TRUE, F283:O283))</f>
      </c>
      <c r="F283" s="107" t="str">
        <v>SM</v>
      </c>
      <c r="G283" s="108" t="str">
        <v>City</v>
      </c>
      <c r="H283" s="108" t="str">
        <v>Side</v>
      </c>
      <c r="I283" s="109"/>
      <c r="J283" s="109" t="str">
        <v>House</v>
      </c>
      <c r="K283" s="109" t="str">
        <v>FB</v>
      </c>
      <c r="L283" s="107"/>
      <c r="M283" s="107"/>
      <c r="N283" s="110"/>
      <c r="O283" s="110" t="str">
        <v>F</v>
      </c>
      <c r="P283" s="107"/>
      <c r="Q283" s="108">
        <f>"World_"&amp;VLOOKUP(G283,'引用列表'!Q:R,2,FALSE)&amp;"_"&amp;G283</f>
      </c>
      <c r="R283" s="108"/>
      <c r="S283" s="112">
        <f>IF(AE283="✅", "/Script/Engine.StaticMesh'/Game/Item/Mesh/Voxel/" &amp; Q283 &amp; "/" &amp; TEXTJOIN("_", TRUE, H283, I283) &amp; "/" &amp; E283 &amp; "." &amp; E283 &amp; "'", "")</f>
      </c>
      <c r="T283" s="107" t="str">
        <v>Open</v>
      </c>
      <c r="U283" s="107" t="str">
        <v>Close</v>
      </c>
      <c r="V283" s="107" t="str">
        <v>Close</v>
      </c>
      <c r="W283" s="107" t="str">
        <v>Close</v>
      </c>
      <c r="X283" s="109">
        <f>"House"&amp;K283</f>
      </c>
      <c r="Y283" s="107"/>
      <c r="Z283" s="107"/>
      <c r="AA283" s="107"/>
      <c r="AB283" s="108" t="b">
        <v>0</v>
      </c>
      <c r="AC283" s="107"/>
      <c r="AD283" s="108"/>
      <c r="AE283" s="111"/>
      <c r="AF283" s="108"/>
      <c r="AG283" s="108">
        <f>"MI_" &amp; #REF!</f>
      </c>
      <c r="AH283" s="108">
        <f>"T_" &amp; #REF!</f>
      </c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G283" s="107"/>
      <c r="BH283" s="107"/>
      <c r="BI283" s="107"/>
      <c r="BJ283" s="107"/>
      <c r="BK283" s="107"/>
      <c r="BL283" s="107"/>
      <c r="BM283" s="107"/>
    </row>
    <row customHeight="true" ht="19" r="284">
      <c r="A284" s="4" t="str" xml:space="preserve">
        <v> </v>
      </c>
      <c r="B284" s="14"/>
      <c r="C284" s="14"/>
      <c r="D284" s="14"/>
      <c r="E284" s="113">
        <f>IF(F284="", "", TEXTJOIN("_", TRUE, F284:O284))</f>
      </c>
      <c r="F284" s="107" t="str">
        <v>SM</v>
      </c>
      <c r="G284" s="108" t="str">
        <v>City</v>
      </c>
      <c r="H284" s="108" t="str">
        <v>Side</v>
      </c>
      <c r="I284" s="109"/>
      <c r="J284" s="109" t="str">
        <v>House</v>
      </c>
      <c r="K284" s="109" t="str">
        <v>FB</v>
      </c>
      <c r="L284" s="107"/>
      <c r="M284" s="107"/>
      <c r="N284" s="110"/>
      <c r="O284" s="110" t="str">
        <v>Loop</v>
      </c>
      <c r="P284" s="107"/>
      <c r="Q284" s="108">
        <f>"World_"&amp;VLOOKUP(G284,'引用列表'!Q:R,2,FALSE)&amp;"_"&amp;G284</f>
      </c>
      <c r="R284" s="108"/>
      <c r="S284" s="112">
        <f>IF(AE284="✅", "/Script/Engine.StaticMesh'/Game/Item/Mesh/Voxel/" &amp; Q284 &amp; "/" &amp; TEXTJOIN("_", TRUE, H284, I284) &amp; "/" &amp; E284 &amp; "." &amp; E284 &amp; "'", "")</f>
      </c>
      <c r="T284" s="107" t="str">
        <v>Open</v>
      </c>
      <c r="U284" s="107" t="str">
        <v>Open</v>
      </c>
      <c r="V284" s="107" t="str">
        <v>Close</v>
      </c>
      <c r="W284" s="107" t="str">
        <v>Close</v>
      </c>
      <c r="X284" s="109">
        <f>"House"&amp;K284</f>
      </c>
      <c r="Y284" s="109">
        <f>"House"&amp;K284</f>
      </c>
      <c r="Z284" s="107"/>
      <c r="AA284" s="107"/>
      <c r="AB284" s="108" t="b">
        <v>0</v>
      </c>
      <c r="AC284" s="107"/>
      <c r="AD284" s="108"/>
      <c r="AE284" s="111"/>
      <c r="AF284" s="108"/>
      <c r="AG284" s="108">
        <f>"MI_" &amp; #REF!</f>
      </c>
      <c r="AH284" s="108">
        <f>"T_" &amp; #REF!</f>
      </c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  <c r="AX284" s="107"/>
      <c r="AY284" s="107"/>
      <c r="AZ284" s="107"/>
      <c r="BA284" s="107"/>
      <c r="BB284" s="107"/>
      <c r="BC284" s="107"/>
      <c r="BD284" s="107"/>
      <c r="BE284" s="107"/>
      <c r="BF284" s="107"/>
      <c r="BG284" s="107"/>
      <c r="BH284" s="107"/>
      <c r="BI284" s="107"/>
      <c r="BJ284" s="107"/>
      <c r="BK284" s="107"/>
      <c r="BL284" s="107"/>
      <c r="BM284" s="107"/>
    </row>
    <row customHeight="true" ht="19" r="285">
      <c r="A285" s="4" t="str" xml:space="preserve">
        <v> </v>
      </c>
      <c r="B285" s="14"/>
      <c r="C285" s="14"/>
      <c r="D285" s="14"/>
      <c r="E285" s="113">
        <f>IF(F285="", "", TEXTJOIN("_", TRUE, F285:O285))</f>
      </c>
      <c r="F285" s="107" t="str">
        <v>SM</v>
      </c>
      <c r="G285" s="108" t="str">
        <v>City</v>
      </c>
      <c r="H285" s="108" t="str">
        <v>Side</v>
      </c>
      <c r="I285" s="109"/>
      <c r="J285" s="109" t="str">
        <v>House</v>
      </c>
      <c r="K285" s="109" t="str">
        <v>FB</v>
      </c>
      <c r="L285" s="107"/>
      <c r="M285" s="107"/>
      <c r="N285" s="110"/>
      <c r="O285" s="110" t="str">
        <v>Single</v>
      </c>
      <c r="P285" s="107"/>
      <c r="Q285" s="108">
        <f>"World_"&amp;VLOOKUP(G285,'引用列表'!Q:R,2,FALSE)&amp;"_"&amp;G285</f>
      </c>
      <c r="R285" s="108"/>
      <c r="S285" s="112">
        <f>IF(AE285="✅", "/Script/Engine.StaticMesh'/Game/Item/Mesh/Voxel/" &amp; Q285 &amp; "/" &amp; TEXTJOIN("_", TRUE, H285, I285) &amp; "/" &amp; E285 &amp; "." &amp; E285 &amp; "'", "")</f>
      </c>
      <c r="T285" s="107" t="str">
        <v>Close</v>
      </c>
      <c r="U285" s="107" t="str">
        <v>Close</v>
      </c>
      <c r="V285" s="107" t="str">
        <v>Close</v>
      </c>
      <c r="W285" s="107" t="str">
        <v>Close</v>
      </c>
      <c r="X285" s="107"/>
      <c r="Y285" s="107"/>
      <c r="Z285" s="107"/>
      <c r="AA285" s="107"/>
      <c r="AB285" s="108" t="b">
        <v>0</v>
      </c>
      <c r="AC285" s="107"/>
      <c r="AD285" s="108"/>
      <c r="AE285" s="111"/>
      <c r="AF285" s="108"/>
      <c r="AG285" s="108">
        <f>"MI_" &amp; #REF!</f>
      </c>
      <c r="AH285" s="108">
        <f>"T_" &amp; #REF!</f>
      </c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107"/>
      <c r="AZ285" s="107"/>
      <c r="BA285" s="107"/>
      <c r="BB285" s="107"/>
      <c r="BC285" s="107"/>
      <c r="BD285" s="107"/>
      <c r="BE285" s="107"/>
      <c r="BF285" s="107"/>
      <c r="BG285" s="107"/>
      <c r="BH285" s="107"/>
      <c r="BI285" s="107"/>
      <c r="BJ285" s="107"/>
      <c r="BK285" s="107"/>
      <c r="BL285" s="107"/>
      <c r="BM285" s="107"/>
    </row>
    <row customHeight="true" ht="19" r="286">
      <c r="A286" s="4" t="str" xml:space="preserve">
        <v> </v>
      </c>
      <c r="B286" s="14"/>
      <c r="C286" s="14"/>
      <c r="D286" s="14"/>
      <c r="E286" s="34">
        <f>IF(F286="", "", TEXTJOIN("_", TRUE, F286:O286))</f>
      </c>
      <c r="F286" s="28" t="str">
        <v>SM</v>
      </c>
      <c r="G286" s="32" t="str">
        <v>City</v>
      </c>
      <c r="H286" s="32" t="str">
        <v>Side</v>
      </c>
      <c r="I286" s="28"/>
      <c r="J286" s="28" t="str">
        <v>House</v>
      </c>
      <c r="K286" s="33" t="str">
        <v>PK</v>
      </c>
      <c r="L286" s="28"/>
      <c r="M286" s="28"/>
      <c r="N286" s="33"/>
      <c r="O286" s="33" t="str">
        <v>B</v>
      </c>
      <c r="P286" s="28"/>
      <c r="Q286" s="32">
        <f>"World_"&amp;VLOOKUP(G286,'引用列表'!Q:R,2,FALSE)&amp;"_"&amp;G286</f>
      </c>
      <c r="R286" s="32"/>
      <c r="S286" s="29">
        <f>IF(AE286="✅", "/Script/Engine.StaticMesh'/Game/Item/Mesh/Voxel/" &amp; Q286 &amp; "/" &amp; TEXTJOIN("_", TRUE, H286, I286) &amp; "/" &amp; E286 &amp; "." &amp; E286 &amp; "'", "")</f>
      </c>
      <c r="T286" s="28" t="str">
        <v>Close</v>
      </c>
      <c r="U286" s="28" t="str">
        <v>Open</v>
      </c>
      <c r="V286" s="28" t="str">
        <v>Close</v>
      </c>
      <c r="W286" s="28" t="str">
        <v>Close</v>
      </c>
      <c r="X286" s="28"/>
      <c r="Y286" s="28">
        <f>"House"&amp;K286</f>
      </c>
      <c r="Z286" s="28"/>
      <c r="AA286" s="28"/>
      <c r="AB286" s="32" t="b">
        <v>0</v>
      </c>
      <c r="AC286" s="28"/>
      <c r="AD286" s="32"/>
      <c r="AE286" s="74"/>
      <c r="AF286" s="32"/>
      <c r="AG286" s="32">
        <f>"MI_" &amp; #REF!</f>
      </c>
      <c r="AH286" s="32">
        <f>"T_" &amp; #REF!</f>
      </c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</row>
    <row customHeight="true" ht="19" r="287">
      <c r="A287" s="4" t="str" xml:space="preserve">
        <v> </v>
      </c>
      <c r="B287" s="14"/>
      <c r="C287" s="14"/>
      <c r="D287" s="14"/>
      <c r="E287" s="34">
        <f>IF(F287="", "", TEXTJOIN("_", TRUE, F287:O287))</f>
      </c>
      <c r="F287" s="28" t="str">
        <v>SM</v>
      </c>
      <c r="G287" s="32" t="str">
        <v>City</v>
      </c>
      <c r="H287" s="32" t="str">
        <v>Side</v>
      </c>
      <c r="I287" s="28"/>
      <c r="J287" s="28" t="str">
        <v>House</v>
      </c>
      <c r="K287" s="33" t="str">
        <v>PK</v>
      </c>
      <c r="L287" s="28"/>
      <c r="M287" s="28"/>
      <c r="N287" s="33"/>
      <c r="O287" s="33" t="str">
        <v>F</v>
      </c>
      <c r="P287" s="28"/>
      <c r="Q287" s="32">
        <f>"World_"&amp;VLOOKUP(G287,'引用列表'!Q:R,2,FALSE)&amp;"_"&amp;G287</f>
      </c>
      <c r="R287" s="32"/>
      <c r="S287" s="29">
        <f>IF(AE287="✅", "/Script/Engine.StaticMesh'/Game/Item/Mesh/Voxel/" &amp; Q287 &amp; "/" &amp; TEXTJOIN("_", TRUE, H287, I287) &amp; "/" &amp; E287 &amp; "." &amp; E287 &amp; "'", "")</f>
      </c>
      <c r="T287" s="28" t="str">
        <v>Open</v>
      </c>
      <c r="U287" s="28" t="str">
        <v>Close</v>
      </c>
      <c r="V287" s="28" t="str">
        <v>Close</v>
      </c>
      <c r="W287" s="28" t="str">
        <v>Close</v>
      </c>
      <c r="X287" s="28">
        <f>"House"&amp;K287</f>
      </c>
      <c r="Y287" s="28"/>
      <c r="Z287" s="28"/>
      <c r="AA287" s="28"/>
      <c r="AB287" s="32" t="b">
        <v>0</v>
      </c>
      <c r="AC287" s="28"/>
      <c r="AD287" s="32"/>
      <c r="AE287" s="74"/>
      <c r="AF287" s="32"/>
      <c r="AG287" s="32">
        <f>"MI_" &amp; #REF!</f>
      </c>
      <c r="AH287" s="32">
        <f>"T_" &amp; #REF!</f>
      </c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</row>
    <row customHeight="true" ht="19" r="288">
      <c r="A288" s="4" t="str" xml:space="preserve">
        <v> </v>
      </c>
      <c r="B288" s="14"/>
      <c r="C288" s="14"/>
      <c r="D288" s="14"/>
      <c r="E288" s="34">
        <f>IF(F288="", "", TEXTJOIN("_", TRUE, F288:O288))</f>
      </c>
      <c r="F288" s="28" t="str">
        <v>SM</v>
      </c>
      <c r="G288" s="32" t="str">
        <v>City</v>
      </c>
      <c r="H288" s="32" t="str">
        <v>Side</v>
      </c>
      <c r="I288" s="28"/>
      <c r="J288" s="28" t="str">
        <v>House</v>
      </c>
      <c r="K288" s="33" t="str">
        <v>PK</v>
      </c>
      <c r="L288" s="28"/>
      <c r="M288" s="28"/>
      <c r="N288" s="33"/>
      <c r="O288" s="33" t="str">
        <v>Loop</v>
      </c>
      <c r="P288" s="28"/>
      <c r="Q288" s="32">
        <f>"World_"&amp;VLOOKUP(G288,'引用列表'!Q:R,2,FALSE)&amp;"_"&amp;G288</f>
      </c>
      <c r="R288" s="32"/>
      <c r="S288" s="29">
        <f>IF(AE288="✅", "/Script/Engine.StaticMesh'/Game/Item/Mesh/Voxel/" &amp; Q288 &amp; "/" &amp; TEXTJOIN("_", TRUE, H288, I288) &amp; "/" &amp; E288 &amp; "." &amp; E288 &amp; "'", "")</f>
      </c>
      <c r="T288" s="28" t="str">
        <v>Open</v>
      </c>
      <c r="U288" s="28" t="str">
        <v>Open</v>
      </c>
      <c r="V288" s="28" t="str">
        <v>Close</v>
      </c>
      <c r="W288" s="28" t="str">
        <v>Close</v>
      </c>
      <c r="X288" s="28">
        <f>"House"&amp;K288</f>
      </c>
      <c r="Y288" s="28">
        <f>"House"&amp;K288</f>
      </c>
      <c r="Z288" s="28"/>
      <c r="AA288" s="28"/>
      <c r="AB288" s="32" t="b">
        <v>0</v>
      </c>
      <c r="AC288" s="28"/>
      <c r="AD288" s="32"/>
      <c r="AE288" s="74"/>
      <c r="AF288" s="32"/>
      <c r="AG288" s="32">
        <f>"MI_" &amp; #REF!</f>
      </c>
      <c r="AH288" s="32">
        <f>"T_" &amp; #REF!</f>
      </c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</row>
    <row customHeight="true" ht="19" r="289">
      <c r="A289" s="4" t="str" xml:space="preserve">
        <v> </v>
      </c>
      <c r="B289" s="14"/>
      <c r="C289" s="14"/>
      <c r="D289" s="14"/>
      <c r="E289" s="34">
        <f>IF(F289="", "", TEXTJOIN("_", TRUE, F289:O289))</f>
      </c>
      <c r="F289" s="28" t="str">
        <v>SM</v>
      </c>
      <c r="G289" s="32" t="str">
        <v>City</v>
      </c>
      <c r="H289" s="32" t="str">
        <v>Side</v>
      </c>
      <c r="I289" s="28"/>
      <c r="J289" s="28" t="str">
        <v>House</v>
      </c>
      <c r="K289" s="33" t="str">
        <v>PK</v>
      </c>
      <c r="L289" s="28"/>
      <c r="M289" s="28"/>
      <c r="N289" s="33"/>
      <c r="O289" s="33" t="str">
        <v>Single</v>
      </c>
      <c r="P289" s="28"/>
      <c r="Q289" s="32">
        <f>"World_"&amp;VLOOKUP(G289,'引用列表'!Q:R,2,FALSE)&amp;"_"&amp;G289</f>
      </c>
      <c r="R289" s="32"/>
      <c r="S289" s="29">
        <f>IF(AE289="✅", "/Script/Engine.StaticMesh'/Game/Item/Mesh/Voxel/" &amp; Q289 &amp; "/" &amp; TEXTJOIN("_", TRUE, H289, I289) &amp; "/" &amp; E289 &amp; "." &amp; E289 &amp; "'", "")</f>
      </c>
      <c r="T289" s="28" t="str">
        <v>Close</v>
      </c>
      <c r="U289" s="28" t="str">
        <v>Close</v>
      </c>
      <c r="V289" s="28" t="str">
        <v>Close</v>
      </c>
      <c r="W289" s="28" t="str">
        <v>Close</v>
      </c>
      <c r="X289" s="28"/>
      <c r="Y289" s="28"/>
      <c r="Z289" s="28"/>
      <c r="AA289" s="28"/>
      <c r="AB289" s="32" t="b">
        <v>0</v>
      </c>
      <c r="AC289" s="28"/>
      <c r="AD289" s="32"/>
      <c r="AE289" s="74"/>
      <c r="AF289" s="32"/>
      <c r="AG289" s="32">
        <f>"MI_" &amp; #REF!</f>
      </c>
      <c r="AH289" s="32">
        <f>"T_" &amp; #REF!</f>
      </c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</row>
    <row customHeight="true" ht="19" r="290">
      <c r="A290" s="4" t="str" xml:space="preserve">
        <v> </v>
      </c>
      <c r="B290" s="14"/>
      <c r="C290" s="14"/>
      <c r="D290" s="14"/>
      <c r="E290" s="78">
        <f>IF(F290="", "", TEXTJOIN("_", TRUE, F290:O290))</f>
      </c>
      <c r="F290" s="91" t="str">
        <v>SM</v>
      </c>
      <c r="G290" s="92" t="str">
        <v>City</v>
      </c>
      <c r="H290" s="92" t="str">
        <v>Side</v>
      </c>
      <c r="I290" s="80"/>
      <c r="J290" s="80" t="str">
        <v>House</v>
      </c>
      <c r="K290" s="80" t="str">
        <v>WF</v>
      </c>
      <c r="L290" s="91"/>
      <c r="M290" s="91"/>
      <c r="N290" s="93"/>
      <c r="O290" s="93" t="str">
        <v>B</v>
      </c>
      <c r="P290" s="91"/>
      <c r="Q290" s="92">
        <f>"World_"&amp;VLOOKUP(G290,'引用列表'!Q:R,2,FALSE)&amp;"_"&amp;G290</f>
      </c>
      <c r="R290" s="92"/>
      <c r="S290" s="79">
        <f>IF(AE290="✅", "/Script/Engine.StaticMesh'/Game/Item/Mesh/Voxel/" &amp; Q290 &amp; "/" &amp; TEXTJOIN("_", TRUE, H290, I290) &amp; "/" &amp; E290 &amp; "." &amp; E290 &amp; "'", "")</f>
      </c>
      <c r="T290" s="91" t="str">
        <v>Close</v>
      </c>
      <c r="U290" s="91" t="str">
        <v>Open</v>
      </c>
      <c r="V290" s="91" t="str">
        <v>Close</v>
      </c>
      <c r="W290" s="91" t="str">
        <v>Close</v>
      </c>
      <c r="X290" s="91"/>
      <c r="Y290" s="80">
        <f>"House"&amp;K290</f>
      </c>
      <c r="Z290" s="91"/>
      <c r="AA290" s="91"/>
      <c r="AB290" s="92" t="b">
        <v>0</v>
      </c>
      <c r="AC290" s="91"/>
      <c r="AD290" s="92"/>
      <c r="AE290" s="94"/>
      <c r="AF290" s="92"/>
      <c r="AG290" s="92">
        <f>"MI_" &amp; #REF!</f>
      </c>
      <c r="AH290" s="92">
        <f>"T_" &amp; #REF!</f>
      </c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</row>
    <row customHeight="true" ht="19" r="291">
      <c r="A291" s="4" t="str" xml:space="preserve">
        <v> </v>
      </c>
      <c r="B291" s="14"/>
      <c r="C291" s="14"/>
      <c r="D291" s="14"/>
      <c r="E291" s="78">
        <f>IF(F291="", "", TEXTJOIN("_", TRUE, F291:O291))</f>
      </c>
      <c r="F291" s="91" t="str">
        <v>SM</v>
      </c>
      <c r="G291" s="92" t="str">
        <v>City</v>
      </c>
      <c r="H291" s="92" t="str">
        <v>Side</v>
      </c>
      <c r="I291" s="80"/>
      <c r="J291" s="80" t="str">
        <v>House</v>
      </c>
      <c r="K291" s="80" t="str">
        <v>WF</v>
      </c>
      <c r="L291" s="91"/>
      <c r="M291" s="91"/>
      <c r="N291" s="93"/>
      <c r="O291" s="93" t="str">
        <v>F</v>
      </c>
      <c r="P291" s="91"/>
      <c r="Q291" s="92">
        <f>"World_"&amp;VLOOKUP(G291,'引用列表'!Q:R,2,FALSE)&amp;"_"&amp;G291</f>
      </c>
      <c r="R291" s="92"/>
      <c r="S291" s="79">
        <f>IF(AE291="✅", "/Script/Engine.StaticMesh'/Game/Item/Mesh/Voxel/" &amp; Q291 &amp; "/" &amp; TEXTJOIN("_", TRUE, H291, I291) &amp; "/" &amp; E291 &amp; "." &amp; E291 &amp; "'", "")</f>
      </c>
      <c r="T291" s="91" t="str">
        <v>Open</v>
      </c>
      <c r="U291" s="91" t="str">
        <v>Close</v>
      </c>
      <c r="V291" s="91" t="str">
        <v>Close</v>
      </c>
      <c r="W291" s="91" t="str">
        <v>Close</v>
      </c>
      <c r="X291" s="80">
        <f>"House"&amp;K291</f>
      </c>
      <c r="Y291" s="91"/>
      <c r="Z291" s="91"/>
      <c r="AA291" s="91"/>
      <c r="AB291" s="92" t="b">
        <v>0</v>
      </c>
      <c r="AC291" s="91"/>
      <c r="AD291" s="92"/>
      <c r="AE291" s="94"/>
      <c r="AF291" s="92"/>
      <c r="AG291" s="92">
        <f>"MI_" &amp; #REF!</f>
      </c>
      <c r="AH291" s="92">
        <f>"T_" &amp; #REF!</f>
      </c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</row>
    <row customHeight="true" ht="19" r="292">
      <c r="A292" s="4" t="str" xml:space="preserve">
        <v> </v>
      </c>
      <c r="B292" s="14"/>
      <c r="C292" s="14"/>
      <c r="D292" s="14"/>
      <c r="E292" s="78">
        <f>IF(F292="", "", TEXTJOIN("_", TRUE, F292:O292))</f>
      </c>
      <c r="F292" s="91" t="str">
        <v>SM</v>
      </c>
      <c r="G292" s="92" t="str">
        <v>City</v>
      </c>
      <c r="H292" s="92" t="str">
        <v>Side</v>
      </c>
      <c r="I292" s="80"/>
      <c r="J292" s="80" t="str">
        <v>House</v>
      </c>
      <c r="K292" s="80" t="str">
        <v>WF</v>
      </c>
      <c r="L292" s="91"/>
      <c r="M292" s="91"/>
      <c r="N292" s="93"/>
      <c r="O292" s="93" t="str">
        <v>Loop</v>
      </c>
      <c r="P292" s="91"/>
      <c r="Q292" s="92">
        <f>"World_"&amp;VLOOKUP(G292,'引用列表'!Q:R,2,FALSE)&amp;"_"&amp;G292</f>
      </c>
      <c r="R292" s="92"/>
      <c r="S292" s="79">
        <f>IF(AE292="✅", "/Script/Engine.StaticMesh'/Game/Item/Mesh/Voxel/" &amp; Q292 &amp; "/" &amp; TEXTJOIN("_", TRUE, H292, I292) &amp; "/" &amp; E292 &amp; "." &amp; E292 &amp; "'", "")</f>
      </c>
      <c r="T292" s="91" t="str">
        <v>Open</v>
      </c>
      <c r="U292" s="91" t="str">
        <v>Open</v>
      </c>
      <c r="V292" s="91" t="str">
        <v>Close</v>
      </c>
      <c r="W292" s="91" t="str">
        <v>Close</v>
      </c>
      <c r="X292" s="80">
        <f>"House"&amp;K292</f>
      </c>
      <c r="Y292" s="80">
        <f>"House"&amp;K292</f>
      </c>
      <c r="Z292" s="91"/>
      <c r="AA292" s="91"/>
      <c r="AB292" s="92" t="b">
        <v>0</v>
      </c>
      <c r="AC292" s="91"/>
      <c r="AD292" s="92"/>
      <c r="AE292" s="94"/>
      <c r="AF292" s="92"/>
      <c r="AG292" s="92">
        <f>"MI_" &amp; #REF!</f>
      </c>
      <c r="AH292" s="92">
        <f>"T_" &amp; #REF!</f>
      </c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</row>
    <row customHeight="true" ht="19" r="293">
      <c r="A293" s="4" t="str" xml:space="preserve">
        <v> </v>
      </c>
      <c r="B293" s="14"/>
      <c r="C293" s="14"/>
      <c r="D293" s="14"/>
      <c r="E293" s="78">
        <f>IF(F293="", "", TEXTJOIN("_", TRUE, F293:O293))</f>
      </c>
      <c r="F293" s="91" t="str">
        <v>SM</v>
      </c>
      <c r="G293" s="92" t="str">
        <v>City</v>
      </c>
      <c r="H293" s="92" t="str">
        <v>Side</v>
      </c>
      <c r="I293" s="80"/>
      <c r="J293" s="80" t="str">
        <v>House</v>
      </c>
      <c r="K293" s="80" t="str">
        <v>WF</v>
      </c>
      <c r="L293" s="91"/>
      <c r="M293" s="91"/>
      <c r="N293" s="93"/>
      <c r="O293" s="93" t="str">
        <v>Single</v>
      </c>
      <c r="P293" s="91"/>
      <c r="Q293" s="92">
        <f>"World_"&amp;VLOOKUP(G293,'引用列表'!Q:R,2,FALSE)&amp;"_"&amp;G293</f>
      </c>
      <c r="R293" s="92"/>
      <c r="S293" s="79">
        <f>IF(AE293="✅", "/Script/Engine.StaticMesh'/Game/Item/Mesh/Voxel/" &amp; Q293 &amp; "/" &amp; TEXTJOIN("_", TRUE, H293, I293) &amp; "/" &amp; E293 &amp; "." &amp; E293 &amp; "'", "")</f>
      </c>
      <c r="T293" s="91" t="str">
        <v>Close</v>
      </c>
      <c r="U293" s="91" t="str">
        <v>Close</v>
      </c>
      <c r="V293" s="91" t="str">
        <v>Close</v>
      </c>
      <c r="W293" s="91" t="str">
        <v>Close</v>
      </c>
      <c r="X293" s="91"/>
      <c r="Y293" s="91"/>
      <c r="Z293" s="91"/>
      <c r="AA293" s="91"/>
      <c r="AB293" s="92" t="b">
        <v>0</v>
      </c>
      <c r="AC293" s="91"/>
      <c r="AD293" s="92"/>
      <c r="AE293" s="94"/>
      <c r="AF293" s="92"/>
      <c r="AG293" s="92">
        <f>"MI_" &amp; #REF!</f>
      </c>
      <c r="AH293" s="92">
        <f>"T_" &amp; #REF!</f>
      </c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</row>
    <row customHeight="true" ht="19" r="294">
      <c r="A294" s="4" t="str" xml:space="preserve">
        <v> </v>
      </c>
      <c r="B294" s="14"/>
      <c r="C294" s="14"/>
      <c r="D294" s="14"/>
      <c r="E294" s="25">
        <f>IF(F294="", "", TEXTJOIN("_", TRUE, F294:O294))</f>
      </c>
      <c r="F294" s="21" t="str">
        <v>SM</v>
      </c>
      <c r="G294" s="20" t="str">
        <v>City</v>
      </c>
      <c r="H294" s="20" t="str">
        <v>RailHole</v>
      </c>
      <c r="I294" s="21"/>
      <c r="J294" s="21" t="str">
        <v>Grass</v>
      </c>
      <c r="K294" s="23">
        <v>1</v>
      </c>
      <c r="L294" s="21" t="str">
        <v>C</v>
      </c>
      <c r="M294" s="21" t="str">
        <v>Double</v>
      </c>
      <c r="N294" s="22"/>
      <c r="O294" s="22"/>
      <c r="P294" s="21"/>
      <c r="Q294" s="20">
        <f>"World_"&amp;VLOOKUP(G294,'引用列表'!Q:R,2,FALSE)&amp;"_"&amp;G294</f>
      </c>
      <c r="R294" s="20"/>
      <c r="S294" s="19">
        <f>IF(AE294="✅", "/Script/Engine.StaticMesh'/Game/Item/Mesh/Voxel/" &amp; Q294 &amp; "/" &amp; TEXTJOIN("_", TRUE, H294, I294) &amp; "/" &amp; E294 &amp; "." &amp; E294 &amp; "'", "")</f>
      </c>
      <c r="T294" s="21" t="str">
        <v>Open</v>
      </c>
      <c r="U294" s="20" t="str">
        <v>Open1</v>
      </c>
      <c r="V294" s="21"/>
      <c r="W294" s="21"/>
      <c r="X294" s="19" t="str">
        <v>Grass</v>
      </c>
      <c r="Y294" s="19" t="str">
        <v>Grass</v>
      </c>
      <c r="Z294" s="21"/>
      <c r="AA294" s="21"/>
      <c r="AB294" s="20" t="b">
        <v>0</v>
      </c>
      <c r="AC294" s="21"/>
      <c r="AD294" s="20"/>
      <c r="AE294" s="95"/>
      <c r="AF294" s="20"/>
      <c r="AG294" s="20"/>
      <c r="AH294" s="20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</row>
    <row customHeight="true" ht="19" r="295">
      <c r="A295" s="4" t="str" xml:space="preserve">
        <v> </v>
      </c>
      <c r="B295" s="14"/>
      <c r="C295" s="14"/>
      <c r="D295" s="14"/>
      <c r="E295" s="25">
        <f>IF(F295="", "", TEXTJOIN("_", TRUE, F295:O295))</f>
      </c>
      <c r="F295" s="21" t="str">
        <v>SM</v>
      </c>
      <c r="G295" s="20" t="str">
        <v>City</v>
      </c>
      <c r="H295" s="20" t="str">
        <v>RailHole</v>
      </c>
      <c r="I295" s="21"/>
      <c r="J295" s="21" t="str">
        <v>Grass</v>
      </c>
      <c r="K295" s="23">
        <v>2</v>
      </c>
      <c r="L295" s="21" t="str">
        <v>C</v>
      </c>
      <c r="M295" s="21" t="str">
        <v>Double</v>
      </c>
      <c r="N295" s="22"/>
      <c r="O295" s="22"/>
      <c r="P295" s="21"/>
      <c r="Q295" s="20">
        <f>"World_"&amp;VLOOKUP(G295,'引用列表'!Q:R,2,FALSE)&amp;"_"&amp;G295</f>
      </c>
      <c r="R295" s="20"/>
      <c r="S295" s="19">
        <f>IF(AE295="✅", "/Script/Engine.StaticMesh'/Game/Item/Mesh/Voxel/" &amp; Q295 &amp; "/" &amp; TEXTJOIN("_", TRUE, H295, I295) &amp; "/" &amp; E295 &amp; "." &amp; E295 &amp; "'", "")</f>
      </c>
      <c r="T295" s="20" t="str">
        <v>Open1</v>
      </c>
      <c r="U295" s="20" t="str">
        <v>Open2</v>
      </c>
      <c r="V295" s="21"/>
      <c r="W295" s="21"/>
      <c r="X295" s="19" t="str">
        <v>Grass</v>
      </c>
      <c r="Y295" s="19" t="str">
        <v>Grass</v>
      </c>
      <c r="Z295" s="21"/>
      <c r="AA295" s="21"/>
      <c r="AB295" s="20" t="b">
        <v>0</v>
      </c>
      <c r="AC295" s="21"/>
      <c r="AD295" s="20"/>
      <c r="AE295" s="95"/>
      <c r="AF295" s="20"/>
      <c r="AG295" s="20"/>
      <c r="AH295" s="20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</row>
    <row customHeight="true" ht="19" r="296">
      <c r="A296" s="4" t="str" xml:space="preserve">
        <v> </v>
      </c>
      <c r="B296" s="14"/>
      <c r="C296" s="14"/>
      <c r="D296" s="14"/>
      <c r="E296" s="25">
        <f>IF(F296="", "", TEXTJOIN("_", TRUE, F296:O296))</f>
      </c>
      <c r="F296" s="21" t="str">
        <v>SM</v>
      </c>
      <c r="G296" s="20" t="str">
        <v>City</v>
      </c>
      <c r="H296" s="20" t="str">
        <v>RailHole</v>
      </c>
      <c r="I296" s="21"/>
      <c r="J296" s="21" t="str">
        <v>Grass</v>
      </c>
      <c r="K296" s="23">
        <v>3</v>
      </c>
      <c r="L296" s="21" t="str">
        <v>C</v>
      </c>
      <c r="M296" s="21" t="str">
        <v>Double</v>
      </c>
      <c r="N296" s="22"/>
      <c r="O296" s="22"/>
      <c r="P296" s="21"/>
      <c r="Q296" s="20">
        <f>"World_"&amp;VLOOKUP(G296,'引用列表'!Q:R,2,FALSE)&amp;"_"&amp;G296</f>
      </c>
      <c r="R296" s="20"/>
      <c r="S296" s="19">
        <f>IF(AE296="✅", "/Script/Engine.StaticMesh'/Game/Item/Mesh/Voxel/" &amp; Q296 &amp; "/" &amp; TEXTJOIN("_", TRUE, H296, I296) &amp; "/" &amp; E296 &amp; "." &amp; E296 &amp; "'", "")</f>
      </c>
      <c r="T296" s="20" t="str">
        <v>Open2</v>
      </c>
      <c r="U296" s="20" t="str">
        <v>Open3</v>
      </c>
      <c r="V296" s="21"/>
      <c r="W296" s="21"/>
      <c r="X296" s="19" t="str">
        <v>Grass</v>
      </c>
      <c r="Y296" s="19" t="str">
        <v>Grass</v>
      </c>
      <c r="Z296" s="21"/>
      <c r="AA296" s="21"/>
      <c r="AB296" s="20" t="b">
        <v>0</v>
      </c>
      <c r="AC296" s="21"/>
      <c r="AD296" s="20"/>
      <c r="AE296" s="95"/>
      <c r="AF296" s="20"/>
      <c r="AG296" s="20"/>
      <c r="AH296" s="20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</row>
    <row customHeight="true" ht="19" r="297">
      <c r="A297" s="4" t="str" xml:space="preserve">
        <v> </v>
      </c>
      <c r="B297" s="14"/>
      <c r="C297" s="14"/>
      <c r="D297" s="14"/>
      <c r="E297" s="25">
        <f>IF(F297="", "", TEXTJOIN("_", TRUE, F297:O297))</f>
      </c>
      <c r="F297" s="21" t="str">
        <v>SM</v>
      </c>
      <c r="G297" s="20" t="str">
        <v>City</v>
      </c>
      <c r="H297" s="20" t="str">
        <v>RailHole</v>
      </c>
      <c r="I297" s="21"/>
      <c r="J297" s="21" t="str">
        <v>Grass</v>
      </c>
      <c r="K297" s="23">
        <v>4</v>
      </c>
      <c r="L297" s="21" t="str">
        <v>C</v>
      </c>
      <c r="M297" s="21" t="str">
        <v>Double</v>
      </c>
      <c r="N297" s="22"/>
      <c r="O297" s="22"/>
      <c r="P297" s="21"/>
      <c r="Q297" s="20">
        <f>"World_"&amp;VLOOKUP(G297,'引用列表'!Q:R,2,FALSE)&amp;"_"&amp;G297</f>
      </c>
      <c r="R297" s="20"/>
      <c r="S297" s="19">
        <f>IF(AE297="✅", "/Script/Engine.StaticMesh'/Game/Item/Mesh/Voxel/" &amp; Q297 &amp; "/" &amp; TEXTJOIN("_", TRUE, H297, I297) &amp; "/" &amp; E297 &amp; "." &amp; E297 &amp; "'", "")</f>
      </c>
      <c r="T297" s="20" t="str">
        <v>Open3</v>
      </c>
      <c r="U297" s="20" t="str">
        <v>Open4</v>
      </c>
      <c r="V297" s="21"/>
      <c r="W297" s="21"/>
      <c r="X297" s="19" t="str">
        <v>Grass</v>
      </c>
      <c r="Y297" s="19" t="str">
        <v>Grass</v>
      </c>
      <c r="Z297" s="21"/>
      <c r="AA297" s="21"/>
      <c r="AB297" s="20" t="b">
        <v>0</v>
      </c>
      <c r="AC297" s="21"/>
      <c r="AD297" s="20"/>
      <c r="AE297" s="95"/>
      <c r="AF297" s="20"/>
      <c r="AG297" s="20"/>
      <c r="AH297" s="20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</row>
    <row customHeight="true" ht="19" r="298">
      <c r="A298" s="4" t="str" xml:space="preserve">
        <v> </v>
      </c>
      <c r="B298" s="14"/>
      <c r="C298" s="14"/>
      <c r="D298" s="14"/>
      <c r="E298" s="25">
        <f>IF(F298="", "", TEXTJOIN("_", TRUE, F298:O298))</f>
      </c>
      <c r="F298" s="21" t="str">
        <v>SM</v>
      </c>
      <c r="G298" s="20" t="str">
        <v>City</v>
      </c>
      <c r="H298" s="20" t="str">
        <v>RailHole</v>
      </c>
      <c r="I298" s="21"/>
      <c r="J298" s="21" t="str">
        <v>Grass</v>
      </c>
      <c r="K298" s="23">
        <v>5</v>
      </c>
      <c r="L298" s="21" t="str">
        <v>C</v>
      </c>
      <c r="M298" s="21" t="str">
        <v>Double</v>
      </c>
      <c r="N298" s="22"/>
      <c r="O298" s="22"/>
      <c r="P298" s="21"/>
      <c r="Q298" s="20">
        <f>"World_"&amp;VLOOKUP(G298,'引用列表'!Q:R,2,FALSE)&amp;"_"&amp;G298</f>
      </c>
      <c r="R298" s="20"/>
      <c r="S298" s="19">
        <f>IF(AE298="✅", "/Script/Engine.StaticMesh'/Game/Item/Mesh/Voxel/" &amp; Q298 &amp; "/" &amp; TEXTJOIN("_", TRUE, H298, I298) &amp; "/" &amp; E298 &amp; "." &amp; E298 &amp; "'", "")</f>
      </c>
      <c r="T298" s="20" t="str">
        <v>Open4</v>
      </c>
      <c r="U298" s="20" t="str">
        <v>Open5</v>
      </c>
      <c r="V298" s="21"/>
      <c r="W298" s="21"/>
      <c r="X298" s="19" t="str">
        <v>Grass</v>
      </c>
      <c r="Y298" s="19" t="str">
        <v>Grass</v>
      </c>
      <c r="Z298" s="21"/>
      <c r="AA298" s="21"/>
      <c r="AB298" s="20" t="b">
        <v>0</v>
      </c>
      <c r="AC298" s="21"/>
      <c r="AD298" s="20"/>
      <c r="AE298" s="95"/>
      <c r="AF298" s="20"/>
      <c r="AG298" s="20"/>
      <c r="AH298" s="20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</row>
    <row customHeight="true" ht="19" r="299">
      <c r="A299" s="4" t="str" xml:space="preserve">
        <v> </v>
      </c>
      <c r="B299" s="14"/>
      <c r="C299" s="14"/>
      <c r="D299" s="14"/>
      <c r="E299" s="25">
        <f>IF(F299="", "", TEXTJOIN("_", TRUE, F299:O299))</f>
      </c>
      <c r="F299" s="21" t="str">
        <v>SM</v>
      </c>
      <c r="G299" s="20" t="str">
        <v>City</v>
      </c>
      <c r="H299" s="20" t="str">
        <v>RailHole</v>
      </c>
      <c r="I299" s="21"/>
      <c r="J299" s="21" t="str">
        <v>Grass</v>
      </c>
      <c r="K299" s="23">
        <v>6</v>
      </c>
      <c r="L299" s="21" t="str">
        <v>C</v>
      </c>
      <c r="M299" s="21" t="str">
        <v>Double</v>
      </c>
      <c r="N299" s="22"/>
      <c r="O299" s="22"/>
      <c r="P299" s="21"/>
      <c r="Q299" s="20">
        <f>"World_"&amp;VLOOKUP(G299,'引用列表'!Q:R,2,FALSE)&amp;"_"&amp;G299</f>
      </c>
      <c r="R299" s="20"/>
      <c r="S299" s="19">
        <f>IF(AE299="✅", "/Script/Engine.StaticMesh'/Game/Item/Mesh/Voxel/" &amp; Q299 &amp; "/" &amp; TEXTJOIN("_", TRUE, H299, I299) &amp; "/" &amp; E299 &amp; "." &amp; E299 &amp; "'", "")</f>
      </c>
      <c r="T299" s="20" t="str">
        <v>Open5</v>
      </c>
      <c r="U299" s="21" t="str">
        <v>Open</v>
      </c>
      <c r="V299" s="21"/>
      <c r="W299" s="21"/>
      <c r="X299" s="19" t="str">
        <v>Grass</v>
      </c>
      <c r="Y299" s="19" t="str">
        <v>Grass</v>
      </c>
      <c r="Z299" s="21"/>
      <c r="AA299" s="21"/>
      <c r="AB299" s="20" t="b">
        <v>0</v>
      </c>
      <c r="AC299" s="21"/>
      <c r="AD299" s="20"/>
      <c r="AE299" s="95"/>
      <c r="AF299" s="20"/>
      <c r="AG299" s="20"/>
      <c r="AH299" s="20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</row>
    <row r="300">
      <c r="A300" s="4" t="str" xml:space="preserve">
        <v> </v>
      </c>
      <c r="B300" s="14"/>
      <c r="C300" s="14"/>
      <c r="D300" s="14"/>
      <c r="E300" s="85">
        <f>IF(F300="", "", TEXTJOIN("_", TRUE, F300:O300))</f>
      </c>
      <c r="F300" s="42"/>
      <c r="G300" s="43"/>
      <c r="H300" s="43"/>
      <c r="I300" s="42"/>
      <c r="J300" s="42"/>
      <c r="K300" s="44"/>
      <c r="L300" s="42"/>
      <c r="M300" s="42"/>
      <c r="N300" s="45"/>
      <c r="O300" s="45"/>
      <c r="P300" s="42"/>
      <c r="Q300" s="43">
        <f>"World_"&amp;VLOOKUP(G300,'引用列表'!Q:R,2,FALSE)&amp;"_"&amp;G300</f>
      </c>
      <c r="R300" s="43"/>
      <c r="S300" s="47">
        <f>IF(AE300="✅", "/Script/Engine.StaticMesh'/Game/Item/Mesh/Voxel/" &amp; Q300 &amp; "/" &amp; TEXTJOIN("_", TRUE, H300, I300) &amp; "/" &amp; E300 &amp; "." &amp; E300 &amp; "'", "")</f>
      </c>
      <c r="T300" s="42"/>
      <c r="U300" s="43"/>
      <c r="V300" s="42"/>
      <c r="W300" s="42"/>
      <c r="X300" s="47"/>
      <c r="Y300" s="47"/>
      <c r="Z300" s="42"/>
      <c r="AA300" s="42"/>
      <c r="AB300" s="43"/>
      <c r="AC300" s="42"/>
      <c r="AD300" s="43"/>
      <c r="AE300" s="77"/>
      <c r="AF300" s="43"/>
      <c r="AG300" s="43"/>
      <c r="AH300" s="43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</row>
    <row r="301">
      <c r="A301" s="4" t="str" xml:space="preserve">
        <v> </v>
      </c>
      <c r="B301" s="14"/>
      <c r="C301" s="14"/>
      <c r="D301" s="14"/>
      <c r="E301" s="25">
        <f>IF(F301="", "", TEXTJOIN("_", TRUE, F301:O301))</f>
      </c>
      <c r="F301" s="21" t="str">
        <v>SM</v>
      </c>
      <c r="G301" s="20" t="str">
        <v>TheCity</v>
      </c>
      <c r="H301" s="20" t="str">
        <v>StartHole</v>
      </c>
      <c r="I301" s="21"/>
      <c r="J301" s="21" t="str">
        <v>Sidewalk</v>
      </c>
      <c r="K301" s="23"/>
      <c r="L301" s="21" t="str">
        <v>B</v>
      </c>
      <c r="M301" s="21" t="str">
        <v>Tri</v>
      </c>
      <c r="N301" s="22"/>
      <c r="O301" s="22"/>
      <c r="P301" s="21"/>
      <c r="Q301" s="20">
        <f>"World_"&amp;VLOOKUP(G301,'引用列表'!Q:R,2,FALSE)&amp;"_"&amp;G301</f>
      </c>
      <c r="R301" s="20"/>
      <c r="S301" s="19">
        <f>IF(AE301="✅", "/Script/Engine.StaticMesh'/Game/Item/Mesh/Voxel/" &amp; Q301 &amp; "/" &amp; TEXTJOIN("_", TRUE, H301, I301) &amp; "/" &amp; E301 &amp; "." &amp; E301 &amp; "'", "")</f>
      </c>
      <c r="T301" s="20" t="str">
        <v>Close</v>
      </c>
      <c r="U301" s="20" t="str">
        <v>Open1</v>
      </c>
      <c r="V301" s="21"/>
      <c r="W301" s="21"/>
      <c r="X301" s="19" t="str">
        <v>Sidewalk</v>
      </c>
      <c r="Y301" s="19" t="str">
        <v>Sidewalk</v>
      </c>
      <c r="Z301" s="21"/>
      <c r="AA301" s="21"/>
      <c r="AB301" s="20" t="b">
        <v>0</v>
      </c>
      <c r="AC301" s="21"/>
      <c r="AD301" s="20"/>
      <c r="AE301" s="95"/>
      <c r="AF301" s="20"/>
      <c r="AG301" s="20"/>
      <c r="AH301" s="20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</row>
    <row r="302">
      <c r="A302" s="4" t="str" xml:space="preserve">
        <v> </v>
      </c>
      <c r="B302" s="14"/>
      <c r="C302" s="14"/>
      <c r="D302" s="14"/>
      <c r="E302" s="71">
        <f>IF(F302="", "", TEXTJOIN("_", TRUE, F302:O302))</f>
      </c>
      <c r="F302" s="60" t="str">
        <v>SM</v>
      </c>
      <c r="G302" s="61" t="str">
        <v>TheCity</v>
      </c>
      <c r="H302" s="61" t="str">
        <v>StartHole</v>
      </c>
      <c r="I302" s="60"/>
      <c r="J302" s="60" t="str">
        <v>SidewalkToRoad</v>
      </c>
      <c r="K302" s="58">
        <v>1</v>
      </c>
      <c r="L302" s="60" t="str">
        <v>C</v>
      </c>
      <c r="M302" s="60" t="str">
        <v>Double</v>
      </c>
      <c r="N302" s="63"/>
      <c r="O302" s="63"/>
      <c r="P302" s="60"/>
      <c r="Q302" s="61">
        <f>"World_"&amp;VLOOKUP(G302,'引用列表'!Q:R,2,FALSE)&amp;"_"&amp;G302</f>
      </c>
      <c r="R302" s="61"/>
      <c r="S302" s="62">
        <f>IF(AE302="✅", "/Script/Engine.StaticMesh'/Game/Item/Mesh/Voxel/" &amp; Q302 &amp; "/" &amp; TEXTJOIN("_", TRUE, H302, I302) &amp; "/" &amp; E302 &amp; "." &amp; E302 &amp; "'", "")</f>
      </c>
      <c r="T302" s="61" t="str">
        <v>Open1</v>
      </c>
      <c r="U302" s="61" t="str">
        <v>Open2</v>
      </c>
      <c r="V302" s="60"/>
      <c r="W302" s="60"/>
      <c r="X302" s="62" t="str">
        <v>Sidewalk</v>
      </c>
      <c r="Y302" s="62" t="str">
        <v>Road</v>
      </c>
      <c r="Z302" s="60"/>
      <c r="AA302" s="60"/>
      <c r="AB302" s="61" t="b">
        <v>0</v>
      </c>
      <c r="AC302" s="60"/>
      <c r="AD302" s="61"/>
      <c r="AE302" s="87"/>
      <c r="AF302" s="61"/>
      <c r="AG302" s="61"/>
      <c r="AH302" s="61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</row>
    <row r="303">
      <c r="A303" s="4" t="str" xml:space="preserve">
        <v> </v>
      </c>
      <c r="B303" s="14"/>
      <c r="C303" s="14"/>
      <c r="D303" s="14"/>
      <c r="E303" s="71">
        <f>IF(F303="", "", TEXTJOIN("_", TRUE, F303:O303))</f>
      </c>
      <c r="F303" s="60" t="str">
        <v>SM</v>
      </c>
      <c r="G303" s="61" t="str">
        <v>TheCity</v>
      </c>
      <c r="H303" s="61" t="str">
        <v>StartHole</v>
      </c>
      <c r="I303" s="60"/>
      <c r="J303" s="60" t="str">
        <v>Road</v>
      </c>
      <c r="K303" s="58">
        <v>2</v>
      </c>
      <c r="L303" s="60" t="str">
        <v>C</v>
      </c>
      <c r="M303" s="60" t="str">
        <v>Double</v>
      </c>
      <c r="N303" s="63"/>
      <c r="O303" s="63"/>
      <c r="P303" s="60"/>
      <c r="Q303" s="61">
        <f>"World_"&amp;VLOOKUP(G303,'引用列表'!Q:R,2,FALSE)&amp;"_"&amp;G303</f>
      </c>
      <c r="R303" s="61"/>
      <c r="S303" s="62">
        <f>IF(AE303="✅", "/Script/Engine.StaticMesh'/Game/Item/Mesh/Voxel/" &amp; Q303 &amp; "/" &amp; TEXTJOIN("_", TRUE, H303, I303) &amp; "/" &amp; E303 &amp; "." &amp; E303 &amp; "'", "")</f>
      </c>
      <c r="T303" s="61" t="str">
        <v>Open2</v>
      </c>
      <c r="U303" s="61" t="str">
        <v>Open3</v>
      </c>
      <c r="V303" s="60"/>
      <c r="W303" s="60"/>
      <c r="X303" s="62" t="str">
        <v>Road</v>
      </c>
      <c r="Y303" s="62" t="str">
        <v>Road</v>
      </c>
      <c r="Z303" s="60"/>
      <c r="AA303" s="60"/>
      <c r="AB303" s="61" t="b">
        <v>0</v>
      </c>
      <c r="AC303" s="60"/>
      <c r="AD303" s="61"/>
      <c r="AE303" s="87"/>
      <c r="AF303" s="61"/>
      <c r="AG303" s="61"/>
      <c r="AH303" s="61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</row>
    <row customHeight="true" ht="19" r="304">
      <c r="A304" s="4" t="str" xml:space="preserve">
        <v> </v>
      </c>
      <c r="B304" s="14"/>
      <c r="C304" s="14"/>
      <c r="D304" s="14"/>
      <c r="E304" s="71">
        <f>IF(F304="", "", TEXTJOIN("_", TRUE, F304:O304))</f>
      </c>
      <c r="F304" s="60" t="str">
        <v>SM</v>
      </c>
      <c r="G304" s="61" t="str">
        <v>TheCity</v>
      </c>
      <c r="H304" s="61" t="str">
        <v>StartHole</v>
      </c>
      <c r="I304" s="60"/>
      <c r="J304" s="60" t="str">
        <v>Road</v>
      </c>
      <c r="K304" s="58">
        <v>3</v>
      </c>
      <c r="L304" s="60" t="str">
        <v>C</v>
      </c>
      <c r="M304" s="60" t="str">
        <v>Double</v>
      </c>
      <c r="N304" s="63"/>
      <c r="O304" s="63"/>
      <c r="P304" s="60"/>
      <c r="Q304" s="61">
        <f>"World_"&amp;VLOOKUP(G304,'引用列表'!Q:R,2,FALSE)&amp;"_"&amp;G304</f>
      </c>
      <c r="R304" s="61"/>
      <c r="S304" s="62">
        <f>IF(AE304="✅", "/Script/Engine.StaticMesh'/Game/Item/Mesh/Voxel/" &amp; Q304 &amp; "/" &amp; TEXTJOIN("_", TRUE, H304, I304) &amp; "/" &amp; E304 &amp; "." &amp; E304 &amp; "'", "")</f>
      </c>
      <c r="T304" s="61" t="str">
        <v>Open3</v>
      </c>
      <c r="U304" s="61" t="str">
        <v>Open4</v>
      </c>
      <c r="V304" s="60"/>
      <c r="W304" s="60"/>
      <c r="X304" s="62" t="str">
        <v>Road</v>
      </c>
      <c r="Y304" s="62" t="str">
        <v>Road</v>
      </c>
      <c r="Z304" s="60"/>
      <c r="AA304" s="60"/>
      <c r="AB304" s="61" t="b">
        <v>0</v>
      </c>
      <c r="AC304" s="60"/>
      <c r="AD304" s="61"/>
      <c r="AE304" s="87"/>
      <c r="AF304" s="61"/>
      <c r="AG304" s="61"/>
      <c r="AH304" s="61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</row>
    <row customHeight="true" ht="19" r="305">
      <c r="A305" s="4" t="str" xml:space="preserve">
        <v> </v>
      </c>
      <c r="B305" s="14"/>
      <c r="C305" s="14"/>
      <c r="D305" s="14"/>
      <c r="E305" s="71">
        <f>IF(F305="", "", TEXTJOIN("_", TRUE, F305:O305))</f>
      </c>
      <c r="F305" s="60" t="str">
        <v>SM</v>
      </c>
      <c r="G305" s="61" t="str">
        <v>TheCity</v>
      </c>
      <c r="H305" s="61" t="str">
        <v>StartHole</v>
      </c>
      <c r="I305" s="60"/>
      <c r="J305" s="60" t="str">
        <v>Road</v>
      </c>
      <c r="K305" s="58">
        <v>4</v>
      </c>
      <c r="L305" s="60" t="str">
        <v>C</v>
      </c>
      <c r="M305" s="60" t="str">
        <v>Double</v>
      </c>
      <c r="N305" s="63"/>
      <c r="O305" s="63"/>
      <c r="P305" s="60"/>
      <c r="Q305" s="61">
        <f>"World_"&amp;VLOOKUP(G305,'引用列表'!Q:R,2,FALSE)&amp;"_"&amp;G305</f>
      </c>
      <c r="R305" s="61"/>
      <c r="S305" s="62">
        <f>IF(AE305="✅", "/Script/Engine.StaticMesh'/Game/Item/Mesh/Voxel/" &amp; Q305 &amp; "/" &amp; TEXTJOIN("_", TRUE, H305, I305) &amp; "/" &amp; E305 &amp; "." &amp; E305 &amp; "'", "")</f>
      </c>
      <c r="T305" s="61" t="str">
        <v>Open4</v>
      </c>
      <c r="U305" s="61" t="str">
        <v>Open</v>
      </c>
      <c r="V305" s="60"/>
      <c r="W305" s="60"/>
      <c r="X305" s="62" t="str">
        <v>Road</v>
      </c>
      <c r="Y305" s="62" t="str">
        <v>Road</v>
      </c>
      <c r="Z305" s="60"/>
      <c r="AA305" s="60"/>
      <c r="AB305" s="61" t="b">
        <v>0</v>
      </c>
      <c r="AC305" s="60"/>
      <c r="AD305" s="61"/>
      <c r="AE305" s="87"/>
      <c r="AF305" s="61"/>
      <c r="AG305" s="61"/>
      <c r="AH305" s="61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</row>
    <row customHeight="true" ht="19" r="306">
      <c r="A306" s="4" t="str" xml:space="preserve">
        <v> </v>
      </c>
      <c r="B306" s="14"/>
      <c r="C306" s="14"/>
      <c r="D306" s="14"/>
      <c r="E306" s="85">
        <f>IF(F306="", "", TEXTJOIN("_", TRUE, F306:O306))</f>
      </c>
      <c r="F306" s="103" t="str">
        <v>SM</v>
      </c>
      <c r="G306" s="102" t="str">
        <v>TheCity</v>
      </c>
      <c r="H306" s="102" t="str">
        <v>StartHole</v>
      </c>
      <c r="I306" s="103"/>
      <c r="J306" s="103" t="str">
        <v>SidewalkToGrass</v>
      </c>
      <c r="K306" s="84">
        <v>1</v>
      </c>
      <c r="L306" s="103" t="str">
        <v>C</v>
      </c>
      <c r="M306" s="103" t="str">
        <v>Double</v>
      </c>
      <c r="N306" s="104"/>
      <c r="O306" s="104"/>
      <c r="P306" s="103"/>
      <c r="Q306" s="102">
        <f>"World_"&amp;VLOOKUP(G306,'引用列表'!Q:R,2,FALSE)&amp;"_"&amp;G306</f>
      </c>
      <c r="R306" s="102"/>
      <c r="S306" s="83">
        <f>IF(AE306="✅", "/Script/Engine.StaticMesh'/Game/Item/Mesh/Voxel/" &amp; Q306 &amp; "/" &amp; TEXTJOIN("_", TRUE, H306, I306) &amp; "/" &amp; E306 &amp; "." &amp; E306 &amp; "'", "")</f>
      </c>
      <c r="T306" s="102" t="str">
        <v>Open1</v>
      </c>
      <c r="U306" s="102" t="str">
        <v>Open2</v>
      </c>
      <c r="V306" s="103"/>
      <c r="W306" s="103"/>
      <c r="X306" s="83" t="str">
        <v>Sidewalk</v>
      </c>
      <c r="Y306" s="83" t="str">
        <v>Grass</v>
      </c>
      <c r="Z306" s="103"/>
      <c r="AA306" s="103"/>
      <c r="AB306" s="102" t="b">
        <v>0</v>
      </c>
      <c r="AC306" s="103"/>
      <c r="AD306" s="102"/>
      <c r="AE306" s="105"/>
      <c r="AF306" s="102"/>
      <c r="AG306" s="102"/>
      <c r="AH306" s="102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/>
      <c r="BF306" s="103"/>
      <c r="BG306" s="103"/>
      <c r="BH306" s="103"/>
      <c r="BI306" s="103"/>
      <c r="BJ306" s="103"/>
      <c r="BK306" s="103"/>
      <c r="BL306" s="103"/>
      <c r="BM306" s="103"/>
    </row>
    <row customHeight="true" ht="19" r="307">
      <c r="A307" s="4" t="str" xml:space="preserve">
        <v> </v>
      </c>
      <c r="B307" s="14"/>
      <c r="C307" s="14"/>
      <c r="D307" s="14"/>
      <c r="E307" s="85">
        <f>IF(F307="", "", TEXTJOIN("_", TRUE, F307:O307))</f>
      </c>
      <c r="F307" s="103" t="str">
        <v>SM</v>
      </c>
      <c r="G307" s="102" t="str">
        <v>TheCity</v>
      </c>
      <c r="H307" s="102" t="str">
        <v>StartHole</v>
      </c>
      <c r="I307" s="103"/>
      <c r="J307" s="103" t="str">
        <v>Grass</v>
      </c>
      <c r="K307" s="84">
        <v>2</v>
      </c>
      <c r="L307" s="103" t="str">
        <v>C</v>
      </c>
      <c r="M307" s="103" t="str">
        <v>Double</v>
      </c>
      <c r="N307" s="104"/>
      <c r="O307" s="104"/>
      <c r="P307" s="103"/>
      <c r="Q307" s="102">
        <f>"World_"&amp;VLOOKUP(G307,'引用列表'!Q:R,2,FALSE)&amp;"_"&amp;G307</f>
      </c>
      <c r="R307" s="102"/>
      <c r="S307" s="83">
        <f>IF(AE307="✅", "/Script/Engine.StaticMesh'/Game/Item/Mesh/Voxel/" &amp; Q307 &amp; "/" &amp; TEXTJOIN("_", TRUE, H307, I307) &amp; "/" &amp; E307 &amp; "." &amp; E307 &amp; "'", "")</f>
      </c>
      <c r="T307" s="102" t="str">
        <v>Open2</v>
      </c>
      <c r="U307" s="102" t="str">
        <v>Open3</v>
      </c>
      <c r="V307" s="103"/>
      <c r="W307" s="103"/>
      <c r="X307" s="83" t="str">
        <v>Grass</v>
      </c>
      <c r="Y307" s="83" t="str">
        <v>Grass</v>
      </c>
      <c r="Z307" s="103"/>
      <c r="AA307" s="103"/>
      <c r="AB307" s="102" t="b">
        <v>0</v>
      </c>
      <c r="AC307" s="103"/>
      <c r="AD307" s="102"/>
      <c r="AE307" s="105"/>
      <c r="AF307" s="102"/>
      <c r="AG307" s="102"/>
      <c r="AH307" s="102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3"/>
      <c r="BK307" s="103"/>
      <c r="BL307" s="103"/>
      <c r="BM307" s="103"/>
    </row>
    <row customHeight="true" ht="19" r="308">
      <c r="A308" s="4" t="str" xml:space="preserve">
        <v> </v>
      </c>
      <c r="B308" s="14"/>
      <c r="C308" s="14"/>
      <c r="D308" s="14"/>
      <c r="E308" s="85">
        <f>IF(F308="", "", TEXTJOIN("_", TRUE, F308:O308))</f>
      </c>
      <c r="F308" s="103" t="str">
        <v>SM</v>
      </c>
      <c r="G308" s="102" t="str">
        <v>TheCity</v>
      </c>
      <c r="H308" s="102" t="str">
        <v>StartHole</v>
      </c>
      <c r="I308" s="103"/>
      <c r="J308" s="103" t="str">
        <v>Grass</v>
      </c>
      <c r="K308" s="84">
        <v>3</v>
      </c>
      <c r="L308" s="103" t="str">
        <v>C</v>
      </c>
      <c r="M308" s="103" t="str">
        <v>Double</v>
      </c>
      <c r="N308" s="104"/>
      <c r="O308" s="104"/>
      <c r="P308" s="103"/>
      <c r="Q308" s="102">
        <f>"World_"&amp;VLOOKUP(G308,'引用列表'!Q:R,2,FALSE)&amp;"_"&amp;G308</f>
      </c>
      <c r="R308" s="102"/>
      <c r="S308" s="83">
        <f>IF(AE308="✅", "/Script/Engine.StaticMesh'/Game/Item/Mesh/Voxel/" &amp; Q308 &amp; "/" &amp; TEXTJOIN("_", TRUE, H308, I308) &amp; "/" &amp; E308 &amp; "." &amp; E308 &amp; "'", "")</f>
      </c>
      <c r="T308" s="102" t="str">
        <v>Open3</v>
      </c>
      <c r="U308" s="102" t="str">
        <v>Open4</v>
      </c>
      <c r="V308" s="103"/>
      <c r="W308" s="103"/>
      <c r="X308" s="83" t="str">
        <v>Grass</v>
      </c>
      <c r="Y308" s="83" t="str">
        <v>Grass</v>
      </c>
      <c r="Z308" s="103"/>
      <c r="AA308" s="103"/>
      <c r="AB308" s="102" t="b">
        <v>0</v>
      </c>
      <c r="AC308" s="103"/>
      <c r="AD308" s="102"/>
      <c r="AE308" s="105"/>
      <c r="AF308" s="102"/>
      <c r="AG308" s="102"/>
      <c r="AH308" s="102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/>
      <c r="BF308" s="103"/>
      <c r="BG308" s="103"/>
      <c r="BH308" s="103"/>
      <c r="BI308" s="103"/>
      <c r="BJ308" s="103"/>
      <c r="BK308" s="103"/>
      <c r="BL308" s="103"/>
      <c r="BM308" s="103"/>
    </row>
    <row customHeight="true" ht="19" r="309">
      <c r="A309" s="4" t="str" xml:space="preserve">
        <v> </v>
      </c>
      <c r="B309" s="14"/>
      <c r="C309" s="14"/>
      <c r="D309" s="14"/>
      <c r="E309" s="85">
        <f>IF(F309="", "", TEXTJOIN("_", TRUE, F309:O309))</f>
      </c>
      <c r="F309" s="103" t="str">
        <v>SM</v>
      </c>
      <c r="G309" s="102" t="str">
        <v>TheCity</v>
      </c>
      <c r="H309" s="102" t="str">
        <v>StartHole</v>
      </c>
      <c r="I309" s="103"/>
      <c r="J309" s="103" t="str">
        <v>Grass</v>
      </c>
      <c r="K309" s="84">
        <v>4</v>
      </c>
      <c r="L309" s="103" t="str">
        <v>C</v>
      </c>
      <c r="M309" s="103" t="str">
        <v>Double</v>
      </c>
      <c r="N309" s="104"/>
      <c r="O309" s="104"/>
      <c r="P309" s="103"/>
      <c r="Q309" s="102">
        <f>"World_"&amp;VLOOKUP(G309,'引用列表'!Q:R,2,FALSE)&amp;"_"&amp;G309</f>
      </c>
      <c r="R309" s="102"/>
      <c r="S309" s="83">
        <f>IF(AE309="✅", "/Script/Engine.StaticMesh'/Game/Item/Mesh/Voxel/" &amp; Q309 &amp; "/" &amp; TEXTJOIN("_", TRUE, H309, I309) &amp; "/" &amp; E309 &amp; "." &amp; E309 &amp; "'", "")</f>
      </c>
      <c r="T309" s="102" t="str">
        <v>Open4</v>
      </c>
      <c r="U309" s="102" t="str">
        <v>Open</v>
      </c>
      <c r="V309" s="103"/>
      <c r="W309" s="103"/>
      <c r="X309" s="83" t="str">
        <v>Grass</v>
      </c>
      <c r="Y309" s="83" t="str">
        <v>Grass</v>
      </c>
      <c r="Z309" s="103"/>
      <c r="AA309" s="103"/>
      <c r="AB309" s="102" t="b">
        <v>0</v>
      </c>
      <c r="AC309" s="103"/>
      <c r="AD309" s="102"/>
      <c r="AE309" s="105"/>
      <c r="AF309" s="102"/>
      <c r="AG309" s="102"/>
      <c r="AH309" s="102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/>
      <c r="BF309" s="103"/>
      <c r="BG309" s="103"/>
      <c r="BH309" s="103"/>
      <c r="BI309" s="103"/>
      <c r="BJ309" s="103"/>
      <c r="BK309" s="103"/>
      <c r="BL309" s="103"/>
      <c r="BM309" s="103"/>
    </row>
    <row customHeight="true" ht="19" r="310">
      <c r="A310" s="4" t="str" xml:space="preserve">
        <v> </v>
      </c>
      <c r="B310" s="14"/>
      <c r="C310" s="14"/>
      <c r="D310" s="14"/>
      <c r="E310" s="78">
        <f>IF(F310="", "", TEXTJOIN("_", TRUE, F310:O310))</f>
      </c>
      <c r="F310" s="91" t="str">
        <v>SM</v>
      </c>
      <c r="G310" s="92" t="str">
        <v>TheCity</v>
      </c>
      <c r="H310" s="92" t="str">
        <v>EndHole</v>
      </c>
      <c r="I310" s="91"/>
      <c r="J310" s="91" t="str">
        <v>Road</v>
      </c>
      <c r="K310" s="80">
        <v>2</v>
      </c>
      <c r="L310" s="91" t="str">
        <v>C</v>
      </c>
      <c r="M310" s="91" t="str">
        <v>Double</v>
      </c>
      <c r="N310" s="93"/>
      <c r="O310" s="93"/>
      <c r="P310" s="91"/>
      <c r="Q310" s="92">
        <f>"World_"&amp;VLOOKUP(G310,'引用列表'!Q:R,2,FALSE)&amp;"_"&amp;G310</f>
      </c>
      <c r="R310" s="92"/>
      <c r="S310" s="79">
        <f>IF(AE310="✅", "/Script/Engine.StaticMesh'/Game/Item/Mesh/Voxel/" &amp; Q310 &amp; "/" &amp; TEXTJOIN("_", TRUE, H310, I310) &amp; "/" &amp; E310 &amp; "." &amp; E310 &amp; "'", "")</f>
      </c>
      <c r="T310" s="92" t="str">
        <v>Open2</v>
      </c>
      <c r="U310" s="92" t="str">
        <v>Open3</v>
      </c>
      <c r="V310" s="91"/>
      <c r="W310" s="91"/>
      <c r="X310" s="79" t="str">
        <v>Road</v>
      </c>
      <c r="Y310" s="79" t="str">
        <v>Road</v>
      </c>
      <c r="Z310" s="91"/>
      <c r="AA310" s="91"/>
      <c r="AB310" s="92" t="b">
        <v>0</v>
      </c>
      <c r="AC310" s="91"/>
      <c r="AD310" s="92"/>
      <c r="AE310" s="94"/>
      <c r="AF310" s="92"/>
      <c r="AG310" s="92"/>
      <c r="AH310" s="92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</row>
    <row customHeight="true" ht="19" r="311">
      <c r="A311" s="4" t="str" xml:space="preserve">
        <v> </v>
      </c>
      <c r="B311" s="14"/>
      <c r="C311" s="14"/>
      <c r="D311" s="14"/>
      <c r="E311" s="78">
        <f>IF(F311="", "", TEXTJOIN("_", TRUE, F311:O311))</f>
      </c>
      <c r="F311" s="91" t="str">
        <v>SM</v>
      </c>
      <c r="G311" s="92" t="str">
        <v>TheCity</v>
      </c>
      <c r="H311" s="92" t="str">
        <v>EndHole</v>
      </c>
      <c r="I311" s="91"/>
      <c r="J311" s="91" t="str">
        <v>Road</v>
      </c>
      <c r="K311" s="80">
        <v>3</v>
      </c>
      <c r="L311" s="91" t="str">
        <v>C</v>
      </c>
      <c r="M311" s="91" t="str">
        <v>Double</v>
      </c>
      <c r="N311" s="93"/>
      <c r="O311" s="93"/>
      <c r="P311" s="91"/>
      <c r="Q311" s="92">
        <f>"World_"&amp;VLOOKUP(G311,'引用列表'!Q:R,2,FALSE)&amp;"_"&amp;G311</f>
      </c>
      <c r="R311" s="92"/>
      <c r="S311" s="79">
        <f>IF(AE311="✅", "/Script/Engine.StaticMesh'/Game/Item/Mesh/Voxel/" &amp; Q311 &amp; "/" &amp; TEXTJOIN("_", TRUE, H311, I311) &amp; "/" &amp; E311 &amp; "." &amp; E311 &amp; "'", "")</f>
      </c>
      <c r="T311" s="92" t="str">
        <v>Open3</v>
      </c>
      <c r="U311" s="92" t="str">
        <v>Open4</v>
      </c>
      <c r="V311" s="91"/>
      <c r="W311" s="91"/>
      <c r="X311" s="79" t="str">
        <v>Road</v>
      </c>
      <c r="Y311" s="79" t="str">
        <v>Road</v>
      </c>
      <c r="Z311" s="91"/>
      <c r="AA311" s="91"/>
      <c r="AB311" s="92" t="b">
        <v>0</v>
      </c>
      <c r="AC311" s="91"/>
      <c r="AD311" s="92"/>
      <c r="AE311" s="94"/>
      <c r="AF311" s="92"/>
      <c r="AG311" s="92"/>
      <c r="AH311" s="92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</row>
    <row customHeight="true" ht="19" r="312">
      <c r="A312" s="4" t="str" xml:space="preserve">
        <v> </v>
      </c>
      <c r="B312" s="14"/>
      <c r="C312" s="14"/>
      <c r="D312" s="14"/>
      <c r="E312" s="78">
        <f>IF(F312="", "", TEXTJOIN("_", TRUE, F312:O312))</f>
      </c>
      <c r="F312" s="91" t="str">
        <v>SM</v>
      </c>
      <c r="G312" s="92" t="str">
        <v>TheCity</v>
      </c>
      <c r="H312" s="92" t="str">
        <v>EndHole</v>
      </c>
      <c r="I312" s="91"/>
      <c r="J312" s="91" t="str">
        <v>Road</v>
      </c>
      <c r="K312" s="80">
        <v>4</v>
      </c>
      <c r="L312" s="91" t="str">
        <v>C</v>
      </c>
      <c r="M312" s="91" t="str">
        <v>Double</v>
      </c>
      <c r="N312" s="93"/>
      <c r="O312" s="93"/>
      <c r="P312" s="91"/>
      <c r="Q312" s="92">
        <f>"World_"&amp;VLOOKUP(G312,'引用列表'!Q:R,2,FALSE)&amp;"_"&amp;G312</f>
      </c>
      <c r="R312" s="92"/>
      <c r="S312" s="79">
        <f>IF(AE312="✅", "/Script/Engine.StaticMesh'/Game/Item/Mesh/Voxel/" &amp; Q312 &amp; "/" &amp; TEXTJOIN("_", TRUE, H312, I312) &amp; "/" &amp; E312 &amp; "." &amp; E312 &amp; "'", "")</f>
      </c>
      <c r="T312" s="92" t="str">
        <v>Open4</v>
      </c>
      <c r="U312" s="92" t="str">
        <v>Open5</v>
      </c>
      <c r="V312" s="91"/>
      <c r="W312" s="91"/>
      <c r="X312" s="79" t="str">
        <v>Road</v>
      </c>
      <c r="Y312" s="79" t="str">
        <v>Road</v>
      </c>
      <c r="Z312" s="91"/>
      <c r="AA312" s="91"/>
      <c r="AB312" s="92" t="b">
        <v>0</v>
      </c>
      <c r="AC312" s="91"/>
      <c r="AD312" s="92"/>
      <c r="AE312" s="94"/>
      <c r="AF312" s="92"/>
      <c r="AG312" s="92"/>
      <c r="AH312" s="92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</row>
    <row customHeight="true" ht="19" r="313">
      <c r="A313" s="4" t="str" xml:space="preserve">
        <v> </v>
      </c>
      <c r="B313" s="14"/>
      <c r="C313" s="14"/>
      <c r="D313" s="14"/>
      <c r="E313" s="78">
        <f>IF(F313="", "", TEXTJOIN("_", TRUE, F313:O313))</f>
      </c>
      <c r="F313" s="91" t="str">
        <v>SM</v>
      </c>
      <c r="G313" s="92" t="str">
        <v>TheCity</v>
      </c>
      <c r="H313" s="92" t="str">
        <v>EndHole</v>
      </c>
      <c r="I313" s="91"/>
      <c r="J313" s="91" t="str">
        <v>Road</v>
      </c>
      <c r="K313" s="80">
        <v>5</v>
      </c>
      <c r="L313" s="91" t="str">
        <v>C</v>
      </c>
      <c r="M313" s="91" t="str">
        <v>Double</v>
      </c>
      <c r="N313" s="93"/>
      <c r="O313" s="93"/>
      <c r="P313" s="91"/>
      <c r="Q313" s="92">
        <f>"World_"&amp;VLOOKUP(G313,'引用列表'!Q:R,2,FALSE)&amp;"_"&amp;G313</f>
      </c>
      <c r="R313" s="92"/>
      <c r="S313" s="79">
        <f>IF(AE313="✅", "/Script/Engine.StaticMesh'/Game/Item/Mesh/Voxel/" &amp; Q313 &amp; "/" &amp; TEXTJOIN("_", TRUE, H313, I313) &amp; "/" &amp; E313 &amp; "." &amp; E313 &amp; "'", "")</f>
      </c>
      <c r="T313" s="92" t="str">
        <v>Open5</v>
      </c>
      <c r="U313" s="92" t="str">
        <v>Open</v>
      </c>
      <c r="V313" s="91"/>
      <c r="W313" s="91"/>
      <c r="X313" s="79" t="str">
        <v>Road</v>
      </c>
      <c r="Y313" s="79" t="str">
        <v>Road</v>
      </c>
      <c r="Z313" s="91"/>
      <c r="AA313" s="91"/>
      <c r="AB313" s="92" t="b">
        <v>0</v>
      </c>
      <c r="AC313" s="91"/>
      <c r="AD313" s="92"/>
      <c r="AE313" s="94"/>
      <c r="AF313" s="92"/>
      <c r="AG313" s="92"/>
      <c r="AH313" s="92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</row>
    <row customHeight="true" ht="19" r="314">
      <c r="A314" s="4" t="str" xml:space="preserve">
        <v> </v>
      </c>
      <c r="B314" s="14"/>
      <c r="C314" s="14"/>
      <c r="D314" s="14"/>
      <c r="E314" s="34">
        <f>IF(F314="", "", TEXTJOIN("_", TRUE, F314:O314))</f>
      </c>
      <c r="F314" s="28" t="str">
        <v>SM</v>
      </c>
      <c r="G314" s="32" t="str">
        <v>TheCity</v>
      </c>
      <c r="H314" s="32" t="str">
        <v>EndHole</v>
      </c>
      <c r="I314" s="28"/>
      <c r="J314" s="28" t="str">
        <v>Grass</v>
      </c>
      <c r="K314" s="31">
        <v>2</v>
      </c>
      <c r="L314" s="28" t="str">
        <v>C</v>
      </c>
      <c r="M314" s="28" t="str">
        <v>Double</v>
      </c>
      <c r="N314" s="33"/>
      <c r="O314" s="33"/>
      <c r="P314" s="28"/>
      <c r="Q314" s="32">
        <f>"World_"&amp;VLOOKUP(G314,'引用列表'!Q:R,2,FALSE)&amp;"_"&amp;G314</f>
      </c>
      <c r="R314" s="32"/>
      <c r="S314" s="29">
        <f>IF(AE314="✅", "/Script/Engine.StaticMesh'/Game/Item/Mesh/Voxel/" &amp; Q314 &amp; "/" &amp; TEXTJOIN("_", TRUE, H314, I314) &amp; "/" &amp; E314 &amp; "." &amp; E314 &amp; "'", "")</f>
      </c>
      <c r="T314" s="32" t="str">
        <v>Open2</v>
      </c>
      <c r="U314" s="32" t="str">
        <v>Open3</v>
      </c>
      <c r="V314" s="28"/>
      <c r="W314" s="28"/>
      <c r="X314" s="29" t="str">
        <v>Grass</v>
      </c>
      <c r="Y314" s="29" t="str">
        <v>Grass</v>
      </c>
      <c r="Z314" s="28"/>
      <c r="AA314" s="28"/>
      <c r="AB314" s="32" t="b">
        <v>0</v>
      </c>
      <c r="AC314" s="28"/>
      <c r="AD314" s="32"/>
      <c r="AE314" s="74"/>
      <c r="AF314" s="32"/>
      <c r="AG314" s="32"/>
      <c r="AH314" s="32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</row>
    <row customHeight="true" ht="19" r="315">
      <c r="A315" s="4" t="str" xml:space="preserve">
        <v> </v>
      </c>
      <c r="B315" s="14"/>
      <c r="C315" s="14"/>
      <c r="D315" s="14"/>
      <c r="E315" s="34">
        <f>IF(F315="", "", TEXTJOIN("_", TRUE, F315:O315))</f>
      </c>
      <c r="F315" s="28" t="str">
        <v>SM</v>
      </c>
      <c r="G315" s="32" t="str">
        <v>TheCity</v>
      </c>
      <c r="H315" s="32" t="str">
        <v>EndHole</v>
      </c>
      <c r="I315" s="28"/>
      <c r="J315" s="28" t="str">
        <v>Grass</v>
      </c>
      <c r="K315" s="31">
        <v>3</v>
      </c>
      <c r="L315" s="28" t="str">
        <v>C</v>
      </c>
      <c r="M315" s="28" t="str">
        <v>Double</v>
      </c>
      <c r="N315" s="33"/>
      <c r="O315" s="33"/>
      <c r="P315" s="28"/>
      <c r="Q315" s="32">
        <f>"World_"&amp;VLOOKUP(G315,'引用列表'!Q:R,2,FALSE)&amp;"_"&amp;G315</f>
      </c>
      <c r="R315" s="32"/>
      <c r="S315" s="29">
        <f>IF(AE315="✅", "/Script/Engine.StaticMesh'/Game/Item/Mesh/Voxel/" &amp; Q315 &amp; "/" &amp; TEXTJOIN("_", TRUE, H315, I315) &amp; "/" &amp; E315 &amp; "." &amp; E315 &amp; "'", "")</f>
      </c>
      <c r="T315" s="32" t="str">
        <v>Open3</v>
      </c>
      <c r="U315" s="32" t="str">
        <v>Open4</v>
      </c>
      <c r="V315" s="28"/>
      <c r="W315" s="28"/>
      <c r="X315" s="29" t="str">
        <v>Grass</v>
      </c>
      <c r="Y315" s="29" t="str">
        <v>Grass</v>
      </c>
      <c r="Z315" s="28"/>
      <c r="AA315" s="28"/>
      <c r="AB315" s="32" t="b">
        <v>0</v>
      </c>
      <c r="AC315" s="28"/>
      <c r="AD315" s="32"/>
      <c r="AE315" s="74"/>
      <c r="AF315" s="32"/>
      <c r="AG315" s="32"/>
      <c r="AH315" s="32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</row>
    <row customHeight="true" ht="19" r="316">
      <c r="A316" s="4" t="str" xml:space="preserve">
        <v> </v>
      </c>
      <c r="B316" s="14"/>
      <c r="C316" s="14"/>
      <c r="D316" s="14"/>
      <c r="E316" s="34">
        <f>IF(F316="", "", TEXTJOIN("_", TRUE, F316:O316))</f>
      </c>
      <c r="F316" s="28" t="str">
        <v>SM</v>
      </c>
      <c r="G316" s="32" t="str">
        <v>TheCity</v>
      </c>
      <c r="H316" s="32" t="str">
        <v>EndHole</v>
      </c>
      <c r="I316" s="28"/>
      <c r="J316" s="28" t="str">
        <v>Grass</v>
      </c>
      <c r="K316" s="31">
        <v>4</v>
      </c>
      <c r="L316" s="28" t="str">
        <v>C</v>
      </c>
      <c r="M316" s="28" t="str">
        <v>Double</v>
      </c>
      <c r="N316" s="33"/>
      <c r="O316" s="33"/>
      <c r="P316" s="28"/>
      <c r="Q316" s="32">
        <f>"World_"&amp;VLOOKUP(G316,'引用列表'!Q:R,2,FALSE)&amp;"_"&amp;G316</f>
      </c>
      <c r="R316" s="32"/>
      <c r="S316" s="29">
        <f>IF(AE316="✅", "/Script/Engine.StaticMesh'/Game/Item/Mesh/Voxel/" &amp; Q316 &amp; "/" &amp; TEXTJOIN("_", TRUE, H316, I316) &amp; "/" &amp; E316 &amp; "." &amp; E316 &amp; "'", "")</f>
      </c>
      <c r="T316" s="32" t="str">
        <v>Open4</v>
      </c>
      <c r="U316" s="32" t="str">
        <v>Open5</v>
      </c>
      <c r="V316" s="28"/>
      <c r="W316" s="28"/>
      <c r="X316" s="29" t="str">
        <v>Grass</v>
      </c>
      <c r="Y316" s="29" t="str">
        <v>Grass</v>
      </c>
      <c r="Z316" s="28"/>
      <c r="AA316" s="28"/>
      <c r="AB316" s="32" t="b">
        <v>0</v>
      </c>
      <c r="AC316" s="28"/>
      <c r="AD316" s="32"/>
      <c r="AE316" s="74"/>
      <c r="AF316" s="32"/>
      <c r="AG316" s="32"/>
      <c r="AH316" s="32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</row>
    <row customHeight="true" ht="19" r="317">
      <c r="A317" s="4" t="str" xml:space="preserve">
        <v> </v>
      </c>
      <c r="B317" s="14"/>
      <c r="C317" s="14"/>
      <c r="D317" s="14"/>
      <c r="E317" s="34">
        <f>IF(F317="", "", TEXTJOIN("_", TRUE, F317:O317))</f>
      </c>
      <c r="F317" s="28" t="str">
        <v>SM</v>
      </c>
      <c r="G317" s="32" t="str">
        <v>TheCity</v>
      </c>
      <c r="H317" s="32" t="str">
        <v>EndHole</v>
      </c>
      <c r="I317" s="28"/>
      <c r="J317" s="28" t="str">
        <v>Grass</v>
      </c>
      <c r="K317" s="31">
        <v>5</v>
      </c>
      <c r="L317" s="28" t="str">
        <v>C</v>
      </c>
      <c r="M317" s="28" t="str">
        <v>Double</v>
      </c>
      <c r="N317" s="33"/>
      <c r="O317" s="33"/>
      <c r="P317" s="28"/>
      <c r="Q317" s="32">
        <f>"World_"&amp;VLOOKUP(G317,'引用列表'!Q:R,2,FALSE)&amp;"_"&amp;G317</f>
      </c>
      <c r="R317" s="32"/>
      <c r="S317" s="29">
        <f>IF(AE317="✅", "/Script/Engine.StaticMesh'/Game/Item/Mesh/Voxel/" &amp; Q317 &amp; "/" &amp; TEXTJOIN("_", TRUE, H317, I317) &amp; "/" &amp; E317 &amp; "." &amp; E317 &amp; "'", "")</f>
      </c>
      <c r="T317" s="32" t="str">
        <v>Open5</v>
      </c>
      <c r="U317" s="32" t="str">
        <v>Open</v>
      </c>
      <c r="V317" s="28"/>
      <c r="W317" s="28"/>
      <c r="X317" s="29" t="str">
        <v>Grass</v>
      </c>
      <c r="Y317" s="29" t="str">
        <v>Grass</v>
      </c>
      <c r="Z317" s="28"/>
      <c r="AA317" s="28"/>
      <c r="AB317" s="32" t="b">
        <v>0</v>
      </c>
      <c r="AC317" s="28"/>
      <c r="AD317" s="32"/>
      <c r="AE317" s="74"/>
      <c r="AF317" s="32"/>
      <c r="AG317" s="32"/>
      <c r="AH317" s="32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</row>
    <row customHeight="true" ht="19" r="318">
      <c r="A318" s="4" t="str" xml:space="preserve">
        <v> </v>
      </c>
      <c r="B318" s="14"/>
      <c r="C318" s="14"/>
      <c r="D318" s="14"/>
      <c r="E318" s="48">
        <f>IF(F318="", "", TEXTJOIN("_", TRUE, F318:O318))</f>
      </c>
      <c r="F318" s="42" t="str">
        <v>SM</v>
      </c>
      <c r="G318" s="43" t="str">
        <v>TheCity</v>
      </c>
      <c r="H318" s="43" t="str">
        <v>CheckHole</v>
      </c>
      <c r="I318" s="42"/>
      <c r="J318" s="42" t="str">
        <v>Road</v>
      </c>
      <c r="K318" s="44">
        <v>3</v>
      </c>
      <c r="L318" s="42" t="str">
        <v>C</v>
      </c>
      <c r="M318" s="42" t="str">
        <v>Double</v>
      </c>
      <c r="N318" s="45"/>
      <c r="O318" s="45"/>
      <c r="P318" s="42"/>
      <c r="Q318" s="43">
        <f>"World_"&amp;VLOOKUP(G318,'引用列表'!Q:R,2,FALSE)&amp;"_"&amp;G318</f>
      </c>
      <c r="R318" s="43"/>
      <c r="S318" s="47">
        <f>IF(AE318="✅", "/Script/Engine.StaticMesh'/Game/Item/Mesh/Voxel/" &amp; Q318 &amp; "/" &amp; TEXTJOIN("_", TRUE, H318, I318) &amp; "/" &amp; E318 &amp; "." &amp; E318 &amp; "'", "")</f>
      </c>
      <c r="T318" s="43" t="str">
        <v>Open3</v>
      </c>
      <c r="U318" s="43" t="str">
        <v>Open4</v>
      </c>
      <c r="V318" s="42"/>
      <c r="W318" s="42"/>
      <c r="X318" s="47" t="str">
        <v>Road</v>
      </c>
      <c r="Y318" s="47" t="str">
        <v>Road</v>
      </c>
      <c r="Z318" s="42"/>
      <c r="AA318" s="42"/>
      <c r="AB318" s="43" t="b">
        <v>0</v>
      </c>
      <c r="AC318" s="42"/>
      <c r="AD318" s="43"/>
      <c r="AE318" s="77"/>
      <c r="AF318" s="43"/>
      <c r="AG318" s="43"/>
      <c r="AH318" s="43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</row>
    <row customHeight="true" ht="19" r="319">
      <c r="A319" s="4" t="str" xml:space="preserve">
        <v> </v>
      </c>
      <c r="B319" s="14"/>
      <c r="C319" s="14"/>
      <c r="D319" s="14"/>
      <c r="E319" s="48">
        <f>IF(F319="", "", TEXTJOIN("_", TRUE, F319:O319))</f>
      </c>
      <c r="F319" s="42" t="str">
        <v>SM</v>
      </c>
      <c r="G319" s="43" t="str">
        <v>TheCity</v>
      </c>
      <c r="H319" s="43" t="str">
        <v>CheckHole</v>
      </c>
      <c r="I319" s="42"/>
      <c r="J319" s="42" t="str">
        <v>Road</v>
      </c>
      <c r="K319" s="44">
        <v>4</v>
      </c>
      <c r="L319" s="42" t="str">
        <v>C</v>
      </c>
      <c r="M319" s="42" t="str">
        <v>Double</v>
      </c>
      <c r="N319" s="45"/>
      <c r="O319" s="45"/>
      <c r="P319" s="42"/>
      <c r="Q319" s="43">
        <f>"World_"&amp;VLOOKUP(G319,'引用列表'!Q:R,2,FALSE)&amp;"_"&amp;G319</f>
      </c>
      <c r="R319" s="43"/>
      <c r="S319" s="47">
        <f>IF(AE319="✅", "/Script/Engine.StaticMesh'/Game/Item/Mesh/Voxel/" &amp; Q319 &amp; "/" &amp; TEXTJOIN("_", TRUE, H319, I319) &amp; "/" &amp; E319 &amp; "." &amp; E319 &amp; "'", "")</f>
      </c>
      <c r="T319" s="43" t="str">
        <v>Open4</v>
      </c>
      <c r="U319" s="43" t="str">
        <v>Open</v>
      </c>
      <c r="V319" s="42"/>
      <c r="W319" s="42"/>
      <c r="X319" s="47" t="str">
        <v>Road</v>
      </c>
      <c r="Y319" s="47" t="str">
        <v>Road</v>
      </c>
      <c r="Z319" s="42"/>
      <c r="AA319" s="42"/>
      <c r="AB319" s="43" t="b">
        <v>0</v>
      </c>
      <c r="AC319" s="42"/>
      <c r="AD319" s="43"/>
      <c r="AE319" s="77"/>
      <c r="AF319" s="43"/>
      <c r="AG319" s="43"/>
      <c r="AH319" s="43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</row>
    <row customHeight="true" ht="19" r="320">
      <c r="A320" s="4" t="str" xml:space="preserve">
        <v> </v>
      </c>
      <c r="B320" s="17"/>
      <c r="C320" s="17"/>
      <c r="D320" s="17"/>
      <c r="E320">
        <f>IF(F320="", "", TEXTJOIN("_", TRUE, F320:O320))</f>
      </c>
      <c r="Q320">
        <f>"World_"&amp;VLOOKUP(G320,'引用列表'!Q:R,2,FALSE)&amp;"_"&amp;G320</f>
      </c>
      <c r="S320">
        <f>IF(AE320="✅", "/Script/Engine.StaticMesh'/Game/Item/Mesh/Voxel/" &amp; Q320 &amp; "/" &amp; TEXTJOIN("_", TRUE, H320, I320) &amp; "/" &amp; E320 &amp; "." &amp; E320 &amp; "'", "")</f>
      </c>
      <c r="AD320" s="1"/>
      <c r="AF320" s="1"/>
    </row>
    <row customHeight="true" ht="19" r="321">
      <c r="A321" s="4" t="str" xml:space="preserve">
        <v> </v>
      </c>
      <c r="B321" s="17"/>
      <c r="C321" s="17"/>
      <c r="D321" s="17"/>
      <c r="E321">
        <f>IF(F321="", "", TEXTJOIN("_", TRUE, F321:O321))</f>
      </c>
      <c r="Q321">
        <f>"World_"&amp;VLOOKUP(G321,'引用列表'!Q:R,2,FALSE)&amp;"_"&amp;G321</f>
      </c>
      <c r="S321">
        <f>IF(AE321="✅", "/Script/Engine.StaticMesh'/Game/Item/Mesh/Voxel/" &amp; Q321 &amp; "/" &amp; TEXTJOIN("_", TRUE, H321, I321) &amp; "/" &amp; E321 &amp; "." &amp; E321 &amp; "'", "")</f>
      </c>
      <c r="AD321" s="1"/>
      <c r="AF321" s="1"/>
    </row>
    <row customHeight="true" ht="19" r="322">
      <c r="A322" s="4" t="str" xml:space="preserve">
        <v> </v>
      </c>
      <c r="B322" s="17"/>
      <c r="C322" s="17"/>
      <c r="D322" s="17"/>
      <c r="E322">
        <f>IF(F322="", "", TEXTJOIN("_", TRUE, F322:O322))</f>
      </c>
      <c r="Q322">
        <f>"World_"&amp;VLOOKUP(G322,'引用列表'!Q:R,2,FALSE)&amp;"_"&amp;G322</f>
      </c>
      <c r="S322">
        <f>IF(AE322="✅", "/Script/Engine.StaticMesh'/Game/Item/Mesh/Voxel/" &amp; Q322 &amp; "/" &amp; TEXTJOIN("_", TRUE, H322, I322) &amp; "/" &amp; E322 &amp; "." &amp; E322 &amp; "'", "")</f>
      </c>
      <c r="AD322" s="1"/>
      <c r="AF322" s="1"/>
    </row>
    <row customHeight="true" ht="19" r="323">
      <c r="A323" s="4" t="str" xml:space="preserve">
        <v> </v>
      </c>
      <c r="B323" s="17"/>
      <c r="C323" s="17"/>
      <c r="D323" s="17"/>
      <c r="E323">
        <f>IF(F323="", "", TEXTJOIN("_", TRUE, F323:O323))</f>
      </c>
      <c r="Q323">
        <f>"World_"&amp;VLOOKUP(G323,'引用列表'!Q:R,2,FALSE)&amp;"_"&amp;G323</f>
      </c>
      <c r="S323">
        <f>IF(AE323="✅", "/Script/Engine.StaticMesh'/Game/Item/Mesh/Voxel/" &amp; Q323 &amp; "/" &amp; TEXTJOIN("_", TRUE, H323, I323) &amp; "/" &amp; E323 &amp; "." &amp; E323 &amp; "'", "")</f>
      </c>
      <c r="AD323" s="1"/>
      <c r="AF323" s="1"/>
    </row>
    <row customHeight="true" ht="19" r="324">
      <c r="A324" s="4" t="str" xml:space="preserve">
        <v> </v>
      </c>
      <c r="B324" s="17"/>
      <c r="C324" s="17"/>
      <c r="D324" s="17"/>
      <c r="E324">
        <f>IF(F324="", "", TEXTJOIN("_", TRUE, F324:O324))</f>
      </c>
      <c r="Q324">
        <f>"World_"&amp;VLOOKUP(G324,'引用列表'!Q:R,2,FALSE)&amp;"_"&amp;G324</f>
      </c>
      <c r="S324">
        <f>IF(AE324="✅", "/Script/Engine.StaticMesh'/Game/Item/Mesh/Voxel/" &amp; Q324 &amp; "/" &amp; TEXTJOIN("_", TRUE, H324, I324) &amp; "/" &amp; E324 &amp; "." &amp; E324 &amp; "'", "")</f>
      </c>
      <c r="AD324" s="1"/>
      <c r="AF324" s="1"/>
    </row>
    <row customHeight="true" ht="19" r="325">
      <c r="A325" s="4" t="str" xml:space="preserve">
        <v> </v>
      </c>
      <c r="B325" s="17"/>
      <c r="C325" s="17"/>
      <c r="D325" s="17"/>
      <c r="E325">
        <f>IF(F325="", "", TEXTJOIN("_", TRUE, F325:O325))</f>
      </c>
      <c r="Q325">
        <f>"World_"&amp;VLOOKUP(G325,'引用列表'!Q:R,2,FALSE)&amp;"_"&amp;G325</f>
      </c>
      <c r="S325">
        <f>IF(AE325="✅", "/Script/Engine.StaticMesh'/Game/Item/Mesh/Voxel/" &amp; Q325 &amp; "/" &amp; TEXTJOIN("_", TRUE, H325, I325) &amp; "/" &amp; E325 &amp; "." &amp; E325 &amp; "'", "")</f>
      </c>
      <c r="AD325" s="1"/>
      <c r="AF325" s="1"/>
    </row>
    <row customHeight="true" ht="19" r="326">
      <c r="A326" s="4" t="str" xml:space="preserve">
        <v> </v>
      </c>
      <c r="B326" s="17"/>
      <c r="C326" s="17"/>
      <c r="D326" s="17"/>
      <c r="E326">
        <f>IF(F326="", "", TEXTJOIN("_", TRUE, F326:O326))</f>
      </c>
      <c r="Q326">
        <f>"World_"&amp;VLOOKUP(G326,'引用列表'!Q:R,2,FALSE)&amp;"_"&amp;G326</f>
      </c>
      <c r="S326">
        <f>IF(AE326="✅", "/Script/Engine.StaticMesh'/Game/Item/Mesh/Voxel/" &amp; Q326 &amp; "/" &amp; TEXTJOIN("_", TRUE, H326, I326) &amp; "/" &amp; E326 &amp; "." &amp; E326 &amp; "'", "")</f>
      </c>
      <c r="AD326" s="1"/>
      <c r="AF326" s="1"/>
    </row>
    <row r="327">
      <c r="A327" s="4" t="str" xml:space="preserve">
        <v> </v>
      </c>
      <c r="B327" s="14"/>
      <c r="C327" s="14"/>
      <c r="D327" s="14"/>
      <c r="E327" s="4">
        <f>IF(F327="", "", TEXTJOIN("_", TRUE, F327:O327))</f>
      </c>
      <c r="F327" s="5" t="str">
        <v>SM</v>
      </c>
      <c r="G327" s="5" t="str">
        <v>City</v>
      </c>
      <c r="H327" s="5" t="str">
        <v>Ground</v>
      </c>
      <c r="I327" s="5"/>
      <c r="J327" s="5" t="str">
        <v>Grass</v>
      </c>
      <c r="K327" s="10"/>
      <c r="L327" s="5"/>
      <c r="M327" s="5" t="str">
        <v>Hollow</v>
      </c>
      <c r="N327" s="10"/>
      <c r="O327" s="10">
        <v>63</v>
      </c>
      <c r="P327" s="5"/>
      <c r="Q327" s="1">
        <f>"World_"&amp;VLOOKUP(G327,'引用列表'!Q:R,2,FALSE)&amp;"_"&amp;G327</f>
      </c>
      <c r="R327" s="1"/>
      <c r="S327" s="9">
        <f>IF(AE327="✅", "/Script/Engine.StaticMesh'/Game/Item/Mesh/Voxel/" &amp; Q327 &amp; "/" &amp; TEXTJOIN("_", TRUE, H327, I327) &amp; "/" &amp; E327 &amp; "." &amp; E327 &amp; "'", "")</f>
      </c>
      <c r="T327" s="5"/>
      <c r="U327" s="5"/>
      <c r="V327" s="5"/>
      <c r="W327" s="5"/>
      <c r="X327" s="5"/>
      <c r="Y327" s="5"/>
      <c r="Z327" s="5"/>
      <c r="AA327" s="5"/>
      <c r="AB327" s="61" t="b">
        <v>0</v>
      </c>
      <c r="AC327" s="5"/>
      <c r="AD327" s="1"/>
      <c r="AE327" s="3"/>
      <c r="AF327" s="1"/>
      <c r="AG327" s="1">
        <f>"MI_" &amp; #REF!</f>
      </c>
      <c r="AH327" s="1">
        <f>"T_" &amp; #REF!</f>
      </c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</row>
    <row customHeight="true" ht="19" r="328">
      <c r="A328" s="4" t="str" xml:space="preserve">
        <v> </v>
      </c>
      <c r="B328" s="14"/>
      <c r="C328" s="14"/>
      <c r="D328" s="14"/>
      <c r="E328" s="4">
        <f>IF(F328="", "", TEXTJOIN("_", TRUE, F328:O328))</f>
      </c>
      <c r="F328" s="5" t="str">
        <v>SM</v>
      </c>
      <c r="G328" s="1" t="str">
        <v>City</v>
      </c>
      <c r="H328" s="1" t="str">
        <v>Ground</v>
      </c>
      <c r="I328" s="5"/>
      <c r="J328" s="5" t="str">
        <v>Grass</v>
      </c>
      <c r="K328" s="10"/>
      <c r="L328" s="9" t="str">
        <v>RoundCorner</v>
      </c>
      <c r="M328" s="5"/>
      <c r="N328" s="10"/>
      <c r="O328" s="10">
        <v>113</v>
      </c>
      <c r="P328" s="5"/>
      <c r="Q328" s="1">
        <f>"World_"&amp;VLOOKUP(G328,'引用列表'!Q:R,2,FALSE)&amp;"_"&amp;G328</f>
      </c>
      <c r="R328" s="1"/>
      <c r="S328" s="9">
        <f>IF(AE328="✅", "/Script/Engine.StaticMesh'/Game/Item/Mesh/Voxel/" &amp; Q328 &amp; "/" &amp; TEXTJOIN("_", TRUE, H328, I328) &amp; "/" &amp; E328 &amp; "." &amp; E328 &amp; "'", "")</f>
      </c>
      <c r="T328" s="5"/>
      <c r="U328" s="5"/>
      <c r="V328" s="5"/>
      <c r="W328" s="5"/>
      <c r="X328" s="5"/>
      <c r="Y328" s="5"/>
      <c r="Z328" s="5"/>
      <c r="AA328" s="5"/>
      <c r="AB328" s="61" t="b">
        <v>0</v>
      </c>
      <c r="AC328" s="5"/>
      <c r="AD328" s="1"/>
      <c r="AE328" s="3"/>
      <c r="AF328" s="1"/>
      <c r="AG328" s="1">
        <f>"MI_" &amp; #REF!</f>
      </c>
      <c r="AH328" s="1">
        <f>"T_" &amp; #REF!</f>
      </c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</row>
    <row customHeight="true" ht="19" r="329">
      <c r="A329" s="4" t="str" xml:space="preserve">
        <v> </v>
      </c>
      <c r="B329" s="14"/>
      <c r="C329" s="14"/>
      <c r="D329" s="14"/>
      <c r="E329" s="4">
        <f>IF(F329="", "", TEXTJOIN("_", TRUE, F329:O329))</f>
      </c>
      <c r="F329" s="5" t="str">
        <v>SM</v>
      </c>
      <c r="G329" s="1" t="str">
        <v>City</v>
      </c>
      <c r="H329" s="1" t="str">
        <v>Ground</v>
      </c>
      <c r="I329" s="5"/>
      <c r="J329" s="5" t="str">
        <v>Grass</v>
      </c>
      <c r="K329" s="10"/>
      <c r="L329" s="9" t="str">
        <v>RoundCorner</v>
      </c>
      <c r="M329" s="5"/>
      <c r="N329" s="10"/>
      <c r="O329" s="10">
        <v>151</v>
      </c>
      <c r="P329" s="5"/>
      <c r="Q329" s="1">
        <f>"World_"&amp;VLOOKUP(G329,'引用列表'!Q:R,2,FALSE)&amp;"_"&amp;G329</f>
      </c>
      <c r="R329" s="1"/>
      <c r="S329" s="9">
        <f>IF(AE329="✅", "/Script/Engine.StaticMesh'/Game/Item/Mesh/Voxel/" &amp; Q329 &amp; "/" &amp; TEXTJOIN("_", TRUE, H329, I329) &amp; "/" &amp; E329 &amp; "." &amp; E329 &amp; "'", "")</f>
      </c>
      <c r="T329" s="5"/>
      <c r="U329" s="5"/>
      <c r="V329" s="5"/>
      <c r="W329" s="5"/>
      <c r="X329" s="5"/>
      <c r="Y329" s="5"/>
      <c r="Z329" s="5"/>
      <c r="AA329" s="5"/>
      <c r="AB329" s="61" t="b">
        <v>0</v>
      </c>
      <c r="AC329" s="5"/>
      <c r="AD329" s="1"/>
      <c r="AE329" s="3"/>
      <c r="AF329" s="1"/>
      <c r="AG329" s="1">
        <f>"MI_" &amp; #REF!</f>
      </c>
      <c r="AH329" s="1">
        <f>"T_" &amp; #REF!</f>
      </c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</row>
    <row customHeight="true" ht="19" r="330">
      <c r="A330" s="4" t="str" xml:space="preserve">
        <v> </v>
      </c>
      <c r="B330" s="14"/>
      <c r="C330" s="14"/>
      <c r="D330" s="14"/>
      <c r="E330" s="4">
        <f>IF(F330="", "", TEXTJOIN("_", TRUE, F330:O330))</f>
      </c>
      <c r="F330" s="5" t="str">
        <v>SM</v>
      </c>
      <c r="G330" s="1" t="str">
        <v>City</v>
      </c>
      <c r="H330" s="1" t="str">
        <v>Ground</v>
      </c>
      <c r="I330" s="5"/>
      <c r="J330" s="5" t="str">
        <v>Grass</v>
      </c>
      <c r="K330" s="10"/>
      <c r="L330" s="9" t="str">
        <v>RoundCorner</v>
      </c>
      <c r="M330" s="5"/>
      <c r="N330" s="10"/>
      <c r="O330" s="10">
        <v>39</v>
      </c>
      <c r="P330" s="5"/>
      <c r="Q330" s="1">
        <f>"World_"&amp;VLOOKUP(G330,'引用列表'!Q:R,2,FALSE)&amp;"_"&amp;G330</f>
      </c>
      <c r="R330" s="1"/>
      <c r="S330" s="9">
        <f>IF(AE330="✅", "/Script/Engine.StaticMesh'/Game/Item/Mesh/Voxel/" &amp; Q330 &amp; "/" &amp; TEXTJOIN("_", TRUE, H330, I330) &amp; "/" &amp; E330 &amp; "." &amp; E330 &amp; "'", "")</f>
      </c>
      <c r="T330" s="5"/>
      <c r="U330" s="5"/>
      <c r="V330" s="5"/>
      <c r="W330" s="5"/>
      <c r="X330" s="5"/>
      <c r="Y330" s="5"/>
      <c r="Z330" s="5"/>
      <c r="AA330" s="5"/>
      <c r="AB330" s="61" t="b">
        <v>0</v>
      </c>
      <c r="AC330" s="5"/>
      <c r="AD330" s="1"/>
      <c r="AE330" s="3"/>
      <c r="AF330" s="1"/>
      <c r="AG330" s="1">
        <f>"MI_" &amp; #REF!</f>
      </c>
      <c r="AH330" s="1">
        <f>"T_" &amp; #REF!</f>
      </c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</row>
    <row customHeight="true" ht="19" r="331">
      <c r="A331" s="4" t="str" xml:space="preserve">
        <v> </v>
      </c>
      <c r="B331" s="14"/>
      <c r="C331" s="14"/>
      <c r="D331" s="14"/>
      <c r="E331" s="4">
        <f>IF(F331="", "", TEXTJOIN("_", TRUE, F331:O331))</f>
      </c>
      <c r="F331" s="5" t="str">
        <v>SM</v>
      </c>
      <c r="G331" s="1" t="str">
        <v>City</v>
      </c>
      <c r="H331" s="1" t="str">
        <v>Ground</v>
      </c>
      <c r="I331" s="5"/>
      <c r="J331" s="5" t="str">
        <v>Grass</v>
      </c>
      <c r="K331" s="10"/>
      <c r="L331" s="9" t="str">
        <v>RoundCorner</v>
      </c>
      <c r="M331" s="5"/>
      <c r="N331" s="10"/>
      <c r="O331" s="10">
        <v>40</v>
      </c>
      <c r="P331" s="5"/>
      <c r="Q331" s="1">
        <f>"World_"&amp;VLOOKUP(G331,'引用列表'!Q:R,2,FALSE)&amp;"_"&amp;G331</f>
      </c>
      <c r="R331" s="1"/>
      <c r="S331" s="9">
        <f>IF(AE331="✅", "/Script/Engine.StaticMesh'/Game/Item/Mesh/Voxel/" &amp; Q331 &amp; "/" &amp; TEXTJOIN("_", TRUE, H331, I331) &amp; "/" &amp; E331 &amp; "." &amp; E331 &amp; "'", "")</f>
      </c>
      <c r="T331" s="5"/>
      <c r="U331" s="5"/>
      <c r="V331" s="5"/>
      <c r="W331" s="5"/>
      <c r="X331" s="5"/>
      <c r="Y331" s="5"/>
      <c r="Z331" s="5"/>
      <c r="AA331" s="5"/>
      <c r="AB331" s="61" t="b">
        <v>0</v>
      </c>
      <c r="AC331" s="5"/>
      <c r="AD331" s="1"/>
      <c r="AE331" s="3"/>
      <c r="AF331" s="1"/>
      <c r="AG331" s="1">
        <f>"MI_" &amp; #REF!</f>
      </c>
      <c r="AH331" s="1">
        <f>"T_" &amp; #REF!</f>
      </c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</row>
    <row customHeight="true" ht="19" r="332">
      <c r="A332" s="4" t="str" xml:space="preserve">
        <v> </v>
      </c>
      <c r="B332" s="14"/>
      <c r="C332" s="14"/>
      <c r="D332" s="14"/>
      <c r="E332" s="4">
        <f>IF(F332="", "", TEXTJOIN("_", TRUE, F332:O332))</f>
      </c>
      <c r="F332" s="5" t="str">
        <v>SM</v>
      </c>
      <c r="G332" s="1" t="str">
        <v>City</v>
      </c>
      <c r="H332" s="1" t="str">
        <v>Ground</v>
      </c>
      <c r="I332" s="5"/>
      <c r="J332" s="5" t="str">
        <v>Grass</v>
      </c>
      <c r="K332" s="10"/>
      <c r="L332" s="9" t="str">
        <v>RoundCorner</v>
      </c>
      <c r="M332" s="5"/>
      <c r="N332" s="10"/>
      <c r="O332" s="10">
        <v>44</v>
      </c>
      <c r="P332" s="5"/>
      <c r="Q332" s="1">
        <f>"World_"&amp;VLOOKUP(G332,'引用列表'!Q:R,2,FALSE)&amp;"_"&amp;G332</f>
      </c>
      <c r="R332" s="1"/>
      <c r="S332" s="9">
        <f>IF(AE332="✅", "/Script/Engine.StaticMesh'/Game/Item/Mesh/Voxel/" &amp; Q332 &amp; "/" &amp; TEXTJOIN("_", TRUE, H332, I332) &amp; "/" &amp; E332 &amp; "." &amp; E332 &amp; "'", "")</f>
      </c>
      <c r="T332" s="5"/>
      <c r="U332" s="5"/>
      <c r="V332" s="5"/>
      <c r="W332" s="5"/>
      <c r="X332" s="5"/>
      <c r="Y332" s="5"/>
      <c r="Z332" s="5"/>
      <c r="AA332" s="5"/>
      <c r="AB332" s="61" t="b">
        <v>0</v>
      </c>
      <c r="AC332" s="5"/>
      <c r="AD332" s="1"/>
      <c r="AE332" s="3"/>
      <c r="AF332" s="1"/>
      <c r="AG332" s="1">
        <f>"MI_" &amp; #REF!</f>
      </c>
      <c r="AH332" s="1">
        <f>"T_" &amp; #REF!</f>
      </c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</row>
    <row r="333">
      <c r="A333" s="4" t="str" xml:space="preserve">
        <v> </v>
      </c>
      <c r="B333" s="14"/>
      <c r="C333" s="14"/>
      <c r="D333" s="14"/>
      <c r="E333" s="4">
        <f>IF(F333="", "", TEXTJOIN("_", TRUE, F333:O333))</f>
      </c>
      <c r="F333" s="5" t="str">
        <v>SM</v>
      </c>
      <c r="G333" s="1" t="str">
        <v>City</v>
      </c>
      <c r="H333" s="1" t="str">
        <v>Ground</v>
      </c>
      <c r="I333" s="5"/>
      <c r="J333" s="5" t="str">
        <v>Road</v>
      </c>
      <c r="K333" s="10"/>
      <c r="L333" s="5" t="str">
        <v>C</v>
      </c>
      <c r="M333" s="5" t="str">
        <v>Hollow</v>
      </c>
      <c r="N333" s="10"/>
      <c r="O333" s="10">
        <v>104</v>
      </c>
      <c r="P333" s="5"/>
      <c r="Q333" s="1">
        <f>"World_"&amp;VLOOKUP(G333,'引用列表'!Q:R,2,FALSE)&amp;"_"&amp;G333</f>
      </c>
      <c r="R333" s="1"/>
      <c r="S333" s="9">
        <f>IF(AE333="✅", "/Script/Engine.StaticMesh'/Game/Item/Mesh/Voxel/" &amp; Q333 &amp; "/" &amp; TEXTJOIN("_", TRUE, H333, I333) &amp; "/" &amp; E333 &amp; "." &amp; E333 &amp; "'", "")</f>
      </c>
      <c r="T333" s="5"/>
      <c r="U333" s="5"/>
      <c r="V333" s="5"/>
      <c r="W333" s="5"/>
      <c r="X333" s="5"/>
      <c r="Y333" s="5"/>
      <c r="Z333" s="5"/>
      <c r="AA333" s="5"/>
      <c r="AB333" s="61" t="b">
        <v>0</v>
      </c>
      <c r="AC333" s="5"/>
      <c r="AD333" s="1"/>
      <c r="AE333" s="3"/>
      <c r="AF333" s="1"/>
      <c r="AG333" s="1">
        <f>"MI_" &amp; #REF!</f>
      </c>
      <c r="AH333" s="1">
        <f>"T_" &amp; #REF!</f>
      </c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</row>
    <row r="334">
      <c r="A334" s="4" t="str" xml:space="preserve">
        <v> </v>
      </c>
      <c r="B334" s="14"/>
      <c r="C334" s="14"/>
      <c r="D334" s="14"/>
      <c r="E334" s="4">
        <f>IF(F334="", "", TEXTJOIN("_", TRUE, F334:O334))</f>
      </c>
      <c r="F334" s="5" t="str">
        <v>SM</v>
      </c>
      <c r="G334" s="5" t="str">
        <v>City</v>
      </c>
      <c r="H334" s="5" t="str">
        <v>Ground</v>
      </c>
      <c r="I334" s="5"/>
      <c r="J334" s="5" t="str">
        <v>Road</v>
      </c>
      <c r="K334" s="10" t="str">
        <v>CornerWhiteDash</v>
      </c>
      <c r="L334" s="5"/>
      <c r="M334" s="5" t="str">
        <v>Hollow</v>
      </c>
      <c r="N334" s="10"/>
      <c r="O334" s="10">
        <v>136</v>
      </c>
      <c r="P334" s="5"/>
      <c r="Q334" s="1">
        <f>"World_"&amp;VLOOKUP(G334,'引用列表'!Q:R,2,FALSE)&amp;"_"&amp;G334</f>
      </c>
      <c r="R334" s="1"/>
      <c r="S334" s="9">
        <f>IF(AE334="✅", "/Script/Engine.StaticMesh'/Game/Item/Mesh/Voxel/" &amp; Q334 &amp; "/" &amp; TEXTJOIN("_", TRUE, H334, I334) &amp; "/" &amp; E334 &amp; "." &amp; E334 &amp; "'", "")</f>
      </c>
      <c r="T334" s="5"/>
      <c r="U334" s="5"/>
      <c r="V334" s="5"/>
      <c r="W334" s="5"/>
      <c r="X334" s="5"/>
      <c r="Y334" s="5"/>
      <c r="Z334" s="5"/>
      <c r="AA334" s="5"/>
      <c r="AB334" s="61" t="b">
        <v>0</v>
      </c>
      <c r="AC334" s="5"/>
      <c r="AD334" s="1"/>
      <c r="AE334" s="3"/>
      <c r="AF334" s="1"/>
      <c r="AG334" s="1">
        <f>"MI_" &amp; #REF!</f>
      </c>
      <c r="AH334" s="1">
        <f>"T_" &amp; #REF!</f>
      </c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</row>
    <row r="335">
      <c r="A335" s="4" t="str" xml:space="preserve">
        <v> </v>
      </c>
      <c r="B335" s="14"/>
      <c r="C335" s="14"/>
      <c r="D335" s="14"/>
      <c r="E335" s="4">
        <f>IF(F335="", "", TEXTJOIN("_", TRUE, F335:O335))</f>
      </c>
      <c r="F335" s="5" t="str">
        <v>SM</v>
      </c>
      <c r="G335" s="5" t="str">
        <v>City</v>
      </c>
      <c r="H335" s="5" t="str">
        <v>Ground</v>
      </c>
      <c r="I335" s="5"/>
      <c r="J335" s="5" t="str">
        <v>Road</v>
      </c>
      <c r="K335" s="10" t="str">
        <v>CornerWhiteLine</v>
      </c>
      <c r="L335" s="5"/>
      <c r="M335" s="5" t="str">
        <v>Hollow</v>
      </c>
      <c r="N335" s="10"/>
      <c r="O335" s="10">
        <v>142</v>
      </c>
      <c r="P335" s="5"/>
      <c r="Q335" s="1">
        <f>"World_"&amp;VLOOKUP(G335,'引用列表'!Q:R,2,FALSE)&amp;"_"&amp;G335</f>
      </c>
      <c r="R335" s="1"/>
      <c r="S335" s="9">
        <f>IF(AE335="✅", "/Script/Engine.StaticMesh'/Game/Item/Mesh/Voxel/" &amp; Q335 &amp; "/" &amp; TEXTJOIN("_", TRUE, H335, I335) &amp; "/" &amp; E335 &amp; "." &amp; E335 &amp; "'", "")</f>
      </c>
      <c r="T335" s="5"/>
      <c r="U335" s="5"/>
      <c r="V335" s="5"/>
      <c r="W335" s="5"/>
      <c r="X335" s="5"/>
      <c r="Y335" s="5"/>
      <c r="Z335" s="5"/>
      <c r="AA335" s="5"/>
      <c r="AB335" s="61" t="b">
        <v>0</v>
      </c>
      <c r="AC335" s="5"/>
      <c r="AD335" s="1"/>
      <c r="AE335" s="3"/>
      <c r="AF335" s="1"/>
      <c r="AG335" s="1">
        <f>"MI_" &amp; #REF!</f>
      </c>
      <c r="AH335" s="1">
        <f>"T_" &amp; #REF!</f>
      </c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</row>
    <row r="336">
      <c r="A336" s="4" t="str" xml:space="preserve">
        <v> </v>
      </c>
      <c r="B336" s="14"/>
      <c r="C336" s="14"/>
      <c r="D336" s="14"/>
      <c r="E336" s="4">
        <f>IF(F336="", "", TEXTJOIN("_", TRUE, F336:O336))</f>
      </c>
      <c r="F336" s="5" t="str">
        <v>SM</v>
      </c>
      <c r="G336" s="5" t="str">
        <v>City</v>
      </c>
      <c r="H336" s="5" t="str">
        <v>Ground</v>
      </c>
      <c r="I336" s="5"/>
      <c r="J336" s="5" t="str">
        <v>Road</v>
      </c>
      <c r="K336" s="10" t="str">
        <v>CornerYellowLine</v>
      </c>
      <c r="L336" s="5"/>
      <c r="M336" s="5" t="str">
        <v>Hollow</v>
      </c>
      <c r="N336" s="10"/>
      <c r="O336" s="10">
        <v>130</v>
      </c>
      <c r="P336" s="5"/>
      <c r="Q336" s="1">
        <f>"World_"&amp;VLOOKUP(G336,'引用列表'!Q:R,2,FALSE)&amp;"_"&amp;G336</f>
      </c>
      <c r="R336" s="1"/>
      <c r="S336" s="9">
        <f>IF(AE336="✅", "/Script/Engine.StaticMesh'/Game/Item/Mesh/Voxel/" &amp; Q336 &amp; "/" &amp; TEXTJOIN("_", TRUE, H336, I336) &amp; "/" &amp; E336 &amp; "." &amp; E336 &amp; "'", "")</f>
      </c>
      <c r="T336" s="5"/>
      <c r="U336" s="5"/>
      <c r="V336" s="5"/>
      <c r="W336" s="5"/>
      <c r="X336" s="5"/>
      <c r="Y336" s="5"/>
      <c r="Z336" s="5"/>
      <c r="AA336" s="5"/>
      <c r="AB336" s="61" t="b">
        <v>0</v>
      </c>
      <c r="AC336" s="5"/>
      <c r="AD336" s="1"/>
      <c r="AE336" s="3"/>
      <c r="AF336" s="1"/>
      <c r="AG336" s="1">
        <f>"MI_" &amp; #REF!</f>
      </c>
      <c r="AH336" s="1">
        <f>"T_" &amp; #REF!</f>
      </c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</row>
    <row r="337">
      <c r="A337" s="4" t="str" xml:space="preserve">
        <v> </v>
      </c>
      <c r="B337" s="14"/>
      <c r="C337" s="14"/>
      <c r="D337" s="14"/>
      <c r="E337" s="4">
        <f>IF(F337="", "", TEXTJOIN("_", TRUE, F337:O337))</f>
      </c>
      <c r="F337" s="5" t="str">
        <v>SM</v>
      </c>
      <c r="G337" s="5" t="str">
        <v>City</v>
      </c>
      <c r="H337" s="5" t="str">
        <v>Ground</v>
      </c>
      <c r="I337" s="5"/>
      <c r="J337" s="5" t="str">
        <v>Road</v>
      </c>
      <c r="K337" s="10" t="str">
        <v>DotYellowLine</v>
      </c>
      <c r="L337" s="5"/>
      <c r="M337" s="5" t="str">
        <v>Hollow</v>
      </c>
      <c r="N337" s="10"/>
      <c r="O337" s="10">
        <v>40</v>
      </c>
      <c r="P337" s="5"/>
      <c r="Q337" s="1">
        <f>"World_"&amp;VLOOKUP(G337,'引用列表'!Q:R,2,FALSE)&amp;"_"&amp;G337</f>
      </c>
      <c r="R337" s="1"/>
      <c r="S337" s="9">
        <f>IF(AE337="✅", "/Script/Engine.StaticMesh'/Game/Item/Mesh/Voxel/" &amp; Q337 &amp; "/" &amp; TEXTJOIN("_", TRUE, H337, I337) &amp; "/" &amp; E337 &amp; "." &amp; E337 &amp; "'", "")</f>
      </c>
      <c r="T337" s="5"/>
      <c r="U337" s="5"/>
      <c r="V337" s="5"/>
      <c r="W337" s="5"/>
      <c r="X337" s="5"/>
      <c r="Y337" s="5"/>
      <c r="Z337" s="5"/>
      <c r="AA337" s="5"/>
      <c r="AB337" s="61" t="b">
        <v>0</v>
      </c>
      <c r="AC337" s="5"/>
      <c r="AD337" s="1"/>
      <c r="AE337" s="3"/>
      <c r="AF337" s="1"/>
      <c r="AG337" s="1">
        <f>"MI_" &amp; #REF!</f>
      </c>
      <c r="AH337" s="1">
        <f>"T_" &amp; #REF!</f>
      </c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</row>
    <row r="338">
      <c r="A338" s="4" t="str" xml:space="preserve">
        <v> </v>
      </c>
      <c r="B338" s="14"/>
      <c r="C338" s="14"/>
      <c r="D338" s="14"/>
      <c r="E338" s="4">
        <f>IF(F338="", "", TEXTJOIN("_", TRUE, F338:O338))</f>
      </c>
      <c r="F338" s="5" t="str">
        <v>SM</v>
      </c>
      <c r="G338" s="5" t="str">
        <v>City</v>
      </c>
      <c r="H338" s="5" t="str">
        <v>Ground</v>
      </c>
      <c r="I338" s="5"/>
      <c r="J338" s="5" t="str">
        <v>Road</v>
      </c>
      <c r="K338" s="10" t="str">
        <v>WhiteDash</v>
      </c>
      <c r="L338" s="5"/>
      <c r="M338" s="5" t="str">
        <v>Hollow</v>
      </c>
      <c r="N338" s="10"/>
      <c r="O338" s="10">
        <v>141</v>
      </c>
      <c r="P338" s="5"/>
      <c r="Q338" s="1">
        <f>"World_"&amp;VLOOKUP(G338,'引用列表'!Q:R,2,FALSE)&amp;"_"&amp;G338</f>
      </c>
      <c r="R338" s="1"/>
      <c r="S338" s="9">
        <f>IF(AE338="✅", "/Script/Engine.StaticMesh'/Game/Item/Mesh/Voxel/" &amp; Q338 &amp; "/" &amp; TEXTJOIN("_", TRUE, H338, I338) &amp; "/" &amp; E338 &amp; "." &amp; E338 &amp; "'", "")</f>
      </c>
      <c r="T338" s="5"/>
      <c r="U338" s="5"/>
      <c r="V338" s="5"/>
      <c r="W338" s="5"/>
      <c r="X338" s="5"/>
      <c r="Y338" s="5"/>
      <c r="Z338" s="5"/>
      <c r="AA338" s="5"/>
      <c r="AB338" s="61" t="b">
        <v>0</v>
      </c>
      <c r="AC338" s="5"/>
      <c r="AD338" s="1"/>
      <c r="AE338" s="3"/>
      <c r="AF338" s="1"/>
      <c r="AG338" s="1">
        <f>"MI_" &amp; #REF!</f>
      </c>
      <c r="AH338" s="1">
        <f>"T_" &amp; #REF!</f>
      </c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</row>
    <row r="339">
      <c r="A339" s="4" t="str" xml:space="preserve">
        <v> </v>
      </c>
      <c r="B339" s="14"/>
      <c r="C339" s="14"/>
      <c r="D339" s="14"/>
      <c r="E339" s="4">
        <f>IF(F339="", "", TEXTJOIN("_", TRUE, F339:O339))</f>
      </c>
      <c r="F339" s="5" t="str">
        <v>SM</v>
      </c>
      <c r="G339" s="5" t="str">
        <v>City</v>
      </c>
      <c r="H339" s="5" t="str">
        <v>Ground</v>
      </c>
      <c r="I339" s="5"/>
      <c r="J339" s="5" t="str">
        <v>Road</v>
      </c>
      <c r="K339" s="10" t="str">
        <v>WhiteLine</v>
      </c>
      <c r="L339" s="5"/>
      <c r="M339" s="5" t="str">
        <v>Hollow</v>
      </c>
      <c r="N339" s="10"/>
      <c r="O339" s="10">
        <v>39</v>
      </c>
      <c r="P339" s="5"/>
      <c r="Q339" s="1">
        <f>"World_"&amp;VLOOKUP(G339,'引用列表'!Q:R,2,FALSE)&amp;"_"&amp;G339</f>
      </c>
      <c r="R339" s="1"/>
      <c r="S339" s="9">
        <f>IF(AE339="✅", "/Script/Engine.StaticMesh'/Game/Item/Mesh/Voxel/" &amp; Q339 &amp; "/" &amp; TEXTJOIN("_", TRUE, H339, I339) &amp; "/" &amp; E339 &amp; "." &amp; E339 &amp; "'", "")</f>
      </c>
      <c r="T339" s="5"/>
      <c r="U339" s="5"/>
      <c r="V339" s="5"/>
      <c r="W339" s="5"/>
      <c r="X339" s="5"/>
      <c r="Y339" s="5"/>
      <c r="Z339" s="5"/>
      <c r="AA339" s="5"/>
      <c r="AB339" s="61" t="b">
        <v>0</v>
      </c>
      <c r="AC339" s="5"/>
      <c r="AD339" s="1"/>
      <c r="AE339" s="3"/>
      <c r="AF339" s="1"/>
      <c r="AG339" s="1">
        <f>"MI_" &amp; #REF!</f>
      </c>
      <c r="AH339" s="1">
        <f>"T_" &amp; #REF!</f>
      </c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</row>
    <row r="340">
      <c r="A340" s="4" t="str" xml:space="preserve">
        <v> </v>
      </c>
      <c r="B340" s="14"/>
      <c r="C340" s="14"/>
      <c r="D340" s="14"/>
      <c r="E340" s="4">
        <f>IF(F340="", "", TEXTJOIN("_", TRUE, F340:O340))</f>
      </c>
      <c r="F340" s="5" t="str">
        <v>SM</v>
      </c>
      <c r="G340" s="5" t="str">
        <v>City</v>
      </c>
      <c r="H340" s="5" t="str">
        <v>Ground</v>
      </c>
      <c r="I340" s="5"/>
      <c r="J340" s="5" t="str">
        <v>Road</v>
      </c>
      <c r="K340" s="10" t="str">
        <v>YellowLine</v>
      </c>
      <c r="L340" s="5"/>
      <c r="M340" s="5" t="str">
        <v>Hollow</v>
      </c>
      <c r="N340" s="10"/>
      <c r="O340" s="10">
        <v>40</v>
      </c>
      <c r="P340" s="5"/>
      <c r="Q340" s="1">
        <f>"World_"&amp;VLOOKUP(G340,'引用列表'!Q:R,2,FALSE)&amp;"_"&amp;G340</f>
      </c>
      <c r="R340" s="1"/>
      <c r="S340" s="9">
        <f>IF(AE340="✅", "/Script/Engine.StaticMesh'/Game/Item/Mesh/Voxel/" &amp; Q340 &amp; "/" &amp; TEXTJOIN("_", TRUE, H340, I340) &amp; "/" &amp; E340 &amp; "." &amp; E340 &amp; "'", "")</f>
      </c>
      <c r="T340" s="5"/>
      <c r="U340" s="5"/>
      <c r="V340" s="5"/>
      <c r="W340" s="5"/>
      <c r="X340" s="5"/>
      <c r="Y340" s="5"/>
      <c r="Z340" s="5"/>
      <c r="AA340" s="5"/>
      <c r="AB340" s="61" t="b">
        <v>0</v>
      </c>
      <c r="AC340" s="5"/>
      <c r="AD340" s="1"/>
      <c r="AE340" s="3"/>
      <c r="AF340" s="1"/>
      <c r="AG340" s="1">
        <f>"MI_" &amp; #REF!</f>
      </c>
      <c r="AH340" s="1">
        <f>"T_" &amp; #REF!</f>
      </c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</row>
    <row r="341">
      <c r="A341" s="4" t="str" xml:space="preserve">
        <v> </v>
      </c>
      <c r="B341" s="14"/>
      <c r="C341" s="14"/>
      <c r="D341" s="14"/>
      <c r="E341" s="4">
        <f>IF(F341="", "", TEXTJOIN("_", TRUE, F341:O341))</f>
      </c>
      <c r="F341" s="5" t="str">
        <v>SM</v>
      </c>
      <c r="G341" s="1" t="str">
        <v>City</v>
      </c>
      <c r="H341" s="1" t="str">
        <v>Ground</v>
      </c>
      <c r="I341" s="5"/>
      <c r="J341" s="5" t="str">
        <v>Road</v>
      </c>
      <c r="K341" s="10" t="str">
        <v>CheckHole</v>
      </c>
      <c r="L341" s="9" t="str">
        <v>RoundCorner</v>
      </c>
      <c r="M341" s="5"/>
      <c r="N341" s="10"/>
      <c r="O341" s="10">
        <v>156</v>
      </c>
      <c r="P341" s="5"/>
      <c r="Q341" s="1">
        <f>"World_"&amp;VLOOKUP(G341,'引用列表'!Q:R,2,FALSE)&amp;"_"&amp;G341</f>
      </c>
      <c r="R341" s="1"/>
      <c r="S341" s="9">
        <f>IF(AE341="✅", "/Script/Engine.StaticMesh'/Game/Item/Mesh/Voxel/" &amp; Q341 &amp; "/" &amp; TEXTJOIN("_", TRUE, H341, I341) &amp; "/" &amp; E341 &amp; "." &amp; E341 &amp; "'", "")</f>
      </c>
      <c r="T341" s="5"/>
      <c r="U341" s="5"/>
      <c r="V341" s="5"/>
      <c r="W341" s="5"/>
      <c r="X341" s="5"/>
      <c r="Y341" s="5"/>
      <c r="Z341" s="5"/>
      <c r="AA341" s="5"/>
      <c r="AB341" s="61" t="b">
        <v>0</v>
      </c>
      <c r="AC341" s="5"/>
      <c r="AD341" s="1"/>
      <c r="AE341" s="3"/>
      <c r="AF341" s="1"/>
      <c r="AG341" s="1">
        <f>"MI_" &amp; #REF!</f>
      </c>
      <c r="AH341" s="1">
        <f>"T_" &amp; #REF!</f>
      </c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</row>
    <row r="342">
      <c r="A342" s="4" t="str" xml:space="preserve">
        <v> </v>
      </c>
      <c r="B342" s="14"/>
      <c r="C342" s="14"/>
      <c r="D342" s="14"/>
      <c r="E342" s="4">
        <f>IF(F342="", "", TEXTJOIN("_", TRUE, F342:O342))</f>
      </c>
      <c r="F342" s="5" t="str">
        <v>SM</v>
      </c>
      <c r="G342" s="1" t="str">
        <v>City</v>
      </c>
      <c r="H342" s="1" t="str">
        <v>Ground</v>
      </c>
      <c r="I342" s="5"/>
      <c r="J342" s="5" t="str">
        <v>Road</v>
      </c>
      <c r="K342" s="10" t="str">
        <v>EndHole</v>
      </c>
      <c r="L342" s="9" t="str">
        <v>RoundCorner</v>
      </c>
      <c r="M342" s="5"/>
      <c r="N342" s="10"/>
      <c r="O342" s="10">
        <v>10</v>
      </c>
      <c r="P342" s="5"/>
      <c r="Q342" s="1">
        <f>"World_"&amp;VLOOKUP(G342,'引用列表'!Q:R,2,FALSE)&amp;"_"&amp;G342</f>
      </c>
      <c r="R342" s="1"/>
      <c r="S342" s="9">
        <f>IF(AE342="✅", "/Script/Engine.StaticMesh'/Game/Item/Mesh/Voxel/" &amp; Q342 &amp; "/" &amp; TEXTJOIN("_", TRUE, H342, I342) &amp; "/" &amp; E342 &amp; "." &amp; E342 &amp; "'", "")</f>
      </c>
      <c r="T342" s="5"/>
      <c r="U342" s="5"/>
      <c r="V342" s="5"/>
      <c r="W342" s="5"/>
      <c r="X342" s="5"/>
      <c r="Y342" s="5"/>
      <c r="Z342" s="5"/>
      <c r="AA342" s="5"/>
      <c r="AB342" s="61" t="b">
        <v>0</v>
      </c>
      <c r="AC342" s="5"/>
      <c r="AD342" s="1"/>
      <c r="AE342" s="3"/>
      <c r="AF342" s="1"/>
      <c r="AG342" s="1">
        <f>"MI_" &amp; #REF!</f>
      </c>
      <c r="AH342" s="1">
        <f>"T_" &amp; #REF!</f>
      </c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</row>
    <row r="343">
      <c r="A343" s="4" t="str" xml:space="preserve">
        <v> </v>
      </c>
      <c r="B343" s="14"/>
      <c r="C343" s="14"/>
      <c r="D343" s="14"/>
      <c r="E343" s="4">
        <f>IF(F343="", "", TEXTJOIN("_", TRUE, F343:O343))</f>
      </c>
      <c r="F343" s="5" t="str">
        <v>SM</v>
      </c>
      <c r="G343" s="1" t="str">
        <v>City</v>
      </c>
      <c r="H343" s="1" t="str">
        <v>Ground</v>
      </c>
      <c r="I343" s="5"/>
      <c r="J343" s="5" t="str">
        <v>Road</v>
      </c>
      <c r="K343" s="10" t="str">
        <v>EndHole</v>
      </c>
      <c r="L343" s="9" t="str">
        <v>RoundCorner</v>
      </c>
      <c r="M343" s="5"/>
      <c r="N343" s="10"/>
      <c r="O343" s="10">
        <v>2</v>
      </c>
      <c r="P343" s="5"/>
      <c r="Q343" s="1">
        <f>"World_"&amp;VLOOKUP(G343,'引用列表'!Q:R,2,FALSE)&amp;"_"&amp;G343</f>
      </c>
      <c r="R343" s="1"/>
      <c r="S343" s="9">
        <f>IF(AE343="✅", "/Script/Engine.StaticMesh'/Game/Item/Mesh/Voxel/" &amp; Q343 &amp; "/" &amp; TEXTJOIN("_", TRUE, H343, I343) &amp; "/" &amp; E343 &amp; "." &amp; E343 &amp; "'", "")</f>
      </c>
      <c r="T343" s="5"/>
      <c r="U343" s="5"/>
      <c r="V343" s="5"/>
      <c r="W343" s="5"/>
      <c r="X343" s="5"/>
      <c r="Y343" s="5"/>
      <c r="Z343" s="5"/>
      <c r="AA343" s="5"/>
      <c r="AB343" s="61" t="b">
        <v>0</v>
      </c>
      <c r="AC343" s="5"/>
      <c r="AD343" s="1"/>
      <c r="AE343" s="3"/>
      <c r="AF343" s="1"/>
      <c r="AG343" s="1">
        <f>"MI_" &amp; #REF!</f>
      </c>
      <c r="AH343" s="1">
        <f>"T_" &amp; #REF!</f>
      </c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</row>
    <row r="344">
      <c r="A344" s="4" t="str" xml:space="preserve">
        <v> </v>
      </c>
      <c r="B344" s="14"/>
      <c r="C344" s="14"/>
      <c r="D344" s="14"/>
      <c r="E344" s="4">
        <f>IF(F344="", "", TEXTJOIN("_", TRUE, F344:O344))</f>
      </c>
      <c r="F344" s="5" t="str">
        <v>SM</v>
      </c>
      <c r="G344" s="1" t="str">
        <v>City</v>
      </c>
      <c r="H344" s="1" t="str">
        <v>Ground</v>
      </c>
      <c r="I344" s="5"/>
      <c r="J344" s="5" t="str">
        <v>Road</v>
      </c>
      <c r="K344" s="10" t="str">
        <v>EndHole</v>
      </c>
      <c r="L344" s="9" t="str">
        <v>RoundCorner</v>
      </c>
      <c r="M344" s="5"/>
      <c r="N344" s="10"/>
      <c r="O344" s="10">
        <v>8</v>
      </c>
      <c r="P344" s="5"/>
      <c r="Q344" s="1">
        <f>"World_"&amp;VLOOKUP(G344,'引用列表'!Q:R,2,FALSE)&amp;"_"&amp;G344</f>
      </c>
      <c r="R344" s="1"/>
      <c r="S344" s="9">
        <f>IF(AE344="✅", "/Script/Engine.StaticMesh'/Game/Item/Mesh/Voxel/" &amp; Q344 &amp; "/" &amp; TEXTJOIN("_", TRUE, H344, I344) &amp; "/" &amp; E344 &amp; "." &amp; E344 &amp; "'", "")</f>
      </c>
      <c r="T344" s="5"/>
      <c r="U344" s="5"/>
      <c r="V344" s="5"/>
      <c r="W344" s="5"/>
      <c r="X344" s="5"/>
      <c r="Y344" s="5"/>
      <c r="Z344" s="5"/>
      <c r="AA344" s="5"/>
      <c r="AB344" s="61" t="b">
        <v>0</v>
      </c>
      <c r="AC344" s="5"/>
      <c r="AD344" s="1"/>
      <c r="AE344" s="3"/>
      <c r="AF344" s="1"/>
      <c r="AG344" s="1">
        <f>"MI_" &amp; #REF!</f>
      </c>
      <c r="AH344" s="1">
        <f>"T_" &amp; #REF!</f>
      </c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</row>
    <row r="345">
      <c r="A345" s="4" t="str" xml:space="preserve">
        <v> </v>
      </c>
      <c r="B345" s="14"/>
      <c r="C345" s="14"/>
      <c r="D345" s="14"/>
      <c r="E345" s="4">
        <f>IF(F345="", "", TEXTJOIN("_", TRUE, F345:O345))</f>
      </c>
      <c r="F345" s="5" t="str">
        <v>SM</v>
      </c>
      <c r="G345" s="1" t="str">
        <v>City</v>
      </c>
      <c r="H345" s="1" t="str">
        <v>Ground</v>
      </c>
      <c r="I345" s="5"/>
      <c r="J345" s="5" t="str">
        <v>Road</v>
      </c>
      <c r="K345" s="10" t="str">
        <v>EndHole</v>
      </c>
      <c r="L345" s="9" t="str">
        <v>RoundCorner</v>
      </c>
      <c r="M345" s="5"/>
      <c r="N345" s="10"/>
      <c r="O345" s="10">
        <v>9</v>
      </c>
      <c r="P345" s="5"/>
      <c r="Q345" s="1">
        <f>"World_"&amp;VLOOKUP(G345,'引用列表'!Q:R,2,FALSE)&amp;"_"&amp;G345</f>
      </c>
      <c r="R345" s="1"/>
      <c r="S345" s="9">
        <f>IF(AE345="✅", "/Script/Engine.StaticMesh'/Game/Item/Mesh/Voxel/" &amp; Q345 &amp; "/" &amp; TEXTJOIN("_", TRUE, H345, I345) &amp; "/" &amp; E345 &amp; "." &amp; E345 &amp; "'", "")</f>
      </c>
      <c r="T345" s="5"/>
      <c r="U345" s="5"/>
      <c r="V345" s="5"/>
      <c r="W345" s="5"/>
      <c r="X345" s="5"/>
      <c r="Y345" s="5"/>
      <c r="Z345" s="5"/>
      <c r="AA345" s="5"/>
      <c r="AB345" s="61" t="b">
        <v>0</v>
      </c>
      <c r="AC345" s="5"/>
      <c r="AD345" s="1"/>
      <c r="AE345" s="3"/>
      <c r="AF345" s="1"/>
      <c r="AG345" s="1">
        <f>"MI_" &amp; #REF!</f>
      </c>
      <c r="AH345" s="1">
        <f>"T_" &amp; #REF!</f>
      </c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</row>
    <row r="346">
      <c r="A346" s="4" t="str" xml:space="preserve">
        <v> </v>
      </c>
      <c r="B346" s="14"/>
      <c r="C346" s="14"/>
      <c r="D346" s="14"/>
      <c r="E346" s="4">
        <f>IF(F346="", "", TEXTJOIN("_", TRUE, F346:O346))</f>
      </c>
      <c r="F346" s="5" t="str">
        <v>SM</v>
      </c>
      <c r="G346" s="1" t="str">
        <v>City</v>
      </c>
      <c r="H346" s="1" t="str">
        <v>Ground</v>
      </c>
      <c r="I346" s="5"/>
      <c r="J346" s="5" t="str">
        <v>Road</v>
      </c>
      <c r="K346" s="10" t="str">
        <v>StartHole</v>
      </c>
      <c r="L346" s="9" t="str">
        <v>RoundCorner</v>
      </c>
      <c r="M346" s="5"/>
      <c r="N346" s="10"/>
      <c r="O346" s="10">
        <v>76</v>
      </c>
      <c r="P346" s="5"/>
      <c r="Q346" s="1">
        <f>"World_"&amp;VLOOKUP(G346,'引用列表'!Q:R,2,FALSE)&amp;"_"&amp;G346</f>
      </c>
      <c r="R346" s="1"/>
      <c r="S346" s="9">
        <f>IF(AE346="✅", "/Script/Engine.StaticMesh'/Game/Item/Mesh/Voxel/" &amp; Q346 &amp; "/" &amp; TEXTJOIN("_", TRUE, H346, I346) &amp; "/" &amp; E346 &amp; "." &amp; E346 &amp; "'", "")</f>
      </c>
      <c r="T346" s="5"/>
      <c r="U346" s="5"/>
      <c r="V346" s="5"/>
      <c r="W346" s="5"/>
      <c r="X346" s="5"/>
      <c r="Y346" s="5"/>
      <c r="Z346" s="5"/>
      <c r="AA346" s="5"/>
      <c r="AB346" s="61" t="b">
        <v>0</v>
      </c>
      <c r="AC346" s="5"/>
      <c r="AD346" s="1"/>
      <c r="AE346" s="3"/>
      <c r="AF346" s="1"/>
      <c r="AG346" s="1">
        <f>"MI_" &amp; #REF!</f>
      </c>
      <c r="AH346" s="1">
        <f>"T_" &amp; #REF!</f>
      </c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</row>
    <row r="347">
      <c r="A347" s="4" t="str" xml:space="preserve">
        <v> </v>
      </c>
      <c r="B347" s="14"/>
      <c r="C347" s="14"/>
      <c r="D347" s="14"/>
      <c r="E347" s="4">
        <f>IF(F347="", "", TEXTJOIN("_", TRUE, F347:O347))</f>
      </c>
      <c r="F347" s="5" t="str">
        <v>SM</v>
      </c>
      <c r="G347" s="5" t="str">
        <v>City</v>
      </c>
      <c r="H347" s="5" t="str">
        <v>Ground</v>
      </c>
      <c r="I347" s="5"/>
      <c r="J347" s="5" t="str">
        <v>Sidewalk</v>
      </c>
      <c r="K347" s="10"/>
      <c r="L347" s="5"/>
      <c r="M347" s="5" t="str">
        <v>Corner</v>
      </c>
      <c r="N347" s="10"/>
      <c r="O347" s="10">
        <v>125</v>
      </c>
      <c r="P347" s="5"/>
      <c r="Q347" s="1">
        <f>"World_"&amp;VLOOKUP(G347,'引用列表'!Q:R,2,FALSE)&amp;"_"&amp;G347</f>
      </c>
      <c r="R347" s="1"/>
      <c r="S347" s="9">
        <f>IF(AE347="✅", "/Script/Engine.StaticMesh'/Game/Item/Mesh/Voxel/" &amp; Q347 &amp; "/" &amp; TEXTJOIN("_", TRUE, H347, I347) &amp; "/" &amp; E347 &amp; "." &amp; E347 &amp; "'", "")</f>
      </c>
      <c r="T347" s="5"/>
      <c r="U347" s="5"/>
      <c r="V347" s="5"/>
      <c r="W347" s="5"/>
      <c r="X347" s="5"/>
      <c r="Y347" s="5"/>
      <c r="Z347" s="5"/>
      <c r="AA347" s="5"/>
      <c r="AB347" s="61" t="b">
        <v>0</v>
      </c>
      <c r="AC347" s="5"/>
      <c r="AD347" s="1"/>
      <c r="AE347" s="3"/>
      <c r="AF347" s="1"/>
      <c r="AG347" s="1">
        <f>"MI_" &amp; #REF!</f>
      </c>
      <c r="AH347" s="1">
        <f>"T_" &amp; #REF!</f>
      </c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</row>
    <row r="348">
      <c r="A348" s="4" t="str" xml:space="preserve">
        <v> </v>
      </c>
      <c r="B348" s="14"/>
      <c r="C348" s="14"/>
      <c r="D348" s="14"/>
      <c r="E348" s="4">
        <f>IF(F348="", "", TEXTJOIN("_", TRUE, F348:O348))</f>
      </c>
      <c r="F348" s="5" t="str">
        <v>SM</v>
      </c>
      <c r="G348" s="5" t="str">
        <v>City</v>
      </c>
      <c r="H348" s="5" t="str">
        <v>Ground</v>
      </c>
      <c r="I348" s="5"/>
      <c r="J348" s="5" t="str">
        <v>Sidewalk</v>
      </c>
      <c r="K348" s="10"/>
      <c r="L348" s="5"/>
      <c r="M348" s="5" t="str">
        <v>Corner</v>
      </c>
      <c r="N348" s="10"/>
      <c r="O348" s="10">
        <v>57</v>
      </c>
      <c r="P348" s="5"/>
      <c r="Q348" s="1">
        <f>"World_"&amp;VLOOKUP(G348,'引用列表'!Q:R,2,FALSE)&amp;"_"&amp;G348</f>
      </c>
      <c r="R348" s="1"/>
      <c r="S348" s="9">
        <f>IF(AE348="✅", "/Script/Engine.StaticMesh'/Game/Item/Mesh/Voxel/" &amp; Q348 &amp; "/" &amp; TEXTJOIN("_", TRUE, H348, I348) &amp; "/" &amp; E348 &amp; "." &amp; E348 &amp; "'", "")</f>
      </c>
      <c r="T348" s="5"/>
      <c r="U348" s="5"/>
      <c r="V348" s="5"/>
      <c r="W348" s="5"/>
      <c r="X348" s="5"/>
      <c r="Y348" s="5"/>
      <c r="Z348" s="5"/>
      <c r="AA348" s="5"/>
      <c r="AB348" s="61" t="b">
        <v>0</v>
      </c>
      <c r="AC348" s="5"/>
      <c r="AD348" s="1"/>
      <c r="AE348" s="3"/>
      <c r="AF348" s="1"/>
      <c r="AG348" s="1">
        <f>"MI_" &amp; #REF!</f>
      </c>
      <c r="AH348" s="1">
        <f>"T_" &amp; #REF!</f>
      </c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</row>
    <row r="349">
      <c r="A349" s="4" t="str" xml:space="preserve">
        <v> </v>
      </c>
      <c r="B349" s="14"/>
      <c r="C349" s="14"/>
      <c r="D349" s="14"/>
      <c r="E349" s="4">
        <f>IF(F349="", "", TEXTJOIN("_", TRUE, F349:O349))</f>
      </c>
      <c r="F349" s="5" t="str">
        <v>SM</v>
      </c>
      <c r="G349" s="5" t="str">
        <v>City</v>
      </c>
      <c r="H349" s="5" t="str">
        <v>Ground</v>
      </c>
      <c r="I349" s="5"/>
      <c r="J349" s="5" t="str">
        <v>Sidewalk</v>
      </c>
      <c r="K349" s="10" t="str">
        <v>HalfWidth</v>
      </c>
      <c r="L349" s="5"/>
      <c r="M349" s="5" t="str">
        <v>Corner</v>
      </c>
      <c r="N349" s="10"/>
      <c r="O349" s="10">
        <v>202</v>
      </c>
      <c r="P349" s="5"/>
      <c r="Q349" s="1">
        <f>"World_"&amp;VLOOKUP(G349,'引用列表'!Q:R,2,FALSE)&amp;"_"&amp;G349</f>
      </c>
      <c r="R349" s="1"/>
      <c r="S349" s="9">
        <f>IF(AE349="✅", "/Script/Engine.StaticMesh'/Game/Item/Mesh/Voxel/" &amp; Q349 &amp; "/" &amp; TEXTJOIN("_", TRUE, H349, I349) &amp; "/" &amp; E349 &amp; "." &amp; E349 &amp; "'", "")</f>
      </c>
      <c r="T349" s="5"/>
      <c r="U349" s="5"/>
      <c r="V349" s="5"/>
      <c r="W349" s="5"/>
      <c r="X349" s="5"/>
      <c r="Y349" s="5"/>
      <c r="Z349" s="5"/>
      <c r="AA349" s="5"/>
      <c r="AB349" s="61" t="b">
        <v>0</v>
      </c>
      <c r="AC349" s="5"/>
      <c r="AD349" s="1"/>
      <c r="AE349" s="3"/>
      <c r="AF349" s="1"/>
      <c r="AG349" s="1">
        <f>"MI_" &amp; #REF!</f>
      </c>
      <c r="AH349" s="1">
        <f>"T_" &amp; #REF!</f>
      </c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</row>
    <row r="350">
      <c r="A350" s="4" t="str" xml:space="preserve">
        <v> </v>
      </c>
      <c r="B350" s="14"/>
      <c r="C350" s="14"/>
      <c r="D350" s="14"/>
      <c r="E350" s="4">
        <f>IF(F350="", "", TEXTJOIN("_", TRUE, F350:O350))</f>
      </c>
      <c r="F350" s="5" t="str">
        <v>SM</v>
      </c>
      <c r="G350" s="5" t="str">
        <v>City</v>
      </c>
      <c r="H350" s="5" t="str">
        <v>Ground</v>
      </c>
      <c r="I350" s="5"/>
      <c r="J350" s="5" t="str">
        <v>Sidewalk</v>
      </c>
      <c r="K350" s="10"/>
      <c r="L350" s="5"/>
      <c r="M350" s="5" t="str">
        <v>Hollow</v>
      </c>
      <c r="N350" s="10"/>
      <c r="O350" s="10">
        <v>16</v>
      </c>
      <c r="P350" s="5"/>
      <c r="Q350" s="1">
        <f>"World_"&amp;VLOOKUP(G350,'引用列表'!Q:R,2,FALSE)&amp;"_"&amp;G350</f>
      </c>
      <c r="R350" s="1"/>
      <c r="S350" s="9">
        <f>IF(AE350="✅", "/Script/Engine.StaticMesh'/Game/Item/Mesh/Voxel/" &amp; Q350 &amp; "/" &amp; TEXTJOIN("_", TRUE, H350, I350) &amp; "/" &amp; E350 &amp; "." &amp; E350 &amp; "'", "")</f>
      </c>
      <c r="T350" s="5"/>
      <c r="U350" s="5"/>
      <c r="V350" s="5"/>
      <c r="W350" s="5"/>
      <c r="X350" s="5"/>
      <c r="Y350" s="5"/>
      <c r="Z350" s="5"/>
      <c r="AA350" s="5"/>
      <c r="AB350" s="61" t="b">
        <v>0</v>
      </c>
      <c r="AC350" s="5"/>
      <c r="AD350" s="1"/>
      <c r="AE350" s="3"/>
      <c r="AF350" s="1"/>
      <c r="AG350" s="1">
        <f>"MI_" &amp; #REF!</f>
      </c>
      <c r="AH350" s="1">
        <f>"T_" &amp; #REF!</f>
      </c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</row>
    <row r="351">
      <c r="A351" s="4" t="str" xml:space="preserve">
        <v> </v>
      </c>
      <c r="B351" s="14"/>
      <c r="C351" s="14"/>
      <c r="D351" s="14"/>
      <c r="E351" s="4">
        <f>IF(F351="", "", TEXTJOIN("_", TRUE, F351:O351))</f>
      </c>
      <c r="F351" s="5" t="str">
        <v>SM</v>
      </c>
      <c r="G351" s="1" t="str">
        <v>City</v>
      </c>
      <c r="H351" s="1" t="str">
        <v>Ground</v>
      </c>
      <c r="I351" s="5"/>
      <c r="J351" s="5" t="str">
        <v>Sidewalk</v>
      </c>
      <c r="K351" s="10"/>
      <c r="L351" s="9" t="str">
        <v>RoundCorner</v>
      </c>
      <c r="M351" s="5"/>
      <c r="N351" s="10"/>
      <c r="O351" s="10">
        <v>18</v>
      </c>
      <c r="P351" s="5"/>
      <c r="Q351" s="1">
        <f>"World_"&amp;VLOOKUP(G351,'引用列表'!Q:R,2,FALSE)&amp;"_"&amp;G351</f>
      </c>
      <c r="R351" s="1"/>
      <c r="S351" s="9">
        <f>IF(AE351="✅", "/Script/Engine.StaticMesh'/Game/Item/Mesh/Voxel/" &amp; Q351 &amp; "/" &amp; TEXTJOIN("_", TRUE, H351, I351) &amp; "/" &amp; E351 &amp; "." &amp; E351 &amp; "'", "")</f>
      </c>
      <c r="T351" s="5"/>
      <c r="U351" s="5"/>
      <c r="V351" s="5"/>
      <c r="W351" s="5"/>
      <c r="X351" s="5"/>
      <c r="Y351" s="5"/>
      <c r="Z351" s="5"/>
      <c r="AA351" s="5"/>
      <c r="AB351" s="61" t="b">
        <v>0</v>
      </c>
      <c r="AC351" s="5"/>
      <c r="AD351" s="1"/>
      <c r="AE351" s="3"/>
      <c r="AF351" s="1"/>
      <c r="AG351" s="1">
        <f>"MI_" &amp; #REF!</f>
      </c>
      <c r="AH351" s="1">
        <f>"T_" &amp; #REF!</f>
      </c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</row>
    <row r="352">
      <c r="A352" s="4" t="str" xml:space="preserve">
        <v> </v>
      </c>
      <c r="B352" s="14"/>
      <c r="C352" s="14"/>
      <c r="D352" s="14"/>
      <c r="E352" s="4">
        <f>IF(F352="", "", TEXTJOIN("_", TRUE, F352:O352))</f>
      </c>
      <c r="F352" s="5" t="str">
        <v>SM</v>
      </c>
      <c r="G352" s="1" t="str">
        <v>City</v>
      </c>
      <c r="H352" s="1" t="str">
        <v>Ground</v>
      </c>
      <c r="I352" s="5"/>
      <c r="J352" s="5" t="str">
        <v>Sidewalk</v>
      </c>
      <c r="K352" s="10"/>
      <c r="L352" s="9" t="str">
        <v>RoundCorner</v>
      </c>
      <c r="M352" s="5"/>
      <c r="N352" s="10"/>
      <c r="O352" s="10">
        <v>31</v>
      </c>
      <c r="P352" s="5"/>
      <c r="Q352" s="1">
        <f>"World_"&amp;VLOOKUP(G352,'引用列表'!Q:R,2,FALSE)&amp;"_"&amp;G352</f>
      </c>
      <c r="R352" s="1"/>
      <c r="S352" s="9">
        <f>IF(AE352="✅", "/Script/Engine.StaticMesh'/Game/Item/Mesh/Voxel/" &amp; Q352 &amp; "/" &amp; TEXTJOIN("_", TRUE, H352, I352) &amp; "/" &amp; E352 &amp; "." &amp; E352 &amp; "'", "")</f>
      </c>
      <c r="T352" s="5"/>
      <c r="U352" s="5"/>
      <c r="V352" s="5"/>
      <c r="W352" s="5"/>
      <c r="X352" s="5"/>
      <c r="Y352" s="5"/>
      <c r="Z352" s="5"/>
      <c r="AA352" s="5"/>
      <c r="AB352" s="61" t="b">
        <v>0</v>
      </c>
      <c r="AC352" s="5"/>
      <c r="AD352" s="1"/>
      <c r="AE352" s="3"/>
      <c r="AF352" s="1"/>
      <c r="AG352" s="1">
        <f>"MI_" &amp; #REF!</f>
      </c>
      <c r="AH352" s="1">
        <f>"T_" &amp; #REF!</f>
      </c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</row>
    <row r="353">
      <c r="A353" s="4" t="str" xml:space="preserve">
        <v> </v>
      </c>
      <c r="B353" s="14"/>
      <c r="C353" s="14"/>
      <c r="D353" s="14"/>
      <c r="E353" s="4">
        <f>IF(F353="", "", TEXTJOIN("_", TRUE, F353:O353))</f>
      </c>
      <c r="F353" s="5" t="str">
        <v>SM</v>
      </c>
      <c r="G353" s="1" t="str">
        <v>City</v>
      </c>
      <c r="H353" s="1" t="str">
        <v>Ground</v>
      </c>
      <c r="I353" s="5"/>
      <c r="J353" s="5" t="str">
        <v>Sidewalk</v>
      </c>
      <c r="K353" s="10"/>
      <c r="L353" s="9" t="str">
        <v>RoundCorner</v>
      </c>
      <c r="M353" s="5"/>
      <c r="N353" s="10"/>
      <c r="O353" s="10">
        <v>32</v>
      </c>
      <c r="P353" s="5"/>
      <c r="Q353" s="1">
        <f>"World_"&amp;VLOOKUP(G353,'引用列表'!Q:R,2,FALSE)&amp;"_"&amp;G353</f>
      </c>
      <c r="R353" s="1"/>
      <c r="S353" s="9">
        <f>IF(AE353="✅", "/Script/Engine.StaticMesh'/Game/Item/Mesh/Voxel/" &amp; Q353 &amp; "/" &amp; TEXTJOIN("_", TRUE, H353, I353) &amp; "/" &amp; E353 &amp; "." &amp; E353 &amp; "'", "")</f>
      </c>
      <c r="T353" s="5"/>
      <c r="U353" s="5"/>
      <c r="V353" s="5"/>
      <c r="W353" s="5"/>
      <c r="X353" s="5"/>
      <c r="Y353" s="5"/>
      <c r="Z353" s="5"/>
      <c r="AA353" s="5"/>
      <c r="AB353" s="61" t="b">
        <v>0</v>
      </c>
      <c r="AC353" s="5"/>
      <c r="AD353" s="1"/>
      <c r="AE353" s="3"/>
      <c r="AF353" s="1"/>
      <c r="AG353" s="1">
        <f>"MI_" &amp; #REF!</f>
      </c>
      <c r="AH353" s="1">
        <f>"T_" &amp; #REF!</f>
      </c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</row>
    <row r="354">
      <c r="A354" s="4" t="str" xml:space="preserve">
        <v> </v>
      </c>
      <c r="B354" s="14"/>
      <c r="C354" s="14"/>
      <c r="D354" s="14"/>
      <c r="E354" s="4">
        <f>IF(F354="", "", TEXTJOIN("_", TRUE, F354:O354))</f>
      </c>
      <c r="F354" s="5" t="str">
        <v>SM</v>
      </c>
      <c r="G354" s="1" t="str">
        <v>City</v>
      </c>
      <c r="H354" s="1" t="str">
        <v>Ground</v>
      </c>
      <c r="I354" s="5"/>
      <c r="J354" s="5" t="str">
        <v>Sidewalk</v>
      </c>
      <c r="K354" s="10"/>
      <c r="L354" s="9" t="str">
        <v>RoundCorner</v>
      </c>
      <c r="M354" s="5"/>
      <c r="N354" s="10"/>
      <c r="O354" s="10">
        <v>33</v>
      </c>
      <c r="P354" s="5"/>
      <c r="Q354" s="1">
        <f>"World_"&amp;VLOOKUP(G354,'引用列表'!Q:R,2,FALSE)&amp;"_"&amp;G354</f>
      </c>
      <c r="R354" s="1"/>
      <c r="S354" s="9">
        <f>IF(AE354="✅", "/Script/Engine.StaticMesh'/Game/Item/Mesh/Voxel/" &amp; Q354 &amp; "/" &amp; TEXTJOIN("_", TRUE, H354, I354) &amp; "/" &amp; E354 &amp; "." &amp; E354 &amp; "'", "")</f>
      </c>
      <c r="T354" s="5"/>
      <c r="U354" s="5"/>
      <c r="V354" s="5"/>
      <c r="W354" s="5"/>
      <c r="X354" s="5"/>
      <c r="Y354" s="5"/>
      <c r="Z354" s="5"/>
      <c r="AA354" s="5"/>
      <c r="AB354" s="61" t="b">
        <v>0</v>
      </c>
      <c r="AC354" s="5"/>
      <c r="AD354" s="1"/>
      <c r="AE354" s="3"/>
      <c r="AF354" s="1"/>
      <c r="AG354" s="1">
        <f>"MI_" &amp; #REF!</f>
      </c>
      <c r="AH354" s="1">
        <f>"T_" &amp; #REF!</f>
      </c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</row>
    <row r="355">
      <c r="A355" s="4" t="str" xml:space="preserve">
        <v> </v>
      </c>
      <c r="B355" s="14"/>
      <c r="C355" s="14"/>
      <c r="D355" s="14"/>
      <c r="E355" s="4">
        <f>IF(F355="", "", TEXTJOIN("_", TRUE, F355:O355))</f>
      </c>
      <c r="F355" s="5" t="str">
        <v>SM</v>
      </c>
      <c r="G355" s="1" t="str">
        <v>City</v>
      </c>
      <c r="H355" s="1" t="str">
        <v>Ground</v>
      </c>
      <c r="I355" s="5"/>
      <c r="J355" s="5" t="str">
        <v>Sidewalk</v>
      </c>
      <c r="K355" s="10"/>
      <c r="L355" s="9" t="str">
        <v>RoundCorner</v>
      </c>
      <c r="M355" s="5"/>
      <c r="N355" s="10"/>
      <c r="O355" s="10">
        <v>34</v>
      </c>
      <c r="P355" s="5"/>
      <c r="Q355" s="1">
        <f>"World_"&amp;VLOOKUP(G355,'引用列表'!Q:R,2,FALSE)&amp;"_"&amp;G355</f>
      </c>
      <c r="R355" s="1"/>
      <c r="S355" s="9">
        <f>IF(AE355="✅", "/Script/Engine.StaticMesh'/Game/Item/Mesh/Voxel/" &amp; Q355 &amp; "/" &amp; TEXTJOIN("_", TRUE, H355, I355) &amp; "/" &amp; E355 &amp; "." &amp; E355 &amp; "'", "")</f>
      </c>
      <c r="T355" s="5"/>
      <c r="U355" s="5"/>
      <c r="V355" s="5"/>
      <c r="W355" s="5"/>
      <c r="X355" s="5"/>
      <c r="Y355" s="5"/>
      <c r="Z355" s="5"/>
      <c r="AA355" s="5"/>
      <c r="AB355" s="61" t="b">
        <v>0</v>
      </c>
      <c r="AC355" s="5"/>
      <c r="AD355" s="1"/>
      <c r="AE355" s="3"/>
      <c r="AF355" s="1"/>
      <c r="AG355" s="1">
        <f>"MI_" &amp; #REF!</f>
      </c>
      <c r="AH355" s="1">
        <f>"T_" &amp; #REF!</f>
      </c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</row>
    <row r="356">
      <c r="A356" s="4" t="str" xml:space="preserve">
        <v> </v>
      </c>
      <c r="B356" s="14"/>
      <c r="C356" s="14"/>
      <c r="D356" s="14"/>
      <c r="E356" s="4">
        <f>IF(F356="", "", TEXTJOIN("_", TRUE, F356:O356))</f>
      </c>
      <c r="F356" s="5" t="str">
        <v>SM</v>
      </c>
      <c r="G356" s="1" t="str">
        <v>City</v>
      </c>
      <c r="H356" s="1" t="str">
        <v>Ground</v>
      </c>
      <c r="I356" s="5"/>
      <c r="J356" s="5" t="str">
        <v>Sidewalk</v>
      </c>
      <c r="K356" s="10"/>
      <c r="L356" s="9" t="str">
        <v>RoundCorner</v>
      </c>
      <c r="M356" s="5"/>
      <c r="N356" s="10"/>
      <c r="O356" s="10">
        <v>35</v>
      </c>
      <c r="P356" s="5"/>
      <c r="Q356" s="1">
        <f>"World_"&amp;VLOOKUP(G356,'引用列表'!Q:R,2,FALSE)&amp;"_"&amp;G356</f>
      </c>
      <c r="R356" s="1"/>
      <c r="S356" s="9">
        <f>IF(AE356="✅", "/Script/Engine.StaticMesh'/Game/Item/Mesh/Voxel/" &amp; Q356 &amp; "/" &amp; TEXTJOIN("_", TRUE, H356, I356) &amp; "/" &amp; E356 &amp; "." &amp; E356 &amp; "'", "")</f>
      </c>
      <c r="T356" s="5"/>
      <c r="U356" s="5"/>
      <c r="V356" s="5"/>
      <c r="W356" s="5"/>
      <c r="X356" s="5"/>
      <c r="Y356" s="5"/>
      <c r="Z356" s="5"/>
      <c r="AA356" s="5"/>
      <c r="AB356" s="61" t="b">
        <v>0</v>
      </c>
      <c r="AC356" s="5"/>
      <c r="AD356" s="1"/>
      <c r="AE356" s="3"/>
      <c r="AF356" s="1"/>
      <c r="AG356" s="1">
        <f>"MI_" &amp; #REF!</f>
      </c>
      <c r="AH356" s="1">
        <f>"T_" &amp; #REF!</f>
      </c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</row>
    <row r="357">
      <c r="A357" s="4" t="str" xml:space="preserve">
        <v> </v>
      </c>
      <c r="B357" s="14"/>
      <c r="C357" s="14"/>
      <c r="D357" s="14"/>
      <c r="E357" s="4">
        <f>IF(F357="", "", TEXTJOIN("_", TRUE, F357:O357))</f>
      </c>
      <c r="F357" s="5" t="str">
        <v>SM</v>
      </c>
      <c r="G357" s="1" t="str">
        <v>City</v>
      </c>
      <c r="H357" s="1" t="str">
        <v>Ground</v>
      </c>
      <c r="I357" s="5"/>
      <c r="J357" s="5" t="str">
        <v>Sidewalk</v>
      </c>
      <c r="K357" s="10"/>
      <c r="L357" s="9" t="str">
        <v>RoundCorner</v>
      </c>
      <c r="M357" s="5"/>
      <c r="N357" s="10"/>
      <c r="O357" s="10">
        <v>36</v>
      </c>
      <c r="P357" s="5"/>
      <c r="Q357" s="1">
        <f>"World_"&amp;VLOOKUP(G357,'引用列表'!Q:R,2,FALSE)&amp;"_"&amp;G357</f>
      </c>
      <c r="R357" s="1"/>
      <c r="S357" s="9">
        <f>IF(AE357="✅", "/Script/Engine.StaticMesh'/Game/Item/Mesh/Voxel/" &amp; Q357 &amp; "/" &amp; TEXTJOIN("_", TRUE, H357, I357) &amp; "/" &amp; E357 &amp; "." &amp; E357 &amp; "'", "")</f>
      </c>
      <c r="T357" s="5"/>
      <c r="U357" s="5"/>
      <c r="V357" s="5"/>
      <c r="W357" s="5"/>
      <c r="X357" s="5"/>
      <c r="Y357" s="5"/>
      <c r="Z357" s="5"/>
      <c r="AA357" s="5"/>
      <c r="AB357" s="61" t="b">
        <v>0</v>
      </c>
      <c r="AC357" s="5"/>
      <c r="AD357" s="1"/>
      <c r="AE357" s="3"/>
      <c r="AF357" s="1"/>
      <c r="AG357" s="1">
        <f>"MI_" &amp; #REF!</f>
      </c>
      <c r="AH357" s="1">
        <f>"T_" &amp; #REF!</f>
      </c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</row>
    <row r="358">
      <c r="A358" s="4" t="str" xml:space="preserve">
        <v> </v>
      </c>
      <c r="B358" s="14"/>
      <c r="C358" s="14"/>
      <c r="D358" s="14"/>
      <c r="E358" s="4">
        <f>IF(F358="", "", TEXTJOIN("_", TRUE, F358:O358))</f>
      </c>
      <c r="F358" s="5" t="str">
        <v>SM</v>
      </c>
      <c r="G358" s="5" t="str">
        <v>City</v>
      </c>
      <c r="H358" s="5" t="str">
        <v>Ground</v>
      </c>
      <c r="I358" s="5"/>
      <c r="J358" s="5" t="str">
        <v>Sidewalk</v>
      </c>
      <c r="K358" s="10"/>
      <c r="L358" s="5"/>
      <c r="M358" s="5" t="str">
        <v>Single</v>
      </c>
      <c r="N358" s="10"/>
      <c r="O358" s="10">
        <v>7</v>
      </c>
      <c r="P358" s="5"/>
      <c r="Q358" s="1">
        <f>"World_"&amp;VLOOKUP(G358,'引用列表'!Q:R,2,FALSE)&amp;"_"&amp;G358</f>
      </c>
      <c r="R358" s="1"/>
      <c r="S358" s="9">
        <f>IF(AE358="✅", "/Script/Engine.StaticMesh'/Game/Item/Mesh/Voxel/" &amp; Q358 &amp; "/" &amp; TEXTJOIN("_", TRUE, H358, I358) &amp; "/" &amp; E358 &amp; "." &amp; E358 &amp; "'", "")</f>
      </c>
      <c r="T358" s="5"/>
      <c r="U358" s="5"/>
      <c r="V358" s="5"/>
      <c r="W358" s="5"/>
      <c r="X358" s="5"/>
      <c r="Y358" s="5"/>
      <c r="Z358" s="5"/>
      <c r="AA358" s="5"/>
      <c r="AB358" s="61" t="b">
        <v>0</v>
      </c>
      <c r="AC358" s="5"/>
      <c r="AD358" s="1"/>
      <c r="AE358" s="3"/>
      <c r="AF358" s="1"/>
      <c r="AG358" s="1">
        <f>"MI_" &amp; #REF!</f>
      </c>
      <c r="AH358" s="1">
        <f>"T_" &amp; #REF!</f>
      </c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</row>
    <row r="359">
      <c r="A359" s="4" t="str" xml:space="preserve">
        <v> </v>
      </c>
      <c r="B359" s="14"/>
      <c r="C359" s="14"/>
      <c r="D359" s="14"/>
      <c r="E359" s="4">
        <f>IF(F359="", "", TEXTJOIN("_", TRUE, F359:O359))</f>
      </c>
      <c r="F359" s="5" t="str">
        <v>SM</v>
      </c>
      <c r="G359" s="5" t="str">
        <v>City</v>
      </c>
      <c r="H359" s="5" t="str">
        <v>Ground</v>
      </c>
      <c r="I359" s="5"/>
      <c r="J359" s="5" t="str">
        <v>SidewalkToGrass</v>
      </c>
      <c r="K359" s="10"/>
      <c r="L359" s="5"/>
      <c r="M359" s="5" t="str">
        <v>Hollow</v>
      </c>
      <c r="N359" s="10"/>
      <c r="O359" s="10">
        <v>64</v>
      </c>
      <c r="P359" s="5"/>
      <c r="Q359" s="1">
        <f>"World_"&amp;VLOOKUP(G359,'引用列表'!Q:R,2,FALSE)&amp;"_"&amp;G359</f>
      </c>
      <c r="R359" s="1"/>
      <c r="S359" s="9">
        <f>IF(AE359="✅", "/Script/Engine.StaticMesh'/Game/Item/Mesh/Voxel/" &amp; Q359 &amp; "/" &amp; TEXTJOIN("_", TRUE, H359, I359) &amp; "/" &amp; E359 &amp; "." &amp; E359 &amp; "'", "")</f>
      </c>
      <c r="T359" s="5"/>
      <c r="U359" s="5"/>
      <c r="V359" s="5"/>
      <c r="W359" s="5"/>
      <c r="X359" s="5"/>
      <c r="Y359" s="5"/>
      <c r="Z359" s="5"/>
      <c r="AA359" s="5"/>
      <c r="AB359" s="61" t="b">
        <v>0</v>
      </c>
      <c r="AC359" s="5"/>
      <c r="AD359" s="1"/>
      <c r="AE359" s="3"/>
      <c r="AF359" s="1"/>
      <c r="AG359" s="1">
        <f>"MI_" &amp; #REF!</f>
      </c>
      <c r="AH359" s="1">
        <f>"T_" &amp; #REF!</f>
      </c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</row>
    <row r="360">
      <c r="A360" s="4" t="str" xml:space="preserve">
        <v> </v>
      </c>
      <c r="B360" s="14"/>
      <c r="C360" s="14"/>
      <c r="D360" s="14"/>
      <c r="E360" s="4">
        <f>IF(F360="", "", TEXTJOIN("_", TRUE, F360:O360))</f>
      </c>
      <c r="F360" s="5" t="str">
        <v>SM</v>
      </c>
      <c r="G360" s="1" t="str">
        <v>City</v>
      </c>
      <c r="H360" s="1" t="str">
        <v>Ground</v>
      </c>
      <c r="I360" s="5"/>
      <c r="J360" s="5" t="str">
        <v>SidewalkToGrass</v>
      </c>
      <c r="K360" s="10"/>
      <c r="L360" s="9" t="str">
        <v>RoundCorner</v>
      </c>
      <c r="M360" s="5"/>
      <c r="N360" s="10"/>
      <c r="O360" s="10">
        <v>62</v>
      </c>
      <c r="P360" s="5"/>
      <c r="Q360" s="1">
        <f>"World_"&amp;VLOOKUP(G360,'引用列表'!Q:R,2,FALSE)&amp;"_"&amp;G360</f>
      </c>
      <c r="R360" s="1"/>
      <c r="S360" s="9">
        <f>IF(AE360="✅", "/Script/Engine.StaticMesh'/Game/Item/Mesh/Voxel/" &amp; Q360 &amp; "/" &amp; TEXTJOIN("_", TRUE, H360, I360) &amp; "/" &amp; E360 &amp; "." &amp; E360 &amp; "'", "")</f>
      </c>
      <c r="T360" s="5"/>
      <c r="U360" s="5"/>
      <c r="V360" s="5"/>
      <c r="W360" s="5"/>
      <c r="X360" s="5"/>
      <c r="Y360" s="5"/>
      <c r="Z360" s="5"/>
      <c r="AA360" s="5"/>
      <c r="AB360" s="61" t="b">
        <v>0</v>
      </c>
      <c r="AC360" s="5"/>
      <c r="AD360" s="1"/>
      <c r="AE360" s="3"/>
      <c r="AF360" s="1"/>
      <c r="AG360" s="1">
        <f>"MI_" &amp; #REF!</f>
      </c>
      <c r="AH360" s="1">
        <f>"T_" &amp; #REF!</f>
      </c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</row>
    <row r="361">
      <c r="A361" s="4" t="str" xml:space="preserve">
        <v> </v>
      </c>
      <c r="B361" s="14"/>
      <c r="C361" s="14"/>
      <c r="D361" s="14"/>
      <c r="E361" s="4">
        <f>IF(F361="", "", TEXTJOIN("_", TRUE, F361:O361))</f>
      </c>
      <c r="F361" s="5" t="str">
        <v>SM</v>
      </c>
      <c r="G361" s="1" t="str">
        <v>City</v>
      </c>
      <c r="H361" s="1" t="str">
        <v>Ground</v>
      </c>
      <c r="I361" s="5"/>
      <c r="J361" s="5" t="str">
        <v>SidewalkToGrass</v>
      </c>
      <c r="K361" s="10"/>
      <c r="L361" s="9" t="str">
        <v>RoundCorner</v>
      </c>
      <c r="M361" s="5"/>
      <c r="N361" s="10"/>
      <c r="O361" s="10">
        <v>63</v>
      </c>
      <c r="P361" s="5"/>
      <c r="Q361" s="1">
        <f>"World_"&amp;VLOOKUP(G361,'引用列表'!Q:R,2,FALSE)&amp;"_"&amp;G361</f>
      </c>
      <c r="R361" s="1"/>
      <c r="S361" s="9">
        <f>IF(AE361="✅", "/Script/Engine.StaticMesh'/Game/Item/Mesh/Voxel/" &amp; Q361 &amp; "/" &amp; TEXTJOIN("_", TRUE, H361, I361) &amp; "/" &amp; E361 &amp; "." &amp; E361 &amp; "'", "")</f>
      </c>
      <c r="T361" s="5"/>
      <c r="U361" s="5"/>
      <c r="V361" s="5"/>
      <c r="W361" s="5"/>
      <c r="X361" s="5"/>
      <c r="Y361" s="5"/>
      <c r="Z361" s="5"/>
      <c r="AA361" s="5"/>
      <c r="AB361" s="61" t="b">
        <v>0</v>
      </c>
      <c r="AC361" s="5"/>
      <c r="AD361" s="1"/>
      <c r="AE361" s="3"/>
      <c r="AF361" s="1"/>
      <c r="AG361" s="1">
        <f>"MI_" &amp; #REF!</f>
      </c>
      <c r="AH361" s="1">
        <f>"T_" &amp; #REF!</f>
      </c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</row>
    <row r="362">
      <c r="A362" s="4" t="str" xml:space="preserve">
        <v> </v>
      </c>
      <c r="B362" s="14"/>
      <c r="C362" s="14"/>
      <c r="D362" s="14"/>
      <c r="E362" s="4">
        <f>IF(F362="", "", TEXTJOIN("_", TRUE, F362:O362))</f>
      </c>
      <c r="F362" s="5" t="str">
        <v>SM</v>
      </c>
      <c r="G362" s="1" t="str">
        <v>City</v>
      </c>
      <c r="H362" s="1" t="str">
        <v>Ground</v>
      </c>
      <c r="I362" s="5"/>
      <c r="J362" s="5" t="str">
        <v>SidewalkToGrass</v>
      </c>
      <c r="K362" s="10"/>
      <c r="L362" s="9" t="str">
        <v>RoundCorner</v>
      </c>
      <c r="M362" s="5"/>
      <c r="N362" s="10"/>
      <c r="O362" s="10">
        <v>67</v>
      </c>
      <c r="P362" s="5"/>
      <c r="Q362" s="1">
        <f>"World_"&amp;VLOOKUP(G362,'引用列表'!Q:R,2,FALSE)&amp;"_"&amp;G362</f>
      </c>
      <c r="R362" s="1"/>
      <c r="S362" s="9">
        <f>IF(AE362="✅", "/Script/Engine.StaticMesh'/Game/Item/Mesh/Voxel/" &amp; Q362 &amp; "/" &amp; TEXTJOIN("_", TRUE, H362, I362) &amp; "/" &amp; E362 &amp; "." &amp; E362 &amp; "'", "")</f>
      </c>
      <c r="T362" s="5"/>
      <c r="U362" s="5"/>
      <c r="V362" s="5"/>
      <c r="W362" s="5"/>
      <c r="X362" s="5"/>
      <c r="Y362" s="5"/>
      <c r="Z362" s="5"/>
      <c r="AA362" s="5"/>
      <c r="AB362" s="61" t="b">
        <v>0</v>
      </c>
      <c r="AC362" s="5"/>
      <c r="AD362" s="1"/>
      <c r="AE362" s="3"/>
      <c r="AF362" s="1"/>
      <c r="AG362" s="1">
        <f>"MI_" &amp; #REF!</f>
      </c>
      <c r="AH362" s="1">
        <f>"T_" &amp; #REF!</f>
      </c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</row>
    <row r="363">
      <c r="A363" s="4" t="str" xml:space="preserve">
        <v> </v>
      </c>
      <c r="B363" s="14"/>
      <c r="C363" s="14"/>
      <c r="D363" s="14"/>
      <c r="E363" s="4">
        <f>IF(F363="", "", TEXTJOIN("_", TRUE, F363:O363))</f>
      </c>
      <c r="F363" s="5" t="str">
        <v>SM</v>
      </c>
      <c r="G363" s="1" t="str">
        <v>City</v>
      </c>
      <c r="H363" s="1" t="str">
        <v>Ground</v>
      </c>
      <c r="I363" s="5"/>
      <c r="J363" s="5" t="str">
        <v>SidewalkToGrass</v>
      </c>
      <c r="K363" s="10"/>
      <c r="L363" s="9" t="str">
        <v>RoundCorner</v>
      </c>
      <c r="M363" s="5"/>
      <c r="N363" s="10"/>
      <c r="O363" s="10">
        <v>68</v>
      </c>
      <c r="P363" s="5"/>
      <c r="Q363" s="1">
        <f>"World_"&amp;VLOOKUP(G363,'引用列表'!Q:R,2,FALSE)&amp;"_"&amp;G363</f>
      </c>
      <c r="R363" s="1"/>
      <c r="S363" s="9">
        <f>IF(AE363="✅", "/Script/Engine.StaticMesh'/Game/Item/Mesh/Voxel/" &amp; Q363 &amp; "/" &amp; TEXTJOIN("_", TRUE, H363, I363) &amp; "/" &amp; E363 &amp; "." &amp; E363 &amp; "'", "")</f>
      </c>
      <c r="T363" s="5"/>
      <c r="U363" s="5"/>
      <c r="V363" s="5"/>
      <c r="W363" s="5"/>
      <c r="X363" s="5"/>
      <c r="Y363" s="5"/>
      <c r="Z363" s="5"/>
      <c r="AA363" s="5"/>
      <c r="AB363" s="61" t="b">
        <v>0</v>
      </c>
      <c r="AC363" s="5"/>
      <c r="AD363" s="1"/>
      <c r="AE363" s="3"/>
      <c r="AF363" s="1"/>
      <c r="AG363" s="1">
        <f>"MI_" &amp; #REF!</f>
      </c>
      <c r="AH363" s="1">
        <f>"T_" &amp; #REF!</f>
      </c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</row>
    <row r="364">
      <c r="A364" s="4" t="str" xml:space="preserve">
        <v> </v>
      </c>
      <c r="B364" s="14"/>
      <c r="C364" s="14"/>
      <c r="D364" s="14"/>
      <c r="E364" s="4">
        <f>IF(F364="", "", TEXTJOIN("_", TRUE, F364:O364))</f>
      </c>
      <c r="F364" s="5" t="str">
        <v>SM</v>
      </c>
      <c r="G364" s="1" t="str">
        <v>City</v>
      </c>
      <c r="H364" s="1" t="str">
        <v>Ground</v>
      </c>
      <c r="I364" s="5"/>
      <c r="J364" s="5" t="str">
        <v>SidewalkToGrass</v>
      </c>
      <c r="K364" s="10"/>
      <c r="L364" s="9" t="str">
        <v>RoundCorner</v>
      </c>
      <c r="M364" s="5"/>
      <c r="N364" s="10"/>
      <c r="O364" s="10">
        <v>69</v>
      </c>
      <c r="P364" s="5"/>
      <c r="Q364" s="1">
        <f>"World_"&amp;VLOOKUP(G364,'引用列表'!Q:R,2,FALSE)&amp;"_"&amp;G364</f>
      </c>
      <c r="R364" s="1"/>
      <c r="S364" s="9">
        <f>IF(AE364="✅", "/Script/Engine.StaticMesh'/Game/Item/Mesh/Voxel/" &amp; Q364 &amp; "/" &amp; TEXTJOIN("_", TRUE, H364, I364) &amp; "/" &amp; E364 &amp; "." &amp; E364 &amp; "'", "")</f>
      </c>
      <c r="T364" s="5"/>
      <c r="U364" s="5"/>
      <c r="V364" s="5"/>
      <c r="W364" s="5"/>
      <c r="X364" s="5"/>
      <c r="Y364" s="5"/>
      <c r="Z364" s="5"/>
      <c r="AA364" s="5"/>
      <c r="AB364" s="61" t="b">
        <v>0</v>
      </c>
      <c r="AC364" s="5"/>
      <c r="AD364" s="1"/>
      <c r="AE364" s="3"/>
      <c r="AF364" s="1"/>
      <c r="AG364" s="1">
        <f>"MI_" &amp; #REF!</f>
      </c>
      <c r="AH364" s="1">
        <f>"T_" &amp; #REF!</f>
      </c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</row>
    <row r="365">
      <c r="A365" s="4" t="str" xml:space="preserve">
        <v> </v>
      </c>
      <c r="B365" s="14"/>
      <c r="C365" s="14"/>
      <c r="D365" s="14"/>
      <c r="E365" s="4">
        <f>IF(F365="", "", TEXTJOIN("_", TRUE, F365:O365))</f>
      </c>
      <c r="F365" s="5" t="str">
        <v>SM</v>
      </c>
      <c r="G365" s="5" t="str">
        <v>City</v>
      </c>
      <c r="H365" s="5" t="str">
        <v>Ground</v>
      </c>
      <c r="I365" s="5"/>
      <c r="J365" s="5" t="str">
        <v>SidewalkToGrass</v>
      </c>
      <c r="K365" s="10"/>
      <c r="L365" s="5"/>
      <c r="M365" s="5" t="str">
        <v>Single</v>
      </c>
      <c r="N365" s="10"/>
      <c r="O365" s="10">
        <v>55</v>
      </c>
      <c r="P365" s="5"/>
      <c r="Q365" s="1">
        <f>"World_"&amp;VLOOKUP(G365,'引用列表'!Q:R,2,FALSE)&amp;"_"&amp;G365</f>
      </c>
      <c r="R365" s="1"/>
      <c r="S365" s="9">
        <f>IF(AE365="✅", "/Script/Engine.StaticMesh'/Game/Item/Mesh/Voxel/" &amp; Q365 &amp; "/" &amp; TEXTJOIN("_", TRUE, H365, I365) &amp; "/" &amp; E365 &amp; "." &amp; E365 &amp; "'", "")</f>
      </c>
      <c r="T365" s="5"/>
      <c r="U365" s="5"/>
      <c r="V365" s="5"/>
      <c r="W365" s="5"/>
      <c r="X365" s="5"/>
      <c r="Y365" s="5"/>
      <c r="Z365" s="5"/>
      <c r="AA365" s="5"/>
      <c r="AB365" s="61" t="b">
        <v>0</v>
      </c>
      <c r="AC365" s="5"/>
      <c r="AD365" s="1"/>
      <c r="AE365" s="3"/>
      <c r="AF365" s="1"/>
      <c r="AG365" s="1">
        <f>"MI_" &amp; #REF!</f>
      </c>
      <c r="AH365" s="1">
        <f>"T_" &amp; #REF!</f>
      </c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</row>
    <row r="366">
      <c r="A366" s="4" t="str" xml:space="preserve">
        <v> </v>
      </c>
      <c r="B366" s="14"/>
      <c r="C366" s="14"/>
      <c r="D366" s="14"/>
      <c r="E366" s="4">
        <f>IF(F366="", "", TEXTJOIN("_", TRUE, F366:O366))</f>
      </c>
      <c r="F366" s="5" t="str">
        <v>SM</v>
      </c>
      <c r="G366" s="5" t="str">
        <v>City</v>
      </c>
      <c r="H366" s="5" t="str">
        <v>Ground</v>
      </c>
      <c r="I366" s="5"/>
      <c r="J366" s="5" t="str">
        <v>SidewalkToGrass</v>
      </c>
      <c r="K366" s="10"/>
      <c r="L366" s="5" t="str">
        <v>TL</v>
      </c>
      <c r="M366" s="5" t="str">
        <v>Single</v>
      </c>
      <c r="N366" s="10"/>
      <c r="O366" s="10">
        <v>56</v>
      </c>
      <c r="P366" s="5"/>
      <c r="Q366" s="1">
        <f>"World_"&amp;VLOOKUP(G366,'引用列表'!Q:R,2,FALSE)&amp;"_"&amp;G366</f>
      </c>
      <c r="R366" s="1"/>
      <c r="S366" s="9">
        <f>IF(AE366="✅", "/Script/Engine.StaticMesh'/Game/Item/Mesh/Voxel/" &amp; Q366 &amp; "/" &amp; TEXTJOIN("_", TRUE, H366, I366) &amp; "/" &amp; E366 &amp; "." &amp; E366 &amp; "'", "")</f>
      </c>
      <c r="T366" s="5"/>
      <c r="U366" s="5"/>
      <c r="V366" s="5"/>
      <c r="W366" s="5"/>
      <c r="X366" s="5"/>
      <c r="Y366" s="5"/>
      <c r="Z366" s="5"/>
      <c r="AA366" s="5"/>
      <c r="AB366" s="61" t="b">
        <v>0</v>
      </c>
      <c r="AC366" s="5"/>
      <c r="AD366" s="1"/>
      <c r="AE366" s="3"/>
      <c r="AF366" s="1"/>
      <c r="AG366" s="1">
        <f>"MI_" &amp; #REF!</f>
      </c>
      <c r="AH366" s="1">
        <f>"T_" &amp; #REF!</f>
      </c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</row>
    <row r="367">
      <c r="A367" s="4" t="str" xml:space="preserve">
        <v> </v>
      </c>
      <c r="B367" s="14"/>
      <c r="C367" s="14"/>
      <c r="D367" s="14"/>
      <c r="E367" s="4">
        <f>IF(F367="", "", TEXTJOIN("_", TRUE, F367:O367))</f>
      </c>
      <c r="F367" s="5" t="str">
        <v>SM</v>
      </c>
      <c r="G367" s="5" t="str">
        <v>City</v>
      </c>
      <c r="H367" s="5" t="str">
        <v>Ground</v>
      </c>
      <c r="I367" s="5"/>
      <c r="J367" s="5" t="str">
        <v>SidewalkToGrass</v>
      </c>
      <c r="K367" s="10"/>
      <c r="L367" s="5" t="str">
        <v>TR</v>
      </c>
      <c r="M367" s="5" t="str">
        <v>Corner</v>
      </c>
      <c r="N367" s="10"/>
      <c r="O367" s="10">
        <v>219</v>
      </c>
      <c r="P367" s="5"/>
      <c r="Q367" s="1">
        <f>"World_"&amp;VLOOKUP(G367,'引用列表'!Q:R,2,FALSE)&amp;"_"&amp;G367</f>
      </c>
      <c r="R367" s="1"/>
      <c r="S367" s="9">
        <f>IF(AE367="✅", "/Script/Engine.StaticMesh'/Game/Item/Mesh/Voxel/" &amp; Q367 &amp; "/" &amp; TEXTJOIN("_", TRUE, H367, I367) &amp; "/" &amp; E367 &amp; "." &amp; E367 &amp; "'", "")</f>
      </c>
      <c r="T367" s="5"/>
      <c r="U367" s="5"/>
      <c r="V367" s="5"/>
      <c r="W367" s="5"/>
      <c r="X367" s="5"/>
      <c r="Y367" s="5"/>
      <c r="Z367" s="5"/>
      <c r="AA367" s="5"/>
      <c r="AB367" s="61" t="b">
        <v>0</v>
      </c>
      <c r="AC367" s="5"/>
      <c r="AD367" s="1"/>
      <c r="AE367" s="3"/>
      <c r="AF367" s="1"/>
      <c r="AG367" s="1">
        <f>"MI_" &amp; #REF!</f>
      </c>
      <c r="AH367" s="1">
        <f>"T_" &amp; #REF!</f>
      </c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</row>
    <row r="368">
      <c r="A368" s="4" t="str" xml:space="preserve">
        <v> </v>
      </c>
      <c r="B368" s="14"/>
      <c r="C368" s="14"/>
      <c r="D368" s="14"/>
      <c r="E368" s="4">
        <f>IF(F368="", "", TEXTJOIN("_", TRUE, F368:O368))</f>
      </c>
      <c r="F368" s="5" t="str">
        <v>SM</v>
      </c>
      <c r="G368" s="5" t="str">
        <v>City</v>
      </c>
      <c r="H368" s="5" t="str">
        <v>Ground</v>
      </c>
      <c r="I368" s="5"/>
      <c r="J368" s="5" t="str">
        <v>SidewalkToRoad</v>
      </c>
      <c r="K368" s="10"/>
      <c r="L368" s="5" t="str">
        <v>B</v>
      </c>
      <c r="M368" s="5" t="str">
        <v>Single</v>
      </c>
      <c r="N368" s="10"/>
      <c r="O368" s="10">
        <v>273</v>
      </c>
      <c r="P368" s="5"/>
      <c r="Q368" s="1">
        <f>"World_"&amp;VLOOKUP(G368,'引用列表'!Q:R,2,FALSE)&amp;"_"&amp;G368</f>
      </c>
      <c r="R368" s="1"/>
      <c r="S368" s="9">
        <f>IF(AE368="✅", "/Script/Engine.StaticMesh'/Game/Item/Mesh/Voxel/" &amp; Q368 &amp; "/" &amp; TEXTJOIN("_", TRUE, H368, I368) &amp; "/" &amp; E368 &amp; "." &amp; E368 &amp; "'", "")</f>
      </c>
      <c r="T368" s="5"/>
      <c r="U368" s="5"/>
      <c r="V368" s="5"/>
      <c r="W368" s="5"/>
      <c r="X368" s="5"/>
      <c r="Y368" s="5"/>
      <c r="Z368" s="5"/>
      <c r="AA368" s="5"/>
      <c r="AB368" s="61" t="b">
        <v>0</v>
      </c>
      <c r="AC368" s="5"/>
      <c r="AD368" s="1"/>
      <c r="AE368" s="3"/>
      <c r="AF368" s="1"/>
      <c r="AG368" s="1">
        <f>"MI_" &amp; #REF!</f>
      </c>
      <c r="AH368" s="1">
        <f>"T_" &amp; #REF!</f>
      </c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</row>
    <row r="369">
      <c r="A369" s="4" t="str" xml:space="preserve">
        <v> </v>
      </c>
      <c r="B369" s="14"/>
      <c r="C369" s="14"/>
      <c r="D369" s="14"/>
      <c r="E369" s="4">
        <f>IF(F369="", "", TEXTJOIN("_", TRUE, F369:O369))</f>
      </c>
      <c r="F369" s="5" t="str">
        <v>SM</v>
      </c>
      <c r="G369" s="5" t="str">
        <v>City</v>
      </c>
      <c r="H369" s="5" t="str">
        <v>Ground</v>
      </c>
      <c r="I369" s="5"/>
      <c r="J369" s="5" t="str">
        <v>SidewalkToRoad</v>
      </c>
      <c r="K369" s="10"/>
      <c r="L369" s="5" t="str">
        <v>BL</v>
      </c>
      <c r="M369" s="5" t="str">
        <v>Single</v>
      </c>
      <c r="N369" s="10"/>
      <c r="O369" s="10">
        <v>272</v>
      </c>
      <c r="P369" s="5"/>
      <c r="Q369" s="1">
        <f>"World_"&amp;VLOOKUP(G369,'引用列表'!Q:R,2,FALSE)&amp;"_"&amp;G369</f>
      </c>
      <c r="R369" s="1"/>
      <c r="S369" s="9">
        <f>IF(AE369="✅", "/Script/Engine.StaticMesh'/Game/Item/Mesh/Voxel/" &amp; Q369 &amp; "/" &amp; TEXTJOIN("_", TRUE, H369, I369) &amp; "/" &amp; E369 &amp; "." &amp; E369 &amp; "'", "")</f>
      </c>
      <c r="T369" s="5"/>
      <c r="U369" s="5"/>
      <c r="V369" s="5"/>
      <c r="W369" s="5"/>
      <c r="X369" s="5"/>
      <c r="Y369" s="5"/>
      <c r="Z369" s="5"/>
      <c r="AA369" s="5"/>
      <c r="AB369" s="61" t="b">
        <v>0</v>
      </c>
      <c r="AC369" s="5"/>
      <c r="AD369" s="1"/>
      <c r="AE369" s="3"/>
      <c r="AF369" s="1"/>
      <c r="AG369" s="1">
        <f>"MI_" &amp; #REF!</f>
      </c>
      <c r="AH369" s="1">
        <f>"T_" &amp; #REF!</f>
      </c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</row>
    <row r="370">
      <c r="A370" s="4" t="str" xml:space="preserve">
        <v> </v>
      </c>
      <c r="B370" s="14"/>
      <c r="C370" s="14"/>
      <c r="D370" s="14"/>
      <c r="E370" s="4">
        <f>IF(F370="", "", TEXTJOIN("_", TRUE, F370:O370))</f>
      </c>
      <c r="F370" s="5" t="str">
        <v>SM</v>
      </c>
      <c r="G370" s="5" t="str">
        <v>City</v>
      </c>
      <c r="H370" s="5" t="str">
        <v>Ground</v>
      </c>
      <c r="I370" s="5"/>
      <c r="J370" s="5" t="str">
        <v>SidewalkToRoad</v>
      </c>
      <c r="K370" s="10"/>
      <c r="L370" s="5"/>
      <c r="M370" s="5" t="str">
        <v>Corner</v>
      </c>
      <c r="N370" s="10"/>
      <c r="O370" s="10">
        <v>205</v>
      </c>
      <c r="P370" s="5"/>
      <c r="Q370" s="1">
        <f>"World_"&amp;VLOOKUP(G370,'引用列表'!Q:R,2,FALSE)&amp;"_"&amp;G370</f>
      </c>
      <c r="R370" s="1"/>
      <c r="S370" s="9">
        <f>IF(AE370="✅", "/Script/Engine.StaticMesh'/Game/Item/Mesh/Voxel/" &amp; Q370 &amp; "/" &amp; TEXTJOIN("_", TRUE, H370, I370) &amp; "/" &amp; E370 &amp; "." &amp; E370 &amp; "'", "")</f>
      </c>
      <c r="T370" s="5"/>
      <c r="U370" s="5"/>
      <c r="V370" s="5"/>
      <c r="W370" s="5"/>
      <c r="X370" s="5"/>
      <c r="Y370" s="5"/>
      <c r="Z370" s="5"/>
      <c r="AA370" s="5"/>
      <c r="AB370" s="61" t="b">
        <v>0</v>
      </c>
      <c r="AC370" s="5"/>
      <c r="AD370" s="1"/>
      <c r="AE370" s="3"/>
      <c r="AF370" s="1"/>
      <c r="AG370" s="1">
        <f>"MI_" &amp; #REF!</f>
      </c>
      <c r="AH370" s="1">
        <f>"T_" &amp; #REF!</f>
      </c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</row>
    <row r="371">
      <c r="A371" s="4" t="str" xml:space="preserve">
        <v> </v>
      </c>
      <c r="B371" s="14"/>
      <c r="C371" s="14"/>
      <c r="D371" s="14"/>
      <c r="E371" s="4">
        <f>IF(F371="", "", TEXTJOIN("_", TRUE, F371:O371))</f>
      </c>
      <c r="F371" s="5" t="str">
        <v>SM</v>
      </c>
      <c r="G371" s="5" t="str">
        <v>City</v>
      </c>
      <c r="H371" s="5" t="str">
        <v>Ground</v>
      </c>
      <c r="I371" s="5"/>
      <c r="J371" s="5" t="str">
        <v>SidewalkToRoad</v>
      </c>
      <c r="K371" s="10"/>
      <c r="L371" s="5"/>
      <c r="M371" s="5" t="str">
        <v>Corner</v>
      </c>
      <c r="N371" s="10"/>
      <c r="O371" s="10">
        <v>31</v>
      </c>
      <c r="P371" s="5"/>
      <c r="Q371" s="1">
        <f>"World_"&amp;VLOOKUP(G371,'引用列表'!Q:R,2,FALSE)&amp;"_"&amp;G371</f>
      </c>
      <c r="R371" s="1"/>
      <c r="S371" s="9">
        <f>IF(AE371="✅", "/Script/Engine.StaticMesh'/Game/Item/Mesh/Voxel/" &amp; Q371 &amp; "/" &amp; TEXTJOIN("_", TRUE, H371, I371) &amp; "/" &amp; E371 &amp; "." &amp; E371 &amp; "'", "")</f>
      </c>
      <c r="T371" s="5"/>
      <c r="U371" s="5"/>
      <c r="V371" s="5"/>
      <c r="W371" s="5"/>
      <c r="X371" s="5"/>
      <c r="Y371" s="5"/>
      <c r="Z371" s="5"/>
      <c r="AA371" s="5"/>
      <c r="AB371" s="61" t="b">
        <v>0</v>
      </c>
      <c r="AC371" s="5"/>
      <c r="AD371" s="1"/>
      <c r="AE371" s="3"/>
      <c r="AF371" s="1"/>
      <c r="AG371" s="1">
        <f>"MI_" &amp; #REF!</f>
      </c>
      <c r="AH371" s="1">
        <f>"T_" &amp; #REF!</f>
      </c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</row>
    <row r="372">
      <c r="A372" s="4" t="str" xml:space="preserve">
        <v> </v>
      </c>
      <c r="B372" s="14"/>
      <c r="C372" s="14"/>
      <c r="D372" s="14"/>
      <c r="E372" s="4">
        <f>IF(F372="", "", TEXTJOIN("_", TRUE, F372:O372))</f>
      </c>
      <c r="F372" s="5" t="str">
        <v>SM</v>
      </c>
      <c r="G372" s="5" t="str">
        <v>City</v>
      </c>
      <c r="H372" s="5" t="str">
        <v>Ground</v>
      </c>
      <c r="I372" s="5"/>
      <c r="J372" s="5" t="str">
        <v>SidewalkToRoad</v>
      </c>
      <c r="K372" s="10"/>
      <c r="L372" s="5"/>
      <c r="M372" s="5" t="str">
        <v>Hollow</v>
      </c>
      <c r="N372" s="10"/>
      <c r="O372" s="10">
        <v>36</v>
      </c>
      <c r="P372" s="5"/>
      <c r="Q372" s="1">
        <f>"World_"&amp;VLOOKUP(G372,'引用列表'!Q:R,2,FALSE)&amp;"_"&amp;G372</f>
      </c>
      <c r="R372" s="1"/>
      <c r="S372" s="9">
        <f>IF(AE372="✅", "/Script/Engine.StaticMesh'/Game/Item/Mesh/Voxel/" &amp; Q372 &amp; "/" &amp; TEXTJOIN("_", TRUE, H372, I372) &amp; "/" &amp; E372 &amp; "." &amp; E372 &amp; "'", "")</f>
      </c>
      <c r="T372" s="5"/>
      <c r="U372" s="5"/>
      <c r="V372" s="5"/>
      <c r="W372" s="5"/>
      <c r="X372" s="5"/>
      <c r="Y372" s="5"/>
      <c r="Z372" s="5"/>
      <c r="AA372" s="5"/>
      <c r="AB372" s="61" t="b">
        <v>0</v>
      </c>
      <c r="AC372" s="5"/>
      <c r="AD372" s="1"/>
      <c r="AE372" s="3"/>
      <c r="AF372" s="1"/>
      <c r="AG372" s="1">
        <f>"MI_" &amp; #REF!</f>
      </c>
      <c r="AH372" s="1">
        <f>"T_" &amp; #REF!</f>
      </c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</row>
    <row r="373">
      <c r="A373" s="4" t="str" xml:space="preserve">
        <v> </v>
      </c>
      <c r="B373" s="14"/>
      <c r="C373" s="14"/>
      <c r="D373" s="14"/>
      <c r="E373" s="4">
        <f>IF(F373="", "", TEXTJOIN("_", TRUE, F373:O373))</f>
      </c>
      <c r="F373" s="5" t="str">
        <v>SM</v>
      </c>
      <c r="G373" s="5" t="str">
        <v>City</v>
      </c>
      <c r="H373" s="5" t="str">
        <v>Ground</v>
      </c>
      <c r="I373" s="5"/>
      <c r="J373" s="5" t="str">
        <v>SidewalkToRoad</v>
      </c>
      <c r="K373" s="10" t="str">
        <v>SpecialWide</v>
      </c>
      <c r="L373" s="5" t="str">
        <v>L</v>
      </c>
      <c r="M373" s="5" t="str">
        <v>Single</v>
      </c>
      <c r="N373" s="10"/>
      <c r="O373" s="10"/>
      <c r="P373" s="5"/>
      <c r="Q373" s="1">
        <f>"World_"&amp;VLOOKUP(G373,'引用列表'!Q:R,2,FALSE)&amp;"_"&amp;G373</f>
      </c>
      <c r="R373" s="1"/>
      <c r="S373" s="9">
        <f>IF(AE373="✅", "/Script/Engine.StaticMesh'/Game/Item/Mesh/Voxel/" &amp; Q373 &amp; "/" &amp; TEXTJOIN("_", TRUE, H373, I373) &amp; "/" &amp; E373 &amp; "." &amp; E373 &amp; "'", "")</f>
      </c>
      <c r="T373" s="5"/>
      <c r="U373" s="5"/>
      <c r="V373" s="5"/>
      <c r="W373" s="5"/>
      <c r="X373" s="5"/>
      <c r="Y373" s="5"/>
      <c r="Z373" s="5"/>
      <c r="AA373" s="5"/>
      <c r="AB373" s="61" t="b">
        <v>0</v>
      </c>
      <c r="AC373" s="5"/>
      <c r="AD373" s="1"/>
      <c r="AE373" s="3"/>
      <c r="AF373" s="1"/>
      <c r="AG373" s="1">
        <f>"MI_" &amp; #REF!</f>
      </c>
      <c r="AH373" s="1">
        <f>"T_" &amp; #REF!</f>
      </c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</row>
    <row r="374">
      <c r="A374" s="4" t="str" xml:space="preserve">
        <v> </v>
      </c>
      <c r="B374" s="14"/>
      <c r="C374" s="14"/>
      <c r="D374" s="14"/>
      <c r="E374" s="4">
        <f>IF(F374="", "", TEXTJOIN("_", TRUE, F374:O374))</f>
      </c>
      <c r="F374" s="5" t="str">
        <v>SM</v>
      </c>
      <c r="G374" s="1" t="str">
        <v>City</v>
      </c>
      <c r="H374" s="1" t="str">
        <v>Ground</v>
      </c>
      <c r="I374" s="5"/>
      <c r="J374" s="5" t="str">
        <v>SidewalkToRoad</v>
      </c>
      <c r="K374" s="10"/>
      <c r="L374" s="9" t="str">
        <v>RoundCorner</v>
      </c>
      <c r="M374" s="5"/>
      <c r="N374" s="10"/>
      <c r="O374" s="10">
        <v>12</v>
      </c>
      <c r="P374" s="5"/>
      <c r="Q374" s="1">
        <f>"World_"&amp;VLOOKUP(G374,'引用列表'!Q:R,2,FALSE)&amp;"_"&amp;G374</f>
      </c>
      <c r="R374" s="1"/>
      <c r="S374" s="9">
        <f>IF(AE374="✅", "/Script/Engine.StaticMesh'/Game/Item/Mesh/Voxel/" &amp; Q374 &amp; "/" &amp; TEXTJOIN("_", TRUE, H374, I374) &amp; "/" &amp; E374 &amp; "." &amp; E374 &amp; "'", "")</f>
      </c>
      <c r="T374" s="5"/>
      <c r="U374" s="5"/>
      <c r="V374" s="5"/>
      <c r="W374" s="5"/>
      <c r="X374" s="5"/>
      <c r="Y374" s="5"/>
      <c r="Z374" s="5"/>
      <c r="AA374" s="5"/>
      <c r="AB374" s="61" t="b">
        <v>0</v>
      </c>
      <c r="AC374" s="5"/>
      <c r="AD374" s="1"/>
      <c r="AE374" s="3"/>
      <c r="AF374" s="1"/>
      <c r="AG374" s="1">
        <f>"MI_" &amp; #REF!</f>
      </c>
      <c r="AH374" s="1">
        <f>"T_" &amp; #REF!</f>
      </c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</row>
    <row r="375">
      <c r="A375" s="4" t="str" xml:space="preserve">
        <v> </v>
      </c>
      <c r="B375" s="14"/>
      <c r="C375" s="14"/>
      <c r="D375" s="14"/>
      <c r="E375" s="4">
        <f>IF(F375="", "", TEXTJOIN("_", TRUE, F375:O375))</f>
      </c>
      <c r="F375" s="5" t="str">
        <v>SM</v>
      </c>
      <c r="G375" s="1" t="str">
        <v>City</v>
      </c>
      <c r="H375" s="1" t="str">
        <v>Ground</v>
      </c>
      <c r="I375" s="5"/>
      <c r="J375" s="5" t="str">
        <v>SidewalkToRoad</v>
      </c>
      <c r="K375" s="10"/>
      <c r="L375" s="9" t="str">
        <v>RoundCorner</v>
      </c>
      <c r="M375" s="5"/>
      <c r="N375" s="10"/>
      <c r="O375" s="10">
        <v>19</v>
      </c>
      <c r="P375" s="5"/>
      <c r="Q375" s="1">
        <f>"World_"&amp;VLOOKUP(G375,'引用列表'!Q:R,2,FALSE)&amp;"_"&amp;G375</f>
      </c>
      <c r="R375" s="1"/>
      <c r="S375" s="9">
        <f>IF(AE375="✅", "/Script/Engine.StaticMesh'/Game/Item/Mesh/Voxel/" &amp; Q375 &amp; "/" &amp; TEXTJOIN("_", TRUE, H375, I375) &amp; "/" &amp; E375 &amp; "." &amp; E375 &amp; "'", "")</f>
      </c>
      <c r="T375" s="5"/>
      <c r="U375" s="5"/>
      <c r="V375" s="5"/>
      <c r="W375" s="5"/>
      <c r="X375" s="5"/>
      <c r="Y375" s="5"/>
      <c r="Z375" s="5"/>
      <c r="AA375" s="5"/>
      <c r="AB375" s="61" t="b">
        <v>0</v>
      </c>
      <c r="AC375" s="5"/>
      <c r="AD375" s="1"/>
      <c r="AE375" s="3"/>
      <c r="AF375" s="1"/>
      <c r="AG375" s="1">
        <f>"MI_" &amp; #REF!</f>
      </c>
      <c r="AH375" s="1">
        <f>"T_" &amp; #REF!</f>
      </c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</row>
    <row r="376">
      <c r="A376" s="4" t="str" xml:space="preserve">
        <v> </v>
      </c>
      <c r="B376" s="14"/>
      <c r="C376" s="14"/>
      <c r="D376" s="14"/>
      <c r="E376" s="4">
        <f>IF(F376="", "", TEXTJOIN("_", TRUE, F376:O376))</f>
      </c>
      <c r="F376" s="5" t="str">
        <v>SM</v>
      </c>
      <c r="G376" s="1" t="str">
        <v>City</v>
      </c>
      <c r="H376" s="1" t="str">
        <v>Ground</v>
      </c>
      <c r="I376" s="5"/>
      <c r="J376" s="5" t="str">
        <v>SidewalkToRoad</v>
      </c>
      <c r="K376" s="10"/>
      <c r="L376" s="9" t="str">
        <v>RoundCorner</v>
      </c>
      <c r="M376" s="5"/>
      <c r="N376" s="10"/>
      <c r="O376" s="10">
        <v>20</v>
      </c>
      <c r="P376" s="5"/>
      <c r="Q376" s="1">
        <f>"World_"&amp;VLOOKUP(G376,'引用列表'!Q:R,2,FALSE)&amp;"_"&amp;G376</f>
      </c>
      <c r="R376" s="1"/>
      <c r="S376" s="9">
        <f>IF(AE376="✅", "/Script/Engine.StaticMesh'/Game/Item/Mesh/Voxel/" &amp; Q376 &amp; "/" &amp; TEXTJOIN("_", TRUE, H376, I376) &amp; "/" &amp; E376 &amp; "." &amp; E376 &amp; "'", "")</f>
      </c>
      <c r="T376" s="5"/>
      <c r="U376" s="5"/>
      <c r="V376" s="5"/>
      <c r="W376" s="5"/>
      <c r="X376" s="5"/>
      <c r="Y376" s="5"/>
      <c r="Z376" s="5"/>
      <c r="AA376" s="5"/>
      <c r="AB376" s="61" t="b">
        <v>0</v>
      </c>
      <c r="AC376" s="5"/>
      <c r="AD376" s="1"/>
      <c r="AE376" s="3"/>
      <c r="AF376" s="1"/>
      <c r="AG376" s="1">
        <f>"MI_" &amp; #REF!</f>
      </c>
      <c r="AH376" s="1">
        <f>"T_" &amp; #REF!</f>
      </c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</row>
    <row r="377">
      <c r="A377" s="4" t="str" xml:space="preserve">
        <v> </v>
      </c>
      <c r="B377" s="14"/>
      <c r="C377" s="14"/>
      <c r="D377" s="14"/>
      <c r="E377" s="4">
        <f>IF(F377="", "", TEXTJOIN("_", TRUE, F377:O377))</f>
      </c>
      <c r="F377" s="5" t="str">
        <v>SM</v>
      </c>
      <c r="G377" s="1" t="str">
        <v>City</v>
      </c>
      <c r="H377" s="1" t="str">
        <v>Ground</v>
      </c>
      <c r="I377" s="5"/>
      <c r="J377" s="5" t="str">
        <v>SidewalkToRoad</v>
      </c>
      <c r="K377" s="10"/>
      <c r="L377" s="9" t="str">
        <v>RoundCorner</v>
      </c>
      <c r="M377" s="5"/>
      <c r="N377" s="10"/>
      <c r="O377" s="10">
        <v>21</v>
      </c>
      <c r="P377" s="5"/>
      <c r="Q377" s="1">
        <f>"World_"&amp;VLOOKUP(G377,'引用列表'!Q:R,2,FALSE)&amp;"_"&amp;G377</f>
      </c>
      <c r="R377" s="1"/>
      <c r="S377" s="9">
        <f>IF(AE377="✅", "/Script/Engine.StaticMesh'/Game/Item/Mesh/Voxel/" &amp; Q377 &amp; "/" &amp; TEXTJOIN("_", TRUE, H377, I377) &amp; "/" &amp; E377 &amp; "." &amp; E377 &amp; "'", "")</f>
      </c>
      <c r="T377" s="5"/>
      <c r="U377" s="5"/>
      <c r="V377" s="5"/>
      <c r="W377" s="5"/>
      <c r="X377" s="5"/>
      <c r="Y377" s="5"/>
      <c r="Z377" s="5"/>
      <c r="AA377" s="5"/>
      <c r="AB377" s="61" t="b">
        <v>0</v>
      </c>
      <c r="AC377" s="5"/>
      <c r="AD377" s="1"/>
      <c r="AE377" s="3"/>
      <c r="AF377" s="1"/>
      <c r="AG377" s="1">
        <f>"MI_" &amp; #REF!</f>
      </c>
      <c r="AH377" s="1">
        <f>"T_" &amp; #REF!</f>
      </c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</row>
    <row r="378">
      <c r="A378" s="4" t="str" xml:space="preserve">
        <v> </v>
      </c>
      <c r="B378" s="14"/>
      <c r="C378" s="14"/>
      <c r="D378" s="14"/>
      <c r="E378" s="4">
        <f>IF(F378="", "", TEXTJOIN("_", TRUE, F378:O378))</f>
      </c>
      <c r="F378" s="5" t="str">
        <v>SM</v>
      </c>
      <c r="G378" s="1" t="str">
        <v>City</v>
      </c>
      <c r="H378" s="1" t="str">
        <v>Ground</v>
      </c>
      <c r="I378" s="5"/>
      <c r="J378" s="5" t="str">
        <v>SidewalkToRoad</v>
      </c>
      <c r="K378" s="10"/>
      <c r="L378" s="9" t="str">
        <v>RoundCorner</v>
      </c>
      <c r="M378" s="5"/>
      <c r="N378" s="10"/>
      <c r="O378" s="10">
        <v>22</v>
      </c>
      <c r="P378" s="5"/>
      <c r="Q378" s="1">
        <f>"World_"&amp;VLOOKUP(G378,'引用列表'!Q:R,2,FALSE)&amp;"_"&amp;G378</f>
      </c>
      <c r="R378" s="1"/>
      <c r="S378" s="9">
        <f>IF(AE378="✅", "/Script/Engine.StaticMesh'/Game/Item/Mesh/Voxel/" &amp; Q378 &amp; "/" &amp; TEXTJOIN("_", TRUE, H378, I378) &amp; "/" &amp; E378 &amp; "." &amp; E378 &amp; "'", "")</f>
      </c>
      <c r="T378" s="5"/>
      <c r="U378" s="5"/>
      <c r="V378" s="5"/>
      <c r="W378" s="5"/>
      <c r="X378" s="5"/>
      <c r="Y378" s="5"/>
      <c r="Z378" s="5"/>
      <c r="AA378" s="5"/>
      <c r="AB378" s="61" t="b">
        <v>0</v>
      </c>
      <c r="AC378" s="5"/>
      <c r="AD378" s="1"/>
      <c r="AE378" s="3"/>
      <c r="AF378" s="1"/>
      <c r="AG378" s="1">
        <f>"MI_" &amp; #REF!</f>
      </c>
      <c r="AH378" s="1">
        <f>"T_" &amp; #REF!</f>
      </c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</row>
    <row r="379">
      <c r="A379" s="4" t="str" xml:space="preserve">
        <v> </v>
      </c>
      <c r="B379" s="14"/>
      <c r="C379" s="14"/>
      <c r="D379" s="14"/>
      <c r="E379" s="4">
        <f>IF(F379="", "", TEXTJOIN("_", TRUE, F379:O379))</f>
      </c>
      <c r="F379" s="5" t="str">
        <v>SM</v>
      </c>
      <c r="G379" s="1" t="str">
        <v>City</v>
      </c>
      <c r="H379" s="1" t="str">
        <v>Ground</v>
      </c>
      <c r="I379" s="5"/>
      <c r="J379" s="5" t="str">
        <v>SidewalkToRoad</v>
      </c>
      <c r="K379" s="10"/>
      <c r="L379" s="9" t="str">
        <v>RoundCorner</v>
      </c>
      <c r="M379" s="5"/>
      <c r="N379" s="10"/>
      <c r="O379" s="10">
        <v>91</v>
      </c>
      <c r="P379" s="5"/>
      <c r="Q379" s="1">
        <f>"World_"&amp;VLOOKUP(G379,'引用列表'!Q:R,2,FALSE)&amp;"_"&amp;G379</f>
      </c>
      <c r="R379" s="1"/>
      <c r="S379" s="9">
        <f>IF(AE379="✅", "/Script/Engine.StaticMesh'/Game/Item/Mesh/Voxel/" &amp; Q379 &amp; "/" &amp; TEXTJOIN("_", TRUE, H379, I379) &amp; "/" &amp; E379 &amp; "." &amp; E379 &amp; "'", "")</f>
      </c>
      <c r="T379" s="5"/>
      <c r="U379" s="5"/>
      <c r="V379" s="5"/>
      <c r="W379" s="5"/>
      <c r="X379" s="5"/>
      <c r="Y379" s="5"/>
      <c r="Z379" s="5"/>
      <c r="AA379" s="5"/>
      <c r="AB379" s="61" t="b">
        <v>0</v>
      </c>
      <c r="AC379" s="5"/>
      <c r="AD379" s="1"/>
      <c r="AE379" s="3"/>
      <c r="AF379" s="1"/>
      <c r="AG379" s="1">
        <f>"MI_" &amp; #REF!</f>
      </c>
      <c r="AH379" s="1">
        <f>"T_" &amp; #REF!</f>
      </c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</row>
    <row r="380">
      <c r="A380" s="4" t="str" xml:space="preserve">
        <v> </v>
      </c>
      <c r="B380" s="14"/>
      <c r="C380" s="14"/>
      <c r="D380" s="14"/>
      <c r="E380" s="4">
        <f>IF(F380="", "", TEXTJOIN("_", TRUE, F380:O380))</f>
      </c>
      <c r="F380" s="5" t="str">
        <v>SM</v>
      </c>
      <c r="G380" s="1" t="str">
        <v>City</v>
      </c>
      <c r="H380" s="1" t="str">
        <v>Ground</v>
      </c>
      <c r="I380" s="5"/>
      <c r="J380" s="5" t="str">
        <v>SidewalkToRoad</v>
      </c>
      <c r="K380" s="10" t="str">
        <v>EndHole</v>
      </c>
      <c r="L380" s="9" t="str">
        <v>RoundCorner</v>
      </c>
      <c r="M380" s="5"/>
      <c r="N380" s="10"/>
      <c r="O380" s="10">
        <v>7</v>
      </c>
      <c r="P380" s="5"/>
      <c r="Q380" s="1">
        <f>"World_"&amp;VLOOKUP(G380,'引用列表'!Q:R,2,FALSE)&amp;"_"&amp;G380</f>
      </c>
      <c r="R380" s="1"/>
      <c r="S380" s="9">
        <f>IF(AE380="✅", "/Script/Engine.StaticMesh'/Game/Item/Mesh/Voxel/" &amp; Q380 &amp; "/" &amp; TEXTJOIN("_", TRUE, H380, I380) &amp; "/" &amp; E380 &amp; "." &amp; E380 &amp; "'", "")</f>
      </c>
      <c r="T380" s="5"/>
      <c r="U380" s="5"/>
      <c r="V380" s="5"/>
      <c r="W380" s="5"/>
      <c r="X380" s="5"/>
      <c r="Y380" s="5"/>
      <c r="Z380" s="5"/>
      <c r="AA380" s="5"/>
      <c r="AB380" s="61" t="b">
        <v>0</v>
      </c>
      <c r="AC380" s="5"/>
      <c r="AD380" s="1"/>
      <c r="AE380" s="3"/>
      <c r="AF380" s="1"/>
      <c r="AG380" s="1">
        <f>"MI_" &amp; #REF!</f>
      </c>
      <c r="AH380" s="1">
        <f>"T_" &amp; #REF!</f>
      </c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</row>
    <row r="381">
      <c r="A381" s="4" t="str" xml:space="preserve">
        <v> </v>
      </c>
      <c r="B381" s="14"/>
      <c r="C381" s="14"/>
      <c r="D381" s="14"/>
      <c r="E381" s="4">
        <f>IF(F381="", "", TEXTJOIN("_", TRUE, F381:O381))</f>
      </c>
      <c r="F381" s="5" t="str">
        <v>SM</v>
      </c>
      <c r="G381" s="5" t="str">
        <v>City</v>
      </c>
      <c r="H381" s="5" t="str">
        <v>Ground</v>
      </c>
      <c r="I381" s="5"/>
      <c r="J381" s="5" t="str">
        <v>SidewalkToRoad</v>
      </c>
      <c r="K381" s="10"/>
      <c r="L381" s="5"/>
      <c r="M381" s="5" t="str">
        <v>Single</v>
      </c>
      <c r="N381" s="10"/>
      <c r="O381" s="10">
        <v>124</v>
      </c>
      <c r="P381" s="5"/>
      <c r="Q381" s="1">
        <f>"World_"&amp;VLOOKUP(G381,'引用列表'!Q:R,2,FALSE)&amp;"_"&amp;G381</f>
      </c>
      <c r="R381" s="1"/>
      <c r="S381" s="9">
        <f>IF(AE381="✅", "/Script/Engine.StaticMesh'/Game/Item/Mesh/Voxel/" &amp; Q381 &amp; "/" &amp; TEXTJOIN("_", TRUE, H381, I381) &amp; "/" &amp; E381 &amp; "." &amp; E381 &amp; "'", "")</f>
      </c>
      <c r="T381" s="5"/>
      <c r="U381" s="5"/>
      <c r="V381" s="5"/>
      <c r="W381" s="5"/>
      <c r="X381" s="5"/>
      <c r="Y381" s="5"/>
      <c r="Z381" s="5"/>
      <c r="AA381" s="5"/>
      <c r="AB381" s="61" t="b">
        <v>0</v>
      </c>
      <c r="AC381" s="5"/>
      <c r="AD381" s="1"/>
      <c r="AE381" s="3"/>
      <c r="AF381" s="1"/>
      <c r="AG381" s="1">
        <f>"MI_" &amp; #REF!</f>
      </c>
      <c r="AH381" s="1">
        <f>"T_" &amp; #REF!</f>
      </c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</row>
    <row r="382">
      <c r="A382" s="4" t="str" xml:space="preserve">
        <v> </v>
      </c>
      <c r="B382" s="14"/>
      <c r="C382" s="14"/>
      <c r="D382" s="14"/>
      <c r="E382" s="4">
        <f>IF(F382="", "", TEXTJOIN("_", TRUE, F382:O382))</f>
      </c>
      <c r="F382" s="5" t="str">
        <v>SM</v>
      </c>
      <c r="G382" s="5" t="str">
        <v>City</v>
      </c>
      <c r="H382" s="5" t="str">
        <v>Ground</v>
      </c>
      <c r="I382" s="5"/>
      <c r="J382" s="5" t="str">
        <v>SidewalkToRoad</v>
      </c>
      <c r="K382" s="10"/>
      <c r="L382" s="5"/>
      <c r="M382" s="5" t="str">
        <v>Single</v>
      </c>
      <c r="N382" s="10"/>
      <c r="O382" s="10">
        <v>201</v>
      </c>
      <c r="P382" s="5"/>
      <c r="Q382" s="1">
        <f>"World_"&amp;VLOOKUP(G382,'引用列表'!Q:R,2,FALSE)&amp;"_"&amp;G382</f>
      </c>
      <c r="R382" s="1"/>
      <c r="S382" s="9">
        <f>IF(AE382="✅", "/Script/Engine.StaticMesh'/Game/Item/Mesh/Voxel/" &amp; Q382 &amp; "/" &amp; TEXTJOIN("_", TRUE, H382, I382) &amp; "/" &amp; E382 &amp; "." &amp; E382 &amp; "'", "")</f>
      </c>
      <c r="T382" s="5"/>
      <c r="U382" s="5"/>
      <c r="V382" s="5"/>
      <c r="W382" s="5"/>
      <c r="X382" s="5"/>
      <c r="Y382" s="5"/>
      <c r="Z382" s="5"/>
      <c r="AA382" s="5"/>
      <c r="AB382" s="61" t="b">
        <v>0</v>
      </c>
      <c r="AC382" s="5"/>
      <c r="AD382" s="1"/>
      <c r="AE382" s="3"/>
      <c r="AF382" s="1"/>
      <c r="AG382" s="1">
        <f>"MI_" &amp; #REF!</f>
      </c>
      <c r="AH382" s="1">
        <f>"T_" &amp; #REF!</f>
      </c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</row>
    <row r="383">
      <c r="A383" s="4" t="str" xml:space="preserve">
        <v> </v>
      </c>
      <c r="B383" s="14"/>
      <c r="C383" s="14"/>
      <c r="D383" s="14"/>
      <c r="E383" s="4">
        <f>IF(F383="", "", TEXTJOIN("_", TRUE, F383:O383))</f>
      </c>
      <c r="F383" s="5" t="str">
        <v>SM</v>
      </c>
      <c r="G383" s="5" t="str">
        <v>City</v>
      </c>
      <c r="H383" s="5" t="str">
        <v>Ground</v>
      </c>
      <c r="I383" s="5"/>
      <c r="J383" s="5" t="str">
        <v>SidewalkToRoad</v>
      </c>
      <c r="K383" s="10"/>
      <c r="L383" s="5"/>
      <c r="M383" s="5" t="str">
        <v>Single</v>
      </c>
      <c r="N383" s="10"/>
      <c r="O383" s="10">
        <v>32</v>
      </c>
      <c r="P383" s="5"/>
      <c r="Q383" s="1">
        <f>"World_"&amp;VLOOKUP(G383,'引用列表'!Q:R,2,FALSE)&amp;"_"&amp;G383</f>
      </c>
      <c r="R383" s="1"/>
      <c r="S383" s="9">
        <f>IF(AE383="✅", "/Script/Engine.StaticMesh'/Game/Item/Mesh/Voxel/" &amp; Q383 &amp; "/" &amp; TEXTJOIN("_", TRUE, H383, I383) &amp; "/" &amp; E383 &amp; "." &amp; E383 &amp; "'", "")</f>
      </c>
      <c r="T383" s="5"/>
      <c r="U383" s="5"/>
      <c r="V383" s="5"/>
      <c r="W383" s="5"/>
      <c r="X383" s="5"/>
      <c r="Y383" s="5"/>
      <c r="Z383" s="5"/>
      <c r="AA383" s="5"/>
      <c r="AB383" s="61" t="b">
        <v>0</v>
      </c>
      <c r="AC383" s="5"/>
      <c r="AD383" s="1"/>
      <c r="AE383" s="3"/>
      <c r="AF383" s="1"/>
      <c r="AG383" s="1">
        <f>"MI_" &amp; #REF!</f>
      </c>
      <c r="AH383" s="1">
        <f>"T_" &amp; #REF!</f>
      </c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</row>
    <row r="384">
      <c r="A384" s="4" t="str" xml:space="preserve">
        <v> </v>
      </c>
      <c r="B384" s="14"/>
      <c r="C384" s="14"/>
      <c r="D384" s="14"/>
      <c r="E384" s="4">
        <f>IF(F384="", "", TEXTJOIN("_", TRUE, F384:O384))</f>
      </c>
      <c r="F384" s="5" t="str">
        <v>SM</v>
      </c>
      <c r="G384" s="5" t="str">
        <v>City</v>
      </c>
      <c r="H384" s="5" t="str">
        <v>Ground</v>
      </c>
      <c r="I384" s="5"/>
      <c r="J384" s="5" t="str">
        <v>SidewalkToRoad</v>
      </c>
      <c r="K384" s="10"/>
      <c r="L384" s="5" t="str">
        <v>T</v>
      </c>
      <c r="M384" s="5" t="str">
        <v>Hollow</v>
      </c>
      <c r="N384" s="10"/>
      <c r="O384" s="10">
        <v>261</v>
      </c>
      <c r="P384" s="5"/>
      <c r="Q384" s="1">
        <f>"World_"&amp;VLOOKUP(G384,'引用列表'!Q:R,2,FALSE)&amp;"_"&amp;G384</f>
      </c>
      <c r="R384" s="1"/>
      <c r="S384" s="9">
        <f>IF(AE384="✅", "/Script/Engine.StaticMesh'/Game/Item/Mesh/Voxel/" &amp; Q384 &amp; "/" &amp; TEXTJOIN("_", TRUE, H384, I384) &amp; "/" &amp; E384 &amp; "." &amp; E384 &amp; "'", "")</f>
      </c>
      <c r="T384" s="5"/>
      <c r="U384" s="5"/>
      <c r="V384" s="5"/>
      <c r="W384" s="5"/>
      <c r="X384" s="5"/>
      <c r="Y384" s="5"/>
      <c r="Z384" s="5"/>
      <c r="AA384" s="5"/>
      <c r="AB384" s="61" t="b">
        <v>0</v>
      </c>
      <c r="AC384" s="5"/>
      <c r="AD384" s="1"/>
      <c r="AE384" s="3"/>
      <c r="AF384" s="1"/>
      <c r="AG384" s="1">
        <f>"MI_" &amp; #REF!</f>
      </c>
      <c r="AH384" s="1">
        <f>"T_" &amp; #REF!</f>
      </c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</row>
    <row r="385">
      <c r="A385" s="4" t="str" xml:space="preserve">
        <v> </v>
      </c>
      <c r="B385" s="14"/>
      <c r="C385" s="14"/>
      <c r="D385" s="14"/>
      <c r="E385" s="4">
        <f>IF(F385="", "", TEXTJOIN("_", TRUE, F385:O385))</f>
      </c>
      <c r="F385" s="5" t="str">
        <v>SM</v>
      </c>
      <c r="G385" s="5" t="str">
        <v>City</v>
      </c>
      <c r="H385" s="5" t="str">
        <v>Ground</v>
      </c>
      <c r="I385" s="5"/>
      <c r="J385" s="5" t="str">
        <v>SidewalkToRoad</v>
      </c>
      <c r="K385" s="10" t="str">
        <v>HalfWidth</v>
      </c>
      <c r="L385" s="5" t="str">
        <v>T</v>
      </c>
      <c r="M385" s="5" t="str">
        <v>Single</v>
      </c>
      <c r="N385" s="10"/>
      <c r="O385" s="10">
        <v>213</v>
      </c>
      <c r="P385" s="5"/>
      <c r="Q385" s="1">
        <f>"World_"&amp;VLOOKUP(G385,'引用列表'!Q:R,2,FALSE)&amp;"_"&amp;G385</f>
      </c>
      <c r="R385" s="1"/>
      <c r="S385" s="9">
        <f>IF(AE385="✅", "/Script/Engine.StaticMesh'/Game/Item/Mesh/Voxel/" &amp; Q385 &amp; "/" &amp; TEXTJOIN("_", TRUE, H385, I385) &amp; "/" &amp; E385 &amp; "." &amp; E385 &amp; "'", "")</f>
      </c>
      <c r="T385" s="5"/>
      <c r="U385" s="5"/>
      <c r="V385" s="5"/>
      <c r="W385" s="5"/>
      <c r="X385" s="5"/>
      <c r="Y385" s="5"/>
      <c r="Z385" s="5"/>
      <c r="AA385" s="5"/>
      <c r="AB385" s="61" t="b">
        <v>0</v>
      </c>
      <c r="AC385" s="5"/>
      <c r="AD385" s="1"/>
      <c r="AE385" s="3"/>
      <c r="AF385" s="1"/>
      <c r="AG385" s="1">
        <f>"MI_" &amp; #REF!</f>
      </c>
      <c r="AH385" s="1">
        <f>"T_" &amp; #REF!</f>
      </c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</row>
    <row r="386">
      <c r="A386" s="4" t="str" xml:space="preserve">
        <v> </v>
      </c>
      <c r="B386" s="14"/>
      <c r="C386" s="14"/>
      <c r="D386" s="14"/>
      <c r="E386" s="4">
        <f>IF(F386="", "", TEXTJOIN("_", TRUE, F386:O386))</f>
      </c>
      <c r="F386" s="5" t="str">
        <v>SM</v>
      </c>
      <c r="G386" s="5" t="str">
        <v>City</v>
      </c>
      <c r="H386" s="5" t="str">
        <v>Ground</v>
      </c>
      <c r="I386" s="5"/>
      <c r="J386" s="5" t="str">
        <v>SidewalkToRoad</v>
      </c>
      <c r="K386" s="10"/>
      <c r="L386" s="5" t="str">
        <v>TR</v>
      </c>
      <c r="M386" s="5" t="str">
        <v>Hollow</v>
      </c>
      <c r="N386" s="10"/>
      <c r="O386" s="10">
        <v>206</v>
      </c>
      <c r="P386" s="5"/>
      <c r="Q386" s="1">
        <f>"World_"&amp;VLOOKUP(G386,'引用列表'!Q:R,2,FALSE)&amp;"_"&amp;G386</f>
      </c>
      <c r="R386" s="1"/>
      <c r="S386" s="9">
        <f>IF(AE386="✅", "/Script/Engine.StaticMesh'/Game/Item/Mesh/Voxel/" &amp; Q386 &amp; "/" &amp; TEXTJOIN("_", TRUE, H386, I386) &amp; "/" &amp; E386 &amp; "." &amp; E386 &amp; "'", "")</f>
      </c>
      <c r="T386" s="5"/>
      <c r="U386" s="5"/>
      <c r="V386" s="5"/>
      <c r="W386" s="5"/>
      <c r="X386" s="5"/>
      <c r="Y386" s="5"/>
      <c r="Z386" s="5"/>
      <c r="AA386" s="5"/>
      <c r="AB386" s="61" t="b">
        <v>0</v>
      </c>
      <c r="AC386" s="5"/>
      <c r="AD386" s="1"/>
      <c r="AE386" s="3"/>
      <c r="AF386" s="1"/>
      <c r="AG386" s="1">
        <f>"MI_" &amp; #REF!</f>
      </c>
      <c r="AH386" s="1">
        <f>"T_" &amp; #REF!</f>
      </c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</row>
    <row r="387">
      <c r="A387" s="4" t="str" xml:space="preserve">
        <v> </v>
      </c>
      <c r="B387" s="14"/>
      <c r="C387" s="14"/>
      <c r="D387" s="14"/>
      <c r="E387" s="4">
        <f>IF(F387="", "", TEXTJOIN("_", TRUE, F387:O387))</f>
      </c>
      <c r="F387" s="5" t="str">
        <v>SM</v>
      </c>
      <c r="G387" s="5" t="str">
        <v>City</v>
      </c>
      <c r="H387" s="5" t="str">
        <v>Ground</v>
      </c>
      <c r="I387" s="5"/>
      <c r="J387" s="5" t="str">
        <v>SidewalkToRoad</v>
      </c>
      <c r="K387" s="10"/>
      <c r="L387" s="5" t="str">
        <v>TR</v>
      </c>
      <c r="M387" s="5" t="str">
        <v>Single</v>
      </c>
      <c r="N387" s="10"/>
      <c r="O387" s="10">
        <v>206</v>
      </c>
      <c r="P387" s="5"/>
      <c r="Q387" s="1">
        <f>"World_"&amp;VLOOKUP(G387,'引用列表'!Q:R,2,FALSE)&amp;"_"&amp;G387</f>
      </c>
      <c r="R387" s="1"/>
      <c r="S387" s="9">
        <f>IF(AE387="✅", "/Script/Engine.StaticMesh'/Game/Item/Mesh/Voxel/" &amp; Q387 &amp; "/" &amp; TEXTJOIN("_", TRUE, H387, I387) &amp; "/" &amp; E387 &amp; "." &amp; E387 &amp; "'", "")</f>
      </c>
      <c r="T387" s="5"/>
      <c r="U387" s="5"/>
      <c r="V387" s="5"/>
      <c r="W387" s="5"/>
      <c r="X387" s="5"/>
      <c r="Y387" s="5"/>
      <c r="Z387" s="5"/>
      <c r="AA387" s="5"/>
      <c r="AB387" s="61" t="b">
        <v>0</v>
      </c>
      <c r="AC387" s="5"/>
      <c r="AD387" s="1"/>
      <c r="AE387" s="3"/>
      <c r="AF387" s="1"/>
      <c r="AG387" s="1">
        <f>"MI_" &amp; #REF!</f>
      </c>
      <c r="AH387" s="1">
        <f>"T_" &amp; #REF!</f>
      </c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</row>
    <row r="388">
      <c r="A388" s="4" t="str" xml:space="preserve">
        <v> </v>
      </c>
      <c r="B388" s="14"/>
      <c r="C388" s="14"/>
      <c r="D388" s="14"/>
      <c r="E388" s="4">
        <f>IF(F388="", "", TEXTJOIN("_", TRUE, F388:O388))</f>
      </c>
      <c r="F388" s="5" t="str">
        <v>SM</v>
      </c>
      <c r="G388" s="5" t="str">
        <v>City</v>
      </c>
      <c r="H388" s="5" t="str">
        <v>RailHole</v>
      </c>
      <c r="I388" s="5"/>
      <c r="J388" s="5" t="str">
        <v>Grass</v>
      </c>
      <c r="K388" s="10"/>
      <c r="L388" s="5" t="str">
        <v>BL</v>
      </c>
      <c r="M388" s="5" t="str">
        <v>Single</v>
      </c>
      <c r="N388" s="10"/>
      <c r="O388" s="10">
        <v>1</v>
      </c>
      <c r="P388" s="5"/>
      <c r="Q388" s="1">
        <f>"World_"&amp;VLOOKUP(G388,'引用列表'!Q:R,2,FALSE)&amp;"_"&amp;G388</f>
      </c>
      <c r="R388" s="1"/>
      <c r="S388" s="9">
        <f>IF(AE388="✅", "/Script/Engine.StaticMesh'/Game/Item/Mesh/Voxel/" &amp; Q388 &amp; "/" &amp; TEXTJOIN("_", TRUE, H388, I388) &amp; "/" &amp; E388 &amp; "." &amp; E388 &amp; "'", "")</f>
      </c>
      <c r="T388" s="5"/>
      <c r="U388" s="5"/>
      <c r="V388" s="5"/>
      <c r="W388" s="5"/>
      <c r="X388" s="5"/>
      <c r="Y388" s="5"/>
      <c r="Z388" s="5"/>
      <c r="AA388" s="5"/>
      <c r="AB388" s="61" t="b">
        <v>0</v>
      </c>
      <c r="AC388" s="5"/>
      <c r="AD388" s="1"/>
      <c r="AE388" s="3"/>
      <c r="AF388" s="1"/>
      <c r="AG388" s="1">
        <f>"MI_" &amp; #REF!</f>
      </c>
      <c r="AH388" s="1">
        <f>"T_" &amp; #REF!</f>
      </c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</row>
    <row r="389">
      <c r="A389" s="4" t="str" xml:space="preserve">
        <v> </v>
      </c>
      <c r="B389" s="14"/>
      <c r="C389" s="14"/>
      <c r="D389" s="14"/>
      <c r="E389" s="4">
        <f>IF(F389="", "", TEXTJOIN("_", TRUE, F389:O389))</f>
      </c>
      <c r="F389" s="5" t="str">
        <v>SM</v>
      </c>
      <c r="G389" s="5" t="str">
        <v>City</v>
      </c>
      <c r="H389" s="5" t="str">
        <v>RailHole</v>
      </c>
      <c r="I389" s="5"/>
      <c r="J389" s="5" t="str">
        <v>Grass</v>
      </c>
      <c r="K389" s="10"/>
      <c r="L389" s="5" t="str">
        <v>BL</v>
      </c>
      <c r="M389" s="5" t="str">
        <v>Single</v>
      </c>
      <c r="N389" s="10"/>
      <c r="O389" s="10">
        <v>7</v>
      </c>
      <c r="P389" s="5"/>
      <c r="Q389" s="1">
        <f>"World_"&amp;VLOOKUP(G389,'引用列表'!Q:R,2,FALSE)&amp;"_"&amp;G389</f>
      </c>
      <c r="R389" s="1"/>
      <c r="S389" s="9">
        <f>IF(AE389="✅", "/Script/Engine.StaticMesh'/Game/Item/Mesh/Voxel/" &amp; Q389 &amp; "/" &amp; TEXTJOIN("_", TRUE, H389, I389) &amp; "/" &amp; E389 &amp; "." &amp; E389 &amp; "'", "")</f>
      </c>
      <c r="T389" s="5"/>
      <c r="U389" s="5"/>
      <c r="V389" s="5"/>
      <c r="W389" s="5"/>
      <c r="X389" s="5"/>
      <c r="Y389" s="5"/>
      <c r="Z389" s="5"/>
      <c r="AA389" s="5"/>
      <c r="AB389" s="61" t="b">
        <v>0</v>
      </c>
      <c r="AC389" s="5"/>
      <c r="AD389" s="1"/>
      <c r="AE389" s="3"/>
      <c r="AF389" s="1"/>
      <c r="AG389" s="1">
        <f>"MI_" &amp; #REF!</f>
      </c>
      <c r="AH389" s="1">
        <f>"T_" &amp; #REF!</f>
      </c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</row>
    <row r="390">
      <c r="A390" s="4" t="str" xml:space="preserve">
        <v> </v>
      </c>
      <c r="B390" s="14"/>
      <c r="C390" s="14"/>
      <c r="D390" s="14"/>
      <c r="E390" s="4">
        <f>IF(F390="", "", TEXTJOIN("_", TRUE, F390:O390))</f>
      </c>
      <c r="F390" s="5" t="str">
        <v>SM</v>
      </c>
      <c r="G390" s="5" t="str">
        <v>City</v>
      </c>
      <c r="H390" s="5" t="str">
        <v>RailHole</v>
      </c>
      <c r="I390" s="5"/>
      <c r="J390" s="5" t="str">
        <v>Road</v>
      </c>
      <c r="K390" s="10"/>
      <c r="L390" s="5" t="str">
        <v>BL</v>
      </c>
      <c r="M390" s="5" t="str">
        <v>Single</v>
      </c>
      <c r="N390" s="10"/>
      <c r="O390" s="10">
        <v>29</v>
      </c>
      <c r="P390" s="5"/>
      <c r="Q390" s="1">
        <f>"World_"&amp;VLOOKUP(G390,'引用列表'!Q:R,2,FALSE)&amp;"_"&amp;G390</f>
      </c>
      <c r="R390" s="1"/>
      <c r="S390" s="9">
        <f>IF(AE390="✅", "/Script/Engine.StaticMesh'/Game/Item/Mesh/Voxel/" &amp; Q390 &amp; "/" &amp; TEXTJOIN("_", TRUE, H390, I390) &amp; "/" &amp; E390 &amp; "." &amp; E390 &amp; "'", "")</f>
      </c>
      <c r="T390" s="5"/>
      <c r="U390" s="5"/>
      <c r="V390" s="5"/>
      <c r="W390" s="5"/>
      <c r="X390" s="5"/>
      <c r="Y390" s="5"/>
      <c r="Z390" s="5"/>
      <c r="AA390" s="5"/>
      <c r="AB390" s="61" t="b">
        <v>0</v>
      </c>
      <c r="AC390" s="5"/>
      <c r="AD390" s="1"/>
      <c r="AE390" s="3"/>
      <c r="AF390" s="1"/>
      <c r="AG390" s="1">
        <f>"MI_" &amp; #REF!</f>
      </c>
      <c r="AH390" s="1">
        <f>"T_" &amp; #REF!</f>
      </c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</row>
    <row r="391">
      <c r="A391" s="4" t="str" xml:space="preserve">
        <v> </v>
      </c>
      <c r="B391" s="14"/>
      <c r="C391" s="14"/>
      <c r="D391" s="14"/>
      <c r="E391" s="4">
        <f>IF(F391="", "", TEXTJOIN("_", TRUE, F391:O391))</f>
      </c>
      <c r="F391" s="5" t="str">
        <v>SM</v>
      </c>
      <c r="G391" s="5" t="str">
        <v>City</v>
      </c>
      <c r="H391" s="5" t="str">
        <v>RailHole</v>
      </c>
      <c r="I391" s="5"/>
      <c r="J391" s="5" t="str">
        <v>Road</v>
      </c>
      <c r="K391" s="10"/>
      <c r="L391" s="5" t="str">
        <v>BL</v>
      </c>
      <c r="M391" s="5" t="str">
        <v>Single</v>
      </c>
      <c r="N391" s="10"/>
      <c r="O391" s="10">
        <v>37</v>
      </c>
      <c r="P391" s="5"/>
      <c r="Q391" s="1">
        <f>"World_"&amp;VLOOKUP(G391,'引用列表'!Q:R,2,FALSE)&amp;"_"&amp;G391</f>
      </c>
      <c r="R391" s="1"/>
      <c r="S391" s="9">
        <f>IF(AE391="✅", "/Script/Engine.StaticMesh'/Game/Item/Mesh/Voxel/" &amp; Q391 &amp; "/" &amp; TEXTJOIN("_", TRUE, H391, I391) &amp; "/" &amp; E391 &amp; "." &amp; E391 &amp; "'", "")</f>
      </c>
      <c r="T391" s="5"/>
      <c r="U391" s="5"/>
      <c r="V391" s="5"/>
      <c r="W391" s="5"/>
      <c r="X391" s="5"/>
      <c r="Y391" s="5"/>
      <c r="Z391" s="5"/>
      <c r="AA391" s="5"/>
      <c r="AB391" s="61" t="b">
        <v>0</v>
      </c>
      <c r="AC391" s="5"/>
      <c r="AD391" s="1"/>
      <c r="AE391" s="3"/>
      <c r="AF391" s="1"/>
      <c r="AG391" s="1">
        <f>"MI_" &amp; #REF!</f>
      </c>
      <c r="AH391" s="1">
        <f>"T_" &amp; #REF!</f>
      </c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</row>
    <row r="392">
      <c r="A392" s="4" t="str" xml:space="preserve">
        <v> </v>
      </c>
      <c r="B392" s="14"/>
      <c r="C392" s="14"/>
      <c r="D392" s="14"/>
      <c r="E392" s="4">
        <f>IF(F392="", "", TEXTJOIN("_", TRUE, F392:O392))</f>
      </c>
      <c r="F392" s="5" t="str">
        <v>SM</v>
      </c>
      <c r="G392" s="5" t="str">
        <v>City</v>
      </c>
      <c r="H392" s="5" t="str">
        <v>RailHole</v>
      </c>
      <c r="I392" s="5"/>
      <c r="J392" s="5" t="str">
        <v>SidewalkToGrass</v>
      </c>
      <c r="K392" s="10"/>
      <c r="L392" s="5" t="str">
        <v>L</v>
      </c>
      <c r="M392" s="5" t="str">
        <v>Single</v>
      </c>
      <c r="N392" s="10"/>
      <c r="O392" s="10">
        <v>10</v>
      </c>
      <c r="P392" s="5"/>
      <c r="Q392" s="1">
        <f>"World_"&amp;VLOOKUP(G392,'引用列表'!Q:R,2,FALSE)&amp;"_"&amp;G392</f>
      </c>
      <c r="R392" s="1"/>
      <c r="S392" s="9">
        <f>IF(AE392="✅", "/Script/Engine.StaticMesh'/Game/Item/Mesh/Voxel/" &amp; Q392 &amp; "/" &amp; TEXTJOIN("_", TRUE, H392, I392) &amp; "/" &amp; E392 &amp; "." &amp; E392 &amp; "'", "")</f>
      </c>
      <c r="T392" s="5"/>
      <c r="U392" s="5"/>
      <c r="V392" s="5"/>
      <c r="W392" s="5"/>
      <c r="X392" s="5"/>
      <c r="Y392" s="5"/>
      <c r="Z392" s="5"/>
      <c r="AA392" s="5"/>
      <c r="AB392" s="61" t="b">
        <v>0</v>
      </c>
      <c r="AC392" s="5"/>
      <c r="AD392" s="1"/>
      <c r="AE392" s="3"/>
      <c r="AF392" s="1"/>
      <c r="AG392" s="1">
        <f>"MI_" &amp; #REF!</f>
      </c>
      <c r="AH392" s="1">
        <f>"T_" &amp; #REF!</f>
      </c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</row>
    <row r="393">
      <c r="A393" s="4" t="str" xml:space="preserve">
        <v> </v>
      </c>
      <c r="B393" s="14"/>
      <c r="C393" s="14"/>
      <c r="D393" s="14"/>
      <c r="E393" s="4">
        <f>IF(F393="", "", TEXTJOIN("_", TRUE, F393:O393))</f>
      </c>
      <c r="F393" s="5" t="str">
        <v>SM</v>
      </c>
      <c r="G393" s="5" t="str">
        <v>City</v>
      </c>
      <c r="H393" s="5" t="str">
        <v>RailHole</v>
      </c>
      <c r="I393" s="5"/>
      <c r="J393" s="5" t="str">
        <v>SidewalkToGrass</v>
      </c>
      <c r="K393" s="10"/>
      <c r="L393" s="5" t="str">
        <v>L</v>
      </c>
      <c r="M393" s="5" t="str">
        <v>Single</v>
      </c>
      <c r="N393" s="10"/>
      <c r="O393" s="10">
        <v>8</v>
      </c>
      <c r="P393" s="5"/>
      <c r="Q393" s="1">
        <f>"World_"&amp;VLOOKUP(G393,'引用列表'!Q:R,2,FALSE)&amp;"_"&amp;G393</f>
      </c>
      <c r="R393" s="1"/>
      <c r="S393" s="9">
        <f>IF(AE393="✅", "/Script/Engine.StaticMesh'/Game/Item/Mesh/Voxel/" &amp; Q393 &amp; "/" &amp; TEXTJOIN("_", TRUE, H393, I393) &amp; "/" &amp; E393 &amp; "." &amp; E393 &amp; "'", "")</f>
      </c>
      <c r="T393" s="5"/>
      <c r="U393" s="5"/>
      <c r="V393" s="5"/>
      <c r="W393" s="5"/>
      <c r="X393" s="5"/>
      <c r="Y393" s="5"/>
      <c r="Z393" s="5"/>
      <c r="AA393" s="5"/>
      <c r="AB393" s="61" t="b">
        <v>0</v>
      </c>
      <c r="AC393" s="5"/>
      <c r="AD393" s="1"/>
      <c r="AE393" s="3"/>
      <c r="AF393" s="1"/>
      <c r="AG393" s="1">
        <f>"MI_" &amp; #REF!</f>
      </c>
      <c r="AH393" s="1">
        <f>"T_" &amp; #REF!</f>
      </c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</row>
    <row r="394">
      <c r="A394" s="4" t="str" xml:space="preserve">
        <v> </v>
      </c>
      <c r="B394" s="14"/>
      <c r="C394" s="14"/>
      <c r="D394" s="14"/>
      <c r="E394" s="4">
        <f>IF(F394="", "", TEXTJOIN("_", TRUE, F394:O394))</f>
      </c>
      <c r="F394" s="5" t="str">
        <v>SM</v>
      </c>
      <c r="G394" s="5" t="str">
        <v>City</v>
      </c>
      <c r="H394" s="5" t="str">
        <v>RailHole</v>
      </c>
      <c r="I394" s="5"/>
      <c r="J394" s="5" t="str">
        <v>SidewalkToGrass</v>
      </c>
      <c r="K394" s="10"/>
      <c r="L394" s="5" t="str">
        <v>L</v>
      </c>
      <c r="M394" s="5" t="str">
        <v>Single</v>
      </c>
      <c r="N394" s="10"/>
      <c r="O394" s="10">
        <v>9</v>
      </c>
      <c r="P394" s="5"/>
      <c r="Q394" s="1">
        <f>"World_"&amp;VLOOKUP(G394,'引用列表'!Q:R,2,FALSE)&amp;"_"&amp;G394</f>
      </c>
      <c r="R394" s="1"/>
      <c r="S394" s="9">
        <f>IF(AE394="✅", "/Script/Engine.StaticMesh'/Game/Item/Mesh/Voxel/" &amp; Q394 &amp; "/" &amp; TEXTJOIN("_", TRUE, H394, I394) &amp; "/" &amp; E394 &amp; "." &amp; E394 &amp; "'", "")</f>
      </c>
      <c r="T394" s="5"/>
      <c r="U394" s="5"/>
      <c r="V394" s="5"/>
      <c r="W394" s="5"/>
      <c r="X394" s="5"/>
      <c r="Y394" s="5"/>
      <c r="Z394" s="5"/>
      <c r="AA394" s="5"/>
      <c r="AB394" s="61" t="b">
        <v>0</v>
      </c>
      <c r="AC394" s="5"/>
      <c r="AD394" s="1"/>
      <c r="AE394" s="3"/>
      <c r="AF394" s="1"/>
      <c r="AG394" s="1">
        <f>"MI_" &amp; #REF!</f>
      </c>
      <c r="AH394" s="1">
        <f>"T_" &amp; #REF!</f>
      </c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</row>
    <row r="395">
      <c r="A395" s="4" t="str" xml:space="preserve">
        <v> </v>
      </c>
      <c r="B395" s="14"/>
      <c r="C395" s="14"/>
      <c r="D395" s="14"/>
      <c r="E395" s="4">
        <f>IF(F395="", "", TEXTJOIN("_", TRUE, F395:O395))</f>
      </c>
      <c r="F395" s="5" t="str">
        <v>SM</v>
      </c>
      <c r="G395" s="5" t="str">
        <v>City</v>
      </c>
      <c r="H395" s="5" t="str">
        <v>RailHole</v>
      </c>
      <c r="I395" s="5"/>
      <c r="J395" s="5" t="str">
        <v>SidewalkToRoad</v>
      </c>
      <c r="K395" s="10"/>
      <c r="L395" s="5" t="str">
        <v>L</v>
      </c>
      <c r="M395" s="5" t="str">
        <v>Single</v>
      </c>
      <c r="N395" s="10"/>
      <c r="O395" s="10">
        <v>38</v>
      </c>
      <c r="P395" s="5"/>
      <c r="Q395" s="1">
        <f>"World_"&amp;VLOOKUP(G395,'引用列表'!Q:R,2,FALSE)&amp;"_"&amp;G395</f>
      </c>
      <c r="R395" s="1"/>
      <c r="S395" s="9">
        <f>IF(AE395="✅", "/Script/Engine.StaticMesh'/Game/Item/Mesh/Voxel/" &amp; Q395 &amp; "/" &amp; TEXTJOIN("_", TRUE, H395, I395) &amp; "/" &amp; E395 &amp; "." &amp; E395 &amp; "'", "")</f>
      </c>
      <c r="T395" s="5"/>
      <c r="U395" s="5"/>
      <c r="V395" s="5"/>
      <c r="W395" s="5"/>
      <c r="X395" s="5"/>
      <c r="Y395" s="5"/>
      <c r="Z395" s="5"/>
      <c r="AA395" s="5"/>
      <c r="AB395" s="61" t="b">
        <v>0</v>
      </c>
      <c r="AC395" s="5"/>
      <c r="AD395" s="1"/>
      <c r="AE395" s="3"/>
      <c r="AF395" s="1"/>
      <c r="AG395" s="1">
        <f>"MI_" &amp; #REF!</f>
      </c>
      <c r="AH395" s="1">
        <f>"T_" &amp; #REF!</f>
      </c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</row>
    <row r="396">
      <c r="A396" s="4" t="str" xml:space="preserve">
        <v> </v>
      </c>
      <c r="B396" s="14"/>
      <c r="C396" s="14"/>
      <c r="D396" s="14"/>
      <c r="E396" s="4">
        <f>IF(F396="", "", TEXTJOIN("_", TRUE, F396:O396))</f>
      </c>
      <c r="F396" s="5" t="str">
        <v>SM</v>
      </c>
      <c r="G396" s="5" t="str">
        <v>City</v>
      </c>
      <c r="H396" s="5" t="str">
        <v>RailHole</v>
      </c>
      <c r="I396" s="5"/>
      <c r="J396" s="5" t="str">
        <v>SidewalkToRoad</v>
      </c>
      <c r="K396" s="10"/>
      <c r="L396" s="5" t="str">
        <v>L</v>
      </c>
      <c r="M396" s="5" t="str">
        <v>Single</v>
      </c>
      <c r="N396" s="10"/>
      <c r="O396" s="10">
        <v>39</v>
      </c>
      <c r="P396" s="5"/>
      <c r="Q396" s="1">
        <f>"World_"&amp;VLOOKUP(G396,'引用列表'!Q:R,2,FALSE)&amp;"_"&amp;G396</f>
      </c>
      <c r="R396" s="1"/>
      <c r="S396" s="9">
        <f>IF(AE396="✅", "/Script/Engine.StaticMesh'/Game/Item/Mesh/Voxel/" &amp; Q396 &amp; "/" &amp; TEXTJOIN("_", TRUE, H396, I396) &amp; "/" &amp; E396 &amp; "." &amp; E396 &amp; "'", "")</f>
      </c>
      <c r="T396" s="5"/>
      <c r="U396" s="5"/>
      <c r="V396" s="5"/>
      <c r="W396" s="5"/>
      <c r="X396" s="5"/>
      <c r="Y396" s="5"/>
      <c r="Z396" s="5"/>
      <c r="AA396" s="5"/>
      <c r="AB396" s="61" t="b">
        <v>0</v>
      </c>
      <c r="AC396" s="5"/>
      <c r="AD396" s="1"/>
      <c r="AE396" s="3"/>
      <c r="AF396" s="1"/>
      <c r="AG396" s="1">
        <f>"MI_" &amp; #REF!</f>
      </c>
      <c r="AH396" s="1">
        <f>"T_" &amp; #REF!</f>
      </c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</row>
    <row r="397">
      <c r="A397" s="4" t="str" xml:space="preserve">
        <v> </v>
      </c>
      <c r="B397" s="14"/>
      <c r="C397" s="14"/>
      <c r="D397" s="14"/>
      <c r="E397" s="4">
        <f>IF(F397="", "", TEXTJOIN("_", TRUE, F397:O397))</f>
      </c>
      <c r="F397" s="5" t="str">
        <v>SM</v>
      </c>
      <c r="G397" s="5" t="str">
        <v>City</v>
      </c>
      <c r="H397" s="5" t="str">
        <v>RailHole</v>
      </c>
      <c r="I397" s="5"/>
      <c r="J397" s="5" t="str">
        <v>SidewalkToRoad</v>
      </c>
      <c r="K397" s="10"/>
      <c r="L397" s="5" t="str">
        <v>L</v>
      </c>
      <c r="M397" s="5" t="str">
        <v>Single</v>
      </c>
      <c r="N397" s="10"/>
      <c r="O397" s="10">
        <v>40</v>
      </c>
      <c r="P397" s="5"/>
      <c r="Q397" s="1">
        <f>"World_"&amp;VLOOKUP(G397,'引用列表'!Q:R,2,FALSE)&amp;"_"&amp;G397</f>
      </c>
      <c r="R397" s="1"/>
      <c r="S397" s="9">
        <f>IF(AE397="✅", "/Script/Engine.StaticMesh'/Game/Item/Mesh/Voxel/" &amp; Q397 &amp; "/" &amp; TEXTJOIN("_", TRUE, H397, I397) &amp; "/" &amp; E397 &amp; "." &amp; E397 &amp; "'", "")</f>
      </c>
      <c r="T397" s="5"/>
      <c r="U397" s="5"/>
      <c r="V397" s="5"/>
      <c r="W397" s="5"/>
      <c r="X397" s="5"/>
      <c r="Y397" s="5"/>
      <c r="Z397" s="5"/>
      <c r="AA397" s="5"/>
      <c r="AB397" s="61" t="b">
        <v>0</v>
      </c>
      <c r="AC397" s="5"/>
      <c r="AD397" s="1"/>
      <c r="AE397" s="3"/>
      <c r="AF397" s="1"/>
      <c r="AG397" s="1">
        <f>"MI_" &amp; #REF!</f>
      </c>
      <c r="AH397" s="1">
        <f>"T_" &amp; #REF!</f>
      </c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</row>
    <row r="398">
      <c r="A398" s="4" t="str" xml:space="preserve">
        <v> </v>
      </c>
      <c r="B398" s="14"/>
      <c r="C398" s="14"/>
      <c r="D398" s="14"/>
      <c r="E398" s="4">
        <f>IF(F398="", "", TEXTJOIN("_", TRUE, F398:O398))</f>
      </c>
      <c r="F398" s="5" t="str">
        <v>SM</v>
      </c>
      <c r="G398" s="5" t="str">
        <v>City</v>
      </c>
      <c r="H398" s="5" t="str">
        <v>Ground</v>
      </c>
      <c r="I398" s="5"/>
      <c r="J398" s="5" t="str">
        <v>SidewalkToGrass</v>
      </c>
      <c r="K398" s="10"/>
      <c r="L398" s="9" t="str">
        <v>RoundCorner</v>
      </c>
      <c r="M398" s="5" t="str">
        <v>Single</v>
      </c>
      <c r="N398" s="10"/>
      <c r="O398" s="10">
        <v>16</v>
      </c>
      <c r="P398" s="5"/>
      <c r="Q398" s="1">
        <f>"World_"&amp;VLOOKUP(G398,'引用列表'!Q:R,2,FALSE)&amp;"_"&amp;G398</f>
      </c>
      <c r="R398" s="1"/>
      <c r="S398" s="9">
        <f>IF(AE398="✅", "/Script/Engine.StaticMesh'/Game/Item/Mesh/Voxel/" &amp; Q398 &amp; "/" &amp; TEXTJOIN("_", TRUE, H398, I398) &amp; "/" &amp; E398 &amp; "." &amp; E398 &amp; "'", "")</f>
      </c>
      <c r="T398" s="5"/>
      <c r="U398" s="5"/>
      <c r="V398" s="5"/>
      <c r="W398" s="5"/>
      <c r="X398" s="5"/>
      <c r="Y398" s="5"/>
      <c r="Z398" s="5"/>
      <c r="AA398" s="5"/>
      <c r="AB398" s="61" t="b">
        <v>0</v>
      </c>
      <c r="AC398" s="5"/>
      <c r="AD398" s="1"/>
      <c r="AE398" s="3"/>
      <c r="AF398" s="1"/>
      <c r="AG398" s="1">
        <f>"MI_" &amp; #REF!</f>
      </c>
      <c r="AH398" s="1">
        <f>"T_" &amp; #REF!</f>
      </c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</row>
    <row r="399">
      <c r="A399" s="4" t="str" xml:space="preserve">
        <v> </v>
      </c>
      <c r="B399" s="14"/>
      <c r="C399" s="14"/>
      <c r="D399" s="14"/>
      <c r="E399" s="4">
        <f>IF(F399="", "", TEXTJOIN("_", TRUE, F399:O399))</f>
      </c>
      <c r="F399" s="5" t="str">
        <v>SM</v>
      </c>
      <c r="G399" s="5" t="str">
        <v>City</v>
      </c>
      <c r="H399" s="5" t="str">
        <v>Ground</v>
      </c>
      <c r="I399" s="5"/>
      <c r="J399" s="5" t="str">
        <v>SidewalkToRoad</v>
      </c>
      <c r="K399" s="10"/>
      <c r="L399" s="9" t="str">
        <v>RoundCorner</v>
      </c>
      <c r="M399" s="5" t="str">
        <v>Single</v>
      </c>
      <c r="N399" s="10"/>
      <c r="O399" s="10">
        <v>54</v>
      </c>
      <c r="P399" s="5"/>
      <c r="Q399" s="1">
        <f>"World_"&amp;VLOOKUP(G399,'引用列表'!Q:R,2,FALSE)&amp;"_"&amp;G399</f>
      </c>
      <c r="R399" s="1"/>
      <c r="S399" s="9">
        <f>IF(AE399="✅", "/Script/Engine.StaticMesh'/Game/Item/Mesh/Voxel/" &amp; Q399 &amp; "/" &amp; TEXTJOIN("_", TRUE, H399, I399) &amp; "/" &amp; E399 &amp; "." &amp; E399 &amp; "'", "")</f>
      </c>
      <c r="T399" s="5"/>
      <c r="U399" s="5"/>
      <c r="V399" s="5"/>
      <c r="W399" s="5"/>
      <c r="X399" s="5"/>
      <c r="Y399" s="5"/>
      <c r="Z399" s="5"/>
      <c r="AA399" s="5"/>
      <c r="AB399" s="61" t="b">
        <v>0</v>
      </c>
      <c r="AC399" s="5"/>
      <c r="AD399" s="1"/>
      <c r="AE399" s="3"/>
      <c r="AF399" s="1"/>
      <c r="AG399" s="1">
        <f>"MI_" &amp; #REF!</f>
      </c>
      <c r="AH399" s="1">
        <f>"T_" &amp; #REF!</f>
      </c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</row>
    <row r="400">
      <c r="A400" s="4" t="str" xml:space="preserve">
        <v> </v>
      </c>
      <c r="B400" s="14"/>
      <c r="C400" s="14"/>
      <c r="D400" s="14"/>
      <c r="E400" s="4">
        <f>IF(F400="", "", TEXTJOIN("_", TRUE, F400:O400))</f>
      </c>
      <c r="F400" s="5" t="str">
        <v>SM</v>
      </c>
      <c r="G400" s="5" t="str">
        <v>City</v>
      </c>
      <c r="H400" s="5" t="str">
        <v>Ground</v>
      </c>
      <c r="I400" s="5"/>
      <c r="J400" s="5" t="str">
        <v>Road</v>
      </c>
      <c r="K400" s="10"/>
      <c r="L400" s="9" t="str">
        <v>RoundCorner</v>
      </c>
      <c r="M400" s="5" t="str">
        <v>Single</v>
      </c>
      <c r="N400" s="10"/>
      <c r="O400" s="10">
        <v>47</v>
      </c>
      <c r="P400" s="5"/>
      <c r="Q400" s="1">
        <f>"World_"&amp;VLOOKUP(G400,'引用列表'!Q:R,2,FALSE)&amp;"_"&amp;G400</f>
      </c>
      <c r="R400" s="1"/>
      <c r="S400" s="9">
        <f>IF(AE400="✅", "/Script/Engine.StaticMesh'/Game/Item/Mesh/Voxel/" &amp; Q400 &amp; "/" &amp; TEXTJOIN("_", TRUE, H400, I400) &amp; "/" &amp; E400 &amp; "." &amp; E400 &amp; "'", "")</f>
      </c>
      <c r="T400" s="5"/>
      <c r="U400" s="5"/>
      <c r="V400" s="5"/>
      <c r="W400" s="5"/>
      <c r="X400" s="5"/>
      <c r="Y400" s="5"/>
      <c r="Z400" s="5"/>
      <c r="AA400" s="5"/>
      <c r="AB400" s="61" t="b">
        <v>0</v>
      </c>
      <c r="AC400" s="5"/>
      <c r="AD400" s="1"/>
      <c r="AE400" s="3"/>
      <c r="AF400" s="1"/>
      <c r="AG400" s="1">
        <f>"MI_" &amp; #REF!</f>
      </c>
      <c r="AH400" s="1">
        <f>"T_" &amp; #REF!</f>
      </c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</row>
    <row r="401">
      <c r="A401" s="4" t="str" xml:space="preserve">
        <v> </v>
      </c>
      <c r="B401" s="14"/>
      <c r="C401" s="14"/>
      <c r="D401" s="14"/>
      <c r="E401" s="4">
        <f>IF(F401="", "", TEXTJOIN("_", TRUE, F401:O401))</f>
      </c>
      <c r="F401" s="5" t="str">
        <v>SM</v>
      </c>
      <c r="G401" s="5" t="str">
        <v>City</v>
      </c>
      <c r="H401" s="5" t="str">
        <v>Ground</v>
      </c>
      <c r="I401" s="5"/>
      <c r="J401" s="5" t="str">
        <v>Road</v>
      </c>
      <c r="K401" s="10"/>
      <c r="L401" s="9" t="str">
        <v>RoundCorner</v>
      </c>
      <c r="M401" s="5" t="str">
        <v>Single</v>
      </c>
      <c r="N401" s="10"/>
      <c r="O401" s="10">
        <v>56</v>
      </c>
      <c r="P401" s="5"/>
      <c r="Q401" s="1">
        <f>"World_"&amp;VLOOKUP(G401,'引用列表'!Q:R,2,FALSE)&amp;"_"&amp;G401</f>
      </c>
      <c r="R401" s="1"/>
      <c r="S401" s="9">
        <f>IF(AE401="✅", "/Script/Engine.StaticMesh'/Game/Item/Mesh/Voxel/" &amp; Q401 &amp; "/" &amp; TEXTJOIN("_", TRUE, H401, I401) &amp; "/" &amp; E401 &amp; "." &amp; E401 &amp; "'", "")</f>
      </c>
      <c r="T401" s="5"/>
      <c r="U401" s="5"/>
      <c r="V401" s="5"/>
      <c r="W401" s="5"/>
      <c r="X401" s="5"/>
      <c r="Y401" s="5"/>
      <c r="Z401" s="5"/>
      <c r="AA401" s="5"/>
      <c r="AB401" s="61" t="b">
        <v>0</v>
      </c>
      <c r="AC401" s="5"/>
      <c r="AD401" s="1"/>
      <c r="AE401" s="3"/>
      <c r="AF401" s="1"/>
      <c r="AG401" s="1">
        <f>"MI_" &amp; #REF!</f>
      </c>
      <c r="AH401" s="1">
        <f>"T_" &amp; #REF!</f>
      </c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</row>
    <row r="402">
      <c r="A402" s="4" t="str" xml:space="preserve">
        <v> </v>
      </c>
      <c r="B402" s="14"/>
      <c r="C402" s="14"/>
      <c r="D402" s="14"/>
      <c r="E402" s="4">
        <f>IF(F402="", "", TEXTJOIN("_", TRUE, F402:O402))</f>
      </c>
      <c r="F402" s="5" t="str">
        <v>SM</v>
      </c>
      <c r="G402" s="5" t="str">
        <v>City</v>
      </c>
      <c r="H402" s="5" t="str">
        <v>Ground</v>
      </c>
      <c r="I402" s="5"/>
      <c r="J402" s="5" t="str">
        <v>Road</v>
      </c>
      <c r="K402" s="10"/>
      <c r="L402" s="9" t="str">
        <v>RoundCorner</v>
      </c>
      <c r="M402" s="5" t="str">
        <v>Single</v>
      </c>
      <c r="N402" s="10"/>
      <c r="O402" s="10">
        <v>61</v>
      </c>
      <c r="P402" s="5"/>
      <c r="Q402" s="1">
        <f>"World_"&amp;VLOOKUP(G402,'引用列表'!Q:R,2,FALSE)&amp;"_"&amp;G402</f>
      </c>
      <c r="R402" s="1"/>
      <c r="S402" s="9">
        <f>IF(AE402="✅", "/Script/Engine.StaticMesh'/Game/Item/Mesh/Voxel/" &amp; Q402 &amp; "/" &amp; TEXTJOIN("_", TRUE, H402, I402) &amp; "/" &amp; E402 &amp; "." &amp; E402 &amp; "'", "")</f>
      </c>
      <c r="T402" s="5"/>
      <c r="U402" s="5"/>
      <c r="V402" s="5"/>
      <c r="W402" s="5"/>
      <c r="X402" s="5"/>
      <c r="Y402" s="5"/>
      <c r="Z402" s="5"/>
      <c r="AA402" s="5"/>
      <c r="AB402" s="61" t="b">
        <v>0</v>
      </c>
      <c r="AC402" s="5"/>
      <c r="AD402" s="1"/>
      <c r="AE402" s="3"/>
      <c r="AF402" s="1"/>
      <c r="AG402" s="1">
        <f>"MI_" &amp; #REF!</f>
      </c>
      <c r="AH402" s="1">
        <f>"T_" &amp; #REF!</f>
      </c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</row>
    <row r="403">
      <c r="A403" s="4" t="str" xml:space="preserve">
        <v> </v>
      </c>
      <c r="B403" s="14"/>
      <c r="C403" s="14"/>
      <c r="D403" s="14"/>
      <c r="E403" s="4">
        <f>IF(F403="", "", TEXTJOIN("_", TRUE, F403:O403))</f>
      </c>
      <c r="F403" s="5" t="str">
        <v>SM</v>
      </c>
      <c r="G403" s="5" t="str">
        <v>City</v>
      </c>
      <c r="H403" s="5" t="str">
        <v>Ground</v>
      </c>
      <c r="I403" s="5"/>
      <c r="J403" s="5" t="str">
        <v>Road</v>
      </c>
      <c r="K403" s="10"/>
      <c r="L403" s="9" t="str">
        <v>RoundCorner</v>
      </c>
      <c r="M403" s="5" t="str">
        <v>Single</v>
      </c>
      <c r="N403" s="10"/>
      <c r="O403" s="10">
        <v>60</v>
      </c>
      <c r="P403" s="5"/>
      <c r="Q403" s="1">
        <f>"World_"&amp;VLOOKUP(G403,'引用列表'!Q:R,2,FALSE)&amp;"_"&amp;G403</f>
      </c>
      <c r="R403" s="1"/>
      <c r="S403" s="9">
        <f>IF(AE403="✅", "/Script/Engine.StaticMesh'/Game/Item/Mesh/Voxel/" &amp; Q403 &amp; "/" &amp; TEXTJOIN("_", TRUE, H403, I403) &amp; "/" &amp; E403 &amp; "." &amp; E403 &amp; "'", "")</f>
      </c>
      <c r="T403" s="5"/>
      <c r="U403" s="5"/>
      <c r="V403" s="5"/>
      <c r="W403" s="5"/>
      <c r="X403" s="5"/>
      <c r="Y403" s="5"/>
      <c r="Z403" s="5"/>
      <c r="AA403" s="5"/>
      <c r="AB403" s="61" t="b">
        <v>0</v>
      </c>
      <c r="AC403" s="5"/>
      <c r="AD403" s="1"/>
      <c r="AE403" s="3"/>
      <c r="AF403" s="1"/>
      <c r="AG403" s="1">
        <f>"MI_" &amp; #REF!</f>
      </c>
      <c r="AH403" s="1">
        <f>"T_" &amp; #REF!</f>
      </c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</row>
    <row r="404">
      <c r="A404" s="4" t="str" xml:space="preserve">
        <v> </v>
      </c>
      <c r="B404" s="14"/>
      <c r="C404" s="14"/>
      <c r="D404" s="14"/>
      <c r="E404" s="4">
        <f>IF(F404="", "", TEXTJOIN("_", TRUE, F404:O404))</f>
      </c>
      <c r="F404" s="5" t="str">
        <v>SM</v>
      </c>
      <c r="G404" s="5" t="str">
        <v>City</v>
      </c>
      <c r="H404" s="5" t="str">
        <v>Ground</v>
      </c>
      <c r="I404" s="5"/>
      <c r="J404" s="5" t="str">
        <v>Road</v>
      </c>
      <c r="K404" s="10"/>
      <c r="L404" s="9" t="str">
        <v>RoundCorner</v>
      </c>
      <c r="M404" s="5" t="str">
        <v>Single</v>
      </c>
      <c r="N404" s="10"/>
      <c r="O404" s="10">
        <v>59</v>
      </c>
      <c r="P404" s="5"/>
      <c r="Q404" s="1">
        <f>"World_"&amp;VLOOKUP(G404,'引用列表'!Q:R,2,FALSE)&amp;"_"&amp;G404</f>
      </c>
      <c r="R404" s="1"/>
      <c r="S404" s="9">
        <f>IF(AE404="✅", "/Script/Engine.StaticMesh'/Game/Item/Mesh/Voxel/" &amp; Q404 &amp; "/" &amp; TEXTJOIN("_", TRUE, H404, I404) &amp; "/" &amp; E404 &amp; "." &amp; E404 &amp; "'", "")</f>
      </c>
      <c r="T404" s="5"/>
      <c r="U404" s="5"/>
      <c r="V404" s="5"/>
      <c r="W404" s="5"/>
      <c r="X404" s="5"/>
      <c r="Y404" s="5"/>
      <c r="Z404" s="5"/>
      <c r="AA404" s="5"/>
      <c r="AB404" s="61" t="b">
        <v>0</v>
      </c>
      <c r="AC404" s="5"/>
      <c r="AD404" s="1"/>
      <c r="AE404" s="3"/>
      <c r="AF404" s="1"/>
      <c r="AG404" s="1">
        <f>"MI_" &amp; #REF!</f>
      </c>
      <c r="AH404" s="1">
        <f>"T_" &amp; #REF!</f>
      </c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</row>
    <row r="405">
      <c r="A405" s="4" t="str" xml:space="preserve">
        <v> </v>
      </c>
      <c r="B405" s="14"/>
      <c r="C405" s="14"/>
      <c r="D405" s="14"/>
      <c r="E405" s="4">
        <f>IF(F405="", "", TEXTJOIN("_", TRUE, F405:O405))</f>
      </c>
      <c r="F405" s="5" t="str">
        <v>SM</v>
      </c>
      <c r="G405" s="5" t="str">
        <v>City</v>
      </c>
      <c r="H405" s="5" t="str">
        <v>Ground</v>
      </c>
      <c r="I405" s="5"/>
      <c r="J405" s="5" t="str">
        <v>Road</v>
      </c>
      <c r="K405" s="10"/>
      <c r="L405" s="9" t="str">
        <v>RoundCorner</v>
      </c>
      <c r="M405" s="5" t="str">
        <v>Single</v>
      </c>
      <c r="N405" s="10"/>
      <c r="O405" s="10">
        <v>50</v>
      </c>
      <c r="P405" s="5"/>
      <c r="Q405" s="1">
        <f>"World_"&amp;VLOOKUP(G405,'引用列表'!Q:R,2,FALSE)&amp;"_"&amp;G405</f>
      </c>
      <c r="R405" s="1"/>
      <c r="S405" s="9">
        <f>IF(AE405="✅", "/Script/Engine.StaticMesh'/Game/Item/Mesh/Voxel/" &amp; Q405 &amp; "/" &amp; TEXTJOIN("_", TRUE, H405, I405) &amp; "/" &amp; E405 &amp; "." &amp; E405 &amp; "'", "")</f>
      </c>
      <c r="T405" s="5"/>
      <c r="U405" s="5"/>
      <c r="V405" s="5"/>
      <c r="W405" s="5"/>
      <c r="X405" s="5"/>
      <c r="Y405" s="5"/>
      <c r="Z405" s="5"/>
      <c r="AA405" s="5"/>
      <c r="AB405" s="61" t="b">
        <v>0</v>
      </c>
      <c r="AC405" s="5"/>
      <c r="AD405" s="1"/>
      <c r="AE405" s="3"/>
      <c r="AF405" s="1"/>
      <c r="AG405" s="1">
        <f>"MI_" &amp; #REF!</f>
      </c>
      <c r="AH405" s="1">
        <f>"T_" &amp; #REF!</f>
      </c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</row>
    <row r="406">
      <c r="A406" s="4" t="str" xml:space="preserve">
        <v> </v>
      </c>
      <c r="B406" s="14"/>
      <c r="C406" s="14"/>
      <c r="D406" s="14"/>
      <c r="E406" s="4">
        <f>IF(F406="", "", TEXTJOIN("_", TRUE, F406:O406))</f>
      </c>
      <c r="F406" s="5" t="str">
        <v>SM</v>
      </c>
      <c r="G406" s="5" t="str">
        <v>City</v>
      </c>
      <c r="H406" s="5" t="str">
        <v>Ground</v>
      </c>
      <c r="I406" s="5"/>
      <c r="J406" s="5" t="str">
        <v>Road</v>
      </c>
      <c r="K406" s="10"/>
      <c r="L406" s="9" t="str">
        <v>RoundCorner</v>
      </c>
      <c r="M406" s="5" t="str">
        <v>Single</v>
      </c>
      <c r="N406" s="10"/>
      <c r="O406" s="10">
        <v>45</v>
      </c>
      <c r="P406" s="5"/>
      <c r="Q406" s="1">
        <f>"World_"&amp;VLOOKUP(G406,'引用列表'!Q:R,2,FALSE)&amp;"_"&amp;G406</f>
      </c>
      <c r="R406" s="1"/>
      <c r="S406" s="9">
        <f>IF(AE406="✅", "/Script/Engine.StaticMesh'/Game/Item/Mesh/Voxel/" &amp; Q406 &amp; "/" &amp; TEXTJOIN("_", TRUE, H406, I406) &amp; "/" &amp; E406 &amp; "." &amp; E406 &amp; "'", "")</f>
      </c>
      <c r="T406" s="5"/>
      <c r="U406" s="5"/>
      <c r="V406" s="5"/>
      <c r="W406" s="5"/>
      <c r="X406" s="5"/>
      <c r="Y406" s="5"/>
      <c r="Z406" s="5"/>
      <c r="AA406" s="5"/>
      <c r="AB406" s="61" t="b">
        <v>0</v>
      </c>
      <c r="AC406" s="5"/>
      <c r="AD406" s="1"/>
      <c r="AE406" s="3"/>
      <c r="AF406" s="1"/>
      <c r="AG406" s="1">
        <f>"MI_" &amp; #REF!</f>
      </c>
      <c r="AH406" s="1">
        <f>"T_" &amp; #REF!</f>
      </c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</row>
    <row r="407">
      <c r="A407" s="4" t="str" xml:space="preserve">
        <v> </v>
      </c>
      <c r="B407" s="14"/>
      <c r="C407" s="14"/>
      <c r="D407" s="14"/>
      <c r="E407" s="4">
        <f>IF(F407="", "", TEXTJOIN("_", TRUE, F407:O407))</f>
      </c>
      <c r="F407" s="5" t="str">
        <v>SM</v>
      </c>
      <c r="G407" s="5" t="str">
        <v>City</v>
      </c>
      <c r="H407" s="5" t="str">
        <v>Ground</v>
      </c>
      <c r="I407" s="5"/>
      <c r="J407" s="5" t="str">
        <v>SidewalkToGrass</v>
      </c>
      <c r="K407" s="10"/>
      <c r="L407" s="9" t="str">
        <v>RoundCorner</v>
      </c>
      <c r="M407" s="5" t="str">
        <v>Single</v>
      </c>
      <c r="N407" s="10"/>
      <c r="O407" s="10">
        <v>19</v>
      </c>
      <c r="P407" s="5"/>
      <c r="Q407" s="1">
        <f>"World_"&amp;VLOOKUP(G407,'引用列表'!Q:R,2,FALSE)&amp;"_"&amp;G407</f>
      </c>
      <c r="R407" s="1"/>
      <c r="S407" s="9">
        <f>IF(AE407="✅", "/Script/Engine.StaticMesh'/Game/Item/Mesh/Voxel/" &amp; Q407 &amp; "/" &amp; TEXTJOIN("_", TRUE, H407, I407) &amp; "/" &amp; E407 &amp; "." &amp; E407 &amp; "'", "")</f>
      </c>
      <c r="T407" s="5"/>
      <c r="U407" s="5"/>
      <c r="V407" s="5"/>
      <c r="W407" s="5"/>
      <c r="X407" s="5"/>
      <c r="Y407" s="5"/>
      <c r="Z407" s="5"/>
      <c r="AA407" s="5"/>
      <c r="AB407" s="61" t="b">
        <v>0</v>
      </c>
      <c r="AC407" s="5"/>
      <c r="AD407" s="1"/>
      <c r="AE407" s="3"/>
      <c r="AF407" s="1"/>
      <c r="AG407" s="1">
        <f>"MI_" &amp; #REF!</f>
      </c>
      <c r="AH407" s="1">
        <f>"T_" &amp; #REF!</f>
      </c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</row>
    <row r="408">
      <c r="A408" s="4" t="str" xml:space="preserve">
        <v> </v>
      </c>
      <c r="B408" s="14"/>
      <c r="C408" s="14"/>
      <c r="D408" s="14"/>
      <c r="E408" s="4">
        <f>IF(F408="", "", TEXTJOIN("_", TRUE, F408:O408))</f>
      </c>
      <c r="F408" s="5" t="str">
        <v>SM</v>
      </c>
      <c r="G408" s="5" t="str">
        <v>City</v>
      </c>
      <c r="H408" s="5" t="str">
        <v>Ground</v>
      </c>
      <c r="I408" s="5"/>
      <c r="J408" s="5" t="str">
        <v>SidewalkToGrass</v>
      </c>
      <c r="K408" s="10"/>
      <c r="L408" s="9" t="str">
        <v>RoundCorner</v>
      </c>
      <c r="M408" s="5" t="str">
        <v>Single</v>
      </c>
      <c r="N408" s="10"/>
      <c r="O408" s="10">
        <v>26</v>
      </c>
      <c r="P408" s="5"/>
      <c r="Q408" s="1">
        <f>"World_"&amp;VLOOKUP(G408,'引用列表'!Q:R,2,FALSE)&amp;"_"&amp;G408</f>
      </c>
      <c r="R408" s="1"/>
      <c r="S408" s="9">
        <f>IF(AE408="✅", "/Script/Engine.StaticMesh'/Game/Item/Mesh/Voxel/" &amp; Q408 &amp; "/" &amp; TEXTJOIN("_", TRUE, H408, I408) &amp; "/" &amp; E408 &amp; "." &amp; E408 &amp; "'", "")</f>
      </c>
      <c r="T408" s="5"/>
      <c r="U408" s="5"/>
      <c r="V408" s="5"/>
      <c r="W408" s="5"/>
      <c r="X408" s="5"/>
      <c r="Y408" s="5"/>
      <c r="Z408" s="5"/>
      <c r="AA408" s="5"/>
      <c r="AB408" s="61" t="b">
        <v>0</v>
      </c>
      <c r="AC408" s="5"/>
      <c r="AD408" s="1"/>
      <c r="AE408" s="3"/>
      <c r="AF408" s="1"/>
      <c r="AG408" s="1">
        <f>"MI_" &amp; #REF!</f>
      </c>
      <c r="AH408" s="1">
        <f>"T_" &amp; #REF!</f>
      </c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</row>
    <row r="409">
      <c r="A409" s="4" t="str" xml:space="preserve">
        <v> </v>
      </c>
      <c r="B409" s="14"/>
      <c r="C409" s="14"/>
      <c r="D409" s="14"/>
      <c r="E409" s="4">
        <f>IF(F409="", "", TEXTJOIN("_", TRUE, F409:O409))</f>
      </c>
      <c r="F409" s="5" t="str">
        <v>SM</v>
      </c>
      <c r="G409" s="5" t="str">
        <v>City</v>
      </c>
      <c r="H409" s="5" t="str">
        <v>Ground</v>
      </c>
      <c r="I409" s="5"/>
      <c r="J409" s="5" t="str">
        <v>SidewalkToGrass</v>
      </c>
      <c r="K409" s="10"/>
      <c r="L409" s="9" t="str">
        <v>RoundCorner</v>
      </c>
      <c r="M409" s="5" t="str">
        <v>Single</v>
      </c>
      <c r="N409" s="10"/>
      <c r="O409" s="10">
        <v>25</v>
      </c>
      <c r="P409" s="5"/>
      <c r="Q409" s="1">
        <f>"World_"&amp;VLOOKUP(G409,'引用列表'!Q:R,2,FALSE)&amp;"_"&amp;G409</f>
      </c>
      <c r="R409" s="1"/>
      <c r="S409" s="9">
        <f>IF(AE409="✅", "/Script/Engine.StaticMesh'/Game/Item/Mesh/Voxel/" &amp; Q409 &amp; "/" &amp; TEXTJOIN("_", TRUE, H409, I409) &amp; "/" &amp; E409 &amp; "." &amp; E409 &amp; "'", "")</f>
      </c>
      <c r="T409" s="5"/>
      <c r="U409" s="5"/>
      <c r="V409" s="5"/>
      <c r="W409" s="5"/>
      <c r="X409" s="5"/>
      <c r="Y409" s="5"/>
      <c r="Z409" s="5"/>
      <c r="AA409" s="5"/>
      <c r="AB409" s="61" t="b">
        <v>0</v>
      </c>
      <c r="AC409" s="5"/>
      <c r="AD409" s="1"/>
      <c r="AE409" s="3"/>
      <c r="AF409" s="1"/>
      <c r="AG409" s="1">
        <f>"MI_" &amp; #REF!</f>
      </c>
      <c r="AH409" s="1">
        <f>"T_" &amp; #REF!</f>
      </c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</row>
    <row r="410">
      <c r="A410" s="4" t="str" xml:space="preserve">
        <v> </v>
      </c>
      <c r="B410" s="14"/>
      <c r="C410" s="14"/>
      <c r="D410" s="14"/>
      <c r="E410" s="4">
        <f>IF(F410="", "", TEXTJOIN("_", TRUE, F410:O410))</f>
      </c>
      <c r="F410" s="5" t="str">
        <v>SM</v>
      </c>
      <c r="G410" s="5" t="str">
        <v>City</v>
      </c>
      <c r="H410" s="5" t="str">
        <v>Ground</v>
      </c>
      <c r="I410" s="5"/>
      <c r="J410" s="5" t="str">
        <v>Grass</v>
      </c>
      <c r="K410" s="10"/>
      <c r="L410" s="9" t="str">
        <v>RoundCorner</v>
      </c>
      <c r="M410" s="5" t="str">
        <v>Single</v>
      </c>
      <c r="N410" s="10"/>
      <c r="O410" s="10">
        <v>14</v>
      </c>
      <c r="P410" s="5"/>
      <c r="Q410" s="1">
        <f>"World_"&amp;VLOOKUP(G410,'引用列表'!Q:R,2,FALSE)&amp;"_"&amp;G410</f>
      </c>
      <c r="R410" s="1"/>
      <c r="S410" s="9">
        <f>IF(AE410="✅", "/Script/Engine.StaticMesh'/Game/Item/Mesh/Voxel/" &amp; Q410 &amp; "/" &amp; TEXTJOIN("_", TRUE, H410, I410) &amp; "/" &amp; E410 &amp; "." &amp; E410 &amp; "'", "")</f>
      </c>
      <c r="T410" s="5"/>
      <c r="U410" s="5"/>
      <c r="V410" s="5"/>
      <c r="W410" s="5"/>
      <c r="X410" s="5"/>
      <c r="Y410" s="5"/>
      <c r="Z410" s="5"/>
      <c r="AA410" s="5"/>
      <c r="AB410" s="61" t="b">
        <v>0</v>
      </c>
      <c r="AC410" s="5"/>
      <c r="AD410" s="1"/>
      <c r="AE410" s="3"/>
      <c r="AF410" s="1"/>
      <c r="AG410" s="1">
        <f>"MI_" &amp; #REF!</f>
      </c>
      <c r="AH410" s="1">
        <f>"T_" &amp; #REF!</f>
      </c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</row>
    <row r="411">
      <c r="A411" s="4" t="str" xml:space="preserve">
        <v> </v>
      </c>
      <c r="B411" s="14"/>
      <c r="C411" s="14"/>
      <c r="D411" s="14"/>
      <c r="E411" s="4">
        <f>IF(F411="", "", TEXTJOIN("_", TRUE, F411:O411))</f>
      </c>
      <c r="F411" s="5" t="str">
        <v>SM</v>
      </c>
      <c r="G411" s="5" t="str">
        <v>City</v>
      </c>
      <c r="H411" s="5" t="str">
        <v>Ground</v>
      </c>
      <c r="I411" s="5"/>
      <c r="J411" s="5" t="str">
        <v>Grass</v>
      </c>
      <c r="K411" s="10"/>
      <c r="L411" s="9" t="str">
        <v>RoundCorner</v>
      </c>
      <c r="M411" s="5" t="str">
        <v>Single</v>
      </c>
      <c r="N411" s="10"/>
      <c r="O411" s="10">
        <v>15</v>
      </c>
      <c r="P411" s="5"/>
      <c r="Q411" s="1">
        <f>"World_"&amp;VLOOKUP(G411,'引用列表'!Q:R,2,FALSE)&amp;"_"&amp;G411</f>
      </c>
      <c r="R411" s="1"/>
      <c r="S411" s="9">
        <f>IF(AE411="✅", "/Script/Engine.StaticMesh'/Game/Item/Mesh/Voxel/" &amp; Q411 &amp; "/" &amp; TEXTJOIN("_", TRUE, H411, I411) &amp; "/" &amp; E411 &amp; "." &amp; E411 &amp; "'", "")</f>
      </c>
      <c r="T411" s="5"/>
      <c r="U411" s="5"/>
      <c r="V411" s="5"/>
      <c r="W411" s="5"/>
      <c r="X411" s="5"/>
      <c r="Y411" s="5"/>
      <c r="Z411" s="5"/>
      <c r="AA411" s="5"/>
      <c r="AB411" s="61" t="b">
        <v>0</v>
      </c>
      <c r="AC411" s="5"/>
      <c r="AD411" s="1"/>
      <c r="AE411" s="3"/>
      <c r="AF411" s="1"/>
      <c r="AG411" s="1">
        <f>"MI_" &amp; #REF!</f>
      </c>
      <c r="AH411" s="1">
        <f>"T_" &amp; #REF!</f>
      </c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</row>
    <row r="412">
      <c r="A412" s="4" t="str" xml:space="preserve">
        <v> </v>
      </c>
      <c r="B412" s="14"/>
      <c r="C412" s="14"/>
      <c r="D412" s="14"/>
      <c r="E412" s="4">
        <f>IF(F412="", "", TEXTJOIN("_", TRUE, F412:O412))</f>
      </c>
      <c r="F412" s="5" t="str">
        <v>SM</v>
      </c>
      <c r="G412" s="5" t="str">
        <v>City</v>
      </c>
      <c r="H412" s="5" t="str">
        <v>Ground</v>
      </c>
      <c r="I412" s="5"/>
      <c r="J412" s="5" t="str">
        <v>SidewalkToGrass</v>
      </c>
      <c r="K412" s="10"/>
      <c r="L412" s="9" t="str">
        <v>RoundCorner</v>
      </c>
      <c r="M412" s="5" t="str">
        <v>Single</v>
      </c>
      <c r="N412" s="10"/>
      <c r="O412" s="10">
        <v>27</v>
      </c>
      <c r="P412" s="5"/>
      <c r="Q412" s="1">
        <f>"World_"&amp;VLOOKUP(G412,'引用列表'!Q:R,2,FALSE)&amp;"_"&amp;G412</f>
      </c>
      <c r="R412" s="1"/>
      <c r="S412" s="9">
        <f>IF(AE412="✅", "/Script/Engine.StaticMesh'/Game/Item/Mesh/Voxel/" &amp; Q412 &amp; "/" &amp; TEXTJOIN("_", TRUE, H412, I412) &amp; "/" &amp; E412 &amp; "." &amp; E412 &amp; "'", "")</f>
      </c>
      <c r="T412" s="5"/>
      <c r="U412" s="5"/>
      <c r="V412" s="5"/>
      <c r="W412" s="5"/>
      <c r="X412" s="5"/>
      <c r="Y412" s="5"/>
      <c r="Z412" s="5"/>
      <c r="AA412" s="5"/>
      <c r="AB412" s="61" t="b">
        <v>0</v>
      </c>
      <c r="AC412" s="5"/>
      <c r="AD412" s="1"/>
      <c r="AE412" s="3"/>
      <c r="AF412" s="1"/>
      <c r="AG412" s="1">
        <f>"MI_" &amp; #REF!</f>
      </c>
      <c r="AH412" s="1">
        <f>"T_" &amp; #REF!</f>
      </c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</row>
    <row r="413">
      <c r="A413" s="4" t="str" xml:space="preserve">
        <v> </v>
      </c>
      <c r="B413" s="14"/>
      <c r="C413" s="14"/>
      <c r="D413" s="14"/>
      <c r="E413" s="4">
        <f>IF(F413="", "", TEXTJOIN("_", TRUE, F413:O413))</f>
      </c>
      <c r="F413" s="5" t="str">
        <v>SM</v>
      </c>
      <c r="G413" s="5" t="str">
        <v>City</v>
      </c>
      <c r="H413" s="5" t="str">
        <v>Ground</v>
      </c>
      <c r="I413" s="5"/>
      <c r="J413" s="5" t="str">
        <v>Grass</v>
      </c>
      <c r="K413" s="10"/>
      <c r="L413" s="9" t="str">
        <v>RoundCorner</v>
      </c>
      <c r="M413" s="5" t="str">
        <v>Single</v>
      </c>
      <c r="N413" s="10"/>
      <c r="O413" s="10">
        <v>10</v>
      </c>
      <c r="P413" s="5"/>
      <c r="Q413" s="1">
        <f>"World_"&amp;VLOOKUP(G413,'引用列表'!Q:R,2,FALSE)&amp;"_"&amp;G413</f>
      </c>
      <c r="R413" s="1"/>
      <c r="S413" s="9">
        <f>IF(AE413="✅", "/Script/Engine.StaticMesh'/Game/Item/Mesh/Voxel/" &amp; Q413 &amp; "/" &amp; TEXTJOIN("_", TRUE, H413, I413) &amp; "/" &amp; E413 &amp; "." &amp; E413 &amp; "'", "")</f>
      </c>
      <c r="T413" s="5"/>
      <c r="U413" s="5"/>
      <c r="V413" s="5"/>
      <c r="W413" s="5"/>
      <c r="X413" s="5"/>
      <c r="Y413" s="5"/>
      <c r="Z413" s="5"/>
      <c r="AA413" s="5"/>
      <c r="AB413" s="61" t="b">
        <v>0</v>
      </c>
      <c r="AC413" s="5"/>
      <c r="AD413" s="1"/>
      <c r="AE413" s="3"/>
      <c r="AF413" s="1"/>
      <c r="AG413" s="1">
        <f>"MI_" &amp; #REF!</f>
      </c>
      <c r="AH413" s="1">
        <f>"T_" &amp; #REF!</f>
      </c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</row>
    <row r="414">
      <c r="A414" s="4" t="str" xml:space="preserve">
        <v> </v>
      </c>
      <c r="B414" s="14"/>
      <c r="C414" s="14"/>
      <c r="D414" s="14"/>
      <c r="E414" s="4">
        <f>IF(F414="", "", TEXTJOIN("_", TRUE, F414:O414))</f>
      </c>
      <c r="F414" s="5" t="str">
        <v>SM</v>
      </c>
      <c r="G414" s="5" t="str">
        <v>City</v>
      </c>
      <c r="H414" s="5" t="str">
        <v>Ground</v>
      </c>
      <c r="I414" s="5"/>
      <c r="J414" s="5" t="str">
        <v>Grass</v>
      </c>
      <c r="K414" s="10"/>
      <c r="L414" s="9" t="str">
        <v>RoundCorner</v>
      </c>
      <c r="M414" s="5" t="str">
        <v>Single</v>
      </c>
      <c r="N414" s="10"/>
      <c r="O414" s="10">
        <v>9</v>
      </c>
      <c r="P414" s="5"/>
      <c r="Q414" s="1">
        <f>"World_"&amp;VLOOKUP(G414,'引用列表'!Q:R,2,FALSE)&amp;"_"&amp;G414</f>
      </c>
      <c r="R414" s="1"/>
      <c r="S414" s="9">
        <f>IF(AE414="✅", "/Script/Engine.StaticMesh'/Game/Item/Mesh/Voxel/" &amp; Q414 &amp; "/" &amp; TEXTJOIN("_", TRUE, H414, I414) &amp; "/" &amp; E414 &amp; "." &amp; E414 &amp; "'", "")</f>
      </c>
      <c r="T414" s="5"/>
      <c r="U414" s="5"/>
      <c r="V414" s="5"/>
      <c r="W414" s="5"/>
      <c r="X414" s="5"/>
      <c r="Y414" s="5"/>
      <c r="Z414" s="5"/>
      <c r="AA414" s="5"/>
      <c r="AB414" s="61" t="b">
        <v>0</v>
      </c>
      <c r="AC414" s="5"/>
      <c r="AD414" s="1"/>
      <c r="AE414" s="3"/>
      <c r="AF414" s="1"/>
      <c r="AG414" s="1">
        <f>"MI_" &amp; #REF!</f>
      </c>
      <c r="AH414" s="1">
        <f>"T_" &amp; #REF!</f>
      </c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</row>
    <row r="415">
      <c r="A415" s="4" t="str" xml:space="preserve">
        <v> </v>
      </c>
      <c r="B415" s="14"/>
      <c r="C415" s="14"/>
      <c r="D415" s="14"/>
      <c r="E415" s="4">
        <f>IF(F415="", "", TEXTJOIN("_", TRUE, F415:O415))</f>
      </c>
      <c r="F415" s="5" t="str">
        <v>SM</v>
      </c>
      <c r="G415" s="5" t="str">
        <v>City</v>
      </c>
      <c r="H415" s="5" t="str">
        <v>Ground</v>
      </c>
      <c r="I415" s="5"/>
      <c r="J415" s="5" t="str">
        <v>SidewalkToGrass</v>
      </c>
      <c r="K415" s="10"/>
      <c r="L415" s="9" t="str">
        <v>RoundCorner</v>
      </c>
      <c r="M415" s="5" t="str">
        <v>Single</v>
      </c>
      <c r="N415" s="10"/>
      <c r="O415" s="10">
        <v>18</v>
      </c>
      <c r="P415" s="5"/>
      <c r="Q415" s="1">
        <f>"World_"&amp;VLOOKUP(G415,'引用列表'!Q:R,2,FALSE)&amp;"_"&amp;G415</f>
      </c>
      <c r="R415" s="1"/>
      <c r="S415" s="9">
        <f>IF(AE415="✅", "/Script/Engine.StaticMesh'/Game/Item/Mesh/Voxel/" &amp; Q415 &amp; "/" &amp; TEXTJOIN("_", TRUE, H415, I415) &amp; "/" &amp; E415 &amp; "." &amp; E415 &amp; "'", "")</f>
      </c>
      <c r="T415" s="5"/>
      <c r="U415" s="5"/>
      <c r="V415" s="5"/>
      <c r="W415" s="5"/>
      <c r="X415" s="5"/>
      <c r="Y415" s="5"/>
      <c r="Z415" s="5"/>
      <c r="AA415" s="5"/>
      <c r="AB415" s="61" t="b">
        <v>0</v>
      </c>
      <c r="AC415" s="5"/>
      <c r="AD415" s="1"/>
      <c r="AE415" s="3"/>
      <c r="AF415" s="1"/>
      <c r="AG415" s="1">
        <f>"MI_" &amp; #REF!</f>
      </c>
      <c r="AH415" s="1">
        <f>"T_" &amp; #REF!</f>
      </c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</row>
    <row customHeight="true" hidden="true" ht="19" r="416">
      <c r="A416" s="4" t="str" xml:space="preserve">
        <v> </v>
      </c>
      <c r="B416" s="17"/>
      <c r="C416" s="17"/>
      <c r="D416" s="17"/>
      <c r="E416" s="5">
        <f>IF(F416="", "", TEXTJOIN("_", TRUE, F416:O416))</f>
      </c>
      <c r="Q416">
        <f>"World_"&amp;VLOOKUP(G416,'引用列表'!Q:R,2,FALSE)&amp;"_"&amp;G416</f>
      </c>
      <c r="S416" s="19">
        <f>IF(AE416="✅", "/Script/Engine.StaticMesh'/Game/Item/Mesh/Voxel/" &amp; Q416 &amp; "/" &amp; TEXTJOIN("_", TRUE, H416, I416) &amp; "/" &amp; E416 &amp; "." &amp; E416 &amp; "'", "")</f>
      </c>
      <c r="T416" s="5" t="str">
        <v>Open</v>
      </c>
      <c r="U416" s="5" t="str">
        <v>Open</v>
      </c>
      <c r="X416" s="5" t="str">
        <v>Chair</v>
      </c>
      <c r="Y416" s="5" t="str">
        <v>Chair</v>
      </c>
      <c r="AB416" s="61" t="b">
        <v>0</v>
      </c>
      <c r="AD416" s="1"/>
      <c r="AE416" s="3"/>
      <c r="AF416" s="1"/>
      <c r="AG416" s="1"/>
      <c r="AH416" s="1"/>
    </row>
    <row customHeight="true" hidden="true" ht="19" r="417">
      <c r="A417" s="4" t="str" xml:space="preserve">
        <v> </v>
      </c>
      <c r="B417" s="17"/>
      <c r="C417" s="17"/>
      <c r="D417" s="17"/>
      <c r="E417" s="5">
        <f>IF(F417="", "", TEXTJOIN("_", TRUE, F417:O417))</f>
      </c>
      <c r="Q417">
        <f>"World_"&amp;VLOOKUP(G417,'引用列表'!Q:R,2,FALSE)&amp;"_"&amp;G417</f>
      </c>
      <c r="S417" s="19">
        <f>IF(AE417="✅", "/Script/Engine.StaticMesh'/Game/Item/Mesh/Voxel/" &amp; Q417 &amp; "/" &amp; TEXTJOIN("_", TRUE, H417, I417) &amp; "/" &amp; E417 &amp; "." &amp; E417 &amp; "'", "")</f>
      </c>
      <c r="T417" s="5" t="str">
        <v>Open</v>
      </c>
      <c r="U417" s="5" t="str">
        <v>Close</v>
      </c>
      <c r="X417" s="5" t="str">
        <v>Chair</v>
      </c>
      <c r="AB417" s="61" t="b">
        <v>0</v>
      </c>
      <c r="AD417" s="1"/>
      <c r="AE417" s="3"/>
      <c r="AF417" s="1"/>
      <c r="AG417" s="1"/>
      <c r="AH417" s="1"/>
    </row>
    <row customHeight="true" hidden="true" ht="19" r="418">
      <c r="A418" s="4" t="str" xml:space="preserve">
        <v> </v>
      </c>
      <c r="B418" s="17"/>
      <c r="C418" s="17"/>
      <c r="D418" s="17"/>
      <c r="E418" s="5">
        <f>IF(F418="", "", TEXTJOIN("_", TRUE, F418:O418))</f>
      </c>
      <c r="Q418">
        <f>"World_"&amp;VLOOKUP(G418,'引用列表'!Q:R,2,FALSE)&amp;"_"&amp;G418</f>
      </c>
      <c r="S418" s="19">
        <f>IF(AE418="✅", "/Script/Engine.StaticMesh'/Game/Item/Mesh/Voxel/" &amp; Q418 &amp; "/" &amp; TEXTJOIN("_", TRUE, H418, I418) &amp; "/" &amp; E418 &amp; "." &amp; E418 &amp; "'", "")</f>
      </c>
      <c r="T418" s="5" t="str">
        <v>Open</v>
      </c>
      <c r="U418" s="5" t="str">
        <v>Open</v>
      </c>
      <c r="X418" s="5" t="str">
        <v>Chair</v>
      </c>
      <c r="Y418" s="5" t="str">
        <v>Chair</v>
      </c>
      <c r="AB418" s="61" t="b">
        <v>0</v>
      </c>
      <c r="AD418" s="1"/>
      <c r="AE418" s="3"/>
      <c r="AF418" s="1"/>
      <c r="AG418" s="1"/>
      <c r="AH418" s="1"/>
    </row>
    <row customHeight="true" hidden="true" ht="19" r="419">
      <c r="A419" s="4" t="str" xml:space="preserve">
        <v> </v>
      </c>
      <c r="B419" s="17"/>
      <c r="C419" s="17"/>
      <c r="D419" s="17"/>
      <c r="E419" s="5">
        <f>IF(F419="", "", TEXTJOIN("_", TRUE, F419:O419))</f>
      </c>
      <c r="Q419">
        <f>"World_"&amp;VLOOKUP(G419,'引用列表'!Q:R,2,FALSE)&amp;"_"&amp;G419</f>
      </c>
      <c r="S419" s="19">
        <f>IF(AE419="✅", "/Script/Engine.StaticMesh'/Game/Item/Mesh/Voxel/" &amp; Q419 &amp; "/" &amp; TEXTJOIN("_", TRUE, H419, I419) &amp; "/" &amp; E419 &amp; "." &amp; E419 &amp; "'", "")</f>
      </c>
      <c r="T419" s="5" t="str">
        <v>Close</v>
      </c>
      <c r="U419" s="5" t="str">
        <v>Open</v>
      </c>
      <c r="Y419" s="5" t="str">
        <v>Chair</v>
      </c>
      <c r="AB419" s="61" t="b">
        <v>0</v>
      </c>
      <c r="AD419" s="1"/>
      <c r="AE419" s="3"/>
      <c r="AF419" s="1"/>
      <c r="AG419" s="1"/>
      <c r="AH419" s="1"/>
    </row>
    <row customHeight="true" hidden="true" ht="19" r="420">
      <c r="A420" s="4" t="str" xml:space="preserve">
        <v> </v>
      </c>
      <c r="B420" s="17"/>
      <c r="C420" s="17"/>
      <c r="D420" s="17"/>
      <c r="E420" s="5">
        <f>IF(F420="", "", TEXTJOIN("_", TRUE, F420:O420))</f>
      </c>
      <c r="Q420">
        <f>"World_"&amp;VLOOKUP(G420,'引用列表'!Q:R,2,FALSE)&amp;"_"&amp;G420</f>
      </c>
      <c r="S420" s="19">
        <f>IF(AE420="✅", "/Script/Engine.StaticMesh'/Game/Item/Mesh/Voxel/" &amp; Q420 &amp; "/" &amp; TEXTJOIN("_", TRUE, H420, I420) &amp; "/" &amp; E420 &amp; "." &amp; E420 &amp; "'", "")</f>
      </c>
      <c r="T420" s="5" t="str">
        <v>Open</v>
      </c>
      <c r="U420" s="5" t="str">
        <v>Open</v>
      </c>
      <c r="X420" s="5" t="str">
        <v>Chair</v>
      </c>
      <c r="Y420" s="5" t="str">
        <v>Chair</v>
      </c>
      <c r="AB420" s="61" t="b">
        <v>0</v>
      </c>
      <c r="AD420" s="1"/>
      <c r="AE420" s="3"/>
      <c r="AF420" s="1"/>
      <c r="AG420" s="1"/>
      <c r="AH420" s="1"/>
    </row>
    <row customHeight="true" hidden="true" ht="19" r="421">
      <c r="A421" s="4" t="str" xml:space="preserve">
        <v> </v>
      </c>
      <c r="B421" s="17"/>
      <c r="C421" s="17"/>
      <c r="D421" s="17"/>
      <c r="E421" s="5">
        <f>IF(F421="", "", TEXTJOIN("_", TRUE, F421:O421))</f>
      </c>
      <c r="Q421">
        <f>"World_"&amp;VLOOKUP(G421,'引用列表'!Q:R,2,FALSE)&amp;"_"&amp;G421</f>
      </c>
      <c r="S421" s="19">
        <f>IF(AE421="✅", "/Script/Engine.StaticMesh'/Game/Item/Mesh/Voxel/" &amp; Q421 &amp; "/" &amp; TEXTJOIN("_", TRUE, H421, I421) &amp; "/" &amp; E421 &amp; "." &amp; E421 &amp; "'", "")</f>
      </c>
      <c r="T421" s="5" t="str">
        <v>Open</v>
      </c>
      <c r="U421" s="5" t="str">
        <v>Close</v>
      </c>
      <c r="X421" s="5" t="str">
        <v>Chair</v>
      </c>
      <c r="AB421" s="61" t="b">
        <v>0</v>
      </c>
      <c r="AD421" s="1"/>
      <c r="AE421" s="3"/>
      <c r="AF421" s="1"/>
      <c r="AG421" s="1"/>
      <c r="AH421" s="1"/>
    </row>
    <row customHeight="true" hidden="true" ht="19" r="422">
      <c r="A422" s="4" t="str" xml:space="preserve">
        <v> </v>
      </c>
      <c r="B422" s="17"/>
      <c r="C422" s="17"/>
      <c r="D422" s="17"/>
      <c r="E422" s="5">
        <f>IF(F422="", "", TEXTJOIN("_", TRUE, F422:O422))</f>
      </c>
      <c r="Q422">
        <f>"World_"&amp;VLOOKUP(G422,'引用列表'!Q:R,2,FALSE)&amp;"_"&amp;G422</f>
      </c>
      <c r="S422" s="19">
        <f>IF(AE422="✅", "/Script/Engine.StaticMesh'/Game/Item/Mesh/Voxel/" &amp; Q422 &amp; "/" &amp; TEXTJOIN("_", TRUE, H422, I422) &amp; "/" &amp; E422 &amp; "." &amp; E422 &amp; "'", "")</f>
      </c>
      <c r="T422" s="5" t="str">
        <v>Open</v>
      </c>
      <c r="U422" s="5" t="str">
        <v>Open</v>
      </c>
      <c r="X422" s="5" t="str">
        <v>Chair</v>
      </c>
      <c r="Y422" s="5" t="str">
        <v>Chair</v>
      </c>
      <c r="AB422" s="61" t="b">
        <v>0</v>
      </c>
      <c r="AD422" s="1"/>
      <c r="AE422" s="3"/>
      <c r="AF422" s="1"/>
      <c r="AG422" s="1"/>
      <c r="AH422" s="1"/>
    </row>
    <row customHeight="true" hidden="true" ht="19" r="423">
      <c r="A423" s="4" t="str" xml:space="preserve">
        <v> </v>
      </c>
      <c r="B423" s="17"/>
      <c r="C423" s="17"/>
      <c r="D423" s="17"/>
      <c r="E423" s="5">
        <f>IF(F423="", "", TEXTJOIN("_", TRUE, F423:O423))</f>
      </c>
      <c r="Q423">
        <f>"World_"&amp;VLOOKUP(G423,'引用列表'!Q:R,2,FALSE)&amp;"_"&amp;G423</f>
      </c>
      <c r="S423" s="19">
        <f>IF(AE423="✅", "/Script/Engine.StaticMesh'/Game/Item/Mesh/Voxel/" &amp; Q423 &amp; "/" &amp; TEXTJOIN("_", TRUE, H423, I423) &amp; "/" &amp; E423 &amp; "." &amp; E423 &amp; "'", "")</f>
      </c>
      <c r="T423" s="5" t="str">
        <v>Close</v>
      </c>
      <c r="U423" s="5" t="str">
        <v>Open</v>
      </c>
      <c r="Y423" s="5" t="str">
        <v>Chair</v>
      </c>
      <c r="AB423" s="61" t="b">
        <v>0</v>
      </c>
      <c r="AD423" s="1"/>
      <c r="AE423" s="3"/>
      <c r="AF423" s="1"/>
      <c r="AG423" s="1"/>
      <c r="AH423" s="1"/>
    </row>
    <row customHeight="true" hidden="true" ht="19" r="424">
      <c r="A424" s="4" t="str" xml:space="preserve">
        <v> </v>
      </c>
      <c r="B424" s="17"/>
      <c r="C424" s="17"/>
      <c r="D424" s="17"/>
      <c r="E424" s="5">
        <f>IF(F424="", "", TEXTJOIN("_", TRUE, F424:O424))</f>
      </c>
      <c r="Q424">
        <f>"World_"&amp;VLOOKUP(G424,'引用列表'!Q:R,2,FALSE)&amp;"_"&amp;G424</f>
      </c>
      <c r="S424" s="19">
        <f>IF(AE424="✅", "/Script/Engine.StaticMesh'/Game/Item/Mesh/Voxel/" &amp; Q424 &amp; "/" &amp; TEXTJOIN("_", TRUE, H424, I424) &amp; "/" &amp; E424 &amp; "." &amp; E424 &amp; "'", "")</f>
      </c>
      <c r="T424" s="5" t="str">
        <v>Open</v>
      </c>
      <c r="U424" s="5" t="str">
        <v>Open</v>
      </c>
      <c r="X424" s="5" t="str">
        <v>Chair</v>
      </c>
      <c r="Y424" s="5" t="str">
        <v>Chair</v>
      </c>
      <c r="AB424" s="61" t="b">
        <v>0</v>
      </c>
      <c r="AD424" s="1"/>
      <c r="AE424" s="3"/>
      <c r="AF424" s="1"/>
      <c r="AG424" s="1"/>
      <c r="AH424" s="1"/>
    </row>
    <row customHeight="true" hidden="true" ht="19" r="425">
      <c r="A425" s="4" t="str" xml:space="preserve">
        <v> </v>
      </c>
      <c r="B425" s="17"/>
      <c r="C425" s="17"/>
      <c r="D425" s="17"/>
      <c r="E425" s="5">
        <f>IF(F425="", "", TEXTJOIN("_", TRUE, F425:O425))</f>
      </c>
      <c r="Q425">
        <f>"World_"&amp;VLOOKUP(G425,'引用列表'!Q:R,2,FALSE)&amp;"_"&amp;G425</f>
      </c>
      <c r="S425" s="19">
        <f>IF(AE425="✅", "/Script/Engine.StaticMesh'/Game/Item/Mesh/Voxel/" &amp; Q425 &amp; "/" &amp; TEXTJOIN("_", TRUE, H425, I425) &amp; "/" &amp; E425 &amp; "." &amp; E425 &amp; "'", "")</f>
      </c>
      <c r="T425" s="5" t="str">
        <v>Open</v>
      </c>
      <c r="U425" s="5" t="str">
        <v>Close</v>
      </c>
      <c r="X425" s="5" t="str">
        <v>Chair</v>
      </c>
      <c r="AB425" s="61" t="b">
        <v>0</v>
      </c>
      <c r="AD425" s="1"/>
      <c r="AE425" s="3"/>
      <c r="AF425" s="1"/>
      <c r="AG425" s="1"/>
      <c r="AH425" s="1"/>
    </row>
    <row customHeight="true" hidden="true" ht="19" r="426">
      <c r="A426" s="4" t="str" xml:space="preserve">
        <v> </v>
      </c>
      <c r="B426" s="17"/>
      <c r="C426" s="17"/>
      <c r="D426" s="17"/>
      <c r="E426" s="5">
        <f>IF(F426="", "", TEXTJOIN("_", TRUE, F426:O426))</f>
      </c>
      <c r="Q426">
        <f>"World_"&amp;VLOOKUP(G426,'引用列表'!Q:R,2,FALSE)&amp;"_"&amp;G426</f>
      </c>
      <c r="S426" s="19">
        <f>IF(AE426="✅", "/Script/Engine.StaticMesh'/Game/Item/Mesh/Voxel/" &amp; Q426 &amp; "/" &amp; TEXTJOIN("_", TRUE, H426, I426) &amp; "/" &amp; E426 &amp; "." &amp; E426 &amp; "'", "")</f>
      </c>
      <c r="T426" s="5" t="str">
        <v>Open</v>
      </c>
      <c r="U426" s="5" t="str">
        <v>Open</v>
      </c>
      <c r="X426" s="5" t="str">
        <v>Chair</v>
      </c>
      <c r="Y426" s="5" t="str">
        <v>Chair</v>
      </c>
      <c r="AB426" s="61" t="b">
        <v>0</v>
      </c>
      <c r="AD426" s="1"/>
      <c r="AE426" s="3"/>
      <c r="AF426" s="1"/>
      <c r="AG426" s="1"/>
      <c r="AH426" s="1"/>
    </row>
    <row customHeight="true" hidden="true" ht="19" r="427">
      <c r="A427" s="4" t="str" xml:space="preserve">
        <v> </v>
      </c>
      <c r="B427" s="17"/>
      <c r="C427" s="17"/>
      <c r="D427" s="17"/>
      <c r="E427" s="5">
        <f>IF(F427="", "", TEXTJOIN("_", TRUE, F427:O427))</f>
      </c>
      <c r="Q427">
        <f>"World_"&amp;VLOOKUP(G427,'引用列表'!Q:R,2,FALSE)&amp;"_"&amp;G427</f>
      </c>
      <c r="S427" s="19">
        <f>IF(AE427="✅", "/Script/Engine.StaticMesh'/Game/Item/Mesh/Voxel/" &amp; Q427 &amp; "/" &amp; TEXTJOIN("_", TRUE, H427, I427) &amp; "/" &amp; E427 &amp; "." &amp; E427 &amp; "'", "")</f>
      </c>
      <c r="T427" s="5" t="str">
        <v>Close</v>
      </c>
      <c r="U427" s="5" t="str">
        <v>Open</v>
      </c>
      <c r="Y427" s="5" t="str">
        <v>Chair</v>
      </c>
      <c r="AB427" s="61" t="b">
        <v>0</v>
      </c>
      <c r="AD427" s="1"/>
      <c r="AE427" s="3"/>
      <c r="AF427" s="1"/>
      <c r="AG427" s="1"/>
      <c r="AH427" s="1"/>
    </row>
    <row customHeight="true" hidden="true" ht="19" r="428">
      <c r="A428" s="4" t="str" xml:space="preserve">
        <v> </v>
      </c>
      <c r="B428" s="17"/>
      <c r="C428" s="17"/>
      <c r="D428" s="17"/>
      <c r="E428" s="5">
        <f>IF(F428="", "", TEXTJOIN("_", TRUE, F428:O428))</f>
      </c>
      <c r="Q428">
        <f>"World_"&amp;VLOOKUP(G428,'引用列表'!Q:R,2,FALSE)&amp;"_"&amp;G428</f>
      </c>
      <c r="S428" s="19">
        <f>IF(AE428="✅", "/Script/Engine.StaticMesh'/Game/Item/Mesh/Voxel/" &amp; Q428 &amp; "/" &amp; TEXTJOIN("_", TRUE, H428, I428) &amp; "/" &amp; E428 &amp; "." &amp; E428 &amp; "'", "")</f>
      </c>
      <c r="T428" s="5" t="str">
        <v>Open</v>
      </c>
      <c r="U428" s="5" t="str">
        <v>Open</v>
      </c>
      <c r="X428" s="5" t="str">
        <v>Chair</v>
      </c>
      <c r="Y428" s="5" t="str">
        <v>Chair</v>
      </c>
      <c r="AB428" s="61" t="b">
        <v>0</v>
      </c>
      <c r="AD428" s="1"/>
      <c r="AE428" s="3"/>
      <c r="AF428" s="1"/>
      <c r="AG428" s="1"/>
      <c r="AH428" s="1"/>
    </row>
    <row customHeight="true" hidden="true" ht="19" r="429">
      <c r="A429" s="4" t="str" xml:space="preserve">
        <v> </v>
      </c>
      <c r="B429" s="17"/>
      <c r="C429" s="17"/>
      <c r="D429" s="17"/>
      <c r="E429" s="5">
        <f>IF(F429="", "", TEXTJOIN("_", TRUE, F429:O429))</f>
      </c>
      <c r="Q429">
        <f>"World_"&amp;VLOOKUP(G429,'引用列表'!Q:R,2,FALSE)&amp;"_"&amp;G429</f>
      </c>
      <c r="S429" s="19">
        <f>IF(AE429="✅", "/Script/Engine.StaticMesh'/Game/Item/Mesh/Voxel/" &amp; Q429 &amp; "/" &amp; TEXTJOIN("_", TRUE, H429, I429) &amp; "/" &amp; E429 &amp; "." &amp; E429 &amp; "'", "")</f>
      </c>
      <c r="T429" s="5" t="str">
        <v>Open</v>
      </c>
      <c r="U429" s="5" t="str">
        <v>Close</v>
      </c>
      <c r="X429" s="5" t="str">
        <v>Chair</v>
      </c>
      <c r="AB429" s="61" t="b">
        <v>0</v>
      </c>
      <c r="AD429" s="1"/>
      <c r="AE429" s="3"/>
      <c r="AF429" s="1"/>
      <c r="AG429" s="1"/>
      <c r="AH429" s="1"/>
    </row>
    <row customHeight="true" hidden="true" ht="19" r="430">
      <c r="A430" s="4" t="str" xml:space="preserve">
        <v> </v>
      </c>
      <c r="B430" s="17"/>
      <c r="C430" s="17"/>
      <c r="D430" s="17"/>
      <c r="E430" s="5">
        <f>IF(F430="", "", TEXTJOIN("_", TRUE, F430:O430))</f>
      </c>
      <c r="Q430">
        <f>"World_"&amp;VLOOKUP(G430,'引用列表'!Q:R,2,FALSE)&amp;"_"&amp;G430</f>
      </c>
      <c r="S430" s="19">
        <f>IF(AE430="✅", "/Script/Engine.StaticMesh'/Game/Item/Mesh/Voxel/" &amp; Q430 &amp; "/" &amp; TEXTJOIN("_", TRUE, H430, I430) &amp; "/" &amp; E430 &amp; "." &amp; E430 &amp; "'", "")</f>
      </c>
      <c r="T430" s="5" t="str">
        <v>Open</v>
      </c>
      <c r="U430" s="5" t="str">
        <v>Open</v>
      </c>
      <c r="X430" s="5" t="str">
        <v>Chair</v>
      </c>
      <c r="Y430" s="5" t="str">
        <v>Chair</v>
      </c>
      <c r="AB430" s="61" t="b">
        <v>0</v>
      </c>
      <c r="AD430" s="1"/>
      <c r="AE430" s="3"/>
      <c r="AF430" s="1"/>
      <c r="AG430" s="1"/>
      <c r="AH430" s="1"/>
    </row>
    <row customHeight="true" hidden="true" ht="19" r="431">
      <c r="A431" s="4" t="str" xml:space="preserve">
        <v> </v>
      </c>
      <c r="B431" s="17"/>
      <c r="C431" s="17"/>
      <c r="D431" s="17"/>
      <c r="E431" s="5">
        <f>IF(F431="", "", TEXTJOIN("_", TRUE, F431:O431))</f>
      </c>
      <c r="Q431">
        <f>"World_"&amp;VLOOKUP(G431,'引用列表'!Q:R,2,FALSE)&amp;"_"&amp;G431</f>
      </c>
      <c r="S431" s="19">
        <f>IF(AE431="✅", "/Script/Engine.StaticMesh'/Game/Item/Mesh/Voxel/" &amp; Q431 &amp; "/" &amp; TEXTJOIN("_", TRUE, H431, I431) &amp; "/" &amp; E431 &amp; "." &amp; E431 &amp; "'", "")</f>
      </c>
      <c r="T431" s="5" t="str">
        <v>Close</v>
      </c>
      <c r="U431" s="5" t="str">
        <v>Open</v>
      </c>
      <c r="Y431" s="5" t="str">
        <v>Chair</v>
      </c>
      <c r="AB431" s="61" t="b">
        <v>0</v>
      </c>
      <c r="AD431" s="1"/>
      <c r="AE431" s="3"/>
      <c r="AF431" s="1"/>
      <c r="AG431" s="1"/>
      <c r="AH431" s="1"/>
    </row>
    <row customHeight="true" hidden="true" ht="19" r="432">
      <c r="A432" s="4" t="str" xml:space="preserve">
        <v> </v>
      </c>
      <c r="B432" s="17"/>
      <c r="C432" s="17"/>
      <c r="D432" s="17"/>
      <c r="E432" s="5">
        <f>IF(F432="", "", TEXTJOIN("_", TRUE, F432:O432))</f>
      </c>
      <c r="Q432">
        <f>"World_"&amp;VLOOKUP(G432,'引用列表'!Q:R,2,FALSE)&amp;"_"&amp;G432</f>
      </c>
      <c r="S432" s="19">
        <f>IF(AE432="✅", "/Script/Engine.StaticMesh'/Game/Item/Mesh/Voxel/" &amp; Q432 &amp; "/" &amp; TEXTJOIN("_", TRUE, H432, I432) &amp; "/" &amp; E432 &amp; "." &amp; E432 &amp; "'", "")</f>
      </c>
      <c r="T432" s="5" t="str">
        <v>Close</v>
      </c>
      <c r="U432" s="5" t="str">
        <v>Open</v>
      </c>
      <c r="Y432" s="5" t="str">
        <v>Chair</v>
      </c>
      <c r="AB432" s="61" t="b">
        <v>0</v>
      </c>
      <c r="AD432" s="1"/>
      <c r="AE432" s="3"/>
      <c r="AF432" s="1"/>
      <c r="AG432" s="1"/>
      <c r="AH432" s="1"/>
    </row>
    <row customHeight="true" hidden="true" ht="19" r="433">
      <c r="A433" s="4" t="str" xml:space="preserve">
        <v> </v>
      </c>
      <c r="B433" s="17"/>
      <c r="C433" s="17"/>
      <c r="D433" s="17"/>
      <c r="E433" s="5">
        <f>IF(F433="", "", TEXTJOIN("_", TRUE, F433:O433))</f>
      </c>
      <c r="Q433">
        <f>"World_"&amp;VLOOKUP(G433,'引用列表'!Q:R,2,FALSE)&amp;"_"&amp;G433</f>
      </c>
      <c r="S433" s="19">
        <f>IF(AE433="✅", "/Script/Engine.StaticMesh'/Game/Item/Mesh/Voxel/" &amp; Q433 &amp; "/" &amp; TEXTJOIN("_", TRUE, H433, I433) &amp; "/" &amp; E433 &amp; "." &amp; E433 &amp; "'", "")</f>
      </c>
      <c r="AB433" s="61" t="b">
        <v>0</v>
      </c>
      <c r="AD433" s="1"/>
      <c r="AE433" s="3"/>
      <c r="AF433" s="1"/>
      <c r="AG433" s="1"/>
      <c r="AH433" s="1"/>
    </row>
    <row customHeight="true" hidden="true" ht="19" r="434">
      <c r="A434" s="4" t="str" xml:space="preserve">
        <v> </v>
      </c>
      <c r="B434" s="17"/>
      <c r="C434" s="17"/>
      <c r="D434" s="17"/>
      <c r="E434" s="5">
        <f>IF(F434="", "", TEXTJOIN("_", TRUE, F434:O434))</f>
      </c>
      <c r="Q434">
        <f>"World_"&amp;VLOOKUP(G434,'引用列表'!Q:R,2,FALSE)&amp;"_"&amp;G434</f>
      </c>
      <c r="S434" s="19">
        <f>IF(AE434="✅", "/Script/Engine.StaticMesh'/Game/Item/Mesh/Voxel/" &amp; Q434 &amp; "/" &amp; TEXTJOIN("_", TRUE, H434, I434) &amp; "/" &amp; E434 &amp; "." &amp; E434 &amp; "'", "")</f>
      </c>
      <c r="AB434" s="61" t="b">
        <v>0</v>
      </c>
      <c r="AD434" s="1"/>
      <c r="AE434" s="3"/>
      <c r="AF434" s="1"/>
      <c r="AG434" s="1"/>
      <c r="AH434" s="1"/>
    </row>
    <row customHeight="true" hidden="true" ht="19" r="435">
      <c r="A435" s="4" t="str" xml:space="preserve">
        <v> </v>
      </c>
      <c r="B435" s="17"/>
      <c r="C435" s="17"/>
      <c r="D435" s="17"/>
      <c r="E435" s="5">
        <f>IF(F435="", "", TEXTJOIN("_", TRUE, F435:O435))</f>
      </c>
      <c r="Q435">
        <f>"World_"&amp;VLOOKUP(G435,'引用列表'!Q:R,2,FALSE)&amp;"_"&amp;G435</f>
      </c>
      <c r="S435" s="19">
        <f>IF(AE435="✅", "/Script/Engine.StaticMesh'/Game/Item/Mesh/Voxel/" &amp; Q435 &amp; "/" &amp; TEXTJOIN("_", TRUE, H435, I435) &amp; "/" &amp; E435 &amp; "." &amp; E435 &amp; "'", "")</f>
      </c>
      <c r="AB435" s="61" t="b">
        <v>0</v>
      </c>
      <c r="AD435" s="1"/>
      <c r="AE435" s="3"/>
      <c r="AF435" s="1"/>
      <c r="AG435" s="1"/>
      <c r="AH435" s="1"/>
    </row>
    <row customHeight="true" hidden="true" ht="19" r="436">
      <c r="A436" s="4" t="str" xml:space="preserve">
        <v> </v>
      </c>
      <c r="B436" s="17"/>
      <c r="C436" s="17"/>
      <c r="D436" s="17"/>
      <c r="E436" s="5">
        <f>IF(F436="", "", TEXTJOIN("_", TRUE, F436:O436))</f>
      </c>
      <c r="Q436">
        <f>"World_"&amp;VLOOKUP(G436,'引用列表'!Q:R,2,FALSE)&amp;"_"&amp;G436</f>
      </c>
      <c r="S436" s="19">
        <f>IF(AE436="✅", "/Script/Engine.StaticMesh'/Game/Item/Mesh/Voxel/" &amp; Q436 &amp; "/" &amp; TEXTJOIN("_", TRUE, H436, I436) &amp; "/" &amp; E436 &amp; "." &amp; E436 &amp; "'", "")</f>
      </c>
      <c r="T436" s="5" t="str">
        <v>Open</v>
      </c>
      <c r="U436" s="5" t="str">
        <v>Open</v>
      </c>
      <c r="X436" s="5" t="str">
        <v>Barrier</v>
      </c>
      <c r="Y436" s="5" t="str">
        <v>Barrier</v>
      </c>
      <c r="AB436" s="61" t="b">
        <v>0</v>
      </c>
      <c r="AD436" s="1"/>
      <c r="AE436" s="3"/>
      <c r="AF436" s="1"/>
      <c r="AG436" s="1"/>
      <c r="AH436" s="1"/>
    </row>
    <row customHeight="true" hidden="true" ht="19" r="437">
      <c r="A437" s="4" t="str" xml:space="preserve">
        <v> </v>
      </c>
      <c r="B437" s="17"/>
      <c r="C437" s="17"/>
      <c r="D437" s="17"/>
      <c r="E437" s="5">
        <f>IF(F437="", "", TEXTJOIN("_", TRUE, F437:O437))</f>
      </c>
      <c r="Q437">
        <f>"World_"&amp;VLOOKUP(G437,'引用列表'!Q:R,2,FALSE)&amp;"_"&amp;G437</f>
      </c>
      <c r="S437" s="19">
        <f>IF(AE437="✅", "/Script/Engine.StaticMesh'/Game/Item/Mesh/Voxel/" &amp; Q437 &amp; "/" &amp; TEXTJOIN("_", TRUE, H437, I437) &amp; "/" &amp; E437 &amp; "." &amp; E437 &amp; "'", "")</f>
      </c>
      <c r="AB437" s="61" t="b">
        <v>0</v>
      </c>
      <c r="AD437" s="1"/>
      <c r="AE437" s="3"/>
      <c r="AF437" s="1"/>
      <c r="AG437" s="1"/>
      <c r="AH437" s="1"/>
    </row>
    <row customHeight="true" hidden="true" ht="19" r="438">
      <c r="A438" s="4" t="str" xml:space="preserve">
        <v> </v>
      </c>
      <c r="B438" s="17"/>
      <c r="C438" s="17"/>
      <c r="D438" s="17"/>
      <c r="E438" s="5">
        <f>IF(F438="", "", TEXTJOIN("_", TRUE, F438:O438))</f>
      </c>
      <c r="Q438">
        <f>"World_"&amp;VLOOKUP(G438,'引用列表'!Q:R,2,FALSE)&amp;"_"&amp;G438</f>
      </c>
      <c r="S438" s="19">
        <f>IF(AE438="✅", "/Script/Engine.StaticMesh'/Game/Item/Mesh/Voxel/" &amp; Q438 &amp; "/" &amp; TEXTJOIN("_", TRUE, H438, I438) &amp; "/" &amp; E438 &amp; "." &amp; E438 &amp; "'", "")</f>
      </c>
      <c r="T438" s="5" t="str">
        <v>Open</v>
      </c>
      <c r="U438" s="5" t="str">
        <v>Close</v>
      </c>
      <c r="X438" s="5" t="str">
        <v>MailBox</v>
      </c>
      <c r="AB438" s="61" t="b">
        <v>0</v>
      </c>
      <c r="AD438" s="1"/>
      <c r="AE438" s="3"/>
      <c r="AF438" s="1"/>
      <c r="AG438" s="1"/>
      <c r="AH438" s="1"/>
    </row>
    <row customHeight="true" hidden="true" ht="19" r="439">
      <c r="A439" s="4" t="str" xml:space="preserve">
        <v> </v>
      </c>
      <c r="B439" s="17"/>
      <c r="C439" s="17"/>
      <c r="D439" s="17"/>
      <c r="E439" s="5">
        <f>IF(F439="", "", TEXTJOIN("_", TRUE, F439:O439))</f>
      </c>
      <c r="Q439">
        <f>"World_"&amp;VLOOKUP(G439,'引用列表'!Q:R,2,FALSE)&amp;"_"&amp;G439</f>
      </c>
      <c r="S439" s="19">
        <f>IF(AE439="✅", "/Script/Engine.StaticMesh'/Game/Item/Mesh/Voxel/" &amp; Q439 &amp; "/" &amp; TEXTJOIN("_", TRUE, H439, I439) &amp; "/" &amp; E439 &amp; "." &amp; E439 &amp; "'", "")</f>
      </c>
      <c r="T439" s="5" t="str">
        <v>Open</v>
      </c>
      <c r="U439" s="5" t="str">
        <v>Open</v>
      </c>
      <c r="X439" s="5" t="str">
        <v>Chair</v>
      </c>
      <c r="Y439" s="5" t="str">
        <v>Chair</v>
      </c>
      <c r="AB439" s="61" t="b">
        <v>0</v>
      </c>
      <c r="AD439" s="1"/>
      <c r="AE439" s="3"/>
      <c r="AF439" s="1"/>
      <c r="AG439" s="1"/>
      <c r="AH439" s="1"/>
    </row>
    <row customHeight="true" hidden="true" ht="19" r="440">
      <c r="A440" s="4" t="str" xml:space="preserve">
        <v> </v>
      </c>
      <c r="B440" s="17"/>
      <c r="C440" s="17"/>
      <c r="D440" s="17"/>
      <c r="E440" s="5">
        <f>IF(F440="", "", TEXTJOIN("_", TRUE, F440:O440))</f>
      </c>
      <c r="Q440">
        <f>"World_"&amp;VLOOKUP(G440,'引用列表'!Q:R,2,FALSE)&amp;"_"&amp;G440</f>
      </c>
      <c r="S440" s="19">
        <f>IF(AE440="✅", "/Script/Engine.StaticMesh'/Game/Item/Mesh/Voxel/" &amp; Q440 &amp; "/" &amp; TEXTJOIN("_", TRUE, H440, I440) &amp; "/" &amp; E440 &amp; "." &amp; E440 &amp; "'", "")</f>
      </c>
      <c r="T440" s="5" t="str">
        <v>Open</v>
      </c>
      <c r="U440" s="5" t="str">
        <v>Close</v>
      </c>
      <c r="X440" s="5" t="str">
        <v>Chair</v>
      </c>
      <c r="AB440" s="61" t="b">
        <v>0</v>
      </c>
      <c r="AD440" s="1"/>
      <c r="AE440" s="3"/>
      <c r="AF440" s="1"/>
      <c r="AG440" s="1"/>
      <c r="AH440" s="1"/>
    </row>
    <row customHeight="true" hidden="true" ht="19" r="441">
      <c r="A441" s="4" t="str" xml:space="preserve">
        <v> </v>
      </c>
      <c r="B441" s="17"/>
      <c r="C441" s="17"/>
      <c r="D441" s="17"/>
      <c r="E441" s="5">
        <f>IF(F441="", "", TEXTJOIN("_", TRUE, F441:O441))</f>
      </c>
      <c r="Q441">
        <f>"World_"&amp;VLOOKUP(G441,'引用列表'!Q:R,2,FALSE)&amp;"_"&amp;G441</f>
      </c>
      <c r="S441" s="19">
        <f>IF(AE441="✅", "/Script/Engine.StaticMesh'/Game/Item/Mesh/Voxel/" &amp; Q441 &amp; "/" &amp; TEXTJOIN("_", TRUE, H441, I441) &amp; "/" &amp; E441 &amp; "." &amp; E441 &amp; "'", "")</f>
      </c>
      <c r="T441" s="5" t="str">
        <v>Open</v>
      </c>
      <c r="U441" s="5" t="str">
        <v>Open</v>
      </c>
      <c r="X441" s="5" t="str">
        <v>Chair</v>
      </c>
      <c r="Y441" s="5" t="str">
        <v>Chair</v>
      </c>
      <c r="AB441" s="61" t="b">
        <v>0</v>
      </c>
      <c r="AD441" s="1"/>
      <c r="AE441" s="3"/>
      <c r="AF441" s="1"/>
      <c r="AG441" s="1"/>
      <c r="AH441" s="1"/>
    </row>
    <row customHeight="true" hidden="true" ht="19" r="442">
      <c r="A442" s="4" t="str" xml:space="preserve">
        <v> </v>
      </c>
      <c r="B442" s="17"/>
      <c r="C442" s="17"/>
      <c r="D442" s="17"/>
      <c r="E442" s="5">
        <f>IF(F442="", "", TEXTJOIN("_", TRUE, F442:O442))</f>
      </c>
      <c r="Q442">
        <f>"World_"&amp;VLOOKUP(G442,'引用列表'!Q:R,2,FALSE)&amp;"_"&amp;G442</f>
      </c>
      <c r="S442" s="19">
        <f>IF(AE442="✅", "/Script/Engine.StaticMesh'/Game/Item/Mesh/Voxel/" &amp; Q442 &amp; "/" &amp; TEXTJOIN("_", TRUE, H442, I442) &amp; "/" &amp; E442 &amp; "." &amp; E442 &amp; "'", "")</f>
      </c>
      <c r="T442" s="5" t="str">
        <v>Close</v>
      </c>
      <c r="U442" s="5" t="str">
        <v>Open</v>
      </c>
      <c r="Y442" s="5" t="str">
        <v>Chair</v>
      </c>
      <c r="AB442" s="61" t="b">
        <v>0</v>
      </c>
      <c r="AD442" s="1"/>
      <c r="AE442" s="3"/>
      <c r="AF442" s="1"/>
      <c r="AG442" s="1"/>
      <c r="AH442" s="1"/>
    </row>
    <row customHeight="true" hidden="true" ht="19" r="443">
      <c r="A443" s="4" t="str" xml:space="preserve">
        <v> </v>
      </c>
      <c r="B443" s="17"/>
      <c r="C443" s="17"/>
      <c r="D443" s="17"/>
      <c r="E443" s="5">
        <f>IF(F443="", "", TEXTJOIN("_", TRUE, F443:O443))</f>
      </c>
      <c r="Q443">
        <f>"World_"&amp;VLOOKUP(G443,'引用列表'!Q:R,2,FALSE)&amp;"_"&amp;G443</f>
      </c>
      <c r="S443" s="19">
        <f>IF(AE443="✅", "/Script/Engine.StaticMesh'/Game/Item/Mesh/Voxel/" &amp; Q443 &amp; "/" &amp; TEXTJOIN("_", TRUE, H443, I443) &amp; "/" &amp; E443 &amp; "." &amp; E443 &amp; "'", "")</f>
      </c>
      <c r="AB443" s="61" t="b">
        <v>0</v>
      </c>
      <c r="AD443" s="1"/>
      <c r="AE443" s="3"/>
      <c r="AF443" s="1"/>
      <c r="AG443" s="1"/>
      <c r="AH443" s="1"/>
    </row>
    <row customHeight="true" hidden="true" ht="19" r="444">
      <c r="A444" s="4" t="str" xml:space="preserve">
        <v> </v>
      </c>
      <c r="B444" s="17"/>
      <c r="C444" s="17"/>
      <c r="D444" s="17"/>
      <c r="E444" s="5">
        <f>IF(F444="", "", TEXTJOIN("_", TRUE, F444:O444))</f>
      </c>
      <c r="Q444">
        <f>"World_"&amp;VLOOKUP(G444,'引用列表'!Q:R,2,FALSE)&amp;"_"&amp;G444</f>
      </c>
      <c r="S444" s="19">
        <f>IF(AE444="✅", "/Script/Engine.StaticMesh'/Game/Item/Mesh/Voxel/" &amp; Q444 &amp; "/" &amp; TEXTJOIN("_", TRUE, H444, I444) &amp; "/" &amp; E444 &amp; "." &amp; E444 &amp; "'", "")</f>
      </c>
      <c r="AB444" s="61" t="b">
        <v>0</v>
      </c>
      <c r="AD444" s="1"/>
      <c r="AE444" s="3"/>
      <c r="AF444" s="1"/>
      <c r="AG444" s="1"/>
      <c r="AH444" s="1"/>
    </row>
    <row customHeight="true" hidden="true" ht="19" r="445">
      <c r="A445" s="4" t="str" xml:space="preserve">
        <v> </v>
      </c>
      <c r="B445" s="17"/>
      <c r="C445" s="17"/>
      <c r="D445" s="17"/>
      <c r="E445" s="5">
        <f>IF(F445="", "", TEXTJOIN("_", TRUE, F445:O445))</f>
      </c>
      <c r="Q445">
        <f>"World_"&amp;VLOOKUP(G445,'引用列表'!Q:R,2,FALSE)&amp;"_"&amp;G445</f>
      </c>
      <c r="S445" s="19">
        <f>IF(AE445="✅", "/Script/Engine.StaticMesh'/Game/Item/Mesh/Voxel/" &amp; Q445 &amp; "/" &amp; TEXTJOIN("_", TRUE, H445, I445) &amp; "/" &amp; E445 &amp; "." &amp; E445 &amp; "'", "")</f>
      </c>
      <c r="AB445" s="61" t="b">
        <v>0</v>
      </c>
      <c r="AD445" s="1"/>
      <c r="AE445" s="3"/>
      <c r="AF445" s="1"/>
      <c r="AG445" s="1"/>
      <c r="AH445" s="1"/>
    </row>
    <row customHeight="true" hidden="true" ht="19" r="446">
      <c r="A446" s="4" t="str" xml:space="preserve">
        <v> </v>
      </c>
      <c r="B446" s="17"/>
      <c r="C446" s="17"/>
      <c r="D446" s="17"/>
      <c r="E446" s="5">
        <f>IF(F446="", "", TEXTJOIN("_", TRUE, F446:O446))</f>
      </c>
      <c r="Q446">
        <f>"World_"&amp;VLOOKUP(G446,'引用列表'!Q:R,2,FALSE)&amp;"_"&amp;G446</f>
      </c>
      <c r="S446" s="19">
        <f>IF(AE446="✅", "/Script/Engine.StaticMesh'/Game/Item/Mesh/Voxel/" &amp; Q446 &amp; "/" &amp; TEXTJOIN("_", TRUE, H446, I446) &amp; "/" &amp; E446 &amp; "." &amp; E446 &amp; "'", "")</f>
      </c>
      <c r="AB446" s="61" t="b">
        <v>0</v>
      </c>
      <c r="AD446" s="1"/>
      <c r="AE446" s="3"/>
      <c r="AF446" s="1"/>
      <c r="AG446" s="1"/>
      <c r="AH446" s="1"/>
    </row>
    <row customHeight="true" hidden="true" ht="19" r="447">
      <c r="A447" s="4" t="str" xml:space="preserve">
        <v> </v>
      </c>
      <c r="B447" s="17"/>
      <c r="C447" s="17"/>
      <c r="D447" s="17"/>
      <c r="E447" s="5">
        <f>IF(F447="", "", TEXTJOIN("_", TRUE, F447:O447))</f>
      </c>
      <c r="Q447">
        <f>"World_"&amp;VLOOKUP(G447,'引用列表'!Q:R,2,FALSE)&amp;"_"&amp;G447</f>
      </c>
      <c r="S447" s="19">
        <f>IF(AE447="✅", "/Script/Engine.StaticMesh'/Game/Item/Mesh/Voxel/" &amp; Q447 &amp; "/" &amp; TEXTJOIN("_", TRUE, H447, I447) &amp; "/" &amp; E447 &amp; "." &amp; E447 &amp; "'", "")</f>
      </c>
      <c r="AB447" s="61" t="b">
        <v>0</v>
      </c>
      <c r="AD447" s="1"/>
      <c r="AE447" s="3"/>
      <c r="AF447" s="1"/>
      <c r="AG447" s="1"/>
      <c r="AH447" s="1"/>
    </row>
    <row customHeight="true" hidden="true" ht="19" r="448">
      <c r="A448" s="4" t="str" xml:space="preserve">
        <v> </v>
      </c>
      <c r="B448" s="17"/>
      <c r="C448" s="17"/>
      <c r="D448" s="17"/>
      <c r="E448" s="5">
        <f>IF(F448="", "", TEXTJOIN("_", TRUE, F448:O448))</f>
      </c>
      <c r="Q448">
        <f>"World_"&amp;VLOOKUP(G448,'引用列表'!Q:R,2,FALSE)&amp;"_"&amp;G448</f>
      </c>
      <c r="S448" s="19">
        <f>IF(AE448="✅", "/Script/Engine.StaticMesh'/Game/Item/Mesh/Voxel/" &amp; Q448 &amp; "/" &amp; TEXTJOIN("_", TRUE, H448, I448) &amp; "/" &amp; E448 &amp; "." &amp; E448 &amp; "'", "")</f>
      </c>
      <c r="AB448" s="61" t="b">
        <v>0</v>
      </c>
      <c r="AD448" s="1"/>
      <c r="AE448" s="3"/>
      <c r="AF448" s="1"/>
      <c r="AG448" s="1"/>
      <c r="AH448" s="1"/>
    </row>
    <row customHeight="true" hidden="true" ht="19" r="449">
      <c r="A449" s="4" t="str" xml:space="preserve">
        <v> </v>
      </c>
      <c r="B449" s="17"/>
      <c r="C449" s="17"/>
      <c r="D449" s="17"/>
      <c r="E449" s="5">
        <f>IF(F449="", "", TEXTJOIN("_", TRUE, F449:O449))</f>
      </c>
      <c r="Q449">
        <f>"World_"&amp;VLOOKUP(G449,'引用列表'!Q:R,2,FALSE)&amp;"_"&amp;G449</f>
      </c>
      <c r="S449" s="19">
        <f>IF(AE449="✅", "/Script/Engine.StaticMesh'/Game/Item/Mesh/Voxel/" &amp; Q449 &amp; "/" &amp; TEXTJOIN("_", TRUE, H449, I449) &amp; "/" &amp; E449 &amp; "." &amp; E449 &amp; "'", "")</f>
      </c>
      <c r="AB449" s="61" t="b">
        <v>0</v>
      </c>
      <c r="AD449" s="1"/>
      <c r="AE449" s="3"/>
      <c r="AF449" s="1"/>
      <c r="AG449" s="1"/>
      <c r="AH449" s="1"/>
    </row>
    <row customHeight="true" hidden="true" ht="19" r="450">
      <c r="A450" s="4" t="str" xml:space="preserve">
        <v> </v>
      </c>
      <c r="B450" s="17"/>
      <c r="C450" s="17"/>
      <c r="D450" s="17"/>
      <c r="E450" s="5">
        <f>IF(F450="", "", TEXTJOIN("_", TRUE, F450:O450))</f>
      </c>
      <c r="Q450">
        <f>"World_"&amp;VLOOKUP(G450,'引用列表'!Q:R,2,FALSE)&amp;"_"&amp;G450</f>
      </c>
      <c r="S450" s="19">
        <f>IF(AE450="✅", "/Script/Engine.StaticMesh'/Game/Item/Mesh/Voxel/" &amp; Q450 &amp; "/" &amp; TEXTJOIN("_", TRUE, H450, I450) &amp; "/" &amp; E450 &amp; "." &amp; E450 &amp; "'", "")</f>
      </c>
      <c r="AB450" s="61" t="b">
        <v>0</v>
      </c>
      <c r="AD450" s="1"/>
      <c r="AE450" s="3"/>
      <c r="AF450" s="1"/>
      <c r="AG450" s="1"/>
      <c r="AH450" s="1"/>
    </row>
    <row customHeight="true" hidden="true" ht="19" r="451">
      <c r="A451" s="4" t="str" xml:space="preserve">
        <v> </v>
      </c>
      <c r="B451" s="17"/>
      <c r="C451" s="17"/>
      <c r="D451" s="17"/>
      <c r="E451" s="5">
        <f>IF(F451="", "", TEXTJOIN("_", TRUE, F451:O451))</f>
      </c>
      <c r="Q451">
        <f>"World_"&amp;VLOOKUP(G451,'引用列表'!Q:R,2,FALSE)&amp;"_"&amp;G451</f>
      </c>
      <c r="S451" s="19">
        <f>IF(AE451="✅", "/Script/Engine.StaticMesh'/Game/Item/Mesh/Voxel/" &amp; Q451 &amp; "/" &amp; TEXTJOIN("_", TRUE, H451, I451) &amp; "/" &amp; E451 &amp; "." &amp; E451 &amp; "'", "")</f>
      </c>
      <c r="AB451" s="61" t="b">
        <v>0</v>
      </c>
      <c r="AD451" s="1"/>
      <c r="AE451" s="3"/>
      <c r="AF451" s="1"/>
      <c r="AG451" s="1"/>
      <c r="AH451" s="1"/>
    </row>
    <row customHeight="true" hidden="true" ht="19" r="452">
      <c r="A452" s="4" t="str" xml:space="preserve">
        <v> </v>
      </c>
      <c r="B452" s="17"/>
      <c r="C452" s="17"/>
      <c r="D452" s="17"/>
      <c r="E452" s="5">
        <f>IF(F452="", "", TEXTJOIN("_", TRUE, F452:O452))</f>
      </c>
      <c r="Q452">
        <f>"World_"&amp;VLOOKUP(G452,'引用列表'!Q:R,2,FALSE)&amp;"_"&amp;G452</f>
      </c>
      <c r="S452" s="19">
        <f>IF(AE452="✅", "/Script/Engine.StaticMesh'/Game/Item/Mesh/Voxel/" &amp; Q452 &amp; "/" &amp; TEXTJOIN("_", TRUE, H452, I452) &amp; "/" &amp; E452 &amp; "." &amp; E452 &amp; "'", "")</f>
      </c>
      <c r="AB452" s="61" t="b">
        <v>0</v>
      </c>
      <c r="AD452" s="1"/>
      <c r="AE452" s="3"/>
      <c r="AF452" s="1"/>
      <c r="AG452" s="1"/>
      <c r="AH452" s="1"/>
    </row>
    <row customHeight="true" hidden="true" ht="19" r="453">
      <c r="A453" s="4" t="str" xml:space="preserve">
        <v> </v>
      </c>
      <c r="B453" s="17"/>
      <c r="C453" s="17"/>
      <c r="D453" s="17"/>
      <c r="E453" s="5">
        <f>IF(F453="", "", TEXTJOIN("_", TRUE, F453:O453))</f>
      </c>
      <c r="Q453">
        <f>"World_"&amp;VLOOKUP(G453,'引用列表'!Q:R,2,FALSE)&amp;"_"&amp;G453</f>
      </c>
      <c r="S453" s="19">
        <f>IF(AE453="✅", "/Script/Engine.StaticMesh'/Game/Item/Mesh/Voxel/" &amp; Q453 &amp; "/" &amp; TEXTJOIN("_", TRUE, H453, I453) &amp; "/" &amp; E453 &amp; "." &amp; E453 &amp; "'", "")</f>
      </c>
      <c r="AB453" s="61" t="b">
        <v>0</v>
      </c>
      <c r="AD453" s="1"/>
      <c r="AE453" s="3"/>
      <c r="AF453" s="1"/>
      <c r="AG453" s="1"/>
      <c r="AH453" s="1"/>
    </row>
    <row customHeight="true" hidden="true" ht="19" r="454">
      <c r="A454" s="4" t="str" xml:space="preserve">
        <v> </v>
      </c>
      <c r="B454" s="17"/>
      <c r="C454" s="17"/>
      <c r="D454" s="17"/>
      <c r="E454" s="5">
        <f>IF(F454="", "", TEXTJOIN("_", TRUE, F454:O454))</f>
      </c>
      <c r="Q454">
        <f>"World_"&amp;VLOOKUP(G454,'引用列表'!Q:R,2,FALSE)&amp;"_"&amp;G454</f>
      </c>
      <c r="S454" s="19">
        <f>IF(AE454="✅", "/Script/Engine.StaticMesh'/Game/Item/Mesh/Voxel/" &amp; Q454 &amp; "/" &amp; TEXTJOIN("_", TRUE, H454, I454) &amp; "/" &amp; E454 &amp; "." &amp; E454 &amp; "'", "")</f>
      </c>
      <c r="AB454" s="61" t="b">
        <v>0</v>
      </c>
      <c r="AD454" s="1"/>
      <c r="AE454" s="3"/>
      <c r="AF454" s="1"/>
      <c r="AG454" s="1"/>
      <c r="AH454" s="1"/>
    </row>
    <row customHeight="true" hidden="true" ht="19" r="455">
      <c r="A455" s="4" t="str" xml:space="preserve">
        <v> </v>
      </c>
      <c r="B455" s="17"/>
      <c r="C455" s="17"/>
      <c r="D455" s="17"/>
      <c r="E455" s="5">
        <f>IF(F455="", "", TEXTJOIN("_", TRUE, F455:O455))</f>
      </c>
      <c r="Q455">
        <f>"World_"&amp;VLOOKUP(G455,'引用列表'!Q:R,2,FALSE)&amp;"_"&amp;G455</f>
      </c>
      <c r="S455" s="19">
        <f>IF(AE455="✅", "/Script/Engine.StaticMesh'/Game/Item/Mesh/Voxel/" &amp; Q455 &amp; "/" &amp; TEXTJOIN("_", TRUE, H455, I455) &amp; "/" &amp; E455 &amp; "." &amp; E455 &amp; "'", "")</f>
      </c>
      <c r="AB455" s="61" t="b">
        <v>0</v>
      </c>
      <c r="AD455" s="1"/>
      <c r="AE455" s="3"/>
      <c r="AF455" s="1"/>
      <c r="AG455" s="1"/>
      <c r="AH455" s="1"/>
    </row>
    <row customHeight="true" hidden="true" ht="19" r="456">
      <c r="A456" s="4" t="str" xml:space="preserve">
        <v> </v>
      </c>
      <c r="B456" s="17"/>
      <c r="C456" s="17"/>
      <c r="D456" s="17"/>
      <c r="E456" s="5">
        <f>IF(F456="", "", TEXTJOIN("_", TRUE, F456:O456))</f>
      </c>
      <c r="Q456">
        <f>"World_"&amp;VLOOKUP(G456,'引用列表'!Q:R,2,FALSE)&amp;"_"&amp;G456</f>
      </c>
      <c r="S456" s="19">
        <f>IF(AE456="✅", "/Script/Engine.StaticMesh'/Game/Item/Mesh/Voxel/" &amp; Q456 &amp; "/" &amp; TEXTJOIN("_", TRUE, H456, I456) &amp; "/" &amp; E456 &amp; "." &amp; E456 &amp; "'", "")</f>
      </c>
      <c r="AB456" s="61" t="b">
        <v>0</v>
      </c>
      <c r="AD456" s="1"/>
      <c r="AE456" s="3"/>
      <c r="AF456" s="1"/>
      <c r="AG456" s="1"/>
      <c r="AH456" s="1"/>
    </row>
    <row customHeight="true" hidden="true" ht="19" r="457">
      <c r="A457" s="4" t="str" xml:space="preserve">
        <v> </v>
      </c>
      <c r="B457" s="17"/>
      <c r="C457" s="17"/>
      <c r="D457" s="17"/>
      <c r="E457" s="5">
        <f>IF(F457="", "", TEXTJOIN("_", TRUE, F457:O457))</f>
      </c>
      <c r="Q457">
        <f>"World_"&amp;VLOOKUP(G457,'引用列表'!Q:R,2,FALSE)&amp;"_"&amp;G457</f>
      </c>
      <c r="S457" s="19">
        <f>IF(AE457="✅", "/Script/Engine.StaticMesh'/Game/Item/Mesh/Voxel/" &amp; Q457 &amp; "/" &amp; TEXTJOIN("_", TRUE, H457, I457) &amp; "/" &amp; E457 &amp; "." &amp; E457 &amp; "'", "")</f>
      </c>
      <c r="AB457" s="61" t="b">
        <v>0</v>
      </c>
      <c r="AD457" s="1"/>
      <c r="AE457" s="3"/>
      <c r="AF457" s="1"/>
      <c r="AG457" s="1"/>
      <c r="AH457" s="1"/>
    </row>
    <row customHeight="true" hidden="true" ht="19" r="458">
      <c r="A458" s="4" t="str" xml:space="preserve">
        <v> </v>
      </c>
      <c r="B458" s="17"/>
      <c r="C458" s="17"/>
      <c r="D458" s="17"/>
      <c r="E458" s="5">
        <f>IF(F458="", "", TEXTJOIN("_", TRUE, F458:O458))</f>
      </c>
      <c r="Q458">
        <f>"World_"&amp;VLOOKUP(G458,'引用列表'!Q:R,2,FALSE)&amp;"_"&amp;G458</f>
      </c>
      <c r="S458" s="19">
        <f>IF(AE458="✅", "/Script/Engine.StaticMesh'/Game/Item/Mesh/Voxel/" &amp; Q458 &amp; "/" &amp; TEXTJOIN("_", TRUE, H458, I458) &amp; "/" &amp; E458 &amp; "." &amp; E458 &amp; "'", "")</f>
      </c>
      <c r="AB458" s="61" t="b">
        <v>0</v>
      </c>
      <c r="AD458" s="1"/>
      <c r="AE458" s="3"/>
      <c r="AF458" s="1"/>
      <c r="AG458" s="1"/>
      <c r="AH458" s="1"/>
    </row>
    <row customHeight="true" hidden="true" ht="19" r="459">
      <c r="A459" s="4" t="str" xml:space="preserve">
        <v> </v>
      </c>
      <c r="B459" s="17"/>
      <c r="C459" s="17"/>
      <c r="D459" s="17"/>
      <c r="E459" s="5">
        <f>IF(F459="", "", TEXTJOIN("_", TRUE, F459:O459))</f>
      </c>
      <c r="Q459">
        <f>"World_"&amp;VLOOKUP(G459,'引用列表'!Q:R,2,FALSE)&amp;"_"&amp;G459</f>
      </c>
      <c r="S459" s="19">
        <f>IF(AE459="✅", "/Script/Engine.StaticMesh'/Game/Item/Mesh/Voxel/" &amp; Q459 &amp; "/" &amp; TEXTJOIN("_", TRUE, H459, I459) &amp; "/" &amp; E459 &amp; "." &amp; E459 &amp; "'", "")</f>
      </c>
      <c r="AB459" s="61" t="b">
        <v>0</v>
      </c>
      <c r="AD459" s="1"/>
      <c r="AE459" s="3"/>
      <c r="AF459" s="1"/>
      <c r="AG459" s="1"/>
      <c r="AH459" s="1"/>
    </row>
    <row customHeight="true" hidden="true" ht="19" r="460">
      <c r="A460" s="4" t="str" xml:space="preserve">
        <v> </v>
      </c>
      <c r="B460" s="17"/>
      <c r="C460" s="17"/>
      <c r="D460" s="17"/>
      <c r="E460" s="5">
        <f>IF(F460="", "", TEXTJOIN("_", TRUE, F460:O460))</f>
      </c>
      <c r="Q460">
        <f>"World_"&amp;VLOOKUP(G460,'引用列表'!Q:R,2,FALSE)&amp;"_"&amp;G460</f>
      </c>
      <c r="S460" s="19">
        <f>IF(AE460="✅", "/Script/Engine.StaticMesh'/Game/Item/Mesh/Voxel/" &amp; Q460 &amp; "/" &amp; TEXTJOIN("_", TRUE, H460, I460) &amp; "/" &amp; E460 &amp; "." &amp; E460 &amp; "'", "")</f>
      </c>
      <c r="AB460" s="61" t="b">
        <v>0</v>
      </c>
      <c r="AD460" s="1"/>
      <c r="AE460" s="3"/>
      <c r="AF460" s="1"/>
      <c r="AG460" s="1"/>
      <c r="AH460" s="1"/>
    </row>
    <row customHeight="true" hidden="true" ht="19" r="461">
      <c r="A461" s="4" t="str" xml:space="preserve">
        <v> </v>
      </c>
      <c r="B461" s="17"/>
      <c r="C461" s="17"/>
      <c r="D461" s="17"/>
      <c r="E461" s="5">
        <f>IF(F461="", "", TEXTJOIN("_", TRUE, F461:O461))</f>
      </c>
      <c r="Q461">
        <f>"World_"&amp;VLOOKUP(G461,'引用列表'!Q:R,2,FALSE)&amp;"_"&amp;G461</f>
      </c>
      <c r="S461" s="19">
        <f>IF(AE461="✅", "/Script/Engine.StaticMesh'/Game/Item/Mesh/Voxel/" &amp; Q461 &amp; "/" &amp; TEXTJOIN("_", TRUE, H461, I461) &amp; "/" &amp; E461 &amp; "." &amp; E461 &amp; "'", "")</f>
      </c>
      <c r="AB461" s="61" t="b">
        <v>0</v>
      </c>
      <c r="AD461" s="1"/>
      <c r="AE461" s="3"/>
      <c r="AF461" s="1"/>
      <c r="AG461" s="1"/>
      <c r="AH461" s="1"/>
    </row>
    <row customHeight="true" hidden="true" ht="19" r="462">
      <c r="A462" s="4" t="str" xml:space="preserve">
        <v> </v>
      </c>
      <c r="B462" s="17"/>
      <c r="C462" s="17"/>
      <c r="D462" s="17"/>
      <c r="E462" s="5">
        <f>IF(F462="", "", TEXTJOIN("_", TRUE, F462:O462))</f>
      </c>
      <c r="Q462">
        <f>"World_"&amp;VLOOKUP(G462,'引用列表'!Q:R,2,FALSE)&amp;"_"&amp;G462</f>
      </c>
      <c r="S462" s="19">
        <f>IF(AE462="✅", "/Script/Engine.StaticMesh'/Game/Item/Mesh/Voxel/" &amp; Q462 &amp; "/" &amp; TEXTJOIN("_", TRUE, H462, I462) &amp; "/" &amp; E462 &amp; "." &amp; E462 &amp; "'", "")</f>
      </c>
      <c r="AB462" s="61" t="b">
        <v>0</v>
      </c>
      <c r="AD462" s="1"/>
      <c r="AE462" s="3"/>
      <c r="AF462" s="1"/>
      <c r="AG462" s="1"/>
      <c r="AH462" s="1"/>
    </row>
    <row customHeight="true" hidden="true" ht="19" r="463">
      <c r="A463" s="4" t="str" xml:space="preserve">
        <v> </v>
      </c>
      <c r="B463" s="17"/>
      <c r="C463" s="17"/>
      <c r="D463" s="17"/>
      <c r="E463" s="5">
        <f>IF(F463="", "", TEXTJOIN("_", TRUE, F463:O463))</f>
      </c>
      <c r="Q463">
        <f>"World_"&amp;VLOOKUP(G463,'引用列表'!Q:R,2,FALSE)&amp;"_"&amp;G463</f>
      </c>
      <c r="S463" s="19">
        <f>IF(AE463="✅", "/Script/Engine.StaticMesh'/Game/Item/Mesh/Voxel/" &amp; Q463 &amp; "/" &amp; TEXTJOIN("_", TRUE, H463, I463) &amp; "/" &amp; E463 &amp; "." &amp; E463 &amp; "'", "")</f>
      </c>
      <c r="T463" s="5" t="str">
        <v>Open</v>
      </c>
      <c r="U463" s="5" t="str">
        <v>Close</v>
      </c>
      <c r="X463" s="5" t="str">
        <v>Barrier</v>
      </c>
      <c r="AB463" s="61" t="b">
        <v>0</v>
      </c>
      <c r="AD463" s="1"/>
      <c r="AE463" s="3"/>
      <c r="AF463" s="1"/>
      <c r="AG463" s="1"/>
      <c r="AH463" s="1"/>
    </row>
    <row customHeight="true" hidden="true" ht="19" r="464">
      <c r="A464" s="4" t="str" xml:space="preserve">
        <v> </v>
      </c>
      <c r="B464" s="17"/>
      <c r="C464" s="17"/>
      <c r="D464" s="17"/>
      <c r="E464" s="5">
        <f>IF(F464="", "", TEXTJOIN("_", TRUE, F464:O464))</f>
      </c>
      <c r="Q464">
        <f>"World_"&amp;VLOOKUP(G464,'引用列表'!Q:R,2,FALSE)&amp;"_"&amp;G464</f>
      </c>
      <c r="S464" s="19">
        <f>IF(AE464="✅", "/Script/Engine.StaticMesh'/Game/Item/Mesh/Voxel/" &amp; Q464 &amp; "/" &amp; TEXTJOIN("_", TRUE, H464, I464) &amp; "/" &amp; E464 &amp; "." &amp; E464 &amp; "'", "")</f>
      </c>
      <c r="T464" s="5" t="str">
        <v>Close</v>
      </c>
      <c r="U464" s="5" t="str">
        <v>Open</v>
      </c>
      <c r="Y464" s="5" t="str">
        <v>Barrier</v>
      </c>
      <c r="AB464" s="61" t="b">
        <v>0</v>
      </c>
      <c r="AD464" s="1"/>
      <c r="AE464" s="3"/>
      <c r="AF464" s="1"/>
      <c r="AG464" s="1"/>
      <c r="AH464" s="1"/>
    </row>
    <row customHeight="true" hidden="true" ht="19" r="465">
      <c r="A465" s="4" t="str" xml:space="preserve">
        <v> </v>
      </c>
      <c r="B465" s="17"/>
      <c r="C465" s="17"/>
      <c r="D465" s="17"/>
      <c r="E465" s="5">
        <f>IF(F465="", "", TEXTJOIN("_", TRUE, F465:O465))</f>
      </c>
      <c r="Q465">
        <f>"World_"&amp;VLOOKUP(G465,'引用列表'!Q:R,2,FALSE)&amp;"_"&amp;G465</f>
      </c>
      <c r="S465" s="19">
        <f>IF(AE465="✅", "/Script/Engine.StaticMesh'/Game/Item/Mesh/Voxel/" &amp; Q465 &amp; "/" &amp; TEXTJOIN("_", TRUE, H465, I465) &amp; "/" &amp; E465 &amp; "." &amp; E465 &amp; "'", "")</f>
      </c>
      <c r="AB465" s="61" t="b">
        <v>0</v>
      </c>
      <c r="AD465" s="1"/>
      <c r="AE465" s="3"/>
      <c r="AF465" s="1"/>
      <c r="AG465" s="1"/>
      <c r="AH465" s="1"/>
    </row>
    <row customHeight="true" hidden="true" ht="19" r="466">
      <c r="A466" s="4" t="str" xml:space="preserve">
        <v> </v>
      </c>
      <c r="B466" s="17"/>
      <c r="C466" s="17"/>
      <c r="D466" s="17"/>
      <c r="E466" s="5">
        <f>IF(F466="", "", TEXTJOIN("_", TRUE, F466:O466))</f>
      </c>
      <c r="Q466">
        <f>"World_"&amp;VLOOKUP(G466,'引用列表'!Q:R,2,FALSE)&amp;"_"&amp;G466</f>
      </c>
      <c r="S466" s="19">
        <f>IF(AE466="✅", "/Script/Engine.StaticMesh'/Game/Item/Mesh/Voxel/" &amp; Q466 &amp; "/" &amp; TEXTJOIN("_", TRUE, H466, I466) &amp; "/" &amp; E466 &amp; "." &amp; E466 &amp; "'", "")</f>
      </c>
      <c r="AB466" s="61" t="b">
        <v>0</v>
      </c>
      <c r="AD466" s="1"/>
      <c r="AE466" s="3"/>
      <c r="AF466" s="1"/>
      <c r="AG466" s="1"/>
      <c r="AH466" s="1"/>
    </row>
    <row customHeight="true" hidden="true" ht="19" r="467">
      <c r="A467" s="4" t="str" xml:space="preserve">
        <v> </v>
      </c>
      <c r="B467" s="17"/>
      <c r="C467" s="17"/>
      <c r="D467" s="17"/>
      <c r="E467" s="5">
        <f>IF(F467="", "", TEXTJOIN("_", TRUE, F467:O467))</f>
      </c>
      <c r="Q467">
        <f>"World_"&amp;VLOOKUP(G467,'引用列表'!Q:R,2,FALSE)&amp;"_"&amp;G467</f>
      </c>
      <c r="S467" s="19">
        <f>IF(AE467="✅", "/Script/Engine.StaticMesh'/Game/Item/Mesh/Voxel/" &amp; Q467 &amp; "/" &amp; TEXTJOIN("_", TRUE, H467, I467) &amp; "/" &amp; E467 &amp; "." &amp; E467 &amp; "'", "")</f>
      </c>
      <c r="AB467" s="61" t="b">
        <v>0</v>
      </c>
      <c r="AD467" s="1"/>
      <c r="AE467" s="3"/>
      <c r="AF467" s="1"/>
      <c r="AG467" s="1"/>
      <c r="AH467" s="1"/>
    </row>
    <row customHeight="true" hidden="true" ht="19" r="468">
      <c r="A468" s="4" t="str" xml:space="preserve">
        <v> </v>
      </c>
      <c r="B468" s="17"/>
      <c r="C468" s="17"/>
      <c r="D468" s="17"/>
      <c r="E468" s="5">
        <f>IF(F468="", "", TEXTJOIN("_", TRUE, F468:O468))</f>
      </c>
      <c r="Q468">
        <f>"World_"&amp;VLOOKUP(G468,'引用列表'!Q:R,2,FALSE)&amp;"_"&amp;G468</f>
      </c>
      <c r="S468" s="19">
        <f>IF(AE468="✅", "/Script/Engine.StaticMesh'/Game/Item/Mesh/Voxel/" &amp; Q468 &amp; "/" &amp; TEXTJOIN("_", TRUE, H468, I468) &amp; "/" &amp; E468 &amp; "." &amp; E468 &amp; "'", "")</f>
      </c>
      <c r="AB468" s="61" t="b">
        <v>0</v>
      </c>
      <c r="AD468" s="1"/>
      <c r="AE468" s="3"/>
      <c r="AF468" s="1"/>
      <c r="AG468" s="1"/>
      <c r="AH468" s="1"/>
    </row>
    <row customHeight="true" hidden="true" ht="19" r="469">
      <c r="A469" s="4" t="str" xml:space="preserve">
        <v> </v>
      </c>
      <c r="B469" s="17"/>
      <c r="C469" s="17"/>
      <c r="D469" s="17"/>
      <c r="E469" s="5">
        <f>IF(F469="", "", TEXTJOIN("_", TRUE, F469:O469))</f>
      </c>
      <c r="Q469">
        <f>"World_"&amp;VLOOKUP(G469,'引用列表'!Q:R,2,FALSE)&amp;"_"&amp;G469</f>
      </c>
      <c r="S469" s="19">
        <f>IF(AE469="✅", "/Script/Engine.StaticMesh'/Game/Item/Mesh/Voxel/" &amp; Q469 &amp; "/" &amp; TEXTJOIN("_", TRUE, H469, I469) &amp; "/" &amp; E469 &amp; "." &amp; E469 &amp; "'", "")</f>
      </c>
      <c r="AB469" s="61" t="b">
        <v>0</v>
      </c>
      <c r="AD469" s="1"/>
      <c r="AE469" s="3"/>
      <c r="AF469" s="1"/>
      <c r="AG469" s="1"/>
      <c r="AH469" s="1"/>
    </row>
    <row customHeight="true" hidden="true" ht="19" r="470">
      <c r="A470" s="4" t="str" xml:space="preserve">
        <v> </v>
      </c>
      <c r="B470" s="17"/>
      <c r="C470" s="17"/>
      <c r="D470" s="17"/>
      <c r="E470" s="5">
        <f>IF(F470="", "", TEXTJOIN("_", TRUE, F470:O470))</f>
      </c>
      <c r="Q470">
        <f>"World_"&amp;VLOOKUP(G470,'引用列表'!Q:R,2,FALSE)&amp;"_"&amp;G470</f>
      </c>
      <c r="S470" s="19">
        <f>IF(AE470="✅", "/Script/Engine.StaticMesh'/Game/Item/Mesh/Voxel/" &amp; Q470 &amp; "/" &amp; TEXTJOIN("_", TRUE, H470, I470) &amp; "/" &amp; E470 &amp; "." &amp; E470 &amp; "'", "")</f>
      </c>
      <c r="AB470" s="61" t="b">
        <v>0</v>
      </c>
      <c r="AD470" s="1"/>
      <c r="AE470" s="3"/>
      <c r="AF470" s="1"/>
      <c r="AG470" s="1"/>
      <c r="AH470" s="1"/>
    </row>
    <row customHeight="true" hidden="true" ht="19" r="471">
      <c r="A471" s="4" t="str" xml:space="preserve">
        <v> </v>
      </c>
      <c r="B471" s="17"/>
      <c r="C471" s="17"/>
      <c r="D471" s="17"/>
      <c r="E471" s="5">
        <f>IF(F471="", "", TEXTJOIN("_", TRUE, F471:O471))</f>
      </c>
      <c r="Q471">
        <f>"World_"&amp;VLOOKUP(G471,'引用列表'!Q:R,2,FALSE)&amp;"_"&amp;G471</f>
      </c>
      <c r="S471" s="19">
        <f>IF(AE471="✅", "/Script/Engine.StaticMesh'/Game/Item/Mesh/Voxel/" &amp; Q471 &amp; "/" &amp; TEXTJOIN("_", TRUE, H471, I471) &amp; "/" &amp; E471 &amp; "." &amp; E471 &amp; "'", "")</f>
      </c>
      <c r="AB471" s="61" t="b">
        <v>0</v>
      </c>
      <c r="AD471" s="1"/>
      <c r="AE471" s="3"/>
      <c r="AF471" s="1"/>
      <c r="AG471" s="1"/>
      <c r="AH471" s="1"/>
    </row>
    <row r="472">
      <c r="A472" s="4" t="str" xml:space="preserve">
        <v> </v>
      </c>
      <c r="B472" s="17"/>
      <c r="C472" s="17"/>
      <c r="D472" s="17"/>
      <c r="E472" s="5">
        <f>IF(F472="", "", TEXTJOIN("_", TRUE, F472:O472))</f>
      </c>
      <c r="Q472">
        <f>"World_"&amp;VLOOKUP(G472,'引用列表'!Q:R,2,FALSE)&amp;"_"&amp;G472</f>
      </c>
      <c r="S472" s="19">
        <f>IF(AE472="✅", "/Script/Engine.StaticMesh'/Game/Item/Mesh/Voxel/" &amp; Q472 &amp; "/" &amp; TEXTJOIN("_", TRUE, H472, I472) &amp; "/" &amp; E472 &amp; "." &amp; E472 &amp; "'", "")</f>
      </c>
      <c r="T472" s="5" t="str">
        <v>Close</v>
      </c>
      <c r="U472" s="5" t="str">
        <v>Open</v>
      </c>
      <c r="X472" s="5"/>
      <c r="Y472" s="5">
        <v>1</v>
      </c>
      <c r="AB472" s="61" t="b">
        <v>0</v>
      </c>
      <c r="AD472" s="1"/>
      <c r="AE472" s="3"/>
      <c r="AF472" s="1"/>
      <c r="AG472" s="1"/>
      <c r="AH472" s="1"/>
    </row>
    <row r="473">
      <c r="A473" s="4" t="str" xml:space="preserve">
        <v> </v>
      </c>
      <c r="B473" s="17"/>
      <c r="C473" s="17"/>
      <c r="D473" s="17"/>
      <c r="E473" s="5">
        <f>IF(F473="", "", TEXTJOIN("_", TRUE, F473:O473))</f>
      </c>
      <c r="Q473">
        <f>"World_"&amp;VLOOKUP(G473,'引用列表'!Q:R,2,FALSE)&amp;"_"&amp;G473</f>
      </c>
      <c r="S473" s="19">
        <f>IF(AE473="✅", "/Script/Engine.StaticMesh'/Game/Item/Mesh/Voxel/" &amp; Q473 &amp; "/" &amp; TEXTJOIN("_", TRUE, H473, I473) &amp; "/" &amp; E473 &amp; "." &amp; E473 &amp; "'", "")</f>
      </c>
      <c r="T473" s="5" t="str">
        <v>Open</v>
      </c>
      <c r="U473" s="5" t="str">
        <v>Open</v>
      </c>
      <c r="X473" s="5">
        <v>1</v>
      </c>
      <c r="Y473" s="5">
        <v>1</v>
      </c>
      <c r="AB473" s="61" t="b">
        <v>0</v>
      </c>
      <c r="AD473" s="1"/>
      <c r="AE473" s="3"/>
      <c r="AF473" s="1"/>
      <c r="AG473" s="1"/>
      <c r="AH473" s="1"/>
    </row>
    <row r="474">
      <c r="A474" s="4" t="str" xml:space="preserve">
        <v> </v>
      </c>
      <c r="B474" s="17"/>
      <c r="C474" s="17"/>
      <c r="D474" s="17"/>
      <c r="E474" s="5">
        <f>IF(F474="", "", TEXTJOIN("_", TRUE, F474:O474))</f>
      </c>
      <c r="Q474">
        <f>"World_"&amp;VLOOKUP(G474,'引用列表'!Q:R,2,FALSE)&amp;"_"&amp;G474</f>
      </c>
      <c r="S474" s="19">
        <f>IF(AE474="✅", "/Script/Engine.StaticMesh'/Game/Item/Mesh/Voxel/" &amp; Q474 &amp; "/" &amp; TEXTJOIN("_", TRUE, H474, I474) &amp; "/" &amp; E474 &amp; "." &amp; E474 &amp; "'", "")</f>
      </c>
      <c r="T474" s="5" t="str">
        <v>Open</v>
      </c>
      <c r="U474" s="5" t="str">
        <v>Close</v>
      </c>
      <c r="X474" s="5">
        <v>1</v>
      </c>
      <c r="AB474" s="61" t="b">
        <v>1</v>
      </c>
      <c r="AD474" s="1"/>
      <c r="AE474" s="3"/>
      <c r="AF474" s="1"/>
      <c r="AG474" s="1"/>
      <c r="AH474" s="1"/>
    </row>
    <row r="475">
      <c r="A475" s="4" t="str" xml:space="preserve">
        <v> </v>
      </c>
      <c r="B475" s="17"/>
      <c r="C475" s="17"/>
      <c r="D475" s="17"/>
      <c r="E475" s="5">
        <f>IF(F475="", "", TEXTJOIN("_", TRUE, F475:O475))</f>
      </c>
      <c r="Q475">
        <f>"World_"&amp;VLOOKUP(G475,'引用列表'!Q:R,2,FALSE)&amp;"_"&amp;G475</f>
      </c>
      <c r="S475" s="19">
        <f>IF(AE475="✅", "/Script/Engine.StaticMesh'/Game/Item/Mesh/Voxel/" &amp; Q475 &amp; "/" &amp; TEXTJOIN("_", TRUE, H475, I475) &amp; "/" &amp; E475 &amp; "." &amp; E475 &amp; "'", "")</f>
      </c>
      <c r="T475" s="5" t="str">
        <v>Close</v>
      </c>
      <c r="U475" s="5" t="str">
        <v>Open</v>
      </c>
      <c r="X475" s="5"/>
      <c r="Y475" s="5">
        <v>2</v>
      </c>
      <c r="AB475" s="61" t="b">
        <v>0</v>
      </c>
      <c r="AD475" s="1"/>
      <c r="AE475" s="3"/>
      <c r="AF475" s="1"/>
      <c r="AG475" s="1"/>
      <c r="AH475" s="1"/>
    </row>
    <row r="476">
      <c r="A476" s="4" t="str" xml:space="preserve">
        <v> </v>
      </c>
      <c r="B476" s="17"/>
      <c r="C476" s="17"/>
      <c r="D476" s="17"/>
      <c r="E476" s="5">
        <f>IF(F476="", "", TEXTJOIN("_", TRUE, F476:O476))</f>
      </c>
      <c r="Q476">
        <f>"World_"&amp;VLOOKUP(G476,'引用列表'!Q:R,2,FALSE)&amp;"_"&amp;G476</f>
      </c>
      <c r="S476" s="19">
        <f>IF(AE476="✅", "/Script/Engine.StaticMesh'/Game/Item/Mesh/Voxel/" &amp; Q476 &amp; "/" &amp; TEXTJOIN("_", TRUE, H476, I476) &amp; "/" &amp; E476 &amp; "." &amp; E476 &amp; "'", "")</f>
      </c>
      <c r="T476" s="5" t="str">
        <v>Open</v>
      </c>
      <c r="U476" s="5" t="str">
        <v>Open</v>
      </c>
      <c r="X476" s="5">
        <v>2</v>
      </c>
      <c r="Y476" s="5">
        <v>2</v>
      </c>
      <c r="AB476" s="61" t="b">
        <v>0</v>
      </c>
      <c r="AD476" s="1"/>
      <c r="AE476" s="3"/>
      <c r="AF476" s="1"/>
      <c r="AG476" s="1"/>
      <c r="AH476" s="1"/>
    </row>
    <row r="477">
      <c r="A477" s="4" t="str" xml:space="preserve">
        <v> </v>
      </c>
      <c r="B477" s="17"/>
      <c r="C477" s="17"/>
      <c r="D477" s="17"/>
      <c r="E477" s="5">
        <f>IF(F477="", "", TEXTJOIN("_", TRUE, F477:O477))</f>
      </c>
      <c r="Q477">
        <f>"World_"&amp;VLOOKUP(G477,'引用列表'!Q:R,2,FALSE)&amp;"_"&amp;G477</f>
      </c>
      <c r="S477" s="19">
        <f>IF(AE477="✅", "/Script/Engine.StaticMesh'/Game/Item/Mesh/Voxel/" &amp; Q477 &amp; "/" &amp; TEXTJOIN("_", TRUE, H477, I477) &amp; "/" &amp; E477 &amp; "." &amp; E477 &amp; "'", "")</f>
      </c>
      <c r="T477" s="5" t="str">
        <v>Open</v>
      </c>
      <c r="U477" s="5" t="str">
        <v>Close</v>
      </c>
      <c r="X477" s="5">
        <v>2</v>
      </c>
      <c r="AB477" s="61" t="b">
        <v>1</v>
      </c>
      <c r="AD477" s="1"/>
      <c r="AE477" s="3"/>
      <c r="AF477" s="1"/>
      <c r="AG477" s="1"/>
      <c r="AH477" s="1"/>
    </row>
    <row r="478">
      <c r="A478" s="4" t="str" xml:space="preserve">
        <v> </v>
      </c>
      <c r="B478" s="17"/>
      <c r="C478" s="17"/>
      <c r="D478" s="17"/>
      <c r="E478" s="5">
        <f>IF(F478="", "", TEXTJOIN("_", TRUE, F478:O478))</f>
      </c>
      <c r="Q478">
        <f>"World_"&amp;VLOOKUP(G478,'引用列表'!Q:R,2,FALSE)&amp;"_"&amp;G478</f>
      </c>
      <c r="S478" s="19">
        <f>IF(AE478="✅", "/Script/Engine.StaticMesh'/Game/Item/Mesh/Voxel/" &amp; Q478 &amp; "/" &amp; TEXTJOIN("_", TRUE, H478, I478) &amp; "/" &amp; E478 &amp; "." &amp; E478 &amp; "'", "")</f>
      </c>
      <c r="T478" s="5" t="str">
        <v>Close</v>
      </c>
      <c r="U478" s="5" t="str">
        <v>Open</v>
      </c>
      <c r="X478" s="5"/>
      <c r="Y478" s="5">
        <v>3</v>
      </c>
      <c r="AB478" s="61" t="b">
        <v>0</v>
      </c>
      <c r="AD478" s="1"/>
      <c r="AE478" s="3"/>
      <c r="AF478" s="1"/>
      <c r="AG478" s="1"/>
      <c r="AH478" s="1"/>
    </row>
    <row r="479">
      <c r="A479" s="4" t="str" xml:space="preserve">
        <v> </v>
      </c>
      <c r="B479" s="17"/>
      <c r="C479" s="17"/>
      <c r="D479" s="17"/>
      <c r="E479" s="5">
        <f>IF(F479="", "", TEXTJOIN("_", TRUE, F479:O479))</f>
      </c>
      <c r="Q479">
        <f>"World_"&amp;VLOOKUP(G479,'引用列表'!Q:R,2,FALSE)&amp;"_"&amp;G479</f>
      </c>
      <c r="S479" s="19">
        <f>IF(AE479="✅", "/Script/Engine.StaticMesh'/Game/Item/Mesh/Voxel/" &amp; Q479 &amp; "/" &amp; TEXTJOIN("_", TRUE, H479, I479) &amp; "/" &amp; E479 &amp; "." &amp; E479 &amp; "'", "")</f>
      </c>
      <c r="T479" s="5" t="str">
        <v>Open</v>
      </c>
      <c r="U479" s="5" t="str">
        <v>Open</v>
      </c>
      <c r="X479" s="5">
        <v>3</v>
      </c>
      <c r="Y479" s="5">
        <v>3</v>
      </c>
      <c r="AB479" s="61" t="b">
        <v>0</v>
      </c>
      <c r="AD479" s="1"/>
      <c r="AE479" s="3"/>
      <c r="AF479" s="1"/>
      <c r="AG479" s="1"/>
      <c r="AH479" s="1"/>
    </row>
    <row r="480">
      <c r="A480" s="4" t="str" xml:space="preserve">
        <v> </v>
      </c>
      <c r="B480" s="17"/>
      <c r="C480" s="17"/>
      <c r="D480" s="17"/>
      <c r="E480" s="5">
        <f>IF(F480="", "", TEXTJOIN("_", TRUE, F480:O480))</f>
      </c>
      <c r="Q480">
        <f>"World_"&amp;VLOOKUP(G480,'引用列表'!Q:R,2,FALSE)&amp;"_"&amp;G480</f>
      </c>
      <c r="S480" s="19">
        <f>IF(AE480="✅", "/Script/Engine.StaticMesh'/Game/Item/Mesh/Voxel/" &amp; Q480 &amp; "/" &amp; TEXTJOIN("_", TRUE, H480, I480) &amp; "/" &amp; E480 &amp; "." &amp; E480 &amp; "'", "")</f>
      </c>
      <c r="T480" s="5" t="str">
        <v>Open</v>
      </c>
      <c r="U480" s="5" t="str">
        <v>Close</v>
      </c>
      <c r="X480" s="5">
        <v>3</v>
      </c>
      <c r="AB480" s="61" t="b">
        <v>1</v>
      </c>
      <c r="AD480" s="1"/>
      <c r="AE480" s="3"/>
      <c r="AF480" s="1"/>
      <c r="AG480" s="1"/>
      <c r="AH480" s="1"/>
    </row>
    <row r="481">
      <c r="A481" s="4" t="str" xml:space="preserve">
        <v> </v>
      </c>
      <c r="B481" s="17"/>
      <c r="C481" s="17"/>
      <c r="D481" s="17"/>
      <c r="E481" s="5">
        <f>IF(F481="", "", TEXTJOIN("_", TRUE, F481:O481))</f>
      </c>
      <c r="Q481">
        <f>"World_"&amp;VLOOKUP(G481,'引用列表'!Q:R,2,FALSE)&amp;"_"&amp;G481</f>
      </c>
      <c r="S481" s="19">
        <f>IF(AE481="✅", "/Script/Engine.StaticMesh'/Game/Item/Mesh/Voxel/" &amp; Q481 &amp; "/" &amp; TEXTJOIN("_", TRUE, H481, I481) &amp; "/" &amp; E481 &amp; "." &amp; E481 &amp; "'", "")</f>
      </c>
      <c r="T481" s="5" t="str">
        <v>Close</v>
      </c>
      <c r="U481" s="5" t="str">
        <v>Open</v>
      </c>
      <c r="X481" s="5"/>
      <c r="Y481" s="5">
        <v>4</v>
      </c>
      <c r="AB481" s="61" t="b">
        <v>0</v>
      </c>
      <c r="AD481" s="1"/>
      <c r="AE481" s="3"/>
      <c r="AF481" s="1"/>
      <c r="AG481" s="1"/>
      <c r="AH481" s="1"/>
    </row>
    <row r="482">
      <c r="A482" s="4" t="str" xml:space="preserve">
        <v> </v>
      </c>
      <c r="B482" s="17"/>
      <c r="C482" s="17"/>
      <c r="D482" s="17"/>
      <c r="E482" s="5">
        <f>IF(F482="", "", TEXTJOIN("_", TRUE, F482:O482))</f>
      </c>
      <c r="Q482">
        <f>"World_"&amp;VLOOKUP(G482,'引用列表'!Q:R,2,FALSE)&amp;"_"&amp;G482</f>
      </c>
      <c r="S482" s="19">
        <f>IF(AE482="✅", "/Script/Engine.StaticMesh'/Game/Item/Mesh/Voxel/" &amp; Q482 &amp; "/" &amp; TEXTJOIN("_", TRUE, H482, I482) &amp; "/" &amp; E482 &amp; "." &amp; E482 &amp; "'", "")</f>
      </c>
      <c r="T482" s="5" t="str">
        <v>Open</v>
      </c>
      <c r="U482" s="5" t="str">
        <v>Open</v>
      </c>
      <c r="X482" s="5">
        <v>4</v>
      </c>
      <c r="Y482" s="5">
        <v>4</v>
      </c>
      <c r="AB482" s="61" t="b">
        <v>0</v>
      </c>
      <c r="AD482" s="1"/>
      <c r="AE482" s="3"/>
      <c r="AF482" s="1"/>
      <c r="AG482" s="1"/>
      <c r="AH482" s="1"/>
    </row>
    <row r="483">
      <c r="A483" s="4" t="str" xml:space="preserve">
        <v> </v>
      </c>
      <c r="B483" s="17"/>
      <c r="C483" s="17"/>
      <c r="D483" s="17"/>
      <c r="E483" s="5">
        <f>IF(F483="", "", TEXTJOIN("_", TRUE, F483:O483))</f>
      </c>
      <c r="Q483">
        <f>"World_"&amp;VLOOKUP(G483,'引用列表'!Q:R,2,FALSE)&amp;"_"&amp;G483</f>
      </c>
      <c r="S483" s="19">
        <f>IF(AE483="✅", "/Script/Engine.StaticMesh'/Game/Item/Mesh/Voxel/" &amp; Q483 &amp; "/" &amp; TEXTJOIN("_", TRUE, H483, I483) &amp; "/" &amp; E483 &amp; "." &amp; E483 &amp; "'", "")</f>
      </c>
      <c r="T483" s="5" t="str">
        <v>Open</v>
      </c>
      <c r="U483" s="5" t="str">
        <v>Close</v>
      </c>
      <c r="X483" s="5">
        <v>4</v>
      </c>
      <c r="AB483" s="61" t="b">
        <v>1</v>
      </c>
      <c r="AD483" s="1"/>
      <c r="AE483" s="3"/>
      <c r="AF483" s="1"/>
      <c r="AG483" s="1"/>
      <c r="AH483" s="1"/>
    </row>
    <row r="484">
      <c r="A484" s="4" t="str" xml:space="preserve">
        <v> </v>
      </c>
      <c r="B484" s="17"/>
      <c r="C484" s="17"/>
      <c r="D484" s="17"/>
      <c r="E484" s="5">
        <f>IF(F484="", "", TEXTJOIN("_", TRUE, F484:O484))</f>
      </c>
      <c r="Q484">
        <f>"World_"&amp;VLOOKUP(G484,'引用列表'!Q:R,2,FALSE)&amp;"_"&amp;G484</f>
      </c>
      <c r="S484" s="19">
        <f>IF(AE484="✅", "/Script/Engine.StaticMesh'/Game/Item/Mesh/Voxel/" &amp; Q484 &amp; "/" &amp; TEXTJOIN("_", TRUE, H484, I484) &amp; "/" &amp; E484 &amp; "." &amp; E484 &amp; "'", "")</f>
      </c>
      <c r="T484" s="5" t="str">
        <v>Close</v>
      </c>
      <c r="U484" s="5" t="str">
        <v>Open</v>
      </c>
      <c r="X484" s="5"/>
      <c r="Y484" s="5">
        <v>5</v>
      </c>
      <c r="AB484" s="61" t="b">
        <v>0</v>
      </c>
      <c r="AD484" s="1"/>
      <c r="AE484" s="3"/>
      <c r="AF484" s="1"/>
      <c r="AG484" s="1"/>
      <c r="AH484" s="1"/>
    </row>
    <row r="485">
      <c r="A485" s="4" t="str" xml:space="preserve">
        <v> </v>
      </c>
      <c r="B485" s="17"/>
      <c r="C485" s="17"/>
      <c r="D485" s="17"/>
      <c r="E485" s="5">
        <f>IF(F485="", "", TEXTJOIN("_", TRUE, F485:O485))</f>
      </c>
      <c r="Q485">
        <f>"World_"&amp;VLOOKUP(G485,'引用列表'!Q:R,2,FALSE)&amp;"_"&amp;G485</f>
      </c>
      <c r="S485" s="19">
        <f>IF(AE485="✅", "/Script/Engine.StaticMesh'/Game/Item/Mesh/Voxel/" &amp; Q485 &amp; "/" &amp; TEXTJOIN("_", TRUE, H485, I485) &amp; "/" &amp; E485 &amp; "." &amp; E485 &amp; "'", "")</f>
      </c>
      <c r="T485" s="5" t="str">
        <v>Open</v>
      </c>
      <c r="U485" s="5" t="str">
        <v>Open</v>
      </c>
      <c r="X485" s="5">
        <v>5</v>
      </c>
      <c r="Y485" s="5">
        <v>5</v>
      </c>
      <c r="AB485" s="61" t="b">
        <v>0</v>
      </c>
      <c r="AD485" s="1"/>
      <c r="AE485" s="3"/>
      <c r="AF485" s="1"/>
      <c r="AG485" s="1"/>
      <c r="AH485" s="1"/>
    </row>
    <row r="486">
      <c r="A486" s="4" t="str" xml:space="preserve">
        <v> </v>
      </c>
      <c r="B486" s="17"/>
      <c r="C486" s="17"/>
      <c r="D486" s="17"/>
      <c r="E486" s="5">
        <f>IF(F486="", "", TEXTJOIN("_", TRUE, F486:O486))</f>
      </c>
      <c r="Q486">
        <f>"World_"&amp;VLOOKUP(G486,'引用列表'!Q:R,2,FALSE)&amp;"_"&amp;G486</f>
      </c>
      <c r="S486" s="19">
        <f>IF(AE486="✅", "/Script/Engine.StaticMesh'/Game/Item/Mesh/Voxel/" &amp; Q486 &amp; "/" &amp; TEXTJOIN("_", TRUE, H486, I486) &amp; "/" &amp; E486 &amp; "." &amp; E486 &amp; "'", "")</f>
      </c>
      <c r="T486" s="5" t="str">
        <v>Open</v>
      </c>
      <c r="U486" s="5" t="str">
        <v>Close</v>
      </c>
      <c r="X486" s="5">
        <v>5</v>
      </c>
      <c r="AB486" s="61" t="b">
        <v>1</v>
      </c>
      <c r="AD486" s="1"/>
      <c r="AE486" s="3"/>
      <c r="AF486" s="1"/>
      <c r="AG486" s="1"/>
      <c r="AH486" s="1"/>
    </row>
    <row r="487">
      <c r="A487" s="4" t="str" xml:space="preserve">
        <v> </v>
      </c>
      <c r="B487" s="17"/>
      <c r="C487" s="17"/>
      <c r="D487" s="17"/>
      <c r="E487" s="5">
        <f>IF(F487="", "", TEXTJOIN("_", TRUE, F487:O487))</f>
      </c>
      <c r="Q487">
        <f>"World_"&amp;VLOOKUP(G487,'引用列表'!Q:R,2,FALSE)&amp;"_"&amp;G487</f>
      </c>
      <c r="S487" s="19">
        <f>IF(AE487="✅", "/Script/Engine.StaticMesh'/Game/Item/Mesh/Voxel/" &amp; Q487 &amp; "/" &amp; TEXTJOIN("_", TRUE, H487, I487) &amp; "/" &amp; E487 &amp; "." &amp; E487 &amp; "'", "")</f>
      </c>
      <c r="T487" s="5" t="str">
        <v>Close</v>
      </c>
      <c r="U487" s="5" t="str">
        <v>Open</v>
      </c>
      <c r="X487" s="5"/>
      <c r="Y487" s="5">
        <v>6</v>
      </c>
      <c r="AB487" s="61" t="b">
        <v>0</v>
      </c>
      <c r="AD487" s="1"/>
      <c r="AE487" s="3"/>
      <c r="AF487" s="1"/>
      <c r="AG487" s="1"/>
      <c r="AH487" s="1"/>
    </row>
    <row r="488">
      <c r="A488" s="4" t="str" xml:space="preserve">
        <v> </v>
      </c>
      <c r="B488" s="17"/>
      <c r="C488" s="17"/>
      <c r="D488" s="17"/>
      <c r="E488" s="5">
        <f>IF(F488="", "", TEXTJOIN("_", TRUE, F488:O488))</f>
      </c>
      <c r="Q488">
        <f>"World_"&amp;VLOOKUP(G488,'引用列表'!Q:R,2,FALSE)&amp;"_"&amp;G488</f>
      </c>
      <c r="S488" s="19">
        <f>IF(AE488="✅", "/Script/Engine.StaticMesh'/Game/Item/Mesh/Voxel/" &amp; Q488 &amp; "/" &amp; TEXTJOIN("_", TRUE, H488, I488) &amp; "/" &amp; E488 &amp; "." &amp; E488 &amp; "'", "")</f>
      </c>
      <c r="T488" s="5" t="str">
        <v>Open</v>
      </c>
      <c r="U488" s="5" t="str">
        <v>Open</v>
      </c>
      <c r="X488" s="5">
        <v>6</v>
      </c>
      <c r="Y488" s="5">
        <v>6</v>
      </c>
      <c r="AB488" s="61" t="b">
        <v>0</v>
      </c>
      <c r="AD488" s="1"/>
      <c r="AE488" s="3"/>
      <c r="AF488" s="1"/>
      <c r="AG488" s="1"/>
      <c r="AH488" s="1"/>
    </row>
    <row r="489">
      <c r="A489" s="4" t="str" xml:space="preserve">
        <v> </v>
      </c>
      <c r="B489" s="17"/>
      <c r="C489" s="17"/>
      <c r="D489" s="17"/>
      <c r="E489" s="5">
        <f>IF(F489="", "", TEXTJOIN("_", TRUE, F489:O489))</f>
      </c>
      <c r="Q489">
        <f>"World_"&amp;VLOOKUP(G489,'引用列表'!Q:R,2,FALSE)&amp;"_"&amp;G489</f>
      </c>
      <c r="S489" s="19">
        <f>IF(AE489="✅", "/Script/Engine.StaticMesh'/Game/Item/Mesh/Voxel/" &amp; Q489 &amp; "/" &amp; TEXTJOIN("_", TRUE, H489, I489) &amp; "/" &amp; E489 &amp; "." &amp; E489 &amp; "'", "")</f>
      </c>
      <c r="T489" s="5" t="str">
        <v>Open</v>
      </c>
      <c r="U489" s="5" t="str">
        <v>Close</v>
      </c>
      <c r="X489" s="5">
        <v>6</v>
      </c>
      <c r="AB489" s="61" t="b">
        <v>1</v>
      </c>
      <c r="AD489" s="1"/>
      <c r="AE489" s="3"/>
      <c r="AF489" s="1"/>
      <c r="AG489" s="1"/>
      <c r="AH489" s="1"/>
    </row>
    <row r="490">
      <c r="A490" s="4" t="str" xml:space="preserve">
        <v> </v>
      </c>
      <c r="B490" s="17"/>
      <c r="C490" s="17"/>
      <c r="D490" s="17"/>
      <c r="E490" s="5">
        <f>IF(F490="", "", TEXTJOIN("_", TRUE, F490:O490))</f>
      </c>
      <c r="Q490">
        <f>"World_"&amp;VLOOKUP(G490,'引用列表'!Q:R,2,FALSE)&amp;"_"&amp;G490</f>
      </c>
      <c r="S490" s="19">
        <f>IF(AE490="✅", "/Script/Engine.StaticMesh'/Game/Item/Mesh/Voxel/" &amp; Q490 &amp; "/" &amp; TEXTJOIN("_", TRUE, H490, I490) &amp; "/" &amp; E490 &amp; "." &amp; E490 &amp; "'", "")</f>
      </c>
      <c r="T490" s="5" t="str">
        <v>Close</v>
      </c>
      <c r="U490" s="5" t="str">
        <v>Open</v>
      </c>
      <c r="X490" s="5"/>
      <c r="Y490" s="5">
        <v>7</v>
      </c>
      <c r="AB490" s="61" t="b">
        <v>0</v>
      </c>
      <c r="AD490" s="1"/>
      <c r="AE490" s="3"/>
      <c r="AF490" s="1"/>
      <c r="AG490" s="1"/>
      <c r="AH490" s="1"/>
    </row>
    <row r="491">
      <c r="A491" s="4" t="str" xml:space="preserve">
        <v> </v>
      </c>
      <c r="B491" s="17"/>
      <c r="C491" s="17"/>
      <c r="D491" s="17"/>
      <c r="E491" s="5">
        <f>IF(F491="", "", TEXTJOIN("_", TRUE, F491:O491))</f>
      </c>
      <c r="Q491">
        <f>"World_"&amp;VLOOKUP(G491,'引用列表'!Q:R,2,FALSE)&amp;"_"&amp;G491</f>
      </c>
      <c r="S491" s="19">
        <f>IF(AE491="✅", "/Script/Engine.StaticMesh'/Game/Item/Mesh/Voxel/" &amp; Q491 &amp; "/" &amp; TEXTJOIN("_", TRUE, H491, I491) &amp; "/" &amp; E491 &amp; "." &amp; E491 &amp; "'", "")</f>
      </c>
      <c r="T491" s="5" t="str">
        <v>Open</v>
      </c>
      <c r="U491" s="5" t="str">
        <v>Open</v>
      </c>
      <c r="X491" s="5">
        <v>7</v>
      </c>
      <c r="Y491" s="5">
        <v>7</v>
      </c>
      <c r="AB491" s="61" t="b">
        <v>0</v>
      </c>
      <c r="AD491" s="1"/>
      <c r="AE491" s="3"/>
      <c r="AF491" s="1"/>
      <c r="AG491" s="1"/>
      <c r="AH491" s="1"/>
    </row>
    <row r="492">
      <c r="A492" s="4" t="str" xml:space="preserve">
        <v> </v>
      </c>
      <c r="B492" s="17"/>
      <c r="C492" s="17"/>
      <c r="D492" s="17"/>
      <c r="E492" s="5">
        <f>IF(F492="", "", TEXTJOIN("_", TRUE, F492:O492))</f>
      </c>
      <c r="Q492">
        <f>"World_"&amp;VLOOKUP(G492,'引用列表'!Q:R,2,FALSE)&amp;"_"&amp;G492</f>
      </c>
      <c r="S492" s="19">
        <f>IF(AE492="✅", "/Script/Engine.StaticMesh'/Game/Item/Mesh/Voxel/" &amp; Q492 &amp; "/" &amp; TEXTJOIN("_", TRUE, H492, I492) &amp; "/" &amp; E492 &amp; "." &amp; E492 &amp; "'", "")</f>
      </c>
      <c r="T492" s="5" t="str">
        <v>Open</v>
      </c>
      <c r="U492" s="5" t="str">
        <v>Close</v>
      </c>
      <c r="X492" s="5">
        <v>7</v>
      </c>
      <c r="AB492" s="61" t="b">
        <v>1</v>
      </c>
      <c r="AD492" s="1"/>
      <c r="AE492" s="3"/>
      <c r="AF492" s="1"/>
      <c r="AG492" s="1"/>
      <c r="AH492" s="1"/>
    </row>
    <row r="493">
      <c r="A493" s="4" t="str" xml:space="preserve">
        <v> </v>
      </c>
      <c r="B493" s="17"/>
      <c r="C493" s="17"/>
      <c r="D493" s="17"/>
      <c r="E493" s="5">
        <f>IF(F493="", "", TEXTJOIN("_", TRUE, F493:O493))</f>
      </c>
      <c r="Q493">
        <f>"World_"&amp;VLOOKUP(G493,'引用列表'!Q:R,2,FALSE)&amp;"_"&amp;G493</f>
      </c>
      <c r="S493" s="19">
        <f>IF(AE493="✅", "/Script/Engine.StaticMesh'/Game/Item/Mesh/Voxel/" &amp; Q493 &amp; "/" &amp; TEXTJOIN("_", TRUE, H493, I493) &amp; "/" &amp; E493 &amp; "." &amp; E493 &amp; "'", "")</f>
      </c>
      <c r="T493" s="5" t="str">
        <v>Close</v>
      </c>
      <c r="U493" s="5" t="str">
        <v>Open</v>
      </c>
      <c r="X493" s="5"/>
      <c r="Y493" s="5">
        <v>9</v>
      </c>
      <c r="AB493" s="61" t="b">
        <v>0</v>
      </c>
      <c r="AD493" s="1"/>
      <c r="AE493" s="3"/>
      <c r="AF493" s="1"/>
      <c r="AG493" s="1"/>
      <c r="AH493" s="1"/>
    </row>
    <row r="494">
      <c r="A494" s="4" t="str" xml:space="preserve">
        <v> </v>
      </c>
      <c r="B494" s="17"/>
      <c r="C494" s="17"/>
      <c r="D494" s="17"/>
      <c r="E494" s="5">
        <f>IF(F494="", "", TEXTJOIN("_", TRUE, F494:O494))</f>
      </c>
      <c r="Q494">
        <f>"World_"&amp;VLOOKUP(G494,'引用列表'!Q:R,2,FALSE)&amp;"_"&amp;G494</f>
      </c>
      <c r="S494" s="19">
        <f>IF(AE494="✅", "/Script/Engine.StaticMesh'/Game/Item/Mesh/Voxel/" &amp; Q494 &amp; "/" &amp; TEXTJOIN("_", TRUE, H494, I494) &amp; "/" &amp; E494 &amp; "." &amp; E494 &amp; "'", "")</f>
      </c>
      <c r="T494" s="5" t="str">
        <v>Open</v>
      </c>
      <c r="U494" s="5" t="str">
        <v>Open</v>
      </c>
      <c r="X494" s="5">
        <v>9</v>
      </c>
      <c r="Y494" s="5">
        <v>9</v>
      </c>
      <c r="AB494" s="61" t="b">
        <v>0</v>
      </c>
      <c r="AD494" s="1"/>
      <c r="AE494" s="3"/>
      <c r="AF494" s="1"/>
      <c r="AG494" s="1"/>
      <c r="AH494" s="1"/>
    </row>
    <row customHeight="true" ht="19" r="495">
      <c r="A495" s="4" t="str" xml:space="preserve">
        <v> </v>
      </c>
      <c r="B495" s="17"/>
      <c r="C495" s="17"/>
      <c r="D495" s="17"/>
      <c r="E495" s="5">
        <f>IF(F495="", "", TEXTJOIN("_", TRUE, F495:O495))</f>
      </c>
      <c r="Q495">
        <f>"World_"&amp;VLOOKUP(G495,'引用列表'!Q:R,2,FALSE)&amp;"_"&amp;G495</f>
      </c>
      <c r="S495" s="19">
        <f>IF(AE495="✅", "/Script/Engine.StaticMesh'/Game/Item/Mesh/Voxel/" &amp; Q495 &amp; "/" &amp; TEXTJOIN("_", TRUE, H495, I495) &amp; "/" &amp; E495 &amp; "." &amp; E495 &amp; "'", "")</f>
      </c>
      <c r="T495" s="5" t="str">
        <v>Open</v>
      </c>
      <c r="U495" s="5" t="str">
        <v>Open</v>
      </c>
      <c r="X495" s="5">
        <v>9</v>
      </c>
      <c r="Y495" s="5">
        <v>9</v>
      </c>
      <c r="AB495" s="61" t="b">
        <v>0</v>
      </c>
      <c r="AD495" s="1"/>
      <c r="AE495" s="3"/>
      <c r="AF495" s="1"/>
      <c r="AG495" s="1"/>
      <c r="AH495" s="1"/>
    </row>
    <row r="496">
      <c r="A496" s="4" t="str" xml:space="preserve">
        <v> </v>
      </c>
      <c r="B496" s="17"/>
      <c r="C496" s="17"/>
      <c r="D496" s="17"/>
      <c r="E496" s="5">
        <f>IF(F496="", "", TEXTJOIN("_", TRUE, F496:O496))</f>
      </c>
      <c r="Q496">
        <f>"World_"&amp;VLOOKUP(G496,'引用列表'!Q:R,2,FALSE)&amp;"_"&amp;G496</f>
      </c>
      <c r="S496" s="19">
        <f>IF(AE496="✅", "/Script/Engine.StaticMesh'/Game/Item/Mesh/Voxel/" &amp; Q496 &amp; "/" &amp; TEXTJOIN("_", TRUE, H496, I496) &amp; "/" &amp; E496 &amp; "." &amp; E496 &amp; "'", "")</f>
      </c>
      <c r="T496" s="5" t="str">
        <v>Open</v>
      </c>
      <c r="U496" s="5" t="str">
        <v>Close</v>
      </c>
      <c r="X496" s="5">
        <v>9</v>
      </c>
      <c r="AB496" s="61" t="b">
        <v>1</v>
      </c>
      <c r="AD496" s="1"/>
      <c r="AE496" s="3"/>
      <c r="AF496" s="1"/>
      <c r="AG496" s="1"/>
      <c r="AH496" s="1"/>
    </row>
    <row r="497">
      <c r="A497" s="4" t="str" xml:space="preserve">
        <v> </v>
      </c>
      <c r="B497" s="17"/>
      <c r="C497" s="17"/>
      <c r="D497" s="17"/>
      <c r="E497" s="5">
        <f>IF(F497="", "", TEXTJOIN("_", TRUE, F497:O497))</f>
      </c>
      <c r="Q497">
        <f>"World_"&amp;VLOOKUP(G497,'引用列表'!Q:R,2,FALSE)&amp;"_"&amp;G497</f>
      </c>
      <c r="S497" s="19">
        <f>IF(AE497="✅", "/Script/Engine.StaticMesh'/Game/Item/Mesh/Voxel/" &amp; Q497 &amp; "/" &amp; TEXTJOIN("_", TRUE, H497, I497) &amp; "/" &amp; E497 &amp; "." &amp; E497 &amp; "'", "")</f>
      </c>
      <c r="T497" s="5" t="str">
        <v>Close</v>
      </c>
      <c r="U497" s="5" t="str">
        <v>Open</v>
      </c>
      <c r="X497" s="5"/>
      <c r="Y497" s="5">
        <v>10</v>
      </c>
      <c r="AB497" s="61" t="b">
        <v>0</v>
      </c>
      <c r="AD497" s="1"/>
      <c r="AE497" s="3"/>
      <c r="AF497" s="1"/>
      <c r="AG497" s="1"/>
      <c r="AH497" s="1"/>
    </row>
    <row r="498">
      <c r="A498" s="4" t="str" xml:space="preserve">
        <v> </v>
      </c>
      <c r="B498" s="17"/>
      <c r="C498" s="17"/>
      <c r="D498" s="17"/>
      <c r="E498" s="5">
        <f>IF(F498="", "", TEXTJOIN("_", TRUE, F498:O498))</f>
      </c>
      <c r="Q498">
        <f>"World_"&amp;VLOOKUP(G498,'引用列表'!Q:R,2,FALSE)&amp;"_"&amp;G498</f>
      </c>
      <c r="S498" s="19">
        <f>IF(AE498="✅", "/Script/Engine.StaticMesh'/Game/Item/Mesh/Voxel/" &amp; Q498 &amp; "/" &amp; TEXTJOIN("_", TRUE, H498, I498) &amp; "/" &amp; E498 &amp; "." &amp; E498 &amp; "'", "")</f>
      </c>
      <c r="T498" s="5" t="str">
        <v>Open</v>
      </c>
      <c r="U498" s="5" t="str">
        <v>Open</v>
      </c>
      <c r="X498" s="5">
        <v>10</v>
      </c>
      <c r="Y498" s="5">
        <v>10</v>
      </c>
      <c r="AB498" s="61" t="b">
        <v>0</v>
      </c>
      <c r="AD498" s="1"/>
      <c r="AE498" s="3"/>
      <c r="AF498" s="1"/>
      <c r="AG498" s="1"/>
      <c r="AH498" s="1"/>
    </row>
    <row r="499">
      <c r="A499" s="4" t="str" xml:space="preserve">
        <v> </v>
      </c>
      <c r="B499" s="17"/>
      <c r="C499" s="17"/>
      <c r="D499" s="17"/>
      <c r="E499" s="5">
        <f>IF(F499="", "", TEXTJOIN("_", TRUE, F499:O499))</f>
      </c>
      <c r="Q499">
        <f>"World_"&amp;VLOOKUP(G499,'引用列表'!Q:R,2,FALSE)&amp;"_"&amp;G499</f>
      </c>
      <c r="S499" s="19">
        <f>IF(AE499="✅", "/Script/Engine.StaticMesh'/Game/Item/Mesh/Voxel/" &amp; Q499 &amp; "/" &amp; TEXTJOIN("_", TRUE, H499, I499) &amp; "/" &amp; E499 &amp; "." &amp; E499 &amp; "'", "")</f>
      </c>
      <c r="T499" s="5" t="str">
        <v>Open</v>
      </c>
      <c r="U499" s="5" t="str">
        <v>Close</v>
      </c>
      <c r="X499" s="5">
        <v>10</v>
      </c>
      <c r="AB499" s="61" t="b">
        <v>1</v>
      </c>
      <c r="AD499" s="1"/>
      <c r="AE499" s="3"/>
      <c r="AF499" s="1"/>
      <c r="AG499" s="1"/>
      <c r="AH499" s="1"/>
    </row>
    <row r="500">
      <c r="A500" s="4" t="str" xml:space="preserve">
        <v> </v>
      </c>
      <c r="B500" s="17"/>
      <c r="C500" s="17"/>
      <c r="D500" s="17"/>
      <c r="E500">
        <f>IF(F500="", "", TEXTJOIN("_", TRUE, F500:O500))</f>
      </c>
      <c r="Q500">
        <f>"World_"&amp;VLOOKUP(G500,'引用列表'!Q:R,2,FALSE)&amp;"_"&amp;G500</f>
      </c>
      <c r="S500" s="9">
        <f>IF(AE500="✅", "/Script/Engine.StaticMesh'/Game/Item/Mesh/Voxel/" &amp; Q500 &amp; "/" &amp; TEXTJOIN("_", TRUE, H500, I500) &amp; "/" &amp; E500 &amp; "." &amp; E500 &amp; "'", "")</f>
      </c>
      <c r="AD500" s="1"/>
      <c r="AF500" s="1"/>
      <c r="AG500" s="1"/>
      <c r="AH500" s="1"/>
    </row>
    <row r="501">
      <c r="A501" s="4" t="str" xml:space="preserve">
        <v> </v>
      </c>
      <c r="B501" s="17"/>
      <c r="C501" s="17"/>
      <c r="D501" s="17"/>
      <c r="E501">
        <f>IF(F501="", "", TEXTJOIN("_", TRUE, F501:O501))</f>
      </c>
      <c r="Q501">
        <f>"World_"&amp;VLOOKUP(G501,'引用列表'!Q:R,2,FALSE)&amp;"_"&amp;G501</f>
      </c>
      <c r="S501" s="9">
        <f>IF(AE501="✅", "/Script/Engine.StaticMesh'/Game/Item/Mesh/Voxel/" &amp; Q501 &amp; "/" &amp; TEXTJOIN("_", TRUE, H501, I501) &amp; "/" &amp; E501 &amp; "." &amp; E501 &amp; "'", "")</f>
      </c>
      <c r="AD501" s="1"/>
      <c r="AF501" s="1"/>
      <c r="AG501" s="1"/>
      <c r="AH501" s="1"/>
    </row>
    <row r="502">
      <c r="A502" s="4" t="str" xml:space="preserve">
        <v> </v>
      </c>
      <c r="B502" s="17"/>
      <c r="C502" s="17"/>
      <c r="D502" s="17"/>
      <c r="E502">
        <f>IF(F502="", "", TEXTJOIN("_", TRUE, F502:O502))</f>
      </c>
      <c r="Q502">
        <f>"World_"&amp;VLOOKUP(G502,'引用列表'!Q:R,2,FALSE)&amp;"_"&amp;G502</f>
      </c>
      <c r="S502" s="9">
        <f>IF(AE502="✅", "/Script/Engine.StaticMesh'/Game/Item/Mesh/Voxel/" &amp; Q502 &amp; "/" &amp; TEXTJOIN("_", TRUE, H502, I502) &amp; "/" &amp; E502 &amp; "." &amp; E502 &amp; "'", "")</f>
      </c>
      <c r="AD502" s="1"/>
      <c r="AF502" s="1"/>
      <c r="AG502" s="1"/>
      <c r="AH502" s="1"/>
    </row>
    <row r="503">
      <c r="A503" s="4" t="str" xml:space="preserve">
        <v> </v>
      </c>
      <c r="B503" s="17"/>
      <c r="C503" s="17"/>
      <c r="D503" s="17"/>
      <c r="E503">
        <f>IF(F503="", "", TEXTJOIN("_", TRUE, F503:O503))</f>
      </c>
      <c r="Q503">
        <f>"World_"&amp;VLOOKUP(G503,'引用列表'!Q:R,2,FALSE)&amp;"_"&amp;G503</f>
      </c>
      <c r="S503" s="9">
        <f>IF(AE503="✅", "/Script/Engine.StaticMesh'/Game/Item/Mesh/Voxel/" &amp; Q503 &amp; "/" &amp; TEXTJOIN("_", TRUE, H503, I503) &amp; "/" &amp; E503 &amp; "." &amp; E503 &amp; "'", "")</f>
      </c>
      <c r="AD503" s="1"/>
      <c r="AF503" s="1"/>
      <c r="AG503" s="1"/>
      <c r="AH503" s="1"/>
    </row>
    <row r="504">
      <c r="A504" s="4" t="str" xml:space="preserve">
        <v> </v>
      </c>
      <c r="B504" s="17"/>
      <c r="C504" s="17"/>
      <c r="D504" s="17"/>
      <c r="E504">
        <f>IF(F504="", "", TEXTJOIN("_", TRUE, F504:O504))</f>
      </c>
      <c r="Q504">
        <f>"World_"&amp;VLOOKUP(G504,'引用列表'!Q:R,2,FALSE)&amp;"_"&amp;G504</f>
      </c>
      <c r="S504" s="9">
        <f>IF(AE504="✅", "/Script/Engine.StaticMesh'/Game/Item/Mesh/Voxel/" &amp; Q504 &amp; "/" &amp; TEXTJOIN("_", TRUE, H504, I504) &amp; "/" &amp; E504 &amp; "." &amp; E504 &amp; "'", "")</f>
      </c>
      <c r="AD504" s="1"/>
      <c r="AF504" s="1"/>
      <c r="AG504" s="1"/>
      <c r="AH504" s="1"/>
    </row>
    <row r="505">
      <c r="A505" s="4" t="str" xml:space="preserve">
        <v> </v>
      </c>
      <c r="B505" s="17"/>
      <c r="C505" s="17"/>
      <c r="D505" s="17"/>
      <c r="E505">
        <f>IF(F505="", "", TEXTJOIN("_", TRUE, F505:O505))</f>
      </c>
      <c r="Q505">
        <f>"World_"&amp;VLOOKUP(G505,'引用列表'!Q:R,2,FALSE)&amp;"_"&amp;G505</f>
      </c>
      <c r="S505" s="9">
        <f>IF(AE505="✅", "/Script/Engine.StaticMesh'/Game/Item/Mesh/Voxel/" &amp; Q505 &amp; "/" &amp; TEXTJOIN("_", TRUE, H505, I505) &amp; "/" &amp; E505 &amp; "." &amp; E505 &amp; "'", "")</f>
      </c>
      <c r="AD505" s="1"/>
      <c r="AF505" s="1"/>
      <c r="AG505" s="1"/>
      <c r="AH505" s="1"/>
    </row>
    <row r="506">
      <c r="A506" s="4" t="str" xml:space="preserve">
        <v> </v>
      </c>
      <c r="B506" s="17"/>
      <c r="C506" s="17"/>
      <c r="D506" s="17"/>
      <c r="E506">
        <f>IF(F506="", "", TEXTJOIN("_", TRUE, F506:O506))</f>
      </c>
      <c r="Q506">
        <f>"World_"&amp;VLOOKUP(G506,'引用列表'!Q:R,2,FALSE)&amp;"_"&amp;G506</f>
      </c>
      <c r="S506" s="9">
        <f>IF(AE506="✅", "/Script/Engine.StaticMesh'/Game/Item/Mesh/Voxel/" &amp; Q506 &amp; "/" &amp; TEXTJOIN("_", TRUE, H506, I506) &amp; "/" &amp; E506 &amp; "." &amp; E506 &amp; "'", "")</f>
      </c>
      <c r="AD506" s="1"/>
      <c r="AF506" s="1"/>
      <c r="AG506" s="1"/>
      <c r="AH506" s="1"/>
    </row>
    <row r="507">
      <c r="A507" s="4" t="str" xml:space="preserve">
        <v> </v>
      </c>
      <c r="B507" s="17"/>
      <c r="C507" s="17"/>
      <c r="D507" s="17"/>
      <c r="E507">
        <f>IF(F507="", "", TEXTJOIN("_", TRUE, F507:O507))</f>
      </c>
      <c r="Q507">
        <f>"World_"&amp;VLOOKUP(G507,'引用列表'!Q:R,2,FALSE)&amp;"_"&amp;G507</f>
      </c>
      <c r="S507" s="9">
        <f>IF(AE507="✅", "/Script/Engine.StaticMesh'/Game/Item/Mesh/Voxel/" &amp; Q507 &amp; "/" &amp; TEXTJOIN("_", TRUE, H507, I507) &amp; "/" &amp; E507 &amp; "." &amp; E507 &amp; "'", "")</f>
      </c>
      <c r="AD507" s="1"/>
      <c r="AF507" s="1"/>
      <c r="AG507" s="1"/>
      <c r="AH507" s="1"/>
    </row>
    <row r="508">
      <c r="A508" s="4" t="str" xml:space="preserve">
        <v> </v>
      </c>
      <c r="B508" s="17"/>
      <c r="C508" s="17"/>
      <c r="D508" s="17"/>
      <c r="E508">
        <f>IF(F508="", "", TEXTJOIN("_", TRUE, F508:O508))</f>
      </c>
      <c r="Q508">
        <f>"World_"&amp;VLOOKUP(G508,'引用列表'!Q:R,2,FALSE)&amp;"_"&amp;G508</f>
      </c>
      <c r="S508" s="9">
        <f>IF(AE508="✅", "/Script/Engine.StaticMesh'/Game/Item/Mesh/Voxel/" &amp; Q508 &amp; "/" &amp; TEXTJOIN("_", TRUE, H508, I508) &amp; "/" &amp; E508 &amp; "." &amp; E508 &amp; "'", "")</f>
      </c>
      <c r="AD508" s="1"/>
      <c r="AF508" s="1"/>
      <c r="AG508" s="1"/>
      <c r="AH508" s="1"/>
    </row>
    <row r="509">
      <c r="A509" s="4" t="str" xml:space="preserve">
        <v> </v>
      </c>
      <c r="B509" s="17"/>
      <c r="C509" s="17"/>
      <c r="D509" s="17"/>
      <c r="E509">
        <f>IF(F509="", "", TEXTJOIN("_", TRUE, F509:O509))</f>
      </c>
      <c r="Q509">
        <f>"World_"&amp;VLOOKUP(G509,'引用列表'!Q:R,2,FALSE)&amp;"_"&amp;G509</f>
      </c>
      <c r="S509" s="9">
        <f>IF(AE509="✅", "/Script/Engine.StaticMesh'/Game/Item/Mesh/Voxel/" &amp; Q509 &amp; "/" &amp; TEXTJOIN("_", TRUE, H509, I509) &amp; "/" &amp; E509 &amp; "." &amp; E509 &amp; "'", "")</f>
      </c>
      <c r="AD509" s="1"/>
      <c r="AF509" s="1"/>
      <c r="AG509" s="1"/>
      <c r="AH509" s="1"/>
    </row>
    <row r="510">
      <c r="A510" s="4" t="str" xml:space="preserve">
        <v> </v>
      </c>
      <c r="B510" s="17"/>
      <c r="C510" s="17"/>
      <c r="D510" s="17"/>
      <c r="E510">
        <f>IF(F510="", "", TEXTJOIN("_", TRUE, F510:O510))</f>
      </c>
      <c r="Q510">
        <f>"World_"&amp;VLOOKUP(G510,'引用列表'!Q:R,2,FALSE)&amp;"_"&amp;G510</f>
      </c>
      <c r="S510" s="9">
        <f>IF(AE510="✅", "/Script/Engine.StaticMesh'/Game/Item/Mesh/Voxel/" &amp; Q510 &amp; "/" &amp; TEXTJOIN("_", TRUE, H510, I510) &amp; "/" &amp; E510 &amp; "." &amp; E510 &amp; "'", "")</f>
      </c>
      <c r="AD510" s="1"/>
      <c r="AF510" s="1"/>
      <c r="AG510" s="1"/>
      <c r="AH510" s="1"/>
    </row>
    <row r="511">
      <c r="A511" s="4" t="str" xml:space="preserve">
        <v> </v>
      </c>
      <c r="B511" s="17"/>
      <c r="C511" s="17"/>
      <c r="D511" s="17"/>
      <c r="E511">
        <f>IF(F511="", "", TEXTJOIN("_", TRUE, F511:O511))</f>
      </c>
      <c r="Q511">
        <f>"World_"&amp;VLOOKUP(G511,'引用列表'!Q:R,2,FALSE)&amp;"_"&amp;G511</f>
      </c>
      <c r="S511" s="9">
        <f>IF(AE511="✅", "/Script/Engine.StaticMesh'/Game/Item/Mesh/Voxel/" &amp; Q511 &amp; "/" &amp; TEXTJOIN("_", TRUE, H511, I511) &amp; "/" &amp; E511 &amp; "." &amp; E511 &amp; "'", "")</f>
      </c>
      <c r="AD511" s="1"/>
      <c r="AF511" s="1"/>
      <c r="AG511" s="1"/>
      <c r="AH511" s="1"/>
    </row>
    <row r="512">
      <c r="A512" s="4" t="str" xml:space="preserve">
        <v> </v>
      </c>
      <c r="B512" s="17"/>
      <c r="C512" s="17"/>
      <c r="D512" s="17"/>
      <c r="E512">
        <f>IF(F512="", "", TEXTJOIN("_", TRUE, F512:O512))</f>
      </c>
      <c r="Q512">
        <f>"World_"&amp;VLOOKUP(G512,'引用列表'!Q:R,2,FALSE)&amp;"_"&amp;G512</f>
      </c>
      <c r="S512" s="9">
        <f>IF(AE512="✅", "/Script/Engine.StaticMesh'/Game/Item/Mesh/Voxel/" &amp; Q512 &amp; "/" &amp; TEXTJOIN("_", TRUE, H512, I512) &amp; "/" &amp; E512 &amp; "." &amp; E512 &amp; "'", "")</f>
      </c>
      <c r="AD512" s="1"/>
      <c r="AF512" s="1"/>
      <c r="AG512" s="1"/>
      <c r="AH512" s="1"/>
    </row>
  </sheetData>
  <conditionalFormatting sqref="A1:D1048576">
    <cfRule dxfId="3" operator="equal" priority="2" stopIfTrue="true" type="cellIs">
      <formula>" "</formula>
    </cfRule>
  </conditionalFormatting>
  <conditionalFormatting sqref="E1:E1048576">
    <cfRule dxfId="4" priority="3" stopIfTrue="true" type="duplicateValues"/>
  </conditionalFormatting>
  <dataValidations count="12">
    <dataValidation allowBlank="true" errorStyle="stop" showDropDown="true" showErrorMessage="true" sqref="AD11" type="list">
      <formula1>$AF:$AF</formula1>
    </dataValidation>
    <dataValidation allowBlank="true" errorStyle="stop" showDropDown="true" showErrorMessage="true" sqref="AD68:AD71" type="list">
      <formula1>$AF:$AF</formula1>
    </dataValidation>
    <dataValidation allowBlank="true" errorStyle="stop" showDropDown="true" showErrorMessage="true" sqref="AB2:AB319 AB327:AB499" type="list">
      <formula1>"False,True"</formula1>
    </dataValidation>
    <dataValidation allowBlank="true" errorStyle="stop" showDropDown="true" showErrorMessage="true" sqref="AD180:AD181" type="list">
      <formula1>$AF:$AF</formula1>
    </dataValidation>
    <dataValidation allowBlank="true" errorStyle="stop" showDropDown="true" showErrorMessage="true" sqref="W2:W319 W327:W415 V2:V319 V327:V415 U2:U7 U53:U79 U82:U84 U172:U177 U254:U293 U299 U305 U327:U415 T2:T7 T53:T77 T79:T84 T172:T175 T177:T178 T254:T294 T300 T327:T415" type="list">
      <formula1>"Close,Open,1_Close_1,0_Open_0,0_Open_1,1_Open_0,1_Open_1"</formula1>
    </dataValidation>
    <dataValidation allowBlank="true" errorStyle="stop" showDropDown="true" showErrorMessage="true" sqref="F2:F319 F327:F415" type="list">
      <formula1>"SM,M,T"</formula1>
    </dataValidation>
    <dataValidation allowBlank="true" errorStyle="stop" showDropDown="true" showErrorMessage="true" sqref="AD64 AD97:AD99 AD148 AD150:AD154 AD172 AD185:AD187" type="list">
      <formula1>$AF:$AF</formula1>
    </dataValidation>
    <dataValidation allowBlank="true" errorStyle="stop" showDropDown="true" showErrorMessage="true" sqref="AD63" type="list">
      <formula1>$AF:$AF</formula1>
    </dataValidation>
    <dataValidation allowBlank="true" errorStyle="stop" showDropDown="true" showErrorMessage="true" sqref="AD67" type="list">
      <formula1>$AF:$AF</formula1>
    </dataValidation>
    <dataValidation allowBlank="true" errorStyle="stop" showDropDown="true" showErrorMessage="true" sqref="AD2:AD10 AD12:AD27 AD29:AD62 AD65:AD66 AD73:AD96 AD100:AD147 AD149 AD155:AD171 AD173:AD179 AD182:AD184 AD188:AD512" type="list">
      <formula1>$AF:$AF</formula1>
    </dataValidation>
    <dataValidation allowBlank="true" errorStyle="stop" showDropDown="true" showErrorMessage="true" sqref="AD28" type="list">
      <formula1>$AF:$AF</formula1>
    </dataValidation>
    <dataValidation allowBlank="true" errorStyle="stop" showDropDown="true" showErrorMessage="true" sqref="AD72" type="list">
      <formula1>$AF:$AF</formula1>
    </dataValidation>
  </dataValidation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true" errorStyle="stop" showDropDown="true" showErrorMessage="true" xr:uid="{46637D29-325D-4F55-BB75-797D3D9E7776}">
          <x14:formula1>
            <xm:f>'引用列表'!$AD$2:$AD$20</xm:f>
          </x14:formula1>
          <xm:sqref>L2:L319 L327 L333:L340 L347:L350 L358:L359 L365:L373 L381:L397 O254:O293</xm:sqref>
        </x14:dataValidation>
        <x14:dataValidation type="list" allowBlank="true" errorStyle="stop" showDropDown="true" showErrorMessage="true" xr:uid="{FFD226EC-CAF7-447B-919E-BF0D372ACAD1}">
          <x14:formula1>
            <xm:f>'引用列表'!$AA$2:$AA$20</xm:f>
          </x14:formula1>
          <xm:sqref>Y301:Y319</xm:sqref>
        </x14:dataValidation>
        <x14:dataValidation type="list" allowBlank="true" errorStyle="stop" showDropDown="true" showErrorMessage="true" xr:uid="{E7F22513-2B2A-475B-BD36-B05B03809FA8}">
          <x14:formula1>
            <xm:f>'引用列表'!$Q$2:$Q$20</xm:f>
          </x14:formula1>
          <xm:sqref>G2:G319 G327:G415</xm:sqref>
        </x14:dataValidation>
        <x14:dataValidation type="list" allowBlank="true" errorStyle="stop" showDropDown="true" showErrorMessage="true" xr:uid="{D36692DD-C078-42CC-9429-A59538E7B9F2}">
          <x14:formula1>
            <xm:f>'引用列表'!$AG$2:$AG$20</xm:f>
          </x14:formula1>
          <xm:sqref>M2:M319 M327:M415</xm:sqref>
        </x14:dataValidation>
        <x14:dataValidation type="list" allowBlank="true" errorStyle="stop" showDropDown="true" showErrorMessage="true" xr:uid="{D64E178F-D452-41B0-9074-150B9E9B9166}">
          <x14:formula1>
            <xm:f>'引用列表'!$U$2:$U$20</xm:f>
          </x14:formula1>
          <xm:sqref>H2:H319 H327:H512</xm:sqref>
        </x14:dataValidation>
        <x14:dataValidation type="list" allowBlank="true" errorStyle="stop" showDropDown="true" showErrorMessage="true" xr:uid="{60C9E5A6-DFEC-41B8-92B1-CA63956CA4C9}">
          <x14:formula1>
            <xm:f>'引用列表'!$AJ$2:$AJ$20</xm:f>
          </x14:formula1>
          <xm:sqref>AE2:AE319 AE327:AE499</xm:sqref>
        </x14:dataValidation>
      </x14:dataValidations>
    </ext>
  </extLst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76964"/>
    <outlinePr summaryBelow="false" summaryRight="false"/>
  </sheetPr>
  <dimension ref="A1"/>
  <sheetViews>
    <sheetView showGridLines="true" workbookViewId="0">
      <pane state="frozen" topLeftCell="F2" xSplit="5" ySplit="1"/>
    </sheetView>
  </sheetViews>
  <sheetFormatPr defaultColWidth="14" defaultRowHeight="19"/>
  <cols>
    <col collapsed="false" customWidth="true" hidden="false" max="1" min="1" style="0" width="2"/>
    <col collapsed="false" customWidth="true" hidden="false" max="2" min="2" style="0" width="2"/>
    <col collapsed="false" customWidth="true" hidden="false" max="3" min="3" style="0" width="2"/>
    <col collapsed="false" customWidth="true" hidden="false" max="4" min="4" style="0" width="2"/>
    <col collapsed="false" customWidth="true" hidden="false" max="5" min="5" style="0" width="47"/>
    <col collapsed="false" customWidth="true" hidden="false" max="6" min="6" style="0" width="26"/>
    <col collapsed="false" customWidth="true" hidden="false" max="7" min="7" style="0" width="6"/>
    <col collapsed="false" customWidth="true" hidden="false" max="8" min="8" style="0" width="19"/>
    <col collapsed="false" customWidth="true" hidden="false" max="9" min="9" style="0" width="9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2"/>
    <col collapsed="false" customWidth="true" hidden="false" max="17" min="17" style="0" width="10"/>
    <col collapsed="true" hidden="false" max="18" min="18" style="0" width="161"/>
    <col collapsed="false" customWidth="true" hidden="true" max="19" min="19" outlineLevel="1" style="0" width="161"/>
    <col collapsed="false" customWidth="true" hidden="false" max="20" min="20" style="0" width="7"/>
    <col collapsed="false" customWidth="true" hidden="false" max="21" min="21" style="0" width="5"/>
    <col collapsed="false" customWidth="true" hidden="false" max="22" min="22" style="0" width="5"/>
    <col collapsed="false" customWidth="true" hidden="false" max="23" min="23" style="0" width="5"/>
    <col collapsed="false" hidden="false" max="24" min="24" style="0" width="14"/>
    <col collapsed="false" customWidth="true" hidden="true" max="25" min="25" outlineLevel="2" style="0" width="14"/>
    <col collapsed="false" customWidth="true" hidden="true" max="26" min="26" outlineLevel="2" style="0" width="12"/>
    <col collapsed="false" customWidth="true" hidden="true" max="27" min="27" outlineLevel="2" style="0" width="4"/>
    <col collapsed="false" customWidth="true" hidden="true" max="28" min="28" outlineLevel="2" style="0" width="4"/>
    <col collapsed="false" customWidth="true" hidden="true" max="29" min="29" outlineLevel="2" style="0" width="4"/>
    <col collapsed="false" customWidth="true" hidden="true" max="30" min="30" outlineLevel="2" style="0" width="4"/>
    <col collapsed="false" customWidth="true" hidden="true" max="31" min="31" outlineLevel="2" style="0" width="19"/>
    <col collapsed="false" hidden="true" max="32" min="32" outlineLevel="1" style="0" width="14"/>
    <col collapsed="false" customWidth="true" hidden="true" max="33" min="33" outlineLevel="2" style="0" width="14"/>
    <col collapsed="false" customWidth="true" hidden="true" max="34" min="34" outlineLevel="2" style="0" width="12"/>
    <col collapsed="false" customWidth="true" hidden="true" max="35" min="35" outlineLevel="2" style="0" width="4"/>
    <col collapsed="false" customWidth="true" hidden="true" max="36" min="36" outlineLevel="2" style="0" width="4"/>
    <col collapsed="false" customWidth="true" hidden="true" max="37" min="37" outlineLevel="2" style="0" width="4"/>
    <col collapsed="false" customWidth="true" hidden="true" max="38" min="38" outlineLevel="2" style="0" width="4"/>
    <col collapsed="false" customWidth="true" hidden="true" max="39" min="39" outlineLevel="2" style="0" width="19"/>
    <col collapsed="false" hidden="true" max="40" min="40" outlineLevel="1" style="0" width="12"/>
    <col collapsed="false" customWidth="true" hidden="true" max="41" min="41" outlineLevel="2" style="0" width="12"/>
    <col collapsed="false" customWidth="true" hidden="true" max="42" min="42" outlineLevel="2" style="0" width="13"/>
    <col collapsed="false" customWidth="true" hidden="true" max="43" min="43" outlineLevel="2" style="0" width="4"/>
    <col collapsed="false" customWidth="true" hidden="true" max="44" min="44" outlineLevel="2" style="0" width="4"/>
    <col collapsed="false" customWidth="true" hidden="true" max="45" min="45" outlineLevel="2" style="0" width="4"/>
    <col collapsed="false" customWidth="true" hidden="true" max="46" min="46" outlineLevel="2" style="0" width="4"/>
    <col collapsed="false" customWidth="true" hidden="true" max="47" min="47" outlineLevel="2" style="0" width="13"/>
    <col collapsed="false" hidden="true" max="48" min="48" outlineLevel="1" style="0" width="12"/>
    <col collapsed="false" customWidth="true" hidden="true" max="49" min="49" outlineLevel="2" style="0" width="12"/>
    <col collapsed="false" customWidth="true" hidden="true" max="50" min="50" outlineLevel="2" style="0" width="13"/>
    <col collapsed="false" customWidth="true" hidden="true" max="51" min="51" outlineLevel="2" style="0" width="4"/>
    <col collapsed="false" customWidth="true" hidden="true" max="52" min="52" outlineLevel="2" style="0" width="4"/>
    <col collapsed="false" customWidth="true" hidden="true" max="53" min="53" outlineLevel="2" style="0" width="4"/>
    <col collapsed="false" customWidth="true" hidden="true" max="54" min="54" outlineLevel="2" style="0" width="4"/>
    <col collapsed="false" customWidth="true" hidden="true" max="55" min="55" outlineLevel="2" style="0" width="13"/>
    <col collapsed="false" hidden="true" max="56" min="56" outlineLevel="1" style="0" width="13"/>
    <col collapsed="false" customWidth="true" hidden="true" max="57" min="57" outlineLevel="2" style="0" width="13"/>
    <col collapsed="false" customWidth="true" hidden="true" max="58" min="58" outlineLevel="2" style="0" width="13"/>
    <col collapsed="false" customWidth="true" hidden="true" max="59" min="59" outlineLevel="2" style="0" width="4"/>
    <col collapsed="false" customWidth="true" hidden="true" max="60" min="60" outlineLevel="2" style="0" width="4"/>
    <col collapsed="false" customWidth="true" hidden="true" max="61" min="61" outlineLevel="2" style="0" width="4"/>
    <col collapsed="false" customWidth="true" hidden="true" max="62" min="62" outlineLevel="2" style="0" width="3"/>
    <col collapsed="false" customWidth="true" hidden="true" max="63" min="63" outlineLevel="2" style="0" width="18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</cols>
  <sheetData>
    <row r="1">
      <c r="A1" s="11"/>
      <c r="B1" s="11"/>
      <c r="C1" s="119"/>
      <c r="D1" s="147"/>
      <c r="E1" s="11" t="str">
        <v>Name</v>
      </c>
      <c r="F1" s="11" t="str">
        <v>Parent</v>
      </c>
      <c r="G1" s="11" t="str">
        <v>Obj</v>
      </c>
      <c r="H1" s="11" t="str">
        <v>Usage</v>
      </c>
      <c r="I1" s="11" t="str">
        <v>Direction</v>
      </c>
      <c r="J1" s="11" t="str">
        <v>Config 1</v>
      </c>
      <c r="K1" s="11" t="str">
        <v>Config 2</v>
      </c>
      <c r="L1" s="11" t="str">
        <v>Function</v>
      </c>
      <c r="M1" s="11" t="str">
        <v>Proxy</v>
      </c>
      <c r="N1" s="11" t="str">
        <v>Special</v>
      </c>
      <c r="O1" s="11">
        <f>"分组 "&amp; COUNTIF(O2:O1032,"✅") &amp; "/" &amp; COUNTA(O2:O1032)</f>
      </c>
      <c r="P1" s="11">
        <f>"代理 "&amp; COUNTIF(P2:P1032,"✅") &amp; "/" &amp; COUNTA(P2:P1032)</f>
      </c>
      <c r="Q1" s="11">
        <f>"蓝图 "&amp;COUNTIF(Q2:Q1032,"✅") &amp; "/" &amp; COUNTA(Q2:Q1032)</f>
      </c>
      <c r="R1" s="11" t="str">
        <v>FolderName</v>
      </c>
      <c r="S1" s="14" t="str">
        <v>RailRef</v>
      </c>
      <c r="T1" s="153" t="str">
        <v>Diff</v>
      </c>
      <c r="U1" s="11" t="str">
        <v>X</v>
      </c>
      <c r="V1" s="11" t="str">
        <v>Y</v>
      </c>
      <c r="W1" s="11" t="str">
        <v>Z</v>
      </c>
      <c r="X1" s="14" t="str" xml:space="preserve">
        <v> </v>
      </c>
      <c r="Y1" s="14" t="str">
        <v>Exit F Pos</v>
      </c>
      <c r="Z1" s="14" t="str">
        <v>Exit F Rot</v>
      </c>
      <c r="AA1" s="14" t="str">
        <v>X</v>
      </c>
      <c r="AB1" s="14" t="str">
        <v>Y</v>
      </c>
      <c r="AC1" s="14" t="str">
        <v>Z</v>
      </c>
      <c r="AD1" s="14" t="str">
        <v>W</v>
      </c>
      <c r="AE1" s="14" t="str">
        <v>Exit F Snap Diff</v>
      </c>
      <c r="AF1" s="14" t="str" xml:space="preserve">
        <v> </v>
      </c>
      <c r="AG1" s="14" t="str">
        <v>Exit L Pos</v>
      </c>
      <c r="AH1" s="14" t="str">
        <v>Exit L Rot</v>
      </c>
      <c r="AI1" s="14" t="str">
        <v>X</v>
      </c>
      <c r="AJ1" s="14" t="str">
        <v>Y</v>
      </c>
      <c r="AK1" s="14" t="str">
        <v>Z</v>
      </c>
      <c r="AL1" s="14" t="str">
        <v>W</v>
      </c>
      <c r="AM1" s="14" t="str">
        <v>Exit L Snap Diff</v>
      </c>
      <c r="AN1" s="14" t="str" xml:space="preserve">
        <v> </v>
      </c>
      <c r="AO1" s="14" t="str">
        <v>Exit R Pos</v>
      </c>
      <c r="AP1" s="14" t="str">
        <v>Exit R Rot</v>
      </c>
      <c r="AQ1" s="14" t="str">
        <v>X</v>
      </c>
      <c r="AR1" s="14" t="str">
        <v>Y</v>
      </c>
      <c r="AS1" s="14" t="str">
        <v>Z</v>
      </c>
      <c r="AT1" s="14" t="str">
        <v>W</v>
      </c>
      <c r="AU1" s="14" t="str">
        <v>Exit R Snap Diff</v>
      </c>
      <c r="AV1" s="14" t="str" xml:space="preserve">
        <v> </v>
      </c>
      <c r="AW1" s="14" t="str">
        <v>Exit U Pos</v>
      </c>
      <c r="AX1" s="14" t="str">
        <v>Exit U Rot</v>
      </c>
      <c r="AY1" s="14" t="str">
        <v>X</v>
      </c>
      <c r="AZ1" s="14" t="str">
        <v>Y</v>
      </c>
      <c r="BA1" s="14" t="str">
        <v>Z</v>
      </c>
      <c r="BB1" s="14" t="str">
        <v>W</v>
      </c>
      <c r="BC1" s="14" t="str">
        <v>Exit U Snap Diff</v>
      </c>
      <c r="BD1" s="14" t="str" xml:space="preserve">
        <v> </v>
      </c>
      <c r="BE1" s="14" t="str">
        <v>Exit D Pos</v>
      </c>
      <c r="BF1" s="14" t="str">
        <v>Exit D Rot</v>
      </c>
      <c r="BG1" s="14" t="str">
        <v>X</v>
      </c>
      <c r="BH1" s="14" t="str">
        <v>Y</v>
      </c>
      <c r="BI1" s="14" t="str">
        <v>Z</v>
      </c>
      <c r="BJ1" s="14" t="str">
        <v>W</v>
      </c>
      <c r="BK1" s="14" t="str">
        <v>Exit D Snap Diff</v>
      </c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</row>
    <row collapsed="true" customHeight="true" ht="19" r="2">
      <c r="A2" s="11" t="str">
        <v>Start</v>
      </c>
      <c r="C2" s="152"/>
      <c r="D2" s="152"/>
      <c r="E2" s="5"/>
      <c r="F2" s="9">
        <f>IF(E2="", "", IF(G2="BP", E2, F1))</f>
      </c>
      <c r="G2" s="1"/>
      <c r="H2" s="1"/>
      <c r="I2" s="1"/>
      <c r="J2" s="1"/>
      <c r="K2" s="1"/>
      <c r="L2" s="1"/>
      <c r="M2" s="1"/>
      <c r="N2" s="3"/>
      <c r="O2" s="3"/>
      <c r="P2" s="3"/>
      <c r="Q2" s="3"/>
      <c r="R2" s="1">
        <f t="array" ref="R2:R527">1</f>
      </c>
      <c r="S2" s="9">
        <f t="array" ref="S2:S527">"_"</f>
      </c>
      <c r="T2" s="120">
        <f t="array" ref="T2:T527">IF(G2:G1105,H2:H1105,I2:I1105*SUM(J2:J1105,K2:K1105,U2:U1105,IFERROR(VLOOKUP(IFERROR(VLOOKUP(IFERROR(VLOOKUP(IFERROR(VLOOKUP((V2:V1105+(W2:W1105&lt;&gt;"BP"*""*1-1)*0.1),'引用列表'!A:C,3,0),0),'引用列表'!E:G,3,0),0),'引用列表'!I:K,3,0),0),'引用列表'!I:K,3,0),0)))</f>
      </c>
      <c r="U2" s="118"/>
      <c r="V2" s="118"/>
      <c r="W2" s="118"/>
      <c r="X2" s="4"/>
      <c r="Y2" s="4">
        <f>IF(AND(Q2="✅", OR(ISNUMBER(FIND("F",I2)), I2="CR")),   "X="&amp;U2*16&amp;",Y="&amp;(V2-1)*16&amp;",Z="&amp;IF(I2="FD", -(W2-1)*16, (W2-1)*16),   "")</f>
      </c>
      <c r="Z2" s="4">
        <f>IF(AND(Q2="✅", OR(ISNUMBER(FIND("F",I2)), I2="CR")), "P=0,Y=0,R=0", "")</f>
      </c>
      <c r="AA2" s="4">
        <f t="array" ref="AA2:AA527">IF(OR(Q2:Q1133,Y2:Y1133&lt;&gt;"✅"=""),"",1)</f>
      </c>
      <c r="AB2" s="4">
        <f t="array" ref="AB2:AB527">AND(Q2:Q1133,OR(Y2:Y1133,AND(G2:G1133,OR(OR(OR(OR(J2:J1133,K2:K1133&lt;&gt;"✅"=""),""=""=""),1.5="BORDERLESS"="BORDERLESS"),2="BORDERLESS_L"="BORDERLESS_L"="BORDERLES_I"="BORDERLES_I")="L90")="BORDERELS_O"="BORDERELS_O")="R90")</f>
      </c>
      <c r="AC2" s="4">
        <f t="array" ref="AC2:AC527">AND(Q2:Q1133,OR(Y2:Y1133,AND(G2:G1133,OR(OR(OR(OR(J2:J1133,K2:K1133&lt;&gt;"✅"=""),""=""=""),2="BORDERLESS"="BORDERLESS"),2.5="BORDERLESS_L"="BORDERLESS_L"="BORDERLES_I"="BORDERLES_I")="L90")="BORDERELS_O"="BORDERELS_O")="R90")</f>
      </c>
      <c r="AD2" s="4">
        <f t="array" ref="AD2:AD527">AND(Q2:Q1133,OR(Y2:Y1133,AND(G2:G1133,OR(OR(OR(OR(J2:J1133,K2:K1133&lt;&gt;"✅"=""),""=""=""),1.5="BORDERLESS"="BORDERLESS"),2="BORDERLESS_L"="BORDERLESS_L"="BORDERLES_I"="BORDERLES_I")="L90")="BORDERELS_O"="BORDERELS_O")="R90")</f>
      </c>
      <c r="AE2" s="4">
        <f t="array" ref="AE2:AE527">Q2:Q1133&amp;IF(AA2:AA1133,AB2:AB1133&amp;IF(AC2:AC1133,AD2:AD1133&lt;&gt;"✅"&amp;IF("","X="="",0)&amp;",Y="="",0)&amp;",Z="="",0)&amp;",W="=""</f>
      </c>
      <c r="AF2" s="4"/>
      <c r="AG2" s="4">
        <f t="array" ref="AG2:AG527">Q2:Q1131&amp;(I2:I1131&amp;AND(U2:U1131,OR(V2:V1131,ISNUMBER(FIND(W2:W1131="✅","L"))="T"))&amp;("X="-1)*16&amp;",Y="*-16&amp;",Z="-1)*16</f>
      </c>
      <c r="AH2" s="4">
        <f t="array" ref="AH2:AH527">"P=0,Y=-90,R=0"</f>
      </c>
      <c r="AI2" s="4">
        <f t="array" ref="AI2:AI527">IF(OR(Q2:Q1133,AG2:AG1133&lt;&gt;"✅"=""),"",1)</f>
      </c>
      <c r="AJ2" s="4">
        <f t="array" ref="AJ2:AJ527">AND(Q2:Q1133,OR(AG2:AG1133,AND(G2:G1133,OR(OR(OR(OR(J2:J1133,K2:K1133&lt;&gt;"✅"=""),""=""=""),1.5="BORDERLESS"="BORDERLESS"),2="BORDERLESS_L"="BORDERLESS_L"="BORDERLES_I"="BORDERLES_I")="L90")="BORDERELS_O"="BORDERELS_O")="R90")</f>
      </c>
      <c r="AK2" s="4">
        <f t="array" ref="AK2:AK527">AND(Q2:Q1133,OR(AG2:AG1133,AND(G2:G1133,OR(OR(OR(OR(J2:J1133,K2:K1133&lt;&gt;"✅"=""),""=""=""),2="BORDERLESS"="BORDERLESS"),2.5="BORDERLESS_L"="BORDERLESS_L"="BORDERLES_I"="BORDERLES_I")="L90")="BORDERELS_O"="BORDERELS_O")="R90")</f>
      </c>
      <c r="AL2" s="4">
        <f t="array" ref="AL2:AL527">AND(Q2:Q1133,OR(AG2:AG1133,AND(G2:G1133,OR(OR(OR(OR(J2:J1133,K2:K1133&lt;&gt;"✅"=""),""=""=""),1.5="BORDERLESS"="BORDERLESS"),2="BORDERLESS_L"="BORDERLESS_L"="BORDERLES_I"="BORDERLES_I")="L90")="BORDERELS_O"="BORDERELS_O")="R90")</f>
      </c>
      <c r="AM2" s="4">
        <f t="array" ref="AM2:AM527">0</f>
      </c>
      <c r="AN2" s="4"/>
      <c r="AO2" s="4">
        <f t="array" ref="AO2:AO527">Q2:Q1131&amp;(I2:I1131&amp;AND(U2:U1131,OR(V2:V1131,ISNUMBER(FIND(W2:W1131="✅","R"))="T"))&amp;("X="-1)*16&amp;",Y="*16&amp;",Z="-1)*16</f>
      </c>
      <c r="AP2" s="4">
        <f t="array" ref="AP2:AP527">"P=0,Y=90,R=0"</f>
      </c>
      <c r="AQ2" s="4">
        <f t="array" ref="AQ2:AQ527">IF(OR(Q2:Q1133,AO2:AO1133&lt;&gt;"✅"=""),"",1)</f>
      </c>
      <c r="AR2" s="4">
        <f t="array" ref="AR2:AR527">AND(Q2:Q1133,OR(AO2:AO1133,AND(G2:G1133,OR(OR(OR(OR(J2:J1133,K2:K1133&lt;&gt;"✅"=""),""=""=""),1.5="BORDERLESS"="BORDERLESS"),2="BORDERLESS_L"="BORDERLESS_L"="BORDERLES_I"="BORDERLES_I")="L90")="BORDERELS_O"="BORDERELS_O")="R90")</f>
      </c>
      <c r="AS2" s="4">
        <f t="array" ref="AS2:AS527">AND(Q2:Q1133,OR(AO2:AO1133,AND(G2:G1133,OR(OR(OR(OR(J2:J1133,K2:K1133&lt;&gt;"✅"=""),""=""=""),2="BORDERLESS"="BORDERLESS"),2.5="BORDERLESS_L"="BORDERLESS_L"="BORDERLES_I"="BORDERLES_I")="L90")="BORDERELS_O"="BORDERELS_O")="R90")</f>
      </c>
      <c r="AT2" s="4">
        <f t="array" ref="AT2:AT527">AND(Q2:Q1133,OR(AO2:AO1133,AND(G2:G1133,OR(OR(OR(OR(J2:J1133,K2:K1133&lt;&gt;"✅"=""),""=""=""),1.5="BORDERLESS"="BORDERLESS"),2="BORDERLESS_L"="BORDERLESS_L"="BORDERLES_I"="BORDERLES_I")="L90")="BORDERELS_O"="BORDERELS_O")="R90")</f>
      </c>
      <c r="AU2" s="4">
        <f t="array" ref="AU2:AU527">0</f>
      </c>
      <c r="AV2" s="4"/>
      <c r="AW2" s="4">
        <f>IF(AND(Q2="✅", I2="U90"), "X="&amp;(U2-1)*16&amp;",Y="&amp;(V2-1)*16&amp;",Z="&amp;W2*16, "")</f>
      </c>
      <c r="AX2" s="4">
        <f>IF(AND(Q2="✅", I2="U90"), "P=90,Y=0,R=0", "")</f>
      </c>
      <c r="AY2" s="4">
        <f t="array" ref="AY2:AY527">IF(OR(Q2:Q1133,AW2:AW1133&lt;&gt;"✅"=""),"",1)</f>
      </c>
      <c r="AZ2" s="4">
        <f t="array" ref="AZ2:AZ527">AND(Q2:Q1133,OR(AW2:AW1133,AND(G2:G1133,OR(OR(OR(OR(J2:J1133,K2:K1133&lt;&gt;"✅"=""),""=""=""),1.5="BORDERLESS"="BORDERLESS"),2="BORDERLESS_L"="BORDERLESS_L"="BORDERLES_I"="BORDERLES_I")="L90")="BORDERELS_O"="BORDERELS_O")="R90")</f>
      </c>
      <c r="BA2" s="4">
        <f t="array" ref="BA2:BA527">AND(Q2:Q1133,OR(AW2:AW1133,AND(G2:G1133,OR(OR(OR(OR(J2:J1133,K2:K1133&lt;&gt;"✅"=""),""=""=""),2="BORDERLESS"="BORDERLESS"),2.5="BORDERLESS_L"="BORDERLESS_L"="BORDERLES_I"="BORDERLES_I")="L90")="BORDERELS_O"="BORDERELS_O")="R90")</f>
      </c>
      <c r="BB2" s="4">
        <f t="array" ref="BB2:BB527">AND(Q2:Q1133,OR(AW2:AW1133,AND(G2:G1133,OR(OR(OR(OR(J2:J1133,K2:K1133&lt;&gt;"✅"=""),""=""=""),1.5="BORDERLESS"="BORDERLESS"),2="BORDERLESS_L"="BORDERLESS_L"="BORDERLES_I"="BORDERLES_I")="L90")="BORDERELS_O"="BORDERELS_O")="R90")</f>
      </c>
      <c r="BC2" s="4">
        <f t="array" ref="BC2:BC527">0</f>
      </c>
      <c r="BD2" s="4"/>
      <c r="BE2" s="4">
        <f>IF(AND(Q2="✅", I2="D90"), "X="&amp;(U2-1)*16&amp;",Y="&amp;(V2-1)*16&amp;",Z="&amp;(W2-2)*16, "")</f>
      </c>
      <c r="BF2" s="4">
        <f>IF(AND(Q2="✅", I2="D90"), "P=-90,Y=0,R=0", "")</f>
      </c>
      <c r="BG2" s="4">
        <f t="array" ref="BG2:BG527">IF(OR(Q2:Q1133,BE2:BE1133&lt;&gt;"✅"=""),"",1)</f>
      </c>
      <c r="BH2" s="4">
        <f t="array" ref="BH2:BH527">AND(Q2:Q1133,OR(BE2:BE1133,AND(G2:G1133,OR(OR(OR(OR(J2:J1133,K2:K1133&lt;&gt;"✅"=""),""=""=""),1.5="BORDERLESS"="BORDERLESS"),2="BORDERLESS_L"="BORDERLESS_L"="BORDERLES_I"="BORDERLES_I")="L90")="BORDERELS_O"="BORDERELS_O")="R90")</f>
      </c>
      <c r="BI2" s="4">
        <f t="array" ref="BI2:BI527">AND(Q2:Q1133,OR(BE2:BE1133,AND(G2:G1133,OR(OR(OR(OR(J2:J1133,K2:K1133&lt;&gt;"✅"=""),""=""=""),2="BORDERLESS"="BORDERLESS"),2.5="BORDERLESS_L"="BORDERLESS_L"="BORDERLES_I"="BORDERLES_I")="L90")="BORDERELS_O"="BORDERELS_O")="R90")</f>
      </c>
      <c r="BJ2" s="4">
        <f t="array" ref="BJ2:BJ527">AND(Q2:Q1133,OR(BE2:BE1133,AND(G2:G1133,OR(OR(OR(OR(J2:J1133,K2:K1133&lt;&gt;"✅"=""),""=""=""),1.5="BORDERLESS"="BORDERLESS"),2="BORDERLESS_L"="BORDERLESS_L"="BORDERLES_I"="BORDERLES_I")="L90")="BORDERELS_O"="BORDERELS_O")="R90")</f>
      </c>
      <c r="BK2" s="4">
        <f t="array" ref="BK2:BK527">0</f>
      </c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</row>
    <row customHeight="true" hidden="true" ht="19" outlineLevel="1" r="3">
      <c r="A3" s="11"/>
      <c r="B3" s="11" t="str">
        <v>F</v>
      </c>
      <c r="C3" s="119"/>
      <c r="D3" s="119"/>
      <c r="E3" s="5"/>
      <c r="F3" s="9">
        <f>IF(E3="", "", IF(G3="BP", E3, F2))</f>
      </c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1" t="str"/>
      <c r="S3" s="9" t="str"/>
      <c r="T3" s="120" t="str"/>
      <c r="U3" s="118"/>
      <c r="V3" s="118"/>
      <c r="W3" s="118"/>
      <c r="X3" s="4"/>
      <c r="Y3" s="4">
        <f>IF(AND(Q3="✅", OR(ISNUMBER(FIND("F",I3)), I3="CR")),   "X="&amp;U3*16&amp;",Y="&amp;(V3-1)*16&amp;",Z="&amp;IF(I3="FD", -(W3-1)*16, (W3-1)*16),   "")</f>
      </c>
      <c r="Z3" s="4">
        <f>IF(AND(Q3="✅", OR(ISNUMBER(FIND("F",I3)), I3="CR")), "P=0,Y=0,R=0", "")</f>
      </c>
      <c r="AA3" s="4" t="str"/>
      <c r="AB3" s="4" t="str"/>
      <c r="AC3" s="4" t="str"/>
      <c r="AD3" s="4" t="str"/>
      <c r="AE3" s="4" t="str"/>
      <c r="AF3" s="4"/>
      <c r="AG3" s="4" t="str"/>
      <c r="AH3" s="4" t="str"/>
      <c r="AI3" s="4" t="str"/>
      <c r="AJ3" s="4" t="str"/>
      <c r="AK3" s="4" t="str"/>
      <c r="AL3" s="4" t="str"/>
      <c r="AM3" s="4" t="str"/>
      <c r="AN3" s="4"/>
      <c r="AO3" s="4" t="str"/>
      <c r="AP3" s="4" t="str"/>
      <c r="AQ3" s="4" t="str"/>
      <c r="AR3" s="4" t="str"/>
      <c r="AS3" s="4" t="str"/>
      <c r="AT3" s="4" t="str"/>
      <c r="AU3" s="4" t="str"/>
      <c r="AV3" s="4"/>
      <c r="AW3" s="4">
        <f>IF(AND(Q3="✅", I3="U90"), "X="&amp;(U3-1)*16&amp;",Y="&amp;(V3-1)*16&amp;",Z="&amp;W3*16, "")</f>
      </c>
      <c r="AX3" s="4">
        <f>IF(AND(Q3="✅", I3="U90"), "P=90,Y=0,R=0", "")</f>
      </c>
      <c r="AY3" s="4" t="str"/>
      <c r="AZ3" s="4" t="str"/>
      <c r="BA3" s="4" t="str"/>
      <c r="BB3" s="4" t="str"/>
      <c r="BC3" s="4" t="str"/>
      <c r="BD3" s="4"/>
      <c r="BE3" s="4">
        <f>IF(AND(Q3="✅", I3="D90"), "X="&amp;(U3-1)*16&amp;",Y="&amp;(V3-1)*16&amp;",Z="&amp;(W3-2)*16, "")</f>
      </c>
      <c r="BF3" s="4">
        <f>IF(AND(Q3="✅", I3="D90"), "P=-90,Y=0,R=0", "")</f>
      </c>
      <c r="BG3" s="4" t="str"/>
      <c r="BH3" s="4" t="str"/>
      <c r="BI3" s="4" t="str"/>
      <c r="BJ3" s="4" t="str"/>
      <c r="BK3" s="4" t="str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</row>
    <row customHeight="true" hidden="true" ht="19" outlineLevel="1" r="4">
      <c r="A4" s="11"/>
      <c r="B4" s="11"/>
      <c r="C4" s="119" t="str">
        <v>Normal</v>
      </c>
      <c r="D4" s="119"/>
      <c r="E4" s="5"/>
      <c r="F4" s="9">
        <f>IF(E4="", "", IF(G4="BP", E4, F3))</f>
      </c>
      <c r="G4" s="1"/>
      <c r="H4" s="1"/>
      <c r="I4" s="1"/>
      <c r="J4" s="1"/>
      <c r="K4" s="1"/>
      <c r="L4" s="1"/>
      <c r="M4" s="1"/>
      <c r="N4" s="3"/>
      <c r="O4" s="3"/>
      <c r="P4" s="3"/>
      <c r="Q4" s="3"/>
      <c r="R4" s="1" t="str"/>
      <c r="S4" s="9" t="str"/>
      <c r="T4" s="120" t="str"/>
      <c r="U4" s="118"/>
      <c r="V4" s="118"/>
      <c r="W4" s="118"/>
      <c r="X4" s="4"/>
      <c r="Y4" s="4">
        <f>IF(AND(Q4="✅", OR(ISNUMBER(FIND("F",I4)), I4="CR")),   "X="&amp;U4*16&amp;",Y="&amp;(V4-1)*16&amp;",Z="&amp;IF(I4="FD", -(W4-1)*16, (W4-1)*16),   "")</f>
      </c>
      <c r="Z4" s="4">
        <f>IF(AND(Q4="✅", OR(ISNUMBER(FIND("F",I4)), I4="CR")), "P=0,Y=0,R=0", "")</f>
      </c>
      <c r="AA4" s="4" t="str"/>
      <c r="AB4" s="4" t="str"/>
      <c r="AC4" s="4" t="str"/>
      <c r="AD4" s="4" t="str"/>
      <c r="AE4" s="4" t="str"/>
      <c r="AF4" s="4"/>
      <c r="AG4" s="4" t="str"/>
      <c r="AH4" s="4" t="str"/>
      <c r="AI4" s="4" t="str"/>
      <c r="AJ4" s="4" t="str"/>
      <c r="AK4" s="4" t="str"/>
      <c r="AL4" s="4" t="str"/>
      <c r="AM4" s="4" t="str"/>
      <c r="AN4" s="4"/>
      <c r="AO4" s="4" t="str"/>
      <c r="AP4" s="4" t="str"/>
      <c r="AQ4" s="4" t="str"/>
      <c r="AR4" s="4" t="str"/>
      <c r="AS4" s="4" t="str"/>
      <c r="AT4" s="4" t="str"/>
      <c r="AU4" s="4" t="str"/>
      <c r="AV4" s="4"/>
      <c r="AW4" s="4">
        <f>IF(AND(Q4="✅", I4="U90"), "X="&amp;(U4-1)*16&amp;",Y="&amp;(V4-1)*16&amp;",Z="&amp;W4*16, "")</f>
      </c>
      <c r="AX4" s="4">
        <f>IF(AND(Q4="✅", I4="U90"), "P=90,Y=0,R=0", "")</f>
      </c>
      <c r="AY4" s="4" t="str"/>
      <c r="AZ4" s="4" t="str"/>
      <c r="BA4" s="4" t="str"/>
      <c r="BB4" s="4" t="str"/>
      <c r="BC4" s="4" t="str"/>
      <c r="BD4" s="4"/>
      <c r="BE4" s="4">
        <f>IF(AND(Q4="✅", I4="D90"), "X="&amp;(U4-1)*16&amp;",Y="&amp;(V4-1)*16&amp;",Z="&amp;(W4-2)*16, "")</f>
      </c>
      <c r="BF4" s="4">
        <f>IF(AND(Q4="✅", I4="D90"), "P=-90,Y=0,R=0", "")</f>
      </c>
      <c r="BG4" s="4" t="str"/>
      <c r="BH4" s="4" t="str"/>
      <c r="BI4" s="4" t="str"/>
      <c r="BJ4" s="4" t="str"/>
      <c r="BK4" s="4" t="str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</row>
    <row customHeight="true" hidden="true" ht="19" outlineLevel="2" r="5">
      <c r="A5" s="129"/>
      <c r="B5" s="129"/>
      <c r="C5" s="130"/>
      <c r="D5" s="130"/>
      <c r="E5" s="21">
        <f>G5 &amp; "_" &amp; H5 &amp; IF(I5&lt;&gt;"", "_" &amp; I5, "") &amp; IF(J5&lt;&gt;"", "_" &amp; J5, "") &amp; IF(K5&lt;&gt;"", "_" &amp; K5, "") &amp;"_X"&amp;U5&amp;"_Y"&amp;V5&amp;"_Z"&amp;W5 &amp; IF(G5="SM", "_Proxy" , "_Rail") &amp; IF(M5&lt;&gt;"", "_" &amp; M5, "")</f>
      </c>
      <c r="F5" s="19">
        <f>IF(E5="", "", IF(G5="BP", E5, F4))</f>
      </c>
      <c r="G5" s="20" t="str">
        <v>BP</v>
      </c>
      <c r="H5" s="20" t="str">
        <v>Start</v>
      </c>
      <c r="I5" s="20" t="str">
        <v>F</v>
      </c>
      <c r="J5" s="20"/>
      <c r="K5" s="20"/>
      <c r="L5" s="20"/>
      <c r="M5" s="20"/>
      <c r="N5" s="95"/>
      <c r="O5" s="95"/>
      <c r="P5" s="95"/>
      <c r="Q5" s="95" t="str">
        <v>✅</v>
      </c>
      <c r="R5" s="20" t="str">
        <v>Start_F_X1_Y1_Z1</v>
      </c>
      <c r="S5" s="19" t="str">
        <v>/Script/Engine.BlueprintGeneratedClass'/Game/Item/Rail/Start/F/Normal/Start_F_X1_Y1_Z1/BP_Start_F_X1_Y1_Z1_Rail.BP_Start_F_X1_Y1_Z1_Rail_C'</v>
      </c>
      <c r="T5" s="131">
        <v>0</v>
      </c>
      <c r="U5" s="132">
        <v>1</v>
      </c>
      <c r="V5" s="132">
        <v>1</v>
      </c>
      <c r="W5" s="132">
        <v>1</v>
      </c>
      <c r="X5" s="25"/>
      <c r="Y5" s="25">
        <f>IF(AND(Q5="✅", OR(ISNUMBER(FIND("F",I5)), I5="CR")),   "X="&amp;U5*16&amp;",Y="&amp;(V5-1)*16&amp;",Z="&amp;IF(I5="FD", -(W5-1)*16, (W5-1)*16),   "")</f>
      </c>
      <c r="Z5" s="25">
        <f>IF(AND(Q5="✅", OR(ISNUMBER(FIND("F",I5)), I5="CR")), "P=0,Y=0,R=0", "")</f>
      </c>
      <c r="AA5" s="25">
        <v>1</v>
      </c>
      <c r="AB5" s="25">
        <v>1.5</v>
      </c>
      <c r="AC5" s="25">
        <v>2</v>
      </c>
      <c r="AD5" s="25">
        <v>1.5</v>
      </c>
      <c r="AE5" s="25" t="str">
        <v>X=1,Y=1.5,Z=2,W=1.5</v>
      </c>
      <c r="AF5" s="25"/>
      <c r="AG5" s="25" t="str"/>
      <c r="AH5" s="25" t="str"/>
      <c r="AI5" s="25" t="str"/>
      <c r="AJ5" s="25" t="str"/>
      <c r="AK5" s="25" t="str"/>
      <c r="AL5" s="25" t="str"/>
      <c r="AM5" s="25" t="str"/>
      <c r="AN5" s="25"/>
      <c r="AO5" s="25" t="str"/>
      <c r="AP5" s="25" t="str"/>
      <c r="AQ5" s="25" t="str"/>
      <c r="AR5" s="25" t="str"/>
      <c r="AS5" s="25" t="str"/>
      <c r="AT5" s="25" t="str"/>
      <c r="AU5" s="25" t="str"/>
      <c r="AV5" s="25"/>
      <c r="AW5" s="25">
        <f>IF(AND(Q5="✅", I5="U90"), "X="&amp;(U5-1)*16&amp;",Y="&amp;(V5-1)*16&amp;",Z="&amp;W5*16, "")</f>
      </c>
      <c r="AX5" s="25">
        <f>IF(AND(Q5="✅", I5="U90"), "P=90,Y=0,R=0", "")</f>
      </c>
      <c r="AY5" s="25" t="str"/>
      <c r="AZ5" s="25" t="str"/>
      <c r="BA5" s="25" t="str"/>
      <c r="BB5" s="25" t="str"/>
      <c r="BC5" s="25" t="str"/>
      <c r="BD5" s="25"/>
      <c r="BE5" s="25">
        <f>IF(AND(Q5="✅", I5="D90"), "X="&amp;(U5-1)*16&amp;",Y="&amp;(V5-1)*16&amp;",Z="&amp;(W5-2)*16, "")</f>
      </c>
      <c r="BF5" s="25">
        <f>IF(AND(Q5="✅", I5="D90"), "P=-90,Y=0,R=0", "")</f>
      </c>
      <c r="BG5" s="25" t="str"/>
      <c r="BH5" s="25" t="str"/>
      <c r="BI5" s="25" t="str"/>
      <c r="BJ5" s="25" t="str"/>
      <c r="BK5" s="25" t="str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</row>
    <row customHeight="true" hidden="true" ht="19" outlineLevel="2" r="6">
      <c r="A6" s="129"/>
      <c r="B6" s="129"/>
      <c r="C6" s="130"/>
      <c r="D6" s="130"/>
      <c r="E6" s="21">
        <f>G6 &amp; "_" &amp; H6 &amp; IF(I6&lt;&gt;"", "_" &amp; I6, "") &amp; IF(J6&lt;&gt;"", "_" &amp; J6, "") &amp; IF(K6&lt;&gt;"", "_" &amp; K6, "") &amp;"_X"&amp;U6&amp;"_Y"&amp;V6&amp;"_Z"&amp;W6 &amp; IF(G6="SM", "_Proxy" , "_Rail") &amp; IF(M6&lt;&gt;"", "_" &amp; M6, "")</f>
      </c>
      <c r="F6" s="19">
        <f>IF(E6="", "", IF(G6="BP", E6, F5))</f>
      </c>
      <c r="G6" s="20" t="str">
        <v>SM</v>
      </c>
      <c r="H6" s="20" t="str">
        <v>Start</v>
      </c>
      <c r="I6" s="20" t="str">
        <v>F</v>
      </c>
      <c r="J6" s="20"/>
      <c r="K6" s="20"/>
      <c r="L6" s="20"/>
      <c r="M6" s="20" t="str">
        <v>B</v>
      </c>
      <c r="N6" s="95"/>
      <c r="O6" s="21"/>
      <c r="P6" s="95" t="str">
        <v>✅</v>
      </c>
      <c r="Q6" s="21"/>
      <c r="R6" s="20" t="str">
        <v>Start_F_X1_Y1_Z1</v>
      </c>
      <c r="S6" s="19" t="str">
        <v>/Script/Engine.StaticMesh'/Game/Item/Rail/Start/F/Normal/Start_F_X1_Y1_Z1/Proxy/SM_Start_F_X1_Y1_Z1_Proxy_B.SM_Start_F_X1_Y1_Z1_Proxy_B'</v>
      </c>
      <c r="T6" s="131" t="str"/>
      <c r="U6" s="132">
        <v>1</v>
      </c>
      <c r="V6" s="132">
        <v>1</v>
      </c>
      <c r="W6" s="132">
        <v>1</v>
      </c>
      <c r="X6" s="25"/>
      <c r="Y6" s="25">
        <f>IF(AND(Q6="✅", OR(ISNUMBER(FIND("F",I6)), I6="CR")),   "X="&amp;U6*16&amp;",Y="&amp;(V6-1)*16&amp;",Z="&amp;IF(I6="FD", -(W6-1)*16, (W6-1)*16),   "")</f>
      </c>
      <c r="Z6" s="25">
        <f>IF(AND(Q6="✅", OR(ISNUMBER(FIND("F",I6)), I6="CR")), "P=0,Y=0,R=0", "")</f>
      </c>
      <c r="AA6" s="25" t="str"/>
      <c r="AB6" s="25" t="str"/>
      <c r="AC6" s="25" t="str"/>
      <c r="AD6" s="25" t="str"/>
      <c r="AE6" s="25" t="str"/>
      <c r="AF6" s="25"/>
      <c r="AG6" s="25" t="str"/>
      <c r="AH6" s="25" t="str"/>
      <c r="AI6" s="25" t="str"/>
      <c r="AJ6" s="25" t="str"/>
      <c r="AK6" s="25" t="str"/>
      <c r="AL6" s="25" t="str"/>
      <c r="AM6" s="25" t="str"/>
      <c r="AN6" s="25"/>
      <c r="AO6" s="25" t="str"/>
      <c r="AP6" s="25" t="str"/>
      <c r="AQ6" s="25" t="str"/>
      <c r="AR6" s="25" t="str"/>
      <c r="AS6" s="25" t="str"/>
      <c r="AT6" s="25" t="str"/>
      <c r="AU6" s="25" t="str"/>
      <c r="AV6" s="25"/>
      <c r="AW6" s="25">
        <f>IF(AND(Q6="✅", I6="U90"), "X="&amp;(U6-1)*16&amp;",Y="&amp;(V6-1)*16&amp;",Z="&amp;W6*16, "")</f>
      </c>
      <c r="AX6" s="25">
        <f>IF(AND(Q6="✅", I6="U90"), "P=90,Y=0,R=0", "")</f>
      </c>
      <c r="AY6" s="25" t="str"/>
      <c r="AZ6" s="25" t="str"/>
      <c r="BA6" s="25" t="str"/>
      <c r="BB6" s="25" t="str"/>
      <c r="BC6" s="25" t="str"/>
      <c r="BD6" s="25"/>
      <c r="BE6" s="25">
        <f>IF(AND(Q6="✅", I6="D90"), "X="&amp;(U6-1)*16&amp;",Y="&amp;(V6-1)*16&amp;",Z="&amp;(W6-2)*16, "")</f>
      </c>
      <c r="BF6" s="25">
        <f>IF(AND(Q6="✅", I6="D90"), "P=-90,Y=0,R=0", "")</f>
      </c>
      <c r="BG6" s="25" t="str"/>
      <c r="BH6" s="25" t="str"/>
      <c r="BI6" s="25" t="str"/>
      <c r="BJ6" s="25" t="str"/>
      <c r="BK6" s="25" t="str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</row>
    <row customHeight="true" hidden="true" ht="19" outlineLevel="2" r="7">
      <c r="A7" s="129"/>
      <c r="B7" s="129"/>
      <c r="C7" s="130"/>
      <c r="D7" s="130"/>
      <c r="E7" s="21">
        <f>G7 &amp; "_" &amp; H7 &amp; IF(I7&lt;&gt;"", "_" &amp; I7, "") &amp; IF(J7&lt;&gt;"", "_" &amp; J7, "") &amp; IF(K7&lt;&gt;"", "_" &amp; K7, "") &amp;"_X"&amp;U7&amp;"_Y"&amp;V7&amp;"_Z"&amp;W7 &amp; IF(G7="SM", "_Proxy" , "_Rail") &amp; IF(M7&lt;&gt;"", "_" &amp; M7, "")</f>
      </c>
      <c r="F7" s="19">
        <f>IF(E7="", "", IF(G7="BP", E7, F6))</f>
      </c>
      <c r="G7" s="20" t="str">
        <v>SM</v>
      </c>
      <c r="H7" s="20" t="str">
        <v>Start</v>
      </c>
      <c r="I7" s="20" t="str">
        <v>F</v>
      </c>
      <c r="J7" s="20"/>
      <c r="K7" s="20"/>
      <c r="L7" s="20"/>
      <c r="M7" s="20" t="str">
        <v>Side</v>
      </c>
      <c r="N7" s="95"/>
      <c r="O7" s="21"/>
      <c r="P7" s="95" t="str">
        <v>✅</v>
      </c>
      <c r="Q7" s="21"/>
      <c r="R7" s="20" t="str">
        <v>Start_F_X1_Y1_Z1</v>
      </c>
      <c r="S7" s="19" t="str">
        <v>/Script/Engine.StaticMesh'/Game/Item/Rail/Start/F/Normal/Start_F_X1_Y1_Z1/Proxy/SM_Start_F_X1_Y1_Z1_Proxy_Side.SM_Start_F_X1_Y1_Z1_Proxy_Side'</v>
      </c>
      <c r="T7" s="131" t="str"/>
      <c r="U7" s="132">
        <v>1</v>
      </c>
      <c r="V7" s="132">
        <v>1</v>
      </c>
      <c r="W7" s="132">
        <v>1</v>
      </c>
      <c r="X7" s="25"/>
      <c r="Y7" s="25">
        <f>IF(AND(Q7="✅", OR(ISNUMBER(FIND("F",I7)), I7="CR")),   "X="&amp;U7*16&amp;",Y="&amp;(V7-1)*16&amp;",Z="&amp;IF(I7="FD", -(W7-1)*16, (W7-1)*16),   "")</f>
      </c>
      <c r="Z7" s="25">
        <f>IF(AND(Q7="✅", OR(ISNUMBER(FIND("F",I7)), I7="CR")), "P=0,Y=0,R=0", "")</f>
      </c>
      <c r="AA7" s="25" t="str"/>
      <c r="AB7" s="25" t="str"/>
      <c r="AC7" s="25" t="str"/>
      <c r="AD7" s="25" t="str"/>
      <c r="AE7" s="25" t="str"/>
      <c r="AF7" s="25"/>
      <c r="AG7" s="25" t="str"/>
      <c r="AH7" s="25" t="str"/>
      <c r="AI7" s="25" t="str"/>
      <c r="AJ7" s="25" t="str"/>
      <c r="AK7" s="25" t="str"/>
      <c r="AL7" s="25" t="str"/>
      <c r="AM7" s="25" t="str"/>
      <c r="AN7" s="25"/>
      <c r="AO7" s="25" t="str"/>
      <c r="AP7" s="25" t="str"/>
      <c r="AQ7" s="25" t="str"/>
      <c r="AR7" s="25" t="str"/>
      <c r="AS7" s="25" t="str"/>
      <c r="AT7" s="25" t="str"/>
      <c r="AU7" s="25" t="str"/>
      <c r="AV7" s="25"/>
      <c r="AW7" s="25">
        <f>IF(AND(Q7="✅", I7="U90"), "X="&amp;(U7-1)*16&amp;",Y="&amp;(V7-1)*16&amp;",Z="&amp;W7*16, "")</f>
      </c>
      <c r="AX7" s="25">
        <f>IF(AND(Q7="✅", I7="U90"), "P=90,Y=0,R=0", "")</f>
      </c>
      <c r="AY7" s="25" t="str"/>
      <c r="AZ7" s="25" t="str"/>
      <c r="BA7" s="25" t="str"/>
      <c r="BB7" s="25" t="str"/>
      <c r="BC7" s="25" t="str"/>
      <c r="BD7" s="25"/>
      <c r="BE7" s="25">
        <f>IF(AND(Q7="✅", I7="D90"), "X="&amp;(U7-1)*16&amp;",Y="&amp;(V7-1)*16&amp;",Z="&amp;(W7-2)*16, "")</f>
      </c>
      <c r="BF7" s="25">
        <f>IF(AND(Q7="✅", I7="D90"), "P=-90,Y=0,R=0", "")</f>
      </c>
      <c r="BG7" s="25" t="str"/>
      <c r="BH7" s="25" t="str"/>
      <c r="BI7" s="25" t="str"/>
      <c r="BJ7" s="25" t="str"/>
      <c r="BK7" s="25" t="str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</row>
    <row collapsed="true" customHeight="true" ht="19" r="8">
      <c r="A8" s="11" t="str">
        <v>CheckPoint</v>
      </c>
      <c r="B8" s="11"/>
      <c r="C8" s="119"/>
      <c r="D8" s="119"/>
      <c r="E8" s="5"/>
      <c r="F8" s="9">
        <f>IF(E8="", "", IF(G8="BP", E8, F7))</f>
      </c>
      <c r="G8" s="1"/>
      <c r="H8" s="1"/>
      <c r="I8" s="1"/>
      <c r="J8" s="1"/>
      <c r="K8" s="1"/>
      <c r="L8" s="1"/>
      <c r="M8" s="1"/>
      <c r="N8" s="3"/>
      <c r="O8" s="3"/>
      <c r="P8" s="3"/>
      <c r="Q8" s="3"/>
      <c r="R8" s="1" t="str"/>
      <c r="S8" s="9" t="str"/>
      <c r="T8" s="120" t="str"/>
      <c r="U8" s="118"/>
      <c r="V8" s="118"/>
      <c r="W8" s="118"/>
      <c r="X8" s="4"/>
      <c r="Y8" s="4">
        <f>IF(AND(Q8="✅", OR(ISNUMBER(FIND("F",I8)), I8="CR")),   "X="&amp;U8*16&amp;",Y="&amp;(V8-1)*16&amp;",Z="&amp;IF(I8="FD", -(W8-1)*16, (W8-1)*16),   "")</f>
      </c>
      <c r="Z8" s="4">
        <f>IF(AND(Q8="✅", OR(ISNUMBER(FIND("F",I8)), I8="CR")), "P=0,Y=0,R=0", "")</f>
      </c>
      <c r="AA8" s="4" t="str"/>
      <c r="AB8" s="4" t="str"/>
      <c r="AC8" s="4" t="str"/>
      <c r="AD8" s="4" t="str"/>
      <c r="AE8" s="4" t="str"/>
      <c r="AF8" s="4"/>
      <c r="AG8" s="4" t="str"/>
      <c r="AH8" s="4" t="str"/>
      <c r="AI8" s="4" t="str"/>
      <c r="AJ8" s="4" t="str"/>
      <c r="AK8" s="4" t="str"/>
      <c r="AL8" s="4" t="str"/>
      <c r="AM8" s="4" t="str"/>
      <c r="AN8" s="4"/>
      <c r="AO8" s="4" t="str"/>
      <c r="AP8" s="4" t="str"/>
      <c r="AQ8" s="4" t="str"/>
      <c r="AR8" s="4" t="str"/>
      <c r="AS8" s="4" t="str"/>
      <c r="AT8" s="4" t="str"/>
      <c r="AU8" s="4" t="str"/>
      <c r="AV8" s="4"/>
      <c r="AW8" s="4">
        <f>IF(AND(Q8="✅", I8="U90"), "X="&amp;(U8-1)*16&amp;",Y="&amp;(V8-1)*16&amp;",Z="&amp;W8*16, "")</f>
      </c>
      <c r="AX8" s="4">
        <f>IF(AND(Q8="✅", I8="U90"), "P=90,Y=0,R=0", "")</f>
      </c>
      <c r="AY8" s="4" t="str"/>
      <c r="AZ8" s="4" t="str"/>
      <c r="BA8" s="4" t="str"/>
      <c r="BB8" s="4" t="str"/>
      <c r="BC8" s="4" t="str"/>
      <c r="BD8" s="4"/>
      <c r="BE8" s="4">
        <f>IF(AND(Q8="✅", I8="D90"), "X="&amp;(U8-1)*16&amp;",Y="&amp;(V8-1)*16&amp;",Z="&amp;(W8-2)*16, "")</f>
      </c>
      <c r="BF8" s="4">
        <f>IF(AND(Q8="✅", I8="D90"), "P=-90,Y=0,R=0", "")</f>
      </c>
      <c r="BG8" s="4" t="str"/>
      <c r="BH8" s="4" t="str"/>
      <c r="BI8" s="4" t="str"/>
      <c r="BJ8" s="4" t="str"/>
      <c r="BK8" s="4" t="str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</row>
    <row customHeight="true" hidden="true" ht="19" outlineLevel="1" r="9">
      <c r="A9" s="11"/>
      <c r="B9" s="11" t="str">
        <v>F</v>
      </c>
      <c r="C9" s="119"/>
      <c r="D9" s="119"/>
      <c r="E9" s="5"/>
      <c r="F9" s="9">
        <f>IF(E9="", "", IF(G9="BP", E9, F8))</f>
      </c>
      <c r="G9" s="1"/>
      <c r="H9" s="1"/>
      <c r="I9" s="1"/>
      <c r="J9" s="1"/>
      <c r="K9" s="1"/>
      <c r="L9" s="1"/>
      <c r="M9" s="1"/>
      <c r="N9" s="3"/>
      <c r="O9" s="3"/>
      <c r="P9" s="3"/>
      <c r="Q9" s="3"/>
      <c r="R9" s="1" t="str"/>
      <c r="S9" s="9" t="str"/>
      <c r="T9" s="120" t="str"/>
      <c r="U9" s="118"/>
      <c r="V9" s="118"/>
      <c r="W9" s="118"/>
      <c r="X9" s="4"/>
      <c r="Y9" s="4">
        <f>IF(AND(Q9="✅", OR(ISNUMBER(FIND("F",I9)), I9="CR")),   "X="&amp;U9*16&amp;",Y="&amp;(V9-1)*16&amp;",Z="&amp;IF(I9="FD", -(W9-1)*16, (W9-1)*16),   "")</f>
      </c>
      <c r="Z9" s="4">
        <f>IF(AND(Q9="✅", OR(ISNUMBER(FIND("F",I9)), I9="CR")), "P=0,Y=0,R=0", "")</f>
      </c>
      <c r="AA9" s="4" t="str"/>
      <c r="AB9" s="4" t="str"/>
      <c r="AC9" s="4" t="str"/>
      <c r="AD9" s="4" t="str"/>
      <c r="AE9" s="4" t="str"/>
      <c r="AF9" s="4"/>
      <c r="AG9" s="4" t="str"/>
      <c r="AH9" s="4" t="str"/>
      <c r="AI9" s="4" t="str"/>
      <c r="AJ9" s="4" t="str"/>
      <c r="AK9" s="4" t="str"/>
      <c r="AL9" s="4" t="str"/>
      <c r="AM9" s="4" t="str"/>
      <c r="AN9" s="4"/>
      <c r="AO9" s="4" t="str"/>
      <c r="AP9" s="4" t="str"/>
      <c r="AQ9" s="4" t="str"/>
      <c r="AR9" s="4" t="str"/>
      <c r="AS9" s="4" t="str"/>
      <c r="AT9" s="4" t="str"/>
      <c r="AU9" s="4" t="str"/>
      <c r="AV9" s="4"/>
      <c r="AW9" s="4">
        <f>IF(AND(Q9="✅", I9="U90"), "X="&amp;(U9-1)*16&amp;",Y="&amp;(V9-1)*16&amp;",Z="&amp;W9*16, "")</f>
      </c>
      <c r="AX9" s="4">
        <f>IF(AND(Q9="✅", I9="U90"), "P=90,Y=0,R=0", "")</f>
      </c>
      <c r="AY9" s="4" t="str"/>
      <c r="AZ9" s="4" t="str"/>
      <c r="BA9" s="4" t="str"/>
      <c r="BB9" s="4" t="str"/>
      <c r="BC9" s="4" t="str"/>
      <c r="BD9" s="4"/>
      <c r="BE9" s="4">
        <f>IF(AND(Q9="✅", I9="D90"), "X="&amp;(U9-1)*16&amp;",Y="&amp;(V9-1)*16&amp;",Z="&amp;(W9-2)*16, "")</f>
      </c>
      <c r="BF9" s="4">
        <f>IF(AND(Q9="✅", I9="D90"), "P=-90,Y=0,R=0", "")</f>
      </c>
      <c r="BG9" s="4" t="str"/>
      <c r="BH9" s="4" t="str"/>
      <c r="BI9" s="4" t="str"/>
      <c r="BJ9" s="4" t="str"/>
      <c r="BK9" s="4" t="str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</row>
    <row customHeight="true" hidden="true" ht="19" outlineLevel="1" r="10">
      <c r="A10" s="11"/>
      <c r="B10" s="11"/>
      <c r="C10" s="119" t="str">
        <v>Normal</v>
      </c>
      <c r="D10" s="119"/>
      <c r="E10" s="5"/>
      <c r="F10" s="9">
        <f>IF(E10="", "", IF(G10="BP", E10, F9))</f>
      </c>
      <c r="G10" s="1"/>
      <c r="H10" s="1"/>
      <c r="I10" s="1"/>
      <c r="J10" s="1"/>
      <c r="K10" s="1"/>
      <c r="L10" s="1"/>
      <c r="M10" s="1"/>
      <c r="N10" s="3"/>
      <c r="O10" s="3"/>
      <c r="P10" s="3"/>
      <c r="Q10" s="3"/>
      <c r="R10" s="1" t="str"/>
      <c r="S10" s="9" t="str"/>
      <c r="T10" s="120" t="str"/>
      <c r="U10" s="118"/>
      <c r="V10" s="118"/>
      <c r="W10" s="118"/>
      <c r="X10" s="4"/>
      <c r="Y10" s="4">
        <f>IF(AND(Q10="✅", OR(ISNUMBER(FIND("F",I10)), I10="CR")),   "X="&amp;U10*16&amp;",Y="&amp;(V10-1)*16&amp;",Z="&amp;IF(I10="FD", -(W10-1)*16, (W10-1)*16),   "")</f>
      </c>
      <c r="Z10" s="4">
        <f>IF(AND(Q10="✅", OR(ISNUMBER(FIND("F",I10)), I10="CR")), "P=0,Y=0,R=0", "")</f>
      </c>
      <c r="AA10" s="4" t="str"/>
      <c r="AB10" s="4" t="str"/>
      <c r="AC10" s="4" t="str"/>
      <c r="AD10" s="4" t="str"/>
      <c r="AE10" s="4" t="str"/>
      <c r="AF10" s="4"/>
      <c r="AG10" s="4" t="str"/>
      <c r="AH10" s="4" t="str"/>
      <c r="AI10" s="4" t="str"/>
      <c r="AJ10" s="4" t="str"/>
      <c r="AK10" s="4" t="str"/>
      <c r="AL10" s="4" t="str"/>
      <c r="AM10" s="4" t="str"/>
      <c r="AN10" s="4"/>
      <c r="AO10" s="4" t="str"/>
      <c r="AP10" s="4" t="str"/>
      <c r="AQ10" s="4" t="str"/>
      <c r="AR10" s="4" t="str"/>
      <c r="AS10" s="4" t="str"/>
      <c r="AT10" s="4" t="str"/>
      <c r="AU10" s="4" t="str"/>
      <c r="AV10" s="4"/>
      <c r="AW10" s="4">
        <f>IF(AND(Q10="✅", I10="U90"), "X="&amp;(U10-1)*16&amp;",Y="&amp;(V10-1)*16&amp;",Z="&amp;W10*16, "")</f>
      </c>
      <c r="AX10" s="4">
        <f>IF(AND(Q10="✅", I10="U90"), "P=90,Y=0,R=0", "")</f>
      </c>
      <c r="AY10" s="4" t="str"/>
      <c r="AZ10" s="4" t="str"/>
      <c r="BA10" s="4" t="str"/>
      <c r="BB10" s="4" t="str"/>
      <c r="BC10" s="4" t="str"/>
      <c r="BD10" s="4"/>
      <c r="BE10" s="4">
        <f>IF(AND(Q10="✅", I10="D90"), "X="&amp;(U10-1)*16&amp;",Y="&amp;(V10-1)*16&amp;",Z="&amp;(W10-2)*16, "")</f>
      </c>
      <c r="BF10" s="4">
        <f>IF(AND(Q10="✅", I10="D90"), "P=-90,Y=0,R=0", "")</f>
      </c>
      <c r="BG10" s="4" t="str"/>
      <c r="BH10" s="4" t="str"/>
      <c r="BI10" s="4" t="str"/>
      <c r="BJ10" s="4" t="str"/>
      <c r="BK10" s="4" t="str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</row>
    <row customHeight="true" hidden="true" ht="19" outlineLevel="2" r="11">
      <c r="A11" s="149"/>
      <c r="B11" s="149"/>
      <c r="C11" s="148"/>
      <c r="D11" s="148"/>
      <c r="E11" s="65">
        <f>G11 &amp; "_" &amp; H11 &amp; IF(I11&lt;&gt;"", "_" &amp; I11, "") &amp; IF(J11&lt;&gt;"", "_" &amp; J11, "") &amp; IF(K11&lt;&gt;"", "_" &amp; K11, "") &amp;"_X"&amp;U11&amp;"_Y"&amp;V11&amp;"_Z"&amp;W11 &amp; IF(G11="SM", "_Proxy" , "_Rail") &amp; IF(M11&lt;&gt;"", "_" &amp; M11, "")</f>
      </c>
      <c r="F11" s="66">
        <f>IF(E11="", "", IF(G11="BP", E11, F10))</f>
      </c>
      <c r="G11" s="64" t="str">
        <v>BP</v>
      </c>
      <c r="H11" s="64" t="str">
        <v>CheckPoint</v>
      </c>
      <c r="I11" s="64" t="str">
        <v>F</v>
      </c>
      <c r="J11" s="64"/>
      <c r="K11" s="64"/>
      <c r="L11" s="64"/>
      <c r="M11" s="64"/>
      <c r="N11" s="90"/>
      <c r="O11" s="90"/>
      <c r="P11" s="90"/>
      <c r="Q11" s="90" t="str">
        <v>✅</v>
      </c>
      <c r="R11" s="64" t="str">
        <v>CheckPoint_F_X1_Y1_Z1</v>
      </c>
      <c r="S11" s="66" t="str">
        <v>/Script/Engine.BlueprintGeneratedClass'/Game/Item/Rail/CheckPoint/F/Normal/CheckPoint_F_X1_Y1_Z1/BP_CheckPoint_F_X1_Y1_Z1_Rail.BP_CheckPoint_F_X1_Y1_Z1_Rail_C'</v>
      </c>
      <c r="T11" s="139">
        <v>0</v>
      </c>
      <c r="U11" s="140">
        <v>1</v>
      </c>
      <c r="V11" s="140">
        <v>1</v>
      </c>
      <c r="W11" s="140">
        <v>1</v>
      </c>
      <c r="X11" s="88"/>
      <c r="Y11" s="88">
        <f>IF(AND(Q11="✅", OR(ISNUMBER(FIND("F",I11)), I11="CR")),   "X="&amp;U11*16&amp;",Y="&amp;(V11-1)*16&amp;",Z="&amp;IF(I11="FD", -(W11-1)*16, (W11-1)*16),   "")</f>
      </c>
      <c r="Z11" s="88">
        <f>IF(AND(Q11="✅", OR(ISNUMBER(FIND("F",I11)), I11="CR")), "P=0,Y=0,R=0", "")</f>
      </c>
      <c r="AA11" s="88">
        <v>1</v>
      </c>
      <c r="AB11" s="88">
        <v>1.5</v>
      </c>
      <c r="AC11" s="88">
        <v>2</v>
      </c>
      <c r="AD11" s="88">
        <v>1.5</v>
      </c>
      <c r="AE11" s="88" t="str">
        <v>X=1,Y=1.5,Z=2,W=1.5</v>
      </c>
      <c r="AF11" s="88"/>
      <c r="AG11" s="88" t="str"/>
      <c r="AH11" s="88" t="str"/>
      <c r="AI11" s="88" t="str"/>
      <c r="AJ11" s="88" t="str"/>
      <c r="AK11" s="88" t="str"/>
      <c r="AL11" s="88" t="str"/>
      <c r="AM11" s="88" t="str"/>
      <c r="AN11" s="88"/>
      <c r="AO11" s="88" t="str"/>
      <c r="AP11" s="88" t="str"/>
      <c r="AQ11" s="88" t="str"/>
      <c r="AR11" s="88" t="str"/>
      <c r="AS11" s="88" t="str"/>
      <c r="AT11" s="88" t="str"/>
      <c r="AU11" s="88" t="str"/>
      <c r="AV11" s="88"/>
      <c r="AW11" s="88">
        <f>IF(AND(Q11="✅", I11="U90"), "X="&amp;(U11-1)*16&amp;",Y="&amp;(V11-1)*16&amp;",Z="&amp;W11*16, "")</f>
      </c>
      <c r="AX11" s="88">
        <f>IF(AND(Q11="✅", I11="U90"), "P=90,Y=0,R=0", "")</f>
      </c>
      <c r="AY11" s="88" t="str"/>
      <c r="AZ11" s="88" t="str"/>
      <c r="BA11" s="88" t="str"/>
      <c r="BB11" s="88" t="str"/>
      <c r="BC11" s="88" t="str"/>
      <c r="BD11" s="88"/>
      <c r="BE11" s="88">
        <f>IF(AND(Q11="✅", I11="D90"), "X="&amp;(U11-1)*16&amp;",Y="&amp;(V11-1)*16&amp;",Z="&amp;(W11-2)*16, "")</f>
      </c>
      <c r="BF11" s="88">
        <f>IF(AND(Q11="✅", I11="D90"), "P=-90,Y=0,R=0", "")</f>
      </c>
      <c r="BG11" s="88" t="str"/>
      <c r="BH11" s="88" t="str"/>
      <c r="BI11" s="88" t="str"/>
      <c r="BJ11" s="88" t="str"/>
      <c r="BK11" s="88" t="str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</row>
    <row customHeight="true" hidden="true" ht="19" outlineLevel="2" r="12">
      <c r="A12" s="149"/>
      <c r="B12" s="149"/>
      <c r="C12" s="148"/>
      <c r="D12" s="148"/>
      <c r="E12" s="65">
        <f>G12 &amp; "_" &amp; H12 &amp; IF(I12&lt;&gt;"", "_" &amp; I12, "") &amp; IF(J12&lt;&gt;"", "_" &amp; J12, "") &amp; IF(K12&lt;&gt;"", "_" &amp; K12, "") &amp;"_X"&amp;U12&amp;"_Y"&amp;V12&amp;"_Z"&amp;W12 &amp; IF(G12="SM", "_Proxy" , "_Rail") &amp; IF(M12&lt;&gt;"", "_" &amp; M12, "")</f>
      </c>
      <c r="F12" s="66">
        <f>IF(E12="", "", IF(G12="BP", E12, F11))</f>
      </c>
      <c r="G12" s="64" t="str">
        <v>SM</v>
      </c>
      <c r="H12" s="64" t="str">
        <v>CheckPoint</v>
      </c>
      <c r="I12" s="64" t="str">
        <v>F</v>
      </c>
      <c r="J12" s="64"/>
      <c r="K12" s="64"/>
      <c r="L12" s="64"/>
      <c r="M12" s="64" t="str">
        <v>B</v>
      </c>
      <c r="N12" s="90"/>
      <c r="O12" s="65"/>
      <c r="P12" s="90" t="str">
        <v>✅</v>
      </c>
      <c r="Q12" s="65"/>
      <c r="R12" s="64" t="str">
        <v>CheckPoint_F_X1_Y1_Z1</v>
      </c>
      <c r="S12" s="66" t="str">
        <v>/Script/Engine.StaticMesh'/Game/Item/Rail/CheckPoint/F/Normal/CheckPoint_F_X1_Y1_Z1/Proxy/SM_CheckPoint_F_X1_Y1_Z1_Proxy_B.SM_CheckPoint_F_X1_Y1_Z1_Proxy_B'</v>
      </c>
      <c r="T12" s="139" t="str"/>
      <c r="U12" s="140">
        <v>1</v>
      </c>
      <c r="V12" s="140">
        <v>1</v>
      </c>
      <c r="W12" s="140">
        <v>1</v>
      </c>
      <c r="X12" s="88"/>
      <c r="Y12" s="88">
        <f>IF(AND(Q12="✅", OR(ISNUMBER(FIND("F",I12)), I12="CR")),   "X="&amp;U12*16&amp;",Y="&amp;(V12-1)*16&amp;",Z="&amp;IF(I12="FD", -(W12-1)*16, (W12-1)*16),   "")</f>
      </c>
      <c r="Z12" s="88">
        <f>IF(AND(Q12="✅", OR(ISNUMBER(FIND("F",I12)), I12="CR")), "P=0,Y=0,R=0", "")</f>
      </c>
      <c r="AA12" s="88" t="str"/>
      <c r="AB12" s="88" t="str"/>
      <c r="AC12" s="88" t="str"/>
      <c r="AD12" s="88" t="str"/>
      <c r="AE12" s="88" t="str"/>
      <c r="AF12" s="88"/>
      <c r="AG12" s="88" t="str"/>
      <c r="AH12" s="88" t="str"/>
      <c r="AI12" s="88" t="str"/>
      <c r="AJ12" s="88" t="str"/>
      <c r="AK12" s="88" t="str"/>
      <c r="AL12" s="88" t="str"/>
      <c r="AM12" s="88" t="str"/>
      <c r="AN12" s="88"/>
      <c r="AO12" s="88" t="str"/>
      <c r="AP12" s="88" t="str"/>
      <c r="AQ12" s="88" t="str"/>
      <c r="AR12" s="88" t="str"/>
      <c r="AS12" s="88" t="str"/>
      <c r="AT12" s="88" t="str"/>
      <c r="AU12" s="88" t="str"/>
      <c r="AV12" s="88"/>
      <c r="AW12" s="88">
        <f>IF(AND(Q12="✅", I12="U90"), "X="&amp;(U12-1)*16&amp;",Y="&amp;(V12-1)*16&amp;",Z="&amp;W12*16, "")</f>
      </c>
      <c r="AX12" s="88">
        <f>IF(AND(Q12="✅", I12="U90"), "P=90,Y=0,R=0", "")</f>
      </c>
      <c r="AY12" s="88" t="str"/>
      <c r="AZ12" s="88" t="str"/>
      <c r="BA12" s="88" t="str"/>
      <c r="BB12" s="88" t="str"/>
      <c r="BC12" s="88" t="str"/>
      <c r="BD12" s="88"/>
      <c r="BE12" s="88">
        <f>IF(AND(Q12="✅", I12="D90"), "X="&amp;(U12-1)*16&amp;",Y="&amp;(V12-1)*16&amp;",Z="&amp;(W12-2)*16, "")</f>
      </c>
      <c r="BF12" s="88">
        <f>IF(AND(Q12="✅", I12="D90"), "P=-90,Y=0,R=0", "")</f>
      </c>
      <c r="BG12" s="88" t="str"/>
      <c r="BH12" s="88" t="str"/>
      <c r="BI12" s="88" t="str"/>
      <c r="BJ12" s="88" t="str"/>
      <c r="BK12" s="88" t="str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</row>
    <row customHeight="true" hidden="true" ht="19" outlineLevel="2" r="13">
      <c r="A13" s="149"/>
      <c r="B13" s="149"/>
      <c r="C13" s="148"/>
      <c r="D13" s="148"/>
      <c r="E13" s="65">
        <f>G13 &amp; "_" &amp; H13 &amp; IF(I13&lt;&gt;"", "_" &amp; I13, "") &amp; IF(J13&lt;&gt;"", "_" &amp; J13, "") &amp; IF(K13&lt;&gt;"", "_" &amp; K13, "") &amp;"_X"&amp;U13&amp;"_Y"&amp;V13&amp;"_Z"&amp;W13 &amp; IF(G13="SM", "_Proxy" , "_Rail") &amp; IF(M13&lt;&gt;"", "_" &amp; M13, "")</f>
      </c>
      <c r="F13" s="66">
        <f>IF(E13="", "", IF(G13="BP", E13, F11))</f>
      </c>
      <c r="G13" s="64" t="str">
        <v>SM</v>
      </c>
      <c r="H13" s="64" t="str">
        <v>CheckPoint</v>
      </c>
      <c r="I13" s="64" t="str">
        <v>F</v>
      </c>
      <c r="J13" s="64"/>
      <c r="K13" s="64"/>
      <c r="L13" s="64"/>
      <c r="M13" s="64" t="str">
        <v>Side</v>
      </c>
      <c r="N13" s="90"/>
      <c r="O13" s="90"/>
      <c r="P13" s="90" t="str">
        <v>✅</v>
      </c>
      <c r="Q13" s="90"/>
      <c r="R13" s="64" t="str">
        <v>CheckPoint_F_X1_Y1_Z1</v>
      </c>
      <c r="S13" s="66" t="str">
        <v>/Script/Engine.StaticMesh'/Game/Item/Rail/CheckPoint/F/Normal/CheckPoint_F_X1_Y1_Z1/Proxy/SM_CheckPoint_F_X1_Y1_Z1_Proxy_Side.SM_CheckPoint_F_X1_Y1_Z1_Proxy_Side'</v>
      </c>
      <c r="T13" s="139" t="str"/>
      <c r="U13" s="140">
        <v>1</v>
      </c>
      <c r="V13" s="140">
        <v>1</v>
      </c>
      <c r="W13" s="140">
        <v>1</v>
      </c>
      <c r="X13" s="88"/>
      <c r="Y13" s="88">
        <f>IF(AND(Q13="✅", OR(ISNUMBER(FIND("F",I13)), I13="CR")),   "X="&amp;U13*16&amp;",Y="&amp;(V13-1)*16&amp;",Z="&amp;IF(I13="FD", -(W13-1)*16, (W13-1)*16),   "")</f>
      </c>
      <c r="Z13" s="88">
        <f>IF(AND(Q13="✅", OR(ISNUMBER(FIND("F",I13)), I13="CR")), "P=0,Y=0,R=0", "")</f>
      </c>
      <c r="AA13" s="88" t="str"/>
      <c r="AB13" s="88" t="str"/>
      <c r="AC13" s="88" t="str"/>
      <c r="AD13" s="88" t="str"/>
      <c r="AE13" s="88" t="str"/>
      <c r="AF13" s="88"/>
      <c r="AG13" s="88" t="str"/>
      <c r="AH13" s="88" t="str"/>
      <c r="AI13" s="88" t="str"/>
      <c r="AJ13" s="88" t="str"/>
      <c r="AK13" s="88" t="str"/>
      <c r="AL13" s="88" t="str"/>
      <c r="AM13" s="88" t="str"/>
      <c r="AN13" s="88"/>
      <c r="AO13" s="88" t="str"/>
      <c r="AP13" s="88" t="str"/>
      <c r="AQ13" s="88" t="str"/>
      <c r="AR13" s="88" t="str"/>
      <c r="AS13" s="88" t="str"/>
      <c r="AT13" s="88" t="str"/>
      <c r="AU13" s="88" t="str"/>
      <c r="AV13" s="88"/>
      <c r="AW13" s="88">
        <f>IF(AND(Q13="✅", I13="U90"), "X="&amp;(U13-1)*16&amp;",Y="&amp;(V13-1)*16&amp;",Z="&amp;W13*16, "")</f>
      </c>
      <c r="AX13" s="88">
        <f>IF(AND(Q13="✅", I13="U90"), "P=90,Y=0,R=0", "")</f>
      </c>
      <c r="AY13" s="88" t="str"/>
      <c r="AZ13" s="88" t="str"/>
      <c r="BA13" s="88" t="str"/>
      <c r="BB13" s="88" t="str"/>
      <c r="BC13" s="88" t="str"/>
      <c r="BD13" s="88"/>
      <c r="BE13" s="88">
        <f>IF(AND(Q13="✅", I13="D90"), "X="&amp;(U13-1)*16&amp;",Y="&amp;(V13-1)*16&amp;",Z="&amp;(W13-2)*16, "")</f>
      </c>
      <c r="BF13" s="88">
        <f>IF(AND(Q13="✅", I13="D90"), "P=-90,Y=0,R=0", "")</f>
      </c>
      <c r="BG13" s="88" t="str"/>
      <c r="BH13" s="88" t="str"/>
      <c r="BI13" s="88" t="str"/>
      <c r="BJ13" s="88" t="str"/>
      <c r="BK13" s="88" t="str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</row>
    <row collapsed="true" customHeight="true" ht="19" r="14">
      <c r="A14" s="11" t="str">
        <v>End</v>
      </c>
      <c r="C14" s="152"/>
      <c r="D14" s="152"/>
      <c r="E14" s="5"/>
      <c r="F14" s="9">
        <f>IF(E14="", "", IF(G14="BP", E14, F13))</f>
      </c>
      <c r="G14" s="1"/>
      <c r="H14" s="1"/>
      <c r="I14" s="1"/>
      <c r="J14" s="1"/>
      <c r="K14" s="1"/>
      <c r="L14" s="1"/>
      <c r="M14" s="1"/>
      <c r="N14" s="3"/>
      <c r="O14" s="3"/>
      <c r="P14" s="3"/>
      <c r="Q14" s="3"/>
      <c r="R14" s="1" t="str"/>
      <c r="S14" s="9" t="str"/>
      <c r="T14" s="120" t="str"/>
      <c r="U14" s="118"/>
      <c r="V14" s="118"/>
      <c r="W14" s="118"/>
      <c r="X14" s="4"/>
      <c r="Y14" s="4">
        <f>IF(AND(Q14="✅", OR(ISNUMBER(FIND("F",I14)), I14="CR")),   "X="&amp;U14*16&amp;",Y="&amp;(V14-1)*16&amp;",Z="&amp;IF(I14="FD", -(W14-1)*16, (W14-1)*16),   "")</f>
      </c>
      <c r="Z14" s="4">
        <f>IF(AND(Q14="✅", OR(ISNUMBER(FIND("F",I14)), I14="CR")), "P=0,Y=0,R=0", "")</f>
      </c>
      <c r="AA14" s="4" t="str"/>
      <c r="AB14" s="4" t="str"/>
      <c r="AC14" s="4" t="str"/>
      <c r="AD14" s="4" t="str"/>
      <c r="AE14" s="4" t="str"/>
      <c r="AF14" s="4"/>
      <c r="AG14" s="4" t="str"/>
      <c r="AH14" s="4" t="str"/>
      <c r="AI14" s="4" t="str"/>
      <c r="AJ14" s="4" t="str"/>
      <c r="AK14" s="4" t="str"/>
      <c r="AL14" s="4" t="str"/>
      <c r="AM14" s="4" t="str"/>
      <c r="AN14" s="4"/>
      <c r="AO14" s="4" t="str"/>
      <c r="AP14" s="4" t="str"/>
      <c r="AQ14" s="4" t="str"/>
      <c r="AR14" s="4" t="str"/>
      <c r="AS14" s="4" t="str"/>
      <c r="AT14" s="4" t="str"/>
      <c r="AU14" s="4" t="str"/>
      <c r="AV14" s="4"/>
      <c r="AW14" s="4">
        <f>IF(AND(Q14="✅", I14="U90"), "X="&amp;(U14-1)*16&amp;",Y="&amp;(V14-1)*16&amp;",Z="&amp;W14*16, "")</f>
      </c>
      <c r="AX14" s="4">
        <f>IF(AND(Q14="✅", I14="U90"), "P=90,Y=0,R=0", "")</f>
      </c>
      <c r="AY14" s="4" t="str"/>
      <c r="AZ14" s="4" t="str"/>
      <c r="BA14" s="4" t="str"/>
      <c r="BB14" s="4" t="str"/>
      <c r="BC14" s="4" t="str"/>
      <c r="BD14" s="4"/>
      <c r="BE14" s="4">
        <f>IF(AND(Q14="✅", I14="D90"), "X="&amp;(U14-1)*16&amp;",Y="&amp;(V14-1)*16&amp;",Z="&amp;(W14-2)*16, "")</f>
      </c>
      <c r="BF14" s="4">
        <f>IF(AND(Q14="✅", I14="D90"), "P=-90,Y=0,R=0", "")</f>
      </c>
      <c r="BG14" s="4" t="str"/>
      <c r="BH14" s="4" t="str"/>
      <c r="BI14" s="4" t="str"/>
      <c r="BJ14" s="4" t="str"/>
      <c r="BK14" s="4" t="str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</row>
    <row customHeight="true" hidden="true" ht="19" outlineLevel="1" r="15">
      <c r="A15" s="11"/>
      <c r="B15" s="11" t="str">
        <v>F</v>
      </c>
      <c r="C15" s="119"/>
      <c r="D15" s="119"/>
      <c r="E15" s="5"/>
      <c r="F15" s="9">
        <f>IF(E15="", "", IF(G15="BP", E15, F14))</f>
      </c>
      <c r="G15" s="1"/>
      <c r="H15" s="1"/>
      <c r="I15" s="1"/>
      <c r="J15" s="1"/>
      <c r="K15" s="1"/>
      <c r="L15" s="1"/>
      <c r="M15" s="1"/>
      <c r="N15" s="3"/>
      <c r="O15" s="3"/>
      <c r="P15" s="3"/>
      <c r="Q15" s="3"/>
      <c r="R15" s="1" t="str"/>
      <c r="S15" s="9" t="str"/>
      <c r="T15" s="120" t="str"/>
      <c r="U15" s="118"/>
      <c r="V15" s="118"/>
      <c r="W15" s="118"/>
      <c r="X15" s="4"/>
      <c r="Y15" s="4">
        <f>IF(AND(Q15="✅", OR(ISNUMBER(FIND("F",I15)), I15="CR")),   "X="&amp;U15*16&amp;",Y="&amp;(V15-1)*16&amp;",Z="&amp;IF(I15="FD", -(W15-1)*16, (W15-1)*16),   "")</f>
      </c>
      <c r="Z15" s="4">
        <f>IF(AND(Q15="✅", OR(ISNUMBER(FIND("F",I15)), I15="CR")), "P=0,Y=0,R=0", "")</f>
      </c>
      <c r="AA15" s="4" t="str"/>
      <c r="AB15" s="4" t="str"/>
      <c r="AC15" s="4" t="str"/>
      <c r="AD15" s="4" t="str"/>
      <c r="AE15" s="4" t="str"/>
      <c r="AF15" s="4"/>
      <c r="AG15" s="4" t="str"/>
      <c r="AH15" s="4" t="str"/>
      <c r="AI15" s="4" t="str"/>
      <c r="AJ15" s="4" t="str"/>
      <c r="AK15" s="4" t="str"/>
      <c r="AL15" s="4" t="str"/>
      <c r="AM15" s="4" t="str"/>
      <c r="AN15" s="4"/>
      <c r="AO15" s="4" t="str"/>
      <c r="AP15" s="4" t="str"/>
      <c r="AQ15" s="4" t="str"/>
      <c r="AR15" s="4" t="str"/>
      <c r="AS15" s="4" t="str"/>
      <c r="AT15" s="4" t="str"/>
      <c r="AU15" s="4" t="str"/>
      <c r="AV15" s="4"/>
      <c r="AW15" s="4">
        <f>IF(AND(Q15="✅", I15="U90"), "X="&amp;(U15-1)*16&amp;",Y="&amp;(V15-1)*16&amp;",Z="&amp;W15*16, "")</f>
      </c>
      <c r="AX15" s="4">
        <f>IF(AND(Q15="✅", I15="U90"), "P=90,Y=0,R=0", "")</f>
      </c>
      <c r="AY15" s="4" t="str"/>
      <c r="AZ15" s="4" t="str"/>
      <c r="BA15" s="4" t="str"/>
      <c r="BB15" s="4" t="str"/>
      <c r="BC15" s="4" t="str"/>
      <c r="BD15" s="4"/>
      <c r="BE15" s="4">
        <f>IF(AND(Q15="✅", I15="D90"), "X="&amp;(U15-1)*16&amp;",Y="&amp;(V15-1)*16&amp;",Z="&amp;(W15-2)*16, "")</f>
      </c>
      <c r="BF15" s="4">
        <f>IF(AND(Q15="✅", I15="D90"), "P=-90,Y=0,R=0", "")</f>
      </c>
      <c r="BG15" s="4" t="str"/>
      <c r="BH15" s="4" t="str"/>
      <c r="BI15" s="4" t="str"/>
      <c r="BJ15" s="4" t="str"/>
      <c r="BK15" s="4" t="str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</row>
    <row customHeight="true" hidden="true" ht="19" outlineLevel="1" r="16">
      <c r="A16" s="11"/>
      <c r="B16" s="11"/>
      <c r="C16" s="119" t="str">
        <v>Normal</v>
      </c>
      <c r="D16" s="119"/>
      <c r="E16" s="5"/>
      <c r="F16" s="9">
        <f>IF(E16="", "", IF(G16="BP", E16, F15))</f>
      </c>
      <c r="G16" s="1"/>
      <c r="H16" s="1"/>
      <c r="I16" s="1"/>
      <c r="J16" s="1"/>
      <c r="K16" s="1"/>
      <c r="L16" s="1"/>
      <c r="M16" s="1"/>
      <c r="N16" s="3"/>
      <c r="O16" s="3"/>
      <c r="P16" s="3"/>
      <c r="Q16" s="3"/>
      <c r="R16" s="1" t="str"/>
      <c r="S16" s="9" t="str"/>
      <c r="T16" s="120" t="str"/>
      <c r="U16" s="118"/>
      <c r="V16" s="118"/>
      <c r="W16" s="118"/>
      <c r="X16" s="4"/>
      <c r="Y16" s="4">
        <f>IF(AND(Q16="✅", OR(ISNUMBER(FIND("F",I16)), I16="CR")),   "X="&amp;U16*16&amp;",Y="&amp;(V16-1)*16&amp;",Z="&amp;IF(I16="FD", -(W16-1)*16, (W16-1)*16),   "")</f>
      </c>
      <c r="Z16" s="4">
        <f>IF(AND(Q16="✅", OR(ISNUMBER(FIND("F",I16)), I16="CR")), "P=0,Y=0,R=0", "")</f>
      </c>
      <c r="AA16" s="4" t="str"/>
      <c r="AB16" s="4" t="str"/>
      <c r="AC16" s="4" t="str"/>
      <c r="AD16" s="4" t="str"/>
      <c r="AE16" s="4" t="str"/>
      <c r="AF16" s="4"/>
      <c r="AG16" s="4" t="str"/>
      <c r="AH16" s="4" t="str"/>
      <c r="AI16" s="4" t="str"/>
      <c r="AJ16" s="4" t="str"/>
      <c r="AK16" s="4" t="str"/>
      <c r="AL16" s="4" t="str"/>
      <c r="AM16" s="4" t="str"/>
      <c r="AN16" s="4"/>
      <c r="AO16" s="4" t="str"/>
      <c r="AP16" s="4" t="str"/>
      <c r="AQ16" s="4" t="str"/>
      <c r="AR16" s="4" t="str"/>
      <c r="AS16" s="4" t="str"/>
      <c r="AT16" s="4" t="str"/>
      <c r="AU16" s="4" t="str"/>
      <c r="AV16" s="4"/>
      <c r="AW16" s="4">
        <f>IF(AND(Q16="✅", I16="U90"), "X="&amp;(U16-1)*16&amp;",Y="&amp;(V16-1)*16&amp;",Z="&amp;W16*16, "")</f>
      </c>
      <c r="AX16" s="4">
        <f>IF(AND(Q16="✅", I16="U90"), "P=90,Y=0,R=0", "")</f>
      </c>
      <c r="AY16" s="4" t="str"/>
      <c r="AZ16" s="4" t="str"/>
      <c r="BA16" s="4" t="str"/>
      <c r="BB16" s="4" t="str"/>
      <c r="BC16" s="4" t="str"/>
      <c r="BD16" s="4"/>
      <c r="BE16" s="4">
        <f>IF(AND(Q16="✅", I16="D90"), "X="&amp;(U16-1)*16&amp;",Y="&amp;(V16-1)*16&amp;",Z="&amp;(W16-2)*16, "")</f>
      </c>
      <c r="BF16" s="4">
        <f>IF(AND(Q16="✅", I16="D90"), "P=-90,Y=0,R=0", "")</f>
      </c>
      <c r="BG16" s="4" t="str"/>
      <c r="BH16" s="4" t="str"/>
      <c r="BI16" s="4" t="str"/>
      <c r="BJ16" s="4" t="str"/>
      <c r="BK16" s="4" t="str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</row>
    <row customHeight="true" hidden="true" ht="19" outlineLevel="2" r="17">
      <c r="A17" s="146"/>
      <c r="B17" s="146"/>
      <c r="C17" s="143"/>
      <c r="D17" s="143"/>
      <c r="E17" s="60">
        <f>G17 &amp; "_" &amp; H17 &amp; IF(I17&lt;&gt;"", "_" &amp; I17, "") &amp; IF(J17&lt;&gt;"", "_" &amp; J17, "") &amp; IF(K17&lt;&gt;"", "_" &amp; K17, "") &amp;"_X"&amp;U17&amp;"_Y"&amp;V17&amp;"_Z"&amp;W17 &amp; IF(G17="SM", "_Proxy" , "_Rail") &amp; IF(M17&lt;&gt;"", "_" &amp; M17, "")</f>
      </c>
      <c r="F17" s="62">
        <f>IF(E17="", "", IF(G17="BP", E17, F16))</f>
      </c>
      <c r="G17" s="61" t="str">
        <v>BP</v>
      </c>
      <c r="H17" s="61" t="str">
        <v>End</v>
      </c>
      <c r="I17" s="61" t="str">
        <v>F</v>
      </c>
      <c r="J17" s="61"/>
      <c r="K17" s="61"/>
      <c r="L17" s="61"/>
      <c r="M17" s="61"/>
      <c r="N17" s="87"/>
      <c r="O17" s="87"/>
      <c r="P17" s="87"/>
      <c r="Q17" s="87" t="str">
        <v>✅</v>
      </c>
      <c r="R17" s="61" t="str">
        <v>End_F_X1_Y1_Z1</v>
      </c>
      <c r="S17" s="62" t="str">
        <v>/Script/Engine.BlueprintGeneratedClass'/Game/Item/Rail/End/F/Normal/End_F_X1_Y1_Z1/BP_End_F_X1_Y1_Z1_Rail.BP_End_F_X1_Y1_Z1_Rail_C'</v>
      </c>
      <c r="T17" s="144">
        <v>0</v>
      </c>
      <c r="U17" s="145">
        <v>1</v>
      </c>
      <c r="V17" s="145">
        <v>1</v>
      </c>
      <c r="W17" s="145">
        <v>1</v>
      </c>
      <c r="X17" s="71"/>
      <c r="Y17" s="71">
        <f>IF(AND(Q17="✅", OR(ISNUMBER(FIND("F",I17)), I17="CR")),   "X="&amp;U17*16&amp;",Y="&amp;(V17-1)*16&amp;",Z="&amp;IF(I17="FD", -(W17-1)*16, (W17-1)*16),   "")</f>
      </c>
      <c r="Z17" s="71">
        <f>IF(AND(Q17="✅", OR(ISNUMBER(FIND("F",I17)), I17="CR")), "P=0,Y=0,R=0", "")</f>
      </c>
      <c r="AA17" s="71">
        <v>1</v>
      </c>
      <c r="AB17" s="71">
        <v>1.5</v>
      </c>
      <c r="AC17" s="71">
        <v>2</v>
      </c>
      <c r="AD17" s="71">
        <v>1.5</v>
      </c>
      <c r="AE17" s="71" t="str">
        <v>X=1,Y=1.5,Z=2,W=1.5</v>
      </c>
      <c r="AF17" s="71"/>
      <c r="AG17" s="71" t="str"/>
      <c r="AH17" s="71" t="str"/>
      <c r="AI17" s="71" t="str"/>
      <c r="AJ17" s="71" t="str"/>
      <c r="AK17" s="71" t="str"/>
      <c r="AL17" s="71" t="str"/>
      <c r="AM17" s="71" t="str"/>
      <c r="AN17" s="71"/>
      <c r="AO17" s="71" t="str"/>
      <c r="AP17" s="71" t="str"/>
      <c r="AQ17" s="71" t="str"/>
      <c r="AR17" s="71" t="str"/>
      <c r="AS17" s="71" t="str"/>
      <c r="AT17" s="71" t="str"/>
      <c r="AU17" s="71" t="str"/>
      <c r="AV17" s="71"/>
      <c r="AW17" s="71">
        <f>IF(AND(Q17="✅", I17="U90"), "X="&amp;(U17-1)*16&amp;",Y="&amp;(V17-1)*16&amp;",Z="&amp;W17*16, "")</f>
      </c>
      <c r="AX17" s="71">
        <f>IF(AND(Q17="✅", I17="U90"), "P=90,Y=0,R=0", "")</f>
      </c>
      <c r="AY17" s="71" t="str"/>
      <c r="AZ17" s="71" t="str"/>
      <c r="BA17" s="71" t="str"/>
      <c r="BB17" s="71" t="str"/>
      <c r="BC17" s="71" t="str"/>
      <c r="BD17" s="71"/>
      <c r="BE17" s="71">
        <f>IF(AND(Q17="✅", I17="D90"), "X="&amp;(U17-1)*16&amp;",Y="&amp;(V17-1)*16&amp;",Z="&amp;(W17-2)*16, "")</f>
      </c>
      <c r="BF17" s="71">
        <f>IF(AND(Q17="✅", I17="D90"), "P=-90,Y=0,R=0", "")</f>
      </c>
      <c r="BG17" s="71" t="str"/>
      <c r="BH17" s="71" t="str"/>
      <c r="BI17" s="71" t="str"/>
      <c r="BJ17" s="71" t="str"/>
      <c r="BK17" s="71" t="str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</row>
    <row customHeight="true" hidden="true" ht="19" outlineLevel="2" r="18">
      <c r="A18" s="146"/>
      <c r="B18" s="146"/>
      <c r="C18" s="143"/>
      <c r="D18" s="143"/>
      <c r="E18" s="60">
        <f>G18 &amp; "_" &amp; H18 &amp; IF(I18&lt;&gt;"", "_" &amp; I18, "") &amp; IF(J18&lt;&gt;"", "_" &amp; J18, "") &amp; IF(K18&lt;&gt;"", "_" &amp; K18, "") &amp;"_X"&amp;U18&amp;"_Y"&amp;V18&amp;"_Z"&amp;W18 &amp; IF(G18="SM", "_Proxy" , "_Rail") &amp; IF(M18&lt;&gt;"", "_" &amp; M18, "")</f>
      </c>
      <c r="F18" s="62">
        <f>IF(E18="", "", IF(G18="BP", E18, F19))</f>
      </c>
      <c r="G18" s="61" t="str">
        <v>SM</v>
      </c>
      <c r="H18" s="61" t="str">
        <v>End</v>
      </c>
      <c r="I18" s="61" t="str">
        <v>F</v>
      </c>
      <c r="J18" s="61"/>
      <c r="K18" s="61"/>
      <c r="L18" s="61"/>
      <c r="M18" s="61" t="str">
        <v>B</v>
      </c>
      <c r="N18" s="87"/>
      <c r="O18" s="60"/>
      <c r="P18" s="87" t="str">
        <v>✅</v>
      </c>
      <c r="Q18" s="60"/>
      <c r="R18" s="61" t="str">
        <v>End_F_X1_Y1_Z1</v>
      </c>
      <c r="S18" s="62" t="str">
        <v>/Script/Engine.StaticMesh'/Game/Item/Rail/End/F/Normal/End_F_X1_Y1_Z1/Proxy/SM_End_F_X1_Y1_Z1_Proxy_B.SM_End_F_X1_Y1_Z1_Proxy_B'</v>
      </c>
      <c r="T18" s="144" t="str"/>
      <c r="U18" s="145">
        <v>1</v>
      </c>
      <c r="V18" s="145">
        <v>1</v>
      </c>
      <c r="W18" s="145">
        <v>1</v>
      </c>
      <c r="X18" s="71"/>
      <c r="Y18" s="71">
        <f>IF(AND(Q18="✅", OR(ISNUMBER(FIND("F",I18)), I18="CR")),   "X="&amp;U18*16&amp;",Y="&amp;(V18-1)*16&amp;",Z="&amp;IF(I18="FD", -(W18-1)*16, (W18-1)*16),   "")</f>
      </c>
      <c r="Z18" s="71">
        <f>IF(AND(Q18="✅", OR(ISNUMBER(FIND("F",I18)), I18="CR")), "P=0,Y=0,R=0", "")</f>
      </c>
      <c r="AA18" s="71" t="str"/>
      <c r="AB18" s="71" t="str"/>
      <c r="AC18" s="71" t="str"/>
      <c r="AD18" s="71" t="str"/>
      <c r="AE18" s="71" t="str"/>
      <c r="AF18" s="71"/>
      <c r="AG18" s="71" t="str"/>
      <c r="AH18" s="71" t="str"/>
      <c r="AI18" s="71" t="str"/>
      <c r="AJ18" s="71" t="str"/>
      <c r="AK18" s="71" t="str"/>
      <c r="AL18" s="71" t="str"/>
      <c r="AM18" s="71" t="str"/>
      <c r="AN18" s="71"/>
      <c r="AO18" s="71" t="str"/>
      <c r="AP18" s="71" t="str"/>
      <c r="AQ18" s="71" t="str"/>
      <c r="AR18" s="71" t="str"/>
      <c r="AS18" s="71" t="str"/>
      <c r="AT18" s="71" t="str"/>
      <c r="AU18" s="71" t="str"/>
      <c r="AV18" s="71"/>
      <c r="AW18" s="71">
        <f>IF(AND(Q18="✅", I18="U90"), "X="&amp;(U18-1)*16&amp;",Y="&amp;(V18-1)*16&amp;",Z="&amp;W18*16, "")</f>
      </c>
      <c r="AX18" s="71">
        <f>IF(AND(Q18="✅", I18="U90"), "P=90,Y=0,R=0", "")</f>
      </c>
      <c r="AY18" s="71" t="str"/>
      <c r="AZ18" s="71" t="str"/>
      <c r="BA18" s="71" t="str"/>
      <c r="BB18" s="71" t="str"/>
      <c r="BC18" s="71" t="str"/>
      <c r="BD18" s="71"/>
      <c r="BE18" s="71">
        <f>IF(AND(Q18="✅", I18="D90"), "X="&amp;(U18-1)*16&amp;",Y="&amp;(V18-1)*16&amp;",Z="&amp;(W18-2)*16, "")</f>
      </c>
      <c r="BF18" s="71">
        <f>IF(AND(Q18="✅", I18="D90"), "P=-90,Y=0,R=0", "")</f>
      </c>
      <c r="BG18" s="71" t="str"/>
      <c r="BH18" s="71" t="str"/>
      <c r="BI18" s="71" t="str"/>
      <c r="BJ18" s="71" t="str"/>
      <c r="BK18" s="71" t="str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</row>
    <row customHeight="true" hidden="true" ht="19" outlineLevel="2" r="19">
      <c r="A19" s="146"/>
      <c r="B19" s="146"/>
      <c r="C19" s="143"/>
      <c r="D19" s="143"/>
      <c r="E19" s="60">
        <f>E13</f>
      </c>
      <c r="F19" s="62">
        <f>IF(E19="", "", IF(G19="BP", E19, F17))</f>
      </c>
      <c r="G19" s="61"/>
      <c r="H19" s="61"/>
      <c r="I19" s="61"/>
      <c r="J19" s="61"/>
      <c r="K19" s="61"/>
      <c r="L19" s="61"/>
      <c r="M19" s="61" t="str">
        <v>Side</v>
      </c>
      <c r="N19" s="87"/>
      <c r="O19" s="87"/>
      <c r="P19" s="87" t="str">
        <v>✅</v>
      </c>
      <c r="Q19" s="87"/>
      <c r="R19" s="61" t="str">
        <v>CheckPoint_F_X1_Y1_Z1</v>
      </c>
      <c r="S19" s="62" t="str">
        <v>/Script/Engine.StaticMesh'/Game/Item/Rail/CheckPoint/F/Normal/CheckPoint_F_X1_Y1_Z1/Proxy/SM_CheckPoint_F_X1_Y1_Z1_Proxy_Side.SM_CheckPoint_F_X1_Y1_Z1_Proxy_Side'</v>
      </c>
      <c r="T19" s="144" t="str"/>
      <c r="U19" s="140">
        <v>1</v>
      </c>
      <c r="V19" s="140">
        <v>1</v>
      </c>
      <c r="W19" s="140">
        <v>1</v>
      </c>
      <c r="X19" s="71"/>
      <c r="Y19" s="71">
        <f>IF(AND(Q19="✅", OR(ISNUMBER(FIND("F",I19)), I19="CR")),   "X="&amp;U19*16&amp;",Y="&amp;(V19-1)*16&amp;",Z="&amp;IF(I19="FD", -(W19-1)*16, (W19-1)*16),   "")</f>
      </c>
      <c r="Z19" s="71">
        <f>IF(AND(Q19="✅", OR(ISNUMBER(FIND("F",I19)), I19="CR")), "P=0,Y=0,R=0", "")</f>
      </c>
      <c r="AA19" s="71" t="str"/>
      <c r="AB19" s="71" t="str"/>
      <c r="AC19" s="71" t="str"/>
      <c r="AD19" s="71" t="str"/>
      <c r="AE19" s="71" t="str"/>
      <c r="AF19" s="71"/>
      <c r="AG19" s="71" t="str"/>
      <c r="AH19" s="71" t="str"/>
      <c r="AI19" s="71" t="str"/>
      <c r="AJ19" s="71" t="str"/>
      <c r="AK19" s="71" t="str"/>
      <c r="AL19" s="71" t="str"/>
      <c r="AM19" s="71" t="str"/>
      <c r="AN19" s="71"/>
      <c r="AO19" s="71" t="str"/>
      <c r="AP19" s="71" t="str"/>
      <c r="AQ19" s="71" t="str"/>
      <c r="AR19" s="71" t="str"/>
      <c r="AS19" s="71" t="str"/>
      <c r="AT19" s="71" t="str"/>
      <c r="AU19" s="71" t="str"/>
      <c r="AV19" s="71"/>
      <c r="AW19" s="71">
        <f>IF(AND(Q19="✅", I19="U90"), "X="&amp;(U19-1)*16&amp;",Y="&amp;(V19-1)*16&amp;",Z="&amp;W19*16, "")</f>
      </c>
      <c r="AX19" s="71">
        <f>IF(AND(Q19="✅", I19="U90"), "P=90,Y=0,R=0", "")</f>
      </c>
      <c r="AY19" s="71" t="str"/>
      <c r="AZ19" s="71" t="str"/>
      <c r="BA19" s="71" t="str"/>
      <c r="BB19" s="71" t="str"/>
      <c r="BC19" s="71" t="str"/>
      <c r="BD19" s="71"/>
      <c r="BE19" s="71">
        <f>IF(AND(Q19="✅", I19="D90"), "X="&amp;(U19-1)*16&amp;",Y="&amp;(V19-1)*16&amp;",Z="&amp;(W19-2)*16, "")</f>
      </c>
      <c r="BF19" s="71">
        <f>IF(AND(Q19="✅", I19="D90"), "P=-90,Y=0,R=0", "")</f>
      </c>
      <c r="BG19" s="71" t="str"/>
      <c r="BH19" s="71" t="str"/>
      <c r="BI19" s="71" t="str"/>
      <c r="BJ19" s="71" t="str"/>
      <c r="BK19" s="71" t="str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</row>
    <row customHeight="true" ht="19" r="20">
      <c r="A20" s="11" t="str">
        <v>Straight</v>
      </c>
      <c r="B20" s="11"/>
      <c r="C20" s="119"/>
      <c r="D20" s="119"/>
      <c r="E20" s="5"/>
      <c r="F20" s="9">
        <f>IF(E20="", "", IF(G20="BP", E20, F18))</f>
      </c>
      <c r="G20" s="1"/>
      <c r="H20" s="1"/>
      <c r="I20" s="1"/>
      <c r="J20" s="1"/>
      <c r="K20" s="1"/>
      <c r="L20" s="1"/>
      <c r="M20" s="1"/>
      <c r="N20" s="3"/>
      <c r="O20" s="3"/>
      <c r="P20" s="3"/>
      <c r="Q20" s="3"/>
      <c r="R20" s="1" t="str"/>
      <c r="S20" s="9" t="str"/>
      <c r="T20" s="120" t="str"/>
      <c r="U20" s="118"/>
      <c r="V20" s="118"/>
      <c r="W20" s="118"/>
      <c r="X20" s="4"/>
      <c r="Y20" s="4">
        <f>IF(AND(Q20="✅", OR(ISNUMBER(FIND("F",I20)), I20="CR")),   "X="&amp;U20*16&amp;",Y="&amp;(V20-1)*16&amp;",Z="&amp;IF(I20="FD", -(W20-1)*16, (W20-1)*16),   "")</f>
      </c>
      <c r="Z20" s="4">
        <f>IF(AND(Q20="✅", OR(ISNUMBER(FIND("F",I20)), I20="CR")), "P=0,Y=0,R=0", "")</f>
      </c>
      <c r="AA20" s="4" t="str"/>
      <c r="AB20" s="4" t="str"/>
      <c r="AC20" s="4" t="str"/>
      <c r="AD20" s="4" t="str"/>
      <c r="AE20" s="4" t="str"/>
      <c r="AF20" s="4"/>
      <c r="AG20" s="4" t="str"/>
      <c r="AH20" s="4" t="str"/>
      <c r="AI20" s="4" t="str"/>
      <c r="AJ20" s="4" t="str"/>
      <c r="AK20" s="4" t="str"/>
      <c r="AL20" s="4" t="str"/>
      <c r="AM20" s="4" t="str"/>
      <c r="AN20" s="4"/>
      <c r="AO20" s="4" t="str"/>
      <c r="AP20" s="4" t="str"/>
      <c r="AQ20" s="4" t="str"/>
      <c r="AR20" s="4" t="str"/>
      <c r="AS20" s="4" t="str"/>
      <c r="AT20" s="4" t="str"/>
      <c r="AU20" s="4" t="str"/>
      <c r="AV20" s="4"/>
      <c r="AW20" s="4">
        <f>IF(AND(Q20="✅", I20="U90"), "X="&amp;(U20-1)*16&amp;",Y="&amp;(V20-1)*16&amp;",Z="&amp;W20*16, "")</f>
      </c>
      <c r="AX20" s="4">
        <f>IF(AND(Q20="✅", I20="U90"), "P=90,Y=0,R=0", "")</f>
      </c>
      <c r="AY20" s="4" t="str"/>
      <c r="AZ20" s="4" t="str"/>
      <c r="BA20" s="4" t="str"/>
      <c r="BB20" s="4" t="str"/>
      <c r="BC20" s="4" t="str"/>
      <c r="BD20" s="4"/>
      <c r="BE20" s="4">
        <f>IF(AND(Q20="✅", I20="D90"), "X="&amp;(U20-1)*16&amp;",Y="&amp;(V20-1)*16&amp;",Z="&amp;(W20-2)*16, "")</f>
      </c>
      <c r="BF20" s="4">
        <f>IF(AND(Q20="✅", I20="D90"), "P=-90,Y=0,R=0", "")</f>
      </c>
      <c r="BG20" s="4" t="str"/>
      <c r="BH20" s="4" t="str"/>
      <c r="BI20" s="4" t="str"/>
      <c r="BJ20" s="4" t="str"/>
      <c r="BK20" s="4" t="str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customHeight="true" ht="19" outlineLevel="1" r="21">
      <c r="A21" s="11"/>
      <c r="B21" s="11" t="str">
        <v>F</v>
      </c>
      <c r="C21" s="119"/>
      <c r="D21" s="119"/>
      <c r="E21" s="5"/>
      <c r="F21" s="9">
        <f>IF(E21="", "", IF(G21="BP", E21, F20))</f>
      </c>
      <c r="G21" s="1"/>
      <c r="H21" s="1"/>
      <c r="I21" s="1"/>
      <c r="J21" s="1"/>
      <c r="K21" s="1"/>
      <c r="L21" s="1"/>
      <c r="M21" s="1"/>
      <c r="N21" s="3"/>
      <c r="O21" s="3"/>
      <c r="P21" s="3"/>
      <c r="Q21" s="3"/>
      <c r="R21" s="1" t="str"/>
      <c r="S21" s="9" t="str"/>
      <c r="T21" s="120" t="str"/>
      <c r="U21" s="118"/>
      <c r="V21" s="118"/>
      <c r="W21" s="118"/>
      <c r="X21" s="4"/>
      <c r="Y21" s="4">
        <f>IF(AND(Q21="✅", OR(ISNUMBER(FIND("F",I21)), I21="CR")),   "X="&amp;U21*16&amp;",Y="&amp;(V21-1)*16&amp;",Z="&amp;IF(I21="FD", -(W21-1)*16, (W21-1)*16),   "")</f>
      </c>
      <c r="Z21" s="4">
        <f>IF(AND(Q21="✅", OR(ISNUMBER(FIND("F",I21)), I21="CR")), "P=0,Y=0,R=0", "")</f>
      </c>
      <c r="AA21" s="4" t="str"/>
      <c r="AB21" s="4" t="str"/>
      <c r="AC21" s="4" t="str"/>
      <c r="AD21" s="4" t="str"/>
      <c r="AE21" s="4" t="str"/>
      <c r="AF21" s="4"/>
      <c r="AG21" s="4" t="str"/>
      <c r="AH21" s="4" t="str"/>
      <c r="AI21" s="4" t="str"/>
      <c r="AJ21" s="4" t="str"/>
      <c r="AK21" s="4" t="str"/>
      <c r="AL21" s="4" t="str"/>
      <c r="AM21" s="4" t="str"/>
      <c r="AN21" s="4"/>
      <c r="AO21" s="4" t="str"/>
      <c r="AP21" s="4" t="str"/>
      <c r="AQ21" s="4" t="str"/>
      <c r="AR21" s="4" t="str"/>
      <c r="AS21" s="4" t="str"/>
      <c r="AT21" s="4" t="str"/>
      <c r="AU21" s="4" t="str"/>
      <c r="AV21" s="4"/>
      <c r="AW21" s="4">
        <f>IF(AND(Q21="✅", I21="U90"), "X="&amp;(U21-1)*16&amp;",Y="&amp;(V21-1)*16&amp;",Z="&amp;W21*16, "")</f>
      </c>
      <c r="AX21" s="4">
        <f>IF(AND(Q21="✅", I21="U90"), "P=90,Y=0,R=0", "")</f>
      </c>
      <c r="AY21" s="4" t="str"/>
      <c r="AZ21" s="4" t="str"/>
      <c r="BA21" s="4" t="str"/>
      <c r="BB21" s="4" t="str"/>
      <c r="BC21" s="4" t="str"/>
      <c r="BD21" s="4"/>
      <c r="BE21" s="4">
        <f>IF(AND(Q21="✅", I21="D90"), "X="&amp;(U21-1)*16&amp;",Y="&amp;(V21-1)*16&amp;",Z="&amp;(W21-2)*16, "")</f>
      </c>
      <c r="BF21" s="4">
        <f>IF(AND(Q21="✅", I21="D90"), "P=-90,Y=0,R=0", "")</f>
      </c>
      <c r="BG21" s="4" t="str"/>
      <c r="BH21" s="4" t="str"/>
      <c r="BI21" s="4" t="str"/>
      <c r="BJ21" s="4" t="str"/>
      <c r="BK21" s="4" t="str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collapsed="true" customHeight="true" ht="19" outlineLevel="2" r="22">
      <c r="A22" s="11"/>
      <c r="B22" s="11"/>
      <c r="C22" s="119" t="str">
        <v>Normal</v>
      </c>
      <c r="D22" s="119"/>
      <c r="E22" s="5"/>
      <c r="F22" s="9">
        <f>IF(E22="", "", IF(G22="BP", E22, F21))</f>
      </c>
      <c r="G22" s="1"/>
      <c r="H22" s="1"/>
      <c r="I22" s="1"/>
      <c r="J22" s="1"/>
      <c r="K22" s="1"/>
      <c r="L22" s="1"/>
      <c r="M22" s="1"/>
      <c r="N22" s="3"/>
      <c r="O22" s="3" t="str">
        <v>✅</v>
      </c>
      <c r="P22" s="3"/>
      <c r="Q22" s="3"/>
      <c r="R22" s="1" t="str"/>
      <c r="S22" s="9" t="str"/>
      <c r="T22" s="120" t="str"/>
      <c r="U22" s="118"/>
      <c r="V22" s="118"/>
      <c r="W22" s="118"/>
      <c r="X22" s="4"/>
      <c r="Y22" s="4">
        <f>IF(AND(Q22="✅", OR(ISNUMBER(FIND("F",I22)), I22="CR")),   "X="&amp;U22*16&amp;",Y="&amp;(V22-1)*16&amp;",Z="&amp;IF(I22="FD", -(W22-1)*16, (W22-1)*16),   "")</f>
      </c>
      <c r="Z22" s="4">
        <f>IF(AND(Q22="✅", OR(ISNUMBER(FIND("F",I22)), I22="CR")), "P=0,Y=0,R=0", "")</f>
      </c>
      <c r="AA22" s="4" t="str"/>
      <c r="AB22" s="4" t="str"/>
      <c r="AC22" s="4" t="str"/>
      <c r="AD22" s="4" t="str"/>
      <c r="AE22" s="4" t="str"/>
      <c r="AF22" s="4"/>
      <c r="AG22" s="4" t="str"/>
      <c r="AH22" s="4" t="str"/>
      <c r="AI22" s="4" t="str"/>
      <c r="AJ22" s="4" t="str"/>
      <c r="AK22" s="4" t="str"/>
      <c r="AL22" s="4" t="str"/>
      <c r="AM22" s="4" t="str"/>
      <c r="AN22" s="4"/>
      <c r="AO22" s="4" t="str"/>
      <c r="AP22" s="4" t="str"/>
      <c r="AQ22" s="4" t="str"/>
      <c r="AR22" s="4" t="str"/>
      <c r="AS22" s="4" t="str"/>
      <c r="AT22" s="4" t="str"/>
      <c r="AU22" s="4" t="str"/>
      <c r="AV22" s="4"/>
      <c r="AW22" s="4">
        <f>IF(AND(Q22="✅", I22="U90"), "X="&amp;(U22-1)*16&amp;",Y="&amp;(V22-1)*16&amp;",Z="&amp;W22*16, "")</f>
      </c>
      <c r="AX22" s="4">
        <f>IF(AND(Q22="✅", I22="U90"), "P=90,Y=0,R=0", "")</f>
      </c>
      <c r="AY22" s="4" t="str"/>
      <c r="AZ22" s="4" t="str"/>
      <c r="BA22" s="4" t="str"/>
      <c r="BB22" s="4" t="str"/>
      <c r="BC22" s="4" t="str"/>
      <c r="BD22" s="4"/>
      <c r="BE22" s="4">
        <f>IF(AND(Q22="✅", I22="D90"), "X="&amp;(U22-1)*16&amp;",Y="&amp;(V22-1)*16&amp;",Z="&amp;(W22-2)*16, "")</f>
      </c>
      <c r="BF22" s="4">
        <f>IF(AND(Q22="✅", I22="D90"), "P=-90,Y=0,R=0", "")</f>
      </c>
      <c r="BG22" s="4" t="str"/>
      <c r="BH22" s="4" t="str"/>
      <c r="BI22" s="4" t="str"/>
      <c r="BJ22" s="4" t="str"/>
      <c r="BK22" s="4" t="str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</row>
    <row customHeight="true" hidden="true" ht="19" outlineLevel="3" r="23">
      <c r="A23" s="11"/>
      <c r="B23" s="11"/>
      <c r="C23" s="119"/>
      <c r="D23" s="119">
        <v>1</v>
      </c>
      <c r="E23" s="5"/>
      <c r="F23" s="9">
        <f>IF(E23="", "", IF(G23="BP", E23, F22))</f>
      </c>
      <c r="G23" s="1"/>
      <c r="H23" s="1"/>
      <c r="I23" s="1"/>
      <c r="J23" s="1"/>
      <c r="K23" s="1"/>
      <c r="L23" s="1"/>
      <c r="M23" s="1"/>
      <c r="N23" s="3"/>
      <c r="O23" s="3"/>
      <c r="P23" s="3"/>
      <c r="Q23" s="3"/>
      <c r="R23" s="1" t="str"/>
      <c r="S23" s="9" t="str"/>
      <c r="T23" s="120" t="str"/>
      <c r="U23" s="118"/>
      <c r="V23" s="118"/>
      <c r="W23" s="118"/>
      <c r="X23" s="4"/>
      <c r="Y23" s="4">
        <f>IF(AND(Q23="✅", OR(ISNUMBER(FIND("F",I23)), I23="CR")),   "X="&amp;U23*16&amp;",Y="&amp;(V23-1)*16&amp;",Z="&amp;IF(I23="FD", -(W23-1)*16, (W23-1)*16),   "")</f>
      </c>
      <c r="Z23" s="4">
        <f>IF(AND(Q23="✅", OR(ISNUMBER(FIND("F",I23)), I23="CR")), "P=0,Y=0,R=0", "")</f>
      </c>
      <c r="AA23" s="4" t="str"/>
      <c r="AB23" s="4" t="str"/>
      <c r="AC23" s="4" t="str"/>
      <c r="AD23" s="4" t="str"/>
      <c r="AE23" s="4" t="str"/>
      <c r="AF23" s="4"/>
      <c r="AG23" s="4" t="str"/>
      <c r="AH23" s="4" t="str"/>
      <c r="AI23" s="4" t="str"/>
      <c r="AJ23" s="4" t="str"/>
      <c r="AK23" s="4" t="str"/>
      <c r="AL23" s="4" t="str"/>
      <c r="AM23" s="4" t="str"/>
      <c r="AN23" s="4"/>
      <c r="AO23" s="4" t="str"/>
      <c r="AP23" s="4" t="str"/>
      <c r="AQ23" s="4" t="str"/>
      <c r="AR23" s="4" t="str"/>
      <c r="AS23" s="4" t="str"/>
      <c r="AT23" s="4" t="str"/>
      <c r="AU23" s="4" t="str"/>
      <c r="AV23" s="4"/>
      <c r="AW23" s="4">
        <f>IF(AND(Q23="✅", I23="U90"), "X="&amp;(U23-1)*16&amp;",Y="&amp;(V23-1)*16&amp;",Z="&amp;W23*16, "")</f>
      </c>
      <c r="AX23" s="4">
        <f>IF(AND(Q23="✅", I23="U90"), "P=90,Y=0,R=0", "")</f>
      </c>
      <c r="AY23" s="4" t="str"/>
      <c r="AZ23" s="4" t="str"/>
      <c r="BA23" s="4" t="str"/>
      <c r="BB23" s="4" t="str"/>
      <c r="BC23" s="4" t="str"/>
      <c r="BD23" s="4"/>
      <c r="BE23" s="4">
        <f>IF(AND(Q23="✅", I23="D90"), "X="&amp;(U23-1)*16&amp;",Y="&amp;(V23-1)*16&amp;",Z="&amp;(W23-2)*16, "")</f>
      </c>
      <c r="BF23" s="4">
        <f>IF(AND(Q23="✅", I23="D90"), "P=-90,Y=0,R=0", "")</f>
      </c>
      <c r="BG23" s="4" t="str"/>
      <c r="BH23" s="4" t="str"/>
      <c r="BI23" s="4" t="str"/>
      <c r="BJ23" s="4" t="str"/>
      <c r="BK23" s="4" t="str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</row>
    <row customHeight="true" hidden="true" ht="19" outlineLevel="4" r="24">
      <c r="A24" s="146" t="str" xml:space="preserve">
        <v> </v>
      </c>
      <c r="B24" s="146" t="str" xml:space="preserve">
        <v> </v>
      </c>
      <c r="C24" s="143" t="str" xml:space="preserve">
        <v> </v>
      </c>
      <c r="D24" s="143" t="str" xml:space="preserve">
        <v> </v>
      </c>
      <c r="E24" s="21">
        <f>G24 &amp; "_" &amp; H24 &amp; IF(I24&lt;&gt;"", "_" &amp; I24, "") &amp; IF(J24&lt;&gt;"", "_" &amp; J24, "") &amp; IF(K24&lt;&gt;"", "_" &amp; K24, "") &amp;"_X"&amp;U24&amp;"_Y"&amp;V24&amp;"_Z"&amp;W24 &amp; IF(G24="SM", "_Proxy" , "_Rail") &amp; IF(M24&lt;&gt;"", "_" &amp; M24, "")</f>
      </c>
      <c r="F24" s="19">
        <f>IF(E24="", "", IF(G24="BP", E24, F23))</f>
      </c>
      <c r="G24" s="20" t="str">
        <v>BP</v>
      </c>
      <c r="H24" s="20" t="str">
        <v>Straight</v>
      </c>
      <c r="I24" s="20" t="str">
        <v>F</v>
      </c>
      <c r="J24" s="20"/>
      <c r="K24" s="20"/>
      <c r="L24" s="20"/>
      <c r="M24" s="20"/>
      <c r="N24" s="95"/>
      <c r="O24" s="95"/>
      <c r="P24" s="95"/>
      <c r="Q24" s="95" t="str">
        <v>✅</v>
      </c>
      <c r="R24" s="20" t="str">
        <v>Straight_F_X1_Y1_Z1</v>
      </c>
      <c r="S24" s="19" t="str">
        <v>/Script/Engine.BlueprintGeneratedClass'/Game/Item/Rail/Straight/F/Normal/Straight_F_X1_Y1_Z1/BP_Straight_F_X1_Y1_Z1_Rail.BP_Straight_F_X1_Y1_Z1_Rail_C'</v>
      </c>
      <c r="T24" s="131">
        <v>0</v>
      </c>
      <c r="U24" s="132">
        <v>1</v>
      </c>
      <c r="V24" s="132">
        <v>1</v>
      </c>
      <c r="W24" s="132">
        <v>1</v>
      </c>
      <c r="X24" s="25"/>
      <c r="Y24" s="25">
        <f>IF(AND(Q24="✅", OR(ISNUMBER(FIND("F",I24)), I24="CR")),   "X="&amp;U24*16&amp;",Y="&amp;(V24-1)*16&amp;",Z="&amp;IF(I24="FD", -(W24-1)*16, (W24-1)*16),   "")</f>
      </c>
      <c r="Z24" s="25">
        <f>IF(AND(Q24="✅", OR(ISNUMBER(FIND("F",I24)), I24="CR")), "P=0,Y=0,R=0", "")</f>
      </c>
      <c r="AA24" s="25">
        <v>1</v>
      </c>
      <c r="AB24" s="25">
        <v>1.5</v>
      </c>
      <c r="AC24" s="25">
        <v>2</v>
      </c>
      <c r="AD24" s="25">
        <v>1.5</v>
      </c>
      <c r="AE24" s="25" t="str">
        <v>X=1,Y=1.5,Z=2,W=1.5</v>
      </c>
      <c r="AF24" s="25"/>
      <c r="AG24" s="25" t="str"/>
      <c r="AH24" s="25" t="str"/>
      <c r="AI24" s="25" t="str"/>
      <c r="AJ24" s="25" t="str"/>
      <c r="AK24" s="25" t="str"/>
      <c r="AL24" s="25" t="str"/>
      <c r="AM24" s="25" t="str"/>
      <c r="AN24" s="25"/>
      <c r="AO24" s="25" t="str"/>
      <c r="AP24" s="25" t="str"/>
      <c r="AQ24" s="25" t="str"/>
      <c r="AR24" s="25" t="str"/>
      <c r="AS24" s="25" t="str"/>
      <c r="AT24" s="25" t="str"/>
      <c r="AU24" s="25" t="str"/>
      <c r="AV24" s="25"/>
      <c r="AW24" s="25">
        <f>IF(AND(Q24="✅", I24="U90"), "X="&amp;(U24-1)*16&amp;",Y="&amp;(V24-1)*16&amp;",Z="&amp;W24*16, "")</f>
      </c>
      <c r="AX24" s="25">
        <f>IF(AND(Q24="✅", I24="U90"), "P=90,Y=0,R=0", "")</f>
      </c>
      <c r="AY24" s="25" t="str"/>
      <c r="AZ24" s="25" t="str"/>
      <c r="BA24" s="25" t="str"/>
      <c r="BB24" s="25" t="str"/>
      <c r="BC24" s="25" t="str"/>
      <c r="BD24" s="25"/>
      <c r="BE24" s="25">
        <f>IF(AND(Q24="✅", I24="D90"), "X="&amp;(U24-1)*16&amp;",Y="&amp;(V24-1)*16&amp;",Z="&amp;(W24-2)*16, "")</f>
      </c>
      <c r="BF24" s="25">
        <f>IF(AND(Q24="✅", I24="D90"), "P=-90,Y=0,R=0", "")</f>
      </c>
      <c r="BG24" s="25" t="str"/>
      <c r="BH24" s="25" t="str"/>
      <c r="BI24" s="25" t="str"/>
      <c r="BJ24" s="25" t="str"/>
      <c r="BK24" s="25" t="str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</row>
    <row hidden="true" outlineLevel="4" r="25">
      <c r="A25" s="146" t="str" xml:space="preserve">
        <v> </v>
      </c>
      <c r="B25" s="146" t="str" xml:space="preserve">
        <v> </v>
      </c>
      <c r="C25" s="143" t="str" xml:space="preserve">
        <v> </v>
      </c>
      <c r="D25" s="143" t="str" xml:space="preserve">
        <v> </v>
      </c>
      <c r="E25" s="21">
        <f>G25 &amp; "_" &amp; H25 &amp; IF(I25&lt;&gt;"", "_" &amp; I25, "") &amp; IF(J25&lt;&gt;"", "_" &amp; J25, "") &amp; IF(K25&lt;&gt;"", "_" &amp; K25, "") &amp;"_X"&amp;U25&amp;"_Y"&amp;V25&amp;"_Z"&amp;W25 &amp; IF(G25="SM", "_Proxy" , "_Rail") &amp; IF(M25&lt;&gt;"", "_" &amp; M25, "")</f>
      </c>
      <c r="F25" s="19">
        <f>IF(E25="", "", IF(G25="BP", E25, F24))</f>
      </c>
      <c r="G25" s="20" t="str">
        <v>SM</v>
      </c>
      <c r="H25" s="20" t="str">
        <v>Straight</v>
      </c>
      <c r="I25" s="20" t="str">
        <v>F</v>
      </c>
      <c r="J25" s="20"/>
      <c r="K25" s="20"/>
      <c r="L25" s="20"/>
      <c r="M25" s="20" t="str">
        <v>B</v>
      </c>
      <c r="N25" s="95"/>
      <c r="O25" s="95"/>
      <c r="P25" s="24" t="str">
        <v>✅</v>
      </c>
      <c r="Q25" s="95"/>
      <c r="R25" s="20" t="str">
        <v>Straight_F_X1_Y1_Z1</v>
      </c>
      <c r="S25" s="19" t="str">
        <v>/Script/Engine.StaticMesh'/Game/Item/Rail/Straight/F/Normal/Straight_F_X1_Y1_Z1/Proxy/SM_Straight_F_X1_Y1_Z1_Proxy_B.SM_Straight_F_X1_Y1_Z1_Proxy_B'</v>
      </c>
      <c r="T25" s="131" t="str"/>
      <c r="U25" s="132">
        <v>1</v>
      </c>
      <c r="V25" s="132">
        <v>1</v>
      </c>
      <c r="W25" s="132">
        <v>1</v>
      </c>
      <c r="X25" s="25"/>
      <c r="Y25" s="25">
        <f>IF(AND(Q25="✅", OR(ISNUMBER(FIND("F",I25)), I25="CR")),   "X="&amp;U25*16&amp;",Y="&amp;(V25-1)*16&amp;",Z="&amp;IF(I25="FD", -(W25-1)*16, (W25-1)*16),   "")</f>
      </c>
      <c r="Z25" s="25">
        <f>IF(AND(Q25="✅", OR(ISNUMBER(FIND("F",I25)), I25="CR")), "P=0,Y=0,R=0", "")</f>
      </c>
      <c r="AA25" s="25" t="str"/>
      <c r="AB25" s="25" t="str"/>
      <c r="AC25" s="25" t="str"/>
      <c r="AD25" s="25" t="str"/>
      <c r="AE25" s="25" t="str"/>
      <c r="AF25" s="25"/>
      <c r="AG25" s="25" t="str"/>
      <c r="AH25" s="25" t="str"/>
      <c r="AI25" s="25" t="str"/>
      <c r="AJ25" s="25" t="str"/>
      <c r="AK25" s="25" t="str"/>
      <c r="AL25" s="25" t="str"/>
      <c r="AM25" s="25" t="str"/>
      <c r="AN25" s="25"/>
      <c r="AO25" s="25" t="str"/>
      <c r="AP25" s="25" t="str"/>
      <c r="AQ25" s="25" t="str"/>
      <c r="AR25" s="25" t="str"/>
      <c r="AS25" s="25" t="str"/>
      <c r="AT25" s="25" t="str"/>
      <c r="AU25" s="25" t="str"/>
      <c r="AV25" s="25"/>
      <c r="AW25" s="25">
        <f>IF(AND(Q25="✅", I25="U90"), "X="&amp;(U25-1)*16&amp;",Y="&amp;(V25-1)*16&amp;",Z="&amp;W25*16, "")</f>
      </c>
      <c r="AX25" s="25">
        <f>IF(AND(Q25="✅", I25="U90"), "P=90,Y=0,R=0", "")</f>
      </c>
      <c r="AY25" s="25" t="str"/>
      <c r="AZ25" s="25" t="str"/>
      <c r="BA25" s="25" t="str"/>
      <c r="BB25" s="25" t="str"/>
      <c r="BC25" s="25" t="str"/>
      <c r="BD25" s="25"/>
      <c r="BE25" s="25">
        <f>IF(AND(Q25="✅", I25="D90"), "X="&amp;(U25-1)*16&amp;",Y="&amp;(V25-1)*16&amp;",Z="&amp;(W25-2)*16, "")</f>
      </c>
      <c r="BF25" s="25">
        <f>IF(AND(Q25="✅", I25="D90"), "P=-90,Y=0,R=0", "")</f>
      </c>
      <c r="BG25" s="25" t="str"/>
      <c r="BH25" s="25" t="str"/>
      <c r="BI25" s="25" t="str"/>
      <c r="BJ25" s="25" t="str"/>
      <c r="BK25" s="25" t="str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</row>
    <row hidden="true" outlineLevel="4" r="26">
      <c r="A26" s="146" t="str" xml:space="preserve">
        <v> </v>
      </c>
      <c r="B26" s="146" t="str" xml:space="preserve">
        <v> </v>
      </c>
      <c r="C26" s="143" t="str" xml:space="preserve">
        <v> </v>
      </c>
      <c r="D26" s="143" t="str" xml:space="preserve">
        <v> </v>
      </c>
      <c r="E26" s="21">
        <f>G26 &amp; "_" &amp; H26 &amp; IF(I26&lt;&gt;"", "_" &amp; I26, "") &amp; IF(J26&lt;&gt;"", "_" &amp; J26, "") &amp; IF(K26&lt;&gt;"", "_" &amp; K26, "") &amp;"_X"&amp;U26&amp;"_Y"&amp;V26&amp;"_Z"&amp;W26 &amp; IF(G26="SM", "_Proxy" , "_Rail") &amp; IF(M26&lt;&gt;"", "_" &amp; M26, "")</f>
      </c>
      <c r="F26" s="19">
        <f>IF(E26="", "", IF(G26="BP", E26, F25))</f>
      </c>
      <c r="G26" s="20" t="str">
        <v>SM</v>
      </c>
      <c r="H26" s="20" t="str">
        <v>Straight</v>
      </c>
      <c r="I26" s="20" t="str">
        <v>F</v>
      </c>
      <c r="J26" s="20"/>
      <c r="K26" s="20"/>
      <c r="L26" s="20"/>
      <c r="M26" s="20" t="str">
        <v>L</v>
      </c>
      <c r="N26" s="95"/>
      <c r="O26" s="95"/>
      <c r="P26" s="24" t="str">
        <v>✅</v>
      </c>
      <c r="Q26" s="95"/>
      <c r="R26" s="20" t="str">
        <v>Straight_F_X1_Y1_Z1</v>
      </c>
      <c r="S26" s="19" t="str">
        <v>/Script/Engine.StaticMesh'/Game/Item/Rail/Straight/F/Normal/Straight_F_X1_Y1_Z1/Proxy/SM_Straight_F_X1_Y1_Z1_Proxy_L.SM_Straight_F_X1_Y1_Z1_Proxy_L'</v>
      </c>
      <c r="T26" s="131" t="str"/>
      <c r="U26" s="132">
        <v>1</v>
      </c>
      <c r="V26" s="132">
        <v>1</v>
      </c>
      <c r="W26" s="132">
        <v>1</v>
      </c>
      <c r="X26" s="25"/>
      <c r="Y26" s="25">
        <f>IF(AND(Q26="✅", OR(ISNUMBER(FIND("F",I26)), I26="CR")),   "X="&amp;U26*16&amp;",Y="&amp;(V26-1)*16&amp;",Z="&amp;IF(I26="FD", -(W26-1)*16, (W26-1)*16),   "")</f>
      </c>
      <c r="Z26" s="25">
        <f>IF(AND(Q26="✅", OR(ISNUMBER(FIND("F",I26)), I26="CR")), "P=0,Y=0,R=0", "")</f>
      </c>
      <c r="AA26" s="25" t="str"/>
      <c r="AB26" s="25" t="str"/>
      <c r="AC26" s="25" t="str"/>
      <c r="AD26" s="25" t="str"/>
      <c r="AE26" s="25" t="str"/>
      <c r="AF26" s="25"/>
      <c r="AG26" s="25" t="str"/>
      <c r="AH26" s="25" t="str"/>
      <c r="AI26" s="25" t="str"/>
      <c r="AJ26" s="25" t="str"/>
      <c r="AK26" s="25" t="str"/>
      <c r="AL26" s="25" t="str"/>
      <c r="AM26" s="25" t="str"/>
      <c r="AN26" s="25"/>
      <c r="AO26" s="25" t="str"/>
      <c r="AP26" s="25" t="str"/>
      <c r="AQ26" s="25" t="str"/>
      <c r="AR26" s="25" t="str"/>
      <c r="AS26" s="25" t="str"/>
      <c r="AT26" s="25" t="str"/>
      <c r="AU26" s="25" t="str"/>
      <c r="AV26" s="25"/>
      <c r="AW26" s="25">
        <f>IF(AND(Q26="✅", I26="U90"), "X="&amp;(U26-1)*16&amp;",Y="&amp;(V26-1)*16&amp;",Z="&amp;W26*16, "")</f>
      </c>
      <c r="AX26" s="25">
        <f>IF(AND(Q26="✅", I26="U90"), "P=90,Y=0,R=0", "")</f>
      </c>
      <c r="AY26" s="25" t="str"/>
      <c r="AZ26" s="25" t="str"/>
      <c r="BA26" s="25" t="str"/>
      <c r="BB26" s="25" t="str"/>
      <c r="BC26" s="25" t="str"/>
      <c r="BD26" s="25"/>
      <c r="BE26" s="25">
        <f>IF(AND(Q26="✅", I26="D90"), "X="&amp;(U26-1)*16&amp;",Y="&amp;(V26-1)*16&amp;",Z="&amp;(W26-2)*16, "")</f>
      </c>
      <c r="BF26" s="25">
        <f>IF(AND(Q26="✅", I26="D90"), "P=-90,Y=0,R=0", "")</f>
      </c>
      <c r="BG26" s="25" t="str"/>
      <c r="BH26" s="25" t="str"/>
      <c r="BI26" s="25" t="str"/>
      <c r="BJ26" s="25" t="str"/>
      <c r="BK26" s="25" t="str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</row>
    <row hidden="true" outlineLevel="4" r="27">
      <c r="A27" s="146" t="str" xml:space="preserve">
        <v> </v>
      </c>
      <c r="B27" s="146" t="str" xml:space="preserve">
        <v> </v>
      </c>
      <c r="C27" s="143" t="str" xml:space="preserve">
        <v> </v>
      </c>
      <c r="D27" s="143" t="str" xml:space="preserve">
        <v> </v>
      </c>
      <c r="E27" s="21">
        <f>G27 &amp; "_" &amp; H27 &amp; IF(I27&lt;&gt;"", "_" &amp; I27, "") &amp; IF(J27&lt;&gt;"", "_" &amp; J27, "") &amp; IF(K27&lt;&gt;"", "_" &amp; K27, "") &amp;"_X"&amp;U27&amp;"_Y"&amp;V27&amp;"_Z"&amp;W27 &amp; IF(G27="SM", "_Proxy" , "_Rail") &amp; IF(M27&lt;&gt;"", "_" &amp; M27, "")</f>
      </c>
      <c r="F27" s="19">
        <f>IF(E27="", "", IF(G27="BP", E27, F26))</f>
      </c>
      <c r="G27" s="20" t="str">
        <v>SM</v>
      </c>
      <c r="H27" s="20" t="str">
        <v>Straight</v>
      </c>
      <c r="I27" s="20" t="str">
        <v>F</v>
      </c>
      <c r="J27" s="20"/>
      <c r="K27" s="20"/>
      <c r="L27" s="20"/>
      <c r="M27" s="20" t="str">
        <v>R</v>
      </c>
      <c r="N27" s="95"/>
      <c r="O27" s="95"/>
      <c r="P27" s="24" t="str">
        <v>✅</v>
      </c>
      <c r="Q27" s="95"/>
      <c r="R27" s="20" t="str">
        <v>Straight_F_X1_Y1_Z1</v>
      </c>
      <c r="S27" s="19" t="str">
        <v>/Script/Engine.StaticMesh'/Game/Item/Rail/Straight/F/Normal/Straight_F_X1_Y1_Z1/Proxy/SM_Straight_F_X1_Y1_Z1_Proxy_R.SM_Straight_F_X1_Y1_Z1_Proxy_R'</v>
      </c>
      <c r="T27" s="131" t="str"/>
      <c r="U27" s="132">
        <v>1</v>
      </c>
      <c r="V27" s="132">
        <v>1</v>
      </c>
      <c r="W27" s="132">
        <v>1</v>
      </c>
      <c r="X27" s="25"/>
      <c r="Y27" s="25">
        <f>IF(AND(Q27="✅", OR(ISNUMBER(FIND("F",I27)), I27="CR")),   "X="&amp;U27*16&amp;",Y="&amp;(V27-1)*16&amp;",Z="&amp;IF(I27="FD", -(W27-1)*16, (W27-1)*16),   "")</f>
      </c>
      <c r="Z27" s="25">
        <f>IF(AND(Q27="✅", OR(ISNUMBER(FIND("F",I27)), I27="CR")), "P=0,Y=0,R=0", "")</f>
      </c>
      <c r="AA27" s="25" t="str"/>
      <c r="AB27" s="25" t="str"/>
      <c r="AC27" s="25" t="str"/>
      <c r="AD27" s="25" t="str"/>
      <c r="AE27" s="25" t="str"/>
      <c r="AF27" s="25"/>
      <c r="AG27" s="25" t="str"/>
      <c r="AH27" s="25" t="str"/>
      <c r="AI27" s="25" t="str"/>
      <c r="AJ27" s="25" t="str"/>
      <c r="AK27" s="25" t="str"/>
      <c r="AL27" s="25" t="str"/>
      <c r="AM27" s="25" t="str"/>
      <c r="AN27" s="25"/>
      <c r="AO27" s="25" t="str"/>
      <c r="AP27" s="25" t="str"/>
      <c r="AQ27" s="25" t="str"/>
      <c r="AR27" s="25" t="str"/>
      <c r="AS27" s="25" t="str"/>
      <c r="AT27" s="25" t="str"/>
      <c r="AU27" s="25" t="str"/>
      <c r="AV27" s="25"/>
      <c r="AW27" s="25">
        <f>IF(AND(Q27="✅", I27="U90"), "X="&amp;(U27-1)*16&amp;",Y="&amp;(V27-1)*16&amp;",Z="&amp;W27*16, "")</f>
      </c>
      <c r="AX27" s="25">
        <f>IF(AND(Q27="✅", I27="U90"), "P=90,Y=0,R=0", "")</f>
      </c>
      <c r="AY27" s="25" t="str"/>
      <c r="AZ27" s="25" t="str"/>
      <c r="BA27" s="25" t="str"/>
      <c r="BB27" s="25" t="str"/>
      <c r="BC27" s="25" t="str"/>
      <c r="BD27" s="25"/>
      <c r="BE27" s="25">
        <f>IF(AND(Q27="✅", I27="D90"), "X="&amp;(U27-1)*16&amp;",Y="&amp;(V27-1)*16&amp;",Z="&amp;(W27-2)*16, "")</f>
      </c>
      <c r="BF27" s="25">
        <f>IF(AND(Q27="✅", I27="D90"), "P=-90,Y=0,R=0", "")</f>
      </c>
      <c r="BG27" s="25" t="str"/>
      <c r="BH27" s="25" t="str"/>
      <c r="BI27" s="25" t="str"/>
      <c r="BJ27" s="25" t="str"/>
      <c r="BK27" s="25" t="str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</row>
    <row collapsed="true" customHeight="true" hidden="true" ht="19" outlineLevel="3" r="28">
      <c r="A28" s="11"/>
      <c r="B28" s="11"/>
      <c r="C28" s="119"/>
      <c r="D28" s="119">
        <v>4</v>
      </c>
      <c r="E28" s="160"/>
      <c r="F28" s="9">
        <f>IF(E28="", "", IF(G28="BP", E28, F27))</f>
      </c>
      <c r="G28" s="4"/>
      <c r="H28" s="4"/>
      <c r="I28" s="4"/>
      <c r="J28" s="4"/>
      <c r="K28" s="4"/>
      <c r="L28" s="4"/>
      <c r="M28" s="4"/>
      <c r="N28" s="3"/>
      <c r="O28" s="2"/>
      <c r="P28" s="2"/>
      <c r="Q28" s="2"/>
      <c r="R28" s="1" t="str"/>
      <c r="S28" s="9" t="str"/>
      <c r="T28" s="120" t="str"/>
      <c r="U28" s="118"/>
      <c r="V28" s="118"/>
      <c r="W28" s="118"/>
      <c r="X28" s="4"/>
      <c r="Y28" s="4">
        <f>IF(AND(Q28="✅", OR(ISNUMBER(FIND("F",I28)), I28="CR")),   "X="&amp;U28*16&amp;",Y="&amp;(V28-1)*16&amp;",Z="&amp;IF(I28="FD", -(W28-1)*16, (W28-1)*16),   "")</f>
      </c>
      <c r="Z28" s="4">
        <f>IF(AND(Q28="✅", OR(ISNUMBER(FIND("F",I28)), I28="CR")), "P=0,Y=0,R=0", "")</f>
      </c>
      <c r="AA28" s="4" t="str"/>
      <c r="AB28" s="4" t="str"/>
      <c r="AC28" s="4" t="str"/>
      <c r="AD28" s="4" t="str"/>
      <c r="AE28" s="4" t="str"/>
      <c r="AF28" s="4"/>
      <c r="AG28" s="4" t="str"/>
      <c r="AH28" s="4" t="str"/>
      <c r="AI28" s="4" t="str"/>
      <c r="AJ28" s="4" t="str"/>
      <c r="AK28" s="4" t="str"/>
      <c r="AL28" s="4" t="str"/>
      <c r="AM28" s="4" t="str"/>
      <c r="AN28" s="4"/>
      <c r="AO28" s="4" t="str"/>
      <c r="AP28" s="4" t="str"/>
      <c r="AQ28" s="4" t="str"/>
      <c r="AR28" s="4" t="str"/>
      <c r="AS28" s="4" t="str"/>
      <c r="AT28" s="4" t="str"/>
      <c r="AU28" s="4" t="str"/>
      <c r="AV28" s="4"/>
      <c r="AW28" s="4">
        <f>IF(AND(Q28="✅", I28="U90"), "X="&amp;(U28-1)*16&amp;",Y="&amp;(V28-1)*16&amp;",Z="&amp;W28*16, "")</f>
      </c>
      <c r="AX28" s="4">
        <f>IF(AND(Q28="✅", I28="U90"), "P=90,Y=0,R=0", "")</f>
      </c>
      <c r="AY28" s="4" t="str"/>
      <c r="AZ28" s="4" t="str"/>
      <c r="BA28" s="4" t="str"/>
      <c r="BB28" s="4" t="str"/>
      <c r="BC28" s="4" t="str"/>
      <c r="BD28" s="4"/>
      <c r="BE28" s="4">
        <f>IF(AND(Q28="✅", I28="D90"), "X="&amp;(U28-1)*16&amp;",Y="&amp;(V28-1)*16&amp;",Z="&amp;(W28-2)*16, "")</f>
      </c>
      <c r="BF28" s="4">
        <f>IF(AND(Q28="✅", I28="D90"), "P=-90,Y=0,R=0", "")</f>
      </c>
      <c r="BG28" s="4" t="str"/>
      <c r="BH28" s="4" t="str"/>
      <c r="BI28" s="4" t="str"/>
      <c r="BJ28" s="4" t="str"/>
      <c r="BK28" s="4" t="str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</row>
    <row customHeight="true" hidden="true" ht="19" outlineLevel="4" r="29">
      <c r="A29" s="146" t="str" xml:space="preserve">
        <v> </v>
      </c>
      <c r="B29" s="146" t="str" xml:space="preserve">
        <v> </v>
      </c>
      <c r="C29" s="143" t="str" xml:space="preserve">
        <v> </v>
      </c>
      <c r="D29" s="143" t="str" xml:space="preserve">
        <v> </v>
      </c>
      <c r="E29" s="162">
        <f>G29 &amp; "_" &amp; H29 &amp; IF(I29&lt;&gt;"", "_" &amp; I29, "") &amp; IF(J29&lt;&gt;"", "_" &amp; J29, "") &amp; IF(K29&lt;&gt;"", "_" &amp; K29, "") &amp;"_X"&amp;U29&amp;"_Y"&amp;V29&amp;"_Z"&amp;W29 &amp; IF(G29="SM", "_Proxy" , "_Rail") &amp; IF(M29&lt;&gt;"", "_" &amp; M29, "")</f>
      </c>
      <c r="F29" s="66">
        <f>IF(E29="", "", IF(G29="BP", E29, F28))</f>
      </c>
      <c r="G29" s="88" t="str">
        <v>BP</v>
      </c>
      <c r="H29" s="88" t="str">
        <v>Straight</v>
      </c>
      <c r="I29" s="88" t="str">
        <v>F</v>
      </c>
      <c r="J29" s="88"/>
      <c r="K29" s="88"/>
      <c r="L29" s="88"/>
      <c r="M29" s="88"/>
      <c r="N29" s="90"/>
      <c r="O29" s="68"/>
      <c r="P29" s="68"/>
      <c r="Q29" s="68" t="str">
        <v>➖</v>
      </c>
      <c r="R29" s="64" t="str"/>
      <c r="S29" s="66" t="str"/>
      <c r="T29" s="139">
        <v>0</v>
      </c>
      <c r="U29" s="140">
        <v>4</v>
      </c>
      <c r="V29" s="140">
        <v>1</v>
      </c>
      <c r="W29" s="140">
        <v>1</v>
      </c>
      <c r="X29" s="88"/>
      <c r="Y29" s="88">
        <f>IF(AND(Q29="✅", OR(ISNUMBER(FIND("F",I29)), I29="CR")),   "X="&amp;U29*16&amp;",Y="&amp;(V29-1)*16&amp;",Z="&amp;IF(I29="FD", -(W29-1)*16, (W29-1)*16),   "")</f>
      </c>
      <c r="Z29" s="88">
        <f>IF(AND(Q29="✅", OR(ISNUMBER(FIND("F",I29)), I29="CR")), "P=0,Y=0,R=0", "")</f>
      </c>
      <c r="AA29" s="88" t="str"/>
      <c r="AB29" s="88" t="str"/>
      <c r="AC29" s="88" t="str"/>
      <c r="AD29" s="88" t="str"/>
      <c r="AE29" s="88" t="str"/>
      <c r="AF29" s="88"/>
      <c r="AG29" s="88" t="str"/>
      <c r="AH29" s="88" t="str"/>
      <c r="AI29" s="88" t="str"/>
      <c r="AJ29" s="88" t="str"/>
      <c r="AK29" s="88" t="str"/>
      <c r="AL29" s="88" t="str"/>
      <c r="AM29" s="88" t="str"/>
      <c r="AN29" s="88"/>
      <c r="AO29" s="88" t="str"/>
      <c r="AP29" s="88" t="str"/>
      <c r="AQ29" s="88" t="str"/>
      <c r="AR29" s="88" t="str"/>
      <c r="AS29" s="88" t="str"/>
      <c r="AT29" s="88" t="str"/>
      <c r="AU29" s="88" t="str"/>
      <c r="AV29" s="88"/>
      <c r="AW29" s="88">
        <f>IF(AND(Q29="✅", I29="U90"), "X="&amp;(U29-1)*16&amp;",Y="&amp;(V29-1)*16&amp;",Z="&amp;W29*16, "")</f>
      </c>
      <c r="AX29" s="88">
        <f>IF(AND(Q29="✅", I29="U90"), "P=90,Y=0,R=0", "")</f>
      </c>
      <c r="AY29" s="88" t="str"/>
      <c r="AZ29" s="88" t="str"/>
      <c r="BA29" s="88" t="str"/>
      <c r="BB29" s="88" t="str"/>
      <c r="BC29" s="88" t="str"/>
      <c r="BD29" s="88"/>
      <c r="BE29" s="88">
        <f>IF(AND(Q29="✅", I29="D90"), "X="&amp;(U29-1)*16&amp;",Y="&amp;(V29-1)*16&amp;",Z="&amp;(W29-2)*16, "")</f>
      </c>
      <c r="BF29" s="88">
        <f>IF(AND(Q29="✅", I29="D90"), "P=-90,Y=0,R=0", "")</f>
      </c>
      <c r="BG29" s="88" t="str"/>
      <c r="BH29" s="88" t="str"/>
      <c r="BI29" s="88" t="str"/>
      <c r="BJ29" s="88" t="str"/>
      <c r="BK29" s="88" t="str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</row>
    <row customHeight="true" hidden="true" ht="19" outlineLevel="4" r="30">
      <c r="A30" s="146" t="str" xml:space="preserve">
        <v> </v>
      </c>
      <c r="B30" s="146" t="str" xml:space="preserve">
        <v> </v>
      </c>
      <c r="C30" s="143" t="str" xml:space="preserve">
        <v> </v>
      </c>
      <c r="D30" s="143" t="str" xml:space="preserve">
        <v> </v>
      </c>
      <c r="E30" s="162">
        <f>G30 &amp; "_" &amp; H30 &amp; IF(I30&lt;&gt;"", "_" &amp; I30, "") &amp; IF(J30&lt;&gt;"", "_" &amp; J30, "") &amp; IF(K30&lt;&gt;"", "_" &amp; K30, "") &amp;"_X"&amp;U30&amp;"_Y"&amp;V30&amp;"_Z"&amp;W30 &amp; IF(G30="SM", "_Proxy" , "_Rail") &amp; IF(M30&lt;&gt;"", "_" &amp; M30, "")</f>
      </c>
      <c r="F30" s="66">
        <f>IF(E30="", "", IF(G30="BP", E30, F29))</f>
      </c>
      <c r="G30" s="88" t="str">
        <v>SM</v>
      </c>
      <c r="H30" s="88" t="str">
        <v>Straight</v>
      </c>
      <c r="I30" s="88" t="str">
        <v>F</v>
      </c>
      <c r="J30" s="88"/>
      <c r="K30" s="88"/>
      <c r="L30" s="88"/>
      <c r="M30" s="88" t="str">
        <v>B</v>
      </c>
      <c r="N30" s="90"/>
      <c r="O30" s="68"/>
      <c r="P30" s="68" t="str">
        <v>➖</v>
      </c>
      <c r="Q30" s="68"/>
      <c r="R30" s="64" t="str"/>
      <c r="S30" s="66" t="str"/>
      <c r="T30" s="139" t="str"/>
      <c r="U30" s="140">
        <v>4</v>
      </c>
      <c r="V30" s="140">
        <v>1</v>
      </c>
      <c r="W30" s="140">
        <v>1</v>
      </c>
      <c r="X30" s="88"/>
      <c r="Y30" s="88">
        <f>IF(AND(Q30="✅", OR(ISNUMBER(FIND("F",I30)), I30="CR")),   "X="&amp;U30*16&amp;",Y="&amp;(V30-1)*16&amp;",Z="&amp;IF(I30="FD", -(W30-1)*16, (W30-1)*16),   "")</f>
      </c>
      <c r="Z30" s="88">
        <f>IF(AND(Q30="✅", OR(ISNUMBER(FIND("F",I30)), I30="CR")), "P=0,Y=0,R=0", "")</f>
      </c>
      <c r="AA30" s="88" t="str"/>
      <c r="AB30" s="88" t="str"/>
      <c r="AC30" s="88" t="str"/>
      <c r="AD30" s="88" t="str"/>
      <c r="AE30" s="88" t="str"/>
      <c r="AF30" s="88"/>
      <c r="AG30" s="88" t="str"/>
      <c r="AH30" s="88" t="str"/>
      <c r="AI30" s="88" t="str"/>
      <c r="AJ30" s="88" t="str"/>
      <c r="AK30" s="88" t="str"/>
      <c r="AL30" s="88" t="str"/>
      <c r="AM30" s="88" t="str"/>
      <c r="AN30" s="88"/>
      <c r="AO30" s="88" t="str"/>
      <c r="AP30" s="88" t="str"/>
      <c r="AQ30" s="88" t="str"/>
      <c r="AR30" s="88" t="str"/>
      <c r="AS30" s="88" t="str"/>
      <c r="AT30" s="88" t="str"/>
      <c r="AU30" s="88" t="str"/>
      <c r="AV30" s="88"/>
      <c r="AW30" s="88">
        <f>IF(AND(Q30="✅", I30="U90"), "X="&amp;(U30-1)*16&amp;",Y="&amp;(V30-1)*16&amp;",Z="&amp;W30*16, "")</f>
      </c>
      <c r="AX30" s="88">
        <f>IF(AND(Q30="✅", I30="U90"), "P=90,Y=0,R=0", "")</f>
      </c>
      <c r="AY30" s="88" t="str"/>
      <c r="AZ30" s="88" t="str"/>
      <c r="BA30" s="88" t="str"/>
      <c r="BB30" s="88" t="str"/>
      <c r="BC30" s="88" t="str"/>
      <c r="BD30" s="88"/>
      <c r="BE30" s="88">
        <f>IF(AND(Q30="✅", I30="D90"), "X="&amp;(U30-1)*16&amp;",Y="&amp;(V30-1)*16&amp;",Z="&amp;(W30-2)*16, "")</f>
      </c>
      <c r="BF30" s="88">
        <f>IF(AND(Q30="✅", I30="D90"), "P=-90,Y=0,R=0", "")</f>
      </c>
      <c r="BG30" s="88" t="str"/>
      <c r="BH30" s="88" t="str"/>
      <c r="BI30" s="88" t="str"/>
      <c r="BJ30" s="88" t="str"/>
      <c r="BK30" s="88" t="str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</row>
    <row customHeight="true" hidden="true" ht="19" outlineLevel="4" r="31">
      <c r="A31" s="146" t="str" xml:space="preserve">
        <v> </v>
      </c>
      <c r="B31" s="146" t="str" xml:space="preserve">
        <v> </v>
      </c>
      <c r="C31" s="143" t="str" xml:space="preserve">
        <v> </v>
      </c>
      <c r="D31" s="143" t="str" xml:space="preserve">
        <v> </v>
      </c>
      <c r="E31" s="162">
        <f>G31 &amp; "_" &amp; H31 &amp; IF(I31&lt;&gt;"", "_" &amp; I31, "") &amp; IF(J31&lt;&gt;"", "_" &amp; J31, "") &amp; IF(K31&lt;&gt;"", "_" &amp; K31, "") &amp;"_X"&amp;U31&amp;"_Y"&amp;V31&amp;"_Z"&amp;W31 &amp; IF(G31="SM", "_Proxy" , "_Rail") &amp; IF(M31&lt;&gt;"", "_" &amp; M31, "")</f>
      </c>
      <c r="F31" s="66">
        <f>IF(E31="", "", IF(G31="BP", E31, F30))</f>
      </c>
      <c r="G31" s="88" t="str">
        <v>SM</v>
      </c>
      <c r="H31" s="88" t="str">
        <v>Straight</v>
      </c>
      <c r="I31" s="88" t="str">
        <v>F</v>
      </c>
      <c r="J31" s="88"/>
      <c r="K31" s="88"/>
      <c r="L31" s="88"/>
      <c r="M31" s="88" t="str">
        <v>L</v>
      </c>
      <c r="N31" s="90"/>
      <c r="O31" s="68"/>
      <c r="P31" s="68" t="str">
        <v>➖</v>
      </c>
      <c r="Q31" s="68"/>
      <c r="R31" s="64" t="str"/>
      <c r="S31" s="66" t="str"/>
      <c r="T31" s="139" t="str"/>
      <c r="U31" s="140">
        <v>4</v>
      </c>
      <c r="V31" s="140">
        <v>1</v>
      </c>
      <c r="W31" s="140">
        <v>1</v>
      </c>
      <c r="X31" s="88"/>
      <c r="Y31" s="88">
        <f>IF(AND(Q31="✅", OR(ISNUMBER(FIND("F",I31)), I31="CR")),   "X="&amp;U31*16&amp;",Y="&amp;(V31-1)*16&amp;",Z="&amp;IF(I31="FD", -(W31-1)*16, (W31-1)*16),   "")</f>
      </c>
      <c r="Z31" s="88">
        <f>IF(AND(Q31="✅", OR(ISNUMBER(FIND("F",I31)), I31="CR")), "P=0,Y=0,R=0", "")</f>
      </c>
      <c r="AA31" s="88" t="str"/>
      <c r="AB31" s="88" t="str"/>
      <c r="AC31" s="88" t="str"/>
      <c r="AD31" s="88" t="str"/>
      <c r="AE31" s="88" t="str"/>
      <c r="AF31" s="88"/>
      <c r="AG31" s="88" t="str"/>
      <c r="AH31" s="88" t="str"/>
      <c r="AI31" s="88" t="str"/>
      <c r="AJ31" s="88" t="str"/>
      <c r="AK31" s="88" t="str"/>
      <c r="AL31" s="88" t="str"/>
      <c r="AM31" s="88" t="str"/>
      <c r="AN31" s="88"/>
      <c r="AO31" s="88" t="str"/>
      <c r="AP31" s="88" t="str"/>
      <c r="AQ31" s="88" t="str"/>
      <c r="AR31" s="88" t="str"/>
      <c r="AS31" s="88" t="str"/>
      <c r="AT31" s="88" t="str"/>
      <c r="AU31" s="88" t="str"/>
      <c r="AV31" s="88"/>
      <c r="AW31" s="88">
        <f>IF(AND(Q31="✅", I31="U90"), "X="&amp;(U31-1)*16&amp;",Y="&amp;(V31-1)*16&amp;",Z="&amp;W31*16, "")</f>
      </c>
      <c r="AX31" s="88">
        <f>IF(AND(Q31="✅", I31="U90"), "P=90,Y=0,R=0", "")</f>
      </c>
      <c r="AY31" s="88" t="str"/>
      <c r="AZ31" s="88" t="str"/>
      <c r="BA31" s="88" t="str"/>
      <c r="BB31" s="88" t="str"/>
      <c r="BC31" s="88" t="str"/>
      <c r="BD31" s="88"/>
      <c r="BE31" s="88">
        <f>IF(AND(Q31="✅", I31="D90"), "X="&amp;(U31-1)*16&amp;",Y="&amp;(V31-1)*16&amp;",Z="&amp;(W31-2)*16, "")</f>
      </c>
      <c r="BF31" s="88">
        <f>IF(AND(Q31="✅", I31="D90"), "P=-90,Y=0,R=0", "")</f>
      </c>
      <c r="BG31" s="88" t="str"/>
      <c r="BH31" s="88" t="str"/>
      <c r="BI31" s="88" t="str"/>
      <c r="BJ31" s="88" t="str"/>
      <c r="BK31" s="88" t="str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</row>
    <row customHeight="true" hidden="true" ht="19" outlineLevel="4" r="32">
      <c r="A32" s="146" t="str" xml:space="preserve">
        <v> </v>
      </c>
      <c r="B32" s="146" t="str" xml:space="preserve">
        <v> </v>
      </c>
      <c r="C32" s="143" t="str" xml:space="preserve">
        <v> </v>
      </c>
      <c r="D32" s="143" t="str" xml:space="preserve">
        <v> </v>
      </c>
      <c r="E32" s="162">
        <f>G32 &amp; "_" &amp; H32 &amp; IF(I32&lt;&gt;"", "_" &amp; I32, "") &amp; IF(J32&lt;&gt;"", "_" &amp; J32, "") &amp; IF(K32&lt;&gt;"", "_" &amp; K32, "") &amp;"_X"&amp;U32&amp;"_Y"&amp;V32&amp;"_Z"&amp;W32 &amp; IF(G32="SM", "_Proxy" , "_Rail") &amp; IF(M32&lt;&gt;"", "_" &amp; M32, "")</f>
      </c>
      <c r="F32" s="66">
        <f>IF(E32="", "", IF(G32="BP", E32, F31))</f>
      </c>
      <c r="G32" s="88" t="str">
        <v>SM</v>
      </c>
      <c r="H32" s="88" t="str">
        <v>Straight</v>
      </c>
      <c r="I32" s="88" t="str">
        <v>F</v>
      </c>
      <c r="J32" s="88"/>
      <c r="K32" s="88"/>
      <c r="L32" s="88"/>
      <c r="M32" s="88" t="str">
        <v>R</v>
      </c>
      <c r="N32" s="90"/>
      <c r="O32" s="68"/>
      <c r="P32" s="68" t="str">
        <v>➖</v>
      </c>
      <c r="Q32" s="68"/>
      <c r="R32" s="64" t="str"/>
      <c r="S32" s="66" t="str"/>
      <c r="T32" s="139" t="str"/>
      <c r="U32" s="140">
        <v>4</v>
      </c>
      <c r="V32" s="140">
        <v>1</v>
      </c>
      <c r="W32" s="140">
        <v>1</v>
      </c>
      <c r="X32" s="88"/>
      <c r="Y32" s="88">
        <f>IF(AND(Q32="✅", OR(ISNUMBER(FIND("F",I32)), I32="CR")),   "X="&amp;U32*16&amp;",Y="&amp;(V32-1)*16&amp;",Z="&amp;IF(I32="FD", -(W32-1)*16, (W32-1)*16),   "")</f>
      </c>
      <c r="Z32" s="88">
        <f>IF(AND(Q32="✅", OR(ISNUMBER(FIND("F",I32)), I32="CR")), "P=0,Y=0,R=0", "")</f>
      </c>
      <c r="AA32" s="88" t="str"/>
      <c r="AB32" s="88" t="str"/>
      <c r="AC32" s="88" t="str"/>
      <c r="AD32" s="88" t="str"/>
      <c r="AE32" s="88" t="str"/>
      <c r="AF32" s="88"/>
      <c r="AG32" s="88" t="str"/>
      <c r="AH32" s="88" t="str"/>
      <c r="AI32" s="88" t="str"/>
      <c r="AJ32" s="88" t="str"/>
      <c r="AK32" s="88" t="str"/>
      <c r="AL32" s="88" t="str"/>
      <c r="AM32" s="88" t="str"/>
      <c r="AN32" s="88"/>
      <c r="AO32" s="88" t="str"/>
      <c r="AP32" s="88" t="str"/>
      <c r="AQ32" s="88" t="str"/>
      <c r="AR32" s="88" t="str"/>
      <c r="AS32" s="88" t="str"/>
      <c r="AT32" s="88" t="str"/>
      <c r="AU32" s="88" t="str"/>
      <c r="AV32" s="88"/>
      <c r="AW32" s="88">
        <f>IF(AND(Q32="✅", I32="U90"), "X="&amp;(U32-1)*16&amp;",Y="&amp;(V32-1)*16&amp;",Z="&amp;W32*16, "")</f>
      </c>
      <c r="AX32" s="88">
        <f>IF(AND(Q32="✅", I32="U90"), "P=90,Y=0,R=0", "")</f>
      </c>
      <c r="AY32" s="88" t="str"/>
      <c r="AZ32" s="88" t="str"/>
      <c r="BA32" s="88" t="str"/>
      <c r="BB32" s="88" t="str"/>
      <c r="BC32" s="88" t="str"/>
      <c r="BD32" s="88"/>
      <c r="BE32" s="88">
        <f>IF(AND(Q32="✅", I32="D90"), "X="&amp;(U32-1)*16&amp;",Y="&amp;(V32-1)*16&amp;",Z="&amp;(W32-2)*16, "")</f>
      </c>
      <c r="BF32" s="88">
        <f>IF(AND(Q32="✅", I32="D90"), "P=-90,Y=0,R=0", "")</f>
      </c>
      <c r="BG32" s="88" t="str"/>
      <c r="BH32" s="88" t="str"/>
      <c r="BI32" s="88" t="str"/>
      <c r="BJ32" s="88" t="str"/>
      <c r="BK32" s="88" t="str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</row>
    <row collapsed="true" customHeight="true" ht="19" outlineLevel="2" r="33">
      <c r="A33" s="11"/>
      <c r="B33" s="11"/>
      <c r="C33" s="119" t="str">
        <v>HoleInRail</v>
      </c>
      <c r="D33" s="119"/>
      <c r="E33" s="5"/>
      <c r="F33" s="9"/>
      <c r="G33" s="1"/>
      <c r="H33" s="1"/>
      <c r="I33" s="1"/>
      <c r="J33" s="1"/>
      <c r="K33" s="1"/>
      <c r="L33" s="1"/>
      <c r="M33" s="1"/>
      <c r="N33" s="3"/>
      <c r="O33" s="3" t="str">
        <v>✅</v>
      </c>
      <c r="P33" s="3"/>
      <c r="Q33" s="3"/>
      <c r="R33" s="1" t="str"/>
      <c r="S33" s="9" t="str"/>
      <c r="T33" s="120" t="str"/>
      <c r="U33" s="118"/>
      <c r="V33" s="118"/>
      <c r="W33" s="118"/>
      <c r="X33" s="4"/>
      <c r="Y33" s="4">
        <f>IF(AND(Q33="✅", OR(ISNUMBER(FIND("F",I33)), I33="CR")),   "X="&amp;U33*16&amp;",Y="&amp;(V33-1)*16&amp;",Z="&amp;IF(I33="FD", -(W33-1)*16, (W33-1)*16),   "")</f>
      </c>
      <c r="Z33" s="4">
        <f>IF(AND(Q33="✅", OR(ISNUMBER(FIND("F",I33)), I33="CR")), "P=0,Y=0,R=0", "")</f>
      </c>
      <c r="AA33" s="4" t="str"/>
      <c r="AB33" s="4" t="str"/>
      <c r="AC33" s="4" t="str"/>
      <c r="AD33" s="4" t="str"/>
      <c r="AE33" s="4" t="str"/>
      <c r="AF33" s="4"/>
      <c r="AG33" s="4" t="str"/>
      <c r="AH33" s="4" t="str"/>
      <c r="AI33" s="4" t="str"/>
      <c r="AJ33" s="4" t="str"/>
      <c r="AK33" s="4" t="str"/>
      <c r="AL33" s="4" t="str"/>
      <c r="AM33" s="4" t="str"/>
      <c r="AN33" s="4"/>
      <c r="AO33" s="4" t="str"/>
      <c r="AP33" s="4" t="str"/>
      <c r="AQ33" s="4" t="str"/>
      <c r="AR33" s="4" t="str"/>
      <c r="AS33" s="4" t="str"/>
      <c r="AT33" s="4" t="str"/>
      <c r="AU33" s="4" t="str"/>
      <c r="AV33" s="4"/>
      <c r="AW33" s="4">
        <f>IF(AND(Q33="✅", I33="U90"), "X="&amp;(U33-1)*16&amp;",Y="&amp;(V33-1)*16&amp;",Z="&amp;W33*16, "")</f>
      </c>
      <c r="AX33" s="4">
        <f>IF(AND(Q33="✅", I33="U90"), "P=90,Y=0,R=0", "")</f>
      </c>
      <c r="AY33" s="4" t="str"/>
      <c r="AZ33" s="4" t="str"/>
      <c r="BA33" s="4" t="str"/>
      <c r="BB33" s="4" t="str"/>
      <c r="BC33" s="4" t="str"/>
      <c r="BD33" s="4"/>
      <c r="BE33" s="4">
        <f>IF(AND(Q33="✅", I33="D90"), "X="&amp;(U33-1)*16&amp;",Y="&amp;(V33-1)*16&amp;",Z="&amp;(W33-2)*16, "")</f>
      </c>
      <c r="BF33" s="4">
        <f>IF(AND(Q33="✅", I33="D90"), "P=-90,Y=0,R=0", "")</f>
      </c>
      <c r="BG33" s="4" t="str"/>
      <c r="BH33" s="4" t="str"/>
      <c r="BI33" s="4" t="str"/>
      <c r="BJ33" s="4" t="str"/>
      <c r="BK33" s="4" t="str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</row>
    <row customHeight="true" hidden="true" ht="19" outlineLevel="3" r="34">
      <c r="A34" s="11"/>
      <c r="B34" s="11"/>
      <c r="C34" s="119"/>
      <c r="D34" s="119">
        <v>1</v>
      </c>
      <c r="E34" s="5"/>
      <c r="F34" s="9"/>
      <c r="G34" s="1"/>
      <c r="H34" s="1"/>
      <c r="I34" s="1"/>
      <c r="J34" s="1"/>
      <c r="K34" s="1"/>
      <c r="L34" s="1"/>
      <c r="M34" s="1"/>
      <c r="N34" s="3"/>
      <c r="O34" s="3"/>
      <c r="P34" s="3"/>
      <c r="Q34" s="3"/>
      <c r="R34" s="1" t="str"/>
      <c r="S34" s="9" t="str"/>
      <c r="T34" s="120" t="str"/>
      <c r="U34" s="118"/>
      <c r="V34" s="118"/>
      <c r="W34" s="118"/>
      <c r="X34" s="4"/>
      <c r="Y34" s="4"/>
      <c r="Z34" s="4"/>
      <c r="AA34" s="4" t="str"/>
      <c r="AB34" s="4" t="str"/>
      <c r="AC34" s="4" t="str"/>
      <c r="AD34" s="4" t="str"/>
      <c r="AE34" s="4" t="str"/>
      <c r="AF34" s="4"/>
      <c r="AG34" s="4" t="str"/>
      <c r="AH34" s="4" t="str"/>
      <c r="AI34" s="4" t="str"/>
      <c r="AJ34" s="4" t="str"/>
      <c r="AK34" s="4" t="str"/>
      <c r="AL34" s="4" t="str"/>
      <c r="AM34" s="4" t="str"/>
      <c r="AN34" s="4"/>
      <c r="AO34" s="4" t="str"/>
      <c r="AP34" s="4" t="str"/>
      <c r="AQ34" s="4" t="str"/>
      <c r="AR34" s="4" t="str"/>
      <c r="AS34" s="4" t="str"/>
      <c r="AT34" s="4" t="str"/>
      <c r="AU34" s="4" t="str"/>
      <c r="AV34" s="4"/>
      <c r="AW34" s="4"/>
      <c r="AX34" s="4"/>
      <c r="AY34" s="4" t="str"/>
      <c r="AZ34" s="4" t="str"/>
      <c r="BA34" s="4" t="str"/>
      <c r="BB34" s="4" t="str"/>
      <c r="BC34" s="4" t="str"/>
      <c r="BD34" s="4"/>
      <c r="BE34" s="4"/>
      <c r="BF34" s="4"/>
      <c r="BG34" s="4" t="str"/>
      <c r="BH34" s="4" t="str"/>
      <c r="BI34" s="4" t="str"/>
      <c r="BJ34" s="4" t="str"/>
      <c r="BK34" s="4" t="str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</row>
    <row customHeight="true" hidden="true" ht="19" outlineLevel="3" r="35">
      <c r="A35" s="142" t="str" xml:space="preserve">
        <v> </v>
      </c>
      <c r="B35" s="142" t="str" xml:space="preserve">
        <v> </v>
      </c>
      <c r="C35" s="141" t="str" xml:space="preserve">
        <v> </v>
      </c>
      <c r="D35" s="141" t="str" xml:space="preserve">
        <v> </v>
      </c>
      <c r="E35" s="51">
        <f>G35 &amp; "_" &amp; H35 &amp; IF(I35&lt;&gt;"", "_" &amp; I35, "") &amp; IF(J35&lt;&gt;"", "_" &amp; J35, "") &amp; IF(K35&lt;&gt;"", "_" &amp; K35, "") &amp;"_X"&amp;U35&amp;"_Y"&amp;V35&amp;"_Z"&amp;W35 &amp; IF(G35="SM", "_Proxy" , "_Rail") &amp; IF(M35&lt;&gt;"", "_" &amp; M35, "")</f>
      </c>
      <c r="F35" s="54">
        <f>IF(E35="", "", IF(G35="BP", E35, F32))</f>
      </c>
      <c r="G35" s="52" t="str">
        <v>BP</v>
      </c>
      <c r="H35" s="52" t="str">
        <v>Straight</v>
      </c>
      <c r="I35" s="52" t="str">
        <v>F</v>
      </c>
      <c r="J35" s="52"/>
      <c r="K35" s="52" t="str">
        <v>HoleInRail</v>
      </c>
      <c r="L35" s="52"/>
      <c r="M35" s="52"/>
      <c r="N35" s="101"/>
      <c r="O35" s="101"/>
      <c r="P35" s="101"/>
      <c r="Q35" s="101" t="str">
        <v>⭕</v>
      </c>
      <c r="R35" s="52" t="str"/>
      <c r="S35" s="54" t="str"/>
      <c r="T35" s="138">
        <v>2</v>
      </c>
      <c r="U35" s="137">
        <v>1</v>
      </c>
      <c r="V35" s="137">
        <v>1</v>
      </c>
      <c r="W35" s="137">
        <v>1</v>
      </c>
      <c r="X35" s="53"/>
      <c r="Y35" s="53">
        <f>IF(AND(Q35="✅", OR(ISNUMBER(FIND("F",I35)), I35="CR")),   "X="&amp;U35*16&amp;",Y="&amp;(V35-1)*16&amp;",Z="&amp;IF(I35="FD", -(W35-1)*16, (W35-1)*16),   "")</f>
      </c>
      <c r="Z35" s="53">
        <f>IF(AND(Q35="✅", OR(ISNUMBER(FIND("F",I35)), I35="CR")), "P=0,Y=0,R=0", "")</f>
      </c>
      <c r="AA35" s="53" t="str"/>
      <c r="AB35" s="53" t="str"/>
      <c r="AC35" s="53" t="str"/>
      <c r="AD35" s="53" t="str"/>
      <c r="AE35" s="53" t="str"/>
      <c r="AF35" s="53"/>
      <c r="AG35" s="53" t="str"/>
      <c r="AH35" s="53" t="str"/>
      <c r="AI35" s="53" t="str"/>
      <c r="AJ35" s="53" t="str"/>
      <c r="AK35" s="53" t="str"/>
      <c r="AL35" s="53" t="str"/>
      <c r="AM35" s="53" t="str"/>
      <c r="AN35" s="53"/>
      <c r="AO35" s="53" t="str"/>
      <c r="AP35" s="53" t="str"/>
      <c r="AQ35" s="53" t="str"/>
      <c r="AR35" s="53" t="str"/>
      <c r="AS35" s="53" t="str"/>
      <c r="AT35" s="53" t="str"/>
      <c r="AU35" s="53" t="str"/>
      <c r="AV35" s="53"/>
      <c r="AW35" s="53">
        <f>IF(AND(Q35="✅", I35="U90"), "X="&amp;(U35-1)*16&amp;",Y="&amp;(V35-1)*16&amp;",Z="&amp;W35*16, "")</f>
      </c>
      <c r="AX35" s="53">
        <f>IF(AND(Q35="✅", I35="U90"), "P=90,Y=0,R=0", "")</f>
      </c>
      <c r="AY35" s="53" t="str"/>
      <c r="AZ35" s="53" t="str"/>
      <c r="BA35" s="53" t="str"/>
      <c r="BB35" s="53" t="str"/>
      <c r="BC35" s="53" t="str"/>
      <c r="BD35" s="53"/>
      <c r="BE35" s="53">
        <f>IF(AND(Q35="✅", I35="D90"), "X="&amp;(U35-1)*16&amp;",Y="&amp;(V35-1)*16&amp;",Z="&amp;(W35-2)*16, "")</f>
      </c>
      <c r="BF35" s="53">
        <f>IF(AND(Q35="✅", I35="D90"), "P=-90,Y=0,R=0", "")</f>
      </c>
      <c r="BG35" s="53" t="str"/>
      <c r="BH35" s="53" t="str"/>
      <c r="BI35" s="53" t="str"/>
      <c r="BJ35" s="53" t="str"/>
      <c r="BK35" s="53" t="str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</row>
    <row customHeight="true" hidden="true" ht="19" outlineLevel="3" r="36">
      <c r="A36" s="142" t="str" xml:space="preserve">
        <v> </v>
      </c>
      <c r="B36" s="142" t="str" xml:space="preserve">
        <v> </v>
      </c>
      <c r="C36" s="141" t="str" xml:space="preserve">
        <v> </v>
      </c>
      <c r="D36" s="141" t="str" xml:space="preserve">
        <v> </v>
      </c>
      <c r="E36" s="54">
        <f>G36 &amp; "_" &amp; H36 &amp; IF(I36&lt;&gt;"", "_" &amp; I36, "") &amp; IF(J36&lt;&gt;"", "_" &amp; J36, "") &amp; IF(K36&lt;&gt;"", "_" &amp; K36, "") &amp;"_X"&amp;U36&amp;"_Y"&amp;V36&amp;"_Z"&amp;W36 &amp; IF(G36="SM", "_Proxy" , "_Rail") &amp; IF(M36&lt;&gt;"", "_" &amp; M36, "")</f>
      </c>
      <c r="F36" s="54">
        <f>IF(E36="", "", IF(G36="BP", E36, F35))</f>
      </c>
      <c r="G36" s="53" t="str">
        <v>SM</v>
      </c>
      <c r="H36" s="53" t="str">
        <v>Straight</v>
      </c>
      <c r="I36" s="53" t="str">
        <v>F</v>
      </c>
      <c r="J36" s="52"/>
      <c r="K36" s="53" t="str">
        <v>HoleInRail</v>
      </c>
      <c r="L36" s="53"/>
      <c r="M36" s="53" t="str">
        <v>B</v>
      </c>
      <c r="N36" s="101"/>
      <c r="O36" s="101"/>
      <c r="P36" s="56" t="str">
        <v>⭕</v>
      </c>
      <c r="Q36" s="101"/>
      <c r="R36" s="52" t="str"/>
      <c r="S36" s="54" t="str"/>
      <c r="T36" s="138" t="str"/>
      <c r="U36" s="137">
        <v>1</v>
      </c>
      <c r="V36" s="137">
        <v>1</v>
      </c>
      <c r="W36" s="137">
        <v>1</v>
      </c>
      <c r="X36" s="53"/>
      <c r="Y36" s="53">
        <f>IF(AND(Q36="✅", OR(ISNUMBER(FIND("F",I36)), I36="CR")),   "X="&amp;U36*16&amp;",Y="&amp;(V36-1)*16&amp;",Z="&amp;IF(I36="FD", -(W36-1)*16, (W36-1)*16),   "")</f>
      </c>
      <c r="Z36" s="53">
        <f>IF(AND(Q36="✅", OR(ISNUMBER(FIND("F",I36)), I36="CR")), "P=0,Y=0,R=0", "")</f>
      </c>
      <c r="AA36" s="53" t="str"/>
      <c r="AB36" s="53" t="str"/>
      <c r="AC36" s="53" t="str"/>
      <c r="AD36" s="53" t="str"/>
      <c r="AE36" s="53" t="str"/>
      <c r="AF36" s="53"/>
      <c r="AG36" s="53" t="str"/>
      <c r="AH36" s="53" t="str"/>
      <c r="AI36" s="53" t="str"/>
      <c r="AJ36" s="53" t="str"/>
      <c r="AK36" s="53" t="str"/>
      <c r="AL36" s="53" t="str"/>
      <c r="AM36" s="53" t="str"/>
      <c r="AN36" s="53"/>
      <c r="AO36" s="53" t="str"/>
      <c r="AP36" s="53" t="str"/>
      <c r="AQ36" s="53" t="str"/>
      <c r="AR36" s="53" t="str"/>
      <c r="AS36" s="53" t="str"/>
      <c r="AT36" s="53" t="str"/>
      <c r="AU36" s="53" t="str"/>
      <c r="AV36" s="53"/>
      <c r="AW36" s="53">
        <f>IF(AND(Q36="✅", I36="U90"), "X="&amp;(U36-1)*16&amp;",Y="&amp;(V36-1)*16&amp;",Z="&amp;W36*16, "")</f>
      </c>
      <c r="AX36" s="53">
        <f>IF(AND(Q36="✅", I36="U90"), "P=90,Y=0,R=0", "")</f>
      </c>
      <c r="AY36" s="53" t="str"/>
      <c r="AZ36" s="53" t="str"/>
      <c r="BA36" s="53" t="str"/>
      <c r="BB36" s="53" t="str"/>
      <c r="BC36" s="53" t="str"/>
      <c r="BD36" s="53"/>
      <c r="BE36" s="53">
        <f>IF(AND(Q36="✅", I36="D90"), "X="&amp;(U36-1)*16&amp;",Y="&amp;(V36-1)*16&amp;",Z="&amp;(W36-2)*16, "")</f>
      </c>
      <c r="BF36" s="53">
        <f>IF(AND(Q36="✅", I36="D90"), "P=-90,Y=0,R=0", "")</f>
      </c>
      <c r="BG36" s="53" t="str"/>
      <c r="BH36" s="53" t="str"/>
      <c r="BI36" s="53" t="str"/>
      <c r="BJ36" s="53" t="str"/>
      <c r="BK36" s="53" t="str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</row>
    <row customHeight="true" hidden="true" ht="19" outlineLevel="3" r="37">
      <c r="A37" s="142" t="str" xml:space="preserve">
        <v> </v>
      </c>
      <c r="B37" s="142" t="str" xml:space="preserve">
        <v> </v>
      </c>
      <c r="C37" s="141" t="str" xml:space="preserve">
        <v> </v>
      </c>
      <c r="D37" s="141" t="str" xml:space="preserve">
        <v> </v>
      </c>
      <c r="E37" s="54">
        <f>E26</f>
      </c>
      <c r="F37" s="54">
        <f>IF(E37="", "", IF(G37="BP", E37, F36))</f>
      </c>
      <c r="G37" s="53"/>
      <c r="H37" s="53"/>
      <c r="I37" s="53"/>
      <c r="J37" s="52"/>
      <c r="K37" s="53"/>
      <c r="L37" s="53"/>
      <c r="M37" s="53" t="str">
        <v>L</v>
      </c>
      <c r="N37" s="101"/>
      <c r="O37" s="101"/>
      <c r="P37" s="56" t="str">
        <v>✅</v>
      </c>
      <c r="Q37" s="101"/>
      <c r="R37" s="52" t="str">
        <v>Straight_F_X1_Y1_Z1</v>
      </c>
      <c r="S37" s="54" t="str">
        <v>/Script/Engine.StaticMesh'/Game/Item/Rail/Straight/F/Normal/Straight_F_X1_Y1_Z1/Proxy/SM_Straight_F_X1_Y1_Z1_Proxy_L.SM_Straight_F_X1_Y1_Z1_Proxy_L'</v>
      </c>
      <c r="T37" s="138" t="str"/>
      <c r="U37" s="137"/>
      <c r="V37" s="137"/>
      <c r="W37" s="137"/>
      <c r="X37" s="53"/>
      <c r="Y37" s="53"/>
      <c r="Z37" s="53"/>
      <c r="AA37" s="53" t="str"/>
      <c r="AB37" s="53" t="str"/>
      <c r="AC37" s="53" t="str"/>
      <c r="AD37" s="53" t="str"/>
      <c r="AE37" s="53" t="str"/>
      <c r="AF37" s="53"/>
      <c r="AG37" s="53" t="str"/>
      <c r="AH37" s="53" t="str"/>
      <c r="AI37" s="53" t="str"/>
      <c r="AJ37" s="53" t="str"/>
      <c r="AK37" s="53" t="str"/>
      <c r="AL37" s="53" t="str"/>
      <c r="AM37" s="53" t="str"/>
      <c r="AN37" s="53"/>
      <c r="AO37" s="53" t="str"/>
      <c r="AP37" s="53" t="str"/>
      <c r="AQ37" s="53" t="str"/>
      <c r="AR37" s="53" t="str"/>
      <c r="AS37" s="53" t="str"/>
      <c r="AT37" s="53" t="str"/>
      <c r="AU37" s="53" t="str"/>
      <c r="AV37" s="53"/>
      <c r="AW37" s="53"/>
      <c r="AX37" s="53"/>
      <c r="AY37" s="53" t="str"/>
      <c r="AZ37" s="53" t="str"/>
      <c r="BA37" s="53" t="str"/>
      <c r="BB37" s="53" t="str"/>
      <c r="BC37" s="53" t="str"/>
      <c r="BD37" s="53"/>
      <c r="BE37" s="53"/>
      <c r="BF37" s="53"/>
      <c r="BG37" s="53" t="str"/>
      <c r="BH37" s="53" t="str"/>
      <c r="BI37" s="53" t="str"/>
      <c r="BJ37" s="53" t="str"/>
      <c r="BK37" s="53" t="str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</row>
    <row customHeight="true" hidden="true" ht="19" outlineLevel="3" r="38">
      <c r="A38" s="142" t="str" xml:space="preserve">
        <v> </v>
      </c>
      <c r="B38" s="142" t="str" xml:space="preserve">
        <v> </v>
      </c>
      <c r="C38" s="141" t="str" xml:space="preserve">
        <v> </v>
      </c>
      <c r="D38" s="141" t="str" xml:space="preserve">
        <v> </v>
      </c>
      <c r="E38" s="54">
        <f>E27</f>
      </c>
      <c r="F38" s="54">
        <f>IF(E38="", "", IF(G38="BP", E38, F37))</f>
      </c>
      <c r="G38" s="53"/>
      <c r="H38" s="53"/>
      <c r="I38" s="53"/>
      <c r="J38" s="52"/>
      <c r="K38" s="53"/>
      <c r="L38" s="53"/>
      <c r="M38" s="53" t="str">
        <v>R</v>
      </c>
      <c r="N38" s="101"/>
      <c r="O38" s="101"/>
      <c r="P38" s="56" t="str">
        <v>✅</v>
      </c>
      <c r="Q38" s="101"/>
      <c r="R38" s="52" t="str">
        <v>Straight_F_X1_Y1_Z1</v>
      </c>
      <c r="S38" s="54" t="str">
        <v>/Script/Engine.StaticMesh'/Game/Item/Rail/Straight/F/Normal/Straight_F_X1_Y1_Z1/Proxy/SM_Straight_F_X1_Y1_Z1_Proxy_R.SM_Straight_F_X1_Y1_Z1_Proxy_R'</v>
      </c>
      <c r="T38" s="138" t="str"/>
      <c r="U38" s="137"/>
      <c r="V38" s="137"/>
      <c r="W38" s="137"/>
      <c r="X38" s="53"/>
      <c r="Y38" s="53"/>
      <c r="Z38" s="53"/>
      <c r="AA38" s="53" t="str"/>
      <c r="AB38" s="53" t="str"/>
      <c r="AC38" s="53" t="str"/>
      <c r="AD38" s="53" t="str"/>
      <c r="AE38" s="53" t="str"/>
      <c r="AF38" s="53"/>
      <c r="AG38" s="53" t="str"/>
      <c r="AH38" s="53" t="str"/>
      <c r="AI38" s="53" t="str"/>
      <c r="AJ38" s="53" t="str"/>
      <c r="AK38" s="53" t="str"/>
      <c r="AL38" s="53" t="str"/>
      <c r="AM38" s="53" t="str"/>
      <c r="AN38" s="53"/>
      <c r="AO38" s="53" t="str"/>
      <c r="AP38" s="53" t="str"/>
      <c r="AQ38" s="53" t="str"/>
      <c r="AR38" s="53" t="str"/>
      <c r="AS38" s="53" t="str"/>
      <c r="AT38" s="53" t="str"/>
      <c r="AU38" s="53" t="str"/>
      <c r="AV38" s="53"/>
      <c r="AW38" s="53"/>
      <c r="AX38" s="53"/>
      <c r="AY38" s="53" t="str"/>
      <c r="AZ38" s="53" t="str"/>
      <c r="BA38" s="53" t="str"/>
      <c r="BB38" s="53" t="str"/>
      <c r="BC38" s="53" t="str"/>
      <c r="BD38" s="53"/>
      <c r="BE38" s="53"/>
      <c r="BF38" s="53"/>
      <c r="BG38" s="53" t="str"/>
      <c r="BH38" s="53" t="str"/>
      <c r="BI38" s="53" t="str"/>
      <c r="BJ38" s="53" t="str"/>
      <c r="BK38" s="53" t="str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</row>
    <row collapsed="true" customHeight="true" ht="19" outlineLevel="2" r="39">
      <c r="A39" s="11"/>
      <c r="B39" s="11"/>
      <c r="C39" s="119" t="str">
        <v>Borderless</v>
      </c>
      <c r="D39" s="119"/>
      <c r="E39" s="5"/>
      <c r="F39" s="9">
        <f>IF(E39="", "", IF(G39="BP", E39, F32))</f>
      </c>
      <c r="G39" s="1"/>
      <c r="H39" s="1"/>
      <c r="I39" s="1"/>
      <c r="J39" s="1"/>
      <c r="K39" s="1"/>
      <c r="L39" s="1"/>
      <c r="M39" s="1"/>
      <c r="N39" s="3"/>
      <c r="O39" s="3" t="str">
        <v>✅</v>
      </c>
      <c r="P39" s="3"/>
      <c r="Q39" s="3"/>
      <c r="R39" s="1" t="str"/>
      <c r="S39" s="9" t="str"/>
      <c r="T39" s="120" t="str"/>
      <c r="U39" s="118"/>
      <c r="V39" s="118"/>
      <c r="W39" s="118"/>
      <c r="X39" s="4"/>
      <c r="Y39" s="4">
        <f>IF(AND(Q39="✅", OR(ISNUMBER(FIND("F",I39)), I39="CR")),   "X="&amp;U39*16&amp;",Y="&amp;(V39-1)*16&amp;",Z="&amp;IF(I39="FD", -(W39-1)*16, (W39-1)*16),   "")</f>
      </c>
      <c r="Z39" s="4">
        <f>IF(AND(Q39="✅", OR(ISNUMBER(FIND("F",I39)), I39="CR")), "P=0,Y=0,R=0", "")</f>
      </c>
      <c r="AA39" s="4" t="str"/>
      <c r="AB39" s="4" t="str"/>
      <c r="AC39" s="4" t="str"/>
      <c r="AD39" s="4" t="str"/>
      <c r="AE39" s="4" t="str"/>
      <c r="AF39" s="4"/>
      <c r="AG39" s="4" t="str"/>
      <c r="AH39" s="4" t="str"/>
      <c r="AI39" s="4" t="str"/>
      <c r="AJ39" s="4" t="str"/>
      <c r="AK39" s="4" t="str"/>
      <c r="AL39" s="4" t="str"/>
      <c r="AM39" s="4" t="str"/>
      <c r="AN39" s="4"/>
      <c r="AO39" s="4" t="str"/>
      <c r="AP39" s="4" t="str"/>
      <c r="AQ39" s="4" t="str"/>
      <c r="AR39" s="4" t="str"/>
      <c r="AS39" s="4" t="str"/>
      <c r="AT39" s="4" t="str"/>
      <c r="AU39" s="4" t="str"/>
      <c r="AV39" s="4"/>
      <c r="AW39" s="4">
        <f>IF(AND(Q39="✅", I39="U90"), "X="&amp;(U39-1)*16&amp;",Y="&amp;(V39-1)*16&amp;",Z="&amp;W39*16, "")</f>
      </c>
      <c r="AX39" s="4">
        <f>IF(AND(Q39="✅", I39="U90"), "P=90,Y=0,R=0", "")</f>
      </c>
      <c r="AY39" s="4" t="str"/>
      <c r="AZ39" s="4" t="str"/>
      <c r="BA39" s="4" t="str"/>
      <c r="BB39" s="4" t="str"/>
      <c r="BC39" s="4" t="str"/>
      <c r="BD39" s="4"/>
      <c r="BE39" s="4">
        <f>IF(AND(Q39="✅", I39="D90"), "X="&amp;(U39-1)*16&amp;",Y="&amp;(V39-1)*16&amp;",Z="&amp;(W39-2)*16, "")</f>
      </c>
      <c r="BF39" s="4">
        <f>IF(AND(Q39="✅", I39="D90"), "P=-90,Y=0,R=0", "")</f>
      </c>
      <c r="BG39" s="4" t="str"/>
      <c r="BH39" s="4" t="str"/>
      <c r="BI39" s="4" t="str"/>
      <c r="BJ39" s="4" t="str"/>
      <c r="BK39" s="4" t="str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</row>
    <row customHeight="true" hidden="true" ht="19" outlineLevel="3" r="40">
      <c r="A40" s="11"/>
      <c r="B40" s="11"/>
      <c r="C40" s="119"/>
      <c r="D40" s="119">
        <v>1</v>
      </c>
      <c r="E40" s="5"/>
      <c r="F40" s="9"/>
      <c r="G40" s="1"/>
      <c r="H40" s="1"/>
      <c r="I40" s="1"/>
      <c r="J40" s="1"/>
      <c r="K40" s="1"/>
      <c r="L40" s="1"/>
      <c r="M40" s="1"/>
      <c r="N40" s="3"/>
      <c r="O40" s="3"/>
      <c r="P40" s="3"/>
      <c r="Q40" s="3"/>
      <c r="R40" s="1" t="str"/>
      <c r="S40" s="9" t="str"/>
      <c r="T40" s="120" t="str"/>
      <c r="U40" s="118"/>
      <c r="V40" s="118"/>
      <c r="W40" s="118"/>
      <c r="X40" s="4"/>
      <c r="Y40" s="4">
        <f>IF(AND(Q40="✅", OR(ISNUMBER(FIND("F",I40)), I40="CR")),   "X="&amp;U40*16&amp;",Y="&amp;(V40-1)*16&amp;",Z="&amp;IF(I40="FD", -(W40-1)*16, (W40-1)*16),   "")</f>
      </c>
      <c r="Z40" s="4">
        <f>IF(AND(Q40="✅", OR(ISNUMBER(FIND("F",I40)), I40="CR")), "P=0,Y=0,R=0", "")</f>
      </c>
      <c r="AA40" s="4" t="str"/>
      <c r="AB40" s="4" t="str"/>
      <c r="AC40" s="4" t="str"/>
      <c r="AD40" s="4" t="str"/>
      <c r="AE40" s="4" t="str"/>
      <c r="AF40" s="4"/>
      <c r="AG40" s="4" t="str"/>
      <c r="AH40" s="4" t="str"/>
      <c r="AI40" s="4" t="str"/>
      <c r="AJ40" s="4" t="str"/>
      <c r="AK40" s="4" t="str"/>
      <c r="AL40" s="4" t="str"/>
      <c r="AM40" s="4" t="str"/>
      <c r="AN40" s="4"/>
      <c r="AO40" s="4" t="str"/>
      <c r="AP40" s="4" t="str"/>
      <c r="AQ40" s="4" t="str"/>
      <c r="AR40" s="4" t="str"/>
      <c r="AS40" s="4" t="str"/>
      <c r="AT40" s="4" t="str"/>
      <c r="AU40" s="4" t="str"/>
      <c r="AV40" s="4"/>
      <c r="AW40" s="4">
        <f>IF(AND(Q40="✅", I40="U90"), "X="&amp;(U40-1)*16&amp;",Y="&amp;(V40-1)*16&amp;",Z="&amp;W40*16, "")</f>
      </c>
      <c r="AX40" s="4">
        <f>IF(AND(Q40="✅", I40="U90"), "P=90,Y=0,R=0", "")</f>
      </c>
      <c r="AY40" s="4" t="str"/>
      <c r="AZ40" s="4" t="str"/>
      <c r="BA40" s="4" t="str"/>
      <c r="BB40" s="4" t="str"/>
      <c r="BC40" s="4" t="str"/>
      <c r="BD40" s="4"/>
      <c r="BE40" s="4">
        <f>IF(AND(Q40="✅", I40="D90"), "X="&amp;(U40-1)*16&amp;",Y="&amp;(V40-1)*16&amp;",Z="&amp;(W40-2)*16, "")</f>
      </c>
      <c r="BF40" s="4">
        <f>IF(AND(Q40="✅", I40="D90"), "P=-90,Y=0,R=0", "")</f>
      </c>
      <c r="BG40" s="4" t="str"/>
      <c r="BH40" s="4" t="str"/>
      <c r="BI40" s="4" t="str"/>
      <c r="BJ40" s="4" t="str"/>
      <c r="BK40" s="4" t="str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</row>
    <row customHeight="true" hidden="true" ht="19" outlineLevel="3" r="41">
      <c r="A41" s="146" t="str" xml:space="preserve">
        <v> </v>
      </c>
      <c r="B41" s="146" t="str" xml:space="preserve">
        <v> </v>
      </c>
      <c r="C41" s="143" t="str" xml:space="preserve">
        <v> </v>
      </c>
      <c r="D41" s="143" t="str" xml:space="preserve">
        <v> </v>
      </c>
      <c r="E41" s="60">
        <f>G41 &amp; "_" &amp; H41 &amp; IF(I41&lt;&gt;"", "_" &amp; I41, "") &amp; IF(J41&lt;&gt;"", "_" &amp; J41, "") &amp; IF(K41&lt;&gt;"", "_" &amp; K41, "") &amp;"_X"&amp;U41&amp;"_Y"&amp;V41&amp;"_Z"&amp;W41 &amp; IF(G41="SM", "_Proxy" , "_Rail") &amp; IF(M41&lt;&gt;"", "_" &amp; M41, "")</f>
      </c>
      <c r="F41" s="62">
        <f>IF(E41="", "", IF(G41="BP", E41, F39))</f>
      </c>
      <c r="G41" s="61" t="str">
        <v>BP</v>
      </c>
      <c r="H41" s="61" t="str">
        <v>Straight</v>
      </c>
      <c r="I41" s="61" t="str">
        <v>F</v>
      </c>
      <c r="J41" s="61" t="str">
        <v>Borderless</v>
      </c>
      <c r="K41" s="61"/>
      <c r="L41" s="61"/>
      <c r="M41" s="61"/>
      <c r="N41" s="87"/>
      <c r="O41" s="87"/>
      <c r="P41" s="87"/>
      <c r="Q41" s="87" t="str">
        <v>✅</v>
      </c>
      <c r="R41" s="61" t="str">
        <v>Straight_F_Borderless_X1_Y1_Z1</v>
      </c>
      <c r="S41" s="62" t="str">
        <v>/Script/Engine.BlueprintGeneratedClass'/Game/Item/Rail/Straight/F/Borderless/Straight_F_Borderless_X1_Y1_Z1/BP_Straight_F_Borderless_X1_Y1_Z1_Rail.BP_Straight_F_Borderless_X1_Y1_Z1_Rail_C'</v>
      </c>
      <c r="T41" s="144">
        <v>2</v>
      </c>
      <c r="U41" s="145">
        <v>1</v>
      </c>
      <c r="V41" s="145">
        <v>1</v>
      </c>
      <c r="W41" s="145">
        <v>1</v>
      </c>
      <c r="X41" s="71"/>
      <c r="Y41" s="71">
        <f>IF(AND(Q41="✅", OR(ISNUMBER(FIND("F",I41)), I41="CR")),   "X="&amp;U41*16&amp;",Y="&amp;(V41-1)*16&amp;",Z="&amp;IF(I41="FD", -(W41-1)*16, (W41-1)*16),   "")</f>
      </c>
      <c r="Z41" s="71">
        <f>IF(AND(Q41="✅", OR(ISNUMBER(FIND("F",I41)), I41="CR")), "P=0,Y=0,R=0", "")</f>
      </c>
      <c r="AA41" s="71">
        <v>1</v>
      </c>
      <c r="AB41" s="71">
        <v>1.5</v>
      </c>
      <c r="AC41" s="71">
        <v>2</v>
      </c>
      <c r="AD41" s="71">
        <v>1.5</v>
      </c>
      <c r="AE41" s="71" t="str">
        <v>X=1,Y=1.5,Z=2,W=1.5</v>
      </c>
      <c r="AF41" s="71"/>
      <c r="AG41" s="71" t="str"/>
      <c r="AH41" s="71" t="str"/>
      <c r="AI41" s="71" t="str"/>
      <c r="AJ41" s="71" t="str"/>
      <c r="AK41" s="71" t="str"/>
      <c r="AL41" s="71" t="str"/>
      <c r="AM41" s="71" t="str"/>
      <c r="AN41" s="71"/>
      <c r="AO41" s="71" t="str"/>
      <c r="AP41" s="71" t="str"/>
      <c r="AQ41" s="71" t="str"/>
      <c r="AR41" s="71" t="str"/>
      <c r="AS41" s="71" t="str"/>
      <c r="AT41" s="71" t="str"/>
      <c r="AU41" s="71" t="str"/>
      <c r="AV41" s="71"/>
      <c r="AW41" s="71">
        <f>IF(AND(Q41="✅", I41="U90"), "X="&amp;(U41-1)*16&amp;",Y="&amp;(V41-1)*16&amp;",Z="&amp;W41*16, "")</f>
      </c>
      <c r="AX41" s="71">
        <f>IF(AND(Q41="✅", I41="U90"), "P=90,Y=0,R=0", "")</f>
      </c>
      <c r="AY41" s="71" t="str"/>
      <c r="AZ41" s="71" t="str"/>
      <c r="BA41" s="71" t="str"/>
      <c r="BB41" s="71" t="str"/>
      <c r="BC41" s="71" t="str"/>
      <c r="BD41" s="71"/>
      <c r="BE41" s="71">
        <f>IF(AND(Q41="✅", I41="D90"), "X="&amp;(U41-1)*16&amp;",Y="&amp;(V41-1)*16&amp;",Z="&amp;(W41-2)*16, "")</f>
      </c>
      <c r="BF41" s="71">
        <f>IF(AND(Q41="✅", I41="D90"), "P=-90,Y=0,R=0", "")</f>
      </c>
      <c r="BG41" s="71" t="str"/>
      <c r="BH41" s="71" t="str"/>
      <c r="BI41" s="71" t="str"/>
      <c r="BJ41" s="71" t="str"/>
      <c r="BK41" s="71" t="str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</row>
    <row customHeight="true" hidden="true" ht="19" outlineLevel="3" r="42">
      <c r="A42" s="146" t="str" xml:space="preserve">
        <v> </v>
      </c>
      <c r="B42" s="146" t="str" xml:space="preserve">
        <v> </v>
      </c>
      <c r="C42" s="143" t="str" xml:space="preserve">
        <v> </v>
      </c>
      <c r="D42" s="143" t="str" xml:space="preserve">
        <v> </v>
      </c>
      <c r="E42" s="60">
        <f>E25</f>
      </c>
      <c r="F42" s="62">
        <f>IF(E42="", "", IF(G42="BP", E42, F41))</f>
      </c>
      <c r="G42" s="61"/>
      <c r="H42" s="61"/>
      <c r="I42" s="61"/>
      <c r="J42" s="61"/>
      <c r="K42" s="61"/>
      <c r="L42" s="61"/>
      <c r="M42" s="61" t="str">
        <v>B</v>
      </c>
      <c r="N42" s="87"/>
      <c r="O42" s="87"/>
      <c r="P42" s="59" t="str">
        <v>✅</v>
      </c>
      <c r="Q42" s="87"/>
      <c r="R42" s="61" t="str">
        <v>Straight_F_X1_Y1_Z1</v>
      </c>
      <c r="S42" s="62" t="str">
        <v>/Script/Engine.StaticMesh'/Game/Item/Rail/Straight/F/Normal/Straight_F_X1_Y1_Z1/Proxy/SM_Straight_F_X1_Y1_Z1_Proxy_B.SM_Straight_F_X1_Y1_Z1_Proxy_B'</v>
      </c>
      <c r="T42" s="144" t="str"/>
      <c r="U42" s="145"/>
      <c r="V42" s="145"/>
      <c r="W42" s="145"/>
      <c r="X42" s="71"/>
      <c r="Y42" s="71">
        <f>IF(AND(Q42="✅", OR(ISNUMBER(FIND("F",I42)), I42="CR")),   "X="&amp;U42*16&amp;",Y="&amp;(V42-1)*16&amp;",Z="&amp;IF(I42="FD", -(W42-1)*16, (W42-1)*16),   "")</f>
      </c>
      <c r="Z42" s="71">
        <f>IF(AND(Q42="✅", OR(ISNUMBER(FIND("F",I42)), I42="CR")), "P=0,Y=0,R=0", "")</f>
      </c>
      <c r="AA42" s="71" t="str"/>
      <c r="AB42" s="71" t="str"/>
      <c r="AC42" s="71" t="str"/>
      <c r="AD42" s="71" t="str"/>
      <c r="AE42" s="71" t="str"/>
      <c r="AF42" s="71"/>
      <c r="AG42" s="71" t="str"/>
      <c r="AH42" s="71" t="str"/>
      <c r="AI42" s="71" t="str"/>
      <c r="AJ42" s="71" t="str"/>
      <c r="AK42" s="71" t="str"/>
      <c r="AL42" s="71" t="str"/>
      <c r="AM42" s="71" t="str"/>
      <c r="AN42" s="71"/>
      <c r="AO42" s="71" t="str"/>
      <c r="AP42" s="71" t="str"/>
      <c r="AQ42" s="71" t="str"/>
      <c r="AR42" s="71" t="str"/>
      <c r="AS42" s="71" t="str"/>
      <c r="AT42" s="71" t="str"/>
      <c r="AU42" s="71" t="str"/>
      <c r="AV42" s="71"/>
      <c r="AW42" s="71">
        <f>IF(AND(Q42="✅", I42="U90"), "X="&amp;(U42-1)*16&amp;",Y="&amp;(V42-1)*16&amp;",Z="&amp;W42*16, "")</f>
      </c>
      <c r="AX42" s="71">
        <f>IF(AND(Q42="✅", I42="U90"), "P=90,Y=0,R=0", "")</f>
      </c>
      <c r="AY42" s="71" t="str"/>
      <c r="AZ42" s="71" t="str"/>
      <c r="BA42" s="71" t="str"/>
      <c r="BB42" s="71" t="str"/>
      <c r="BC42" s="71" t="str"/>
      <c r="BD42" s="71"/>
      <c r="BE42" s="71">
        <f>IF(AND(Q42="✅", I42="D90"), "X="&amp;(U42-1)*16&amp;",Y="&amp;(V42-1)*16&amp;",Z="&amp;(W42-2)*16, "")</f>
      </c>
      <c r="BF42" s="71">
        <f>IF(AND(Q42="✅", I42="D90"), "P=-90,Y=0,R=0", "")</f>
      </c>
      <c r="BG42" s="71" t="str"/>
      <c r="BH42" s="71" t="str"/>
      <c r="BI42" s="71" t="str"/>
      <c r="BJ42" s="71" t="str"/>
      <c r="BK42" s="71" t="str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</row>
    <row collapsed="true" customHeight="true" ht="19" outlineLevel="2" r="43">
      <c r="A43" s="11"/>
      <c r="B43" s="11"/>
      <c r="C43" s="119" t="str">
        <v>Borderless_HoleInRail</v>
      </c>
      <c r="D43" s="119"/>
      <c r="E43" s="5"/>
      <c r="F43" s="9"/>
      <c r="G43" s="1"/>
      <c r="H43" s="1"/>
      <c r="I43" s="1"/>
      <c r="J43" s="1"/>
      <c r="K43" s="1"/>
      <c r="L43" s="1"/>
      <c r="M43" s="1"/>
      <c r="N43" s="3"/>
      <c r="O43" s="3" t="str">
        <v>⭕</v>
      </c>
      <c r="P43" s="3"/>
      <c r="Q43" s="3"/>
      <c r="R43" s="1" t="str"/>
      <c r="S43" s="9" t="str"/>
      <c r="T43" s="120" t="str"/>
      <c r="U43" s="118"/>
      <c r="V43" s="118"/>
      <c r="W43" s="118"/>
      <c r="X43" s="4"/>
      <c r="Y43" s="4">
        <f>IF(AND(Q43="✅", OR(ISNUMBER(FIND("F",I43)), I43="CR")),   "X="&amp;U43*16&amp;",Y="&amp;(V43-1)*16&amp;",Z="&amp;IF(I43="FD", -(W43-1)*16, (W43-1)*16),   "")</f>
      </c>
      <c r="Z43" s="4">
        <f>IF(AND(Q43="✅", OR(ISNUMBER(FIND("F",I43)), I43="CR")), "P=0,Y=0,R=0", "")</f>
      </c>
      <c r="AA43" s="4" t="str"/>
      <c r="AB43" s="4" t="str"/>
      <c r="AC43" s="4" t="str"/>
      <c r="AD43" s="4" t="str"/>
      <c r="AE43" s="4" t="str"/>
      <c r="AF43" s="4"/>
      <c r="AG43" s="4" t="str"/>
      <c r="AH43" s="4" t="str"/>
      <c r="AI43" s="4" t="str"/>
      <c r="AJ43" s="4" t="str"/>
      <c r="AK43" s="4" t="str"/>
      <c r="AL43" s="4" t="str"/>
      <c r="AM43" s="4" t="str"/>
      <c r="AN43" s="4"/>
      <c r="AO43" s="4" t="str"/>
      <c r="AP43" s="4" t="str"/>
      <c r="AQ43" s="4" t="str"/>
      <c r="AR43" s="4" t="str"/>
      <c r="AS43" s="4" t="str"/>
      <c r="AT43" s="4" t="str"/>
      <c r="AU43" s="4" t="str"/>
      <c r="AV43" s="4"/>
      <c r="AW43" s="4">
        <f>IF(AND(Q43="✅", I43="U90"), "X="&amp;(U43-1)*16&amp;",Y="&amp;(V43-1)*16&amp;",Z="&amp;W43*16, "")</f>
      </c>
      <c r="AX43" s="4">
        <f>IF(AND(Q43="✅", I43="U90"), "P=90,Y=0,R=0", "")</f>
      </c>
      <c r="AY43" s="4" t="str"/>
      <c r="AZ43" s="4" t="str"/>
      <c r="BA43" s="4" t="str"/>
      <c r="BB43" s="4" t="str"/>
      <c r="BC43" s="4" t="str"/>
      <c r="BD43" s="4"/>
      <c r="BE43" s="4">
        <f>IF(AND(Q43="✅", I43="D90"), "X="&amp;(U43-1)*16&amp;",Y="&amp;(V43-1)*16&amp;",Z="&amp;(W43-2)*16, "")</f>
      </c>
      <c r="BF43" s="4">
        <f>IF(AND(Q43="✅", I43="D90"), "P=-90,Y=0,R=0", "")</f>
      </c>
      <c r="BG43" s="4" t="str"/>
      <c r="BH43" s="4" t="str"/>
      <c r="BI43" s="4" t="str"/>
      <c r="BJ43" s="4" t="str"/>
      <c r="BK43" s="4" t="str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</row>
    <row customHeight="true" hidden="true" ht="19" outlineLevel="3" r="44">
      <c r="A44" s="11"/>
      <c r="B44" s="11"/>
      <c r="C44" s="119"/>
      <c r="D44" s="119">
        <v>1</v>
      </c>
      <c r="E44" s="5"/>
      <c r="F44" s="9"/>
      <c r="G44" s="1"/>
      <c r="H44" s="1"/>
      <c r="I44" s="1"/>
      <c r="J44" s="1"/>
      <c r="K44" s="1"/>
      <c r="L44" s="1"/>
      <c r="M44" s="1"/>
      <c r="N44" s="3"/>
      <c r="O44" s="3"/>
      <c r="P44" s="3"/>
      <c r="Q44" s="3"/>
      <c r="R44" s="1" t="str"/>
      <c r="S44" s="9" t="str"/>
      <c r="T44" s="120" t="str"/>
      <c r="U44" s="118"/>
      <c r="V44" s="118"/>
      <c r="W44" s="118"/>
      <c r="X44" s="4"/>
      <c r="Y44" s="4"/>
      <c r="Z44" s="4"/>
      <c r="AA44" s="4" t="str"/>
      <c r="AB44" s="4" t="str"/>
      <c r="AC44" s="4" t="str"/>
      <c r="AD44" s="4" t="str"/>
      <c r="AE44" s="4" t="str"/>
      <c r="AF44" s="4"/>
      <c r="AG44" s="4" t="str"/>
      <c r="AH44" s="4" t="str"/>
      <c r="AI44" s="4" t="str"/>
      <c r="AJ44" s="4" t="str"/>
      <c r="AK44" s="4" t="str"/>
      <c r="AL44" s="4" t="str"/>
      <c r="AM44" s="4" t="str"/>
      <c r="AN44" s="4"/>
      <c r="AO44" s="4" t="str"/>
      <c r="AP44" s="4" t="str"/>
      <c r="AQ44" s="4" t="str"/>
      <c r="AR44" s="4" t="str"/>
      <c r="AS44" s="4" t="str"/>
      <c r="AT44" s="4" t="str"/>
      <c r="AU44" s="4" t="str"/>
      <c r="AV44" s="4"/>
      <c r="AW44" s="4"/>
      <c r="AX44" s="4"/>
      <c r="AY44" s="4" t="str"/>
      <c r="AZ44" s="4" t="str"/>
      <c r="BA44" s="4" t="str"/>
      <c r="BB44" s="4" t="str"/>
      <c r="BC44" s="4" t="str"/>
      <c r="BD44" s="4"/>
      <c r="BE44" s="4"/>
      <c r="BF44" s="4"/>
      <c r="BG44" s="4" t="str"/>
      <c r="BH44" s="4" t="str"/>
      <c r="BI44" s="4" t="str"/>
      <c r="BJ44" s="4" t="str"/>
      <c r="BK44" s="4" t="str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</row>
    <row customHeight="true" hidden="true" ht="19" outlineLevel="3" r="45">
      <c r="A45" s="127" t="str" xml:space="preserve">
        <v> </v>
      </c>
      <c r="B45" s="127" t="str" xml:space="preserve">
        <v> </v>
      </c>
      <c r="C45" s="125" t="str" xml:space="preserve">
        <v> </v>
      </c>
      <c r="D45" s="125" t="str" xml:space="preserve">
        <v> </v>
      </c>
      <c r="E45" s="42">
        <f>G45 &amp; "_" &amp; H45 &amp; IF(I45&lt;&gt;"", "_" &amp; I45, "") &amp; IF(J45&lt;&gt;"", "_" &amp; J45, "") &amp; IF(K45&lt;&gt;"", "_" &amp; K45, "") &amp;"_X"&amp;U45&amp;"_Y"&amp;V45&amp;"_Z"&amp;W45 &amp; IF(G45="SM", "_Proxy" , "_Rail") &amp; IF(M45&lt;&gt;"", "_" &amp; M45, "")</f>
      </c>
      <c r="F45" s="47">
        <f>IF(E45="", "", IF(G45="BP", E45, F42))</f>
      </c>
      <c r="G45" s="43" t="str">
        <v>BP</v>
      </c>
      <c r="H45" s="43" t="str">
        <v>Straight</v>
      </c>
      <c r="I45" s="43" t="str">
        <v>F</v>
      </c>
      <c r="J45" s="43" t="str">
        <v>Borderless</v>
      </c>
      <c r="K45" s="43" t="str">
        <v>HoleInRail</v>
      </c>
      <c r="L45" s="43"/>
      <c r="M45" s="43"/>
      <c r="N45" s="77"/>
      <c r="O45" s="77"/>
      <c r="P45" s="77"/>
      <c r="Q45" s="77" t="str">
        <v>⭕</v>
      </c>
      <c r="R45" s="43" t="str"/>
      <c r="S45" s="47" t="str"/>
      <c r="T45" s="126">
        <v>4</v>
      </c>
      <c r="U45" s="128">
        <v>1</v>
      </c>
      <c r="V45" s="128">
        <v>1</v>
      </c>
      <c r="W45" s="128">
        <v>1</v>
      </c>
      <c r="X45" s="48"/>
      <c r="Y45" s="48">
        <f>IF(AND(Q45="✅", OR(ISNUMBER(FIND("F",I45)), I45="CR")),   "X="&amp;U45*16&amp;",Y="&amp;(V45-1)*16&amp;",Z="&amp;IF(I45="FD", -(W45-1)*16, (W45-1)*16),   "")</f>
      </c>
      <c r="Z45" s="48">
        <f>IF(AND(Q45="✅", OR(ISNUMBER(FIND("F",I45)), I45="CR")), "P=0,Y=0,R=0", "")</f>
      </c>
      <c r="AA45" s="48" t="str"/>
      <c r="AB45" s="48" t="str"/>
      <c r="AC45" s="48" t="str"/>
      <c r="AD45" s="48" t="str"/>
      <c r="AE45" s="48" t="str"/>
      <c r="AF45" s="48"/>
      <c r="AG45" s="48" t="str"/>
      <c r="AH45" s="48" t="str"/>
      <c r="AI45" s="48" t="str"/>
      <c r="AJ45" s="48" t="str"/>
      <c r="AK45" s="48" t="str"/>
      <c r="AL45" s="48" t="str"/>
      <c r="AM45" s="48" t="str"/>
      <c r="AN45" s="48"/>
      <c r="AO45" s="48" t="str"/>
      <c r="AP45" s="48" t="str"/>
      <c r="AQ45" s="48" t="str"/>
      <c r="AR45" s="48" t="str"/>
      <c r="AS45" s="48" t="str"/>
      <c r="AT45" s="48" t="str"/>
      <c r="AU45" s="48" t="str"/>
      <c r="AV45" s="48"/>
      <c r="AW45" s="48">
        <f>IF(AND(Q45="✅", I45="U90"), "X="&amp;(U45-1)*16&amp;",Y="&amp;(V45-1)*16&amp;",Z="&amp;W45*16, "")</f>
      </c>
      <c r="AX45" s="48">
        <f>IF(AND(Q45="✅", I45="U90"), "P=90,Y=0,R=0", "")</f>
      </c>
      <c r="AY45" s="48" t="str"/>
      <c r="AZ45" s="48" t="str"/>
      <c r="BA45" s="48" t="str"/>
      <c r="BB45" s="48" t="str"/>
      <c r="BC45" s="48" t="str"/>
      <c r="BD45" s="48"/>
      <c r="BE45" s="48">
        <f>IF(AND(Q45="✅", I45="D90"), "X="&amp;(U45-1)*16&amp;",Y="&amp;(V45-1)*16&amp;",Z="&amp;(W45-2)*16, "")</f>
      </c>
      <c r="BF45" s="48">
        <f>IF(AND(Q45="✅", I45="D90"), "P=-90,Y=0,R=0", "")</f>
      </c>
      <c r="BG45" s="48" t="str"/>
      <c r="BH45" s="48" t="str"/>
      <c r="BI45" s="48" t="str"/>
      <c r="BJ45" s="48" t="str"/>
      <c r="BK45" s="48" t="str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</row>
    <row customHeight="true" hidden="true" ht="19" outlineLevel="3" r="46">
      <c r="A46" s="127" t="str" xml:space="preserve">
        <v> </v>
      </c>
      <c r="B46" s="127" t="str" xml:space="preserve">
        <v> </v>
      </c>
      <c r="C46" s="125" t="str" xml:space="preserve">
        <v> </v>
      </c>
      <c r="D46" s="125" t="str" xml:space="preserve">
        <v> </v>
      </c>
      <c r="E46" s="47">
        <f>E36</f>
      </c>
      <c r="F46" s="47">
        <f>IF(E46="", "", IF(G46="BP", E46, F45))</f>
      </c>
      <c r="G46" s="48"/>
      <c r="H46" s="48"/>
      <c r="I46" s="48"/>
      <c r="J46" s="43"/>
      <c r="K46" s="48"/>
      <c r="L46" s="48"/>
      <c r="M46" s="48" t="str">
        <v>B</v>
      </c>
      <c r="N46" s="77"/>
      <c r="O46" s="77"/>
      <c r="P46" s="46" t="str">
        <v>⭕</v>
      </c>
      <c r="Q46" s="77"/>
      <c r="R46" s="43" t="str"/>
      <c r="S46" s="47" t="str"/>
      <c r="T46" s="126" t="str"/>
      <c r="U46" s="128">
        <v>1</v>
      </c>
      <c r="V46" s="128">
        <v>1</v>
      </c>
      <c r="W46" s="128">
        <v>1</v>
      </c>
      <c r="X46" s="48"/>
      <c r="Y46" s="48">
        <f>IF(AND(Q46="✅", OR(ISNUMBER(FIND("F",I46)), I46="CR")),   "X="&amp;U46*16&amp;",Y="&amp;(V46-1)*16&amp;",Z="&amp;IF(I46="FD", -(W46-1)*16, (W46-1)*16),   "")</f>
      </c>
      <c r="Z46" s="48">
        <f>IF(AND(Q46="✅", OR(ISNUMBER(FIND("F",I46)), I46="CR")), "P=0,Y=0,R=0", "")</f>
      </c>
      <c r="AA46" s="48" t="str"/>
      <c r="AB46" s="48" t="str"/>
      <c r="AC46" s="48" t="str"/>
      <c r="AD46" s="48" t="str"/>
      <c r="AE46" s="48" t="str"/>
      <c r="AF46" s="48"/>
      <c r="AG46" s="48" t="str"/>
      <c r="AH46" s="48" t="str"/>
      <c r="AI46" s="48" t="str"/>
      <c r="AJ46" s="48" t="str"/>
      <c r="AK46" s="48" t="str"/>
      <c r="AL46" s="48" t="str"/>
      <c r="AM46" s="48" t="str"/>
      <c r="AN46" s="48"/>
      <c r="AO46" s="48" t="str"/>
      <c r="AP46" s="48" t="str"/>
      <c r="AQ46" s="48" t="str"/>
      <c r="AR46" s="48" t="str"/>
      <c r="AS46" s="48" t="str"/>
      <c r="AT46" s="48" t="str"/>
      <c r="AU46" s="48" t="str"/>
      <c r="AV46" s="48"/>
      <c r="AW46" s="48">
        <f>IF(AND(Q46="✅", I46="U90"), "X="&amp;(U46-1)*16&amp;",Y="&amp;(V46-1)*16&amp;",Z="&amp;W46*16, "")</f>
      </c>
      <c r="AX46" s="48">
        <f>IF(AND(Q46="✅", I46="U90"), "P=90,Y=0,R=0", "")</f>
      </c>
      <c r="AY46" s="48" t="str"/>
      <c r="AZ46" s="48" t="str"/>
      <c r="BA46" s="48" t="str"/>
      <c r="BB46" s="48" t="str"/>
      <c r="BC46" s="48" t="str"/>
      <c r="BD46" s="48"/>
      <c r="BE46" s="48">
        <f>IF(AND(Q46="✅", I46="D90"), "X="&amp;(U46-1)*16&amp;",Y="&amp;(V46-1)*16&amp;",Z="&amp;(W46-2)*16, "")</f>
      </c>
      <c r="BF46" s="48">
        <f>IF(AND(Q46="✅", I46="D90"), "P=-90,Y=0,R=0", "")</f>
      </c>
      <c r="BG46" s="48" t="str"/>
      <c r="BH46" s="48" t="str"/>
      <c r="BI46" s="48" t="str"/>
      <c r="BJ46" s="48" t="str"/>
      <c r="BK46" s="48" t="str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</row>
    <row collapsed="true" customHeight="true" ht="19" outlineLevel="2" r="47">
      <c r="A47" s="11"/>
      <c r="B47" s="11"/>
      <c r="C47" s="119" t="str">
        <v>Borderless_Caved</v>
      </c>
      <c r="D47" s="119"/>
      <c r="E47" s="5"/>
      <c r="F47" s="9">
        <f>IF(E47="", "", IF(G47="BP", E47, F42))</f>
      </c>
      <c r="G47" s="1"/>
      <c r="H47" s="1"/>
      <c r="I47" s="1"/>
      <c r="J47" s="1"/>
      <c r="K47" s="1"/>
      <c r="L47" s="1"/>
      <c r="M47" s="1"/>
      <c r="N47" s="3"/>
      <c r="O47" s="3" t="str">
        <v>✅</v>
      </c>
      <c r="P47" s="3"/>
      <c r="Q47" s="3"/>
      <c r="R47" s="1" t="str"/>
      <c r="S47" s="9" t="str"/>
      <c r="T47" s="120" t="str"/>
      <c r="U47" s="118"/>
      <c r="V47" s="118"/>
      <c r="W47" s="118"/>
      <c r="X47" s="4"/>
      <c r="Y47" s="4">
        <f>IF(AND(Q47="✅", OR(ISNUMBER(FIND("F",I47)), I47="CR")),   "X="&amp;U47*16&amp;",Y="&amp;(V47-1)*16&amp;",Z="&amp;IF(I47="FD", -(W47-1)*16, (W47-1)*16),   "")</f>
      </c>
      <c r="Z47" s="4">
        <f>IF(AND(Q47="✅", OR(ISNUMBER(FIND("F",I47)), I47="CR")), "P=0,Y=0,R=0", "")</f>
      </c>
      <c r="AA47" s="4" t="str"/>
      <c r="AB47" s="4" t="str"/>
      <c r="AC47" s="4" t="str"/>
      <c r="AD47" s="4" t="str"/>
      <c r="AE47" s="4" t="str"/>
      <c r="AF47" s="4"/>
      <c r="AG47" s="4" t="str"/>
      <c r="AH47" s="4" t="str"/>
      <c r="AI47" s="4" t="str"/>
      <c r="AJ47" s="4" t="str"/>
      <c r="AK47" s="4" t="str"/>
      <c r="AL47" s="4" t="str"/>
      <c r="AM47" s="4" t="str"/>
      <c r="AN47" s="4"/>
      <c r="AO47" s="4" t="str"/>
      <c r="AP47" s="4" t="str"/>
      <c r="AQ47" s="4" t="str"/>
      <c r="AR47" s="4" t="str"/>
      <c r="AS47" s="4" t="str"/>
      <c r="AT47" s="4" t="str"/>
      <c r="AU47" s="4" t="str"/>
      <c r="AV47" s="4"/>
      <c r="AW47" s="4">
        <f>IF(AND(Q47="✅", I47="U90"), "X="&amp;(U47-1)*16&amp;",Y="&amp;(V47-1)*16&amp;",Z="&amp;W47*16, "")</f>
      </c>
      <c r="AX47" s="4">
        <f>IF(AND(Q47="✅", I47="U90"), "P=90,Y=0,R=0", "")</f>
      </c>
      <c r="AY47" s="4" t="str"/>
      <c r="AZ47" s="4" t="str"/>
      <c r="BA47" s="4" t="str"/>
      <c r="BB47" s="4" t="str"/>
      <c r="BC47" s="4" t="str"/>
      <c r="BD47" s="4"/>
      <c r="BE47" s="4">
        <f>IF(AND(Q47="✅", I47="D90"), "X="&amp;(U47-1)*16&amp;",Y="&amp;(V47-1)*16&amp;",Z="&amp;(W47-2)*16, "")</f>
      </c>
      <c r="BF47" s="4">
        <f>IF(AND(Q47="✅", I47="D90"), "P=-90,Y=0,R=0", "")</f>
      </c>
      <c r="BG47" s="4" t="str"/>
      <c r="BH47" s="4" t="str"/>
      <c r="BI47" s="4" t="str"/>
      <c r="BJ47" s="4" t="str"/>
      <c r="BK47" s="4" t="str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</row>
    <row customHeight="true" hidden="true" ht="19" outlineLevel="3" r="48">
      <c r="A48" s="11"/>
      <c r="B48" s="11"/>
      <c r="C48" s="119"/>
      <c r="D48" s="119">
        <v>1</v>
      </c>
      <c r="E48" s="5"/>
      <c r="F48" s="9"/>
      <c r="G48" s="1"/>
      <c r="H48" s="1"/>
      <c r="I48" s="1"/>
      <c r="J48" s="1"/>
      <c r="K48" s="1"/>
      <c r="L48" s="1"/>
      <c r="M48" s="1"/>
      <c r="N48" s="3"/>
      <c r="O48" s="3"/>
      <c r="P48" s="3"/>
      <c r="Q48" s="3"/>
      <c r="R48" s="1" t="str"/>
      <c r="S48" s="9" t="str"/>
      <c r="T48" s="120" t="str"/>
      <c r="U48" s="118"/>
      <c r="V48" s="118"/>
      <c r="W48" s="118"/>
      <c r="X48" s="4"/>
      <c r="Y48" s="4">
        <f>IF(AND(Q48="✅", OR(ISNUMBER(FIND("F",I48)), I48="CR")),   "X="&amp;U48*16&amp;",Y="&amp;(V48-1)*16&amp;",Z="&amp;IF(I48="FD", -(W48-1)*16, (W48-1)*16),   "")</f>
      </c>
      <c r="Z48" s="4">
        <f>IF(AND(Q48="✅", OR(ISNUMBER(FIND("F",I48)), I48="CR")), "P=0,Y=0,R=0", "")</f>
      </c>
      <c r="AA48" s="4" t="str"/>
      <c r="AB48" s="4" t="str"/>
      <c r="AC48" s="4" t="str"/>
      <c r="AD48" s="4" t="str"/>
      <c r="AE48" s="4" t="str"/>
      <c r="AF48" s="4"/>
      <c r="AG48" s="4" t="str"/>
      <c r="AH48" s="4" t="str"/>
      <c r="AI48" s="4" t="str"/>
      <c r="AJ48" s="4" t="str"/>
      <c r="AK48" s="4" t="str"/>
      <c r="AL48" s="4" t="str"/>
      <c r="AM48" s="4" t="str"/>
      <c r="AN48" s="4"/>
      <c r="AO48" s="4" t="str"/>
      <c r="AP48" s="4" t="str"/>
      <c r="AQ48" s="4" t="str"/>
      <c r="AR48" s="4" t="str"/>
      <c r="AS48" s="4" t="str"/>
      <c r="AT48" s="4" t="str"/>
      <c r="AU48" s="4" t="str"/>
      <c r="AV48" s="4"/>
      <c r="AW48" s="4">
        <f>IF(AND(Q48="✅", I48="U90"), "X="&amp;(U48-1)*16&amp;",Y="&amp;(V48-1)*16&amp;",Z="&amp;W48*16, "")</f>
      </c>
      <c r="AX48" s="4">
        <f>IF(AND(Q48="✅", I48="U90"), "P=90,Y=0,R=0", "")</f>
      </c>
      <c r="AY48" s="4" t="str"/>
      <c r="AZ48" s="4" t="str"/>
      <c r="BA48" s="4" t="str"/>
      <c r="BB48" s="4" t="str"/>
      <c r="BC48" s="4" t="str"/>
      <c r="BD48" s="4"/>
      <c r="BE48" s="4">
        <f>IF(AND(Q48="✅", I48="D90"), "X="&amp;(U48-1)*16&amp;",Y="&amp;(V48-1)*16&amp;",Z="&amp;(W48-2)*16, "")</f>
      </c>
      <c r="BF48" s="4">
        <f>IF(AND(Q48="✅", I48="D90"), "P=-90,Y=0,R=0", "")</f>
      </c>
      <c r="BG48" s="4" t="str"/>
      <c r="BH48" s="4" t="str"/>
      <c r="BI48" s="4" t="str"/>
      <c r="BJ48" s="4" t="str"/>
      <c r="BK48" s="4" t="str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</row>
    <row customHeight="true" hidden="true" ht="19" outlineLevel="3" r="49">
      <c r="A49" s="127" t="str" xml:space="preserve">
        <v> </v>
      </c>
      <c r="B49" s="127" t="str" xml:space="preserve">
        <v> </v>
      </c>
      <c r="C49" s="125" t="str" xml:space="preserve">
        <v> </v>
      </c>
      <c r="D49" s="125" t="str" xml:space="preserve">
        <v> </v>
      </c>
      <c r="E49" s="42">
        <f>G49 &amp; "_" &amp; H49 &amp; IF(I49&lt;&gt;"", "_" &amp; I49, "") &amp; IF(J49&lt;&gt;"", "_" &amp; J49, "") &amp; IF(K49&lt;&gt;"", "_" &amp; K49, "") &amp;"_X"&amp;U49&amp;"_Y"&amp;V49&amp;"_Z"&amp;W49 &amp; IF(G49="SM", "_Proxy" , "_Rail") &amp; IF(M49&lt;&gt;"", "_" &amp; M49, "")</f>
      </c>
      <c r="F49" s="47">
        <f>IF(E49="", "", IF(G49="BP", E49, F47))</f>
      </c>
      <c r="G49" s="43" t="str">
        <v>BP</v>
      </c>
      <c r="H49" s="43" t="str">
        <v>Straight</v>
      </c>
      <c r="I49" s="43" t="str">
        <v>F</v>
      </c>
      <c r="J49" s="43" t="str">
        <v>Borderless</v>
      </c>
      <c r="K49" s="43" t="str">
        <v>Caved</v>
      </c>
      <c r="L49" s="43"/>
      <c r="M49" s="43"/>
      <c r="N49" s="77"/>
      <c r="O49" s="77"/>
      <c r="P49" s="77"/>
      <c r="Q49" s="77" t="str">
        <v>✅</v>
      </c>
      <c r="R49" s="43" t="str">
        <v>Straight_F_Borderless_Caved_X1_Y1_Z1</v>
      </c>
      <c r="S49" s="47" t="str">
        <v>/Script/Engine.BlueprintGeneratedClass'/Game/Item/Rail/Straight/F/Borderless_Caved/Straight_F_Borderless_Caved_X1_Y1_Z1/BP_Straight_F_Borderless_Caved_X1_Y1_Z1_Rail.BP_Straight_F_Borderless_Caved_X1_Y1_Z1_Rail_C'</v>
      </c>
      <c r="T49" s="126">
        <v>1</v>
      </c>
      <c r="U49" s="128">
        <v>1</v>
      </c>
      <c r="V49" s="128">
        <v>1</v>
      </c>
      <c r="W49" s="128">
        <v>1</v>
      </c>
      <c r="X49" s="48"/>
      <c r="Y49" s="48">
        <f>IF(AND(Q49="✅", OR(ISNUMBER(FIND("F",I49)), I49="CR")),   "X="&amp;U49*16&amp;",Y="&amp;(V49-1)*16&amp;",Z="&amp;IF(I49="FD", -(W49-1)*16, (W49-1)*16),   "")</f>
      </c>
      <c r="Z49" s="48">
        <f>IF(AND(Q49="✅", OR(ISNUMBER(FIND("F",I49)), I49="CR")), "P=0,Y=0,R=0", "")</f>
      </c>
      <c r="AA49" s="48">
        <v>1</v>
      </c>
      <c r="AB49" s="48">
        <v>2</v>
      </c>
      <c r="AC49" s="48">
        <v>2.5</v>
      </c>
      <c r="AD49" s="48">
        <v>2</v>
      </c>
      <c r="AE49" s="48" t="str">
        <v>X=1,Y=2,Z=2.5,W=2</v>
      </c>
      <c r="AF49" s="48"/>
      <c r="AG49" s="48" t="str"/>
      <c r="AH49" s="48" t="str"/>
      <c r="AI49" s="48" t="str"/>
      <c r="AJ49" s="48" t="str"/>
      <c r="AK49" s="48" t="str"/>
      <c r="AL49" s="48" t="str"/>
      <c r="AM49" s="48" t="str"/>
      <c r="AN49" s="48"/>
      <c r="AO49" s="48" t="str"/>
      <c r="AP49" s="48" t="str"/>
      <c r="AQ49" s="48" t="str"/>
      <c r="AR49" s="48" t="str"/>
      <c r="AS49" s="48" t="str"/>
      <c r="AT49" s="48" t="str"/>
      <c r="AU49" s="48" t="str"/>
      <c r="AV49" s="48"/>
      <c r="AW49" s="48">
        <f>IF(AND(Q49="✅", I49="U90"), "X="&amp;(U49-1)*16&amp;",Y="&amp;(V49-1)*16&amp;",Z="&amp;W49*16, "")</f>
      </c>
      <c r="AX49" s="48">
        <f>IF(AND(Q49="✅", I49="U90"), "P=90,Y=0,R=0", "")</f>
      </c>
      <c r="AY49" s="48" t="str"/>
      <c r="AZ49" s="48" t="str"/>
      <c r="BA49" s="48" t="str"/>
      <c r="BB49" s="48" t="str"/>
      <c r="BC49" s="48" t="str"/>
      <c r="BD49" s="48"/>
      <c r="BE49" s="48">
        <f>IF(AND(Q49="✅", I49="D90"), "X="&amp;(U49-1)*16&amp;",Y="&amp;(V49-1)*16&amp;",Z="&amp;(W49-2)*16, "")</f>
      </c>
      <c r="BF49" s="48">
        <f>IF(AND(Q49="✅", I49="D90"), "P=-90,Y=0,R=0", "")</f>
      </c>
      <c r="BG49" s="48" t="str"/>
      <c r="BH49" s="48" t="str"/>
      <c r="BI49" s="48" t="str"/>
      <c r="BJ49" s="48" t="str"/>
      <c r="BK49" s="48" t="str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</row>
    <row customHeight="true" hidden="true" ht="19" outlineLevel="3" r="50">
      <c r="A50" s="127" t="str" xml:space="preserve">
        <v> </v>
      </c>
      <c r="B50" s="127" t="str" xml:space="preserve">
        <v> </v>
      </c>
      <c r="C50" s="125" t="str" xml:space="preserve">
        <v> </v>
      </c>
      <c r="D50" s="125" t="str" xml:space="preserve">
        <v> </v>
      </c>
      <c r="E50" s="42">
        <f>G50 &amp; "_" &amp; H50 &amp; IF(I50&lt;&gt;"", "_" &amp; I50, "") &amp; IF(J50&lt;&gt;"", "_" &amp; J50, "") &amp; IF(K50&lt;&gt;"", "_" &amp; K50, "") &amp;"_X"&amp;U50&amp;"_Y"&amp;V50&amp;"_Z"&amp;W50 &amp; IF(G50="SM", "_Proxy" , "_Rail") &amp; IF(M50&lt;&gt;"", "_" &amp; M50, "")</f>
      </c>
      <c r="F50" s="47">
        <f>IF(E50="", "", IF(G50="BP", E50, F49))</f>
      </c>
      <c r="G50" s="43" t="str">
        <v>SM</v>
      </c>
      <c r="H50" s="43" t="str">
        <v>Straight</v>
      </c>
      <c r="I50" s="43" t="str">
        <v>F</v>
      </c>
      <c r="J50" s="43" t="str">
        <v>Borderless</v>
      </c>
      <c r="K50" s="43" t="str">
        <v>Caved</v>
      </c>
      <c r="L50" s="43"/>
      <c r="M50" s="43" t="str">
        <v>BL</v>
      </c>
      <c r="N50" s="77"/>
      <c r="O50" s="77"/>
      <c r="P50" s="46" t="str">
        <v>✅</v>
      </c>
      <c r="Q50" s="77"/>
      <c r="R50" s="43" t="str">
        <v>Straight_F_Borderless_Caved_X1_Y1_Z1</v>
      </c>
      <c r="S50" s="47" t="str">
        <v>/Script/Engine.StaticMesh'/Game/Item/Rail/Straight/F/Borderless_Caved/Straight_F_Borderless_Caved_X1_Y1_Z1/Proxy/SM_Straight_F_Borderless_Caved_X1_Y1_Z1_Proxy_BL.SM_Straight_F_Borderless_Caved_X1_Y1_Z1_Proxy_BL'</v>
      </c>
      <c r="T50" s="126" t="str"/>
      <c r="U50" s="128">
        <v>1</v>
      </c>
      <c r="V50" s="128">
        <v>1</v>
      </c>
      <c r="W50" s="128">
        <v>1</v>
      </c>
      <c r="X50" s="48"/>
      <c r="Y50" s="48">
        <f>IF(AND(Q50="✅", OR(ISNUMBER(FIND("F",I50)), I50="CR")),   "X="&amp;U50*16&amp;",Y="&amp;(V50-1)*16&amp;",Z="&amp;IF(I50="FD", -(W50-1)*16, (W50-1)*16),   "")</f>
      </c>
      <c r="Z50" s="48">
        <f>IF(AND(Q50="✅", OR(ISNUMBER(FIND("F",I50)), I50="CR")), "P=0,Y=0,R=0", "")</f>
      </c>
      <c r="AA50" s="48" t="str"/>
      <c r="AB50" s="48" t="str"/>
      <c r="AC50" s="48" t="str"/>
      <c r="AD50" s="48" t="str"/>
      <c r="AE50" s="48" t="str"/>
      <c r="AF50" s="48"/>
      <c r="AG50" s="48" t="str"/>
      <c r="AH50" s="48" t="str"/>
      <c r="AI50" s="48" t="str"/>
      <c r="AJ50" s="48" t="str"/>
      <c r="AK50" s="48" t="str"/>
      <c r="AL50" s="48" t="str"/>
      <c r="AM50" s="48" t="str"/>
      <c r="AN50" s="48"/>
      <c r="AO50" s="48" t="str"/>
      <c r="AP50" s="48" t="str"/>
      <c r="AQ50" s="48" t="str"/>
      <c r="AR50" s="48" t="str"/>
      <c r="AS50" s="48" t="str"/>
      <c r="AT50" s="48" t="str"/>
      <c r="AU50" s="48" t="str"/>
      <c r="AV50" s="48"/>
      <c r="AW50" s="48">
        <f>IF(AND(Q50="✅", I50="U90"), "X="&amp;(U50-1)*16&amp;",Y="&amp;(V50-1)*16&amp;",Z="&amp;W50*16, "")</f>
      </c>
      <c r="AX50" s="48">
        <f>IF(AND(Q50="✅", I50="U90"), "P=90,Y=0,R=0", "")</f>
      </c>
      <c r="AY50" s="48" t="str"/>
      <c r="AZ50" s="48" t="str"/>
      <c r="BA50" s="48" t="str"/>
      <c r="BB50" s="48" t="str"/>
      <c r="BC50" s="48" t="str"/>
      <c r="BD50" s="48"/>
      <c r="BE50" s="48">
        <f>IF(AND(Q50="✅", I50="D90"), "X="&amp;(U50-1)*16&amp;",Y="&amp;(V50-1)*16&amp;",Z="&amp;(W50-2)*16, "")</f>
      </c>
      <c r="BF50" s="48">
        <f>IF(AND(Q50="✅", I50="D90"), "P=-90,Y=0,R=0", "")</f>
      </c>
      <c r="BG50" s="48" t="str"/>
      <c r="BH50" s="48" t="str"/>
      <c r="BI50" s="48" t="str"/>
      <c r="BJ50" s="48" t="str"/>
      <c r="BK50" s="48" t="str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</row>
    <row hidden="true" outlineLevel="3" r="51">
      <c r="A51" s="127" t="str" xml:space="preserve">
        <v> </v>
      </c>
      <c r="B51" s="127" t="str" xml:space="preserve">
        <v> </v>
      </c>
      <c r="C51" s="125" t="str" xml:space="preserve">
        <v> </v>
      </c>
      <c r="D51" s="125" t="str" xml:space="preserve">
        <v> </v>
      </c>
      <c r="E51" s="42">
        <f>G51 &amp; "_" &amp; H51 &amp; IF(I51&lt;&gt;"", "_" &amp; I51, "") &amp; IF(J51&lt;&gt;"", "_" &amp; J51, "") &amp; IF(K51&lt;&gt;"", "_" &amp; K51, "") &amp;"_X"&amp;U51&amp;"_Y"&amp;V51&amp;"_Z"&amp;W51 &amp; IF(G51="SM", "_Proxy" , "_Rail") &amp; IF(M51&lt;&gt;"", "_" &amp; M51, "")</f>
      </c>
      <c r="F51" s="47">
        <f>IF(E51="", "", IF(G51="BP", E51, F50))</f>
      </c>
      <c r="G51" s="43" t="str">
        <v>SM</v>
      </c>
      <c r="H51" s="43" t="str">
        <v>Straight</v>
      </c>
      <c r="I51" s="43" t="str">
        <v>F</v>
      </c>
      <c r="J51" s="43" t="str">
        <v>Borderless</v>
      </c>
      <c r="K51" s="43" t="str">
        <v>Caved</v>
      </c>
      <c r="L51" s="43"/>
      <c r="M51" s="43" t="str">
        <v>BR</v>
      </c>
      <c r="N51" s="77"/>
      <c r="O51" s="77"/>
      <c r="P51" s="46" t="str">
        <v>✅</v>
      </c>
      <c r="Q51" s="77"/>
      <c r="R51" s="43" t="str">
        <v>Straight_F_Borderless_Caved_X1_Y1_Z1</v>
      </c>
      <c r="S51" s="47" t="str">
        <v>/Script/Engine.StaticMesh'/Game/Item/Rail/Straight/F/Borderless_Caved/Straight_F_Borderless_Caved_X1_Y1_Z1/Proxy/SM_Straight_F_Borderless_Caved_X1_Y1_Z1_Proxy_BR.SM_Straight_F_Borderless_Caved_X1_Y1_Z1_Proxy_BR'</v>
      </c>
      <c r="T51" s="126" t="str"/>
      <c r="U51" s="128">
        <v>1</v>
      </c>
      <c r="V51" s="128">
        <v>1</v>
      </c>
      <c r="W51" s="128">
        <v>1</v>
      </c>
      <c r="X51" s="48"/>
      <c r="Y51" s="48">
        <f>IF(AND(Q51="✅", OR(ISNUMBER(FIND("F",I51)), I51="CR")),   "X="&amp;U51*16&amp;",Y="&amp;(V51-1)*16&amp;",Z="&amp;IF(I51="FD", -(W51-1)*16, (W51-1)*16),   "")</f>
      </c>
      <c r="Z51" s="48">
        <f>IF(AND(Q51="✅", OR(ISNUMBER(FIND("F",I51)), I51="CR")), "P=0,Y=0,R=0", "")</f>
      </c>
      <c r="AA51" s="48" t="str"/>
      <c r="AB51" s="48" t="str"/>
      <c r="AC51" s="48" t="str"/>
      <c r="AD51" s="48" t="str"/>
      <c r="AE51" s="48" t="str"/>
      <c r="AF51" s="48"/>
      <c r="AG51" s="48" t="str"/>
      <c r="AH51" s="48" t="str"/>
      <c r="AI51" s="48" t="str"/>
      <c r="AJ51" s="48" t="str"/>
      <c r="AK51" s="48" t="str"/>
      <c r="AL51" s="48" t="str"/>
      <c r="AM51" s="48" t="str"/>
      <c r="AN51" s="48"/>
      <c r="AO51" s="48" t="str"/>
      <c r="AP51" s="48" t="str"/>
      <c r="AQ51" s="48" t="str"/>
      <c r="AR51" s="48" t="str"/>
      <c r="AS51" s="48" t="str"/>
      <c r="AT51" s="48" t="str"/>
      <c r="AU51" s="48" t="str"/>
      <c r="AV51" s="48"/>
      <c r="AW51" s="48">
        <f>IF(AND(Q51="✅", I51="U90"), "X="&amp;(U51-1)*16&amp;",Y="&amp;(V51-1)*16&amp;",Z="&amp;W51*16, "")</f>
      </c>
      <c r="AX51" s="48">
        <f>IF(AND(Q51="✅", I51="U90"), "P=90,Y=0,R=0", "")</f>
      </c>
      <c r="AY51" s="48" t="str"/>
      <c r="AZ51" s="48" t="str"/>
      <c r="BA51" s="48" t="str"/>
      <c r="BB51" s="48" t="str"/>
      <c r="BC51" s="48" t="str"/>
      <c r="BD51" s="48"/>
      <c r="BE51" s="48">
        <f>IF(AND(Q51="✅", I51="D90"), "X="&amp;(U51-1)*16&amp;",Y="&amp;(V51-1)*16&amp;",Z="&amp;(W51-2)*16, "")</f>
      </c>
      <c r="BF51" s="48">
        <f>IF(AND(Q51="✅", I51="D90"), "P=-90,Y=0,R=0", "")</f>
      </c>
      <c r="BG51" s="48" t="str"/>
      <c r="BH51" s="48" t="str"/>
      <c r="BI51" s="48" t="str"/>
      <c r="BJ51" s="48" t="str"/>
      <c r="BK51" s="48" t="str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</row>
    <row collapsed="true" customHeight="true" ht="19" outlineLevel="2" r="52">
      <c r="A52" s="11"/>
      <c r="B52" s="11"/>
      <c r="C52" s="119" t="str">
        <v>Borderless_L</v>
      </c>
      <c r="D52" s="119"/>
      <c r="E52" s="5"/>
      <c r="F52" s="9">
        <f>IF(E52="", "", IF(G52="BP", E52, F51))</f>
      </c>
      <c r="G52" s="1"/>
      <c r="H52" s="1"/>
      <c r="I52" s="1"/>
      <c r="J52" s="1"/>
      <c r="K52" s="1"/>
      <c r="L52" s="1"/>
      <c r="M52" s="1"/>
      <c r="N52" s="3"/>
      <c r="O52" s="3" t="str">
        <v>✅</v>
      </c>
      <c r="P52" s="3"/>
      <c r="Q52" s="3"/>
      <c r="R52" s="1" t="str"/>
      <c r="S52" s="9" t="str"/>
      <c r="T52" s="120" t="str"/>
      <c r="U52" s="118"/>
      <c r="V52" s="118"/>
      <c r="W52" s="118"/>
      <c r="X52" s="4"/>
      <c r="Y52" s="4">
        <f>IF(AND(Q52="✅", OR(ISNUMBER(FIND("F",I52)), I52="CR")),   "X="&amp;U52*16&amp;",Y="&amp;(V52-1)*16&amp;",Z="&amp;IF(I52="FD", -(W52-1)*16, (W52-1)*16),   "")</f>
      </c>
      <c r="Z52" s="4">
        <f>IF(AND(Q52="✅", OR(ISNUMBER(FIND("F",I52)), I52="CR")), "P=0,Y=0,R=0", "")</f>
      </c>
      <c r="AA52" s="4" t="str"/>
      <c r="AB52" s="4" t="str"/>
      <c r="AC52" s="4" t="str"/>
      <c r="AD52" s="4" t="str"/>
      <c r="AE52" s="4" t="str"/>
      <c r="AF52" s="4"/>
      <c r="AG52" s="4" t="str"/>
      <c r="AH52" s="4" t="str"/>
      <c r="AI52" s="4" t="str"/>
      <c r="AJ52" s="4" t="str"/>
      <c r="AK52" s="4" t="str"/>
      <c r="AL52" s="4" t="str"/>
      <c r="AM52" s="4" t="str"/>
      <c r="AN52" s="4"/>
      <c r="AO52" s="4" t="str"/>
      <c r="AP52" s="4" t="str"/>
      <c r="AQ52" s="4" t="str"/>
      <c r="AR52" s="4" t="str"/>
      <c r="AS52" s="4" t="str"/>
      <c r="AT52" s="4" t="str"/>
      <c r="AU52" s="4" t="str"/>
      <c r="AV52" s="4"/>
      <c r="AW52" s="4">
        <f>IF(AND(Q52="✅", I52="U90"), "X="&amp;(U52-1)*16&amp;",Y="&amp;(V52-1)*16&amp;",Z="&amp;W52*16, "")</f>
      </c>
      <c r="AX52" s="4">
        <f>IF(AND(Q52="✅", I52="U90"), "P=90,Y=0,R=0", "")</f>
      </c>
      <c r="AY52" s="4" t="str"/>
      <c r="AZ52" s="4" t="str"/>
      <c r="BA52" s="4" t="str"/>
      <c r="BB52" s="4" t="str"/>
      <c r="BC52" s="4" t="str"/>
      <c r="BD52" s="4"/>
      <c r="BE52" s="4">
        <f>IF(AND(Q52="✅", I52="D90"), "X="&amp;(U52-1)*16&amp;",Y="&amp;(V52-1)*16&amp;",Z="&amp;(W52-2)*16, "")</f>
      </c>
      <c r="BF52" s="4">
        <f>IF(AND(Q52="✅", I52="D90"), "P=-90,Y=0,R=0", "")</f>
      </c>
      <c r="BG52" s="4" t="str"/>
      <c r="BH52" s="4" t="str"/>
      <c r="BI52" s="4" t="str"/>
      <c r="BJ52" s="4" t="str"/>
      <c r="BK52" s="4" t="str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</row>
    <row customHeight="true" hidden="true" ht="19" outlineLevel="3" r="53">
      <c r="A53" s="11"/>
      <c r="B53" s="11"/>
      <c r="C53" s="119"/>
      <c r="D53" s="119">
        <v>1</v>
      </c>
      <c r="E53" s="5"/>
      <c r="F53" s="9"/>
      <c r="G53" s="1"/>
      <c r="H53" s="1"/>
      <c r="I53" s="1"/>
      <c r="J53" s="1"/>
      <c r="K53" s="1"/>
      <c r="L53" s="1"/>
      <c r="M53" s="1"/>
      <c r="N53" s="3"/>
      <c r="O53" s="3"/>
      <c r="P53" s="3"/>
      <c r="Q53" s="3"/>
      <c r="R53" s="1" t="str"/>
      <c r="S53" s="9" t="str"/>
      <c r="T53" s="120" t="str"/>
      <c r="U53" s="118"/>
      <c r="V53" s="118"/>
      <c r="W53" s="118"/>
      <c r="X53" s="4"/>
      <c r="Y53" s="4">
        <f>IF(AND(Q53="✅", OR(ISNUMBER(FIND("F",I53)), I53="CR")),   "X="&amp;U53*16&amp;",Y="&amp;(V53-1)*16&amp;",Z="&amp;IF(I53="FD", -(W53-1)*16, (W53-1)*16),   "")</f>
      </c>
      <c r="Z53" s="4">
        <f>IF(AND(Q53="✅", OR(ISNUMBER(FIND("F",I53)), I53="CR")), "P=0,Y=0,R=0", "")</f>
      </c>
      <c r="AA53" s="4" t="str"/>
      <c r="AB53" s="4" t="str"/>
      <c r="AC53" s="4" t="str"/>
      <c r="AD53" s="4" t="str"/>
      <c r="AE53" s="4" t="str"/>
      <c r="AF53" s="4"/>
      <c r="AG53" s="4" t="str"/>
      <c r="AH53" s="4" t="str"/>
      <c r="AI53" s="4" t="str"/>
      <c r="AJ53" s="4" t="str"/>
      <c r="AK53" s="4" t="str"/>
      <c r="AL53" s="4" t="str"/>
      <c r="AM53" s="4" t="str"/>
      <c r="AN53" s="4"/>
      <c r="AO53" s="4" t="str"/>
      <c r="AP53" s="4" t="str"/>
      <c r="AQ53" s="4" t="str"/>
      <c r="AR53" s="4" t="str"/>
      <c r="AS53" s="4" t="str"/>
      <c r="AT53" s="4" t="str"/>
      <c r="AU53" s="4" t="str"/>
      <c r="AV53" s="4"/>
      <c r="AW53" s="4">
        <f>IF(AND(Q53="✅", I53="U90"), "X="&amp;(U53-1)*16&amp;",Y="&amp;(V53-1)*16&amp;",Z="&amp;W53*16, "")</f>
      </c>
      <c r="AX53" s="4">
        <f>IF(AND(Q53="✅", I53="U90"), "P=90,Y=0,R=0", "")</f>
      </c>
      <c r="AY53" s="4" t="str"/>
      <c r="AZ53" s="4" t="str"/>
      <c r="BA53" s="4" t="str"/>
      <c r="BB53" s="4" t="str"/>
      <c r="BC53" s="4" t="str"/>
      <c r="BD53" s="4"/>
      <c r="BE53" s="4">
        <f>IF(AND(Q53="✅", I53="D90"), "X="&amp;(U53-1)*16&amp;",Y="&amp;(V53-1)*16&amp;",Z="&amp;(W53-2)*16, "")</f>
      </c>
      <c r="BF53" s="4">
        <f>IF(AND(Q53="✅", I53="D90"), "P=-90,Y=0,R=0", "")</f>
      </c>
      <c r="BG53" s="4" t="str"/>
      <c r="BH53" s="4" t="str"/>
      <c r="BI53" s="4" t="str"/>
      <c r="BJ53" s="4" t="str"/>
      <c r="BK53" s="4" t="str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</row>
    <row hidden="true" outlineLevel="3" r="54">
      <c r="A54" s="142" t="str" xml:space="preserve">
        <v> </v>
      </c>
      <c r="B54" s="142" t="str" xml:space="preserve">
        <v> </v>
      </c>
      <c r="C54" s="141" t="str" xml:space="preserve">
        <v> </v>
      </c>
      <c r="D54" s="141" t="str" xml:space="preserve">
        <v> </v>
      </c>
      <c r="E54" s="51">
        <f>G54 &amp; "_" &amp; H54 &amp; IF(I54&lt;&gt;"", "_" &amp; I54, "") &amp; IF(J54&lt;&gt;"", "_" &amp; J54, "") &amp; IF(K54&lt;&gt;"", "_" &amp; K54, "") &amp;"_X"&amp;U54&amp;"_Y"&amp;V54&amp;"_Z"&amp;W54 &amp; IF(G54="SM", "_Proxy" , "_Rail") &amp; IF(M54&lt;&gt;"", "_" &amp; M54, "")</f>
      </c>
      <c r="F54" s="54">
        <f>IF(E54="", "", IF(G54="BP", E54, F52))</f>
      </c>
      <c r="G54" s="52" t="str">
        <v>BP</v>
      </c>
      <c r="H54" s="52" t="str">
        <v>Straight</v>
      </c>
      <c r="I54" s="52" t="str">
        <v>F</v>
      </c>
      <c r="J54" s="52" t="str">
        <v>Borderless_L</v>
      </c>
      <c r="K54" s="52"/>
      <c r="L54" s="52"/>
      <c r="M54" s="52"/>
      <c r="N54" s="101"/>
      <c r="O54" s="101"/>
      <c r="P54" s="101"/>
      <c r="Q54" s="101" t="str">
        <v>✅</v>
      </c>
      <c r="R54" s="52" t="str">
        <v>Straight_F_Borderless_L_X1_Y1_Z1</v>
      </c>
      <c r="S54" s="54" t="str">
        <v>/Script/Engine.BlueprintGeneratedClass'/Game/Item/Rail/Straight/F/Borderless_L/Straight_F_Borderless_L_X1_Y1_Z1/BP_Straight_F_Borderless_L_X1_Y1_Z1_Rail.BP_Straight_F_Borderless_L_X1_Y1_Z1_Rail_C'</v>
      </c>
      <c r="T54" s="138">
        <v>1</v>
      </c>
      <c r="U54" s="137">
        <v>1</v>
      </c>
      <c r="V54" s="137">
        <v>1</v>
      </c>
      <c r="W54" s="137">
        <v>1</v>
      </c>
      <c r="X54" s="53"/>
      <c r="Y54" s="53">
        <f>IF(AND(Q54="✅", OR(ISNUMBER(FIND("F",I54)), I54="CR")),   "X="&amp;U54*16&amp;",Y="&amp;(V54-1)*16&amp;",Z="&amp;IF(I54="FD", -(W54-1)*16, (W54-1)*16),   "")</f>
      </c>
      <c r="Z54" s="53">
        <f>IF(AND(Q54="✅", OR(ISNUMBER(FIND("F",I54)), I54="CR")), "P=0,Y=0,R=0", "")</f>
      </c>
      <c r="AA54" s="53">
        <v>1</v>
      </c>
      <c r="AB54" s="53">
        <v>1.5</v>
      </c>
      <c r="AC54" s="53">
        <v>2</v>
      </c>
      <c r="AD54" s="53">
        <v>1.5</v>
      </c>
      <c r="AE54" s="53" t="str">
        <v>X=1,Y=1.5,Z=2,W=1.5</v>
      </c>
      <c r="AF54" s="53"/>
      <c r="AG54" s="53" t="str"/>
      <c r="AH54" s="53" t="str"/>
      <c r="AI54" s="53" t="str"/>
      <c r="AJ54" s="53" t="str"/>
      <c r="AK54" s="53" t="str"/>
      <c r="AL54" s="53" t="str"/>
      <c r="AM54" s="53" t="str"/>
      <c r="AN54" s="53"/>
      <c r="AO54" s="53" t="str"/>
      <c r="AP54" s="53" t="str"/>
      <c r="AQ54" s="53" t="str"/>
      <c r="AR54" s="53" t="str"/>
      <c r="AS54" s="53" t="str"/>
      <c r="AT54" s="53" t="str"/>
      <c r="AU54" s="53" t="str"/>
      <c r="AV54" s="53"/>
      <c r="AW54" s="53">
        <f>IF(AND(Q54="✅", I54="U90"), "X="&amp;(U54-1)*16&amp;",Y="&amp;(V54-1)*16&amp;",Z="&amp;W54*16, "")</f>
      </c>
      <c r="AX54" s="53">
        <f>IF(AND(Q54="✅", I54="U90"), "P=90,Y=0,R=0", "")</f>
      </c>
      <c r="AY54" s="53" t="str"/>
      <c r="AZ54" s="53" t="str"/>
      <c r="BA54" s="53" t="str"/>
      <c r="BB54" s="53" t="str"/>
      <c r="BC54" s="53" t="str"/>
      <c r="BD54" s="53"/>
      <c r="BE54" s="53">
        <f>IF(AND(Q54="✅", I54="D90"), "X="&amp;(U54-1)*16&amp;",Y="&amp;(V54-1)*16&amp;",Z="&amp;(W54-2)*16, "")</f>
      </c>
      <c r="BF54" s="53">
        <f>IF(AND(Q54="✅", I54="D90"), "P=-90,Y=0,R=0", "")</f>
      </c>
      <c r="BG54" s="53" t="str"/>
      <c r="BH54" s="53" t="str"/>
      <c r="BI54" s="53" t="str"/>
      <c r="BJ54" s="53" t="str"/>
      <c r="BK54" s="53" t="str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</row>
    <row customHeight="true" hidden="true" ht="19" outlineLevel="3" r="55">
      <c r="A55" s="142" t="str" xml:space="preserve">
        <v> </v>
      </c>
      <c r="B55" s="142" t="str" xml:space="preserve">
        <v> </v>
      </c>
      <c r="C55" s="141" t="str" xml:space="preserve">
        <v> </v>
      </c>
      <c r="D55" s="141" t="str" xml:space="preserve">
        <v> </v>
      </c>
      <c r="E55" s="51">
        <f>E25</f>
      </c>
      <c r="F55" s="54">
        <f>IF(E55="", "", IF(G55="BP", E55, F54))</f>
      </c>
      <c r="G55" s="52"/>
      <c r="H55" s="52"/>
      <c r="I55" s="52"/>
      <c r="J55" s="52"/>
      <c r="K55" s="52"/>
      <c r="L55" s="52"/>
      <c r="M55" s="52" t="str">
        <v>B</v>
      </c>
      <c r="N55" s="101"/>
      <c r="O55" s="101"/>
      <c r="P55" s="101" t="str">
        <v>✅</v>
      </c>
      <c r="Q55" s="101"/>
      <c r="R55" s="52" t="str">
        <v>Straight_F_X1_Y1_Z1</v>
      </c>
      <c r="S55" s="54" t="str">
        <v>/Script/Engine.StaticMesh'/Game/Item/Rail/Straight/F/Normal/Straight_F_X1_Y1_Z1/Proxy/SM_Straight_F_X1_Y1_Z1_Proxy_B.SM_Straight_F_X1_Y1_Z1_Proxy_B'</v>
      </c>
      <c r="T55" s="138" t="str"/>
      <c r="U55" s="137"/>
      <c r="V55" s="137"/>
      <c r="W55" s="137"/>
      <c r="X55" s="53"/>
      <c r="Y55" s="53">
        <f>IF(AND(Q55="✅", OR(ISNUMBER(FIND("F",I55)), I55="CR")),   "X="&amp;U55*16&amp;",Y="&amp;(V55-1)*16&amp;",Z="&amp;IF(I55="FD", -(W55-1)*16, (W55-1)*16),   "")</f>
      </c>
      <c r="Z55" s="53">
        <f>IF(AND(Q55="✅", OR(ISNUMBER(FIND("F",I55)), I55="CR")), "P=0,Y=0,R=0", "")</f>
      </c>
      <c r="AA55" s="53" t="str"/>
      <c r="AB55" s="53" t="str"/>
      <c r="AC55" s="53" t="str"/>
      <c r="AD55" s="53" t="str"/>
      <c r="AE55" s="53" t="str"/>
      <c r="AF55" s="53"/>
      <c r="AG55" s="53" t="str"/>
      <c r="AH55" s="53" t="str"/>
      <c r="AI55" s="53" t="str"/>
      <c r="AJ55" s="53" t="str"/>
      <c r="AK55" s="53" t="str"/>
      <c r="AL55" s="53" t="str"/>
      <c r="AM55" s="53" t="str"/>
      <c r="AN55" s="53"/>
      <c r="AO55" s="53" t="str"/>
      <c r="AP55" s="53" t="str"/>
      <c r="AQ55" s="53" t="str"/>
      <c r="AR55" s="53" t="str"/>
      <c r="AS55" s="53" t="str"/>
      <c r="AT55" s="53" t="str"/>
      <c r="AU55" s="53" t="str"/>
      <c r="AV55" s="53"/>
      <c r="AW55" s="53">
        <f>IF(AND(Q55="✅", I55="U90"), "X="&amp;(U55-1)*16&amp;",Y="&amp;(V55-1)*16&amp;",Z="&amp;W55*16, "")</f>
      </c>
      <c r="AX55" s="53">
        <f>IF(AND(Q55="✅", I55="U90"), "P=90,Y=0,R=0", "")</f>
      </c>
      <c r="AY55" s="53" t="str"/>
      <c r="AZ55" s="53" t="str"/>
      <c r="BA55" s="53" t="str"/>
      <c r="BB55" s="53" t="str"/>
      <c r="BC55" s="53" t="str"/>
      <c r="BD55" s="53"/>
      <c r="BE55" s="53">
        <f>IF(AND(Q55="✅", I55="D90"), "X="&amp;(U55-1)*16&amp;",Y="&amp;(V55-1)*16&amp;",Z="&amp;(W55-2)*16, "")</f>
      </c>
      <c r="BF55" s="53">
        <f>IF(AND(Q55="✅", I55="D90"), "P=-90,Y=0,R=0", "")</f>
      </c>
      <c r="BG55" s="53" t="str"/>
      <c r="BH55" s="53" t="str"/>
      <c r="BI55" s="53" t="str"/>
      <c r="BJ55" s="53" t="str"/>
      <c r="BK55" s="53" t="str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</row>
    <row customHeight="true" hidden="true" ht="19" outlineLevel="3" r="56">
      <c r="A56" s="142" t="str" xml:space="preserve">
        <v> </v>
      </c>
      <c r="B56" s="142" t="str" xml:space="preserve">
        <v> </v>
      </c>
      <c r="C56" s="141" t="str" xml:space="preserve">
        <v> </v>
      </c>
      <c r="D56" s="141" t="str" xml:space="preserve">
        <v> </v>
      </c>
      <c r="E56" s="51">
        <f>E27</f>
      </c>
      <c r="F56" s="54">
        <f>IF(E56="", "", IF(G56="BP", E56, F55))</f>
      </c>
      <c r="G56" s="52"/>
      <c r="H56" s="52"/>
      <c r="I56" s="52"/>
      <c r="J56" s="52"/>
      <c r="K56" s="52"/>
      <c r="L56" s="52"/>
      <c r="M56" s="52" t="str">
        <v>L</v>
      </c>
      <c r="N56" s="101"/>
      <c r="O56" s="101"/>
      <c r="P56" s="101" t="str">
        <v>✅</v>
      </c>
      <c r="Q56" s="101"/>
      <c r="R56" s="52" t="str">
        <v>Straight_F_X1_Y1_Z1</v>
      </c>
      <c r="S56" s="54" t="str">
        <v>/Script/Engine.StaticMesh'/Game/Item/Rail/Straight/F/Normal/Straight_F_X1_Y1_Z1/Proxy/SM_Straight_F_X1_Y1_Z1_Proxy_R.SM_Straight_F_X1_Y1_Z1_Proxy_R'</v>
      </c>
      <c r="T56" s="138" t="str"/>
      <c r="U56" s="137"/>
      <c r="V56" s="137"/>
      <c r="W56" s="137"/>
      <c r="X56" s="53"/>
      <c r="Y56" s="53">
        <f>IF(AND(Q56="✅", OR(ISNUMBER(FIND("F",I56)), I56="CR")),   "X="&amp;U56*16&amp;",Y="&amp;(V56-1)*16&amp;",Z="&amp;IF(I56="FD", -(W56-1)*16, (W56-1)*16),   "")</f>
      </c>
      <c r="Z56" s="53">
        <f>IF(AND(Q56="✅", OR(ISNUMBER(FIND("F",I56)), I56="CR")), "P=0,Y=0,R=0", "")</f>
      </c>
      <c r="AA56" s="53" t="str"/>
      <c r="AB56" s="53" t="str"/>
      <c r="AC56" s="53" t="str"/>
      <c r="AD56" s="53" t="str"/>
      <c r="AE56" s="53" t="str"/>
      <c r="AF56" s="53"/>
      <c r="AG56" s="53" t="str"/>
      <c r="AH56" s="53" t="str"/>
      <c r="AI56" s="53" t="str"/>
      <c r="AJ56" s="53" t="str"/>
      <c r="AK56" s="53" t="str"/>
      <c r="AL56" s="53" t="str"/>
      <c r="AM56" s="53" t="str"/>
      <c r="AN56" s="53"/>
      <c r="AO56" s="53" t="str"/>
      <c r="AP56" s="53" t="str"/>
      <c r="AQ56" s="53" t="str"/>
      <c r="AR56" s="53" t="str"/>
      <c r="AS56" s="53" t="str"/>
      <c r="AT56" s="53" t="str"/>
      <c r="AU56" s="53" t="str"/>
      <c r="AV56" s="53"/>
      <c r="AW56" s="53">
        <f>IF(AND(Q56="✅", I56="U90"), "X="&amp;(U56-1)*16&amp;",Y="&amp;(V56-1)*16&amp;",Z="&amp;W56*16, "")</f>
      </c>
      <c r="AX56" s="53">
        <f>IF(AND(Q56="✅", I56="U90"), "P=90,Y=0,R=0", "")</f>
      </c>
      <c r="AY56" s="53" t="str"/>
      <c r="AZ56" s="53" t="str"/>
      <c r="BA56" s="53" t="str"/>
      <c r="BB56" s="53" t="str"/>
      <c r="BC56" s="53" t="str"/>
      <c r="BD56" s="53"/>
      <c r="BE56" s="53">
        <f>IF(AND(Q56="✅", I56="D90"), "X="&amp;(U56-1)*16&amp;",Y="&amp;(V56-1)*16&amp;",Z="&amp;(W56-2)*16, "")</f>
      </c>
      <c r="BF56" s="53">
        <f>IF(AND(Q56="✅", I56="D90"), "P=-90,Y=0,R=0", "")</f>
      </c>
      <c r="BG56" s="53" t="str"/>
      <c r="BH56" s="53" t="str"/>
      <c r="BI56" s="53" t="str"/>
      <c r="BJ56" s="53" t="str"/>
      <c r="BK56" s="53" t="str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</row>
    <row collapsed="true" customHeight="true" ht="19" outlineLevel="2" r="57">
      <c r="A57" s="11"/>
      <c r="B57" s="11"/>
      <c r="C57" s="119" t="str">
        <v>Borderless_L_HoleInRail</v>
      </c>
      <c r="D57" s="119"/>
      <c r="E57" s="9"/>
      <c r="F57" s="9">
        <f>IF(E57="", "", IF(G57="BP", E57, F56))</f>
      </c>
      <c r="G57" s="4"/>
      <c r="H57" s="4"/>
      <c r="I57" s="4"/>
      <c r="J57" s="4"/>
      <c r="K57" s="4"/>
      <c r="L57" s="4"/>
      <c r="M57" s="4"/>
      <c r="N57" s="3"/>
      <c r="O57" s="3" t="str">
        <v>⭕</v>
      </c>
      <c r="P57" s="2"/>
      <c r="Q57" s="3"/>
      <c r="R57" s="1" t="str"/>
      <c r="S57" s="9" t="str"/>
      <c r="T57" s="120" t="str"/>
      <c r="U57" s="118"/>
      <c r="V57" s="118"/>
      <c r="W57" s="118"/>
      <c r="X57" s="4"/>
      <c r="Y57" s="4">
        <f>IF(AND(Q57="✅", OR(ISNUMBER(FIND("F",I57)), I57="CR")),   "X="&amp;U57*16&amp;",Y="&amp;(V57-1)*16&amp;",Z="&amp;IF(I57="FD", -(W57-1)*16, (W57-1)*16),   "")</f>
      </c>
      <c r="Z57" s="4">
        <f>IF(AND(Q57="✅", OR(ISNUMBER(FIND("F",I57)), I57="CR")), "P=0,Y=0,R=0", "")</f>
      </c>
      <c r="AA57" s="1" t="str"/>
      <c r="AB57" s="1" t="str"/>
      <c r="AC57" s="1" t="str"/>
      <c r="AD57" s="1" t="str"/>
      <c r="AI57" s="4" t="str"/>
      <c r="AJ57" s="4" t="str"/>
      <c r="AK57" s="4" t="str"/>
      <c r="AL57" s="4" t="str"/>
      <c r="AM57" s="4" t="str"/>
      <c r="AN57" s="4"/>
      <c r="AO57" s="4" t="str"/>
      <c r="AP57" s="4" t="str"/>
      <c r="AQ57" s="4" t="str"/>
      <c r="AR57" s="4" t="str"/>
      <c r="AS57" s="4" t="str"/>
      <c r="AT57" s="4" t="str"/>
      <c r="AU57" s="4" t="str"/>
      <c r="AV57" s="4"/>
      <c r="AW57" s="4">
        <f>IF(AND(Q57="✅", I57="U90"), "X="&amp;(U57-1)*16&amp;",Y="&amp;(V57-1)*16&amp;",Z="&amp;W57*16, "")</f>
      </c>
      <c r="AX57" s="4">
        <f>IF(AND(Q57="✅", I57="U90"), "P=90,Y=0,R=0", "")</f>
      </c>
      <c r="AY57" s="4" t="str"/>
      <c r="AZ57" s="4" t="str"/>
      <c r="BA57" s="4" t="str"/>
      <c r="BB57" s="4" t="str"/>
      <c r="BC57" s="4" t="str"/>
      <c r="BD57" s="4"/>
      <c r="BE57" s="4">
        <f>IF(AND(Q57="✅", I57="D90"), "X="&amp;(U57-1)*16&amp;",Y="&amp;(V57-1)*16&amp;",Z="&amp;(W57-2)*16, "")</f>
      </c>
      <c r="BF57" s="4">
        <f>IF(AND(Q57="✅", I57="D90"), "P=-90,Y=0,R=0", "")</f>
      </c>
      <c r="BG57" s="4" t="str"/>
      <c r="BH57" s="4" t="str"/>
      <c r="BI57" s="4" t="str"/>
      <c r="BJ57" s="4" t="str"/>
      <c r="BK57" s="4" t="str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</row>
    <row customHeight="true" hidden="true" ht="19" outlineLevel="3" r="58">
      <c r="A58" s="11"/>
      <c r="B58" s="11"/>
      <c r="C58" s="119"/>
      <c r="D58" s="119">
        <v>1</v>
      </c>
      <c r="E58" s="9"/>
      <c r="F58" s="9"/>
      <c r="G58" s="4"/>
      <c r="H58" s="4"/>
      <c r="I58" s="4"/>
      <c r="J58" s="4"/>
      <c r="K58" s="4"/>
      <c r="L58" s="4"/>
      <c r="M58" s="4"/>
      <c r="N58" s="3"/>
      <c r="O58" s="3"/>
      <c r="P58" s="2"/>
      <c r="Q58" s="3"/>
      <c r="R58" s="1" t="str"/>
      <c r="S58" s="9" t="str"/>
      <c r="T58" s="120" t="str"/>
      <c r="U58" s="118"/>
      <c r="V58" s="118"/>
      <c r="W58" s="118"/>
      <c r="X58" s="4"/>
      <c r="Y58" s="4">
        <f>IF(AND(Q58="✅", OR(ISNUMBER(FIND("F",I58)), I58="CR")),   "X="&amp;U58*16&amp;",Y="&amp;(V58-1)*16&amp;",Z="&amp;IF(I58="FD", -(W58-1)*16, (W58-1)*16),   "")</f>
      </c>
      <c r="Z58" s="4">
        <f>IF(AND(Q58="✅", OR(ISNUMBER(FIND("F",I58)), I58="CR")), "P=0,Y=0,R=0", "")</f>
      </c>
      <c r="AA58" s="1" t="str"/>
      <c r="AB58" s="1" t="str"/>
      <c r="AC58" s="1" t="str"/>
      <c r="AD58" s="1" t="str"/>
      <c r="AI58" s="4" t="str"/>
      <c r="AJ58" s="4" t="str"/>
      <c r="AK58" s="4" t="str"/>
      <c r="AL58" s="4" t="str"/>
      <c r="AM58" s="4" t="str"/>
      <c r="AN58" s="4"/>
      <c r="AO58" s="4" t="str"/>
      <c r="AP58" s="4" t="str"/>
      <c r="AQ58" s="4" t="str"/>
      <c r="AR58" s="4" t="str"/>
      <c r="AS58" s="4" t="str"/>
      <c r="AT58" s="4" t="str"/>
      <c r="AU58" s="4" t="str"/>
      <c r="AV58" s="4"/>
      <c r="AW58" s="4">
        <f>IF(AND(Q58="✅", I58="U90"), "X="&amp;(U58-1)*16&amp;",Y="&amp;(V58-1)*16&amp;",Z="&amp;W58*16, "")</f>
      </c>
      <c r="AX58" s="4">
        <f>IF(AND(Q58="✅", I58="U90"), "P=90,Y=0,R=0", "")</f>
      </c>
      <c r="AY58" s="4" t="str"/>
      <c r="AZ58" s="4" t="str"/>
      <c r="BA58" s="4" t="str"/>
      <c r="BB58" s="4" t="str"/>
      <c r="BC58" s="4" t="str"/>
      <c r="BD58" s="4"/>
      <c r="BE58" s="4">
        <f>IF(AND(Q58="✅", I58="D90"), "X="&amp;(U58-1)*16&amp;",Y="&amp;(V58-1)*16&amp;",Z="&amp;(W58-2)*16, "")</f>
      </c>
      <c r="BF58" s="4">
        <f>IF(AND(Q58="✅", I58="D90"), "P=-90,Y=0,R=0", "")</f>
      </c>
      <c r="BG58" s="4" t="str"/>
      <c r="BH58" s="4" t="str"/>
      <c r="BI58" s="4" t="str"/>
      <c r="BJ58" s="4" t="str"/>
      <c r="BK58" s="4" t="str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</row>
    <row customHeight="true" hidden="true" ht="19" outlineLevel="3" r="59">
      <c r="A59" s="166" t="str" xml:space="preserve">
        <v> </v>
      </c>
      <c r="B59" s="166" t="str" xml:space="preserve">
        <v> </v>
      </c>
      <c r="C59" s="167" t="str" xml:space="preserve">
        <v> </v>
      </c>
      <c r="D59" s="167" t="str" xml:space="preserve">
        <v> </v>
      </c>
      <c r="E59" s="83">
        <f>G59 &amp; "_" &amp; H59 &amp; IF(I59&lt;&gt;"", "_" &amp; I59, "") &amp; IF(J59&lt;&gt;"", "_" &amp; J59, "") &amp; IF(K59&lt;&gt;"", "_" &amp; K59, "") &amp;"_X"&amp;U59&amp;"_Y"&amp;V59&amp;"_Z"&amp;W59 &amp; IF(G59="SM", "_Proxy" , "_Rail") &amp; IF(M59&lt;&gt;"", "_" &amp; M59, "")</f>
      </c>
      <c r="F59" s="83">
        <f>IF(E59="", "", IF(G59="BP", E59, F57))</f>
      </c>
      <c r="G59" s="85" t="str">
        <v>BP</v>
      </c>
      <c r="H59" s="85" t="str">
        <v>Straight</v>
      </c>
      <c r="I59" s="85" t="str">
        <v>F</v>
      </c>
      <c r="J59" s="85" t="str">
        <v>Borderless_L</v>
      </c>
      <c r="K59" s="85" t="str">
        <v>HoleInRail</v>
      </c>
      <c r="L59" s="85"/>
      <c r="M59" s="85"/>
      <c r="N59" s="105"/>
      <c r="O59" s="105"/>
      <c r="P59" s="86"/>
      <c r="Q59" s="105" t="str">
        <v>⭕</v>
      </c>
      <c r="R59" s="102" t="str"/>
      <c r="S59" s="83" t="str"/>
      <c r="T59" s="168">
        <v>3</v>
      </c>
      <c r="U59" s="165">
        <v>1</v>
      </c>
      <c r="V59" s="165">
        <v>1</v>
      </c>
      <c r="W59" s="165">
        <v>1</v>
      </c>
      <c r="X59" s="85"/>
      <c r="Y59" s="85">
        <f>IF(AND(Q59="✅", OR(ISNUMBER(FIND("F",I59)), I59="CR")),   "X="&amp;U59*16&amp;",Y="&amp;(V59-1)*16&amp;",Z="&amp;IF(I59="FD", -(W59-1)*16, (W59-1)*16),   "")</f>
      </c>
      <c r="Z59" s="85">
        <f>IF(AND(Q59="✅", OR(ISNUMBER(FIND("F",I59)), I59="CR")), "P=0,Y=0,R=0", "")</f>
      </c>
      <c r="AA59" s="102" t="str"/>
      <c r="AB59" s="102" t="str"/>
      <c r="AC59" s="102" t="str"/>
      <c r="AD59" s="102" t="str"/>
      <c r="AE59" s="103" t="str"/>
      <c r="AF59" s="103"/>
      <c r="AG59" s="103" t="str"/>
      <c r="AH59" s="103" t="str"/>
      <c r="AI59" s="85" t="str"/>
      <c r="AJ59" s="85" t="str"/>
      <c r="AK59" s="85" t="str"/>
      <c r="AL59" s="85" t="str"/>
      <c r="AM59" s="85" t="str"/>
      <c r="AN59" s="85"/>
      <c r="AO59" s="85" t="str"/>
      <c r="AP59" s="85" t="str"/>
      <c r="AQ59" s="85" t="str"/>
      <c r="AR59" s="85" t="str"/>
      <c r="AS59" s="85" t="str"/>
      <c r="AT59" s="85" t="str"/>
      <c r="AU59" s="85" t="str"/>
      <c r="AV59" s="85"/>
      <c r="AW59" s="85">
        <f>IF(AND(Q59="✅", I59="U90"), "X="&amp;(U59-1)*16&amp;",Y="&amp;(V59-1)*16&amp;",Z="&amp;W59*16, "")</f>
      </c>
      <c r="AX59" s="85">
        <f>IF(AND(Q59="✅", I59="U90"), "P=90,Y=0,R=0", "")</f>
      </c>
      <c r="AY59" s="85" t="str"/>
      <c r="AZ59" s="85" t="str"/>
      <c r="BA59" s="85" t="str"/>
      <c r="BB59" s="85" t="str"/>
      <c r="BC59" s="85" t="str"/>
      <c r="BD59" s="85"/>
      <c r="BE59" s="85">
        <f>IF(AND(Q59="✅", I59="D90"), "X="&amp;(U59-1)*16&amp;",Y="&amp;(V59-1)*16&amp;",Z="&amp;(W59-2)*16, "")</f>
      </c>
      <c r="BF59" s="85">
        <f>IF(AND(Q59="✅", I59="D90"), "P=-90,Y=0,R=0", "")</f>
      </c>
      <c r="BG59" s="85" t="str"/>
      <c r="BH59" s="85" t="str"/>
      <c r="BI59" s="85" t="str"/>
      <c r="BJ59" s="85" t="str"/>
      <c r="BK59" s="85" t="str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</row>
    <row customHeight="true" hidden="true" ht="19" outlineLevel="3" r="60">
      <c r="A60" s="166" t="str" xml:space="preserve">
        <v> </v>
      </c>
      <c r="B60" s="166" t="str" xml:space="preserve">
        <v> </v>
      </c>
      <c r="C60" s="167" t="str" xml:space="preserve">
        <v> </v>
      </c>
      <c r="D60" s="167" t="str" xml:space="preserve">
        <v> </v>
      </c>
      <c r="E60" s="83">
        <f>E46</f>
      </c>
      <c r="F60" s="83">
        <f>IF(E60="", "", IF(G60="BP", E60, F59))</f>
      </c>
      <c r="G60" s="85" t="str">
        <v>SM</v>
      </c>
      <c r="H60" s="85" t="str">
        <v>Straight</v>
      </c>
      <c r="I60" s="85" t="str">
        <v>F</v>
      </c>
      <c r="J60" s="85" t="str">
        <v>Borderless_L</v>
      </c>
      <c r="K60" s="85" t="str">
        <v>HoleInRail</v>
      </c>
      <c r="L60" s="85"/>
      <c r="M60" s="85" t="str">
        <v>B</v>
      </c>
      <c r="N60" s="105"/>
      <c r="O60" s="105"/>
      <c r="P60" s="86" t="str">
        <v>⭕</v>
      </c>
      <c r="Q60" s="105"/>
      <c r="R60" s="102" t="str"/>
      <c r="S60" s="83" t="str"/>
      <c r="T60" s="168" t="str"/>
      <c r="U60" s="165">
        <v>1</v>
      </c>
      <c r="V60" s="165">
        <v>1</v>
      </c>
      <c r="W60" s="165">
        <v>1</v>
      </c>
      <c r="X60" s="85"/>
      <c r="Y60" s="85">
        <f>IF(AND(Q60="✅", OR(ISNUMBER(FIND("F",I60)), I60="CR")),   "X="&amp;U60*16&amp;",Y="&amp;(V60-1)*16&amp;",Z="&amp;IF(I60="FD", -(W60-1)*16, (W60-1)*16),   "")</f>
      </c>
      <c r="Z60" s="85">
        <f>IF(AND(Q60="✅", OR(ISNUMBER(FIND("F",I60)), I60="CR")), "P=0,Y=0,R=0", "")</f>
      </c>
      <c r="AA60" s="85" t="str"/>
      <c r="AB60" s="85" t="str"/>
      <c r="AC60" s="85" t="str"/>
      <c r="AD60" s="85" t="str"/>
      <c r="AE60" s="85" t="str"/>
      <c r="AF60" s="85"/>
      <c r="AG60" s="85" t="str"/>
      <c r="AH60" s="85" t="str"/>
      <c r="AI60" s="85" t="str"/>
      <c r="AJ60" s="85" t="str"/>
      <c r="AK60" s="85" t="str"/>
      <c r="AL60" s="85" t="str"/>
      <c r="AM60" s="85" t="str"/>
      <c r="AN60" s="85"/>
      <c r="AO60" s="85" t="str"/>
      <c r="AP60" s="85" t="str"/>
      <c r="AQ60" s="85" t="str"/>
      <c r="AR60" s="85" t="str"/>
      <c r="AS60" s="85" t="str"/>
      <c r="AT60" s="85" t="str"/>
      <c r="AU60" s="85" t="str"/>
      <c r="AV60" s="85"/>
      <c r="AW60" s="85">
        <f>IF(AND(Q60="✅", I60="U90"), "X="&amp;(U60-1)*16&amp;",Y="&amp;(V60-1)*16&amp;",Z="&amp;W60*16, "")</f>
      </c>
      <c r="AX60" s="85">
        <f>IF(AND(Q60="✅", I60="U90"), "P=90,Y=0,R=0", "")</f>
      </c>
      <c r="AY60" s="85" t="str"/>
      <c r="AZ60" s="85" t="str"/>
      <c r="BA60" s="85" t="str"/>
      <c r="BB60" s="85" t="str"/>
      <c r="BC60" s="85" t="str"/>
      <c r="BD60" s="85"/>
      <c r="BE60" s="85">
        <f>IF(AND(Q60="✅", I60="D90"), "X="&amp;(U60-1)*16&amp;",Y="&amp;(V60-1)*16&amp;",Z="&amp;(W60-2)*16, "")</f>
      </c>
      <c r="BF60" s="85">
        <f>IF(AND(Q60="✅", I60="D90"), "P=-90,Y=0,R=0", "")</f>
      </c>
      <c r="BG60" s="85" t="str"/>
      <c r="BH60" s="85" t="str"/>
      <c r="BI60" s="85" t="str"/>
      <c r="BJ60" s="85" t="str"/>
      <c r="BK60" s="85" t="str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</row>
    <row customHeight="true" hidden="true" ht="19" outlineLevel="3" r="61">
      <c r="A61" s="166" t="str" xml:space="preserve">
        <v> </v>
      </c>
      <c r="B61" s="166" t="str" xml:space="preserve">
        <v> </v>
      </c>
      <c r="C61" s="167" t="str" xml:space="preserve">
        <v> </v>
      </c>
      <c r="D61" s="167" t="str" xml:space="preserve">
        <v> </v>
      </c>
      <c r="E61" s="83">
        <f>E27</f>
      </c>
      <c r="F61" s="83">
        <f>IF(E61="", "", IF(G61="BP", E61, F60))</f>
      </c>
      <c r="G61" s="85"/>
      <c r="H61" s="85"/>
      <c r="I61" s="85"/>
      <c r="J61" s="85"/>
      <c r="K61" s="85"/>
      <c r="L61" s="85"/>
      <c r="M61" s="85" t="str">
        <v>R</v>
      </c>
      <c r="N61" s="105"/>
      <c r="O61" s="105"/>
      <c r="P61" s="86" t="str">
        <v>✅</v>
      </c>
      <c r="Q61" s="105"/>
      <c r="R61" s="102" t="str">
        <v>Straight_F_X1_Y1_Z1</v>
      </c>
      <c r="S61" s="83" t="str">
        <v>/Script/Engine.StaticMesh'/Game/Item/Rail/Straight/F/Normal/Straight_F_X1_Y1_Z1/Proxy/SM_Straight_F_X1_Y1_Z1_Proxy_R.SM_Straight_F_X1_Y1_Z1_Proxy_R'</v>
      </c>
      <c r="T61" s="168" t="str"/>
      <c r="U61" s="165"/>
      <c r="V61" s="165"/>
      <c r="W61" s="165"/>
      <c r="X61" s="85"/>
      <c r="Y61" s="85">
        <f>IF(AND(Q61="✅", OR(ISNUMBER(FIND("F",I61)), I61="CR")),   "X="&amp;U61*16&amp;",Y="&amp;(V61-1)*16&amp;",Z="&amp;IF(I61="FD", -(W61-1)*16, (W61-1)*16),   "")</f>
      </c>
      <c r="Z61" s="85">
        <f>IF(AND(Q61="✅", OR(ISNUMBER(FIND("F",I61)), I61="CR")), "P=0,Y=0,R=0", "")</f>
      </c>
      <c r="AA61" s="85" t="str"/>
      <c r="AB61" s="85" t="str"/>
      <c r="AC61" s="85" t="str"/>
      <c r="AD61" s="85" t="str"/>
      <c r="AE61" s="85" t="str"/>
      <c r="AF61" s="85"/>
      <c r="AG61" s="85" t="str"/>
      <c r="AH61" s="85" t="str"/>
      <c r="AI61" s="85" t="str"/>
      <c r="AJ61" s="85" t="str"/>
      <c r="AK61" s="85" t="str"/>
      <c r="AL61" s="85" t="str"/>
      <c r="AM61" s="85" t="str"/>
      <c r="AN61" s="85"/>
      <c r="AO61" s="85" t="str"/>
      <c r="AP61" s="85" t="str"/>
      <c r="AQ61" s="85" t="str"/>
      <c r="AR61" s="85" t="str"/>
      <c r="AS61" s="85" t="str"/>
      <c r="AT61" s="85" t="str"/>
      <c r="AU61" s="85" t="str"/>
      <c r="AV61" s="85"/>
      <c r="AW61" s="85">
        <f>IF(AND(Q61="✅", I61="U90"), "X="&amp;(U61-1)*16&amp;",Y="&amp;(V61-1)*16&amp;",Z="&amp;W61*16, "")</f>
      </c>
      <c r="AX61" s="85">
        <f>IF(AND(Q61="✅", I61="U90"), "P=90,Y=0,R=0", "")</f>
      </c>
      <c r="AY61" s="85" t="str"/>
      <c r="AZ61" s="85" t="str"/>
      <c r="BA61" s="85" t="str"/>
      <c r="BB61" s="85" t="str"/>
      <c r="BC61" s="85" t="str"/>
      <c r="BD61" s="85"/>
      <c r="BE61" s="85">
        <f>IF(AND(Q61="✅", I61="D90"), "X="&amp;(U61-1)*16&amp;",Y="&amp;(V61-1)*16&amp;",Z="&amp;(W61-2)*16, "")</f>
      </c>
      <c r="BF61" s="85">
        <f>IF(AND(Q61="✅", I61="D90"), "P=-90,Y=0,R=0", "")</f>
      </c>
      <c r="BG61" s="85" t="str"/>
      <c r="BH61" s="85" t="str"/>
      <c r="BI61" s="85" t="str"/>
      <c r="BJ61" s="85" t="str"/>
      <c r="BK61" s="85" t="str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</row>
    <row collapsed="true" customHeight="true" ht="19" outlineLevel="2" r="62">
      <c r="A62" s="14"/>
      <c r="B62" s="14"/>
      <c r="C62" s="147" t="str">
        <v>Borderless_L_Caved</v>
      </c>
      <c r="D62" s="147"/>
      <c r="E62" s="9"/>
      <c r="F62" s="9">
        <f>IF(E62="", "", IF(G62="BP", E62, F61))</f>
      </c>
      <c r="G62" s="4"/>
      <c r="H62" s="4"/>
      <c r="I62" s="4"/>
      <c r="J62" s="4"/>
      <c r="K62" s="4"/>
      <c r="L62" s="4"/>
      <c r="M62" s="4"/>
      <c r="N62" s="2"/>
      <c r="O62" s="3" t="str">
        <v>⭕</v>
      </c>
      <c r="P62" s="2"/>
      <c r="Q62" s="2"/>
      <c r="R62" s="4" t="str"/>
      <c r="S62" s="9" t="str"/>
      <c r="T62" s="150" t="str"/>
      <c r="U62" s="118"/>
      <c r="V62" s="118"/>
      <c r="W62" s="118"/>
      <c r="X62" s="4"/>
      <c r="Y62" s="4">
        <f>IF(AND(Q62="✅", OR(ISNUMBER(FIND("F",I62)), I62="CR")),   "X="&amp;U62*16&amp;",Y="&amp;(V62-1)*16&amp;",Z="&amp;IF(I62="FD", -(W62-1)*16, (W62-1)*16),   "")</f>
      </c>
      <c r="Z62" s="4">
        <f>IF(AND(Q62="✅", OR(ISNUMBER(FIND("F",I62)), I62="CR")), "P=0,Y=0,R=0", "")</f>
      </c>
      <c r="AA62" s="4" t="str"/>
      <c r="AB62" s="4" t="str"/>
      <c r="AC62" s="4" t="str"/>
      <c r="AD62" s="4" t="str"/>
      <c r="AE62" s="9" t="str"/>
      <c r="AF62" s="9"/>
      <c r="AG62" s="9" t="str"/>
      <c r="AH62" s="9" t="str"/>
      <c r="AI62" s="4" t="str"/>
      <c r="AJ62" s="4" t="str"/>
      <c r="AK62" s="4" t="str"/>
      <c r="AL62" s="4" t="str"/>
      <c r="AM62" s="4" t="str"/>
      <c r="AN62" s="4"/>
      <c r="AO62" s="4" t="str"/>
      <c r="AP62" s="4" t="str"/>
      <c r="AQ62" s="4" t="str"/>
      <c r="AR62" s="4" t="str"/>
      <c r="AS62" s="4" t="str"/>
      <c r="AT62" s="4" t="str"/>
      <c r="AU62" s="4" t="str"/>
      <c r="AV62" s="4"/>
      <c r="AW62" s="4">
        <f>IF(AND(Q62="✅", I62="U90"), "X="&amp;(U62-1)*16&amp;",Y="&amp;(V62-1)*16&amp;",Z="&amp;W62*16, "")</f>
      </c>
      <c r="AX62" s="4">
        <f>IF(AND(Q62="✅", I62="U90"), "P=90,Y=0,R=0", "")</f>
      </c>
      <c r="AY62" s="4" t="str"/>
      <c r="AZ62" s="4" t="str"/>
      <c r="BA62" s="4" t="str"/>
      <c r="BB62" s="4" t="str"/>
      <c r="BC62" s="4" t="str"/>
      <c r="BD62" s="4"/>
      <c r="BE62" s="4">
        <f>IF(AND(Q62="✅", I62="D90"), "X="&amp;(U62-1)*16&amp;",Y="&amp;(V62-1)*16&amp;",Z="&amp;(W62-2)*16, "")</f>
      </c>
      <c r="BF62" s="4">
        <f>IF(AND(Q62="✅", I62="D90"), "P=-90,Y=0,R=0", "")</f>
      </c>
      <c r="BG62" s="4" t="str"/>
      <c r="BH62" s="4" t="str"/>
      <c r="BI62" s="4" t="str"/>
      <c r="BJ62" s="4" t="str"/>
      <c r="BK62" s="4" t="str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</row>
    <row customHeight="true" hidden="true" ht="19" outlineLevel="3" r="63">
      <c r="A63" s="14"/>
      <c r="B63" s="14"/>
      <c r="C63" s="147"/>
      <c r="D63" s="147">
        <v>1</v>
      </c>
      <c r="E63" s="9"/>
      <c r="F63" s="9"/>
      <c r="G63" s="4"/>
      <c r="H63" s="4"/>
      <c r="I63" s="4"/>
      <c r="J63" s="4"/>
      <c r="K63" s="4"/>
      <c r="L63" s="4"/>
      <c r="M63" s="4"/>
      <c r="N63" s="2"/>
      <c r="O63" s="2"/>
      <c r="P63" s="2"/>
      <c r="Q63" s="2"/>
      <c r="R63" s="4" t="str"/>
      <c r="S63" s="9" t="str"/>
      <c r="T63" s="150" t="str"/>
      <c r="U63" s="118"/>
      <c r="V63" s="118"/>
      <c r="W63" s="118"/>
      <c r="X63" s="4"/>
      <c r="Y63" s="4">
        <f>IF(AND(Q63="✅", OR(ISNUMBER(FIND("F",I63)), I63="CR")),   "X="&amp;U63*16&amp;",Y="&amp;(V63-1)*16&amp;",Z="&amp;IF(I63="FD", -(W63-1)*16, (W63-1)*16),   "")</f>
      </c>
      <c r="Z63" s="4">
        <f>IF(AND(Q63="✅", OR(ISNUMBER(FIND("F",I63)), I63="CR")), "P=0,Y=0,R=0", "")</f>
      </c>
      <c r="AA63" s="4" t="str"/>
      <c r="AB63" s="4" t="str"/>
      <c r="AC63" s="4" t="str"/>
      <c r="AD63" s="4" t="str"/>
      <c r="AE63" s="9" t="str"/>
      <c r="AF63" s="9"/>
      <c r="AG63" s="9" t="str"/>
      <c r="AH63" s="9" t="str"/>
      <c r="AI63" s="4" t="str"/>
      <c r="AJ63" s="4" t="str"/>
      <c r="AK63" s="4" t="str"/>
      <c r="AL63" s="4" t="str"/>
      <c r="AM63" s="4" t="str"/>
      <c r="AN63" s="4"/>
      <c r="AO63" s="4" t="str"/>
      <c r="AP63" s="4" t="str"/>
      <c r="AQ63" s="4" t="str"/>
      <c r="AR63" s="4" t="str"/>
      <c r="AS63" s="4" t="str"/>
      <c r="AT63" s="4" t="str"/>
      <c r="AU63" s="4" t="str"/>
      <c r="AV63" s="4"/>
      <c r="AW63" s="4">
        <f>IF(AND(Q63="✅", I63="U90"), "X="&amp;(U63-1)*16&amp;",Y="&amp;(V63-1)*16&amp;",Z="&amp;W63*16, "")</f>
      </c>
      <c r="AX63" s="4">
        <f>IF(AND(Q63="✅", I63="U90"), "P=90,Y=0,R=0", "")</f>
      </c>
      <c r="AY63" s="4" t="str"/>
      <c r="AZ63" s="4" t="str"/>
      <c r="BA63" s="4" t="str"/>
      <c r="BB63" s="4" t="str"/>
      <c r="BC63" s="4" t="str"/>
      <c r="BD63" s="4"/>
      <c r="BE63" s="4">
        <f>IF(AND(Q63="✅", I63="D90"), "X="&amp;(U63-1)*16&amp;",Y="&amp;(V63-1)*16&amp;",Z="&amp;(W63-2)*16, "")</f>
      </c>
      <c r="BF63" s="4">
        <f>IF(AND(Q63="✅", I63="D90"), "P=-90,Y=0,R=0", "")</f>
      </c>
      <c r="BG63" s="4" t="str"/>
      <c r="BH63" s="4" t="str"/>
      <c r="BI63" s="4" t="str"/>
      <c r="BJ63" s="4" t="str"/>
      <c r="BK63" s="4" t="str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</row>
    <row customHeight="true" hidden="true" ht="19" outlineLevel="3" r="64">
      <c r="A64" s="114" t="str" xml:space="preserve">
        <v> </v>
      </c>
      <c r="B64" s="114" t="str" xml:space="preserve">
        <v> </v>
      </c>
      <c r="C64" s="169" t="str" xml:space="preserve">
        <v> </v>
      </c>
      <c r="D64" s="169" t="str" xml:space="preserve">
        <v> </v>
      </c>
      <c r="E64" s="62">
        <f>G64 &amp; "_" &amp; H64 &amp; IF(I64&lt;&gt;"", "_" &amp; I64, "") &amp; IF(J64&lt;&gt;"", "_" &amp; J64, "") &amp; IF(K64&lt;&gt;"", "_" &amp; K64, "") &amp;"_X"&amp;U64&amp;"_Y"&amp;V64&amp;"_Z"&amp;W64 &amp; IF(G64="SM", "_Proxy" , "_Rail") &amp; IF(M64&lt;&gt;"", "_" &amp; M64, "")</f>
      </c>
      <c r="F64" s="62">
        <f>IF(E64="", "", IF(G64="BP", E64, F62))</f>
      </c>
      <c r="G64" s="71" t="str">
        <v>BP</v>
      </c>
      <c r="H64" s="71" t="str">
        <v>Straight</v>
      </c>
      <c r="I64" s="71" t="str">
        <v>F</v>
      </c>
      <c r="J64" s="71" t="str">
        <v>Borderless_L</v>
      </c>
      <c r="K64" s="71" t="str">
        <v>Caved</v>
      </c>
      <c r="L64" s="71"/>
      <c r="M64" s="71"/>
      <c r="N64" s="59"/>
      <c r="O64" s="59"/>
      <c r="P64" s="59"/>
      <c r="Q64" s="59" t="str">
        <v>⭕</v>
      </c>
      <c r="R64" s="71" t="str"/>
      <c r="S64" s="62" t="str"/>
      <c r="T64" s="170">
        <v>0</v>
      </c>
      <c r="U64" s="145">
        <v>1</v>
      </c>
      <c r="V64" s="145">
        <v>1</v>
      </c>
      <c r="W64" s="145">
        <v>1</v>
      </c>
      <c r="X64" s="71"/>
      <c r="Y64" s="71">
        <f>IF(AND(Q64="✅", OR(ISNUMBER(FIND("F",I64)), I64="CR")),   "X="&amp;U64*16&amp;",Y="&amp;(V64-1)*16&amp;",Z="&amp;IF(I64="FD", -(W64-1)*16, (W64-1)*16),   "")</f>
      </c>
      <c r="Z64" s="71">
        <f>IF(AND(Q64="✅", OR(ISNUMBER(FIND("F",I64)), I64="CR")), "P=0,Y=0,R=0", "")</f>
      </c>
      <c r="AA64" s="71" t="str"/>
      <c r="AB64" s="71" t="str"/>
      <c r="AC64" s="71" t="str"/>
      <c r="AD64" s="71" t="str"/>
      <c r="AE64" s="62" t="str"/>
      <c r="AF64" s="62"/>
      <c r="AG64" s="62" t="str"/>
      <c r="AH64" s="62" t="str"/>
      <c r="AI64" s="71" t="str"/>
      <c r="AJ64" s="71" t="str"/>
      <c r="AK64" s="71" t="str"/>
      <c r="AL64" s="71" t="str"/>
      <c r="AM64" s="71" t="str"/>
      <c r="AN64" s="71"/>
      <c r="AO64" s="71" t="str"/>
      <c r="AP64" s="71" t="str"/>
      <c r="AQ64" s="71" t="str"/>
      <c r="AR64" s="71" t="str"/>
      <c r="AS64" s="71" t="str"/>
      <c r="AT64" s="71" t="str"/>
      <c r="AU64" s="71" t="str"/>
      <c r="AV64" s="71"/>
      <c r="AW64" s="71">
        <f>IF(AND(Q64="✅", I64="U90"), "X="&amp;(U64-1)*16&amp;",Y="&amp;(V64-1)*16&amp;",Z="&amp;W64*16, "")</f>
      </c>
      <c r="AX64" s="71">
        <f>IF(AND(Q64="✅", I64="U90"), "P=90,Y=0,R=0", "")</f>
      </c>
      <c r="AY64" s="71" t="str"/>
      <c r="AZ64" s="71" t="str"/>
      <c r="BA64" s="71" t="str"/>
      <c r="BB64" s="71" t="str"/>
      <c r="BC64" s="71" t="str"/>
      <c r="BD64" s="71"/>
      <c r="BE64" s="71">
        <f>IF(AND(Q64="✅", I64="D90"), "X="&amp;(U64-1)*16&amp;",Y="&amp;(V64-1)*16&amp;",Z="&amp;(W64-2)*16, "")</f>
      </c>
      <c r="BF64" s="71">
        <f>IF(AND(Q64="✅", I64="D90"), "P=-90,Y=0,R=0", "")</f>
      </c>
      <c r="BG64" s="71" t="str"/>
      <c r="BH64" s="71" t="str"/>
      <c r="BI64" s="71" t="str"/>
      <c r="BJ64" s="71" t="str"/>
      <c r="BK64" s="71" t="str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</row>
    <row customHeight="true" hidden="true" ht="19" outlineLevel="3" r="65">
      <c r="A65" s="114" t="str" xml:space="preserve">
        <v> </v>
      </c>
      <c r="B65" s="114" t="str" xml:space="preserve">
        <v> </v>
      </c>
      <c r="C65" s="169" t="str" xml:space="preserve">
        <v> </v>
      </c>
      <c r="D65" s="169" t="str" xml:space="preserve">
        <v> </v>
      </c>
      <c r="E65" s="62">
        <f>E51</f>
      </c>
      <c r="F65" s="62">
        <f>IF(E65="", "", IF(G65="BP", E65, F64))</f>
      </c>
      <c r="G65" s="71" t="str">
        <v>SM</v>
      </c>
      <c r="H65" s="71" t="str">
        <v>Straight</v>
      </c>
      <c r="I65" s="71" t="str">
        <v>F</v>
      </c>
      <c r="J65" s="71" t="str">
        <v>Borderless_L</v>
      </c>
      <c r="K65" s="71" t="str">
        <v>Caved</v>
      </c>
      <c r="L65" s="71"/>
      <c r="M65" s="71" t="str">
        <v>B</v>
      </c>
      <c r="N65" s="59"/>
      <c r="O65" s="59"/>
      <c r="P65" s="59" t="str">
        <v>⭕</v>
      </c>
      <c r="Q65" s="59"/>
      <c r="R65" s="71" t="str"/>
      <c r="S65" s="62" t="str">
        <v>/Script/Engine.StaticMesh'/Game/Item/Rail/Straight/F/Borderless_Caved/Straight_F_Borderless_Caved_X1_Y1_Z1/Proxy/SM_Straight_F_Borderless_Caved_X1_Y1_Z1_Proxy_BR.SM_Straight_F_Borderless_Caved_X1_Y1_Z1_Proxy_BR'</v>
      </c>
      <c r="T65" s="170" t="str"/>
      <c r="U65" s="145">
        <v>1</v>
      </c>
      <c r="V65" s="145">
        <v>1</v>
      </c>
      <c r="W65" s="145">
        <v>1</v>
      </c>
      <c r="X65" s="71"/>
      <c r="Y65" s="71">
        <f>IF(AND(Q65="✅", OR(ISNUMBER(FIND("F",I65)), I65="CR")),   "X="&amp;U65*16&amp;",Y="&amp;(V65-1)*16&amp;",Z="&amp;IF(I65="FD", -(W65-1)*16, (W65-1)*16),   "")</f>
      </c>
      <c r="Z65" s="71">
        <f>IF(AND(Q65="✅", OR(ISNUMBER(FIND("F",I65)), I65="CR")), "P=0,Y=0,R=0", "")</f>
      </c>
      <c r="AA65" s="71" t="str"/>
      <c r="AB65" s="71" t="str"/>
      <c r="AC65" s="71" t="str"/>
      <c r="AD65" s="71" t="str"/>
      <c r="AE65" s="71" t="str"/>
      <c r="AF65" s="71"/>
      <c r="AG65" s="71" t="str"/>
      <c r="AH65" s="71" t="str"/>
      <c r="AI65" s="71" t="str"/>
      <c r="AJ65" s="71" t="str"/>
      <c r="AK65" s="71" t="str"/>
      <c r="AL65" s="71" t="str"/>
      <c r="AM65" s="71" t="str"/>
      <c r="AN65" s="71"/>
      <c r="AO65" s="71" t="str"/>
      <c r="AP65" s="71" t="str"/>
      <c r="AQ65" s="71" t="str"/>
      <c r="AR65" s="71" t="str"/>
      <c r="AS65" s="71" t="str"/>
      <c r="AT65" s="71" t="str"/>
      <c r="AU65" s="71" t="str"/>
      <c r="AV65" s="71"/>
      <c r="AW65" s="71">
        <f>IF(AND(Q65="✅", I65="U90"), "X="&amp;(U65-1)*16&amp;",Y="&amp;(V65-1)*16&amp;",Z="&amp;W65*16, "")</f>
      </c>
      <c r="AX65" s="71">
        <f>IF(AND(Q65="✅", I65="U90"), "P=90,Y=0,R=0", "")</f>
      </c>
      <c r="AY65" s="71" t="str"/>
      <c r="AZ65" s="71" t="str"/>
      <c r="BA65" s="71" t="str"/>
      <c r="BB65" s="71" t="str"/>
      <c r="BC65" s="71" t="str"/>
      <c r="BD65" s="71"/>
      <c r="BE65" s="71">
        <f>IF(AND(Q65="✅", I65="D90"), "X="&amp;(U65-1)*16&amp;",Y="&amp;(V65-1)*16&amp;",Z="&amp;(W65-2)*16, "")</f>
      </c>
      <c r="BF65" s="71">
        <f>IF(AND(Q65="✅", I65="D90"), "P=-90,Y=0,R=0", "")</f>
      </c>
      <c r="BG65" s="71" t="str"/>
      <c r="BH65" s="71" t="str"/>
      <c r="BI65" s="71" t="str"/>
      <c r="BJ65" s="71" t="str"/>
      <c r="BK65" s="71" t="str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</row>
    <row customHeight="true" hidden="true" ht="19" outlineLevel="3" r="66">
      <c r="A66" s="114" t="str" xml:space="preserve">
        <v> </v>
      </c>
      <c r="B66" s="114" t="str" xml:space="preserve">
        <v> </v>
      </c>
      <c r="C66" s="169" t="str" xml:space="preserve">
        <v> </v>
      </c>
      <c r="D66" s="169" t="str" xml:space="preserve">
        <v> </v>
      </c>
      <c r="E66" s="62">
        <f>E32</f>
      </c>
      <c r="F66" s="62">
        <f>IF(E66="", "", IF(G66="BP", E66, F65))</f>
      </c>
      <c r="G66" s="71"/>
      <c r="H66" s="71"/>
      <c r="I66" s="71"/>
      <c r="J66" s="71"/>
      <c r="K66" s="71"/>
      <c r="L66" s="71"/>
      <c r="M66" s="71" t="str">
        <v>R</v>
      </c>
      <c r="N66" s="59"/>
      <c r="O66" s="59"/>
      <c r="P66" s="59" t="str">
        <v>✅</v>
      </c>
      <c r="Q66" s="59"/>
      <c r="R66" s="71" t="str">
        <v>Straight_F_X4_Y1_Z1</v>
      </c>
      <c r="S66" s="62" t="str"/>
      <c r="T66" s="170" t="str"/>
      <c r="U66" s="145"/>
      <c r="V66" s="145"/>
      <c r="W66" s="145"/>
      <c r="X66" s="71"/>
      <c r="Y66" s="71">
        <f>IF(AND(Q66="✅", OR(ISNUMBER(FIND("F",I66)), I66="CR")),   "X="&amp;U66*16&amp;",Y="&amp;(V66-1)*16&amp;",Z="&amp;IF(I66="FD", -(W66-1)*16, (W66-1)*16),   "")</f>
      </c>
      <c r="Z66" s="71">
        <f>IF(AND(Q66="✅", OR(ISNUMBER(FIND("F",I66)), I66="CR")), "P=0,Y=0,R=0", "")</f>
      </c>
      <c r="AA66" s="71" t="str"/>
      <c r="AB66" s="71" t="str"/>
      <c r="AC66" s="71" t="str"/>
      <c r="AD66" s="71" t="str"/>
      <c r="AE66" s="71" t="str"/>
      <c r="AF66" s="71"/>
      <c r="AG66" s="71" t="str"/>
      <c r="AH66" s="71" t="str"/>
      <c r="AI66" s="71" t="str"/>
      <c r="AJ66" s="71" t="str"/>
      <c r="AK66" s="71" t="str"/>
      <c r="AL66" s="71" t="str"/>
      <c r="AM66" s="71" t="str"/>
      <c r="AN66" s="71"/>
      <c r="AO66" s="71" t="str"/>
      <c r="AP66" s="71" t="str"/>
      <c r="AQ66" s="71" t="str"/>
      <c r="AR66" s="71" t="str"/>
      <c r="AS66" s="71" t="str"/>
      <c r="AT66" s="71" t="str"/>
      <c r="AU66" s="71" t="str"/>
      <c r="AV66" s="71"/>
      <c r="AW66" s="71">
        <f>IF(AND(Q66="✅", I66="U90"), "X="&amp;(U66-1)*16&amp;",Y="&amp;(V66-1)*16&amp;",Z="&amp;W66*16, "")</f>
      </c>
      <c r="AX66" s="71">
        <f>IF(AND(Q66="✅", I66="U90"), "P=90,Y=0,R=0", "")</f>
      </c>
      <c r="AY66" s="71" t="str"/>
      <c r="AZ66" s="71" t="str"/>
      <c r="BA66" s="71" t="str"/>
      <c r="BB66" s="71" t="str"/>
      <c r="BC66" s="71" t="str"/>
      <c r="BD66" s="71"/>
      <c r="BE66" s="71">
        <f>IF(AND(Q66="✅", I66="D90"), "X="&amp;(U66-1)*16&amp;",Y="&amp;(V66-1)*16&amp;",Z="&amp;(W66-2)*16, "")</f>
      </c>
      <c r="BF66" s="71">
        <f>IF(AND(Q66="✅", I66="D90"), "P=-90,Y=0,R=0", "")</f>
      </c>
      <c r="BG66" s="71" t="str"/>
      <c r="BH66" s="71" t="str"/>
      <c r="BI66" s="71" t="str"/>
      <c r="BJ66" s="71" t="str"/>
      <c r="BK66" s="71" t="str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</row>
    <row collapsed="true" customHeight="true" ht="19" outlineLevel="2" r="67">
      <c r="A67" s="11"/>
      <c r="B67" s="11"/>
      <c r="C67" s="119" t="str">
        <v>Borderless_R</v>
      </c>
      <c r="D67" s="119"/>
      <c r="E67" s="5"/>
      <c r="F67" s="9">
        <f>IF(E67="", "", IF(G67="BP", E67, F61))</f>
      </c>
      <c r="G67" s="1"/>
      <c r="H67" s="1"/>
      <c r="I67" s="1"/>
      <c r="J67" s="1"/>
      <c r="K67" s="1"/>
      <c r="L67" s="1"/>
      <c r="M67" s="1"/>
      <c r="N67" s="3"/>
      <c r="O67" s="3" t="str">
        <v>✅</v>
      </c>
      <c r="P67" s="3"/>
      <c r="Q67" s="3"/>
      <c r="R67" s="1" t="str"/>
      <c r="S67" s="9" t="str"/>
      <c r="T67" s="120" t="str"/>
      <c r="U67" s="118"/>
      <c r="V67" s="118"/>
      <c r="W67" s="118"/>
      <c r="X67" s="4"/>
      <c r="Y67" s="4">
        <f>IF(AND(Q67="✅", OR(ISNUMBER(FIND("F",I67)), I67="CR")),   "X="&amp;U67*16&amp;",Y="&amp;(V67-1)*16&amp;",Z="&amp;IF(I67="FD", -(W67-1)*16, (W67-1)*16),   "")</f>
      </c>
      <c r="Z67" s="4">
        <f>IF(AND(Q67="✅", OR(ISNUMBER(FIND("F",I67)), I67="CR")), "P=0,Y=0,R=0", "")</f>
      </c>
      <c r="AA67" s="4" t="str"/>
      <c r="AB67" s="4" t="str"/>
      <c r="AC67" s="4" t="str"/>
      <c r="AD67" s="4" t="str"/>
      <c r="AE67" s="4" t="str"/>
      <c r="AF67" s="4"/>
      <c r="AG67" s="4" t="str"/>
      <c r="AH67" s="4" t="str"/>
      <c r="AI67" s="4" t="str"/>
      <c r="AJ67" s="4" t="str"/>
      <c r="AK67" s="4" t="str"/>
      <c r="AL67" s="4" t="str"/>
      <c r="AM67" s="4" t="str"/>
      <c r="AN67" s="4"/>
      <c r="AO67" s="4" t="str"/>
      <c r="AP67" s="4" t="str"/>
      <c r="AQ67" s="4" t="str"/>
      <c r="AR67" s="4" t="str"/>
      <c r="AS67" s="4" t="str"/>
      <c r="AT67" s="4" t="str"/>
      <c r="AU67" s="4" t="str"/>
      <c r="AV67" s="4"/>
      <c r="AW67" s="4">
        <f>IF(AND(Q67="✅", I67="U90"), "X="&amp;(U67-1)*16&amp;",Y="&amp;(V67-1)*16&amp;",Z="&amp;W67*16, "")</f>
      </c>
      <c r="AX67" s="4">
        <f>IF(AND(Q67="✅", I67="U90"), "P=90,Y=0,R=0", "")</f>
      </c>
      <c r="AY67" s="4" t="str"/>
      <c r="AZ67" s="4" t="str"/>
      <c r="BA67" s="4" t="str"/>
      <c r="BB67" s="4" t="str"/>
      <c r="BC67" s="4" t="str"/>
      <c r="BD67" s="4"/>
      <c r="BE67" s="4">
        <f>IF(AND(Q67="✅", I67="D90"), "X="&amp;(U67-1)*16&amp;",Y="&amp;(V67-1)*16&amp;",Z="&amp;(W67-2)*16, "")</f>
      </c>
      <c r="BF67" s="4">
        <f>IF(AND(Q67="✅", I67="D90"), "P=-90,Y=0,R=0", "")</f>
      </c>
      <c r="BG67" s="4" t="str"/>
      <c r="BH67" s="4" t="str"/>
      <c r="BI67" s="4" t="str"/>
      <c r="BJ67" s="4" t="str"/>
      <c r="BK67" s="4" t="str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</row>
    <row customHeight="true" hidden="true" ht="19" outlineLevel="3" r="68">
      <c r="A68" s="11"/>
      <c r="B68" s="11"/>
      <c r="C68" s="119"/>
      <c r="D68" s="119">
        <v>1</v>
      </c>
      <c r="E68" s="5"/>
      <c r="F68" s="9"/>
      <c r="G68" s="1"/>
      <c r="H68" s="1"/>
      <c r="I68" s="1"/>
      <c r="J68" s="1"/>
      <c r="K68" s="1"/>
      <c r="L68" s="1"/>
      <c r="M68" s="1"/>
      <c r="N68" s="3"/>
      <c r="O68" s="3"/>
      <c r="P68" s="3"/>
      <c r="Q68" s="3"/>
      <c r="R68" s="1" t="str"/>
      <c r="S68" s="9" t="str"/>
      <c r="T68" s="120" t="str"/>
      <c r="U68" s="118"/>
      <c r="V68" s="118"/>
      <c r="W68" s="118"/>
      <c r="X68" s="4"/>
      <c r="Y68" s="4"/>
      <c r="Z68" s="4"/>
      <c r="AA68" s="4" t="str"/>
      <c r="AB68" s="4" t="str"/>
      <c r="AC68" s="4" t="str"/>
      <c r="AD68" s="4" t="str"/>
      <c r="AE68" s="4" t="str"/>
      <c r="AF68" s="4"/>
      <c r="AG68" s="4" t="str"/>
      <c r="AH68" s="4" t="str"/>
      <c r="AI68" s="4" t="str"/>
      <c r="AJ68" s="4" t="str"/>
      <c r="AK68" s="4" t="str"/>
      <c r="AL68" s="4" t="str"/>
      <c r="AM68" s="4" t="str"/>
      <c r="AN68" s="4"/>
      <c r="AO68" s="4" t="str"/>
      <c r="AP68" s="4" t="str"/>
      <c r="AQ68" s="4" t="str"/>
      <c r="AR68" s="4" t="str"/>
      <c r="AS68" s="4" t="str"/>
      <c r="AT68" s="4" t="str"/>
      <c r="AU68" s="4" t="str"/>
      <c r="AV68" s="4"/>
      <c r="AW68" s="4"/>
      <c r="AX68" s="4"/>
      <c r="AY68" s="4" t="str"/>
      <c r="AZ68" s="4" t="str"/>
      <c r="BA68" s="4" t="str"/>
      <c r="BB68" s="4" t="str"/>
      <c r="BC68" s="4" t="str"/>
      <c r="BD68" s="4"/>
      <c r="BE68" s="4"/>
      <c r="BF68" s="4"/>
      <c r="BG68" s="4" t="str"/>
      <c r="BH68" s="4" t="str"/>
      <c r="BI68" s="4" t="str"/>
      <c r="BJ68" s="4" t="str"/>
      <c r="BK68" s="4" t="str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</row>
    <row hidden="true" outlineLevel="3" r="69">
      <c r="A69" s="122" t="str" xml:space="preserve">
        <v> </v>
      </c>
      <c r="B69" s="122" t="str" xml:space="preserve">
        <v> </v>
      </c>
      <c r="C69" s="123" t="str" xml:space="preserve">
        <v> </v>
      </c>
      <c r="D69" s="123" t="str" xml:space="preserve">
        <v> </v>
      </c>
      <c r="E69" s="36">
        <f>G69 &amp; "_" &amp; H69 &amp; IF(I69&lt;&gt;"", "_" &amp; I69, "") &amp; IF(J69&lt;&gt;"", "_" &amp; J69, "") &amp; IF(K69&lt;&gt;"", "_" &amp; K69, "") &amp;"_X"&amp;U69&amp;"_Y"&amp;V69&amp;"_Z"&amp;W69 &amp; IF(G69="SM", "_Proxy" , "_Rail") &amp; IF(M69&lt;&gt;"", "_" &amp; M69, "")</f>
      </c>
      <c r="F69" s="37">
        <f>IF(E69="", "", IF(G69="BP", E69, F67))</f>
      </c>
      <c r="G69" s="35" t="str">
        <v>BP</v>
      </c>
      <c r="H69" s="35" t="str">
        <v>Straight</v>
      </c>
      <c r="I69" s="35" t="str">
        <v>F</v>
      </c>
      <c r="J69" s="35" t="str">
        <v>Borderless_R</v>
      </c>
      <c r="K69" s="35"/>
      <c r="L69" s="35"/>
      <c r="M69" s="35"/>
      <c r="N69" s="72"/>
      <c r="O69" s="72"/>
      <c r="P69" s="72"/>
      <c r="Q69" s="72" t="str">
        <v>✅</v>
      </c>
      <c r="R69" s="35" t="str">
        <v>Straight_F_Borderless_R_X1_Y1_Z1</v>
      </c>
      <c r="S69" s="37" t="str">
        <v>/Script/Engine.BlueprintGeneratedClass'/Game/Item/Rail/Straight/F/Borderless_R/Straight_F_Borderless_R_X1_Y1_Z1/BP_Straight_F_Borderless_R_X1_Y1_Z1_Rail.BP_Straight_F_Borderless_R_X1_Y1_Z1_Rail_C'</v>
      </c>
      <c r="T69" s="124">
        <v>1</v>
      </c>
      <c r="U69" s="121">
        <v>1</v>
      </c>
      <c r="V69" s="121">
        <v>1</v>
      </c>
      <c r="W69" s="121">
        <v>1</v>
      </c>
      <c r="X69" s="38"/>
      <c r="Y69" s="38">
        <f>IF(AND(Q69="✅", OR(ISNUMBER(FIND("F",I69)), I69="CR")),   "X="&amp;U69*16&amp;",Y="&amp;(V69-1)*16&amp;",Z="&amp;IF(I69="FD", -(W69-1)*16, (W69-1)*16),   "")</f>
      </c>
      <c r="Z69" s="38">
        <f>IF(AND(Q69="✅", OR(ISNUMBER(FIND("F",I69)), I69="CR")), "P=0,Y=0,R=0", "")</f>
      </c>
      <c r="AA69" s="38">
        <v>1</v>
      </c>
      <c r="AB69" s="38">
        <v>1.5</v>
      </c>
      <c r="AC69" s="38">
        <v>2</v>
      </c>
      <c r="AD69" s="38">
        <v>1.5</v>
      </c>
      <c r="AE69" s="38" t="str">
        <v>X=1,Y=1.5,Z=2,W=1.5</v>
      </c>
      <c r="AF69" s="38"/>
      <c r="AG69" s="38" t="str"/>
      <c r="AH69" s="38" t="str"/>
      <c r="AI69" s="38" t="str"/>
      <c r="AJ69" s="38" t="str"/>
      <c r="AK69" s="38" t="str"/>
      <c r="AL69" s="38" t="str"/>
      <c r="AM69" s="38" t="str"/>
      <c r="AN69" s="38"/>
      <c r="AO69" s="38" t="str"/>
      <c r="AP69" s="38" t="str"/>
      <c r="AQ69" s="38" t="str"/>
      <c r="AR69" s="38" t="str"/>
      <c r="AS69" s="38" t="str"/>
      <c r="AT69" s="38" t="str"/>
      <c r="AU69" s="38" t="str"/>
      <c r="AV69" s="38"/>
      <c r="AW69" s="38">
        <f>IF(AND(Q69="✅", I69="U90"), "X="&amp;(U69-1)*16&amp;",Y="&amp;(V69-1)*16&amp;",Z="&amp;W69*16, "")</f>
      </c>
      <c r="AX69" s="38">
        <f>IF(AND(Q69="✅", I69="U90"), "P=90,Y=0,R=0", "")</f>
      </c>
      <c r="AY69" s="38" t="str"/>
      <c r="AZ69" s="38" t="str"/>
      <c r="BA69" s="38" t="str"/>
      <c r="BB69" s="38" t="str"/>
      <c r="BC69" s="38" t="str"/>
      <c r="BD69" s="38"/>
      <c r="BE69" s="38">
        <f>IF(AND(Q69="✅", I69="D90"), "X="&amp;(U69-1)*16&amp;",Y="&amp;(V69-1)*16&amp;",Z="&amp;(W69-2)*16, "")</f>
      </c>
      <c r="BF69" s="38">
        <f>IF(AND(Q69="✅", I69="D90"), "P=-90,Y=0,R=0", "")</f>
      </c>
      <c r="BG69" s="38" t="str"/>
      <c r="BH69" s="38" t="str"/>
      <c r="BI69" s="38" t="str"/>
      <c r="BJ69" s="38" t="str"/>
      <c r="BK69" s="38" t="str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</row>
    <row customHeight="true" hidden="true" ht="19" outlineLevel="3" r="70">
      <c r="A70" s="122" t="str" xml:space="preserve">
        <v> </v>
      </c>
      <c r="B70" s="122" t="str" xml:space="preserve">
        <v> </v>
      </c>
      <c r="C70" s="123" t="str" xml:space="preserve">
        <v> </v>
      </c>
      <c r="D70" s="123" t="str" xml:space="preserve">
        <v> </v>
      </c>
      <c r="E70" s="36">
        <f>E25</f>
      </c>
      <c r="F70" s="37">
        <f>IF(E70="", "", IF(G70="BP", E70, F69))</f>
      </c>
      <c r="G70" s="35"/>
      <c r="H70" s="35"/>
      <c r="I70" s="35"/>
      <c r="J70" s="35"/>
      <c r="K70" s="35"/>
      <c r="L70" s="35"/>
      <c r="M70" s="35" t="str">
        <v>B</v>
      </c>
      <c r="N70" s="72"/>
      <c r="O70" s="72"/>
      <c r="P70" s="72" t="str">
        <v>✅</v>
      </c>
      <c r="Q70" s="72"/>
      <c r="R70" s="35" t="str">
        <v>Straight_F_X1_Y1_Z1</v>
      </c>
      <c r="S70" s="37" t="str">
        <v>/Script/Engine.StaticMesh'/Game/Item/Rail/Straight/F/Normal/Straight_F_X1_Y1_Z1/Proxy/SM_Straight_F_X1_Y1_Z1_Proxy_B.SM_Straight_F_X1_Y1_Z1_Proxy_B'</v>
      </c>
      <c r="T70" s="124" t="str"/>
      <c r="U70" s="121"/>
      <c r="V70" s="121"/>
      <c r="W70" s="121"/>
      <c r="X70" s="38"/>
      <c r="Y70" s="38">
        <f>IF(AND(Q70="✅", OR(ISNUMBER(FIND("F",I70)), I70="CR")),   "X="&amp;U70*16&amp;",Y="&amp;(V70-1)*16&amp;",Z="&amp;IF(I70="FD", -(W70-1)*16, (W70-1)*16),   "")</f>
      </c>
      <c r="Z70" s="38">
        <f>IF(AND(Q70="✅", OR(ISNUMBER(FIND("F",I70)), I70="CR")), "P=0,Y=0,R=0", "")</f>
      </c>
      <c r="AA70" s="38" t="str"/>
      <c r="AB70" s="38" t="str"/>
      <c r="AC70" s="38" t="str"/>
      <c r="AD70" s="38" t="str"/>
      <c r="AE70" s="38" t="str"/>
      <c r="AF70" s="38"/>
      <c r="AG70" s="38" t="str"/>
      <c r="AH70" s="38" t="str"/>
      <c r="AI70" s="38" t="str"/>
      <c r="AJ70" s="38" t="str"/>
      <c r="AK70" s="38" t="str"/>
      <c r="AL70" s="38" t="str"/>
      <c r="AM70" s="38" t="str"/>
      <c r="AN70" s="38"/>
      <c r="AO70" s="38" t="str"/>
      <c r="AP70" s="38" t="str"/>
      <c r="AQ70" s="38" t="str"/>
      <c r="AR70" s="38" t="str"/>
      <c r="AS70" s="38" t="str"/>
      <c r="AT70" s="38" t="str"/>
      <c r="AU70" s="38" t="str"/>
      <c r="AV70" s="38"/>
      <c r="AW70" s="38">
        <f>IF(AND(Q70="✅", I70="U90"), "X="&amp;(U70-1)*16&amp;",Y="&amp;(V70-1)*16&amp;",Z="&amp;W70*16, "")</f>
      </c>
      <c r="AX70" s="38">
        <f>IF(AND(Q70="✅", I70="U90"), "P=90,Y=0,R=0", "")</f>
      </c>
      <c r="AY70" s="38" t="str"/>
      <c r="AZ70" s="38" t="str"/>
      <c r="BA70" s="38" t="str"/>
      <c r="BB70" s="38" t="str"/>
      <c r="BC70" s="38" t="str"/>
      <c r="BD70" s="38"/>
      <c r="BE70" s="38">
        <f>IF(AND(Q70="✅", I70="D90"), "X="&amp;(U70-1)*16&amp;",Y="&amp;(V70-1)*16&amp;",Z="&amp;(W70-2)*16, "")</f>
      </c>
      <c r="BF70" s="38">
        <f>IF(AND(Q70="✅", I70="D90"), "P=-90,Y=0,R=0", "")</f>
      </c>
      <c r="BG70" s="38" t="str"/>
      <c r="BH70" s="38" t="str"/>
      <c r="BI70" s="38" t="str"/>
      <c r="BJ70" s="38" t="str"/>
      <c r="BK70" s="38" t="str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</row>
    <row customHeight="true" hidden="true" ht="19" outlineLevel="3" r="71">
      <c r="A71" s="122" t="str" xml:space="preserve">
        <v> </v>
      </c>
      <c r="B71" s="122" t="str" xml:space="preserve">
        <v> </v>
      </c>
      <c r="C71" s="123" t="str" xml:space="preserve">
        <v> </v>
      </c>
      <c r="D71" s="123" t="str" xml:space="preserve">
        <v> </v>
      </c>
      <c r="E71" s="36">
        <f>E26</f>
      </c>
      <c r="F71" s="37">
        <f>IF(E71="", "", IF(G71="BP", E71, F70))</f>
      </c>
      <c r="G71" s="35"/>
      <c r="H71" s="35"/>
      <c r="I71" s="35"/>
      <c r="J71" s="35"/>
      <c r="K71" s="35"/>
      <c r="L71" s="35"/>
      <c r="M71" s="35" t="str">
        <v>L</v>
      </c>
      <c r="N71" s="72"/>
      <c r="O71" s="72"/>
      <c r="P71" s="72" t="str">
        <v>✅</v>
      </c>
      <c r="Q71" s="72"/>
      <c r="R71" s="35" t="str">
        <v>Straight_F_X1_Y1_Z1</v>
      </c>
      <c r="S71" s="37" t="str">
        <v>/Script/Engine.StaticMesh'/Game/Item/Rail/Straight/F/Normal/Straight_F_X1_Y1_Z1/Proxy/SM_Straight_F_X1_Y1_Z1_Proxy_L.SM_Straight_F_X1_Y1_Z1_Proxy_L'</v>
      </c>
      <c r="T71" s="124" t="str"/>
      <c r="U71" s="121"/>
      <c r="V71" s="121"/>
      <c r="W71" s="121"/>
      <c r="X71" s="38"/>
      <c r="Y71" s="38">
        <f>IF(AND(Q71="✅", OR(ISNUMBER(FIND("F",I71)), I71="CR")),   "X="&amp;U71*16&amp;",Y="&amp;(V71-1)*16&amp;",Z="&amp;IF(I71="FD", -(W71-1)*16, (W71-1)*16),   "")</f>
      </c>
      <c r="Z71" s="38">
        <f>IF(AND(Q71="✅", OR(ISNUMBER(FIND("F",I71)), I71="CR")), "P=0,Y=0,R=0", "")</f>
      </c>
      <c r="AA71" s="38" t="str"/>
      <c r="AB71" s="38" t="str"/>
      <c r="AC71" s="38" t="str"/>
      <c r="AD71" s="38" t="str"/>
      <c r="AE71" s="38" t="str"/>
      <c r="AF71" s="38"/>
      <c r="AG71" s="38" t="str"/>
      <c r="AH71" s="38" t="str"/>
      <c r="AI71" s="38" t="str"/>
      <c r="AJ71" s="38" t="str"/>
      <c r="AK71" s="38" t="str"/>
      <c r="AL71" s="38" t="str"/>
      <c r="AM71" s="38" t="str"/>
      <c r="AN71" s="38"/>
      <c r="AO71" s="38" t="str"/>
      <c r="AP71" s="38" t="str"/>
      <c r="AQ71" s="38" t="str"/>
      <c r="AR71" s="38" t="str"/>
      <c r="AS71" s="38" t="str"/>
      <c r="AT71" s="38" t="str"/>
      <c r="AU71" s="38" t="str"/>
      <c r="AV71" s="38"/>
      <c r="AW71" s="38">
        <f>IF(AND(Q71="✅", I71="U90"), "X="&amp;(U71-1)*16&amp;",Y="&amp;(V71-1)*16&amp;",Z="&amp;W71*16, "")</f>
      </c>
      <c r="AX71" s="38">
        <f>IF(AND(Q71="✅", I71="U90"), "P=90,Y=0,R=0", "")</f>
      </c>
      <c r="AY71" s="38" t="str"/>
      <c r="AZ71" s="38" t="str"/>
      <c r="BA71" s="38" t="str"/>
      <c r="BB71" s="38" t="str"/>
      <c r="BC71" s="38" t="str"/>
      <c r="BD71" s="38"/>
      <c r="BE71" s="38">
        <f>IF(AND(Q71="✅", I71="D90"), "X="&amp;(U71-1)*16&amp;",Y="&amp;(V71-1)*16&amp;",Z="&amp;(W71-2)*16, "")</f>
      </c>
      <c r="BF71" s="38">
        <f>IF(AND(Q71="✅", I71="D90"), "P=-90,Y=0,R=0", "")</f>
      </c>
      <c r="BG71" s="38" t="str"/>
      <c r="BH71" s="38" t="str"/>
      <c r="BI71" s="38" t="str"/>
      <c r="BJ71" s="38" t="str"/>
      <c r="BK71" s="38" t="str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</row>
    <row collapsed="true" customHeight="true" ht="19" outlineLevel="2" r="72">
      <c r="A72" s="11"/>
      <c r="B72" s="11"/>
      <c r="C72" s="119" t="str">
        <v>Borderless_R_HoleInRail</v>
      </c>
      <c r="D72" s="119"/>
      <c r="E72" s="5"/>
      <c r="F72" s="9">
        <f>IF(E72="", "", IF(G72="BP", E72, F71))</f>
      </c>
      <c r="G72" s="1"/>
      <c r="H72" s="1"/>
      <c r="I72" s="1"/>
      <c r="J72" s="1"/>
      <c r="K72" s="1"/>
      <c r="L72" s="1"/>
      <c r="M72" s="1"/>
      <c r="N72" s="3"/>
      <c r="O72" s="3" t="str">
        <v>⭕</v>
      </c>
      <c r="P72" s="3"/>
      <c r="Q72" s="3"/>
      <c r="R72" s="1" t="str"/>
      <c r="S72" s="9" t="str"/>
      <c r="T72" s="120" t="str"/>
      <c r="U72" s="118"/>
      <c r="V72" s="118"/>
      <c r="W72" s="118"/>
      <c r="X72" s="4"/>
      <c r="Y72" s="4">
        <f>IF(AND(Q72="✅", OR(ISNUMBER(FIND("F",I72)), I72="CR")),   "X="&amp;U72*16&amp;",Y="&amp;(V72-1)*16&amp;",Z="&amp;IF(I72="FD", -(W72-1)*16, (W72-1)*16),   "")</f>
      </c>
      <c r="Z72" s="4">
        <f>IF(AND(Q72="✅", OR(ISNUMBER(FIND("F",I72)), I72="CR")), "P=0,Y=0,R=0", "")</f>
      </c>
      <c r="AA72" s="4" t="str"/>
      <c r="AB72" s="4" t="str"/>
      <c r="AC72" s="4" t="str"/>
      <c r="AD72" s="4" t="str"/>
      <c r="AE72" s="4" t="str"/>
      <c r="AF72" s="4"/>
      <c r="AG72" s="4" t="str"/>
      <c r="AH72" s="4" t="str"/>
      <c r="AI72" s="4" t="str"/>
      <c r="AJ72" s="4" t="str"/>
      <c r="AK72" s="4" t="str"/>
      <c r="AL72" s="4" t="str"/>
      <c r="AM72" s="4" t="str"/>
      <c r="AN72" s="4"/>
      <c r="AO72" s="4" t="str"/>
      <c r="AP72" s="4" t="str"/>
      <c r="AQ72" s="4" t="str"/>
      <c r="AR72" s="4" t="str"/>
      <c r="AS72" s="4" t="str"/>
      <c r="AT72" s="4" t="str"/>
      <c r="AU72" s="4" t="str"/>
      <c r="AV72" s="4"/>
      <c r="AW72" s="4">
        <f>IF(AND(Q72="✅", I72="U90"), "X="&amp;(U72-1)*16&amp;",Y="&amp;(V72-1)*16&amp;",Z="&amp;W72*16, "")</f>
      </c>
      <c r="AX72" s="4">
        <f>IF(AND(Q72="✅", I72="U90"), "P=90,Y=0,R=0", "")</f>
      </c>
      <c r="AY72" s="4" t="str"/>
      <c r="AZ72" s="4" t="str"/>
      <c r="BA72" s="4" t="str"/>
      <c r="BB72" s="4" t="str"/>
      <c r="BC72" s="4" t="str"/>
      <c r="BD72" s="4"/>
      <c r="BE72" s="4">
        <f>IF(AND(Q72="✅", I72="D90"), "X="&amp;(U72-1)*16&amp;",Y="&amp;(V72-1)*16&amp;",Z="&amp;(W72-2)*16, "")</f>
      </c>
      <c r="BF72" s="4">
        <f>IF(AND(Q72="✅", I72="D90"), "P=-90,Y=0,R=0", "")</f>
      </c>
      <c r="BG72" s="4" t="str"/>
      <c r="BH72" s="4" t="str"/>
      <c r="BI72" s="4" t="str"/>
      <c r="BJ72" s="4" t="str"/>
      <c r="BK72" s="4" t="str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</row>
    <row customHeight="true" hidden="true" ht="19" outlineLevel="3" r="73">
      <c r="A73" s="11"/>
      <c r="B73" s="11"/>
      <c r="C73" s="119"/>
      <c r="D73" s="119">
        <v>1</v>
      </c>
      <c r="E73" s="5"/>
      <c r="F73" s="9"/>
      <c r="G73" s="1"/>
      <c r="H73" s="1"/>
      <c r="I73" s="1"/>
      <c r="J73" s="1"/>
      <c r="K73" s="1"/>
      <c r="L73" s="1"/>
      <c r="M73" s="1"/>
      <c r="N73" s="3"/>
      <c r="O73" s="3"/>
      <c r="P73" s="3"/>
      <c r="Q73" s="3"/>
      <c r="R73" s="1" t="str"/>
      <c r="S73" s="9" t="str"/>
      <c r="T73" s="120" t="str"/>
      <c r="U73" s="118"/>
      <c r="V73" s="118"/>
      <c r="W73" s="118"/>
      <c r="X73" s="4"/>
      <c r="Y73" s="4"/>
      <c r="Z73" s="4"/>
      <c r="AA73" s="4" t="str"/>
      <c r="AB73" s="4" t="str"/>
      <c r="AC73" s="4" t="str"/>
      <c r="AD73" s="4" t="str"/>
      <c r="AE73" s="4" t="str"/>
      <c r="AF73" s="4"/>
      <c r="AG73" s="4" t="str"/>
      <c r="AH73" s="4" t="str"/>
      <c r="AI73" s="4" t="str"/>
      <c r="AJ73" s="4" t="str"/>
      <c r="AK73" s="4" t="str"/>
      <c r="AL73" s="4" t="str"/>
      <c r="AM73" s="4" t="str"/>
      <c r="AN73" s="4"/>
      <c r="AO73" s="4" t="str"/>
      <c r="AP73" s="4" t="str"/>
      <c r="AQ73" s="4" t="str"/>
      <c r="AR73" s="4" t="str"/>
      <c r="AS73" s="4" t="str"/>
      <c r="AT73" s="4" t="str"/>
      <c r="AU73" s="4" t="str"/>
      <c r="AV73" s="4"/>
      <c r="AW73" s="4"/>
      <c r="AX73" s="4"/>
      <c r="AY73" s="4" t="str"/>
      <c r="AZ73" s="4" t="str"/>
      <c r="BA73" s="4" t="str"/>
      <c r="BB73" s="4" t="str"/>
      <c r="BC73" s="4" t="str"/>
      <c r="BD73" s="4"/>
      <c r="BE73" s="4"/>
      <c r="BF73" s="4"/>
      <c r="BG73" s="4" t="str"/>
      <c r="BH73" s="4" t="str"/>
      <c r="BI73" s="4" t="str"/>
      <c r="BJ73" s="4" t="str"/>
      <c r="BK73" s="4" t="str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</row>
    <row hidden="true" outlineLevel="3" r="74">
      <c r="A74" s="159" t="str" xml:space="preserve">
        <v> </v>
      </c>
      <c r="B74" s="159" t="str" xml:space="preserve">
        <v> </v>
      </c>
      <c r="C74" s="157" t="str" xml:space="preserve">
        <v> </v>
      </c>
      <c r="D74" s="157" t="str" xml:space="preserve">
        <v> </v>
      </c>
      <c r="E74" s="28">
        <f>G74 &amp; "_" &amp; H74 &amp; IF(I74&lt;&gt;"", "_" &amp; I74, "") &amp; IF(J74&lt;&gt;"", "_" &amp; J74, "") &amp; IF(K74&lt;&gt;"", "_" &amp; K74, "") &amp;"_X"&amp;U74&amp;"_Y"&amp;V74&amp;"_Z"&amp;W74 &amp; IF(G74="SM", "_Proxy" , "_Rail") &amp; IF(M74&lt;&gt;"", "_" &amp; M74, "")</f>
      </c>
      <c r="F74" s="29">
        <f>IF(E74="", "", IF(G74="BP", E74, F72))</f>
      </c>
      <c r="G74" s="32" t="str">
        <v>BP</v>
      </c>
      <c r="H74" s="32" t="str">
        <v>Straight</v>
      </c>
      <c r="I74" s="32" t="str">
        <v>F</v>
      </c>
      <c r="J74" s="32" t="str">
        <v>Borderless_R</v>
      </c>
      <c r="K74" s="32" t="str">
        <v>HoleInRail</v>
      </c>
      <c r="L74" s="32"/>
      <c r="M74" s="32"/>
      <c r="N74" s="74"/>
      <c r="O74" s="74"/>
      <c r="P74" s="74"/>
      <c r="Q74" s="74" t="str">
        <v>⭕</v>
      </c>
      <c r="R74" s="32" t="str"/>
      <c r="S74" s="29" t="str"/>
      <c r="T74" s="158">
        <v>3</v>
      </c>
      <c r="U74" s="156">
        <v>1</v>
      </c>
      <c r="V74" s="156">
        <v>1</v>
      </c>
      <c r="W74" s="156">
        <v>1</v>
      </c>
      <c r="X74" s="34"/>
      <c r="Y74" s="34">
        <f>IF(AND(Q74="✅", OR(ISNUMBER(FIND("F",I74)), I74="CR")),   "X="&amp;U74*16&amp;",Y="&amp;(V74-1)*16&amp;",Z="&amp;IF(I74="FD", -(W74-1)*16, (W74-1)*16),   "")</f>
      </c>
      <c r="Z74" s="34">
        <f>IF(AND(Q74="✅", OR(ISNUMBER(FIND("F",I74)), I74="CR")), "P=0,Y=0,R=0", "")</f>
      </c>
      <c r="AA74" s="34" t="str"/>
      <c r="AB74" s="34" t="str"/>
      <c r="AC74" s="34" t="str"/>
      <c r="AD74" s="34" t="str"/>
      <c r="AE74" s="34" t="str"/>
      <c r="AF74" s="34"/>
      <c r="AG74" s="34" t="str"/>
      <c r="AH74" s="34" t="str"/>
      <c r="AI74" s="34" t="str"/>
      <c r="AJ74" s="34" t="str"/>
      <c r="AK74" s="34" t="str"/>
      <c r="AL74" s="34" t="str"/>
      <c r="AM74" s="34" t="str"/>
      <c r="AN74" s="34"/>
      <c r="AO74" s="34" t="str"/>
      <c r="AP74" s="34" t="str"/>
      <c r="AQ74" s="34" t="str"/>
      <c r="AR74" s="34" t="str"/>
      <c r="AS74" s="34" t="str"/>
      <c r="AT74" s="34" t="str"/>
      <c r="AU74" s="34" t="str"/>
      <c r="AV74" s="34"/>
      <c r="AW74" s="34">
        <f>IF(AND(Q74="✅", I74="U90"), "X="&amp;(U74-1)*16&amp;",Y="&amp;(V74-1)*16&amp;",Z="&amp;W74*16, "")</f>
      </c>
      <c r="AX74" s="34">
        <f>IF(AND(Q74="✅", I74="U90"), "P=90,Y=0,R=0", "")</f>
      </c>
      <c r="AY74" s="34" t="str"/>
      <c r="AZ74" s="34" t="str"/>
      <c r="BA74" s="34" t="str"/>
      <c r="BB74" s="34" t="str"/>
      <c r="BC74" s="34" t="str"/>
      <c r="BD74" s="34"/>
      <c r="BE74" s="34">
        <f>IF(AND(Q74="✅", I74="D90"), "X="&amp;(U74-1)*16&amp;",Y="&amp;(V74-1)*16&amp;",Z="&amp;(W74-2)*16, "")</f>
      </c>
      <c r="BF74" s="34">
        <f>IF(AND(Q74="✅", I74="D90"), "P=-90,Y=0,R=0", "")</f>
      </c>
      <c r="BG74" s="34" t="str"/>
      <c r="BH74" s="34" t="str"/>
      <c r="BI74" s="34" t="str"/>
      <c r="BJ74" s="34" t="str"/>
      <c r="BK74" s="34" t="str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</row>
    <row customHeight="true" hidden="true" ht="19" outlineLevel="3" r="75">
      <c r="A75" s="159" t="str" xml:space="preserve">
        <v> </v>
      </c>
      <c r="B75" s="159" t="str" xml:space="preserve">
        <v> </v>
      </c>
      <c r="C75" s="157" t="str" xml:space="preserve">
        <v> </v>
      </c>
      <c r="D75" s="157" t="str" xml:space="preserve">
        <v> </v>
      </c>
      <c r="E75" s="28">
        <f>E46</f>
      </c>
      <c r="F75" s="29">
        <f>IF(E75="", "", IF(G75="BP", E75, F74))</f>
      </c>
      <c r="G75" s="32" t="str">
        <v>SM</v>
      </c>
      <c r="H75" s="32" t="str">
        <v>Straight</v>
      </c>
      <c r="I75" s="32" t="str">
        <v>F</v>
      </c>
      <c r="J75" s="32" t="str">
        <v>Borderless_R</v>
      </c>
      <c r="K75" s="32" t="str">
        <v>HoleInRail</v>
      </c>
      <c r="L75" s="32"/>
      <c r="M75" s="32" t="str">
        <v>B</v>
      </c>
      <c r="N75" s="74"/>
      <c r="O75" s="74"/>
      <c r="P75" s="74" t="str">
        <v>✅</v>
      </c>
      <c r="Q75" s="74"/>
      <c r="R75" s="32" t="str">
        <v>Straight_F_HoleInRail_X1_Y1_Z1</v>
      </c>
      <c r="S75" s="29" t="str"/>
      <c r="T75" s="158" t="str"/>
      <c r="U75" s="156">
        <v>1</v>
      </c>
      <c r="V75" s="156">
        <v>1</v>
      </c>
      <c r="W75" s="156">
        <v>1</v>
      </c>
      <c r="X75" s="34"/>
      <c r="Y75" s="34">
        <f>IF(AND(Q75="✅", OR(ISNUMBER(FIND("F",I75)), I75="CR")),   "X="&amp;U75*16&amp;",Y="&amp;(V75-1)*16&amp;",Z="&amp;IF(I75="FD", -(W75-1)*16, (W75-1)*16),   "")</f>
      </c>
      <c r="Z75" s="34">
        <f>IF(AND(Q75="✅", OR(ISNUMBER(FIND("F",I75)), I75="CR")), "P=0,Y=0,R=0", "")</f>
      </c>
      <c r="AA75" s="34" t="str"/>
      <c r="AB75" s="34" t="str"/>
      <c r="AC75" s="34" t="str"/>
      <c r="AD75" s="34" t="str"/>
      <c r="AE75" s="34" t="str"/>
      <c r="AF75" s="34"/>
      <c r="AG75" s="34" t="str"/>
      <c r="AH75" s="34" t="str"/>
      <c r="AI75" s="34" t="str"/>
      <c r="AJ75" s="34" t="str"/>
      <c r="AK75" s="34" t="str"/>
      <c r="AL75" s="34" t="str"/>
      <c r="AM75" s="34" t="str"/>
      <c r="AN75" s="34"/>
      <c r="AO75" s="34" t="str"/>
      <c r="AP75" s="34" t="str"/>
      <c r="AQ75" s="34" t="str"/>
      <c r="AR75" s="34" t="str"/>
      <c r="AS75" s="34" t="str"/>
      <c r="AT75" s="34" t="str"/>
      <c r="AU75" s="34" t="str"/>
      <c r="AV75" s="34"/>
      <c r="AW75" s="34">
        <f>IF(AND(Q75="✅", I75="U90"), "X="&amp;(U75-1)*16&amp;",Y="&amp;(V75-1)*16&amp;",Z="&amp;W75*16, "")</f>
      </c>
      <c r="AX75" s="34">
        <f>IF(AND(Q75="✅", I75="U90"), "P=90,Y=0,R=0", "")</f>
      </c>
      <c r="AY75" s="34" t="str"/>
      <c r="AZ75" s="34" t="str"/>
      <c r="BA75" s="34" t="str"/>
      <c r="BB75" s="34" t="str"/>
      <c r="BC75" s="34" t="str"/>
      <c r="BD75" s="34"/>
      <c r="BE75" s="34">
        <f>IF(AND(Q75="✅", I75="D90"), "X="&amp;(U75-1)*16&amp;",Y="&amp;(V75-1)*16&amp;",Z="&amp;(W75-2)*16, "")</f>
      </c>
      <c r="BF75" s="34">
        <f>IF(AND(Q75="✅", I75="D90"), "P=-90,Y=0,R=0", "")</f>
      </c>
      <c r="BG75" s="34" t="str"/>
      <c r="BH75" s="34" t="str"/>
      <c r="BI75" s="34" t="str"/>
      <c r="BJ75" s="34" t="str"/>
      <c r="BK75" s="34" t="str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</row>
    <row customHeight="true" hidden="true" ht="19" outlineLevel="3" r="76">
      <c r="A76" s="159" t="str" xml:space="preserve">
        <v> </v>
      </c>
      <c r="B76" s="159" t="str" xml:space="preserve">
        <v> </v>
      </c>
      <c r="C76" s="157" t="str" xml:space="preserve">
        <v> </v>
      </c>
      <c r="D76" s="157" t="str" xml:space="preserve">
        <v> </v>
      </c>
      <c r="E76" s="28">
        <f>E26</f>
      </c>
      <c r="F76" s="29">
        <f>IF(E76="", "", IF(G76="BP", E76, F75))</f>
      </c>
      <c r="G76" s="32"/>
      <c r="H76" s="32"/>
      <c r="I76" s="32"/>
      <c r="J76" s="32"/>
      <c r="K76" s="32"/>
      <c r="L76" s="32"/>
      <c r="M76" s="32" t="str">
        <v>L</v>
      </c>
      <c r="N76" s="74"/>
      <c r="O76" s="74"/>
      <c r="P76" s="74" t="str">
        <v>✅</v>
      </c>
      <c r="Q76" s="74"/>
      <c r="R76" s="32" t="str">
        <v>Straight_F_X1_Y1_Z1</v>
      </c>
      <c r="S76" s="29" t="str">
        <v>/Script/Engine.StaticMesh'/Game/Item/Rail/Straight/F/Normal/Straight_F_X1_Y1_Z1/Proxy/SM_Straight_F_X1_Y1_Z1_Proxy_L.SM_Straight_F_X1_Y1_Z1_Proxy_L'</v>
      </c>
      <c r="T76" s="158" t="str"/>
      <c r="U76" s="156"/>
      <c r="V76" s="156"/>
      <c r="W76" s="156"/>
      <c r="X76" s="34"/>
      <c r="Y76" s="34">
        <f>IF(AND(Q76="✅", OR(ISNUMBER(FIND("F",I76)), I76="CR")),   "X="&amp;U76*16&amp;",Y="&amp;(V76-1)*16&amp;",Z="&amp;IF(I76="FD", -(W76-1)*16, (W76-1)*16),   "")</f>
      </c>
      <c r="Z76" s="34">
        <f>IF(AND(Q76="✅", OR(ISNUMBER(FIND("F",I76)), I76="CR")), "P=0,Y=0,R=0", "")</f>
      </c>
      <c r="AA76" s="34" t="str"/>
      <c r="AB76" s="34" t="str"/>
      <c r="AC76" s="34" t="str"/>
      <c r="AD76" s="34" t="str"/>
      <c r="AE76" s="34" t="str"/>
      <c r="AF76" s="34"/>
      <c r="AG76" s="34" t="str"/>
      <c r="AH76" s="34" t="str"/>
      <c r="AI76" s="34" t="str"/>
      <c r="AJ76" s="34" t="str"/>
      <c r="AK76" s="34" t="str"/>
      <c r="AL76" s="34" t="str"/>
      <c r="AM76" s="34" t="str"/>
      <c r="AN76" s="34"/>
      <c r="AO76" s="34" t="str"/>
      <c r="AP76" s="34" t="str"/>
      <c r="AQ76" s="34" t="str"/>
      <c r="AR76" s="34" t="str"/>
      <c r="AS76" s="34" t="str"/>
      <c r="AT76" s="34" t="str"/>
      <c r="AU76" s="34" t="str"/>
      <c r="AV76" s="34"/>
      <c r="AW76" s="34">
        <f>IF(AND(Q76="✅", I76="U90"), "X="&amp;(U76-1)*16&amp;",Y="&amp;(V76-1)*16&amp;",Z="&amp;W76*16, "")</f>
      </c>
      <c r="AX76" s="34">
        <f>IF(AND(Q76="✅", I76="U90"), "P=90,Y=0,R=0", "")</f>
      </c>
      <c r="AY76" s="34" t="str"/>
      <c r="AZ76" s="34" t="str"/>
      <c r="BA76" s="34" t="str"/>
      <c r="BB76" s="34" t="str"/>
      <c r="BC76" s="34" t="str"/>
      <c r="BD76" s="34"/>
      <c r="BE76" s="34">
        <f>IF(AND(Q76="✅", I76="D90"), "X="&amp;(U76-1)*16&amp;",Y="&amp;(V76-1)*16&amp;",Z="&amp;(W76-2)*16, "")</f>
      </c>
      <c r="BF76" s="34">
        <f>IF(AND(Q76="✅", I76="D90"), "P=-90,Y=0,R=0", "")</f>
      </c>
      <c r="BG76" s="34" t="str"/>
      <c r="BH76" s="34" t="str"/>
      <c r="BI76" s="34" t="str"/>
      <c r="BJ76" s="34" t="str"/>
      <c r="BK76" s="34" t="str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</row>
    <row collapsed="true" customHeight="true" ht="19" outlineLevel="2" r="77">
      <c r="A77" s="11"/>
      <c r="B77" s="11"/>
      <c r="C77" s="119" t="str">
        <v>Borderless_R_Caved</v>
      </c>
      <c r="D77" s="119"/>
      <c r="E77" s="5"/>
      <c r="F77" s="9">
        <f>IF(E77="", "", IF(G77="BP", E77, F76))</f>
      </c>
      <c r="G77" s="1"/>
      <c r="H77" s="1"/>
      <c r="I77" s="1"/>
      <c r="J77" s="1"/>
      <c r="K77" s="1"/>
      <c r="L77" s="1"/>
      <c r="M77" s="1"/>
      <c r="N77" s="3"/>
      <c r="O77" s="3" t="str">
        <v>⭕</v>
      </c>
      <c r="P77" s="3"/>
      <c r="Q77" s="3"/>
      <c r="R77" s="1" t="str"/>
      <c r="S77" s="9" t="str"/>
      <c r="T77" s="120" t="str"/>
      <c r="U77" s="118"/>
      <c r="V77" s="118"/>
      <c r="W77" s="118"/>
      <c r="X77" s="4"/>
      <c r="Y77" s="4">
        <f>IF(AND(Q77="✅", OR(ISNUMBER(FIND("F",I77)), I77="CR")),   "X="&amp;U77*16&amp;",Y="&amp;(V77-1)*16&amp;",Z="&amp;IF(I77="FD", -(W77-1)*16, (W77-1)*16),   "")</f>
      </c>
      <c r="Z77" s="4">
        <f>IF(AND(Q77="✅", OR(ISNUMBER(FIND("F",I77)), I77="CR")), "P=0,Y=0,R=0", "")</f>
      </c>
      <c r="AA77" s="4" t="str"/>
      <c r="AB77" s="4" t="str"/>
      <c r="AC77" s="4" t="str"/>
      <c r="AD77" s="4" t="str"/>
      <c r="AE77" s="4" t="str"/>
      <c r="AF77" s="4"/>
      <c r="AG77" s="4" t="str"/>
      <c r="AH77" s="4" t="str"/>
      <c r="AI77" s="4" t="str"/>
      <c r="AJ77" s="4" t="str"/>
      <c r="AK77" s="4" t="str"/>
      <c r="AL77" s="4" t="str"/>
      <c r="AM77" s="4" t="str"/>
      <c r="AN77" s="4"/>
      <c r="AO77" s="4" t="str"/>
      <c r="AP77" s="4" t="str"/>
      <c r="AQ77" s="4" t="str"/>
      <c r="AR77" s="4" t="str"/>
      <c r="AS77" s="4" t="str"/>
      <c r="AT77" s="4" t="str"/>
      <c r="AU77" s="4" t="str"/>
      <c r="AV77" s="4"/>
      <c r="AW77" s="4">
        <f>IF(AND(Q77="✅", I77="U90"), "X="&amp;(U77-1)*16&amp;",Y="&amp;(V77-1)*16&amp;",Z="&amp;W77*16, "")</f>
      </c>
      <c r="AX77" s="4">
        <f>IF(AND(Q77="✅", I77="U90"), "P=90,Y=0,R=0", "")</f>
      </c>
      <c r="AY77" s="4" t="str"/>
      <c r="AZ77" s="4" t="str"/>
      <c r="BA77" s="4" t="str"/>
      <c r="BB77" s="4" t="str"/>
      <c r="BC77" s="4" t="str"/>
      <c r="BD77" s="4"/>
      <c r="BE77" s="4">
        <f>IF(AND(Q77="✅", I77="D90"), "X="&amp;(U77-1)*16&amp;",Y="&amp;(V77-1)*16&amp;",Z="&amp;(W77-2)*16, "")</f>
      </c>
      <c r="BF77" s="4">
        <f>IF(AND(Q77="✅", I77="D90"), "P=-90,Y=0,R=0", "")</f>
      </c>
      <c r="BG77" s="4" t="str"/>
      <c r="BH77" s="4" t="str"/>
      <c r="BI77" s="4" t="str"/>
      <c r="BJ77" s="4" t="str"/>
      <c r="BK77" s="4" t="str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</row>
    <row customHeight="true" hidden="true" ht="19" outlineLevel="3" r="78">
      <c r="A78" s="11"/>
      <c r="B78" s="11"/>
      <c r="C78" s="119"/>
      <c r="D78" s="119">
        <v>1</v>
      </c>
      <c r="E78" s="5"/>
      <c r="F78" s="9"/>
      <c r="G78" s="1"/>
      <c r="H78" s="1"/>
      <c r="I78" s="1"/>
      <c r="J78" s="1"/>
      <c r="K78" s="1"/>
      <c r="L78" s="1"/>
      <c r="M78" s="1"/>
      <c r="N78" s="3"/>
      <c r="O78" s="3"/>
      <c r="P78" s="3"/>
      <c r="Q78" s="3"/>
      <c r="R78" s="1" t="str"/>
      <c r="S78" s="9" t="str"/>
      <c r="T78" s="120" t="str"/>
      <c r="U78" s="118"/>
      <c r="V78" s="118"/>
      <c r="W78" s="118"/>
      <c r="X78" s="4"/>
      <c r="Y78" s="4"/>
      <c r="Z78" s="4"/>
      <c r="AA78" s="4" t="str"/>
      <c r="AB78" s="4" t="str"/>
      <c r="AC78" s="4" t="str"/>
      <c r="AD78" s="4" t="str"/>
      <c r="AE78" s="4" t="str"/>
      <c r="AF78" s="4"/>
      <c r="AG78" s="4" t="str"/>
      <c r="AH78" s="4" t="str"/>
      <c r="AI78" s="4" t="str"/>
      <c r="AJ78" s="4" t="str"/>
      <c r="AK78" s="4" t="str"/>
      <c r="AL78" s="4" t="str"/>
      <c r="AM78" s="4" t="str"/>
      <c r="AN78" s="4"/>
      <c r="AO78" s="4" t="str"/>
      <c r="AP78" s="4" t="str"/>
      <c r="AQ78" s="4" t="str"/>
      <c r="AR78" s="4" t="str"/>
      <c r="AS78" s="4" t="str"/>
      <c r="AT78" s="4" t="str"/>
      <c r="AU78" s="4" t="str"/>
      <c r="AV78" s="4"/>
      <c r="AW78" s="4"/>
      <c r="AX78" s="4"/>
      <c r="AY78" s="4" t="str"/>
      <c r="AZ78" s="4" t="str"/>
      <c r="BA78" s="4" t="str"/>
      <c r="BB78" s="4" t="str"/>
      <c r="BC78" s="4" t="str"/>
      <c r="BD78" s="4"/>
      <c r="BE78" s="4"/>
      <c r="BF78" s="4"/>
      <c r="BG78" s="4" t="str"/>
      <c r="BH78" s="4" t="str"/>
      <c r="BI78" s="4" t="str"/>
      <c r="BJ78" s="4" t="str"/>
      <c r="BK78" s="4" t="str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</row>
    <row customHeight="true" hidden="true" ht="19" outlineLevel="3" r="79">
      <c r="A79" s="135" t="str" xml:space="preserve">
        <v> </v>
      </c>
      <c r="B79" s="135" t="str" xml:space="preserve">
        <v> </v>
      </c>
      <c r="C79" s="133" t="str" xml:space="preserve">
        <v> </v>
      </c>
      <c r="D79" s="133" t="str" xml:space="preserve">
        <v> </v>
      </c>
      <c r="E79" s="91">
        <f>G79 &amp; "_" &amp; H79 &amp; IF(I79&lt;&gt;"", "_" &amp; I79, "") &amp; IF(J79&lt;&gt;"", "_" &amp; J79, "") &amp; IF(K79&lt;&gt;"", "_" &amp; K79, "") &amp;"_X"&amp;U79&amp;"_Y"&amp;V79&amp;"_Z"&amp;W79 &amp; IF(G79="SM", "_Proxy" , "_Rail") &amp; IF(M79&lt;&gt;"", "_" &amp; M79, "")</f>
      </c>
      <c r="F79" s="79">
        <f>IF(E79="", "", IF(G79="BP", E79, F77))</f>
      </c>
      <c r="G79" s="92" t="str">
        <v>BP</v>
      </c>
      <c r="H79" s="92" t="str">
        <v>Straight</v>
      </c>
      <c r="I79" s="92" t="str">
        <v>F</v>
      </c>
      <c r="J79" s="92" t="str">
        <v>Borderless_R</v>
      </c>
      <c r="K79" s="92" t="str">
        <v>Caved</v>
      </c>
      <c r="L79" s="92"/>
      <c r="M79" s="92"/>
      <c r="N79" s="94"/>
      <c r="O79" s="94"/>
      <c r="P79" s="94"/>
      <c r="Q79" s="94" t="str">
        <v>⭕</v>
      </c>
      <c r="R79" s="92" t="str"/>
      <c r="S79" s="79" t="str"/>
      <c r="T79" s="134">
        <v>0</v>
      </c>
      <c r="U79" s="136">
        <v>1</v>
      </c>
      <c r="V79" s="136">
        <v>1</v>
      </c>
      <c r="W79" s="136">
        <v>1</v>
      </c>
      <c r="X79" s="78"/>
      <c r="Y79" s="78">
        <f>IF(AND(Q79="✅", OR(ISNUMBER(FIND("F",I79)), I79="CR")),   "X="&amp;U79*16&amp;",Y="&amp;(V79-1)*16&amp;",Z="&amp;IF(I79="FD", -(W79-1)*16, (W79-1)*16),   "")</f>
      </c>
      <c r="Z79" s="78">
        <f>IF(AND(Q79="✅", OR(ISNUMBER(FIND("F",I79)), I79="CR")), "P=0,Y=0,R=0", "")</f>
      </c>
      <c r="AA79" s="78" t="str"/>
      <c r="AB79" s="78" t="str"/>
      <c r="AC79" s="78" t="str"/>
      <c r="AD79" s="78" t="str"/>
      <c r="AE79" s="78" t="str"/>
      <c r="AF79" s="78"/>
      <c r="AG79" s="78" t="str"/>
      <c r="AH79" s="78" t="str"/>
      <c r="AI79" s="78" t="str"/>
      <c r="AJ79" s="78" t="str"/>
      <c r="AK79" s="78" t="str"/>
      <c r="AL79" s="78" t="str"/>
      <c r="AM79" s="78" t="str"/>
      <c r="AN79" s="78"/>
      <c r="AO79" s="78" t="str"/>
      <c r="AP79" s="78" t="str"/>
      <c r="AQ79" s="78" t="str"/>
      <c r="AR79" s="78" t="str"/>
      <c r="AS79" s="78" t="str"/>
      <c r="AT79" s="78" t="str"/>
      <c r="AU79" s="78" t="str"/>
      <c r="AV79" s="78"/>
      <c r="AW79" s="78">
        <f>IF(AND(Q79="✅", I79="U90"), "X="&amp;(U79-1)*16&amp;",Y="&amp;(V79-1)*16&amp;",Z="&amp;W79*16, "")</f>
      </c>
      <c r="AX79" s="78">
        <f>IF(AND(Q79="✅", I79="U90"), "P=90,Y=0,R=0", "")</f>
      </c>
      <c r="AY79" s="78" t="str"/>
      <c r="AZ79" s="78" t="str"/>
      <c r="BA79" s="78" t="str"/>
      <c r="BB79" s="78" t="str"/>
      <c r="BC79" s="78" t="str"/>
      <c r="BD79" s="78"/>
      <c r="BE79" s="78">
        <f>IF(AND(Q79="✅", I79="D90"), "X="&amp;(U79-1)*16&amp;",Y="&amp;(V79-1)*16&amp;",Z="&amp;(W79-2)*16, "")</f>
      </c>
      <c r="BF79" s="78">
        <f>IF(AND(Q79="✅", I79="D90"), "P=-90,Y=0,R=0", "")</f>
      </c>
      <c r="BG79" s="78" t="str"/>
      <c r="BH79" s="78" t="str"/>
      <c r="BI79" s="78" t="str"/>
      <c r="BJ79" s="78" t="str"/>
      <c r="BK79" s="78" t="str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</row>
    <row customHeight="true" hidden="true" ht="19" outlineLevel="3" r="80">
      <c r="A80" s="135" t="str" xml:space="preserve">
        <v> </v>
      </c>
      <c r="B80" s="135" t="str" xml:space="preserve">
        <v> </v>
      </c>
      <c r="C80" s="133" t="str" xml:space="preserve">
        <v> </v>
      </c>
      <c r="D80" s="133" t="str" xml:space="preserve">
        <v> </v>
      </c>
      <c r="E80" s="91">
        <f>E51</f>
      </c>
      <c r="F80" s="79">
        <f>IF(E80="", "", IF(G80="BP", E80, F79))</f>
      </c>
      <c r="G80" s="92" t="str">
        <v>SM</v>
      </c>
      <c r="H80" s="92" t="str">
        <v>Straight</v>
      </c>
      <c r="I80" s="92" t="str">
        <v>F</v>
      </c>
      <c r="J80" s="92" t="str">
        <v>Borderless_R</v>
      </c>
      <c r="K80" s="92" t="str">
        <v>Caved</v>
      </c>
      <c r="L80" s="92"/>
      <c r="M80" s="92" t="str">
        <v>B</v>
      </c>
      <c r="N80" s="94"/>
      <c r="O80" s="94"/>
      <c r="P80" s="94" t="str">
        <v>✅</v>
      </c>
      <c r="Q80" s="94"/>
      <c r="R80" s="92" t="str">
        <v>Straight_F_Borderless_Caved_X1_Y1_Z1</v>
      </c>
      <c r="S80" s="79" t="str">
        <v>/Script/Engine.StaticMesh'/Game/Item/Rail/Straight/F/Borderless_Caved/Straight_F_Borderless_Caved_X1_Y1_Z1/Proxy/SM_Straight_F_Borderless_Caved_X1_Y1_Z1_Proxy_BR.SM_Straight_F_Borderless_Caved_X1_Y1_Z1_Proxy_BR'</v>
      </c>
      <c r="T80" s="134" t="str"/>
      <c r="U80" s="136">
        <v>1</v>
      </c>
      <c r="V80" s="136">
        <v>1</v>
      </c>
      <c r="W80" s="136">
        <v>1</v>
      </c>
      <c r="X80" s="78"/>
      <c r="Y80" s="78">
        <f>IF(AND(Q80="✅", OR(ISNUMBER(FIND("F",I80)), I80="CR")),   "X="&amp;U80*16&amp;",Y="&amp;(V80-1)*16&amp;",Z="&amp;IF(I80="FD", -(W80-1)*16, (W80-1)*16),   "")</f>
      </c>
      <c r="Z80" s="78">
        <f>IF(AND(Q80="✅", OR(ISNUMBER(FIND("F",I80)), I80="CR")), "P=0,Y=0,R=0", "")</f>
      </c>
      <c r="AA80" s="78" t="str"/>
      <c r="AB80" s="78" t="str"/>
      <c r="AC80" s="78" t="str"/>
      <c r="AD80" s="78" t="str"/>
      <c r="AE80" s="78" t="str"/>
      <c r="AF80" s="78"/>
      <c r="AG80" s="78" t="str"/>
      <c r="AH80" s="78" t="str"/>
      <c r="AI80" s="78" t="str"/>
      <c r="AJ80" s="78" t="str"/>
      <c r="AK80" s="78" t="str"/>
      <c r="AL80" s="78" t="str"/>
      <c r="AM80" s="78" t="str"/>
      <c r="AN80" s="78"/>
      <c r="AO80" s="78" t="str"/>
      <c r="AP80" s="78" t="str"/>
      <c r="AQ80" s="78" t="str"/>
      <c r="AR80" s="78" t="str"/>
      <c r="AS80" s="78" t="str"/>
      <c r="AT80" s="78" t="str"/>
      <c r="AU80" s="78" t="str"/>
      <c r="AV80" s="78"/>
      <c r="AW80" s="78">
        <f>IF(AND(Q80="✅", I80="U90"), "X="&amp;(U80-1)*16&amp;",Y="&amp;(V80-1)*16&amp;",Z="&amp;W80*16, "")</f>
      </c>
      <c r="AX80" s="78">
        <f>IF(AND(Q80="✅", I80="U90"), "P=90,Y=0,R=0", "")</f>
      </c>
      <c r="AY80" s="78" t="str"/>
      <c r="AZ80" s="78" t="str"/>
      <c r="BA80" s="78" t="str"/>
      <c r="BB80" s="78" t="str"/>
      <c r="BC80" s="78" t="str"/>
      <c r="BD80" s="78"/>
      <c r="BE80" s="78">
        <f>IF(AND(Q80="✅", I80="D90"), "X="&amp;(U80-1)*16&amp;",Y="&amp;(V80-1)*16&amp;",Z="&amp;(W80-2)*16, "")</f>
      </c>
      <c r="BF80" s="78">
        <f>IF(AND(Q80="✅", I80="D90"), "P=-90,Y=0,R=0", "")</f>
      </c>
      <c r="BG80" s="78" t="str"/>
      <c r="BH80" s="78" t="str"/>
      <c r="BI80" s="78" t="str"/>
      <c r="BJ80" s="78" t="str"/>
      <c r="BK80" s="78" t="str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</row>
    <row customHeight="true" hidden="true" ht="19" outlineLevel="3" r="81">
      <c r="A81" s="135" t="str" xml:space="preserve">
        <v> </v>
      </c>
      <c r="B81" s="135" t="str" xml:space="preserve">
        <v> </v>
      </c>
      <c r="C81" s="133" t="str" xml:space="preserve">
        <v> </v>
      </c>
      <c r="D81" s="133" t="str" xml:space="preserve">
        <v> </v>
      </c>
      <c r="E81" s="91">
        <f>E31</f>
      </c>
      <c r="F81" s="79">
        <f>IF(E81="", "", IF(G81="BP", E81, F80))</f>
      </c>
      <c r="G81" s="92"/>
      <c r="H81" s="92"/>
      <c r="I81" s="92"/>
      <c r="J81" s="92"/>
      <c r="K81" s="92"/>
      <c r="L81" s="92"/>
      <c r="M81" s="92" t="str">
        <v>L</v>
      </c>
      <c r="N81" s="94"/>
      <c r="O81" s="94"/>
      <c r="P81" s="94" t="str">
        <v>✅</v>
      </c>
      <c r="Q81" s="94"/>
      <c r="R81" s="92" t="str">
        <v>Straight_F_X4_Y1_Z1</v>
      </c>
      <c r="S81" s="79" t="str"/>
      <c r="T81" s="134" t="str"/>
      <c r="U81" s="136"/>
      <c r="V81" s="136"/>
      <c r="W81" s="136"/>
      <c r="X81" s="78"/>
      <c r="Y81" s="78">
        <f>IF(AND(Q81="✅", OR(ISNUMBER(FIND("F",I81)), I81="CR")),   "X="&amp;U81*16&amp;",Y="&amp;(V81-1)*16&amp;",Z="&amp;IF(I81="FD", -(W81-1)*16, (W81-1)*16),   "")</f>
      </c>
      <c r="Z81" s="78">
        <f>IF(AND(Q81="✅", OR(ISNUMBER(FIND("F",I81)), I81="CR")), "P=0,Y=0,R=0", "")</f>
      </c>
      <c r="AA81" s="78" t="str"/>
      <c r="AB81" s="78" t="str"/>
      <c r="AC81" s="78" t="str"/>
      <c r="AD81" s="78" t="str"/>
      <c r="AE81" s="78" t="str"/>
      <c r="AF81" s="78"/>
      <c r="AG81" s="78" t="str"/>
      <c r="AH81" s="78" t="str"/>
      <c r="AI81" s="78" t="str"/>
      <c r="AJ81" s="78" t="str"/>
      <c r="AK81" s="78" t="str"/>
      <c r="AL81" s="78" t="str"/>
      <c r="AM81" s="78" t="str"/>
      <c r="AN81" s="78"/>
      <c r="AO81" s="78" t="str"/>
      <c r="AP81" s="78" t="str"/>
      <c r="AQ81" s="78" t="str"/>
      <c r="AR81" s="78" t="str"/>
      <c r="AS81" s="78" t="str"/>
      <c r="AT81" s="78" t="str"/>
      <c r="AU81" s="78" t="str"/>
      <c r="AV81" s="78"/>
      <c r="AW81" s="78">
        <f>IF(AND(Q81="✅", I81="U90"), "X="&amp;(U81-1)*16&amp;",Y="&amp;(V81-1)*16&amp;",Z="&amp;W81*16, "")</f>
      </c>
      <c r="AX81" s="78">
        <f>IF(AND(Q81="✅", I81="U90"), "P=90,Y=0,R=0", "")</f>
      </c>
      <c r="AY81" s="78" t="str"/>
      <c r="AZ81" s="78" t="str"/>
      <c r="BA81" s="78" t="str"/>
      <c r="BB81" s="78" t="str"/>
      <c r="BC81" s="78" t="str"/>
      <c r="BD81" s="78"/>
      <c r="BE81" s="78">
        <f>IF(AND(Q81="✅", I81="D90"), "X="&amp;(U81-1)*16&amp;",Y="&amp;(V81-1)*16&amp;",Z="&amp;(W81-2)*16, "")</f>
      </c>
      <c r="BF81" s="78">
        <f>IF(AND(Q81="✅", I81="D90"), "P=-90,Y=0,R=0", "")</f>
      </c>
      <c r="BG81" s="78" t="str"/>
      <c r="BH81" s="78" t="str"/>
      <c r="BI81" s="78" t="str"/>
      <c r="BJ81" s="78" t="str"/>
      <c r="BK81" s="78" t="str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</row>
    <row customHeight="true" ht="19" outlineLevel="1" r="82">
      <c r="A82" s="11"/>
      <c r="B82" s="11" t="str">
        <v>L90</v>
      </c>
      <c r="C82" s="119"/>
      <c r="D82" s="119"/>
      <c r="E82" s="5"/>
      <c r="F82" s="9">
        <f>IF(E82="", "", IF(G82="BP", E82, F76))</f>
      </c>
      <c r="G82" s="1"/>
      <c r="H82" s="1"/>
      <c r="I82" s="1"/>
      <c r="J82" s="1"/>
      <c r="K82" s="1"/>
      <c r="L82" s="1"/>
      <c r="M82" s="1"/>
      <c r="N82" s="3"/>
      <c r="O82" s="3"/>
      <c r="P82" s="3"/>
      <c r="Q82" s="3"/>
      <c r="R82" s="1" t="str"/>
      <c r="S82" s="9" t="str"/>
      <c r="T82" s="120" t="str"/>
      <c r="U82" s="118"/>
      <c r="V82" s="118"/>
      <c r="W82" s="118"/>
      <c r="X82" s="4"/>
      <c r="Y82" s="4">
        <f>IF(AND(Q82="✅", OR(ISNUMBER(FIND("F",I82)), I82="CR")),   "X="&amp;U82*16&amp;",Y="&amp;(V82-1)*16&amp;",Z="&amp;IF(I82="FD", -(W82-1)*16, (W82-1)*16),   "")</f>
      </c>
      <c r="Z82" s="4">
        <f>IF(AND(Q82="✅", OR(ISNUMBER(FIND("F",I82)), I82="CR")), "P=0,Y=0,R=0", "")</f>
      </c>
      <c r="AA82" s="4" t="str"/>
      <c r="AB82" s="4" t="str"/>
      <c r="AC82" s="4" t="str"/>
      <c r="AD82" s="4" t="str"/>
      <c r="AE82" s="4" t="str"/>
      <c r="AF82" s="4"/>
      <c r="AG82" s="4" t="str"/>
      <c r="AH82" s="4" t="str"/>
      <c r="AI82" s="4" t="str"/>
      <c r="AJ82" s="4" t="str"/>
      <c r="AK82" s="4" t="str"/>
      <c r="AL82" s="4" t="str"/>
      <c r="AM82" s="4" t="str"/>
      <c r="AN82" s="4"/>
      <c r="AO82" s="4" t="str"/>
      <c r="AP82" s="4" t="str"/>
      <c r="AQ82" s="4" t="str"/>
      <c r="AR82" s="4" t="str"/>
      <c r="AS82" s="4" t="str"/>
      <c r="AT82" s="4" t="str"/>
      <c r="AU82" s="4" t="str"/>
      <c r="AV82" s="4"/>
      <c r="AW82" s="4">
        <f>IF(AND(Q82="✅", I82="U90"), "X="&amp;(U82-1)*16&amp;",Y="&amp;(V82-1)*16&amp;",Z="&amp;W82*16, "")</f>
      </c>
      <c r="AX82" s="4">
        <f>IF(AND(Q82="✅", I82="U90"), "P=90,Y=0,R=0", "")</f>
      </c>
      <c r="AY82" s="4" t="str"/>
      <c r="AZ82" s="4" t="str"/>
      <c r="BA82" s="4" t="str"/>
      <c r="BB82" s="4" t="str"/>
      <c r="BC82" s="4" t="str"/>
      <c r="BD82" s="4"/>
      <c r="BE82" s="4">
        <f>IF(AND(Q82="✅", I82="D90"), "X="&amp;(U82-1)*16&amp;",Y="&amp;(V82-1)*16&amp;",Z="&amp;(W82-2)*16, "")</f>
      </c>
      <c r="BF82" s="4">
        <f>IF(AND(Q82="✅", I82="D90"), "P=-90,Y=0,R=0", "")</f>
      </c>
      <c r="BG82" s="4" t="str"/>
      <c r="BH82" s="4" t="str"/>
      <c r="BI82" s="4" t="str"/>
      <c r="BJ82" s="4" t="str"/>
      <c r="BK82" s="4" t="str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</row>
    <row collapsed="true" customHeight="true" ht="19" outlineLevel="2" r="83">
      <c r="A83" s="11"/>
      <c r="B83" s="11"/>
      <c r="C83" s="119" t="str">
        <v>Normal</v>
      </c>
      <c r="D83" s="119"/>
      <c r="E83" s="5"/>
      <c r="F83" s="9">
        <f>IF(E83="", "", IF(G83="BP", E83, F82))</f>
      </c>
      <c r="G83" s="1"/>
      <c r="H83" s="1"/>
      <c r="I83" s="1"/>
      <c r="J83" s="1"/>
      <c r="K83" s="1"/>
      <c r="L83" s="1"/>
      <c r="M83" s="1"/>
      <c r="N83" s="3"/>
      <c r="O83" s="3" t="str">
        <v>✅</v>
      </c>
      <c r="P83" s="3"/>
      <c r="Q83" s="3"/>
      <c r="R83" s="1" t="str"/>
      <c r="S83" s="9" t="str"/>
      <c r="T83" s="120" t="str"/>
      <c r="U83" s="118"/>
      <c r="V83" s="118"/>
      <c r="W83" s="118"/>
      <c r="X83" s="4"/>
      <c r="Y83" s="4">
        <f>IF(AND(Q83="✅", OR(ISNUMBER(FIND("F",I83)), I83="CR")),   "X="&amp;U83*16&amp;",Y="&amp;(V83-1)*16&amp;",Z="&amp;IF(I83="FD", -(W83-1)*16, (W83-1)*16),   "")</f>
      </c>
      <c r="Z83" s="4">
        <f>IF(AND(Q83="✅", OR(ISNUMBER(FIND("F",I83)), I83="CR")), "P=0,Y=0,R=0", "")</f>
      </c>
      <c r="AA83" s="4" t="str"/>
      <c r="AB83" s="4" t="str"/>
      <c r="AC83" s="4" t="str"/>
      <c r="AD83" s="4" t="str"/>
      <c r="AE83" s="4" t="str"/>
      <c r="AF83" s="4"/>
      <c r="AG83" s="4" t="str"/>
      <c r="AH83" s="4" t="str"/>
      <c r="AI83" s="4" t="str"/>
      <c r="AJ83" s="4" t="str"/>
      <c r="AK83" s="4" t="str"/>
      <c r="AL83" s="4" t="str"/>
      <c r="AM83" s="4" t="str"/>
      <c r="AN83" s="4"/>
      <c r="AO83" s="4" t="str"/>
      <c r="AP83" s="4" t="str"/>
      <c r="AQ83" s="4" t="str"/>
      <c r="AR83" s="4" t="str"/>
      <c r="AS83" s="4" t="str"/>
      <c r="AT83" s="4" t="str"/>
      <c r="AU83" s="4" t="str"/>
      <c r="AV83" s="4"/>
      <c r="AW83" s="4">
        <f>IF(AND(Q83="✅", I83="U90"), "X="&amp;(U83-1)*16&amp;",Y="&amp;(V83-1)*16&amp;",Z="&amp;W83*16, "")</f>
      </c>
      <c r="AX83" s="4">
        <f>IF(AND(Q83="✅", I83="U90"), "P=90,Y=0,R=0", "")</f>
      </c>
      <c r="AY83" s="4" t="str"/>
      <c r="AZ83" s="4" t="str"/>
      <c r="BA83" s="4" t="str"/>
      <c r="BB83" s="4" t="str"/>
      <c r="BC83" s="4" t="str"/>
      <c r="BD83" s="4"/>
      <c r="BE83" s="4">
        <f>IF(AND(Q83="✅", I83="D90"), "X="&amp;(U83-1)*16&amp;",Y="&amp;(V83-1)*16&amp;",Z="&amp;(W83-2)*16, "")</f>
      </c>
      <c r="BF83" s="4">
        <f>IF(AND(Q83="✅", I83="D90"), "P=-90,Y=0,R=0", "")</f>
      </c>
      <c r="BG83" s="4" t="str"/>
      <c r="BH83" s="4" t="str"/>
      <c r="BI83" s="4" t="str"/>
      <c r="BJ83" s="4" t="str"/>
      <c r="BK83" s="4" t="str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</row>
    <row customHeight="true" hidden="true" ht="19" outlineLevel="3" r="84">
      <c r="A84" s="11"/>
      <c r="B84" s="11"/>
      <c r="C84" s="119"/>
      <c r="D84" s="119">
        <v>1</v>
      </c>
      <c r="E84" s="5"/>
      <c r="F84" s="9"/>
      <c r="G84" s="1"/>
      <c r="H84" s="1"/>
      <c r="I84" s="1"/>
      <c r="J84" s="1"/>
      <c r="K84" s="1"/>
      <c r="L84" s="1"/>
      <c r="M84" s="1"/>
      <c r="N84" s="3"/>
      <c r="O84" s="3"/>
      <c r="P84" s="3"/>
      <c r="Q84" s="3"/>
      <c r="R84" s="1" t="str"/>
      <c r="S84" s="9" t="str"/>
      <c r="T84" s="120" t="str"/>
      <c r="U84" s="118"/>
      <c r="V84" s="118"/>
      <c r="W84" s="118"/>
      <c r="X84" s="4"/>
      <c r="Y84" s="4">
        <f>IF(AND(Q84="✅", OR(ISNUMBER(FIND("F",I84)), I84="CR")),   "X="&amp;U84*16&amp;",Y="&amp;(V84-1)*16&amp;",Z="&amp;IF(I84="FD", -(W84-1)*16, (W84-1)*16),   "")</f>
      </c>
      <c r="Z84" s="4">
        <f>IF(AND(Q84="✅", OR(ISNUMBER(FIND("F",I84)), I84="CR")), "P=0,Y=0,R=0", "")</f>
      </c>
      <c r="AA84" s="4" t="str"/>
      <c r="AB84" s="4" t="str"/>
      <c r="AC84" s="4" t="str"/>
      <c r="AD84" s="4" t="str"/>
      <c r="AE84" s="4" t="str"/>
      <c r="AF84" s="4"/>
      <c r="AG84" s="4" t="str"/>
      <c r="AH84" s="4" t="str"/>
      <c r="AI84" s="4" t="str"/>
      <c r="AJ84" s="4" t="str"/>
      <c r="AK84" s="4" t="str"/>
      <c r="AL84" s="4" t="str"/>
      <c r="AM84" s="4" t="str"/>
      <c r="AN84" s="4"/>
      <c r="AO84" s="4" t="str"/>
      <c r="AP84" s="4" t="str"/>
      <c r="AQ84" s="4" t="str"/>
      <c r="AR84" s="4" t="str"/>
      <c r="AS84" s="4" t="str"/>
      <c r="AT84" s="4" t="str"/>
      <c r="AU84" s="4" t="str"/>
      <c r="AV84" s="4"/>
      <c r="AW84" s="4">
        <f>IF(AND(Q84="✅", I84="U90"), "X="&amp;(U84-1)*16&amp;",Y="&amp;(V84-1)*16&amp;",Z="&amp;W84*16, "")</f>
      </c>
      <c r="AX84" s="4">
        <f>IF(AND(Q84="✅", I84="U90"), "P=90,Y=0,R=0", "")</f>
      </c>
      <c r="AY84" s="4" t="str"/>
      <c r="AZ84" s="4" t="str"/>
      <c r="BA84" s="4" t="str"/>
      <c r="BB84" s="4" t="str"/>
      <c r="BC84" s="4" t="str"/>
      <c r="BD84" s="4"/>
      <c r="BE84" s="4">
        <f>IF(AND(Q84="✅", I84="D90"), "X="&amp;(U84-1)*16&amp;",Y="&amp;(V84-1)*16&amp;",Z="&amp;(W84-2)*16, "")</f>
      </c>
      <c r="BF84" s="4">
        <f>IF(AND(Q84="✅", I84="D90"), "P=-90,Y=0,R=0", "")</f>
      </c>
      <c r="BG84" s="4" t="str"/>
      <c r="BH84" s="4" t="str"/>
      <c r="BI84" s="4" t="str"/>
      <c r="BJ84" s="4" t="str"/>
      <c r="BK84" s="4" t="str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</row>
    <row hidden="true" outlineLevel="3" r="85">
      <c r="A85" s="135" t="str" xml:space="preserve">
        <v> </v>
      </c>
      <c r="B85" s="135" t="str" xml:space="preserve">
        <v> </v>
      </c>
      <c r="C85" s="133" t="str" xml:space="preserve">
        <v> </v>
      </c>
      <c r="D85" s="133" t="str" xml:space="preserve">
        <v> </v>
      </c>
      <c r="E85" s="91">
        <f>G85 &amp; "_" &amp; H85 &amp; IF(I85&lt;&gt;"", "_" &amp; I85, "") &amp; IF(J85&lt;&gt;"", "_" &amp; J85, "") &amp; IF(K85&lt;&gt;"", "_" &amp; K85, "") &amp;"_X"&amp;U85&amp;"_Y"&amp;V85&amp;"_Z"&amp;W85 &amp; IF(G85="SM", "_Proxy" , "_Rail") &amp; IF(M85&lt;&gt;"", "_" &amp; M85, "")</f>
      </c>
      <c r="F85" s="79">
        <f>IF(E85="", "", IF(G85="BP", E85, F83))</f>
      </c>
      <c r="G85" s="92" t="str">
        <v>BP</v>
      </c>
      <c r="H85" s="92" t="str">
        <v>Straight</v>
      </c>
      <c r="I85" s="92" t="str">
        <v>L90</v>
      </c>
      <c r="J85" s="92"/>
      <c r="K85" s="92"/>
      <c r="L85" s="92"/>
      <c r="M85" s="92"/>
      <c r="N85" s="94"/>
      <c r="O85" s="94"/>
      <c r="P85" s="94"/>
      <c r="Q85" s="94" t="str">
        <v>✅</v>
      </c>
      <c r="R85" s="92" t="str">
        <v>Straight_L90_X1_Y1_Z1</v>
      </c>
      <c r="S85" s="79" t="str">
        <v>/Script/Engine.BlueprintGeneratedClass'/Game/Item/Rail/Straight/L90/Normal/Straight_L90_X1_Y1_Z1/BP_Straight_L90_X1_Y1_Z1_Rail.BP_Straight_L90_X1_Y1_Z1_Rail_C'</v>
      </c>
      <c r="T85" s="134">
        <v>0</v>
      </c>
      <c r="U85" s="136">
        <v>1</v>
      </c>
      <c r="V85" s="136">
        <v>1</v>
      </c>
      <c r="W85" s="136">
        <v>1</v>
      </c>
      <c r="X85" s="78"/>
      <c r="Y85" s="78">
        <f>IF(AND(Q85="✅", OR(ISNUMBER(FIND("F",I85)), I85="CR")),   "X="&amp;U85*16&amp;",Y="&amp;(V85-1)*16&amp;",Z="&amp;IF(I85="FD", -(W85-1)*16, (W85-1)*16),   "")</f>
      </c>
      <c r="Z85" s="78">
        <f>IF(AND(Q85="✅", OR(ISNUMBER(FIND("F",I85)), I85="CR")), "P=0,Y=0,R=0", "")</f>
      </c>
      <c r="AA85" s="78" t="str"/>
      <c r="AB85" s="78" t="str"/>
      <c r="AC85" s="78" t="str"/>
      <c r="AD85" s="78" t="str"/>
      <c r="AE85" s="78" t="str">
        <v>X=0,Y=0,Z=0,W=0</v>
      </c>
      <c r="AF85" s="78"/>
      <c r="AG85" s="78" t="str">
        <v>X=0,Y=-16,Z=0</v>
      </c>
      <c r="AH85" s="78" t="str">
        <v>P=0,Y=-90,R=0</v>
      </c>
      <c r="AI85" s="78">
        <v>1</v>
      </c>
      <c r="AJ85" s="78">
        <v>1.5</v>
      </c>
      <c r="AK85" s="78">
        <v>2</v>
      </c>
      <c r="AL85" s="78">
        <v>1.5</v>
      </c>
      <c r="AM85" s="78" t="str">
        <v>X=1,Y=1.5,Z=2,W=1.5</v>
      </c>
      <c r="AN85" s="78"/>
      <c r="AO85" s="78" t="str"/>
      <c r="AP85" s="78" t="str"/>
      <c r="AQ85" s="78" t="str"/>
      <c r="AR85" s="78" t="str"/>
      <c r="AS85" s="78" t="str"/>
      <c r="AT85" s="78" t="str"/>
      <c r="AU85" s="78" t="str"/>
      <c r="AV85" s="78"/>
      <c r="AW85" s="78">
        <f>IF(AND(Q85="✅", I85="U90"), "X="&amp;(U85-1)*16&amp;",Y="&amp;(V85-1)*16&amp;",Z="&amp;W85*16, "")</f>
      </c>
      <c r="AX85" s="78">
        <f>IF(AND(Q85="✅", I85="U90"), "P=90,Y=0,R=0", "")</f>
      </c>
      <c r="AY85" s="78" t="str"/>
      <c r="AZ85" s="78" t="str"/>
      <c r="BA85" s="78" t="str"/>
      <c r="BB85" s="78" t="str"/>
      <c r="BC85" s="78" t="str"/>
      <c r="BD85" s="78"/>
      <c r="BE85" s="78">
        <f>IF(AND(Q85="✅", I85="D90"), "X="&amp;(U85-1)*16&amp;",Y="&amp;(V85-1)*16&amp;",Z="&amp;(W85-2)*16, "")</f>
      </c>
      <c r="BF85" s="78">
        <f>IF(AND(Q85="✅", I85="D90"), "P=-90,Y=0,R=0", "")</f>
      </c>
      <c r="BG85" s="78" t="str"/>
      <c r="BH85" s="78" t="str"/>
      <c r="BI85" s="78" t="str"/>
      <c r="BJ85" s="78" t="str"/>
      <c r="BK85" s="78" t="str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</row>
    <row customHeight="true" hidden="true" ht="19" outlineLevel="3" r="86">
      <c r="A86" s="135" t="str" xml:space="preserve">
        <v> </v>
      </c>
      <c r="B86" s="135" t="str" xml:space="preserve">
        <v> </v>
      </c>
      <c r="C86" s="133" t="str" xml:space="preserve">
        <v> </v>
      </c>
      <c r="D86" s="133" t="str" xml:space="preserve">
        <v> </v>
      </c>
      <c r="E86" s="91">
        <f>E25</f>
      </c>
      <c r="F86" s="79">
        <f>IF(E86="", "", IF(G86="BP", E86, F85))</f>
      </c>
      <c r="G86" s="92"/>
      <c r="H86" s="92"/>
      <c r="I86" s="92"/>
      <c r="J86" s="92"/>
      <c r="K86" s="92"/>
      <c r="L86" s="92"/>
      <c r="M86" s="92" t="str">
        <v>B</v>
      </c>
      <c r="N86" s="94"/>
      <c r="O86" s="94"/>
      <c r="P86" s="94" t="str">
        <v>✅</v>
      </c>
      <c r="Q86" s="94"/>
      <c r="R86" s="92" t="str">
        <v>Straight_F_X1_Y1_Z1</v>
      </c>
      <c r="S86" s="79" t="str">
        <v>/Script/Engine.StaticMesh'/Game/Item/Rail/Straight/F/Normal/Straight_F_X1_Y1_Z1/Proxy/SM_Straight_F_X1_Y1_Z1_Proxy_B.SM_Straight_F_X1_Y1_Z1_Proxy_B'</v>
      </c>
      <c r="T86" s="134" t="str"/>
      <c r="U86" s="136"/>
      <c r="V86" s="136"/>
      <c r="W86" s="136"/>
      <c r="X86" s="78"/>
      <c r="Y86" s="78">
        <f>IF(AND(Q86="✅", OR(ISNUMBER(FIND("F",I86)), I86="CR")),   "X="&amp;U86*16&amp;",Y="&amp;(V86-1)*16&amp;",Z="&amp;IF(I86="FD", -(W86-1)*16, (W86-1)*16),   "")</f>
      </c>
      <c r="Z86" s="78">
        <f>IF(AND(Q86="✅", OR(ISNUMBER(FIND("F",I86)), I86="CR")), "P=0,Y=0,R=0", "")</f>
      </c>
      <c r="AA86" s="78" t="str"/>
      <c r="AB86" s="78" t="str"/>
      <c r="AC86" s="78" t="str"/>
      <c r="AD86" s="78" t="str"/>
      <c r="AE86" s="78" t="str"/>
      <c r="AF86" s="78"/>
      <c r="AG86" s="78" t="str"/>
      <c r="AH86" s="78" t="str"/>
      <c r="AI86" s="78" t="str"/>
      <c r="AJ86" s="78" t="str"/>
      <c r="AK86" s="78" t="str"/>
      <c r="AL86" s="78" t="str"/>
      <c r="AM86" s="78" t="str"/>
      <c r="AN86" s="78"/>
      <c r="AO86" s="78" t="str"/>
      <c r="AP86" s="78" t="str"/>
      <c r="AQ86" s="78" t="str"/>
      <c r="AR86" s="78" t="str"/>
      <c r="AS86" s="78" t="str"/>
      <c r="AT86" s="78" t="str"/>
      <c r="AU86" s="78" t="str"/>
      <c r="AV86" s="78"/>
      <c r="AW86" s="78">
        <f>IF(AND(Q86="✅", I86="U90"), "X="&amp;(U86-1)*16&amp;",Y="&amp;(V86-1)*16&amp;",Z="&amp;W86*16, "")</f>
      </c>
      <c r="AX86" s="78">
        <f>IF(AND(Q86="✅", I86="U90"), "P=90,Y=0,R=0", "")</f>
      </c>
      <c r="AY86" s="78" t="str"/>
      <c r="AZ86" s="78" t="str"/>
      <c r="BA86" s="78" t="str"/>
      <c r="BB86" s="78" t="str"/>
      <c r="BC86" s="78" t="str"/>
      <c r="BD86" s="78"/>
      <c r="BE86" s="78">
        <f>IF(AND(Q86="✅", I86="D90"), "X="&amp;(U86-1)*16&amp;",Y="&amp;(V86-1)*16&amp;",Z="&amp;(W86-2)*16, "")</f>
      </c>
      <c r="BF86" s="78">
        <f>IF(AND(Q86="✅", I86="D90"), "P=-90,Y=0,R=0", "")</f>
      </c>
      <c r="BG86" s="78" t="str"/>
      <c r="BH86" s="78" t="str"/>
      <c r="BI86" s="78" t="str"/>
      <c r="BJ86" s="78" t="str"/>
      <c r="BK86" s="78" t="str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</row>
    <row hidden="true" outlineLevel="3" r="87">
      <c r="A87" s="135" t="str" xml:space="preserve">
        <v> </v>
      </c>
      <c r="B87" s="135" t="str" xml:space="preserve">
        <v> </v>
      </c>
      <c r="C87" s="133" t="str" xml:space="preserve">
        <v> </v>
      </c>
      <c r="D87" s="133" t="str" xml:space="preserve">
        <v> </v>
      </c>
      <c r="E87" s="91">
        <f>G87 &amp; "_" &amp; H87 &amp; IF(I87&lt;&gt;"", "_" &amp; I87, "") &amp; IF(J87&lt;&gt;"", "_" &amp; J87, "") &amp; IF(K87&lt;&gt;"", "_" &amp; K87, "") &amp;"_X"&amp;U87&amp;"_Y"&amp;V87&amp;"_Z"&amp;W87 &amp; IF(G87="SM", "_Proxy" , "_Rail") &amp; IF(M87&lt;&gt;"", "_" &amp; M87, "")</f>
      </c>
      <c r="F87" s="79">
        <f>IF(E87="", "", IF(G87="BP", E87, F86))</f>
      </c>
      <c r="G87" s="92" t="str">
        <v>SM</v>
      </c>
      <c r="H87" s="92" t="str">
        <v>Straight</v>
      </c>
      <c r="I87" s="92" t="str">
        <v>L90</v>
      </c>
      <c r="J87" s="92"/>
      <c r="K87" s="92"/>
      <c r="L87" s="92"/>
      <c r="M87" s="92" t="str">
        <v>L</v>
      </c>
      <c r="N87" s="94"/>
      <c r="O87" s="94"/>
      <c r="P87" s="94" t="str">
        <v>✅</v>
      </c>
      <c r="Q87" s="94"/>
      <c r="R87" s="92" t="str">
        <v>Straight_L90_X1_Y1_Z1</v>
      </c>
      <c r="S87" s="79" t="str">
        <v>/Script/Engine.StaticMesh'/Game/Item/Rail/Straight/L90/Normal/Straight_L90_X1_Y1_Z1/Proxy/SM_Straight_L90_X1_Y1_Z1_Proxy_L.SM_Straight_L90_X1_Y1_Z1_Proxy_L'</v>
      </c>
      <c r="T87" s="134" t="str"/>
      <c r="U87" s="136">
        <v>1</v>
      </c>
      <c r="V87" s="136">
        <v>1</v>
      </c>
      <c r="W87" s="136">
        <v>1</v>
      </c>
      <c r="X87" s="78"/>
      <c r="Y87" s="78">
        <f>IF(AND(Q87="✅", OR(ISNUMBER(FIND("F",I87)), I87="CR")),   "X="&amp;U87*16&amp;",Y="&amp;(V87-1)*16&amp;",Z="&amp;IF(I87="FD", -(W87-1)*16, (W87-1)*16),   "")</f>
      </c>
      <c r="Z87" s="78">
        <f>IF(AND(Q87="✅", OR(ISNUMBER(FIND("F",I87)), I87="CR")), "P=0,Y=0,R=0", "")</f>
      </c>
      <c r="AA87" s="78" t="str"/>
      <c r="AB87" s="78" t="str"/>
      <c r="AC87" s="78" t="str"/>
      <c r="AD87" s="78" t="str"/>
      <c r="AE87" s="78" t="str"/>
      <c r="AF87" s="78"/>
      <c r="AG87" s="78" t="str"/>
      <c r="AH87" s="78" t="str"/>
      <c r="AI87" s="78" t="str"/>
      <c r="AJ87" s="78" t="str"/>
      <c r="AK87" s="78" t="str"/>
      <c r="AL87" s="78" t="str"/>
      <c r="AM87" s="78" t="str"/>
      <c r="AN87" s="78"/>
      <c r="AO87" s="78" t="str"/>
      <c r="AP87" s="78" t="str"/>
      <c r="AQ87" s="78" t="str"/>
      <c r="AR87" s="78" t="str"/>
      <c r="AS87" s="78" t="str"/>
      <c r="AT87" s="78" t="str"/>
      <c r="AU87" s="78" t="str"/>
      <c r="AV87" s="78"/>
      <c r="AW87" s="78">
        <f>IF(AND(Q87="✅", I87="U90"), "X="&amp;(U87-1)*16&amp;",Y="&amp;(V87-1)*16&amp;",Z="&amp;W87*16, "")</f>
      </c>
      <c r="AX87" s="78">
        <f>IF(AND(Q87="✅", I87="U90"), "P=90,Y=0,R=0", "")</f>
      </c>
      <c r="AY87" s="78" t="str"/>
      <c r="AZ87" s="78" t="str"/>
      <c r="BA87" s="78" t="str"/>
      <c r="BB87" s="78" t="str"/>
      <c r="BC87" s="78" t="str"/>
      <c r="BD87" s="78"/>
      <c r="BE87" s="78">
        <f>IF(AND(Q87="✅", I87="D90"), "X="&amp;(U87-1)*16&amp;",Y="&amp;(V87-1)*16&amp;",Z="&amp;(W87-2)*16, "")</f>
      </c>
      <c r="BF87" s="78">
        <f>IF(AND(Q87="✅", I87="D90"), "P=-90,Y=0,R=0", "")</f>
      </c>
      <c r="BG87" s="78" t="str"/>
      <c r="BH87" s="78" t="str"/>
      <c r="BI87" s="78" t="str"/>
      <c r="BJ87" s="78" t="str"/>
      <c r="BK87" s="78" t="str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</row>
    <row hidden="true" outlineLevel="3" r="88">
      <c r="A88" s="135" t="str" xml:space="preserve">
        <v> </v>
      </c>
      <c r="B88" s="135" t="str" xml:space="preserve">
        <v> </v>
      </c>
      <c r="C88" s="133" t="str" xml:space="preserve">
        <v> </v>
      </c>
      <c r="D88" s="133" t="str" xml:space="preserve">
        <v> </v>
      </c>
      <c r="E88" s="91">
        <f>G88 &amp; "_" &amp; H88 &amp; IF(I88&lt;&gt;"", "_" &amp; I88, "") &amp; IF(J88&lt;&gt;"", "_" &amp; J88, "") &amp; IF(K88&lt;&gt;"", "_" &amp; K88, "") &amp;"_X"&amp;U88&amp;"_Y"&amp;V88&amp;"_Z"&amp;W88 &amp; IF(G88="SM", "_Proxy" , "_Rail") &amp; IF(M88&lt;&gt;"", "_" &amp; M88, "")</f>
      </c>
      <c r="F88" s="79">
        <f>IF(E88="", "", IF(G88="BP", E88, F87))</f>
      </c>
      <c r="G88" s="92" t="str">
        <v>SM</v>
      </c>
      <c r="H88" s="92" t="str">
        <v>Straight</v>
      </c>
      <c r="I88" s="92" t="str">
        <v>L90</v>
      </c>
      <c r="J88" s="92"/>
      <c r="K88" s="92"/>
      <c r="L88" s="92"/>
      <c r="M88" s="92" t="str">
        <v>R</v>
      </c>
      <c r="N88" s="94"/>
      <c r="O88" s="94"/>
      <c r="P88" s="94" t="str">
        <v>✅</v>
      </c>
      <c r="Q88" s="94"/>
      <c r="R88" s="92" t="str">
        <v>Straight_L90_X1_Y1_Z1</v>
      </c>
      <c r="S88" s="79" t="str">
        <v>/Script/Engine.StaticMesh'/Game/Item/Rail/Straight/L90/Normal/Straight_L90_X1_Y1_Z1/Proxy/SM_Straight_L90_X1_Y1_Z1_Proxy_R.SM_Straight_L90_X1_Y1_Z1_Proxy_R'</v>
      </c>
      <c r="T88" s="134" t="str"/>
      <c r="U88" s="136">
        <v>1</v>
      </c>
      <c r="V88" s="136">
        <v>1</v>
      </c>
      <c r="W88" s="136">
        <v>1</v>
      </c>
      <c r="X88" s="78"/>
      <c r="Y88" s="78">
        <f>IF(AND(Q88="✅", OR(ISNUMBER(FIND("F",I88)), I88="CR")),   "X="&amp;U88*16&amp;",Y="&amp;(V88-1)*16&amp;",Z="&amp;IF(I88="FD", -(W88-1)*16, (W88-1)*16),   "")</f>
      </c>
      <c r="Z88" s="78">
        <f>IF(AND(Q88="✅", OR(ISNUMBER(FIND("F",I88)), I88="CR")), "P=0,Y=0,R=0", "")</f>
      </c>
      <c r="AA88" s="78" t="str"/>
      <c r="AB88" s="78" t="str"/>
      <c r="AC88" s="78" t="str"/>
      <c r="AD88" s="78" t="str"/>
      <c r="AE88" s="78" t="str"/>
      <c r="AF88" s="78"/>
      <c r="AG88" s="78" t="str"/>
      <c r="AH88" s="78" t="str"/>
      <c r="AI88" s="78" t="str"/>
      <c r="AJ88" s="78" t="str"/>
      <c r="AK88" s="78" t="str"/>
      <c r="AL88" s="78" t="str"/>
      <c r="AM88" s="78" t="str"/>
      <c r="AN88" s="78"/>
      <c r="AO88" s="78" t="str"/>
      <c r="AP88" s="78" t="str"/>
      <c r="AQ88" s="78" t="str"/>
      <c r="AR88" s="78" t="str"/>
      <c r="AS88" s="78" t="str"/>
      <c r="AT88" s="78" t="str"/>
      <c r="AU88" s="78" t="str"/>
      <c r="AV88" s="78"/>
      <c r="AW88" s="78">
        <f>IF(AND(Q88="✅", I88="U90"), "X="&amp;(U88-1)*16&amp;",Y="&amp;(V88-1)*16&amp;",Z="&amp;W88*16, "")</f>
      </c>
      <c r="AX88" s="78">
        <f>IF(AND(Q88="✅", I88="U90"), "P=90,Y=0,R=0", "")</f>
      </c>
      <c r="AY88" s="78" t="str"/>
      <c r="AZ88" s="78" t="str"/>
      <c r="BA88" s="78" t="str"/>
      <c r="BB88" s="78" t="str"/>
      <c r="BC88" s="78" t="str"/>
      <c r="BD88" s="78"/>
      <c r="BE88" s="78">
        <f>IF(AND(Q88="✅", I88="D90"), "X="&amp;(U88-1)*16&amp;",Y="&amp;(V88-1)*16&amp;",Z="&amp;(W88-2)*16, "")</f>
      </c>
      <c r="BF88" s="78">
        <f>IF(AND(Q88="✅", I88="D90"), "P=-90,Y=0,R=0", "")</f>
      </c>
      <c r="BG88" s="78" t="str"/>
      <c r="BH88" s="78" t="str"/>
      <c r="BI88" s="78" t="str"/>
      <c r="BJ88" s="78" t="str"/>
      <c r="BK88" s="78" t="str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</row>
    <row collapsed="true" customHeight="true" ht="19" outlineLevel="2" r="89">
      <c r="A89" s="11"/>
      <c r="B89" s="11"/>
      <c r="C89" s="119" t="str">
        <v>Borderless</v>
      </c>
      <c r="D89" s="119"/>
      <c r="E89" s="5"/>
      <c r="F89" s="9">
        <f>IF(E89="", "", IF(G89="BP", E89, F84))</f>
      </c>
      <c r="G89" s="1"/>
      <c r="H89" s="1"/>
      <c r="I89" s="1"/>
      <c r="J89" s="1"/>
      <c r="K89" s="1"/>
      <c r="L89" s="1"/>
      <c r="M89" s="1"/>
      <c r="N89" s="3"/>
      <c r="O89" s="3" t="str">
        <v>⭕</v>
      </c>
      <c r="P89" s="3"/>
      <c r="Q89" s="3"/>
      <c r="R89" s="1" t="str"/>
      <c r="S89" s="9" t="str"/>
      <c r="T89" s="120" t="str"/>
      <c r="U89" s="118"/>
      <c r="V89" s="118"/>
      <c r="W89" s="118"/>
      <c r="X89" s="4"/>
      <c r="Y89" s="4">
        <f>IF(AND(Q89="✅", OR(ISNUMBER(FIND("F",I89)), I89="CR")),   "X="&amp;U89*16&amp;",Y="&amp;(V89-1)*16&amp;",Z="&amp;IF(I89="FD", -(W89-1)*16, (W89-1)*16),   "")</f>
      </c>
      <c r="Z89" s="4">
        <f>IF(AND(Q89="✅", OR(ISNUMBER(FIND("F",I89)), I89="CR")), "P=0,Y=0,R=0", "")</f>
      </c>
      <c r="AA89" s="4" t="str"/>
      <c r="AB89" s="4" t="str"/>
      <c r="AC89" s="4" t="str"/>
      <c r="AD89" s="4" t="str"/>
      <c r="AE89" s="4" t="str"/>
      <c r="AF89" s="4"/>
      <c r="AG89" s="4" t="str"/>
      <c r="AH89" s="4" t="str"/>
      <c r="AI89" s="4" t="str"/>
      <c r="AJ89" s="4" t="str"/>
      <c r="AK89" s="4" t="str"/>
      <c r="AL89" s="4" t="str"/>
      <c r="AM89" s="4" t="str"/>
      <c r="AN89" s="4"/>
      <c r="AO89" s="4" t="str"/>
      <c r="AP89" s="4" t="str"/>
      <c r="AQ89" s="4" t="str"/>
      <c r="AR89" s="4" t="str"/>
      <c r="AS89" s="4" t="str"/>
      <c r="AT89" s="4" t="str"/>
      <c r="AU89" s="4" t="str"/>
      <c r="AV89" s="4"/>
      <c r="AW89" s="4">
        <f>IF(AND(Q89="✅", I89="U90"), "X="&amp;(U89-1)*16&amp;",Y="&amp;(V89-1)*16&amp;",Z="&amp;W89*16, "")</f>
      </c>
      <c r="AX89" s="4">
        <f>IF(AND(Q89="✅", I89="U90"), "P=90,Y=0,R=0", "")</f>
      </c>
      <c r="AY89" s="4" t="str"/>
      <c r="AZ89" s="4" t="str"/>
      <c r="BA89" s="4" t="str"/>
      <c r="BB89" s="4" t="str"/>
      <c r="BC89" s="4" t="str"/>
      <c r="BD89" s="4"/>
      <c r="BE89" s="4">
        <f>IF(AND(Q89="✅", I89="D90"), "X="&amp;(U89-1)*16&amp;",Y="&amp;(V89-1)*16&amp;",Z="&amp;(W89-2)*16, "")</f>
      </c>
      <c r="BF89" s="4">
        <f>IF(AND(Q89="✅", I89="D90"), "P=-90,Y=0,R=0", "")</f>
      </c>
      <c r="BG89" s="4" t="str"/>
      <c r="BH89" s="4" t="str"/>
      <c r="BI89" s="4" t="str"/>
      <c r="BJ89" s="4" t="str"/>
      <c r="BK89" s="4" t="str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</row>
    <row customHeight="true" hidden="true" ht="19" outlineLevel="3" r="90">
      <c r="A90" s="11"/>
      <c r="B90" s="11"/>
      <c r="C90" s="119"/>
      <c r="D90" s="119">
        <v>1</v>
      </c>
      <c r="E90" s="5"/>
      <c r="F90" s="9"/>
      <c r="G90" s="1"/>
      <c r="H90" s="1"/>
      <c r="I90" s="1"/>
      <c r="J90" s="1"/>
      <c r="K90" s="1"/>
      <c r="L90" s="1"/>
      <c r="M90" s="1"/>
      <c r="N90" s="3"/>
      <c r="O90" s="3"/>
      <c r="P90" s="3"/>
      <c r="Q90" s="3"/>
      <c r="R90" s="1" t="str"/>
      <c r="S90" s="9" t="str"/>
      <c r="T90" s="120" t="str"/>
      <c r="U90" s="118"/>
      <c r="V90" s="118"/>
      <c r="W90" s="118"/>
      <c r="X90" s="4"/>
      <c r="Y90" s="4">
        <f>IF(AND(Q90="✅", OR(ISNUMBER(FIND("F",I90)), I90="CR")),   "X="&amp;U90*16&amp;",Y="&amp;(V90-1)*16&amp;",Z="&amp;IF(I90="FD", -(W90-1)*16, (W90-1)*16),   "")</f>
      </c>
      <c r="Z90" s="4">
        <f>IF(AND(Q90="✅", OR(ISNUMBER(FIND("F",I90)), I90="CR")), "P=0,Y=0,R=0", "")</f>
      </c>
      <c r="AA90" s="4" t="str"/>
      <c r="AB90" s="4" t="str"/>
      <c r="AC90" s="4" t="str"/>
      <c r="AD90" s="4" t="str"/>
      <c r="AE90" s="4" t="str"/>
      <c r="AF90" s="4"/>
      <c r="AG90" s="4" t="str"/>
      <c r="AH90" s="4" t="str"/>
      <c r="AI90" s="4" t="str"/>
      <c r="AJ90" s="4" t="str"/>
      <c r="AK90" s="4" t="str"/>
      <c r="AL90" s="4" t="str"/>
      <c r="AM90" s="4" t="str"/>
      <c r="AN90" s="4"/>
      <c r="AO90" s="4" t="str"/>
      <c r="AP90" s="4" t="str"/>
      <c r="AQ90" s="4" t="str"/>
      <c r="AR90" s="4" t="str"/>
      <c r="AS90" s="4" t="str"/>
      <c r="AT90" s="4" t="str"/>
      <c r="AU90" s="4" t="str"/>
      <c r="AV90" s="4"/>
      <c r="AW90" s="4">
        <f>IF(AND(Q90="✅", I90="U90"), "X="&amp;(U90-1)*16&amp;",Y="&amp;(V90-1)*16&amp;",Z="&amp;W90*16, "")</f>
      </c>
      <c r="AX90" s="4">
        <f>IF(AND(Q90="✅", I90="U90"), "P=90,Y=0,R=0", "")</f>
      </c>
      <c r="AY90" s="4" t="str"/>
      <c r="AZ90" s="4" t="str"/>
      <c r="BA90" s="4" t="str"/>
      <c r="BB90" s="4" t="str"/>
      <c r="BC90" s="4" t="str"/>
      <c r="BD90" s="4"/>
      <c r="BE90" s="4">
        <f>IF(AND(Q90="✅", I90="D90"), "X="&amp;(U90-1)*16&amp;",Y="&amp;(V90-1)*16&amp;",Z="&amp;(W90-2)*16, "")</f>
      </c>
      <c r="BF90" s="4">
        <f>IF(AND(Q90="✅", I90="D90"), "P=-90,Y=0,R=0", "")</f>
      </c>
      <c r="BG90" s="4" t="str"/>
      <c r="BH90" s="4" t="str"/>
      <c r="BI90" s="4" t="str"/>
      <c r="BJ90" s="4" t="str"/>
      <c r="BK90" s="4" t="str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</row>
    <row customHeight="true" hidden="true" ht="19" outlineLevel="3" r="91">
      <c r="A91" s="142" t="str" xml:space="preserve">
        <v> </v>
      </c>
      <c r="B91" s="142" t="str" xml:space="preserve">
        <v> </v>
      </c>
      <c r="C91" s="141" t="str" xml:space="preserve">
        <v> </v>
      </c>
      <c r="D91" s="141" t="str" xml:space="preserve">
        <v> </v>
      </c>
      <c r="E91" s="51">
        <f>G91 &amp; "_" &amp; H91 &amp; IF(I91&lt;&gt;"", "_" &amp; I91, "") &amp; IF(J91&lt;&gt;"", "_" &amp; J91, "") &amp; IF(K91&lt;&gt;"", "_" &amp; K91, "") &amp;"_X"&amp;U91&amp;"_Y"&amp;V91&amp;"_Z"&amp;W91 &amp; IF(G91="SM", "_Proxy" , "_Rail") &amp; IF(M91&lt;&gt;"", "_" &amp; M91, "")</f>
      </c>
      <c r="F91" s="54">
        <f>IF(E91="", "", IF(G91="BP", E91, F89))</f>
      </c>
      <c r="G91" s="52" t="str">
        <v>BP</v>
      </c>
      <c r="H91" s="52" t="str">
        <v>Straight</v>
      </c>
      <c r="I91" s="52" t="str">
        <v>L90</v>
      </c>
      <c r="J91" s="52" t="str">
        <v>Borderless</v>
      </c>
      <c r="K91" s="52"/>
      <c r="L91" s="52"/>
      <c r="M91" s="52"/>
      <c r="N91" s="101"/>
      <c r="O91" s="101"/>
      <c r="P91" s="101"/>
      <c r="Q91" s="101" t="str">
        <v>⭕</v>
      </c>
      <c r="R91" s="52" t="str"/>
      <c r="S91" s="54" t="str"/>
      <c r="T91" s="138">
        <v>2</v>
      </c>
      <c r="U91" s="137">
        <v>1</v>
      </c>
      <c r="V91" s="137">
        <v>1</v>
      </c>
      <c r="W91" s="137">
        <v>1</v>
      </c>
      <c r="X91" s="53"/>
      <c r="Y91" s="53">
        <f>IF(AND(Q91="✅", OR(ISNUMBER(FIND("F",I91)), I91="CR")),   "X="&amp;U91*16&amp;",Y="&amp;(V91-1)*16&amp;",Z="&amp;IF(I91="FD", -(W91-1)*16, (W91-1)*16),   "")</f>
      </c>
      <c r="Z91" s="53">
        <f>IF(AND(Q91="✅", OR(ISNUMBER(FIND("F",I91)), I91="CR")), "P=0,Y=0,R=0", "")</f>
      </c>
      <c r="AA91" s="53" t="str"/>
      <c r="AB91" s="53" t="str"/>
      <c r="AC91" s="53" t="str"/>
      <c r="AD91" s="53" t="str"/>
      <c r="AE91" s="53" t="str"/>
      <c r="AF91" s="53"/>
      <c r="AG91" s="53" t="str"/>
      <c r="AH91" s="53" t="str"/>
      <c r="AI91" s="53" t="str"/>
      <c r="AJ91" s="53" t="str"/>
      <c r="AK91" s="53" t="str"/>
      <c r="AL91" s="53" t="str"/>
      <c r="AM91" s="53" t="str"/>
      <c r="AN91" s="53"/>
      <c r="AO91" s="53" t="str"/>
      <c r="AP91" s="53" t="str"/>
      <c r="AQ91" s="53" t="str"/>
      <c r="AR91" s="53" t="str"/>
      <c r="AS91" s="53" t="str"/>
      <c r="AT91" s="53" t="str"/>
      <c r="AU91" s="53" t="str"/>
      <c r="AV91" s="53"/>
      <c r="AW91" s="53">
        <f>IF(AND(Q91="✅", I91="U90"), "X="&amp;(U91-1)*16&amp;",Y="&amp;(V91-1)*16&amp;",Z="&amp;W91*16, "")</f>
      </c>
      <c r="AX91" s="53">
        <f>IF(AND(Q91="✅", I91="U90"), "P=90,Y=0,R=0", "")</f>
      </c>
      <c r="AY91" s="53" t="str"/>
      <c r="AZ91" s="53" t="str"/>
      <c r="BA91" s="53" t="str"/>
      <c r="BB91" s="53" t="str"/>
      <c r="BC91" s="53" t="str"/>
      <c r="BD91" s="53"/>
      <c r="BE91" s="53">
        <f>IF(AND(Q91="✅", I91="D90"), "X="&amp;(U91-1)*16&amp;",Y="&amp;(V91-1)*16&amp;",Z="&amp;(W91-2)*16, "")</f>
      </c>
      <c r="BF91" s="53">
        <f>IF(AND(Q91="✅", I91="D90"), "P=-90,Y=0,R=0", "")</f>
      </c>
      <c r="BG91" s="53" t="str"/>
      <c r="BH91" s="53" t="str"/>
      <c r="BI91" s="53" t="str"/>
      <c r="BJ91" s="53" t="str"/>
      <c r="BK91" s="53" t="str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</row>
    <row customHeight="true" hidden="true" ht="19" outlineLevel="3" r="92">
      <c r="A92" s="142" t="str" xml:space="preserve">
        <v> </v>
      </c>
      <c r="B92" s="142" t="str" xml:space="preserve">
        <v> </v>
      </c>
      <c r="C92" s="141" t="str" xml:space="preserve">
        <v> </v>
      </c>
      <c r="D92" s="141" t="str" xml:space="preserve">
        <v> </v>
      </c>
      <c r="E92" s="51">
        <f>E86</f>
      </c>
      <c r="F92" s="54">
        <f>IF(E92="", "", IF(G92="BP", E92, F91))</f>
      </c>
      <c r="G92" s="52"/>
      <c r="H92" s="52"/>
      <c r="I92" s="52"/>
      <c r="J92" s="52"/>
      <c r="K92" s="52"/>
      <c r="L92" s="52"/>
      <c r="M92" s="52" t="str">
        <v>B</v>
      </c>
      <c r="N92" s="101"/>
      <c r="O92" s="101"/>
      <c r="P92" s="101" t="str">
        <v>✅</v>
      </c>
      <c r="Q92" s="101"/>
      <c r="R92" s="52" t="str">
        <v>Straight_F_X1_Y1_Z1</v>
      </c>
      <c r="S92" s="54" t="str">
        <v>/Script/Engine.StaticMesh'/Game/Item/Rail/Straight/F/Normal/Straight_F_X1_Y1_Z1/Proxy/SM_Straight_F_X1_Y1_Z1_Proxy_B.SM_Straight_F_X1_Y1_Z1_Proxy_B'</v>
      </c>
      <c r="T92" s="138" t="str"/>
      <c r="U92" s="137"/>
      <c r="V92" s="137"/>
      <c r="W92" s="137"/>
      <c r="X92" s="53"/>
      <c r="Y92" s="53">
        <f>IF(AND(Q92="✅", OR(ISNUMBER(FIND("F",I92)), I92="CR")),   "X="&amp;U92*16&amp;",Y="&amp;(V92-1)*16&amp;",Z="&amp;IF(I92="FD", -(W92-1)*16, (W92-1)*16),   "")</f>
      </c>
      <c r="Z92" s="53">
        <f>IF(AND(Q92="✅", OR(ISNUMBER(FIND("F",I92)), I92="CR")), "P=0,Y=0,R=0", "")</f>
      </c>
      <c r="AA92" s="53" t="str"/>
      <c r="AB92" s="53" t="str"/>
      <c r="AC92" s="53" t="str"/>
      <c r="AD92" s="53" t="str"/>
      <c r="AE92" s="53" t="str"/>
      <c r="AF92" s="53"/>
      <c r="AG92" s="53" t="str"/>
      <c r="AH92" s="53" t="str"/>
      <c r="AI92" s="53" t="str"/>
      <c r="AJ92" s="53" t="str"/>
      <c r="AK92" s="53" t="str"/>
      <c r="AL92" s="53" t="str"/>
      <c r="AM92" s="53" t="str"/>
      <c r="AN92" s="53"/>
      <c r="AO92" s="53" t="str"/>
      <c r="AP92" s="53" t="str"/>
      <c r="AQ92" s="53" t="str"/>
      <c r="AR92" s="53" t="str"/>
      <c r="AS92" s="53" t="str"/>
      <c r="AT92" s="53" t="str"/>
      <c r="AU92" s="53" t="str"/>
      <c r="AV92" s="53"/>
      <c r="AW92" s="53">
        <f>IF(AND(Q92="✅", I92="U90"), "X="&amp;(U92-1)*16&amp;",Y="&amp;(V92-1)*16&amp;",Z="&amp;W92*16, "")</f>
      </c>
      <c r="AX92" s="53">
        <f>IF(AND(Q92="✅", I92="U90"), "P=90,Y=0,R=0", "")</f>
      </c>
      <c r="AY92" s="53" t="str"/>
      <c r="AZ92" s="53" t="str"/>
      <c r="BA92" s="53" t="str"/>
      <c r="BB92" s="53" t="str"/>
      <c r="BC92" s="53" t="str"/>
      <c r="BD92" s="53"/>
      <c r="BE92" s="53">
        <f>IF(AND(Q92="✅", I92="D90"), "X="&amp;(U92-1)*16&amp;",Y="&amp;(V92-1)*16&amp;",Z="&amp;(W92-2)*16, "")</f>
      </c>
      <c r="BF92" s="53">
        <f>IF(AND(Q92="✅", I92="D90"), "P=-90,Y=0,R=0", "")</f>
      </c>
      <c r="BG92" s="53" t="str"/>
      <c r="BH92" s="53" t="str"/>
      <c r="BI92" s="53" t="str"/>
      <c r="BJ92" s="53" t="str"/>
      <c r="BK92" s="53" t="str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</row>
    <row collapsed="true" customHeight="true" ht="19" outlineLevel="2" r="93">
      <c r="A93" s="11"/>
      <c r="B93" s="11"/>
      <c r="C93" s="119" t="str">
        <v>Borderless_I</v>
      </c>
      <c r="D93" s="119"/>
      <c r="E93" s="5"/>
      <c r="F93" s="9">
        <f>IF(E93="", "", IF(G93="BP", E93, F88))</f>
      </c>
      <c r="G93" s="1"/>
      <c r="H93" s="1"/>
      <c r="I93" s="1"/>
      <c r="J93" s="1"/>
      <c r="K93" s="1"/>
      <c r="L93" s="1"/>
      <c r="M93" s="1"/>
      <c r="N93" s="3"/>
      <c r="O93" s="3" t="str">
        <v>⭕</v>
      </c>
      <c r="P93" s="3"/>
      <c r="Q93" s="3"/>
      <c r="R93" s="1" t="str"/>
      <c r="S93" s="9" t="str"/>
      <c r="T93" s="120" t="str"/>
      <c r="U93" s="118"/>
      <c r="V93" s="118"/>
      <c r="W93" s="118"/>
      <c r="X93" s="4"/>
      <c r="Y93" s="4">
        <f>IF(AND(Q93="✅", OR(ISNUMBER(FIND("F",I93)), I93="CR")),   "X="&amp;U93*16&amp;",Y="&amp;(V93-1)*16&amp;",Z="&amp;IF(I93="FD", -(W93-1)*16, (W93-1)*16),   "")</f>
      </c>
      <c r="Z93" s="4">
        <f>IF(AND(Q93="✅", OR(ISNUMBER(FIND("F",I93)), I93="CR")), "P=0,Y=0,R=0", "")</f>
      </c>
      <c r="AA93" s="4" t="str"/>
      <c r="AB93" s="4" t="str"/>
      <c r="AC93" s="4" t="str"/>
      <c r="AD93" s="4" t="str"/>
      <c r="AE93" s="4" t="str"/>
      <c r="AF93" s="4"/>
      <c r="AG93" s="4" t="str"/>
      <c r="AH93" s="4" t="str"/>
      <c r="AI93" s="4" t="str"/>
      <c r="AJ93" s="4" t="str"/>
      <c r="AK93" s="4" t="str"/>
      <c r="AL93" s="4" t="str"/>
      <c r="AM93" s="4" t="str"/>
      <c r="AN93" s="4"/>
      <c r="AO93" s="4" t="str"/>
      <c r="AP93" s="4" t="str"/>
      <c r="AQ93" s="4" t="str"/>
      <c r="AR93" s="4" t="str"/>
      <c r="AS93" s="4" t="str"/>
      <c r="AT93" s="4" t="str"/>
      <c r="AU93" s="4" t="str"/>
      <c r="AV93" s="4"/>
      <c r="AW93" s="4">
        <f>IF(AND(Q93="✅", I93="U90"), "X="&amp;(U93-1)*16&amp;",Y="&amp;(V93-1)*16&amp;",Z="&amp;W93*16, "")</f>
      </c>
      <c r="AX93" s="4">
        <f>IF(AND(Q93="✅", I93="U90"), "P=90,Y=0,R=0", "")</f>
      </c>
      <c r="AY93" s="4" t="str"/>
      <c r="AZ93" s="4" t="str"/>
      <c r="BA93" s="4" t="str"/>
      <c r="BB93" s="4" t="str"/>
      <c r="BC93" s="4" t="str"/>
      <c r="BD93" s="4"/>
      <c r="BE93" s="4">
        <f>IF(AND(Q93="✅", I93="D90"), "X="&amp;(U93-1)*16&amp;",Y="&amp;(V93-1)*16&amp;",Z="&amp;(W93-2)*16, "")</f>
      </c>
      <c r="BF93" s="4">
        <f>IF(AND(Q93="✅", I93="D90"), "P=-90,Y=0,R=0", "")</f>
      </c>
      <c r="BG93" s="4" t="str"/>
      <c r="BH93" s="4" t="str"/>
      <c r="BI93" s="4" t="str"/>
      <c r="BJ93" s="4" t="str"/>
      <c r="BK93" s="4" t="str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</row>
    <row customHeight="true" hidden="true" ht="19" outlineLevel="3" r="94">
      <c r="A94" s="11"/>
      <c r="B94" s="11"/>
      <c r="C94" s="119"/>
      <c r="D94" s="119">
        <v>1</v>
      </c>
      <c r="E94" s="5"/>
      <c r="F94" s="9"/>
      <c r="G94" s="1"/>
      <c r="H94" s="1"/>
      <c r="I94" s="1"/>
      <c r="J94" s="1"/>
      <c r="K94" s="1"/>
      <c r="L94" s="1"/>
      <c r="M94" s="1"/>
      <c r="N94" s="3"/>
      <c r="O94" s="3"/>
      <c r="P94" s="3"/>
      <c r="Q94" s="3"/>
      <c r="R94" s="1" t="str"/>
      <c r="S94" s="9" t="str"/>
      <c r="T94" s="120" t="str"/>
      <c r="U94" s="118"/>
      <c r="V94" s="118"/>
      <c r="W94" s="118"/>
      <c r="X94" s="4"/>
      <c r="Y94" s="4">
        <f>IF(AND(Q94="✅", OR(ISNUMBER(FIND("F",I94)), I94="CR")),   "X="&amp;U94*16&amp;",Y="&amp;(V94-1)*16&amp;",Z="&amp;IF(I94="FD", -(W94-1)*16, (W94-1)*16),   "")</f>
      </c>
      <c r="Z94" s="4">
        <f>IF(AND(Q94="✅", OR(ISNUMBER(FIND("F",I94)), I94="CR")), "P=0,Y=0,R=0", "")</f>
      </c>
      <c r="AA94" s="4" t="str"/>
      <c r="AB94" s="4" t="str"/>
      <c r="AC94" s="4" t="str"/>
      <c r="AD94" s="4" t="str"/>
      <c r="AE94" s="4" t="str"/>
      <c r="AF94" s="4"/>
      <c r="AG94" s="4" t="str"/>
      <c r="AH94" s="4" t="str"/>
      <c r="AI94" s="4" t="str"/>
      <c r="AJ94" s="4" t="str"/>
      <c r="AK94" s="4" t="str"/>
      <c r="AL94" s="4" t="str"/>
      <c r="AM94" s="4" t="str"/>
      <c r="AN94" s="4"/>
      <c r="AO94" s="4" t="str"/>
      <c r="AP94" s="4" t="str"/>
      <c r="AQ94" s="4" t="str"/>
      <c r="AR94" s="4" t="str"/>
      <c r="AS94" s="4" t="str"/>
      <c r="AT94" s="4" t="str"/>
      <c r="AU94" s="4" t="str"/>
      <c r="AV94" s="4"/>
      <c r="AW94" s="4">
        <f>IF(AND(Q94="✅", I94="U90"), "X="&amp;(U94-1)*16&amp;",Y="&amp;(V94-1)*16&amp;",Z="&amp;W94*16, "")</f>
      </c>
      <c r="AX94" s="4">
        <f>IF(AND(Q94="✅", I94="U90"), "P=90,Y=0,R=0", "")</f>
      </c>
      <c r="AY94" s="4" t="str"/>
      <c r="AZ94" s="4" t="str"/>
      <c r="BA94" s="4" t="str"/>
      <c r="BB94" s="4" t="str"/>
      <c r="BC94" s="4" t="str"/>
      <c r="BD94" s="4"/>
      <c r="BE94" s="4">
        <f>IF(AND(Q94="✅", I94="D90"), "X="&amp;(U94-1)*16&amp;",Y="&amp;(V94-1)*16&amp;",Z="&amp;(W94-2)*16, "")</f>
      </c>
      <c r="BF94" s="4">
        <f>IF(AND(Q94="✅", I94="D90"), "P=-90,Y=0,R=0", "")</f>
      </c>
      <c r="BG94" s="4" t="str"/>
      <c r="BH94" s="4" t="str"/>
      <c r="BI94" s="4" t="str"/>
      <c r="BJ94" s="4" t="str"/>
      <c r="BK94" s="4" t="str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</row>
    <row hidden="true" outlineLevel="3" r="95">
      <c r="A95" s="129" t="str" xml:space="preserve">
        <v> </v>
      </c>
      <c r="B95" s="129" t="str" xml:space="preserve">
        <v> </v>
      </c>
      <c r="C95" s="130" t="str" xml:space="preserve">
        <v> </v>
      </c>
      <c r="D95" s="130" t="str" xml:space="preserve">
        <v> </v>
      </c>
      <c r="E95" s="21">
        <f>G95 &amp; "_" &amp; H95 &amp; IF(I95&lt;&gt;"", "_" &amp; I95, "") &amp; IF(J95&lt;&gt;"", "_" &amp; J95, "") &amp; IF(K95&lt;&gt;"", "_" &amp; K95, "") &amp;"_X"&amp;U95&amp;"_Y"&amp;V95&amp;"_Z"&amp;W95 &amp; IF(G95="SM", "_Proxy" , "_Rail") &amp; IF(M95&lt;&gt;"", "_" &amp; M95, "")</f>
      </c>
      <c r="F95" s="19">
        <f>IF(E95="", "", IF(G95="BP", E95, F93))</f>
      </c>
      <c r="G95" s="20" t="str">
        <v>BP</v>
      </c>
      <c r="H95" s="20" t="str">
        <v>Straight</v>
      </c>
      <c r="I95" s="20" t="str">
        <v>L90</v>
      </c>
      <c r="J95" s="20" t="str">
        <v>Borderless_I</v>
      </c>
      <c r="K95" s="20"/>
      <c r="L95" s="20"/>
      <c r="M95" s="20"/>
      <c r="N95" s="95"/>
      <c r="O95" s="95"/>
      <c r="P95" s="95"/>
      <c r="Q95" s="95" t="str">
        <v>⭕</v>
      </c>
      <c r="R95" s="20" t="str"/>
      <c r="S95" s="19" t="str"/>
      <c r="T95" s="131">
        <v>0</v>
      </c>
      <c r="U95" s="132">
        <v>1</v>
      </c>
      <c r="V95" s="132">
        <v>1</v>
      </c>
      <c r="W95" s="132">
        <v>1</v>
      </c>
      <c r="X95" s="25"/>
      <c r="Y95" s="25">
        <f>IF(AND(Q95="✅", OR(ISNUMBER(FIND("F",I95)), I95="CR")),   "X="&amp;U95*16&amp;",Y="&amp;(V95-1)*16&amp;",Z="&amp;IF(I95="FD", -(W95-1)*16, (W95-1)*16),   "")</f>
      </c>
      <c r="Z95" s="25">
        <f>IF(AND(Q95="✅", OR(ISNUMBER(FIND("F",I95)), I95="CR")), "P=0,Y=0,R=0", "")</f>
      </c>
      <c r="AA95" s="25" t="str"/>
      <c r="AB95" s="25" t="str"/>
      <c r="AC95" s="25" t="str"/>
      <c r="AD95" s="25" t="str"/>
      <c r="AE95" s="25" t="str"/>
      <c r="AF95" s="25"/>
      <c r="AG95" s="25" t="str"/>
      <c r="AH95" s="25" t="str"/>
      <c r="AI95" s="25" t="str"/>
      <c r="AJ95" s="25" t="str"/>
      <c r="AK95" s="25" t="str"/>
      <c r="AL95" s="25" t="str"/>
      <c r="AM95" s="25" t="str"/>
      <c r="AN95" s="25"/>
      <c r="AO95" s="25" t="str"/>
      <c r="AP95" s="25" t="str"/>
      <c r="AQ95" s="25" t="str"/>
      <c r="AR95" s="25" t="str"/>
      <c r="AS95" s="25" t="str"/>
      <c r="AT95" s="25" t="str"/>
      <c r="AU95" s="25" t="str"/>
      <c r="AV95" s="25"/>
      <c r="AW95" s="25">
        <f>IF(AND(Q95="✅", I95="U90"), "X="&amp;(U95-1)*16&amp;",Y="&amp;(V95-1)*16&amp;",Z="&amp;W95*16, "")</f>
      </c>
      <c r="AX95" s="25">
        <f>IF(AND(Q95="✅", I95="U90"), "P=90,Y=0,R=0", "")</f>
      </c>
      <c r="AY95" s="25" t="str"/>
      <c r="AZ95" s="25" t="str"/>
      <c r="BA95" s="25" t="str"/>
      <c r="BB95" s="25" t="str"/>
      <c r="BC95" s="25" t="str"/>
      <c r="BD95" s="25"/>
      <c r="BE95" s="25">
        <f>IF(AND(Q95="✅", I95="D90"), "X="&amp;(U95-1)*16&amp;",Y="&amp;(V95-1)*16&amp;",Z="&amp;(W95-2)*16, "")</f>
      </c>
      <c r="BF95" s="25">
        <f>IF(AND(Q95="✅", I95="D90"), "P=-90,Y=0,R=0", "")</f>
      </c>
      <c r="BG95" s="25" t="str"/>
      <c r="BH95" s="25" t="str"/>
      <c r="BI95" s="25" t="str"/>
      <c r="BJ95" s="25" t="str"/>
      <c r="BK95" s="25" t="str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</row>
    <row customHeight="true" hidden="true" ht="19" outlineLevel="3" r="96">
      <c r="A96" s="129" t="str" xml:space="preserve">
        <v> </v>
      </c>
      <c r="B96" s="129" t="str" xml:space="preserve">
        <v> </v>
      </c>
      <c r="C96" s="130" t="str" xml:space="preserve">
        <v> </v>
      </c>
      <c r="D96" s="130" t="str" xml:space="preserve">
        <v> </v>
      </c>
      <c r="E96" s="21">
        <f>E25</f>
      </c>
      <c r="F96" s="19">
        <f>IF(E96="", "", IF(G96="BP", E96, F95))</f>
      </c>
      <c r="G96" s="20"/>
      <c r="H96" s="20"/>
      <c r="I96" s="20"/>
      <c r="J96" s="20"/>
      <c r="K96" s="20"/>
      <c r="L96" s="20"/>
      <c r="M96" s="20" t="str">
        <v>B</v>
      </c>
      <c r="N96" s="95"/>
      <c r="O96" s="95"/>
      <c r="P96" s="95" t="str">
        <v>✅</v>
      </c>
      <c r="Q96" s="95"/>
      <c r="R96" s="20" t="str">
        <v>Straight_F_X1_Y1_Z1</v>
      </c>
      <c r="S96" s="19" t="str">
        <v>/Script/Engine.StaticMesh'/Game/Item/Rail/Straight/F/Normal/Straight_F_X1_Y1_Z1/Proxy/SM_Straight_F_X1_Y1_Z1_Proxy_B.SM_Straight_F_X1_Y1_Z1_Proxy_B'</v>
      </c>
      <c r="T96" s="131" t="str"/>
      <c r="U96" s="132"/>
      <c r="V96" s="132"/>
      <c r="W96" s="132"/>
      <c r="X96" s="25"/>
      <c r="Y96" s="25">
        <f>IF(AND(Q96="✅", OR(ISNUMBER(FIND("F",I96)), I96="CR")),   "X="&amp;U96*16&amp;",Y="&amp;(V96-1)*16&amp;",Z="&amp;IF(I96="FD", -(W96-1)*16, (W96-1)*16),   "")</f>
      </c>
      <c r="Z96" s="25">
        <f>IF(AND(Q96="✅", OR(ISNUMBER(FIND("F",I96)), I96="CR")), "P=0,Y=0,R=0", "")</f>
      </c>
      <c r="AA96" s="25" t="str"/>
      <c r="AB96" s="25" t="str"/>
      <c r="AC96" s="25" t="str"/>
      <c r="AD96" s="25" t="str"/>
      <c r="AE96" s="25" t="str"/>
      <c r="AF96" s="25"/>
      <c r="AG96" s="25" t="str"/>
      <c r="AH96" s="25" t="str"/>
      <c r="AI96" s="25" t="str"/>
      <c r="AJ96" s="25" t="str"/>
      <c r="AK96" s="25" t="str"/>
      <c r="AL96" s="25" t="str"/>
      <c r="AM96" s="25" t="str"/>
      <c r="AN96" s="25"/>
      <c r="AO96" s="25" t="str"/>
      <c r="AP96" s="25" t="str"/>
      <c r="AQ96" s="25" t="str"/>
      <c r="AR96" s="25" t="str"/>
      <c r="AS96" s="25" t="str"/>
      <c r="AT96" s="25" t="str"/>
      <c r="AU96" s="25" t="str"/>
      <c r="AV96" s="25"/>
      <c r="AW96" s="25">
        <f>IF(AND(Q96="✅", I96="U90"), "X="&amp;(U96-1)*16&amp;",Y="&amp;(V96-1)*16&amp;",Z="&amp;W96*16, "")</f>
      </c>
      <c r="AX96" s="25">
        <f>IF(AND(Q96="✅", I96="U90"), "P=90,Y=0,R=0", "")</f>
      </c>
      <c r="AY96" s="25" t="str"/>
      <c r="AZ96" s="25" t="str"/>
      <c r="BA96" s="25" t="str"/>
      <c r="BB96" s="25" t="str"/>
      <c r="BC96" s="25" t="str"/>
      <c r="BD96" s="25"/>
      <c r="BE96" s="25">
        <f>IF(AND(Q96="✅", I96="D90"), "X="&amp;(U96-1)*16&amp;",Y="&amp;(V96-1)*16&amp;",Z="&amp;(W96-2)*16, "")</f>
      </c>
      <c r="BF96" s="25">
        <f>IF(AND(Q96="✅", I96="D90"), "P=-90,Y=0,R=0", "")</f>
      </c>
      <c r="BG96" s="25" t="str"/>
      <c r="BH96" s="25" t="str"/>
      <c r="BI96" s="25" t="str"/>
      <c r="BJ96" s="25" t="str"/>
      <c r="BK96" s="25" t="str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</row>
    <row customHeight="true" hidden="true" ht="19" outlineLevel="3" r="97">
      <c r="A97" s="129" t="str" xml:space="preserve">
        <v> </v>
      </c>
      <c r="B97" s="129" t="str" xml:space="preserve">
        <v> </v>
      </c>
      <c r="C97" s="130" t="str" xml:space="preserve">
        <v> </v>
      </c>
      <c r="D97" s="130" t="str" xml:space="preserve">
        <v> </v>
      </c>
      <c r="E97" s="21">
        <f>E88</f>
      </c>
      <c r="F97" s="19">
        <f>IF(E97="", "", IF(G97="BP", E97, F96))</f>
      </c>
      <c r="G97" s="20"/>
      <c r="H97" s="20"/>
      <c r="I97" s="20"/>
      <c r="J97" s="20"/>
      <c r="K97" s="20"/>
      <c r="L97" s="20"/>
      <c r="M97" s="20" t="str">
        <v>R</v>
      </c>
      <c r="N97" s="95"/>
      <c r="O97" s="95"/>
      <c r="P97" s="95" t="str">
        <v>✅</v>
      </c>
      <c r="Q97" s="95"/>
      <c r="R97" s="20" t="str">
        <v>Straight_L90_X1_Y1_Z1</v>
      </c>
      <c r="S97" s="19" t="str">
        <v>/Script/Engine.StaticMesh'/Game/Item/Rail/Straight/L90/Normal/Straight_L90_X1_Y1_Z1/Proxy/SM_Straight_L90_X1_Y1_Z1_Proxy_R.SM_Straight_L90_X1_Y1_Z1_Proxy_R'</v>
      </c>
      <c r="T97" s="131" t="str"/>
      <c r="U97" s="132"/>
      <c r="V97" s="132"/>
      <c r="W97" s="132"/>
      <c r="X97" s="25"/>
      <c r="Y97" s="25">
        <f>IF(AND(Q97="✅", OR(ISNUMBER(FIND("F",I97)), I97="CR")),   "X="&amp;U97*16&amp;",Y="&amp;(V97-1)*16&amp;",Z="&amp;IF(I97="FD", -(W97-1)*16, (W97-1)*16),   "")</f>
      </c>
      <c r="Z97" s="25">
        <f>IF(AND(Q97="✅", OR(ISNUMBER(FIND("F",I97)), I97="CR")), "P=0,Y=0,R=0", "")</f>
      </c>
      <c r="AA97" s="25" t="str"/>
      <c r="AB97" s="25" t="str"/>
      <c r="AC97" s="25" t="str"/>
      <c r="AD97" s="25" t="str"/>
      <c r="AE97" s="25" t="str"/>
      <c r="AF97" s="25"/>
      <c r="AG97" s="25" t="str"/>
      <c r="AH97" s="25" t="str"/>
      <c r="AI97" s="25" t="str"/>
      <c r="AJ97" s="25" t="str"/>
      <c r="AK97" s="25" t="str"/>
      <c r="AL97" s="25" t="str"/>
      <c r="AM97" s="25" t="str"/>
      <c r="AN97" s="25"/>
      <c r="AO97" s="25" t="str"/>
      <c r="AP97" s="25" t="str"/>
      <c r="AQ97" s="25" t="str"/>
      <c r="AR97" s="25" t="str"/>
      <c r="AS97" s="25" t="str"/>
      <c r="AT97" s="25" t="str"/>
      <c r="AU97" s="25" t="str"/>
      <c r="AV97" s="25"/>
      <c r="AW97" s="25">
        <f>IF(AND(Q97="✅", I97="U90"), "X="&amp;(U97-1)*16&amp;",Y="&amp;(V97-1)*16&amp;",Z="&amp;W97*16, "")</f>
      </c>
      <c r="AX97" s="25">
        <f>IF(AND(Q97="✅", I97="U90"), "P=90,Y=0,R=0", "")</f>
      </c>
      <c r="AY97" s="25" t="str"/>
      <c r="AZ97" s="25" t="str"/>
      <c r="BA97" s="25" t="str"/>
      <c r="BB97" s="25" t="str"/>
      <c r="BC97" s="25" t="str"/>
      <c r="BD97" s="25"/>
      <c r="BE97" s="25">
        <f>IF(AND(Q97="✅", I97="D90"), "X="&amp;(U97-1)*16&amp;",Y="&amp;(V97-1)*16&amp;",Z="&amp;(W97-2)*16, "")</f>
      </c>
      <c r="BF97" s="25">
        <f>IF(AND(Q97="✅", I97="D90"), "P=-90,Y=0,R=0", "")</f>
      </c>
      <c r="BG97" s="25" t="str"/>
      <c r="BH97" s="25" t="str"/>
      <c r="BI97" s="25" t="str"/>
      <c r="BJ97" s="25" t="str"/>
      <c r="BK97" s="25" t="str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</row>
    <row collapsed="true" customHeight="true" ht="19" outlineLevel="2" r="98">
      <c r="A98" s="11"/>
      <c r="B98" s="11"/>
      <c r="C98" s="119" t="str">
        <v>Borderless_O</v>
      </c>
      <c r="D98" s="119"/>
      <c r="E98" s="5"/>
      <c r="F98" s="9">
        <f>IF(E98="", "", IF(G98="BP", E98, F97))</f>
      </c>
      <c r="G98" s="1"/>
      <c r="H98" s="1"/>
      <c r="I98" s="1"/>
      <c r="J98" s="1"/>
      <c r="K98" s="1"/>
      <c r="L98" s="1"/>
      <c r="M98" s="1"/>
      <c r="N98" s="3"/>
      <c r="O98" s="3" t="str">
        <v>⭕</v>
      </c>
      <c r="P98" s="3"/>
      <c r="Q98" s="3"/>
      <c r="R98" s="1" t="str"/>
      <c r="S98" s="9" t="str"/>
      <c r="T98" s="120" t="str"/>
      <c r="U98" s="118"/>
      <c r="V98" s="118"/>
      <c r="W98" s="118"/>
      <c r="X98" s="4"/>
      <c r="Y98" s="4">
        <f>IF(AND(Q98="✅", OR(ISNUMBER(FIND("F",I98)), I98="CR")),   "X="&amp;U98*16&amp;",Y="&amp;(V98-1)*16&amp;",Z="&amp;IF(I98="FD", -(W98-1)*16, (W98-1)*16),   "")</f>
      </c>
      <c r="Z98" s="4">
        <f>IF(AND(Q98="✅", OR(ISNUMBER(FIND("F",I98)), I98="CR")), "P=0,Y=0,R=0", "")</f>
      </c>
      <c r="AA98" s="4" t="str"/>
      <c r="AB98" s="4" t="str"/>
      <c r="AC98" s="4" t="str"/>
      <c r="AD98" s="4" t="str"/>
      <c r="AE98" s="4" t="str"/>
      <c r="AF98" s="4"/>
      <c r="AG98" s="4" t="str"/>
      <c r="AH98" s="4" t="str"/>
      <c r="AI98" s="4" t="str"/>
      <c r="AJ98" s="4" t="str"/>
      <c r="AK98" s="4" t="str"/>
      <c r="AL98" s="4" t="str"/>
      <c r="AM98" s="4" t="str"/>
      <c r="AN98" s="4"/>
      <c r="AO98" s="4" t="str"/>
      <c r="AP98" s="4" t="str"/>
      <c r="AQ98" s="4" t="str"/>
      <c r="AR98" s="4" t="str"/>
      <c r="AS98" s="4" t="str"/>
      <c r="AT98" s="4" t="str"/>
      <c r="AU98" s="4" t="str"/>
      <c r="AV98" s="4"/>
      <c r="AW98" s="4">
        <f>IF(AND(Q98="✅", I98="U90"), "X="&amp;(U98-1)*16&amp;",Y="&amp;(V98-1)*16&amp;",Z="&amp;W98*16, "")</f>
      </c>
      <c r="AX98" s="4">
        <f>IF(AND(Q98="✅", I98="U90"), "P=90,Y=0,R=0", "")</f>
      </c>
      <c r="AY98" s="4" t="str"/>
      <c r="AZ98" s="4" t="str"/>
      <c r="BA98" s="4" t="str"/>
      <c r="BB98" s="4" t="str"/>
      <c r="BC98" s="4" t="str"/>
      <c r="BD98" s="4"/>
      <c r="BE98" s="4">
        <f>IF(AND(Q98="✅", I98="D90"), "X="&amp;(U98-1)*16&amp;",Y="&amp;(V98-1)*16&amp;",Z="&amp;(W98-2)*16, "")</f>
      </c>
      <c r="BF98" s="4">
        <f>IF(AND(Q98="✅", I98="D90"), "P=-90,Y=0,R=0", "")</f>
      </c>
      <c r="BG98" s="4" t="str"/>
      <c r="BH98" s="4" t="str"/>
      <c r="BI98" s="4" t="str"/>
      <c r="BJ98" s="4" t="str"/>
      <c r="BK98" s="4" t="str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</row>
    <row customHeight="true" hidden="true" ht="19" outlineLevel="3" r="99">
      <c r="A99" s="11"/>
      <c r="B99" s="11"/>
      <c r="C99" s="119"/>
      <c r="D99" s="119">
        <v>1</v>
      </c>
      <c r="E99" s="5"/>
      <c r="F99" s="9"/>
      <c r="G99" s="1"/>
      <c r="H99" s="1"/>
      <c r="I99" s="1"/>
      <c r="J99" s="1"/>
      <c r="K99" s="1"/>
      <c r="L99" s="1"/>
      <c r="M99" s="1"/>
      <c r="N99" s="3"/>
      <c r="O99" s="3"/>
      <c r="P99" s="3"/>
      <c r="Q99" s="3"/>
      <c r="R99" s="1" t="str"/>
      <c r="S99" s="9" t="str"/>
      <c r="T99" s="120" t="str"/>
      <c r="U99" s="118"/>
      <c r="V99" s="118"/>
      <c r="W99" s="118"/>
      <c r="X99" s="4"/>
      <c r="Y99" s="4">
        <f>IF(AND(Q99="✅", OR(ISNUMBER(FIND("F",I99)), I99="CR")),   "X="&amp;U99*16&amp;",Y="&amp;(V99-1)*16&amp;",Z="&amp;IF(I99="FD", -(W99-1)*16, (W99-1)*16),   "")</f>
      </c>
      <c r="Z99" s="4">
        <f>IF(AND(Q99="✅", OR(ISNUMBER(FIND("F",I99)), I99="CR")), "P=0,Y=0,R=0", "")</f>
      </c>
      <c r="AA99" s="4" t="str"/>
      <c r="AB99" s="4" t="str"/>
      <c r="AC99" s="4" t="str"/>
      <c r="AD99" s="4" t="str"/>
      <c r="AE99" s="4" t="str"/>
      <c r="AF99" s="4"/>
      <c r="AG99" s="4" t="str"/>
      <c r="AH99" s="4" t="str"/>
      <c r="AI99" s="4" t="str"/>
      <c r="AJ99" s="4" t="str"/>
      <c r="AK99" s="4" t="str"/>
      <c r="AL99" s="4" t="str"/>
      <c r="AM99" s="4" t="str"/>
      <c r="AN99" s="4"/>
      <c r="AO99" s="4" t="str"/>
      <c r="AP99" s="4" t="str"/>
      <c r="AQ99" s="4" t="str"/>
      <c r="AR99" s="4" t="str"/>
      <c r="AS99" s="4" t="str"/>
      <c r="AT99" s="4" t="str"/>
      <c r="AU99" s="4" t="str"/>
      <c r="AV99" s="4"/>
      <c r="AW99" s="4">
        <f>IF(AND(Q99="✅", I99="U90"), "X="&amp;(U99-1)*16&amp;",Y="&amp;(V99-1)*16&amp;",Z="&amp;W99*16, "")</f>
      </c>
      <c r="AX99" s="4">
        <f>IF(AND(Q99="✅", I99="U90"), "P=90,Y=0,R=0", "")</f>
      </c>
      <c r="AY99" s="4" t="str"/>
      <c r="AZ99" s="4" t="str"/>
      <c r="BA99" s="4" t="str"/>
      <c r="BB99" s="4" t="str"/>
      <c r="BC99" s="4" t="str"/>
      <c r="BD99" s="4"/>
      <c r="BE99" s="4">
        <f>IF(AND(Q99="✅", I99="D90"), "X="&amp;(U99-1)*16&amp;",Y="&amp;(V99-1)*16&amp;",Z="&amp;(W99-2)*16, "")</f>
      </c>
      <c r="BF99" s="4">
        <f>IF(AND(Q99="✅", I99="D90"), "P=-90,Y=0,R=0", "")</f>
      </c>
      <c r="BG99" s="4" t="str"/>
      <c r="BH99" s="4" t="str"/>
      <c r="BI99" s="4" t="str"/>
      <c r="BJ99" s="4" t="str"/>
      <c r="BK99" s="4" t="str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</row>
    <row hidden="true" outlineLevel="3" r="100">
      <c r="A100" s="149" t="str" xml:space="preserve">
        <v> </v>
      </c>
      <c r="B100" s="149" t="str" xml:space="preserve">
        <v> </v>
      </c>
      <c r="C100" s="148" t="str" xml:space="preserve">
        <v> </v>
      </c>
      <c r="D100" s="148" t="str" xml:space="preserve">
        <v> </v>
      </c>
      <c r="E100" s="65">
        <f>G100 &amp; "_" &amp; H100 &amp; IF(I100&lt;&gt;"", "_" &amp; I100, "") &amp; IF(J100&lt;&gt;"", "_" &amp; J100, "") &amp; IF(K100&lt;&gt;"", "_" &amp; K100, "") &amp;"_X"&amp;U100&amp;"_Y"&amp;V100&amp;"_Z"&amp;W100 &amp; IF(G100="SM", "_Proxy" , "_Rail") &amp; IF(M100&lt;&gt;"", "_" &amp; M100, "")</f>
      </c>
      <c r="F100" s="66">
        <f>IF(E100="", "", IF(G100="BP", E100, F98))</f>
      </c>
      <c r="G100" s="64" t="str">
        <v>BP</v>
      </c>
      <c r="H100" s="64" t="str">
        <v>Straight</v>
      </c>
      <c r="I100" s="64" t="str">
        <v>L90</v>
      </c>
      <c r="J100" s="64" t="str">
        <v>Borderless_O</v>
      </c>
      <c r="K100" s="64"/>
      <c r="L100" s="64"/>
      <c r="M100" s="64"/>
      <c r="N100" s="90"/>
      <c r="O100" s="90"/>
      <c r="P100" s="90"/>
      <c r="Q100" s="90" t="str">
        <v>❓</v>
      </c>
      <c r="R100" s="64" t="str"/>
      <c r="S100" s="66" t="str"/>
      <c r="T100" s="139">
        <v>1.5</v>
      </c>
      <c r="U100" s="140">
        <v>1</v>
      </c>
      <c r="V100" s="140">
        <v>1</v>
      </c>
      <c r="W100" s="140">
        <v>1</v>
      </c>
      <c r="X100" s="88"/>
      <c r="Y100" s="88">
        <f>IF(AND(Q100="✅", OR(ISNUMBER(FIND("F",I100)), I100="CR")),   "X="&amp;U100*16&amp;",Y="&amp;(V100-1)*16&amp;",Z="&amp;IF(I100="FD", -(W100-1)*16, (W100-1)*16),   "")</f>
      </c>
      <c r="Z100" s="88">
        <f>IF(AND(Q100="✅", OR(ISNUMBER(FIND("F",I100)), I100="CR")), "P=0,Y=0,R=0", "")</f>
      </c>
      <c r="AA100" s="88" t="str"/>
      <c r="AB100" s="88" t="str"/>
      <c r="AC100" s="88" t="str"/>
      <c r="AD100" s="88" t="str"/>
      <c r="AE100" s="88" t="str"/>
      <c r="AF100" s="88"/>
      <c r="AG100" s="88" t="str"/>
      <c r="AH100" s="88" t="str"/>
      <c r="AI100" s="88" t="str"/>
      <c r="AJ100" s="88" t="str"/>
      <c r="AK100" s="88" t="str"/>
      <c r="AL100" s="88" t="str"/>
      <c r="AM100" s="88" t="str"/>
      <c r="AN100" s="88"/>
      <c r="AO100" s="88" t="str"/>
      <c r="AP100" s="88" t="str"/>
      <c r="AQ100" s="88" t="str"/>
      <c r="AR100" s="88" t="str"/>
      <c r="AS100" s="88" t="str"/>
      <c r="AT100" s="88" t="str"/>
      <c r="AU100" s="88" t="str"/>
      <c r="AV100" s="88"/>
      <c r="AW100" s="88">
        <f>IF(AND(Q100="✅", I100="U90"), "X="&amp;(U100-1)*16&amp;",Y="&amp;(V100-1)*16&amp;",Z="&amp;W100*16, "")</f>
      </c>
      <c r="AX100" s="88">
        <f>IF(AND(Q100="✅", I100="U90"), "P=90,Y=0,R=0", "")</f>
      </c>
      <c r="AY100" s="88" t="str"/>
      <c r="AZ100" s="88" t="str"/>
      <c r="BA100" s="88" t="str"/>
      <c r="BB100" s="88" t="str"/>
      <c r="BC100" s="88" t="str"/>
      <c r="BD100" s="88"/>
      <c r="BE100" s="88">
        <f>IF(AND(Q100="✅", I100="D90"), "X="&amp;(U100-1)*16&amp;",Y="&amp;(V100-1)*16&amp;",Z="&amp;(W100-2)*16, "")</f>
      </c>
      <c r="BF100" s="88">
        <f>IF(AND(Q100="✅", I100="D90"), "P=-90,Y=0,R=0", "")</f>
      </c>
      <c r="BG100" s="88" t="str"/>
      <c r="BH100" s="88" t="str"/>
      <c r="BI100" s="88" t="str"/>
      <c r="BJ100" s="88" t="str"/>
      <c r="BK100" s="88" t="str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</row>
    <row customHeight="true" hidden="true" ht="19" outlineLevel="3" r="101">
      <c r="A101" s="149" t="str" xml:space="preserve">
        <v> </v>
      </c>
      <c r="B101" s="149" t="str" xml:space="preserve">
        <v> </v>
      </c>
      <c r="C101" s="148" t="str" xml:space="preserve">
        <v> </v>
      </c>
      <c r="D101" s="148" t="str" xml:space="preserve">
        <v> </v>
      </c>
      <c r="E101" s="65">
        <f>E25</f>
      </c>
      <c r="F101" s="66">
        <f>IF(E101="", "", IF(G101="BP", E101, F100))</f>
      </c>
      <c r="G101" s="64"/>
      <c r="H101" s="64"/>
      <c r="I101" s="64"/>
      <c r="J101" s="64"/>
      <c r="K101" s="64"/>
      <c r="L101" s="64"/>
      <c r="M101" s="64" t="str">
        <v>B</v>
      </c>
      <c r="N101" s="90"/>
      <c r="O101" s="90"/>
      <c r="P101" s="90" t="str">
        <v>✅</v>
      </c>
      <c r="Q101" s="90"/>
      <c r="R101" s="64" t="str">
        <v>Straight_F_X1_Y1_Z1</v>
      </c>
      <c r="S101" s="66" t="str">
        <v>/Script/Engine.StaticMesh'/Game/Item/Rail/Straight/F/Normal/Straight_F_X1_Y1_Z1/Proxy/SM_Straight_F_X1_Y1_Z1_Proxy_B.SM_Straight_F_X1_Y1_Z1_Proxy_B'</v>
      </c>
      <c r="T101" s="139" t="str"/>
      <c r="U101" s="140"/>
      <c r="V101" s="140"/>
      <c r="W101" s="140"/>
      <c r="X101" s="88"/>
      <c r="Y101" s="88">
        <f>IF(AND(Q101="✅", OR(ISNUMBER(FIND("F",I101)), I101="CR")),   "X="&amp;U101*16&amp;",Y="&amp;(V101-1)*16&amp;",Z="&amp;IF(I101="FD", -(W101-1)*16, (W101-1)*16),   "")</f>
      </c>
      <c r="Z101" s="88">
        <f>IF(AND(Q101="✅", OR(ISNUMBER(FIND("F",I101)), I101="CR")), "P=0,Y=0,R=0", "")</f>
      </c>
      <c r="AA101" s="88" t="str"/>
      <c r="AB101" s="88" t="str"/>
      <c r="AC101" s="88" t="str"/>
      <c r="AD101" s="88" t="str"/>
      <c r="AE101" s="88" t="str"/>
      <c r="AF101" s="88"/>
      <c r="AG101" s="88" t="str"/>
      <c r="AH101" s="88" t="str"/>
      <c r="AI101" s="88" t="str"/>
      <c r="AJ101" s="88" t="str"/>
      <c r="AK101" s="88" t="str"/>
      <c r="AL101" s="88" t="str"/>
      <c r="AM101" s="88" t="str"/>
      <c r="AN101" s="88"/>
      <c r="AO101" s="88" t="str"/>
      <c r="AP101" s="88" t="str"/>
      <c r="AQ101" s="88" t="str"/>
      <c r="AR101" s="88" t="str"/>
      <c r="AS101" s="88" t="str"/>
      <c r="AT101" s="88" t="str"/>
      <c r="AU101" s="88" t="str"/>
      <c r="AV101" s="88"/>
      <c r="AW101" s="88">
        <f>IF(AND(Q101="✅", I101="U90"), "X="&amp;(U101-1)*16&amp;",Y="&amp;(V101-1)*16&amp;",Z="&amp;W101*16, "")</f>
      </c>
      <c r="AX101" s="88">
        <f>IF(AND(Q101="✅", I101="U90"), "P=90,Y=0,R=0", "")</f>
      </c>
      <c r="AY101" s="88" t="str"/>
      <c r="AZ101" s="88" t="str"/>
      <c r="BA101" s="88" t="str"/>
      <c r="BB101" s="88" t="str"/>
      <c r="BC101" s="88" t="str"/>
      <c r="BD101" s="88"/>
      <c r="BE101" s="88">
        <f>IF(AND(Q101="✅", I101="D90"), "X="&amp;(U101-1)*16&amp;",Y="&amp;(V101-1)*16&amp;",Z="&amp;(W101-2)*16, "")</f>
      </c>
      <c r="BF101" s="88">
        <f>IF(AND(Q101="✅", I101="D90"), "P=-90,Y=0,R=0", "")</f>
      </c>
      <c r="BG101" s="88" t="str"/>
      <c r="BH101" s="88" t="str"/>
      <c r="BI101" s="88" t="str"/>
      <c r="BJ101" s="88" t="str"/>
      <c r="BK101" s="88" t="str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</row>
    <row customHeight="true" hidden="true" ht="19" outlineLevel="3" r="102">
      <c r="A102" s="149" t="str" xml:space="preserve">
        <v> </v>
      </c>
      <c r="B102" s="149" t="str" xml:space="preserve">
        <v> </v>
      </c>
      <c r="C102" s="148" t="str" xml:space="preserve">
        <v> </v>
      </c>
      <c r="D102" s="148" t="str" xml:space="preserve">
        <v> </v>
      </c>
      <c r="E102" s="65">
        <f>E87</f>
      </c>
      <c r="F102" s="66">
        <f>IF(E102="", "", IF(G102="BP", E102, F101))</f>
      </c>
      <c r="G102" s="64"/>
      <c r="H102" s="64"/>
      <c r="I102" s="64"/>
      <c r="J102" s="64"/>
      <c r="K102" s="64"/>
      <c r="L102" s="64"/>
      <c r="M102" s="64" t="str">
        <v>L</v>
      </c>
      <c r="N102" s="90"/>
      <c r="O102" s="90"/>
      <c r="P102" s="90" t="str">
        <v>✅</v>
      </c>
      <c r="Q102" s="90"/>
      <c r="R102" s="64" t="str">
        <v>Straight_L90_X1_Y1_Z1</v>
      </c>
      <c r="S102" s="66" t="str">
        <v>/Script/Engine.StaticMesh'/Game/Item/Rail/Straight/L90/Normal/Straight_L90_X1_Y1_Z1/Proxy/SM_Straight_L90_X1_Y1_Z1_Proxy_L.SM_Straight_L90_X1_Y1_Z1_Proxy_L'</v>
      </c>
      <c r="T102" s="139" t="str"/>
      <c r="U102" s="140"/>
      <c r="V102" s="140"/>
      <c r="W102" s="140"/>
      <c r="X102" s="88"/>
      <c r="Y102" s="88">
        <f>IF(AND(Q102="✅", OR(ISNUMBER(FIND("F",I102)), I102="CR")),   "X="&amp;U102*16&amp;",Y="&amp;(V102-1)*16&amp;",Z="&amp;IF(I102="FD", -(W102-1)*16, (W102-1)*16),   "")</f>
      </c>
      <c r="Z102" s="88">
        <f>IF(AND(Q102="✅", OR(ISNUMBER(FIND("F",I102)), I102="CR")), "P=0,Y=0,R=0", "")</f>
      </c>
      <c r="AA102" s="88" t="str"/>
      <c r="AB102" s="88" t="str"/>
      <c r="AC102" s="88" t="str"/>
      <c r="AD102" s="88" t="str"/>
      <c r="AE102" s="88" t="str"/>
      <c r="AF102" s="88"/>
      <c r="AG102" s="88" t="str"/>
      <c r="AH102" s="88" t="str"/>
      <c r="AI102" s="88" t="str"/>
      <c r="AJ102" s="88" t="str"/>
      <c r="AK102" s="88" t="str"/>
      <c r="AL102" s="88" t="str"/>
      <c r="AM102" s="88" t="str"/>
      <c r="AN102" s="88"/>
      <c r="AO102" s="88" t="str"/>
      <c r="AP102" s="88" t="str"/>
      <c r="AQ102" s="88" t="str"/>
      <c r="AR102" s="88" t="str"/>
      <c r="AS102" s="88" t="str"/>
      <c r="AT102" s="88" t="str"/>
      <c r="AU102" s="88" t="str"/>
      <c r="AV102" s="88"/>
      <c r="AW102" s="88">
        <f>IF(AND(Q102="✅", I102="U90"), "X="&amp;(U102-1)*16&amp;",Y="&amp;(V102-1)*16&amp;",Z="&amp;W102*16, "")</f>
      </c>
      <c r="AX102" s="88">
        <f>IF(AND(Q102="✅", I102="U90"), "P=90,Y=0,R=0", "")</f>
      </c>
      <c r="AY102" s="88" t="str"/>
      <c r="AZ102" s="88" t="str"/>
      <c r="BA102" s="88" t="str"/>
      <c r="BB102" s="88" t="str"/>
      <c r="BC102" s="88" t="str"/>
      <c r="BD102" s="88"/>
      <c r="BE102" s="88">
        <f>IF(AND(Q102="✅", I102="D90"), "X="&amp;(U102-1)*16&amp;",Y="&amp;(V102-1)*16&amp;",Z="&amp;(W102-2)*16, "")</f>
      </c>
      <c r="BF102" s="88">
        <f>IF(AND(Q102="✅", I102="D90"), "P=-90,Y=0,R=0", "")</f>
      </c>
      <c r="BG102" s="88" t="str"/>
      <c r="BH102" s="88" t="str"/>
      <c r="BI102" s="88" t="str"/>
      <c r="BJ102" s="88" t="str"/>
      <c r="BK102" s="88" t="str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</row>
    <row customHeight="true" ht="19" outlineLevel="1" r="103">
      <c r="A103" s="11"/>
      <c r="B103" s="11" t="str">
        <v>R90</v>
      </c>
      <c r="C103" s="119"/>
      <c r="D103" s="119"/>
      <c r="E103" s="5"/>
      <c r="F103" s="9">
        <f>IF(E103="", "", IF(G103="BP", E103, F102))</f>
      </c>
      <c r="G103" s="1"/>
      <c r="H103" s="1"/>
      <c r="I103" s="1"/>
      <c r="J103" s="1"/>
      <c r="K103" s="1"/>
      <c r="L103" s="1"/>
      <c r="M103" s="1"/>
      <c r="N103" s="3"/>
      <c r="O103" s="3"/>
      <c r="P103" s="3"/>
      <c r="Q103" s="3"/>
      <c r="R103" s="1" t="str"/>
      <c r="S103" s="9" t="str"/>
      <c r="T103" s="120" t="str"/>
      <c r="U103" s="118"/>
      <c r="V103" s="118"/>
      <c r="W103" s="118"/>
      <c r="X103" s="4"/>
      <c r="Y103" s="4">
        <f>IF(AND(Q103="✅", OR(ISNUMBER(FIND("F",I103)), I103="CR")),   "X="&amp;U103*16&amp;",Y="&amp;(V103-1)*16&amp;",Z="&amp;IF(I103="FD", -(W103-1)*16, (W103-1)*16),   "")</f>
      </c>
      <c r="Z103" s="4">
        <f>IF(AND(Q103="✅", OR(ISNUMBER(FIND("F",I103)), I103="CR")), "P=0,Y=0,R=0", "")</f>
      </c>
      <c r="AA103" s="4" t="str"/>
      <c r="AB103" s="4" t="str"/>
      <c r="AC103" s="4" t="str"/>
      <c r="AD103" s="4" t="str"/>
      <c r="AE103" s="4" t="str"/>
      <c r="AF103" s="4"/>
      <c r="AG103" s="4" t="str"/>
      <c r="AH103" s="4" t="str"/>
      <c r="AI103" s="4" t="str"/>
      <c r="AJ103" s="4" t="str"/>
      <c r="AK103" s="4" t="str"/>
      <c r="AL103" s="4" t="str"/>
      <c r="AM103" s="4" t="str"/>
      <c r="AN103" s="4"/>
      <c r="AO103" s="4" t="str"/>
      <c r="AP103" s="4" t="str"/>
      <c r="AQ103" s="4" t="str"/>
      <c r="AR103" s="4" t="str"/>
      <c r="AS103" s="4" t="str"/>
      <c r="AT103" s="4" t="str"/>
      <c r="AU103" s="4" t="str"/>
      <c r="AV103" s="4"/>
      <c r="AW103" s="4">
        <f>IF(AND(Q103="✅", I103="U90"), "X="&amp;(U103-1)*16&amp;",Y="&amp;(V103-1)*16&amp;",Z="&amp;W103*16, "")</f>
      </c>
      <c r="AX103" s="4">
        <f>IF(AND(Q103="✅", I103="U90"), "P=90,Y=0,R=0", "")</f>
      </c>
      <c r="AY103" s="4" t="str"/>
      <c r="AZ103" s="4" t="str"/>
      <c r="BA103" s="4" t="str"/>
      <c r="BB103" s="4" t="str"/>
      <c r="BC103" s="4" t="str"/>
      <c r="BD103" s="4"/>
      <c r="BE103" s="4">
        <f>IF(AND(Q103="✅", I103="D90"), "X="&amp;(U103-1)*16&amp;",Y="&amp;(V103-1)*16&amp;",Z="&amp;(W103-2)*16, "")</f>
      </c>
      <c r="BF103" s="4">
        <f>IF(AND(Q103="✅", I103="D90"), "P=-90,Y=0,R=0", "")</f>
      </c>
      <c r="BG103" s="4" t="str"/>
      <c r="BH103" s="4" t="str"/>
      <c r="BI103" s="4" t="str"/>
      <c r="BJ103" s="4" t="str"/>
      <c r="BK103" s="4" t="str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</row>
    <row collapsed="true" customHeight="true" ht="19" outlineLevel="2" r="104">
      <c r="A104" s="11"/>
      <c r="B104" s="11"/>
      <c r="C104" s="119" t="str">
        <v>Normal</v>
      </c>
      <c r="D104" s="119"/>
      <c r="E104" s="5"/>
      <c r="F104" s="9">
        <f>IF(E104="", "", IF(G104="BP", E104, F103))</f>
      </c>
      <c r="G104" s="1"/>
      <c r="H104" s="1"/>
      <c r="I104" s="1"/>
      <c r="J104" s="1"/>
      <c r="K104" s="1"/>
      <c r="L104" s="1"/>
      <c r="M104" s="1"/>
      <c r="N104" s="3"/>
      <c r="O104" s="3" t="str">
        <v>✅</v>
      </c>
      <c r="P104" s="3"/>
      <c r="Q104" s="3"/>
      <c r="R104" s="1" t="str"/>
      <c r="S104" s="9" t="str"/>
      <c r="T104" s="120" t="str"/>
      <c r="U104" s="118"/>
      <c r="V104" s="118"/>
      <c r="W104" s="118"/>
      <c r="X104" s="4"/>
      <c r="Y104" s="4">
        <f>IF(AND(Q104="✅", OR(ISNUMBER(FIND("F",I104)), I104="CR")),   "X="&amp;U104*16&amp;",Y="&amp;(V104-1)*16&amp;",Z="&amp;IF(I104="FD", -(W104-1)*16, (W104-1)*16),   "")</f>
      </c>
      <c r="Z104" s="4">
        <f>IF(AND(Q104="✅", OR(ISNUMBER(FIND("F",I104)), I104="CR")), "P=0,Y=0,R=0", "")</f>
      </c>
      <c r="AA104" s="4" t="str"/>
      <c r="AB104" s="4" t="str"/>
      <c r="AC104" s="4" t="str"/>
      <c r="AD104" s="4" t="str"/>
      <c r="AE104" s="4" t="str"/>
      <c r="AF104" s="4"/>
      <c r="AG104" s="4" t="str"/>
      <c r="AH104" s="4" t="str"/>
      <c r="AI104" s="4" t="str"/>
      <c r="AJ104" s="4" t="str"/>
      <c r="AK104" s="4" t="str"/>
      <c r="AL104" s="4" t="str"/>
      <c r="AM104" s="4" t="str"/>
      <c r="AN104" s="4"/>
      <c r="AO104" s="4" t="str"/>
      <c r="AP104" s="4" t="str"/>
      <c r="AQ104" s="4" t="str"/>
      <c r="AR104" s="4" t="str"/>
      <c r="AS104" s="4" t="str"/>
      <c r="AT104" s="4" t="str"/>
      <c r="AU104" s="4" t="str"/>
      <c r="AV104" s="4"/>
      <c r="AW104" s="4">
        <f>IF(AND(Q104="✅", I104="U90"), "X="&amp;(U104-1)*16&amp;",Y="&amp;(V104-1)*16&amp;",Z="&amp;W104*16, "")</f>
      </c>
      <c r="AX104" s="4">
        <f>IF(AND(Q104="✅", I104="U90"), "P=90,Y=0,R=0", "")</f>
      </c>
      <c r="AY104" s="4" t="str"/>
      <c r="AZ104" s="4" t="str"/>
      <c r="BA104" s="4" t="str"/>
      <c r="BB104" s="4" t="str"/>
      <c r="BC104" s="4" t="str"/>
      <c r="BD104" s="4"/>
      <c r="BE104" s="4">
        <f>IF(AND(Q104="✅", I104="D90"), "X="&amp;(U104-1)*16&amp;",Y="&amp;(V104-1)*16&amp;",Z="&amp;(W104-2)*16, "")</f>
      </c>
      <c r="BF104" s="4">
        <f>IF(AND(Q104="✅", I104="D90"), "P=-90,Y=0,R=0", "")</f>
      </c>
      <c r="BG104" s="4" t="str"/>
      <c r="BH104" s="4" t="str"/>
      <c r="BI104" s="4" t="str"/>
      <c r="BJ104" s="4" t="str"/>
      <c r="BK104" s="4" t="str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</row>
    <row customHeight="true" hidden="true" ht="19" outlineLevel="3" r="105">
      <c r="A105" s="11"/>
      <c r="B105" s="11"/>
      <c r="C105" s="119"/>
      <c r="D105" s="119">
        <v>1</v>
      </c>
      <c r="E105" s="5"/>
      <c r="F105" s="9"/>
      <c r="G105" s="1"/>
      <c r="H105" s="1"/>
      <c r="I105" s="1"/>
      <c r="J105" s="1"/>
      <c r="K105" s="1"/>
      <c r="L105" s="1"/>
      <c r="M105" s="1"/>
      <c r="N105" s="3"/>
      <c r="O105" s="3"/>
      <c r="P105" s="3"/>
      <c r="Q105" s="3"/>
      <c r="R105" s="1" t="str"/>
      <c r="S105" s="9" t="str"/>
      <c r="T105" s="120" t="str"/>
      <c r="U105" s="118"/>
      <c r="V105" s="118"/>
      <c r="W105" s="118"/>
      <c r="X105" s="4"/>
      <c r="Y105" s="4">
        <f>IF(AND(Q105="✅", OR(ISNUMBER(FIND("F",I105)), I105="CR")),   "X="&amp;U105*16&amp;",Y="&amp;(V105-1)*16&amp;",Z="&amp;IF(I105="FD", -(W105-1)*16, (W105-1)*16),   "")</f>
      </c>
      <c r="Z105" s="4">
        <f>IF(AND(Q105="✅", OR(ISNUMBER(FIND("F",I105)), I105="CR")), "P=0,Y=0,R=0", "")</f>
      </c>
      <c r="AA105" s="4" t="str"/>
      <c r="AB105" s="4" t="str"/>
      <c r="AC105" s="4" t="str"/>
      <c r="AD105" s="4" t="str"/>
      <c r="AE105" s="4" t="str"/>
      <c r="AF105" s="4"/>
      <c r="AG105" s="4" t="str"/>
      <c r="AH105" s="4" t="str"/>
      <c r="AI105" s="4" t="str"/>
      <c r="AJ105" s="4" t="str"/>
      <c r="AK105" s="4" t="str"/>
      <c r="AL105" s="4" t="str"/>
      <c r="AM105" s="4" t="str"/>
      <c r="AN105" s="4"/>
      <c r="AO105" s="4" t="str"/>
      <c r="AP105" s="4" t="str"/>
      <c r="AQ105" s="4" t="str"/>
      <c r="AR105" s="4" t="str"/>
      <c r="AS105" s="4" t="str"/>
      <c r="AT105" s="4" t="str"/>
      <c r="AU105" s="4" t="str"/>
      <c r="AV105" s="4"/>
      <c r="AW105" s="4">
        <f>IF(AND(Q105="✅", I105="U90"), "X="&amp;(U105-1)*16&amp;",Y="&amp;(V105-1)*16&amp;",Z="&amp;W105*16, "")</f>
      </c>
      <c r="AX105" s="4">
        <f>IF(AND(Q105="✅", I105="U90"), "P=90,Y=0,R=0", "")</f>
      </c>
      <c r="AY105" s="4" t="str"/>
      <c r="AZ105" s="4" t="str"/>
      <c r="BA105" s="4" t="str"/>
      <c r="BB105" s="4" t="str"/>
      <c r="BC105" s="4" t="str"/>
      <c r="BD105" s="4"/>
      <c r="BE105" s="4">
        <f>IF(AND(Q105="✅", I105="D90"), "X="&amp;(U105-1)*16&amp;",Y="&amp;(V105-1)*16&amp;",Z="&amp;(W105-2)*16, "")</f>
      </c>
      <c r="BF105" s="4">
        <f>IF(AND(Q105="✅", I105="D90"), "P=-90,Y=0,R=0", "")</f>
      </c>
      <c r="BG105" s="4" t="str"/>
      <c r="BH105" s="4" t="str"/>
      <c r="BI105" s="4" t="str"/>
      <c r="BJ105" s="4" t="str"/>
      <c r="BK105" s="4" t="str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</row>
    <row hidden="true" outlineLevel="4" r="106">
      <c r="A106" s="135" t="str" xml:space="preserve">
        <v> </v>
      </c>
      <c r="B106" s="135" t="str" xml:space="preserve">
        <v> </v>
      </c>
      <c r="C106" s="133" t="str" xml:space="preserve">
        <v> </v>
      </c>
      <c r="D106" s="133" t="str" xml:space="preserve">
        <v> </v>
      </c>
      <c r="E106" s="91">
        <f>G106 &amp; "_" &amp; H106 &amp; IF(I106&lt;&gt;"", "_" &amp; I106, "") &amp; IF(J106&lt;&gt;"", "_" &amp; J106, "") &amp; IF(K106&lt;&gt;"", "_" &amp; K106, "") &amp;"_X"&amp;U106&amp;"_Y"&amp;V106&amp;"_Z"&amp;W106 &amp; IF(G106="SM", "_Proxy" , "_Rail") &amp; IF(M106&lt;&gt;"", "_" &amp; M106, "")</f>
      </c>
      <c r="F106" s="79">
        <f>IF(E106="", "", IF(G106="BP", E106, F104))</f>
      </c>
      <c r="G106" s="92" t="str">
        <v>BP</v>
      </c>
      <c r="H106" s="92" t="str">
        <v>Straight</v>
      </c>
      <c r="I106" s="92" t="str">
        <v>R90</v>
      </c>
      <c r="J106" s="92"/>
      <c r="K106" s="92"/>
      <c r="L106" s="92"/>
      <c r="M106" s="92"/>
      <c r="N106" s="94"/>
      <c r="O106" s="94"/>
      <c r="P106" s="94"/>
      <c r="Q106" s="94" t="str">
        <v>✅</v>
      </c>
      <c r="R106" s="92" t="str">
        <v>Straight_R90_X1_Y1_Z1</v>
      </c>
      <c r="S106" s="79" t="str">
        <v>/Script/Engine.BlueprintGeneratedClass'/Game/Item/Rail/Straight/R90/Normal/Straight_R90_X1_Y1_Z1/BP_Straight_R90_X1_Y1_Z1_Rail.BP_Straight_R90_X1_Y1_Z1_Rail_C'</v>
      </c>
      <c r="T106" s="134">
        <v>0</v>
      </c>
      <c r="U106" s="136">
        <v>1</v>
      </c>
      <c r="V106" s="136">
        <v>1</v>
      </c>
      <c r="W106" s="136">
        <v>1</v>
      </c>
      <c r="X106" s="78"/>
      <c r="Y106" s="78">
        <f>IF(AND(Q106="✅", OR(ISNUMBER(FIND("F",I106)), I106="CR")),   "X="&amp;U106*16&amp;",Y="&amp;(V106-1)*16&amp;",Z="&amp;IF(I106="FD", -(W106-1)*16, (W106-1)*16),   "")</f>
      </c>
      <c r="Z106" s="78">
        <f>IF(AND(Q106="✅", OR(ISNUMBER(FIND("F",I106)), I106="CR")), "P=0,Y=0,R=0", "")</f>
      </c>
      <c r="AA106" s="78" t="str"/>
      <c r="AB106" s="78" t="str"/>
      <c r="AC106" s="78" t="str"/>
      <c r="AD106" s="78" t="str"/>
      <c r="AE106" s="78" t="str">
        <v>X=0,Y=0,Z=0,W=0</v>
      </c>
      <c r="AF106" s="78"/>
      <c r="AG106" s="78" t="str"/>
      <c r="AH106" s="78" t="str"/>
      <c r="AI106" s="78" t="str"/>
      <c r="AJ106" s="78" t="str"/>
      <c r="AK106" s="78" t="str"/>
      <c r="AL106" s="78" t="str"/>
      <c r="AM106" s="78" t="str"/>
      <c r="AN106" s="78"/>
      <c r="AO106" s="78" t="str">
        <v>X=0,Y=16,Z=0</v>
      </c>
      <c r="AP106" s="78" t="str">
        <v>P=0,Y=90,R=0</v>
      </c>
      <c r="AQ106" s="78">
        <v>1</v>
      </c>
      <c r="AR106" s="78">
        <v>1.5</v>
      </c>
      <c r="AS106" s="78">
        <v>2</v>
      </c>
      <c r="AT106" s="78">
        <v>1.5</v>
      </c>
      <c r="AU106" s="78" t="str">
        <v>X=1,Y=1.5,Z=2,W=1.5</v>
      </c>
      <c r="AV106" s="78"/>
      <c r="AW106" s="78">
        <f>IF(AND(Q106="✅", I106="U90"), "X="&amp;(U106-1)*16&amp;",Y="&amp;(V106-1)*16&amp;",Z="&amp;W106*16, "")</f>
      </c>
      <c r="AX106" s="78">
        <f>IF(AND(Q106="✅", I106="U90"), "P=90,Y=0,R=0", "")</f>
      </c>
      <c r="AY106" s="78" t="str"/>
      <c r="AZ106" s="78" t="str"/>
      <c r="BA106" s="78" t="str"/>
      <c r="BB106" s="78" t="str"/>
      <c r="BC106" s="78" t="str"/>
      <c r="BD106" s="78"/>
      <c r="BE106" s="78">
        <f>IF(AND(Q106="✅", I106="D90"), "X="&amp;(U106-1)*16&amp;",Y="&amp;(V106-1)*16&amp;",Z="&amp;(W106-2)*16, "")</f>
      </c>
      <c r="BF106" s="78">
        <f>IF(AND(Q106="✅", I106="D90"), "P=-90,Y=0,R=0", "")</f>
      </c>
      <c r="BG106" s="78" t="str"/>
      <c r="BH106" s="78" t="str"/>
      <c r="BI106" s="78" t="str"/>
      <c r="BJ106" s="78" t="str"/>
      <c r="BK106" s="78" t="str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</row>
    <row customHeight="true" hidden="true" ht="19" outlineLevel="4" r="107">
      <c r="A107" s="135" t="str" xml:space="preserve">
        <v> </v>
      </c>
      <c r="B107" s="135" t="str" xml:space="preserve">
        <v> </v>
      </c>
      <c r="C107" s="133" t="str" xml:space="preserve">
        <v> </v>
      </c>
      <c r="D107" s="133" t="str" xml:space="preserve">
        <v> </v>
      </c>
      <c r="E107" s="91">
        <f>E25</f>
      </c>
      <c r="F107" s="79">
        <f>IF(E107="", "", IF(G107="BP", E107, F106))</f>
      </c>
      <c r="G107" s="92"/>
      <c r="H107" s="92"/>
      <c r="I107" s="92"/>
      <c r="J107" s="92"/>
      <c r="K107" s="92"/>
      <c r="L107" s="92"/>
      <c r="M107" s="92" t="str">
        <v>B</v>
      </c>
      <c r="N107" s="94"/>
      <c r="O107" s="94"/>
      <c r="P107" s="94" t="str">
        <v>✅</v>
      </c>
      <c r="Q107" s="94"/>
      <c r="R107" s="92" t="str">
        <v>Straight_F_X1_Y1_Z1</v>
      </c>
      <c r="S107" s="79" t="str">
        <v>/Script/Engine.StaticMesh'/Game/Item/Rail/Straight/F/Normal/Straight_F_X1_Y1_Z1/Proxy/SM_Straight_F_X1_Y1_Z1_Proxy_B.SM_Straight_F_X1_Y1_Z1_Proxy_B'</v>
      </c>
      <c r="T107" s="134" t="str"/>
      <c r="U107" s="136"/>
      <c r="V107" s="136"/>
      <c r="W107" s="136"/>
      <c r="X107" s="78"/>
      <c r="Y107" s="78">
        <f>IF(AND(Q107="✅", OR(ISNUMBER(FIND("F",I107)), I107="CR")),   "X="&amp;U107*16&amp;",Y="&amp;(V107-1)*16&amp;",Z="&amp;IF(I107="FD", -(W107-1)*16, (W107-1)*16),   "")</f>
      </c>
      <c r="Z107" s="78">
        <f>IF(AND(Q107="✅", OR(ISNUMBER(FIND("F",I107)), I107="CR")), "P=0,Y=0,R=0", "")</f>
      </c>
      <c r="AA107" s="78" t="str"/>
      <c r="AB107" s="78" t="str"/>
      <c r="AC107" s="78" t="str"/>
      <c r="AD107" s="78" t="str"/>
      <c r="AE107" s="78" t="str"/>
      <c r="AF107" s="78"/>
      <c r="AG107" s="78" t="str"/>
      <c r="AH107" s="78" t="str"/>
      <c r="AI107" s="78" t="str"/>
      <c r="AJ107" s="78" t="str"/>
      <c r="AK107" s="78" t="str"/>
      <c r="AL107" s="78" t="str"/>
      <c r="AM107" s="78" t="str"/>
      <c r="AN107" s="78"/>
      <c r="AO107" s="78" t="str"/>
      <c r="AP107" s="78" t="str"/>
      <c r="AQ107" s="78" t="str"/>
      <c r="AR107" s="78" t="str"/>
      <c r="AS107" s="78" t="str"/>
      <c r="AT107" s="78" t="str"/>
      <c r="AU107" s="78" t="str"/>
      <c r="AV107" s="78"/>
      <c r="AW107" s="78">
        <f>IF(AND(Q107="✅", I107="U90"), "X="&amp;(U107-1)*16&amp;",Y="&amp;(V107-1)*16&amp;",Z="&amp;W107*16, "")</f>
      </c>
      <c r="AX107" s="78">
        <f>IF(AND(Q107="✅", I107="U90"), "P=90,Y=0,R=0", "")</f>
      </c>
      <c r="AY107" s="78" t="str"/>
      <c r="AZ107" s="78" t="str"/>
      <c r="BA107" s="78" t="str"/>
      <c r="BB107" s="78" t="str"/>
      <c r="BC107" s="78" t="str"/>
      <c r="BD107" s="78"/>
      <c r="BE107" s="78">
        <f>IF(AND(Q107="✅", I107="D90"), "X="&amp;(U107-1)*16&amp;",Y="&amp;(V107-1)*16&amp;",Z="&amp;(W107-2)*16, "")</f>
      </c>
      <c r="BF107" s="78">
        <f>IF(AND(Q107="✅", I107="D90"), "P=-90,Y=0,R=0", "")</f>
      </c>
      <c r="BG107" s="78" t="str"/>
      <c r="BH107" s="78" t="str"/>
      <c r="BI107" s="78" t="str"/>
      <c r="BJ107" s="78" t="str"/>
      <c r="BK107" s="78" t="str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</row>
    <row hidden="true" outlineLevel="4" r="108">
      <c r="A108" s="135" t="str" xml:space="preserve">
        <v> </v>
      </c>
      <c r="B108" s="135" t="str" xml:space="preserve">
        <v> </v>
      </c>
      <c r="C108" s="133" t="str" xml:space="preserve">
        <v> </v>
      </c>
      <c r="D108" s="133" t="str" xml:space="preserve">
        <v> </v>
      </c>
      <c r="E108" s="91">
        <f>G108 &amp; "_" &amp; H108 &amp; IF(I108&lt;&gt;"", "_" &amp; I108, "") &amp; IF(J108&lt;&gt;"", "_" &amp; J108, "") &amp; IF(K108&lt;&gt;"", "_" &amp; K108, "") &amp;"_X"&amp;U108&amp;"_Y"&amp;V108&amp;"_Z"&amp;W108 &amp; IF(G108="SM", "_Proxy" , "_Rail") &amp; IF(M108&lt;&gt;"", "_" &amp; M108, "")</f>
      </c>
      <c r="F108" s="79">
        <f>IF(E108="", "", IF(G108="BP", E108, F107))</f>
      </c>
      <c r="G108" s="92" t="str">
        <v>SM</v>
      </c>
      <c r="H108" s="92" t="str">
        <v>Straight</v>
      </c>
      <c r="I108" s="92" t="str">
        <v>R90</v>
      </c>
      <c r="J108" s="92"/>
      <c r="K108" s="92"/>
      <c r="L108" s="92"/>
      <c r="M108" s="92" t="str">
        <v>L</v>
      </c>
      <c r="N108" s="94"/>
      <c r="O108" s="94"/>
      <c r="P108" s="94" t="str">
        <v>✅</v>
      </c>
      <c r="Q108" s="94"/>
      <c r="R108" s="92" t="str">
        <v>Straight_R90_X1_Y1_Z1</v>
      </c>
      <c r="S108" s="79" t="str">
        <v>/Script/Engine.StaticMesh'/Game/Item/Rail/Straight/R90/Normal/Straight_R90_X1_Y1_Z1/Proxy/SM_Straight_R90_X1_Y1_Z1_Proxy_L.SM_Straight_R90_X1_Y1_Z1_Proxy_L'</v>
      </c>
      <c r="T108" s="134" t="str"/>
      <c r="U108" s="136">
        <v>1</v>
      </c>
      <c r="V108" s="136">
        <v>1</v>
      </c>
      <c r="W108" s="136">
        <v>1</v>
      </c>
      <c r="X108" s="78"/>
      <c r="Y108" s="78">
        <f>IF(AND(Q108="✅", OR(ISNUMBER(FIND("F",I108)), I108="CR")),   "X="&amp;U108*16&amp;",Y="&amp;(V108-1)*16&amp;",Z="&amp;IF(I108="FD", -(W108-1)*16, (W108-1)*16),   "")</f>
      </c>
      <c r="Z108" s="78">
        <f>IF(AND(Q108="✅", OR(ISNUMBER(FIND("F",I108)), I108="CR")), "P=0,Y=0,R=0", "")</f>
      </c>
      <c r="AA108" s="78" t="str"/>
      <c r="AB108" s="78" t="str"/>
      <c r="AC108" s="78" t="str"/>
      <c r="AD108" s="78" t="str"/>
      <c r="AE108" s="78" t="str"/>
      <c r="AF108" s="78"/>
      <c r="AG108" s="78" t="str"/>
      <c r="AH108" s="78" t="str"/>
      <c r="AI108" s="78" t="str"/>
      <c r="AJ108" s="78" t="str"/>
      <c r="AK108" s="78" t="str"/>
      <c r="AL108" s="78" t="str"/>
      <c r="AM108" s="78" t="str"/>
      <c r="AN108" s="78"/>
      <c r="AO108" s="78" t="str"/>
      <c r="AP108" s="78" t="str"/>
      <c r="AQ108" s="78" t="str"/>
      <c r="AR108" s="78" t="str"/>
      <c r="AS108" s="78" t="str"/>
      <c r="AT108" s="78" t="str"/>
      <c r="AU108" s="78" t="str"/>
      <c r="AV108" s="78"/>
      <c r="AW108" s="78">
        <f>IF(AND(Q108="✅", I108="U90"), "X="&amp;(U108-1)*16&amp;",Y="&amp;(V108-1)*16&amp;",Z="&amp;W108*16, "")</f>
      </c>
      <c r="AX108" s="78">
        <f>IF(AND(Q108="✅", I108="U90"), "P=90,Y=0,R=0", "")</f>
      </c>
      <c r="AY108" s="78" t="str"/>
      <c r="AZ108" s="78" t="str"/>
      <c r="BA108" s="78" t="str"/>
      <c r="BB108" s="78" t="str"/>
      <c r="BC108" s="78" t="str"/>
      <c r="BD108" s="78"/>
      <c r="BE108" s="78">
        <f>IF(AND(Q108="✅", I108="D90"), "X="&amp;(U108-1)*16&amp;",Y="&amp;(V108-1)*16&amp;",Z="&amp;(W108-2)*16, "")</f>
      </c>
      <c r="BF108" s="78">
        <f>IF(AND(Q108="✅", I108="D90"), "P=-90,Y=0,R=0", "")</f>
      </c>
      <c r="BG108" s="78" t="str"/>
      <c r="BH108" s="78" t="str"/>
      <c r="BI108" s="78" t="str"/>
      <c r="BJ108" s="78" t="str"/>
      <c r="BK108" s="78" t="str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</row>
    <row hidden="true" outlineLevel="4" r="109">
      <c r="A109" s="135" t="str" xml:space="preserve">
        <v> </v>
      </c>
      <c r="B109" s="135" t="str" xml:space="preserve">
        <v> </v>
      </c>
      <c r="C109" s="133" t="str" xml:space="preserve">
        <v> </v>
      </c>
      <c r="D109" s="133" t="str" xml:space="preserve">
        <v> </v>
      </c>
      <c r="E109" s="91">
        <f>G109 &amp; "_" &amp; H109 &amp; IF(I109&lt;&gt;"", "_" &amp; I109, "") &amp; IF(J109&lt;&gt;"", "_" &amp; J109, "") &amp; IF(K109&lt;&gt;"", "_" &amp; K109, "") &amp;"_X"&amp;U109&amp;"_Y"&amp;V109&amp;"_Z"&amp;W109 &amp; IF(G109="SM", "_Proxy" , "_Rail") &amp; IF(M109&lt;&gt;"", "_" &amp; M109, "")</f>
      </c>
      <c r="F109" s="79">
        <f>IF(E109="", "", IF(G109="BP", E109, F108))</f>
      </c>
      <c r="G109" s="92" t="str">
        <v>SM</v>
      </c>
      <c r="H109" s="92" t="str">
        <v>Straight</v>
      </c>
      <c r="I109" s="92" t="str">
        <v>R90</v>
      </c>
      <c r="J109" s="92"/>
      <c r="K109" s="92"/>
      <c r="L109" s="92"/>
      <c r="M109" s="92" t="str">
        <v>R</v>
      </c>
      <c r="N109" s="94"/>
      <c r="O109" s="94"/>
      <c r="P109" s="94" t="str">
        <v>✅</v>
      </c>
      <c r="Q109" s="94"/>
      <c r="R109" s="92" t="str">
        <v>Straight_R90_X1_Y1_Z1</v>
      </c>
      <c r="S109" s="79" t="str">
        <v>/Script/Engine.StaticMesh'/Game/Item/Rail/Straight/R90/Normal/Straight_R90_X1_Y1_Z1/Proxy/SM_Straight_R90_X1_Y1_Z1_Proxy_R.SM_Straight_R90_X1_Y1_Z1_Proxy_R'</v>
      </c>
      <c r="T109" s="134" t="str"/>
      <c r="U109" s="136">
        <v>1</v>
      </c>
      <c r="V109" s="136">
        <v>1</v>
      </c>
      <c r="W109" s="136">
        <v>1</v>
      </c>
      <c r="X109" s="78"/>
      <c r="Y109" s="78">
        <f>IF(AND(Q109="✅", OR(ISNUMBER(FIND("F",I109)), I109="CR")),   "X="&amp;U109*16&amp;",Y="&amp;(V109-1)*16&amp;",Z="&amp;IF(I109="FD", -(W109-1)*16, (W109-1)*16),   "")</f>
      </c>
      <c r="Z109" s="78">
        <f>IF(AND(Q109="✅", OR(ISNUMBER(FIND("F",I109)), I109="CR")), "P=0,Y=0,R=0", "")</f>
      </c>
      <c r="AA109" s="78" t="str"/>
      <c r="AB109" s="78" t="str"/>
      <c r="AC109" s="78" t="str"/>
      <c r="AD109" s="78" t="str"/>
      <c r="AE109" s="78" t="str"/>
      <c r="AF109" s="78"/>
      <c r="AG109" s="78" t="str"/>
      <c r="AH109" s="78" t="str"/>
      <c r="AI109" s="78" t="str"/>
      <c r="AJ109" s="78" t="str"/>
      <c r="AK109" s="78" t="str"/>
      <c r="AL109" s="78" t="str"/>
      <c r="AM109" s="78" t="str"/>
      <c r="AN109" s="78"/>
      <c r="AO109" s="78" t="str"/>
      <c r="AP109" s="78" t="str"/>
      <c r="AQ109" s="78" t="str"/>
      <c r="AR109" s="78" t="str"/>
      <c r="AS109" s="78" t="str"/>
      <c r="AT109" s="78" t="str"/>
      <c r="AU109" s="78" t="str"/>
      <c r="AV109" s="78"/>
      <c r="AW109" s="78">
        <f>IF(AND(Q109="✅", I109="U90"), "X="&amp;(U109-1)*16&amp;",Y="&amp;(V109-1)*16&amp;",Z="&amp;W109*16, "")</f>
      </c>
      <c r="AX109" s="78">
        <f>IF(AND(Q109="✅", I109="U90"), "P=90,Y=0,R=0", "")</f>
      </c>
      <c r="AY109" s="78" t="str"/>
      <c r="AZ109" s="78" t="str"/>
      <c r="BA109" s="78" t="str"/>
      <c r="BB109" s="78" t="str"/>
      <c r="BC109" s="78" t="str"/>
      <c r="BD109" s="78"/>
      <c r="BE109" s="78">
        <f>IF(AND(Q109="✅", I109="D90"), "X="&amp;(U109-1)*16&amp;",Y="&amp;(V109-1)*16&amp;",Z="&amp;(W109-2)*16, "")</f>
      </c>
      <c r="BF109" s="78">
        <f>IF(AND(Q109="✅", I109="D90"), "P=-90,Y=0,R=0", "")</f>
      </c>
      <c r="BG109" s="78" t="str"/>
      <c r="BH109" s="78" t="str"/>
      <c r="BI109" s="78" t="str"/>
      <c r="BJ109" s="78" t="str"/>
      <c r="BK109" s="78" t="str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</row>
    <row collapsed="true" customHeight="true" ht="19" outlineLevel="2" r="110">
      <c r="A110" s="11"/>
      <c r="B110" s="11"/>
      <c r="C110" s="119" t="str">
        <v>Borderless</v>
      </c>
      <c r="D110" s="119"/>
      <c r="E110" s="5"/>
      <c r="F110" s="9">
        <f>IF(E110="", "", IF(G110="BP", E110, F105))</f>
      </c>
      <c r="G110" s="1"/>
      <c r="H110" s="1"/>
      <c r="I110" s="1"/>
      <c r="J110" s="1"/>
      <c r="K110" s="1"/>
      <c r="L110" s="1"/>
      <c r="M110" s="1"/>
      <c r="N110" s="3"/>
      <c r="O110" s="3" t="str">
        <v>⭕</v>
      </c>
      <c r="P110" s="3"/>
      <c r="Q110" s="3"/>
      <c r="R110" s="1" t="str"/>
      <c r="S110" s="9" t="str"/>
      <c r="T110" s="120" t="str"/>
      <c r="U110" s="118"/>
      <c r="V110" s="118"/>
      <c r="W110" s="118"/>
      <c r="X110" s="4"/>
      <c r="Y110" s="4">
        <f>IF(AND(Q110="✅", OR(ISNUMBER(FIND("F",I110)), I110="CR")),   "X="&amp;U110*16&amp;",Y="&amp;(V110-1)*16&amp;",Z="&amp;IF(I110="FD", -(W110-1)*16, (W110-1)*16),   "")</f>
      </c>
      <c r="Z110" s="4">
        <f>IF(AND(Q110="✅", OR(ISNUMBER(FIND("F",I110)), I110="CR")), "P=0,Y=0,R=0", "")</f>
      </c>
      <c r="AA110" s="4" t="str"/>
      <c r="AB110" s="4" t="str"/>
      <c r="AC110" s="4" t="str"/>
      <c r="AD110" s="4" t="str"/>
      <c r="AE110" s="4" t="str"/>
      <c r="AF110" s="4"/>
      <c r="AG110" s="4" t="str"/>
      <c r="AH110" s="4" t="str"/>
      <c r="AI110" s="4" t="str"/>
      <c r="AJ110" s="4" t="str"/>
      <c r="AK110" s="4" t="str"/>
      <c r="AL110" s="4" t="str"/>
      <c r="AM110" s="4" t="str"/>
      <c r="AN110" s="4"/>
      <c r="AO110" s="4" t="str"/>
      <c r="AP110" s="4" t="str"/>
      <c r="AQ110" s="4" t="str"/>
      <c r="AR110" s="4" t="str"/>
      <c r="AS110" s="4" t="str"/>
      <c r="AT110" s="4" t="str"/>
      <c r="AU110" s="4" t="str"/>
      <c r="AV110" s="4"/>
      <c r="AW110" s="4">
        <f>IF(AND(Q110="✅", I110="U90"), "X="&amp;(U110-1)*16&amp;",Y="&amp;(V110-1)*16&amp;",Z="&amp;W110*16, "")</f>
      </c>
      <c r="AX110" s="4">
        <f>IF(AND(Q110="✅", I110="U90"), "P=90,Y=0,R=0", "")</f>
      </c>
      <c r="AY110" s="4" t="str"/>
      <c r="AZ110" s="4" t="str"/>
      <c r="BA110" s="4" t="str"/>
      <c r="BB110" s="4" t="str"/>
      <c r="BC110" s="4" t="str"/>
      <c r="BD110" s="4"/>
      <c r="BE110" s="4">
        <f>IF(AND(Q110="✅", I110="D90"), "X="&amp;(U110-1)*16&amp;",Y="&amp;(V110-1)*16&amp;",Z="&amp;(W110-2)*16, "")</f>
      </c>
      <c r="BF110" s="4">
        <f>IF(AND(Q110="✅", I110="D90"), "P=-90,Y=0,R=0", "")</f>
      </c>
      <c r="BG110" s="4" t="str"/>
      <c r="BH110" s="4" t="str"/>
      <c r="BI110" s="4" t="str"/>
      <c r="BJ110" s="4" t="str"/>
      <c r="BK110" s="4" t="str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</row>
    <row customHeight="true" hidden="true" ht="19" outlineLevel="3" r="111">
      <c r="A111" s="11"/>
      <c r="B111" s="11"/>
      <c r="C111" s="119"/>
      <c r="D111" s="119">
        <v>1</v>
      </c>
      <c r="E111" s="5"/>
      <c r="F111" s="9"/>
      <c r="G111" s="1"/>
      <c r="H111" s="1"/>
      <c r="I111" s="1"/>
      <c r="J111" s="1"/>
      <c r="K111" s="1"/>
      <c r="L111" s="1"/>
      <c r="M111" s="1"/>
      <c r="N111" s="3"/>
      <c r="O111" s="3"/>
      <c r="P111" s="3"/>
      <c r="Q111" s="3"/>
      <c r="R111" s="1" t="str"/>
      <c r="S111" s="9" t="str"/>
      <c r="T111" s="120" t="str"/>
      <c r="U111" s="118"/>
      <c r="V111" s="118"/>
      <c r="W111" s="118"/>
      <c r="X111" s="4"/>
      <c r="Y111" s="4">
        <f>IF(AND(Q111="✅", OR(ISNUMBER(FIND("F",I111)), I111="CR")),   "X="&amp;U111*16&amp;",Y="&amp;(V111-1)*16&amp;",Z="&amp;IF(I111="FD", -(W111-1)*16, (W111-1)*16),   "")</f>
      </c>
      <c r="Z111" s="4">
        <f>IF(AND(Q111="✅", OR(ISNUMBER(FIND("F",I111)), I111="CR")), "P=0,Y=0,R=0", "")</f>
      </c>
      <c r="AA111" s="4" t="str"/>
      <c r="AB111" s="4" t="str"/>
      <c r="AC111" s="4" t="str"/>
      <c r="AD111" s="4" t="str"/>
      <c r="AE111" s="4" t="str"/>
      <c r="AF111" s="4"/>
      <c r="AG111" s="4" t="str"/>
      <c r="AH111" s="4" t="str"/>
      <c r="AI111" s="4" t="str"/>
      <c r="AJ111" s="4" t="str"/>
      <c r="AK111" s="4" t="str"/>
      <c r="AL111" s="4" t="str"/>
      <c r="AM111" s="4" t="str"/>
      <c r="AN111" s="4"/>
      <c r="AO111" s="4" t="str"/>
      <c r="AP111" s="4" t="str"/>
      <c r="AQ111" s="4" t="str"/>
      <c r="AR111" s="4" t="str"/>
      <c r="AS111" s="4" t="str"/>
      <c r="AT111" s="4" t="str"/>
      <c r="AU111" s="4" t="str"/>
      <c r="AV111" s="4"/>
      <c r="AW111" s="4">
        <f>IF(AND(Q111="✅", I111="U90"), "X="&amp;(U111-1)*16&amp;",Y="&amp;(V111-1)*16&amp;",Z="&amp;W111*16, "")</f>
      </c>
      <c r="AX111" s="4">
        <f>IF(AND(Q111="✅", I111="U90"), "P=90,Y=0,R=0", "")</f>
      </c>
      <c r="AY111" s="4" t="str"/>
      <c r="AZ111" s="4" t="str"/>
      <c r="BA111" s="4" t="str"/>
      <c r="BB111" s="4" t="str"/>
      <c r="BC111" s="4" t="str"/>
      <c r="BD111" s="4"/>
      <c r="BE111" s="4">
        <f>IF(AND(Q111="✅", I111="D90"), "X="&amp;(U111-1)*16&amp;",Y="&amp;(V111-1)*16&amp;",Z="&amp;(W111-2)*16, "")</f>
      </c>
      <c r="BF111" s="4">
        <f>IF(AND(Q111="✅", I111="D90"), "P=-90,Y=0,R=0", "")</f>
      </c>
      <c r="BG111" s="4" t="str"/>
      <c r="BH111" s="4" t="str"/>
      <c r="BI111" s="4" t="str"/>
      <c r="BJ111" s="4" t="str"/>
      <c r="BK111" s="4" t="str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</row>
    <row customHeight="true" hidden="true" ht="19" outlineLevel="3" r="112">
      <c r="A112" s="142" t="str" xml:space="preserve">
        <v> </v>
      </c>
      <c r="B112" s="142" t="str" xml:space="preserve">
        <v> </v>
      </c>
      <c r="C112" s="141" t="str" xml:space="preserve">
        <v> </v>
      </c>
      <c r="D112" s="141" t="str" xml:space="preserve">
        <v> </v>
      </c>
      <c r="E112" s="51">
        <f>G112 &amp; "_" &amp; H112 &amp; IF(I112&lt;&gt;"", "_" &amp; I112, "") &amp; IF(J112&lt;&gt;"", "_" &amp; J112, "") &amp; IF(K112&lt;&gt;"", "_" &amp; K112, "") &amp;"_X"&amp;U112&amp;"_Y"&amp;V112&amp;"_Z"&amp;W112 &amp; IF(G112="SM", "_Proxy" , "_Rail") &amp; IF(M112&lt;&gt;"", "_" &amp; M112, "")</f>
      </c>
      <c r="F112" s="54">
        <f>IF(E112="", "", IF(G112="BP", E112, F110))</f>
      </c>
      <c r="G112" s="52" t="str">
        <v>BP</v>
      </c>
      <c r="H112" s="52" t="str">
        <v>Straight</v>
      </c>
      <c r="I112" s="52" t="str">
        <v>R90</v>
      </c>
      <c r="J112" s="52" t="str">
        <v>Borderless</v>
      </c>
      <c r="K112" s="52"/>
      <c r="L112" s="52"/>
      <c r="M112" s="52"/>
      <c r="N112" s="101"/>
      <c r="O112" s="101"/>
      <c r="P112" s="101"/>
      <c r="Q112" s="101" t="str">
        <v>⭕</v>
      </c>
      <c r="R112" s="52" t="str"/>
      <c r="S112" s="54" t="str"/>
      <c r="T112" s="138">
        <v>2</v>
      </c>
      <c r="U112" s="137">
        <v>1</v>
      </c>
      <c r="V112" s="137">
        <v>1</v>
      </c>
      <c r="W112" s="137">
        <v>1</v>
      </c>
      <c r="X112" s="53"/>
      <c r="Y112" s="53">
        <f>IF(AND(Q112="✅", OR(ISNUMBER(FIND("F",I112)), I112="CR")),   "X="&amp;U112*16&amp;",Y="&amp;(V112-1)*16&amp;",Z="&amp;IF(I112="FD", -(W112-1)*16, (W112-1)*16),   "")</f>
      </c>
      <c r="Z112" s="53">
        <f>IF(AND(Q112="✅", OR(ISNUMBER(FIND("F",I112)), I112="CR")), "P=0,Y=0,R=0", "")</f>
      </c>
      <c r="AA112" s="53" t="str"/>
      <c r="AB112" s="53" t="str"/>
      <c r="AC112" s="53" t="str"/>
      <c r="AD112" s="53" t="str"/>
      <c r="AE112" s="53" t="str"/>
      <c r="AF112" s="53"/>
      <c r="AG112" s="53" t="str"/>
      <c r="AH112" s="53" t="str"/>
      <c r="AI112" s="53" t="str"/>
      <c r="AJ112" s="53" t="str"/>
      <c r="AK112" s="53" t="str"/>
      <c r="AL112" s="53" t="str"/>
      <c r="AM112" s="53" t="str"/>
      <c r="AN112" s="53"/>
      <c r="AO112" s="53" t="str"/>
      <c r="AP112" s="53" t="str"/>
      <c r="AQ112" s="53" t="str"/>
      <c r="AR112" s="53" t="str"/>
      <c r="AS112" s="53" t="str"/>
      <c r="AT112" s="53" t="str"/>
      <c r="AU112" s="53" t="str"/>
      <c r="AV112" s="53"/>
      <c r="AW112" s="53">
        <f>IF(AND(Q112="✅", I112="U90"), "X="&amp;(U112-1)*16&amp;",Y="&amp;(V112-1)*16&amp;",Z="&amp;W112*16, "")</f>
      </c>
      <c r="AX112" s="53">
        <f>IF(AND(Q112="✅", I112="U90"), "P=90,Y=0,R=0", "")</f>
      </c>
      <c r="AY112" s="53" t="str"/>
      <c r="AZ112" s="53" t="str"/>
      <c r="BA112" s="53" t="str"/>
      <c r="BB112" s="53" t="str"/>
      <c r="BC112" s="53" t="str"/>
      <c r="BD112" s="53"/>
      <c r="BE112" s="53">
        <f>IF(AND(Q112="✅", I112="D90"), "X="&amp;(U112-1)*16&amp;",Y="&amp;(V112-1)*16&amp;",Z="&amp;(W112-2)*16, "")</f>
      </c>
      <c r="BF112" s="53">
        <f>IF(AND(Q112="✅", I112="D90"), "P=-90,Y=0,R=0", "")</f>
      </c>
      <c r="BG112" s="53" t="str"/>
      <c r="BH112" s="53" t="str"/>
      <c r="BI112" s="53" t="str"/>
      <c r="BJ112" s="53" t="str"/>
      <c r="BK112" s="53" t="str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</row>
    <row customHeight="true" hidden="true" ht="19" outlineLevel="3" r="113">
      <c r="A113" s="142" t="str" xml:space="preserve">
        <v> </v>
      </c>
      <c r="B113" s="142" t="str" xml:space="preserve">
        <v> </v>
      </c>
      <c r="C113" s="141" t="str" xml:space="preserve">
        <v> </v>
      </c>
      <c r="D113" s="141" t="str" xml:space="preserve">
        <v> </v>
      </c>
      <c r="E113" s="51">
        <f>E107</f>
      </c>
      <c r="F113" s="54">
        <f>IF(E113="", "", IF(G113="BP", E113, F112))</f>
      </c>
      <c r="G113" s="52"/>
      <c r="H113" s="52"/>
      <c r="I113" s="52"/>
      <c r="J113" s="52"/>
      <c r="K113" s="52"/>
      <c r="L113" s="52"/>
      <c r="M113" s="52" t="str">
        <v>B</v>
      </c>
      <c r="N113" s="101"/>
      <c r="O113" s="101"/>
      <c r="P113" s="101" t="str">
        <v>✅</v>
      </c>
      <c r="Q113" s="101"/>
      <c r="R113" s="52" t="str">
        <v>Straight_F_X1_Y1_Z1</v>
      </c>
      <c r="S113" s="54" t="str">
        <v>/Script/Engine.StaticMesh'/Game/Item/Rail/Straight/F/Normal/Straight_F_X1_Y1_Z1/Proxy/SM_Straight_F_X1_Y1_Z1_Proxy_B.SM_Straight_F_X1_Y1_Z1_Proxy_B'</v>
      </c>
      <c r="T113" s="138" t="str"/>
      <c r="U113" s="137"/>
      <c r="V113" s="137"/>
      <c r="W113" s="137"/>
      <c r="X113" s="53"/>
      <c r="Y113" s="53">
        <f>IF(AND(Q113="✅", OR(ISNUMBER(FIND("F",I113)), I113="CR")),   "X="&amp;U113*16&amp;",Y="&amp;(V113-1)*16&amp;",Z="&amp;IF(I113="FD", -(W113-1)*16, (W113-1)*16),   "")</f>
      </c>
      <c r="Z113" s="53">
        <f>IF(AND(Q113="✅", OR(ISNUMBER(FIND("F",I113)), I113="CR")), "P=0,Y=0,R=0", "")</f>
      </c>
      <c r="AA113" s="53" t="str"/>
      <c r="AB113" s="53" t="str"/>
      <c r="AC113" s="53" t="str"/>
      <c r="AD113" s="53" t="str"/>
      <c r="AE113" s="53" t="str"/>
      <c r="AF113" s="53"/>
      <c r="AG113" s="53" t="str"/>
      <c r="AH113" s="53" t="str"/>
      <c r="AI113" s="53" t="str"/>
      <c r="AJ113" s="53" t="str"/>
      <c r="AK113" s="53" t="str"/>
      <c r="AL113" s="53" t="str"/>
      <c r="AM113" s="53" t="str"/>
      <c r="AN113" s="53"/>
      <c r="AO113" s="53" t="str"/>
      <c r="AP113" s="53" t="str"/>
      <c r="AQ113" s="53" t="str"/>
      <c r="AR113" s="53" t="str"/>
      <c r="AS113" s="53" t="str"/>
      <c r="AT113" s="53" t="str"/>
      <c r="AU113" s="53" t="str"/>
      <c r="AV113" s="53"/>
      <c r="AW113" s="53">
        <f>IF(AND(Q113="✅", I113="U90"), "X="&amp;(U113-1)*16&amp;",Y="&amp;(V113-1)*16&amp;",Z="&amp;W113*16, "")</f>
      </c>
      <c r="AX113" s="53">
        <f>IF(AND(Q113="✅", I113="U90"), "P=90,Y=0,R=0", "")</f>
      </c>
      <c r="AY113" s="53" t="str"/>
      <c r="AZ113" s="53" t="str"/>
      <c r="BA113" s="53" t="str"/>
      <c r="BB113" s="53" t="str"/>
      <c r="BC113" s="53" t="str"/>
      <c r="BD113" s="53"/>
      <c r="BE113" s="53">
        <f>IF(AND(Q113="✅", I113="D90"), "X="&amp;(U113-1)*16&amp;",Y="&amp;(V113-1)*16&amp;",Z="&amp;(W113-2)*16, "")</f>
      </c>
      <c r="BF113" s="53">
        <f>IF(AND(Q113="✅", I113="D90"), "P=-90,Y=0,R=0", "")</f>
      </c>
      <c r="BG113" s="53" t="str"/>
      <c r="BH113" s="53" t="str"/>
      <c r="BI113" s="53" t="str"/>
      <c r="BJ113" s="53" t="str"/>
      <c r="BK113" s="53" t="str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</row>
    <row collapsed="true" customHeight="true" ht="19" outlineLevel="2" r="114">
      <c r="A114" s="11"/>
      <c r="B114" s="11"/>
      <c r="C114" s="119" t="str">
        <v>Borderless_I</v>
      </c>
      <c r="D114" s="119"/>
      <c r="E114" s="9"/>
      <c r="F114" s="9">
        <f>IF(E114="", "", IF(G114="BP", E114, F109))</f>
      </c>
      <c r="G114" s="4"/>
      <c r="H114" s="4"/>
      <c r="I114" s="4"/>
      <c r="J114" s="4"/>
      <c r="K114" s="4"/>
      <c r="L114" s="4"/>
      <c r="M114" s="4"/>
      <c r="N114" s="3"/>
      <c r="O114" s="3" t="str">
        <v>⭕</v>
      </c>
      <c r="P114" s="2"/>
      <c r="Q114" s="3"/>
      <c r="R114" s="1" t="str"/>
      <c r="S114" s="9" t="str"/>
      <c r="T114" s="120" t="str"/>
      <c r="U114" s="118"/>
      <c r="V114" s="118"/>
      <c r="W114" s="118"/>
      <c r="X114" s="4"/>
      <c r="Y114" s="4">
        <f>IF(AND(Q114="✅", OR(ISNUMBER(FIND("F",I114)), I114="CR")),   "X="&amp;U114*16&amp;",Y="&amp;(V114-1)*16&amp;",Z="&amp;IF(I114="FD", -(W114-1)*16, (W114-1)*16),   "")</f>
      </c>
      <c r="Z114" s="4">
        <f>IF(AND(Q114="✅", OR(ISNUMBER(FIND("F",I114)), I114="CR")), "P=0,Y=0,R=0", "")</f>
      </c>
      <c r="AA114" s="4" t="str"/>
      <c r="AB114" s="4" t="str"/>
      <c r="AC114" s="4" t="str"/>
      <c r="AD114" s="4" t="str"/>
      <c r="AE114" s="4" t="str"/>
      <c r="AF114" s="4"/>
      <c r="AG114" s="4" t="str"/>
      <c r="AH114" s="4" t="str"/>
      <c r="AI114" s="4" t="str"/>
      <c r="AJ114" s="4" t="str"/>
      <c r="AK114" s="4" t="str"/>
      <c r="AL114" s="4" t="str"/>
      <c r="AM114" s="4" t="str"/>
      <c r="AN114" s="4"/>
      <c r="AO114" s="4" t="str"/>
      <c r="AP114" s="4" t="str"/>
      <c r="AQ114" s="4" t="str"/>
      <c r="AR114" s="4" t="str"/>
      <c r="AS114" s="4" t="str"/>
      <c r="AT114" s="4" t="str"/>
      <c r="AU114" s="4" t="str"/>
      <c r="AV114" s="4"/>
      <c r="AW114" s="4">
        <f>IF(AND(Q114="✅", I114="U90"), "X="&amp;(U114-1)*16&amp;",Y="&amp;(V114-1)*16&amp;",Z="&amp;W114*16, "")</f>
      </c>
      <c r="AX114" s="4">
        <f>IF(AND(Q114="✅", I114="U90"), "P=90,Y=0,R=0", "")</f>
      </c>
      <c r="AY114" s="4" t="str"/>
      <c r="AZ114" s="4" t="str"/>
      <c r="BA114" s="4" t="str"/>
      <c r="BB114" s="4" t="str"/>
      <c r="BC114" s="4" t="str"/>
      <c r="BD114" s="4"/>
      <c r="BE114" s="4">
        <f>IF(AND(Q114="✅", I114="D90"), "X="&amp;(U114-1)*16&amp;",Y="&amp;(V114-1)*16&amp;",Z="&amp;(W114-2)*16, "")</f>
      </c>
      <c r="BF114" s="4">
        <f>IF(AND(Q114="✅", I114="D90"), "P=-90,Y=0,R=0", "")</f>
      </c>
      <c r="BG114" s="4" t="str"/>
      <c r="BH114" s="4" t="str"/>
      <c r="BI114" s="4" t="str"/>
      <c r="BJ114" s="4" t="str"/>
      <c r="BK114" s="4" t="str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</row>
    <row customHeight="true" hidden="true" ht="19" outlineLevel="3" r="115">
      <c r="A115" s="11"/>
      <c r="B115" s="11"/>
      <c r="C115" s="119"/>
      <c r="D115" s="119">
        <v>1</v>
      </c>
      <c r="E115" s="9"/>
      <c r="F115" s="9"/>
      <c r="G115" s="4"/>
      <c r="H115" s="4"/>
      <c r="I115" s="4"/>
      <c r="J115" s="4"/>
      <c r="K115" s="4"/>
      <c r="L115" s="4"/>
      <c r="M115" s="4"/>
      <c r="N115" s="3"/>
      <c r="O115" s="3"/>
      <c r="P115" s="2"/>
      <c r="Q115" s="3"/>
      <c r="R115" s="1" t="str"/>
      <c r="S115" s="9" t="str"/>
      <c r="T115" s="120" t="str"/>
      <c r="U115" s="118"/>
      <c r="V115" s="118"/>
      <c r="W115" s="118"/>
      <c r="X115" s="4"/>
      <c r="Y115" s="4">
        <f>IF(AND(Q115="✅", OR(ISNUMBER(FIND("F",I115)), I115="CR")),   "X="&amp;U115*16&amp;",Y="&amp;(V115-1)*16&amp;",Z="&amp;IF(I115="FD", -(W115-1)*16, (W115-1)*16),   "")</f>
      </c>
      <c r="Z115" s="4">
        <f>IF(AND(Q115="✅", OR(ISNUMBER(FIND("F",I115)), I115="CR")), "P=0,Y=0,R=0", "")</f>
      </c>
      <c r="AA115" s="4" t="str"/>
      <c r="AB115" s="4" t="str"/>
      <c r="AC115" s="4" t="str"/>
      <c r="AD115" s="4" t="str"/>
      <c r="AE115" s="4" t="str"/>
      <c r="AF115" s="4"/>
      <c r="AG115" s="4" t="str"/>
      <c r="AH115" s="4" t="str"/>
      <c r="AI115" s="4" t="str"/>
      <c r="AJ115" s="4" t="str"/>
      <c r="AK115" s="4" t="str"/>
      <c r="AL115" s="4" t="str"/>
      <c r="AM115" s="4" t="str"/>
      <c r="AN115" s="4"/>
      <c r="AO115" s="4" t="str"/>
      <c r="AP115" s="4" t="str"/>
      <c r="AQ115" s="4" t="str"/>
      <c r="AR115" s="4" t="str"/>
      <c r="AS115" s="4" t="str"/>
      <c r="AT115" s="4" t="str"/>
      <c r="AU115" s="4" t="str"/>
      <c r="AV115" s="4"/>
      <c r="AW115" s="4">
        <f>IF(AND(Q115="✅", I115="U90"), "X="&amp;(U115-1)*16&amp;",Y="&amp;(V115-1)*16&amp;",Z="&amp;W115*16, "")</f>
      </c>
      <c r="AX115" s="4">
        <f>IF(AND(Q115="✅", I115="U90"), "P=90,Y=0,R=0", "")</f>
      </c>
      <c r="AY115" s="4" t="str"/>
      <c r="AZ115" s="4" t="str"/>
      <c r="BA115" s="4" t="str"/>
      <c r="BB115" s="4" t="str"/>
      <c r="BC115" s="4" t="str"/>
      <c r="BD115" s="4"/>
      <c r="BE115" s="4">
        <f>IF(AND(Q115="✅", I115="D90"), "X="&amp;(U115-1)*16&amp;",Y="&amp;(V115-1)*16&amp;",Z="&amp;(W115-2)*16, "")</f>
      </c>
      <c r="BF115" s="4">
        <f>IF(AND(Q115="✅", I115="D90"), "P=-90,Y=0,R=0", "")</f>
      </c>
      <c r="BG115" s="4" t="str"/>
      <c r="BH115" s="4" t="str"/>
      <c r="BI115" s="4" t="str"/>
      <c r="BJ115" s="4" t="str"/>
      <c r="BK115" s="4" t="str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</row>
    <row customHeight="true" hidden="true" ht="19" outlineLevel="3" r="116">
      <c r="A116" s="127"/>
      <c r="B116" s="127"/>
      <c r="C116" s="125"/>
      <c r="D116" s="125"/>
      <c r="E116" s="47">
        <f>G116 &amp; "_" &amp; H116 &amp; IF(I116&lt;&gt;"", "_" &amp; I116, "") &amp; IF(J116&lt;&gt;"", "_" &amp; J116, "") &amp; IF(K116&lt;&gt;"", "_" &amp; K116, "") &amp;"_X"&amp;U116&amp;"_Y"&amp;V116&amp;"_Z"&amp;W116 &amp; IF(G116="SM", "_Proxy" , "_Rail") &amp; IF(M116&lt;&gt;"", "_" &amp; M116, "")</f>
      </c>
      <c r="F116" s="47">
        <f>IF(E116="", "", IF(G116="BP", E116, F114))</f>
      </c>
      <c r="G116" s="48" t="str">
        <v>BP</v>
      </c>
      <c r="H116" s="48" t="str">
        <v>Straight</v>
      </c>
      <c r="I116" s="48" t="str">
        <v>R90</v>
      </c>
      <c r="J116" s="48" t="str">
        <v>Borderless_I</v>
      </c>
      <c r="K116" s="48"/>
      <c r="L116" s="48"/>
      <c r="M116" s="48"/>
      <c r="N116" s="77"/>
      <c r="O116" s="95"/>
      <c r="P116" s="46"/>
      <c r="Q116" s="77" t="str">
        <v>❓</v>
      </c>
      <c r="R116" s="43" t="str"/>
      <c r="S116" s="47" t="str"/>
      <c r="T116" s="126">
        <v>0</v>
      </c>
      <c r="U116" s="128">
        <v>1</v>
      </c>
      <c r="V116" s="128">
        <v>1</v>
      </c>
      <c r="W116" s="128">
        <v>1</v>
      </c>
      <c r="X116" s="48"/>
      <c r="Y116" s="48">
        <f>IF(AND(Q116="✅", OR(ISNUMBER(FIND("F",I116)), I116="CR")),   "X="&amp;U116*16&amp;",Y="&amp;(V116-1)*16&amp;",Z="&amp;IF(I116="FD", -(W116-1)*16, (W116-1)*16),   "")</f>
      </c>
      <c r="Z116" s="48">
        <f>IF(AND(Q116="✅", OR(ISNUMBER(FIND("F",I116)), I116="CR")), "P=0,Y=0,R=0", "")</f>
      </c>
      <c r="AA116" s="48" t="str"/>
      <c r="AB116" s="48" t="str"/>
      <c r="AC116" s="48" t="str"/>
      <c r="AD116" s="48" t="str"/>
      <c r="AE116" s="48" t="str"/>
      <c r="AF116" s="48"/>
      <c r="AG116" s="48" t="str"/>
      <c r="AH116" s="48" t="str"/>
      <c r="AI116" s="48" t="str"/>
      <c r="AJ116" s="48" t="str"/>
      <c r="AK116" s="48" t="str"/>
      <c r="AL116" s="48" t="str"/>
      <c r="AM116" s="48" t="str"/>
      <c r="AN116" s="48"/>
      <c r="AO116" s="48" t="str"/>
      <c r="AP116" s="48" t="str"/>
      <c r="AQ116" s="48" t="str"/>
      <c r="AR116" s="48" t="str"/>
      <c r="AS116" s="48" t="str"/>
      <c r="AT116" s="48" t="str"/>
      <c r="AU116" s="48" t="str"/>
      <c r="AV116" s="48"/>
      <c r="AW116" s="48">
        <f>IF(AND(Q116="✅", I116="U90"), "X="&amp;(U116-1)*16&amp;",Y="&amp;(V116-1)*16&amp;",Z="&amp;W116*16, "")</f>
      </c>
      <c r="AX116" s="48">
        <f>IF(AND(Q116="✅", I116="U90"), "P=90,Y=0,R=0", "")</f>
      </c>
      <c r="AY116" s="48" t="str"/>
      <c r="AZ116" s="48" t="str"/>
      <c r="BA116" s="48" t="str"/>
      <c r="BB116" s="48" t="str"/>
      <c r="BC116" s="48" t="str"/>
      <c r="BD116" s="48"/>
      <c r="BE116" s="48">
        <f>IF(AND(Q116="✅", I116="D90"), "X="&amp;(U116-1)*16&amp;",Y="&amp;(V116-1)*16&amp;",Z="&amp;(W116-2)*16, "")</f>
      </c>
      <c r="BF116" s="48">
        <f>IF(AND(Q116="✅", I116="D90"), "P=-90,Y=0,R=0", "")</f>
      </c>
      <c r="BG116" s="48" t="str"/>
      <c r="BH116" s="48" t="str"/>
      <c r="BI116" s="48" t="str"/>
      <c r="BJ116" s="48" t="str"/>
      <c r="BK116" s="48" t="str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</row>
    <row customHeight="true" hidden="true" ht="19" outlineLevel="3" r="117">
      <c r="A117" s="127"/>
      <c r="B117" s="127"/>
      <c r="C117" s="125"/>
      <c r="D117" s="125"/>
      <c r="E117" s="47">
        <f>E25</f>
      </c>
      <c r="F117" s="47">
        <f>IF(E117="", "", IF(G117="BP", E117, F116))</f>
      </c>
      <c r="G117" s="48"/>
      <c r="H117" s="48"/>
      <c r="I117" s="48"/>
      <c r="J117" s="48"/>
      <c r="K117" s="48"/>
      <c r="L117" s="48"/>
      <c r="M117" s="48" t="str">
        <v>B</v>
      </c>
      <c r="N117" s="77"/>
      <c r="O117" s="95"/>
      <c r="P117" s="46" t="str">
        <v>✅</v>
      </c>
      <c r="Q117" s="77"/>
      <c r="R117" s="43" t="str">
        <v>Straight_F_X1_Y1_Z1</v>
      </c>
      <c r="S117" s="47" t="str">
        <v>/Script/Engine.StaticMesh'/Game/Item/Rail/Straight/F/Normal/Straight_F_X1_Y1_Z1/Proxy/SM_Straight_F_X1_Y1_Z1_Proxy_B.SM_Straight_F_X1_Y1_Z1_Proxy_B'</v>
      </c>
      <c r="T117" s="126" t="str"/>
      <c r="U117" s="128"/>
      <c r="V117" s="128"/>
      <c r="W117" s="128"/>
      <c r="X117" s="48"/>
      <c r="Y117" s="48">
        <f>IF(AND(Q117="✅", OR(ISNUMBER(FIND("F",I117)), I117="CR")),   "X="&amp;U117*16&amp;",Y="&amp;(V117-1)*16&amp;",Z="&amp;IF(I117="FD", -(W117-1)*16, (W117-1)*16),   "")</f>
      </c>
      <c r="Z117" s="48">
        <f>IF(AND(Q117="✅", OR(ISNUMBER(FIND("F",I117)), I117="CR")), "P=0,Y=0,R=0", "")</f>
      </c>
      <c r="AA117" s="48" t="str"/>
      <c r="AB117" s="48" t="str"/>
      <c r="AC117" s="48" t="str"/>
      <c r="AD117" s="48" t="str"/>
      <c r="AE117" s="48" t="str"/>
      <c r="AF117" s="48"/>
      <c r="AG117" s="48" t="str"/>
      <c r="AH117" s="48" t="str"/>
      <c r="AI117" s="48" t="str"/>
      <c r="AJ117" s="48" t="str"/>
      <c r="AK117" s="48" t="str"/>
      <c r="AL117" s="48" t="str"/>
      <c r="AM117" s="48" t="str"/>
      <c r="AN117" s="48"/>
      <c r="AO117" s="48" t="str"/>
      <c r="AP117" s="48" t="str"/>
      <c r="AQ117" s="48" t="str"/>
      <c r="AR117" s="48" t="str"/>
      <c r="AS117" s="48" t="str"/>
      <c r="AT117" s="48" t="str"/>
      <c r="AU117" s="48" t="str"/>
      <c r="AV117" s="48"/>
      <c r="AW117" s="48">
        <f>IF(AND(Q117="✅", I117="U90"), "X="&amp;(U117-1)*16&amp;",Y="&amp;(V117-1)*16&amp;",Z="&amp;W117*16, "")</f>
      </c>
      <c r="AX117" s="48">
        <f>IF(AND(Q117="✅", I117="U90"), "P=90,Y=0,R=0", "")</f>
      </c>
      <c r="AY117" s="48" t="str"/>
      <c r="AZ117" s="48" t="str"/>
      <c r="BA117" s="48" t="str"/>
      <c r="BB117" s="48" t="str"/>
      <c r="BC117" s="48" t="str"/>
      <c r="BD117" s="48"/>
      <c r="BE117" s="48">
        <f>IF(AND(Q117="✅", I117="D90"), "X="&amp;(U117-1)*16&amp;",Y="&amp;(V117-1)*16&amp;",Z="&amp;(W117-2)*16, "")</f>
      </c>
      <c r="BF117" s="48">
        <f>IF(AND(Q117="✅", I117="D90"), "P=-90,Y=0,R=0", "")</f>
      </c>
      <c r="BG117" s="48" t="str"/>
      <c r="BH117" s="48" t="str"/>
      <c r="BI117" s="48" t="str"/>
      <c r="BJ117" s="48" t="str"/>
      <c r="BK117" s="48" t="str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</row>
    <row customHeight="true" hidden="true" ht="19" outlineLevel="3" r="118">
      <c r="A118" s="127"/>
      <c r="B118" s="127"/>
      <c r="C118" s="125"/>
      <c r="D118" s="125"/>
      <c r="E118" s="47">
        <f>E108</f>
      </c>
      <c r="F118" s="47">
        <f>IF(E118="", "", IF(G118="BP", E118, F117))</f>
      </c>
      <c r="G118" s="48"/>
      <c r="H118" s="48"/>
      <c r="I118" s="48"/>
      <c r="J118" s="48"/>
      <c r="K118" s="48"/>
      <c r="L118" s="48"/>
      <c r="M118" s="48" t="str">
        <v>L</v>
      </c>
      <c r="N118" s="77"/>
      <c r="O118" s="95"/>
      <c r="P118" s="46" t="str">
        <v>✅</v>
      </c>
      <c r="Q118" s="77"/>
      <c r="R118" s="43" t="str">
        <v>Straight_R90_X1_Y1_Z1</v>
      </c>
      <c r="S118" s="47" t="str">
        <v>/Script/Engine.StaticMesh'/Game/Item/Rail/Straight/R90/Normal/Straight_R90_X1_Y1_Z1/Proxy/SM_Straight_R90_X1_Y1_Z1_Proxy_L.SM_Straight_R90_X1_Y1_Z1_Proxy_L'</v>
      </c>
      <c r="T118" s="126" t="str"/>
      <c r="U118" s="128"/>
      <c r="V118" s="128"/>
      <c r="W118" s="128"/>
      <c r="X118" s="48"/>
      <c r="Y118" s="48">
        <f>IF(AND(Q118="✅", OR(ISNUMBER(FIND("F",I118)), I118="CR")),   "X="&amp;U118*16&amp;",Y="&amp;(V118-1)*16&amp;",Z="&amp;IF(I118="FD", -(W118-1)*16, (W118-1)*16),   "")</f>
      </c>
      <c r="Z118" s="48">
        <f>IF(AND(Q118="✅", OR(ISNUMBER(FIND("F",I118)), I118="CR")), "P=0,Y=0,R=0", "")</f>
      </c>
      <c r="AA118" s="48" t="str"/>
      <c r="AB118" s="48" t="str"/>
      <c r="AC118" s="48" t="str"/>
      <c r="AD118" s="48" t="str"/>
      <c r="AE118" s="48" t="str"/>
      <c r="AF118" s="48"/>
      <c r="AG118" s="48" t="str"/>
      <c r="AH118" s="48" t="str"/>
      <c r="AI118" s="48" t="str"/>
      <c r="AJ118" s="48" t="str"/>
      <c r="AK118" s="48" t="str"/>
      <c r="AL118" s="48" t="str"/>
      <c r="AM118" s="48" t="str"/>
      <c r="AN118" s="48"/>
      <c r="AO118" s="48" t="str"/>
      <c r="AP118" s="48" t="str"/>
      <c r="AQ118" s="48" t="str"/>
      <c r="AR118" s="48" t="str"/>
      <c r="AS118" s="48" t="str"/>
      <c r="AT118" s="48" t="str"/>
      <c r="AU118" s="48" t="str"/>
      <c r="AV118" s="48"/>
      <c r="AW118" s="48">
        <f>IF(AND(Q118="✅", I118="U90"), "X="&amp;(U118-1)*16&amp;",Y="&amp;(V118-1)*16&amp;",Z="&amp;W118*16, "")</f>
      </c>
      <c r="AX118" s="48">
        <f>IF(AND(Q118="✅", I118="U90"), "P=90,Y=0,R=0", "")</f>
      </c>
      <c r="AY118" s="48" t="str"/>
      <c r="AZ118" s="48" t="str"/>
      <c r="BA118" s="48" t="str"/>
      <c r="BB118" s="48" t="str"/>
      <c r="BC118" s="48" t="str"/>
      <c r="BD118" s="48"/>
      <c r="BE118" s="48">
        <f>IF(AND(Q118="✅", I118="D90"), "X="&amp;(U118-1)*16&amp;",Y="&amp;(V118-1)*16&amp;",Z="&amp;(W118-2)*16, "")</f>
      </c>
      <c r="BF118" s="48">
        <f>IF(AND(Q118="✅", I118="D90"), "P=-90,Y=0,R=0", "")</f>
      </c>
      <c r="BG118" s="48" t="str"/>
      <c r="BH118" s="48" t="str"/>
      <c r="BI118" s="48" t="str"/>
      <c r="BJ118" s="48" t="str"/>
      <c r="BK118" s="48" t="str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</row>
    <row collapsed="true" customHeight="true" ht="19" outlineLevel="2" r="119">
      <c r="A119" s="11"/>
      <c r="B119" s="11"/>
      <c r="C119" s="119" t="str">
        <v>Borderless_O</v>
      </c>
      <c r="D119" s="119"/>
      <c r="E119" s="9"/>
      <c r="F119" s="9">
        <f>IF(E119="", "", IF(G119="BP", E119, F118))</f>
      </c>
      <c r="G119" s="4"/>
      <c r="H119" s="4"/>
      <c r="I119" s="4"/>
      <c r="J119" s="4"/>
      <c r="K119" s="4"/>
      <c r="L119" s="4"/>
      <c r="M119" s="4"/>
      <c r="N119" s="3"/>
      <c r="O119" s="3" t="str">
        <v>⭕</v>
      </c>
      <c r="P119" s="2"/>
      <c r="Q119" s="3"/>
      <c r="R119" s="1" t="str"/>
      <c r="S119" s="9" t="str"/>
      <c r="T119" s="120" t="str"/>
      <c r="U119" s="118"/>
      <c r="V119" s="118"/>
      <c r="W119" s="118"/>
      <c r="X119" s="4"/>
      <c r="Y119" s="4">
        <f>IF(AND(Q119="✅", OR(ISNUMBER(FIND("F",I119)), I119="CR")),   "X="&amp;U119*16&amp;",Y="&amp;(V119-1)*16&amp;",Z="&amp;IF(I119="FD", -(W119-1)*16, (W119-1)*16),   "")</f>
      </c>
      <c r="Z119" s="4">
        <f>IF(AND(Q119="✅", OR(ISNUMBER(FIND("F",I119)), I119="CR")), "P=0,Y=0,R=0", "")</f>
      </c>
      <c r="AA119" s="4" t="str"/>
      <c r="AB119" s="4" t="str"/>
      <c r="AC119" s="4" t="str"/>
      <c r="AD119" s="4" t="str"/>
      <c r="AE119" s="4" t="str"/>
      <c r="AF119" s="4"/>
      <c r="AG119" s="4" t="str"/>
      <c r="AH119" s="4" t="str"/>
      <c r="AI119" s="4" t="str"/>
      <c r="AJ119" s="4" t="str"/>
      <c r="AK119" s="4" t="str"/>
      <c r="AL119" s="4" t="str"/>
      <c r="AM119" s="4" t="str"/>
      <c r="AN119" s="4"/>
      <c r="AO119" s="4" t="str"/>
      <c r="AP119" s="4" t="str"/>
      <c r="AQ119" s="4" t="str"/>
      <c r="AR119" s="4" t="str"/>
      <c r="AS119" s="4" t="str"/>
      <c r="AT119" s="4" t="str"/>
      <c r="AU119" s="4" t="str"/>
      <c r="AV119" s="4"/>
      <c r="AW119" s="4">
        <f>IF(AND(Q119="✅", I119="U90"), "X="&amp;(U119-1)*16&amp;",Y="&amp;(V119-1)*16&amp;",Z="&amp;W119*16, "")</f>
      </c>
      <c r="AX119" s="4">
        <f>IF(AND(Q119="✅", I119="U90"), "P=90,Y=0,R=0", "")</f>
      </c>
      <c r="AY119" s="4" t="str"/>
      <c r="AZ119" s="4" t="str"/>
      <c r="BA119" s="4" t="str"/>
      <c r="BB119" s="4" t="str"/>
      <c r="BC119" s="4" t="str"/>
      <c r="BD119" s="4"/>
      <c r="BE119" s="4">
        <f>IF(AND(Q119="✅", I119="D90"), "X="&amp;(U119-1)*16&amp;",Y="&amp;(V119-1)*16&amp;",Z="&amp;(W119-2)*16, "")</f>
      </c>
      <c r="BF119" s="4">
        <f>IF(AND(Q119="✅", I119="D90"), "P=-90,Y=0,R=0", "")</f>
      </c>
      <c r="BG119" s="4" t="str"/>
      <c r="BH119" s="4" t="str"/>
      <c r="BI119" s="4" t="str"/>
      <c r="BJ119" s="4" t="str"/>
      <c r="BK119" s="4" t="str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</row>
    <row customHeight="true" hidden="true" ht="19" outlineLevel="3" r="120">
      <c r="A120" s="11"/>
      <c r="B120" s="11"/>
      <c r="C120" s="119"/>
      <c r="D120" s="119">
        <v>1</v>
      </c>
      <c r="E120" s="9"/>
      <c r="F120" s="9"/>
      <c r="G120" s="4"/>
      <c r="H120" s="4"/>
      <c r="I120" s="4"/>
      <c r="J120" s="4"/>
      <c r="K120" s="4"/>
      <c r="L120" s="4"/>
      <c r="M120" s="4"/>
      <c r="N120" s="3"/>
      <c r="O120" s="3"/>
      <c r="P120" s="2"/>
      <c r="Q120" s="3"/>
      <c r="R120" s="1" t="str"/>
      <c r="S120" s="9" t="str"/>
      <c r="T120" s="120" t="str"/>
      <c r="U120" s="118"/>
      <c r="V120" s="118"/>
      <c r="W120" s="118"/>
      <c r="X120" s="4"/>
      <c r="Y120" s="4">
        <f>IF(AND(Q120="✅", OR(ISNUMBER(FIND("F",I120)), I120="CR")),   "X="&amp;U120*16&amp;",Y="&amp;(V120-1)*16&amp;",Z="&amp;IF(I120="FD", -(W120-1)*16, (W120-1)*16),   "")</f>
      </c>
      <c r="Z120" s="4">
        <f>IF(AND(Q120="✅", OR(ISNUMBER(FIND("F",I120)), I120="CR")), "P=0,Y=0,R=0", "")</f>
      </c>
      <c r="AA120" s="4" t="str"/>
      <c r="AB120" s="4" t="str"/>
      <c r="AC120" s="4" t="str"/>
      <c r="AD120" s="4" t="str"/>
      <c r="AE120" s="4" t="str"/>
      <c r="AF120" s="4"/>
      <c r="AG120" s="4" t="str"/>
      <c r="AH120" s="4" t="str"/>
      <c r="AI120" s="4" t="str"/>
      <c r="AJ120" s="4" t="str"/>
      <c r="AK120" s="4" t="str"/>
      <c r="AL120" s="4" t="str"/>
      <c r="AM120" s="4" t="str"/>
      <c r="AN120" s="4"/>
      <c r="AO120" s="4" t="str"/>
      <c r="AP120" s="4" t="str"/>
      <c r="AQ120" s="4" t="str"/>
      <c r="AR120" s="4" t="str"/>
      <c r="AS120" s="4" t="str"/>
      <c r="AT120" s="4" t="str"/>
      <c r="AU120" s="4" t="str"/>
      <c r="AV120" s="4"/>
      <c r="AW120" s="4">
        <f>IF(AND(Q120="✅", I120="U90"), "X="&amp;(U120-1)*16&amp;",Y="&amp;(V120-1)*16&amp;",Z="&amp;W120*16, "")</f>
      </c>
      <c r="AX120" s="4">
        <f>IF(AND(Q120="✅", I120="U90"), "P=90,Y=0,R=0", "")</f>
      </c>
      <c r="AY120" s="4" t="str"/>
      <c r="AZ120" s="4" t="str"/>
      <c r="BA120" s="4" t="str"/>
      <c r="BB120" s="4" t="str"/>
      <c r="BC120" s="4" t="str"/>
      <c r="BD120" s="4"/>
      <c r="BE120" s="4">
        <f>IF(AND(Q120="✅", I120="D90"), "X="&amp;(U120-1)*16&amp;",Y="&amp;(V120-1)*16&amp;",Z="&amp;(W120-2)*16, "")</f>
      </c>
      <c r="BF120" s="4">
        <f>IF(AND(Q120="✅", I120="D90"), "P=-90,Y=0,R=0", "")</f>
      </c>
      <c r="BG120" s="4" t="str"/>
      <c r="BH120" s="4" t="str"/>
      <c r="BI120" s="4" t="str"/>
      <c r="BJ120" s="4" t="str"/>
      <c r="BK120" s="4" t="str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</row>
    <row customHeight="true" hidden="true" ht="19" outlineLevel="3" r="121">
      <c r="A121" s="142"/>
      <c r="B121" s="142"/>
      <c r="C121" s="141"/>
      <c r="D121" s="141"/>
      <c r="E121" s="54">
        <f>G121 &amp; "_" &amp; H121 &amp; IF(I121&lt;&gt;"", "_" &amp; I121, "") &amp; IF(J121&lt;&gt;"", "_" &amp; J121, "") &amp; IF(K121&lt;&gt;"", "_" &amp; K121, "") &amp;"_X"&amp;U121&amp;"_Y"&amp;V121&amp;"_Z"&amp;W121 &amp; IF(G121="SM", "_Proxy" , "_Rail") &amp; IF(M121&lt;&gt;"", "_" &amp; M121, "")</f>
      </c>
      <c r="F121" s="54">
        <f>IF(E121="", "", IF(G121="BP", E121, F119))</f>
      </c>
      <c r="G121" s="53" t="str">
        <v>BP</v>
      </c>
      <c r="H121" s="53" t="str">
        <v>Straight</v>
      </c>
      <c r="I121" s="53" t="str">
        <v>R90</v>
      </c>
      <c r="J121" s="53" t="str">
        <v>Borderless_O</v>
      </c>
      <c r="K121" s="53"/>
      <c r="L121" s="53"/>
      <c r="M121" s="53"/>
      <c r="N121" s="101"/>
      <c r="O121" s="101"/>
      <c r="P121" s="56"/>
      <c r="Q121" s="101" t="str">
        <v>❓</v>
      </c>
      <c r="R121" s="52" t="str"/>
      <c r="S121" s="54" t="str"/>
      <c r="T121" s="138">
        <v>1.5</v>
      </c>
      <c r="U121" s="137">
        <v>1</v>
      </c>
      <c r="V121" s="137">
        <v>1</v>
      </c>
      <c r="W121" s="137">
        <v>1</v>
      </c>
      <c r="X121" s="53"/>
      <c r="Y121" s="53">
        <f>IF(AND(Q121="✅", OR(ISNUMBER(FIND("F",I121)), I121="CR")),   "X="&amp;U121*16&amp;",Y="&amp;(V121-1)*16&amp;",Z="&amp;IF(I121="FD", -(W121-1)*16, (W121-1)*16),   "")</f>
      </c>
      <c r="Z121" s="53">
        <f>IF(AND(Q121="✅", OR(ISNUMBER(FIND("F",I121)), I121="CR")), "P=0,Y=0,R=0", "")</f>
      </c>
      <c r="AA121" s="53" t="str"/>
      <c r="AB121" s="53" t="str"/>
      <c r="AC121" s="53" t="str"/>
      <c r="AD121" s="53" t="str"/>
      <c r="AE121" s="53" t="str"/>
      <c r="AF121" s="53"/>
      <c r="AG121" s="53" t="str"/>
      <c r="AH121" s="53" t="str"/>
      <c r="AI121" s="53" t="str"/>
      <c r="AJ121" s="53" t="str"/>
      <c r="AK121" s="53" t="str"/>
      <c r="AL121" s="53" t="str"/>
      <c r="AM121" s="53" t="str"/>
      <c r="AN121" s="53"/>
      <c r="AO121" s="53" t="str"/>
      <c r="AP121" s="53" t="str"/>
      <c r="AQ121" s="53" t="str"/>
      <c r="AR121" s="53" t="str"/>
      <c r="AS121" s="53" t="str"/>
      <c r="AT121" s="53" t="str"/>
      <c r="AU121" s="53" t="str"/>
      <c r="AV121" s="53"/>
      <c r="AW121" s="53">
        <f>IF(AND(Q121="✅", I121="U90"), "X="&amp;(U121-1)*16&amp;",Y="&amp;(V121-1)*16&amp;",Z="&amp;W121*16, "")</f>
      </c>
      <c r="AX121" s="53">
        <f>IF(AND(Q121="✅", I121="U90"), "P=90,Y=0,R=0", "")</f>
      </c>
      <c r="AY121" s="53" t="str"/>
      <c r="AZ121" s="53" t="str"/>
      <c r="BA121" s="53" t="str"/>
      <c r="BB121" s="53" t="str"/>
      <c r="BC121" s="53" t="str"/>
      <c r="BD121" s="53"/>
      <c r="BE121" s="53">
        <f>IF(AND(Q121="✅", I121="D90"), "X="&amp;(U121-1)*16&amp;",Y="&amp;(V121-1)*16&amp;",Z="&amp;(W121-2)*16, "")</f>
      </c>
      <c r="BF121" s="53">
        <f>IF(AND(Q121="✅", I121="D90"), "P=-90,Y=0,R=0", "")</f>
      </c>
      <c r="BG121" s="53" t="str"/>
      <c r="BH121" s="53" t="str"/>
      <c r="BI121" s="53" t="str"/>
      <c r="BJ121" s="53" t="str"/>
      <c r="BK121" s="53" t="str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</row>
    <row customHeight="true" hidden="true" ht="19" outlineLevel="3" r="122">
      <c r="A122" s="142"/>
      <c r="B122" s="142"/>
      <c r="C122" s="141"/>
      <c r="D122" s="141"/>
      <c r="E122" s="51">
        <f>E25</f>
      </c>
      <c r="F122" s="54">
        <f>IF(E122="", "", IF(G122="BP", E122, F121))</f>
      </c>
      <c r="G122" s="52"/>
      <c r="H122" s="52"/>
      <c r="I122" s="52"/>
      <c r="J122" s="52"/>
      <c r="K122" s="52"/>
      <c r="L122" s="52"/>
      <c r="M122" s="52" t="str">
        <v>B</v>
      </c>
      <c r="N122" s="101"/>
      <c r="O122" s="101"/>
      <c r="P122" s="101" t="str">
        <v>✅</v>
      </c>
      <c r="Q122" s="101"/>
      <c r="R122" s="52" t="str">
        <v>Straight_F_X1_Y1_Z1</v>
      </c>
      <c r="S122" s="54" t="str">
        <v>/Script/Engine.StaticMesh'/Game/Item/Rail/Straight/F/Normal/Straight_F_X1_Y1_Z1/Proxy/SM_Straight_F_X1_Y1_Z1_Proxy_B.SM_Straight_F_X1_Y1_Z1_Proxy_B'</v>
      </c>
      <c r="T122" s="138" t="str"/>
      <c r="U122" s="137"/>
      <c r="V122" s="137"/>
      <c r="W122" s="137"/>
      <c r="X122" s="53"/>
      <c r="Y122" s="53">
        <f>IF(AND(Q122="✅", OR(ISNUMBER(FIND("F",I122)), I122="CR")),   "X="&amp;U122*16&amp;",Y="&amp;(V122-1)*16&amp;",Z="&amp;IF(I122="FD", -(W122-1)*16, (W122-1)*16),   "")</f>
      </c>
      <c r="Z122" s="53">
        <f>IF(AND(Q122="✅", OR(ISNUMBER(FIND("F",I122)), I122="CR")), "P=0,Y=0,R=0", "")</f>
      </c>
      <c r="AA122" s="53" t="str"/>
      <c r="AB122" s="53" t="str"/>
      <c r="AC122" s="53" t="str"/>
      <c r="AD122" s="53" t="str"/>
      <c r="AE122" s="53" t="str"/>
      <c r="AF122" s="53"/>
      <c r="AG122" s="53" t="str"/>
      <c r="AH122" s="53" t="str"/>
      <c r="AI122" s="53" t="str"/>
      <c r="AJ122" s="53" t="str"/>
      <c r="AK122" s="53" t="str"/>
      <c r="AL122" s="53" t="str"/>
      <c r="AM122" s="53" t="str"/>
      <c r="AN122" s="53"/>
      <c r="AO122" s="53" t="str"/>
      <c r="AP122" s="53" t="str"/>
      <c r="AQ122" s="53" t="str"/>
      <c r="AR122" s="53" t="str"/>
      <c r="AS122" s="53" t="str"/>
      <c r="AT122" s="53" t="str"/>
      <c r="AU122" s="53" t="str"/>
      <c r="AV122" s="53"/>
      <c r="AW122" s="53">
        <f>IF(AND(Q122="✅", I122="U90"), "X="&amp;(U122-1)*16&amp;",Y="&amp;(V122-1)*16&amp;",Z="&amp;W122*16, "")</f>
      </c>
      <c r="AX122" s="53">
        <f>IF(AND(Q122="✅", I122="U90"), "P=90,Y=0,R=0", "")</f>
      </c>
      <c r="AY122" s="53" t="str"/>
      <c r="AZ122" s="53" t="str"/>
      <c r="BA122" s="53" t="str"/>
      <c r="BB122" s="53" t="str"/>
      <c r="BC122" s="53" t="str"/>
      <c r="BD122" s="53"/>
      <c r="BE122" s="53">
        <f>IF(AND(Q122="✅", I122="D90"), "X="&amp;(U122-1)*16&amp;",Y="&amp;(V122-1)*16&amp;",Z="&amp;(W122-2)*16, "")</f>
      </c>
      <c r="BF122" s="53">
        <f>IF(AND(Q122="✅", I122="D90"), "P=-90,Y=0,R=0", "")</f>
      </c>
      <c r="BG122" s="53" t="str"/>
      <c r="BH122" s="53" t="str"/>
      <c r="BI122" s="53" t="str"/>
      <c r="BJ122" s="53" t="str"/>
      <c r="BK122" s="53" t="str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</row>
    <row customHeight="true" hidden="true" ht="19" outlineLevel="3" r="123">
      <c r="A123" s="142"/>
      <c r="B123" s="142"/>
      <c r="C123" s="141"/>
      <c r="D123" s="141"/>
      <c r="E123" s="51">
        <f>E109</f>
      </c>
      <c r="F123" s="54">
        <f>IF(E123="", "", IF(G123="BP", E123, F122))</f>
      </c>
      <c r="G123" s="52"/>
      <c r="H123" s="52"/>
      <c r="I123" s="52"/>
      <c r="J123" s="52"/>
      <c r="K123" s="52"/>
      <c r="L123" s="52"/>
      <c r="M123" s="52" t="str">
        <v>R</v>
      </c>
      <c r="N123" s="101"/>
      <c r="O123" s="101"/>
      <c r="P123" s="101" t="str">
        <v>✅</v>
      </c>
      <c r="Q123" s="101"/>
      <c r="R123" s="52" t="str">
        <v>Straight_R90_X1_Y1_Z1</v>
      </c>
      <c r="S123" s="54" t="str">
        <v>/Script/Engine.StaticMesh'/Game/Item/Rail/Straight/R90/Normal/Straight_R90_X1_Y1_Z1/Proxy/SM_Straight_R90_X1_Y1_Z1_Proxy_R.SM_Straight_R90_X1_Y1_Z1_Proxy_R'</v>
      </c>
      <c r="T123" s="138" t="str"/>
      <c r="U123" s="137"/>
      <c r="V123" s="137"/>
      <c r="W123" s="137"/>
      <c r="X123" s="53"/>
      <c r="Y123" s="53">
        <f>IF(AND(Q123="✅", OR(ISNUMBER(FIND("F",I123)), I123="CR")),   "X="&amp;U123*16&amp;",Y="&amp;(V123-1)*16&amp;",Z="&amp;IF(I123="FD", -(W123-1)*16, (W123-1)*16),   "")</f>
      </c>
      <c r="Z123" s="53">
        <f>IF(AND(Q123="✅", OR(ISNUMBER(FIND("F",I123)), I123="CR")), "P=0,Y=0,R=0", "")</f>
      </c>
      <c r="AA123" s="53" t="str"/>
      <c r="AB123" s="53" t="str"/>
      <c r="AC123" s="53" t="str"/>
      <c r="AD123" s="53" t="str"/>
      <c r="AE123" s="53" t="str"/>
      <c r="AF123" s="53"/>
      <c r="AG123" s="53" t="str"/>
      <c r="AH123" s="53" t="str"/>
      <c r="AI123" s="53" t="str"/>
      <c r="AJ123" s="53" t="str"/>
      <c r="AK123" s="53" t="str"/>
      <c r="AL123" s="53" t="str"/>
      <c r="AM123" s="53" t="str"/>
      <c r="AN123" s="53"/>
      <c r="AO123" s="53" t="str"/>
      <c r="AP123" s="53" t="str"/>
      <c r="AQ123" s="53" t="str"/>
      <c r="AR123" s="53" t="str"/>
      <c r="AS123" s="53" t="str"/>
      <c r="AT123" s="53" t="str"/>
      <c r="AU123" s="53" t="str"/>
      <c r="AV123" s="53"/>
      <c r="AW123" s="53">
        <f>IF(AND(Q123="✅", I123="U90"), "X="&amp;(U123-1)*16&amp;",Y="&amp;(V123-1)*16&amp;",Z="&amp;W123*16, "")</f>
      </c>
      <c r="AX123" s="53">
        <f>IF(AND(Q123="✅", I123="U90"), "P=90,Y=0,R=0", "")</f>
      </c>
      <c r="AY123" s="53" t="str"/>
      <c r="AZ123" s="53" t="str"/>
      <c r="BA123" s="53" t="str"/>
      <c r="BB123" s="53" t="str"/>
      <c r="BC123" s="53" t="str"/>
      <c r="BD123" s="53"/>
      <c r="BE123" s="53">
        <f>IF(AND(Q123="✅", I123="D90"), "X="&amp;(U123-1)*16&amp;",Y="&amp;(V123-1)*16&amp;",Z="&amp;(W123-2)*16, "")</f>
      </c>
      <c r="BF123" s="53">
        <f>IF(AND(Q123="✅", I123="D90"), "P=-90,Y=0,R=0", "")</f>
      </c>
      <c r="BG123" s="53" t="str"/>
      <c r="BH123" s="53" t="str"/>
      <c r="BI123" s="53" t="str"/>
      <c r="BJ123" s="53" t="str"/>
      <c r="BK123" s="53" t="str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</row>
    <row customHeight="true" ht="19" outlineLevel="1" r="124">
      <c r="A124" s="11"/>
      <c r="B124" s="11" t="str">
        <v>T</v>
      </c>
      <c r="C124" s="119"/>
      <c r="D124" s="119"/>
      <c r="E124" s="5"/>
      <c r="F124" s="9">
        <f>IF(E124="", "", IF(G124="BP", E124, F157))</f>
      </c>
      <c r="G124" s="1"/>
      <c r="H124" s="1"/>
      <c r="I124" s="1"/>
      <c r="J124" s="1"/>
      <c r="K124" s="1"/>
      <c r="L124" s="1"/>
      <c r="M124" s="1"/>
      <c r="N124" s="3"/>
      <c r="O124" s="3"/>
      <c r="P124" s="3"/>
      <c r="Q124" s="3"/>
      <c r="R124" s="1" t="str"/>
      <c r="S124" s="9" t="str"/>
      <c r="T124" s="120" t="str"/>
      <c r="U124" s="118"/>
      <c r="V124" s="118"/>
      <c r="W124" s="118"/>
      <c r="X124" s="4"/>
      <c r="Y124" s="4">
        <f>IF(AND(Q124="✅", OR(ISNUMBER(FIND("F",I124)), I124="CR")),   "X="&amp;U124*16&amp;",Y="&amp;(V124-1)*16&amp;",Z="&amp;IF(I124="FD", -(W124-1)*16, (W124-1)*16),   "")</f>
      </c>
      <c r="Z124" s="4">
        <f>IF(AND(Q124="✅", OR(ISNUMBER(FIND("F",I124)), I124="CR")), "P=0,Y=0,R=0", "")</f>
      </c>
      <c r="AA124" s="4" t="str"/>
      <c r="AB124" s="4" t="str"/>
      <c r="AC124" s="4" t="str"/>
      <c r="AD124" s="4" t="str"/>
      <c r="AE124" s="4" t="str"/>
      <c r="AF124" s="4"/>
      <c r="AG124" s="4" t="str"/>
      <c r="AH124" s="4" t="str"/>
      <c r="AI124" s="4" t="str"/>
      <c r="AJ124" s="4" t="str"/>
      <c r="AK124" s="4" t="str"/>
      <c r="AL124" s="4" t="str"/>
      <c r="AM124" s="4" t="str"/>
      <c r="AN124" s="4"/>
      <c r="AO124" s="4" t="str"/>
      <c r="AP124" s="4" t="str"/>
      <c r="AQ124" s="4" t="str"/>
      <c r="AR124" s="4" t="str"/>
      <c r="AS124" s="4" t="str"/>
      <c r="AT124" s="4" t="str"/>
      <c r="AU124" s="4" t="str"/>
      <c r="AV124" s="4"/>
      <c r="AW124" s="4">
        <f>IF(AND(Q124="✅", I124="U90"), "X="&amp;(U124-1)*16&amp;",Y="&amp;(V124-1)*16&amp;",Z="&amp;W124*16, "")</f>
      </c>
      <c r="AX124" s="4">
        <f>IF(AND(Q124="✅", I124="U90"), "P=90,Y=0,R=0", "")</f>
      </c>
      <c r="AY124" s="4" t="str"/>
      <c r="AZ124" s="4" t="str"/>
      <c r="BA124" s="4" t="str"/>
      <c r="BB124" s="4" t="str"/>
      <c r="BC124" s="4" t="str"/>
      <c r="BD124" s="4"/>
      <c r="BE124" s="4">
        <f>IF(AND(Q124="✅", I124="D90"), "X="&amp;(U124-1)*16&amp;",Y="&amp;(V124-1)*16&amp;",Z="&amp;(W124-2)*16, "")</f>
      </c>
      <c r="BF124" s="4">
        <f>IF(AND(Q124="✅", I124="D90"), "P=-90,Y=0,R=0", "")</f>
      </c>
      <c r="BG124" s="4" t="str"/>
      <c r="BH124" s="4" t="str"/>
      <c r="BI124" s="4" t="str"/>
      <c r="BJ124" s="4" t="str"/>
      <c r="BK124" s="4" t="str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</row>
    <row collapsed="true" customHeight="true" ht="19" outlineLevel="2" r="125">
      <c r="A125" s="11"/>
      <c r="B125" s="11"/>
      <c r="C125" s="119" t="str">
        <v>Normal</v>
      </c>
      <c r="D125" s="119"/>
      <c r="E125" s="5"/>
      <c r="F125" s="9">
        <f>IF(E125="", "", IF(G125="BP", E125, F124))</f>
      </c>
      <c r="G125" s="1"/>
      <c r="H125" s="1"/>
      <c r="I125" s="1"/>
      <c r="J125" s="1"/>
      <c r="K125" s="1"/>
      <c r="L125" s="1"/>
      <c r="M125" s="1"/>
      <c r="N125" s="3"/>
      <c r="O125" s="3" t="str">
        <v>✅</v>
      </c>
      <c r="P125" s="3"/>
      <c r="Q125" s="3"/>
      <c r="R125" s="1" t="str"/>
      <c r="S125" s="9" t="str"/>
      <c r="T125" s="120" t="str"/>
      <c r="U125" s="118"/>
      <c r="V125" s="118"/>
      <c r="W125" s="118"/>
      <c r="X125" s="4"/>
      <c r="Y125" s="4">
        <f>IF(AND(Q125="✅", OR(ISNUMBER(FIND("F",I125)), I125="CR")),   "X="&amp;U125*16&amp;",Y="&amp;(V125-1)*16&amp;",Z="&amp;IF(I125="FD", -(W125-1)*16, (W125-1)*16),   "")</f>
      </c>
      <c r="Z125" s="4">
        <f>IF(AND(Q125="✅", OR(ISNUMBER(FIND("F",I125)), I125="CR")), "P=0,Y=0,R=0", "")</f>
      </c>
      <c r="AA125" s="4" t="str"/>
      <c r="AB125" s="4" t="str"/>
      <c r="AC125" s="4" t="str"/>
      <c r="AD125" s="4" t="str"/>
      <c r="AE125" s="4" t="str"/>
      <c r="AF125" s="4"/>
      <c r="AG125" s="4" t="str"/>
      <c r="AH125" s="4" t="str"/>
      <c r="AI125" s="4" t="str"/>
      <c r="AJ125" s="4" t="str"/>
      <c r="AK125" s="4" t="str"/>
      <c r="AL125" s="4" t="str"/>
      <c r="AM125" s="4" t="str"/>
      <c r="AN125" s="4"/>
      <c r="AO125" s="4" t="str"/>
      <c r="AP125" s="4" t="str"/>
      <c r="AQ125" s="4" t="str"/>
      <c r="AR125" s="4" t="str"/>
      <c r="AS125" s="4" t="str"/>
      <c r="AT125" s="4" t="str"/>
      <c r="AU125" s="4" t="str"/>
      <c r="AV125" s="4"/>
      <c r="AW125" s="4">
        <f>IF(AND(Q125="✅", I125="U90"), "X="&amp;(U125-1)*16&amp;",Y="&amp;(V125-1)*16&amp;",Z="&amp;W125*16, "")</f>
      </c>
      <c r="AX125" s="4">
        <f>IF(AND(Q125="✅", I125="U90"), "P=90,Y=0,R=0", "")</f>
      </c>
      <c r="AY125" s="4" t="str"/>
      <c r="AZ125" s="4" t="str"/>
      <c r="BA125" s="4" t="str"/>
      <c r="BB125" s="4" t="str"/>
      <c r="BC125" s="4" t="str"/>
      <c r="BD125" s="4"/>
      <c r="BE125" s="4">
        <f>IF(AND(Q125="✅", I125="D90"), "X="&amp;(U125-1)*16&amp;",Y="&amp;(V125-1)*16&amp;",Z="&amp;(W125-2)*16, "")</f>
      </c>
      <c r="BF125" s="4">
        <f>IF(AND(Q125="✅", I125="D90"), "P=-90,Y=0,R=0", "")</f>
      </c>
      <c r="BG125" s="4" t="str"/>
      <c r="BH125" s="4" t="str"/>
      <c r="BI125" s="4" t="str"/>
      <c r="BJ125" s="4" t="str"/>
      <c r="BK125" s="4" t="str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</row>
    <row hidden="true" outlineLevel="3" r="126">
      <c r="A126" s="142" t="str" xml:space="preserve">
        <v> </v>
      </c>
      <c r="B126" s="142" t="str" xml:space="preserve">
        <v> </v>
      </c>
      <c r="C126" s="141" t="str" xml:space="preserve">
        <v> </v>
      </c>
      <c r="D126" s="141" t="str" xml:space="preserve">
        <v> </v>
      </c>
      <c r="E126" s="51">
        <f>G126 &amp; "_" &amp; H126 &amp; IF(I126&lt;&gt;"", "_" &amp; I126, "") &amp; IF(J126&lt;&gt;"", "_" &amp; J126, "") &amp; IF(K126&lt;&gt;"", "_" &amp; K126, "") &amp;"_X"&amp;U126&amp;"_Y"&amp;V126&amp;"_Z"&amp;W126 &amp; IF(G126="SM", "_Proxy" , "_Rail") &amp; IF(M126&lt;&gt;"", "_" &amp; M126, "")</f>
      </c>
      <c r="F126" s="54">
        <f>IF(E126="", "", IF(G126="BP", E126, F125))</f>
      </c>
      <c r="G126" s="52" t="str">
        <v>BP</v>
      </c>
      <c r="H126" s="52" t="str">
        <v>Straight</v>
      </c>
      <c r="I126" s="52" t="str">
        <v>T</v>
      </c>
      <c r="J126" s="52"/>
      <c r="K126" s="52"/>
      <c r="L126" s="52"/>
      <c r="M126" s="52"/>
      <c r="N126" s="101"/>
      <c r="O126" s="101"/>
      <c r="P126" s="101"/>
      <c r="Q126" s="101" t="str">
        <v>✅</v>
      </c>
      <c r="R126" s="52" t="str">
        <v>Straight_T_X1_Y1_Z1</v>
      </c>
      <c r="S126" s="54" t="str">
        <v>/Script/Engine.BlueprintGeneratedClass'/Game/Item/Rail/Straight/T/Normal/Straight_T_X1_Y1_Z1/BP_Straight_T_X1_Y1_Z1_Rail.BP_Straight_T_X1_Y1_Z1_Rail_C'</v>
      </c>
      <c r="T126" s="138">
        <v>0</v>
      </c>
      <c r="U126" s="137">
        <v>1</v>
      </c>
      <c r="V126" s="137">
        <v>1</v>
      </c>
      <c r="W126" s="137">
        <v>1</v>
      </c>
      <c r="X126" s="53"/>
      <c r="Y126" s="53">
        <f>IF(AND(Q126="✅", OR(ISNUMBER(FIND("F",I126)), I126="CR")),   "X="&amp;U126*16&amp;",Y="&amp;(V126-1)*16&amp;",Z="&amp;IF(I126="FD", -(W126-1)*16, (W126-1)*16),   "")</f>
      </c>
      <c r="Z126" s="53">
        <f>IF(AND(Q126="✅", OR(ISNUMBER(FIND("F",I126)), I126="CR")), "P=0,Y=0,R=0", "")</f>
      </c>
      <c r="AA126" s="53" t="str"/>
      <c r="AB126" s="53" t="str"/>
      <c r="AC126" s="53" t="str"/>
      <c r="AD126" s="53" t="str"/>
      <c r="AE126" s="53" t="str">
        <v>X=0,Y=0,Z=0,W=0</v>
      </c>
      <c r="AF126" s="53"/>
      <c r="AG126" s="53" t="str">
        <v>X=0,Y=-16,Z=0</v>
      </c>
      <c r="AH126" s="53" t="str">
        <v>P=0,Y=-90,R=0</v>
      </c>
      <c r="AI126" s="53">
        <v>1</v>
      </c>
      <c r="AJ126" s="53">
        <v>1.5</v>
      </c>
      <c r="AK126" s="53">
        <v>2</v>
      </c>
      <c r="AL126" s="53">
        <v>1.5</v>
      </c>
      <c r="AM126" s="53" t="str">
        <v>X=1,Y=1.5,Z=2,W=1.5</v>
      </c>
      <c r="AN126" s="53"/>
      <c r="AO126" s="53" t="str">
        <v>X=0,Y=16,Z=0</v>
      </c>
      <c r="AP126" s="53" t="str">
        <v>P=0,Y=90,R=0</v>
      </c>
      <c r="AQ126" s="53">
        <v>1</v>
      </c>
      <c r="AR126" s="53">
        <v>1.5</v>
      </c>
      <c r="AS126" s="53">
        <v>2</v>
      </c>
      <c r="AT126" s="53">
        <v>1.5</v>
      </c>
      <c r="AU126" s="53" t="str">
        <v>X=1,Y=1.5,Z=2,W=1.5</v>
      </c>
      <c r="AV126" s="53"/>
      <c r="AW126" s="53">
        <f>IF(AND(Q126="✅", I126="U90"), "X="&amp;(U126-1)*16&amp;",Y="&amp;(V126-1)*16&amp;",Z="&amp;W126*16, "")</f>
      </c>
      <c r="AX126" s="53">
        <f>IF(AND(Q126="✅", I126="U90"), "P=90,Y=0,R=0", "")</f>
      </c>
      <c r="AY126" s="53" t="str"/>
      <c r="AZ126" s="53" t="str"/>
      <c r="BA126" s="53" t="str"/>
      <c r="BB126" s="53" t="str"/>
      <c r="BC126" s="53" t="str"/>
      <c r="BD126" s="53"/>
      <c r="BE126" s="53">
        <f>IF(AND(Q126="✅", I126="D90"), "X="&amp;(U126-1)*16&amp;",Y="&amp;(V126-1)*16&amp;",Z="&amp;(W126-2)*16, "")</f>
      </c>
      <c r="BF126" s="53">
        <f>IF(AND(Q126="✅", I126="D90"), "P=-90,Y=0,R=0", "")</f>
      </c>
      <c r="BG126" s="53" t="str"/>
      <c r="BH126" s="53" t="str"/>
      <c r="BI126" s="53" t="str"/>
      <c r="BJ126" s="53" t="str"/>
      <c r="BK126" s="53" t="str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</row>
    <row customHeight="true" hidden="true" ht="19" outlineLevel="3" r="127">
      <c r="A127" s="142" t="str" xml:space="preserve">
        <v> </v>
      </c>
      <c r="B127" s="142" t="str" xml:space="preserve">
        <v> </v>
      </c>
      <c r="C127" s="141" t="str" xml:space="preserve">
        <v> </v>
      </c>
      <c r="D127" s="141" t="str" xml:space="preserve">
        <v> </v>
      </c>
      <c r="E127" s="54">
        <f>G127 &amp; "_" &amp; H127 &amp; IF(I127&lt;&gt;"", "_" &amp; I127, "") &amp; IF(J127&lt;&gt;"", "_" &amp; J127, "") &amp; IF(K127&lt;&gt;"", "_" &amp; K127, "") &amp;"_X"&amp;U127&amp;"_Y"&amp;V127&amp;"_Z"&amp;W127 &amp; IF(G127="SM", "_Proxy" , "_Rail") &amp; IF(M127&lt;&gt;"", "_" &amp; M127, "")</f>
      </c>
      <c r="F127" s="54">
        <f>IF(E127="", "", IF(G127="BP", E127, F126))</f>
      </c>
      <c r="G127" s="52" t="str">
        <v>SM</v>
      </c>
      <c r="H127" s="52" t="str">
        <v>Straight</v>
      </c>
      <c r="I127" s="52" t="str">
        <v>T</v>
      </c>
      <c r="J127" s="52"/>
      <c r="K127" s="52"/>
      <c r="L127" s="52"/>
      <c r="M127" s="52" t="str">
        <v>Side</v>
      </c>
      <c r="N127" s="101"/>
      <c r="O127" s="101"/>
      <c r="P127" s="101" t="str">
        <v>✅</v>
      </c>
      <c r="Q127" s="101"/>
      <c r="R127" s="52" t="str">
        <v>Straight_T_X_Y_Z</v>
      </c>
      <c r="S127" s="54" t="str">
        <v>/Script/Engine.StaticMesh'/Game/Item/Rail/Straight/T/Normal/Straight_T_X_Y_Z/Proxy/SM_Straight_T_X_Y_Z_Proxy_Side.SM_Straight_T_X_Y_Z_Proxy_Side'</v>
      </c>
      <c r="T127" s="138" t="str"/>
      <c r="U127" s="137"/>
      <c r="V127" s="137"/>
      <c r="W127" s="137"/>
      <c r="X127" s="53"/>
      <c r="Y127" s="53">
        <f>IF(AND(Q127="✅", OR(ISNUMBER(FIND("F",I127)), I127="CR")),   "X="&amp;U127*16&amp;",Y="&amp;(V127-1)*16&amp;",Z="&amp;IF(I127="FD", -(W127-1)*16, (W127-1)*16),   "")</f>
      </c>
      <c r="Z127" s="53">
        <f>IF(AND(Q127="✅", OR(ISNUMBER(FIND("F",I127)), I127="CR")), "P=0,Y=0,R=0", "")</f>
      </c>
      <c r="AA127" s="53" t="str"/>
      <c r="AB127" s="53" t="str"/>
      <c r="AC127" s="53" t="str"/>
      <c r="AD127" s="53" t="str"/>
      <c r="AE127" s="53" t="str"/>
      <c r="AF127" s="53"/>
      <c r="AG127" s="53" t="str"/>
      <c r="AH127" s="53" t="str"/>
      <c r="AI127" s="53" t="str"/>
      <c r="AJ127" s="53" t="str"/>
      <c r="AK127" s="53" t="str"/>
      <c r="AL127" s="53" t="str"/>
      <c r="AM127" s="53" t="str"/>
      <c r="AN127" s="53"/>
      <c r="AO127" s="53" t="str"/>
      <c r="AP127" s="53" t="str"/>
      <c r="AQ127" s="53" t="str"/>
      <c r="AR127" s="53" t="str"/>
      <c r="AS127" s="53" t="str"/>
      <c r="AT127" s="53" t="str"/>
      <c r="AU127" s="53" t="str"/>
      <c r="AV127" s="53"/>
      <c r="AW127" s="53">
        <f>IF(AND(Q127="✅", I127="U90"), "X="&amp;(U127-1)*16&amp;",Y="&amp;(V127-1)*16&amp;",Z="&amp;W127*16, "")</f>
      </c>
      <c r="AX127" s="53">
        <f>IF(AND(Q127="✅", I127="U90"), "P=90,Y=0,R=0", "")</f>
      </c>
      <c r="AY127" s="53" t="str"/>
      <c r="AZ127" s="53" t="str"/>
      <c r="BA127" s="53" t="str"/>
      <c r="BB127" s="53" t="str"/>
      <c r="BC127" s="53" t="str"/>
      <c r="BD127" s="53"/>
      <c r="BE127" s="53">
        <f>IF(AND(Q127="✅", I127="D90"), "X="&amp;(U127-1)*16&amp;",Y="&amp;(V127-1)*16&amp;",Z="&amp;(W127-2)*16, "")</f>
      </c>
      <c r="BF127" s="53">
        <f>IF(AND(Q127="✅", I127="D90"), "P=-90,Y=0,R=0", "")</f>
      </c>
      <c r="BG127" s="53" t="str"/>
      <c r="BH127" s="53" t="str"/>
      <c r="BI127" s="53" t="str"/>
      <c r="BJ127" s="53" t="str"/>
      <c r="BK127" s="53" t="str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</row>
    <row hidden="true" outlineLevel="3" r="128">
      <c r="A128" s="142" t="str" xml:space="preserve">
        <v> </v>
      </c>
      <c r="B128" s="142" t="str" xml:space="preserve">
        <v> </v>
      </c>
      <c r="C128" s="141" t="str" xml:space="preserve">
        <v> </v>
      </c>
      <c r="D128" s="141" t="str" xml:space="preserve">
        <v> </v>
      </c>
      <c r="E128" s="51">
        <f>E25</f>
      </c>
      <c r="F128" s="54">
        <f>IF(E128="", "", IF(G128="BP", E128, F126))</f>
      </c>
      <c r="G128" s="52"/>
      <c r="H128" s="52"/>
      <c r="I128" s="52"/>
      <c r="J128" s="52"/>
      <c r="K128" s="52"/>
      <c r="L128" s="52"/>
      <c r="M128" s="52" t="str">
        <v>B</v>
      </c>
      <c r="N128" s="101"/>
      <c r="O128" s="101"/>
      <c r="P128" s="101" t="str">
        <v>✅</v>
      </c>
      <c r="Q128" s="101"/>
      <c r="R128" s="52" t="str">
        <v>Straight_F_X1_Y1_Z1</v>
      </c>
      <c r="S128" s="54" t="str">
        <v>/Script/Engine.StaticMesh'/Game/Item/Rail/Straight/F/Normal/Straight_F_X1_Y1_Z1/Proxy/SM_Straight_F_X1_Y1_Z1_Proxy_B.SM_Straight_F_X1_Y1_Z1_Proxy_B'</v>
      </c>
      <c r="T128" s="138" t="str"/>
      <c r="U128" s="137"/>
      <c r="V128" s="137"/>
      <c r="W128" s="137"/>
      <c r="X128" s="53"/>
      <c r="Y128" s="53">
        <f>IF(AND(Q128="✅", OR(ISNUMBER(FIND("F",I128)), I128="CR")),   "X="&amp;U128*16&amp;",Y="&amp;(V128-1)*16&amp;",Z="&amp;IF(I128="FD", -(W128-1)*16, (W128-1)*16),   "")</f>
      </c>
      <c r="Z128" s="53">
        <f>IF(AND(Q128="✅", OR(ISNUMBER(FIND("F",I128)), I128="CR")), "P=0,Y=0,R=0", "")</f>
      </c>
      <c r="AA128" s="53" t="str"/>
      <c r="AB128" s="53" t="str"/>
      <c r="AC128" s="53" t="str"/>
      <c r="AD128" s="53" t="str"/>
      <c r="AE128" s="53" t="str"/>
      <c r="AF128" s="53"/>
      <c r="AG128" s="53" t="str"/>
      <c r="AH128" s="53" t="str"/>
      <c r="AI128" s="53" t="str"/>
      <c r="AJ128" s="53" t="str"/>
      <c r="AK128" s="53" t="str"/>
      <c r="AL128" s="53" t="str"/>
      <c r="AM128" s="53" t="str"/>
      <c r="AN128" s="53"/>
      <c r="AO128" s="53" t="str"/>
      <c r="AP128" s="53" t="str"/>
      <c r="AQ128" s="53" t="str"/>
      <c r="AR128" s="53" t="str"/>
      <c r="AS128" s="53" t="str"/>
      <c r="AT128" s="53" t="str"/>
      <c r="AU128" s="53" t="str"/>
      <c r="AV128" s="53"/>
      <c r="AW128" s="53">
        <f>IF(AND(Q128="✅", I128="U90"), "X="&amp;(U128-1)*16&amp;",Y="&amp;(V128-1)*16&amp;",Z="&amp;W128*16, "")</f>
      </c>
      <c r="AX128" s="53">
        <f>IF(AND(Q128="✅", I128="U90"), "P=90,Y=0,R=0", "")</f>
      </c>
      <c r="AY128" s="53" t="str"/>
      <c r="AZ128" s="53" t="str"/>
      <c r="BA128" s="53" t="str"/>
      <c r="BB128" s="53" t="str"/>
      <c r="BC128" s="53" t="str"/>
      <c r="BD128" s="53"/>
      <c r="BE128" s="53">
        <f>IF(AND(Q128="✅", I128="D90"), "X="&amp;(U128-1)*16&amp;",Y="&amp;(V128-1)*16&amp;",Z="&amp;(W128-2)*16, "")</f>
      </c>
      <c r="BF128" s="53">
        <f>IF(AND(Q128="✅", I128="D90"), "P=-90,Y=0,R=0", "")</f>
      </c>
      <c r="BG128" s="53" t="str"/>
      <c r="BH128" s="53" t="str"/>
      <c r="BI128" s="53" t="str"/>
      <c r="BJ128" s="53" t="str"/>
      <c r="BK128" s="53" t="str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</row>
    <row customHeight="true" hidden="true" ht="19" outlineLevel="3" r="129">
      <c r="A129" s="142" t="str" xml:space="preserve">
        <v> </v>
      </c>
      <c r="B129" s="142" t="str" xml:space="preserve">
        <v> </v>
      </c>
      <c r="C129" s="141" t="str" xml:space="preserve">
        <v> </v>
      </c>
      <c r="D129" s="141" t="str" xml:space="preserve">
        <v> </v>
      </c>
      <c r="E129" s="51">
        <f>E87</f>
      </c>
      <c r="F129" s="54">
        <f>IF(E129="", "", IF(G129="BP", E129, F128))</f>
      </c>
      <c r="G129" s="52"/>
      <c r="H129" s="52"/>
      <c r="I129" s="52"/>
      <c r="J129" s="52"/>
      <c r="K129" s="52"/>
      <c r="L129" s="52"/>
      <c r="M129" s="52" t="str">
        <v>L</v>
      </c>
      <c r="N129" s="101"/>
      <c r="O129" s="101"/>
      <c r="P129" s="101" t="str">
        <v>✅</v>
      </c>
      <c r="Q129" s="101"/>
      <c r="R129" s="52" t="str">
        <v>Straight_L90_X1_Y1_Z1</v>
      </c>
      <c r="S129" s="54" t="str">
        <v>/Script/Engine.StaticMesh'/Game/Item/Rail/Straight/L90/Normal/Straight_L90_X1_Y1_Z1/Proxy/SM_Straight_L90_X1_Y1_Z1_Proxy_L.SM_Straight_L90_X1_Y1_Z1_Proxy_L'</v>
      </c>
      <c r="T129" s="138" t="str"/>
      <c r="U129" s="137"/>
      <c r="V129" s="137"/>
      <c r="W129" s="137"/>
      <c r="X129" s="53"/>
      <c r="Y129" s="53">
        <f>IF(AND(Q129="✅", OR(ISNUMBER(FIND("F",I129)), I129="CR")),   "X="&amp;U129*16&amp;",Y="&amp;(V129-1)*16&amp;",Z="&amp;IF(I129="FD", -(W129-1)*16, (W129-1)*16),   "")</f>
      </c>
      <c r="Z129" s="53">
        <f>IF(AND(Q129="✅", OR(ISNUMBER(FIND("F",I129)), I129="CR")), "P=0,Y=0,R=0", "")</f>
      </c>
      <c r="AA129" s="53" t="str"/>
      <c r="AB129" s="53" t="str"/>
      <c r="AC129" s="53" t="str"/>
      <c r="AD129" s="53" t="str"/>
      <c r="AE129" s="53" t="str"/>
      <c r="AF129" s="53"/>
      <c r="AG129" s="53" t="str"/>
      <c r="AH129" s="53" t="str"/>
      <c r="AI129" s="53" t="str"/>
      <c r="AJ129" s="53" t="str"/>
      <c r="AK129" s="53" t="str"/>
      <c r="AL129" s="53" t="str"/>
      <c r="AM129" s="53" t="str"/>
      <c r="AN129" s="53"/>
      <c r="AO129" s="53" t="str"/>
      <c r="AP129" s="53" t="str"/>
      <c r="AQ129" s="53" t="str"/>
      <c r="AR129" s="53" t="str"/>
      <c r="AS129" s="53" t="str"/>
      <c r="AT129" s="53" t="str"/>
      <c r="AU129" s="53" t="str"/>
      <c r="AV129" s="53"/>
      <c r="AW129" s="53">
        <f>IF(AND(Q129="✅", I129="U90"), "X="&amp;(U129-1)*16&amp;",Y="&amp;(V129-1)*16&amp;",Z="&amp;W129*16, "")</f>
      </c>
      <c r="AX129" s="53">
        <f>IF(AND(Q129="✅", I129="U90"), "P=90,Y=0,R=0", "")</f>
      </c>
      <c r="AY129" s="53" t="str"/>
      <c r="AZ129" s="53" t="str"/>
      <c r="BA129" s="53" t="str"/>
      <c r="BB129" s="53" t="str"/>
      <c r="BC129" s="53" t="str"/>
      <c r="BD129" s="53"/>
      <c r="BE129" s="53">
        <f>IF(AND(Q129="✅", I129="D90"), "X="&amp;(U129-1)*16&amp;",Y="&amp;(V129-1)*16&amp;",Z="&amp;(W129-2)*16, "")</f>
      </c>
      <c r="BF129" s="53">
        <f>IF(AND(Q129="✅", I129="D90"), "P=-90,Y=0,R=0", "")</f>
      </c>
      <c r="BG129" s="53" t="str"/>
      <c r="BH129" s="53" t="str"/>
      <c r="BI129" s="53" t="str"/>
      <c r="BJ129" s="53" t="str"/>
      <c r="BK129" s="53" t="str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</row>
    <row customHeight="true" hidden="true" ht="19" outlineLevel="3" r="130">
      <c r="A130" s="142" t="str" xml:space="preserve">
        <v> </v>
      </c>
      <c r="B130" s="142" t="str" xml:space="preserve">
        <v> </v>
      </c>
      <c r="C130" s="141" t="str" xml:space="preserve">
        <v> </v>
      </c>
      <c r="D130" s="141" t="str" xml:space="preserve">
        <v> </v>
      </c>
      <c r="E130" s="51">
        <f>E109</f>
      </c>
      <c r="F130" s="54">
        <f>IF(E130="", "", IF(G130="BP", E130, F129))</f>
      </c>
      <c r="G130" s="52"/>
      <c r="H130" s="52"/>
      <c r="I130" s="52"/>
      <c r="J130" s="52"/>
      <c r="K130" s="52"/>
      <c r="L130" s="52"/>
      <c r="M130" s="52" t="str">
        <v>R</v>
      </c>
      <c r="N130" s="101"/>
      <c r="O130" s="101"/>
      <c r="P130" s="101" t="str">
        <v>✅</v>
      </c>
      <c r="Q130" s="101"/>
      <c r="R130" s="52" t="str">
        <v>Straight_R90_X1_Y1_Z1</v>
      </c>
      <c r="S130" s="54" t="str">
        <v>/Script/Engine.StaticMesh'/Game/Item/Rail/Straight/R90/Normal/Straight_R90_X1_Y1_Z1/Proxy/SM_Straight_R90_X1_Y1_Z1_Proxy_R.SM_Straight_R90_X1_Y1_Z1_Proxy_R'</v>
      </c>
      <c r="T130" s="138" t="str"/>
      <c r="U130" s="137"/>
      <c r="V130" s="137"/>
      <c r="W130" s="137"/>
      <c r="X130" s="53"/>
      <c r="Y130" s="53">
        <f>IF(AND(Q130="✅", OR(ISNUMBER(FIND("F",I130)), I130="CR")),   "X="&amp;U130*16&amp;",Y="&amp;(V130-1)*16&amp;",Z="&amp;IF(I130="FD", -(W130-1)*16, (W130-1)*16),   "")</f>
      </c>
      <c r="Z130" s="53">
        <f>IF(AND(Q130="✅", OR(ISNUMBER(FIND("F",I130)), I130="CR")), "P=0,Y=0,R=0", "")</f>
      </c>
      <c r="AA130" s="53" t="str"/>
      <c r="AB130" s="53" t="str"/>
      <c r="AC130" s="53" t="str"/>
      <c r="AD130" s="53" t="str"/>
      <c r="AE130" s="53" t="str"/>
      <c r="AF130" s="53"/>
      <c r="AG130" s="53" t="str"/>
      <c r="AH130" s="53" t="str"/>
      <c r="AI130" s="53" t="str"/>
      <c r="AJ130" s="53" t="str"/>
      <c r="AK130" s="53" t="str"/>
      <c r="AL130" s="53" t="str"/>
      <c r="AM130" s="53" t="str"/>
      <c r="AN130" s="53"/>
      <c r="AO130" s="53" t="str"/>
      <c r="AP130" s="53" t="str"/>
      <c r="AQ130" s="53" t="str"/>
      <c r="AR130" s="53" t="str"/>
      <c r="AS130" s="53" t="str"/>
      <c r="AT130" s="53" t="str"/>
      <c r="AU130" s="53" t="str"/>
      <c r="AV130" s="53"/>
      <c r="AW130" s="53">
        <f>IF(AND(Q130="✅", I130="U90"), "X="&amp;(U130-1)*16&amp;",Y="&amp;(V130-1)*16&amp;",Z="&amp;W130*16, "")</f>
      </c>
      <c r="AX130" s="53">
        <f>IF(AND(Q130="✅", I130="U90"), "P=90,Y=0,R=0", "")</f>
      </c>
      <c r="AY130" s="53" t="str"/>
      <c r="AZ130" s="53" t="str"/>
      <c r="BA130" s="53" t="str"/>
      <c r="BB130" s="53" t="str"/>
      <c r="BC130" s="53" t="str"/>
      <c r="BD130" s="53"/>
      <c r="BE130" s="53">
        <f>IF(AND(Q130="✅", I130="D90"), "X="&amp;(U130-1)*16&amp;",Y="&amp;(V130-1)*16&amp;",Z="&amp;(W130-2)*16, "")</f>
      </c>
      <c r="BF130" s="53">
        <f>IF(AND(Q130="✅", I130="D90"), "P=-90,Y=0,R=0", "")</f>
      </c>
      <c r="BG130" s="53" t="str"/>
      <c r="BH130" s="53" t="str"/>
      <c r="BI130" s="53" t="str"/>
      <c r="BJ130" s="53" t="str"/>
      <c r="BK130" s="53" t="str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</row>
    <row collapsed="true" customHeight="true" ht="19" outlineLevel="2" r="131">
      <c r="A131" s="11"/>
      <c r="B131" s="11"/>
      <c r="C131" s="119" t="str">
        <v>Borderless</v>
      </c>
      <c r="D131" s="119"/>
      <c r="E131" s="5"/>
      <c r="F131" s="9">
        <f>IF(E131="", "", IF(G131="BP", E131, F130))</f>
      </c>
      <c r="G131" s="1"/>
      <c r="H131" s="1"/>
      <c r="I131" s="1"/>
      <c r="J131" s="1"/>
      <c r="K131" s="1"/>
      <c r="L131" s="1"/>
      <c r="M131" s="1"/>
      <c r="N131" s="3"/>
      <c r="O131" s="3" t="str">
        <v>⭕</v>
      </c>
      <c r="P131" s="3"/>
      <c r="Q131" s="3"/>
      <c r="R131" s="1" t="str"/>
      <c r="S131" s="9" t="str"/>
      <c r="T131" s="120" t="str"/>
      <c r="U131" s="118"/>
      <c r="V131" s="118"/>
      <c r="W131" s="118"/>
      <c r="X131" s="4"/>
      <c r="Y131" s="4">
        <f>IF(AND(Q131="✅", OR(ISNUMBER(FIND("F",I131)), I131="CR")),   "X="&amp;U131*16&amp;",Y="&amp;(V131-1)*16&amp;",Z="&amp;IF(I131="FD", -(W131-1)*16, (W131-1)*16),   "")</f>
      </c>
      <c r="Z131" s="4">
        <f>IF(AND(Q131="✅", OR(ISNUMBER(FIND("F",I131)), I131="CR")), "P=0,Y=0,R=0", "")</f>
      </c>
      <c r="AA131" s="4" t="str"/>
      <c r="AB131" s="4" t="str"/>
      <c r="AC131" s="4" t="str"/>
      <c r="AD131" s="4" t="str"/>
      <c r="AE131" s="4" t="str"/>
      <c r="AF131" s="4"/>
      <c r="AG131" s="4" t="str"/>
      <c r="AH131" s="4" t="str"/>
      <c r="AI131" s="4" t="str"/>
      <c r="AJ131" s="4" t="str"/>
      <c r="AK131" s="4" t="str"/>
      <c r="AL131" s="4" t="str"/>
      <c r="AM131" s="4" t="str"/>
      <c r="AN131" s="4"/>
      <c r="AO131" s="4" t="str"/>
      <c r="AP131" s="4" t="str"/>
      <c r="AQ131" s="4" t="str"/>
      <c r="AR131" s="4" t="str"/>
      <c r="AS131" s="4" t="str"/>
      <c r="AT131" s="4" t="str"/>
      <c r="AU131" s="4" t="str"/>
      <c r="AV131" s="4"/>
      <c r="AW131" s="4">
        <f>IF(AND(Q131="✅", I131="U90"), "X="&amp;(U131-1)*16&amp;",Y="&amp;(V131-1)*16&amp;",Z="&amp;W131*16, "")</f>
      </c>
      <c r="AX131" s="4">
        <f>IF(AND(Q131="✅", I131="U90"), "P=90,Y=0,R=0", "")</f>
      </c>
      <c r="AY131" s="4" t="str"/>
      <c r="AZ131" s="4" t="str"/>
      <c r="BA131" s="4" t="str"/>
      <c r="BB131" s="4" t="str"/>
      <c r="BC131" s="4" t="str"/>
      <c r="BD131" s="4"/>
      <c r="BE131" s="4">
        <f>IF(AND(Q131="✅", I131="D90"), "X="&amp;(U131-1)*16&amp;",Y="&amp;(V131-1)*16&amp;",Z="&amp;(W131-2)*16, "")</f>
      </c>
      <c r="BF131" s="4">
        <f>IF(AND(Q131="✅", I131="D90"), "P=-90,Y=0,R=0", "")</f>
      </c>
      <c r="BG131" s="4" t="str"/>
      <c r="BH131" s="4" t="str"/>
      <c r="BI131" s="4" t="str"/>
      <c r="BJ131" s="4" t="str"/>
      <c r="BK131" s="4" t="str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</row>
    <row customHeight="true" hidden="true" ht="19" outlineLevel="3" r="132">
      <c r="A132" s="122" t="str" xml:space="preserve">
        <v> </v>
      </c>
      <c r="B132" s="122" t="str" xml:space="preserve">
        <v> </v>
      </c>
      <c r="C132" s="123" t="str" xml:space="preserve">
        <v> </v>
      </c>
      <c r="D132" s="123" t="str" xml:space="preserve">
        <v> </v>
      </c>
      <c r="E132" s="36">
        <f>G132 &amp; "_" &amp; H132 &amp; IF(I132&lt;&gt;"", "_" &amp; I132, "") &amp; IF(J132&lt;&gt;"", "_" &amp; J132, "") &amp; IF(K132&lt;&gt;"", "_" &amp; K132, "") &amp;"_X"&amp;U132&amp;"_Y"&amp;V132&amp;"_Z"&amp;W132 &amp; IF(G132="SM", "_Proxy" , "_Rail") &amp; IF(M132&lt;&gt;"", "_" &amp; M132, "")</f>
      </c>
      <c r="F132" s="37">
        <f>IF(E132="", "", IF(G132="BP", E132, F131))</f>
      </c>
      <c r="G132" s="35" t="str">
        <v>BP</v>
      </c>
      <c r="H132" s="35" t="str">
        <v>Straight</v>
      </c>
      <c r="I132" s="35" t="str">
        <v>T</v>
      </c>
      <c r="J132" s="35"/>
      <c r="K132" s="35"/>
      <c r="L132" s="35"/>
      <c r="M132" s="35"/>
      <c r="N132" s="72"/>
      <c r="O132" s="72"/>
      <c r="P132" s="72"/>
      <c r="Q132" s="72" t="str">
        <v>⭕</v>
      </c>
      <c r="R132" s="35" t="str"/>
      <c r="S132" s="37" t="str">
        <v>/Script/Engine.BlueprintGeneratedClass'/Game/Item/Rail/Straight/T/Normal/Straight_T_X1_Y1_Z1/BP_Straight_T_X1_Y1_Z1_Rail.BP_Straight_T_X1_Y1_Z1_Rail_C'</v>
      </c>
      <c r="T132" s="124">
        <v>0</v>
      </c>
      <c r="U132" s="121">
        <v>1</v>
      </c>
      <c r="V132" s="121">
        <v>1</v>
      </c>
      <c r="W132" s="121">
        <v>1</v>
      </c>
      <c r="X132" s="38"/>
      <c r="Y132" s="38">
        <f>IF(AND(Q132="✅", OR(ISNUMBER(FIND("F",I132)), I132="CR")),   "X="&amp;U132*16&amp;",Y="&amp;(V132-1)*16&amp;",Z="&amp;IF(I132="FD", -(W132-1)*16, (W132-1)*16),   "")</f>
      </c>
      <c r="Z132" s="38">
        <f>IF(AND(Q132="✅", OR(ISNUMBER(FIND("F",I132)), I132="CR")), "P=0,Y=0,R=0", "")</f>
      </c>
      <c r="AA132" s="38" t="str"/>
      <c r="AB132" s="38" t="str"/>
      <c r="AC132" s="38" t="str"/>
      <c r="AD132" s="38" t="str"/>
      <c r="AE132" s="38" t="str"/>
      <c r="AF132" s="38"/>
      <c r="AG132" s="38" t="str"/>
      <c r="AH132" s="38" t="str"/>
      <c r="AI132" s="38" t="str"/>
      <c r="AJ132" s="38" t="str"/>
      <c r="AK132" s="38" t="str"/>
      <c r="AL132" s="38" t="str"/>
      <c r="AM132" s="38" t="str"/>
      <c r="AN132" s="38"/>
      <c r="AO132" s="38" t="str"/>
      <c r="AP132" s="38" t="str"/>
      <c r="AQ132" s="38" t="str"/>
      <c r="AR132" s="38" t="str"/>
      <c r="AS132" s="38" t="str"/>
      <c r="AT132" s="38" t="str"/>
      <c r="AU132" s="38" t="str"/>
      <c r="AV132" s="38"/>
      <c r="AW132" s="38">
        <f>IF(AND(Q132="✅", I132="U90"), "X="&amp;(U132-1)*16&amp;",Y="&amp;(V132-1)*16&amp;",Z="&amp;W132*16, "")</f>
      </c>
      <c r="AX132" s="38">
        <f>IF(AND(Q132="✅", I132="U90"), "P=90,Y=0,R=0", "")</f>
      </c>
      <c r="AY132" s="38" t="str"/>
      <c r="AZ132" s="38" t="str"/>
      <c r="BA132" s="38" t="str"/>
      <c r="BB132" s="38" t="str"/>
      <c r="BC132" s="38" t="str"/>
      <c r="BD132" s="38"/>
      <c r="BE132" s="38">
        <f>IF(AND(Q132="✅", I132="D90"), "X="&amp;(U132-1)*16&amp;",Y="&amp;(V132-1)*16&amp;",Z="&amp;(W132-2)*16, "")</f>
      </c>
      <c r="BF132" s="38">
        <f>IF(AND(Q132="✅", I132="D90"), "P=-90,Y=0,R=0", "")</f>
      </c>
      <c r="BG132" s="38" t="str"/>
      <c r="BH132" s="38" t="str"/>
      <c r="BI132" s="38" t="str"/>
      <c r="BJ132" s="38" t="str"/>
      <c r="BK132" s="38" t="str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</row>
    <row customHeight="true" hidden="true" ht="19" outlineLevel="3" r="133">
      <c r="A133" s="122" t="str" xml:space="preserve">
        <v> </v>
      </c>
      <c r="B133" s="122" t="str" xml:space="preserve">
        <v> </v>
      </c>
      <c r="C133" s="123" t="str" xml:space="preserve">
        <v> </v>
      </c>
      <c r="D133" s="123" t="str" xml:space="preserve">
        <v> </v>
      </c>
      <c r="E133" s="36">
        <f>E25</f>
      </c>
      <c r="F133" s="37">
        <f>IF(E133="", "", IF(G133="BP", E133, F132))</f>
      </c>
      <c r="G133" s="35"/>
      <c r="H133" s="35"/>
      <c r="I133" s="35"/>
      <c r="J133" s="35"/>
      <c r="K133" s="35"/>
      <c r="L133" s="35"/>
      <c r="M133" s="35" t="str">
        <v>B</v>
      </c>
      <c r="N133" s="72"/>
      <c r="O133" s="72"/>
      <c r="P133" s="72" t="str">
        <v>✅</v>
      </c>
      <c r="Q133" s="72"/>
      <c r="R133" s="35" t="str">
        <v>Straight_F_X1_Y1_Z1</v>
      </c>
      <c r="S133" s="37" t="str">
        <v>/Script/Engine.StaticMesh'/Game/Item/Rail/Straight/F/Normal/Straight_F_X1_Y1_Z1/Proxy/SM_Straight_F_X1_Y1_Z1_Proxy_B.SM_Straight_F_X1_Y1_Z1_Proxy_B'</v>
      </c>
      <c r="T133" s="124" t="str"/>
      <c r="U133" s="121"/>
      <c r="V133" s="121"/>
      <c r="W133" s="121"/>
      <c r="X133" s="38"/>
      <c r="Y133" s="38">
        <f>IF(AND(Q133="✅", OR(ISNUMBER(FIND("F",I133)), I133="CR")),   "X="&amp;U133*16&amp;",Y="&amp;(V133-1)*16&amp;",Z="&amp;IF(I133="FD", -(W133-1)*16, (W133-1)*16),   "")</f>
      </c>
      <c r="Z133" s="38">
        <f>IF(AND(Q133="✅", OR(ISNUMBER(FIND("F",I133)), I133="CR")), "P=0,Y=0,R=0", "")</f>
      </c>
      <c r="AA133" s="38" t="str"/>
      <c r="AB133" s="38" t="str"/>
      <c r="AC133" s="38" t="str"/>
      <c r="AD133" s="38" t="str"/>
      <c r="AE133" s="38" t="str"/>
      <c r="AF133" s="38"/>
      <c r="AG133" s="38" t="str"/>
      <c r="AH133" s="38" t="str"/>
      <c r="AI133" s="38" t="str"/>
      <c r="AJ133" s="38" t="str"/>
      <c r="AK133" s="38" t="str"/>
      <c r="AL133" s="38" t="str"/>
      <c r="AM133" s="38" t="str"/>
      <c r="AN133" s="38"/>
      <c r="AO133" s="38" t="str"/>
      <c r="AP133" s="38" t="str"/>
      <c r="AQ133" s="38" t="str"/>
      <c r="AR133" s="38" t="str"/>
      <c r="AS133" s="38" t="str"/>
      <c r="AT133" s="38" t="str"/>
      <c r="AU133" s="38" t="str"/>
      <c r="AV133" s="38"/>
      <c r="AW133" s="38">
        <f>IF(AND(Q133="✅", I133="U90"), "X="&amp;(U133-1)*16&amp;",Y="&amp;(V133-1)*16&amp;",Z="&amp;W133*16, "")</f>
      </c>
      <c r="AX133" s="38">
        <f>IF(AND(Q133="✅", I133="U90"), "P=90,Y=0,R=0", "")</f>
      </c>
      <c r="AY133" s="38" t="str"/>
      <c r="AZ133" s="38" t="str"/>
      <c r="BA133" s="38" t="str"/>
      <c r="BB133" s="38" t="str"/>
      <c r="BC133" s="38" t="str"/>
      <c r="BD133" s="38"/>
      <c r="BE133" s="38">
        <f>IF(AND(Q133="✅", I133="D90"), "X="&amp;(U133-1)*16&amp;",Y="&amp;(V133-1)*16&amp;",Z="&amp;(W133-2)*16, "")</f>
      </c>
      <c r="BF133" s="38">
        <f>IF(AND(Q133="✅", I133="D90"), "P=-90,Y=0,R=0", "")</f>
      </c>
      <c r="BG133" s="38" t="str"/>
      <c r="BH133" s="38" t="str"/>
      <c r="BI133" s="38" t="str"/>
      <c r="BJ133" s="38" t="str"/>
      <c r="BK133" s="38" t="str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</row>
    <row collapsed="true" customHeight="true" ht="19" outlineLevel="2" r="134">
      <c r="A134" s="11"/>
      <c r="B134" s="11"/>
      <c r="C134" s="119" t="str">
        <v>Borderless_T</v>
      </c>
      <c r="D134" s="119"/>
      <c r="E134" s="5"/>
      <c r="F134" s="9">
        <f>IF(E134="", "", IF(G134="BP", E134, F133))</f>
      </c>
      <c r="G134" s="1"/>
      <c r="H134" s="1"/>
      <c r="I134" s="1"/>
      <c r="J134" s="1"/>
      <c r="K134" s="1"/>
      <c r="L134" s="1"/>
      <c r="M134" s="1"/>
      <c r="N134" s="3"/>
      <c r="O134" s="3" t="str">
        <v>⭕</v>
      </c>
      <c r="P134" s="3"/>
      <c r="Q134" s="3"/>
      <c r="R134" s="1" t="str"/>
      <c r="S134" s="9" t="str"/>
      <c r="T134" s="120" t="str"/>
      <c r="U134" s="118"/>
      <c r="V134" s="118"/>
      <c r="W134" s="118"/>
      <c r="X134" s="4"/>
      <c r="Y134" s="4">
        <f>IF(AND(Q134="✅", OR(ISNUMBER(FIND("F",I134)), I134="CR")),   "X="&amp;U134*16&amp;",Y="&amp;(V134-1)*16&amp;",Z="&amp;IF(I134="FD", -(W134-1)*16, (W134-1)*16),   "")</f>
      </c>
      <c r="Z134" s="4">
        <f>IF(AND(Q134="✅", OR(ISNUMBER(FIND("F",I134)), I134="CR")), "P=0,Y=0,R=0", "")</f>
      </c>
      <c r="AA134" s="4" t="str"/>
      <c r="AB134" s="4" t="str"/>
      <c r="AC134" s="4" t="str"/>
      <c r="AD134" s="4" t="str"/>
      <c r="AE134" s="4" t="str"/>
      <c r="AF134" s="4"/>
      <c r="AG134" s="4" t="str"/>
      <c r="AH134" s="4" t="str"/>
      <c r="AI134" s="4" t="str"/>
      <c r="AJ134" s="4" t="str"/>
      <c r="AK134" s="4" t="str"/>
      <c r="AL134" s="4" t="str"/>
      <c r="AM134" s="4" t="str"/>
      <c r="AN134" s="4"/>
      <c r="AO134" s="4" t="str"/>
      <c r="AP134" s="4" t="str"/>
      <c r="AQ134" s="4" t="str"/>
      <c r="AR134" s="4" t="str"/>
      <c r="AS134" s="4" t="str"/>
      <c r="AT134" s="4" t="str"/>
      <c r="AU134" s="4" t="str"/>
      <c r="AV134" s="4"/>
      <c r="AW134" s="4">
        <f>IF(AND(Q134="✅", I134="U90"), "X="&amp;(U134-1)*16&amp;",Y="&amp;(V134-1)*16&amp;",Z="&amp;W134*16, "")</f>
      </c>
      <c r="AX134" s="4">
        <f>IF(AND(Q134="✅", I134="U90"), "P=90,Y=0,R=0", "")</f>
      </c>
      <c r="AY134" s="4" t="str"/>
      <c r="AZ134" s="4" t="str"/>
      <c r="BA134" s="4" t="str"/>
      <c r="BB134" s="4" t="str"/>
      <c r="BC134" s="4" t="str"/>
      <c r="BD134" s="4"/>
      <c r="BE134" s="4">
        <f>IF(AND(Q134="✅", I134="D90"), "X="&amp;(U134-1)*16&amp;",Y="&amp;(V134-1)*16&amp;",Z="&amp;(W134-2)*16, "")</f>
      </c>
      <c r="BF134" s="4">
        <f>IF(AND(Q134="✅", I134="D90"), "P=-90,Y=0,R=0", "")</f>
      </c>
      <c r="BG134" s="4" t="str"/>
      <c r="BH134" s="4" t="str"/>
      <c r="BI134" s="4" t="str"/>
      <c r="BJ134" s="4" t="str"/>
      <c r="BK134" s="4" t="str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</row>
    <row customHeight="true" hidden="true" ht="19" outlineLevel="3" r="135">
      <c r="A135" s="135" t="str" xml:space="preserve">
        <v> </v>
      </c>
      <c r="B135" s="135" t="str" xml:space="preserve">
        <v> </v>
      </c>
      <c r="C135" s="133" t="str" xml:space="preserve">
        <v> </v>
      </c>
      <c r="D135" s="133" t="str" xml:space="preserve">
        <v> </v>
      </c>
      <c r="E135" s="91">
        <f>G135 &amp; "_" &amp; H135 &amp; IF(I135&lt;&gt;"", "_" &amp; I135, "") &amp; IF(J135&lt;&gt;"", "_" &amp; J135, "") &amp; IF(K135&lt;&gt;"", "_" &amp; K135, "") &amp;"_X"&amp;U135&amp;"_Y"&amp;V135&amp;"_Z"&amp;W135 &amp; IF(G135="SM", "_Proxy" , "_Rail") &amp; IF(M135&lt;&gt;"", "_" &amp; M135, "")</f>
      </c>
      <c r="F135" s="79">
        <f>IF(E135="", "", IF(G135="BP", E135, F134))</f>
      </c>
      <c r="G135" s="92" t="str">
        <v>BP</v>
      </c>
      <c r="H135" s="92" t="str">
        <v>Straight</v>
      </c>
      <c r="I135" s="92" t="str">
        <v>T</v>
      </c>
      <c r="J135" s="92" t="str">
        <v>Borderless_T</v>
      </c>
      <c r="K135" s="92"/>
      <c r="L135" s="92"/>
      <c r="M135" s="92"/>
      <c r="N135" s="94"/>
      <c r="O135" s="94"/>
      <c r="P135" s="94"/>
      <c r="Q135" s="94" t="str">
        <v>⭕</v>
      </c>
      <c r="R135" s="92" t="str"/>
      <c r="S135" s="79" t="str"/>
      <c r="T135" s="134">
        <v>2</v>
      </c>
      <c r="U135" s="136">
        <v>1</v>
      </c>
      <c r="V135" s="136">
        <v>1</v>
      </c>
      <c r="W135" s="136">
        <v>1</v>
      </c>
      <c r="X135" s="78"/>
      <c r="Y135" s="78">
        <f>IF(AND(Q135="✅", OR(ISNUMBER(FIND("F",I135)), I135="CR")),   "X="&amp;U135*16&amp;",Y="&amp;(V135-1)*16&amp;",Z="&amp;IF(I135="FD", -(W135-1)*16, (W135-1)*16),   "")</f>
      </c>
      <c r="Z135" s="78">
        <f>IF(AND(Q135="✅", OR(ISNUMBER(FIND("F",I135)), I135="CR")), "P=0,Y=0,R=0", "")</f>
      </c>
      <c r="AA135" s="78" t="str"/>
      <c r="AB135" s="78" t="str"/>
      <c r="AC135" s="78" t="str"/>
      <c r="AD135" s="78" t="str"/>
      <c r="AE135" s="78" t="str"/>
      <c r="AF135" s="78"/>
      <c r="AG135" s="78" t="str"/>
      <c r="AH135" s="78" t="str"/>
      <c r="AI135" s="78" t="str"/>
      <c r="AJ135" s="78" t="str"/>
      <c r="AK135" s="78" t="str"/>
      <c r="AL135" s="78" t="str"/>
      <c r="AM135" s="78" t="str"/>
      <c r="AN135" s="78"/>
      <c r="AO135" s="78" t="str"/>
      <c r="AP135" s="78" t="str"/>
      <c r="AQ135" s="78" t="str"/>
      <c r="AR135" s="78" t="str"/>
      <c r="AS135" s="78" t="str"/>
      <c r="AT135" s="78" t="str"/>
      <c r="AU135" s="78" t="str"/>
      <c r="AV135" s="78"/>
      <c r="AW135" s="78">
        <f>IF(AND(Q135="✅", I135="U90"), "X="&amp;(U135-1)*16&amp;",Y="&amp;(V135-1)*16&amp;",Z="&amp;W135*16, "")</f>
      </c>
      <c r="AX135" s="78">
        <f>IF(AND(Q135="✅", I135="U90"), "P=90,Y=0,R=0", "")</f>
      </c>
      <c r="AY135" s="78" t="str"/>
      <c r="AZ135" s="78" t="str"/>
      <c r="BA135" s="78" t="str"/>
      <c r="BB135" s="78" t="str"/>
      <c r="BC135" s="78" t="str"/>
      <c r="BD135" s="78"/>
      <c r="BE135" s="78">
        <f>IF(AND(Q135="✅", I135="D90"), "X="&amp;(U135-1)*16&amp;",Y="&amp;(V135-1)*16&amp;",Z="&amp;(W135-2)*16, "")</f>
      </c>
      <c r="BF135" s="78">
        <f>IF(AND(Q135="✅", I135="D90"), "P=-90,Y=0,R=0", "")</f>
      </c>
      <c r="BG135" s="78" t="str"/>
      <c r="BH135" s="78" t="str"/>
      <c r="BI135" s="78" t="str"/>
      <c r="BJ135" s="78" t="str"/>
      <c r="BK135" s="78" t="str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</row>
    <row customHeight="true" hidden="true" ht="19" outlineLevel="3" r="136">
      <c r="A136" s="135" t="str" xml:space="preserve">
        <v> </v>
      </c>
      <c r="B136" s="135" t="str" xml:space="preserve">
        <v> </v>
      </c>
      <c r="C136" s="133" t="str" xml:space="preserve">
        <v> </v>
      </c>
      <c r="D136" s="133" t="str" xml:space="preserve">
        <v> </v>
      </c>
      <c r="E136" s="91">
        <f>E25</f>
      </c>
      <c r="F136" s="79">
        <f>IF(E136="", "", IF(G136="BP", E136, F135))</f>
      </c>
      <c r="G136" s="92"/>
      <c r="H136" s="92"/>
      <c r="I136" s="92"/>
      <c r="J136" s="92"/>
      <c r="K136" s="92"/>
      <c r="L136" s="92"/>
      <c r="M136" s="92" t="str">
        <v>B</v>
      </c>
      <c r="N136" s="94"/>
      <c r="O136" s="94"/>
      <c r="P136" s="94" t="str">
        <v>✅</v>
      </c>
      <c r="Q136" s="94"/>
      <c r="R136" s="92" t="str">
        <v>Straight_F_X1_Y1_Z1</v>
      </c>
      <c r="S136" s="79" t="str">
        <v>/Script/Engine.StaticMesh'/Game/Item/Rail/Straight/F/Normal/Straight_F_X1_Y1_Z1/Proxy/SM_Straight_F_X1_Y1_Z1_Proxy_B.SM_Straight_F_X1_Y1_Z1_Proxy_B'</v>
      </c>
      <c r="T136" s="134" t="str"/>
      <c r="U136" s="136"/>
      <c r="V136" s="136"/>
      <c r="W136" s="136"/>
      <c r="X136" s="78"/>
      <c r="Y136" s="78">
        <f>IF(AND(Q136="✅", OR(ISNUMBER(FIND("F",I136)), I136="CR")),   "X="&amp;U136*16&amp;",Y="&amp;(V136-1)*16&amp;",Z="&amp;IF(I136="FD", -(W136-1)*16, (W136-1)*16),   "")</f>
      </c>
      <c r="Z136" s="78">
        <f>IF(AND(Q136="✅", OR(ISNUMBER(FIND("F",I136)), I136="CR")), "P=0,Y=0,R=0", "")</f>
      </c>
      <c r="AA136" s="78" t="str"/>
      <c r="AB136" s="78" t="str"/>
      <c r="AC136" s="78" t="str"/>
      <c r="AD136" s="78" t="str"/>
      <c r="AE136" s="78" t="str"/>
      <c r="AF136" s="78"/>
      <c r="AG136" s="78" t="str"/>
      <c r="AH136" s="78" t="str"/>
      <c r="AI136" s="78" t="str"/>
      <c r="AJ136" s="78" t="str"/>
      <c r="AK136" s="78" t="str"/>
      <c r="AL136" s="78" t="str"/>
      <c r="AM136" s="78" t="str"/>
      <c r="AN136" s="78"/>
      <c r="AO136" s="78" t="str"/>
      <c r="AP136" s="78" t="str"/>
      <c r="AQ136" s="78" t="str"/>
      <c r="AR136" s="78" t="str"/>
      <c r="AS136" s="78" t="str"/>
      <c r="AT136" s="78" t="str"/>
      <c r="AU136" s="78" t="str"/>
      <c r="AV136" s="78"/>
      <c r="AW136" s="78">
        <f>IF(AND(Q136="✅", I136="U90"), "X="&amp;(U136-1)*16&amp;",Y="&amp;(V136-1)*16&amp;",Z="&amp;W136*16, "")</f>
      </c>
      <c r="AX136" s="78">
        <f>IF(AND(Q136="✅", I136="U90"), "P=90,Y=0,R=0", "")</f>
      </c>
      <c r="AY136" s="78" t="str"/>
      <c r="AZ136" s="78" t="str"/>
      <c r="BA136" s="78" t="str"/>
      <c r="BB136" s="78" t="str"/>
      <c r="BC136" s="78" t="str"/>
      <c r="BD136" s="78"/>
      <c r="BE136" s="78">
        <f>IF(AND(Q136="✅", I136="D90"), "X="&amp;(U136-1)*16&amp;",Y="&amp;(V136-1)*16&amp;",Z="&amp;(W136-2)*16, "")</f>
      </c>
      <c r="BF136" s="78">
        <f>IF(AND(Q136="✅", I136="D90"), "P=-90,Y=0,R=0", "")</f>
      </c>
      <c r="BG136" s="78" t="str"/>
      <c r="BH136" s="78" t="str"/>
      <c r="BI136" s="78" t="str"/>
      <c r="BJ136" s="78" t="str"/>
      <c r="BK136" s="78" t="str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</row>
    <row customHeight="true" hidden="true" ht="19" outlineLevel="3" r="137">
      <c r="A137" s="135" t="str" xml:space="preserve">
        <v> </v>
      </c>
      <c r="B137" s="135" t="str" xml:space="preserve">
        <v> </v>
      </c>
      <c r="C137" s="133" t="str" xml:space="preserve">
        <v> </v>
      </c>
      <c r="D137" s="133" t="str" xml:space="preserve">
        <v> </v>
      </c>
      <c r="E137" s="91">
        <f>E87</f>
      </c>
      <c r="F137" s="79">
        <f>IF(E137="", "", IF(G137="BP", E137, F136))</f>
      </c>
      <c r="G137" s="92"/>
      <c r="H137" s="92"/>
      <c r="I137" s="92"/>
      <c r="J137" s="92"/>
      <c r="K137" s="92"/>
      <c r="L137" s="92"/>
      <c r="M137" s="92" t="str">
        <v>L</v>
      </c>
      <c r="N137" s="94"/>
      <c r="O137" s="94"/>
      <c r="P137" s="94" t="str">
        <v>✅</v>
      </c>
      <c r="Q137" s="94"/>
      <c r="R137" s="92" t="str">
        <v>Straight_L90_X1_Y1_Z1</v>
      </c>
      <c r="S137" s="79" t="str">
        <v>/Script/Engine.StaticMesh'/Game/Item/Rail/Straight/L90/Normal/Straight_L90_X1_Y1_Z1/Proxy/SM_Straight_L90_X1_Y1_Z1_Proxy_L.SM_Straight_L90_X1_Y1_Z1_Proxy_L'</v>
      </c>
      <c r="T137" s="134" t="str"/>
      <c r="U137" s="136"/>
      <c r="V137" s="136"/>
      <c r="W137" s="136"/>
      <c r="X137" s="78"/>
      <c r="Y137" s="78"/>
      <c r="Z137" s="78"/>
      <c r="AA137" s="78" t="str"/>
      <c r="AB137" s="78" t="str"/>
      <c r="AC137" s="78" t="str"/>
      <c r="AD137" s="78" t="str"/>
      <c r="AE137" s="78" t="str"/>
      <c r="AF137" s="78"/>
      <c r="AG137" s="78" t="str"/>
      <c r="AH137" s="78" t="str"/>
      <c r="AI137" s="78" t="str"/>
      <c r="AJ137" s="78" t="str"/>
      <c r="AK137" s="78" t="str"/>
      <c r="AL137" s="78" t="str"/>
      <c r="AM137" s="78" t="str"/>
      <c r="AN137" s="78"/>
      <c r="AO137" s="78" t="str"/>
      <c r="AP137" s="78" t="str"/>
      <c r="AQ137" s="78" t="str"/>
      <c r="AR137" s="78" t="str"/>
      <c r="AS137" s="78" t="str"/>
      <c r="AT137" s="78" t="str"/>
      <c r="AU137" s="78" t="str"/>
      <c r="AV137" s="78"/>
      <c r="AW137" s="78"/>
      <c r="AX137" s="78"/>
      <c r="AY137" s="78" t="str"/>
      <c r="AZ137" s="78" t="str"/>
      <c r="BA137" s="78" t="str"/>
      <c r="BB137" s="78" t="str"/>
      <c r="BC137" s="78" t="str"/>
      <c r="BD137" s="78"/>
      <c r="BE137" s="78"/>
      <c r="BF137" s="78"/>
      <c r="BG137" s="78" t="str"/>
      <c r="BH137" s="78" t="str"/>
      <c r="BI137" s="78" t="str"/>
      <c r="BJ137" s="78" t="str"/>
      <c r="BK137" s="78" t="str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</row>
    <row customHeight="true" hidden="true" ht="19" outlineLevel="3" r="138">
      <c r="A138" s="135" t="str" xml:space="preserve">
        <v> </v>
      </c>
      <c r="B138" s="135" t="str" xml:space="preserve">
        <v> </v>
      </c>
      <c r="C138" s="133" t="str" xml:space="preserve">
        <v> </v>
      </c>
      <c r="D138" s="133" t="str" xml:space="preserve">
        <v> </v>
      </c>
      <c r="E138" s="91">
        <f>E109</f>
      </c>
      <c r="F138" s="79">
        <f>IF(E138="", "", IF(G138="BP", E138, F137))</f>
      </c>
      <c r="G138" s="92"/>
      <c r="H138" s="92"/>
      <c r="I138" s="92"/>
      <c r="J138" s="92"/>
      <c r="K138" s="92"/>
      <c r="L138" s="92"/>
      <c r="M138" s="92" t="str">
        <v>R</v>
      </c>
      <c r="N138" s="94"/>
      <c r="O138" s="94"/>
      <c r="P138" s="94" t="str">
        <v>✅</v>
      </c>
      <c r="Q138" s="94"/>
      <c r="R138" s="92" t="str">
        <v>Straight_R90_X1_Y1_Z1</v>
      </c>
      <c r="S138" s="79" t="str">
        <v>/Script/Engine.StaticMesh'/Game/Item/Rail/Straight/R90/Normal/Straight_R90_X1_Y1_Z1/Proxy/SM_Straight_R90_X1_Y1_Z1_Proxy_R.SM_Straight_R90_X1_Y1_Z1_Proxy_R'</v>
      </c>
      <c r="T138" s="134" t="str"/>
      <c r="U138" s="136"/>
      <c r="V138" s="136"/>
      <c r="W138" s="136"/>
      <c r="X138" s="78"/>
      <c r="Y138" s="78"/>
      <c r="Z138" s="78"/>
      <c r="AA138" s="78" t="str"/>
      <c r="AB138" s="78" t="str"/>
      <c r="AC138" s="78" t="str"/>
      <c r="AD138" s="78" t="str"/>
      <c r="AE138" s="78" t="str"/>
      <c r="AF138" s="78"/>
      <c r="AG138" s="78" t="str"/>
      <c r="AH138" s="78" t="str"/>
      <c r="AI138" s="78" t="str"/>
      <c r="AJ138" s="78" t="str"/>
      <c r="AK138" s="78" t="str"/>
      <c r="AL138" s="78" t="str"/>
      <c r="AM138" s="78" t="str"/>
      <c r="AN138" s="78"/>
      <c r="AO138" s="78" t="str"/>
      <c r="AP138" s="78" t="str"/>
      <c r="AQ138" s="78" t="str"/>
      <c r="AR138" s="78" t="str"/>
      <c r="AS138" s="78" t="str"/>
      <c r="AT138" s="78" t="str"/>
      <c r="AU138" s="78" t="str"/>
      <c r="AV138" s="78"/>
      <c r="AW138" s="78"/>
      <c r="AX138" s="78"/>
      <c r="AY138" s="78" t="str"/>
      <c r="AZ138" s="78" t="str"/>
      <c r="BA138" s="78" t="str"/>
      <c r="BB138" s="78" t="str"/>
      <c r="BC138" s="78" t="str"/>
      <c r="BD138" s="78"/>
      <c r="BE138" s="78"/>
      <c r="BF138" s="78"/>
      <c r="BG138" s="78" t="str"/>
      <c r="BH138" s="78" t="str"/>
      <c r="BI138" s="78" t="str"/>
      <c r="BJ138" s="78" t="str"/>
      <c r="BK138" s="78" t="str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</row>
    <row customHeight="true" ht="19" outlineLevel="1" r="139">
      <c r="A139" s="11"/>
      <c r="B139" s="11" t="str">
        <v>FL90</v>
      </c>
      <c r="C139" s="119"/>
      <c r="D139" s="119"/>
      <c r="E139" s="5"/>
      <c r="F139" s="9">
        <f>IF(E139="", "", IF(G139="BP", E139, F172))</f>
      </c>
      <c r="G139" s="1"/>
      <c r="H139" s="1"/>
      <c r="I139" s="1"/>
      <c r="J139" s="1"/>
      <c r="K139" s="1"/>
      <c r="L139" s="1"/>
      <c r="M139" s="1"/>
      <c r="N139" s="3"/>
      <c r="O139" s="3"/>
      <c r="P139" s="3"/>
      <c r="Q139" s="3"/>
      <c r="R139" s="1" t="str"/>
      <c r="S139" s="9" t="str"/>
      <c r="T139" s="120" t="str"/>
      <c r="U139" s="118"/>
      <c r="V139" s="118"/>
      <c r="W139" s="118"/>
      <c r="X139" s="4"/>
      <c r="Y139" s="4">
        <f>IF(AND(Q139="✅", OR(ISNUMBER(FIND("F",I139)), I139="CR")),   "X="&amp;U139*16&amp;",Y="&amp;(V139-1)*16&amp;",Z="&amp;IF(I139="FD", -(W139-1)*16, (W139-1)*16),   "")</f>
      </c>
      <c r="Z139" s="4">
        <f>IF(AND(Q139="✅", OR(ISNUMBER(FIND("F",I139)), I139="CR")), "P=0,Y=0,R=0", "")</f>
      </c>
      <c r="AA139" s="4" t="str"/>
      <c r="AB139" s="4" t="str"/>
      <c r="AC139" s="4" t="str"/>
      <c r="AD139" s="4" t="str"/>
      <c r="AE139" s="4" t="str"/>
      <c r="AF139" s="4"/>
      <c r="AG139" s="4" t="str"/>
      <c r="AH139" s="4" t="str"/>
      <c r="AI139" s="4" t="str"/>
      <c r="AJ139" s="4" t="str"/>
      <c r="AK139" s="4" t="str"/>
      <c r="AL139" s="4" t="str"/>
      <c r="AM139" s="4" t="str"/>
      <c r="AN139" s="4"/>
      <c r="AO139" s="4" t="str"/>
      <c r="AP139" s="4" t="str"/>
      <c r="AQ139" s="4" t="str"/>
      <c r="AR139" s="4" t="str"/>
      <c r="AS139" s="4" t="str"/>
      <c r="AT139" s="4" t="str"/>
      <c r="AU139" s="4" t="str"/>
      <c r="AV139" s="4"/>
      <c r="AW139" s="4">
        <f>IF(AND(Q139="✅", I139="U90"), "X="&amp;(U139-1)*16&amp;",Y="&amp;(V139-1)*16&amp;",Z="&amp;W139*16, "")</f>
      </c>
      <c r="AX139" s="4">
        <f>IF(AND(Q139="✅", I139="U90"), "P=90,Y=0,R=0", "")</f>
      </c>
      <c r="AY139" s="4" t="str"/>
      <c r="AZ139" s="4" t="str"/>
      <c r="BA139" s="4" t="str"/>
      <c r="BB139" s="4" t="str"/>
      <c r="BC139" s="4" t="str"/>
      <c r="BD139" s="4"/>
      <c r="BE139" s="4">
        <f>IF(AND(Q139="✅", I139="D90"), "X="&amp;(U139-1)*16&amp;",Y="&amp;(V139-1)*16&amp;",Z="&amp;(W139-2)*16, "")</f>
      </c>
      <c r="BF139" s="4">
        <f>IF(AND(Q139="✅", I139="D90"), "P=-90,Y=0,R=0", "")</f>
      </c>
      <c r="BG139" s="4" t="str"/>
      <c r="BH139" s="4" t="str"/>
      <c r="BI139" s="4" t="str"/>
      <c r="BJ139" s="4" t="str"/>
      <c r="BK139" s="4" t="str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</row>
    <row collapsed="true" customHeight="true" ht="19" outlineLevel="2" r="140">
      <c r="A140" s="11"/>
      <c r="B140" s="11"/>
      <c r="C140" s="119" t="str">
        <v>Normal</v>
      </c>
      <c r="D140" s="119"/>
      <c r="E140" s="5"/>
      <c r="F140" s="9">
        <f>IF(E140="", "", IF(G140="BP", E140, F139))</f>
      </c>
      <c r="G140" s="1"/>
      <c r="H140" s="1"/>
      <c r="I140" s="1"/>
      <c r="J140" s="1"/>
      <c r="K140" s="1"/>
      <c r="L140" s="1"/>
      <c r="M140" s="1"/>
      <c r="N140" s="3"/>
      <c r="O140" s="3" t="str">
        <v>⭕</v>
      </c>
      <c r="P140" s="3"/>
      <c r="Q140" s="3"/>
      <c r="R140" s="1" t="str"/>
      <c r="S140" s="9" t="str"/>
      <c r="T140" s="120" t="str"/>
      <c r="U140" s="118"/>
      <c r="V140" s="118"/>
      <c r="W140" s="118"/>
      <c r="X140" s="4"/>
      <c r="Y140" s="4">
        <f>IF(AND(Q140="✅", OR(ISNUMBER(FIND("F",I140)), I140="CR")),   "X="&amp;U140*16&amp;",Y="&amp;(V140-1)*16&amp;",Z="&amp;IF(I140="FD", -(W140-1)*16, (W140-1)*16),   "")</f>
      </c>
      <c r="Z140" s="4">
        <f>IF(AND(Q140="✅", OR(ISNUMBER(FIND("F",I140)), I140="CR")), "P=0,Y=0,R=0", "")</f>
      </c>
      <c r="AA140" s="4" t="str"/>
      <c r="AB140" s="4" t="str"/>
      <c r="AC140" s="4" t="str"/>
      <c r="AD140" s="4" t="str"/>
      <c r="AE140" s="4" t="str"/>
      <c r="AF140" s="4"/>
      <c r="AG140" s="4" t="str"/>
      <c r="AH140" s="4" t="str"/>
      <c r="AI140" s="4" t="str"/>
      <c r="AJ140" s="4" t="str"/>
      <c r="AK140" s="4" t="str"/>
      <c r="AL140" s="4" t="str"/>
      <c r="AM140" s="4" t="str"/>
      <c r="AN140" s="4"/>
      <c r="AO140" s="4" t="str"/>
      <c r="AP140" s="4" t="str"/>
      <c r="AQ140" s="4" t="str"/>
      <c r="AR140" s="4" t="str"/>
      <c r="AS140" s="4" t="str"/>
      <c r="AT140" s="4" t="str"/>
      <c r="AU140" s="4" t="str"/>
      <c r="AV140" s="4"/>
      <c r="AW140" s="4">
        <f>IF(AND(Q140="✅", I140="U90"), "X="&amp;(U140-1)*16&amp;",Y="&amp;(V140-1)*16&amp;",Z="&amp;W140*16, "")</f>
      </c>
      <c r="AX140" s="4">
        <f>IF(AND(Q140="✅", I140="U90"), "P=90,Y=0,R=0", "")</f>
      </c>
      <c r="AY140" s="4" t="str"/>
      <c r="AZ140" s="4" t="str"/>
      <c r="BA140" s="4" t="str"/>
      <c r="BB140" s="4" t="str"/>
      <c r="BC140" s="4" t="str"/>
      <c r="BD140" s="4"/>
      <c r="BE140" s="4">
        <f>IF(AND(Q140="✅", I140="D90"), "X="&amp;(U140-1)*16&amp;",Y="&amp;(V140-1)*16&amp;",Z="&amp;(W140-2)*16, "")</f>
      </c>
      <c r="BF140" s="4">
        <f>IF(AND(Q140="✅", I140="D90"), "P=-90,Y=0,R=0", "")</f>
      </c>
      <c r="BG140" s="4" t="str"/>
      <c r="BH140" s="4" t="str"/>
      <c r="BI140" s="4" t="str"/>
      <c r="BJ140" s="4" t="str"/>
      <c r="BK140" s="4" t="str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</row>
    <row customHeight="true" hidden="true" ht="19" outlineLevel="3" r="141">
      <c r="A141" s="11"/>
      <c r="B141" s="11"/>
      <c r="C141" s="119"/>
      <c r="D141" s="119">
        <v>1</v>
      </c>
      <c r="E141" s="5"/>
      <c r="F141" s="9"/>
      <c r="G141" s="1"/>
      <c r="H141" s="1"/>
      <c r="I141" s="1"/>
      <c r="J141" s="1"/>
      <c r="K141" s="1"/>
      <c r="L141" s="1"/>
      <c r="M141" s="1"/>
      <c r="N141" s="3"/>
      <c r="O141" s="3"/>
      <c r="P141" s="3"/>
      <c r="Q141" s="3"/>
      <c r="R141" s="1" t="str"/>
      <c r="S141" s="9" t="str"/>
      <c r="T141" s="120" t="str"/>
      <c r="U141" s="118"/>
      <c r="V141" s="118"/>
      <c r="W141" s="118"/>
      <c r="X141" s="4"/>
      <c r="Y141" s="4">
        <f>IF(AND(Q141="✅", OR(ISNUMBER(FIND("F",I141)), I141="CR")),   "X="&amp;U141*16&amp;",Y="&amp;(V141-1)*16&amp;",Z="&amp;IF(I141="FD", -(W141-1)*16, (W141-1)*16),   "")</f>
      </c>
      <c r="Z141" s="4">
        <f>IF(AND(Q141="✅", OR(ISNUMBER(FIND("F",I141)), I141="CR")), "P=0,Y=0,R=0", "")</f>
      </c>
      <c r="AA141" s="4" t="str"/>
      <c r="AB141" s="4" t="str"/>
      <c r="AC141" s="4" t="str"/>
      <c r="AD141" s="4" t="str"/>
      <c r="AE141" s="4" t="str"/>
      <c r="AF141" s="4"/>
      <c r="AG141" s="4" t="str"/>
      <c r="AH141" s="4" t="str"/>
      <c r="AI141" s="4" t="str"/>
      <c r="AJ141" s="4" t="str"/>
      <c r="AK141" s="4" t="str"/>
      <c r="AL141" s="4" t="str"/>
      <c r="AM141" s="4" t="str"/>
      <c r="AN141" s="4"/>
      <c r="AO141" s="4" t="str"/>
      <c r="AP141" s="4" t="str"/>
      <c r="AQ141" s="4" t="str"/>
      <c r="AR141" s="4" t="str"/>
      <c r="AS141" s="4" t="str"/>
      <c r="AT141" s="4" t="str"/>
      <c r="AU141" s="4" t="str"/>
      <c r="AV141" s="4"/>
      <c r="AW141" s="4">
        <f>IF(AND(Q141="✅", I141="U90"), "X="&amp;(U141-1)*16&amp;",Y="&amp;(V141-1)*16&amp;",Z="&amp;W141*16, "")</f>
      </c>
      <c r="AX141" s="4">
        <f>IF(AND(Q141="✅", I141="U90"), "P=90,Y=0,R=0", "")</f>
      </c>
      <c r="AY141" s="4" t="str"/>
      <c r="AZ141" s="4" t="str"/>
      <c r="BA141" s="4" t="str"/>
      <c r="BB141" s="4" t="str"/>
      <c r="BC141" s="4" t="str"/>
      <c r="BD141" s="4"/>
      <c r="BE141" s="4">
        <f>IF(AND(Q141="✅", I141="D90"), "X="&amp;(U141-1)*16&amp;",Y="&amp;(V141-1)*16&amp;",Z="&amp;(W141-2)*16, "")</f>
      </c>
      <c r="BF141" s="4">
        <f>IF(AND(Q141="✅", I141="D90"), "P=-90,Y=0,R=0", "")</f>
      </c>
      <c r="BG141" s="4" t="str"/>
      <c r="BH141" s="4" t="str"/>
      <c r="BI141" s="4" t="str"/>
      <c r="BJ141" s="4" t="str"/>
      <c r="BK141" s="4" t="str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</row>
    <row customHeight="true" hidden="true" ht="19" outlineLevel="4" r="142">
      <c r="A142" s="14" t="str" xml:space="preserve">
        <v> </v>
      </c>
      <c r="B142" s="14" t="str" xml:space="preserve">
        <v> </v>
      </c>
      <c r="C142" s="147" t="str" xml:space="preserve">
        <v> </v>
      </c>
      <c r="D142" s="147" t="str" xml:space="preserve">
        <v> </v>
      </c>
      <c r="E142" s="42">
        <f>G142 &amp; "_" &amp; H142 &amp; IF(I142&lt;&gt;"", "_" &amp; I142, "") &amp; IF(J142&lt;&gt;"", "_" &amp; J142, "") &amp; IF(K142&lt;&gt;"", "_" &amp; K142, "") &amp;"_X"&amp;U142&amp;"_Y"&amp;V142&amp;"_Z"&amp;W142 &amp; IF(G142="SM", "_Proxy" , "_Rail") &amp; IF(M142&lt;&gt;"", "_" &amp; M142, "")</f>
      </c>
      <c r="F142" s="47">
        <f>IF(E142="", "", IF(G142="BP", E142, F140))</f>
      </c>
      <c r="G142" s="43" t="str">
        <v>BP</v>
      </c>
      <c r="H142" s="43" t="str">
        <v>Straight</v>
      </c>
      <c r="I142" s="43" t="str">
        <v>FL90</v>
      </c>
      <c r="J142" s="43"/>
      <c r="K142" s="43"/>
      <c r="L142" s="43"/>
      <c r="M142" s="43"/>
      <c r="N142" s="77"/>
      <c r="O142" s="77"/>
      <c r="P142" s="77"/>
      <c r="Q142" s="77" t="str">
        <v>⭕</v>
      </c>
      <c r="R142" s="43" t="str"/>
      <c r="S142" s="47" t="str"/>
      <c r="T142" s="126">
        <v>0</v>
      </c>
      <c r="U142" s="128">
        <v>1</v>
      </c>
      <c r="V142" s="128">
        <v>1</v>
      </c>
      <c r="W142" s="128">
        <v>1</v>
      </c>
      <c r="X142" s="48"/>
      <c r="Y142" s="48">
        <f>IF(AND(Q142="✅", OR(ISNUMBER(FIND("F",I142)), I142="CR")),   "X="&amp;U142*16&amp;",Y="&amp;(V142-1)*16&amp;",Z="&amp;IF(I142="FD", -(W142-1)*16, (W142-1)*16),   "")</f>
      </c>
      <c r="Z142" s="48">
        <f>IF(AND(Q142="✅", OR(ISNUMBER(FIND("F",I142)), I142="CR")), "P=0,Y=0,R=0", "")</f>
      </c>
      <c r="AA142" s="48" t="str"/>
      <c r="AB142" s="48" t="str"/>
      <c r="AC142" s="48" t="str"/>
      <c r="AD142" s="48" t="str"/>
      <c r="AE142" s="48" t="str"/>
      <c r="AF142" s="48"/>
      <c r="AG142" s="48" t="str"/>
      <c r="AH142" s="48" t="str"/>
      <c r="AI142" s="48" t="str"/>
      <c r="AJ142" s="48" t="str"/>
      <c r="AK142" s="48" t="str"/>
      <c r="AL142" s="48" t="str"/>
      <c r="AM142" s="48" t="str"/>
      <c r="AN142" s="48"/>
      <c r="AO142" s="48" t="str"/>
      <c r="AP142" s="48" t="str"/>
      <c r="AQ142" s="48" t="str"/>
      <c r="AR142" s="48" t="str"/>
      <c r="AS142" s="48" t="str"/>
      <c r="AT142" s="48" t="str"/>
      <c r="AU142" s="48" t="str"/>
      <c r="AV142" s="48"/>
      <c r="AW142" s="48">
        <f>IF(AND(Q142="✅", I142="U90"), "X="&amp;(U142-1)*16&amp;",Y="&amp;(V142-1)*16&amp;",Z="&amp;W142*16, "")</f>
      </c>
      <c r="AX142" s="48">
        <f>IF(AND(Q142="✅", I142="U90"), "P=90,Y=0,R=0", "")</f>
      </c>
      <c r="AY142" s="48" t="str"/>
      <c r="AZ142" s="48" t="str"/>
      <c r="BA142" s="48" t="str"/>
      <c r="BB142" s="48" t="str"/>
      <c r="BC142" s="48" t="str"/>
      <c r="BD142" s="48"/>
      <c r="BE142" s="48">
        <f>IF(AND(Q142="✅", I142="D90"), "X="&amp;(U142-1)*16&amp;",Y="&amp;(V142-1)*16&amp;",Z="&amp;(W142-2)*16, "")</f>
      </c>
      <c r="BF142" s="48">
        <f>IF(AND(Q142="✅", I142="D90"), "P=-90,Y=0,R=0", "")</f>
      </c>
      <c r="BG142" s="48" t="str"/>
      <c r="BH142" s="48" t="str"/>
      <c r="BI142" s="48" t="str"/>
      <c r="BJ142" s="48" t="str"/>
      <c r="BK142" s="48" t="str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</row>
    <row customHeight="true" hidden="true" ht="19" outlineLevel="4" r="143">
      <c r="A143" s="14" t="str" xml:space="preserve">
        <v> </v>
      </c>
      <c r="B143" s="14" t="str" xml:space="preserve">
        <v> </v>
      </c>
      <c r="C143" s="147" t="str" xml:space="preserve">
        <v> </v>
      </c>
      <c r="D143" s="147" t="str" xml:space="preserve">
        <v> </v>
      </c>
      <c r="E143" s="42">
        <f>E25</f>
      </c>
      <c r="F143" s="47">
        <f>IF(E143="", "", IF(G143="BP", E143, F142))</f>
      </c>
      <c r="G143" s="43"/>
      <c r="H143" s="43"/>
      <c r="I143" s="43"/>
      <c r="J143" s="43"/>
      <c r="K143" s="43"/>
      <c r="L143" s="43"/>
      <c r="M143" s="43" t="str">
        <v>B</v>
      </c>
      <c r="N143" s="77"/>
      <c r="O143" s="77"/>
      <c r="P143" s="77" t="str">
        <v>✅</v>
      </c>
      <c r="Q143" s="77"/>
      <c r="R143" s="43" t="str">
        <v>Straight_F_X1_Y1_Z1</v>
      </c>
      <c r="S143" s="47" t="str">
        <v>/Script/Engine.StaticMesh'/Game/Item/Rail/Straight/F/Normal/Straight_F_X1_Y1_Z1/Proxy/SM_Straight_F_X1_Y1_Z1_Proxy_B.SM_Straight_F_X1_Y1_Z1_Proxy_B'</v>
      </c>
      <c r="T143" s="126" t="str"/>
      <c r="U143" s="128"/>
      <c r="V143" s="128"/>
      <c r="W143" s="128"/>
      <c r="X143" s="48"/>
      <c r="Y143" s="48">
        <f>IF(AND(Q143="✅", OR(ISNUMBER(FIND("F",I143)), I143="CR")),   "X="&amp;U143*16&amp;",Y="&amp;(V143-1)*16&amp;",Z="&amp;IF(I143="FD", -(W143-1)*16, (W143-1)*16),   "")</f>
      </c>
      <c r="Z143" s="48">
        <f>IF(AND(Q143="✅", OR(ISNUMBER(FIND("F",I143)), I143="CR")), "P=0,Y=0,R=0", "")</f>
      </c>
      <c r="AA143" s="48" t="str"/>
      <c r="AB143" s="48" t="str"/>
      <c r="AC143" s="48" t="str"/>
      <c r="AD143" s="48" t="str"/>
      <c r="AE143" s="48" t="str"/>
      <c r="AF143" s="48"/>
      <c r="AG143" s="48" t="str"/>
      <c r="AH143" s="48" t="str"/>
      <c r="AI143" s="48" t="str"/>
      <c r="AJ143" s="48" t="str"/>
      <c r="AK143" s="48" t="str"/>
      <c r="AL143" s="48" t="str"/>
      <c r="AM143" s="48" t="str"/>
      <c r="AN143" s="48"/>
      <c r="AO143" s="48" t="str"/>
      <c r="AP143" s="48" t="str"/>
      <c r="AQ143" s="48" t="str"/>
      <c r="AR143" s="48" t="str"/>
      <c r="AS143" s="48" t="str"/>
      <c r="AT143" s="48" t="str"/>
      <c r="AU143" s="48" t="str"/>
      <c r="AV143" s="48"/>
      <c r="AW143" s="48">
        <f>IF(AND(Q143="✅", I143="U90"), "X="&amp;(U143-1)*16&amp;",Y="&amp;(V143-1)*16&amp;",Z="&amp;W143*16, "")</f>
      </c>
      <c r="AX143" s="48">
        <f>IF(AND(Q143="✅", I143="U90"), "P=90,Y=0,R=0", "")</f>
      </c>
      <c r="AY143" s="48" t="str"/>
      <c r="AZ143" s="48" t="str"/>
      <c r="BA143" s="48" t="str"/>
      <c r="BB143" s="48" t="str"/>
      <c r="BC143" s="48" t="str"/>
      <c r="BD143" s="48"/>
      <c r="BE143" s="48">
        <f>IF(AND(Q143="✅", I143="D90"), "X="&amp;(U143-1)*16&amp;",Y="&amp;(V143-1)*16&amp;",Z="&amp;(W143-2)*16, "")</f>
      </c>
      <c r="BF143" s="48">
        <f>IF(AND(Q143="✅", I143="D90"), "P=-90,Y=0,R=0", "")</f>
      </c>
      <c r="BG143" s="48" t="str"/>
      <c r="BH143" s="48" t="str"/>
      <c r="BI143" s="48" t="str"/>
      <c r="BJ143" s="48" t="str"/>
      <c r="BK143" s="48" t="str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</row>
    <row customHeight="true" hidden="true" ht="19" outlineLevel="4" r="144">
      <c r="A144" s="14"/>
      <c r="B144" s="14"/>
      <c r="C144" s="147"/>
      <c r="D144" s="147"/>
      <c r="E144" s="42">
        <f>E87</f>
      </c>
      <c r="F144" s="47">
        <f>IF(E144="", "", IF(G144="BP", E144, F143))</f>
      </c>
      <c r="G144" s="43"/>
      <c r="H144" s="43"/>
      <c r="I144" s="43"/>
      <c r="J144" s="43"/>
      <c r="K144" s="43"/>
      <c r="L144" s="43"/>
      <c r="M144" s="43" t="str">
        <v>L</v>
      </c>
      <c r="N144" s="77"/>
      <c r="O144" s="77"/>
      <c r="P144" s="77" t="str">
        <v>✅</v>
      </c>
      <c r="Q144" s="77"/>
      <c r="R144" s="43" t="str">
        <v>Straight_L90_X1_Y1_Z1</v>
      </c>
      <c r="S144" s="47" t="str">
        <v>/Script/Engine.StaticMesh'/Game/Item/Rail/Straight/L90/Normal/Straight_L90_X1_Y1_Z1/Proxy/SM_Straight_L90_X1_Y1_Z1_Proxy_L.SM_Straight_L90_X1_Y1_Z1_Proxy_L'</v>
      </c>
      <c r="T144" s="126" t="str"/>
      <c r="U144" s="128"/>
      <c r="V144" s="128"/>
      <c r="W144" s="128"/>
      <c r="X144" s="48"/>
      <c r="Y144" s="48"/>
      <c r="Z144" s="48"/>
      <c r="AA144" s="48" t="str"/>
      <c r="AB144" s="48" t="str"/>
      <c r="AC144" s="48" t="str"/>
      <c r="AD144" s="48" t="str"/>
      <c r="AE144" s="48" t="str"/>
      <c r="AF144" s="48"/>
      <c r="AG144" s="48" t="str"/>
      <c r="AH144" s="48" t="str"/>
      <c r="AI144" s="48" t="str"/>
      <c r="AJ144" s="48" t="str"/>
      <c r="AK144" s="48" t="str"/>
      <c r="AL144" s="48" t="str"/>
      <c r="AM144" s="48" t="str"/>
      <c r="AN144" s="48"/>
      <c r="AO144" s="48" t="str"/>
      <c r="AP144" s="48" t="str"/>
      <c r="AQ144" s="48" t="str"/>
      <c r="AR144" s="48" t="str"/>
      <c r="AS144" s="48" t="str"/>
      <c r="AT144" s="48" t="str"/>
      <c r="AU144" s="48" t="str"/>
      <c r="AV144" s="48"/>
      <c r="AW144" s="48"/>
      <c r="AX144" s="48"/>
      <c r="AY144" s="48" t="str"/>
      <c r="AZ144" s="48" t="str"/>
      <c r="BA144" s="48" t="str"/>
      <c r="BB144" s="48" t="str"/>
      <c r="BC144" s="48" t="str"/>
      <c r="BD144" s="48"/>
      <c r="BE144" s="48"/>
      <c r="BF144" s="48"/>
      <c r="BG144" s="48" t="str"/>
      <c r="BH144" s="48" t="str"/>
      <c r="BI144" s="48" t="str"/>
      <c r="BJ144" s="48" t="str"/>
      <c r="BK144" s="48" t="str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</row>
    <row customHeight="true" hidden="true" ht="19" outlineLevel="4" r="145">
      <c r="A145" s="14" t="str" xml:space="preserve">
        <v> </v>
      </c>
      <c r="B145" s="14" t="str" xml:space="preserve">
        <v> </v>
      </c>
      <c r="C145" s="147" t="str" xml:space="preserve">
        <v> </v>
      </c>
      <c r="D145" s="147" t="str" xml:space="preserve">
        <v> </v>
      </c>
      <c r="E145" s="42">
        <f>E27</f>
      </c>
      <c r="F145" s="47">
        <f>IF(E145="", "", IF(G145="BP", E145, F143))</f>
      </c>
      <c r="G145" s="43"/>
      <c r="H145" s="43"/>
      <c r="I145" s="43"/>
      <c r="J145" s="43"/>
      <c r="K145" s="43"/>
      <c r="L145" s="43"/>
      <c r="M145" s="43" t="str">
        <v>R</v>
      </c>
      <c r="N145" s="77"/>
      <c r="O145" s="77"/>
      <c r="P145" s="77" t="str">
        <v>✅</v>
      </c>
      <c r="Q145" s="77"/>
      <c r="R145" s="43" t="str">
        <v>Straight_F_X1_Y1_Z1</v>
      </c>
      <c r="S145" s="47" t="str">
        <v>/Script/Engine.StaticMesh'/Game/Item/Rail/Straight/F/Normal/Straight_F_X1_Y1_Z1/Proxy/SM_Straight_F_X1_Y1_Z1_Proxy_R.SM_Straight_F_X1_Y1_Z1_Proxy_R'</v>
      </c>
      <c r="T145" s="126" t="str"/>
      <c r="U145" s="128"/>
      <c r="V145" s="128"/>
      <c r="W145" s="128"/>
      <c r="X145" s="48"/>
      <c r="Y145" s="48">
        <f>IF(AND(Q145="✅", OR(ISNUMBER(FIND("F",I145)), I145="CR")),   "X="&amp;U145*16&amp;",Y="&amp;(V145-1)*16&amp;",Z="&amp;IF(I145="FD", -(W145-1)*16, (W145-1)*16),   "")</f>
      </c>
      <c r="Z145" s="48">
        <f>IF(AND(Q145="✅", OR(ISNUMBER(FIND("F",I145)), I145="CR")), "P=0,Y=0,R=0", "")</f>
      </c>
      <c r="AA145" s="48" t="str"/>
      <c r="AB145" s="48" t="str"/>
      <c r="AC145" s="48" t="str"/>
      <c r="AD145" s="48" t="str"/>
      <c r="AE145" s="48" t="str"/>
      <c r="AF145" s="48"/>
      <c r="AG145" s="48" t="str"/>
      <c r="AH145" s="48" t="str"/>
      <c r="AI145" s="48" t="str"/>
      <c r="AJ145" s="48" t="str"/>
      <c r="AK145" s="48" t="str"/>
      <c r="AL145" s="48" t="str"/>
      <c r="AM145" s="48" t="str"/>
      <c r="AN145" s="48"/>
      <c r="AO145" s="48" t="str"/>
      <c r="AP145" s="48" t="str"/>
      <c r="AQ145" s="48" t="str"/>
      <c r="AR145" s="48" t="str"/>
      <c r="AS145" s="48" t="str"/>
      <c r="AT145" s="48" t="str"/>
      <c r="AU145" s="48" t="str"/>
      <c r="AV145" s="48"/>
      <c r="AW145" s="48">
        <f>IF(AND(Q145="✅", I145="U90"), "X="&amp;(U145-1)*16&amp;",Y="&amp;(V145-1)*16&amp;",Z="&amp;W145*16, "")</f>
      </c>
      <c r="AX145" s="48">
        <f>IF(AND(Q145="✅", I145="U90"), "P=90,Y=0,R=0", "")</f>
      </c>
      <c r="AY145" s="48" t="str"/>
      <c r="AZ145" s="48" t="str"/>
      <c r="BA145" s="48" t="str"/>
      <c r="BB145" s="48" t="str"/>
      <c r="BC145" s="48" t="str"/>
      <c r="BD145" s="48"/>
      <c r="BE145" s="48">
        <f>IF(AND(Q145="✅", I145="D90"), "X="&amp;(U145-1)*16&amp;",Y="&amp;(V145-1)*16&amp;",Z="&amp;(W145-2)*16, "")</f>
      </c>
      <c r="BF145" s="48">
        <f>IF(AND(Q145="✅", I145="D90"), "P=-90,Y=0,R=0", "")</f>
      </c>
      <c r="BG145" s="48" t="str"/>
      <c r="BH145" s="48" t="str"/>
      <c r="BI145" s="48" t="str"/>
      <c r="BJ145" s="48" t="str"/>
      <c r="BK145" s="48" t="str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</row>
    <row collapsed="true" customHeight="true" ht="19" outlineLevel="2" r="146">
      <c r="A146" s="11"/>
      <c r="B146" s="11"/>
      <c r="C146" s="119" t="str">
        <v>Borderless_O</v>
      </c>
      <c r="D146" s="119"/>
      <c r="E146" s="5"/>
      <c r="F146" s="9">
        <f>IF(E146="", "", IF(G146="BP", E146, F145))</f>
      </c>
      <c r="G146" s="1"/>
      <c r="H146" s="1"/>
      <c r="I146" s="1"/>
      <c r="J146" s="1"/>
      <c r="K146" s="1"/>
      <c r="L146" s="1"/>
      <c r="M146" s="1"/>
      <c r="N146" s="3"/>
      <c r="O146" s="3" t="str">
        <v>⭕</v>
      </c>
      <c r="P146" s="3"/>
      <c r="Q146" s="3"/>
      <c r="R146" s="1" t="str"/>
      <c r="S146" s="9" t="str"/>
      <c r="T146" s="120" t="str"/>
      <c r="U146" s="118"/>
      <c r="V146" s="118"/>
      <c r="W146" s="118"/>
      <c r="X146" s="4"/>
      <c r="Y146" s="4">
        <f>IF(AND(Q146="✅", OR(ISNUMBER(FIND("F",I146)), I146="CR")),   "X="&amp;U146*16&amp;",Y="&amp;(V146-1)*16&amp;",Z="&amp;IF(I146="FD", -(W146-1)*16, (W146-1)*16),   "")</f>
      </c>
      <c r="Z146" s="4">
        <f>IF(AND(Q146="✅", OR(ISNUMBER(FIND("F",I146)), I146="CR")), "P=0,Y=0,R=0", "")</f>
      </c>
      <c r="AA146" s="4" t="str"/>
      <c r="AB146" s="4" t="str"/>
      <c r="AC146" s="4" t="str"/>
      <c r="AD146" s="4" t="str"/>
      <c r="AE146" s="4" t="str"/>
      <c r="AF146" s="4"/>
      <c r="AG146" s="4" t="str"/>
      <c r="AH146" s="4" t="str"/>
      <c r="AI146" s="4" t="str"/>
      <c r="AJ146" s="4" t="str"/>
      <c r="AK146" s="4" t="str"/>
      <c r="AL146" s="4" t="str"/>
      <c r="AM146" s="4" t="str"/>
      <c r="AN146" s="4"/>
      <c r="AO146" s="4" t="str"/>
      <c r="AP146" s="4" t="str"/>
      <c r="AQ146" s="4" t="str"/>
      <c r="AR146" s="4" t="str"/>
      <c r="AS146" s="4" t="str"/>
      <c r="AT146" s="4" t="str"/>
      <c r="AU146" s="4" t="str"/>
      <c r="AV146" s="4"/>
      <c r="AW146" s="4">
        <f>IF(AND(Q146="✅", I146="U90"), "X="&amp;(U146-1)*16&amp;",Y="&amp;(V146-1)*16&amp;",Z="&amp;W146*16, "")</f>
      </c>
      <c r="AX146" s="4">
        <f>IF(AND(Q146="✅", I146="U90"), "P=90,Y=0,R=0", "")</f>
      </c>
      <c r="AY146" s="4" t="str"/>
      <c r="AZ146" s="4" t="str"/>
      <c r="BA146" s="4" t="str"/>
      <c r="BB146" s="4" t="str"/>
      <c r="BC146" s="4" t="str"/>
      <c r="BD146" s="4"/>
      <c r="BE146" s="4">
        <f>IF(AND(Q146="✅", I146="D90"), "X="&amp;(U146-1)*16&amp;",Y="&amp;(V146-1)*16&amp;",Z="&amp;(W146-2)*16, "")</f>
      </c>
      <c r="BF146" s="4">
        <f>IF(AND(Q146="✅", I146="D90"), "P=-90,Y=0,R=0", "")</f>
      </c>
      <c r="BG146" s="4" t="str"/>
      <c r="BH146" s="4" t="str"/>
      <c r="BI146" s="4" t="str"/>
      <c r="BJ146" s="4" t="str"/>
      <c r="BK146" s="4" t="str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</row>
    <row customHeight="true" hidden="true" ht="19" outlineLevel="3" r="147">
      <c r="A147" s="11"/>
      <c r="B147" s="11"/>
      <c r="C147" s="119"/>
      <c r="D147" s="119">
        <v>1</v>
      </c>
      <c r="E147" s="5"/>
      <c r="F147" s="9"/>
      <c r="G147" s="1"/>
      <c r="H147" s="1"/>
      <c r="I147" s="1"/>
      <c r="J147" s="1"/>
      <c r="K147" s="1"/>
      <c r="L147" s="1"/>
      <c r="M147" s="1"/>
      <c r="N147" s="3"/>
      <c r="O147" s="3"/>
      <c r="P147" s="3"/>
      <c r="Q147" s="3"/>
      <c r="R147" s="1" t="str"/>
      <c r="S147" s="9" t="str"/>
      <c r="T147" s="120" t="str"/>
      <c r="U147" s="118"/>
      <c r="V147" s="118"/>
      <c r="W147" s="118"/>
      <c r="X147" s="4"/>
      <c r="Y147" s="4">
        <f>IF(AND(Q147="✅", OR(ISNUMBER(FIND("F",I147)), I147="CR")),   "X="&amp;U147*16&amp;",Y="&amp;(V147-1)*16&amp;",Z="&amp;IF(I147="FD", -(W147-1)*16, (W147-1)*16),   "")</f>
      </c>
      <c r="Z147" s="4">
        <f>IF(AND(Q147="✅", OR(ISNUMBER(FIND("F",I147)), I147="CR")), "P=0,Y=0,R=0", "")</f>
      </c>
      <c r="AA147" s="4" t="str"/>
      <c r="AB147" s="4" t="str"/>
      <c r="AC147" s="4" t="str"/>
      <c r="AD147" s="4" t="str"/>
      <c r="AE147" s="4" t="str"/>
      <c r="AF147" s="4"/>
      <c r="AG147" s="4" t="str"/>
      <c r="AH147" s="4" t="str"/>
      <c r="AI147" s="4" t="str"/>
      <c r="AJ147" s="4" t="str"/>
      <c r="AK147" s="4" t="str"/>
      <c r="AL147" s="4" t="str"/>
      <c r="AM147" s="4" t="str"/>
      <c r="AN147" s="4"/>
      <c r="AO147" s="4" t="str"/>
      <c r="AP147" s="4" t="str"/>
      <c r="AQ147" s="4" t="str"/>
      <c r="AR147" s="4" t="str"/>
      <c r="AS147" s="4" t="str"/>
      <c r="AT147" s="4" t="str"/>
      <c r="AU147" s="4" t="str"/>
      <c r="AV147" s="4"/>
      <c r="AW147" s="4">
        <f>IF(AND(Q147="✅", I147="U90"), "X="&amp;(U147-1)*16&amp;",Y="&amp;(V147-1)*16&amp;",Z="&amp;W147*16, "")</f>
      </c>
      <c r="AX147" s="4">
        <f>IF(AND(Q147="✅", I147="U90"), "P=90,Y=0,R=0", "")</f>
      </c>
      <c r="AY147" s="4" t="str"/>
      <c r="AZ147" s="4" t="str"/>
      <c r="BA147" s="4" t="str"/>
      <c r="BB147" s="4" t="str"/>
      <c r="BC147" s="4" t="str"/>
      <c r="BD147" s="4"/>
      <c r="BE147" s="4">
        <f>IF(AND(Q147="✅", I147="D90"), "X="&amp;(U147-1)*16&amp;",Y="&amp;(V147-1)*16&amp;",Z="&amp;(W147-2)*16, "")</f>
      </c>
      <c r="BF147" s="4">
        <f>IF(AND(Q147="✅", I147="D90"), "P=-90,Y=0,R=0", "")</f>
      </c>
      <c r="BG147" s="4" t="str"/>
      <c r="BH147" s="4" t="str"/>
      <c r="BI147" s="4" t="str"/>
      <c r="BJ147" s="4" t="str"/>
      <c r="BK147" s="4" t="str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</row>
    <row customHeight="true" hidden="true" ht="19" outlineLevel="4" r="148">
      <c r="A148" s="106" t="str" xml:space="preserve">
        <v> </v>
      </c>
      <c r="B148" s="106" t="str" xml:space="preserve">
        <v> </v>
      </c>
      <c r="C148" s="155" t="str" xml:space="preserve">
        <v> </v>
      </c>
      <c r="D148" s="155" t="str" xml:space="preserve">
        <v> </v>
      </c>
      <c r="E148" s="51">
        <f>G148 &amp; "_" &amp; H148 &amp; IF(I148&lt;&gt;"", "_" &amp; I148, "") &amp; IF(J148&lt;&gt;"", "_" &amp; J148, "") &amp; IF(K148&lt;&gt;"", "_" &amp; K148, "") &amp;"_X"&amp;U148&amp;"_Y"&amp;V148&amp;"_Z"&amp;W148 &amp; IF(G148="SM", "_Proxy" , "_Rail") &amp; IF(M148&lt;&gt;"", "_" &amp; M148, "")</f>
      </c>
      <c r="F148" s="54">
        <f>IF(E148="", "", IF(G148="BP", E148, F146))</f>
      </c>
      <c r="G148" s="52" t="str">
        <v>BP</v>
      </c>
      <c r="H148" s="52" t="str">
        <v>Straight</v>
      </c>
      <c r="I148" s="52" t="str">
        <v>FL90</v>
      </c>
      <c r="J148" s="52" t="str">
        <v>Borderless_O</v>
      </c>
      <c r="K148" s="52"/>
      <c r="L148" s="52"/>
      <c r="M148" s="52"/>
      <c r="N148" s="101"/>
      <c r="O148" s="101"/>
      <c r="P148" s="101"/>
      <c r="Q148" s="101" t="str">
        <v>⭕</v>
      </c>
      <c r="R148" s="52" t="str"/>
      <c r="S148" s="54" t="str"/>
      <c r="T148" s="138">
        <v>1.5</v>
      </c>
      <c r="U148" s="137">
        <v>1</v>
      </c>
      <c r="V148" s="137">
        <v>1</v>
      </c>
      <c r="W148" s="137">
        <v>1</v>
      </c>
      <c r="X148" s="53"/>
      <c r="Y148" s="53">
        <f>IF(AND(Q148="✅", OR(ISNUMBER(FIND("F",I148)), I148="CR")),   "X="&amp;U148*16&amp;",Y="&amp;(V148-1)*16&amp;",Z="&amp;IF(I148="FD", -(W148-1)*16, (W148-1)*16),   "")</f>
      </c>
      <c r="Z148" s="53">
        <f>IF(AND(Q148="✅", OR(ISNUMBER(FIND("F",I148)), I148="CR")), "P=0,Y=0,R=0", "")</f>
      </c>
      <c r="AA148" s="53" t="str"/>
      <c r="AB148" s="53" t="str"/>
      <c r="AC148" s="53" t="str"/>
      <c r="AD148" s="53" t="str"/>
      <c r="AE148" s="53" t="str"/>
      <c r="AF148" s="53"/>
      <c r="AG148" s="53" t="str"/>
      <c r="AH148" s="53" t="str"/>
      <c r="AI148" s="53" t="str"/>
      <c r="AJ148" s="53" t="str"/>
      <c r="AK148" s="53" t="str"/>
      <c r="AL148" s="53" t="str"/>
      <c r="AM148" s="53" t="str"/>
      <c r="AN148" s="53"/>
      <c r="AO148" s="53" t="str"/>
      <c r="AP148" s="53" t="str"/>
      <c r="AQ148" s="53" t="str"/>
      <c r="AR148" s="53" t="str"/>
      <c r="AS148" s="53" t="str"/>
      <c r="AT148" s="53" t="str"/>
      <c r="AU148" s="53" t="str"/>
      <c r="AV148" s="53"/>
      <c r="AW148" s="53">
        <f>IF(AND(Q148="✅", I148="U90"), "X="&amp;(U148-1)*16&amp;",Y="&amp;(V148-1)*16&amp;",Z="&amp;W148*16, "")</f>
      </c>
      <c r="AX148" s="53">
        <f>IF(AND(Q148="✅", I148="U90"), "P=90,Y=0,R=0", "")</f>
      </c>
      <c r="AY148" s="53" t="str"/>
      <c r="AZ148" s="53" t="str"/>
      <c r="BA148" s="53" t="str"/>
      <c r="BB148" s="53" t="str"/>
      <c r="BC148" s="53" t="str"/>
      <c r="BD148" s="53"/>
      <c r="BE148" s="53">
        <f>IF(AND(Q148="✅", I148="D90"), "X="&amp;(U148-1)*16&amp;",Y="&amp;(V148-1)*16&amp;",Z="&amp;(W148-2)*16, "")</f>
      </c>
      <c r="BF148" s="53">
        <f>IF(AND(Q148="✅", I148="D90"), "P=-90,Y=0,R=0", "")</f>
      </c>
      <c r="BG148" s="53" t="str"/>
      <c r="BH148" s="53" t="str"/>
      <c r="BI148" s="53" t="str"/>
      <c r="BJ148" s="53" t="str"/>
      <c r="BK148" s="53" t="str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</row>
    <row customHeight="true" hidden="true" ht="19" outlineLevel="4" r="149">
      <c r="A149" s="106" t="str" xml:space="preserve">
        <v> </v>
      </c>
      <c r="B149" s="106" t="str" xml:space="preserve">
        <v> </v>
      </c>
      <c r="C149" s="106" t="str" xml:space="preserve">
        <v> </v>
      </c>
      <c r="D149" s="106" t="str" xml:space="preserve">
        <v> </v>
      </c>
      <c r="E149" s="51">
        <f>E25</f>
      </c>
      <c r="F149" s="54">
        <f>IF(E149="", "", IF(G149="BP", E149, F148))</f>
      </c>
      <c r="G149" s="52"/>
      <c r="H149" s="52"/>
      <c r="I149" s="52"/>
      <c r="J149" s="52"/>
      <c r="K149" s="52"/>
      <c r="L149" s="52"/>
      <c r="M149" s="52" t="str">
        <v>B</v>
      </c>
      <c r="N149" s="101"/>
      <c r="O149" s="101"/>
      <c r="P149" s="101" t="str">
        <v>✅</v>
      </c>
      <c r="Q149" s="101"/>
      <c r="R149" s="52" t="str">
        <v>Straight_F_X1_Y1_Z1</v>
      </c>
      <c r="S149" s="54" t="str">
        <v>/Script/Engine.StaticMesh'/Game/Item/Rail/Straight/F/Normal/Straight_F_X1_Y1_Z1/Proxy/SM_Straight_F_X1_Y1_Z1_Proxy_B.SM_Straight_F_X1_Y1_Z1_Proxy_B'</v>
      </c>
      <c r="T149" s="138" t="str"/>
      <c r="U149" s="137"/>
      <c r="V149" s="137"/>
      <c r="W149" s="137"/>
      <c r="X149" s="53"/>
      <c r="Y149" s="53">
        <f>IF(AND(Q149="✅", OR(ISNUMBER(FIND("F",I149)), I149="CR")),   "X="&amp;U149*16&amp;",Y="&amp;(V149-1)*16&amp;",Z="&amp;IF(I149="FD", -(W149-1)*16, (W149-1)*16),   "")</f>
      </c>
      <c r="Z149" s="53">
        <f>IF(AND(Q149="✅", OR(ISNUMBER(FIND("F",I149)), I149="CR")), "P=0,Y=0,R=0", "")</f>
      </c>
      <c r="AA149" s="53" t="str"/>
      <c r="AB149" s="53" t="str"/>
      <c r="AC149" s="53" t="str"/>
      <c r="AD149" s="53" t="str"/>
      <c r="AE149" s="53" t="str"/>
      <c r="AF149" s="53"/>
      <c r="AG149" s="53" t="str"/>
      <c r="AH149" s="53" t="str"/>
      <c r="AI149" s="53" t="str"/>
      <c r="AJ149" s="53" t="str"/>
      <c r="AK149" s="53" t="str"/>
      <c r="AL149" s="53" t="str"/>
      <c r="AM149" s="53" t="str"/>
      <c r="AN149" s="53"/>
      <c r="AO149" s="53" t="str"/>
      <c r="AP149" s="53" t="str"/>
      <c r="AQ149" s="53" t="str"/>
      <c r="AR149" s="53" t="str"/>
      <c r="AS149" s="53" t="str"/>
      <c r="AT149" s="53" t="str"/>
      <c r="AU149" s="53" t="str"/>
      <c r="AV149" s="53"/>
      <c r="AW149" s="53">
        <f>IF(AND(Q149="✅", I149="U90"), "X="&amp;(U149-1)*16&amp;",Y="&amp;(V149-1)*16&amp;",Z="&amp;W149*16, "")</f>
      </c>
      <c r="AX149" s="53">
        <f>IF(AND(Q149="✅", I149="U90"), "P=90,Y=0,R=0", "")</f>
      </c>
      <c r="AY149" s="53" t="str"/>
      <c r="AZ149" s="53" t="str"/>
      <c r="BA149" s="53" t="str"/>
      <c r="BB149" s="53" t="str"/>
      <c r="BC149" s="53" t="str"/>
      <c r="BD149" s="53"/>
      <c r="BE149" s="53">
        <f>IF(AND(Q149="✅", I149="D90"), "X="&amp;(U149-1)*16&amp;",Y="&amp;(V149-1)*16&amp;",Z="&amp;(W149-2)*16, "")</f>
      </c>
      <c r="BF149" s="53">
        <f>IF(AND(Q149="✅", I149="D90"), "P=-90,Y=0,R=0", "")</f>
      </c>
      <c r="BG149" s="53" t="str"/>
      <c r="BH149" s="53" t="str"/>
      <c r="BI149" s="53" t="str"/>
      <c r="BJ149" s="53" t="str"/>
      <c r="BK149" s="53" t="str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</row>
    <row customHeight="true" hidden="true" ht="19" outlineLevel="4" r="150">
      <c r="A150" s="106" t="str" xml:space="preserve">
        <v> </v>
      </c>
      <c r="B150" s="106" t="str" xml:space="preserve">
        <v> </v>
      </c>
      <c r="C150" s="106" t="str" xml:space="preserve">
        <v> </v>
      </c>
      <c r="D150" s="106" t="str" xml:space="preserve">
        <v> </v>
      </c>
      <c r="E150" s="51">
        <f>E87</f>
      </c>
      <c r="F150" s="54">
        <f>IF(E150="", "", IF(G150="BP", E150, F149))</f>
      </c>
      <c r="G150" s="52"/>
      <c r="H150" s="52"/>
      <c r="I150" s="52"/>
      <c r="J150" s="52"/>
      <c r="K150" s="52"/>
      <c r="L150" s="52"/>
      <c r="M150" s="52" t="str">
        <v>L</v>
      </c>
      <c r="N150" s="101"/>
      <c r="O150" s="101"/>
      <c r="P150" s="101" t="str">
        <v>✅</v>
      </c>
      <c r="Q150" s="101"/>
      <c r="R150" s="52" t="str">
        <v>Straight_L90_X1_Y1_Z1</v>
      </c>
      <c r="S150" s="54" t="str">
        <v>/Script/Engine.StaticMesh'/Game/Item/Rail/Straight/L90/Normal/Straight_L90_X1_Y1_Z1/Proxy/SM_Straight_L90_X1_Y1_Z1_Proxy_L.SM_Straight_L90_X1_Y1_Z1_Proxy_L'</v>
      </c>
      <c r="T150" s="138" t="str"/>
      <c r="U150" s="137"/>
      <c r="V150" s="137"/>
      <c r="W150" s="137"/>
      <c r="X150" s="53"/>
      <c r="Y150" s="53"/>
      <c r="Z150" s="53"/>
      <c r="AA150" s="53" t="str"/>
      <c r="AB150" s="53" t="str"/>
      <c r="AC150" s="53" t="str"/>
      <c r="AD150" s="53" t="str"/>
      <c r="AE150" s="53" t="str"/>
      <c r="AF150" s="53"/>
      <c r="AG150" s="53" t="str"/>
      <c r="AH150" s="53" t="str"/>
      <c r="AI150" s="53" t="str"/>
      <c r="AJ150" s="53" t="str"/>
      <c r="AK150" s="53" t="str"/>
      <c r="AL150" s="53" t="str"/>
      <c r="AM150" s="53" t="str"/>
      <c r="AN150" s="53"/>
      <c r="AO150" s="53" t="str"/>
      <c r="AP150" s="53" t="str"/>
      <c r="AQ150" s="53" t="str"/>
      <c r="AR150" s="53" t="str"/>
      <c r="AS150" s="53" t="str"/>
      <c r="AT150" s="53" t="str"/>
      <c r="AU150" s="53" t="str"/>
      <c r="AV150" s="53"/>
      <c r="AW150" s="53"/>
      <c r="AX150" s="53"/>
      <c r="AY150" s="53" t="str"/>
      <c r="AZ150" s="53" t="str"/>
      <c r="BA150" s="53" t="str"/>
      <c r="BB150" s="53" t="str"/>
      <c r="BC150" s="53" t="str"/>
      <c r="BD150" s="53"/>
      <c r="BE150" s="53"/>
      <c r="BF150" s="53"/>
      <c r="BG150" s="53" t="str"/>
      <c r="BH150" s="53" t="str"/>
      <c r="BI150" s="53" t="str"/>
      <c r="BJ150" s="53" t="str"/>
      <c r="BK150" s="53" t="str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</row>
    <row customHeight="true" ht="19" outlineLevel="1" r="151">
      <c r="A151" s="11"/>
      <c r="B151" s="11" t="str">
        <v>FR90</v>
      </c>
      <c r="C151" s="119"/>
      <c r="D151" s="119"/>
      <c r="E151" s="5"/>
      <c r="F151" s="9">
        <f>IF(E151="", "", IF(G151="BP", E151, F183))</f>
      </c>
      <c r="G151" s="1"/>
      <c r="H151" s="1"/>
      <c r="I151" s="1"/>
      <c r="J151" s="1"/>
      <c r="K151" s="1"/>
      <c r="L151" s="1"/>
      <c r="M151" s="1"/>
      <c r="N151" s="3"/>
      <c r="O151" s="3"/>
      <c r="P151" s="3"/>
      <c r="Q151" s="3"/>
      <c r="R151" s="1" t="str"/>
      <c r="S151" s="9" t="str"/>
      <c r="T151" s="120" t="str"/>
      <c r="U151" s="118"/>
      <c r="V151" s="118"/>
      <c r="W151" s="118"/>
      <c r="X151" s="4"/>
      <c r="Y151" s="4">
        <f>IF(AND(Q151="✅", OR(ISNUMBER(FIND("F",I151)), I151="CR")),   "X="&amp;U151*16&amp;",Y="&amp;(V151-1)*16&amp;",Z="&amp;IF(I151="FD", -(W151-1)*16, (W151-1)*16),   "")</f>
      </c>
      <c r="Z151" s="4">
        <f>IF(AND(Q151="✅", OR(ISNUMBER(FIND("F",I151)), I151="CR")), "P=0,Y=0,R=0", "")</f>
      </c>
      <c r="AA151" s="4" t="str"/>
      <c r="AB151" s="4" t="str"/>
      <c r="AC151" s="4" t="str"/>
      <c r="AD151" s="4" t="str"/>
      <c r="AE151" s="4" t="str"/>
      <c r="AF151" s="4"/>
      <c r="AG151" s="4" t="str"/>
      <c r="AH151" s="4" t="str"/>
      <c r="AI151" s="4" t="str"/>
      <c r="AJ151" s="4" t="str"/>
      <c r="AK151" s="4" t="str"/>
      <c r="AL151" s="4" t="str"/>
      <c r="AM151" s="4" t="str"/>
      <c r="AN151" s="4"/>
      <c r="AO151" s="4" t="str"/>
      <c r="AP151" s="4" t="str"/>
      <c r="AQ151" s="4" t="str"/>
      <c r="AR151" s="4" t="str"/>
      <c r="AS151" s="4" t="str"/>
      <c r="AT151" s="4" t="str"/>
      <c r="AU151" s="4" t="str"/>
      <c r="AV151" s="4"/>
      <c r="AW151" s="4">
        <f>IF(AND(Q151="✅", I151="U90"), "X="&amp;(U151-1)*16&amp;",Y="&amp;(V151-1)*16&amp;",Z="&amp;W151*16, "")</f>
      </c>
      <c r="AX151" s="4">
        <f>IF(AND(Q151="✅", I151="U90"), "P=90,Y=0,R=0", "")</f>
      </c>
      <c r="AY151" s="4" t="str"/>
      <c r="AZ151" s="4" t="str"/>
      <c r="BA151" s="4" t="str"/>
      <c r="BB151" s="4" t="str"/>
      <c r="BC151" s="4" t="str"/>
      <c r="BD151" s="4"/>
      <c r="BE151" s="4">
        <f>IF(AND(Q151="✅", I151="D90"), "X="&amp;(U151-1)*16&amp;",Y="&amp;(V151-1)*16&amp;",Z="&amp;(W151-2)*16, "")</f>
      </c>
      <c r="BF151" s="4">
        <f>IF(AND(Q151="✅", I151="D90"), "P=-90,Y=0,R=0", "")</f>
      </c>
      <c r="BG151" s="4" t="str"/>
      <c r="BH151" s="4" t="str"/>
      <c r="BI151" s="4" t="str"/>
      <c r="BJ151" s="4" t="str"/>
      <c r="BK151" s="4" t="str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</row>
    <row collapsed="true" customHeight="true" ht="19" outlineLevel="2" r="152">
      <c r="A152" s="11"/>
      <c r="B152" s="11"/>
      <c r="C152" s="119" t="str">
        <v>Normal</v>
      </c>
      <c r="D152" s="119"/>
      <c r="E152" s="5"/>
      <c r="F152" s="9">
        <f>IF(E152="", "", IF(G152="BP", E152, F151))</f>
      </c>
      <c r="G152" s="1"/>
      <c r="H152" s="1"/>
      <c r="I152" s="1"/>
      <c r="J152" s="1"/>
      <c r="K152" s="1"/>
      <c r="L152" s="1"/>
      <c r="M152" s="1"/>
      <c r="N152" s="3"/>
      <c r="O152" s="3" t="str">
        <v>⭕</v>
      </c>
      <c r="P152" s="3"/>
      <c r="Q152" s="3"/>
      <c r="R152" s="1" t="str"/>
      <c r="S152" s="9" t="str"/>
      <c r="T152" s="120" t="str"/>
      <c r="U152" s="118"/>
      <c r="V152" s="118"/>
      <c r="W152" s="118"/>
      <c r="X152" s="4"/>
      <c r="Y152" s="4">
        <f>IF(AND(Q152="✅", OR(ISNUMBER(FIND("F",I152)), I152="CR")),   "X="&amp;U152*16&amp;",Y="&amp;(V152-1)*16&amp;",Z="&amp;IF(I152="FD", -(W152-1)*16, (W152-1)*16),   "")</f>
      </c>
      <c r="Z152" s="4">
        <f>IF(AND(Q152="✅", OR(ISNUMBER(FIND("F",I152)), I152="CR")), "P=0,Y=0,R=0", "")</f>
      </c>
      <c r="AA152" s="4" t="str"/>
      <c r="AB152" s="4" t="str"/>
      <c r="AC152" s="4" t="str"/>
      <c r="AD152" s="4" t="str"/>
      <c r="AE152" s="4" t="str"/>
      <c r="AF152" s="4"/>
      <c r="AG152" s="4" t="str"/>
      <c r="AH152" s="4" t="str"/>
      <c r="AI152" s="4" t="str"/>
      <c r="AJ152" s="4" t="str"/>
      <c r="AK152" s="4" t="str"/>
      <c r="AL152" s="4" t="str"/>
      <c r="AM152" s="4" t="str"/>
      <c r="AN152" s="4"/>
      <c r="AO152" s="4" t="str"/>
      <c r="AP152" s="4" t="str"/>
      <c r="AQ152" s="4" t="str"/>
      <c r="AR152" s="4" t="str"/>
      <c r="AS152" s="4" t="str"/>
      <c r="AT152" s="4" t="str"/>
      <c r="AU152" s="4" t="str"/>
      <c r="AV152" s="4"/>
      <c r="AW152" s="4">
        <f>IF(AND(Q152="✅", I152="U90"), "X="&amp;(U152-1)*16&amp;",Y="&amp;(V152-1)*16&amp;",Z="&amp;W152*16, "")</f>
      </c>
      <c r="AX152" s="4">
        <f>IF(AND(Q152="✅", I152="U90"), "P=90,Y=0,R=0", "")</f>
      </c>
      <c r="AY152" s="4" t="str"/>
      <c r="AZ152" s="4" t="str"/>
      <c r="BA152" s="4" t="str"/>
      <c r="BB152" s="4" t="str"/>
      <c r="BC152" s="4" t="str"/>
      <c r="BD152" s="4"/>
      <c r="BE152" s="4">
        <f>IF(AND(Q152="✅", I152="D90"), "X="&amp;(U152-1)*16&amp;",Y="&amp;(V152-1)*16&amp;",Z="&amp;(W152-2)*16, "")</f>
      </c>
      <c r="BF152" s="4">
        <f>IF(AND(Q152="✅", I152="D90"), "P=-90,Y=0,R=0", "")</f>
      </c>
      <c r="BG152" s="4" t="str"/>
      <c r="BH152" s="4" t="str"/>
      <c r="BI152" s="4" t="str"/>
      <c r="BJ152" s="4" t="str"/>
      <c r="BK152" s="4" t="str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</row>
    <row customHeight="true" hidden="true" ht="19" outlineLevel="3" r="153">
      <c r="A153" s="11"/>
      <c r="B153" s="11"/>
      <c r="C153" s="119"/>
      <c r="D153" s="119">
        <v>1</v>
      </c>
      <c r="E153" s="5"/>
      <c r="F153" s="9"/>
      <c r="G153" s="1"/>
      <c r="H153" s="1"/>
      <c r="I153" s="1"/>
      <c r="J153" s="1"/>
      <c r="K153" s="1"/>
      <c r="L153" s="1"/>
      <c r="M153" s="1"/>
      <c r="N153" s="3"/>
      <c r="O153" s="3"/>
      <c r="P153" s="3"/>
      <c r="Q153" s="3"/>
      <c r="R153" s="1" t="str"/>
      <c r="S153" s="9" t="str"/>
      <c r="T153" s="120" t="str"/>
      <c r="U153" s="118"/>
      <c r="V153" s="118"/>
      <c r="W153" s="118"/>
      <c r="X153" s="4"/>
      <c r="Y153" s="4">
        <f>IF(AND(Q153="✅", OR(ISNUMBER(FIND("F",I153)), I153="CR")),   "X="&amp;U153*16&amp;",Y="&amp;(V153-1)*16&amp;",Z="&amp;IF(I153="FD", -(W153-1)*16, (W153-1)*16),   "")</f>
      </c>
      <c r="Z153" s="4">
        <f>IF(AND(Q153="✅", OR(ISNUMBER(FIND("F",I153)), I153="CR")), "P=0,Y=0,R=0", "")</f>
      </c>
      <c r="AA153" s="4" t="str"/>
      <c r="AB153" s="4" t="str"/>
      <c r="AC153" s="4" t="str"/>
      <c r="AD153" s="4" t="str"/>
      <c r="AE153" s="4" t="str"/>
      <c r="AF153" s="4"/>
      <c r="AG153" s="4" t="str"/>
      <c r="AH153" s="4" t="str"/>
      <c r="AI153" s="4" t="str"/>
      <c r="AJ153" s="4" t="str"/>
      <c r="AK153" s="4" t="str"/>
      <c r="AL153" s="4" t="str"/>
      <c r="AM153" s="4" t="str"/>
      <c r="AN153" s="4"/>
      <c r="AO153" s="4" t="str"/>
      <c r="AP153" s="4" t="str"/>
      <c r="AQ153" s="4" t="str"/>
      <c r="AR153" s="4" t="str"/>
      <c r="AS153" s="4" t="str"/>
      <c r="AT153" s="4" t="str"/>
      <c r="AU153" s="4" t="str"/>
      <c r="AV153" s="4"/>
      <c r="AW153" s="4">
        <f>IF(AND(Q153="✅", I153="U90"), "X="&amp;(U153-1)*16&amp;",Y="&amp;(V153-1)*16&amp;",Z="&amp;W153*16, "")</f>
      </c>
      <c r="AX153" s="4">
        <f>IF(AND(Q153="✅", I153="U90"), "P=90,Y=0,R=0", "")</f>
      </c>
      <c r="AY153" s="4" t="str"/>
      <c r="AZ153" s="4" t="str"/>
      <c r="BA153" s="4" t="str"/>
      <c r="BB153" s="4" t="str"/>
      <c r="BC153" s="4" t="str"/>
      <c r="BD153" s="4"/>
      <c r="BE153" s="4">
        <f>IF(AND(Q153="✅", I153="D90"), "X="&amp;(U153-1)*16&amp;",Y="&amp;(V153-1)*16&amp;",Z="&amp;(W153-2)*16, "")</f>
      </c>
      <c r="BF153" s="4">
        <f>IF(AND(Q153="✅", I153="D90"), "P=-90,Y=0,R=0", "")</f>
      </c>
      <c r="BG153" s="4" t="str"/>
      <c r="BH153" s="4" t="str"/>
      <c r="BI153" s="4" t="str"/>
      <c r="BJ153" s="4" t="str"/>
      <c r="BK153" s="4" t="str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</row>
    <row hidden="true" outlineLevel="4" r="154">
      <c r="A154" s="14" t="str" xml:space="preserve">
        <v> </v>
      </c>
      <c r="B154" s="14" t="str" xml:space="preserve">
        <v> </v>
      </c>
      <c r="C154" s="147" t="str" xml:space="preserve">
        <v> </v>
      </c>
      <c r="D154" s="147" t="str" xml:space="preserve">
        <v> </v>
      </c>
      <c r="E154" s="42">
        <f>G154 &amp; "_" &amp; H154 &amp; IF(I154&lt;&gt;"", "_" &amp; I154, "") &amp; IF(J154&lt;&gt;"", "_" &amp; J154, "") &amp; IF(K154&lt;&gt;"", "_" &amp; K154, "") &amp;"_X"&amp;U154&amp;"_Y"&amp;V154&amp;"_Z"&amp;W154 &amp; IF(G154="SM", "_Proxy" , "_Rail") &amp; IF(M154&lt;&gt;"", "_" &amp; M154, "")</f>
      </c>
      <c r="F154" s="47">
        <f>IF(E154="", "", IF(G154="BP", E154, F152))</f>
      </c>
      <c r="G154" s="43" t="str">
        <v>BP</v>
      </c>
      <c r="H154" s="43" t="str">
        <v>Straight</v>
      </c>
      <c r="I154" s="43" t="str">
        <v>FR90</v>
      </c>
      <c r="J154" s="43"/>
      <c r="K154" s="43"/>
      <c r="L154" s="43"/>
      <c r="M154" s="43"/>
      <c r="N154" s="77"/>
      <c r="O154" s="77"/>
      <c r="P154" s="77"/>
      <c r="Q154" s="77" t="str">
        <v>⭕</v>
      </c>
      <c r="R154" s="43" t="str"/>
      <c r="S154" s="47" t="str"/>
      <c r="T154" s="126">
        <v>0</v>
      </c>
      <c r="U154" s="128">
        <v>1</v>
      </c>
      <c r="V154" s="128">
        <v>1</v>
      </c>
      <c r="W154" s="128">
        <v>1</v>
      </c>
      <c r="X154" s="48"/>
      <c r="Y154" s="48">
        <f>IF(AND(Q154="✅", OR(ISNUMBER(FIND("F",I154)), I154="CR")),   "X="&amp;U154*16&amp;",Y="&amp;(V154-1)*16&amp;",Z="&amp;IF(I154="FD", -(W154-1)*16, (W154-1)*16),   "")</f>
      </c>
      <c r="Z154" s="48">
        <f>IF(AND(Q154="✅", OR(ISNUMBER(FIND("F",I154)), I154="CR")), "P=0,Y=0,R=0", "")</f>
      </c>
      <c r="AA154" s="48" t="str"/>
      <c r="AB154" s="48" t="str"/>
      <c r="AC154" s="48" t="str"/>
      <c r="AD154" s="48" t="str"/>
      <c r="AE154" s="48" t="str"/>
      <c r="AF154" s="48"/>
      <c r="AG154" s="48" t="str"/>
      <c r="AH154" s="48" t="str"/>
      <c r="AI154" s="48" t="str"/>
      <c r="AJ154" s="48" t="str"/>
      <c r="AK154" s="48" t="str"/>
      <c r="AL154" s="48" t="str"/>
      <c r="AM154" s="48" t="str"/>
      <c r="AN154" s="48"/>
      <c r="AO154" s="48" t="str"/>
      <c r="AP154" s="48" t="str"/>
      <c r="AQ154" s="48" t="str"/>
      <c r="AR154" s="48" t="str"/>
      <c r="AS154" s="48" t="str"/>
      <c r="AT154" s="48" t="str"/>
      <c r="AU154" s="48" t="str"/>
      <c r="AV154" s="48"/>
      <c r="AW154" s="48">
        <f>IF(AND(Q154="✅", I154="U90"), "X="&amp;(U154-1)*16&amp;",Y="&amp;(V154-1)*16&amp;",Z="&amp;W154*16, "")</f>
      </c>
      <c r="AX154" s="48">
        <f>IF(AND(Q154="✅", I154="U90"), "P=90,Y=0,R=0", "")</f>
      </c>
      <c r="AY154" s="48" t="str"/>
      <c r="AZ154" s="48" t="str"/>
      <c r="BA154" s="48" t="str"/>
      <c r="BB154" s="48" t="str"/>
      <c r="BC154" s="48" t="str"/>
      <c r="BD154" s="48"/>
      <c r="BE154" s="48">
        <f>IF(AND(Q154="✅", I154="D90"), "X="&amp;(U154-1)*16&amp;",Y="&amp;(V154-1)*16&amp;",Z="&amp;(W154-2)*16, "")</f>
      </c>
      <c r="BF154" s="48">
        <f>IF(AND(Q154="✅", I154="D90"), "P=-90,Y=0,R=0", "")</f>
      </c>
      <c r="BG154" s="48" t="str"/>
      <c r="BH154" s="48" t="str"/>
      <c r="BI154" s="48" t="str"/>
      <c r="BJ154" s="48" t="str"/>
      <c r="BK154" s="48" t="str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</row>
    <row hidden="true" outlineLevel="4" r="155">
      <c r="A155" s="14" t="str" xml:space="preserve">
        <v> </v>
      </c>
      <c r="B155" s="14" t="str" xml:space="preserve">
        <v> </v>
      </c>
      <c r="C155" s="147" t="str" xml:space="preserve">
        <v> </v>
      </c>
      <c r="D155" s="147" t="str" xml:space="preserve">
        <v> </v>
      </c>
      <c r="E155" s="42">
        <f>E25</f>
      </c>
      <c r="F155" s="47">
        <f>IF(E155="", "", IF(G155="BP", E155, F154))</f>
      </c>
      <c r="G155" s="43"/>
      <c r="H155" s="43"/>
      <c r="I155" s="43"/>
      <c r="J155" s="43"/>
      <c r="K155" s="43"/>
      <c r="L155" s="43"/>
      <c r="M155" s="43" t="str">
        <v>B</v>
      </c>
      <c r="N155" s="77"/>
      <c r="O155" s="77"/>
      <c r="P155" s="77" t="str">
        <v>✅</v>
      </c>
      <c r="Q155" s="77"/>
      <c r="R155" s="43" t="str">
        <v>Straight_F_X1_Y1_Z1</v>
      </c>
      <c r="S155" s="47" t="str">
        <v>/Script/Engine.StaticMesh'/Game/Item/Rail/Straight/F/Normal/Straight_F_X1_Y1_Z1/Proxy/SM_Straight_F_X1_Y1_Z1_Proxy_B.SM_Straight_F_X1_Y1_Z1_Proxy_B'</v>
      </c>
      <c r="T155" s="126" t="str"/>
      <c r="U155" s="128"/>
      <c r="V155" s="128"/>
      <c r="W155" s="128"/>
      <c r="X155" s="48"/>
      <c r="Y155" s="48">
        <f>IF(AND(Q155="✅", OR(ISNUMBER(FIND("F",I155)), I155="CR")),   "X="&amp;U155*16&amp;",Y="&amp;(V155-1)*16&amp;",Z="&amp;IF(I155="FD", -(W155-1)*16, (W155-1)*16),   "")</f>
      </c>
      <c r="Z155" s="48">
        <f>IF(AND(Q155="✅", OR(ISNUMBER(FIND("F",I155)), I155="CR")), "P=0,Y=0,R=0", "")</f>
      </c>
      <c r="AA155" s="48" t="str"/>
      <c r="AB155" s="48" t="str"/>
      <c r="AC155" s="48" t="str"/>
      <c r="AD155" s="48" t="str"/>
      <c r="AE155" s="48" t="str"/>
      <c r="AF155" s="48"/>
      <c r="AG155" s="48" t="str"/>
      <c r="AH155" s="48" t="str"/>
      <c r="AI155" s="48" t="str"/>
      <c r="AJ155" s="48" t="str"/>
      <c r="AK155" s="48" t="str"/>
      <c r="AL155" s="48" t="str"/>
      <c r="AM155" s="48" t="str"/>
      <c r="AN155" s="48"/>
      <c r="AO155" s="48" t="str"/>
      <c r="AP155" s="48" t="str"/>
      <c r="AQ155" s="48" t="str"/>
      <c r="AR155" s="48" t="str"/>
      <c r="AS155" s="48" t="str"/>
      <c r="AT155" s="48" t="str"/>
      <c r="AU155" s="48" t="str"/>
      <c r="AV155" s="48"/>
      <c r="AW155" s="48">
        <f>IF(AND(Q155="✅", I155="U90"), "X="&amp;(U155-1)*16&amp;",Y="&amp;(V155-1)*16&amp;",Z="&amp;W155*16, "")</f>
      </c>
      <c r="AX155" s="48">
        <f>IF(AND(Q155="✅", I155="U90"), "P=90,Y=0,R=0", "")</f>
      </c>
      <c r="AY155" s="48" t="str"/>
      <c r="AZ155" s="48" t="str"/>
      <c r="BA155" s="48" t="str"/>
      <c r="BB155" s="48" t="str"/>
      <c r="BC155" s="48" t="str"/>
      <c r="BD155" s="48"/>
      <c r="BE155" s="48">
        <f>IF(AND(Q155="✅", I155="D90"), "X="&amp;(U155-1)*16&amp;",Y="&amp;(V155-1)*16&amp;",Z="&amp;(W155-2)*16, "")</f>
      </c>
      <c r="BF155" s="48">
        <f>IF(AND(Q155="✅", I155="D90"), "P=-90,Y=0,R=0", "")</f>
      </c>
      <c r="BG155" s="48" t="str"/>
      <c r="BH155" s="48" t="str"/>
      <c r="BI155" s="48" t="str"/>
      <c r="BJ155" s="48" t="str"/>
      <c r="BK155" s="48" t="str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</row>
    <row hidden="true" outlineLevel="4" r="156">
      <c r="A156" s="14" t="str" xml:space="preserve">
        <v> </v>
      </c>
      <c r="B156" s="14" t="str" xml:space="preserve">
        <v> </v>
      </c>
      <c r="C156" s="147" t="str" xml:space="preserve">
        <v> </v>
      </c>
      <c r="D156" s="147" t="str" xml:space="preserve">
        <v> </v>
      </c>
      <c r="E156" s="42">
        <f>E26</f>
      </c>
      <c r="F156" s="47">
        <f>IF(E156="", "", IF(G156="BP", E156, F155))</f>
      </c>
      <c r="G156" s="43"/>
      <c r="H156" s="43"/>
      <c r="I156" s="43"/>
      <c r="J156" s="43"/>
      <c r="K156" s="43"/>
      <c r="L156" s="43"/>
      <c r="M156" s="43" t="str">
        <v>L</v>
      </c>
      <c r="N156" s="77"/>
      <c r="O156" s="77"/>
      <c r="P156" s="77" t="str">
        <v>✅</v>
      </c>
      <c r="Q156" s="77"/>
      <c r="R156" s="43" t="str">
        <v>Straight_F_X1_Y1_Z1</v>
      </c>
      <c r="S156" s="47" t="str">
        <v>/Script/Engine.StaticMesh'/Game/Item/Rail/Straight/F/Normal/Straight_F_X1_Y1_Z1/Proxy/SM_Straight_F_X1_Y1_Z1_Proxy_L.SM_Straight_F_X1_Y1_Z1_Proxy_L'</v>
      </c>
      <c r="T156" s="126" t="str"/>
      <c r="U156" s="128"/>
      <c r="V156" s="128"/>
      <c r="W156" s="128"/>
      <c r="X156" s="48"/>
      <c r="Y156" s="48">
        <f>IF(AND(Q156="✅", OR(ISNUMBER(FIND("F",I156)), I156="CR")),   "X="&amp;U156*16&amp;",Y="&amp;(V156-1)*16&amp;",Z="&amp;IF(I156="FD", -(W156-1)*16, (W156-1)*16),   "")</f>
      </c>
      <c r="Z156" s="48">
        <f>IF(AND(Q156="✅", OR(ISNUMBER(FIND("F",I156)), I156="CR")), "P=0,Y=0,R=0", "")</f>
      </c>
      <c r="AA156" s="48" t="str"/>
      <c r="AB156" s="48" t="str"/>
      <c r="AC156" s="48" t="str"/>
      <c r="AD156" s="48" t="str"/>
      <c r="AE156" s="48" t="str"/>
      <c r="AF156" s="48"/>
      <c r="AG156" s="48" t="str"/>
      <c r="AH156" s="48" t="str"/>
      <c r="AI156" s="48" t="str"/>
      <c r="AJ156" s="48" t="str"/>
      <c r="AK156" s="48" t="str"/>
      <c r="AL156" s="48" t="str"/>
      <c r="AM156" s="48" t="str"/>
      <c r="AN156" s="48"/>
      <c r="AO156" s="48" t="str"/>
      <c r="AP156" s="48" t="str"/>
      <c r="AQ156" s="48" t="str"/>
      <c r="AR156" s="48" t="str"/>
      <c r="AS156" s="48" t="str"/>
      <c r="AT156" s="48" t="str"/>
      <c r="AU156" s="48" t="str"/>
      <c r="AV156" s="48"/>
      <c r="AW156" s="48">
        <f>IF(AND(Q156="✅", I156="U90"), "X="&amp;(U156-1)*16&amp;",Y="&amp;(V156-1)*16&amp;",Z="&amp;W156*16, "")</f>
      </c>
      <c r="AX156" s="48">
        <f>IF(AND(Q156="✅", I156="U90"), "P=90,Y=0,R=0", "")</f>
      </c>
      <c r="AY156" s="48" t="str"/>
      <c r="AZ156" s="48" t="str"/>
      <c r="BA156" s="48" t="str"/>
      <c r="BB156" s="48" t="str"/>
      <c r="BC156" s="48" t="str"/>
      <c r="BD156" s="48"/>
      <c r="BE156" s="48">
        <f>IF(AND(Q156="✅", I156="D90"), "X="&amp;(U156-1)*16&amp;",Y="&amp;(V156-1)*16&amp;",Z="&amp;(W156-2)*16, "")</f>
      </c>
      <c r="BF156" s="48">
        <f>IF(AND(Q156="✅", I156="D90"), "P=-90,Y=0,R=0", "")</f>
      </c>
      <c r="BG156" s="48" t="str"/>
      <c r="BH156" s="48" t="str"/>
      <c r="BI156" s="48" t="str"/>
      <c r="BJ156" s="48" t="str"/>
      <c r="BK156" s="48" t="str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</row>
    <row hidden="true" outlineLevel="4" r="157">
      <c r="A157" s="14" t="str" xml:space="preserve">
        <v> </v>
      </c>
      <c r="B157" s="14" t="str" xml:space="preserve">
        <v> </v>
      </c>
      <c r="C157" s="147" t="str" xml:space="preserve">
        <v> </v>
      </c>
      <c r="D157" s="147" t="str" xml:space="preserve">
        <v> </v>
      </c>
      <c r="E157" s="42">
        <f>E109</f>
      </c>
      <c r="F157" s="47">
        <f>IF(E157="", "", IF(G157="BP", E157, F156))</f>
      </c>
      <c r="G157" s="43"/>
      <c r="H157" s="43"/>
      <c r="I157" s="43"/>
      <c r="J157" s="43"/>
      <c r="K157" s="43"/>
      <c r="L157" s="43"/>
      <c r="M157" s="43" t="str">
        <v>R</v>
      </c>
      <c r="N157" s="77"/>
      <c r="O157" s="77"/>
      <c r="P157" s="77" t="str">
        <v>✅</v>
      </c>
      <c r="Q157" s="77"/>
      <c r="R157" s="43" t="str">
        <v>Straight_R90_X1_Y1_Z1</v>
      </c>
      <c r="S157" s="47" t="str">
        <v>/Script/Engine.StaticMesh'/Game/Item/Rail/Straight/R90/Normal/Straight_R90_X1_Y1_Z1/Proxy/SM_Straight_R90_X1_Y1_Z1_Proxy_R.SM_Straight_R90_X1_Y1_Z1_Proxy_R'</v>
      </c>
      <c r="T157" s="126" t="str"/>
      <c r="U157" s="128"/>
      <c r="V157" s="128"/>
      <c r="W157" s="128"/>
      <c r="X157" s="48"/>
      <c r="Y157" s="48">
        <f>IF(AND(Q157="✅", OR(ISNUMBER(FIND("F",I157)), I157="CR")),   "X="&amp;U157*16&amp;",Y="&amp;(V157-1)*16&amp;",Z="&amp;IF(I157="FD", -(W157-1)*16, (W157-1)*16),   "")</f>
      </c>
      <c r="Z157" s="48">
        <f>IF(AND(Q157="✅", OR(ISNUMBER(FIND("F",I157)), I157="CR")), "P=0,Y=0,R=0", "")</f>
      </c>
      <c r="AA157" s="48" t="str"/>
      <c r="AB157" s="48" t="str"/>
      <c r="AC157" s="48" t="str"/>
      <c r="AD157" s="48" t="str"/>
      <c r="AE157" s="48" t="str"/>
      <c r="AF157" s="48"/>
      <c r="AG157" s="48" t="str"/>
      <c r="AH157" s="48" t="str"/>
      <c r="AI157" s="48" t="str"/>
      <c r="AJ157" s="48" t="str"/>
      <c r="AK157" s="48" t="str"/>
      <c r="AL157" s="48" t="str"/>
      <c r="AM157" s="48" t="str"/>
      <c r="AN157" s="48"/>
      <c r="AO157" s="48" t="str"/>
      <c r="AP157" s="48" t="str"/>
      <c r="AQ157" s="48" t="str"/>
      <c r="AR157" s="48" t="str"/>
      <c r="AS157" s="48" t="str"/>
      <c r="AT157" s="48" t="str"/>
      <c r="AU157" s="48" t="str"/>
      <c r="AV157" s="48"/>
      <c r="AW157" s="48">
        <f>IF(AND(Q157="✅", I157="U90"), "X="&amp;(U157-1)*16&amp;",Y="&amp;(V157-1)*16&amp;",Z="&amp;W157*16, "")</f>
      </c>
      <c r="AX157" s="48">
        <f>IF(AND(Q157="✅", I157="U90"), "P=90,Y=0,R=0", "")</f>
      </c>
      <c r="AY157" s="48" t="str"/>
      <c r="AZ157" s="48" t="str"/>
      <c r="BA157" s="48" t="str"/>
      <c r="BB157" s="48" t="str"/>
      <c r="BC157" s="48" t="str"/>
      <c r="BD157" s="48"/>
      <c r="BE157" s="48">
        <f>IF(AND(Q157="✅", I157="D90"), "X="&amp;(U157-1)*16&amp;",Y="&amp;(V157-1)*16&amp;",Z="&amp;(W157-2)*16, "")</f>
      </c>
      <c r="BF157" s="48">
        <f>IF(AND(Q157="✅", I157="D90"), "P=-90,Y=0,R=0", "")</f>
      </c>
      <c r="BG157" s="48" t="str"/>
      <c r="BH157" s="48" t="str"/>
      <c r="BI157" s="48" t="str"/>
      <c r="BJ157" s="48" t="str"/>
      <c r="BK157" s="48" t="str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</row>
    <row collapsed="true" customHeight="true" ht="19" outlineLevel="2" r="158">
      <c r="A158" s="14"/>
      <c r="B158" s="14"/>
      <c r="C158" s="147" t="str">
        <v>Borderless_O</v>
      </c>
      <c r="D158" s="147"/>
      <c r="E158" s="9"/>
      <c r="F158" s="9">
        <f>IF(E158="", "", IF(G158="BP", E158, F157))</f>
      </c>
      <c r="G158" s="4"/>
      <c r="H158" s="4"/>
      <c r="I158" s="4"/>
      <c r="J158" s="4"/>
      <c r="K158" s="4"/>
      <c r="L158" s="4"/>
      <c r="M158" s="4"/>
      <c r="N158" s="2"/>
      <c r="O158" s="2" t="str">
        <v>⭕</v>
      </c>
      <c r="P158" s="2"/>
      <c r="Q158" s="2"/>
      <c r="R158" s="4" t="str"/>
      <c r="S158" s="9" t="str"/>
      <c r="T158" s="150" t="str"/>
      <c r="U158" s="118"/>
      <c r="V158" s="118"/>
      <c r="W158" s="118"/>
      <c r="X158" s="4"/>
      <c r="Y158" s="4">
        <f>IF(AND(Q158="✅", OR(ISNUMBER(FIND("F",I158)), I158="CR")),   "X="&amp;U158*16&amp;",Y="&amp;(V158-1)*16&amp;",Z="&amp;IF(I158="FD", -(W158-1)*16, (W158-1)*16),   "")</f>
      </c>
      <c r="Z158" s="4">
        <f>IF(AND(Q158="✅", OR(ISNUMBER(FIND("F",I158)), I158="CR")), "P=0,Y=0,R=0", "")</f>
      </c>
      <c r="AA158" s="4" t="str"/>
      <c r="AB158" s="4" t="str"/>
      <c r="AC158" s="4" t="str"/>
      <c r="AD158" s="4" t="str"/>
      <c r="AE158" s="4" t="str"/>
      <c r="AF158" s="4"/>
      <c r="AG158" s="4" t="str"/>
      <c r="AH158" s="4" t="str"/>
      <c r="AI158" s="4" t="str"/>
      <c r="AJ158" s="4" t="str"/>
      <c r="AK158" s="4" t="str"/>
      <c r="AL158" s="4" t="str"/>
      <c r="AM158" s="4" t="str"/>
      <c r="AN158" s="4"/>
      <c r="AO158" s="4" t="str"/>
      <c r="AP158" s="4" t="str"/>
      <c r="AQ158" s="4" t="str"/>
      <c r="AR158" s="4" t="str"/>
      <c r="AS158" s="4" t="str"/>
      <c r="AT158" s="4" t="str"/>
      <c r="AU158" s="4" t="str"/>
      <c r="AV158" s="4"/>
      <c r="AW158" s="4">
        <f>IF(AND(Q158="✅", I158="U90"), "X="&amp;(U158-1)*16&amp;",Y="&amp;(V158-1)*16&amp;",Z="&amp;W158*16, "")</f>
      </c>
      <c r="AX158" s="4">
        <f>IF(AND(Q158="✅", I158="U90"), "P=90,Y=0,R=0", "")</f>
      </c>
      <c r="AY158" s="4" t="str"/>
      <c r="AZ158" s="4" t="str"/>
      <c r="BA158" s="4" t="str"/>
      <c r="BB158" s="4" t="str"/>
      <c r="BC158" s="4" t="str"/>
      <c r="BD158" s="4"/>
      <c r="BE158" s="4">
        <f>IF(AND(Q158="✅", I158="D90"), "X="&amp;(U158-1)*16&amp;",Y="&amp;(V158-1)*16&amp;",Z="&amp;(W158-2)*16, "")</f>
      </c>
      <c r="BF158" s="4">
        <f>IF(AND(Q158="✅", I158="D90"), "P=-90,Y=0,R=0", "")</f>
      </c>
      <c r="BG158" s="4" t="str"/>
      <c r="BH158" s="4" t="str"/>
      <c r="BI158" s="4" t="str"/>
      <c r="BJ158" s="4" t="str"/>
      <c r="BK158" s="4" t="str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</row>
    <row customHeight="true" hidden="true" ht="19" outlineLevel="3" r="159">
      <c r="A159" s="14"/>
      <c r="B159" s="14"/>
      <c r="C159" s="147"/>
      <c r="D159" s="147">
        <v>1</v>
      </c>
      <c r="E159" s="9"/>
      <c r="F159" s="9"/>
      <c r="G159" s="4"/>
      <c r="H159" s="4"/>
      <c r="I159" s="4"/>
      <c r="J159" s="4"/>
      <c r="K159" s="4"/>
      <c r="L159" s="4"/>
      <c r="M159" s="4"/>
      <c r="N159" s="2"/>
      <c r="O159" s="2"/>
      <c r="P159" s="2"/>
      <c r="Q159" s="2"/>
      <c r="R159" s="4" t="str"/>
      <c r="S159" s="9" t="str"/>
      <c r="T159" s="150" t="str"/>
      <c r="U159" s="118"/>
      <c r="V159" s="118"/>
      <c r="W159" s="118"/>
      <c r="X159" s="4"/>
      <c r="Y159" s="4">
        <f>IF(AND(Q159="✅", OR(ISNUMBER(FIND("F",I159)), I159="CR")),   "X="&amp;U159*16&amp;",Y="&amp;(V159-1)*16&amp;",Z="&amp;IF(I159="FD", -(W159-1)*16, (W159-1)*16),   "")</f>
      </c>
      <c r="Z159" s="4">
        <f>IF(AND(Q159="✅", OR(ISNUMBER(FIND("F",I159)), I159="CR")), "P=0,Y=0,R=0", "")</f>
      </c>
      <c r="AA159" s="4" t="str"/>
      <c r="AB159" s="4" t="str"/>
      <c r="AC159" s="4" t="str"/>
      <c r="AD159" s="4" t="str"/>
      <c r="AE159" s="4" t="str"/>
      <c r="AF159" s="4"/>
      <c r="AG159" s="4" t="str"/>
      <c r="AH159" s="4" t="str"/>
      <c r="AI159" s="4" t="str"/>
      <c r="AJ159" s="4" t="str"/>
      <c r="AK159" s="4" t="str"/>
      <c r="AL159" s="4" t="str"/>
      <c r="AM159" s="4" t="str"/>
      <c r="AN159" s="4"/>
      <c r="AO159" s="4" t="str"/>
      <c r="AP159" s="4" t="str"/>
      <c r="AQ159" s="4" t="str"/>
      <c r="AR159" s="4" t="str"/>
      <c r="AS159" s="4" t="str"/>
      <c r="AT159" s="4" t="str"/>
      <c r="AU159" s="4" t="str"/>
      <c r="AV159" s="4"/>
      <c r="AW159" s="4">
        <f>IF(AND(Q159="✅", I159="U90"), "X="&amp;(U159-1)*16&amp;",Y="&amp;(V159-1)*16&amp;",Z="&amp;W159*16, "")</f>
      </c>
      <c r="AX159" s="4">
        <f>IF(AND(Q159="✅", I159="U90"), "P=90,Y=0,R=0", "")</f>
      </c>
      <c r="AY159" s="4" t="str"/>
      <c r="AZ159" s="4" t="str"/>
      <c r="BA159" s="4" t="str"/>
      <c r="BB159" s="4" t="str"/>
      <c r="BC159" s="4" t="str"/>
      <c r="BD159" s="4"/>
      <c r="BE159" s="4">
        <f>IF(AND(Q159="✅", I159="D90"), "X="&amp;(U159-1)*16&amp;",Y="&amp;(V159-1)*16&amp;",Z="&amp;(W159-2)*16, "")</f>
      </c>
      <c r="BF159" s="4">
        <f>IF(AND(Q159="✅", I159="D90"), "P=-90,Y=0,R=0", "")</f>
      </c>
      <c r="BG159" s="4" t="str"/>
      <c r="BH159" s="4" t="str"/>
      <c r="BI159" s="4" t="str"/>
      <c r="BJ159" s="4" t="str"/>
      <c r="BK159" s="4" t="str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</row>
    <row customHeight="true" hidden="true" ht="19" outlineLevel="4" r="160">
      <c r="A160" s="14" t="str" xml:space="preserve">
        <v> </v>
      </c>
      <c r="B160" s="14" t="str" xml:space="preserve">
        <v> </v>
      </c>
      <c r="C160" s="147" t="str" xml:space="preserve">
        <v> </v>
      </c>
      <c r="D160" s="147" t="str" xml:space="preserve">
        <v> </v>
      </c>
      <c r="E160" s="54">
        <f>G160 &amp; "_" &amp; H160 &amp; IF(I160&lt;&gt;"", "_" &amp; I160, "") &amp; IF(J160&lt;&gt;"", "_" &amp; J160, "") &amp; IF(K160&lt;&gt;"", "_" &amp; K160, "") &amp;"_X"&amp;U160&amp;"_Y"&amp;V160&amp;"_Z"&amp;W160 &amp; IF(G160="SM", "_Proxy" , "_Rail") &amp; IF(M160&lt;&gt;"", "_" &amp; M160, "")</f>
      </c>
      <c r="F160" s="54">
        <f>IF(E160="", "", IF(G160="BP", E160, F158))</f>
      </c>
      <c r="G160" s="53" t="str">
        <v>BP</v>
      </c>
      <c r="H160" s="53" t="str">
        <v>Straight</v>
      </c>
      <c r="I160" s="53" t="str">
        <v>FR90</v>
      </c>
      <c r="J160" s="53" t="str">
        <v>Borderless_O</v>
      </c>
      <c r="K160" s="53"/>
      <c r="L160" s="53"/>
      <c r="M160" s="53"/>
      <c r="N160" s="56"/>
      <c r="O160" s="56"/>
      <c r="P160" s="56"/>
      <c r="Q160" s="56" t="str">
        <v>⭕</v>
      </c>
      <c r="R160" s="53" t="str"/>
      <c r="S160" s="54" t="str"/>
      <c r="T160" s="161">
        <v>1.5</v>
      </c>
      <c r="U160" s="137">
        <v>1</v>
      </c>
      <c r="V160" s="137">
        <v>1</v>
      </c>
      <c r="W160" s="137">
        <v>1</v>
      </c>
      <c r="X160" s="53"/>
      <c r="Y160" s="53">
        <f>IF(AND(Q160="✅", OR(ISNUMBER(FIND("F",I160)), I160="CR")),   "X="&amp;U160*16&amp;",Y="&amp;(V160-1)*16&amp;",Z="&amp;IF(I160="FD", -(W160-1)*16, (W160-1)*16),   "")</f>
      </c>
      <c r="Z160" s="53">
        <f>IF(AND(Q160="✅", OR(ISNUMBER(FIND("F",I160)), I160="CR")), "P=0,Y=0,R=0", "")</f>
      </c>
      <c r="AA160" s="53" t="str"/>
      <c r="AB160" s="53" t="str"/>
      <c r="AC160" s="53" t="str"/>
      <c r="AD160" s="53" t="str"/>
      <c r="AE160" s="53" t="str"/>
      <c r="AF160" s="53"/>
      <c r="AG160" s="53" t="str"/>
      <c r="AH160" s="53" t="str"/>
      <c r="AI160" s="53" t="str"/>
      <c r="AJ160" s="53" t="str"/>
      <c r="AK160" s="53" t="str"/>
      <c r="AL160" s="53" t="str"/>
      <c r="AM160" s="53" t="str"/>
      <c r="AN160" s="53"/>
      <c r="AO160" s="53" t="str"/>
      <c r="AP160" s="53" t="str"/>
      <c r="AQ160" s="53" t="str"/>
      <c r="AR160" s="53" t="str"/>
      <c r="AS160" s="53" t="str"/>
      <c r="AT160" s="53" t="str"/>
      <c r="AU160" s="53" t="str"/>
      <c r="AV160" s="53"/>
      <c r="AW160" s="53">
        <f>IF(AND(Q160="✅", I160="U90"), "X="&amp;(U160-1)*16&amp;",Y="&amp;(V160-1)*16&amp;",Z="&amp;W160*16, "")</f>
      </c>
      <c r="AX160" s="53">
        <f>IF(AND(Q160="✅", I160="U90"), "P=90,Y=0,R=0", "")</f>
      </c>
      <c r="AY160" s="53" t="str"/>
      <c r="AZ160" s="53" t="str"/>
      <c r="BA160" s="53" t="str"/>
      <c r="BB160" s="53" t="str"/>
      <c r="BC160" s="53" t="str"/>
      <c r="BD160" s="53"/>
      <c r="BE160" s="53">
        <f>IF(AND(Q160="✅", I160="D90"), "X="&amp;(U160-1)*16&amp;",Y="&amp;(V160-1)*16&amp;",Z="&amp;(W160-2)*16, "")</f>
      </c>
      <c r="BF160" s="53">
        <f>IF(AND(Q160="✅", I160="D90"), "P=-90,Y=0,R=0", "")</f>
      </c>
      <c r="BG160" s="53" t="str"/>
      <c r="BH160" s="53" t="str"/>
      <c r="BI160" s="53" t="str"/>
      <c r="BJ160" s="53" t="str"/>
      <c r="BK160" s="53" t="str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</row>
    <row customHeight="true" hidden="true" ht="19" outlineLevel="4" r="161">
      <c r="A161" s="14" t="str" xml:space="preserve">
        <v> </v>
      </c>
      <c r="B161" s="14" t="str" xml:space="preserve">
        <v> </v>
      </c>
      <c r="C161" s="14" t="str" xml:space="preserve">
        <v> </v>
      </c>
      <c r="D161" s="14" t="str" xml:space="preserve">
        <v> </v>
      </c>
      <c r="E161" s="112">
        <f>E25</f>
      </c>
      <c r="F161" s="54">
        <f>IF(E161="", "", IF(G161="BP", E161, F160))</f>
      </c>
      <c r="G161" s="53"/>
      <c r="H161" s="53"/>
      <c r="I161" s="53"/>
      <c r="J161" s="53"/>
      <c r="K161" s="53"/>
      <c r="L161" s="53"/>
      <c r="M161" s="53" t="str">
        <v>B</v>
      </c>
      <c r="N161" s="56"/>
      <c r="O161" s="56"/>
      <c r="P161" s="56" t="str">
        <v>✅</v>
      </c>
      <c r="Q161" s="56"/>
      <c r="R161" s="53" t="str">
        <v>Straight_F_X1_Y1_Z1</v>
      </c>
      <c r="S161" s="54" t="str">
        <v>/Script/Engine.StaticMesh'/Game/Item/Rail/Straight/F/Normal/Straight_F_X1_Y1_Z1/Proxy/SM_Straight_F_X1_Y1_Z1_Proxy_B.SM_Straight_F_X1_Y1_Z1_Proxy_B'</v>
      </c>
      <c r="T161" s="161" t="str"/>
      <c r="U161" s="137"/>
      <c r="V161" s="137"/>
      <c r="W161" s="137"/>
      <c r="X161" s="53"/>
      <c r="Y161" s="53">
        <f>IF(AND(Q161="✅", OR(ISNUMBER(FIND("F",I161)), I161="CR")),   "X="&amp;U161*16&amp;",Y="&amp;(V161-1)*16&amp;",Z="&amp;IF(I161="FD", -(W161-1)*16, (W161-1)*16),   "")</f>
      </c>
      <c r="Z161" s="53">
        <f>IF(AND(Q161="✅", OR(ISNUMBER(FIND("F",I161)), I161="CR")), "P=0,Y=0,R=0", "")</f>
      </c>
      <c r="AA161" s="53" t="str"/>
      <c r="AB161" s="53" t="str"/>
      <c r="AC161" s="53" t="str"/>
      <c r="AD161" s="53" t="str"/>
      <c r="AE161" s="53" t="str"/>
      <c r="AF161" s="53"/>
      <c r="AG161" s="53" t="str"/>
      <c r="AH161" s="53" t="str"/>
      <c r="AI161" s="53" t="str"/>
      <c r="AJ161" s="53" t="str"/>
      <c r="AK161" s="53" t="str"/>
      <c r="AL161" s="53" t="str"/>
      <c r="AM161" s="53" t="str"/>
      <c r="AN161" s="53"/>
      <c r="AO161" s="53" t="str"/>
      <c r="AP161" s="53" t="str"/>
      <c r="AQ161" s="53" t="str"/>
      <c r="AR161" s="53" t="str"/>
      <c r="AS161" s="53" t="str"/>
      <c r="AT161" s="53" t="str"/>
      <c r="AU161" s="53" t="str"/>
      <c r="AV161" s="53"/>
      <c r="AW161" s="53">
        <f>IF(AND(Q161="✅", I161="U90"), "X="&amp;(U161-1)*16&amp;",Y="&amp;(V161-1)*16&amp;",Z="&amp;W161*16, "")</f>
      </c>
      <c r="AX161" s="53">
        <f>IF(AND(Q161="✅", I161="U90"), "P=90,Y=0,R=0", "")</f>
      </c>
      <c r="AY161" s="53" t="str"/>
      <c r="AZ161" s="53" t="str"/>
      <c r="BA161" s="53" t="str"/>
      <c r="BB161" s="53" t="str"/>
      <c r="BC161" s="53" t="str"/>
      <c r="BD161" s="53"/>
      <c r="BE161" s="53">
        <f>IF(AND(Q161="✅", I161="D90"), "X="&amp;(U161-1)*16&amp;",Y="&amp;(V161-1)*16&amp;",Z="&amp;(W161-2)*16, "")</f>
      </c>
      <c r="BF161" s="53">
        <f>IF(AND(Q161="✅", I161="D90"), "P=-90,Y=0,R=0", "")</f>
      </c>
      <c r="BG161" s="53" t="str"/>
      <c r="BH161" s="53" t="str"/>
      <c r="BI161" s="53" t="str"/>
      <c r="BJ161" s="53" t="str"/>
      <c r="BK161" s="53" t="str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</row>
    <row customHeight="true" hidden="true" ht="19" outlineLevel="4" r="162">
      <c r="A162" s="14" t="str" xml:space="preserve">
        <v> </v>
      </c>
      <c r="B162" s="14" t="str" xml:space="preserve">
        <v> </v>
      </c>
      <c r="C162" s="14" t="str" xml:space="preserve">
        <v> </v>
      </c>
      <c r="D162" s="14" t="str" xml:space="preserve">
        <v> </v>
      </c>
      <c r="E162" s="112">
        <f>E109</f>
      </c>
      <c r="F162" s="54">
        <f>IF(E162="", "", IF(G162="BP", E162, F161))</f>
      </c>
      <c r="G162" s="53"/>
      <c r="H162" s="53"/>
      <c r="I162" s="53"/>
      <c r="J162" s="53"/>
      <c r="K162" s="53"/>
      <c r="L162" s="53"/>
      <c r="M162" s="53" t="str">
        <v>R</v>
      </c>
      <c r="N162" s="56"/>
      <c r="O162" s="56"/>
      <c r="P162" s="56" t="str">
        <v>✅</v>
      </c>
      <c r="Q162" s="56"/>
      <c r="R162" s="53" t="str">
        <v>Straight_R90_X1_Y1_Z1</v>
      </c>
      <c r="S162" s="54" t="str">
        <v>/Script/Engine.StaticMesh'/Game/Item/Rail/Straight/R90/Normal/Straight_R90_X1_Y1_Z1/Proxy/SM_Straight_R90_X1_Y1_Z1_Proxy_R.SM_Straight_R90_X1_Y1_Z1_Proxy_R'</v>
      </c>
      <c r="T162" s="161" t="str"/>
      <c r="U162" s="137"/>
      <c r="V162" s="137"/>
      <c r="W162" s="137"/>
      <c r="X162" s="53"/>
      <c r="Y162" s="53"/>
      <c r="Z162" s="53"/>
      <c r="AA162" s="53" t="str"/>
      <c r="AB162" s="53" t="str"/>
      <c r="AC162" s="53" t="str"/>
      <c r="AD162" s="53" t="str"/>
      <c r="AE162" s="53" t="str"/>
      <c r="AF162" s="53"/>
      <c r="AG162" s="53" t="str"/>
      <c r="AH162" s="53" t="str"/>
      <c r="AI162" s="53" t="str"/>
      <c r="AJ162" s="53" t="str"/>
      <c r="AK162" s="53" t="str"/>
      <c r="AL162" s="53" t="str"/>
      <c r="AM162" s="53" t="str"/>
      <c r="AN162" s="53"/>
      <c r="AO162" s="53" t="str"/>
      <c r="AP162" s="53" t="str"/>
      <c r="AQ162" s="53" t="str"/>
      <c r="AR162" s="53" t="str"/>
      <c r="AS162" s="53" t="str"/>
      <c r="AT162" s="53" t="str"/>
      <c r="AU162" s="53" t="str"/>
      <c r="AV162" s="53"/>
      <c r="AW162" s="53"/>
      <c r="AX162" s="53"/>
      <c r="AY162" s="53" t="str"/>
      <c r="AZ162" s="53" t="str"/>
      <c r="BA162" s="53" t="str"/>
      <c r="BB162" s="53" t="str"/>
      <c r="BC162" s="53" t="str"/>
      <c r="BD162" s="53"/>
      <c r="BE162" s="53"/>
      <c r="BF162" s="53"/>
      <c r="BG162" s="53" t="str"/>
      <c r="BH162" s="53" t="str"/>
      <c r="BI162" s="53" t="str"/>
      <c r="BJ162" s="53" t="str"/>
      <c r="BK162" s="53" t="str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</row>
    <row customHeight="true" ht="19" outlineLevel="1" r="163">
      <c r="A163" s="11"/>
      <c r="B163" s="11" t="str">
        <v>U90</v>
      </c>
      <c r="C163" s="119"/>
      <c r="D163" s="119"/>
      <c r="E163" s="5"/>
      <c r="F163" s="9">
        <f>IF(E163="", "", IF(G163="BP", E163, F123))</f>
      </c>
      <c r="G163" s="1"/>
      <c r="H163" s="1"/>
      <c r="I163" s="1"/>
      <c r="J163" s="1"/>
      <c r="K163" s="1"/>
      <c r="L163" s="1"/>
      <c r="M163" s="1"/>
      <c r="N163" s="3"/>
      <c r="O163" s="3"/>
      <c r="P163" s="3"/>
      <c r="Q163" s="3"/>
      <c r="R163" s="1" t="str"/>
      <c r="S163" s="9" t="str"/>
      <c r="T163" s="120" t="str"/>
      <c r="U163" s="118"/>
      <c r="V163" s="118"/>
      <c r="W163" s="118"/>
      <c r="X163" s="4"/>
      <c r="Y163" s="4">
        <f>IF(AND(Q163="✅", OR(ISNUMBER(FIND("F",I163)), I163="CR")),   "X="&amp;U163*16&amp;",Y="&amp;(V163-1)*16&amp;",Z="&amp;IF(I163="FD", -(W163-1)*16, (W163-1)*16),   "")</f>
      </c>
      <c r="Z163" s="4">
        <f>IF(AND(Q163="✅", OR(ISNUMBER(FIND("F",I163)), I163="CR")), "P=0,Y=0,R=0", "")</f>
      </c>
      <c r="AA163" s="4" t="str"/>
      <c r="AB163" s="4" t="str"/>
      <c r="AC163" s="4" t="str"/>
      <c r="AD163" s="4" t="str"/>
      <c r="AE163" s="4" t="str"/>
      <c r="AF163" s="4"/>
      <c r="AG163" s="4" t="str"/>
      <c r="AH163" s="4" t="str"/>
      <c r="AI163" s="4" t="str"/>
      <c r="AJ163" s="4" t="str"/>
      <c r="AK163" s="4" t="str"/>
      <c r="AL163" s="4" t="str"/>
      <c r="AM163" s="4" t="str"/>
      <c r="AN163" s="4"/>
      <c r="AO163" s="4" t="str"/>
      <c r="AP163" s="4" t="str"/>
      <c r="AQ163" s="4" t="str"/>
      <c r="AR163" s="4" t="str"/>
      <c r="AS163" s="4" t="str"/>
      <c r="AT163" s="4" t="str"/>
      <c r="AU163" s="4" t="str"/>
      <c r="AV163" s="4"/>
      <c r="AW163" s="4">
        <f>IF(AND(Q163="✅", I163="U90"), "X="&amp;(U163-1)*16&amp;",Y="&amp;(V163-1)*16&amp;",Z="&amp;W163*16, "")</f>
      </c>
      <c r="AX163" s="4">
        <f>IF(AND(Q163="✅", I163="U90"), "P=90,Y=0,R=0", "")</f>
      </c>
      <c r="AY163" s="4" t="str"/>
      <c r="AZ163" s="4" t="str"/>
      <c r="BA163" s="4" t="str"/>
      <c r="BB163" s="4" t="str"/>
      <c r="BC163" s="4" t="str"/>
      <c r="BD163" s="4"/>
      <c r="BE163" s="4">
        <f>IF(AND(Q163="✅", I163="D90"), "X="&amp;(U163-1)*16&amp;",Y="&amp;(V163-1)*16&amp;",Z="&amp;(W163-2)*16, "")</f>
      </c>
      <c r="BF163" s="4">
        <f>IF(AND(Q163="✅", I163="D90"), "P=-90,Y=0,R=0", "")</f>
      </c>
      <c r="BG163" s="4" t="str"/>
      <c r="BH163" s="4" t="str"/>
      <c r="BI163" s="4" t="str"/>
      <c r="BJ163" s="4" t="str"/>
      <c r="BK163" s="4" t="str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</row>
    <row customHeight="true" ht="19" outlineLevel="2" r="164">
      <c r="A164" s="11"/>
      <c r="B164" s="11"/>
      <c r="C164" s="119" t="str">
        <v>Normal</v>
      </c>
      <c r="D164" s="119"/>
      <c r="E164" s="5"/>
      <c r="F164" s="9">
        <f>IF(E164="", "", IF(G164="BP", E164, F163))</f>
      </c>
      <c r="G164" s="1"/>
      <c r="H164" s="1"/>
      <c r="I164" s="1"/>
      <c r="J164" s="1"/>
      <c r="K164" s="1"/>
      <c r="L164" s="1"/>
      <c r="M164" s="1"/>
      <c r="N164" s="3"/>
      <c r="O164" s="3" t="str">
        <v>✅</v>
      </c>
      <c r="P164" s="3"/>
      <c r="Q164" s="3"/>
      <c r="R164" s="1" t="str"/>
      <c r="S164" s="9" t="str"/>
      <c r="T164" s="120" t="str"/>
      <c r="U164" s="118"/>
      <c r="V164" s="118"/>
      <c r="W164" s="118"/>
      <c r="X164" s="4"/>
      <c r="Y164" s="4">
        <f>IF(AND(Q164="✅", OR(ISNUMBER(FIND("F",I164)), I164="CR")),   "X="&amp;U164*16&amp;",Y="&amp;(V164-1)*16&amp;",Z="&amp;IF(I164="FD", -(W164-1)*16, (W164-1)*16),   "")</f>
      </c>
      <c r="Z164" s="4">
        <f>IF(AND(Q164="✅", OR(ISNUMBER(FIND("F",I164)), I164="CR")), "P=0,Y=0,R=0", "")</f>
      </c>
      <c r="AA164" s="4" t="str"/>
      <c r="AB164" s="4" t="str"/>
      <c r="AC164" s="4" t="str"/>
      <c r="AD164" s="4" t="str"/>
      <c r="AE164" s="4" t="str"/>
      <c r="AF164" s="4"/>
      <c r="AG164" s="4" t="str"/>
      <c r="AH164" s="4" t="str"/>
      <c r="AI164" s="4" t="str"/>
      <c r="AJ164" s="4" t="str"/>
      <c r="AK164" s="4" t="str"/>
      <c r="AL164" s="4" t="str"/>
      <c r="AM164" s="4" t="str"/>
      <c r="AN164" s="4"/>
      <c r="AO164" s="4" t="str"/>
      <c r="AP164" s="4" t="str"/>
      <c r="AQ164" s="4" t="str"/>
      <c r="AR164" s="4" t="str"/>
      <c r="AS164" s="4" t="str"/>
      <c r="AT164" s="4" t="str"/>
      <c r="AU164" s="4" t="str"/>
      <c r="AV164" s="4"/>
      <c r="AW164" s="4">
        <f>IF(AND(Q164="✅", I164="U90"), "X="&amp;(U164-1)*16&amp;",Y="&amp;(V164-1)*16&amp;",Z="&amp;W164*16, "")</f>
      </c>
      <c r="AX164" s="4">
        <f>IF(AND(Q164="✅", I164="U90"), "P=90,Y=0,R=0", "")</f>
      </c>
      <c r="AY164" s="4" t="str"/>
      <c r="AZ164" s="4" t="str"/>
      <c r="BA164" s="4" t="str"/>
      <c r="BB164" s="4" t="str"/>
      <c r="BC164" s="4" t="str"/>
      <c r="BD164" s="4"/>
      <c r="BE164" s="4">
        <f>IF(AND(Q164="✅", I164="D90"), "X="&amp;(U164-1)*16&amp;",Y="&amp;(V164-1)*16&amp;",Z="&amp;(W164-2)*16, "")</f>
      </c>
      <c r="BF164" s="4">
        <f>IF(AND(Q164="✅", I164="D90"), "P=-90,Y=0,R=0", "")</f>
      </c>
      <c r="BG164" s="4" t="str"/>
      <c r="BH164" s="4" t="str"/>
      <c r="BI164" s="4" t="str"/>
      <c r="BJ164" s="4" t="str"/>
      <c r="BK164" s="4" t="str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</row>
    <row customHeight="true" ht="19" outlineLevel="3" r="165">
      <c r="A165" s="11"/>
      <c r="B165" s="11"/>
      <c r="C165" s="119"/>
      <c r="D165" s="119">
        <v>1</v>
      </c>
      <c r="E165" s="5"/>
      <c r="F165" s="9"/>
      <c r="G165" s="1"/>
      <c r="H165" s="1"/>
      <c r="I165" s="1"/>
      <c r="J165" s="1"/>
      <c r="K165" s="1"/>
      <c r="L165" s="1"/>
      <c r="M165" s="1"/>
      <c r="N165" s="3"/>
      <c r="O165" s="3"/>
      <c r="P165" s="3"/>
      <c r="Q165" s="3"/>
      <c r="R165" s="1" t="str"/>
      <c r="S165" s="9" t="str"/>
      <c r="T165" s="120" t="str"/>
      <c r="U165" s="118"/>
      <c r="V165" s="118"/>
      <c r="W165" s="118"/>
      <c r="X165" s="4"/>
      <c r="Y165" s="4">
        <f>IF(AND(Q165="✅", OR(ISNUMBER(FIND("F",I165)), I165="CR")),   "X="&amp;U165*16&amp;",Y="&amp;(V165-1)*16&amp;",Z="&amp;IF(I165="FD", -(W165-1)*16, (W165-1)*16),   "")</f>
      </c>
      <c r="Z165" s="4">
        <f>IF(AND(Q165="✅", OR(ISNUMBER(FIND("F",I165)), I165="CR")), "P=0,Y=0,R=0", "")</f>
      </c>
      <c r="AA165" s="4" t="str"/>
      <c r="AB165" s="4" t="str"/>
      <c r="AC165" s="4" t="str"/>
      <c r="AD165" s="4" t="str"/>
      <c r="AE165" s="4" t="str"/>
      <c r="AF165" s="4"/>
      <c r="AG165" s="4" t="str"/>
      <c r="AH165" s="4" t="str"/>
      <c r="AI165" s="4" t="str"/>
      <c r="AJ165" s="4" t="str"/>
      <c r="AK165" s="4" t="str"/>
      <c r="AL165" s="4" t="str"/>
      <c r="AM165" s="4" t="str"/>
      <c r="AN165" s="4"/>
      <c r="AO165" s="4" t="str"/>
      <c r="AP165" s="4" t="str"/>
      <c r="AQ165" s="4" t="str"/>
      <c r="AR165" s="4" t="str"/>
      <c r="AS165" s="4" t="str"/>
      <c r="AT165" s="4" t="str"/>
      <c r="AU165" s="4" t="str"/>
      <c r="AV165" s="4"/>
      <c r="AW165" s="4">
        <f>IF(AND(Q165="✅", I165="U90"), "X="&amp;(U165-1)*16&amp;",Y="&amp;(V165-1)*16&amp;",Z="&amp;W165*16, "")</f>
      </c>
      <c r="AX165" s="4">
        <f>IF(AND(Q165="✅", I165="U90"), "P=90,Y=0,R=0", "")</f>
      </c>
      <c r="AY165" s="4" t="str"/>
      <c r="AZ165" s="4" t="str"/>
      <c r="BA165" s="4" t="str"/>
      <c r="BB165" s="4" t="str"/>
      <c r="BC165" s="4" t="str"/>
      <c r="BD165" s="4"/>
      <c r="BE165" s="4">
        <f>IF(AND(Q165="✅", I165="D90"), "X="&amp;(U165-1)*16&amp;",Y="&amp;(V165-1)*16&amp;",Z="&amp;(W165-2)*16, "")</f>
      </c>
      <c r="BF165" s="4">
        <f>IF(AND(Q165="✅", I165="D90"), "P=-90,Y=0,R=0", "")</f>
      </c>
      <c r="BG165" s="4" t="str"/>
      <c r="BH165" s="4" t="str"/>
      <c r="BI165" s="4" t="str"/>
      <c r="BJ165" s="4" t="str"/>
      <c r="BK165" s="4" t="str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</row>
    <row outlineLevel="4" r="166">
      <c r="A166" s="14" t="str" xml:space="preserve">
        <v> </v>
      </c>
      <c r="B166" s="14" t="str" xml:space="preserve">
        <v> </v>
      </c>
      <c r="C166" s="147" t="str" xml:space="preserve">
        <v> </v>
      </c>
      <c r="D166" s="147" t="str" xml:space="preserve">
        <v> </v>
      </c>
      <c r="E166" s="28">
        <f>G166 &amp; "_" &amp; H166 &amp; IF(I166&lt;&gt;"", "_" &amp; I166, "") &amp; IF(J166&lt;&gt;"", "_" &amp; J166, "") &amp; IF(K166&lt;&gt;"", "_" &amp; K166, "") &amp;"_X"&amp;U166&amp;"_Y"&amp;V166&amp;"_Z"&amp;W166 &amp; IF(G166="SM", "_Proxy" , "_Rail") &amp; IF(M166&lt;&gt;"", "_" &amp; M166, "")</f>
      </c>
      <c r="F166" s="29">
        <f>IF(E166="", "", IF(G166="BP", E166, F164))</f>
      </c>
      <c r="G166" s="32" t="str">
        <v>BP</v>
      </c>
      <c r="H166" s="32" t="str">
        <v>Straight</v>
      </c>
      <c r="I166" s="32" t="str">
        <v>U90</v>
      </c>
      <c r="J166" s="32"/>
      <c r="K166" s="32"/>
      <c r="L166" s="32"/>
      <c r="M166" s="32"/>
      <c r="N166" s="74"/>
      <c r="O166" s="74"/>
      <c r="P166" s="74"/>
      <c r="Q166" s="74" t="str">
        <v>✅</v>
      </c>
      <c r="R166" s="32" t="str">
        <v>Straight_U90_X1_Y1_Z1</v>
      </c>
      <c r="S166" s="29" t="str">
        <v>/Script/Engine.BlueprintGeneratedClass'/Game/Item/Rail/Straight/U90/Normal/Straight_U90_X1_Y1_Z1/BP_Straight_U90_X1_Y1_Z1_Rail.BP_Straight_U90_X1_Y1_Z1_Rail_C'</v>
      </c>
      <c r="T166" s="158">
        <v>1</v>
      </c>
      <c r="U166" s="156">
        <v>1</v>
      </c>
      <c r="V166" s="156">
        <v>1</v>
      </c>
      <c r="W166" s="156">
        <v>1</v>
      </c>
      <c r="X166" s="34"/>
      <c r="Y166" s="34">
        <f>IF(AND(Q166="✅", OR(ISNUMBER(FIND("F",I166)), I166="CR")),   "X="&amp;U166*16&amp;",Y="&amp;(V166-1)*16&amp;",Z="&amp;IF(I166="FD", -(W166-1)*16, (W166-1)*16),   "")</f>
      </c>
      <c r="Z166" s="34">
        <f>IF(AND(Q166="✅", OR(ISNUMBER(FIND("F",I166)), I166="CR")), "P=0,Y=0,R=0", "")</f>
      </c>
      <c r="AA166" s="34" t="str"/>
      <c r="AB166" s="34" t="str"/>
      <c r="AC166" s="34" t="str"/>
      <c r="AD166" s="34" t="str"/>
      <c r="AE166" s="34" t="str">
        <v>X=0,Y=0,Z=0,W=0</v>
      </c>
      <c r="AF166" s="34"/>
      <c r="AG166" s="34" t="str"/>
      <c r="AH166" s="34" t="str"/>
      <c r="AI166" s="34" t="str"/>
      <c r="AJ166" s="34" t="str"/>
      <c r="AK166" s="34" t="str"/>
      <c r="AL166" s="34" t="str"/>
      <c r="AM166" s="34" t="str"/>
      <c r="AN166" s="34"/>
      <c r="AO166" s="34" t="str"/>
      <c r="AP166" s="34" t="str"/>
      <c r="AQ166" s="34" t="str"/>
      <c r="AR166" s="34" t="str"/>
      <c r="AS166" s="34" t="str"/>
      <c r="AT166" s="34" t="str"/>
      <c r="AU166" s="34" t="str"/>
      <c r="AV166" s="34"/>
      <c r="AW166" s="34">
        <f>IF(AND(Q166="✅", I166="U90"), "X="&amp;(U166-1)*16&amp;",Y="&amp;(V166-1)*16&amp;",Z="&amp;W166*16, "")</f>
      </c>
      <c r="AX166" s="34">
        <f>IF(AND(Q166="✅", I166="U90"), "P=90,Y=0,R=0", "")</f>
      </c>
      <c r="AY166" s="34">
        <v>1</v>
      </c>
      <c r="AZ166" s="34">
        <v>1.5</v>
      </c>
      <c r="BA166" s="34">
        <v>2</v>
      </c>
      <c r="BB166" s="34">
        <v>1.5</v>
      </c>
      <c r="BC166" s="34" t="str">
        <v>X=1,Y=1.5,Z=2,W=1.5</v>
      </c>
      <c r="BD166" s="34"/>
      <c r="BE166" s="34">
        <f>IF(AND(Q166="✅", I166="D90"), "X="&amp;(U166-1)*16&amp;",Y="&amp;(V166-1)*16&amp;",Z="&amp;(W166-2)*16, "")</f>
      </c>
      <c r="BF166" s="34">
        <f>IF(AND(Q166="✅", I166="D90"), "P=-90,Y=0,R=0", "")</f>
      </c>
      <c r="BG166" s="34" t="str"/>
      <c r="BH166" s="34" t="str"/>
      <c r="BI166" s="34" t="str"/>
      <c r="BJ166" s="34" t="str"/>
      <c r="BK166" s="34" t="str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</row>
    <row customHeight="true" ht="19" outlineLevel="4" r="167">
      <c r="A167" s="14" t="str" xml:space="preserve">
        <v> </v>
      </c>
      <c r="B167" s="14" t="str" xml:space="preserve">
        <v> </v>
      </c>
      <c r="C167" s="147" t="str" xml:space="preserve">
        <v> </v>
      </c>
      <c r="D167" s="147" t="str" xml:space="preserve">
        <v> </v>
      </c>
      <c r="E167" s="28">
        <f>G167 &amp; "_" &amp; H167 &amp; IF(I167&lt;&gt;"", "_" &amp; I167, "") &amp; IF(J167&lt;&gt;"", "_" &amp; J167, "") &amp; IF(K167&lt;&gt;"", "_" &amp; K167, "") &amp;"_X"&amp;U167&amp;"_Y"&amp;V167&amp;"_Z"&amp;W167 &amp; IF(G167="SM", "_Proxy" , "_Rail") &amp; IF(M167&lt;&gt;"", "_" &amp; M167, "")</f>
      </c>
      <c r="F167" s="29">
        <f>IF(E167="", "", IF(G167="BP", E167, F166))</f>
      </c>
      <c r="G167" s="32" t="str">
        <v>SM</v>
      </c>
      <c r="H167" s="32" t="str">
        <v>Straight</v>
      </c>
      <c r="I167" s="32" t="str">
        <v>U90</v>
      </c>
      <c r="J167" s="32"/>
      <c r="K167" s="32"/>
      <c r="L167" s="32"/>
      <c r="M167" s="32" t="str">
        <v>B</v>
      </c>
      <c r="N167" s="74"/>
      <c r="O167" s="74"/>
      <c r="P167" s="74" t="str">
        <v>✅</v>
      </c>
      <c r="Q167" s="74"/>
      <c r="R167" s="32" t="str">
        <v>Straight_U90_X1_Y1_Z1</v>
      </c>
      <c r="S167" s="29" t="str">
        <v>/Script/Engine.StaticMesh'/Game/Item/Rail/Straight/U90/Normal/Straight_U90_X1_Y1_Z1/Proxy/SM_Straight_U90_X1_Y1_Z1_Proxy_B.SM_Straight_U90_X1_Y1_Z1_Proxy_B'</v>
      </c>
      <c r="T167" s="158" t="str"/>
      <c r="U167" s="156">
        <v>1</v>
      </c>
      <c r="V167" s="156">
        <v>1</v>
      </c>
      <c r="W167" s="156">
        <v>1</v>
      </c>
      <c r="X167" s="34"/>
      <c r="Y167" s="34">
        <f>IF(AND(Q167="✅", OR(ISNUMBER(FIND("F",I167)), I167="CR")),   "X="&amp;U167*16&amp;",Y="&amp;(V167-1)*16&amp;",Z="&amp;IF(I167="FD", -(W167-1)*16, (W167-1)*16),   "")</f>
      </c>
      <c r="Z167" s="34">
        <f>IF(AND(Q167="✅", OR(ISNUMBER(FIND("F",I167)), I167="CR")), "P=0,Y=0,R=0", "")</f>
      </c>
      <c r="AA167" s="34" t="str"/>
      <c r="AB167" s="34" t="str"/>
      <c r="AC167" s="34" t="str"/>
      <c r="AD167" s="34" t="str"/>
      <c r="AE167" s="34" t="str"/>
      <c r="AF167" s="34"/>
      <c r="AG167" s="34" t="str"/>
      <c r="AH167" s="34" t="str"/>
      <c r="AI167" s="34" t="str"/>
      <c r="AJ167" s="34" t="str"/>
      <c r="AK167" s="34" t="str"/>
      <c r="AL167" s="34" t="str"/>
      <c r="AM167" s="34" t="str"/>
      <c r="AN167" s="34"/>
      <c r="AO167" s="34" t="str"/>
      <c r="AP167" s="34" t="str"/>
      <c r="AQ167" s="34" t="str"/>
      <c r="AR167" s="34" t="str"/>
      <c r="AS167" s="34" t="str"/>
      <c r="AT167" s="34" t="str"/>
      <c r="AU167" s="34" t="str"/>
      <c r="AV167" s="34"/>
      <c r="AW167" s="34">
        <f>IF(AND(Q167="✅", I167="U90"), "X="&amp;(U167-1)*16&amp;",Y="&amp;(V167-1)*16&amp;",Z="&amp;W167*16, "")</f>
      </c>
      <c r="AX167" s="34">
        <f>IF(AND(Q167="✅", I167="U90"), "P=90,Y=0,R=0", "")</f>
      </c>
      <c r="AY167" s="34" t="str"/>
      <c r="AZ167" s="34" t="str"/>
      <c r="BA167" s="34" t="str"/>
      <c r="BB167" s="34" t="str"/>
      <c r="BC167" s="34" t="str"/>
      <c r="BD167" s="34"/>
      <c r="BE167" s="34">
        <f>IF(AND(Q167="✅", I167="D90"), "X="&amp;(U167-1)*16&amp;",Y="&amp;(V167-1)*16&amp;",Z="&amp;(W167-2)*16, "")</f>
      </c>
      <c r="BF167" s="34">
        <f>IF(AND(Q167="✅", I167="D90"), "P=-90,Y=0,R=0", "")</f>
      </c>
      <c r="BG167" s="34" t="str"/>
      <c r="BH167" s="34" t="str"/>
      <c r="BI167" s="34" t="str"/>
      <c r="BJ167" s="34" t="str"/>
      <c r="BK167" s="34" t="str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</row>
    <row customHeight="true" ht="19" outlineLevel="4" r="168">
      <c r="A168" s="14" t="str" xml:space="preserve">
        <v> </v>
      </c>
      <c r="B168" s="14" t="str" xml:space="preserve">
        <v> </v>
      </c>
      <c r="C168" s="147" t="str" xml:space="preserve">
        <v> </v>
      </c>
      <c r="D168" s="147" t="str" xml:space="preserve">
        <v> </v>
      </c>
      <c r="E168" s="28">
        <f>G168 &amp; "_" &amp; H168 &amp; IF(I168&lt;&gt;"", "_" &amp; I168, "") &amp; IF(J168&lt;&gt;"", "_" &amp; J168, "") &amp; IF(K168&lt;&gt;"", "_" &amp; K168, "") &amp;"_X"&amp;U168&amp;"_Y"&amp;V168&amp;"_Z"&amp;W168 &amp; IF(G168="SM", "_Proxy" , "_Rail") &amp; IF(M168&lt;&gt;"", "_" &amp; M168, "")</f>
      </c>
      <c r="F168" s="29">
        <f>IF(E168="", "", IF(G168="BP", E168, F167))</f>
      </c>
      <c r="G168" s="32" t="str">
        <v>SM</v>
      </c>
      <c r="H168" s="32" t="str">
        <v>Straight</v>
      </c>
      <c r="I168" s="32" t="str">
        <v>U90</v>
      </c>
      <c r="J168" s="32"/>
      <c r="K168" s="32"/>
      <c r="L168" s="32"/>
      <c r="M168" s="32" t="str">
        <v>L</v>
      </c>
      <c r="N168" s="74"/>
      <c r="O168" s="74"/>
      <c r="P168" s="74" t="str">
        <v>✅</v>
      </c>
      <c r="Q168" s="74"/>
      <c r="R168" s="32" t="str">
        <v>Straight_U90_X1_Y1_Z1</v>
      </c>
      <c r="S168" s="29" t="str">
        <v>/Script/Engine.StaticMesh'/Game/Item/Rail/Straight/U90/Normal/Straight_U90_X1_Y1_Z1/Proxy/SM_Straight_U90_X1_Y1_Z1_Proxy_L.SM_Straight_U90_X1_Y1_Z1_Proxy_L'</v>
      </c>
      <c r="T168" s="158" t="str"/>
      <c r="U168" s="156">
        <v>1</v>
      </c>
      <c r="V168" s="156">
        <v>1</v>
      </c>
      <c r="W168" s="156">
        <v>1</v>
      </c>
      <c r="X168" s="34"/>
      <c r="Y168" s="34">
        <f>IF(AND(Q168="✅", OR(ISNUMBER(FIND("F",I168)), I168="CR")),   "X="&amp;U168*16&amp;",Y="&amp;(V168-1)*16&amp;",Z="&amp;IF(I168="FD", -(W168-1)*16, (W168-1)*16),   "")</f>
      </c>
      <c r="Z168" s="34">
        <f>IF(AND(Q168="✅", OR(ISNUMBER(FIND("F",I168)), I168="CR")), "P=0,Y=0,R=0", "")</f>
      </c>
      <c r="AA168" s="34" t="str"/>
      <c r="AB168" s="34" t="str"/>
      <c r="AC168" s="34" t="str"/>
      <c r="AD168" s="34" t="str"/>
      <c r="AE168" s="34" t="str"/>
      <c r="AF168" s="34"/>
      <c r="AG168" s="34" t="str"/>
      <c r="AH168" s="34" t="str"/>
      <c r="AI168" s="34" t="str"/>
      <c r="AJ168" s="34" t="str"/>
      <c r="AK168" s="34" t="str"/>
      <c r="AL168" s="34" t="str"/>
      <c r="AM168" s="34" t="str"/>
      <c r="AN168" s="34"/>
      <c r="AO168" s="34" t="str"/>
      <c r="AP168" s="34" t="str"/>
      <c r="AQ168" s="34" t="str"/>
      <c r="AR168" s="34" t="str"/>
      <c r="AS168" s="34" t="str"/>
      <c r="AT168" s="34" t="str"/>
      <c r="AU168" s="34" t="str"/>
      <c r="AV168" s="34"/>
      <c r="AW168" s="34">
        <f>IF(AND(Q168="✅", I168="U90"), "X="&amp;(U168-1)*16&amp;",Y="&amp;(V168-1)*16&amp;",Z="&amp;W168*16, "")</f>
      </c>
      <c r="AX168" s="34">
        <f>IF(AND(Q168="✅", I168="U90"), "P=90,Y=0,R=0", "")</f>
      </c>
      <c r="AY168" s="34" t="str"/>
      <c r="AZ168" s="34" t="str"/>
      <c r="BA168" s="34" t="str"/>
      <c r="BB168" s="34" t="str"/>
      <c r="BC168" s="34" t="str"/>
      <c r="BD168" s="34"/>
      <c r="BE168" s="34">
        <f>IF(AND(Q168="✅", I168="D90"), "X="&amp;(U168-1)*16&amp;",Y="&amp;(V168-1)*16&amp;",Z="&amp;(W168-2)*16, "")</f>
      </c>
      <c r="BF168" s="34">
        <f>IF(AND(Q168="✅", I168="D90"), "P=-90,Y=0,R=0", "")</f>
      </c>
      <c r="BG168" s="34" t="str"/>
      <c r="BH168" s="34" t="str"/>
      <c r="BI168" s="34" t="str"/>
      <c r="BJ168" s="34" t="str"/>
      <c r="BK168" s="34" t="str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</row>
    <row customHeight="true" ht="19" outlineLevel="4" r="169">
      <c r="A169" s="14" t="str" xml:space="preserve">
        <v> </v>
      </c>
      <c r="B169" s="14" t="str" xml:space="preserve">
        <v> </v>
      </c>
      <c r="C169" s="147" t="str" xml:space="preserve">
        <v> </v>
      </c>
      <c r="D169" s="147" t="str" xml:space="preserve">
        <v> </v>
      </c>
      <c r="E169" s="28">
        <f>G169 &amp; "_" &amp; H169 &amp; IF(I169&lt;&gt;"", "_" &amp; I169, "") &amp; IF(J169&lt;&gt;"", "_" &amp; J169, "") &amp; IF(K169&lt;&gt;"", "_" &amp; K169, "") &amp;"_X"&amp;U169&amp;"_Y"&amp;V169&amp;"_Z"&amp;W169 &amp; IF(G169="SM", "_Proxy" , "_Rail") &amp; IF(M169&lt;&gt;"", "_" &amp; M169, "")</f>
      </c>
      <c r="F169" s="29">
        <f>IF(E169="", "", IF(G169="BP", E169, F168))</f>
      </c>
      <c r="G169" s="32" t="str">
        <v>SM</v>
      </c>
      <c r="H169" s="32" t="str">
        <v>Straight</v>
      </c>
      <c r="I169" s="32" t="str">
        <v>U90</v>
      </c>
      <c r="J169" s="32"/>
      <c r="K169" s="32"/>
      <c r="L169" s="32"/>
      <c r="M169" s="32" t="str">
        <v>R</v>
      </c>
      <c r="N169" s="74"/>
      <c r="O169" s="74"/>
      <c r="P169" s="74" t="str">
        <v>✅</v>
      </c>
      <c r="Q169" s="74"/>
      <c r="R169" s="32" t="str">
        <v>Straight_U90_X1_Y1_Z1</v>
      </c>
      <c r="S169" s="29" t="str">
        <v>/Script/Engine.StaticMesh'/Game/Item/Rail/Straight/U90/Normal/Straight_U90_X1_Y1_Z1/Proxy/SM_Straight_U90_X1_Y1_Z1_Proxy_R.SM_Straight_U90_X1_Y1_Z1_Proxy_R'</v>
      </c>
      <c r="T169" s="158" t="str"/>
      <c r="U169" s="156">
        <v>1</v>
      </c>
      <c r="V169" s="156">
        <v>1</v>
      </c>
      <c r="W169" s="156">
        <v>1</v>
      </c>
      <c r="X169" s="34"/>
      <c r="Y169" s="34">
        <f>IF(AND(Q169="✅", OR(ISNUMBER(FIND("F",I169)), I169="CR")),   "X="&amp;U169*16&amp;",Y="&amp;(V169-1)*16&amp;",Z="&amp;IF(I169="FD", -(W169-1)*16, (W169-1)*16),   "")</f>
      </c>
      <c r="Z169" s="34">
        <f>IF(AND(Q169="✅", OR(ISNUMBER(FIND("F",I169)), I169="CR")), "P=0,Y=0,R=0", "")</f>
      </c>
      <c r="AA169" s="34" t="str"/>
      <c r="AB169" s="34" t="str"/>
      <c r="AC169" s="34" t="str"/>
      <c r="AD169" s="34" t="str"/>
      <c r="AE169" s="34" t="str"/>
      <c r="AF169" s="34"/>
      <c r="AG169" s="34" t="str"/>
      <c r="AH169" s="34" t="str"/>
      <c r="AI169" s="34" t="str"/>
      <c r="AJ169" s="34" t="str"/>
      <c r="AK169" s="34" t="str"/>
      <c r="AL169" s="34" t="str"/>
      <c r="AM169" s="34" t="str"/>
      <c r="AN169" s="34"/>
      <c r="AO169" s="34" t="str"/>
      <c r="AP169" s="34" t="str"/>
      <c r="AQ169" s="34" t="str"/>
      <c r="AR169" s="34" t="str"/>
      <c r="AS169" s="34" t="str"/>
      <c r="AT169" s="34" t="str"/>
      <c r="AU169" s="34" t="str"/>
      <c r="AV169" s="34"/>
      <c r="AW169" s="34">
        <f>IF(AND(Q169="✅", I169="U90"), "X="&amp;(U169-1)*16&amp;",Y="&amp;(V169-1)*16&amp;",Z="&amp;W169*16, "")</f>
      </c>
      <c r="AX169" s="34">
        <f>IF(AND(Q169="✅", I169="U90"), "P=90,Y=0,R=0", "")</f>
      </c>
      <c r="AY169" s="34" t="str"/>
      <c r="AZ169" s="34" t="str"/>
      <c r="BA169" s="34" t="str"/>
      <c r="BB169" s="34" t="str"/>
      <c r="BC169" s="34" t="str"/>
      <c r="BD169" s="34"/>
      <c r="BE169" s="34">
        <f>IF(AND(Q169="✅", I169="D90"), "X="&amp;(U169-1)*16&amp;",Y="&amp;(V169-1)*16&amp;",Z="&amp;(W169-2)*16, "")</f>
      </c>
      <c r="BF169" s="34">
        <f>IF(AND(Q169="✅", I169="D90"), "P=-90,Y=0,R=0", "")</f>
      </c>
      <c r="BG169" s="34" t="str"/>
      <c r="BH169" s="34" t="str"/>
      <c r="BI169" s="34" t="str"/>
      <c r="BJ169" s="34" t="str"/>
      <c r="BK169" s="34" t="str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</row>
    <row customHeight="true" ht="19" outlineLevel="2" r="170">
      <c r="A170" s="11"/>
      <c r="B170" s="11"/>
      <c r="C170" s="119" t="str">
        <v>Borderless</v>
      </c>
      <c r="D170" s="119"/>
      <c r="E170" s="5"/>
      <c r="F170" s="9">
        <f>IF(E170="", "", IF(G170="BP", E170, F169))</f>
      </c>
      <c r="G170" s="1"/>
      <c r="H170" s="1"/>
      <c r="I170" s="1"/>
      <c r="J170" s="1"/>
      <c r="K170" s="1"/>
      <c r="L170" s="1"/>
      <c r="M170" s="1"/>
      <c r="N170" s="3"/>
      <c r="O170" s="2" t="str">
        <v>⭕</v>
      </c>
      <c r="P170" s="3"/>
      <c r="Q170" s="3"/>
      <c r="R170" s="1" t="str"/>
      <c r="S170" s="9" t="str"/>
      <c r="T170" s="120" t="str"/>
      <c r="U170" s="118"/>
      <c r="V170" s="118"/>
      <c r="W170" s="118"/>
      <c r="X170" s="4"/>
      <c r="Y170" s="4">
        <f>IF(AND(Q170="✅", OR(ISNUMBER(FIND("F",I170)), I170="CR")),   "X="&amp;U170*16&amp;",Y="&amp;(V170-1)*16&amp;",Z="&amp;IF(I170="FD", -(W170-1)*16, (W170-1)*16),   "")</f>
      </c>
      <c r="Z170" s="4">
        <f>IF(AND(Q170="✅", OR(ISNUMBER(FIND("F",I170)), I170="CR")), "P=0,Y=0,R=0", "")</f>
      </c>
      <c r="AA170" s="4" t="str"/>
      <c r="AB170" s="4" t="str"/>
      <c r="AC170" s="4" t="str"/>
      <c r="AD170" s="4" t="str"/>
      <c r="AE170" s="4" t="str"/>
      <c r="AF170" s="4"/>
      <c r="AG170" s="4" t="str"/>
      <c r="AH170" s="4" t="str"/>
      <c r="AI170" s="4" t="str"/>
      <c r="AJ170" s="4" t="str"/>
      <c r="AK170" s="4" t="str"/>
      <c r="AL170" s="4" t="str"/>
      <c r="AM170" s="4" t="str"/>
      <c r="AN170" s="4"/>
      <c r="AO170" s="4" t="str"/>
      <c r="AP170" s="4" t="str"/>
      <c r="AQ170" s="4" t="str"/>
      <c r="AR170" s="4" t="str"/>
      <c r="AS170" s="4" t="str"/>
      <c r="AT170" s="4" t="str"/>
      <c r="AU170" s="4" t="str"/>
      <c r="AV170" s="4"/>
      <c r="AW170" s="4">
        <f>IF(AND(Q170="✅", I170="U90"), "X="&amp;(U170-1)*16&amp;",Y="&amp;(V170-1)*16&amp;",Z="&amp;W170*16, "")</f>
      </c>
      <c r="AX170" s="4">
        <f>IF(AND(Q170="✅", I170="U90"), "P=90,Y=0,R=0", "")</f>
      </c>
      <c r="AY170" s="4" t="str"/>
      <c r="AZ170" s="4" t="str"/>
      <c r="BA170" s="4" t="str"/>
      <c r="BB170" s="4" t="str"/>
      <c r="BC170" s="4" t="str"/>
      <c r="BD170" s="4"/>
      <c r="BE170" s="4">
        <f>IF(AND(Q170="✅", I170="D90"), "X="&amp;(U170-1)*16&amp;",Y="&amp;(V170-1)*16&amp;",Z="&amp;(W170-2)*16, "")</f>
      </c>
      <c r="BF170" s="4">
        <f>IF(AND(Q170="✅", I170="D90"), "P=-90,Y=0,R=0", "")</f>
      </c>
      <c r="BG170" s="4" t="str"/>
      <c r="BH170" s="4" t="str"/>
      <c r="BI170" s="4" t="str"/>
      <c r="BJ170" s="4" t="str"/>
      <c r="BK170" s="4" t="str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</row>
    <row customHeight="true" ht="19" outlineLevel="3" r="171">
      <c r="A171" s="11"/>
      <c r="B171" s="11"/>
      <c r="C171" s="119"/>
      <c r="D171" s="119">
        <v>1</v>
      </c>
      <c r="E171" s="5"/>
      <c r="F171" s="9"/>
      <c r="G171" s="1"/>
      <c r="H171" s="1"/>
      <c r="I171" s="1"/>
      <c r="J171" s="1"/>
      <c r="K171" s="1"/>
      <c r="L171" s="1"/>
      <c r="M171" s="1"/>
      <c r="N171" s="3"/>
      <c r="O171" s="3"/>
      <c r="P171" s="3"/>
      <c r="Q171" s="3"/>
      <c r="R171" s="1" t="str"/>
      <c r="S171" s="9" t="str"/>
      <c r="T171" s="120" t="str"/>
      <c r="U171" s="118"/>
      <c r="V171" s="118"/>
      <c r="W171" s="118"/>
      <c r="X171" s="4"/>
      <c r="Y171" s="4">
        <f>IF(AND(Q171="✅", OR(ISNUMBER(FIND("F",I171)), I171="CR")),   "X="&amp;U171*16&amp;",Y="&amp;(V171-1)*16&amp;",Z="&amp;IF(I171="FD", -(W171-1)*16, (W171-1)*16),   "")</f>
      </c>
      <c r="Z171" s="4">
        <f>IF(AND(Q171="✅", OR(ISNUMBER(FIND("F",I171)), I171="CR")), "P=0,Y=0,R=0", "")</f>
      </c>
      <c r="AA171" s="4" t="str"/>
      <c r="AB171" s="4" t="str"/>
      <c r="AC171" s="4" t="str"/>
      <c r="AD171" s="4" t="str"/>
      <c r="AE171" s="4" t="str"/>
      <c r="AF171" s="4"/>
      <c r="AG171" s="4" t="str"/>
      <c r="AH171" s="4" t="str"/>
      <c r="AI171" s="4" t="str"/>
      <c r="AJ171" s="4" t="str"/>
      <c r="AK171" s="4" t="str"/>
      <c r="AL171" s="4" t="str"/>
      <c r="AM171" s="4" t="str"/>
      <c r="AN171" s="4"/>
      <c r="AO171" s="4" t="str"/>
      <c r="AP171" s="4" t="str"/>
      <c r="AQ171" s="4" t="str"/>
      <c r="AR171" s="4" t="str"/>
      <c r="AS171" s="4" t="str"/>
      <c r="AT171" s="4" t="str"/>
      <c r="AU171" s="4" t="str"/>
      <c r="AV171" s="4"/>
      <c r="AW171" s="4">
        <f>IF(AND(Q171="✅", I171="U90"), "X="&amp;(U171-1)*16&amp;",Y="&amp;(V171-1)*16&amp;",Z="&amp;W171*16, "")</f>
      </c>
      <c r="AX171" s="4">
        <f>IF(AND(Q171="✅", I171="U90"), "P=90,Y=0,R=0", "")</f>
      </c>
      <c r="AY171" s="4" t="str"/>
      <c r="AZ171" s="4" t="str"/>
      <c r="BA171" s="4" t="str"/>
      <c r="BB171" s="4" t="str"/>
      <c r="BC171" s="4" t="str"/>
      <c r="BD171" s="4"/>
      <c r="BE171" s="4">
        <f>IF(AND(Q171="✅", I171="D90"), "X="&amp;(U171-1)*16&amp;",Y="&amp;(V171-1)*16&amp;",Z="&amp;(W171-2)*16, "")</f>
      </c>
      <c r="BF171" s="4">
        <f>IF(AND(Q171="✅", I171="D90"), "P=-90,Y=0,R=0", "")</f>
      </c>
      <c r="BG171" s="4" t="str"/>
      <c r="BH171" s="4" t="str"/>
      <c r="BI171" s="4" t="str"/>
      <c r="BJ171" s="4" t="str"/>
      <c r="BK171" s="4" t="str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</row>
    <row customHeight="true" ht="19" outlineLevel="4" r="172">
      <c r="A172" s="116" t="str" xml:space="preserve">
        <v> </v>
      </c>
      <c r="B172" s="116" t="str" xml:space="preserve">
        <v> </v>
      </c>
      <c r="C172" s="163" t="str" xml:space="preserve">
        <v> </v>
      </c>
      <c r="D172" s="163" t="str" xml:space="preserve">
        <v> </v>
      </c>
      <c r="E172" s="21">
        <f>G172 &amp; "_" &amp; H172 &amp; IF(I172&lt;&gt;"", "_" &amp; I172, "") &amp; IF(J172&lt;&gt;"", "_" &amp; J172, "") &amp; IF(K172&lt;&gt;"", "_" &amp; K172, "") &amp;"_X"&amp;U172&amp;"_Y"&amp;V172&amp;"_Z"&amp;W172 &amp; IF(G172="SM", "_Proxy" , "_Rail") &amp; IF(M172&lt;&gt;"", "_" &amp; M172, "")</f>
      </c>
      <c r="F172" s="19">
        <f>IF(E172="", "", IF(G172="BP", E172, F170))</f>
      </c>
      <c r="G172" s="20" t="str">
        <v>BP</v>
      </c>
      <c r="H172" s="20" t="str">
        <v>Straight</v>
      </c>
      <c r="I172" s="20" t="str">
        <v>U90</v>
      </c>
      <c r="J172" s="20"/>
      <c r="K172" s="20"/>
      <c r="L172" s="20"/>
      <c r="M172" s="20"/>
      <c r="N172" s="95"/>
      <c r="O172" s="95"/>
      <c r="P172" s="95"/>
      <c r="Q172" s="95" t="str">
        <v>✅</v>
      </c>
      <c r="R172" s="20" t="str">
        <v>Straight_U90_X1_Y1_Z1</v>
      </c>
      <c r="S172" s="19" t="str">
        <v>/Script/Engine.BlueprintGeneratedClass'/Game/Item/Rail/Straight/U90/Normal/Straight_U90_X1_Y1_Z1/BP_Straight_U90_X1_Y1_Z1_Rail.BP_Straight_U90_X1_Y1_Z1_Rail_C'</v>
      </c>
      <c r="T172" s="131">
        <v>1</v>
      </c>
      <c r="U172" s="132">
        <v>1</v>
      </c>
      <c r="V172" s="132">
        <v>1</v>
      </c>
      <c r="W172" s="132">
        <v>1</v>
      </c>
      <c r="X172" s="25"/>
      <c r="Y172" s="25">
        <f>IF(AND(Q172="✅", OR(ISNUMBER(FIND("F",I172)), I172="CR")),   "X="&amp;U172*16&amp;",Y="&amp;(V172-1)*16&amp;",Z="&amp;IF(I172="FD", -(W172-1)*16, (W172-1)*16),   "")</f>
      </c>
      <c r="Z172" s="25">
        <f>IF(AND(Q172="✅", OR(ISNUMBER(FIND("F",I172)), I172="CR")), "P=0,Y=0,R=0", "")</f>
      </c>
      <c r="AA172" s="25" t="str"/>
      <c r="AB172" s="25" t="str"/>
      <c r="AC172" s="25" t="str"/>
      <c r="AD172" s="25" t="str"/>
      <c r="AE172" s="25" t="str">
        <v>X=0,Y=0,Z=0,W=0</v>
      </c>
      <c r="AF172" s="25"/>
      <c r="AG172" s="25" t="str"/>
      <c r="AH172" s="25" t="str"/>
      <c r="AI172" s="25" t="str"/>
      <c r="AJ172" s="25" t="str"/>
      <c r="AK172" s="25" t="str"/>
      <c r="AL172" s="25" t="str"/>
      <c r="AM172" s="25" t="str"/>
      <c r="AN172" s="25"/>
      <c r="AO172" s="25" t="str"/>
      <c r="AP172" s="25" t="str"/>
      <c r="AQ172" s="25" t="str"/>
      <c r="AR172" s="25" t="str"/>
      <c r="AS172" s="25" t="str"/>
      <c r="AT172" s="25" t="str"/>
      <c r="AU172" s="25" t="str"/>
      <c r="AV172" s="25"/>
      <c r="AW172" s="25">
        <f>IF(AND(Q172="✅", I172="U90"), "X="&amp;(U172-1)*16&amp;",Y="&amp;(V172-1)*16&amp;",Z="&amp;W172*16, "")</f>
      </c>
      <c r="AX172" s="25">
        <f>IF(AND(Q172="✅", I172="U90"), "P=90,Y=0,R=0", "")</f>
      </c>
      <c r="AY172" s="25">
        <v>1</v>
      </c>
      <c r="AZ172" s="25">
        <v>1.5</v>
      </c>
      <c r="BA172" s="25">
        <v>2</v>
      </c>
      <c r="BB172" s="25">
        <v>1.5</v>
      </c>
      <c r="BC172" s="25" t="str">
        <v>X=1,Y=1.5,Z=2,W=1.5</v>
      </c>
      <c r="BD172" s="25"/>
      <c r="BE172" s="25">
        <f>IF(AND(Q172="✅", I172="D90"), "X="&amp;(U172-1)*16&amp;",Y="&amp;(V172-1)*16&amp;",Z="&amp;(W172-2)*16, "")</f>
      </c>
      <c r="BF172" s="25">
        <f>IF(AND(Q172="✅", I172="D90"), "P=-90,Y=0,R=0", "")</f>
      </c>
      <c r="BG172" s="25" t="str"/>
      <c r="BH172" s="25" t="str"/>
      <c r="BI172" s="25" t="str"/>
      <c r="BJ172" s="25" t="str"/>
      <c r="BK172" s="25" t="str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</row>
    <row customHeight="true" ht="19" outlineLevel="4" r="173">
      <c r="A173" s="116" t="str" xml:space="preserve">
        <v> </v>
      </c>
      <c r="B173" s="116" t="str" xml:space="preserve">
        <v> </v>
      </c>
      <c r="C173" s="163" t="str" xml:space="preserve">
        <v> </v>
      </c>
      <c r="D173" s="163" t="str" xml:space="preserve">
        <v> </v>
      </c>
      <c r="E173" s="21">
        <f>E167</f>
      </c>
      <c r="F173" s="19">
        <f>IF(E173="", "", IF(G173="BP", E173, F172))</f>
      </c>
      <c r="G173" s="20"/>
      <c r="H173" s="20"/>
      <c r="I173" s="20"/>
      <c r="J173" s="20"/>
      <c r="K173" s="20"/>
      <c r="L173" s="20"/>
      <c r="M173" s="20" t="str">
        <v>B</v>
      </c>
      <c r="N173" s="95"/>
      <c r="O173" s="95"/>
      <c r="P173" s="95" t="str">
        <v>✅</v>
      </c>
      <c r="Q173" s="95"/>
      <c r="R173" s="20" t="str">
        <v>Straight_U90_X1_Y1_Z1</v>
      </c>
      <c r="S173" s="19" t="str">
        <v>/Script/Engine.StaticMesh'/Game/Item/Rail/Straight/U90/Normal/Straight_U90_X1_Y1_Z1/Proxy/SM_Straight_U90_X1_Y1_Z1_Proxy_B.SM_Straight_U90_X1_Y1_Z1_Proxy_B'</v>
      </c>
      <c r="T173" s="131" t="str"/>
      <c r="U173" s="132">
        <v>1</v>
      </c>
      <c r="V173" s="132">
        <v>1</v>
      </c>
      <c r="W173" s="132">
        <v>1</v>
      </c>
      <c r="X173" s="25"/>
      <c r="Y173" s="25">
        <f>IF(AND(Q173="✅", OR(ISNUMBER(FIND("F",I173)), I173="CR")),   "X="&amp;U173*16&amp;",Y="&amp;(V173-1)*16&amp;",Z="&amp;IF(I173="FD", -(W173-1)*16, (W173-1)*16),   "")</f>
      </c>
      <c r="Z173" s="25">
        <f>IF(AND(Q173="✅", OR(ISNUMBER(FIND("F",I173)), I173="CR")), "P=0,Y=0,R=0", "")</f>
      </c>
      <c r="AA173" s="25" t="str"/>
      <c r="AB173" s="25" t="str"/>
      <c r="AC173" s="25" t="str"/>
      <c r="AD173" s="25" t="str"/>
      <c r="AE173" s="25" t="str"/>
      <c r="AF173" s="25"/>
      <c r="AG173" s="25" t="str"/>
      <c r="AH173" s="25" t="str"/>
      <c r="AI173" s="25" t="str"/>
      <c r="AJ173" s="25" t="str"/>
      <c r="AK173" s="25" t="str"/>
      <c r="AL173" s="25" t="str"/>
      <c r="AM173" s="25" t="str"/>
      <c r="AN173" s="25"/>
      <c r="AO173" s="25" t="str"/>
      <c r="AP173" s="25" t="str"/>
      <c r="AQ173" s="25" t="str"/>
      <c r="AR173" s="25" t="str"/>
      <c r="AS173" s="25" t="str"/>
      <c r="AT173" s="25" t="str"/>
      <c r="AU173" s="25" t="str"/>
      <c r="AV173" s="25"/>
      <c r="AW173" s="25">
        <f>IF(AND(Q173="✅", I173="U90"), "X="&amp;(U173-1)*16&amp;",Y="&amp;(V173-1)*16&amp;",Z="&amp;W173*16, "")</f>
      </c>
      <c r="AX173" s="25">
        <f>IF(AND(Q173="✅", I173="U90"), "P=90,Y=0,R=0", "")</f>
      </c>
      <c r="AY173" s="25" t="str"/>
      <c r="AZ173" s="25" t="str"/>
      <c r="BA173" s="25" t="str"/>
      <c r="BB173" s="25" t="str"/>
      <c r="BC173" s="25" t="str"/>
      <c r="BD173" s="25"/>
      <c r="BE173" s="25">
        <f>IF(AND(Q173="✅", I173="D90"), "X="&amp;(U173-1)*16&amp;",Y="&amp;(V173-1)*16&amp;",Z="&amp;(W173-2)*16, "")</f>
      </c>
      <c r="BF173" s="25">
        <f>IF(AND(Q173="✅", I173="D90"), "P=-90,Y=0,R=0", "")</f>
      </c>
      <c r="BG173" s="25" t="str"/>
      <c r="BH173" s="25" t="str"/>
      <c r="BI173" s="25" t="str"/>
      <c r="BJ173" s="25" t="str"/>
      <c r="BK173" s="25" t="str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</row>
    <row customHeight="true" ht="19" outlineLevel="2" r="174">
      <c r="A174" s="11"/>
      <c r="B174" s="11"/>
      <c r="C174" s="119" t="str">
        <v>Borderless_Caved</v>
      </c>
      <c r="D174" s="119"/>
      <c r="E174" s="5"/>
      <c r="F174" s="9">
        <f>IF(E174="", "", IF(G174="BP", E174, F173))</f>
      </c>
      <c r="G174" s="1"/>
      <c r="H174" s="1"/>
      <c r="I174" s="1"/>
      <c r="J174" s="1"/>
      <c r="K174" s="1"/>
      <c r="L174" s="1"/>
      <c r="M174" s="1"/>
      <c r="N174" s="3"/>
      <c r="O174" s="2" t="str">
        <v>⭕</v>
      </c>
      <c r="P174" s="3"/>
      <c r="Q174" s="3"/>
      <c r="R174" s="1" t="str"/>
      <c r="S174" s="9" t="str"/>
      <c r="T174" s="120" t="str"/>
      <c r="U174" s="118"/>
      <c r="V174" s="118"/>
      <c r="W174" s="118"/>
      <c r="X174" s="4"/>
      <c r="Y174" s="4">
        <f>IF(AND(Q174="✅", OR(ISNUMBER(FIND("F",I174)), I174="CR")),   "X="&amp;U174*16&amp;",Y="&amp;(V174-1)*16&amp;",Z="&amp;IF(I174="FD", -(W174-1)*16, (W174-1)*16),   "")</f>
      </c>
      <c r="Z174" s="4">
        <f>IF(AND(Q174="✅", OR(ISNUMBER(FIND("F",I174)), I174="CR")), "P=0,Y=0,R=0", "")</f>
      </c>
      <c r="AA174" s="4" t="str"/>
      <c r="AB174" s="4" t="str"/>
      <c r="AC174" s="4" t="str"/>
      <c r="AD174" s="4" t="str"/>
      <c r="AE174" s="4" t="str"/>
      <c r="AF174" s="4"/>
      <c r="AG174" s="4" t="str"/>
      <c r="AH174" s="4" t="str"/>
      <c r="AI174" s="4" t="str"/>
      <c r="AJ174" s="4" t="str"/>
      <c r="AK174" s="4" t="str"/>
      <c r="AL174" s="4" t="str"/>
      <c r="AM174" s="4" t="str"/>
      <c r="AN174" s="4"/>
      <c r="AO174" s="4" t="str"/>
      <c r="AP174" s="4" t="str"/>
      <c r="AQ174" s="4" t="str"/>
      <c r="AR174" s="4" t="str"/>
      <c r="AS174" s="4" t="str"/>
      <c r="AT174" s="4" t="str"/>
      <c r="AU174" s="4" t="str"/>
      <c r="AV174" s="4"/>
      <c r="AW174" s="4">
        <f>IF(AND(Q174="✅", I174="U90"), "X="&amp;(U174-1)*16&amp;",Y="&amp;(V174-1)*16&amp;",Z="&amp;W174*16, "")</f>
      </c>
      <c r="AX174" s="4">
        <f>IF(AND(Q174="✅", I174="U90"), "P=90,Y=0,R=0", "")</f>
      </c>
      <c r="AY174" s="4" t="str"/>
      <c r="AZ174" s="4" t="str"/>
      <c r="BA174" s="4" t="str"/>
      <c r="BB174" s="4" t="str"/>
      <c r="BC174" s="4" t="str"/>
      <c r="BD174" s="4"/>
      <c r="BE174" s="4">
        <f>IF(AND(Q174="✅", I174="D90"), "X="&amp;(U174-1)*16&amp;",Y="&amp;(V174-1)*16&amp;",Z="&amp;(W174-2)*16, "")</f>
      </c>
      <c r="BF174" s="4">
        <f>IF(AND(Q174="✅", I174="D90"), "P=-90,Y=0,R=0", "")</f>
      </c>
      <c r="BG174" s="4" t="str"/>
      <c r="BH174" s="4" t="str"/>
      <c r="BI174" s="4" t="str"/>
      <c r="BJ174" s="4" t="str"/>
      <c r="BK174" s="4" t="str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</row>
    <row customHeight="true" ht="19" outlineLevel="3" r="175">
      <c r="A175" s="11"/>
      <c r="B175" s="11"/>
      <c r="C175" s="119"/>
      <c r="D175" s="119">
        <v>1</v>
      </c>
      <c r="E175" s="5"/>
      <c r="F175" s="9"/>
      <c r="G175" s="1"/>
      <c r="H175" s="1"/>
      <c r="I175" s="1"/>
      <c r="J175" s="1"/>
      <c r="K175" s="1"/>
      <c r="L175" s="1"/>
      <c r="M175" s="1"/>
      <c r="N175" s="3"/>
      <c r="O175" s="3"/>
      <c r="P175" s="3"/>
      <c r="Q175" s="3"/>
      <c r="R175" s="1" t="str"/>
      <c r="S175" s="9" t="str"/>
      <c r="T175" s="120" t="str"/>
      <c r="U175" s="118"/>
      <c r="V175" s="118"/>
      <c r="W175" s="118"/>
      <c r="X175" s="4"/>
      <c r="Y175" s="4">
        <f>IF(AND(Q175="✅", OR(ISNUMBER(FIND("F",I175)), I175="CR")),   "X="&amp;U175*16&amp;",Y="&amp;(V175-1)*16&amp;",Z="&amp;IF(I175="FD", -(W175-1)*16, (W175-1)*16),   "")</f>
      </c>
      <c r="Z175" s="4">
        <f>IF(AND(Q175="✅", OR(ISNUMBER(FIND("F",I175)), I175="CR")), "P=0,Y=0,R=0", "")</f>
      </c>
      <c r="AA175" s="4" t="str"/>
      <c r="AB175" s="4" t="str"/>
      <c r="AC175" s="4" t="str"/>
      <c r="AD175" s="4" t="str"/>
      <c r="AE175" s="4" t="str"/>
      <c r="AF175" s="4"/>
      <c r="AG175" s="4" t="str"/>
      <c r="AH175" s="4" t="str"/>
      <c r="AI175" s="4" t="str"/>
      <c r="AJ175" s="4" t="str"/>
      <c r="AK175" s="4" t="str"/>
      <c r="AL175" s="4" t="str"/>
      <c r="AM175" s="4" t="str"/>
      <c r="AN175" s="4"/>
      <c r="AO175" s="4" t="str"/>
      <c r="AP175" s="4" t="str"/>
      <c r="AQ175" s="4" t="str"/>
      <c r="AR175" s="4" t="str"/>
      <c r="AS175" s="4" t="str"/>
      <c r="AT175" s="4" t="str"/>
      <c r="AU175" s="4" t="str"/>
      <c r="AV175" s="4"/>
      <c r="AW175" s="4">
        <f>IF(AND(Q175="✅", I175="U90"), "X="&amp;(U175-1)*16&amp;",Y="&amp;(V175-1)*16&amp;",Z="&amp;W175*16, "")</f>
      </c>
      <c r="AX175" s="4">
        <f>IF(AND(Q175="✅", I175="U90"), "P=90,Y=0,R=0", "")</f>
      </c>
      <c r="AY175" s="4" t="str"/>
      <c r="AZ175" s="4" t="str"/>
      <c r="BA175" s="4" t="str"/>
      <c r="BB175" s="4" t="str"/>
      <c r="BC175" s="4" t="str"/>
      <c r="BD175" s="4"/>
      <c r="BE175" s="4">
        <f>IF(AND(Q175="✅", I175="D90"), "X="&amp;(U175-1)*16&amp;",Y="&amp;(V175-1)*16&amp;",Z="&amp;(W175-2)*16, "")</f>
      </c>
      <c r="BF175" s="4">
        <f>IF(AND(Q175="✅", I175="D90"), "P=-90,Y=0,R=0", "")</f>
      </c>
      <c r="BG175" s="4" t="str"/>
      <c r="BH175" s="4" t="str"/>
      <c r="BI175" s="4" t="str"/>
      <c r="BJ175" s="4" t="str"/>
      <c r="BK175" s="4" t="str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</row>
    <row customHeight="true" ht="19" outlineLevel="4" r="176">
      <c r="A176" s="89" t="str" xml:space="preserve">
        <v> </v>
      </c>
      <c r="B176" s="89" t="str" xml:space="preserve">
        <v> </v>
      </c>
      <c r="C176" s="164" t="str" xml:space="preserve">
        <v> </v>
      </c>
      <c r="D176" s="164" t="str" xml:space="preserve">
        <v> </v>
      </c>
      <c r="E176" s="65">
        <f>G176 &amp; "_" &amp; H176 &amp; IF(I176&lt;&gt;"", "_" &amp; I176, "") &amp; IF(J176&lt;&gt;"", "_" &amp; J176, "") &amp; IF(K176&lt;&gt;"", "_" &amp; K176, "") &amp;"_X"&amp;U176&amp;"_Y"&amp;V176&amp;"_Z"&amp;W176 &amp; IF(G176="SM", "_Proxy" , "_Rail") &amp; IF(M176&lt;&gt;"", "_" &amp; M176, "")</f>
      </c>
      <c r="F176" s="66">
        <f>IF(E176="", "", IF(G176="BP", E176, F174))</f>
      </c>
      <c r="G176" s="64" t="str">
        <v>BP</v>
      </c>
      <c r="H176" s="64" t="str">
        <v>Straight</v>
      </c>
      <c r="I176" s="64" t="str">
        <v>U90</v>
      </c>
      <c r="J176" s="64"/>
      <c r="K176" s="64"/>
      <c r="L176" s="64"/>
      <c r="M176" s="64"/>
      <c r="N176" s="90"/>
      <c r="O176" s="90"/>
      <c r="P176" s="90"/>
      <c r="Q176" s="90" t="str">
        <v>⭕</v>
      </c>
      <c r="R176" s="64" t="str"/>
      <c r="S176" s="66" t="str">
        <v>/Script/Engine.BlueprintGeneratedClass'/Game/Item/Rail/Straight/U90/Normal/Straight_U90_X1_Y1_Z1/BP_Straight_U90_X1_Y1_Z1_Rail.BP_Straight_U90_X1_Y1_Z1_Rail_C'</v>
      </c>
      <c r="T176" s="139">
        <v>1</v>
      </c>
      <c r="U176" s="140">
        <v>1</v>
      </c>
      <c r="V176" s="140">
        <v>1</v>
      </c>
      <c r="W176" s="140">
        <v>1</v>
      </c>
      <c r="X176" s="88"/>
      <c r="Y176" s="88">
        <f>IF(AND(Q176="✅", OR(ISNUMBER(FIND("F",I176)), I176="CR")),   "X="&amp;U176*16&amp;",Y="&amp;(V176-1)*16&amp;",Z="&amp;IF(I176="FD", -(W176-1)*16, (W176-1)*16),   "")</f>
      </c>
      <c r="Z176" s="88">
        <f>IF(AND(Q176="✅", OR(ISNUMBER(FIND("F",I176)), I176="CR")), "P=0,Y=0,R=0", "")</f>
      </c>
      <c r="AA176" s="88" t="str"/>
      <c r="AB176" s="88" t="str"/>
      <c r="AC176" s="88" t="str"/>
      <c r="AD176" s="88" t="str"/>
      <c r="AE176" s="88" t="str"/>
      <c r="AF176" s="88"/>
      <c r="AG176" s="88" t="str"/>
      <c r="AH176" s="88" t="str"/>
      <c r="AI176" s="88" t="str"/>
      <c r="AJ176" s="88" t="str"/>
      <c r="AK176" s="88" t="str"/>
      <c r="AL176" s="88" t="str"/>
      <c r="AM176" s="88" t="str"/>
      <c r="AN176" s="88"/>
      <c r="AO176" s="88" t="str"/>
      <c r="AP176" s="88" t="str"/>
      <c r="AQ176" s="88" t="str"/>
      <c r="AR176" s="88" t="str"/>
      <c r="AS176" s="88" t="str"/>
      <c r="AT176" s="88" t="str"/>
      <c r="AU176" s="88" t="str"/>
      <c r="AV176" s="88"/>
      <c r="AW176" s="88">
        <f>IF(AND(Q176="✅", I176="U90"), "X="&amp;(U176-1)*16&amp;",Y="&amp;(V176-1)*16&amp;",Z="&amp;W176*16, "")</f>
      </c>
      <c r="AX176" s="88">
        <f>IF(AND(Q176="✅", I176="U90"), "P=90,Y=0,R=0", "")</f>
      </c>
      <c r="AY176" s="88" t="str"/>
      <c r="AZ176" s="88" t="str"/>
      <c r="BA176" s="88" t="str"/>
      <c r="BB176" s="88" t="str"/>
      <c r="BC176" s="88" t="str"/>
      <c r="BD176" s="88"/>
      <c r="BE176" s="88">
        <f>IF(AND(Q176="✅", I176="D90"), "X="&amp;(U176-1)*16&amp;",Y="&amp;(V176-1)*16&amp;",Z="&amp;(W176-2)*16, "")</f>
      </c>
      <c r="BF176" s="88">
        <f>IF(AND(Q176="✅", I176="D90"), "P=-90,Y=0,R=0", "")</f>
      </c>
      <c r="BG176" s="88" t="str"/>
      <c r="BH176" s="88" t="str"/>
      <c r="BI176" s="88" t="str"/>
      <c r="BJ176" s="88" t="str"/>
      <c r="BK176" s="88" t="str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</row>
    <row customHeight="true" ht="19" outlineLevel="4" r="177">
      <c r="A177" s="89" t="str" xml:space="preserve">
        <v> </v>
      </c>
      <c r="B177" s="89" t="str" xml:space="preserve">
        <v> </v>
      </c>
      <c r="C177" s="164" t="str" xml:space="preserve">
        <v> </v>
      </c>
      <c r="D177" s="164" t="str" xml:space="preserve">
        <v> </v>
      </c>
      <c r="E177" s="65">
        <f>G177 &amp; "_" &amp; H177 &amp; IF(I177&lt;&gt;"", "_" &amp; I177, "") &amp; IF(J177&lt;&gt;"", "_" &amp; J177, "") &amp; IF(K177&lt;&gt;"", "_" &amp; K177, "") &amp;"_X"&amp;U177&amp;"_Y"&amp;V177&amp;"_Z"&amp;W177 &amp; IF(G177="SM", "_Proxy" , "_Rail") &amp; IF(M177&lt;&gt;"", "_" &amp; M177, "")</f>
      </c>
      <c r="F177" s="66">
        <f>IF(E177="", "", IF(G177="BP", E177, F176))</f>
      </c>
      <c r="G177" s="64" t="str">
        <v>SM</v>
      </c>
      <c r="H177" s="64" t="str">
        <v>Straight</v>
      </c>
      <c r="I177" s="64" t="str">
        <v>U90</v>
      </c>
      <c r="J177" s="64"/>
      <c r="K177" s="64"/>
      <c r="L177" s="64"/>
      <c r="M177" s="64" t="str">
        <v>BL</v>
      </c>
      <c r="N177" s="90"/>
      <c r="O177" s="90"/>
      <c r="P177" s="90" t="str">
        <v>⭕</v>
      </c>
      <c r="Q177" s="90"/>
      <c r="R177" s="64" t="str"/>
      <c r="S177" s="66" t="str"/>
      <c r="T177" s="139" t="str"/>
      <c r="U177" s="140">
        <v>1</v>
      </c>
      <c r="V177" s="140">
        <v>1</v>
      </c>
      <c r="W177" s="140">
        <v>1</v>
      </c>
      <c r="X177" s="88"/>
      <c r="Y177" s="88">
        <f>IF(AND(Q177="✅", OR(ISNUMBER(FIND("F",I177)), I177="CR")),   "X="&amp;U177*16&amp;",Y="&amp;(V177-1)*16&amp;",Z="&amp;IF(I177="FD", -(W177-1)*16, (W177-1)*16),   "")</f>
      </c>
      <c r="Z177" s="88">
        <f>IF(AND(Q177="✅", OR(ISNUMBER(FIND("F",I177)), I177="CR")), "P=0,Y=0,R=0", "")</f>
      </c>
      <c r="AA177" s="88" t="str"/>
      <c r="AB177" s="88" t="str"/>
      <c r="AC177" s="88" t="str"/>
      <c r="AD177" s="88" t="str"/>
      <c r="AE177" s="88" t="str"/>
      <c r="AF177" s="88"/>
      <c r="AG177" s="88" t="str"/>
      <c r="AH177" s="88" t="str"/>
      <c r="AI177" s="88" t="str"/>
      <c r="AJ177" s="88" t="str"/>
      <c r="AK177" s="88" t="str"/>
      <c r="AL177" s="88" t="str"/>
      <c r="AM177" s="88" t="str"/>
      <c r="AN177" s="88"/>
      <c r="AO177" s="88" t="str"/>
      <c r="AP177" s="88" t="str"/>
      <c r="AQ177" s="88" t="str"/>
      <c r="AR177" s="88" t="str"/>
      <c r="AS177" s="88" t="str"/>
      <c r="AT177" s="88" t="str"/>
      <c r="AU177" s="88" t="str"/>
      <c r="AV177" s="88"/>
      <c r="AW177" s="88">
        <f>IF(AND(Q177="✅", I177="U90"), "X="&amp;(U177-1)*16&amp;",Y="&amp;(V177-1)*16&amp;",Z="&amp;W177*16, "")</f>
      </c>
      <c r="AX177" s="88">
        <f>IF(AND(Q177="✅", I177="U90"), "P=90,Y=0,R=0", "")</f>
      </c>
      <c r="AY177" s="88" t="str"/>
      <c r="AZ177" s="88" t="str"/>
      <c r="BA177" s="88" t="str"/>
      <c r="BB177" s="88" t="str"/>
      <c r="BC177" s="88" t="str"/>
      <c r="BD177" s="88"/>
      <c r="BE177" s="88">
        <f>IF(AND(Q177="✅", I177="D90"), "X="&amp;(U177-1)*16&amp;",Y="&amp;(V177-1)*16&amp;",Z="&amp;(W177-2)*16, "")</f>
      </c>
      <c r="BF177" s="88">
        <f>IF(AND(Q177="✅", I177="D90"), "P=-90,Y=0,R=0", "")</f>
      </c>
      <c r="BG177" s="88" t="str"/>
      <c r="BH177" s="88" t="str"/>
      <c r="BI177" s="88" t="str"/>
      <c r="BJ177" s="88" t="str"/>
      <c r="BK177" s="88" t="str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</row>
    <row customHeight="true" ht="19" outlineLevel="4" r="178">
      <c r="A178" s="89" t="str" xml:space="preserve">
        <v> </v>
      </c>
      <c r="B178" s="89" t="str" xml:space="preserve">
        <v> </v>
      </c>
      <c r="C178" s="164" t="str" xml:space="preserve">
        <v> </v>
      </c>
      <c r="D178" s="164" t="str" xml:space="preserve">
        <v> </v>
      </c>
      <c r="E178" s="65">
        <f>G178 &amp; "_" &amp; H178 &amp; IF(I178&lt;&gt;"", "_" &amp; I178, "") &amp; IF(J178&lt;&gt;"", "_" &amp; J178, "") &amp; IF(K178&lt;&gt;"", "_" &amp; K178, "") &amp;"_X"&amp;U178&amp;"_Y"&amp;V178&amp;"_Z"&amp;W178 &amp; IF(G178="SM", "_Proxy" , "_Rail") &amp; IF(M178&lt;&gt;"", "_" &amp; M178, "")</f>
      </c>
      <c r="F178" s="66">
        <f>IF(E178="", "", IF(G178="BP", E178, F177))</f>
      </c>
      <c r="G178" s="64" t="str">
        <v>SM</v>
      </c>
      <c r="H178" s="64" t="str">
        <v>Straight</v>
      </c>
      <c r="I178" s="64" t="str">
        <v>U90</v>
      </c>
      <c r="J178" s="64"/>
      <c r="K178" s="64"/>
      <c r="L178" s="64"/>
      <c r="M178" s="64" t="str">
        <v>BR</v>
      </c>
      <c r="N178" s="90"/>
      <c r="O178" s="90"/>
      <c r="P178" s="90" t="str">
        <v>⭕</v>
      </c>
      <c r="Q178" s="90"/>
      <c r="R178" s="64" t="str"/>
      <c r="S178" s="66" t="str"/>
      <c r="T178" s="139" t="str"/>
      <c r="U178" s="140">
        <v>1</v>
      </c>
      <c r="V178" s="140">
        <v>1</v>
      </c>
      <c r="W178" s="140">
        <v>1</v>
      </c>
      <c r="X178" s="88"/>
      <c r="Y178" s="88">
        <f>IF(AND(Q178="✅", OR(ISNUMBER(FIND("F",I178)), I178="CR")),   "X="&amp;U178*16&amp;",Y="&amp;(V178-1)*16&amp;",Z="&amp;IF(I178="FD", -(W178-1)*16, (W178-1)*16),   "")</f>
      </c>
      <c r="Z178" s="88">
        <f>IF(AND(Q178="✅", OR(ISNUMBER(FIND("F",I178)), I178="CR")), "P=0,Y=0,R=0", "")</f>
      </c>
      <c r="AA178" s="88" t="str"/>
      <c r="AB178" s="88" t="str"/>
      <c r="AC178" s="88" t="str"/>
      <c r="AD178" s="88" t="str"/>
      <c r="AE178" s="88" t="str"/>
      <c r="AF178" s="88"/>
      <c r="AG178" s="88" t="str"/>
      <c r="AH178" s="88" t="str"/>
      <c r="AI178" s="88" t="str"/>
      <c r="AJ178" s="88" t="str"/>
      <c r="AK178" s="88" t="str"/>
      <c r="AL178" s="88" t="str"/>
      <c r="AM178" s="88" t="str"/>
      <c r="AN178" s="88"/>
      <c r="AO178" s="88" t="str"/>
      <c r="AP178" s="88" t="str"/>
      <c r="AQ178" s="88" t="str"/>
      <c r="AR178" s="88" t="str"/>
      <c r="AS178" s="88" t="str"/>
      <c r="AT178" s="88" t="str"/>
      <c r="AU178" s="88" t="str"/>
      <c r="AV178" s="88"/>
      <c r="AW178" s="88">
        <f>IF(AND(Q178="✅", I178="U90"), "X="&amp;(U178-1)*16&amp;",Y="&amp;(V178-1)*16&amp;",Z="&amp;W178*16, "")</f>
      </c>
      <c r="AX178" s="88">
        <f>IF(AND(Q178="✅", I178="U90"), "P=90,Y=0,R=0", "")</f>
      </c>
      <c r="AY178" s="88" t="str"/>
      <c r="AZ178" s="88" t="str"/>
      <c r="BA178" s="88" t="str"/>
      <c r="BB178" s="88" t="str"/>
      <c r="BC178" s="88" t="str"/>
      <c r="BD178" s="88"/>
      <c r="BE178" s="88">
        <f>IF(AND(Q178="✅", I178="D90"), "X="&amp;(U178-1)*16&amp;",Y="&amp;(V178-1)*16&amp;",Z="&amp;(W178-2)*16, "")</f>
      </c>
      <c r="BF178" s="88">
        <f>IF(AND(Q178="✅", I178="D90"), "P=-90,Y=0,R=0", "")</f>
      </c>
      <c r="BG178" s="88" t="str"/>
      <c r="BH178" s="88" t="str"/>
      <c r="BI178" s="88" t="str"/>
      <c r="BJ178" s="88" t="str"/>
      <c r="BK178" s="88" t="str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</row>
    <row customHeight="true" ht="19" outlineLevel="2" r="179">
      <c r="A179" s="11"/>
      <c r="B179" s="11"/>
      <c r="C179" s="119" t="str">
        <v>Borderless_L</v>
      </c>
      <c r="D179" s="119"/>
      <c r="E179" s="5"/>
      <c r="F179" s="9">
        <f>IF(E179="", "", IF(G179="BP", E179, F169))</f>
      </c>
      <c r="G179" s="1"/>
      <c r="H179" s="1"/>
      <c r="I179" s="1"/>
      <c r="J179" s="1"/>
      <c r="K179" s="1"/>
      <c r="L179" s="1"/>
      <c r="M179" s="1"/>
      <c r="N179" s="3"/>
      <c r="O179" s="2" t="str">
        <v>⭕</v>
      </c>
      <c r="P179" s="3"/>
      <c r="Q179" s="3"/>
      <c r="R179" s="1" t="str"/>
      <c r="S179" s="9" t="str"/>
      <c r="T179" s="120" t="str"/>
      <c r="U179" s="118"/>
      <c r="V179" s="118"/>
      <c r="W179" s="118"/>
      <c r="X179" s="4"/>
      <c r="Y179" s="4">
        <f>IF(AND(Q179="✅", OR(ISNUMBER(FIND("F",I179)), I179="CR")),   "X="&amp;U179*16&amp;",Y="&amp;(V179-1)*16&amp;",Z="&amp;IF(I179="FD", -(W179-1)*16, (W179-1)*16),   "")</f>
      </c>
      <c r="Z179" s="4">
        <f>IF(AND(Q179="✅", OR(ISNUMBER(FIND("F",I179)), I179="CR")), "P=0,Y=0,R=0", "")</f>
      </c>
      <c r="AA179" s="4" t="str"/>
      <c r="AB179" s="4" t="str"/>
      <c r="AC179" s="4" t="str"/>
      <c r="AD179" s="4" t="str"/>
      <c r="AE179" s="4" t="str"/>
      <c r="AF179" s="4"/>
      <c r="AG179" s="4" t="str"/>
      <c r="AH179" s="4" t="str"/>
      <c r="AI179" s="4" t="str"/>
      <c r="AJ179" s="4" t="str"/>
      <c r="AK179" s="4" t="str"/>
      <c r="AL179" s="4" t="str"/>
      <c r="AM179" s="4" t="str"/>
      <c r="AN179" s="4"/>
      <c r="AO179" s="4" t="str"/>
      <c r="AP179" s="4" t="str"/>
      <c r="AQ179" s="4" t="str"/>
      <c r="AR179" s="4" t="str"/>
      <c r="AS179" s="4" t="str"/>
      <c r="AT179" s="4" t="str"/>
      <c r="AU179" s="4" t="str"/>
      <c r="AV179" s="4"/>
      <c r="AW179" s="4">
        <f>IF(AND(Q179="✅", I179="U90"), "X="&amp;(U179-1)*16&amp;",Y="&amp;(V179-1)*16&amp;",Z="&amp;W179*16, "")</f>
      </c>
      <c r="AX179" s="4">
        <f>IF(AND(Q179="✅", I179="U90"), "P=90,Y=0,R=0", "")</f>
      </c>
      <c r="AY179" s="4" t="str"/>
      <c r="AZ179" s="4" t="str"/>
      <c r="BA179" s="4" t="str"/>
      <c r="BB179" s="4" t="str"/>
      <c r="BC179" s="4" t="str"/>
      <c r="BD179" s="4"/>
      <c r="BE179" s="4">
        <f>IF(AND(Q179="✅", I179="D90"), "X="&amp;(U179-1)*16&amp;",Y="&amp;(V179-1)*16&amp;",Z="&amp;(W179-2)*16, "")</f>
      </c>
      <c r="BF179" s="4">
        <f>IF(AND(Q179="✅", I179="D90"), "P=-90,Y=0,R=0", "")</f>
      </c>
      <c r="BG179" s="4" t="str"/>
      <c r="BH179" s="4" t="str"/>
      <c r="BI179" s="4" t="str"/>
      <c r="BJ179" s="4" t="str"/>
      <c r="BK179" s="4" t="str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</row>
    <row customHeight="true" ht="19" outlineLevel="3" r="180">
      <c r="A180" s="11"/>
      <c r="B180" s="11"/>
      <c r="C180" s="119"/>
      <c r="D180" s="119">
        <v>1</v>
      </c>
      <c r="E180" s="5"/>
      <c r="F180" s="9"/>
      <c r="G180" s="1"/>
      <c r="H180" s="1"/>
      <c r="I180" s="1"/>
      <c r="J180" s="1"/>
      <c r="K180" s="1"/>
      <c r="L180" s="1"/>
      <c r="M180" s="1"/>
      <c r="N180" s="3"/>
      <c r="O180" s="3"/>
      <c r="P180" s="3"/>
      <c r="Q180" s="3"/>
      <c r="R180" s="1" t="str"/>
      <c r="S180" s="9" t="str"/>
      <c r="T180" s="120" t="str"/>
      <c r="U180" s="118"/>
      <c r="V180" s="118"/>
      <c r="W180" s="118"/>
      <c r="X180" s="4"/>
      <c r="Y180" s="4">
        <f>IF(AND(Q180="✅", OR(ISNUMBER(FIND("F",I180)), I180="CR")),   "X="&amp;U180*16&amp;",Y="&amp;(V180-1)*16&amp;",Z="&amp;IF(I180="FD", -(W180-1)*16, (W180-1)*16),   "")</f>
      </c>
      <c r="Z180" s="4">
        <f>IF(AND(Q180="✅", OR(ISNUMBER(FIND("F",I180)), I180="CR")), "P=0,Y=0,R=0", "")</f>
      </c>
      <c r="AA180" s="4" t="str"/>
      <c r="AB180" s="4" t="str"/>
      <c r="AC180" s="4" t="str"/>
      <c r="AD180" s="4" t="str"/>
      <c r="AE180" s="4" t="str"/>
      <c r="AF180" s="4"/>
      <c r="AG180" s="4" t="str"/>
      <c r="AH180" s="4" t="str"/>
      <c r="AI180" s="4" t="str"/>
      <c r="AJ180" s="4" t="str"/>
      <c r="AK180" s="4" t="str"/>
      <c r="AL180" s="4" t="str"/>
      <c r="AM180" s="4" t="str"/>
      <c r="AN180" s="4"/>
      <c r="AO180" s="4" t="str"/>
      <c r="AP180" s="4" t="str"/>
      <c r="AQ180" s="4" t="str"/>
      <c r="AR180" s="4" t="str"/>
      <c r="AS180" s="4" t="str"/>
      <c r="AT180" s="4" t="str"/>
      <c r="AU180" s="4" t="str"/>
      <c r="AV180" s="4"/>
      <c r="AW180" s="4">
        <f>IF(AND(Q180="✅", I180="U90"), "X="&amp;(U180-1)*16&amp;",Y="&amp;(V180-1)*16&amp;",Z="&amp;W180*16, "")</f>
      </c>
      <c r="AX180" s="4">
        <f>IF(AND(Q180="✅", I180="U90"), "P=90,Y=0,R=0", "")</f>
      </c>
      <c r="AY180" s="4" t="str"/>
      <c r="AZ180" s="4" t="str"/>
      <c r="BA180" s="4" t="str"/>
      <c r="BB180" s="4" t="str"/>
      <c r="BC180" s="4" t="str"/>
      <c r="BD180" s="4"/>
      <c r="BE180" s="4">
        <f>IF(AND(Q180="✅", I180="D90"), "X="&amp;(U180-1)*16&amp;",Y="&amp;(V180-1)*16&amp;",Z="&amp;(W180-2)*16, "")</f>
      </c>
      <c r="BF180" s="4">
        <f>IF(AND(Q180="✅", I180="D90"), "P=-90,Y=0,R=0", "")</f>
      </c>
      <c r="BG180" s="4" t="str"/>
      <c r="BH180" s="4" t="str"/>
      <c r="BI180" s="4" t="str"/>
      <c r="BJ180" s="4" t="str"/>
      <c r="BK180" s="4" t="str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</row>
    <row customHeight="true" ht="19" outlineLevel="4" r="181">
      <c r="A181" s="14" t="str" xml:space="preserve">
        <v> </v>
      </c>
      <c r="B181" s="14" t="str" xml:space="preserve">
        <v> </v>
      </c>
      <c r="C181" s="147" t="str" xml:space="preserve">
        <v> </v>
      </c>
      <c r="D181" s="147" t="str" xml:space="preserve">
        <v> </v>
      </c>
      <c r="E181" s="36">
        <f>G181 &amp; "_" &amp; H181 &amp; IF(I181&lt;&gt;"", "_" &amp; I181, "") &amp; IF(J181&lt;&gt;"", "_" &amp; J181, "") &amp; IF(K181&lt;&gt;"", "_" &amp; K181, "") &amp;"_X"&amp;U181&amp;"_Y"&amp;V181&amp;"_Z"&amp;W181 &amp; IF(G181="SM", "_Proxy" , "_Rail") &amp; IF(M181&lt;&gt;"", "_" &amp; M181, "")</f>
      </c>
      <c r="F181" s="37">
        <f>IF(E181="", "", IF(G181="BP", E181, F179))</f>
      </c>
      <c r="G181" s="35" t="str">
        <v>BP</v>
      </c>
      <c r="H181" s="35" t="str">
        <v>Straight</v>
      </c>
      <c r="I181" s="35" t="str">
        <v>U90</v>
      </c>
      <c r="J181" s="35" t="str">
        <v>Borderless_L</v>
      </c>
      <c r="K181" s="35"/>
      <c r="L181" s="35"/>
      <c r="M181" s="35"/>
      <c r="N181" s="72"/>
      <c r="O181" s="72"/>
      <c r="P181" s="72"/>
      <c r="Q181" s="72" t="str">
        <v>✅</v>
      </c>
      <c r="R181" s="35" t="str">
        <v>Straight_U90_Borderless_L_X1_Y1_Z1</v>
      </c>
      <c r="S181" s="37" t="str">
        <v>/Script/Engine.BlueprintGeneratedClass'/Game/Item/Rail/Straight/U90/Borderless_L/Straight_U90_Borderless_L_X1_Y1_Z1/BP_Straight_U90_Borderless_L_X1_Y1_Z1_Rail.BP_Straight_U90_Borderless_L_X1_Y1_Z1_Rail_C'</v>
      </c>
      <c r="T181" s="124">
        <v>2</v>
      </c>
      <c r="U181" s="121">
        <v>1</v>
      </c>
      <c r="V181" s="121">
        <v>1</v>
      </c>
      <c r="W181" s="121">
        <v>1</v>
      </c>
      <c r="X181" s="38"/>
      <c r="Y181" s="38">
        <f>IF(AND(Q181="✅", OR(ISNUMBER(FIND("F",I181)), I181="CR")),   "X="&amp;U181*16&amp;",Y="&amp;(V181-1)*16&amp;",Z="&amp;IF(I181="FD", -(W181-1)*16, (W181-1)*16),   "")</f>
      </c>
      <c r="Z181" s="38">
        <f>IF(AND(Q181="✅", OR(ISNUMBER(FIND("F",I181)), I181="CR")), "P=0,Y=0,R=0", "")</f>
      </c>
      <c r="AA181" s="38" t="str"/>
      <c r="AB181" s="38" t="str"/>
      <c r="AC181" s="38" t="str"/>
      <c r="AD181" s="38" t="str"/>
      <c r="AE181" s="38" t="str">
        <v>X=0,Y=0,Z=0,W=0</v>
      </c>
      <c r="AF181" s="38"/>
      <c r="AG181" s="38" t="str"/>
      <c r="AH181" s="38" t="str"/>
      <c r="AI181" s="38" t="str"/>
      <c r="AJ181" s="38" t="str"/>
      <c r="AK181" s="38" t="str"/>
      <c r="AL181" s="38" t="str"/>
      <c r="AM181" s="38" t="str"/>
      <c r="AN181" s="38"/>
      <c r="AO181" s="38" t="str"/>
      <c r="AP181" s="38" t="str"/>
      <c r="AQ181" s="38" t="str"/>
      <c r="AR181" s="38" t="str"/>
      <c r="AS181" s="38" t="str"/>
      <c r="AT181" s="38" t="str"/>
      <c r="AU181" s="38" t="str"/>
      <c r="AV181" s="38"/>
      <c r="AW181" s="38">
        <f>IF(AND(Q181="✅", I181="U90"), "X="&amp;(U181-1)*16&amp;",Y="&amp;(V181-1)*16&amp;",Z="&amp;W181*16, "")</f>
      </c>
      <c r="AX181" s="38">
        <f>IF(AND(Q181="✅", I181="U90"), "P=90,Y=0,R=0", "")</f>
      </c>
      <c r="AY181" s="38">
        <v>1</v>
      </c>
      <c r="AZ181" s="38">
        <v>1.5</v>
      </c>
      <c r="BA181" s="38">
        <v>2</v>
      </c>
      <c r="BB181" s="38">
        <v>1.5</v>
      </c>
      <c r="BC181" s="38" t="str">
        <v>X=1,Y=1.5,Z=2,W=1.5</v>
      </c>
      <c r="BD181" s="38"/>
      <c r="BE181" s="38">
        <f>IF(AND(Q181="✅", I181="D90"), "X="&amp;(U181-1)*16&amp;",Y="&amp;(V181-1)*16&amp;",Z="&amp;(W181-2)*16, "")</f>
      </c>
      <c r="BF181" s="38">
        <f>IF(AND(Q181="✅", I181="D90"), "P=-90,Y=0,R=0", "")</f>
      </c>
      <c r="BG181" s="38" t="str"/>
      <c r="BH181" s="38" t="str"/>
      <c r="BI181" s="38" t="str"/>
      <c r="BJ181" s="38" t="str"/>
      <c r="BK181" s="38" t="str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</row>
    <row customHeight="true" ht="19" outlineLevel="4" r="182">
      <c r="A182" s="14" t="str" xml:space="preserve">
        <v> </v>
      </c>
      <c r="B182" s="14" t="str" xml:space="preserve">
        <v> </v>
      </c>
      <c r="C182" s="147" t="str" xml:space="preserve">
        <v> </v>
      </c>
      <c r="D182" s="147" t="str" xml:space="preserve">
        <v> </v>
      </c>
      <c r="E182" s="36">
        <f>E167</f>
      </c>
      <c r="F182" s="37">
        <f>IF(E182="", "", IF(G182="BP", E182, F181))</f>
      </c>
      <c r="G182" s="35"/>
      <c r="H182" s="35"/>
      <c r="I182" s="35"/>
      <c r="J182" s="35"/>
      <c r="K182" s="35"/>
      <c r="L182" s="35"/>
      <c r="M182" s="35" t="str">
        <v>B</v>
      </c>
      <c r="N182" s="72"/>
      <c r="O182" s="72"/>
      <c r="P182" s="72" t="str">
        <v>✅</v>
      </c>
      <c r="Q182" s="72"/>
      <c r="R182" s="35" t="str">
        <v>Straight_U90_X1_Y1_Z1</v>
      </c>
      <c r="S182" s="37" t="str">
        <v>/Script/Engine.StaticMesh'/Game/Item/Rail/Straight/U90/Normal/Straight_U90_X1_Y1_Z1/Proxy/SM_Straight_U90_X1_Y1_Z1_Proxy_B.SM_Straight_U90_X1_Y1_Z1_Proxy_B'</v>
      </c>
      <c r="T182" s="124" t="str"/>
      <c r="U182" s="121"/>
      <c r="V182" s="121"/>
      <c r="W182" s="121"/>
      <c r="X182" s="38"/>
      <c r="Y182" s="38">
        <f>IF(AND(Q182="✅", OR(ISNUMBER(FIND("F",I182)), I182="CR")),   "X="&amp;U182*16&amp;",Y="&amp;(V182-1)*16&amp;",Z="&amp;IF(I182="FD", -(W182-1)*16, (W182-1)*16),   "")</f>
      </c>
      <c r="Z182" s="38">
        <f>IF(AND(Q182="✅", OR(ISNUMBER(FIND("F",I182)), I182="CR")), "P=0,Y=0,R=0", "")</f>
      </c>
      <c r="AA182" s="38" t="str"/>
      <c r="AB182" s="38" t="str"/>
      <c r="AC182" s="38" t="str"/>
      <c r="AD182" s="38" t="str"/>
      <c r="AE182" s="38" t="str"/>
      <c r="AF182" s="38"/>
      <c r="AG182" s="38" t="str"/>
      <c r="AH182" s="38" t="str"/>
      <c r="AI182" s="38" t="str"/>
      <c r="AJ182" s="38" t="str"/>
      <c r="AK182" s="38" t="str"/>
      <c r="AL182" s="38" t="str"/>
      <c r="AM182" s="38" t="str"/>
      <c r="AN182" s="38"/>
      <c r="AO182" s="38" t="str"/>
      <c r="AP182" s="38" t="str"/>
      <c r="AQ182" s="38" t="str"/>
      <c r="AR182" s="38" t="str"/>
      <c r="AS182" s="38" t="str"/>
      <c r="AT182" s="38" t="str"/>
      <c r="AU182" s="38" t="str"/>
      <c r="AV182" s="38"/>
      <c r="AW182" s="38">
        <f>IF(AND(Q182="✅", I182="U90"), "X="&amp;(U182-1)*16&amp;",Y="&amp;(V182-1)*16&amp;",Z="&amp;W182*16, "")</f>
      </c>
      <c r="AX182" s="38">
        <f>IF(AND(Q182="✅", I182="U90"), "P=90,Y=0,R=0", "")</f>
      </c>
      <c r="AY182" s="38" t="str"/>
      <c r="AZ182" s="38" t="str"/>
      <c r="BA182" s="38" t="str"/>
      <c r="BB182" s="38" t="str"/>
      <c r="BC182" s="38" t="str"/>
      <c r="BD182" s="38"/>
      <c r="BE182" s="38">
        <f>IF(AND(Q182="✅", I182="D90"), "X="&amp;(U182-1)*16&amp;",Y="&amp;(V182-1)*16&amp;",Z="&amp;(W182-2)*16, "")</f>
      </c>
      <c r="BF182" s="38">
        <f>IF(AND(Q182="✅", I182="D90"), "P=-90,Y=0,R=0", "")</f>
      </c>
      <c r="BG182" s="38" t="str"/>
      <c r="BH182" s="38" t="str"/>
      <c r="BI182" s="38" t="str"/>
      <c r="BJ182" s="38" t="str"/>
      <c r="BK182" s="38" t="str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</row>
    <row customHeight="true" ht="19" outlineLevel="4" r="183">
      <c r="A183" s="14" t="str" xml:space="preserve">
        <v> </v>
      </c>
      <c r="B183" s="14" t="str" xml:space="preserve">
        <v> </v>
      </c>
      <c r="C183" s="147" t="str" xml:space="preserve">
        <v> </v>
      </c>
      <c r="D183" s="147" t="str" xml:space="preserve">
        <v> </v>
      </c>
      <c r="E183" s="36">
        <f>E168</f>
      </c>
      <c r="F183" s="37">
        <f>IF(E183="", "", IF(G183="BP", E183, F182))</f>
      </c>
      <c r="G183" s="35"/>
      <c r="H183" s="35"/>
      <c r="I183" s="35"/>
      <c r="J183" s="35"/>
      <c r="K183" s="35"/>
      <c r="L183" s="35"/>
      <c r="M183" s="35" t="str">
        <v>L</v>
      </c>
      <c r="N183" s="72"/>
      <c r="O183" s="72"/>
      <c r="P183" s="72" t="str">
        <v>✅</v>
      </c>
      <c r="Q183" s="72"/>
      <c r="R183" s="35" t="str">
        <v>Straight_U90_X1_Y1_Z1</v>
      </c>
      <c r="S183" s="37" t="str">
        <v>/Script/Engine.StaticMesh'/Game/Item/Rail/Straight/U90/Normal/Straight_U90_X1_Y1_Z1/Proxy/SM_Straight_U90_X1_Y1_Z1_Proxy_L.SM_Straight_U90_X1_Y1_Z1_Proxy_L'</v>
      </c>
      <c r="T183" s="124" t="str"/>
      <c r="U183" s="121"/>
      <c r="V183" s="121"/>
      <c r="W183" s="121"/>
      <c r="X183" s="38"/>
      <c r="Y183" s="38">
        <f>IF(AND(Q183="✅", OR(ISNUMBER(FIND("F",I183)), I183="CR")),   "X="&amp;U183*16&amp;",Y="&amp;(V183-1)*16&amp;",Z="&amp;IF(I183="FD", -(W183-1)*16, (W183-1)*16),   "")</f>
      </c>
      <c r="Z183" s="38">
        <f>IF(AND(Q183="✅", OR(ISNUMBER(FIND("F",I183)), I183="CR")), "P=0,Y=0,R=0", "")</f>
      </c>
      <c r="AA183" s="38" t="str"/>
      <c r="AB183" s="38" t="str"/>
      <c r="AC183" s="38" t="str"/>
      <c r="AD183" s="38" t="str"/>
      <c r="AE183" s="38" t="str"/>
      <c r="AF183" s="38"/>
      <c r="AG183" s="38" t="str"/>
      <c r="AH183" s="38" t="str"/>
      <c r="AI183" s="38" t="str"/>
      <c r="AJ183" s="38" t="str"/>
      <c r="AK183" s="38" t="str"/>
      <c r="AL183" s="38" t="str"/>
      <c r="AM183" s="38" t="str"/>
      <c r="AN183" s="38"/>
      <c r="AO183" s="38" t="str"/>
      <c r="AP183" s="38" t="str"/>
      <c r="AQ183" s="38" t="str"/>
      <c r="AR183" s="38" t="str"/>
      <c r="AS183" s="38" t="str"/>
      <c r="AT183" s="38" t="str"/>
      <c r="AU183" s="38" t="str"/>
      <c r="AV183" s="38"/>
      <c r="AW183" s="38">
        <f>IF(AND(Q183="✅", I183="U90"), "X="&amp;(U183-1)*16&amp;",Y="&amp;(V183-1)*16&amp;",Z="&amp;W183*16, "")</f>
      </c>
      <c r="AX183" s="38">
        <f>IF(AND(Q183="✅", I183="U90"), "P=90,Y=0,R=0", "")</f>
      </c>
      <c r="AY183" s="38" t="str"/>
      <c r="AZ183" s="38" t="str"/>
      <c r="BA183" s="38" t="str"/>
      <c r="BB183" s="38" t="str"/>
      <c r="BC183" s="38" t="str"/>
      <c r="BD183" s="38"/>
      <c r="BE183" s="38">
        <f>IF(AND(Q183="✅", I183="D90"), "X="&amp;(U183-1)*16&amp;",Y="&amp;(V183-1)*16&amp;",Z="&amp;(W183-2)*16, "")</f>
      </c>
      <c r="BF183" s="38">
        <f>IF(AND(Q183="✅", I183="D90"), "P=-90,Y=0,R=0", "")</f>
      </c>
      <c r="BG183" s="38" t="str"/>
      <c r="BH183" s="38" t="str"/>
      <c r="BI183" s="38" t="str"/>
      <c r="BJ183" s="38" t="str"/>
      <c r="BK183" s="38" t="str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</row>
    <row customHeight="true" ht="19" outlineLevel="2" r="184">
      <c r="A184" s="11"/>
      <c r="B184" s="11"/>
      <c r="C184" s="119"/>
      <c r="D184" s="119"/>
      <c r="E184" s="5"/>
      <c r="F184" s="9"/>
      <c r="G184" s="1"/>
      <c r="H184" s="1"/>
      <c r="I184" s="1"/>
      <c r="J184" s="1"/>
      <c r="K184" s="1"/>
      <c r="L184" s="1"/>
      <c r="M184" s="1"/>
      <c r="N184" s="3"/>
      <c r="O184" s="2"/>
      <c r="P184" s="3"/>
      <c r="Q184" s="3"/>
      <c r="R184" s="1" t="str"/>
      <c r="S184" s="9" t="str"/>
      <c r="T184" s="120" t="str"/>
      <c r="U184" s="118"/>
      <c r="V184" s="118"/>
      <c r="W184" s="118"/>
      <c r="X184" s="4"/>
      <c r="Y184" s="4"/>
      <c r="Z184" s="4"/>
      <c r="AA184" s="4" t="str"/>
      <c r="AB184" s="4" t="str"/>
      <c r="AC184" s="4" t="str"/>
      <c r="AD184" s="4" t="str"/>
      <c r="AE184" s="4" t="str"/>
      <c r="AF184" s="4"/>
      <c r="AG184" s="4" t="str"/>
      <c r="AH184" s="4" t="str"/>
      <c r="AI184" s="4" t="str"/>
      <c r="AJ184" s="4" t="str"/>
      <c r="AK184" s="4" t="str"/>
      <c r="AL184" s="4" t="str"/>
      <c r="AM184" s="4" t="str"/>
      <c r="AN184" s="4"/>
      <c r="AO184" s="4" t="str"/>
      <c r="AP184" s="4" t="str"/>
      <c r="AQ184" s="4" t="str"/>
      <c r="AR184" s="4" t="str"/>
      <c r="AS184" s="4" t="str"/>
      <c r="AT184" s="4" t="str"/>
      <c r="AU184" s="4" t="str"/>
      <c r="AV184" s="4"/>
      <c r="AW184" s="4"/>
      <c r="AX184" s="4"/>
      <c r="AY184" s="4" t="str"/>
      <c r="AZ184" s="4" t="str"/>
      <c r="BA184" s="4" t="str"/>
      <c r="BB184" s="4" t="str"/>
      <c r="BC184" s="4" t="str"/>
      <c r="BD184" s="4"/>
      <c r="BE184" s="4"/>
      <c r="BF184" s="4"/>
      <c r="BG184" s="4" t="str"/>
      <c r="BH184" s="4" t="str"/>
      <c r="BI184" s="4" t="str"/>
      <c r="BJ184" s="4" t="str"/>
      <c r="BK184" s="4" t="str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</row>
    <row customHeight="true" ht="19" outlineLevel="2" r="185">
      <c r="A185" s="11"/>
      <c r="B185" s="11"/>
      <c r="C185" s="119"/>
      <c r="D185" s="119"/>
      <c r="E185" s="5"/>
      <c r="F185" s="9"/>
      <c r="G185" s="1"/>
      <c r="H185" s="1"/>
      <c r="I185" s="1"/>
      <c r="J185" s="1"/>
      <c r="K185" s="1"/>
      <c r="L185" s="1"/>
      <c r="M185" s="1"/>
      <c r="N185" s="3"/>
      <c r="O185" s="2"/>
      <c r="P185" s="3"/>
      <c r="Q185" s="3"/>
      <c r="R185" s="1" t="str"/>
      <c r="S185" s="9" t="str"/>
      <c r="T185" s="120" t="str"/>
      <c r="U185" s="118"/>
      <c r="V185" s="118"/>
      <c r="W185" s="118"/>
      <c r="X185" s="4"/>
      <c r="Y185" s="4"/>
      <c r="Z185" s="4"/>
      <c r="AA185" s="4" t="str"/>
      <c r="AB185" s="4" t="str"/>
      <c r="AC185" s="4" t="str"/>
      <c r="AD185" s="4" t="str"/>
      <c r="AE185" s="4" t="str"/>
      <c r="AF185" s="4"/>
      <c r="AG185" s="4" t="str"/>
      <c r="AH185" s="4" t="str"/>
      <c r="AI185" s="4" t="str"/>
      <c r="AJ185" s="4" t="str"/>
      <c r="AK185" s="4" t="str"/>
      <c r="AL185" s="4" t="str"/>
      <c r="AM185" s="4" t="str"/>
      <c r="AN185" s="4"/>
      <c r="AO185" s="4" t="str"/>
      <c r="AP185" s="4" t="str"/>
      <c r="AQ185" s="4" t="str"/>
      <c r="AR185" s="4" t="str"/>
      <c r="AS185" s="4" t="str"/>
      <c r="AT185" s="4" t="str"/>
      <c r="AU185" s="4" t="str"/>
      <c r="AV185" s="4"/>
      <c r="AW185" s="4"/>
      <c r="AX185" s="4"/>
      <c r="AY185" s="4" t="str"/>
      <c r="AZ185" s="4" t="str"/>
      <c r="BA185" s="4" t="str"/>
      <c r="BB185" s="4" t="str"/>
      <c r="BC185" s="4" t="str"/>
      <c r="BD185" s="4"/>
      <c r="BE185" s="4"/>
      <c r="BF185" s="4"/>
      <c r="BG185" s="4" t="str"/>
      <c r="BH185" s="4" t="str"/>
      <c r="BI185" s="4" t="str"/>
      <c r="BJ185" s="4" t="str"/>
      <c r="BK185" s="4" t="str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</row>
    <row customHeight="true" ht="19" outlineLevel="2" r="186">
      <c r="A186" s="11"/>
      <c r="B186" s="11"/>
      <c r="C186" s="119"/>
      <c r="D186" s="119"/>
      <c r="E186" s="5"/>
      <c r="F186" s="9"/>
      <c r="G186" s="1"/>
      <c r="H186" s="1"/>
      <c r="I186" s="1"/>
      <c r="J186" s="1"/>
      <c r="K186" s="1"/>
      <c r="L186" s="1"/>
      <c r="M186" s="1"/>
      <c r="N186" s="3"/>
      <c r="O186" s="2"/>
      <c r="P186" s="3"/>
      <c r="Q186" s="3"/>
      <c r="R186" s="1" t="str"/>
      <c r="S186" s="9" t="str"/>
      <c r="T186" s="120" t="str"/>
      <c r="U186" s="118"/>
      <c r="V186" s="118"/>
      <c r="W186" s="118"/>
      <c r="X186" s="4"/>
      <c r="Y186" s="4"/>
      <c r="Z186" s="4"/>
      <c r="AA186" s="4" t="str"/>
      <c r="AB186" s="4" t="str"/>
      <c r="AC186" s="4" t="str"/>
      <c r="AD186" s="4" t="str"/>
      <c r="AE186" s="4" t="str"/>
      <c r="AF186" s="4"/>
      <c r="AG186" s="4" t="str"/>
      <c r="AH186" s="4" t="str"/>
      <c r="AI186" s="4" t="str"/>
      <c r="AJ186" s="4" t="str"/>
      <c r="AK186" s="4" t="str"/>
      <c r="AL186" s="4" t="str"/>
      <c r="AM186" s="4" t="str"/>
      <c r="AN186" s="4"/>
      <c r="AO186" s="4" t="str"/>
      <c r="AP186" s="4" t="str"/>
      <c r="AQ186" s="4" t="str"/>
      <c r="AR186" s="4" t="str"/>
      <c r="AS186" s="4" t="str"/>
      <c r="AT186" s="4" t="str"/>
      <c r="AU186" s="4" t="str"/>
      <c r="AV186" s="4"/>
      <c r="AW186" s="4"/>
      <c r="AX186" s="4"/>
      <c r="AY186" s="4" t="str"/>
      <c r="AZ186" s="4" t="str"/>
      <c r="BA186" s="4" t="str"/>
      <c r="BB186" s="4" t="str"/>
      <c r="BC186" s="4" t="str"/>
      <c r="BD186" s="4"/>
      <c r="BE186" s="4"/>
      <c r="BF186" s="4"/>
      <c r="BG186" s="4" t="str"/>
      <c r="BH186" s="4" t="str"/>
      <c r="BI186" s="4" t="str"/>
      <c r="BJ186" s="4" t="str"/>
      <c r="BK186" s="4" t="str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</row>
    <row customHeight="true" ht="19" outlineLevel="2" r="187">
      <c r="A187" s="11"/>
      <c r="B187" s="11"/>
      <c r="C187" s="119"/>
      <c r="D187" s="119"/>
      <c r="E187" s="5"/>
      <c r="F187" s="9"/>
      <c r="G187" s="1"/>
      <c r="H187" s="1"/>
      <c r="I187" s="1"/>
      <c r="J187" s="1"/>
      <c r="K187" s="1"/>
      <c r="L187" s="1"/>
      <c r="M187" s="1"/>
      <c r="N187" s="3"/>
      <c r="O187" s="2"/>
      <c r="P187" s="3"/>
      <c r="Q187" s="3"/>
      <c r="R187" s="1" t="str"/>
      <c r="S187" s="9" t="str"/>
      <c r="T187" s="120" t="str"/>
      <c r="U187" s="118"/>
      <c r="V187" s="118"/>
      <c r="W187" s="118"/>
      <c r="X187" s="4"/>
      <c r="Y187" s="4"/>
      <c r="Z187" s="4"/>
      <c r="AA187" s="4" t="str"/>
      <c r="AB187" s="4" t="str"/>
      <c r="AC187" s="4" t="str"/>
      <c r="AD187" s="4" t="str"/>
      <c r="AE187" s="4" t="str"/>
      <c r="AF187" s="4"/>
      <c r="AG187" s="4" t="str"/>
      <c r="AH187" s="4" t="str"/>
      <c r="AI187" s="4" t="str"/>
      <c r="AJ187" s="4" t="str"/>
      <c r="AK187" s="4" t="str"/>
      <c r="AL187" s="4" t="str"/>
      <c r="AM187" s="4" t="str"/>
      <c r="AN187" s="4"/>
      <c r="AO187" s="4" t="str"/>
      <c r="AP187" s="4" t="str"/>
      <c r="AQ187" s="4" t="str"/>
      <c r="AR187" s="4" t="str"/>
      <c r="AS187" s="4" t="str"/>
      <c r="AT187" s="4" t="str"/>
      <c r="AU187" s="4" t="str"/>
      <c r="AV187" s="4"/>
      <c r="AW187" s="4"/>
      <c r="AX187" s="4"/>
      <c r="AY187" s="4" t="str"/>
      <c r="AZ187" s="4" t="str"/>
      <c r="BA187" s="4" t="str"/>
      <c r="BB187" s="4" t="str"/>
      <c r="BC187" s="4" t="str"/>
      <c r="BD187" s="4"/>
      <c r="BE187" s="4"/>
      <c r="BF187" s="4"/>
      <c r="BG187" s="4" t="str"/>
      <c r="BH187" s="4" t="str"/>
      <c r="BI187" s="4" t="str"/>
      <c r="BJ187" s="4" t="str"/>
      <c r="BK187" s="4" t="str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</row>
    <row customHeight="true" ht="19" outlineLevel="2" r="188">
      <c r="A188" s="11"/>
      <c r="B188" s="11"/>
      <c r="C188" s="119"/>
      <c r="D188" s="119"/>
      <c r="E188" s="5"/>
      <c r="F188" s="9"/>
      <c r="G188" s="1"/>
      <c r="H188" s="1"/>
      <c r="I188" s="1"/>
      <c r="J188" s="1"/>
      <c r="K188" s="1"/>
      <c r="L188" s="1"/>
      <c r="M188" s="1"/>
      <c r="N188" s="3"/>
      <c r="O188" s="2"/>
      <c r="P188" s="3"/>
      <c r="Q188" s="3"/>
      <c r="R188" s="1" t="str"/>
      <c r="S188" s="9" t="str"/>
      <c r="T188" s="120" t="str"/>
      <c r="U188" s="118"/>
      <c r="V188" s="118"/>
      <c r="W188" s="118"/>
      <c r="X188" s="4"/>
      <c r="Y188" s="4"/>
      <c r="Z188" s="4"/>
      <c r="AA188" s="4" t="str"/>
      <c r="AB188" s="4" t="str"/>
      <c r="AC188" s="4" t="str"/>
      <c r="AD188" s="4" t="str"/>
      <c r="AE188" s="4" t="str"/>
      <c r="AF188" s="4"/>
      <c r="AG188" s="4" t="str"/>
      <c r="AH188" s="4" t="str"/>
      <c r="AI188" s="4" t="str"/>
      <c r="AJ188" s="4" t="str"/>
      <c r="AK188" s="4" t="str"/>
      <c r="AL188" s="4" t="str"/>
      <c r="AM188" s="4" t="str"/>
      <c r="AN188" s="4"/>
      <c r="AO188" s="4" t="str"/>
      <c r="AP188" s="4" t="str"/>
      <c r="AQ188" s="4" t="str"/>
      <c r="AR188" s="4" t="str"/>
      <c r="AS188" s="4" t="str"/>
      <c r="AT188" s="4" t="str"/>
      <c r="AU188" s="4" t="str"/>
      <c r="AV188" s="4"/>
      <c r="AW188" s="4"/>
      <c r="AX188" s="4"/>
      <c r="AY188" s="4" t="str"/>
      <c r="AZ188" s="4" t="str"/>
      <c r="BA188" s="4" t="str"/>
      <c r="BB188" s="4" t="str"/>
      <c r="BC188" s="4" t="str"/>
      <c r="BD188" s="4"/>
      <c r="BE188" s="4"/>
      <c r="BF188" s="4"/>
      <c r="BG188" s="4" t="str"/>
      <c r="BH188" s="4" t="str"/>
      <c r="BI188" s="4" t="str"/>
      <c r="BJ188" s="4" t="str"/>
      <c r="BK188" s="4" t="str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</row>
    <row customHeight="true" ht="19" outlineLevel="2" r="189">
      <c r="A189" s="11"/>
      <c r="B189" s="11"/>
      <c r="C189" s="119" t="str">
        <v>Borderless_R</v>
      </c>
      <c r="D189" s="119"/>
      <c r="E189" s="5"/>
      <c r="F189" s="9">
        <f>IF(E189="", "", IF(G189="BP", E189, F179))</f>
      </c>
      <c r="G189" s="1"/>
      <c r="H189" s="1"/>
      <c r="I189" s="1"/>
      <c r="J189" s="1"/>
      <c r="K189" s="1"/>
      <c r="L189" s="1"/>
      <c r="M189" s="1"/>
      <c r="N189" s="3"/>
      <c r="O189" s="2" t="str">
        <v>⭕</v>
      </c>
      <c r="P189" s="3"/>
      <c r="Q189" s="3"/>
      <c r="R189" s="1" t="str"/>
      <c r="S189" s="9" t="str"/>
      <c r="T189" s="120" t="str"/>
      <c r="U189" s="118"/>
      <c r="V189" s="118"/>
      <c r="W189" s="118"/>
      <c r="X189" s="4"/>
      <c r="Y189" s="4">
        <f>IF(AND(Q189="✅", OR(ISNUMBER(FIND("F",I189)), I189="CR")),   "X="&amp;U189*16&amp;",Y="&amp;(V189-1)*16&amp;",Z="&amp;IF(I189="FD", -(W189-1)*16, (W189-1)*16),   "")</f>
      </c>
      <c r="Z189" s="4">
        <f>IF(AND(Q189="✅", OR(ISNUMBER(FIND("F",I189)), I189="CR")), "P=0,Y=0,R=0", "")</f>
      </c>
      <c r="AA189" s="4" t="str"/>
      <c r="AB189" s="4" t="str"/>
      <c r="AC189" s="4" t="str"/>
      <c r="AD189" s="4" t="str"/>
      <c r="AE189" s="4" t="str"/>
      <c r="AF189" s="4"/>
      <c r="AG189" s="4" t="str"/>
      <c r="AH189" s="4" t="str"/>
      <c r="AI189" s="4" t="str"/>
      <c r="AJ189" s="4" t="str"/>
      <c r="AK189" s="4" t="str"/>
      <c r="AL189" s="4" t="str"/>
      <c r="AM189" s="4" t="str"/>
      <c r="AN189" s="4"/>
      <c r="AO189" s="4" t="str"/>
      <c r="AP189" s="4" t="str"/>
      <c r="AQ189" s="4" t="str"/>
      <c r="AR189" s="4" t="str"/>
      <c r="AS189" s="4" t="str"/>
      <c r="AT189" s="4" t="str"/>
      <c r="AU189" s="4" t="str"/>
      <c r="AV189" s="4"/>
      <c r="AW189" s="4">
        <f>IF(AND(Q189="✅", I189="U90"), "X="&amp;(U189-1)*16&amp;",Y="&amp;(V189-1)*16&amp;",Z="&amp;W189*16, "")</f>
      </c>
      <c r="AX189" s="4">
        <f>IF(AND(Q189="✅", I189="U90"), "P=90,Y=0,R=0", "")</f>
      </c>
      <c r="AY189" s="4" t="str"/>
      <c r="AZ189" s="4" t="str"/>
      <c r="BA189" s="4" t="str"/>
      <c r="BB189" s="4" t="str"/>
      <c r="BC189" s="4" t="str"/>
      <c r="BD189" s="4"/>
      <c r="BE189" s="4">
        <f>IF(AND(Q189="✅", I189="D90"), "X="&amp;(U189-1)*16&amp;",Y="&amp;(V189-1)*16&amp;",Z="&amp;(W189-2)*16, "")</f>
      </c>
      <c r="BF189" s="4">
        <f>IF(AND(Q189="✅", I189="D90"), "P=-90,Y=0,R=0", "")</f>
      </c>
      <c r="BG189" s="4" t="str"/>
      <c r="BH189" s="4" t="str"/>
      <c r="BI189" s="4" t="str"/>
      <c r="BJ189" s="4" t="str"/>
      <c r="BK189" s="4" t="str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</row>
    <row customHeight="true" ht="19" outlineLevel="3" r="190">
      <c r="A190" s="11"/>
      <c r="B190" s="11"/>
      <c r="C190" s="119"/>
      <c r="D190" s="119">
        <v>1</v>
      </c>
      <c r="E190" s="5"/>
      <c r="F190" s="9"/>
      <c r="G190" s="1"/>
      <c r="H190" s="1"/>
      <c r="I190" s="1"/>
      <c r="J190" s="1"/>
      <c r="K190" s="1"/>
      <c r="L190" s="1"/>
      <c r="M190" s="1"/>
      <c r="N190" s="3"/>
      <c r="O190" s="3"/>
      <c r="P190" s="3"/>
      <c r="Q190" s="3"/>
      <c r="R190" s="1" t="str"/>
      <c r="S190" s="9" t="str"/>
      <c r="T190" s="120" t="str"/>
      <c r="U190" s="118"/>
      <c r="V190" s="118"/>
      <c r="W190" s="118"/>
      <c r="X190" s="4"/>
      <c r="Y190" s="4">
        <f>IF(AND(Q190="✅", OR(ISNUMBER(FIND("F",I190)), I190="CR")),   "X="&amp;U190*16&amp;",Y="&amp;(V190-1)*16&amp;",Z="&amp;IF(I190="FD", -(W190-1)*16, (W190-1)*16),   "")</f>
      </c>
      <c r="Z190" s="4">
        <f>IF(AND(Q190="✅", OR(ISNUMBER(FIND("F",I190)), I190="CR")), "P=0,Y=0,R=0", "")</f>
      </c>
      <c r="AA190" s="4" t="str"/>
      <c r="AB190" s="4" t="str"/>
      <c r="AC190" s="4" t="str"/>
      <c r="AD190" s="4" t="str"/>
      <c r="AE190" s="4" t="str"/>
      <c r="AF190" s="4"/>
      <c r="AG190" s="4" t="str"/>
      <c r="AH190" s="4" t="str"/>
      <c r="AI190" s="4" t="str"/>
      <c r="AJ190" s="4" t="str"/>
      <c r="AK190" s="4" t="str"/>
      <c r="AL190" s="4" t="str"/>
      <c r="AM190" s="4" t="str"/>
      <c r="AN190" s="4"/>
      <c r="AO190" s="4" t="str"/>
      <c r="AP190" s="4" t="str"/>
      <c r="AQ190" s="4" t="str"/>
      <c r="AR190" s="4" t="str"/>
      <c r="AS190" s="4" t="str"/>
      <c r="AT190" s="4" t="str"/>
      <c r="AU190" s="4" t="str"/>
      <c r="AV190" s="4"/>
      <c r="AW190" s="4">
        <f>IF(AND(Q190="✅", I190="U90"), "X="&amp;(U190-1)*16&amp;",Y="&amp;(V190-1)*16&amp;",Z="&amp;W190*16, "")</f>
      </c>
      <c r="AX190" s="4">
        <f>IF(AND(Q190="✅", I190="U90"), "P=90,Y=0,R=0", "")</f>
      </c>
      <c r="AY190" s="4" t="str"/>
      <c r="AZ190" s="4" t="str"/>
      <c r="BA190" s="4" t="str"/>
      <c r="BB190" s="4" t="str"/>
      <c r="BC190" s="4" t="str"/>
      <c r="BD190" s="4"/>
      <c r="BE190" s="4">
        <f>IF(AND(Q190="✅", I190="D90"), "X="&amp;(U190-1)*16&amp;",Y="&amp;(V190-1)*16&amp;",Z="&amp;(W190-2)*16, "")</f>
      </c>
      <c r="BF190" s="4">
        <f>IF(AND(Q190="✅", I190="D90"), "P=-90,Y=0,R=0", "")</f>
      </c>
      <c r="BG190" s="4" t="str"/>
      <c r="BH190" s="4" t="str"/>
      <c r="BI190" s="4" t="str"/>
      <c r="BJ190" s="4" t="str"/>
      <c r="BK190" s="4" t="str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</row>
    <row customHeight="true" ht="19" outlineLevel="3" r="191">
      <c r="A191" s="14" t="str" xml:space="preserve">
        <v> </v>
      </c>
      <c r="B191" s="14" t="str" xml:space="preserve">
        <v> </v>
      </c>
      <c r="C191" s="147" t="str" xml:space="preserve">
        <v> </v>
      </c>
      <c r="D191" s="147" t="str" xml:space="preserve">
        <v> </v>
      </c>
      <c r="E191" s="36">
        <f>G191 &amp; "_" &amp; H191 &amp; IF(I191&lt;&gt;"", "_" &amp; I191, "") &amp; IF(J191&lt;&gt;"", "_" &amp; J191, "") &amp; IF(K191&lt;&gt;"", "_" &amp; K191, "") &amp;"_X"&amp;U191&amp;"_Y"&amp;V191&amp;"_Z"&amp;W191 &amp; IF(G191="SM", "_Proxy" , "_Rail") &amp; IF(M191&lt;&gt;"", "_" &amp; M191, "")</f>
      </c>
      <c r="F191" s="37">
        <f>IF(E191="", "", IF(G191="BP", E191, F189))</f>
      </c>
      <c r="G191" s="35" t="str">
        <v>BP</v>
      </c>
      <c r="H191" s="35" t="str">
        <v>Straight</v>
      </c>
      <c r="I191" s="35" t="str">
        <v>U90</v>
      </c>
      <c r="J191" s="35" t="str">
        <v>Borderless_R</v>
      </c>
      <c r="K191" s="35"/>
      <c r="L191" s="35"/>
      <c r="M191" s="35"/>
      <c r="N191" s="72"/>
      <c r="O191" s="72"/>
      <c r="P191" s="72"/>
      <c r="Q191" s="72" t="str">
        <v>✅</v>
      </c>
      <c r="R191" s="35" t="str">
        <v>Straight_U90_Borderless_R_X1_Y1_Z1</v>
      </c>
      <c r="S191" s="37" t="str">
        <v>/Script/Engine.BlueprintGeneratedClass'/Game/Item/Rail/Straight/U90/Borderless_R/Straight_U90_Borderless_R_X1_Y1_Z1/BP_Straight_U90_Borderless_R_X1_Y1_Z1_Rail.BP_Straight_U90_Borderless_R_X1_Y1_Z1_Rail_C'</v>
      </c>
      <c r="T191" s="124">
        <v>2</v>
      </c>
      <c r="U191" s="121">
        <v>1</v>
      </c>
      <c r="V191" s="121">
        <v>1</v>
      </c>
      <c r="W191" s="121">
        <v>1</v>
      </c>
      <c r="X191" s="38"/>
      <c r="Y191" s="38">
        <f>IF(AND(Q191="✅", OR(ISNUMBER(FIND("F",I191)), I191="CR")),   "X="&amp;U191*16&amp;",Y="&amp;(V191-1)*16&amp;",Z="&amp;IF(I191="FD", -(W191-1)*16, (W191-1)*16),   "")</f>
      </c>
      <c r="Z191" s="38">
        <f>IF(AND(Q191="✅", OR(ISNUMBER(FIND("F",I191)), I191="CR")), "P=0,Y=0,R=0", "")</f>
      </c>
      <c r="AA191" s="38" t="str"/>
      <c r="AB191" s="38" t="str"/>
      <c r="AC191" s="38" t="str"/>
      <c r="AD191" s="38" t="str"/>
      <c r="AE191" s="38" t="str">
        <v>X=0,Y=0,Z=0,W=0</v>
      </c>
      <c r="AF191" s="38"/>
      <c r="AG191" s="38" t="str"/>
      <c r="AH191" s="38" t="str"/>
      <c r="AI191" s="38" t="str"/>
      <c r="AJ191" s="38" t="str"/>
      <c r="AK191" s="38" t="str"/>
      <c r="AL191" s="38" t="str"/>
      <c r="AM191" s="38" t="str"/>
      <c r="AN191" s="38"/>
      <c r="AO191" s="38" t="str"/>
      <c r="AP191" s="38" t="str"/>
      <c r="AQ191" s="38" t="str"/>
      <c r="AR191" s="38" t="str"/>
      <c r="AS191" s="38" t="str"/>
      <c r="AT191" s="38" t="str"/>
      <c r="AU191" s="38" t="str"/>
      <c r="AV191" s="38"/>
      <c r="AW191" s="38">
        <f>IF(AND(Q191="✅", I191="U90"), "X="&amp;(U191-1)*16&amp;",Y="&amp;(V191-1)*16&amp;",Z="&amp;W191*16, "")</f>
      </c>
      <c r="AX191" s="38">
        <f>IF(AND(Q191="✅", I191="U90"), "P=90,Y=0,R=0", "")</f>
      </c>
      <c r="AY191" s="38">
        <v>1</v>
      </c>
      <c r="AZ191" s="38">
        <v>1.5</v>
      </c>
      <c r="BA191" s="38">
        <v>2</v>
      </c>
      <c r="BB191" s="38">
        <v>1.5</v>
      </c>
      <c r="BC191" s="38" t="str">
        <v>X=1,Y=1.5,Z=2,W=1.5</v>
      </c>
      <c r="BD191" s="38"/>
      <c r="BE191" s="38">
        <f>IF(AND(Q191="✅", I191="D90"), "X="&amp;(U191-1)*16&amp;",Y="&amp;(V191-1)*16&amp;",Z="&amp;(W191-2)*16, "")</f>
      </c>
      <c r="BF191" s="38">
        <f>IF(AND(Q191="✅", I191="D90"), "P=-90,Y=0,R=0", "")</f>
      </c>
      <c r="BG191" s="38" t="str"/>
      <c r="BH191" s="38" t="str"/>
      <c r="BI191" s="38" t="str"/>
      <c r="BJ191" s="38" t="str"/>
      <c r="BK191" s="38" t="str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</row>
    <row customHeight="true" ht="19" outlineLevel="3" r="192">
      <c r="A192" s="14" t="str" xml:space="preserve">
        <v> </v>
      </c>
      <c r="B192" s="14" t="str" xml:space="preserve">
        <v> </v>
      </c>
      <c r="C192" s="147" t="str" xml:space="preserve">
        <v> </v>
      </c>
      <c r="D192" s="147" t="str" xml:space="preserve">
        <v> </v>
      </c>
      <c r="E192" s="36">
        <f>E172</f>
      </c>
      <c r="F192" s="37">
        <f>IF(E192="", "", IF(G192="BP", E192, F191))</f>
      </c>
      <c r="G192" s="35"/>
      <c r="H192" s="35"/>
      <c r="I192" s="35"/>
      <c r="J192" s="35"/>
      <c r="K192" s="35"/>
      <c r="L192" s="35"/>
      <c r="M192" s="35" t="str">
        <v>B</v>
      </c>
      <c r="N192" s="72"/>
      <c r="O192" s="72"/>
      <c r="P192" s="72" t="str">
        <v>✅</v>
      </c>
      <c r="Q192" s="72"/>
      <c r="R192" s="35" t="str">
        <v>Straight_U90_X1_Y1_Z1</v>
      </c>
      <c r="S192" s="37" t="str">
        <v>/Script/Engine.BlueprintGeneratedClass'/Game/Item/Rail/Straight/U90/Normal/Straight_U90_X1_Y1_Z1/BP_Straight_U90_X1_Y1_Z1_Rail.BP_Straight_U90_X1_Y1_Z1_Rail_C'</v>
      </c>
      <c r="T192" s="124" t="str"/>
      <c r="U192" s="121"/>
      <c r="V192" s="121"/>
      <c r="W192" s="121"/>
      <c r="X192" s="38"/>
      <c r="Y192" s="38">
        <f>IF(AND(Q192="✅", OR(ISNUMBER(FIND("F",I192)), I192="CR")),   "X="&amp;U192*16&amp;",Y="&amp;(V192-1)*16&amp;",Z="&amp;IF(I192="FD", -(W192-1)*16, (W192-1)*16),   "")</f>
      </c>
      <c r="Z192" s="38">
        <f>IF(AND(Q192="✅", OR(ISNUMBER(FIND("F",I192)), I192="CR")), "P=0,Y=0,R=0", "")</f>
      </c>
      <c r="AA192" s="38" t="str"/>
      <c r="AB192" s="38" t="str"/>
      <c r="AC192" s="38" t="str"/>
      <c r="AD192" s="38" t="str"/>
      <c r="AE192" s="38" t="str"/>
      <c r="AF192" s="38"/>
      <c r="AG192" s="38" t="str"/>
      <c r="AH192" s="38" t="str"/>
      <c r="AI192" s="38" t="str"/>
      <c r="AJ192" s="38" t="str"/>
      <c r="AK192" s="38" t="str"/>
      <c r="AL192" s="38" t="str"/>
      <c r="AM192" s="38" t="str"/>
      <c r="AN192" s="38"/>
      <c r="AO192" s="38" t="str"/>
      <c r="AP192" s="38" t="str"/>
      <c r="AQ192" s="38" t="str"/>
      <c r="AR192" s="38" t="str"/>
      <c r="AS192" s="38" t="str"/>
      <c r="AT192" s="38" t="str"/>
      <c r="AU192" s="38" t="str"/>
      <c r="AV192" s="38"/>
      <c r="AW192" s="38">
        <f>IF(AND(Q192="✅", I192="U90"), "X="&amp;(U192-1)*16&amp;",Y="&amp;(V192-1)*16&amp;",Z="&amp;W192*16, "")</f>
      </c>
      <c r="AX192" s="38">
        <f>IF(AND(Q192="✅", I192="U90"), "P=90,Y=0,R=0", "")</f>
      </c>
      <c r="AY192" s="38" t="str"/>
      <c r="AZ192" s="38" t="str"/>
      <c r="BA192" s="38" t="str"/>
      <c r="BB192" s="38" t="str"/>
      <c r="BC192" s="38" t="str"/>
      <c r="BD192" s="38"/>
      <c r="BE192" s="38">
        <f>IF(AND(Q192="✅", I192="D90"), "X="&amp;(U192-1)*16&amp;",Y="&amp;(V192-1)*16&amp;",Z="&amp;(W192-2)*16, "")</f>
      </c>
      <c r="BF192" s="38">
        <f>IF(AND(Q192="✅", I192="D90"), "P=-90,Y=0,R=0", "")</f>
      </c>
      <c r="BG192" s="38" t="str"/>
      <c r="BH192" s="38" t="str"/>
      <c r="BI192" s="38" t="str"/>
      <c r="BJ192" s="38" t="str"/>
      <c r="BK192" s="38" t="str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</row>
    <row customHeight="true" ht="19" outlineLevel="3" r="193">
      <c r="A193" s="14" t="str" xml:space="preserve">
        <v> </v>
      </c>
      <c r="B193" s="14" t="str" xml:space="preserve">
        <v> </v>
      </c>
      <c r="C193" s="147" t="str" xml:space="preserve">
        <v> </v>
      </c>
      <c r="D193" s="147" t="str" xml:space="preserve">
        <v> </v>
      </c>
      <c r="E193" s="36">
        <f>E173</f>
      </c>
      <c r="F193" s="37">
        <f>IF(E193="", "", IF(G193="BP", E193, F192))</f>
      </c>
      <c r="G193" s="35"/>
      <c r="H193" s="35"/>
      <c r="I193" s="35"/>
      <c r="J193" s="35"/>
      <c r="K193" s="35"/>
      <c r="L193" s="35"/>
      <c r="M193" s="35" t="str">
        <v>L</v>
      </c>
      <c r="N193" s="72"/>
      <c r="O193" s="72"/>
      <c r="P193" s="72" t="str">
        <v>✅</v>
      </c>
      <c r="Q193" s="72"/>
      <c r="R193" s="35" t="str">
        <v>Straight_U90_X1_Y1_Z1</v>
      </c>
      <c r="S193" s="37" t="str">
        <v>/Script/Engine.StaticMesh'/Game/Item/Rail/Straight/U90/Normal/Straight_U90_X1_Y1_Z1/Proxy/SM_Straight_U90_X1_Y1_Z1_Proxy_B.SM_Straight_U90_X1_Y1_Z1_Proxy_B'</v>
      </c>
      <c r="T193" s="124" t="str"/>
      <c r="U193" s="121"/>
      <c r="V193" s="121"/>
      <c r="W193" s="121"/>
      <c r="X193" s="38"/>
      <c r="Y193" s="38">
        <f>IF(AND(Q193="✅", OR(ISNUMBER(FIND("F",I193)), I193="CR")),   "X="&amp;U193*16&amp;",Y="&amp;(V193-1)*16&amp;",Z="&amp;IF(I193="FD", -(W193-1)*16, (W193-1)*16),   "")</f>
      </c>
      <c r="Z193" s="38">
        <f>IF(AND(Q193="✅", OR(ISNUMBER(FIND("F",I193)), I193="CR")), "P=0,Y=0,R=0", "")</f>
      </c>
      <c r="AA193" s="38" t="str"/>
      <c r="AB193" s="38" t="str"/>
      <c r="AC193" s="38" t="str"/>
      <c r="AD193" s="38" t="str"/>
      <c r="AE193" s="38" t="str"/>
      <c r="AF193" s="38"/>
      <c r="AG193" s="38" t="str"/>
      <c r="AH193" s="38" t="str"/>
      <c r="AI193" s="38" t="str"/>
      <c r="AJ193" s="38" t="str"/>
      <c r="AK193" s="38" t="str"/>
      <c r="AL193" s="38" t="str"/>
      <c r="AM193" s="38" t="str"/>
      <c r="AN193" s="38"/>
      <c r="AO193" s="38" t="str"/>
      <c r="AP193" s="38" t="str"/>
      <c r="AQ193" s="38" t="str"/>
      <c r="AR193" s="38" t="str"/>
      <c r="AS193" s="38" t="str"/>
      <c r="AT193" s="38" t="str"/>
      <c r="AU193" s="38" t="str"/>
      <c r="AV193" s="38"/>
      <c r="AW193" s="38">
        <f>IF(AND(Q193="✅", I193="U90"), "X="&amp;(U193-1)*16&amp;",Y="&amp;(V193-1)*16&amp;",Z="&amp;W193*16, "")</f>
      </c>
      <c r="AX193" s="38">
        <f>IF(AND(Q193="✅", I193="U90"), "P=90,Y=0,R=0", "")</f>
      </c>
      <c r="AY193" s="38" t="str"/>
      <c r="AZ193" s="38" t="str"/>
      <c r="BA193" s="38" t="str"/>
      <c r="BB193" s="38" t="str"/>
      <c r="BC193" s="38" t="str"/>
      <c r="BD193" s="38"/>
      <c r="BE193" s="38">
        <f>IF(AND(Q193="✅", I193="D90"), "X="&amp;(U193-1)*16&amp;",Y="&amp;(V193-1)*16&amp;",Z="&amp;(W193-2)*16, "")</f>
      </c>
      <c r="BF193" s="38">
        <f>IF(AND(Q193="✅", I193="D90"), "P=-90,Y=0,R=0", "")</f>
      </c>
      <c r="BG193" s="38" t="str"/>
      <c r="BH193" s="38" t="str"/>
      <c r="BI193" s="38" t="str"/>
      <c r="BJ193" s="38" t="str"/>
      <c r="BK193" s="38" t="str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</row>
    <row customHeight="true" ht="19" r="194">
      <c r="A194" s="11" t="str">
        <v>Curve</v>
      </c>
      <c r="B194" s="11"/>
      <c r="C194" s="119"/>
      <c r="D194" s="119"/>
      <c r="E194" s="5"/>
      <c r="F194" s="9">
        <f>IF(E194="", "", IF(G194="BP", E194, F130))</f>
      </c>
      <c r="G194" s="1"/>
      <c r="H194" s="1"/>
      <c r="I194" s="1"/>
      <c r="J194" s="1"/>
      <c r="K194" s="1"/>
      <c r="L194" s="1"/>
      <c r="M194" s="1"/>
      <c r="N194" s="3"/>
      <c r="O194" s="3"/>
      <c r="P194" s="3"/>
      <c r="Q194" s="3"/>
      <c r="R194" s="1" t="str"/>
      <c r="S194" s="9" t="str"/>
      <c r="T194" s="120" t="str"/>
      <c r="U194" s="118"/>
      <c r="V194" s="118"/>
      <c r="W194" s="118"/>
      <c r="X194" s="4"/>
      <c r="Y194" s="4">
        <f>IF(AND(Q194="✅", OR(ISNUMBER(FIND("F",I194)), I194="CR")),   "X="&amp;U194*16&amp;",Y="&amp;(V194-1)*16&amp;",Z="&amp;IF(I194="FD", -(W194-1)*16, (W194-1)*16),   "")</f>
      </c>
      <c r="Z194" s="4">
        <f>IF(AND(Q194="✅", OR(ISNUMBER(FIND("F",I194)), I194="CR")), "P=0,Y=0,R=0", "")</f>
      </c>
      <c r="AA194" s="4" t="str"/>
      <c r="AB194" s="4" t="str"/>
      <c r="AC194" s="4" t="str"/>
      <c r="AD194" s="4" t="str"/>
      <c r="AE194" s="4" t="str"/>
      <c r="AF194" s="4"/>
      <c r="AG194" s="4" t="str"/>
      <c r="AH194" s="4" t="str"/>
      <c r="AI194" s="4" t="str"/>
      <c r="AJ194" s="4" t="str"/>
      <c r="AK194" s="4" t="str"/>
      <c r="AL194" s="4" t="str"/>
      <c r="AM194" s="4" t="str"/>
      <c r="AN194" s="4"/>
      <c r="AO194" s="4" t="str"/>
      <c r="AP194" s="4" t="str"/>
      <c r="AQ194" s="4" t="str"/>
      <c r="AR194" s="4" t="str"/>
      <c r="AS194" s="4" t="str"/>
      <c r="AT194" s="4" t="str"/>
      <c r="AU194" s="4" t="str"/>
      <c r="AV194" s="4"/>
      <c r="AW194" s="4">
        <f>IF(AND(Q194="✅", I194="U90"), "X="&amp;(U194-1)*16&amp;",Y="&amp;(V194-1)*16&amp;",Z="&amp;W194*16, "")</f>
      </c>
      <c r="AX194" s="4">
        <f>IF(AND(Q194="✅", I194="U90"), "P=90,Y=0,R=0", "")</f>
      </c>
      <c r="AY194" s="4" t="str"/>
      <c r="AZ194" s="4" t="str"/>
      <c r="BA194" s="4" t="str"/>
      <c r="BB194" s="4" t="str"/>
      <c r="BC194" s="4" t="str"/>
      <c r="BD194" s="4"/>
      <c r="BE194" s="4">
        <f>IF(AND(Q194="✅", I194="D90"), "X="&amp;(U194-1)*16&amp;",Y="&amp;(V194-1)*16&amp;",Z="&amp;(W194-2)*16, "")</f>
      </c>
      <c r="BF194" s="4">
        <f>IF(AND(Q194="✅", I194="D90"), "P=-90,Y=0,R=0", "")</f>
      </c>
      <c r="BG194" s="4" t="str"/>
      <c r="BH194" s="4" t="str"/>
      <c r="BI194" s="4" t="str"/>
      <c r="BJ194" s="4" t="str"/>
      <c r="BK194" s="4" t="str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</row>
    <row customHeight="true" ht="19" outlineLevel="1" r="195">
      <c r="A195" s="11"/>
      <c r="B195" s="11" t="str">
        <v>L90</v>
      </c>
      <c r="C195" s="119"/>
      <c r="D195" s="119"/>
      <c r="E195" s="5"/>
      <c r="F195" s="9">
        <f>IF(E195="", "", IF(G195="BP", E195, F194))</f>
      </c>
      <c r="G195" s="1"/>
      <c r="H195" s="1"/>
      <c r="I195" s="1"/>
      <c r="J195" s="1"/>
      <c r="K195" s="1"/>
      <c r="L195" s="1"/>
      <c r="M195" s="1"/>
      <c r="N195" s="3"/>
      <c r="O195" s="3"/>
      <c r="P195" s="3"/>
      <c r="Q195" s="3"/>
      <c r="R195" s="1" t="str"/>
      <c r="S195" s="9" t="str"/>
      <c r="T195" s="120" t="str"/>
      <c r="U195" s="118"/>
      <c r="V195" s="118"/>
      <c r="W195" s="118"/>
      <c r="X195" s="4"/>
      <c r="Y195" s="4">
        <f>IF(AND(Q195="✅", OR(ISNUMBER(FIND("F",I195)), I195="CR")),   "X="&amp;U195*16&amp;",Y="&amp;(V195-1)*16&amp;",Z="&amp;IF(I195="FD", -(W195-1)*16, (W195-1)*16),   "")</f>
      </c>
      <c r="Z195" s="4">
        <f>IF(AND(Q195="✅", OR(ISNUMBER(FIND("F",I195)), I195="CR")), "P=0,Y=0,R=0", "")</f>
      </c>
      <c r="AA195" s="4" t="str"/>
      <c r="AB195" s="4" t="str"/>
      <c r="AC195" s="4" t="str"/>
      <c r="AD195" s="4" t="str"/>
      <c r="AE195" s="4" t="str"/>
      <c r="AF195" s="4"/>
      <c r="AG195" s="4" t="str"/>
      <c r="AH195" s="4" t="str"/>
      <c r="AI195" s="4" t="str"/>
      <c r="AJ195" s="4" t="str"/>
      <c r="AK195" s="4" t="str"/>
      <c r="AL195" s="4" t="str"/>
      <c r="AM195" s="4" t="str"/>
      <c r="AN195" s="4"/>
      <c r="AO195" s="4" t="str"/>
      <c r="AP195" s="4" t="str"/>
      <c r="AQ195" s="4" t="str"/>
      <c r="AR195" s="4" t="str"/>
      <c r="AS195" s="4" t="str"/>
      <c r="AT195" s="4" t="str"/>
      <c r="AU195" s="4" t="str"/>
      <c r="AV195" s="4"/>
      <c r="AW195" s="4">
        <f>IF(AND(Q195="✅", I195="U90"), "X="&amp;(U195-1)*16&amp;",Y="&amp;(V195-1)*16&amp;",Z="&amp;W195*16, "")</f>
      </c>
      <c r="AX195" s="4">
        <f>IF(AND(Q195="✅", I195="U90"), "P=90,Y=0,R=0", "")</f>
      </c>
      <c r="AY195" s="4" t="str"/>
      <c r="AZ195" s="4" t="str"/>
      <c r="BA195" s="4" t="str"/>
      <c r="BB195" s="4" t="str"/>
      <c r="BC195" s="4" t="str"/>
      <c r="BD195" s="4"/>
      <c r="BE195" s="4">
        <f>IF(AND(Q195="✅", I195="D90"), "X="&amp;(U195-1)*16&amp;",Y="&amp;(V195-1)*16&amp;",Z="&amp;(W195-2)*16, "")</f>
      </c>
      <c r="BF195" s="4">
        <f>IF(AND(Q195="✅", I195="D90"), "P=-90,Y=0,R=0", "")</f>
      </c>
      <c r="BG195" s="4" t="str"/>
      <c r="BH195" s="4" t="str"/>
      <c r="BI195" s="4" t="str"/>
      <c r="BJ195" s="4" t="str"/>
      <c r="BK195" s="4" t="str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</row>
    <row customHeight="true" ht="19" outlineLevel="2" r="196">
      <c r="A196" s="11"/>
      <c r="B196" s="11"/>
      <c r="C196" s="119" t="str">
        <v>Normal</v>
      </c>
      <c r="D196" s="119"/>
      <c r="E196" s="5"/>
      <c r="F196" s="9"/>
      <c r="G196" s="1"/>
      <c r="H196" s="1"/>
      <c r="I196" s="1"/>
      <c r="J196" s="1"/>
      <c r="K196" s="1"/>
      <c r="L196" s="1"/>
      <c r="M196" s="1"/>
      <c r="N196" s="3"/>
      <c r="O196" s="3"/>
      <c r="P196" s="3"/>
      <c r="Q196" s="3"/>
      <c r="R196" s="1" t="str"/>
      <c r="S196" s="9" t="str"/>
      <c r="T196" s="120" t="str"/>
      <c r="U196" s="118"/>
      <c r="V196" s="118"/>
      <c r="W196" s="118"/>
      <c r="X196" s="4"/>
      <c r="Y196" s="4">
        <f>IF(AND(Q196="✅", OR(ISNUMBER(FIND("F",I196)), I196="CR")),   "X="&amp;U196*16&amp;",Y="&amp;(V196-1)*16&amp;",Z="&amp;IF(I196="FD", -(W196-1)*16, (W196-1)*16),   "")</f>
      </c>
      <c r="Z196" s="4">
        <f>IF(AND(Q196="✅", OR(ISNUMBER(FIND("F",I196)), I196="CR")), "P=0,Y=0,R=0", "")</f>
      </c>
      <c r="AA196" s="4" t="str"/>
      <c r="AB196" s="4" t="str"/>
      <c r="AC196" s="4" t="str"/>
      <c r="AD196" s="4" t="str"/>
      <c r="AE196" s="4" t="str"/>
      <c r="AF196" s="4"/>
      <c r="AG196" s="4" t="str"/>
      <c r="AH196" s="4" t="str"/>
      <c r="AI196" s="4" t="str"/>
      <c r="AJ196" s="4" t="str"/>
      <c r="AK196" s="4" t="str"/>
      <c r="AL196" s="4" t="str"/>
      <c r="AM196" s="4" t="str"/>
      <c r="AN196" s="4"/>
      <c r="AO196" s="4" t="str"/>
      <c r="AP196" s="4" t="str"/>
      <c r="AQ196" s="4" t="str"/>
      <c r="AR196" s="4" t="str"/>
      <c r="AS196" s="4" t="str"/>
      <c r="AT196" s="4" t="str"/>
      <c r="AU196" s="4" t="str"/>
      <c r="AV196" s="4"/>
      <c r="AW196" s="4">
        <f>IF(AND(Q196="✅", I196="U90"), "X="&amp;(U196-1)*16&amp;",Y="&amp;(V196-1)*16&amp;",Z="&amp;W196*16, "")</f>
      </c>
      <c r="AX196" s="4">
        <f>IF(AND(Q196="✅", I196="U90"), "P=90,Y=0,R=0", "")</f>
      </c>
      <c r="AY196" s="4" t="str"/>
      <c r="AZ196" s="4" t="str"/>
      <c r="BA196" s="4" t="str"/>
      <c r="BB196" s="4" t="str"/>
      <c r="BC196" s="4" t="str"/>
      <c r="BD196" s="4"/>
      <c r="BE196" s="4">
        <f>IF(AND(Q196="✅", I196="D90"), "X="&amp;(U196-1)*16&amp;",Y="&amp;(V196-1)*16&amp;",Z="&amp;(W196-2)*16, "")</f>
      </c>
      <c r="BF196" s="4">
        <f>IF(AND(Q196="✅", I196="D90"), "P=-90,Y=0,R=0", "")</f>
      </c>
      <c r="BG196" s="4" t="str"/>
      <c r="BH196" s="4" t="str"/>
      <c r="BI196" s="4" t="str"/>
      <c r="BJ196" s="4" t="str"/>
      <c r="BK196" s="4" t="str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</row>
    <row collapsed="true" customHeight="true" ht="19" outlineLevel="3" r="197">
      <c r="A197" s="11" t="str" xml:space="preserve">
        <v> </v>
      </c>
      <c r="B197" s="11"/>
      <c r="C197" s="119"/>
      <c r="D197" s="119">
        <v>1</v>
      </c>
      <c r="E197" s="5"/>
      <c r="F197" s="9"/>
      <c r="G197" s="1"/>
      <c r="H197" s="1"/>
      <c r="I197" s="1"/>
      <c r="J197" s="1"/>
      <c r="K197" s="1"/>
      <c r="L197" s="1"/>
      <c r="M197" s="1"/>
      <c r="N197" s="3"/>
      <c r="O197" s="3"/>
      <c r="P197" s="3"/>
      <c r="Q197" s="3"/>
      <c r="R197" s="1" t="str"/>
      <c r="S197" s="9" t="str"/>
      <c r="T197" s="120" t="str"/>
      <c r="U197" s="118"/>
      <c r="V197" s="118"/>
      <c r="W197" s="118"/>
      <c r="X197" s="4"/>
      <c r="Y197" s="4">
        <f>IF(AND(Q197="✅", OR(ISNUMBER(FIND("F",I197)), I197="CR")),   "X="&amp;U197*16&amp;",Y="&amp;(V197-1)*16&amp;",Z="&amp;IF(I197="FD", -(W197-1)*16, (W197-1)*16),   "")</f>
      </c>
      <c r="Z197" s="4">
        <f>IF(AND(Q197="✅", OR(ISNUMBER(FIND("F",I197)), I197="CR")), "P=0,Y=0,R=0", "")</f>
      </c>
      <c r="AA197" s="4" t="str"/>
      <c r="AB197" s="4" t="str"/>
      <c r="AC197" s="4" t="str"/>
      <c r="AD197" s="4" t="str"/>
      <c r="AE197" s="4" t="str"/>
      <c r="AF197" s="4"/>
      <c r="AG197" s="4" t="str"/>
      <c r="AH197" s="4" t="str"/>
      <c r="AI197" s="4" t="str"/>
      <c r="AJ197" s="4" t="str"/>
      <c r="AK197" s="4" t="str"/>
      <c r="AL197" s="4" t="str"/>
      <c r="AM197" s="4" t="str"/>
      <c r="AN197" s="4"/>
      <c r="AO197" s="4" t="str"/>
      <c r="AP197" s="4" t="str"/>
      <c r="AQ197" s="4" t="str"/>
      <c r="AR197" s="4" t="str"/>
      <c r="AS197" s="4" t="str"/>
      <c r="AT197" s="4" t="str"/>
      <c r="AU197" s="4" t="str"/>
      <c r="AV197" s="4"/>
      <c r="AW197" s="4">
        <f>IF(AND(Q197="✅", I197="U90"), "X="&amp;(U197-1)*16&amp;",Y="&amp;(V197-1)*16&amp;",Z="&amp;W197*16, "")</f>
      </c>
      <c r="AX197" s="4">
        <f>IF(AND(Q197="✅", I197="U90"), "P=90,Y=0,R=0", "")</f>
      </c>
      <c r="AY197" s="4" t="str"/>
      <c r="AZ197" s="4" t="str"/>
      <c r="BA197" s="4" t="str"/>
      <c r="BB197" s="4" t="str"/>
      <c r="BC197" s="4" t="str"/>
      <c r="BD197" s="4"/>
      <c r="BE197" s="4">
        <f>IF(AND(Q197="✅", I197="D90"), "X="&amp;(U197-1)*16&amp;",Y="&amp;(V197-1)*16&amp;",Z="&amp;(W197-2)*16, "")</f>
      </c>
      <c r="BF197" s="4">
        <f>IF(AND(Q197="✅", I197="D90"), "P=-90,Y=0,R=0", "")</f>
      </c>
      <c r="BG197" s="4" t="str"/>
      <c r="BH197" s="4" t="str"/>
      <c r="BI197" s="4" t="str"/>
      <c r="BJ197" s="4" t="str"/>
      <c r="BK197" s="4" t="str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</row>
    <row customHeight="true" hidden="true" ht="19" outlineLevel="4" r="198">
      <c r="A198" s="11" t="str" xml:space="preserve">
        <v> </v>
      </c>
      <c r="B198" s="11" t="str" xml:space="preserve">
        <v> </v>
      </c>
      <c r="C198" s="119" t="str" xml:space="preserve">
        <v> </v>
      </c>
      <c r="D198" s="119" t="str" xml:space="preserve">
        <v> </v>
      </c>
      <c r="E198" s="21">
        <f>G198 &amp; "_" &amp; H198 &amp; IF(I198&lt;&gt;"", "_" &amp; I198, "") &amp; IF(J198&lt;&gt;"", "_" &amp; J198, "") &amp; IF(K198&lt;&gt;"", "_" &amp; K198, "") &amp;"_X"&amp;U198&amp;"_Y"&amp;V198&amp;"_Z"&amp;W198 &amp; IF(G198="SM", "_Proxy" , "_Rail") &amp; IF(M198&lt;&gt;"", "_" &amp; M198, "")</f>
      </c>
      <c r="F198" s="19">
        <f>IF(E198="", "", IF(G198="BP", E198, F195))</f>
      </c>
      <c r="G198" s="20" t="str">
        <v>BP</v>
      </c>
      <c r="H198" s="20" t="str">
        <v>Curve</v>
      </c>
      <c r="I198" s="20" t="str">
        <v>L90</v>
      </c>
      <c r="J198" s="20"/>
      <c r="K198" s="20"/>
      <c r="L198" s="20"/>
      <c r="M198" s="20"/>
      <c r="N198" s="95"/>
      <c r="O198" s="95"/>
      <c r="P198" s="95"/>
      <c r="Q198" s="95" t="str">
        <v>✅</v>
      </c>
      <c r="R198" s="20" t="str">
        <v>Curve_L90_X1_Y1_Z1</v>
      </c>
      <c r="S198" s="19" t="str">
        <v>/Script/Engine.BlueprintGeneratedClass'/Game/Item/Rail/Curve/L90/Normal/Curve_L90_X1_Y1_Z1/BP_Curve_L90_X1_Y1_Z1_Rail.BP_Curve_L90_X1_Y1_Z1_Rail_C'</v>
      </c>
      <c r="T198" s="131">
        <v>1</v>
      </c>
      <c r="U198" s="132">
        <v>1</v>
      </c>
      <c r="V198" s="132">
        <v>1</v>
      </c>
      <c r="W198" s="132">
        <v>1</v>
      </c>
      <c r="X198" s="25"/>
      <c r="Y198" s="25">
        <f>IF(AND(Q198="✅", OR(ISNUMBER(FIND("F",I198)), I198="CR")),   "X="&amp;U198*16&amp;",Y="&amp;(V198-1)*16&amp;",Z="&amp;IF(I198="FD", -(W198-1)*16, (W198-1)*16),   "")</f>
      </c>
      <c r="Z198" s="25">
        <f>IF(AND(Q198="✅", OR(ISNUMBER(FIND("F",I198)), I198="CR")), "P=0,Y=0,R=0", "")</f>
      </c>
      <c r="AA198" s="25" t="str"/>
      <c r="AB198" s="25" t="str"/>
      <c r="AC198" s="25" t="str"/>
      <c r="AD198" s="25" t="str"/>
      <c r="AE198" s="25" t="str">
        <v>X=0,Y=0,Z=0,W=0</v>
      </c>
      <c r="AF198" s="25"/>
      <c r="AG198" s="25" t="str">
        <v>X=0,Y=-16,Z=0</v>
      </c>
      <c r="AH198" s="25" t="str">
        <v>P=0,Y=-90,R=0</v>
      </c>
      <c r="AI198" s="25">
        <v>1</v>
      </c>
      <c r="AJ198" s="25">
        <v>1.5</v>
      </c>
      <c r="AK198" s="25">
        <v>2</v>
      </c>
      <c r="AL198" s="25">
        <v>1.5</v>
      </c>
      <c r="AM198" s="25" t="str">
        <v>X=1,Y=1.5,Z=2,W=1.5</v>
      </c>
      <c r="AN198" s="25"/>
      <c r="AO198" s="25" t="str"/>
      <c r="AP198" s="25" t="str"/>
      <c r="AQ198" s="25" t="str"/>
      <c r="AR198" s="25" t="str"/>
      <c r="AS198" s="25" t="str"/>
      <c r="AT198" s="25" t="str"/>
      <c r="AU198" s="25" t="str"/>
      <c r="AV198" s="25"/>
      <c r="AW198" s="25">
        <f>IF(AND(Q198="✅", I198="U90"), "X="&amp;(U198-1)*16&amp;",Y="&amp;(V198-1)*16&amp;",Z="&amp;W198*16, "")</f>
      </c>
      <c r="AX198" s="25">
        <f>IF(AND(Q198="✅", I198="U90"), "P=90,Y=0,R=0", "")</f>
      </c>
      <c r="AY198" s="25" t="str"/>
      <c r="AZ198" s="25" t="str"/>
      <c r="BA198" s="25" t="str"/>
      <c r="BB198" s="25" t="str"/>
      <c r="BC198" s="25" t="str"/>
      <c r="BD198" s="25"/>
      <c r="BE198" s="25">
        <f>IF(AND(Q198="✅", I198="D90"), "X="&amp;(U198-1)*16&amp;",Y="&amp;(V198-1)*16&amp;",Z="&amp;(W198-2)*16, "")</f>
      </c>
      <c r="BF198" s="25">
        <f>IF(AND(Q198="✅", I198="D90"), "P=-90,Y=0,R=0", "")</f>
      </c>
      <c r="BG198" s="25" t="str"/>
      <c r="BH198" s="25" t="str"/>
      <c r="BI198" s="25" t="str"/>
      <c r="BJ198" s="25" t="str"/>
      <c r="BK198" s="25" t="str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</row>
    <row customHeight="true" hidden="true" ht="19" outlineLevel="4" r="199">
      <c r="A199" s="11" t="str" xml:space="preserve">
        <v> </v>
      </c>
      <c r="B199" s="11" t="str" xml:space="preserve">
        <v> </v>
      </c>
      <c r="C199" s="119" t="str" xml:space="preserve">
        <v> </v>
      </c>
      <c r="D199" s="119" t="str" xml:space="preserve">
        <v> </v>
      </c>
      <c r="E199" s="21">
        <f>G199 &amp; "_" &amp; H199 &amp; IF(I199&lt;&gt;"", "_" &amp; I199, "") &amp; IF(J199&lt;&gt;"", "_" &amp; J199, "") &amp; IF(K199&lt;&gt;"", "_" &amp; K199, "") &amp;"_X"&amp;U199&amp;"_Y"&amp;V199&amp;"_Z"&amp;W199 &amp; IF(G199="SM", "_Proxy" , "_Rail") &amp; IF(M199&lt;&gt;"", "_" &amp; M199, "")</f>
      </c>
      <c r="F199" s="19">
        <f>IF(E199="", "", IF(G199="BP", E199, F198))</f>
      </c>
      <c r="G199" s="20" t="str">
        <v>SM</v>
      </c>
      <c r="H199" s="20" t="str">
        <v>Curve</v>
      </c>
      <c r="I199" s="20" t="str">
        <v>L90</v>
      </c>
      <c r="J199" s="20"/>
      <c r="K199" s="20"/>
      <c r="L199" s="20"/>
      <c r="M199" s="20" t="str">
        <v>B</v>
      </c>
      <c r="N199" s="95"/>
      <c r="O199" s="95"/>
      <c r="P199" s="95" t="str">
        <v>✅</v>
      </c>
      <c r="Q199" s="95"/>
      <c r="R199" s="20" t="str">
        <v>Curve_L90_X1_Y1_Z1</v>
      </c>
      <c r="S199" s="19" t="str">
        <v>/Script/Engine.StaticMesh'/Game/Item/Rail/Curve/L90/Normal/Curve_L90_X1_Y1_Z1/Proxy/SM_Curve_L90_X1_Y1_Z1_Proxy_B.SM_Curve_L90_X1_Y1_Z1_Proxy_B'</v>
      </c>
      <c r="T199" s="131" t="str"/>
      <c r="U199" s="132">
        <v>1</v>
      </c>
      <c r="V199" s="132">
        <v>1</v>
      </c>
      <c r="W199" s="132">
        <v>1</v>
      </c>
      <c r="X199" s="25"/>
      <c r="Y199" s="25">
        <f>IF(AND(Q199="✅", OR(ISNUMBER(FIND("F",I199)), I199="CR")),   "X="&amp;U199*16&amp;",Y="&amp;(V199-1)*16&amp;",Z="&amp;IF(I199="FD", -(W199-1)*16, (W199-1)*16),   "")</f>
      </c>
      <c r="Z199" s="25">
        <f>IF(AND(Q199="✅", OR(ISNUMBER(FIND("F",I199)), I199="CR")), "P=0,Y=0,R=0", "")</f>
      </c>
      <c r="AA199" s="25" t="str"/>
      <c r="AB199" s="25" t="str"/>
      <c r="AC199" s="25" t="str"/>
      <c r="AD199" s="25" t="str"/>
      <c r="AE199" s="25" t="str"/>
      <c r="AF199" s="25"/>
      <c r="AG199" s="25" t="str"/>
      <c r="AH199" s="25" t="str"/>
      <c r="AI199" s="25" t="str"/>
      <c r="AJ199" s="25" t="str"/>
      <c r="AK199" s="25" t="str"/>
      <c r="AL199" s="25" t="str"/>
      <c r="AM199" s="25" t="str"/>
      <c r="AN199" s="25"/>
      <c r="AO199" s="25" t="str"/>
      <c r="AP199" s="25" t="str"/>
      <c r="AQ199" s="25" t="str"/>
      <c r="AR199" s="25" t="str"/>
      <c r="AS199" s="25" t="str"/>
      <c r="AT199" s="25" t="str"/>
      <c r="AU199" s="25" t="str"/>
      <c r="AV199" s="25"/>
      <c r="AW199" s="25">
        <f>IF(AND(Q199="✅", I199="U90"), "X="&amp;(U199-1)*16&amp;",Y="&amp;(V199-1)*16&amp;",Z="&amp;W199*16, "")</f>
      </c>
      <c r="AX199" s="25">
        <f>IF(AND(Q199="✅", I199="U90"), "P=90,Y=0,R=0", "")</f>
      </c>
      <c r="AY199" s="25" t="str"/>
      <c r="AZ199" s="25" t="str"/>
      <c r="BA199" s="25" t="str"/>
      <c r="BB199" s="25" t="str"/>
      <c r="BC199" s="25" t="str"/>
      <c r="BD199" s="25"/>
      <c r="BE199" s="25">
        <f>IF(AND(Q199="✅", I199="D90"), "X="&amp;(U199-1)*16&amp;",Y="&amp;(V199-1)*16&amp;",Z="&amp;(W199-2)*16, "")</f>
      </c>
      <c r="BF199" s="25">
        <f>IF(AND(Q199="✅", I199="D90"), "P=-90,Y=0,R=0", "")</f>
      </c>
      <c r="BG199" s="25" t="str"/>
      <c r="BH199" s="25" t="str"/>
      <c r="BI199" s="25" t="str"/>
      <c r="BJ199" s="25" t="str"/>
      <c r="BK199" s="25" t="str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</row>
    <row hidden="true" outlineLevel="4" r="200">
      <c r="A200" s="11" t="str" xml:space="preserve">
        <v> </v>
      </c>
      <c r="B200" s="11" t="str" xml:space="preserve">
        <v> </v>
      </c>
      <c r="C200" s="119" t="str" xml:space="preserve">
        <v> </v>
      </c>
      <c r="D200" s="119" t="str" xml:space="preserve">
        <v> </v>
      </c>
      <c r="E200" s="21">
        <f>G200 &amp; "_" &amp; H200 &amp; IF(I200&lt;&gt;"", "_" &amp; I200, "") &amp; IF(J200&lt;&gt;"", "_" &amp; J200, "") &amp; IF(K200&lt;&gt;"", "_" &amp; K200, "") &amp;"_X"&amp;U200&amp;"_Y"&amp;V200&amp;"_Z"&amp;W200 &amp; IF(G200="SM", "_Proxy" , "_Rail") &amp; IF(M200&lt;&gt;"", "_" &amp; M200, "")</f>
      </c>
      <c r="F200" s="19">
        <f>IF(E200="", "", IF(G200="BP", E200, F199))</f>
      </c>
      <c r="G200" s="20" t="str">
        <v>SM</v>
      </c>
      <c r="H200" s="20" t="str">
        <v>Curve</v>
      </c>
      <c r="I200" s="20" t="str">
        <v>L90</v>
      </c>
      <c r="J200" s="20"/>
      <c r="K200" s="20"/>
      <c r="L200" s="20"/>
      <c r="M200" s="20" t="str">
        <v>L</v>
      </c>
      <c r="N200" s="95"/>
      <c r="O200" s="95"/>
      <c r="P200" s="95" t="str">
        <v>✅</v>
      </c>
      <c r="Q200" s="95"/>
      <c r="R200" s="20" t="str">
        <v>Curve_L90_X1_Y1_Z1</v>
      </c>
      <c r="S200" s="19" t="str">
        <v>/Script/Engine.StaticMesh'/Game/Item/Rail/Curve/L90/Normal/Curve_L90_X1_Y1_Z1/Proxy/SM_Curve_L90_X1_Y1_Z1_Proxy_L.SM_Curve_L90_X1_Y1_Z1_Proxy_L'</v>
      </c>
      <c r="T200" s="131" t="str"/>
      <c r="U200" s="132">
        <v>1</v>
      </c>
      <c r="V200" s="132">
        <v>1</v>
      </c>
      <c r="W200" s="132">
        <v>1</v>
      </c>
      <c r="X200" s="25"/>
      <c r="Y200" s="25">
        <f>IF(AND(Q200="✅", OR(ISNUMBER(FIND("F",I200)), I200="CR")),   "X="&amp;U200*16&amp;",Y="&amp;(V200-1)*16&amp;",Z="&amp;IF(I200="FD", -(W200-1)*16, (W200-1)*16),   "")</f>
      </c>
      <c r="Z200" s="25">
        <f>IF(AND(Q200="✅", OR(ISNUMBER(FIND("F",I200)), I200="CR")), "P=0,Y=0,R=0", "")</f>
      </c>
      <c r="AA200" s="25" t="str"/>
      <c r="AB200" s="25" t="str"/>
      <c r="AC200" s="25" t="str"/>
      <c r="AD200" s="25" t="str"/>
      <c r="AE200" s="25" t="str"/>
      <c r="AF200" s="25"/>
      <c r="AG200" s="25" t="str"/>
      <c r="AH200" s="25" t="str"/>
      <c r="AI200" s="25" t="str"/>
      <c r="AJ200" s="25" t="str"/>
      <c r="AK200" s="25" t="str"/>
      <c r="AL200" s="25" t="str"/>
      <c r="AM200" s="25" t="str"/>
      <c r="AN200" s="25"/>
      <c r="AO200" s="25" t="str"/>
      <c r="AP200" s="25" t="str"/>
      <c r="AQ200" s="25" t="str"/>
      <c r="AR200" s="25" t="str"/>
      <c r="AS200" s="25" t="str"/>
      <c r="AT200" s="25" t="str"/>
      <c r="AU200" s="25" t="str"/>
      <c r="AV200" s="25"/>
      <c r="AW200" s="25">
        <f>IF(AND(Q200="✅", I200="U90"), "X="&amp;(U200-1)*16&amp;",Y="&amp;(V200-1)*16&amp;",Z="&amp;W200*16, "")</f>
      </c>
      <c r="AX200" s="25">
        <f>IF(AND(Q200="✅", I200="U90"), "P=90,Y=0,R=0", "")</f>
      </c>
      <c r="AY200" s="25" t="str"/>
      <c r="AZ200" s="25" t="str"/>
      <c r="BA200" s="25" t="str"/>
      <c r="BB200" s="25" t="str"/>
      <c r="BC200" s="25" t="str"/>
      <c r="BD200" s="25"/>
      <c r="BE200" s="25">
        <f>IF(AND(Q200="✅", I200="D90"), "X="&amp;(U200-1)*16&amp;",Y="&amp;(V200-1)*16&amp;",Z="&amp;(W200-2)*16, "")</f>
      </c>
      <c r="BF200" s="25">
        <f>IF(AND(Q200="✅", I200="D90"), "P=-90,Y=0,R=0", "")</f>
      </c>
      <c r="BG200" s="25" t="str"/>
      <c r="BH200" s="25" t="str"/>
      <c r="BI200" s="25" t="str"/>
      <c r="BJ200" s="25" t="str"/>
      <c r="BK200" s="25" t="str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</row>
    <row customHeight="true" hidden="true" ht="19" outlineLevel="4" r="201">
      <c r="A201" s="11" t="str" xml:space="preserve">
        <v> </v>
      </c>
      <c r="B201" s="11" t="str" xml:space="preserve">
        <v> </v>
      </c>
      <c r="C201" s="119" t="str" xml:space="preserve">
        <v> </v>
      </c>
      <c r="D201" s="119" t="str" xml:space="preserve">
        <v> </v>
      </c>
      <c r="E201" s="21">
        <f>G201 &amp; "_" &amp; H201 &amp; IF(I201&lt;&gt;"", "_" &amp; I201, "") &amp; IF(J201&lt;&gt;"", "_" &amp; J201, "") &amp; IF(K201&lt;&gt;"", "_" &amp; K201, "") &amp;"_X"&amp;U201&amp;"_Y"&amp;V201&amp;"_Z"&amp;W201 &amp; IF(G201="SM", "_Proxy" , "_Rail") &amp; IF(M201&lt;&gt;"", "_" &amp; M201, "")</f>
      </c>
      <c r="F201" s="19">
        <f>IF(E201="", "", IF(G201="BP", E201, F200))</f>
      </c>
      <c r="G201" s="20" t="str">
        <v>SM</v>
      </c>
      <c r="H201" s="20" t="str">
        <v>Curve</v>
      </c>
      <c r="I201" s="20" t="str">
        <v>L90</v>
      </c>
      <c r="J201" s="20"/>
      <c r="K201" s="20"/>
      <c r="L201" s="20"/>
      <c r="M201" s="20" t="str">
        <v>R</v>
      </c>
      <c r="N201" s="95"/>
      <c r="O201" s="95"/>
      <c r="P201" s="95" t="str">
        <v>✅</v>
      </c>
      <c r="Q201" s="95"/>
      <c r="R201" s="20" t="str">
        <v>Curve_L90_X1_Y1_Z1</v>
      </c>
      <c r="S201" s="19" t="str">
        <v>/Script/Engine.StaticMesh'/Game/Item/Rail/Curve/L90/Normal/Curve_L90_X1_Y1_Z1/Proxy/SM_Curve_L90_X1_Y1_Z1_Proxy_R.SM_Curve_L90_X1_Y1_Z1_Proxy_R'</v>
      </c>
      <c r="T201" s="131" t="str"/>
      <c r="U201" s="132">
        <v>1</v>
      </c>
      <c r="V201" s="132">
        <v>1</v>
      </c>
      <c r="W201" s="132">
        <v>1</v>
      </c>
      <c r="X201" s="25"/>
      <c r="Y201" s="25">
        <f>IF(AND(Q201="✅", OR(ISNUMBER(FIND("F",I201)), I201="CR")),   "X="&amp;U201*16&amp;",Y="&amp;(V201-1)*16&amp;",Z="&amp;IF(I201="FD", -(W201-1)*16, (W201-1)*16),   "")</f>
      </c>
      <c r="Z201" s="25">
        <f>IF(AND(Q201="✅", OR(ISNUMBER(FIND("F",I201)), I201="CR")), "P=0,Y=0,R=0", "")</f>
      </c>
      <c r="AA201" s="25" t="str"/>
      <c r="AB201" s="25" t="str"/>
      <c r="AC201" s="25" t="str"/>
      <c r="AD201" s="25" t="str"/>
      <c r="AE201" s="25" t="str"/>
      <c r="AF201" s="25"/>
      <c r="AG201" s="25" t="str"/>
      <c r="AH201" s="25" t="str"/>
      <c r="AI201" s="25" t="str"/>
      <c r="AJ201" s="25" t="str"/>
      <c r="AK201" s="25" t="str"/>
      <c r="AL201" s="25" t="str"/>
      <c r="AM201" s="25" t="str"/>
      <c r="AN201" s="25"/>
      <c r="AO201" s="25" t="str"/>
      <c r="AP201" s="25" t="str"/>
      <c r="AQ201" s="25" t="str"/>
      <c r="AR201" s="25" t="str"/>
      <c r="AS201" s="25" t="str"/>
      <c r="AT201" s="25" t="str"/>
      <c r="AU201" s="25" t="str"/>
      <c r="AV201" s="25"/>
      <c r="AW201" s="25">
        <f>IF(AND(Q201="✅", I201="U90"), "X="&amp;(U201-1)*16&amp;",Y="&amp;(V201-1)*16&amp;",Z="&amp;W201*16, "")</f>
      </c>
      <c r="AX201" s="25">
        <f>IF(AND(Q201="✅", I201="U90"), "P=90,Y=0,R=0", "")</f>
      </c>
      <c r="AY201" s="25" t="str"/>
      <c r="AZ201" s="25" t="str"/>
      <c r="BA201" s="25" t="str"/>
      <c r="BB201" s="25" t="str"/>
      <c r="BC201" s="25" t="str"/>
      <c r="BD201" s="25"/>
      <c r="BE201" s="25">
        <f>IF(AND(Q201="✅", I201="D90"), "X="&amp;(U201-1)*16&amp;",Y="&amp;(V201-1)*16&amp;",Z="&amp;(W201-2)*16, "")</f>
      </c>
      <c r="BF201" s="25">
        <f>IF(AND(Q201="✅", I201="D90"), "P=-90,Y=0,R=0", "")</f>
      </c>
      <c r="BG201" s="25" t="str"/>
      <c r="BH201" s="25" t="str"/>
      <c r="BI201" s="25" t="str"/>
      <c r="BJ201" s="25" t="str"/>
      <c r="BK201" s="25" t="str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</row>
    <row collapsed="true" customHeight="true" ht="19" outlineLevel="3" r="202">
      <c r="A202" s="11"/>
      <c r="B202" s="11"/>
      <c r="C202" s="119"/>
      <c r="D202" s="119">
        <v>2</v>
      </c>
      <c r="E202" s="5"/>
      <c r="F202" s="9"/>
      <c r="G202" s="1"/>
      <c r="H202" s="1"/>
      <c r="I202" s="1"/>
      <c r="J202" s="1"/>
      <c r="K202" s="1"/>
      <c r="L202" s="1"/>
      <c r="M202" s="1"/>
      <c r="N202" s="3"/>
      <c r="O202" s="3"/>
      <c r="P202" s="3"/>
      <c r="Q202" s="3"/>
      <c r="R202" s="1" t="str"/>
      <c r="S202" s="9" t="str"/>
      <c r="T202" s="120" t="str"/>
      <c r="U202" s="118"/>
      <c r="V202" s="118"/>
      <c r="W202" s="118"/>
      <c r="X202" s="4"/>
      <c r="Y202" s="4">
        <f>IF(AND(Q202="✅", OR(ISNUMBER(FIND("F",I202)), I202="CR")),   "X="&amp;U202*16&amp;",Y="&amp;(V202-1)*16&amp;",Z="&amp;IF(I202="FD", -(W202-1)*16, (W202-1)*16),   "")</f>
      </c>
      <c r="Z202" s="4">
        <f>IF(AND(Q202="✅", OR(ISNUMBER(FIND("F",I202)), I202="CR")), "P=0,Y=0,R=0", "")</f>
      </c>
      <c r="AA202" s="4" t="str"/>
      <c r="AB202" s="4" t="str"/>
      <c r="AC202" s="4" t="str"/>
      <c r="AD202" s="4" t="str"/>
      <c r="AE202" s="4" t="str"/>
      <c r="AF202" s="4"/>
      <c r="AG202" s="4" t="str"/>
      <c r="AH202" s="4" t="str"/>
      <c r="AI202" s="4" t="str"/>
      <c r="AJ202" s="4" t="str"/>
      <c r="AK202" s="4" t="str"/>
      <c r="AL202" s="4" t="str"/>
      <c r="AM202" s="4" t="str"/>
      <c r="AN202" s="4"/>
      <c r="AO202" s="4" t="str"/>
      <c r="AP202" s="4" t="str"/>
      <c r="AQ202" s="4" t="str"/>
      <c r="AR202" s="4" t="str"/>
      <c r="AS202" s="4" t="str"/>
      <c r="AT202" s="4" t="str"/>
      <c r="AU202" s="4" t="str"/>
      <c r="AV202" s="4"/>
      <c r="AW202" s="4">
        <f>IF(AND(Q202="✅", I202="U90"), "X="&amp;(U202-1)*16&amp;",Y="&amp;(V202-1)*16&amp;",Z="&amp;W202*16, "")</f>
      </c>
      <c r="AX202" s="4">
        <f>IF(AND(Q202="✅", I202="U90"), "P=90,Y=0,R=0", "")</f>
      </c>
      <c r="AY202" s="4" t="str"/>
      <c r="AZ202" s="4" t="str"/>
      <c r="BA202" s="4" t="str"/>
      <c r="BB202" s="4" t="str"/>
      <c r="BC202" s="4" t="str"/>
      <c r="BD202" s="4"/>
      <c r="BE202" s="4">
        <f>IF(AND(Q202="✅", I202="D90"), "X="&amp;(U202-1)*16&amp;",Y="&amp;(V202-1)*16&amp;",Z="&amp;(W202-2)*16, "")</f>
      </c>
      <c r="BF202" s="4">
        <f>IF(AND(Q202="✅", I202="D90"), "P=-90,Y=0,R=0", "")</f>
      </c>
      <c r="BG202" s="4" t="str"/>
      <c r="BH202" s="4" t="str"/>
      <c r="BI202" s="4" t="str"/>
      <c r="BJ202" s="4" t="str"/>
      <c r="BK202" s="4" t="str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</row>
    <row customHeight="true" hidden="true" ht="19" outlineLevel="4" r="203">
      <c r="A203" s="11" t="str" xml:space="preserve">
        <v> </v>
      </c>
      <c r="B203" s="11" t="str" xml:space="preserve">
        <v> </v>
      </c>
      <c r="C203" s="119" t="str" xml:space="preserve">
        <v> </v>
      </c>
      <c r="D203" s="119" t="str" xml:space="preserve">
        <v> </v>
      </c>
      <c r="E203" s="28">
        <f>G203 &amp; "_" &amp; H203 &amp; IF(I203&lt;&gt;"", "_" &amp; I203, "") &amp; IF(J203&lt;&gt;"", "_" &amp; J203, "") &amp; IF(K203&lt;&gt;"", "_" &amp; K203, "") &amp;"_X"&amp;U203&amp;"_Y"&amp;V203&amp;"_Z"&amp;W203 &amp; IF(G203="SM", "_Proxy" , "_Rail") &amp; IF(M203&lt;&gt;"", "_" &amp; M203, "")</f>
      </c>
      <c r="F203" s="29">
        <f>IF(E203="", "", IF(G203="BP", E203, F235))</f>
      </c>
      <c r="G203" s="32" t="str">
        <v>BP</v>
      </c>
      <c r="H203" s="32" t="str">
        <v>Curve</v>
      </c>
      <c r="I203" s="32" t="str">
        <v>L90</v>
      </c>
      <c r="J203" s="32"/>
      <c r="K203" s="32"/>
      <c r="L203" s="32"/>
      <c r="M203" s="32"/>
      <c r="N203" s="74"/>
      <c r="O203" s="74"/>
      <c r="P203" s="74"/>
      <c r="Q203" s="74" t="str">
        <v>✅</v>
      </c>
      <c r="R203" s="32" t="str">
        <v>Curve_L90_X2_Y2_Z1</v>
      </c>
      <c r="S203" s="29" t="str">
        <v>/Script/Engine.BlueprintGeneratedClass'/Game/Item/Rail/Curve/L90/Normal/Curve_L90_X2_Y2_Z1/BP_Curve_L90_X2_Y2_Z1_Rail.BP_Curve_L90_X2_Y2_Z1_Rail_C'</v>
      </c>
      <c r="T203" s="158">
        <v>1.3</v>
      </c>
      <c r="U203" s="156">
        <v>2</v>
      </c>
      <c r="V203" s="156">
        <v>2</v>
      </c>
      <c r="W203" s="156">
        <v>1</v>
      </c>
      <c r="X203" s="34"/>
      <c r="Y203" s="34">
        <f>IF(AND(Q203="✅", OR(ISNUMBER(FIND("F",I203)), I203="CR")),   "X="&amp;U203*16&amp;",Y="&amp;(V203-1)*16&amp;",Z="&amp;IF(I203="FD", -(W203-1)*16, (W203-1)*16),   "")</f>
      </c>
      <c r="Z203" s="34">
        <f>IF(AND(Q203="✅", OR(ISNUMBER(FIND("F",I203)), I203="CR")), "P=0,Y=0,R=0", "")</f>
      </c>
      <c r="AA203" s="34" t="str"/>
      <c r="AB203" s="34" t="str"/>
      <c r="AC203" s="34" t="str"/>
      <c r="AD203" s="34" t="str"/>
      <c r="AE203" s="34" t="str">
        <v>X=0,Y=0,Z=0,W=0</v>
      </c>
      <c r="AF203" s="34"/>
      <c r="AG203" s="34" t="str">
        <v>X=16,Y=-32,Z=0</v>
      </c>
      <c r="AH203" s="34" t="str">
        <v>P=0,Y=-90,R=0</v>
      </c>
      <c r="AI203" s="34">
        <v>1</v>
      </c>
      <c r="AJ203" s="34">
        <v>1.5</v>
      </c>
      <c r="AK203" s="34">
        <v>2</v>
      </c>
      <c r="AL203" s="34">
        <v>1.5</v>
      </c>
      <c r="AM203" s="34" t="str">
        <v>X=1,Y=1.5,Z=2,W=1.5</v>
      </c>
      <c r="AN203" s="34"/>
      <c r="AO203" s="34" t="str"/>
      <c r="AP203" s="34" t="str"/>
      <c r="AQ203" s="34" t="str"/>
      <c r="AR203" s="34" t="str"/>
      <c r="AS203" s="34" t="str"/>
      <c r="AT203" s="34" t="str"/>
      <c r="AU203" s="34" t="str"/>
      <c r="AV203" s="34"/>
      <c r="AW203" s="34">
        <f>IF(AND(Q203="✅", I203="U90"), "X="&amp;(U203-1)*16&amp;",Y="&amp;(V203-1)*16&amp;",Z="&amp;W203*16, "")</f>
      </c>
      <c r="AX203" s="34">
        <f>IF(AND(Q203="✅", I203="U90"), "P=90,Y=0,R=0", "")</f>
      </c>
      <c r="AY203" s="34" t="str"/>
      <c r="AZ203" s="34" t="str"/>
      <c r="BA203" s="34" t="str"/>
      <c r="BB203" s="34" t="str"/>
      <c r="BC203" s="34" t="str"/>
      <c r="BD203" s="34"/>
      <c r="BE203" s="34">
        <f>IF(AND(Q203="✅", I203="D90"), "X="&amp;(U203-1)*16&amp;",Y="&amp;(V203-1)*16&amp;",Z="&amp;(W203-2)*16, "")</f>
      </c>
      <c r="BF203" s="34">
        <f>IF(AND(Q203="✅", I203="D90"), "P=-90,Y=0,R=0", "")</f>
      </c>
      <c r="BG203" s="34" t="str"/>
      <c r="BH203" s="34" t="str"/>
      <c r="BI203" s="34" t="str"/>
      <c r="BJ203" s="34" t="str"/>
      <c r="BK203" s="34" t="str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</row>
    <row hidden="true" outlineLevel="4" r="204">
      <c r="A204" s="11" t="str" xml:space="preserve">
        <v> </v>
      </c>
      <c r="B204" s="11" t="str" xml:space="preserve">
        <v> </v>
      </c>
      <c r="C204" s="119" t="str" xml:space="preserve">
        <v> </v>
      </c>
      <c r="D204" s="119" t="str" xml:space="preserve">
        <v> </v>
      </c>
      <c r="E204" s="28">
        <f>G204 &amp; "_" &amp; H204 &amp; IF(I204&lt;&gt;"", "_" &amp; I204, "") &amp; IF(J204&lt;&gt;"", "_" &amp; J204, "") &amp; IF(K204&lt;&gt;"", "_" &amp; K204, "") &amp;"_X"&amp;U204&amp;"_Y"&amp;V204&amp;"_Z"&amp;W204 &amp; IF(G204="SM", "_Proxy" , "_Rail") &amp; IF(M204&lt;&gt;"", "_" &amp; M204, "")</f>
      </c>
      <c r="F204" s="29">
        <f>IF(E204="", "", IF(G204="BP", E204, F203))</f>
      </c>
      <c r="G204" s="32" t="str">
        <v>SM</v>
      </c>
      <c r="H204" s="32" t="str">
        <v>Curve</v>
      </c>
      <c r="I204" s="32" t="str">
        <v>L90</v>
      </c>
      <c r="J204" s="32"/>
      <c r="K204" s="32"/>
      <c r="L204" s="32"/>
      <c r="M204" s="32" t="str">
        <v>B</v>
      </c>
      <c r="N204" s="74"/>
      <c r="O204" s="74"/>
      <c r="P204" s="74" t="str">
        <v>✅</v>
      </c>
      <c r="Q204" s="74"/>
      <c r="R204" s="32" t="str">
        <v>Curve_L90_X2_Y2_Z1</v>
      </c>
      <c r="S204" s="29" t="str">
        <v>/Script/Engine.StaticMesh'/Game/Item/Rail/Curve/L90/Normal/Curve_L90_X2_Y2_Z1/Proxy/SM_Curve_L90_X2_Y2_Z1_Proxy_B.SM_Curve_L90_X2_Y2_Z1_Proxy_B'</v>
      </c>
      <c r="T204" s="158" t="str"/>
      <c r="U204" s="156">
        <v>2</v>
      </c>
      <c r="V204" s="156">
        <v>2</v>
      </c>
      <c r="W204" s="156">
        <v>1</v>
      </c>
      <c r="X204" s="34"/>
      <c r="Y204" s="34">
        <f>IF(AND(Q204="✅", OR(ISNUMBER(FIND("F",I204)), I204="CR")),   "X="&amp;U204*16&amp;",Y="&amp;(V204-1)*16&amp;",Z="&amp;IF(I204="FD", -(W204-1)*16, (W204-1)*16),   "")</f>
      </c>
      <c r="Z204" s="34">
        <f>IF(AND(Q204="✅", OR(ISNUMBER(FIND("F",I204)), I204="CR")), "P=0,Y=0,R=0", "")</f>
      </c>
      <c r="AA204" s="34" t="str"/>
      <c r="AB204" s="34" t="str"/>
      <c r="AC204" s="34" t="str"/>
      <c r="AD204" s="34" t="str"/>
      <c r="AE204" s="34" t="str"/>
      <c r="AF204" s="34"/>
      <c r="AG204" s="34" t="str"/>
      <c r="AH204" s="34" t="str"/>
      <c r="AI204" s="34" t="str"/>
      <c r="AJ204" s="34" t="str"/>
      <c r="AK204" s="34" t="str"/>
      <c r="AL204" s="34" t="str"/>
      <c r="AM204" s="34" t="str"/>
      <c r="AN204" s="34"/>
      <c r="AO204" s="34" t="str"/>
      <c r="AP204" s="34" t="str"/>
      <c r="AQ204" s="34" t="str"/>
      <c r="AR204" s="34" t="str"/>
      <c r="AS204" s="34" t="str"/>
      <c r="AT204" s="34" t="str"/>
      <c r="AU204" s="34" t="str"/>
      <c r="AV204" s="34"/>
      <c r="AW204" s="34">
        <f>IF(AND(Q204="✅", I204="U90"), "X="&amp;(U204-1)*16&amp;",Y="&amp;(V204-1)*16&amp;",Z="&amp;W204*16, "")</f>
      </c>
      <c r="AX204" s="34">
        <f>IF(AND(Q204="✅", I204="U90"), "P=90,Y=0,R=0", "")</f>
      </c>
      <c r="AY204" s="34" t="str"/>
      <c r="AZ204" s="34" t="str"/>
      <c r="BA204" s="34" t="str"/>
      <c r="BB204" s="34" t="str"/>
      <c r="BC204" s="34" t="str"/>
      <c r="BD204" s="34"/>
      <c r="BE204" s="34">
        <f>IF(AND(Q204="✅", I204="D90"), "X="&amp;(U204-1)*16&amp;",Y="&amp;(V204-1)*16&amp;",Z="&amp;(W204-2)*16, "")</f>
      </c>
      <c r="BF204" s="34">
        <f>IF(AND(Q204="✅", I204="D90"), "P=-90,Y=0,R=0", "")</f>
      </c>
      <c r="BG204" s="34" t="str"/>
      <c r="BH204" s="34" t="str"/>
      <c r="BI204" s="34" t="str"/>
      <c r="BJ204" s="34" t="str"/>
      <c r="BK204" s="34" t="str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</row>
    <row hidden="true" outlineLevel="4" r="205">
      <c r="A205" s="11" t="str" xml:space="preserve">
        <v> </v>
      </c>
      <c r="B205" s="11" t="str" xml:space="preserve">
        <v> </v>
      </c>
      <c r="C205" s="119" t="str" xml:space="preserve">
        <v> </v>
      </c>
      <c r="D205" s="119" t="str" xml:space="preserve">
        <v> </v>
      </c>
      <c r="E205" s="28">
        <f>G205 &amp; "_" &amp; H205 &amp; IF(I205&lt;&gt;"", "_" &amp; I205, "") &amp; IF(J205&lt;&gt;"", "_" &amp; J205, "") &amp; IF(K205&lt;&gt;"", "_" &amp; K205, "") &amp;"_X"&amp;U205&amp;"_Y"&amp;V205&amp;"_Z"&amp;W205 &amp; IF(G205="SM", "_Proxy" , "_Rail") &amp; IF(M205&lt;&gt;"", "_" &amp; M205, "")</f>
      </c>
      <c r="F205" s="29">
        <f>IF(E205="", "", IF(G205="BP", E205, F204))</f>
      </c>
      <c r="G205" s="32" t="str">
        <v>SM</v>
      </c>
      <c r="H205" s="32" t="str">
        <v>Curve</v>
      </c>
      <c r="I205" s="32" t="str">
        <v>L90</v>
      </c>
      <c r="J205" s="32"/>
      <c r="K205" s="32"/>
      <c r="L205" s="32"/>
      <c r="M205" s="32" t="str">
        <v>L</v>
      </c>
      <c r="N205" s="74"/>
      <c r="O205" s="74"/>
      <c r="P205" s="74" t="str">
        <v>✅</v>
      </c>
      <c r="Q205" s="74"/>
      <c r="R205" s="32" t="str">
        <v>Curve_L90_X2_Y2_Z1</v>
      </c>
      <c r="S205" s="29" t="str">
        <v>/Script/Engine.StaticMesh'/Game/Item/Rail/Curve/L90/Normal/Curve_L90_X2_Y2_Z1/Proxy/SM_Curve_L90_X2_Y2_Z1_Proxy_L.SM_Curve_L90_X2_Y2_Z1_Proxy_L'</v>
      </c>
      <c r="T205" s="158" t="str"/>
      <c r="U205" s="156">
        <v>2</v>
      </c>
      <c r="V205" s="156">
        <v>2</v>
      </c>
      <c r="W205" s="156">
        <v>1</v>
      </c>
      <c r="X205" s="34"/>
      <c r="Y205" s="34">
        <f>IF(AND(Q205="✅", OR(ISNUMBER(FIND("F",I205)), I205="CR")),   "X="&amp;U205*16&amp;",Y="&amp;(V205-1)*16&amp;",Z="&amp;IF(I205="FD", -(W205-1)*16, (W205-1)*16),   "")</f>
      </c>
      <c r="Z205" s="34">
        <f>IF(AND(Q205="✅", OR(ISNUMBER(FIND("F",I205)), I205="CR")), "P=0,Y=0,R=0", "")</f>
      </c>
      <c r="AA205" s="34" t="str"/>
      <c r="AB205" s="34" t="str"/>
      <c r="AC205" s="34" t="str"/>
      <c r="AD205" s="34" t="str"/>
      <c r="AE205" s="34" t="str"/>
      <c r="AF205" s="34"/>
      <c r="AG205" s="34" t="str"/>
      <c r="AH205" s="34" t="str"/>
      <c r="AI205" s="34" t="str"/>
      <c r="AJ205" s="34" t="str"/>
      <c r="AK205" s="34" t="str"/>
      <c r="AL205" s="34" t="str"/>
      <c r="AM205" s="34" t="str"/>
      <c r="AN205" s="34"/>
      <c r="AO205" s="34" t="str"/>
      <c r="AP205" s="34" t="str"/>
      <c r="AQ205" s="34" t="str"/>
      <c r="AR205" s="34" t="str"/>
      <c r="AS205" s="34" t="str"/>
      <c r="AT205" s="34" t="str"/>
      <c r="AU205" s="34" t="str"/>
      <c r="AV205" s="34"/>
      <c r="AW205" s="34">
        <f>IF(AND(Q205="✅", I205="U90"), "X="&amp;(U205-1)*16&amp;",Y="&amp;(V205-1)*16&amp;",Z="&amp;W205*16, "")</f>
      </c>
      <c r="AX205" s="34">
        <f>IF(AND(Q205="✅", I205="U90"), "P=90,Y=0,R=0", "")</f>
      </c>
      <c r="AY205" s="34" t="str"/>
      <c r="AZ205" s="34" t="str"/>
      <c r="BA205" s="34" t="str"/>
      <c r="BB205" s="34" t="str"/>
      <c r="BC205" s="34" t="str"/>
      <c r="BD205" s="34"/>
      <c r="BE205" s="34">
        <f>IF(AND(Q205="✅", I205="D90"), "X="&amp;(U205-1)*16&amp;",Y="&amp;(V205-1)*16&amp;",Z="&amp;(W205-2)*16, "")</f>
      </c>
      <c r="BF205" s="34">
        <f>IF(AND(Q205="✅", I205="D90"), "P=-90,Y=0,R=0", "")</f>
      </c>
      <c r="BG205" s="34" t="str"/>
      <c r="BH205" s="34" t="str"/>
      <c r="BI205" s="34" t="str"/>
      <c r="BJ205" s="34" t="str"/>
      <c r="BK205" s="34" t="str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</row>
    <row customHeight="true" hidden="true" ht="19" outlineLevel="4" r="206">
      <c r="A206" s="11" t="str" xml:space="preserve">
        <v> </v>
      </c>
      <c r="B206" s="11" t="str" xml:space="preserve">
        <v> </v>
      </c>
      <c r="C206" s="119" t="str" xml:space="preserve">
        <v> </v>
      </c>
      <c r="D206" s="119" t="str" xml:space="preserve">
        <v> </v>
      </c>
      <c r="E206" s="28">
        <f>G206 &amp; "_" &amp; H206 &amp; IF(I206&lt;&gt;"", "_" &amp; I206, "") &amp; IF(J206&lt;&gt;"", "_" &amp; J206, "") &amp; IF(K206&lt;&gt;"", "_" &amp; K206, "") &amp;"_X"&amp;U206&amp;"_Y"&amp;V206&amp;"_Z"&amp;W206 &amp; IF(G206="SM", "_Proxy" , "_Rail") &amp; IF(M206&lt;&gt;"", "_" &amp; M206, "")</f>
      </c>
      <c r="F206" s="29">
        <f>IF(E206="", "", IF(G206="BP", E206, F205))</f>
      </c>
      <c r="G206" s="32" t="str">
        <v>SM</v>
      </c>
      <c r="H206" s="32" t="str">
        <v>Curve</v>
      </c>
      <c r="I206" s="32" t="str">
        <v>L90</v>
      </c>
      <c r="J206" s="32"/>
      <c r="K206" s="32"/>
      <c r="L206" s="32"/>
      <c r="M206" s="32" t="str">
        <v>R</v>
      </c>
      <c r="N206" s="74"/>
      <c r="O206" s="74"/>
      <c r="P206" s="74" t="str">
        <v>✅</v>
      </c>
      <c r="Q206" s="74"/>
      <c r="R206" s="32" t="str">
        <v>Curve_L90_X2_Y2_Z1</v>
      </c>
      <c r="S206" s="29" t="str">
        <v>/Script/Engine.StaticMesh'/Game/Item/Rail/Curve/L90/Normal/Curve_L90_X2_Y2_Z1/Proxy/SM_Curve_L90_X2_Y2_Z1_Proxy_R.SM_Curve_L90_X2_Y2_Z1_Proxy_R'</v>
      </c>
      <c r="T206" s="158" t="str"/>
      <c r="U206" s="156">
        <v>2</v>
      </c>
      <c r="V206" s="156">
        <v>2</v>
      </c>
      <c r="W206" s="156">
        <v>1</v>
      </c>
      <c r="X206" s="34"/>
      <c r="Y206" s="34">
        <f>IF(AND(Q206="✅", OR(ISNUMBER(FIND("F",I206)), I206="CR")),   "X="&amp;U206*16&amp;",Y="&amp;(V206-1)*16&amp;",Z="&amp;IF(I206="FD", -(W206-1)*16, (W206-1)*16),   "")</f>
      </c>
      <c r="Z206" s="34">
        <f>IF(AND(Q206="✅", OR(ISNUMBER(FIND("F",I206)), I206="CR")), "P=0,Y=0,R=0", "")</f>
      </c>
      <c r="AA206" s="34" t="str"/>
      <c r="AB206" s="34" t="str"/>
      <c r="AC206" s="34" t="str"/>
      <c r="AD206" s="34" t="str"/>
      <c r="AE206" s="34" t="str"/>
      <c r="AF206" s="34"/>
      <c r="AG206" s="34" t="str"/>
      <c r="AH206" s="34" t="str"/>
      <c r="AI206" s="34" t="str"/>
      <c r="AJ206" s="34" t="str"/>
      <c r="AK206" s="34" t="str"/>
      <c r="AL206" s="34" t="str"/>
      <c r="AM206" s="34" t="str"/>
      <c r="AN206" s="34"/>
      <c r="AO206" s="34" t="str"/>
      <c r="AP206" s="34" t="str"/>
      <c r="AQ206" s="34" t="str"/>
      <c r="AR206" s="34" t="str"/>
      <c r="AS206" s="34" t="str"/>
      <c r="AT206" s="34" t="str"/>
      <c r="AU206" s="34" t="str"/>
      <c r="AV206" s="34"/>
      <c r="AW206" s="34">
        <f>IF(AND(Q206="✅", I206="U90"), "X="&amp;(U206-1)*16&amp;",Y="&amp;(V206-1)*16&amp;",Z="&amp;W206*16, "")</f>
      </c>
      <c r="AX206" s="34">
        <f>IF(AND(Q206="✅", I206="U90"), "P=90,Y=0,R=0", "")</f>
      </c>
      <c r="AY206" s="34" t="str"/>
      <c r="AZ206" s="34" t="str"/>
      <c r="BA206" s="34" t="str"/>
      <c r="BB206" s="34" t="str"/>
      <c r="BC206" s="34" t="str"/>
      <c r="BD206" s="34"/>
      <c r="BE206" s="34">
        <f>IF(AND(Q206="✅", I206="D90"), "X="&amp;(U206-1)*16&amp;",Y="&amp;(V206-1)*16&amp;",Z="&amp;(W206-2)*16, "")</f>
      </c>
      <c r="BF206" s="34">
        <f>IF(AND(Q206="✅", I206="D90"), "P=-90,Y=0,R=0", "")</f>
      </c>
      <c r="BG206" s="34" t="str"/>
      <c r="BH206" s="34" t="str"/>
      <c r="BI206" s="34" t="str"/>
      <c r="BJ206" s="34" t="str"/>
      <c r="BK206" s="34" t="str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</row>
    <row collapsed="true" customHeight="true" ht="19" outlineLevel="3" r="207">
      <c r="A207" s="11"/>
      <c r="B207" s="11"/>
      <c r="C207" s="119"/>
      <c r="D207" s="119">
        <v>3</v>
      </c>
      <c r="E207" s="5"/>
      <c r="F207" s="9"/>
      <c r="G207" s="1"/>
      <c r="H207" s="1"/>
      <c r="I207" s="1"/>
      <c r="J207" s="1"/>
      <c r="K207" s="1"/>
      <c r="L207" s="1"/>
      <c r="M207" s="1"/>
      <c r="N207" s="3"/>
      <c r="O207" s="3"/>
      <c r="P207" s="3"/>
      <c r="Q207" s="3"/>
      <c r="R207" s="1" t="str"/>
      <c r="S207" s="9" t="str"/>
      <c r="T207" s="120" t="str"/>
      <c r="U207" s="118"/>
      <c r="V207" s="118"/>
      <c r="W207" s="118"/>
      <c r="X207" s="4"/>
      <c r="Y207" s="4">
        <f>IF(AND(Q207="✅", OR(ISNUMBER(FIND("F",I207)), I207="CR")),   "X="&amp;U207*16&amp;",Y="&amp;(V207-1)*16&amp;",Z="&amp;IF(I207="FD", -(W207-1)*16, (W207-1)*16),   "")</f>
      </c>
      <c r="Z207" s="4">
        <f>IF(AND(Q207="✅", OR(ISNUMBER(FIND("F",I207)), I207="CR")), "P=0,Y=0,R=0", "")</f>
      </c>
      <c r="AA207" s="4" t="str"/>
      <c r="AB207" s="4" t="str"/>
      <c r="AC207" s="4" t="str"/>
      <c r="AD207" s="4" t="str"/>
      <c r="AE207" s="4" t="str"/>
      <c r="AF207" s="4"/>
      <c r="AG207" s="4" t="str"/>
      <c r="AH207" s="4" t="str"/>
      <c r="AI207" s="4" t="str"/>
      <c r="AJ207" s="4" t="str"/>
      <c r="AK207" s="4" t="str"/>
      <c r="AL207" s="4" t="str"/>
      <c r="AM207" s="4" t="str"/>
      <c r="AN207" s="4"/>
      <c r="AO207" s="4" t="str"/>
      <c r="AP207" s="4" t="str"/>
      <c r="AQ207" s="4" t="str"/>
      <c r="AR207" s="4" t="str"/>
      <c r="AS207" s="4" t="str"/>
      <c r="AT207" s="4" t="str"/>
      <c r="AU207" s="4" t="str"/>
      <c r="AV207" s="4"/>
      <c r="AW207" s="4">
        <f>IF(AND(Q207="✅", I207="U90"), "X="&amp;(U207-1)*16&amp;",Y="&amp;(V207-1)*16&amp;",Z="&amp;W207*16, "")</f>
      </c>
      <c r="AX207" s="4">
        <f>IF(AND(Q207="✅", I207="U90"), "P=90,Y=0,R=0", "")</f>
      </c>
      <c r="AY207" s="4" t="str"/>
      <c r="AZ207" s="4" t="str"/>
      <c r="BA207" s="4" t="str"/>
      <c r="BB207" s="4" t="str"/>
      <c r="BC207" s="4" t="str"/>
      <c r="BD207" s="4"/>
      <c r="BE207" s="4">
        <f>IF(AND(Q207="✅", I207="D90"), "X="&amp;(U207-1)*16&amp;",Y="&amp;(V207-1)*16&amp;",Z="&amp;(W207-2)*16, "")</f>
      </c>
      <c r="BF207" s="4">
        <f>IF(AND(Q207="✅", I207="D90"), "P=-90,Y=0,R=0", "")</f>
      </c>
      <c r="BG207" s="4" t="str"/>
      <c r="BH207" s="4" t="str"/>
      <c r="BI207" s="4" t="str"/>
      <c r="BJ207" s="4" t="str"/>
      <c r="BK207" s="4" t="str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</row>
    <row customHeight="true" hidden="true" ht="19" outlineLevel="4" r="208">
      <c r="A208" s="127" t="str" xml:space="preserve">
        <v> </v>
      </c>
      <c r="B208" s="127" t="str" xml:space="preserve">
        <v> </v>
      </c>
      <c r="C208" s="125" t="str" xml:space="preserve">
        <v> </v>
      </c>
      <c r="D208" s="125" t="str" xml:space="preserve">
        <v> </v>
      </c>
      <c r="E208" s="42">
        <f>G208 &amp; "_" &amp; H208 &amp; IF(I208&lt;&gt;"", "_" &amp; I208, "") &amp; IF(J208&lt;&gt;"", "_" &amp; J208, "") &amp; IF(K208&lt;&gt;"", "_" &amp; K208, "") &amp;"_X"&amp;U208&amp;"_Y"&amp;V208&amp;"_Z"&amp;W208 &amp; IF(G208="SM", "_Proxy" , "_Rail") &amp; IF(M208&lt;&gt;"", "_" &amp; M208, "")</f>
      </c>
      <c r="F208" s="47">
        <f>IF(E208="", "", IF(G208="BP", E208, F239))</f>
      </c>
      <c r="G208" s="43" t="str">
        <v>BP</v>
      </c>
      <c r="H208" s="43" t="str">
        <v>Curve</v>
      </c>
      <c r="I208" s="43" t="str">
        <v>L90</v>
      </c>
      <c r="J208" s="43"/>
      <c r="K208" s="43"/>
      <c r="L208" s="43"/>
      <c r="M208" s="43"/>
      <c r="N208" s="77"/>
      <c r="O208" s="77"/>
      <c r="P208" s="77"/>
      <c r="Q208" s="77" t="str">
        <v>✅</v>
      </c>
      <c r="R208" s="43" t="str">
        <v>Curve_L90_X3_Y3_Z1</v>
      </c>
      <c r="S208" s="47" t="str">
        <v>/Script/Engine.BlueprintGeneratedClass'/Game/Item/Rail/Curve/L90/Normal/Curve_L90_X3_Y3_Z1/BP_Curve_L90_X3_Y3_Z1_Rail.BP_Curve_L90_X3_Y3_Z1_Rail_C'</v>
      </c>
      <c r="T208" s="126">
        <v>1.8</v>
      </c>
      <c r="U208" s="128">
        <v>3</v>
      </c>
      <c r="V208" s="128">
        <v>3</v>
      </c>
      <c r="W208" s="128">
        <v>1</v>
      </c>
      <c r="X208" s="48"/>
      <c r="Y208" s="48">
        <f>IF(AND(Q208="✅", OR(ISNUMBER(FIND("F",I208)), I208="CR")),   "X="&amp;U208*16&amp;",Y="&amp;(V208-1)*16&amp;",Z="&amp;IF(I208="FD", -(W208-1)*16, (W208-1)*16),   "")</f>
      </c>
      <c r="Z208" s="48">
        <f>IF(AND(Q208="✅", OR(ISNUMBER(FIND("F",I208)), I208="CR")), "P=0,Y=0,R=0", "")</f>
      </c>
      <c r="AA208" s="48" t="str"/>
      <c r="AB208" s="48" t="str"/>
      <c r="AC208" s="48" t="str"/>
      <c r="AD208" s="48" t="str"/>
      <c r="AE208" s="48" t="str">
        <v>X=0,Y=0,Z=0,W=0</v>
      </c>
      <c r="AF208" s="48"/>
      <c r="AG208" s="48" t="str">
        <v>X=32,Y=-48,Z=0</v>
      </c>
      <c r="AH208" s="48" t="str">
        <v>P=0,Y=-90,R=0</v>
      </c>
      <c r="AI208" s="48">
        <v>1</v>
      </c>
      <c r="AJ208" s="48">
        <v>1.5</v>
      </c>
      <c r="AK208" s="48">
        <v>2</v>
      </c>
      <c r="AL208" s="48">
        <v>1.5</v>
      </c>
      <c r="AM208" s="48" t="str">
        <v>X=1,Y=1.5,Z=2,W=1.5</v>
      </c>
      <c r="AN208" s="48"/>
      <c r="AO208" s="48" t="str"/>
      <c r="AP208" s="48" t="str"/>
      <c r="AQ208" s="48" t="str"/>
      <c r="AR208" s="48" t="str"/>
      <c r="AS208" s="48" t="str"/>
      <c r="AT208" s="48" t="str"/>
      <c r="AU208" s="48" t="str"/>
      <c r="AV208" s="48"/>
      <c r="AW208" s="48">
        <f>IF(AND(Q208="✅", I208="U90"), "X="&amp;(U208-1)*16&amp;",Y="&amp;(V208-1)*16&amp;",Z="&amp;W208*16, "")</f>
      </c>
      <c r="AX208" s="48">
        <f>IF(AND(Q208="✅", I208="U90"), "P=90,Y=0,R=0", "")</f>
      </c>
      <c r="AY208" s="48" t="str"/>
      <c r="AZ208" s="48" t="str"/>
      <c r="BA208" s="48" t="str"/>
      <c r="BB208" s="48" t="str"/>
      <c r="BC208" s="48" t="str"/>
      <c r="BD208" s="48"/>
      <c r="BE208" s="48">
        <f>IF(AND(Q208="✅", I208="D90"), "X="&amp;(U208-1)*16&amp;",Y="&amp;(V208-1)*16&amp;",Z="&amp;(W208-2)*16, "")</f>
      </c>
      <c r="BF208" s="48">
        <f>IF(AND(Q208="✅", I208="D90"), "P=-90,Y=0,R=0", "")</f>
      </c>
      <c r="BG208" s="48" t="str"/>
      <c r="BH208" s="48" t="str"/>
      <c r="BI208" s="48" t="str"/>
      <c r="BJ208" s="48" t="str"/>
      <c r="BK208" s="48" t="str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</row>
    <row customHeight="true" hidden="true" ht="19" outlineLevel="4" r="209">
      <c r="A209" s="127" t="str" xml:space="preserve">
        <v> </v>
      </c>
      <c r="B209" s="127" t="str" xml:space="preserve">
        <v> </v>
      </c>
      <c r="C209" s="125" t="str" xml:space="preserve">
        <v> </v>
      </c>
      <c r="D209" s="125" t="str" xml:space="preserve">
        <v> </v>
      </c>
      <c r="E209" s="42">
        <f>G209 &amp; "_" &amp; H209 &amp; IF(I209&lt;&gt;"", "_" &amp; I209, "") &amp; IF(J209&lt;&gt;"", "_" &amp; J209, "") &amp; IF(K209&lt;&gt;"", "_" &amp; K209, "") &amp;"_X"&amp;U209&amp;"_Y"&amp;V209&amp;"_Z"&amp;W209 &amp; IF(G209="SM", "_Proxy" , "_Rail") &amp; IF(M209&lt;&gt;"", "_" &amp; M209, "")</f>
      </c>
      <c r="F209" s="47">
        <f>IF(E209="", "", IF(G209="BP", E209, F208))</f>
      </c>
      <c r="G209" s="43" t="str">
        <v>SM</v>
      </c>
      <c r="H209" s="43" t="str">
        <v>Curve</v>
      </c>
      <c r="I209" s="43" t="str">
        <v>L90</v>
      </c>
      <c r="J209" s="43"/>
      <c r="K209" s="43"/>
      <c r="L209" s="43"/>
      <c r="M209" s="43" t="str">
        <v>B</v>
      </c>
      <c r="N209" s="77"/>
      <c r="O209" s="77"/>
      <c r="P209" s="77" t="str">
        <v>✅</v>
      </c>
      <c r="Q209" s="77"/>
      <c r="R209" s="43" t="str">
        <v>Curve_L90_X3_Y3_Z1</v>
      </c>
      <c r="S209" s="47" t="str">
        <v>/Script/Engine.StaticMesh'/Game/Item/Rail/Curve/L90/Normal/Curve_L90_X3_Y3_Z1/Proxy/SM_Curve_L90_X3_Y3_Z1_Proxy_B.SM_Curve_L90_X3_Y3_Z1_Proxy_B'</v>
      </c>
      <c r="T209" s="126" t="str"/>
      <c r="U209" s="128">
        <v>3</v>
      </c>
      <c r="V209" s="128">
        <v>3</v>
      </c>
      <c r="W209" s="128">
        <v>1</v>
      </c>
      <c r="X209" s="48"/>
      <c r="Y209" s="48">
        <f>IF(AND(Q209="✅", OR(ISNUMBER(FIND("F",I209)), I209="CR")),   "X="&amp;U209*16&amp;",Y="&amp;(V209-1)*16&amp;",Z="&amp;IF(I209="FD", -(W209-1)*16, (W209-1)*16),   "")</f>
      </c>
      <c r="Z209" s="48">
        <f>IF(AND(Q209="✅", OR(ISNUMBER(FIND("F",I209)), I209="CR")), "P=0,Y=0,R=0", "")</f>
      </c>
      <c r="AA209" s="48" t="str"/>
      <c r="AB209" s="48" t="str"/>
      <c r="AC209" s="48" t="str"/>
      <c r="AD209" s="48" t="str"/>
      <c r="AE209" s="48" t="str"/>
      <c r="AF209" s="48"/>
      <c r="AG209" s="48" t="str"/>
      <c r="AH209" s="48" t="str"/>
      <c r="AI209" s="48" t="str"/>
      <c r="AJ209" s="48" t="str"/>
      <c r="AK209" s="48" t="str"/>
      <c r="AL209" s="48" t="str"/>
      <c r="AM209" s="48" t="str"/>
      <c r="AN209" s="48"/>
      <c r="AO209" s="48" t="str"/>
      <c r="AP209" s="48" t="str"/>
      <c r="AQ209" s="48" t="str"/>
      <c r="AR209" s="48" t="str"/>
      <c r="AS209" s="48" t="str"/>
      <c r="AT209" s="48" t="str"/>
      <c r="AU209" s="48" t="str"/>
      <c r="AV209" s="48"/>
      <c r="AW209" s="48">
        <f>IF(AND(Q209="✅", I209="U90"), "X="&amp;(U209-1)*16&amp;",Y="&amp;(V209-1)*16&amp;",Z="&amp;W209*16, "")</f>
      </c>
      <c r="AX209" s="48">
        <f>IF(AND(Q209="✅", I209="U90"), "P=90,Y=0,R=0", "")</f>
      </c>
      <c r="AY209" s="48" t="str"/>
      <c r="AZ209" s="48" t="str"/>
      <c r="BA209" s="48" t="str"/>
      <c r="BB209" s="48" t="str"/>
      <c r="BC209" s="48" t="str"/>
      <c r="BD209" s="48"/>
      <c r="BE209" s="48">
        <f>IF(AND(Q209="✅", I209="D90"), "X="&amp;(U209-1)*16&amp;",Y="&amp;(V209-1)*16&amp;",Z="&amp;(W209-2)*16, "")</f>
      </c>
      <c r="BF209" s="48">
        <f>IF(AND(Q209="✅", I209="D90"), "P=-90,Y=0,R=0", "")</f>
      </c>
      <c r="BG209" s="48" t="str"/>
      <c r="BH209" s="48" t="str"/>
      <c r="BI209" s="48" t="str"/>
      <c r="BJ209" s="48" t="str"/>
      <c r="BK209" s="48" t="str"/>
      <c r="BL209" s="42"/>
      <c r="BM209" s="42"/>
      <c r="BN209" s="42"/>
      <c r="BO209" s="42"/>
      <c r="BP209" s="42"/>
      <c r="BQ209" s="42"/>
      <c r="BR209" s="42"/>
      <c r="BS209" s="42"/>
      <c r="BT209" s="42"/>
      <c r="BU209" s="42"/>
      <c r="BV209" s="42"/>
      <c r="BW209" s="42"/>
      <c r="BX209" s="42"/>
      <c r="BY209" s="42"/>
    </row>
    <row customHeight="true" hidden="true" ht="19" outlineLevel="4" r="210">
      <c r="A210" s="127" t="str" xml:space="preserve">
        <v> </v>
      </c>
      <c r="B210" s="127" t="str" xml:space="preserve">
        <v> </v>
      </c>
      <c r="C210" s="125" t="str" xml:space="preserve">
        <v> </v>
      </c>
      <c r="D210" s="125" t="str" xml:space="preserve">
        <v> </v>
      </c>
      <c r="E210" s="42">
        <f>G210 &amp; "_" &amp; H210 &amp; IF(I210&lt;&gt;"", "_" &amp; I210, "") &amp; IF(J210&lt;&gt;"", "_" &amp; J210, "") &amp; IF(K210&lt;&gt;"", "_" &amp; K210, "") &amp;"_X"&amp;U210&amp;"_Y"&amp;V210&amp;"_Z"&amp;W210 &amp; IF(G210="SM", "_Proxy" , "_Rail") &amp; IF(M210&lt;&gt;"", "_" &amp; M210, "")</f>
      </c>
      <c r="F210" s="47">
        <f>IF(E210="", "", IF(G210="BP", E210, F209))</f>
      </c>
      <c r="G210" s="43" t="str">
        <v>SM</v>
      </c>
      <c r="H210" s="43" t="str">
        <v>Curve</v>
      </c>
      <c r="I210" s="43" t="str">
        <v>L90</v>
      </c>
      <c r="J210" s="43"/>
      <c r="K210" s="43"/>
      <c r="L210" s="43"/>
      <c r="M210" s="43" t="str">
        <v>L</v>
      </c>
      <c r="N210" s="77"/>
      <c r="O210" s="77"/>
      <c r="P210" s="77" t="str">
        <v>✅</v>
      </c>
      <c r="Q210" s="77"/>
      <c r="R210" s="43" t="str">
        <v>Curve_L90_X3_Y3_Z1</v>
      </c>
      <c r="S210" s="47" t="str">
        <v>/Script/Engine.StaticMesh'/Game/Item/Rail/Curve/L90/Normal/Curve_L90_X3_Y3_Z1/Proxy/SM_Curve_L90_X3_Y3_Z1_Proxy_L.SM_Curve_L90_X3_Y3_Z1_Proxy_L'</v>
      </c>
      <c r="T210" s="126" t="str"/>
      <c r="U210" s="128">
        <v>3</v>
      </c>
      <c r="V210" s="128">
        <v>3</v>
      </c>
      <c r="W210" s="128">
        <v>1</v>
      </c>
      <c r="X210" s="48"/>
      <c r="Y210" s="48">
        <f>IF(AND(Q210="✅", OR(ISNUMBER(FIND("F",I210)), I210="CR")),   "X="&amp;U210*16&amp;",Y="&amp;(V210-1)*16&amp;",Z="&amp;IF(I210="FD", -(W210-1)*16, (W210-1)*16),   "")</f>
      </c>
      <c r="Z210" s="48">
        <f>IF(AND(Q210="✅", OR(ISNUMBER(FIND("F",I210)), I210="CR")), "P=0,Y=0,R=0", "")</f>
      </c>
      <c r="AA210" s="48" t="str"/>
      <c r="AB210" s="48" t="str"/>
      <c r="AC210" s="48" t="str"/>
      <c r="AD210" s="48" t="str"/>
      <c r="AE210" s="48" t="str"/>
      <c r="AF210" s="48"/>
      <c r="AG210" s="48" t="str"/>
      <c r="AH210" s="48" t="str"/>
      <c r="AI210" s="48" t="str"/>
      <c r="AJ210" s="48" t="str"/>
      <c r="AK210" s="48" t="str"/>
      <c r="AL210" s="48" t="str"/>
      <c r="AM210" s="48" t="str"/>
      <c r="AN210" s="48"/>
      <c r="AO210" s="48" t="str"/>
      <c r="AP210" s="48" t="str"/>
      <c r="AQ210" s="48" t="str"/>
      <c r="AR210" s="48" t="str"/>
      <c r="AS210" s="48" t="str"/>
      <c r="AT210" s="48" t="str"/>
      <c r="AU210" s="48" t="str"/>
      <c r="AV210" s="48"/>
      <c r="AW210" s="48">
        <f>IF(AND(Q210="✅", I210="U90"), "X="&amp;(U210-1)*16&amp;",Y="&amp;(V210-1)*16&amp;",Z="&amp;W210*16, "")</f>
      </c>
      <c r="AX210" s="48">
        <f>IF(AND(Q210="✅", I210="U90"), "P=90,Y=0,R=0", "")</f>
      </c>
      <c r="AY210" s="48" t="str"/>
      <c r="AZ210" s="48" t="str"/>
      <c r="BA210" s="48" t="str"/>
      <c r="BB210" s="48" t="str"/>
      <c r="BC210" s="48" t="str"/>
      <c r="BD210" s="48"/>
      <c r="BE210" s="48">
        <f>IF(AND(Q210="✅", I210="D90"), "X="&amp;(U210-1)*16&amp;",Y="&amp;(V210-1)*16&amp;",Z="&amp;(W210-2)*16, "")</f>
      </c>
      <c r="BF210" s="48">
        <f>IF(AND(Q210="✅", I210="D90"), "P=-90,Y=0,R=0", "")</f>
      </c>
      <c r="BG210" s="48" t="str"/>
      <c r="BH210" s="48" t="str"/>
      <c r="BI210" s="48" t="str"/>
      <c r="BJ210" s="48" t="str"/>
      <c r="BK210" s="48" t="str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</row>
    <row customHeight="true" hidden="true" ht="19" outlineLevel="4" r="211">
      <c r="A211" s="127" t="str" xml:space="preserve">
        <v> </v>
      </c>
      <c r="B211" s="127" t="str" xml:space="preserve">
        <v> </v>
      </c>
      <c r="C211" s="125" t="str" xml:space="preserve">
        <v> </v>
      </c>
      <c r="D211" s="125" t="str" xml:space="preserve">
        <v> </v>
      </c>
      <c r="E211" s="42">
        <f>G211 &amp; "_" &amp; H211 &amp; IF(I211&lt;&gt;"", "_" &amp; I211, "") &amp; IF(J211&lt;&gt;"", "_" &amp; J211, "") &amp; IF(K211&lt;&gt;"", "_" &amp; K211, "") &amp;"_X"&amp;U211&amp;"_Y"&amp;V211&amp;"_Z"&amp;W211 &amp; IF(G211="SM", "_Proxy" , "_Rail") &amp; IF(M211&lt;&gt;"", "_" &amp; M211, "")</f>
      </c>
      <c r="F211" s="47">
        <f>IF(E211="", "", IF(G211="BP", E211, F210))</f>
      </c>
      <c r="G211" s="43" t="str">
        <v>SM</v>
      </c>
      <c r="H211" s="43" t="str">
        <v>Curve</v>
      </c>
      <c r="I211" s="43" t="str">
        <v>L90</v>
      </c>
      <c r="J211" s="43"/>
      <c r="K211" s="43"/>
      <c r="L211" s="43"/>
      <c r="M211" s="43" t="str">
        <v>R</v>
      </c>
      <c r="N211" s="77"/>
      <c r="O211" s="77"/>
      <c r="P211" s="77" t="str">
        <v>✅</v>
      </c>
      <c r="Q211" s="77"/>
      <c r="R211" s="43" t="str">
        <v>Curve_L90_X3_Y3_Z1</v>
      </c>
      <c r="S211" s="47" t="str">
        <v>/Script/Engine.StaticMesh'/Game/Item/Rail/Curve/L90/Normal/Curve_L90_X3_Y3_Z1/Proxy/SM_Curve_L90_X3_Y3_Z1_Proxy_R.SM_Curve_L90_X3_Y3_Z1_Proxy_R'</v>
      </c>
      <c r="T211" s="126" t="str"/>
      <c r="U211" s="128">
        <v>3</v>
      </c>
      <c r="V211" s="128">
        <v>3</v>
      </c>
      <c r="W211" s="128">
        <v>1</v>
      </c>
      <c r="X211" s="48"/>
      <c r="Y211" s="48">
        <f>IF(AND(Q211="✅", OR(ISNUMBER(FIND("F",I211)), I211="CR")),   "X="&amp;U211*16&amp;",Y="&amp;(V211-1)*16&amp;",Z="&amp;IF(I211="FD", -(W211-1)*16, (W211-1)*16),   "")</f>
      </c>
      <c r="Z211" s="48">
        <f>IF(AND(Q211="✅", OR(ISNUMBER(FIND("F",I211)), I211="CR")), "P=0,Y=0,R=0", "")</f>
      </c>
      <c r="AA211" s="48" t="str"/>
      <c r="AB211" s="48" t="str"/>
      <c r="AC211" s="48" t="str"/>
      <c r="AD211" s="48" t="str"/>
      <c r="AE211" s="48" t="str"/>
      <c r="AF211" s="48"/>
      <c r="AG211" s="48" t="str"/>
      <c r="AH211" s="48" t="str"/>
      <c r="AI211" s="48" t="str"/>
      <c r="AJ211" s="48" t="str"/>
      <c r="AK211" s="48" t="str"/>
      <c r="AL211" s="48" t="str"/>
      <c r="AM211" s="48" t="str"/>
      <c r="AN211" s="48"/>
      <c r="AO211" s="48" t="str"/>
      <c r="AP211" s="48" t="str"/>
      <c r="AQ211" s="48" t="str"/>
      <c r="AR211" s="48" t="str"/>
      <c r="AS211" s="48" t="str"/>
      <c r="AT211" s="48" t="str"/>
      <c r="AU211" s="48" t="str"/>
      <c r="AV211" s="48"/>
      <c r="AW211" s="48">
        <f>IF(AND(Q211="✅", I211="U90"), "X="&amp;(U211-1)*16&amp;",Y="&amp;(V211-1)*16&amp;",Z="&amp;W211*16, "")</f>
      </c>
      <c r="AX211" s="48">
        <f>IF(AND(Q211="✅", I211="U90"), "P=90,Y=0,R=0", "")</f>
      </c>
      <c r="AY211" s="48" t="str"/>
      <c r="AZ211" s="48" t="str"/>
      <c r="BA211" s="48" t="str"/>
      <c r="BB211" s="48" t="str"/>
      <c r="BC211" s="48" t="str"/>
      <c r="BD211" s="48"/>
      <c r="BE211" s="48">
        <f>IF(AND(Q211="✅", I211="D90"), "X="&amp;(U211-1)*16&amp;",Y="&amp;(V211-1)*16&amp;",Z="&amp;(W211-2)*16, "")</f>
      </c>
      <c r="BF211" s="48">
        <f>IF(AND(Q211="✅", I211="D90"), "P=-90,Y=0,R=0", "")</f>
      </c>
      <c r="BG211" s="48" t="str"/>
      <c r="BH211" s="48" t="str"/>
      <c r="BI211" s="48" t="str"/>
      <c r="BJ211" s="48" t="str"/>
      <c r="BK211" s="48" t="str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</row>
    <row collapsed="true" customHeight="true" ht="19" outlineLevel="3" r="212">
      <c r="A212" s="11"/>
      <c r="B212" s="11"/>
      <c r="C212" s="119"/>
      <c r="D212" s="119">
        <v>4</v>
      </c>
      <c r="E212" s="5"/>
      <c r="F212" s="9"/>
      <c r="G212" s="1"/>
      <c r="H212" s="1"/>
      <c r="I212" s="1"/>
      <c r="J212" s="1"/>
      <c r="K212" s="1"/>
      <c r="L212" s="1"/>
      <c r="M212" s="1"/>
      <c r="N212" s="3"/>
      <c r="O212" s="3"/>
      <c r="P212" s="3"/>
      <c r="Q212" s="3"/>
      <c r="R212" s="1" t="str"/>
      <c r="S212" s="9" t="str"/>
      <c r="T212" s="120" t="str"/>
      <c r="U212" s="118"/>
      <c r="V212" s="118"/>
      <c r="W212" s="118"/>
      <c r="X212" s="4"/>
      <c r="Y212" s="4">
        <f>IF(AND(Q212="✅", OR(ISNUMBER(FIND("F",I212)), I212="CR")),   "X="&amp;U212*16&amp;",Y="&amp;(V212-1)*16&amp;",Z="&amp;IF(I212="FD", -(W212-1)*16, (W212-1)*16),   "")</f>
      </c>
      <c r="Z212" s="4">
        <f>IF(AND(Q212="✅", OR(ISNUMBER(FIND("F",I212)), I212="CR")), "P=0,Y=0,R=0", "")</f>
      </c>
      <c r="AA212" s="4" t="str"/>
      <c r="AB212" s="4" t="str"/>
      <c r="AC212" s="4" t="str"/>
      <c r="AD212" s="4" t="str"/>
      <c r="AE212" s="4" t="str"/>
      <c r="AF212" s="4"/>
      <c r="AG212" s="4" t="str"/>
      <c r="AH212" s="4" t="str"/>
      <c r="AI212" s="4" t="str"/>
      <c r="AJ212" s="4" t="str"/>
      <c r="AK212" s="4" t="str"/>
      <c r="AL212" s="4" t="str"/>
      <c r="AM212" s="4" t="str"/>
      <c r="AN212" s="4"/>
      <c r="AO212" s="4" t="str"/>
      <c r="AP212" s="4" t="str"/>
      <c r="AQ212" s="4" t="str"/>
      <c r="AR212" s="4" t="str"/>
      <c r="AS212" s="4" t="str"/>
      <c r="AT212" s="4" t="str"/>
      <c r="AU212" s="4" t="str"/>
      <c r="AV212" s="4"/>
      <c r="AW212" s="4">
        <f>IF(AND(Q212="✅", I212="U90"), "X="&amp;(U212-1)*16&amp;",Y="&amp;(V212-1)*16&amp;",Z="&amp;W212*16, "")</f>
      </c>
      <c r="AX212" s="4">
        <f>IF(AND(Q212="✅", I212="U90"), "P=90,Y=0,R=0", "")</f>
      </c>
      <c r="AY212" s="4" t="str"/>
      <c r="AZ212" s="4" t="str"/>
      <c r="BA212" s="4" t="str"/>
      <c r="BB212" s="4" t="str"/>
      <c r="BC212" s="4" t="str"/>
      <c r="BD212" s="4"/>
      <c r="BE212" s="4">
        <f>IF(AND(Q212="✅", I212="D90"), "X="&amp;(U212-1)*16&amp;",Y="&amp;(V212-1)*16&amp;",Z="&amp;(W212-2)*16, "")</f>
      </c>
      <c r="BF212" s="4">
        <f>IF(AND(Q212="✅", I212="D90"), "P=-90,Y=0,R=0", "")</f>
      </c>
      <c r="BG212" s="4" t="str"/>
      <c r="BH212" s="4" t="str"/>
      <c r="BI212" s="4" t="str"/>
      <c r="BJ212" s="4" t="str"/>
      <c r="BK212" s="4" t="str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</row>
    <row customHeight="true" hidden="true" ht="19" outlineLevel="4" r="213">
      <c r="A213" s="127" t="str" xml:space="preserve">
        <v> </v>
      </c>
      <c r="B213" s="127" t="str" xml:space="preserve">
        <v> </v>
      </c>
      <c r="C213" s="125" t="str" xml:space="preserve">
        <v> </v>
      </c>
      <c r="D213" s="125" t="str" xml:space="preserve">
        <v> </v>
      </c>
      <c r="E213" s="54">
        <f>G213 &amp; "_" &amp; H213 &amp; IF(I213&lt;&gt;"", "_" &amp; I213, "") &amp; IF(J213&lt;&gt;"", "_" &amp; J213, "") &amp; IF(K213&lt;&gt;"", "_" &amp; K213, "") &amp;"_X"&amp;U213&amp;"_Y"&amp;V213&amp;"_Z"&amp;W213 &amp; IF(G213="SM", "_Proxy" , "_Rail") &amp; IF(M213&lt;&gt;"", "_" &amp; M213, "")</f>
      </c>
      <c r="F213" s="54">
        <f>IF(E213="", "", IF(G213="BP", E213, F211))</f>
      </c>
      <c r="G213" s="53" t="str">
        <v>BP</v>
      </c>
      <c r="H213" s="53" t="str">
        <v>Curve</v>
      </c>
      <c r="I213" s="53" t="str">
        <v>L90</v>
      </c>
      <c r="J213" s="53"/>
      <c r="K213" s="53"/>
      <c r="L213" s="53"/>
      <c r="M213" s="53"/>
      <c r="N213" s="101"/>
      <c r="O213" s="56"/>
      <c r="P213" s="56"/>
      <c r="Q213" s="56" t="str">
        <v>✅</v>
      </c>
      <c r="R213" s="52" t="str">
        <v>Curve_L90_X4_Y4_Z1</v>
      </c>
      <c r="S213" s="54" t="str">
        <v>/Script/Engine.BlueprintGeneratedClass'/Game/Item/Rail/Curve/L90/Normal/Curve_L90_X4_Y4_Z1/BP_Curve_L90_X4_Y4_Z1_Rail.BP_Curve_L90_X4_Y4_Z1_Rail_C'</v>
      </c>
      <c r="T213" s="138">
        <v>2.5</v>
      </c>
      <c r="U213" s="137">
        <v>4</v>
      </c>
      <c r="V213" s="137">
        <v>4</v>
      </c>
      <c r="W213" s="137">
        <v>1</v>
      </c>
      <c r="X213" s="53"/>
      <c r="Y213" s="53">
        <f>IF(AND(Q213="✅", OR(ISNUMBER(FIND("F",I213)), I213="CR")),   "X="&amp;U213*16&amp;",Y="&amp;(V213-1)*16&amp;",Z="&amp;IF(I213="FD", -(W213-1)*16, (W213-1)*16),   "")</f>
      </c>
      <c r="Z213" s="53">
        <f>IF(AND(Q213="✅", OR(ISNUMBER(FIND("F",I213)), I213="CR")), "P=0,Y=0,R=0", "")</f>
      </c>
      <c r="AA213" s="53" t="str"/>
      <c r="AB213" s="53" t="str"/>
      <c r="AC213" s="53" t="str"/>
      <c r="AD213" s="53" t="str"/>
      <c r="AE213" s="53" t="str">
        <v>X=0,Y=0,Z=0,W=0</v>
      </c>
      <c r="AF213" s="53"/>
      <c r="AG213" s="53" t="str">
        <v>X=48,Y=-64,Z=0</v>
      </c>
      <c r="AH213" s="53" t="str">
        <v>P=0,Y=-90,R=0</v>
      </c>
      <c r="AI213" s="53">
        <v>1</v>
      </c>
      <c r="AJ213" s="53">
        <v>1.5</v>
      </c>
      <c r="AK213" s="53">
        <v>2</v>
      </c>
      <c r="AL213" s="53">
        <v>1.5</v>
      </c>
      <c r="AM213" s="53" t="str">
        <v>X=1,Y=1.5,Z=2,W=1.5</v>
      </c>
      <c r="AN213" s="53"/>
      <c r="AO213" s="53" t="str"/>
      <c r="AP213" s="53" t="str"/>
      <c r="AQ213" s="53" t="str"/>
      <c r="AR213" s="53" t="str"/>
      <c r="AS213" s="53" t="str"/>
      <c r="AT213" s="53" t="str"/>
      <c r="AU213" s="53" t="str"/>
      <c r="AV213" s="53"/>
      <c r="AW213" s="53">
        <f>IF(AND(Q213="✅", I213="U90"), "X="&amp;(U213-1)*16&amp;",Y="&amp;(V213-1)*16&amp;",Z="&amp;W213*16, "")</f>
      </c>
      <c r="AX213" s="53">
        <f>IF(AND(Q213="✅", I213="U90"), "P=90,Y=0,R=0", "")</f>
      </c>
      <c r="AY213" s="53" t="str"/>
      <c r="AZ213" s="53" t="str"/>
      <c r="BA213" s="53" t="str"/>
      <c r="BB213" s="53" t="str"/>
      <c r="BC213" s="53" t="str"/>
      <c r="BD213" s="53"/>
      <c r="BE213" s="53">
        <f>IF(AND(Q213="✅", I213="D90"), "X="&amp;(U213-1)*16&amp;",Y="&amp;(V213-1)*16&amp;",Z="&amp;(W213-2)*16, "")</f>
      </c>
      <c r="BF213" s="53">
        <f>IF(AND(Q213="✅", I213="D90"), "P=-90,Y=0,R=0", "")</f>
      </c>
      <c r="BG213" s="53" t="str"/>
      <c r="BH213" s="53" t="str"/>
      <c r="BI213" s="53" t="str"/>
      <c r="BJ213" s="53" t="str"/>
      <c r="BK213" s="53" t="str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</row>
    <row customHeight="true" hidden="true" ht="19" outlineLevel="4" r="214">
      <c r="A214" s="127" t="str" xml:space="preserve">
        <v> </v>
      </c>
      <c r="B214" s="127" t="str" xml:space="preserve">
        <v> </v>
      </c>
      <c r="C214" s="125" t="str" xml:space="preserve">
        <v> </v>
      </c>
      <c r="D214" s="125" t="str" xml:space="preserve">
        <v> </v>
      </c>
      <c r="E214" s="54">
        <f>G214 &amp; "_" &amp; H214 &amp; IF(I214&lt;&gt;"", "_" &amp; I214, "") &amp; IF(J214&lt;&gt;"", "_" &amp; J214, "") &amp; IF(K214&lt;&gt;"", "_" &amp; K214, "") &amp;"_X"&amp;U214&amp;"_Y"&amp;V214&amp;"_Z"&amp;W214 &amp; IF(G214="SM", "_Proxy" , "_Rail") &amp; IF(M214&lt;&gt;"", "_" &amp; M214, "")</f>
      </c>
      <c r="F214" s="54">
        <f>IF(E214="", "", IF(G214="BP", E214, F213))</f>
      </c>
      <c r="G214" s="53" t="str">
        <v>SM</v>
      </c>
      <c r="H214" s="53" t="str">
        <v>Curve</v>
      </c>
      <c r="I214" s="53" t="str">
        <v>L90</v>
      </c>
      <c r="J214" s="53"/>
      <c r="K214" s="53"/>
      <c r="L214" s="53"/>
      <c r="M214" s="53" t="str">
        <v>B</v>
      </c>
      <c r="N214" s="101"/>
      <c r="O214" s="56"/>
      <c r="P214" s="56" t="str">
        <v>✅</v>
      </c>
      <c r="Q214" s="56"/>
      <c r="R214" s="52" t="str">
        <v>Curve_L90_X4_Y4_Z1</v>
      </c>
      <c r="S214" s="54" t="str">
        <v>/Script/Engine.StaticMesh'/Game/Item/Rail/Curve/L90/Normal/Curve_L90_X4_Y4_Z1/Proxy/SM_Curve_L90_X4_Y4_Z1_Proxy_B.SM_Curve_L90_X4_Y4_Z1_Proxy_B'</v>
      </c>
      <c r="T214" s="138" t="str"/>
      <c r="U214" s="137">
        <v>4</v>
      </c>
      <c r="V214" s="137">
        <v>4</v>
      </c>
      <c r="W214" s="137">
        <v>1</v>
      </c>
      <c r="X214" s="53"/>
      <c r="Y214" s="53">
        <f>IF(AND(Q214="✅", OR(ISNUMBER(FIND("F",I214)), I214="CR")),   "X="&amp;U214*16&amp;",Y="&amp;(V214-1)*16&amp;",Z="&amp;IF(I214="FD", -(W214-1)*16, (W214-1)*16),   "")</f>
      </c>
      <c r="Z214" s="53">
        <f>IF(AND(Q214="✅", OR(ISNUMBER(FIND("F",I214)), I214="CR")), "P=0,Y=0,R=0", "")</f>
      </c>
      <c r="AA214" s="53" t="str"/>
      <c r="AB214" s="53" t="str"/>
      <c r="AC214" s="53" t="str"/>
      <c r="AD214" s="53" t="str"/>
      <c r="AE214" s="53" t="str"/>
      <c r="AF214" s="53"/>
      <c r="AG214" s="53" t="str"/>
      <c r="AH214" s="53" t="str"/>
      <c r="AI214" s="53" t="str"/>
      <c r="AJ214" s="53" t="str"/>
      <c r="AK214" s="53" t="str"/>
      <c r="AL214" s="53" t="str"/>
      <c r="AM214" s="53" t="str"/>
      <c r="AN214" s="53"/>
      <c r="AO214" s="53" t="str"/>
      <c r="AP214" s="53" t="str"/>
      <c r="AQ214" s="53" t="str"/>
      <c r="AR214" s="53" t="str"/>
      <c r="AS214" s="53" t="str"/>
      <c r="AT214" s="53" t="str"/>
      <c r="AU214" s="53" t="str"/>
      <c r="AV214" s="53"/>
      <c r="AW214" s="53">
        <f>IF(AND(Q214="✅", I214="U90"), "X="&amp;(U214-1)*16&amp;",Y="&amp;(V214-1)*16&amp;",Z="&amp;W214*16, "")</f>
      </c>
      <c r="AX214" s="53">
        <f>IF(AND(Q214="✅", I214="U90"), "P=90,Y=0,R=0", "")</f>
      </c>
      <c r="AY214" s="53" t="str"/>
      <c r="AZ214" s="53" t="str"/>
      <c r="BA214" s="53" t="str"/>
      <c r="BB214" s="53" t="str"/>
      <c r="BC214" s="53" t="str"/>
      <c r="BD214" s="53"/>
      <c r="BE214" s="53">
        <f>IF(AND(Q214="✅", I214="D90"), "X="&amp;(U214-1)*16&amp;",Y="&amp;(V214-1)*16&amp;",Z="&amp;(W214-2)*16, "")</f>
      </c>
      <c r="BF214" s="53">
        <f>IF(AND(Q214="✅", I214="D90"), "P=-90,Y=0,R=0", "")</f>
      </c>
      <c r="BG214" s="53" t="str"/>
      <c r="BH214" s="53" t="str"/>
      <c r="BI214" s="53" t="str"/>
      <c r="BJ214" s="53" t="str"/>
      <c r="BK214" s="53" t="str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</row>
    <row customHeight="true" hidden="true" ht="19" outlineLevel="4" r="215">
      <c r="A215" s="127" t="str" xml:space="preserve">
        <v> </v>
      </c>
      <c r="B215" s="127" t="str" xml:space="preserve">
        <v> </v>
      </c>
      <c r="C215" s="125" t="str" xml:space="preserve">
        <v> </v>
      </c>
      <c r="D215" s="125" t="str" xml:space="preserve">
        <v> </v>
      </c>
      <c r="E215" s="54">
        <f>G215 &amp; "_" &amp; H215 &amp; IF(I215&lt;&gt;"", "_" &amp; I215, "") &amp; IF(J215&lt;&gt;"", "_" &amp; J215, "") &amp; IF(K215&lt;&gt;"", "_" &amp; K215, "") &amp;"_X"&amp;U215&amp;"_Y"&amp;V215&amp;"_Z"&amp;W215 &amp; IF(G215="SM", "_Proxy" , "_Rail") &amp; IF(M215&lt;&gt;"", "_" &amp; M215, "")</f>
      </c>
      <c r="F215" s="54">
        <f>IF(E215="", "", IF(G215="BP", E215, F214))</f>
      </c>
      <c r="G215" s="53" t="str">
        <v>SM</v>
      </c>
      <c r="H215" s="53" t="str">
        <v>Curve</v>
      </c>
      <c r="I215" s="53" t="str">
        <v>L90</v>
      </c>
      <c r="J215" s="53"/>
      <c r="K215" s="53"/>
      <c r="L215" s="53"/>
      <c r="M215" s="53" t="str">
        <v>L</v>
      </c>
      <c r="N215" s="101"/>
      <c r="O215" s="56"/>
      <c r="P215" s="56" t="str">
        <v>✅</v>
      </c>
      <c r="Q215" s="56"/>
      <c r="R215" s="52" t="str">
        <v>Curve_L90_X4_Y4_Z1</v>
      </c>
      <c r="S215" s="54" t="str">
        <v>/Script/Engine.StaticMesh'/Game/Item/Rail/Curve/L90/Normal/Curve_L90_X4_Y4_Z1/Proxy/SM_Curve_L90_X4_Y4_Z1_Proxy_L.SM_Curve_L90_X4_Y4_Z1_Proxy_L'</v>
      </c>
      <c r="T215" s="138" t="str"/>
      <c r="U215" s="137">
        <v>4</v>
      </c>
      <c r="V215" s="137">
        <v>4</v>
      </c>
      <c r="W215" s="137">
        <v>1</v>
      </c>
      <c r="X215" s="53"/>
      <c r="Y215" s="53">
        <f>IF(AND(Q215="✅", OR(ISNUMBER(FIND("F",I215)), I215="CR")),   "X="&amp;U215*16&amp;",Y="&amp;(V215-1)*16&amp;",Z="&amp;IF(I215="FD", -(W215-1)*16, (W215-1)*16),   "")</f>
      </c>
      <c r="Z215" s="53">
        <f>IF(AND(Q215="✅", OR(ISNUMBER(FIND("F",I215)), I215="CR")), "P=0,Y=0,R=0", "")</f>
      </c>
      <c r="AA215" s="53" t="str"/>
      <c r="AB215" s="53" t="str"/>
      <c r="AC215" s="53" t="str"/>
      <c r="AD215" s="53" t="str"/>
      <c r="AE215" s="53" t="str"/>
      <c r="AF215" s="53"/>
      <c r="AG215" s="53" t="str"/>
      <c r="AH215" s="53" t="str"/>
      <c r="AI215" s="53" t="str"/>
      <c r="AJ215" s="53" t="str"/>
      <c r="AK215" s="53" t="str"/>
      <c r="AL215" s="53" t="str"/>
      <c r="AM215" s="53" t="str"/>
      <c r="AN215" s="53"/>
      <c r="AO215" s="53" t="str"/>
      <c r="AP215" s="53" t="str"/>
      <c r="AQ215" s="53" t="str"/>
      <c r="AR215" s="53" t="str"/>
      <c r="AS215" s="53" t="str"/>
      <c r="AT215" s="53" t="str"/>
      <c r="AU215" s="53" t="str"/>
      <c r="AV215" s="53"/>
      <c r="AW215" s="53">
        <f>IF(AND(Q215="✅", I215="U90"), "X="&amp;(U215-1)*16&amp;",Y="&amp;(V215-1)*16&amp;",Z="&amp;W215*16, "")</f>
      </c>
      <c r="AX215" s="53">
        <f>IF(AND(Q215="✅", I215="U90"), "P=90,Y=0,R=0", "")</f>
      </c>
      <c r="AY215" s="53" t="str"/>
      <c r="AZ215" s="53" t="str"/>
      <c r="BA215" s="53" t="str"/>
      <c r="BB215" s="53" t="str"/>
      <c r="BC215" s="53" t="str"/>
      <c r="BD215" s="53"/>
      <c r="BE215" s="53">
        <f>IF(AND(Q215="✅", I215="D90"), "X="&amp;(U215-1)*16&amp;",Y="&amp;(V215-1)*16&amp;",Z="&amp;(W215-2)*16, "")</f>
      </c>
      <c r="BF215" s="53">
        <f>IF(AND(Q215="✅", I215="D90"), "P=-90,Y=0,R=0", "")</f>
      </c>
      <c r="BG215" s="53" t="str"/>
      <c r="BH215" s="53" t="str"/>
      <c r="BI215" s="53" t="str"/>
      <c r="BJ215" s="53" t="str"/>
      <c r="BK215" s="53" t="str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</row>
    <row customHeight="true" hidden="true" ht="19" outlineLevel="4" r="216">
      <c r="A216" s="127" t="str" xml:space="preserve">
        <v> </v>
      </c>
      <c r="B216" s="127" t="str" xml:space="preserve">
        <v> </v>
      </c>
      <c r="C216" s="125" t="str" xml:space="preserve">
        <v> </v>
      </c>
      <c r="D216" s="125" t="str" xml:space="preserve">
        <v> </v>
      </c>
      <c r="E216" s="54">
        <f>G216 &amp; "_" &amp; H216 &amp; IF(I216&lt;&gt;"", "_" &amp; I216, "") &amp; IF(J216&lt;&gt;"", "_" &amp; J216, "") &amp; IF(K216&lt;&gt;"", "_" &amp; K216, "") &amp;"_X"&amp;U216&amp;"_Y"&amp;V216&amp;"_Z"&amp;W216 &amp; IF(G216="SM", "_Proxy" , "_Rail") &amp; IF(M216&lt;&gt;"", "_" &amp; M216, "")</f>
      </c>
      <c r="F216" s="54">
        <f>IF(E216="", "", IF(G216="BP", E216, F215))</f>
      </c>
      <c r="G216" s="53" t="str">
        <v>SM</v>
      </c>
      <c r="H216" s="53" t="str">
        <v>Curve</v>
      </c>
      <c r="I216" s="53" t="str">
        <v>L90</v>
      </c>
      <c r="J216" s="53"/>
      <c r="K216" s="53"/>
      <c r="L216" s="53"/>
      <c r="M216" s="53" t="str">
        <v>R</v>
      </c>
      <c r="N216" s="101"/>
      <c r="O216" s="56"/>
      <c r="P216" s="56" t="str">
        <v>✅</v>
      </c>
      <c r="Q216" s="56"/>
      <c r="R216" s="52" t="str">
        <v>Curve_L90_X4_Y4_Z1</v>
      </c>
      <c r="S216" s="54" t="str">
        <v>/Script/Engine.StaticMesh'/Game/Item/Rail/Curve/L90/Normal/Curve_L90_X4_Y4_Z1/Proxy/SM_Curve_L90_X4_Y4_Z1_Proxy_R.SM_Curve_L90_X4_Y4_Z1_Proxy_R'</v>
      </c>
      <c r="T216" s="138" t="str"/>
      <c r="U216" s="137">
        <v>4</v>
      </c>
      <c r="V216" s="137">
        <v>4</v>
      </c>
      <c r="W216" s="137">
        <v>1</v>
      </c>
      <c r="X216" s="53"/>
      <c r="Y216" s="53">
        <f>IF(AND(Q216="✅", OR(ISNUMBER(FIND("F",I216)), I216="CR")),   "X="&amp;U216*16&amp;",Y="&amp;(V216-1)*16&amp;",Z="&amp;IF(I216="FD", -(W216-1)*16, (W216-1)*16),   "")</f>
      </c>
      <c r="Z216" s="53">
        <f>IF(AND(Q216="✅", OR(ISNUMBER(FIND("F",I216)), I216="CR")), "P=0,Y=0,R=0", "")</f>
      </c>
      <c r="AA216" s="53" t="str"/>
      <c r="AB216" s="53" t="str"/>
      <c r="AC216" s="53" t="str"/>
      <c r="AD216" s="53" t="str"/>
      <c r="AE216" s="53" t="str"/>
      <c r="AF216" s="53"/>
      <c r="AG216" s="53" t="str"/>
      <c r="AH216" s="53" t="str"/>
      <c r="AI216" s="53" t="str"/>
      <c r="AJ216" s="53" t="str"/>
      <c r="AK216" s="53" t="str"/>
      <c r="AL216" s="53" t="str"/>
      <c r="AM216" s="53" t="str"/>
      <c r="AN216" s="53"/>
      <c r="AO216" s="53" t="str"/>
      <c r="AP216" s="53" t="str"/>
      <c r="AQ216" s="53" t="str"/>
      <c r="AR216" s="53" t="str"/>
      <c r="AS216" s="53" t="str"/>
      <c r="AT216" s="53" t="str"/>
      <c r="AU216" s="53" t="str"/>
      <c r="AV216" s="53"/>
      <c r="AW216" s="53">
        <f>IF(AND(Q216="✅", I216="U90"), "X="&amp;(U216-1)*16&amp;",Y="&amp;(V216-1)*16&amp;",Z="&amp;W216*16, "")</f>
      </c>
      <c r="AX216" s="53">
        <f>IF(AND(Q216="✅", I216="U90"), "P=90,Y=0,R=0", "")</f>
      </c>
      <c r="AY216" s="53" t="str"/>
      <c r="AZ216" s="53" t="str"/>
      <c r="BA216" s="53" t="str"/>
      <c r="BB216" s="53" t="str"/>
      <c r="BC216" s="53" t="str"/>
      <c r="BD216" s="53"/>
      <c r="BE216" s="53">
        <f>IF(AND(Q216="✅", I216="D90"), "X="&amp;(U216-1)*16&amp;",Y="&amp;(V216-1)*16&amp;",Z="&amp;(W216-2)*16, "")</f>
      </c>
      <c r="BF216" s="53">
        <f>IF(AND(Q216="✅", I216="D90"), "P=-90,Y=0,R=0", "")</f>
      </c>
      <c r="BG216" s="53" t="str"/>
      <c r="BH216" s="53" t="str"/>
      <c r="BI216" s="53" t="str"/>
      <c r="BJ216" s="53" t="str"/>
      <c r="BK216" s="53" t="str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</row>
    <row customHeight="true" ht="19" outlineLevel="2" r="217">
      <c r="A217" s="11"/>
      <c r="B217" s="11"/>
      <c r="C217" s="119" t="str">
        <v>Borderless</v>
      </c>
      <c r="D217" s="119"/>
      <c r="E217" s="5"/>
      <c r="F217" s="9"/>
      <c r="G217" s="1"/>
      <c r="H217" s="1"/>
      <c r="I217" s="1"/>
      <c r="J217" s="1"/>
      <c r="K217" s="1"/>
      <c r="L217" s="1"/>
      <c r="M217" s="1"/>
      <c r="N217" s="3"/>
      <c r="O217" s="3"/>
      <c r="P217" s="3"/>
      <c r="Q217" s="3"/>
      <c r="R217" s="1" t="str"/>
      <c r="S217" s="9" t="str"/>
      <c r="T217" s="120" t="str"/>
      <c r="U217" s="118"/>
      <c r="V217" s="118"/>
      <c r="W217" s="118"/>
      <c r="X217" s="4"/>
      <c r="Y217" s="4">
        <f>IF(AND(Q217="✅", OR(ISNUMBER(FIND("F",I217)), I217="CR")),   "X="&amp;U217*16&amp;",Y="&amp;(V217-1)*16&amp;",Z="&amp;IF(I217="FD", -(W217-1)*16, (W217-1)*16),   "")</f>
      </c>
      <c r="Z217" s="4">
        <f>IF(AND(Q217="✅", OR(ISNUMBER(FIND("F",I217)), I217="CR")), "P=0,Y=0,R=0", "")</f>
      </c>
      <c r="AA217" s="4" t="str"/>
      <c r="AB217" s="4" t="str"/>
      <c r="AC217" s="4" t="str"/>
      <c r="AD217" s="4" t="str"/>
      <c r="AE217" s="4" t="str"/>
      <c r="AF217" s="4"/>
      <c r="AG217" s="4" t="str"/>
      <c r="AH217" s="4" t="str"/>
      <c r="AI217" s="4" t="str"/>
      <c r="AJ217" s="4" t="str"/>
      <c r="AK217" s="4" t="str"/>
      <c r="AL217" s="4" t="str"/>
      <c r="AM217" s="4" t="str"/>
      <c r="AN217" s="4"/>
      <c r="AO217" s="4" t="str"/>
      <c r="AP217" s="4" t="str"/>
      <c r="AQ217" s="4" t="str"/>
      <c r="AR217" s="4" t="str"/>
      <c r="AS217" s="4" t="str"/>
      <c r="AT217" s="4" t="str"/>
      <c r="AU217" s="4" t="str"/>
      <c r="AV217" s="4"/>
      <c r="AW217" s="4">
        <f>IF(AND(Q217="✅", I217="U90"), "X="&amp;(U217-1)*16&amp;",Y="&amp;(V217-1)*16&amp;",Z="&amp;W217*16, "")</f>
      </c>
      <c r="AX217" s="4">
        <f>IF(AND(Q217="✅", I217="U90"), "P=90,Y=0,R=0", "")</f>
      </c>
      <c r="AY217" s="4" t="str"/>
      <c r="AZ217" s="4" t="str"/>
      <c r="BA217" s="4" t="str"/>
      <c r="BB217" s="4" t="str"/>
      <c r="BC217" s="4" t="str"/>
      <c r="BD217" s="4"/>
      <c r="BE217" s="4">
        <f>IF(AND(Q217="✅", I217="D90"), "X="&amp;(U217-1)*16&amp;",Y="&amp;(V217-1)*16&amp;",Z="&amp;(W217-2)*16, "")</f>
      </c>
      <c r="BF217" s="4">
        <f>IF(AND(Q217="✅", I217="D90"), "P=-90,Y=0,R=0", "")</f>
      </c>
      <c r="BG217" s="4" t="str"/>
      <c r="BH217" s="4" t="str"/>
      <c r="BI217" s="4" t="str"/>
      <c r="BJ217" s="4" t="str"/>
      <c r="BK217" s="4" t="str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</row>
    <row collapsed="true" customHeight="true" ht="19" outlineLevel="3" r="218">
      <c r="A218" s="11"/>
      <c r="B218" s="11"/>
      <c r="C218" s="119"/>
      <c r="D218" s="119">
        <v>1</v>
      </c>
      <c r="E218" s="5"/>
      <c r="F218" s="9"/>
      <c r="G218" s="1"/>
      <c r="H218" s="1"/>
      <c r="I218" s="1"/>
      <c r="J218" s="1"/>
      <c r="K218" s="1"/>
      <c r="L218" s="1"/>
      <c r="M218" s="1"/>
      <c r="N218" s="3"/>
      <c r="O218" s="3"/>
      <c r="P218" s="3"/>
      <c r="Q218" s="3"/>
      <c r="R218" s="1" t="str"/>
      <c r="S218" s="9" t="str"/>
      <c r="T218" s="120" t="str"/>
      <c r="U218" s="118"/>
      <c r="V218" s="118"/>
      <c r="W218" s="118"/>
      <c r="X218" s="4"/>
      <c r="Y218" s="4">
        <f>IF(AND(Q218="✅", OR(ISNUMBER(FIND("F",I218)), I218="CR")),   "X="&amp;U218*16&amp;",Y="&amp;(V218-1)*16&amp;",Z="&amp;IF(I218="FD", -(W218-1)*16, (W218-1)*16),   "")</f>
      </c>
      <c r="Z218" s="4">
        <f>IF(AND(Q218="✅", OR(ISNUMBER(FIND("F",I218)), I218="CR")), "P=0,Y=0,R=0", "")</f>
      </c>
      <c r="AA218" s="4" t="str"/>
      <c r="AB218" s="4" t="str"/>
      <c r="AC218" s="4" t="str"/>
      <c r="AD218" s="4" t="str"/>
      <c r="AE218" s="4" t="str"/>
      <c r="AF218" s="4"/>
      <c r="AG218" s="4" t="str"/>
      <c r="AH218" s="4" t="str"/>
      <c r="AI218" s="4" t="str"/>
      <c r="AJ218" s="4" t="str"/>
      <c r="AK218" s="4" t="str"/>
      <c r="AL218" s="4" t="str"/>
      <c r="AM218" s="4" t="str"/>
      <c r="AN218" s="4"/>
      <c r="AO218" s="4" t="str"/>
      <c r="AP218" s="4" t="str"/>
      <c r="AQ218" s="4" t="str"/>
      <c r="AR218" s="4" t="str"/>
      <c r="AS218" s="4" t="str"/>
      <c r="AT218" s="4" t="str"/>
      <c r="AU218" s="4" t="str"/>
      <c r="AV218" s="4"/>
      <c r="AW218" s="4">
        <f>IF(AND(Q218="✅", I218="U90"), "X="&amp;(U218-1)*16&amp;",Y="&amp;(V218-1)*16&amp;",Z="&amp;W218*16, "")</f>
      </c>
      <c r="AX218" s="4">
        <f>IF(AND(Q218="✅", I218="U90"), "P=90,Y=0,R=0", "")</f>
      </c>
      <c r="AY218" s="4" t="str"/>
      <c r="AZ218" s="4" t="str"/>
      <c r="BA218" s="4" t="str"/>
      <c r="BB218" s="4" t="str"/>
      <c r="BC218" s="4" t="str"/>
      <c r="BD218" s="4"/>
      <c r="BE218" s="4">
        <f>IF(AND(Q218="✅", I218="D90"), "X="&amp;(U218-1)*16&amp;",Y="&amp;(V218-1)*16&amp;",Z="&amp;(W218-2)*16, "")</f>
      </c>
      <c r="BF218" s="4">
        <f>IF(AND(Q218="✅", I218="D90"), "P=-90,Y=0,R=0", "")</f>
      </c>
      <c r="BG218" s="4" t="str"/>
      <c r="BH218" s="4" t="str"/>
      <c r="BI218" s="4" t="str"/>
      <c r="BJ218" s="4" t="str"/>
      <c r="BK218" s="4" t="str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</row>
    <row customHeight="true" hidden="true" ht="19" outlineLevel="4" r="219">
      <c r="A219" s="11" t="str" xml:space="preserve">
        <v> </v>
      </c>
      <c r="B219" s="11" t="str" xml:space="preserve">
        <v> </v>
      </c>
      <c r="C219" s="119" t="str" xml:space="preserve">
        <v> </v>
      </c>
      <c r="D219" s="119" t="str" xml:space="preserve">
        <v> </v>
      </c>
      <c r="E219" s="65">
        <f>G219 &amp; "_" &amp; H219 &amp; IF(I219&lt;&gt;"", "_" &amp; I219, "") &amp; IF(J219&lt;&gt;"", "_" &amp; J219, "") &amp; IF(K219&lt;&gt;"", "_" &amp; K219, "") &amp;"_X"&amp;U219&amp;"_Y"&amp;V219&amp;"_Z"&amp;W219 &amp; IF(G219="SM", "_Proxy" , "_Rail") &amp; IF(M219&lt;&gt;"", "_" &amp; M219, "")</f>
      </c>
      <c r="F219" s="66">
        <f>IF(E219="", "", IF(G219="BP", E219, F201))</f>
      </c>
      <c r="G219" s="64" t="str">
        <v>BP</v>
      </c>
      <c r="H219" s="64" t="str">
        <v>Curve</v>
      </c>
      <c r="I219" s="64" t="str">
        <v>L90</v>
      </c>
      <c r="J219" s="64" t="str">
        <v>Borderless</v>
      </c>
      <c r="K219" s="64"/>
      <c r="L219" s="64"/>
      <c r="M219" s="64"/>
      <c r="N219" s="90"/>
      <c r="O219" s="90"/>
      <c r="P219" s="90"/>
      <c r="Q219" s="90" t="str">
        <v>✅</v>
      </c>
      <c r="R219" s="64" t="str">
        <v>Curve_L90_Borderless_X1_Y1_Z1</v>
      </c>
      <c r="S219" s="66" t="str">
        <v>/Script/Engine.BlueprintGeneratedClass'/Game/Item/Rail/Curve/L90/Borderless/Curve_L90_Borderless_X1_Y1_Z1/BP_Curve_L90_Borderless_X1_Y1_Z1_Rail.BP_Curve_L90_Borderless_X1_Y1_Z1_Rail_C'</v>
      </c>
      <c r="T219" s="139">
        <v>3</v>
      </c>
      <c r="U219" s="140">
        <v>1</v>
      </c>
      <c r="V219" s="140">
        <v>1</v>
      </c>
      <c r="W219" s="140">
        <v>1</v>
      </c>
      <c r="X219" s="88"/>
      <c r="Y219" s="88">
        <f>IF(AND(Q219="✅", OR(ISNUMBER(FIND("F",I219)), I219="CR")),   "X="&amp;U219*16&amp;",Y="&amp;(V219-1)*16&amp;",Z="&amp;IF(I219="FD", -(W219-1)*16, (W219-1)*16),   "")</f>
      </c>
      <c r="Z219" s="88">
        <f>IF(AND(Q219="✅", OR(ISNUMBER(FIND("F",I219)), I219="CR")), "P=0,Y=0,R=0", "")</f>
      </c>
      <c r="AA219" s="88" t="str"/>
      <c r="AB219" s="88" t="str"/>
      <c r="AC219" s="88" t="str"/>
      <c r="AD219" s="88" t="str"/>
      <c r="AE219" s="88" t="str">
        <v>X=0,Y=0,Z=0,W=0</v>
      </c>
      <c r="AF219" s="88"/>
      <c r="AG219" s="88" t="str">
        <v>X=0,Y=-16,Z=0</v>
      </c>
      <c r="AH219" s="88" t="str">
        <v>P=0,Y=-90,R=0</v>
      </c>
      <c r="AI219" s="88">
        <v>1</v>
      </c>
      <c r="AJ219" s="88">
        <v>1.5</v>
      </c>
      <c r="AK219" s="88">
        <v>2</v>
      </c>
      <c r="AL219" s="88">
        <v>1.5</v>
      </c>
      <c r="AM219" s="88" t="str">
        <v>X=1,Y=1.5,Z=2,W=1.5</v>
      </c>
      <c r="AN219" s="88"/>
      <c r="AO219" s="88" t="str"/>
      <c r="AP219" s="88" t="str"/>
      <c r="AQ219" s="88" t="str"/>
      <c r="AR219" s="88" t="str"/>
      <c r="AS219" s="88" t="str"/>
      <c r="AT219" s="88" t="str"/>
      <c r="AU219" s="88" t="str"/>
      <c r="AV219" s="88"/>
      <c r="AW219" s="88">
        <f>IF(AND(Q219="✅", I219="U90"), "X="&amp;(U219-1)*16&amp;",Y="&amp;(V219-1)*16&amp;",Z="&amp;W219*16, "")</f>
      </c>
      <c r="AX219" s="88">
        <f>IF(AND(Q219="✅", I219="U90"), "P=90,Y=0,R=0", "")</f>
      </c>
      <c r="AY219" s="88" t="str"/>
      <c r="AZ219" s="88" t="str"/>
      <c r="BA219" s="88" t="str"/>
      <c r="BB219" s="88" t="str"/>
      <c r="BC219" s="88" t="str"/>
      <c r="BD219" s="88"/>
      <c r="BE219" s="88">
        <f>IF(AND(Q219="✅", I219="D90"), "X="&amp;(U219-1)*16&amp;",Y="&amp;(V219-1)*16&amp;",Z="&amp;(W219-2)*16, "")</f>
      </c>
      <c r="BF219" s="88">
        <f>IF(AND(Q219="✅", I219="D90"), "P=-90,Y=0,R=0", "")</f>
      </c>
      <c r="BG219" s="88" t="str"/>
      <c r="BH219" s="88" t="str"/>
      <c r="BI219" s="88" t="str"/>
      <c r="BJ219" s="88" t="str"/>
      <c r="BK219" s="88" t="str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</row>
    <row customHeight="true" hidden="true" ht="19" outlineLevel="4" r="220">
      <c r="A220" s="11" t="str" xml:space="preserve">
        <v> </v>
      </c>
      <c r="B220" s="11" t="str" xml:space="preserve">
        <v> </v>
      </c>
      <c r="C220" s="119" t="str" xml:space="preserve">
        <v> </v>
      </c>
      <c r="D220" s="119" t="str" xml:space="preserve">
        <v> </v>
      </c>
      <c r="E220" s="65">
        <f>E199</f>
      </c>
      <c r="F220" s="66">
        <f>IF(E220="", "", IF(G220="BP", E220, F219))</f>
      </c>
      <c r="G220" s="64"/>
      <c r="H220" s="64"/>
      <c r="I220" s="64"/>
      <c r="J220" s="64"/>
      <c r="K220" s="64"/>
      <c r="L220" s="64"/>
      <c r="M220" s="64" t="str">
        <v>B</v>
      </c>
      <c r="N220" s="90"/>
      <c r="O220" s="90"/>
      <c r="P220" s="90" t="str">
        <v>✅</v>
      </c>
      <c r="Q220" s="90"/>
      <c r="R220" s="64" t="str">
        <v>Curve_L90_X1_Y1_Z1</v>
      </c>
      <c r="S220" s="66" t="str">
        <v>/Script/Engine.StaticMesh'/Game/Item/Rail/Curve/L90/Normal/Curve_L90_X1_Y1_Z1/Proxy/SM_Curve_L90_X1_Y1_Z1_Proxy_B.SM_Curve_L90_X1_Y1_Z1_Proxy_B'</v>
      </c>
      <c r="T220" s="139" t="str"/>
      <c r="U220" s="140"/>
      <c r="V220" s="140"/>
      <c r="W220" s="140"/>
      <c r="X220" s="88"/>
      <c r="Y220" s="88">
        <f>IF(AND(Q220="✅", OR(ISNUMBER(FIND("F",I220)), I220="CR")),   "X="&amp;U220*16&amp;",Y="&amp;(V220-1)*16&amp;",Z="&amp;IF(I220="FD", -(W220-1)*16, (W220-1)*16),   "")</f>
      </c>
      <c r="Z220" s="88">
        <f>IF(AND(Q220="✅", OR(ISNUMBER(FIND("F",I220)), I220="CR")), "P=0,Y=0,R=0", "")</f>
      </c>
      <c r="AA220" s="88" t="str"/>
      <c r="AB220" s="88" t="str"/>
      <c r="AC220" s="88" t="str"/>
      <c r="AD220" s="88" t="str"/>
      <c r="AE220" s="88" t="str"/>
      <c r="AF220" s="88"/>
      <c r="AG220" s="88" t="str"/>
      <c r="AH220" s="88" t="str"/>
      <c r="AI220" s="88" t="str"/>
      <c r="AJ220" s="88" t="str"/>
      <c r="AK220" s="88" t="str"/>
      <c r="AL220" s="88" t="str"/>
      <c r="AM220" s="88" t="str"/>
      <c r="AN220" s="88"/>
      <c r="AO220" s="88" t="str"/>
      <c r="AP220" s="88" t="str"/>
      <c r="AQ220" s="88" t="str"/>
      <c r="AR220" s="88" t="str"/>
      <c r="AS220" s="88" t="str"/>
      <c r="AT220" s="88" t="str"/>
      <c r="AU220" s="88" t="str"/>
      <c r="AV220" s="88"/>
      <c r="AW220" s="88">
        <f>IF(AND(Q220="✅", I220="U90"), "X="&amp;(U220-1)*16&amp;",Y="&amp;(V220-1)*16&amp;",Z="&amp;W220*16, "")</f>
      </c>
      <c r="AX220" s="88">
        <f>IF(AND(Q220="✅", I220="U90"), "P=90,Y=0,R=0", "")</f>
      </c>
      <c r="AY220" s="88" t="str"/>
      <c r="AZ220" s="88" t="str"/>
      <c r="BA220" s="88" t="str"/>
      <c r="BB220" s="88" t="str"/>
      <c r="BC220" s="88" t="str"/>
      <c r="BD220" s="88"/>
      <c r="BE220" s="88">
        <f>IF(AND(Q220="✅", I220="D90"), "X="&amp;(U220-1)*16&amp;",Y="&amp;(V220-1)*16&amp;",Z="&amp;(W220-2)*16, "")</f>
      </c>
      <c r="BF220" s="88">
        <f>IF(AND(Q220="✅", I220="D90"), "P=-90,Y=0,R=0", "")</f>
      </c>
      <c r="BG220" s="88" t="str"/>
      <c r="BH220" s="88" t="str"/>
      <c r="BI220" s="88" t="str"/>
      <c r="BJ220" s="88" t="str"/>
      <c r="BK220" s="88" t="str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</row>
    <row customHeight="true" ht="19" outlineLevel="2" r="221">
      <c r="A221" s="11"/>
      <c r="B221" s="11"/>
      <c r="C221" s="119" t="str">
        <v>Borderless_Caved</v>
      </c>
      <c r="D221" s="119"/>
      <c r="E221" s="5"/>
      <c r="F221" s="9"/>
      <c r="G221" s="1"/>
      <c r="H221" s="1"/>
      <c r="I221" s="1"/>
      <c r="J221" s="1"/>
      <c r="K221" s="1"/>
      <c r="L221" s="1"/>
      <c r="M221" s="1"/>
      <c r="N221" s="3"/>
      <c r="O221" s="3"/>
      <c r="P221" s="3"/>
      <c r="Q221" s="3"/>
      <c r="R221" s="1" t="str"/>
      <c r="S221" s="9" t="str"/>
      <c r="T221" s="120" t="str"/>
      <c r="U221" s="118"/>
      <c r="V221" s="118"/>
      <c r="W221" s="118"/>
      <c r="X221" s="4"/>
      <c r="Y221" s="4">
        <f>IF(AND(Q221="✅", OR(ISNUMBER(FIND("F",I221)), I221="CR")),   "X="&amp;U221*16&amp;",Y="&amp;(V221-1)*16&amp;",Z="&amp;IF(I221="FD", -(W221-1)*16, (W221-1)*16),   "")</f>
      </c>
      <c r="Z221" s="4">
        <f>IF(AND(Q221="✅", OR(ISNUMBER(FIND("F",I221)), I221="CR")), "P=0,Y=0,R=0", "")</f>
      </c>
      <c r="AA221" s="4" t="str"/>
      <c r="AB221" s="4" t="str"/>
      <c r="AC221" s="4" t="str"/>
      <c r="AD221" s="4" t="str"/>
      <c r="AE221" s="4" t="str"/>
      <c r="AF221" s="4"/>
      <c r="AG221" s="4" t="str"/>
      <c r="AH221" s="4" t="str"/>
      <c r="AI221" s="4" t="str"/>
      <c r="AJ221" s="4" t="str"/>
      <c r="AK221" s="4" t="str"/>
      <c r="AL221" s="4" t="str"/>
      <c r="AM221" s="4" t="str"/>
      <c r="AN221" s="4"/>
      <c r="AO221" s="4" t="str"/>
      <c r="AP221" s="4" t="str"/>
      <c r="AQ221" s="4" t="str"/>
      <c r="AR221" s="4" t="str"/>
      <c r="AS221" s="4" t="str"/>
      <c r="AT221" s="4" t="str"/>
      <c r="AU221" s="4" t="str"/>
      <c r="AV221" s="4"/>
      <c r="AW221" s="4">
        <f>IF(AND(Q221="✅", I221="U90"), "X="&amp;(U221-1)*16&amp;",Y="&amp;(V221-1)*16&amp;",Z="&amp;W221*16, "")</f>
      </c>
      <c r="AX221" s="4">
        <f>IF(AND(Q221="✅", I221="U90"), "P=90,Y=0,R=0", "")</f>
      </c>
      <c r="AY221" s="4" t="str"/>
      <c r="AZ221" s="4" t="str"/>
      <c r="BA221" s="4" t="str"/>
      <c r="BB221" s="4" t="str"/>
      <c r="BC221" s="4" t="str"/>
      <c r="BD221" s="4"/>
      <c r="BE221" s="4">
        <f>IF(AND(Q221="✅", I221="D90"), "X="&amp;(U221-1)*16&amp;",Y="&amp;(V221-1)*16&amp;",Z="&amp;(W221-2)*16, "")</f>
      </c>
      <c r="BF221" s="4">
        <f>IF(AND(Q221="✅", I221="D90"), "P=-90,Y=0,R=0", "")</f>
      </c>
      <c r="BG221" s="4" t="str"/>
      <c r="BH221" s="4" t="str"/>
      <c r="BI221" s="4" t="str"/>
      <c r="BJ221" s="4" t="str"/>
      <c r="BK221" s="4" t="str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</row>
    <row collapsed="true" customHeight="true" ht="19" outlineLevel="3" r="222">
      <c r="A222" s="11"/>
      <c r="B222" s="11"/>
      <c r="C222" s="119"/>
      <c r="D222" s="119">
        <v>1</v>
      </c>
      <c r="E222" s="5"/>
      <c r="F222" s="9"/>
      <c r="G222" s="1"/>
      <c r="H222" s="1"/>
      <c r="I222" s="1"/>
      <c r="J222" s="1"/>
      <c r="K222" s="1"/>
      <c r="L222" s="1"/>
      <c r="M222" s="1"/>
      <c r="N222" s="3"/>
      <c r="O222" s="3"/>
      <c r="P222" s="3"/>
      <c r="Q222" s="3"/>
      <c r="R222" s="1" t="str"/>
      <c r="S222" s="9" t="str"/>
      <c r="T222" s="120" t="str"/>
      <c r="U222" s="118"/>
      <c r="V222" s="118"/>
      <c r="W222" s="118"/>
      <c r="X222" s="4"/>
      <c r="Y222" s="4">
        <f>IF(AND(Q222="✅", OR(ISNUMBER(FIND("F",I222)), I222="CR")),   "X="&amp;U222*16&amp;",Y="&amp;(V222-1)*16&amp;",Z="&amp;IF(I222="FD", -(W222-1)*16, (W222-1)*16),   "")</f>
      </c>
      <c r="Z222" s="4">
        <f>IF(AND(Q222="✅", OR(ISNUMBER(FIND("F",I222)), I222="CR")), "P=0,Y=0,R=0", "")</f>
      </c>
      <c r="AA222" s="4" t="str"/>
      <c r="AB222" s="4" t="str"/>
      <c r="AC222" s="4" t="str"/>
      <c r="AD222" s="4" t="str"/>
      <c r="AE222" s="4" t="str"/>
      <c r="AF222" s="4"/>
      <c r="AG222" s="4" t="str"/>
      <c r="AH222" s="4" t="str"/>
      <c r="AI222" s="4" t="str"/>
      <c r="AJ222" s="4" t="str"/>
      <c r="AK222" s="4" t="str"/>
      <c r="AL222" s="4" t="str"/>
      <c r="AM222" s="4" t="str"/>
      <c r="AN222" s="4"/>
      <c r="AO222" s="4" t="str"/>
      <c r="AP222" s="4" t="str"/>
      <c r="AQ222" s="4" t="str"/>
      <c r="AR222" s="4" t="str"/>
      <c r="AS222" s="4" t="str"/>
      <c r="AT222" s="4" t="str"/>
      <c r="AU222" s="4" t="str"/>
      <c r="AV222" s="4"/>
      <c r="AW222" s="4">
        <f>IF(AND(Q222="✅", I222="U90"), "X="&amp;(U222-1)*16&amp;",Y="&amp;(V222-1)*16&amp;",Z="&amp;W222*16, "")</f>
      </c>
      <c r="AX222" s="4">
        <f>IF(AND(Q222="✅", I222="U90"), "P=90,Y=0,R=0", "")</f>
      </c>
      <c r="AY222" s="4" t="str"/>
      <c r="AZ222" s="4" t="str"/>
      <c r="BA222" s="4" t="str"/>
      <c r="BB222" s="4" t="str"/>
      <c r="BC222" s="4" t="str"/>
      <c r="BD222" s="4"/>
      <c r="BE222" s="4">
        <f>IF(AND(Q222="✅", I222="D90"), "X="&amp;(U222-1)*16&amp;",Y="&amp;(V222-1)*16&amp;",Z="&amp;(W222-2)*16, "")</f>
      </c>
      <c r="BF222" s="4">
        <f>IF(AND(Q222="✅", I222="D90"), "P=-90,Y=0,R=0", "")</f>
      </c>
      <c r="BG222" s="4" t="str"/>
      <c r="BH222" s="4" t="str"/>
      <c r="BI222" s="4" t="str"/>
      <c r="BJ222" s="4" t="str"/>
      <c r="BK222" s="4" t="str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</row>
    <row customHeight="true" hidden="true" ht="19" outlineLevel="4" r="223">
      <c r="A223" s="14" t="str" xml:space="preserve">
        <v> </v>
      </c>
      <c r="B223" s="14" t="str" xml:space="preserve">
        <v> </v>
      </c>
      <c r="C223" s="147" t="str" xml:space="preserve">
        <v> </v>
      </c>
      <c r="D223" s="147" t="str" xml:space="preserve">
        <v> </v>
      </c>
      <c r="E223" s="60">
        <f>G223 &amp; "_" &amp; H223 &amp; IF(I223&lt;&gt;"", "_" &amp; I223, "") &amp; IF(J223&lt;&gt;"", "_" &amp; J223, "") &amp; IF(K223&lt;&gt;"", "_" &amp; K223, "") &amp;"_X"&amp;U223&amp;"_Y"&amp;V223&amp;"_Z"&amp;W223 &amp; IF(G223="SM", "_Proxy" , "_Rail") &amp; IF(M223&lt;&gt;"", "_" &amp; M223, "")</f>
      </c>
      <c r="F223" s="62">
        <f>IF(E223="", "", IF(G223="BP", E223, F220))</f>
      </c>
      <c r="G223" s="61" t="str">
        <v>BP</v>
      </c>
      <c r="H223" s="61" t="str">
        <v>Curve</v>
      </c>
      <c r="I223" s="61" t="str">
        <v>L90</v>
      </c>
      <c r="J223" s="61" t="str">
        <v>Borderless</v>
      </c>
      <c r="K223" s="61" t="str">
        <v>Caved</v>
      </c>
      <c r="L223" s="61"/>
      <c r="M223" s="61"/>
      <c r="N223" s="87"/>
      <c r="O223" s="87"/>
      <c r="P223" s="87"/>
      <c r="Q223" s="87" t="str">
        <v>✅</v>
      </c>
      <c r="R223" s="61" t="str">
        <v>Curve_L90_Borderless_Caved_X1_Y1_Z1</v>
      </c>
      <c r="S223" s="62" t="str">
        <v>/Script/Engine.BlueprintGeneratedClass'/Game/Item/Rail/Curve/L90/Borderless_Caved/Curve_L90_Borderless_Caved_X1_Y1_Z1/BP_Curve_L90_Borderless_Caved_X1_Y1_Z1_Rail.BP_Curve_L90_Borderless_Caved_X1_Y1_Z1_Rail_C'</v>
      </c>
      <c r="T223" s="144">
        <v>2</v>
      </c>
      <c r="U223" s="145">
        <v>1</v>
      </c>
      <c r="V223" s="145">
        <v>1</v>
      </c>
      <c r="W223" s="145">
        <v>1</v>
      </c>
      <c r="X223" s="71"/>
      <c r="Y223" s="71">
        <f>IF(AND(Q223="✅", OR(ISNUMBER(FIND("F",I223)), I223="CR")),   "X="&amp;U223*16&amp;",Y="&amp;(V223-1)*16&amp;",Z="&amp;IF(I223="FD", -(W223-1)*16, (W223-1)*16),   "")</f>
      </c>
      <c r="Z223" s="71">
        <f>IF(AND(Q223="✅", OR(ISNUMBER(FIND("F",I223)), I223="CR")), "P=0,Y=0,R=0", "")</f>
      </c>
      <c r="AA223" s="71" t="str"/>
      <c r="AB223" s="71" t="str"/>
      <c r="AC223" s="71" t="str"/>
      <c r="AD223" s="71" t="str"/>
      <c r="AE223" s="71" t="str">
        <v>X=0,Y=0,Z=0,W=0</v>
      </c>
      <c r="AF223" s="71"/>
      <c r="AG223" s="71" t="str">
        <v>X=0,Y=-16,Z=0</v>
      </c>
      <c r="AH223" s="71" t="str">
        <v>P=0,Y=-90,R=0</v>
      </c>
      <c r="AI223" s="71">
        <v>1</v>
      </c>
      <c r="AJ223" s="71">
        <v>2</v>
      </c>
      <c r="AK223" s="71">
        <v>2.5</v>
      </c>
      <c r="AL223" s="71">
        <v>2</v>
      </c>
      <c r="AM223" s="71" t="str">
        <v>X=1,Y=2,Z=2.5,W=2</v>
      </c>
      <c r="AN223" s="71"/>
      <c r="AO223" s="71" t="str"/>
      <c r="AP223" s="71" t="str"/>
      <c r="AQ223" s="71" t="str"/>
      <c r="AR223" s="71" t="str"/>
      <c r="AS223" s="71" t="str"/>
      <c r="AT223" s="71" t="str"/>
      <c r="AU223" s="71" t="str"/>
      <c r="AV223" s="71"/>
      <c r="AW223" s="71">
        <f>IF(AND(Q223="✅", I223="U90"), "X="&amp;(U223-1)*16&amp;",Y="&amp;(V223-1)*16&amp;",Z="&amp;W223*16, "")</f>
      </c>
      <c r="AX223" s="71">
        <f>IF(AND(Q223="✅", I223="U90"), "P=90,Y=0,R=0", "")</f>
      </c>
      <c r="AY223" s="71" t="str"/>
      <c r="AZ223" s="71" t="str"/>
      <c r="BA223" s="71" t="str"/>
      <c r="BB223" s="71" t="str"/>
      <c r="BC223" s="71" t="str"/>
      <c r="BD223" s="71"/>
      <c r="BE223" s="71">
        <f>IF(AND(Q223="✅", I223="D90"), "X="&amp;(U223-1)*16&amp;",Y="&amp;(V223-1)*16&amp;",Z="&amp;(W223-2)*16, "")</f>
      </c>
      <c r="BF223" s="71">
        <f>IF(AND(Q223="✅", I223="D90"), "P=-90,Y=0,R=0", "")</f>
      </c>
      <c r="BG223" s="71" t="str"/>
      <c r="BH223" s="71" t="str"/>
      <c r="BI223" s="71" t="str"/>
      <c r="BJ223" s="71" t="str"/>
      <c r="BK223" s="71" t="str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</row>
    <row customHeight="true" hidden="true" ht="19" outlineLevel="4" r="224">
      <c r="A224" s="14" t="str" xml:space="preserve">
        <v> </v>
      </c>
      <c r="B224" s="14" t="str" xml:space="preserve">
        <v> </v>
      </c>
      <c r="C224" s="147" t="str" xml:space="preserve">
        <v> </v>
      </c>
      <c r="D224" s="147" t="str" xml:space="preserve">
        <v> </v>
      </c>
      <c r="E224" s="62">
        <f>G224 &amp; "_" &amp; H224 &amp; IF(I224&lt;&gt;"", "_" &amp; I224, "") &amp; IF(J224&lt;&gt;"", "_" &amp; J224, "") &amp; IF(K224&lt;&gt;"", "_" &amp; K224, "") &amp;"_X"&amp;U224&amp;"_Y"&amp;V224&amp;"_Z"&amp;W224 &amp; IF(G224="SM", "_Proxy" , "_Rail") &amp; IF(M224&lt;&gt;"", "_" &amp; M224, "")</f>
      </c>
      <c r="F224" s="62">
        <f>IF(E224="", "", IF(G224="BP", E224, F223))</f>
      </c>
      <c r="G224" s="71" t="str">
        <v>SM</v>
      </c>
      <c r="H224" s="71" t="str">
        <v>Curve</v>
      </c>
      <c r="I224" s="71" t="str">
        <v>L90</v>
      </c>
      <c r="J224" s="71" t="str">
        <v>Borderless</v>
      </c>
      <c r="K224" s="71" t="str">
        <v>Caved</v>
      </c>
      <c r="L224" s="71"/>
      <c r="M224" s="71" t="str">
        <v>BL</v>
      </c>
      <c r="N224" s="87"/>
      <c r="O224" s="59"/>
      <c r="P224" s="59" t="str">
        <v>✅</v>
      </c>
      <c r="Q224" s="59"/>
      <c r="R224" s="61" t="str">
        <v>Curve_L90_Borderless_Caved_X1_Y1_Z1</v>
      </c>
      <c r="S224" s="62" t="str">
        <v>/Script/Engine.StaticMesh'/Game/Item/Rail/Curve/L90/Borderless_Caved/Curve_L90_Borderless_Caved_X1_Y1_Z1/Proxy/SM_Curve_L90_Borderless_Caved_X1_Y1_Z1_Proxy_BL.SM_Curve_L90_Borderless_Caved_X1_Y1_Z1_Proxy_BL'</v>
      </c>
      <c r="T224" s="144" t="str"/>
      <c r="U224" s="145">
        <v>1</v>
      </c>
      <c r="V224" s="145">
        <v>1</v>
      </c>
      <c r="W224" s="145">
        <v>1</v>
      </c>
      <c r="X224" s="71"/>
      <c r="Y224" s="71">
        <f>IF(AND(Q224="✅", OR(ISNUMBER(FIND("F",I224)), I224="CR")),   "X="&amp;U224*16&amp;",Y="&amp;(V224-1)*16&amp;",Z="&amp;IF(I224="FD", -(W224-1)*16, (W224-1)*16),   "")</f>
      </c>
      <c r="Z224" s="71">
        <f>IF(AND(Q224="✅", OR(ISNUMBER(FIND("F",I224)), I224="CR")), "P=0,Y=0,R=0", "")</f>
      </c>
      <c r="AA224" s="71" t="str"/>
      <c r="AB224" s="71" t="str"/>
      <c r="AC224" s="71" t="str"/>
      <c r="AD224" s="71" t="str"/>
      <c r="AE224" s="71" t="str"/>
      <c r="AF224" s="71"/>
      <c r="AG224" s="71" t="str"/>
      <c r="AH224" s="71" t="str"/>
      <c r="AI224" s="71" t="str"/>
      <c r="AJ224" s="71" t="str"/>
      <c r="AK224" s="71" t="str"/>
      <c r="AL224" s="71" t="str"/>
      <c r="AM224" s="71" t="str"/>
      <c r="AN224" s="71"/>
      <c r="AO224" s="71" t="str"/>
      <c r="AP224" s="71" t="str"/>
      <c r="AQ224" s="71" t="str"/>
      <c r="AR224" s="71" t="str"/>
      <c r="AS224" s="71" t="str"/>
      <c r="AT224" s="71" t="str"/>
      <c r="AU224" s="71" t="str"/>
      <c r="AV224" s="71"/>
      <c r="AW224" s="71">
        <f>IF(AND(Q224="✅", I224="U90"), "X="&amp;(U224-1)*16&amp;",Y="&amp;(V224-1)*16&amp;",Z="&amp;W224*16, "")</f>
      </c>
      <c r="AX224" s="71">
        <f>IF(AND(Q224="✅", I224="U90"), "P=90,Y=0,R=0", "")</f>
      </c>
      <c r="AY224" s="71" t="str"/>
      <c r="AZ224" s="71" t="str"/>
      <c r="BA224" s="71" t="str"/>
      <c r="BB224" s="71" t="str"/>
      <c r="BC224" s="71" t="str"/>
      <c r="BD224" s="71"/>
      <c r="BE224" s="71">
        <f>IF(AND(Q224="✅", I224="D90"), "X="&amp;(U224-1)*16&amp;",Y="&amp;(V224-1)*16&amp;",Z="&amp;(W224-2)*16, "")</f>
      </c>
      <c r="BF224" s="71">
        <f>IF(AND(Q224="✅", I224="D90"), "P=-90,Y=0,R=0", "")</f>
      </c>
      <c r="BG224" s="71" t="str"/>
      <c r="BH224" s="71" t="str"/>
      <c r="BI224" s="71" t="str"/>
      <c r="BJ224" s="71" t="str"/>
      <c r="BK224" s="71" t="str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</row>
    <row customHeight="true" hidden="true" ht="19" outlineLevel="4" r="225">
      <c r="A225" s="14" t="str" xml:space="preserve">
        <v> </v>
      </c>
      <c r="B225" s="14" t="str" xml:space="preserve">
        <v> </v>
      </c>
      <c r="C225" s="147" t="str" xml:space="preserve">
        <v> </v>
      </c>
      <c r="D225" s="147" t="str" xml:space="preserve">
        <v> </v>
      </c>
      <c r="E225" s="62">
        <f>G225 &amp; "_" &amp; H225 &amp; IF(I225&lt;&gt;"", "_" &amp; I225, "") &amp; IF(J225&lt;&gt;"", "_" &amp; J225, "") &amp; IF(K225&lt;&gt;"", "_" &amp; K225, "") &amp;"_X"&amp;U225&amp;"_Y"&amp;V225&amp;"_Z"&amp;W225 &amp; IF(G225="SM", "_Proxy" , "_Rail") &amp; IF(M225&lt;&gt;"", "_" &amp; M225, "")</f>
      </c>
      <c r="F225" s="62">
        <f>IF(E225="", "", IF(G225="BP", E225, F224))</f>
      </c>
      <c r="G225" s="71" t="str">
        <v>SM</v>
      </c>
      <c r="H225" s="71" t="str">
        <v>Curve</v>
      </c>
      <c r="I225" s="71" t="str">
        <v>L90</v>
      </c>
      <c r="J225" s="71" t="str">
        <v>Borderless</v>
      </c>
      <c r="K225" s="71" t="str">
        <v>Caved</v>
      </c>
      <c r="L225" s="71"/>
      <c r="M225" s="71" t="str">
        <v>BR</v>
      </c>
      <c r="N225" s="87"/>
      <c r="O225" s="59"/>
      <c r="P225" s="59" t="str">
        <v>✅</v>
      </c>
      <c r="Q225" s="59"/>
      <c r="R225" s="61" t="str">
        <v>Curve_L90_Borderless_Caved_X1_Y1_Z1</v>
      </c>
      <c r="S225" s="62" t="str">
        <v>/Script/Engine.StaticMesh'/Game/Item/Rail/Curve/L90/Borderless_Caved/Curve_L90_Borderless_Caved_X1_Y1_Z1/Proxy/SM_Curve_L90_Borderless_Caved_X1_Y1_Z1_Proxy_BR.SM_Curve_L90_Borderless_Caved_X1_Y1_Z1_Proxy_BR'</v>
      </c>
      <c r="T225" s="144" t="str"/>
      <c r="U225" s="145">
        <v>1</v>
      </c>
      <c r="V225" s="145">
        <v>1</v>
      </c>
      <c r="W225" s="145">
        <v>1</v>
      </c>
      <c r="X225" s="71"/>
      <c r="Y225" s="71">
        <f>IF(AND(Q225="✅", OR(ISNUMBER(FIND("F",I225)), I225="CR")),   "X="&amp;U225*16&amp;",Y="&amp;(V225-1)*16&amp;",Z="&amp;IF(I225="FD", -(W225-1)*16, (W225-1)*16),   "")</f>
      </c>
      <c r="Z225" s="71">
        <f>IF(AND(Q225="✅", OR(ISNUMBER(FIND("F",I225)), I225="CR")), "P=0,Y=0,R=0", "")</f>
      </c>
      <c r="AA225" s="71" t="str"/>
      <c r="AB225" s="71" t="str"/>
      <c r="AC225" s="71" t="str"/>
      <c r="AD225" s="71" t="str"/>
      <c r="AE225" s="71" t="str"/>
      <c r="AF225" s="71"/>
      <c r="AG225" s="71" t="str"/>
      <c r="AH225" s="71" t="str"/>
      <c r="AI225" s="71" t="str"/>
      <c r="AJ225" s="71" t="str"/>
      <c r="AK225" s="71" t="str"/>
      <c r="AL225" s="71" t="str"/>
      <c r="AM225" s="71" t="str"/>
      <c r="AN225" s="71"/>
      <c r="AO225" s="71" t="str"/>
      <c r="AP225" s="71" t="str"/>
      <c r="AQ225" s="71" t="str"/>
      <c r="AR225" s="71" t="str"/>
      <c r="AS225" s="71" t="str"/>
      <c r="AT225" s="71" t="str"/>
      <c r="AU225" s="71" t="str"/>
      <c r="AV225" s="71"/>
      <c r="AW225" s="71">
        <f>IF(AND(Q225="✅", I225="U90"), "X="&amp;(U225-1)*16&amp;",Y="&amp;(V225-1)*16&amp;",Z="&amp;W225*16, "")</f>
      </c>
      <c r="AX225" s="71">
        <f>IF(AND(Q225="✅", I225="U90"), "P=90,Y=0,R=0", "")</f>
      </c>
      <c r="AY225" s="71" t="str"/>
      <c r="AZ225" s="71" t="str"/>
      <c r="BA225" s="71" t="str"/>
      <c r="BB225" s="71" t="str"/>
      <c r="BC225" s="71" t="str"/>
      <c r="BD225" s="71"/>
      <c r="BE225" s="71">
        <f>IF(AND(Q225="✅", I225="D90"), "X="&amp;(U225-1)*16&amp;",Y="&amp;(V225-1)*16&amp;",Z="&amp;(W225-2)*16, "")</f>
      </c>
      <c r="BF225" s="71">
        <f>IF(AND(Q225="✅", I225="D90"), "P=-90,Y=0,R=0", "")</f>
      </c>
      <c r="BG225" s="71" t="str"/>
      <c r="BH225" s="71" t="str"/>
      <c r="BI225" s="71" t="str"/>
      <c r="BJ225" s="71" t="str"/>
      <c r="BK225" s="71" t="str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</row>
    <row customHeight="true" ht="19" outlineLevel="2" r="226">
      <c r="A226" s="11"/>
      <c r="B226" s="11"/>
      <c r="C226" s="119" t="str">
        <v>Borderless_I</v>
      </c>
      <c r="D226" s="119"/>
      <c r="E226" s="5"/>
      <c r="F226" s="9"/>
      <c r="G226" s="1"/>
      <c r="H226" s="1"/>
      <c r="I226" s="1"/>
      <c r="J226" s="1"/>
      <c r="K226" s="1"/>
      <c r="L226" s="1"/>
      <c r="M226" s="1"/>
      <c r="N226" s="3"/>
      <c r="O226" s="3"/>
      <c r="P226" s="3"/>
      <c r="Q226" s="3"/>
      <c r="R226" s="1" t="str"/>
      <c r="S226" s="9" t="str"/>
      <c r="T226" s="120" t="str"/>
      <c r="U226" s="118"/>
      <c r="V226" s="118"/>
      <c r="W226" s="118"/>
      <c r="X226" s="4"/>
      <c r="Y226" s="4">
        <f>IF(AND(Q226="✅", OR(ISNUMBER(FIND("F",I226)), I226="CR")),   "X="&amp;U226*16&amp;",Y="&amp;(V226-1)*16&amp;",Z="&amp;IF(I226="FD", -(W226-1)*16, (W226-1)*16),   "")</f>
      </c>
      <c r="Z226" s="4">
        <f>IF(AND(Q226="✅", OR(ISNUMBER(FIND("F",I226)), I226="CR")), "P=0,Y=0,R=0", "")</f>
      </c>
      <c r="AA226" s="4" t="str"/>
      <c r="AB226" s="4" t="str"/>
      <c r="AC226" s="4" t="str"/>
      <c r="AD226" s="4" t="str"/>
      <c r="AE226" s="4" t="str"/>
      <c r="AF226" s="4"/>
      <c r="AG226" s="4" t="str"/>
      <c r="AH226" s="4" t="str"/>
      <c r="AI226" s="4" t="str"/>
      <c r="AJ226" s="4" t="str"/>
      <c r="AK226" s="4" t="str"/>
      <c r="AL226" s="4" t="str"/>
      <c r="AM226" s="4" t="str"/>
      <c r="AN226" s="4"/>
      <c r="AO226" s="4" t="str"/>
      <c r="AP226" s="4" t="str"/>
      <c r="AQ226" s="4" t="str"/>
      <c r="AR226" s="4" t="str"/>
      <c r="AS226" s="4" t="str"/>
      <c r="AT226" s="4" t="str"/>
      <c r="AU226" s="4" t="str"/>
      <c r="AV226" s="4"/>
      <c r="AW226" s="4">
        <f>IF(AND(Q226="✅", I226="U90"), "X="&amp;(U226-1)*16&amp;",Y="&amp;(V226-1)*16&amp;",Z="&amp;W226*16, "")</f>
      </c>
      <c r="AX226" s="4">
        <f>IF(AND(Q226="✅", I226="U90"), "P=90,Y=0,R=0", "")</f>
      </c>
      <c r="AY226" s="4" t="str"/>
      <c r="AZ226" s="4" t="str"/>
      <c r="BA226" s="4" t="str"/>
      <c r="BB226" s="4" t="str"/>
      <c r="BC226" s="4" t="str"/>
      <c r="BD226" s="4"/>
      <c r="BE226" s="4">
        <f>IF(AND(Q226="✅", I226="D90"), "X="&amp;(U226-1)*16&amp;",Y="&amp;(V226-1)*16&amp;",Z="&amp;(W226-2)*16, "")</f>
      </c>
      <c r="BF226" s="4">
        <f>IF(AND(Q226="✅", I226="D90"), "P=-90,Y=0,R=0", "")</f>
      </c>
      <c r="BG226" s="4" t="str"/>
      <c r="BH226" s="4" t="str"/>
      <c r="BI226" s="4" t="str"/>
      <c r="BJ226" s="4" t="str"/>
      <c r="BK226" s="4" t="str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</row>
    <row collapsed="true" customHeight="true" ht="19" outlineLevel="3" r="227">
      <c r="A227" s="11"/>
      <c r="B227" s="11"/>
      <c r="C227" s="119"/>
      <c r="D227" s="119">
        <v>1</v>
      </c>
      <c r="E227" s="5"/>
      <c r="F227" s="9"/>
      <c r="G227" s="1"/>
      <c r="H227" s="1"/>
      <c r="I227" s="1"/>
      <c r="J227" s="1"/>
      <c r="K227" s="1"/>
      <c r="L227" s="1"/>
      <c r="M227" s="1"/>
      <c r="N227" s="3"/>
      <c r="O227" s="3"/>
      <c r="P227" s="3"/>
      <c r="Q227" s="3"/>
      <c r="R227" s="1" t="str"/>
      <c r="S227" s="9" t="str"/>
      <c r="T227" s="120" t="str"/>
      <c r="U227" s="118"/>
      <c r="V227" s="118"/>
      <c r="W227" s="118"/>
      <c r="X227" s="4"/>
      <c r="Y227" s="4">
        <f>IF(AND(Q227="✅", OR(ISNUMBER(FIND("F",I227)), I227="CR")),   "X="&amp;U227*16&amp;",Y="&amp;(V227-1)*16&amp;",Z="&amp;IF(I227="FD", -(W227-1)*16, (W227-1)*16),   "")</f>
      </c>
      <c r="Z227" s="4">
        <f>IF(AND(Q227="✅", OR(ISNUMBER(FIND("F",I227)), I227="CR")), "P=0,Y=0,R=0", "")</f>
      </c>
      <c r="AA227" s="4" t="str"/>
      <c r="AB227" s="4" t="str"/>
      <c r="AC227" s="4" t="str"/>
      <c r="AD227" s="4" t="str"/>
      <c r="AE227" s="4" t="str"/>
      <c r="AF227" s="4"/>
      <c r="AG227" s="4" t="str"/>
      <c r="AH227" s="4" t="str"/>
      <c r="AI227" s="4" t="str"/>
      <c r="AJ227" s="4" t="str"/>
      <c r="AK227" s="4" t="str"/>
      <c r="AL227" s="4" t="str"/>
      <c r="AM227" s="4" t="str"/>
      <c r="AN227" s="4"/>
      <c r="AO227" s="4" t="str"/>
      <c r="AP227" s="4" t="str"/>
      <c r="AQ227" s="4" t="str"/>
      <c r="AR227" s="4" t="str"/>
      <c r="AS227" s="4" t="str"/>
      <c r="AT227" s="4" t="str"/>
      <c r="AU227" s="4" t="str"/>
      <c r="AV227" s="4"/>
      <c r="AW227" s="4">
        <f>IF(AND(Q227="✅", I227="U90"), "X="&amp;(U227-1)*16&amp;",Y="&amp;(V227-1)*16&amp;",Z="&amp;W227*16, "")</f>
      </c>
      <c r="AX227" s="4">
        <f>IF(AND(Q227="✅", I227="U90"), "P=90,Y=0,R=0", "")</f>
      </c>
      <c r="AY227" s="4" t="str"/>
      <c r="AZ227" s="4" t="str"/>
      <c r="BA227" s="4" t="str"/>
      <c r="BB227" s="4" t="str"/>
      <c r="BC227" s="4" t="str"/>
      <c r="BD227" s="4"/>
      <c r="BE227" s="4">
        <f>IF(AND(Q227="✅", I227="D90"), "X="&amp;(U227-1)*16&amp;",Y="&amp;(V227-1)*16&amp;",Z="&amp;(W227-2)*16, "")</f>
      </c>
      <c r="BF227" s="4">
        <f>IF(AND(Q227="✅", I227="D90"), "P=-90,Y=0,R=0", "")</f>
      </c>
      <c r="BG227" s="4" t="str"/>
      <c r="BH227" s="4" t="str"/>
      <c r="BI227" s="4" t="str"/>
      <c r="BJ227" s="4" t="str"/>
      <c r="BK227" s="4" t="str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</row>
    <row customHeight="true" hidden="true" ht="19" outlineLevel="4" r="228">
      <c r="A228" s="146" t="str" xml:space="preserve">
        <v> </v>
      </c>
      <c r="B228" s="146" t="str" xml:space="preserve">
        <v> </v>
      </c>
      <c r="C228" s="143" t="str" xml:space="preserve">
        <v> </v>
      </c>
      <c r="D228" s="143" t="str" xml:space="preserve">
        <v> </v>
      </c>
      <c r="E228" s="60">
        <f>G228 &amp; "_" &amp; H228 &amp; IF(I228&lt;&gt;"", "_" &amp; I228, "") &amp; IF(J228&lt;&gt;"", "_" &amp; J228, "") &amp; IF(K228&lt;&gt;"", "_" &amp; K228, "") &amp;"_X"&amp;U228&amp;"_Y"&amp;V228&amp;"_Z"&amp;W228 &amp; IF(G228="SM", "_Proxy" , "_Rail") &amp; IF(M228&lt;&gt;"", "_" &amp; M228, "")</f>
      </c>
      <c r="F228" s="62">
        <f>IF(E228="", "", IF(G228="BP", E228, F225))</f>
      </c>
      <c r="G228" s="61" t="str">
        <v>BP</v>
      </c>
      <c r="H228" s="61" t="str">
        <v>Curve</v>
      </c>
      <c r="I228" s="61" t="str">
        <v>L90</v>
      </c>
      <c r="J228" s="61" t="str">
        <v>Borderless_I</v>
      </c>
      <c r="K228" s="61"/>
      <c r="L228" s="61"/>
      <c r="M228" s="61"/>
      <c r="N228" s="87"/>
      <c r="O228" s="87"/>
      <c r="P228" s="87"/>
      <c r="Q228" s="87" t="str">
        <v>✅</v>
      </c>
      <c r="R228" s="61" t="str">
        <v>Curve_L90_Borderless_I_X1_Y1_Z1</v>
      </c>
      <c r="S228" s="62" t="str">
        <v>/Script/Engine.BlueprintGeneratedClass'/Game/Item/Rail/Curve/L90/Borderless_I/Curve_L90_Borderless_I_X1_Y1_Z1/BP_Curve_L90_Borderless_I_X1_Y1_Z1_Rail.BP_Curve_L90_Borderless_I_X1_Y1_Z1_Rail_C'</v>
      </c>
      <c r="T228" s="144">
        <v>1</v>
      </c>
      <c r="U228" s="145">
        <v>1</v>
      </c>
      <c r="V228" s="145">
        <v>1</v>
      </c>
      <c r="W228" s="145">
        <v>1</v>
      </c>
      <c r="X228" s="71"/>
      <c r="Y228" s="71">
        <f>IF(AND(Q228="✅", OR(ISNUMBER(FIND("F",I228)), I228="CR")),   "X="&amp;U228*16&amp;",Y="&amp;(V228-1)*16&amp;",Z="&amp;IF(I228="FD", -(W228-1)*16, (W228-1)*16),   "")</f>
      </c>
      <c r="Z228" s="71">
        <f>IF(AND(Q228="✅", OR(ISNUMBER(FIND("F",I228)), I228="CR")), "P=0,Y=0,R=0", "")</f>
      </c>
      <c r="AA228" s="71" t="str"/>
      <c r="AB228" s="71" t="str"/>
      <c r="AC228" s="71" t="str"/>
      <c r="AD228" s="71" t="str"/>
      <c r="AE228" s="71" t="str">
        <v>X=0,Y=0,Z=0,W=0</v>
      </c>
      <c r="AF228" s="71"/>
      <c r="AG228" s="71" t="str">
        <v>X=0,Y=-16,Z=0</v>
      </c>
      <c r="AH228" s="71" t="str">
        <v>P=0,Y=-90,R=0</v>
      </c>
      <c r="AI228" s="71">
        <v>1</v>
      </c>
      <c r="AJ228" s="71">
        <v>1.5</v>
      </c>
      <c r="AK228" s="71">
        <v>2</v>
      </c>
      <c r="AL228" s="71">
        <v>1.5</v>
      </c>
      <c r="AM228" s="71" t="str">
        <v>X=1,Y=1.5,Z=2,W=1.5</v>
      </c>
      <c r="AN228" s="71"/>
      <c r="AO228" s="71" t="str"/>
      <c r="AP228" s="71" t="str"/>
      <c r="AQ228" s="71" t="str"/>
      <c r="AR228" s="71" t="str"/>
      <c r="AS228" s="71" t="str"/>
      <c r="AT228" s="71" t="str"/>
      <c r="AU228" s="71" t="str"/>
      <c r="AV228" s="71"/>
      <c r="AW228" s="71">
        <f>IF(AND(Q228="✅", I228="U90"), "X="&amp;(U228-1)*16&amp;",Y="&amp;(V228-1)*16&amp;",Z="&amp;W228*16, "")</f>
      </c>
      <c r="AX228" s="71">
        <f>IF(AND(Q228="✅", I228="U90"), "P=90,Y=0,R=0", "")</f>
      </c>
      <c r="AY228" s="71" t="str"/>
      <c r="AZ228" s="71" t="str"/>
      <c r="BA228" s="71" t="str"/>
      <c r="BB228" s="71" t="str"/>
      <c r="BC228" s="71" t="str"/>
      <c r="BD228" s="71"/>
      <c r="BE228" s="71">
        <f>IF(AND(Q228="✅", I228="D90"), "X="&amp;(U228-1)*16&amp;",Y="&amp;(V228-1)*16&amp;",Z="&amp;(W228-2)*16, "")</f>
      </c>
      <c r="BF228" s="71">
        <f>IF(AND(Q228="✅", I228="D90"), "P=-90,Y=0,R=0", "")</f>
      </c>
      <c r="BG228" s="71" t="str"/>
      <c r="BH228" s="71" t="str"/>
      <c r="BI228" s="71" t="str"/>
      <c r="BJ228" s="71" t="str"/>
      <c r="BK228" s="71" t="str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</row>
    <row customHeight="true" hidden="true" ht="19" outlineLevel="4" r="229">
      <c r="A229" s="146" t="str" xml:space="preserve">
        <v> </v>
      </c>
      <c r="B229" s="146" t="str" xml:space="preserve">
        <v> </v>
      </c>
      <c r="C229" s="143" t="str" xml:space="preserve">
        <v> </v>
      </c>
      <c r="D229" s="143" t="str" xml:space="preserve">
        <v> </v>
      </c>
      <c r="E229" s="60">
        <f>E199</f>
      </c>
      <c r="F229" s="62">
        <f>IF(E229="", "", IF(G229="BP", E229, F228))</f>
      </c>
      <c r="G229" s="61"/>
      <c r="H229" s="61"/>
      <c r="I229" s="61"/>
      <c r="J229" s="61"/>
      <c r="K229" s="61"/>
      <c r="L229" s="61"/>
      <c r="M229" s="61" t="str">
        <v>B</v>
      </c>
      <c r="N229" s="87"/>
      <c r="O229" s="87"/>
      <c r="P229" s="87" t="str">
        <v>✅</v>
      </c>
      <c r="Q229" s="87"/>
      <c r="R229" s="61" t="str">
        <v>Curve_L90_X1_Y1_Z1</v>
      </c>
      <c r="S229" s="62" t="str">
        <v>/Script/Engine.StaticMesh'/Game/Item/Rail/Curve/L90/Normal/Curve_L90_X1_Y1_Z1/Proxy/SM_Curve_L90_X1_Y1_Z1_Proxy_B.SM_Curve_L90_X1_Y1_Z1_Proxy_B'</v>
      </c>
      <c r="T229" s="144" t="str"/>
      <c r="U229" s="145"/>
      <c r="V229" s="145"/>
      <c r="W229" s="145"/>
      <c r="X229" s="71"/>
      <c r="Y229" s="71">
        <f>IF(AND(Q229="✅", OR(ISNUMBER(FIND("F",I229)), I229="CR")),   "X="&amp;U229*16&amp;",Y="&amp;(V229-1)*16&amp;",Z="&amp;IF(I229="FD", -(W229-1)*16, (W229-1)*16),   "")</f>
      </c>
      <c r="Z229" s="71">
        <f>IF(AND(Q229="✅", OR(ISNUMBER(FIND("F",I229)), I229="CR")), "P=0,Y=0,R=0", "")</f>
      </c>
      <c r="AA229" s="71" t="str"/>
      <c r="AB229" s="71" t="str"/>
      <c r="AC229" s="71" t="str"/>
      <c r="AD229" s="71" t="str"/>
      <c r="AE229" s="71" t="str"/>
      <c r="AF229" s="71"/>
      <c r="AG229" s="71" t="str"/>
      <c r="AH229" s="71" t="str"/>
      <c r="AI229" s="71" t="str"/>
      <c r="AJ229" s="71" t="str"/>
      <c r="AK229" s="71" t="str"/>
      <c r="AL229" s="71" t="str"/>
      <c r="AM229" s="71" t="str"/>
      <c r="AN229" s="71"/>
      <c r="AO229" s="71" t="str"/>
      <c r="AP229" s="71" t="str"/>
      <c r="AQ229" s="71" t="str"/>
      <c r="AR229" s="71" t="str"/>
      <c r="AS229" s="71" t="str"/>
      <c r="AT229" s="71" t="str"/>
      <c r="AU229" s="71" t="str"/>
      <c r="AV229" s="71"/>
      <c r="AW229" s="71">
        <f>IF(AND(Q229="✅", I229="U90"), "X="&amp;(U229-1)*16&amp;",Y="&amp;(V229-1)*16&amp;",Z="&amp;W229*16, "")</f>
      </c>
      <c r="AX229" s="71">
        <f>IF(AND(Q229="✅", I229="U90"), "P=90,Y=0,R=0", "")</f>
      </c>
      <c r="AY229" s="71" t="str"/>
      <c r="AZ229" s="71" t="str"/>
      <c r="BA229" s="71" t="str"/>
      <c r="BB229" s="71" t="str"/>
      <c r="BC229" s="71" t="str"/>
      <c r="BD229" s="71"/>
      <c r="BE229" s="71">
        <f>IF(AND(Q229="✅", I229="D90"), "X="&amp;(U229-1)*16&amp;",Y="&amp;(V229-1)*16&amp;",Z="&amp;(W229-2)*16, "")</f>
      </c>
      <c r="BF229" s="71">
        <f>IF(AND(Q229="✅", I229="D90"), "P=-90,Y=0,R=0", "")</f>
      </c>
      <c r="BG229" s="71" t="str"/>
      <c r="BH229" s="71" t="str"/>
      <c r="BI229" s="71" t="str"/>
      <c r="BJ229" s="71" t="str"/>
      <c r="BK229" s="71" t="str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</row>
    <row customHeight="true" hidden="true" ht="19" outlineLevel="4" r="230">
      <c r="A230" s="146" t="str" xml:space="preserve">
        <v> </v>
      </c>
      <c r="B230" s="146" t="str" xml:space="preserve">
        <v> </v>
      </c>
      <c r="C230" s="143" t="str" xml:space="preserve">
        <v> </v>
      </c>
      <c r="D230" s="143" t="str" xml:space="preserve">
        <v> </v>
      </c>
      <c r="E230" s="60">
        <f>E201</f>
      </c>
      <c r="F230" s="62">
        <f>IF(E230="", "", IF(G230="BP", E230, F229))</f>
      </c>
      <c r="G230" s="61"/>
      <c r="H230" s="61"/>
      <c r="I230" s="61"/>
      <c r="J230" s="61"/>
      <c r="K230" s="61"/>
      <c r="L230" s="61"/>
      <c r="M230" s="61" t="str">
        <v>R</v>
      </c>
      <c r="N230" s="87"/>
      <c r="O230" s="87"/>
      <c r="P230" s="87" t="str">
        <v>✅</v>
      </c>
      <c r="Q230" s="87"/>
      <c r="R230" s="61" t="str">
        <v>Curve_L90_X1_Y1_Z1</v>
      </c>
      <c r="S230" s="62" t="str">
        <v>/Script/Engine.StaticMesh'/Game/Item/Rail/Curve/L90/Normal/Curve_L90_X1_Y1_Z1/Proxy/SM_Curve_L90_X1_Y1_Z1_Proxy_R.SM_Curve_L90_X1_Y1_Z1_Proxy_R'</v>
      </c>
      <c r="T230" s="144" t="str"/>
      <c r="U230" s="145"/>
      <c r="V230" s="145"/>
      <c r="W230" s="145"/>
      <c r="X230" s="71"/>
      <c r="Y230" s="71">
        <f>IF(AND(Q230="✅", OR(ISNUMBER(FIND("F",I230)), I230="CR")),   "X="&amp;U230*16&amp;",Y="&amp;(V230-1)*16&amp;",Z="&amp;IF(I230="FD", -(W230-1)*16, (W230-1)*16),   "")</f>
      </c>
      <c r="Z230" s="71">
        <f>IF(AND(Q230="✅", OR(ISNUMBER(FIND("F",I230)), I230="CR")), "P=0,Y=0,R=0", "")</f>
      </c>
      <c r="AA230" s="71" t="str"/>
      <c r="AB230" s="71" t="str"/>
      <c r="AC230" s="71" t="str"/>
      <c r="AD230" s="71" t="str"/>
      <c r="AE230" s="71" t="str"/>
      <c r="AF230" s="71"/>
      <c r="AG230" s="71" t="str"/>
      <c r="AH230" s="71" t="str"/>
      <c r="AI230" s="71" t="str"/>
      <c r="AJ230" s="71" t="str"/>
      <c r="AK230" s="71" t="str"/>
      <c r="AL230" s="71" t="str"/>
      <c r="AM230" s="71" t="str"/>
      <c r="AN230" s="71"/>
      <c r="AO230" s="71" t="str"/>
      <c r="AP230" s="71" t="str"/>
      <c r="AQ230" s="71" t="str"/>
      <c r="AR230" s="71" t="str"/>
      <c r="AS230" s="71" t="str"/>
      <c r="AT230" s="71" t="str"/>
      <c r="AU230" s="71" t="str"/>
      <c r="AV230" s="71"/>
      <c r="AW230" s="71">
        <f>IF(AND(Q230="✅", I230="U90"), "X="&amp;(U230-1)*16&amp;",Y="&amp;(V230-1)*16&amp;",Z="&amp;W230*16, "")</f>
      </c>
      <c r="AX230" s="71">
        <f>IF(AND(Q230="✅", I230="U90"), "P=90,Y=0,R=0", "")</f>
      </c>
      <c r="AY230" s="71" t="str"/>
      <c r="AZ230" s="71" t="str"/>
      <c r="BA230" s="71" t="str"/>
      <c r="BB230" s="71" t="str"/>
      <c r="BC230" s="71" t="str"/>
      <c r="BD230" s="71"/>
      <c r="BE230" s="71">
        <f>IF(AND(Q230="✅", I230="D90"), "X="&amp;(U230-1)*16&amp;",Y="&amp;(V230-1)*16&amp;",Z="&amp;(W230-2)*16, "")</f>
      </c>
      <c r="BF230" s="71">
        <f>IF(AND(Q230="✅", I230="D90"), "P=-90,Y=0,R=0", "")</f>
      </c>
      <c r="BG230" s="71" t="str"/>
      <c r="BH230" s="71" t="str"/>
      <c r="BI230" s="71" t="str"/>
      <c r="BJ230" s="71" t="str"/>
      <c r="BK230" s="71" t="str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</row>
    <row customHeight="true" ht="19" outlineLevel="2" r="231">
      <c r="A231" s="11"/>
      <c r="B231" s="11"/>
      <c r="C231" s="119" t="str">
        <v>Borderless_O</v>
      </c>
      <c r="D231" s="119"/>
      <c r="E231" s="5"/>
      <c r="F231" s="9"/>
      <c r="G231" s="1"/>
      <c r="H231" s="1"/>
      <c r="I231" s="1"/>
      <c r="J231" s="1"/>
      <c r="K231" s="1"/>
      <c r="L231" s="1"/>
      <c r="M231" s="1"/>
      <c r="N231" s="3"/>
      <c r="O231" s="3"/>
      <c r="P231" s="3"/>
      <c r="Q231" s="3"/>
      <c r="R231" s="1" t="str"/>
      <c r="S231" s="9" t="str"/>
      <c r="T231" s="120" t="str"/>
      <c r="U231" s="118"/>
      <c r="V231" s="118"/>
      <c r="W231" s="118"/>
      <c r="X231" s="4"/>
      <c r="Y231" s="4">
        <f>IF(AND(Q231="✅", OR(ISNUMBER(FIND("F",I231)), I231="CR")),   "X="&amp;U231*16&amp;",Y="&amp;(V231-1)*16&amp;",Z="&amp;IF(I231="FD", -(W231-1)*16, (W231-1)*16),   "")</f>
      </c>
      <c r="Z231" s="4">
        <f>IF(AND(Q231="✅", OR(ISNUMBER(FIND("F",I231)), I231="CR")), "P=0,Y=0,R=0", "")</f>
      </c>
      <c r="AA231" s="4" t="str"/>
      <c r="AB231" s="4" t="str"/>
      <c r="AC231" s="4" t="str"/>
      <c r="AD231" s="4" t="str"/>
      <c r="AE231" s="4" t="str"/>
      <c r="AF231" s="4"/>
      <c r="AG231" s="4" t="str"/>
      <c r="AH231" s="4" t="str"/>
      <c r="AI231" s="4" t="str"/>
      <c r="AJ231" s="4" t="str"/>
      <c r="AK231" s="4" t="str"/>
      <c r="AL231" s="4" t="str"/>
      <c r="AM231" s="4" t="str"/>
      <c r="AN231" s="4"/>
      <c r="AO231" s="4" t="str"/>
      <c r="AP231" s="4" t="str"/>
      <c r="AQ231" s="4" t="str"/>
      <c r="AR231" s="4" t="str"/>
      <c r="AS231" s="4" t="str"/>
      <c r="AT231" s="4" t="str"/>
      <c r="AU231" s="4" t="str"/>
      <c r="AV231" s="4"/>
      <c r="AW231" s="4">
        <f>IF(AND(Q231="✅", I231="U90"), "X="&amp;(U231-1)*16&amp;",Y="&amp;(V231-1)*16&amp;",Z="&amp;W231*16, "")</f>
      </c>
      <c r="AX231" s="4">
        <f>IF(AND(Q231="✅", I231="U90"), "P=90,Y=0,R=0", "")</f>
      </c>
      <c r="AY231" s="4" t="str"/>
      <c r="AZ231" s="4" t="str"/>
      <c r="BA231" s="4" t="str"/>
      <c r="BB231" s="4" t="str"/>
      <c r="BC231" s="4" t="str"/>
      <c r="BD231" s="4"/>
      <c r="BE231" s="4">
        <f>IF(AND(Q231="✅", I231="D90"), "X="&amp;(U231-1)*16&amp;",Y="&amp;(V231-1)*16&amp;",Z="&amp;(W231-2)*16, "")</f>
      </c>
      <c r="BF231" s="4">
        <f>IF(AND(Q231="✅", I231="D90"), "P=-90,Y=0,R=0", "")</f>
      </c>
      <c r="BG231" s="4" t="str"/>
      <c r="BH231" s="4" t="str"/>
      <c r="BI231" s="4" t="str"/>
      <c r="BJ231" s="4" t="str"/>
      <c r="BK231" s="4" t="str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</row>
    <row collapsed="true" customHeight="true" ht="19" outlineLevel="3" r="232">
      <c r="A232" s="11"/>
      <c r="B232" s="11"/>
      <c r="C232" s="119"/>
      <c r="D232" s="119">
        <v>1</v>
      </c>
      <c r="E232" s="5"/>
      <c r="F232" s="9"/>
      <c r="G232" s="1"/>
      <c r="H232" s="1"/>
      <c r="I232" s="1"/>
      <c r="J232" s="1"/>
      <c r="K232" s="1"/>
      <c r="L232" s="1"/>
      <c r="M232" s="1"/>
      <c r="N232" s="3"/>
      <c r="O232" s="3"/>
      <c r="P232" s="3"/>
      <c r="Q232" s="3"/>
      <c r="R232" s="1" t="str"/>
      <c r="S232" s="9" t="str"/>
      <c r="T232" s="120" t="str"/>
      <c r="U232" s="118"/>
      <c r="V232" s="118"/>
      <c r="W232" s="118"/>
      <c r="X232" s="4"/>
      <c r="Y232" s="4">
        <f>IF(AND(Q232="✅", OR(ISNUMBER(FIND("F",I232)), I232="CR")),   "X="&amp;U232*16&amp;",Y="&amp;(V232-1)*16&amp;",Z="&amp;IF(I232="FD", -(W232-1)*16, (W232-1)*16),   "")</f>
      </c>
      <c r="Z232" s="4">
        <f>IF(AND(Q232="✅", OR(ISNUMBER(FIND("F",I232)), I232="CR")), "P=0,Y=0,R=0", "")</f>
      </c>
      <c r="AA232" s="4" t="str"/>
      <c r="AB232" s="4" t="str"/>
      <c r="AC232" s="4" t="str"/>
      <c r="AD232" s="4" t="str"/>
      <c r="AE232" s="4" t="str"/>
      <c r="AF232" s="4"/>
      <c r="AG232" s="4" t="str"/>
      <c r="AH232" s="4" t="str"/>
      <c r="AI232" s="4" t="str"/>
      <c r="AJ232" s="4" t="str"/>
      <c r="AK232" s="4" t="str"/>
      <c r="AL232" s="4" t="str"/>
      <c r="AM232" s="4" t="str"/>
      <c r="AN232" s="4"/>
      <c r="AO232" s="4" t="str"/>
      <c r="AP232" s="4" t="str"/>
      <c r="AQ232" s="4" t="str"/>
      <c r="AR232" s="4" t="str"/>
      <c r="AS232" s="4" t="str"/>
      <c r="AT232" s="4" t="str"/>
      <c r="AU232" s="4" t="str"/>
      <c r="AV232" s="4"/>
      <c r="AW232" s="4">
        <f>IF(AND(Q232="✅", I232="U90"), "X="&amp;(U232-1)*16&amp;",Y="&amp;(V232-1)*16&amp;",Z="&amp;W232*16, "")</f>
      </c>
      <c r="AX232" s="4">
        <f>IF(AND(Q232="✅", I232="U90"), "P=90,Y=0,R=0", "")</f>
      </c>
      <c r="AY232" s="4" t="str"/>
      <c r="AZ232" s="4" t="str"/>
      <c r="BA232" s="4" t="str"/>
      <c r="BB232" s="4" t="str"/>
      <c r="BC232" s="4" t="str"/>
      <c r="BD232" s="4"/>
      <c r="BE232" s="4">
        <f>IF(AND(Q232="✅", I232="D90"), "X="&amp;(U232-1)*16&amp;",Y="&amp;(V232-1)*16&amp;",Z="&amp;(W232-2)*16, "")</f>
      </c>
      <c r="BF232" s="4">
        <f>IF(AND(Q232="✅", I232="D90"), "P=-90,Y=0,R=0", "")</f>
      </c>
      <c r="BG232" s="4" t="str"/>
      <c r="BH232" s="4" t="str"/>
      <c r="BI232" s="4" t="str"/>
      <c r="BJ232" s="4" t="str"/>
      <c r="BK232" s="4" t="str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</row>
    <row customHeight="true" hidden="true" ht="19" outlineLevel="4" r="233">
      <c r="A233" s="14" t="str" xml:space="preserve">
        <v> </v>
      </c>
      <c r="B233" s="14" t="str" xml:space="preserve">
        <v> </v>
      </c>
      <c r="C233" s="147" t="str" xml:space="preserve">
        <v> </v>
      </c>
      <c r="D233" s="147" t="str" xml:space="preserve">
        <v> </v>
      </c>
      <c r="E233" s="65">
        <f>G233 &amp; "_" &amp; H233 &amp; IF(I233&lt;&gt;"", "_" &amp; I233, "") &amp; IF(J233&lt;&gt;"", "_" &amp; J233, "") &amp; IF(K233&lt;&gt;"", "_" &amp; K233, "") &amp;"_X"&amp;U233&amp;"_Y"&amp;V233&amp;"_Z"&amp;W233 &amp; IF(G233="SM", "_Proxy" , "_Rail") &amp; IF(M233&lt;&gt;"", "_" &amp; M233, "")</f>
      </c>
      <c r="F233" s="66">
        <f>IF(E233="", "", IF(G233="BP", E233, F230))</f>
      </c>
      <c r="G233" s="64" t="str">
        <v>BP</v>
      </c>
      <c r="H233" s="64" t="str">
        <v>Curve</v>
      </c>
      <c r="I233" s="64" t="str">
        <v>L90</v>
      </c>
      <c r="J233" s="64" t="str">
        <v>Borderless_O</v>
      </c>
      <c r="K233" s="64"/>
      <c r="L233" s="64"/>
      <c r="M233" s="64"/>
      <c r="N233" s="90"/>
      <c r="O233" s="90"/>
      <c r="P233" s="90"/>
      <c r="Q233" s="90" t="str">
        <v>✅</v>
      </c>
      <c r="R233" s="64" t="str">
        <v>Curve_L90_Borderless_O_X1_Y1_Z1</v>
      </c>
      <c r="S233" s="66" t="str">
        <v>/Script/Engine.BlueprintGeneratedClass'/Game/Item/Rail/Curve/L90/Borderless_O/Curve_L90_Borderless_O_X1_Y1_Z1/BP_Curve_L90_Borderless_O_X1_Y1_Z1_Rail.BP_Curve_L90_Borderless_O_X1_Y1_Z1_Rail_C'</v>
      </c>
      <c r="T233" s="139">
        <v>2.5</v>
      </c>
      <c r="U233" s="140">
        <v>1</v>
      </c>
      <c r="V233" s="140">
        <v>1</v>
      </c>
      <c r="W233" s="140">
        <v>1</v>
      </c>
      <c r="X233" s="88"/>
      <c r="Y233" s="88">
        <f>IF(AND(Q233="✅", OR(ISNUMBER(FIND("F",I233)), I233="CR")),   "X="&amp;U233*16&amp;",Y="&amp;(V233-1)*16&amp;",Z="&amp;IF(I233="FD", -(W233-1)*16, (W233-1)*16),   "")</f>
      </c>
      <c r="Z233" s="88">
        <f>IF(AND(Q233="✅", OR(ISNUMBER(FIND("F",I233)), I233="CR")), "P=0,Y=0,R=0", "")</f>
      </c>
      <c r="AA233" s="88" t="str"/>
      <c r="AB233" s="88" t="str"/>
      <c r="AC233" s="88" t="str"/>
      <c r="AD233" s="88" t="str"/>
      <c r="AE233" s="88" t="str">
        <v>X=0,Y=0,Z=0,W=0</v>
      </c>
      <c r="AF233" s="88"/>
      <c r="AG233" s="88" t="str">
        <v>X=0,Y=-16,Z=0</v>
      </c>
      <c r="AH233" s="88" t="str">
        <v>P=0,Y=-90,R=0</v>
      </c>
      <c r="AI233" s="88">
        <v>1</v>
      </c>
      <c r="AJ233" s="88">
        <v>1.5</v>
      </c>
      <c r="AK233" s="88">
        <v>2</v>
      </c>
      <c r="AL233" s="88">
        <v>1.5</v>
      </c>
      <c r="AM233" s="88" t="str">
        <v>X=1,Y=1.5,Z=2,W=1.5</v>
      </c>
      <c r="AN233" s="88"/>
      <c r="AO233" s="88" t="str"/>
      <c r="AP233" s="88" t="str"/>
      <c r="AQ233" s="88" t="str"/>
      <c r="AR233" s="88" t="str"/>
      <c r="AS233" s="88" t="str"/>
      <c r="AT233" s="88" t="str"/>
      <c r="AU233" s="88" t="str"/>
      <c r="AV233" s="88"/>
      <c r="AW233" s="88">
        <f>IF(AND(Q233="✅", I233="U90"), "X="&amp;(U233-1)*16&amp;",Y="&amp;(V233-1)*16&amp;",Z="&amp;W233*16, "")</f>
      </c>
      <c r="AX233" s="88">
        <f>IF(AND(Q233="✅", I233="U90"), "P=90,Y=0,R=0", "")</f>
      </c>
      <c r="AY233" s="88" t="str"/>
      <c r="AZ233" s="88" t="str"/>
      <c r="BA233" s="88" t="str"/>
      <c r="BB233" s="88" t="str"/>
      <c r="BC233" s="88" t="str"/>
      <c r="BD233" s="88"/>
      <c r="BE233" s="88">
        <f>IF(AND(Q233="✅", I233="D90"), "X="&amp;(U233-1)*16&amp;",Y="&amp;(V233-1)*16&amp;",Z="&amp;(W233-2)*16, "")</f>
      </c>
      <c r="BF233" s="88">
        <f>IF(AND(Q233="✅", I233="D90"), "P=-90,Y=0,R=0", "")</f>
      </c>
      <c r="BG233" s="88" t="str"/>
      <c r="BH233" s="88" t="str"/>
      <c r="BI233" s="88" t="str"/>
      <c r="BJ233" s="88" t="str"/>
      <c r="BK233" s="88" t="str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</row>
    <row customHeight="true" hidden="true" ht="19" outlineLevel="4" r="234">
      <c r="A234" s="14" t="str" xml:space="preserve">
        <v> </v>
      </c>
      <c r="B234" s="14" t="str" xml:space="preserve">
        <v> </v>
      </c>
      <c r="C234" s="147" t="str" xml:space="preserve">
        <v> </v>
      </c>
      <c r="D234" s="147" t="str" xml:space="preserve">
        <v> </v>
      </c>
      <c r="E234" s="65">
        <f>E199</f>
      </c>
      <c r="F234" s="66">
        <f>IF(E234="", "", IF(G234="BP", E234, F233))</f>
      </c>
      <c r="G234" s="64"/>
      <c r="H234" s="64"/>
      <c r="I234" s="64"/>
      <c r="J234" s="64"/>
      <c r="K234" s="64"/>
      <c r="L234" s="64"/>
      <c r="M234" s="64" t="str">
        <v>B</v>
      </c>
      <c r="N234" s="90"/>
      <c r="O234" s="90"/>
      <c r="P234" s="90" t="str">
        <v>✅</v>
      </c>
      <c r="Q234" s="90"/>
      <c r="R234" s="64" t="str">
        <v>Curve_L90_X1_Y1_Z1</v>
      </c>
      <c r="S234" s="66" t="str">
        <v>/Script/Engine.StaticMesh'/Game/Item/Rail/Curve/L90/Normal/Curve_L90_X1_Y1_Z1/Proxy/SM_Curve_L90_X1_Y1_Z1_Proxy_B.SM_Curve_L90_X1_Y1_Z1_Proxy_B'</v>
      </c>
      <c r="T234" s="139" t="str"/>
      <c r="U234" s="140"/>
      <c r="V234" s="140"/>
      <c r="W234" s="140"/>
      <c r="X234" s="88"/>
      <c r="Y234" s="88">
        <f>IF(AND(Q234="✅", OR(ISNUMBER(FIND("F",I234)), I234="CR")),   "X="&amp;U234*16&amp;",Y="&amp;(V234-1)*16&amp;",Z="&amp;IF(I234="FD", -(W234-1)*16, (W234-1)*16),   "")</f>
      </c>
      <c r="Z234" s="88">
        <f>IF(AND(Q234="✅", OR(ISNUMBER(FIND("F",I234)), I234="CR")), "P=0,Y=0,R=0", "")</f>
      </c>
      <c r="AA234" s="88" t="str"/>
      <c r="AB234" s="88" t="str"/>
      <c r="AC234" s="88" t="str"/>
      <c r="AD234" s="88" t="str"/>
      <c r="AE234" s="88" t="str"/>
      <c r="AF234" s="88"/>
      <c r="AG234" s="88" t="str"/>
      <c r="AH234" s="88" t="str"/>
      <c r="AI234" s="88" t="str"/>
      <c r="AJ234" s="88" t="str"/>
      <c r="AK234" s="88" t="str"/>
      <c r="AL234" s="88" t="str"/>
      <c r="AM234" s="88" t="str"/>
      <c r="AN234" s="88"/>
      <c r="AO234" s="88" t="str"/>
      <c r="AP234" s="88" t="str"/>
      <c r="AQ234" s="88" t="str"/>
      <c r="AR234" s="88" t="str"/>
      <c r="AS234" s="88" t="str"/>
      <c r="AT234" s="88" t="str"/>
      <c r="AU234" s="88" t="str"/>
      <c r="AV234" s="88"/>
      <c r="AW234" s="88">
        <f>IF(AND(Q234="✅", I234="U90"), "X="&amp;(U234-1)*16&amp;",Y="&amp;(V234-1)*16&amp;",Z="&amp;W234*16, "")</f>
      </c>
      <c r="AX234" s="88">
        <f>IF(AND(Q234="✅", I234="U90"), "P=90,Y=0,R=0", "")</f>
      </c>
      <c r="AY234" s="88" t="str"/>
      <c r="AZ234" s="88" t="str"/>
      <c r="BA234" s="88" t="str"/>
      <c r="BB234" s="88" t="str"/>
      <c r="BC234" s="88" t="str"/>
      <c r="BD234" s="88"/>
      <c r="BE234" s="88">
        <f>IF(AND(Q234="✅", I234="D90"), "X="&amp;(U234-1)*16&amp;",Y="&amp;(V234-1)*16&amp;",Z="&amp;(W234-2)*16, "")</f>
      </c>
      <c r="BF234" s="88">
        <f>IF(AND(Q234="✅", I234="D90"), "P=-90,Y=0,R=0", "")</f>
      </c>
      <c r="BG234" s="88" t="str"/>
      <c r="BH234" s="88" t="str"/>
      <c r="BI234" s="88" t="str"/>
      <c r="BJ234" s="88" t="str"/>
      <c r="BK234" s="88" t="str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</row>
    <row customHeight="true" hidden="true" ht="19" outlineLevel="4" r="235">
      <c r="A235" s="14" t="str" xml:space="preserve">
        <v> </v>
      </c>
      <c r="B235" s="14" t="str" xml:space="preserve">
        <v> </v>
      </c>
      <c r="C235" s="147" t="str" xml:space="preserve">
        <v> </v>
      </c>
      <c r="D235" s="147" t="str" xml:space="preserve">
        <v> </v>
      </c>
      <c r="E235" s="65">
        <f>E200</f>
      </c>
      <c r="F235" s="66">
        <f>IF(E235="", "", IF(G235="BP", E235, F234))</f>
      </c>
      <c r="G235" s="64"/>
      <c r="H235" s="64"/>
      <c r="I235" s="64"/>
      <c r="J235" s="64"/>
      <c r="K235" s="64"/>
      <c r="L235" s="64"/>
      <c r="M235" s="64" t="str">
        <v>L</v>
      </c>
      <c r="N235" s="90"/>
      <c r="O235" s="90"/>
      <c r="P235" s="90" t="str">
        <v>✅</v>
      </c>
      <c r="Q235" s="90"/>
      <c r="R235" s="64" t="str">
        <v>Curve_L90_X1_Y1_Z1</v>
      </c>
      <c r="S235" s="66" t="str">
        <v>/Script/Engine.StaticMesh'/Game/Item/Rail/Curve/L90/Normal/Curve_L90_X1_Y1_Z1/Proxy/SM_Curve_L90_X1_Y1_Z1_Proxy_L.SM_Curve_L90_X1_Y1_Z1_Proxy_L'</v>
      </c>
      <c r="T235" s="139" t="str"/>
      <c r="U235" s="140"/>
      <c r="V235" s="140"/>
      <c r="W235" s="140"/>
      <c r="X235" s="88"/>
      <c r="Y235" s="88">
        <f>IF(AND(Q235="✅", OR(ISNUMBER(FIND("F",I235)), I235="CR")),   "X="&amp;U235*16&amp;",Y="&amp;(V235-1)*16&amp;",Z="&amp;IF(I235="FD", -(W235-1)*16, (W235-1)*16),   "")</f>
      </c>
      <c r="Z235" s="88">
        <f>IF(AND(Q235="✅", OR(ISNUMBER(FIND("F",I235)), I235="CR")), "P=0,Y=0,R=0", "")</f>
      </c>
      <c r="AA235" s="88" t="str"/>
      <c r="AB235" s="88" t="str"/>
      <c r="AC235" s="88" t="str"/>
      <c r="AD235" s="88" t="str"/>
      <c r="AE235" s="88" t="str"/>
      <c r="AF235" s="88"/>
      <c r="AG235" s="88" t="str"/>
      <c r="AH235" s="88" t="str"/>
      <c r="AI235" s="88" t="str"/>
      <c r="AJ235" s="88" t="str"/>
      <c r="AK235" s="88" t="str"/>
      <c r="AL235" s="88" t="str"/>
      <c r="AM235" s="88" t="str"/>
      <c r="AN235" s="88"/>
      <c r="AO235" s="88" t="str"/>
      <c r="AP235" s="88" t="str"/>
      <c r="AQ235" s="88" t="str"/>
      <c r="AR235" s="88" t="str"/>
      <c r="AS235" s="88" t="str"/>
      <c r="AT235" s="88" t="str"/>
      <c r="AU235" s="88" t="str"/>
      <c r="AV235" s="88"/>
      <c r="AW235" s="88">
        <f>IF(AND(Q235="✅", I235="U90"), "X="&amp;(U235-1)*16&amp;",Y="&amp;(V235-1)*16&amp;",Z="&amp;W235*16, "")</f>
      </c>
      <c r="AX235" s="88">
        <f>IF(AND(Q235="✅", I235="U90"), "P=90,Y=0,R=0", "")</f>
      </c>
      <c r="AY235" s="88" t="str"/>
      <c r="AZ235" s="88" t="str"/>
      <c r="BA235" s="88" t="str"/>
      <c r="BB235" s="88" t="str"/>
      <c r="BC235" s="88" t="str"/>
      <c r="BD235" s="88"/>
      <c r="BE235" s="88">
        <f>IF(AND(Q235="✅", I235="D90"), "X="&amp;(U235-1)*16&amp;",Y="&amp;(V235-1)*16&amp;",Z="&amp;(W235-2)*16, "")</f>
      </c>
      <c r="BF235" s="88">
        <f>IF(AND(Q235="✅", I235="D90"), "P=-90,Y=0,R=0", "")</f>
      </c>
      <c r="BG235" s="88" t="str"/>
      <c r="BH235" s="88" t="str"/>
      <c r="BI235" s="88" t="str"/>
      <c r="BJ235" s="88" t="str"/>
      <c r="BK235" s="88" t="str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</row>
    <row collapsed="true" customHeight="true" ht="19" outlineLevel="3" r="236">
      <c r="A236" s="11"/>
      <c r="B236" s="11"/>
      <c r="C236" s="119"/>
      <c r="D236" s="119">
        <v>2</v>
      </c>
      <c r="E236" s="5"/>
      <c r="F236" s="9"/>
      <c r="G236" s="1"/>
      <c r="H236" s="1"/>
      <c r="I236" s="1"/>
      <c r="J236" s="1"/>
      <c r="K236" s="1"/>
      <c r="L236" s="1"/>
      <c r="M236" s="1"/>
      <c r="N236" s="3"/>
      <c r="O236" s="3"/>
      <c r="P236" s="3"/>
      <c r="Q236" s="3"/>
      <c r="R236" s="1" t="str"/>
      <c r="S236" s="9" t="str"/>
      <c r="T236" s="120" t="str"/>
      <c r="U236" s="118"/>
      <c r="V236" s="118"/>
      <c r="W236" s="118"/>
      <c r="X236" s="4"/>
      <c r="Y236" s="4">
        <f>IF(AND(Q236="✅", OR(ISNUMBER(FIND("F",I236)), I236="CR")),   "X="&amp;U236*16&amp;",Y="&amp;(V236-1)*16&amp;",Z="&amp;IF(I236="FD", -(W236-1)*16, (W236-1)*16),   "")</f>
      </c>
      <c r="Z236" s="4">
        <f>IF(AND(Q236="✅", OR(ISNUMBER(FIND("F",I236)), I236="CR")), "P=0,Y=0,R=0", "")</f>
      </c>
      <c r="AA236" s="4" t="str"/>
      <c r="AB236" s="4" t="str"/>
      <c r="AC236" s="4" t="str"/>
      <c r="AD236" s="4" t="str"/>
      <c r="AE236" s="4" t="str"/>
      <c r="AF236" s="4"/>
      <c r="AG236" s="4" t="str"/>
      <c r="AH236" s="4" t="str"/>
      <c r="AI236" s="4" t="str"/>
      <c r="AJ236" s="4" t="str"/>
      <c r="AK236" s="4" t="str"/>
      <c r="AL236" s="4" t="str"/>
      <c r="AM236" s="4" t="str"/>
      <c r="AN236" s="4"/>
      <c r="AO236" s="4" t="str"/>
      <c r="AP236" s="4" t="str"/>
      <c r="AQ236" s="4" t="str"/>
      <c r="AR236" s="4" t="str"/>
      <c r="AS236" s="4" t="str"/>
      <c r="AT236" s="4" t="str"/>
      <c r="AU236" s="4" t="str"/>
      <c r="AV236" s="4"/>
      <c r="AW236" s="4">
        <f>IF(AND(Q236="✅", I236="U90"), "X="&amp;(U236-1)*16&amp;",Y="&amp;(V236-1)*16&amp;",Z="&amp;W236*16, "")</f>
      </c>
      <c r="AX236" s="4">
        <f>IF(AND(Q236="✅", I236="U90"), "P=90,Y=0,R=0", "")</f>
      </c>
      <c r="AY236" s="4" t="str"/>
      <c r="AZ236" s="4" t="str"/>
      <c r="BA236" s="4" t="str"/>
      <c r="BB236" s="4" t="str"/>
      <c r="BC236" s="4" t="str"/>
      <c r="BD236" s="4"/>
      <c r="BE236" s="4">
        <f>IF(AND(Q236="✅", I236="D90"), "X="&amp;(U236-1)*16&amp;",Y="&amp;(V236-1)*16&amp;",Z="&amp;(W236-2)*16, "")</f>
      </c>
      <c r="BF236" s="4">
        <f>IF(AND(Q236="✅", I236="D90"), "P=-90,Y=0,R=0", "")</f>
      </c>
      <c r="BG236" s="4" t="str"/>
      <c r="BH236" s="4" t="str"/>
      <c r="BI236" s="4" t="str"/>
      <c r="BJ236" s="4" t="str"/>
      <c r="BK236" s="4" t="str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</row>
    <row customHeight="true" hidden="true" ht="19" outlineLevel="4" r="237">
      <c r="A237" s="14" t="str" xml:space="preserve">
        <v> </v>
      </c>
      <c r="B237" s="14" t="str" xml:space="preserve">
        <v> </v>
      </c>
      <c r="C237" s="147" t="str" xml:space="preserve">
        <v> </v>
      </c>
      <c r="D237" s="147" t="str" xml:space="preserve">
        <v> </v>
      </c>
      <c r="E237" s="21">
        <f>G237 &amp; "_" &amp; H237 &amp; IF(I237&lt;&gt;"", "_" &amp; I237, "") &amp; IF(J237&lt;&gt;"", "_" &amp; J237, "") &amp; IF(K237&lt;&gt;"", "_" &amp; K237, "") &amp;"_X"&amp;U237&amp;"_Y"&amp;V237&amp;"_Z"&amp;W237 &amp; IF(G237="SM", "_Proxy" , "_Rail") &amp; IF(M237&lt;&gt;"", "_" &amp; M237, "")</f>
      </c>
      <c r="F237" s="19">
        <f>IF(E237="", "", IF(G237="BP", E237, F206))</f>
      </c>
      <c r="G237" s="20" t="str">
        <v>BP</v>
      </c>
      <c r="H237" s="20" t="str">
        <v>Curve</v>
      </c>
      <c r="I237" s="20" t="str">
        <v>L90</v>
      </c>
      <c r="J237" s="20" t="str">
        <v>Borderless_O</v>
      </c>
      <c r="K237" s="20"/>
      <c r="L237" s="20"/>
      <c r="M237" s="20"/>
      <c r="N237" s="95"/>
      <c r="O237" s="95"/>
      <c r="P237" s="95"/>
      <c r="Q237" s="95" t="str">
        <v>✅</v>
      </c>
      <c r="R237" s="20" t="str">
        <v>Curve_L90_Borderless_O_X2_Y2_Z1</v>
      </c>
      <c r="S237" s="19" t="str">
        <v>/Script/Engine.BlueprintGeneratedClass'/Game/Item/Rail/Curve/L90/Borderless_O/Curve_L90_Borderless_O_X2_Y2_Z1/BP_Curve_L90_Borderless_O_X2_Y2_Z1_Rail.BP_Curve_L90_Borderless_O_X2_Y2_Z1_Rail_C'</v>
      </c>
      <c r="T237" s="131">
        <v>3.25</v>
      </c>
      <c r="U237" s="132">
        <v>2</v>
      </c>
      <c r="V237" s="132">
        <v>2</v>
      </c>
      <c r="W237" s="132">
        <v>1</v>
      </c>
      <c r="X237" s="25"/>
      <c r="Y237" s="25">
        <f>IF(AND(Q237="✅", OR(ISNUMBER(FIND("F",I237)), I237="CR")),   "X="&amp;U237*16&amp;",Y="&amp;(V237-1)*16&amp;",Z="&amp;IF(I237="FD", -(W237-1)*16, (W237-1)*16),   "")</f>
      </c>
      <c r="Z237" s="25">
        <f>IF(AND(Q237="✅", OR(ISNUMBER(FIND("F",I237)), I237="CR")), "P=0,Y=0,R=0", "")</f>
      </c>
      <c r="AA237" s="25" t="str"/>
      <c r="AB237" s="25" t="str"/>
      <c r="AC237" s="25" t="str"/>
      <c r="AD237" s="25" t="str"/>
      <c r="AE237" s="25" t="str">
        <v>X=0,Y=0,Z=0,W=0</v>
      </c>
      <c r="AF237" s="25"/>
      <c r="AG237" s="25" t="str">
        <v>X=16,Y=-32,Z=0</v>
      </c>
      <c r="AH237" s="25" t="str">
        <v>P=0,Y=-90,R=0</v>
      </c>
      <c r="AI237" s="25">
        <v>1</v>
      </c>
      <c r="AJ237" s="25">
        <v>1.5</v>
      </c>
      <c r="AK237" s="25">
        <v>2</v>
      </c>
      <c r="AL237" s="25">
        <v>1.5</v>
      </c>
      <c r="AM237" s="25" t="str">
        <v>X=1,Y=1.5,Z=2,W=1.5</v>
      </c>
      <c r="AN237" s="25"/>
      <c r="AO237" s="25" t="str"/>
      <c r="AP237" s="25" t="str"/>
      <c r="AQ237" s="25" t="str"/>
      <c r="AR237" s="25" t="str"/>
      <c r="AS237" s="25" t="str"/>
      <c r="AT237" s="25" t="str"/>
      <c r="AU237" s="25" t="str"/>
      <c r="AV237" s="25"/>
      <c r="AW237" s="25">
        <f>IF(AND(Q237="✅", I237="U90"), "X="&amp;(U237-1)*16&amp;",Y="&amp;(V237-1)*16&amp;",Z="&amp;W237*16, "")</f>
      </c>
      <c r="AX237" s="25">
        <f>IF(AND(Q237="✅", I237="U90"), "P=90,Y=0,R=0", "")</f>
      </c>
      <c r="AY237" s="25" t="str"/>
      <c r="AZ237" s="25" t="str"/>
      <c r="BA237" s="25" t="str"/>
      <c r="BB237" s="25" t="str"/>
      <c r="BC237" s="25" t="str"/>
      <c r="BD237" s="25"/>
      <c r="BE237" s="25">
        <f>IF(AND(Q237="✅", I237="D90"), "X="&amp;(U237-1)*16&amp;",Y="&amp;(V237-1)*16&amp;",Z="&amp;(W237-2)*16, "")</f>
      </c>
      <c r="BF237" s="25">
        <f>IF(AND(Q237="✅", I237="D90"), "P=-90,Y=0,R=0", "")</f>
      </c>
      <c r="BG237" s="25" t="str"/>
      <c r="BH237" s="25" t="str"/>
      <c r="BI237" s="25" t="str"/>
      <c r="BJ237" s="25" t="str"/>
      <c r="BK237" s="25" t="str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</row>
    <row customHeight="true" hidden="true" ht="19" outlineLevel="4" r="238">
      <c r="A238" s="14" t="str" xml:space="preserve">
        <v> </v>
      </c>
      <c r="B238" s="14" t="str" xml:space="preserve">
        <v> </v>
      </c>
      <c r="C238" s="147" t="str" xml:space="preserve">
        <v> </v>
      </c>
      <c r="D238" s="147" t="str" xml:space="preserve">
        <v> </v>
      </c>
      <c r="E238" s="21">
        <f>E204</f>
      </c>
      <c r="F238" s="19">
        <f>IF(E238="", "", IF(G238="BP", E238, F237))</f>
      </c>
      <c r="G238" s="20"/>
      <c r="H238" s="20"/>
      <c r="I238" s="20"/>
      <c r="J238" s="20"/>
      <c r="K238" s="20"/>
      <c r="L238" s="20"/>
      <c r="M238" s="20" t="str">
        <v>B</v>
      </c>
      <c r="N238" s="95"/>
      <c r="O238" s="95"/>
      <c r="P238" s="95" t="str">
        <v>✅</v>
      </c>
      <c r="Q238" s="95"/>
      <c r="R238" s="20" t="str">
        <v>Curve_L90_X2_Y2_Z1</v>
      </c>
      <c r="S238" s="19" t="str">
        <v>/Script/Engine.StaticMesh'/Game/Item/Rail/Curve/L90/Normal/Curve_L90_X2_Y2_Z1/Proxy/SM_Curve_L90_X2_Y2_Z1_Proxy_B.SM_Curve_L90_X2_Y2_Z1_Proxy_B'</v>
      </c>
      <c r="T238" s="131" t="str"/>
      <c r="U238" s="132"/>
      <c r="V238" s="132"/>
      <c r="W238" s="132"/>
      <c r="X238" s="25"/>
      <c r="Y238" s="25">
        <f>IF(AND(Q238="✅", OR(ISNUMBER(FIND("F",I238)), I238="CR")),   "X="&amp;U238*16&amp;",Y="&amp;(V238-1)*16&amp;",Z="&amp;IF(I238="FD", -(W238-1)*16, (W238-1)*16),   "")</f>
      </c>
      <c r="Z238" s="25">
        <f>IF(AND(Q238="✅", OR(ISNUMBER(FIND("F",I238)), I238="CR")), "P=0,Y=0,R=0", "")</f>
      </c>
      <c r="AA238" s="25" t="str"/>
      <c r="AB238" s="25" t="str"/>
      <c r="AC238" s="25" t="str"/>
      <c r="AD238" s="25" t="str"/>
      <c r="AE238" s="25" t="str"/>
      <c r="AF238" s="25"/>
      <c r="AG238" s="25" t="str"/>
      <c r="AH238" s="25" t="str"/>
      <c r="AI238" s="25" t="str"/>
      <c r="AJ238" s="25" t="str"/>
      <c r="AK238" s="25" t="str"/>
      <c r="AL238" s="25" t="str"/>
      <c r="AM238" s="25" t="str"/>
      <c r="AN238" s="25"/>
      <c r="AO238" s="25" t="str"/>
      <c r="AP238" s="25" t="str"/>
      <c r="AQ238" s="25" t="str"/>
      <c r="AR238" s="25" t="str"/>
      <c r="AS238" s="25" t="str"/>
      <c r="AT238" s="25" t="str"/>
      <c r="AU238" s="25" t="str"/>
      <c r="AV238" s="25"/>
      <c r="AW238" s="25">
        <f>IF(AND(Q238="✅", I238="U90"), "X="&amp;(U238-1)*16&amp;",Y="&amp;(V238-1)*16&amp;",Z="&amp;W238*16, "")</f>
      </c>
      <c r="AX238" s="25">
        <f>IF(AND(Q238="✅", I238="U90"), "P=90,Y=0,R=0", "")</f>
      </c>
      <c r="AY238" s="25" t="str"/>
      <c r="AZ238" s="25" t="str"/>
      <c r="BA238" s="25" t="str"/>
      <c r="BB238" s="25" t="str"/>
      <c r="BC238" s="25" t="str"/>
      <c r="BD238" s="25"/>
      <c r="BE238" s="25">
        <f>IF(AND(Q238="✅", I238="D90"), "X="&amp;(U238-1)*16&amp;",Y="&amp;(V238-1)*16&amp;",Z="&amp;(W238-2)*16, "")</f>
      </c>
      <c r="BF238" s="25">
        <f>IF(AND(Q238="✅", I238="D90"), "P=-90,Y=0,R=0", "")</f>
      </c>
      <c r="BG238" s="25" t="str"/>
      <c r="BH238" s="25" t="str"/>
      <c r="BI238" s="25" t="str"/>
      <c r="BJ238" s="25" t="str"/>
      <c r="BK238" s="25" t="str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</row>
    <row customHeight="true" hidden="true" ht="19" outlineLevel="4" r="239">
      <c r="A239" s="14" t="str" xml:space="preserve">
        <v> </v>
      </c>
      <c r="B239" s="14" t="str" xml:space="preserve">
        <v> </v>
      </c>
      <c r="C239" s="147" t="str" xml:space="preserve">
        <v> </v>
      </c>
      <c r="D239" s="147" t="str" xml:space="preserve">
        <v> </v>
      </c>
      <c r="E239" s="21">
        <f>E205</f>
      </c>
      <c r="F239" s="19">
        <f>IF(E239="", "", IF(G239="BP", E239, F238))</f>
      </c>
      <c r="G239" s="20"/>
      <c r="H239" s="20"/>
      <c r="I239" s="20"/>
      <c r="J239" s="20"/>
      <c r="K239" s="20"/>
      <c r="L239" s="20"/>
      <c r="M239" s="20" t="str">
        <v>L</v>
      </c>
      <c r="N239" s="95"/>
      <c r="O239" s="95"/>
      <c r="P239" s="95" t="str">
        <v>✅</v>
      </c>
      <c r="Q239" s="95"/>
      <c r="R239" s="20" t="str">
        <v>Curve_L90_X2_Y2_Z1</v>
      </c>
      <c r="S239" s="19" t="str">
        <v>/Script/Engine.StaticMesh'/Game/Item/Rail/Curve/L90/Normal/Curve_L90_X2_Y2_Z1/Proxy/SM_Curve_L90_X2_Y2_Z1_Proxy_L.SM_Curve_L90_X2_Y2_Z1_Proxy_L'</v>
      </c>
      <c r="T239" s="131" t="str"/>
      <c r="U239" s="132"/>
      <c r="V239" s="132"/>
      <c r="W239" s="132"/>
      <c r="X239" s="25"/>
      <c r="Y239" s="25">
        <f>IF(AND(Q239="✅", OR(ISNUMBER(FIND("F",I239)), I239="CR")),   "X="&amp;U239*16&amp;",Y="&amp;(V239-1)*16&amp;",Z="&amp;IF(I239="FD", -(W239-1)*16, (W239-1)*16),   "")</f>
      </c>
      <c r="Z239" s="25">
        <f>IF(AND(Q239="✅", OR(ISNUMBER(FIND("F",I239)), I239="CR")), "P=0,Y=0,R=0", "")</f>
      </c>
      <c r="AA239" s="25" t="str"/>
      <c r="AB239" s="25" t="str"/>
      <c r="AC239" s="25" t="str"/>
      <c r="AD239" s="25" t="str"/>
      <c r="AE239" s="25" t="str"/>
      <c r="AF239" s="25"/>
      <c r="AG239" s="25" t="str"/>
      <c r="AH239" s="25" t="str"/>
      <c r="AI239" s="25" t="str"/>
      <c r="AJ239" s="25" t="str"/>
      <c r="AK239" s="25" t="str"/>
      <c r="AL239" s="25" t="str"/>
      <c r="AM239" s="25" t="str"/>
      <c r="AN239" s="25"/>
      <c r="AO239" s="25" t="str"/>
      <c r="AP239" s="25" t="str"/>
      <c r="AQ239" s="25" t="str"/>
      <c r="AR239" s="25" t="str"/>
      <c r="AS239" s="25" t="str"/>
      <c r="AT239" s="25" t="str"/>
      <c r="AU239" s="25" t="str"/>
      <c r="AV239" s="25"/>
      <c r="AW239" s="25">
        <f>IF(AND(Q239="✅", I239="U90"), "X="&amp;(U239-1)*16&amp;",Y="&amp;(V239-1)*16&amp;",Z="&amp;W239*16, "")</f>
      </c>
      <c r="AX239" s="25">
        <f>IF(AND(Q239="✅", I239="U90"), "P=90,Y=0,R=0", "")</f>
      </c>
      <c r="AY239" s="25" t="str"/>
      <c r="AZ239" s="25" t="str"/>
      <c r="BA239" s="25" t="str"/>
      <c r="BB239" s="25" t="str"/>
      <c r="BC239" s="25" t="str"/>
      <c r="BD239" s="25"/>
      <c r="BE239" s="25">
        <f>IF(AND(Q239="✅", I239="D90"), "X="&amp;(U239-1)*16&amp;",Y="&amp;(V239-1)*16&amp;",Z="&amp;(W239-2)*16, "")</f>
      </c>
      <c r="BF239" s="25">
        <f>IF(AND(Q239="✅", I239="D90"), "P=-90,Y=0,R=0", "")</f>
      </c>
      <c r="BG239" s="25" t="str"/>
      <c r="BH239" s="25" t="str"/>
      <c r="BI239" s="25" t="str"/>
      <c r="BJ239" s="25" t="str"/>
      <c r="BK239" s="25" t="str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</row>
    <row customHeight="true" ht="19" outlineLevel="1" r="240">
      <c r="A240" s="11"/>
      <c r="B240" s="11" t="str">
        <v>R90</v>
      </c>
      <c r="C240" s="119"/>
      <c r="D240" s="119"/>
      <c r="E240" s="5"/>
      <c r="F240" s="9">
        <f>IF(E240="", "", IF(G240="BP", E240, F216))</f>
      </c>
      <c r="G240" s="1"/>
      <c r="H240" s="1"/>
      <c r="I240" s="1"/>
      <c r="J240" s="1"/>
      <c r="K240" s="1"/>
      <c r="L240" s="1"/>
      <c r="M240" s="1"/>
      <c r="N240" s="3"/>
      <c r="O240" s="3"/>
      <c r="P240" s="3"/>
      <c r="Q240" s="3"/>
      <c r="R240" s="1" t="str"/>
      <c r="S240" s="9" t="str"/>
      <c r="T240" s="120" t="str"/>
      <c r="U240" s="118"/>
      <c r="V240" s="118"/>
      <c r="W240" s="118"/>
      <c r="X240" s="4"/>
      <c r="Y240" s="4">
        <f>IF(AND(Q240="✅", OR(ISNUMBER(FIND("F",I240)), I240="CR")),   "X="&amp;U240*16&amp;",Y="&amp;(V240-1)*16&amp;",Z="&amp;IF(I240="FD", -(W240-1)*16, (W240-1)*16),   "")</f>
      </c>
      <c r="Z240" s="4">
        <f>IF(AND(Q240="✅", OR(ISNUMBER(FIND("F",I240)), I240="CR")), "P=0,Y=0,R=0", "")</f>
      </c>
      <c r="AA240" s="4" t="str"/>
      <c r="AB240" s="4" t="str"/>
      <c r="AC240" s="4" t="str"/>
      <c r="AD240" s="4" t="str"/>
      <c r="AE240" s="4" t="str"/>
      <c r="AF240" s="4"/>
      <c r="AG240" s="4" t="str"/>
      <c r="AH240" s="4" t="str"/>
      <c r="AI240" s="4" t="str"/>
      <c r="AJ240" s="4" t="str"/>
      <c r="AK240" s="4" t="str"/>
      <c r="AL240" s="4" t="str"/>
      <c r="AM240" s="4" t="str"/>
      <c r="AN240" s="4"/>
      <c r="AO240" s="4" t="str"/>
      <c r="AP240" s="4" t="str"/>
      <c r="AQ240" s="4" t="str"/>
      <c r="AR240" s="4" t="str"/>
      <c r="AS240" s="4" t="str"/>
      <c r="AT240" s="4" t="str"/>
      <c r="AU240" s="4" t="str"/>
      <c r="AV240" s="4"/>
      <c r="AW240" s="4">
        <f>IF(AND(Q240="✅", I240="U90"), "X="&amp;(U240-1)*16&amp;",Y="&amp;(V240-1)*16&amp;",Z="&amp;W240*16, "")</f>
      </c>
      <c r="AX240" s="4">
        <f>IF(AND(Q240="✅", I240="U90"), "P=90,Y=0,R=0", "")</f>
      </c>
      <c r="AY240" s="4" t="str"/>
      <c r="AZ240" s="4" t="str"/>
      <c r="BA240" s="4" t="str"/>
      <c r="BB240" s="4" t="str"/>
      <c r="BC240" s="4" t="str"/>
      <c r="BD240" s="4"/>
      <c r="BE240" s="4">
        <f>IF(AND(Q240="✅", I240="D90"), "X="&amp;(U240-1)*16&amp;",Y="&amp;(V240-1)*16&amp;",Z="&amp;(W240-2)*16, "")</f>
      </c>
      <c r="BF240" s="4">
        <f>IF(AND(Q240="✅", I240="D90"), "P=-90,Y=0,R=0", "")</f>
      </c>
      <c r="BG240" s="4" t="str"/>
      <c r="BH240" s="4" t="str"/>
      <c r="BI240" s="4" t="str"/>
      <c r="BJ240" s="4" t="str"/>
      <c r="BK240" s="4" t="str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</row>
    <row customHeight="true" ht="19" outlineLevel="2" r="241">
      <c r="A241" s="11"/>
      <c r="B241" s="11"/>
      <c r="C241" s="147" t="str">
        <v>Normal</v>
      </c>
      <c r="D241" s="147"/>
      <c r="E241" s="5"/>
      <c r="F241" s="9"/>
      <c r="G241" s="1"/>
      <c r="H241" s="1"/>
      <c r="I241" s="1"/>
      <c r="J241" s="1"/>
      <c r="K241" s="1"/>
      <c r="L241" s="1"/>
      <c r="M241" s="1"/>
      <c r="N241" s="3"/>
      <c r="O241" s="3"/>
      <c r="P241" s="3"/>
      <c r="Q241" s="3"/>
      <c r="R241" s="1" t="str"/>
      <c r="S241" s="9" t="str"/>
      <c r="T241" s="120" t="str"/>
      <c r="U241" s="118"/>
      <c r="V241" s="118"/>
      <c r="W241" s="118"/>
      <c r="X241" s="4"/>
      <c r="Y241" s="4">
        <f>IF(AND(Q241="✅", OR(ISNUMBER(FIND("F",I241)), I241="CR")),   "X="&amp;U241*16&amp;",Y="&amp;(V241-1)*16&amp;",Z="&amp;IF(I241="FD", -(W241-1)*16, (W241-1)*16),   "")</f>
      </c>
      <c r="Z241" s="4">
        <f>IF(AND(Q241="✅", OR(ISNUMBER(FIND("F",I241)), I241="CR")), "P=0,Y=0,R=0", "")</f>
      </c>
      <c r="AA241" s="4" t="str"/>
      <c r="AB241" s="4" t="str"/>
      <c r="AC241" s="4" t="str"/>
      <c r="AD241" s="4" t="str"/>
      <c r="AE241" s="4" t="str"/>
      <c r="AF241" s="4"/>
      <c r="AG241" s="4" t="str"/>
      <c r="AH241" s="4" t="str"/>
      <c r="AI241" s="4" t="str"/>
      <c r="AJ241" s="4" t="str"/>
      <c r="AK241" s="4" t="str"/>
      <c r="AL241" s="4" t="str"/>
      <c r="AM241" s="4" t="str"/>
      <c r="AN241" s="4"/>
      <c r="AO241" s="4" t="str"/>
      <c r="AP241" s="4" t="str"/>
      <c r="AQ241" s="4" t="str"/>
      <c r="AR241" s="4" t="str"/>
      <c r="AS241" s="4" t="str"/>
      <c r="AT241" s="4" t="str"/>
      <c r="AU241" s="4" t="str"/>
      <c r="AV241" s="4"/>
      <c r="AW241" s="4">
        <f>IF(AND(Q241="✅", I241="U90"), "X="&amp;(U241-1)*16&amp;",Y="&amp;(V241-1)*16&amp;",Z="&amp;W241*16, "")</f>
      </c>
      <c r="AX241" s="4">
        <f>IF(AND(Q241="✅", I241="U90"), "P=90,Y=0,R=0", "")</f>
      </c>
      <c r="AY241" s="4" t="str"/>
      <c r="AZ241" s="4" t="str"/>
      <c r="BA241" s="4" t="str"/>
      <c r="BB241" s="4" t="str"/>
      <c r="BC241" s="4" t="str"/>
      <c r="BD241" s="4"/>
      <c r="BE241" s="4">
        <f>IF(AND(Q241="✅", I241="D90"), "X="&amp;(U241-1)*16&amp;",Y="&amp;(V241-1)*16&amp;",Z="&amp;(W241-2)*16, "")</f>
      </c>
      <c r="BF241" s="4">
        <f>IF(AND(Q241="✅", I241="D90"), "P=-90,Y=0,R=0", "")</f>
      </c>
      <c r="BG241" s="4" t="str"/>
      <c r="BH241" s="4" t="str"/>
      <c r="BI241" s="4" t="str"/>
      <c r="BJ241" s="4" t="str"/>
      <c r="BK241" s="4" t="str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</row>
    <row collapsed="true" customHeight="true" ht="19" outlineLevel="3" r="242">
      <c r="A242" s="11"/>
      <c r="B242" s="11"/>
      <c r="C242" s="147"/>
      <c r="D242" s="147">
        <v>1</v>
      </c>
      <c r="E242" s="5"/>
      <c r="F242" s="9"/>
      <c r="G242" s="1"/>
      <c r="H242" s="1"/>
      <c r="I242" s="1"/>
      <c r="J242" s="1"/>
      <c r="K242" s="1"/>
      <c r="L242" s="1"/>
      <c r="M242" s="1"/>
      <c r="N242" s="3"/>
      <c r="O242" s="3"/>
      <c r="P242" s="3"/>
      <c r="Q242" s="3"/>
      <c r="R242" s="1" t="str"/>
      <c r="S242" s="9" t="str"/>
      <c r="T242" s="120" t="str"/>
      <c r="U242" s="118"/>
      <c r="V242" s="118"/>
      <c r="W242" s="118"/>
      <c r="X242" s="4"/>
      <c r="Y242" s="4">
        <f>IF(AND(Q242="✅", OR(ISNUMBER(FIND("F",I242)), I242="CR")),   "X="&amp;U242*16&amp;",Y="&amp;(V242-1)*16&amp;",Z="&amp;IF(I242="FD", -(W242-1)*16, (W242-1)*16),   "")</f>
      </c>
      <c r="Z242" s="4">
        <f>IF(AND(Q242="✅", OR(ISNUMBER(FIND("F",I242)), I242="CR")), "P=0,Y=0,R=0", "")</f>
      </c>
      <c r="AA242" s="4" t="str"/>
      <c r="AB242" s="4" t="str"/>
      <c r="AC242" s="4" t="str"/>
      <c r="AD242" s="4" t="str"/>
      <c r="AE242" s="4" t="str"/>
      <c r="AF242" s="4"/>
      <c r="AG242" s="4" t="str"/>
      <c r="AH242" s="4" t="str"/>
      <c r="AI242" s="4" t="str"/>
      <c r="AJ242" s="4" t="str"/>
      <c r="AK242" s="4" t="str"/>
      <c r="AL242" s="4" t="str"/>
      <c r="AM242" s="4" t="str"/>
      <c r="AN242" s="4"/>
      <c r="AO242" s="4" t="str"/>
      <c r="AP242" s="4" t="str"/>
      <c r="AQ242" s="4" t="str"/>
      <c r="AR242" s="4" t="str"/>
      <c r="AS242" s="4" t="str"/>
      <c r="AT242" s="4" t="str"/>
      <c r="AU242" s="4" t="str"/>
      <c r="AV242" s="4"/>
      <c r="AW242" s="4">
        <f>IF(AND(Q242="✅", I242="U90"), "X="&amp;(U242-1)*16&amp;",Y="&amp;(V242-1)*16&amp;",Z="&amp;W242*16, "")</f>
      </c>
      <c r="AX242" s="4">
        <f>IF(AND(Q242="✅", I242="U90"), "P=90,Y=0,R=0", "")</f>
      </c>
      <c r="AY242" s="4" t="str"/>
      <c r="AZ242" s="4" t="str"/>
      <c r="BA242" s="4" t="str"/>
      <c r="BB242" s="4" t="str"/>
      <c r="BC242" s="4" t="str"/>
      <c r="BD242" s="4"/>
      <c r="BE242" s="4">
        <f>IF(AND(Q242="✅", I242="D90"), "X="&amp;(U242-1)*16&amp;",Y="&amp;(V242-1)*16&amp;",Z="&amp;(W242-2)*16, "")</f>
      </c>
      <c r="BF242" s="4">
        <f>IF(AND(Q242="✅", I242="D90"), "P=-90,Y=0,R=0", "")</f>
      </c>
      <c r="BG242" s="4" t="str"/>
      <c r="BH242" s="4" t="str"/>
      <c r="BI242" s="4" t="str"/>
      <c r="BJ242" s="4" t="str"/>
      <c r="BK242" s="4" t="str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</row>
    <row customHeight="true" hidden="true" ht="19" outlineLevel="4" r="243">
      <c r="A243" s="14" t="str" xml:space="preserve">
        <v> </v>
      </c>
      <c r="B243" s="14" t="str" xml:space="preserve">
        <v> </v>
      </c>
      <c r="C243" s="147" t="str" xml:space="preserve">
        <v> </v>
      </c>
      <c r="D243" s="147" t="str" xml:space="preserve">
        <v> </v>
      </c>
      <c r="E243" s="42">
        <f>G243 &amp; "_" &amp; H243 &amp; IF(I243&lt;&gt;"", "_" &amp; I243, "") &amp; IF(J243&lt;&gt;"", "_" &amp; J243, "") &amp; IF(K243&lt;&gt;"", "_" &amp; K243, "") &amp;"_X"&amp;U243&amp;"_Y"&amp;V243&amp;"_Z"&amp;W243 &amp; IF(G243="SM", "_Proxy" , "_Rail") &amp; IF(M243&lt;&gt;"", "_" &amp; M243, "")</f>
      </c>
      <c r="F243" s="47">
        <f>IF(E243="", "", IF(G243="BP", E243, F240))</f>
      </c>
      <c r="G243" s="43" t="str">
        <v>BP</v>
      </c>
      <c r="H243" s="43" t="str">
        <v>Curve</v>
      </c>
      <c r="I243" s="43" t="str">
        <v>R90</v>
      </c>
      <c r="J243" s="43"/>
      <c r="K243" s="43"/>
      <c r="L243" s="43"/>
      <c r="M243" s="43"/>
      <c r="N243" s="77"/>
      <c r="O243" s="77"/>
      <c r="P243" s="77"/>
      <c r="Q243" s="77" t="str">
        <v>✅</v>
      </c>
      <c r="R243" s="43" t="str">
        <v>Curve_R90_X1_Y1_Z1</v>
      </c>
      <c r="S243" s="47" t="str">
        <v>/Script/Engine.BlueprintGeneratedClass'/Game/Item/Rail/Curve/R90/Normal/Curve_R90_X1_Y1_Z1/BP_Curve_R90_X1_Y1_Z1_Rail.BP_Curve_R90_X1_Y1_Z1_Rail_C'</v>
      </c>
      <c r="T243" s="126">
        <v>1</v>
      </c>
      <c r="U243" s="128">
        <v>1</v>
      </c>
      <c r="V243" s="128">
        <v>1</v>
      </c>
      <c r="W243" s="128">
        <v>1</v>
      </c>
      <c r="X243" s="48"/>
      <c r="Y243" s="48">
        <f>IF(AND(Q243="✅", OR(ISNUMBER(FIND("F",I243)), I243="CR")),   "X="&amp;U243*16&amp;",Y="&amp;(V243-1)*16&amp;",Z="&amp;IF(I243="FD", -(W243-1)*16, (W243-1)*16),   "")</f>
      </c>
      <c r="Z243" s="48">
        <f>IF(AND(Q243="✅", OR(ISNUMBER(FIND("F",I243)), I243="CR")), "P=0,Y=0,R=0", "")</f>
      </c>
      <c r="AA243" s="48" t="str"/>
      <c r="AB243" s="48" t="str"/>
      <c r="AC243" s="48" t="str"/>
      <c r="AD243" s="48" t="str"/>
      <c r="AE243" s="48" t="str">
        <v>X=0,Y=0,Z=0,W=0</v>
      </c>
      <c r="AF243" s="48"/>
      <c r="AG243" s="48" t="str"/>
      <c r="AH243" s="48" t="str"/>
      <c r="AI243" s="48" t="str"/>
      <c r="AJ243" s="48" t="str"/>
      <c r="AK243" s="48" t="str"/>
      <c r="AL243" s="48" t="str"/>
      <c r="AM243" s="48" t="str"/>
      <c r="AN243" s="48"/>
      <c r="AO243" s="48" t="str">
        <v>X=0,Y=16,Z=0</v>
      </c>
      <c r="AP243" s="48" t="str">
        <v>P=0,Y=90,R=0</v>
      </c>
      <c r="AQ243" s="48">
        <v>1</v>
      </c>
      <c r="AR243" s="48">
        <v>1.5</v>
      </c>
      <c r="AS243" s="48">
        <v>2</v>
      </c>
      <c r="AT243" s="48">
        <v>1.5</v>
      </c>
      <c r="AU243" s="48" t="str">
        <v>X=1,Y=1.5,Z=2,W=1.5</v>
      </c>
      <c r="AV243" s="48"/>
      <c r="AW243" s="48">
        <f>IF(AND(Q243="✅", I243="U90"), "X="&amp;(U243-1)*16&amp;",Y="&amp;(V243-1)*16&amp;",Z="&amp;W243*16, "")</f>
      </c>
      <c r="AX243" s="48">
        <f>IF(AND(Q243="✅", I243="U90"), "P=90,Y=0,R=0", "")</f>
      </c>
      <c r="AY243" s="48" t="str"/>
      <c r="AZ243" s="48" t="str"/>
      <c r="BA243" s="48" t="str"/>
      <c r="BB243" s="48" t="str"/>
      <c r="BC243" s="48" t="str"/>
      <c r="BD243" s="48"/>
      <c r="BE243" s="48">
        <f>IF(AND(Q243="✅", I243="D90"), "X="&amp;(U243-1)*16&amp;",Y="&amp;(V243-1)*16&amp;",Z="&amp;(W243-2)*16, "")</f>
      </c>
      <c r="BF243" s="48">
        <f>IF(AND(Q243="✅", I243="D90"), "P=-90,Y=0,R=0", "")</f>
      </c>
      <c r="BG243" s="48" t="str"/>
      <c r="BH243" s="48" t="str"/>
      <c r="BI243" s="48" t="str"/>
      <c r="BJ243" s="48" t="str"/>
      <c r="BK243" s="48" t="str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  <c r="BW243" s="42"/>
      <c r="BX243" s="42"/>
      <c r="BY243" s="42"/>
    </row>
    <row customHeight="true" hidden="true" ht="19" outlineLevel="4" r="244">
      <c r="A244" s="14" t="str" xml:space="preserve">
        <v> </v>
      </c>
      <c r="B244" s="14" t="str" xml:space="preserve">
        <v> </v>
      </c>
      <c r="C244" s="147" t="str" xml:space="preserve">
        <v> </v>
      </c>
      <c r="D244" s="147" t="str" xml:space="preserve">
        <v> </v>
      </c>
      <c r="E244" s="42">
        <f>G244 &amp; "_" &amp; H244 &amp; IF(I244&lt;&gt;"", "_" &amp; I244, "") &amp; IF(J244&lt;&gt;"", "_" &amp; J244, "") &amp; IF(K244&lt;&gt;"", "_" &amp; K244, "") &amp;"_X"&amp;U244&amp;"_Y"&amp;V244&amp;"_Z"&amp;W244 &amp; IF(G244="SM", "_Proxy" , "_Rail") &amp; IF(M244&lt;&gt;"", "_" &amp; M244, "")</f>
      </c>
      <c r="F244" s="47">
        <f>IF(E244="", "", IF(G244="BP", E244, F243))</f>
      </c>
      <c r="G244" s="43" t="str">
        <v>SM</v>
      </c>
      <c r="H244" s="43" t="str">
        <v>Curve</v>
      </c>
      <c r="I244" s="43" t="str">
        <v>R90</v>
      </c>
      <c r="J244" s="43"/>
      <c r="K244" s="43"/>
      <c r="L244" s="43"/>
      <c r="M244" s="43" t="str">
        <v>B</v>
      </c>
      <c r="N244" s="77"/>
      <c r="O244" s="77"/>
      <c r="P244" s="77" t="str">
        <v>✅</v>
      </c>
      <c r="Q244" s="77"/>
      <c r="R244" s="43" t="str">
        <v>Curve_R90_X1_Y1_Z1</v>
      </c>
      <c r="S244" s="47" t="str">
        <v>/Script/Engine.StaticMesh'/Game/Item/Rail/Curve/R90/Normal/Curve_R90_X1_Y1_Z1/Proxy/SM_Curve_R90_X1_Y1_Z1_Proxy_B.SM_Curve_R90_X1_Y1_Z1_Proxy_B'</v>
      </c>
      <c r="T244" s="126" t="str"/>
      <c r="U244" s="128">
        <v>1</v>
      </c>
      <c r="V244" s="128">
        <v>1</v>
      </c>
      <c r="W244" s="128">
        <v>1</v>
      </c>
      <c r="X244" s="48"/>
      <c r="Y244" s="48">
        <f>IF(AND(Q244="✅", OR(ISNUMBER(FIND("F",I244)), I244="CR")),   "X="&amp;U244*16&amp;",Y="&amp;(V244-1)*16&amp;",Z="&amp;IF(I244="FD", -(W244-1)*16, (W244-1)*16),   "")</f>
      </c>
      <c r="Z244" s="48">
        <f>IF(AND(Q244="✅", OR(ISNUMBER(FIND("F",I244)), I244="CR")), "P=0,Y=0,R=0", "")</f>
      </c>
      <c r="AA244" s="48" t="str"/>
      <c r="AB244" s="48" t="str"/>
      <c r="AC244" s="48" t="str"/>
      <c r="AD244" s="48" t="str"/>
      <c r="AE244" s="48" t="str"/>
      <c r="AF244" s="48"/>
      <c r="AG244" s="48" t="str"/>
      <c r="AH244" s="48" t="str"/>
      <c r="AI244" s="48" t="str"/>
      <c r="AJ244" s="48" t="str"/>
      <c r="AK244" s="48" t="str"/>
      <c r="AL244" s="48" t="str"/>
      <c r="AM244" s="48" t="str"/>
      <c r="AN244" s="48"/>
      <c r="AO244" s="48" t="str"/>
      <c r="AP244" s="48" t="str"/>
      <c r="AQ244" s="48" t="str"/>
      <c r="AR244" s="48" t="str"/>
      <c r="AS244" s="48" t="str"/>
      <c r="AT244" s="48" t="str"/>
      <c r="AU244" s="48" t="str"/>
      <c r="AV244" s="48"/>
      <c r="AW244" s="48">
        <f>IF(AND(Q244="✅", I244="U90"), "X="&amp;(U244-1)*16&amp;",Y="&amp;(V244-1)*16&amp;",Z="&amp;W244*16, "")</f>
      </c>
      <c r="AX244" s="48">
        <f>IF(AND(Q244="✅", I244="U90"), "P=90,Y=0,R=0", "")</f>
      </c>
      <c r="AY244" s="48" t="str"/>
      <c r="AZ244" s="48" t="str"/>
      <c r="BA244" s="48" t="str"/>
      <c r="BB244" s="48" t="str"/>
      <c r="BC244" s="48" t="str"/>
      <c r="BD244" s="48"/>
      <c r="BE244" s="48">
        <f>IF(AND(Q244="✅", I244="D90"), "X="&amp;(U244-1)*16&amp;",Y="&amp;(V244-1)*16&amp;",Z="&amp;(W244-2)*16, "")</f>
      </c>
      <c r="BF244" s="48">
        <f>IF(AND(Q244="✅", I244="D90"), "P=-90,Y=0,R=0", "")</f>
      </c>
      <c r="BG244" s="48" t="str"/>
      <c r="BH244" s="48" t="str"/>
      <c r="BI244" s="48" t="str"/>
      <c r="BJ244" s="48" t="str"/>
      <c r="BK244" s="48" t="str"/>
      <c r="BL244" s="42"/>
      <c r="BM244" s="42"/>
      <c r="BN244" s="42"/>
      <c r="BO244" s="42"/>
      <c r="BP244" s="42"/>
      <c r="BQ244" s="42"/>
      <c r="BR244" s="42"/>
      <c r="BS244" s="42"/>
      <c r="BT244" s="42"/>
      <c r="BU244" s="42"/>
      <c r="BV244" s="42"/>
      <c r="BW244" s="42"/>
      <c r="BX244" s="42"/>
      <c r="BY244" s="42"/>
    </row>
    <row customHeight="true" hidden="true" ht="19" outlineLevel="4" r="245">
      <c r="A245" s="14" t="str" xml:space="preserve">
        <v> </v>
      </c>
      <c r="B245" s="14" t="str" xml:space="preserve">
        <v> </v>
      </c>
      <c r="C245" s="147" t="str" xml:space="preserve">
        <v> </v>
      </c>
      <c r="D245" s="147" t="str" xml:space="preserve">
        <v> </v>
      </c>
      <c r="E245" s="42">
        <f>G245 &amp; "_" &amp; H245 &amp; IF(I245&lt;&gt;"", "_" &amp; I245, "") &amp; IF(J245&lt;&gt;"", "_" &amp; J245, "") &amp; IF(K245&lt;&gt;"", "_" &amp; K245, "") &amp;"_X"&amp;U245&amp;"_Y"&amp;V245&amp;"_Z"&amp;W245 &amp; IF(G245="SM", "_Proxy" , "_Rail") &amp; IF(M245&lt;&gt;"", "_" &amp; M245, "")</f>
      </c>
      <c r="F245" s="47">
        <f>IF(E245="", "", IF(G245="BP", E245, F244))</f>
      </c>
      <c r="G245" s="43" t="str">
        <v>SM</v>
      </c>
      <c r="H245" s="43" t="str">
        <v>Curve</v>
      </c>
      <c r="I245" s="43" t="str">
        <v>R90</v>
      </c>
      <c r="J245" s="43"/>
      <c r="K245" s="43"/>
      <c r="L245" s="43"/>
      <c r="M245" s="43" t="str">
        <v>L</v>
      </c>
      <c r="N245" s="77"/>
      <c r="O245" s="77"/>
      <c r="P245" s="77" t="str">
        <v>✅</v>
      </c>
      <c r="Q245" s="77"/>
      <c r="R245" s="43" t="str">
        <v>Curve_R90_X1_Y1_Z1</v>
      </c>
      <c r="S245" s="47" t="str">
        <v>/Script/Engine.StaticMesh'/Game/Item/Rail/Curve/R90/Normal/Curve_R90_X1_Y1_Z1/Proxy/SM_Curve_R90_X1_Y1_Z1_Proxy_L.SM_Curve_R90_X1_Y1_Z1_Proxy_L'</v>
      </c>
      <c r="T245" s="126" t="str"/>
      <c r="U245" s="128">
        <v>1</v>
      </c>
      <c r="V245" s="128">
        <v>1</v>
      </c>
      <c r="W245" s="128">
        <v>1</v>
      </c>
      <c r="X245" s="48"/>
      <c r="Y245" s="48">
        <f>IF(AND(Q245="✅", OR(ISNUMBER(FIND("F",I245)), I245="CR")),   "X="&amp;U245*16&amp;",Y="&amp;(V245-1)*16&amp;",Z="&amp;IF(I245="FD", -(W245-1)*16, (W245-1)*16),   "")</f>
      </c>
      <c r="Z245" s="48">
        <f>IF(AND(Q245="✅", OR(ISNUMBER(FIND("F",I245)), I245="CR")), "P=0,Y=0,R=0", "")</f>
      </c>
      <c r="AA245" s="48" t="str"/>
      <c r="AB245" s="48" t="str"/>
      <c r="AC245" s="48" t="str"/>
      <c r="AD245" s="48" t="str"/>
      <c r="AE245" s="48" t="str"/>
      <c r="AF245" s="48"/>
      <c r="AG245" s="48" t="str"/>
      <c r="AH245" s="48" t="str"/>
      <c r="AI245" s="48" t="str"/>
      <c r="AJ245" s="48" t="str"/>
      <c r="AK245" s="48" t="str"/>
      <c r="AL245" s="48" t="str"/>
      <c r="AM245" s="48" t="str"/>
      <c r="AN245" s="48"/>
      <c r="AO245" s="48" t="str"/>
      <c r="AP245" s="48" t="str"/>
      <c r="AQ245" s="48" t="str"/>
      <c r="AR245" s="48" t="str"/>
      <c r="AS245" s="48" t="str"/>
      <c r="AT245" s="48" t="str"/>
      <c r="AU245" s="48" t="str"/>
      <c r="AV245" s="48"/>
      <c r="AW245" s="48">
        <f>IF(AND(Q245="✅", I245="U90"), "X="&amp;(U245-1)*16&amp;",Y="&amp;(V245-1)*16&amp;",Z="&amp;W245*16, "")</f>
      </c>
      <c r="AX245" s="48">
        <f>IF(AND(Q245="✅", I245="U90"), "P=90,Y=0,R=0", "")</f>
      </c>
      <c r="AY245" s="48" t="str"/>
      <c r="AZ245" s="48" t="str"/>
      <c r="BA245" s="48" t="str"/>
      <c r="BB245" s="48" t="str"/>
      <c r="BC245" s="48" t="str"/>
      <c r="BD245" s="48"/>
      <c r="BE245" s="48">
        <f>IF(AND(Q245="✅", I245="D90"), "X="&amp;(U245-1)*16&amp;",Y="&amp;(V245-1)*16&amp;",Z="&amp;(W245-2)*16, "")</f>
      </c>
      <c r="BF245" s="48">
        <f>IF(AND(Q245="✅", I245="D90"), "P=-90,Y=0,R=0", "")</f>
      </c>
      <c r="BG245" s="48" t="str"/>
      <c r="BH245" s="48" t="str"/>
      <c r="BI245" s="48" t="str"/>
      <c r="BJ245" s="48" t="str"/>
      <c r="BK245" s="48" t="str"/>
      <c r="BL245" s="42"/>
      <c r="BM245" s="42"/>
      <c r="BN245" s="42"/>
      <c r="BO245" s="42"/>
      <c r="BP245" s="42"/>
      <c r="BQ245" s="42"/>
      <c r="BR245" s="42"/>
      <c r="BS245" s="42"/>
      <c r="BT245" s="42"/>
      <c r="BU245" s="42"/>
      <c r="BV245" s="42"/>
      <c r="BW245" s="42"/>
      <c r="BX245" s="42"/>
      <c r="BY245" s="42"/>
    </row>
    <row customHeight="true" hidden="true" ht="19" outlineLevel="4" r="246">
      <c r="A246" s="14" t="str" xml:space="preserve">
        <v> </v>
      </c>
      <c r="B246" s="14" t="str" xml:space="preserve">
        <v> </v>
      </c>
      <c r="C246" s="147" t="str" xml:space="preserve">
        <v> </v>
      </c>
      <c r="D246" s="147" t="str" xml:space="preserve">
        <v> </v>
      </c>
      <c r="E246" s="42">
        <f>G246 &amp; "_" &amp; H246 &amp; IF(I246&lt;&gt;"", "_" &amp; I246, "") &amp; IF(J246&lt;&gt;"", "_" &amp; J246, "") &amp; IF(K246&lt;&gt;"", "_" &amp; K246, "") &amp;"_X"&amp;U246&amp;"_Y"&amp;V246&amp;"_Z"&amp;W246 &amp; IF(G246="SM", "_Proxy" , "_Rail") &amp; IF(M246&lt;&gt;"", "_" &amp; M246, "")</f>
      </c>
      <c r="F246" s="47">
        <f>IF(E246="", "", IF(G246="BP", E246, F245))</f>
      </c>
      <c r="G246" s="43" t="str">
        <v>SM</v>
      </c>
      <c r="H246" s="43" t="str">
        <v>Curve</v>
      </c>
      <c r="I246" s="43" t="str">
        <v>R90</v>
      </c>
      <c r="J246" s="43"/>
      <c r="K246" s="43"/>
      <c r="L246" s="43"/>
      <c r="M246" s="43" t="str">
        <v>R</v>
      </c>
      <c r="N246" s="77"/>
      <c r="O246" s="77"/>
      <c r="P246" s="77" t="str">
        <v>✅</v>
      </c>
      <c r="Q246" s="77"/>
      <c r="R246" s="43" t="str">
        <v>Curve_R90_X1_Y1_Z1</v>
      </c>
      <c r="S246" s="47" t="str">
        <v>/Script/Engine.StaticMesh'/Game/Item/Rail/Curve/R90/Normal/Curve_R90_X1_Y1_Z1/Proxy/SM_Curve_R90_X1_Y1_Z1_Proxy_R.SM_Curve_R90_X1_Y1_Z1_Proxy_R'</v>
      </c>
      <c r="T246" s="126" t="str"/>
      <c r="U246" s="128">
        <v>1</v>
      </c>
      <c r="V246" s="128">
        <v>1</v>
      </c>
      <c r="W246" s="128">
        <v>1</v>
      </c>
      <c r="X246" s="48"/>
      <c r="Y246" s="48">
        <f>IF(AND(Q246="✅", OR(ISNUMBER(FIND("F",I246)), I246="CR")),   "X="&amp;U246*16&amp;",Y="&amp;(V246-1)*16&amp;",Z="&amp;IF(I246="FD", -(W246-1)*16, (W246-1)*16),   "")</f>
      </c>
      <c r="Z246" s="48">
        <f>IF(AND(Q246="✅", OR(ISNUMBER(FIND("F",I246)), I246="CR")), "P=0,Y=0,R=0", "")</f>
      </c>
      <c r="AA246" s="48" t="str"/>
      <c r="AB246" s="48" t="str"/>
      <c r="AC246" s="48" t="str"/>
      <c r="AD246" s="48" t="str"/>
      <c r="AE246" s="48" t="str"/>
      <c r="AF246" s="48"/>
      <c r="AG246" s="48" t="str"/>
      <c r="AH246" s="48" t="str"/>
      <c r="AI246" s="48" t="str"/>
      <c r="AJ246" s="48" t="str"/>
      <c r="AK246" s="48" t="str"/>
      <c r="AL246" s="48" t="str"/>
      <c r="AM246" s="48" t="str"/>
      <c r="AN246" s="48"/>
      <c r="AO246" s="48" t="str"/>
      <c r="AP246" s="48" t="str"/>
      <c r="AQ246" s="48" t="str"/>
      <c r="AR246" s="48" t="str"/>
      <c r="AS246" s="48" t="str"/>
      <c r="AT246" s="48" t="str"/>
      <c r="AU246" s="48" t="str"/>
      <c r="AV246" s="48"/>
      <c r="AW246" s="48">
        <f>IF(AND(Q246="✅", I246="U90"), "X="&amp;(U246-1)*16&amp;",Y="&amp;(V246-1)*16&amp;",Z="&amp;W246*16, "")</f>
      </c>
      <c r="AX246" s="48">
        <f>IF(AND(Q246="✅", I246="U90"), "P=90,Y=0,R=0", "")</f>
      </c>
      <c r="AY246" s="48" t="str"/>
      <c r="AZ246" s="48" t="str"/>
      <c r="BA246" s="48" t="str"/>
      <c r="BB246" s="48" t="str"/>
      <c r="BC246" s="48" t="str"/>
      <c r="BD246" s="48"/>
      <c r="BE246" s="48">
        <f>IF(AND(Q246="✅", I246="D90"), "X="&amp;(U246-1)*16&amp;",Y="&amp;(V246-1)*16&amp;",Z="&amp;(W246-2)*16, "")</f>
      </c>
      <c r="BF246" s="48">
        <f>IF(AND(Q246="✅", I246="D90"), "P=-90,Y=0,R=0", "")</f>
      </c>
      <c r="BG246" s="48" t="str"/>
      <c r="BH246" s="48" t="str"/>
      <c r="BI246" s="48" t="str"/>
      <c r="BJ246" s="48" t="str"/>
      <c r="BK246" s="48" t="str"/>
      <c r="BL246" s="42"/>
      <c r="BM246" s="42"/>
      <c r="BN246" s="42"/>
      <c r="BO246" s="42"/>
      <c r="BP246" s="42"/>
      <c r="BQ246" s="42"/>
      <c r="BR246" s="42"/>
      <c r="BS246" s="42"/>
      <c r="BT246" s="42"/>
      <c r="BU246" s="42"/>
      <c r="BV246" s="42"/>
      <c r="BW246" s="42"/>
      <c r="BX246" s="42"/>
      <c r="BY246" s="42"/>
    </row>
    <row collapsed="true" customHeight="true" ht="19" outlineLevel="3" r="247">
      <c r="A247" s="11"/>
      <c r="B247" s="11"/>
      <c r="C247" s="119"/>
      <c r="D247" s="119">
        <v>2</v>
      </c>
      <c r="E247" s="5"/>
      <c r="F247" s="9"/>
      <c r="G247" s="1"/>
      <c r="H247" s="1"/>
      <c r="I247" s="1"/>
      <c r="J247" s="1"/>
      <c r="K247" s="1"/>
      <c r="L247" s="1"/>
      <c r="M247" s="1"/>
      <c r="N247" s="3"/>
      <c r="O247" s="3"/>
      <c r="P247" s="3"/>
      <c r="Q247" s="3"/>
      <c r="R247" s="1" t="str"/>
      <c r="S247" s="9" t="str"/>
      <c r="T247" s="120" t="str"/>
      <c r="U247" s="118"/>
      <c r="V247" s="118"/>
      <c r="W247" s="118"/>
      <c r="X247" s="4"/>
      <c r="Y247" s="4">
        <f>IF(AND(Q247="✅", OR(ISNUMBER(FIND("F",I247)), I247="CR")),   "X="&amp;U247*16&amp;",Y="&amp;(V247-1)*16&amp;",Z="&amp;IF(I247="FD", -(W247-1)*16, (W247-1)*16),   "")</f>
      </c>
      <c r="Z247" s="4">
        <f>IF(AND(Q247="✅", OR(ISNUMBER(FIND("F",I247)), I247="CR")), "P=0,Y=0,R=0", "")</f>
      </c>
      <c r="AA247" s="4" t="str"/>
      <c r="AB247" s="4" t="str"/>
      <c r="AC247" s="4" t="str"/>
      <c r="AD247" s="4" t="str"/>
      <c r="AE247" s="4" t="str"/>
      <c r="AF247" s="4"/>
      <c r="AG247" s="4" t="str"/>
      <c r="AH247" s="4" t="str"/>
      <c r="AI247" s="4" t="str"/>
      <c r="AJ247" s="4" t="str"/>
      <c r="AK247" s="4" t="str"/>
      <c r="AL247" s="4" t="str"/>
      <c r="AM247" s="4" t="str"/>
      <c r="AN247" s="4"/>
      <c r="AO247" s="4" t="str"/>
      <c r="AP247" s="4" t="str"/>
      <c r="AQ247" s="4" t="str"/>
      <c r="AR247" s="4" t="str"/>
      <c r="AS247" s="4" t="str"/>
      <c r="AT247" s="4" t="str"/>
      <c r="AU247" s="4" t="str"/>
      <c r="AV247" s="4"/>
      <c r="AW247" s="4">
        <f>IF(AND(Q247="✅", I247="U90"), "X="&amp;(U247-1)*16&amp;",Y="&amp;(V247-1)*16&amp;",Z="&amp;W247*16, "")</f>
      </c>
      <c r="AX247" s="4">
        <f>IF(AND(Q247="✅", I247="U90"), "P=90,Y=0,R=0", "")</f>
      </c>
      <c r="AY247" s="4" t="str"/>
      <c r="AZ247" s="4" t="str"/>
      <c r="BA247" s="4" t="str"/>
      <c r="BB247" s="4" t="str"/>
      <c r="BC247" s="4" t="str"/>
      <c r="BD247" s="4"/>
      <c r="BE247" s="4">
        <f>IF(AND(Q247="✅", I247="D90"), "X="&amp;(U247-1)*16&amp;",Y="&amp;(V247-1)*16&amp;",Z="&amp;(W247-2)*16, "")</f>
      </c>
      <c r="BF247" s="4">
        <f>IF(AND(Q247="✅", I247="D90"), "P=-90,Y=0,R=0", "")</f>
      </c>
      <c r="BG247" s="4" t="str"/>
      <c r="BH247" s="4" t="str"/>
      <c r="BI247" s="4" t="str"/>
      <c r="BJ247" s="4" t="str"/>
      <c r="BK247" s="4" t="str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</row>
    <row customHeight="true" hidden="true" ht="19" outlineLevel="4" r="248">
      <c r="A248" s="14" t="str" xml:space="preserve">
        <v> </v>
      </c>
      <c r="B248" s="14" t="str" xml:space="preserve">
        <v> </v>
      </c>
      <c r="C248" s="147" t="str" xml:space="preserve">
        <v> </v>
      </c>
      <c r="D248" s="147" t="str" xml:space="preserve">
        <v> </v>
      </c>
      <c r="E248" s="60">
        <f>G248 &amp; "_" &amp; H248 &amp; IF(I248&lt;&gt;"", "_" &amp; I248, "") &amp; IF(J248&lt;&gt;"", "_" &amp; J248, "") &amp; IF(K248&lt;&gt;"", "_" &amp; K248, "") &amp;"_X"&amp;U248&amp;"_Y"&amp;V248&amp;"_Z"&amp;W248 &amp; IF(G248="SM", "_Proxy" , "_Rail") &amp; IF(M248&lt;&gt;"", "_" &amp; M248, "")</f>
      </c>
      <c r="F248" s="62">
        <f>IF(E248="", "", IF(G248="BP", E248, F297))</f>
      </c>
      <c r="G248" s="61" t="str">
        <v>BP</v>
      </c>
      <c r="H248" s="61" t="str">
        <v>Curve</v>
      </c>
      <c r="I248" s="61" t="str">
        <v>R90</v>
      </c>
      <c r="J248" s="61"/>
      <c r="K248" s="61"/>
      <c r="L248" s="61"/>
      <c r="M248" s="61"/>
      <c r="N248" s="87"/>
      <c r="O248" s="87"/>
      <c r="P248" s="87"/>
      <c r="Q248" s="87" t="str">
        <v>✅</v>
      </c>
      <c r="R248" s="61" t="str">
        <v>Curve_R90_X2_Y2_Z1</v>
      </c>
      <c r="S248" s="62" t="str">
        <v>/Script/Engine.BlueprintGeneratedClass'/Game/Item/Rail/Curve/R90/Normal/Curve_R90_X2_Y2_Z1/BP_Curve_R90_X2_Y2_Z1_Rail.BP_Curve_R90_X2_Y2_Z1_Rail_C'</v>
      </c>
      <c r="T248" s="144">
        <v>1.3</v>
      </c>
      <c r="U248" s="145">
        <v>2</v>
      </c>
      <c r="V248" s="145">
        <v>2</v>
      </c>
      <c r="W248" s="145">
        <v>1</v>
      </c>
      <c r="X248" s="71"/>
      <c r="Y248" s="71">
        <f>IF(AND(Q248="✅", OR(ISNUMBER(FIND("F",I248)), I248="CR")),   "X="&amp;U248*16&amp;",Y="&amp;(V248-1)*16&amp;",Z="&amp;IF(I248="FD", -(W248-1)*16, (W248-1)*16),   "")</f>
      </c>
      <c r="Z248" s="71">
        <f>IF(AND(Q248="✅", OR(ISNUMBER(FIND("F",I248)), I248="CR")), "P=0,Y=0,R=0", "")</f>
      </c>
      <c r="AA248" s="71" t="str"/>
      <c r="AB248" s="71" t="str"/>
      <c r="AC248" s="71" t="str"/>
      <c r="AD248" s="71" t="str"/>
      <c r="AE248" s="71" t="str">
        <v>X=0,Y=0,Z=0,W=0</v>
      </c>
      <c r="AF248" s="71"/>
      <c r="AG248" s="71" t="str"/>
      <c r="AH248" s="71" t="str"/>
      <c r="AI248" s="71" t="str"/>
      <c r="AJ248" s="71" t="str"/>
      <c r="AK248" s="71" t="str"/>
      <c r="AL248" s="71" t="str"/>
      <c r="AM248" s="71" t="str"/>
      <c r="AN248" s="71"/>
      <c r="AO248" s="71" t="str">
        <v>X=16,Y=32,Z=0</v>
      </c>
      <c r="AP248" s="71" t="str">
        <v>P=0,Y=90,R=0</v>
      </c>
      <c r="AQ248" s="71">
        <v>1</v>
      </c>
      <c r="AR248" s="71">
        <v>1.5</v>
      </c>
      <c r="AS248" s="71">
        <v>2</v>
      </c>
      <c r="AT248" s="71">
        <v>1.5</v>
      </c>
      <c r="AU248" s="71" t="str">
        <v>X=1,Y=1.5,Z=2,W=1.5</v>
      </c>
      <c r="AV248" s="71"/>
      <c r="AW248" s="71">
        <f>IF(AND(Q248="✅", I248="U90"), "X="&amp;(U248-1)*16&amp;",Y="&amp;(V248-1)*16&amp;",Z="&amp;W248*16, "")</f>
      </c>
      <c r="AX248" s="71">
        <f>IF(AND(Q248="✅", I248="U90"), "P=90,Y=0,R=0", "")</f>
      </c>
      <c r="AY248" s="71" t="str"/>
      <c r="AZ248" s="71" t="str"/>
      <c r="BA248" s="71" t="str"/>
      <c r="BB248" s="71" t="str"/>
      <c r="BC248" s="71" t="str"/>
      <c r="BD248" s="71"/>
      <c r="BE248" s="71">
        <f>IF(AND(Q248="✅", I248="D90"), "X="&amp;(U248-1)*16&amp;",Y="&amp;(V248-1)*16&amp;",Z="&amp;(W248-2)*16, "")</f>
      </c>
      <c r="BF248" s="71">
        <f>IF(AND(Q248="✅", I248="D90"), "P=-90,Y=0,R=0", "")</f>
      </c>
      <c r="BG248" s="71" t="str"/>
      <c r="BH248" s="71" t="str"/>
      <c r="BI248" s="71" t="str"/>
      <c r="BJ248" s="71" t="str"/>
      <c r="BK248" s="71" t="str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</row>
    <row customHeight="true" hidden="true" ht="19" outlineLevel="4" r="249">
      <c r="A249" s="14" t="str" xml:space="preserve">
        <v> </v>
      </c>
      <c r="B249" s="14" t="str" xml:space="preserve">
        <v> </v>
      </c>
      <c r="C249" s="147" t="str" xml:space="preserve">
        <v> </v>
      </c>
      <c r="D249" s="147" t="str" xml:space="preserve">
        <v> </v>
      </c>
      <c r="E249" s="60">
        <f>G249 &amp; "_" &amp; H249 &amp; IF(I249&lt;&gt;"", "_" &amp; I249, "") &amp; IF(J249&lt;&gt;"", "_" &amp; J249, "") &amp; IF(K249&lt;&gt;"", "_" &amp; K249, "") &amp;"_X"&amp;U249&amp;"_Y"&amp;V249&amp;"_Z"&amp;W249 &amp; IF(G249="SM", "_Proxy" , "_Rail") &amp; IF(M249&lt;&gt;"", "_" &amp; M249, "")</f>
      </c>
      <c r="F249" s="62">
        <f>IF(E249="", "", IF(G249="BP", E249, F248))</f>
      </c>
      <c r="G249" s="61" t="str">
        <v>SM</v>
      </c>
      <c r="H249" s="61" t="str">
        <v>Curve</v>
      </c>
      <c r="I249" s="61" t="str">
        <v>R90</v>
      </c>
      <c r="J249" s="61"/>
      <c r="K249" s="61"/>
      <c r="L249" s="61"/>
      <c r="M249" s="61" t="str">
        <v>B</v>
      </c>
      <c r="N249" s="87"/>
      <c r="O249" s="87"/>
      <c r="P249" s="87" t="str">
        <v>✅</v>
      </c>
      <c r="Q249" s="87"/>
      <c r="R249" s="61" t="str">
        <v>Curve_R90_X2_Y2_Z1</v>
      </c>
      <c r="S249" s="62" t="str">
        <v>/Script/Engine.StaticMesh'/Game/Item/Rail/Curve/R90/Normal/Curve_R90_X2_Y2_Z1/Proxy/SM_Curve_R90_X2_Y2_Z1_Proxy_B.SM_Curve_R90_X2_Y2_Z1_Proxy_B'</v>
      </c>
      <c r="T249" s="144" t="str"/>
      <c r="U249" s="145">
        <v>2</v>
      </c>
      <c r="V249" s="145">
        <v>2</v>
      </c>
      <c r="W249" s="145">
        <v>1</v>
      </c>
      <c r="X249" s="71"/>
      <c r="Y249" s="71">
        <f>IF(AND(Q249="✅", OR(ISNUMBER(FIND("F",I249)), I249="CR")),   "X="&amp;U249*16&amp;",Y="&amp;(V249-1)*16&amp;",Z="&amp;IF(I249="FD", -(W249-1)*16, (W249-1)*16),   "")</f>
      </c>
      <c r="Z249" s="71">
        <f>IF(AND(Q249="✅", OR(ISNUMBER(FIND("F",I249)), I249="CR")), "P=0,Y=0,R=0", "")</f>
      </c>
      <c r="AA249" s="71" t="str"/>
      <c r="AB249" s="71" t="str"/>
      <c r="AC249" s="71" t="str"/>
      <c r="AD249" s="71" t="str"/>
      <c r="AE249" s="71" t="str"/>
      <c r="AF249" s="71"/>
      <c r="AG249" s="71" t="str"/>
      <c r="AH249" s="71" t="str"/>
      <c r="AI249" s="71" t="str"/>
      <c r="AJ249" s="71" t="str"/>
      <c r="AK249" s="71" t="str"/>
      <c r="AL249" s="71" t="str"/>
      <c r="AM249" s="71" t="str"/>
      <c r="AN249" s="71"/>
      <c r="AO249" s="71" t="str"/>
      <c r="AP249" s="71" t="str"/>
      <c r="AQ249" s="71" t="str"/>
      <c r="AR249" s="71" t="str"/>
      <c r="AS249" s="71" t="str"/>
      <c r="AT249" s="71" t="str"/>
      <c r="AU249" s="71" t="str"/>
      <c r="AV249" s="71"/>
      <c r="AW249" s="71">
        <f>IF(AND(Q249="✅", I249="U90"), "X="&amp;(U249-1)*16&amp;",Y="&amp;(V249-1)*16&amp;",Z="&amp;W249*16, "")</f>
      </c>
      <c r="AX249" s="71">
        <f>IF(AND(Q249="✅", I249="U90"), "P=90,Y=0,R=0", "")</f>
      </c>
      <c r="AY249" s="71" t="str"/>
      <c r="AZ249" s="71" t="str"/>
      <c r="BA249" s="71" t="str"/>
      <c r="BB249" s="71" t="str"/>
      <c r="BC249" s="71" t="str"/>
      <c r="BD249" s="71"/>
      <c r="BE249" s="71">
        <f>IF(AND(Q249="✅", I249="D90"), "X="&amp;(U249-1)*16&amp;",Y="&amp;(V249-1)*16&amp;",Z="&amp;(W249-2)*16, "")</f>
      </c>
      <c r="BF249" s="71">
        <f>IF(AND(Q249="✅", I249="D90"), "P=-90,Y=0,R=0", "")</f>
      </c>
      <c r="BG249" s="71" t="str"/>
      <c r="BH249" s="71" t="str"/>
      <c r="BI249" s="71" t="str"/>
      <c r="BJ249" s="71" t="str"/>
      <c r="BK249" s="71" t="str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</row>
    <row customHeight="true" hidden="true" ht="19" outlineLevel="4" r="250">
      <c r="A250" s="14" t="str" xml:space="preserve">
        <v> </v>
      </c>
      <c r="B250" s="14" t="str" xml:space="preserve">
        <v> </v>
      </c>
      <c r="C250" s="147" t="str" xml:space="preserve">
        <v> </v>
      </c>
      <c r="D250" s="147" t="str" xml:space="preserve">
        <v> </v>
      </c>
      <c r="E250" s="60">
        <f>G250 &amp; "_" &amp; H250 &amp; IF(I250&lt;&gt;"", "_" &amp; I250, "") &amp; IF(J250&lt;&gt;"", "_" &amp; J250, "") &amp; IF(K250&lt;&gt;"", "_" &amp; K250, "") &amp;"_X"&amp;U250&amp;"_Y"&amp;V250&amp;"_Z"&amp;W250 &amp; IF(G250="SM", "_Proxy" , "_Rail") &amp; IF(M250&lt;&gt;"", "_" &amp; M250, "")</f>
      </c>
      <c r="F250" s="62">
        <f>IF(E250="", "", IF(G250="BP", E250, F249))</f>
      </c>
      <c r="G250" s="61" t="str">
        <v>SM</v>
      </c>
      <c r="H250" s="61" t="str">
        <v>Curve</v>
      </c>
      <c r="I250" s="61" t="str">
        <v>R90</v>
      </c>
      <c r="J250" s="61"/>
      <c r="K250" s="61"/>
      <c r="L250" s="61"/>
      <c r="M250" s="61" t="str">
        <v>L</v>
      </c>
      <c r="N250" s="87"/>
      <c r="O250" s="87"/>
      <c r="P250" s="87" t="str">
        <v>✅</v>
      </c>
      <c r="Q250" s="87"/>
      <c r="R250" s="61" t="str">
        <v>Curve_R90_X2_Y2_Z1</v>
      </c>
      <c r="S250" s="62" t="str">
        <v>/Script/Engine.StaticMesh'/Game/Item/Rail/Curve/R90/Normal/Curve_R90_X2_Y2_Z1/Proxy/SM_Curve_R90_X2_Y2_Z1_Proxy_L.SM_Curve_R90_X2_Y2_Z1_Proxy_L'</v>
      </c>
      <c r="T250" s="144" t="str"/>
      <c r="U250" s="145">
        <v>2</v>
      </c>
      <c r="V250" s="145">
        <v>2</v>
      </c>
      <c r="W250" s="145">
        <v>1</v>
      </c>
      <c r="X250" s="71"/>
      <c r="Y250" s="71">
        <f>IF(AND(Q250="✅", OR(ISNUMBER(FIND("F",I250)), I250="CR")),   "X="&amp;U250*16&amp;",Y="&amp;(V250-1)*16&amp;",Z="&amp;IF(I250="FD", -(W250-1)*16, (W250-1)*16),   "")</f>
      </c>
      <c r="Z250" s="71">
        <f>IF(AND(Q250="✅", OR(ISNUMBER(FIND("F",I250)), I250="CR")), "P=0,Y=0,R=0", "")</f>
      </c>
      <c r="AA250" s="71" t="str"/>
      <c r="AB250" s="71" t="str"/>
      <c r="AC250" s="71" t="str"/>
      <c r="AD250" s="71" t="str"/>
      <c r="AE250" s="71" t="str"/>
      <c r="AF250" s="71"/>
      <c r="AG250" s="71" t="str"/>
      <c r="AH250" s="71" t="str"/>
      <c r="AI250" s="71" t="str"/>
      <c r="AJ250" s="71" t="str"/>
      <c r="AK250" s="71" t="str"/>
      <c r="AL250" s="71" t="str"/>
      <c r="AM250" s="71" t="str"/>
      <c r="AN250" s="71"/>
      <c r="AO250" s="71" t="str"/>
      <c r="AP250" s="71" t="str"/>
      <c r="AQ250" s="71" t="str"/>
      <c r="AR250" s="71" t="str"/>
      <c r="AS250" s="71" t="str"/>
      <c r="AT250" s="71" t="str"/>
      <c r="AU250" s="71" t="str"/>
      <c r="AV250" s="71"/>
      <c r="AW250" s="71">
        <f>IF(AND(Q250="✅", I250="U90"), "X="&amp;(U250-1)*16&amp;",Y="&amp;(V250-1)*16&amp;",Z="&amp;W250*16, "")</f>
      </c>
      <c r="AX250" s="71">
        <f>IF(AND(Q250="✅", I250="U90"), "P=90,Y=0,R=0", "")</f>
      </c>
      <c r="AY250" s="71" t="str"/>
      <c r="AZ250" s="71" t="str"/>
      <c r="BA250" s="71" t="str"/>
      <c r="BB250" s="71" t="str"/>
      <c r="BC250" s="71" t="str"/>
      <c r="BD250" s="71"/>
      <c r="BE250" s="71">
        <f>IF(AND(Q250="✅", I250="D90"), "X="&amp;(U250-1)*16&amp;",Y="&amp;(V250-1)*16&amp;",Z="&amp;(W250-2)*16, "")</f>
      </c>
      <c r="BF250" s="71">
        <f>IF(AND(Q250="✅", I250="D90"), "P=-90,Y=0,R=0", "")</f>
      </c>
      <c r="BG250" s="71" t="str"/>
      <c r="BH250" s="71" t="str"/>
      <c r="BI250" s="71" t="str"/>
      <c r="BJ250" s="71" t="str"/>
      <c r="BK250" s="71" t="str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</row>
    <row customHeight="true" hidden="true" ht="19" outlineLevel="4" r="251">
      <c r="A251" s="14" t="str" xml:space="preserve">
        <v> </v>
      </c>
      <c r="B251" s="14" t="str" xml:space="preserve">
        <v> </v>
      </c>
      <c r="C251" s="147" t="str" xml:space="preserve">
        <v> </v>
      </c>
      <c r="D251" s="147" t="str" xml:space="preserve">
        <v> </v>
      </c>
      <c r="E251" s="60">
        <f>G251 &amp; "_" &amp; H251 &amp; IF(I251&lt;&gt;"", "_" &amp; I251, "") &amp; IF(J251&lt;&gt;"", "_" &amp; J251, "") &amp; IF(K251&lt;&gt;"", "_" &amp; K251, "") &amp;"_X"&amp;U251&amp;"_Y"&amp;V251&amp;"_Z"&amp;W251 &amp; IF(G251="SM", "_Proxy" , "_Rail") &amp; IF(M251&lt;&gt;"", "_" &amp; M251, "")</f>
      </c>
      <c r="F251" s="62">
        <f>IF(E251="", "", IF(G251="BP", E251, F250))</f>
      </c>
      <c r="G251" s="61" t="str">
        <v>SM</v>
      </c>
      <c r="H251" s="61" t="str">
        <v>Curve</v>
      </c>
      <c r="I251" s="61" t="str">
        <v>R90</v>
      </c>
      <c r="J251" s="61"/>
      <c r="K251" s="61"/>
      <c r="L251" s="61"/>
      <c r="M251" s="61" t="str">
        <v>R</v>
      </c>
      <c r="N251" s="87"/>
      <c r="O251" s="87"/>
      <c r="P251" s="87" t="str">
        <v>✅</v>
      </c>
      <c r="Q251" s="87"/>
      <c r="R251" s="61" t="str">
        <v>Curve_R90_X2_Y2_Z1</v>
      </c>
      <c r="S251" s="62" t="str">
        <v>/Script/Engine.StaticMesh'/Game/Item/Rail/Curve/R90/Normal/Curve_R90_X2_Y2_Z1/Proxy/SM_Curve_R90_X2_Y2_Z1_Proxy_R.SM_Curve_R90_X2_Y2_Z1_Proxy_R'</v>
      </c>
      <c r="T251" s="144" t="str"/>
      <c r="U251" s="145">
        <v>2</v>
      </c>
      <c r="V251" s="145">
        <v>2</v>
      </c>
      <c r="W251" s="145">
        <v>1</v>
      </c>
      <c r="X251" s="71"/>
      <c r="Y251" s="71">
        <f>IF(AND(Q251="✅", OR(ISNUMBER(FIND("F",I251)), I251="CR")),   "X="&amp;U251*16&amp;",Y="&amp;(V251-1)*16&amp;",Z="&amp;IF(I251="FD", -(W251-1)*16, (W251-1)*16),   "")</f>
      </c>
      <c r="Z251" s="71">
        <f>IF(AND(Q251="✅", OR(ISNUMBER(FIND("F",I251)), I251="CR")), "P=0,Y=0,R=0", "")</f>
      </c>
      <c r="AA251" s="71" t="str"/>
      <c r="AB251" s="71" t="str"/>
      <c r="AC251" s="71" t="str"/>
      <c r="AD251" s="71" t="str"/>
      <c r="AE251" s="71" t="str"/>
      <c r="AF251" s="71"/>
      <c r="AG251" s="71" t="str"/>
      <c r="AH251" s="71" t="str"/>
      <c r="AI251" s="71" t="str"/>
      <c r="AJ251" s="71" t="str"/>
      <c r="AK251" s="71" t="str"/>
      <c r="AL251" s="71" t="str"/>
      <c r="AM251" s="71" t="str"/>
      <c r="AN251" s="71"/>
      <c r="AO251" s="71" t="str"/>
      <c r="AP251" s="71" t="str"/>
      <c r="AQ251" s="71" t="str"/>
      <c r="AR251" s="71" t="str"/>
      <c r="AS251" s="71" t="str"/>
      <c r="AT251" s="71" t="str"/>
      <c r="AU251" s="71" t="str"/>
      <c r="AV251" s="71"/>
      <c r="AW251" s="71">
        <f>IF(AND(Q251="✅", I251="U90"), "X="&amp;(U251-1)*16&amp;",Y="&amp;(V251-1)*16&amp;",Z="&amp;W251*16, "")</f>
      </c>
      <c r="AX251" s="71">
        <f>IF(AND(Q251="✅", I251="U90"), "P=90,Y=0,R=0", "")</f>
      </c>
      <c r="AY251" s="71" t="str"/>
      <c r="AZ251" s="71" t="str"/>
      <c r="BA251" s="71" t="str"/>
      <c r="BB251" s="71" t="str"/>
      <c r="BC251" s="71" t="str"/>
      <c r="BD251" s="71"/>
      <c r="BE251" s="71">
        <f>IF(AND(Q251="✅", I251="D90"), "X="&amp;(U251-1)*16&amp;",Y="&amp;(V251-1)*16&amp;",Z="&amp;(W251-2)*16, "")</f>
      </c>
      <c r="BF251" s="71">
        <f>IF(AND(Q251="✅", I251="D90"), "P=-90,Y=0,R=0", "")</f>
      </c>
      <c r="BG251" s="71" t="str"/>
      <c r="BH251" s="71" t="str"/>
      <c r="BI251" s="71" t="str"/>
      <c r="BJ251" s="71" t="str"/>
      <c r="BK251" s="71" t="str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</row>
    <row collapsed="true" customHeight="true" ht="19" outlineLevel="3" r="252">
      <c r="A252" s="11"/>
      <c r="B252" s="11"/>
      <c r="C252" s="119"/>
      <c r="D252" s="119">
        <v>3</v>
      </c>
      <c r="E252" s="5"/>
      <c r="F252" s="9"/>
      <c r="G252" s="1"/>
      <c r="H252" s="1"/>
      <c r="I252" s="1"/>
      <c r="J252" s="1"/>
      <c r="K252" s="1"/>
      <c r="L252" s="1"/>
      <c r="M252" s="1"/>
      <c r="N252" s="3"/>
      <c r="O252" s="3"/>
      <c r="P252" s="3"/>
      <c r="Q252" s="3"/>
      <c r="R252" s="1" t="str"/>
      <c r="S252" s="9" t="str"/>
      <c r="T252" s="120" t="str"/>
      <c r="U252" s="118"/>
      <c r="V252" s="118"/>
      <c r="W252" s="118"/>
      <c r="X252" s="4"/>
      <c r="Y252" s="4">
        <f>IF(AND(Q252="✅", OR(ISNUMBER(FIND("F",I252)), I252="CR")),   "X="&amp;U252*16&amp;",Y="&amp;(V252-1)*16&amp;",Z="&amp;IF(I252="FD", -(W252-1)*16, (W252-1)*16),   "")</f>
      </c>
      <c r="Z252" s="4">
        <f>IF(AND(Q252="✅", OR(ISNUMBER(FIND("F",I252)), I252="CR")), "P=0,Y=0,R=0", "")</f>
      </c>
      <c r="AA252" s="4" t="str"/>
      <c r="AB252" s="4" t="str"/>
      <c r="AC252" s="4" t="str"/>
      <c r="AD252" s="4" t="str"/>
      <c r="AE252" s="4" t="str"/>
      <c r="AF252" s="4"/>
      <c r="AG252" s="4" t="str"/>
      <c r="AH252" s="4" t="str"/>
      <c r="AI252" s="4" t="str"/>
      <c r="AJ252" s="4" t="str"/>
      <c r="AK252" s="4" t="str"/>
      <c r="AL252" s="4" t="str"/>
      <c r="AM252" s="4" t="str"/>
      <c r="AN252" s="4"/>
      <c r="AO252" s="4" t="str"/>
      <c r="AP252" s="4" t="str"/>
      <c r="AQ252" s="4" t="str"/>
      <c r="AR252" s="4" t="str"/>
      <c r="AS252" s="4" t="str"/>
      <c r="AT252" s="4" t="str"/>
      <c r="AU252" s="4" t="str"/>
      <c r="AV252" s="4"/>
      <c r="AW252" s="4">
        <f>IF(AND(Q252="✅", I252="U90"), "X="&amp;(U252-1)*16&amp;",Y="&amp;(V252-1)*16&amp;",Z="&amp;W252*16, "")</f>
      </c>
      <c r="AX252" s="4">
        <f>IF(AND(Q252="✅", I252="U90"), "P=90,Y=0,R=0", "")</f>
      </c>
      <c r="AY252" s="4" t="str"/>
      <c r="AZ252" s="4" t="str"/>
      <c r="BA252" s="4" t="str"/>
      <c r="BB252" s="4" t="str"/>
      <c r="BC252" s="4" t="str"/>
      <c r="BD252" s="4"/>
      <c r="BE252" s="4">
        <f>IF(AND(Q252="✅", I252="D90"), "X="&amp;(U252-1)*16&amp;",Y="&amp;(V252-1)*16&amp;",Z="&amp;(W252-2)*16, "")</f>
      </c>
      <c r="BF252" s="4">
        <f>IF(AND(Q252="✅", I252="D90"), "P=-90,Y=0,R=0", "")</f>
      </c>
      <c r="BG252" s="4" t="str"/>
      <c r="BH252" s="4" t="str"/>
      <c r="BI252" s="4" t="str"/>
      <c r="BJ252" s="4" t="str"/>
      <c r="BK252" s="4" t="str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</row>
    <row customHeight="true" hidden="true" ht="19" outlineLevel="4" r="253">
      <c r="A253" s="14" t="str" xml:space="preserve">
        <v> </v>
      </c>
      <c r="B253" s="14" t="str" xml:space="preserve">
        <v> </v>
      </c>
      <c r="C253" s="147" t="str" xml:space="preserve">
        <v> </v>
      </c>
      <c r="D253" s="147" t="str" xml:space="preserve">
        <v> </v>
      </c>
      <c r="E253" s="65">
        <f>G253 &amp; "_" &amp; H253 &amp; IF(I253&lt;&gt;"", "_" &amp; I253, "") &amp; IF(J253&lt;&gt;"", "_" &amp; J253, "") &amp; IF(K253&lt;&gt;"", "_" &amp; K253, "") &amp;"_X"&amp;U253&amp;"_Y"&amp;V253&amp;"_Z"&amp;W253 &amp; IF(G253="SM", "_Proxy" , "_Rail") &amp; IF(M253&lt;&gt;"", "_" &amp; M253, "")</f>
      </c>
      <c r="F253" s="66">
        <f>IF(E253="", "", IF(G253="BP", E253, F283))</f>
      </c>
      <c r="G253" s="64" t="str">
        <v>BP</v>
      </c>
      <c r="H253" s="64" t="str">
        <v>Curve</v>
      </c>
      <c r="I253" s="64" t="str">
        <v>R90</v>
      </c>
      <c r="J253" s="64"/>
      <c r="K253" s="64"/>
      <c r="L253" s="64"/>
      <c r="M253" s="64"/>
      <c r="N253" s="90"/>
      <c r="O253" s="90"/>
      <c r="P253" s="90"/>
      <c r="Q253" s="90" t="str">
        <v>✅</v>
      </c>
      <c r="R253" s="64" t="str">
        <v>Curve_R90_X3_Y3_Z1</v>
      </c>
      <c r="S253" s="66" t="str">
        <v>/Script/Engine.BlueprintGeneratedClass'/Game/Item/Rail/Curve/R90/Normal/Curve_R90_X3_Y3_Z1/BP_Curve_R90_X3_Y3_Z1_Rail.BP_Curve_R90_X3_Y3_Z1_Rail_C'</v>
      </c>
      <c r="T253" s="139">
        <v>1.8</v>
      </c>
      <c r="U253" s="140">
        <v>3</v>
      </c>
      <c r="V253" s="140">
        <v>3</v>
      </c>
      <c r="W253" s="140">
        <v>1</v>
      </c>
      <c r="X253" s="88"/>
      <c r="Y253" s="88">
        <f>IF(AND(Q253="✅", OR(ISNUMBER(FIND("F",I253)), I253="CR")),   "X="&amp;U253*16&amp;",Y="&amp;(V253-1)*16&amp;",Z="&amp;IF(I253="FD", -(W253-1)*16, (W253-1)*16),   "")</f>
      </c>
      <c r="Z253" s="88">
        <f>IF(AND(Q253="✅", OR(ISNUMBER(FIND("F",I253)), I253="CR")), "P=0,Y=0,R=0", "")</f>
      </c>
      <c r="AA253" s="88" t="str"/>
      <c r="AB253" s="88" t="str"/>
      <c r="AC253" s="88" t="str"/>
      <c r="AD253" s="88" t="str"/>
      <c r="AE253" s="88" t="str">
        <v>X=0,Y=0,Z=0,W=0</v>
      </c>
      <c r="AF253" s="88"/>
      <c r="AG253" s="88" t="str"/>
      <c r="AH253" s="88" t="str"/>
      <c r="AI253" s="88" t="str"/>
      <c r="AJ253" s="88" t="str"/>
      <c r="AK253" s="88" t="str"/>
      <c r="AL253" s="88" t="str"/>
      <c r="AM253" s="88" t="str"/>
      <c r="AN253" s="88"/>
      <c r="AO253" s="88" t="str">
        <v>X=32,Y=48,Z=0</v>
      </c>
      <c r="AP253" s="88" t="str">
        <v>P=0,Y=90,R=0</v>
      </c>
      <c r="AQ253" s="88">
        <v>1</v>
      </c>
      <c r="AR253" s="88">
        <v>1.5</v>
      </c>
      <c r="AS253" s="88">
        <v>2</v>
      </c>
      <c r="AT253" s="88">
        <v>1.5</v>
      </c>
      <c r="AU253" s="88" t="str">
        <v>X=1,Y=1.5,Z=2,W=1.5</v>
      </c>
      <c r="AV253" s="88"/>
      <c r="AW253" s="88">
        <f>IF(AND(Q253="✅", I253="U90"), "X="&amp;(U253-1)*16&amp;",Y="&amp;(V253-1)*16&amp;",Z="&amp;W253*16, "")</f>
      </c>
      <c r="AX253" s="88">
        <f>IF(AND(Q253="✅", I253="U90"), "P=90,Y=0,R=0", "")</f>
      </c>
      <c r="AY253" s="88" t="str"/>
      <c r="AZ253" s="88" t="str"/>
      <c r="BA253" s="88" t="str"/>
      <c r="BB253" s="88" t="str"/>
      <c r="BC253" s="88" t="str"/>
      <c r="BD253" s="88"/>
      <c r="BE253" s="88">
        <f>IF(AND(Q253="✅", I253="D90"), "X="&amp;(U253-1)*16&amp;",Y="&amp;(V253-1)*16&amp;",Z="&amp;(W253-2)*16, "")</f>
      </c>
      <c r="BF253" s="88">
        <f>IF(AND(Q253="✅", I253="D90"), "P=-90,Y=0,R=0", "")</f>
      </c>
      <c r="BG253" s="88" t="str"/>
      <c r="BH253" s="88" t="str"/>
      <c r="BI253" s="88" t="str"/>
      <c r="BJ253" s="88" t="str"/>
      <c r="BK253" s="88" t="str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</row>
    <row customHeight="true" hidden="true" ht="19" outlineLevel="4" r="254">
      <c r="A254" s="14" t="str" xml:space="preserve">
        <v> </v>
      </c>
      <c r="B254" s="14" t="str" xml:space="preserve">
        <v> </v>
      </c>
      <c r="C254" s="147" t="str" xml:space="preserve">
        <v> </v>
      </c>
      <c r="D254" s="147" t="str" xml:space="preserve">
        <v> </v>
      </c>
      <c r="E254" s="65">
        <f>G254 &amp; "_" &amp; H254 &amp; IF(I254&lt;&gt;"", "_" &amp; I254, "") &amp; IF(J254&lt;&gt;"", "_" &amp; J254, "") &amp; IF(K254&lt;&gt;"", "_" &amp; K254, "") &amp;"_X"&amp;U254&amp;"_Y"&amp;V254&amp;"_Z"&amp;W254 &amp; IF(G254="SM", "_Proxy" , "_Rail") &amp; IF(M254&lt;&gt;"", "_" &amp; M254, "")</f>
      </c>
      <c r="F254" s="66">
        <f>IF(E254="", "", IF(G254="BP", E254, F253))</f>
      </c>
      <c r="G254" s="64" t="str">
        <v>SM</v>
      </c>
      <c r="H254" s="64" t="str">
        <v>Curve</v>
      </c>
      <c r="I254" s="64" t="str">
        <v>R90</v>
      </c>
      <c r="J254" s="64"/>
      <c r="K254" s="64"/>
      <c r="L254" s="64"/>
      <c r="M254" s="64" t="str">
        <v>B</v>
      </c>
      <c r="N254" s="90"/>
      <c r="O254" s="90"/>
      <c r="P254" s="90" t="str">
        <v>✅</v>
      </c>
      <c r="Q254" s="90"/>
      <c r="R254" s="64" t="str">
        <v>Curve_R90_X3_Y3_Z1</v>
      </c>
      <c r="S254" s="66" t="str">
        <v>/Script/Engine.StaticMesh'/Game/Item/Rail/Curve/R90/Normal/Curve_R90_X3_Y3_Z1/Proxy/SM_Curve_R90_X3_Y3_Z1_Proxy_B.SM_Curve_R90_X3_Y3_Z1_Proxy_B'</v>
      </c>
      <c r="T254" s="139" t="str"/>
      <c r="U254" s="140">
        <v>3</v>
      </c>
      <c r="V254" s="140">
        <v>3</v>
      </c>
      <c r="W254" s="140">
        <v>1</v>
      </c>
      <c r="X254" s="88"/>
      <c r="Y254" s="88">
        <f>IF(AND(Q254="✅", OR(ISNUMBER(FIND("F",I254)), I254="CR")),   "X="&amp;U254*16&amp;",Y="&amp;(V254-1)*16&amp;",Z="&amp;IF(I254="FD", -(W254-1)*16, (W254-1)*16),   "")</f>
      </c>
      <c r="Z254" s="88">
        <f>IF(AND(Q254="✅", OR(ISNUMBER(FIND("F",I254)), I254="CR")), "P=0,Y=0,R=0", "")</f>
      </c>
      <c r="AA254" s="88" t="str"/>
      <c r="AB254" s="88" t="str"/>
      <c r="AC254" s="88" t="str"/>
      <c r="AD254" s="88" t="str"/>
      <c r="AE254" s="88" t="str"/>
      <c r="AF254" s="88"/>
      <c r="AG254" s="88" t="str"/>
      <c r="AH254" s="88" t="str"/>
      <c r="AI254" s="88" t="str"/>
      <c r="AJ254" s="88" t="str"/>
      <c r="AK254" s="88" t="str"/>
      <c r="AL254" s="88" t="str"/>
      <c r="AM254" s="88" t="str"/>
      <c r="AN254" s="88"/>
      <c r="AO254" s="88" t="str"/>
      <c r="AP254" s="88" t="str"/>
      <c r="AQ254" s="88" t="str"/>
      <c r="AR254" s="88" t="str"/>
      <c r="AS254" s="88" t="str"/>
      <c r="AT254" s="88" t="str"/>
      <c r="AU254" s="88" t="str"/>
      <c r="AV254" s="88"/>
      <c r="AW254" s="88">
        <f>IF(AND(Q254="✅", I254="U90"), "X="&amp;(U254-1)*16&amp;",Y="&amp;(V254-1)*16&amp;",Z="&amp;W254*16, "")</f>
      </c>
      <c r="AX254" s="88">
        <f>IF(AND(Q254="✅", I254="U90"), "P=90,Y=0,R=0", "")</f>
      </c>
      <c r="AY254" s="88" t="str"/>
      <c r="AZ254" s="88" t="str"/>
      <c r="BA254" s="88" t="str"/>
      <c r="BB254" s="88" t="str"/>
      <c r="BC254" s="88" t="str"/>
      <c r="BD254" s="88"/>
      <c r="BE254" s="88">
        <f>IF(AND(Q254="✅", I254="D90"), "X="&amp;(U254-1)*16&amp;",Y="&amp;(V254-1)*16&amp;",Z="&amp;(W254-2)*16, "")</f>
      </c>
      <c r="BF254" s="88">
        <f>IF(AND(Q254="✅", I254="D90"), "P=-90,Y=0,R=0", "")</f>
      </c>
      <c r="BG254" s="88" t="str"/>
      <c r="BH254" s="88" t="str"/>
      <c r="BI254" s="88" t="str"/>
      <c r="BJ254" s="88" t="str"/>
      <c r="BK254" s="88" t="str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</row>
    <row customHeight="true" hidden="true" ht="19" outlineLevel="4" r="255">
      <c r="A255" s="14" t="str" xml:space="preserve">
        <v> </v>
      </c>
      <c r="B255" s="14" t="str" xml:space="preserve">
        <v> </v>
      </c>
      <c r="C255" s="147" t="str" xml:space="preserve">
        <v> </v>
      </c>
      <c r="D255" s="147" t="str" xml:space="preserve">
        <v> </v>
      </c>
      <c r="E255" s="65">
        <f>G255 &amp; "_" &amp; H255 &amp; IF(I255&lt;&gt;"", "_" &amp; I255, "") &amp; IF(J255&lt;&gt;"", "_" &amp; J255, "") &amp; IF(K255&lt;&gt;"", "_" &amp; K255, "") &amp;"_X"&amp;U255&amp;"_Y"&amp;V255&amp;"_Z"&amp;W255 &amp; IF(G255="SM", "_Proxy" , "_Rail") &amp; IF(M255&lt;&gt;"", "_" &amp; M255, "")</f>
      </c>
      <c r="F255" s="66">
        <f>IF(E255="", "", IF(G255="BP", E255, F254))</f>
      </c>
      <c r="G255" s="64" t="str">
        <v>SM</v>
      </c>
      <c r="H255" s="64" t="str">
        <v>Curve</v>
      </c>
      <c r="I255" s="64" t="str">
        <v>R90</v>
      </c>
      <c r="J255" s="64"/>
      <c r="K255" s="64"/>
      <c r="L255" s="64"/>
      <c r="M255" s="64" t="str">
        <v>L</v>
      </c>
      <c r="N255" s="90"/>
      <c r="O255" s="90"/>
      <c r="P255" s="90" t="str">
        <v>✅</v>
      </c>
      <c r="Q255" s="90"/>
      <c r="R255" s="64" t="str">
        <v>Curve_R90_X3_Y3_Z1</v>
      </c>
      <c r="S255" s="66" t="str">
        <v>/Script/Engine.StaticMesh'/Game/Item/Rail/Curve/R90/Normal/Curve_R90_X3_Y3_Z1/Proxy/SM_Curve_R90_X3_Y3_Z1_Proxy_L.SM_Curve_R90_X3_Y3_Z1_Proxy_L'</v>
      </c>
      <c r="T255" s="139" t="str"/>
      <c r="U255" s="140">
        <v>3</v>
      </c>
      <c r="V255" s="140">
        <v>3</v>
      </c>
      <c r="W255" s="140">
        <v>1</v>
      </c>
      <c r="X255" s="88"/>
      <c r="Y255" s="88">
        <f>IF(AND(Q255="✅", OR(ISNUMBER(FIND("F",I255)), I255="CR")),   "X="&amp;U255*16&amp;",Y="&amp;(V255-1)*16&amp;",Z="&amp;IF(I255="FD", -(W255-1)*16, (W255-1)*16),   "")</f>
      </c>
      <c r="Z255" s="88">
        <f>IF(AND(Q255="✅", OR(ISNUMBER(FIND("F",I255)), I255="CR")), "P=0,Y=0,R=0", "")</f>
      </c>
      <c r="AA255" s="88" t="str"/>
      <c r="AB255" s="88" t="str"/>
      <c r="AC255" s="88" t="str"/>
      <c r="AD255" s="88" t="str"/>
      <c r="AE255" s="88" t="str"/>
      <c r="AF255" s="88"/>
      <c r="AG255" s="88" t="str"/>
      <c r="AH255" s="88" t="str"/>
      <c r="AI255" s="88" t="str"/>
      <c r="AJ255" s="88" t="str"/>
      <c r="AK255" s="88" t="str"/>
      <c r="AL255" s="88" t="str"/>
      <c r="AM255" s="88" t="str"/>
      <c r="AN255" s="88"/>
      <c r="AO255" s="88" t="str"/>
      <c r="AP255" s="88" t="str"/>
      <c r="AQ255" s="88" t="str"/>
      <c r="AR255" s="88" t="str"/>
      <c r="AS255" s="88" t="str"/>
      <c r="AT255" s="88" t="str"/>
      <c r="AU255" s="88" t="str"/>
      <c r="AV255" s="88"/>
      <c r="AW255" s="88">
        <f>IF(AND(Q255="✅", I255="U90"), "X="&amp;(U255-1)*16&amp;",Y="&amp;(V255-1)*16&amp;",Z="&amp;W255*16, "")</f>
      </c>
      <c r="AX255" s="88">
        <f>IF(AND(Q255="✅", I255="U90"), "P=90,Y=0,R=0", "")</f>
      </c>
      <c r="AY255" s="88" t="str"/>
      <c r="AZ255" s="88" t="str"/>
      <c r="BA255" s="88" t="str"/>
      <c r="BB255" s="88" t="str"/>
      <c r="BC255" s="88" t="str"/>
      <c r="BD255" s="88"/>
      <c r="BE255" s="88">
        <f>IF(AND(Q255="✅", I255="D90"), "X="&amp;(U255-1)*16&amp;",Y="&amp;(V255-1)*16&amp;",Z="&amp;(W255-2)*16, "")</f>
      </c>
      <c r="BF255" s="88">
        <f>IF(AND(Q255="✅", I255="D90"), "P=-90,Y=0,R=0", "")</f>
      </c>
      <c r="BG255" s="88" t="str"/>
      <c r="BH255" s="88" t="str"/>
      <c r="BI255" s="88" t="str"/>
      <c r="BJ255" s="88" t="str"/>
      <c r="BK255" s="88" t="str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</row>
    <row hidden="true" outlineLevel="4" r="256">
      <c r="A256" s="14" t="str" xml:space="preserve">
        <v> </v>
      </c>
      <c r="B256" s="14" t="str" xml:space="preserve">
        <v> </v>
      </c>
      <c r="C256" s="147" t="str" xml:space="preserve">
        <v> </v>
      </c>
      <c r="D256" s="147" t="str" xml:space="preserve">
        <v> </v>
      </c>
      <c r="E256" s="65">
        <f>G256 &amp; "_" &amp; H256 &amp; IF(I256&lt;&gt;"", "_" &amp; I256, "") &amp; IF(J256&lt;&gt;"", "_" &amp; J256, "") &amp; IF(K256&lt;&gt;"", "_" &amp; K256, "") &amp;"_X"&amp;U256&amp;"_Y"&amp;V256&amp;"_Z"&amp;W256 &amp; IF(G256="SM", "_Proxy" , "_Rail") &amp; IF(M256&lt;&gt;"", "_" &amp; M256, "")</f>
      </c>
      <c r="F256" s="66">
        <f>IF(E256="", "", IF(G256="BP", E256, F255))</f>
      </c>
      <c r="G256" s="64" t="str">
        <v>SM</v>
      </c>
      <c r="H256" s="64" t="str">
        <v>Curve</v>
      </c>
      <c r="I256" s="64" t="str">
        <v>R90</v>
      </c>
      <c r="J256" s="64"/>
      <c r="K256" s="64"/>
      <c r="L256" s="64"/>
      <c r="M256" s="64" t="str">
        <v>R</v>
      </c>
      <c r="N256" s="90"/>
      <c r="O256" s="90"/>
      <c r="P256" s="90" t="str">
        <v>✅</v>
      </c>
      <c r="Q256" s="90"/>
      <c r="R256" s="64" t="str">
        <v>Curve_R90_X3_Y3_Z1</v>
      </c>
      <c r="S256" s="66" t="str">
        <v>/Script/Engine.StaticMesh'/Game/Item/Rail/Curve/R90/Normal/Curve_R90_X3_Y3_Z1/Proxy/SM_Curve_R90_X3_Y3_Z1_Proxy_R.SM_Curve_R90_X3_Y3_Z1_Proxy_R'</v>
      </c>
      <c r="T256" s="139" t="str"/>
      <c r="U256" s="140">
        <v>3</v>
      </c>
      <c r="V256" s="140">
        <v>3</v>
      </c>
      <c r="W256" s="140">
        <v>1</v>
      </c>
      <c r="X256" s="88"/>
      <c r="Y256" s="88">
        <f>IF(AND(Q256="✅", OR(ISNUMBER(FIND("F",I256)), I256="CR")),   "X="&amp;U256*16&amp;",Y="&amp;(V256-1)*16&amp;",Z="&amp;IF(I256="FD", -(W256-1)*16, (W256-1)*16),   "")</f>
      </c>
      <c r="Z256" s="88">
        <f>IF(AND(Q256="✅", OR(ISNUMBER(FIND("F",I256)), I256="CR")), "P=0,Y=0,R=0", "")</f>
      </c>
      <c r="AA256" s="88" t="str"/>
      <c r="AB256" s="88" t="str"/>
      <c r="AC256" s="88" t="str"/>
      <c r="AD256" s="88" t="str"/>
      <c r="AE256" s="88" t="str"/>
      <c r="AF256" s="88"/>
      <c r="AG256" s="88" t="str"/>
      <c r="AH256" s="88" t="str"/>
      <c r="AI256" s="88" t="str"/>
      <c r="AJ256" s="88" t="str"/>
      <c r="AK256" s="88" t="str"/>
      <c r="AL256" s="88" t="str"/>
      <c r="AM256" s="88" t="str"/>
      <c r="AN256" s="88"/>
      <c r="AO256" s="88" t="str"/>
      <c r="AP256" s="88" t="str"/>
      <c r="AQ256" s="88" t="str"/>
      <c r="AR256" s="88" t="str"/>
      <c r="AS256" s="88" t="str"/>
      <c r="AT256" s="88" t="str"/>
      <c r="AU256" s="88" t="str"/>
      <c r="AV256" s="88"/>
      <c r="AW256" s="88">
        <f>IF(AND(Q256="✅", I256="U90"), "X="&amp;(U256-1)*16&amp;",Y="&amp;(V256-1)*16&amp;",Z="&amp;W256*16, "")</f>
      </c>
      <c r="AX256" s="88">
        <f>IF(AND(Q256="✅", I256="U90"), "P=90,Y=0,R=0", "")</f>
      </c>
      <c r="AY256" s="88" t="str"/>
      <c r="AZ256" s="88" t="str"/>
      <c r="BA256" s="88" t="str"/>
      <c r="BB256" s="88" t="str"/>
      <c r="BC256" s="88" t="str"/>
      <c r="BD256" s="88"/>
      <c r="BE256" s="88">
        <f>IF(AND(Q256="✅", I256="D90"), "X="&amp;(U256-1)*16&amp;",Y="&amp;(V256-1)*16&amp;",Z="&amp;(W256-2)*16, "")</f>
      </c>
      <c r="BF256" s="88">
        <f>IF(AND(Q256="✅", I256="D90"), "P=-90,Y=0,R=0", "")</f>
      </c>
      <c r="BG256" s="88" t="str"/>
      <c r="BH256" s="88" t="str"/>
      <c r="BI256" s="88" t="str"/>
      <c r="BJ256" s="88" t="str"/>
      <c r="BK256" s="88" t="str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</row>
    <row collapsed="true" customHeight="true" ht="19" outlineLevel="3" r="257">
      <c r="A257" s="11"/>
      <c r="B257" s="11"/>
      <c r="C257" s="119"/>
      <c r="D257" s="119">
        <v>4</v>
      </c>
      <c r="E257" s="9"/>
      <c r="F257" s="9"/>
      <c r="G257" s="4"/>
      <c r="H257" s="4"/>
      <c r="I257" s="4"/>
      <c r="J257" s="4"/>
      <c r="K257" s="4"/>
      <c r="L257" s="4"/>
      <c r="M257" s="4"/>
      <c r="N257" s="3"/>
      <c r="O257" s="2"/>
      <c r="P257" s="2"/>
      <c r="Q257" s="2"/>
      <c r="R257" s="1" t="str"/>
      <c r="S257" s="9" t="str"/>
      <c r="T257" s="120" t="str"/>
      <c r="U257" s="118"/>
      <c r="V257" s="118"/>
      <c r="W257" s="118"/>
      <c r="X257" s="4"/>
      <c r="Y257" s="4">
        <f>IF(AND(Q257="✅", OR(ISNUMBER(FIND("F",I257)), I257="CR")),   "X="&amp;U257*16&amp;",Y="&amp;(V257-1)*16&amp;",Z="&amp;IF(I257="FD", -(W257-1)*16, (W257-1)*16),   "")</f>
      </c>
      <c r="Z257" s="4">
        <f>IF(AND(Q257="✅", OR(ISNUMBER(FIND("F",I257)), I257="CR")), "P=0,Y=0,R=0", "")</f>
      </c>
      <c r="AA257" s="4" t="str"/>
      <c r="AB257" s="4" t="str"/>
      <c r="AC257" s="4" t="str"/>
      <c r="AD257" s="4" t="str"/>
      <c r="AE257" s="4" t="str"/>
      <c r="AF257" s="4"/>
      <c r="AG257" s="4" t="str"/>
      <c r="AH257" s="4" t="str"/>
      <c r="AI257" s="4" t="str"/>
      <c r="AJ257" s="4" t="str"/>
      <c r="AK257" s="4" t="str"/>
      <c r="AL257" s="4" t="str"/>
      <c r="AM257" s="4" t="str"/>
      <c r="AN257" s="4"/>
      <c r="AO257" s="4" t="str"/>
      <c r="AP257" s="4" t="str"/>
      <c r="AQ257" s="4" t="str"/>
      <c r="AR257" s="4" t="str"/>
      <c r="AS257" s="4" t="str"/>
      <c r="AT257" s="4" t="str"/>
      <c r="AU257" s="4" t="str"/>
      <c r="AV257" s="4"/>
      <c r="AW257" s="4">
        <f>IF(AND(Q257="✅", I257="U90"), "X="&amp;(U257-1)*16&amp;",Y="&amp;(V257-1)*16&amp;",Z="&amp;W257*16, "")</f>
      </c>
      <c r="AX257" s="4">
        <f>IF(AND(Q257="✅", I257="U90"), "P=90,Y=0,R=0", "")</f>
      </c>
      <c r="AY257" s="4" t="str"/>
      <c r="AZ257" s="4" t="str"/>
      <c r="BA257" s="4" t="str"/>
      <c r="BB257" s="4" t="str"/>
      <c r="BC257" s="4" t="str"/>
      <c r="BD257" s="4"/>
      <c r="BE257" s="4">
        <f>IF(AND(Q257="✅", I257="D90"), "X="&amp;(U257-1)*16&amp;",Y="&amp;(V257-1)*16&amp;",Z="&amp;(W257-2)*16, "")</f>
      </c>
      <c r="BF257" s="4">
        <f>IF(AND(Q257="✅", I257="D90"), "P=-90,Y=0,R=0", "")</f>
      </c>
      <c r="BG257" s="4" t="str"/>
      <c r="BH257" s="4" t="str"/>
      <c r="BI257" s="4" t="str"/>
      <c r="BJ257" s="4" t="str"/>
      <c r="BK257" s="4" t="str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</row>
    <row customHeight="true" hidden="true" ht="19" outlineLevel="4" r="258">
      <c r="A258" s="129" t="str" xml:space="preserve">
        <v> </v>
      </c>
      <c r="B258" s="129" t="str" xml:space="preserve">
        <v> </v>
      </c>
      <c r="C258" s="130" t="str" xml:space="preserve">
        <v> </v>
      </c>
      <c r="D258" s="130" t="str" xml:space="preserve">
        <v> </v>
      </c>
      <c r="E258" s="19">
        <f>G258 &amp; "_" &amp; H258 &amp; IF(I258&lt;&gt;"", "_" &amp; I258, "") &amp; IF(J258&lt;&gt;"", "_" &amp; J258, "") &amp; IF(K258&lt;&gt;"", "_" &amp; K258, "") &amp;"_X"&amp;U258&amp;"_Y"&amp;V258&amp;"_Z"&amp;W258 &amp; IF(G258="SM", "_Proxy" , "_Rail") &amp; IF(M258&lt;&gt;"", "_" &amp; M258, "")</f>
      </c>
      <c r="F258" s="19">
        <f>IF(E258="", "", IF(G258="BP", E258, F287))</f>
      </c>
      <c r="G258" s="25" t="str">
        <v>BP</v>
      </c>
      <c r="H258" s="25" t="str">
        <v>Curve</v>
      </c>
      <c r="I258" s="25" t="str">
        <v>R90</v>
      </c>
      <c r="J258" s="25"/>
      <c r="K258" s="25"/>
      <c r="L258" s="25"/>
      <c r="M258" s="25"/>
      <c r="N258" s="95"/>
      <c r="O258" s="24"/>
      <c r="P258" s="24"/>
      <c r="Q258" s="24" t="str">
        <v>✅</v>
      </c>
      <c r="R258" s="20" t="str">
        <v>Curve_R90_X4_Y4_Z1</v>
      </c>
      <c r="S258" s="19" t="str">
        <v>/Script/Engine.BlueprintGeneratedClass'/Game/Item/Rail/Curve/R90/Normal/Curve_R90_X4_Y4_Z1/BP_Curve_R90_X4_Y4_Z1_Rail.BP_Curve_R90_X4_Y4_Z1_Rail_C'</v>
      </c>
      <c r="T258" s="131">
        <v>2.5</v>
      </c>
      <c r="U258" s="132">
        <v>4</v>
      </c>
      <c r="V258" s="132">
        <v>4</v>
      </c>
      <c r="W258" s="132">
        <v>1</v>
      </c>
      <c r="X258" s="25"/>
      <c r="Y258" s="25">
        <f>IF(AND(Q258="✅", OR(ISNUMBER(FIND("F",I258)), I258="CR")),   "X="&amp;U258*16&amp;",Y="&amp;(V258-1)*16&amp;",Z="&amp;IF(I258="FD", -(W258-1)*16, (W258-1)*16),   "")</f>
      </c>
      <c r="Z258" s="25">
        <f>IF(AND(Q258="✅", OR(ISNUMBER(FIND("F",I258)), I258="CR")), "P=0,Y=0,R=0", "")</f>
      </c>
      <c r="AA258" s="25" t="str"/>
      <c r="AB258" s="25" t="str"/>
      <c r="AC258" s="25" t="str"/>
      <c r="AD258" s="25" t="str"/>
      <c r="AE258" s="25" t="str">
        <v>X=0,Y=0,Z=0,W=0</v>
      </c>
      <c r="AF258" s="25"/>
      <c r="AG258" s="25" t="str"/>
      <c r="AH258" s="25" t="str"/>
      <c r="AI258" s="25" t="str"/>
      <c r="AJ258" s="25" t="str"/>
      <c r="AK258" s="25" t="str"/>
      <c r="AL258" s="25" t="str"/>
      <c r="AM258" s="25" t="str"/>
      <c r="AN258" s="25"/>
      <c r="AO258" s="25" t="str">
        <v>X=48,Y=64,Z=0</v>
      </c>
      <c r="AP258" s="25" t="str">
        <v>P=0,Y=90,R=0</v>
      </c>
      <c r="AQ258" s="25">
        <v>1</v>
      </c>
      <c r="AR258" s="25">
        <v>1.5</v>
      </c>
      <c r="AS258" s="25">
        <v>2</v>
      </c>
      <c r="AT258" s="25">
        <v>1.5</v>
      </c>
      <c r="AU258" s="25" t="str">
        <v>X=1,Y=1.5,Z=2,W=1.5</v>
      </c>
      <c r="AV258" s="25"/>
      <c r="AW258" s="25">
        <f>IF(AND(Q258="✅", I258="U90"), "X="&amp;(U258-1)*16&amp;",Y="&amp;(V258-1)*16&amp;",Z="&amp;W258*16, "")</f>
      </c>
      <c r="AX258" s="25">
        <f>IF(AND(Q258="✅", I258="U90"), "P=90,Y=0,R=0", "")</f>
      </c>
      <c r="AY258" s="25" t="str"/>
      <c r="AZ258" s="25" t="str"/>
      <c r="BA258" s="25" t="str"/>
      <c r="BB258" s="25" t="str"/>
      <c r="BC258" s="25" t="str"/>
      <c r="BD258" s="25"/>
      <c r="BE258" s="25">
        <f>IF(AND(Q258="✅", I258="D90"), "X="&amp;(U258-1)*16&amp;",Y="&amp;(V258-1)*16&amp;",Z="&amp;(W258-2)*16, "")</f>
      </c>
      <c r="BF258" s="25">
        <f>IF(AND(Q258="✅", I258="D90"), "P=-90,Y=0,R=0", "")</f>
      </c>
      <c r="BG258" s="25" t="str"/>
      <c r="BH258" s="25" t="str"/>
      <c r="BI258" s="25" t="str"/>
      <c r="BJ258" s="25" t="str"/>
      <c r="BK258" s="25" t="str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</row>
    <row customHeight="true" hidden="true" ht="19" outlineLevel="4" r="259">
      <c r="A259" s="129" t="str" xml:space="preserve">
        <v> </v>
      </c>
      <c r="B259" s="129" t="str" xml:space="preserve">
        <v> </v>
      </c>
      <c r="C259" s="130" t="str" xml:space="preserve">
        <v> </v>
      </c>
      <c r="D259" s="130" t="str" xml:space="preserve">
        <v> </v>
      </c>
      <c r="E259" s="19">
        <f>G259 &amp; "_" &amp; H259 &amp; IF(I259&lt;&gt;"", "_" &amp; I259, "") &amp; IF(J259&lt;&gt;"", "_" &amp; J259, "") &amp; IF(K259&lt;&gt;"", "_" &amp; K259, "") &amp;"_X"&amp;U259&amp;"_Y"&amp;V259&amp;"_Z"&amp;W259 &amp; IF(G259="SM", "_Proxy" , "_Rail") &amp; IF(M259&lt;&gt;"", "_" &amp; M259, "")</f>
      </c>
      <c r="F259" s="19">
        <f>IF(E259="", "", IF(G259="BP", E259, F258))</f>
      </c>
      <c r="G259" s="25" t="str">
        <v>SM</v>
      </c>
      <c r="H259" s="25" t="str">
        <v>Curve</v>
      </c>
      <c r="I259" s="25" t="str">
        <v>R90</v>
      </c>
      <c r="J259" s="25"/>
      <c r="K259" s="25"/>
      <c r="L259" s="25"/>
      <c r="M259" s="25" t="str">
        <v>B</v>
      </c>
      <c r="N259" s="95"/>
      <c r="O259" s="24"/>
      <c r="P259" s="24" t="str">
        <v>✅</v>
      </c>
      <c r="Q259" s="24"/>
      <c r="R259" s="20" t="str">
        <v>Curve_R90_X4_Y4_Z1</v>
      </c>
      <c r="S259" s="19" t="str">
        <v>/Script/Engine.StaticMesh'/Game/Item/Rail/Curve/R90/Normal/Curve_R90_X4_Y4_Z1/Proxy/SM_Curve_R90_X4_Y4_Z1_Proxy_B.SM_Curve_R90_X4_Y4_Z1_Proxy_B'</v>
      </c>
      <c r="T259" s="131" t="str"/>
      <c r="U259" s="132">
        <v>4</v>
      </c>
      <c r="V259" s="132">
        <v>4</v>
      </c>
      <c r="W259" s="132">
        <v>1</v>
      </c>
      <c r="X259" s="25"/>
      <c r="Y259" s="25">
        <f>IF(AND(Q259="✅", OR(ISNUMBER(FIND("F",I259)), I259="CR")),   "X="&amp;U259*16&amp;",Y="&amp;(V259-1)*16&amp;",Z="&amp;IF(I259="FD", -(W259-1)*16, (W259-1)*16),   "")</f>
      </c>
      <c r="Z259" s="25">
        <f>IF(AND(Q259="✅", OR(ISNUMBER(FIND("F",I259)), I259="CR")), "P=0,Y=0,R=0", "")</f>
      </c>
      <c r="AA259" s="25" t="str"/>
      <c r="AB259" s="25" t="str"/>
      <c r="AC259" s="25" t="str"/>
      <c r="AD259" s="25" t="str"/>
      <c r="AE259" s="25" t="str"/>
      <c r="AF259" s="25"/>
      <c r="AG259" s="25" t="str"/>
      <c r="AH259" s="25" t="str"/>
      <c r="AI259" s="25" t="str"/>
      <c r="AJ259" s="25" t="str"/>
      <c r="AK259" s="25" t="str"/>
      <c r="AL259" s="25" t="str"/>
      <c r="AM259" s="25" t="str"/>
      <c r="AN259" s="25"/>
      <c r="AO259" s="25" t="str"/>
      <c r="AP259" s="25" t="str"/>
      <c r="AQ259" s="25" t="str"/>
      <c r="AR259" s="25" t="str"/>
      <c r="AS259" s="25" t="str"/>
      <c r="AT259" s="25" t="str"/>
      <c r="AU259" s="25" t="str"/>
      <c r="AV259" s="25"/>
      <c r="AW259" s="25">
        <f>IF(AND(Q259="✅", I259="U90"), "X="&amp;(U259-1)*16&amp;",Y="&amp;(V259-1)*16&amp;",Z="&amp;W259*16, "")</f>
      </c>
      <c r="AX259" s="25">
        <f>IF(AND(Q259="✅", I259="U90"), "P=90,Y=0,R=0", "")</f>
      </c>
      <c r="AY259" s="25" t="str"/>
      <c r="AZ259" s="25" t="str"/>
      <c r="BA259" s="25" t="str"/>
      <c r="BB259" s="25" t="str"/>
      <c r="BC259" s="25" t="str"/>
      <c r="BD259" s="25"/>
      <c r="BE259" s="25">
        <f>IF(AND(Q259="✅", I259="D90"), "X="&amp;(U259-1)*16&amp;",Y="&amp;(V259-1)*16&amp;",Z="&amp;(W259-2)*16, "")</f>
      </c>
      <c r="BF259" s="25">
        <f>IF(AND(Q259="✅", I259="D90"), "P=-90,Y=0,R=0", "")</f>
      </c>
      <c r="BG259" s="25" t="str"/>
      <c r="BH259" s="25" t="str"/>
      <c r="BI259" s="25" t="str"/>
      <c r="BJ259" s="25" t="str"/>
      <c r="BK259" s="25" t="str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</row>
    <row customHeight="true" hidden="true" ht="19" outlineLevel="4" r="260">
      <c r="A260" s="129" t="str" xml:space="preserve">
        <v> </v>
      </c>
      <c r="B260" s="129" t="str" xml:space="preserve">
        <v> </v>
      </c>
      <c r="C260" s="130" t="str" xml:space="preserve">
        <v> </v>
      </c>
      <c r="D260" s="130" t="str" xml:space="preserve">
        <v> </v>
      </c>
      <c r="E260" s="19">
        <f>G260 &amp; "_" &amp; H260 &amp; IF(I260&lt;&gt;"", "_" &amp; I260, "") &amp; IF(J260&lt;&gt;"", "_" &amp; J260, "") &amp; IF(K260&lt;&gt;"", "_" &amp; K260, "") &amp;"_X"&amp;U260&amp;"_Y"&amp;V260&amp;"_Z"&amp;W260 &amp; IF(G260="SM", "_Proxy" , "_Rail") &amp; IF(M260&lt;&gt;"", "_" &amp; M260, "")</f>
      </c>
      <c r="F260" s="19">
        <f>IF(E260="", "", IF(G260="BP", E260, F259))</f>
      </c>
      <c r="G260" s="25" t="str">
        <v>SM</v>
      </c>
      <c r="H260" s="25" t="str">
        <v>Curve</v>
      </c>
      <c r="I260" s="25" t="str">
        <v>R90</v>
      </c>
      <c r="J260" s="25"/>
      <c r="K260" s="25"/>
      <c r="L260" s="25"/>
      <c r="M260" s="25" t="str">
        <v>L</v>
      </c>
      <c r="N260" s="95"/>
      <c r="O260" s="24"/>
      <c r="P260" s="24" t="str">
        <v>✅</v>
      </c>
      <c r="Q260" s="24"/>
      <c r="R260" s="20" t="str">
        <v>Curve_R90_X4_Y4_Z1</v>
      </c>
      <c r="S260" s="19" t="str">
        <v>/Script/Engine.StaticMesh'/Game/Item/Rail/Curve/R90/Normal/Curve_R90_X4_Y4_Z1/Proxy/SM_Curve_R90_X4_Y4_Z1_Proxy_L.SM_Curve_R90_X4_Y4_Z1_Proxy_L'</v>
      </c>
      <c r="T260" s="131" t="str"/>
      <c r="U260" s="132">
        <v>4</v>
      </c>
      <c r="V260" s="132">
        <v>4</v>
      </c>
      <c r="W260" s="132">
        <v>1</v>
      </c>
      <c r="X260" s="25"/>
      <c r="Y260" s="25">
        <f>IF(AND(Q260="✅", OR(ISNUMBER(FIND("F",I260)), I260="CR")),   "X="&amp;U260*16&amp;",Y="&amp;(V260-1)*16&amp;",Z="&amp;IF(I260="FD", -(W260-1)*16, (W260-1)*16),   "")</f>
      </c>
      <c r="Z260" s="25">
        <f>IF(AND(Q260="✅", OR(ISNUMBER(FIND("F",I260)), I260="CR")), "P=0,Y=0,R=0", "")</f>
      </c>
      <c r="AA260" s="25" t="str"/>
      <c r="AB260" s="25" t="str"/>
      <c r="AC260" s="25" t="str"/>
      <c r="AD260" s="25" t="str"/>
      <c r="AE260" s="25" t="str"/>
      <c r="AF260" s="25"/>
      <c r="AG260" s="25" t="str"/>
      <c r="AH260" s="25" t="str"/>
      <c r="AI260" s="25" t="str"/>
      <c r="AJ260" s="25" t="str"/>
      <c r="AK260" s="25" t="str"/>
      <c r="AL260" s="25" t="str"/>
      <c r="AM260" s="25" t="str"/>
      <c r="AN260" s="25"/>
      <c r="AO260" s="25" t="str"/>
      <c r="AP260" s="25" t="str"/>
      <c r="AQ260" s="25" t="str"/>
      <c r="AR260" s="25" t="str"/>
      <c r="AS260" s="25" t="str"/>
      <c r="AT260" s="25" t="str"/>
      <c r="AU260" s="25" t="str"/>
      <c r="AV260" s="25"/>
      <c r="AW260" s="25">
        <f>IF(AND(Q260="✅", I260="U90"), "X="&amp;(U260-1)*16&amp;",Y="&amp;(V260-1)*16&amp;",Z="&amp;W260*16, "")</f>
      </c>
      <c r="AX260" s="25">
        <f>IF(AND(Q260="✅", I260="U90"), "P=90,Y=0,R=0", "")</f>
      </c>
      <c r="AY260" s="25" t="str"/>
      <c r="AZ260" s="25" t="str"/>
      <c r="BA260" s="25" t="str"/>
      <c r="BB260" s="25" t="str"/>
      <c r="BC260" s="25" t="str"/>
      <c r="BD260" s="25"/>
      <c r="BE260" s="25">
        <f>IF(AND(Q260="✅", I260="D90"), "X="&amp;(U260-1)*16&amp;",Y="&amp;(V260-1)*16&amp;",Z="&amp;(W260-2)*16, "")</f>
      </c>
      <c r="BF260" s="25">
        <f>IF(AND(Q260="✅", I260="D90"), "P=-90,Y=0,R=0", "")</f>
      </c>
      <c r="BG260" s="25" t="str"/>
      <c r="BH260" s="25" t="str"/>
      <c r="BI260" s="25" t="str"/>
      <c r="BJ260" s="25" t="str"/>
      <c r="BK260" s="25" t="str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</row>
    <row customHeight="true" hidden="true" ht="19" outlineLevel="4" r="261">
      <c r="A261" s="129" t="str" xml:space="preserve">
        <v> </v>
      </c>
      <c r="B261" s="129" t="str" xml:space="preserve">
        <v> </v>
      </c>
      <c r="C261" s="130" t="str" xml:space="preserve">
        <v> </v>
      </c>
      <c r="D261" s="130" t="str" xml:space="preserve">
        <v> </v>
      </c>
      <c r="E261" s="19">
        <f>G261 &amp; "_" &amp; H261 &amp; IF(I261&lt;&gt;"", "_" &amp; I261, "") &amp; IF(J261&lt;&gt;"", "_" &amp; J261, "") &amp; IF(K261&lt;&gt;"", "_" &amp; K261, "") &amp;"_X"&amp;U261&amp;"_Y"&amp;V261&amp;"_Z"&amp;W261 &amp; IF(G261="SM", "_Proxy" , "_Rail") &amp; IF(M261&lt;&gt;"", "_" &amp; M261, "")</f>
      </c>
      <c r="F261" s="19">
        <f>IF(E261="", "", IF(G261="BP", E261, F260))</f>
      </c>
      <c r="G261" s="25" t="str">
        <v>SM</v>
      </c>
      <c r="H261" s="25" t="str">
        <v>Curve</v>
      </c>
      <c r="I261" s="25" t="str">
        <v>R90</v>
      </c>
      <c r="J261" s="25"/>
      <c r="K261" s="25"/>
      <c r="L261" s="25"/>
      <c r="M261" s="25" t="str">
        <v>R</v>
      </c>
      <c r="N261" s="95"/>
      <c r="O261" s="24"/>
      <c r="P261" s="24" t="str">
        <v>✅</v>
      </c>
      <c r="Q261" s="24"/>
      <c r="R261" s="20" t="str">
        <v>Curve_R90_X4_Y4_Z1</v>
      </c>
      <c r="S261" s="19" t="str">
        <v>/Script/Engine.StaticMesh'/Game/Item/Rail/Curve/R90/Normal/Curve_R90_X4_Y4_Z1/Proxy/SM_Curve_R90_X4_Y4_Z1_Proxy_R.SM_Curve_R90_X4_Y4_Z1_Proxy_R'</v>
      </c>
      <c r="T261" s="131" t="str"/>
      <c r="U261" s="132">
        <v>4</v>
      </c>
      <c r="V261" s="132">
        <v>4</v>
      </c>
      <c r="W261" s="132">
        <v>1</v>
      </c>
      <c r="X261" s="25"/>
      <c r="Y261" s="25">
        <f>IF(AND(Q261="✅", OR(ISNUMBER(FIND("F",I261)), I261="CR")),   "X="&amp;U261*16&amp;",Y="&amp;(V261-1)*16&amp;",Z="&amp;IF(I261="FD", -(W261-1)*16, (W261-1)*16),   "")</f>
      </c>
      <c r="Z261" s="25">
        <f>IF(AND(Q261="✅", OR(ISNUMBER(FIND("F",I261)), I261="CR")), "P=0,Y=0,R=0", "")</f>
      </c>
      <c r="AA261" s="25" t="str"/>
      <c r="AB261" s="25" t="str"/>
      <c r="AC261" s="25" t="str"/>
      <c r="AD261" s="25" t="str"/>
      <c r="AE261" s="25" t="str"/>
      <c r="AF261" s="25"/>
      <c r="AG261" s="25" t="str"/>
      <c r="AH261" s="25" t="str"/>
      <c r="AI261" s="25" t="str"/>
      <c r="AJ261" s="25" t="str"/>
      <c r="AK261" s="25" t="str"/>
      <c r="AL261" s="25" t="str"/>
      <c r="AM261" s="25" t="str"/>
      <c r="AN261" s="25"/>
      <c r="AO261" s="25" t="str"/>
      <c r="AP261" s="25" t="str"/>
      <c r="AQ261" s="25" t="str"/>
      <c r="AR261" s="25" t="str"/>
      <c r="AS261" s="25" t="str"/>
      <c r="AT261" s="25" t="str"/>
      <c r="AU261" s="25" t="str"/>
      <c r="AV261" s="25"/>
      <c r="AW261" s="25">
        <f>IF(AND(Q261="✅", I261="U90"), "X="&amp;(U261-1)*16&amp;",Y="&amp;(V261-1)*16&amp;",Z="&amp;W261*16, "")</f>
      </c>
      <c r="AX261" s="25">
        <f>IF(AND(Q261="✅", I261="U90"), "P=90,Y=0,R=0", "")</f>
      </c>
      <c r="AY261" s="25" t="str"/>
      <c r="AZ261" s="25" t="str"/>
      <c r="BA261" s="25" t="str"/>
      <c r="BB261" s="25" t="str"/>
      <c r="BC261" s="25" t="str"/>
      <c r="BD261" s="25"/>
      <c r="BE261" s="25">
        <f>IF(AND(Q261="✅", I261="D90"), "X="&amp;(U261-1)*16&amp;",Y="&amp;(V261-1)*16&amp;",Z="&amp;(W261-2)*16, "")</f>
      </c>
      <c r="BF261" s="25">
        <f>IF(AND(Q261="✅", I261="D90"), "P=-90,Y=0,R=0", "")</f>
      </c>
      <c r="BG261" s="25" t="str"/>
      <c r="BH261" s="25" t="str"/>
      <c r="BI261" s="25" t="str"/>
      <c r="BJ261" s="25" t="str"/>
      <c r="BK261" s="25" t="str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</row>
    <row customHeight="true" ht="19" outlineLevel="2" r="262">
      <c r="A262" s="11"/>
      <c r="B262" s="11"/>
      <c r="C262" s="147" t="str">
        <v>Borderless</v>
      </c>
      <c r="D262" s="119"/>
      <c r="E262" s="5"/>
      <c r="F262" s="9"/>
      <c r="G262" s="1"/>
      <c r="H262" s="1"/>
      <c r="I262" s="1"/>
      <c r="J262" s="1"/>
      <c r="K262" s="1"/>
      <c r="L262" s="1"/>
      <c r="M262" s="1"/>
      <c r="N262" s="3"/>
      <c r="O262" s="3"/>
      <c r="P262" s="3"/>
      <c r="Q262" s="3"/>
      <c r="R262" s="1" t="str"/>
      <c r="S262" s="9" t="str"/>
      <c r="T262" s="120" t="str"/>
      <c r="U262" s="118"/>
      <c r="V262" s="118"/>
      <c r="W262" s="118"/>
      <c r="X262" s="4"/>
      <c r="Y262" s="4">
        <f>IF(AND(Q262="✅", OR(ISNUMBER(FIND("F",I262)), I262="CR")),   "X="&amp;U262*16&amp;",Y="&amp;(V262-1)*16&amp;",Z="&amp;IF(I262="FD", -(W262-1)*16, (W262-1)*16),   "")</f>
      </c>
      <c r="Z262" s="4">
        <f>IF(AND(Q262="✅", OR(ISNUMBER(FIND("F",I262)), I262="CR")), "P=0,Y=0,R=0", "")</f>
      </c>
      <c r="AA262" s="4" t="str"/>
      <c r="AB262" s="4" t="str"/>
      <c r="AC262" s="4" t="str"/>
      <c r="AD262" s="4" t="str"/>
      <c r="AE262" s="4" t="str"/>
      <c r="AF262" s="4"/>
      <c r="AG262" s="4" t="str"/>
      <c r="AH262" s="4" t="str"/>
      <c r="AI262" s="4" t="str"/>
      <c r="AJ262" s="4" t="str"/>
      <c r="AK262" s="4" t="str"/>
      <c r="AL262" s="4" t="str"/>
      <c r="AM262" s="4" t="str"/>
      <c r="AN262" s="4"/>
      <c r="AO262" s="4" t="str"/>
      <c r="AP262" s="4" t="str"/>
      <c r="AQ262" s="4" t="str"/>
      <c r="AR262" s="4" t="str"/>
      <c r="AS262" s="4" t="str"/>
      <c r="AT262" s="4" t="str"/>
      <c r="AU262" s="4" t="str"/>
      <c r="AV262" s="4"/>
      <c r="AW262" s="4">
        <f>IF(AND(Q262="✅", I262="U90"), "X="&amp;(U262-1)*16&amp;",Y="&amp;(V262-1)*16&amp;",Z="&amp;W262*16, "")</f>
      </c>
      <c r="AX262" s="4">
        <f>IF(AND(Q262="✅", I262="U90"), "P=90,Y=0,R=0", "")</f>
      </c>
      <c r="AY262" s="4" t="str"/>
      <c r="AZ262" s="4" t="str"/>
      <c r="BA262" s="4" t="str"/>
      <c r="BB262" s="4" t="str"/>
      <c r="BC262" s="4" t="str"/>
      <c r="BD262" s="4"/>
      <c r="BE262" s="4">
        <f>IF(AND(Q262="✅", I262="D90"), "X="&amp;(U262-1)*16&amp;",Y="&amp;(V262-1)*16&amp;",Z="&amp;(W262-2)*16, "")</f>
      </c>
      <c r="BF262" s="4">
        <f>IF(AND(Q262="✅", I262="D90"), "P=-90,Y=0,R=0", "")</f>
      </c>
      <c r="BG262" s="4" t="str"/>
      <c r="BH262" s="4" t="str"/>
      <c r="BI262" s="4" t="str"/>
      <c r="BJ262" s="4" t="str"/>
      <c r="BK262" s="4" t="str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</row>
    <row collapsed="true" customHeight="true" ht="19" outlineLevel="3" r="263">
      <c r="A263" s="11"/>
      <c r="B263" s="11"/>
      <c r="C263" s="119"/>
      <c r="D263" s="119">
        <v>1</v>
      </c>
      <c r="E263" s="5"/>
      <c r="F263" s="9"/>
      <c r="G263" s="1"/>
      <c r="H263" s="1"/>
      <c r="I263" s="1"/>
      <c r="J263" s="1"/>
      <c r="K263" s="1"/>
      <c r="L263" s="1"/>
      <c r="M263" s="1"/>
      <c r="N263" s="3"/>
      <c r="O263" s="3"/>
      <c r="P263" s="3"/>
      <c r="Q263" s="3"/>
      <c r="R263" s="1" t="str"/>
      <c r="S263" s="9" t="str"/>
      <c r="T263" s="120" t="str"/>
      <c r="U263" s="118"/>
      <c r="V263" s="118"/>
      <c r="W263" s="118"/>
      <c r="X263" s="4"/>
      <c r="Y263" s="4">
        <f>IF(AND(Q263="✅", OR(ISNUMBER(FIND("F",I263)), I263="CR")),   "X="&amp;U263*16&amp;",Y="&amp;(V263-1)*16&amp;",Z="&amp;IF(I263="FD", -(W263-1)*16, (W263-1)*16),   "")</f>
      </c>
      <c r="Z263" s="4">
        <f>IF(AND(Q263="✅", OR(ISNUMBER(FIND("F",I263)), I263="CR")), "P=0,Y=0,R=0", "")</f>
      </c>
      <c r="AA263" s="4" t="str"/>
      <c r="AB263" s="4" t="str"/>
      <c r="AC263" s="4" t="str"/>
      <c r="AD263" s="4" t="str"/>
      <c r="AE263" s="4" t="str"/>
      <c r="AF263" s="4"/>
      <c r="AG263" s="4" t="str"/>
      <c r="AH263" s="4" t="str"/>
      <c r="AI263" s="4" t="str"/>
      <c r="AJ263" s="4" t="str"/>
      <c r="AK263" s="4" t="str"/>
      <c r="AL263" s="4" t="str"/>
      <c r="AM263" s="4" t="str"/>
      <c r="AN263" s="4"/>
      <c r="AO263" s="4" t="str"/>
      <c r="AP263" s="4" t="str"/>
      <c r="AQ263" s="4" t="str"/>
      <c r="AR263" s="4" t="str"/>
      <c r="AS263" s="4" t="str"/>
      <c r="AT263" s="4" t="str"/>
      <c r="AU263" s="4" t="str"/>
      <c r="AV263" s="4"/>
      <c r="AW263" s="4">
        <f>IF(AND(Q263="✅", I263="U90"), "X="&amp;(U263-1)*16&amp;",Y="&amp;(V263-1)*16&amp;",Z="&amp;W263*16, "")</f>
      </c>
      <c r="AX263" s="4">
        <f>IF(AND(Q263="✅", I263="U90"), "P=90,Y=0,R=0", "")</f>
      </c>
      <c r="AY263" s="4" t="str"/>
      <c r="AZ263" s="4" t="str"/>
      <c r="BA263" s="4" t="str"/>
      <c r="BB263" s="4" t="str"/>
      <c r="BC263" s="4" t="str"/>
      <c r="BD263" s="4"/>
      <c r="BE263" s="4">
        <f>IF(AND(Q263="✅", I263="D90"), "X="&amp;(U263-1)*16&amp;",Y="&amp;(V263-1)*16&amp;",Z="&amp;(W263-2)*16, "")</f>
      </c>
      <c r="BF263" s="4">
        <f>IF(AND(Q263="✅", I263="D90"), "P=-90,Y=0,R=0", "")</f>
      </c>
      <c r="BG263" s="4" t="str"/>
      <c r="BH263" s="4" t="str"/>
      <c r="BI263" s="4" t="str"/>
      <c r="BJ263" s="4" t="str"/>
      <c r="BK263" s="4" t="str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</row>
    <row customHeight="true" hidden="true" ht="19" outlineLevel="4" r="264">
      <c r="A264" s="142" t="str" xml:space="preserve">
        <v> </v>
      </c>
      <c r="B264" s="142" t="str" xml:space="preserve">
        <v> </v>
      </c>
      <c r="C264" s="141" t="str" xml:space="preserve">
        <v> </v>
      </c>
      <c r="D264" s="141" t="str" xml:space="preserve">
        <v> </v>
      </c>
      <c r="E264" s="51">
        <f>G264 &amp; "_" &amp; H264 &amp; IF(I264&lt;&gt;"", "_" &amp; I264, "") &amp; IF(J264&lt;&gt;"", "_" &amp; J264, "") &amp; IF(K264&lt;&gt;"", "_" &amp; K264, "") &amp;"_X"&amp;U264&amp;"_Y"&amp;V264&amp;"_Z"&amp;W264 &amp; IF(G264="SM", "_Proxy" , "_Rail") &amp; IF(M264&lt;&gt;"", "_" &amp; M264, "")</f>
      </c>
      <c r="F264" s="54">
        <f>IF(E264="", "", IF(G264="BP", E264, F246))</f>
      </c>
      <c r="G264" s="52" t="str">
        <v>BP</v>
      </c>
      <c r="H264" s="52" t="str">
        <v>Curve</v>
      </c>
      <c r="I264" s="52" t="str">
        <v>R90</v>
      </c>
      <c r="J264" s="52" t="str">
        <v>Borderless</v>
      </c>
      <c r="K264" s="52"/>
      <c r="L264" s="52"/>
      <c r="M264" s="52"/>
      <c r="N264" s="101"/>
      <c r="O264" s="101"/>
      <c r="P264" s="101"/>
      <c r="Q264" s="101" t="str">
        <v>✅</v>
      </c>
      <c r="R264" s="52" t="str">
        <v>Curve_R90_Borderless_X1_Y1_Z1</v>
      </c>
      <c r="S264" s="54" t="str">
        <v>/Script/Engine.BlueprintGeneratedClass'/Game/Item/Rail/Curve/R90/Borderless/Curve_R90_Borderless_X1_Y1_Z1/BP_Curve_R90_Borderless_X1_Y1_Z1_Rail.BP_Curve_R90_Borderless_X1_Y1_Z1_Rail_C'</v>
      </c>
      <c r="T264" s="138">
        <v>3</v>
      </c>
      <c r="U264" s="137">
        <v>1</v>
      </c>
      <c r="V264" s="137">
        <v>1</v>
      </c>
      <c r="W264" s="137">
        <v>1</v>
      </c>
      <c r="X264" s="53"/>
      <c r="Y264" s="53">
        <f>IF(AND(Q264="✅", OR(ISNUMBER(FIND("F",I264)), I264="CR")),   "X="&amp;U264*16&amp;",Y="&amp;(V264-1)*16&amp;",Z="&amp;IF(I264="FD", -(W264-1)*16, (W264-1)*16),   "")</f>
      </c>
      <c r="Z264" s="53">
        <f>IF(AND(Q264="✅", OR(ISNUMBER(FIND("F",I264)), I264="CR")), "P=0,Y=0,R=0", "")</f>
      </c>
      <c r="AA264" s="53" t="str"/>
      <c r="AB264" s="53" t="str"/>
      <c r="AC264" s="53" t="str"/>
      <c r="AD264" s="53" t="str"/>
      <c r="AE264" s="53" t="str">
        <v>X=0,Y=0,Z=0,W=0</v>
      </c>
      <c r="AF264" s="53"/>
      <c r="AG264" s="53" t="str"/>
      <c r="AH264" s="53" t="str"/>
      <c r="AI264" s="53" t="str"/>
      <c r="AJ264" s="53" t="str"/>
      <c r="AK264" s="53" t="str"/>
      <c r="AL264" s="53" t="str"/>
      <c r="AM264" s="53" t="str"/>
      <c r="AN264" s="53"/>
      <c r="AO264" s="53" t="str">
        <v>X=0,Y=16,Z=0</v>
      </c>
      <c r="AP264" s="53" t="str">
        <v>P=0,Y=90,R=0</v>
      </c>
      <c r="AQ264" s="53">
        <v>1</v>
      </c>
      <c r="AR264" s="53">
        <v>1.5</v>
      </c>
      <c r="AS264" s="53">
        <v>2</v>
      </c>
      <c r="AT264" s="53">
        <v>1.5</v>
      </c>
      <c r="AU264" s="53" t="str">
        <v>X=1,Y=1.5,Z=2,W=1.5</v>
      </c>
      <c r="AV264" s="53"/>
      <c r="AW264" s="53">
        <f>IF(AND(Q264="✅", I264="U90"), "X="&amp;(U264-1)*16&amp;",Y="&amp;(V264-1)*16&amp;",Z="&amp;W264*16, "")</f>
      </c>
      <c r="AX264" s="53">
        <f>IF(AND(Q264="✅", I264="U90"), "P=90,Y=0,R=0", "")</f>
      </c>
      <c r="AY264" s="53" t="str"/>
      <c r="AZ264" s="53" t="str"/>
      <c r="BA264" s="53" t="str"/>
      <c r="BB264" s="53" t="str"/>
      <c r="BC264" s="53" t="str"/>
      <c r="BD264" s="53"/>
      <c r="BE264" s="53">
        <f>IF(AND(Q264="✅", I264="D90"), "X="&amp;(U264-1)*16&amp;",Y="&amp;(V264-1)*16&amp;",Z="&amp;(W264-2)*16, "")</f>
      </c>
      <c r="BF264" s="53">
        <f>IF(AND(Q264="✅", I264="D90"), "P=-90,Y=0,R=0", "")</f>
      </c>
      <c r="BG264" s="53" t="str"/>
      <c r="BH264" s="53" t="str"/>
      <c r="BI264" s="53" t="str"/>
      <c r="BJ264" s="53" t="str"/>
      <c r="BK264" s="53" t="str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</row>
    <row customHeight="true" hidden="true" ht="19" outlineLevel="4" r="265">
      <c r="A265" s="142" t="str" xml:space="preserve">
        <v> </v>
      </c>
      <c r="B265" s="142" t="str" xml:space="preserve">
        <v> </v>
      </c>
      <c r="C265" s="141" t="str" xml:space="preserve">
        <v> </v>
      </c>
      <c r="D265" s="141" t="str" xml:space="preserve">
        <v> </v>
      </c>
      <c r="E265" s="54">
        <f>E244</f>
      </c>
      <c r="F265" s="54">
        <f>IF(E265="", "", IF(G265="BP", E265, F264))</f>
      </c>
      <c r="G265" s="52"/>
      <c r="H265" s="52"/>
      <c r="I265" s="52"/>
      <c r="J265" s="52"/>
      <c r="K265" s="52"/>
      <c r="L265" s="52"/>
      <c r="M265" s="52" t="str">
        <v>B</v>
      </c>
      <c r="N265" s="101"/>
      <c r="O265" s="101"/>
      <c r="P265" s="101" t="str">
        <v>✅</v>
      </c>
      <c r="Q265" s="101"/>
      <c r="R265" s="52" t="str">
        <v>Curve_R90_X1_Y1_Z1</v>
      </c>
      <c r="S265" s="54" t="str">
        <v>/Script/Engine.StaticMesh'/Game/Item/Rail/Curve/R90/Normal/Curve_R90_X1_Y1_Z1/Proxy/SM_Curve_R90_X1_Y1_Z1_Proxy_B.SM_Curve_R90_X1_Y1_Z1_Proxy_B'</v>
      </c>
      <c r="T265" s="138" t="str"/>
      <c r="U265" s="137"/>
      <c r="V265" s="137"/>
      <c r="W265" s="137"/>
      <c r="X265" s="53"/>
      <c r="Y265" s="53">
        <f>IF(AND(Q265="✅", OR(ISNUMBER(FIND("F",I265)), I265="CR")),   "X="&amp;U265*16&amp;",Y="&amp;(V265-1)*16&amp;",Z="&amp;IF(I265="FD", -(W265-1)*16, (W265-1)*16),   "")</f>
      </c>
      <c r="Z265" s="53">
        <f>IF(AND(Q265="✅", OR(ISNUMBER(FIND("F",I265)), I265="CR")), "P=0,Y=0,R=0", "")</f>
      </c>
      <c r="AA265" s="53" t="str"/>
      <c r="AB265" s="53" t="str"/>
      <c r="AC265" s="53" t="str"/>
      <c r="AD265" s="53" t="str"/>
      <c r="AE265" s="53" t="str"/>
      <c r="AF265" s="53"/>
      <c r="AG265" s="53" t="str"/>
      <c r="AH265" s="53" t="str"/>
      <c r="AI265" s="53" t="str"/>
      <c r="AJ265" s="53" t="str"/>
      <c r="AK265" s="53" t="str"/>
      <c r="AL265" s="53" t="str"/>
      <c r="AM265" s="53" t="str"/>
      <c r="AN265" s="53"/>
      <c r="AO265" s="53" t="str"/>
      <c r="AP265" s="53" t="str"/>
      <c r="AQ265" s="53" t="str"/>
      <c r="AR265" s="53" t="str"/>
      <c r="AS265" s="53" t="str"/>
      <c r="AT265" s="53" t="str"/>
      <c r="AU265" s="53" t="str"/>
      <c r="AV265" s="53"/>
      <c r="AW265" s="53">
        <f>IF(AND(Q265="✅", I265="U90"), "X="&amp;(U265-1)*16&amp;",Y="&amp;(V265-1)*16&amp;",Z="&amp;W265*16, "")</f>
      </c>
      <c r="AX265" s="53">
        <f>IF(AND(Q265="✅", I265="U90"), "P=90,Y=0,R=0", "")</f>
      </c>
      <c r="AY265" s="53" t="str"/>
      <c r="AZ265" s="53" t="str"/>
      <c r="BA265" s="53" t="str"/>
      <c r="BB265" s="53" t="str"/>
      <c r="BC265" s="53" t="str"/>
      <c r="BD265" s="53"/>
      <c r="BE265" s="53">
        <f>IF(AND(Q265="✅", I265="D90"), "X="&amp;(U265-1)*16&amp;",Y="&amp;(V265-1)*16&amp;",Z="&amp;(W265-2)*16, "")</f>
      </c>
      <c r="BF265" s="53">
        <f>IF(AND(Q265="✅", I265="D90"), "P=-90,Y=0,R=0", "")</f>
      </c>
      <c r="BG265" s="53" t="str"/>
      <c r="BH265" s="53" t="str"/>
      <c r="BI265" s="53" t="str"/>
      <c r="BJ265" s="53" t="str"/>
      <c r="BK265" s="53" t="str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</row>
    <row collapsed="true" customHeight="true" ht="19" outlineLevel="3" r="266">
      <c r="A266" s="11"/>
      <c r="B266" s="11"/>
      <c r="C266" s="119"/>
      <c r="D266" s="119">
        <v>2</v>
      </c>
      <c r="E266" s="5"/>
      <c r="F266" s="9"/>
      <c r="G266" s="1"/>
      <c r="H266" s="1"/>
      <c r="I266" s="1"/>
      <c r="J266" s="1"/>
      <c r="K266" s="1"/>
      <c r="L266" s="1"/>
      <c r="M266" s="1"/>
      <c r="N266" s="3"/>
      <c r="O266" s="3"/>
      <c r="P266" s="3"/>
      <c r="Q266" s="3"/>
      <c r="R266" s="1" t="str"/>
      <c r="S266" s="9" t="str"/>
      <c r="T266" s="120" t="str"/>
      <c r="U266" s="118"/>
      <c r="V266" s="118"/>
      <c r="W266" s="118"/>
      <c r="X266" s="4"/>
      <c r="Y266" s="4">
        <f>IF(AND(Q266="✅", OR(ISNUMBER(FIND("F",I266)), I266="CR")),   "X="&amp;U266*16&amp;",Y="&amp;(V266-1)*16&amp;",Z="&amp;IF(I266="FD", -(W266-1)*16, (W266-1)*16),   "")</f>
      </c>
      <c r="Z266" s="4">
        <f>IF(AND(Q266="✅", OR(ISNUMBER(FIND("F",I266)), I266="CR")), "P=0,Y=0,R=0", "")</f>
      </c>
      <c r="AA266" s="4" t="str"/>
      <c r="AB266" s="4" t="str"/>
      <c r="AC266" s="4" t="str"/>
      <c r="AD266" s="4" t="str"/>
      <c r="AE266" s="4" t="str"/>
      <c r="AF266" s="4"/>
      <c r="AG266" s="4" t="str"/>
      <c r="AH266" s="4" t="str"/>
      <c r="AI266" s="4" t="str"/>
      <c r="AJ266" s="4" t="str"/>
      <c r="AK266" s="4" t="str"/>
      <c r="AL266" s="4" t="str"/>
      <c r="AM266" s="4" t="str"/>
      <c r="AN266" s="4"/>
      <c r="AO266" s="4" t="str"/>
      <c r="AP266" s="4" t="str"/>
      <c r="AQ266" s="4" t="str"/>
      <c r="AR266" s="4" t="str"/>
      <c r="AS266" s="4" t="str"/>
      <c r="AT266" s="4" t="str"/>
      <c r="AU266" s="4" t="str"/>
      <c r="AV266" s="4"/>
      <c r="AW266" s="4">
        <f>IF(AND(Q266="✅", I266="U90"), "X="&amp;(U266-1)*16&amp;",Y="&amp;(V266-1)*16&amp;",Z="&amp;W266*16, "")</f>
      </c>
      <c r="AX266" s="4">
        <f>IF(AND(Q266="✅", I266="U90"), "P=90,Y=0,R=0", "")</f>
      </c>
      <c r="AY266" s="4" t="str"/>
      <c r="AZ266" s="4" t="str"/>
      <c r="BA266" s="4" t="str"/>
      <c r="BB266" s="4" t="str"/>
      <c r="BC266" s="4" t="str"/>
      <c r="BD266" s="4"/>
      <c r="BE266" s="4">
        <f>IF(AND(Q266="✅", I266="D90"), "X="&amp;(U266-1)*16&amp;",Y="&amp;(V266-1)*16&amp;",Z="&amp;(W266-2)*16, "")</f>
      </c>
      <c r="BF266" s="4">
        <f>IF(AND(Q266="✅", I266="D90"), "P=-90,Y=0,R=0", "")</f>
      </c>
      <c r="BG266" s="4" t="str"/>
      <c r="BH266" s="4" t="str"/>
      <c r="BI266" s="4" t="str"/>
      <c r="BJ266" s="4" t="str"/>
      <c r="BK266" s="4" t="str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</row>
    <row customHeight="true" hidden="true" ht="19" outlineLevel="4" r="267">
      <c r="A267" s="122" t="str" xml:space="preserve">
        <v> </v>
      </c>
      <c r="B267" s="122" t="str" xml:space="preserve">
        <v> </v>
      </c>
      <c r="C267" s="123" t="str" xml:space="preserve">
        <v> </v>
      </c>
      <c r="D267" s="123" t="str" xml:space="preserve">
        <v> </v>
      </c>
      <c r="E267" s="36">
        <f>G267 &amp; "_" &amp; H267 &amp; IF(I267&lt;&gt;"", "_" &amp; I267, "") &amp; IF(J267&lt;&gt;"", "_" &amp; J267, "") &amp; IF(K267&lt;&gt;"", "_" &amp; K267, "") &amp;"_X"&amp;U267&amp;"_Y"&amp;V267&amp;"_Z"&amp;W267 &amp; IF(G267="SM", "_Proxy" , "_Rail") &amp; IF(M267&lt;&gt;"", "_" &amp; M267, "")</f>
      </c>
      <c r="F267" s="37">
        <f>IF(E267="", "", IF(G267="BP", E267, F249))</f>
      </c>
      <c r="G267" s="35" t="str">
        <v>BP</v>
      </c>
      <c r="H267" s="35" t="str">
        <v>Curve</v>
      </c>
      <c r="I267" s="35" t="str">
        <v>R90</v>
      </c>
      <c r="J267" s="35" t="str">
        <v>Borderless</v>
      </c>
      <c r="K267" s="35"/>
      <c r="L267" s="35"/>
      <c r="M267" s="35"/>
      <c r="N267" s="72"/>
      <c r="O267" s="72"/>
      <c r="P267" s="72"/>
      <c r="Q267" s="72" t="str">
        <v>⭕</v>
      </c>
      <c r="R267" s="35" t="str"/>
      <c r="S267" s="37" t="str"/>
      <c r="T267" s="124">
        <v>3.9000000000000004</v>
      </c>
      <c r="U267" s="121">
        <v>2</v>
      </c>
      <c r="V267" s="121">
        <v>2</v>
      </c>
      <c r="W267" s="121">
        <v>1</v>
      </c>
      <c r="X267" s="38"/>
      <c r="Y267" s="38">
        <f>IF(AND(Q267="✅", OR(ISNUMBER(FIND("F",I267)), I267="CR")),   "X="&amp;U267*16&amp;",Y="&amp;(V267-1)*16&amp;",Z="&amp;IF(I267="FD", -(W267-1)*16, (W267-1)*16),   "")</f>
      </c>
      <c r="Z267" s="38">
        <f>IF(AND(Q267="✅", OR(ISNUMBER(FIND("F",I267)), I267="CR")), "P=0,Y=0,R=0", "")</f>
      </c>
      <c r="AA267" s="38" t="str"/>
      <c r="AB267" s="38" t="str"/>
      <c r="AC267" s="38" t="str"/>
      <c r="AD267" s="38" t="str"/>
      <c r="AE267" s="38" t="str"/>
      <c r="AF267" s="38"/>
      <c r="AG267" s="38" t="str"/>
      <c r="AH267" s="38" t="str"/>
      <c r="AI267" s="38" t="str"/>
      <c r="AJ267" s="38" t="str"/>
      <c r="AK267" s="38" t="str"/>
      <c r="AL267" s="38" t="str"/>
      <c r="AM267" s="38" t="str"/>
      <c r="AN267" s="38"/>
      <c r="AO267" s="38" t="str"/>
      <c r="AP267" s="38" t="str"/>
      <c r="AQ267" s="38" t="str"/>
      <c r="AR267" s="38" t="str"/>
      <c r="AS267" s="38" t="str"/>
      <c r="AT267" s="38" t="str"/>
      <c r="AU267" s="38" t="str"/>
      <c r="AV267" s="38"/>
      <c r="AW267" s="38">
        <f>IF(AND(Q267="✅", I267="U90"), "X="&amp;(U267-1)*16&amp;",Y="&amp;(V267-1)*16&amp;",Z="&amp;W267*16, "")</f>
      </c>
      <c r="AX267" s="38">
        <f>IF(AND(Q267="✅", I267="U90"), "P=90,Y=0,R=0", "")</f>
      </c>
      <c r="AY267" s="38" t="str"/>
      <c r="AZ267" s="38" t="str"/>
      <c r="BA267" s="38" t="str"/>
      <c r="BB267" s="38" t="str"/>
      <c r="BC267" s="38" t="str"/>
      <c r="BD267" s="38"/>
      <c r="BE267" s="38">
        <f>IF(AND(Q267="✅", I267="D90"), "X="&amp;(U267-1)*16&amp;",Y="&amp;(V267-1)*16&amp;",Z="&amp;(W267-2)*16, "")</f>
      </c>
      <c r="BF267" s="38">
        <f>IF(AND(Q267="✅", I267="D90"), "P=-90,Y=0,R=0", "")</f>
      </c>
      <c r="BG267" s="38" t="str"/>
      <c r="BH267" s="38" t="str"/>
      <c r="BI267" s="38" t="str"/>
      <c r="BJ267" s="38" t="str"/>
      <c r="BK267" s="38" t="str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</row>
    <row customHeight="true" hidden="true" ht="19" outlineLevel="4" r="268">
      <c r="A268" s="122" t="str" xml:space="preserve">
        <v> </v>
      </c>
      <c r="B268" s="122" t="str" xml:space="preserve">
        <v> </v>
      </c>
      <c r="C268" s="123" t="str" xml:space="preserve">
        <v> </v>
      </c>
      <c r="D268" s="123" t="str" xml:space="preserve">
        <v> </v>
      </c>
      <c r="E268" s="37">
        <f>E249</f>
      </c>
      <c r="F268" s="37">
        <f>IF(E268="", "", IF(G268="BP", E268, F267))</f>
      </c>
      <c r="G268" s="35"/>
      <c r="H268" s="35"/>
      <c r="I268" s="35"/>
      <c r="J268" s="35"/>
      <c r="K268" s="35"/>
      <c r="L268" s="35"/>
      <c r="M268" s="35" t="str">
        <v>B</v>
      </c>
      <c r="N268" s="72"/>
      <c r="O268" s="72"/>
      <c r="P268" s="72" t="str">
        <v>⭕</v>
      </c>
      <c r="Q268" s="72"/>
      <c r="R268" s="35" t="str"/>
      <c r="S268" s="37" t="str">
        <v>/Script/Engine.StaticMesh'/Game/Item/Rail/Curve/R90/Normal/Curve_R90_X2_Y2_Z1/Proxy/SM_Curve_R90_X2_Y2_Z1_Proxy_B.SM_Curve_R90_X2_Y2_Z1_Proxy_B'</v>
      </c>
      <c r="T268" s="124" t="str"/>
      <c r="U268" s="121"/>
      <c r="V268" s="121"/>
      <c r="W268" s="121"/>
      <c r="X268" s="38"/>
      <c r="Y268" s="38">
        <f>IF(AND(Q268="✅", OR(ISNUMBER(FIND("F",I268)), I268="CR")),   "X="&amp;U268*16&amp;",Y="&amp;(V268-1)*16&amp;",Z="&amp;IF(I268="FD", -(W268-1)*16, (W268-1)*16),   "")</f>
      </c>
      <c r="Z268" s="38">
        <f>IF(AND(Q268="✅", OR(ISNUMBER(FIND("F",I268)), I268="CR")), "P=0,Y=0,R=0", "")</f>
      </c>
      <c r="AA268" s="38" t="str"/>
      <c r="AB268" s="38" t="str"/>
      <c r="AC268" s="38" t="str"/>
      <c r="AD268" s="38" t="str"/>
      <c r="AE268" s="38" t="str"/>
      <c r="AF268" s="38"/>
      <c r="AG268" s="38" t="str"/>
      <c r="AH268" s="38" t="str"/>
      <c r="AI268" s="38" t="str"/>
      <c r="AJ268" s="38" t="str"/>
      <c r="AK268" s="38" t="str"/>
      <c r="AL268" s="38" t="str"/>
      <c r="AM268" s="38" t="str"/>
      <c r="AN268" s="38"/>
      <c r="AO268" s="38" t="str"/>
      <c r="AP268" s="38" t="str"/>
      <c r="AQ268" s="38" t="str"/>
      <c r="AR268" s="38" t="str"/>
      <c r="AS268" s="38" t="str"/>
      <c r="AT268" s="38" t="str"/>
      <c r="AU268" s="38" t="str"/>
      <c r="AV268" s="38"/>
      <c r="AW268" s="38">
        <f>IF(AND(Q268="✅", I268="U90"), "X="&amp;(U268-1)*16&amp;",Y="&amp;(V268-1)*16&amp;",Z="&amp;W268*16, "")</f>
      </c>
      <c r="AX268" s="38">
        <f>IF(AND(Q268="✅", I268="U90"), "P=90,Y=0,R=0", "")</f>
      </c>
      <c r="AY268" s="38" t="str"/>
      <c r="AZ268" s="38" t="str"/>
      <c r="BA268" s="38" t="str"/>
      <c r="BB268" s="38" t="str"/>
      <c r="BC268" s="38" t="str"/>
      <c r="BD268" s="38"/>
      <c r="BE268" s="38">
        <f>IF(AND(Q268="✅", I268="D90"), "X="&amp;(U268-1)*16&amp;",Y="&amp;(V268-1)*16&amp;",Z="&amp;(W268-2)*16, "")</f>
      </c>
      <c r="BF268" s="38">
        <f>IF(AND(Q268="✅", I268="D90"), "P=-90,Y=0,R=0", "")</f>
      </c>
      <c r="BG268" s="38" t="str"/>
      <c r="BH268" s="38" t="str"/>
      <c r="BI268" s="38" t="str"/>
      <c r="BJ268" s="38" t="str"/>
      <c r="BK268" s="38" t="str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</row>
    <row collapsed="true" customHeight="true" ht="19" outlineLevel="3" r="269">
      <c r="A269" s="11"/>
      <c r="B269" s="11"/>
      <c r="C269" s="119"/>
      <c r="D269" s="119">
        <v>3</v>
      </c>
      <c r="E269" s="5"/>
      <c r="F269" s="9"/>
      <c r="G269" s="1"/>
      <c r="H269" s="1"/>
      <c r="I269" s="1"/>
      <c r="J269" s="1"/>
      <c r="K269" s="1"/>
      <c r="L269" s="1"/>
      <c r="M269" s="1"/>
      <c r="N269" s="3"/>
      <c r="O269" s="3"/>
      <c r="P269" s="3"/>
      <c r="Q269" s="3"/>
      <c r="R269" s="1" t="str"/>
      <c r="S269" s="9" t="str"/>
      <c r="T269" s="120" t="str"/>
      <c r="U269" s="118"/>
      <c r="V269" s="118"/>
      <c r="W269" s="118"/>
      <c r="X269" s="4"/>
      <c r="Y269" s="4">
        <f>IF(AND(Q269="✅", OR(ISNUMBER(FIND("F",I269)), I269="CR")),   "X="&amp;U269*16&amp;",Y="&amp;(V269-1)*16&amp;",Z="&amp;IF(I269="FD", -(W269-1)*16, (W269-1)*16),   "")</f>
      </c>
      <c r="Z269" s="4">
        <f>IF(AND(Q269="✅", OR(ISNUMBER(FIND("F",I269)), I269="CR")), "P=0,Y=0,R=0", "")</f>
      </c>
      <c r="AA269" s="4" t="str"/>
      <c r="AB269" s="4" t="str"/>
      <c r="AC269" s="4" t="str"/>
      <c r="AD269" s="4" t="str"/>
      <c r="AE269" s="4" t="str"/>
      <c r="AF269" s="4"/>
      <c r="AG269" s="4" t="str"/>
      <c r="AH269" s="4" t="str"/>
      <c r="AI269" s="4" t="str"/>
      <c r="AJ269" s="4" t="str"/>
      <c r="AK269" s="4" t="str"/>
      <c r="AL269" s="4" t="str"/>
      <c r="AM269" s="4" t="str"/>
      <c r="AN269" s="4"/>
      <c r="AO269" s="4" t="str"/>
      <c r="AP269" s="4" t="str"/>
      <c r="AQ269" s="4" t="str"/>
      <c r="AR269" s="4" t="str"/>
      <c r="AS269" s="4" t="str"/>
      <c r="AT269" s="4" t="str"/>
      <c r="AU269" s="4" t="str"/>
      <c r="AV269" s="4"/>
      <c r="AW269" s="4">
        <f>IF(AND(Q269="✅", I269="U90"), "X="&amp;(U269-1)*16&amp;",Y="&amp;(V269-1)*16&amp;",Z="&amp;W269*16, "")</f>
      </c>
      <c r="AX269" s="4">
        <f>IF(AND(Q269="✅", I269="U90"), "P=90,Y=0,R=0", "")</f>
      </c>
      <c r="AY269" s="4" t="str"/>
      <c r="AZ269" s="4" t="str"/>
      <c r="BA269" s="4" t="str"/>
      <c r="BB269" s="4" t="str"/>
      <c r="BC269" s="4" t="str"/>
      <c r="BD269" s="4"/>
      <c r="BE269" s="4">
        <f>IF(AND(Q269="✅", I269="D90"), "X="&amp;(U269-1)*16&amp;",Y="&amp;(V269-1)*16&amp;",Z="&amp;(W269-2)*16, "")</f>
      </c>
      <c r="BF269" s="4">
        <f>IF(AND(Q269="✅", I269="D90"), "P=-90,Y=0,R=0", "")</f>
      </c>
      <c r="BG269" s="4" t="str"/>
      <c r="BH269" s="4" t="str"/>
      <c r="BI269" s="4" t="str"/>
      <c r="BJ269" s="4" t="str"/>
      <c r="BK269" s="4" t="str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</row>
    <row customHeight="true" hidden="true" ht="19" outlineLevel="4" r="270">
      <c r="A270" s="159" t="str" xml:space="preserve">
        <v> </v>
      </c>
      <c r="B270" s="159" t="str" xml:space="preserve">
        <v> </v>
      </c>
      <c r="C270" s="157" t="str" xml:space="preserve">
        <v> </v>
      </c>
      <c r="D270" s="157" t="str" xml:space="preserve">
        <v> </v>
      </c>
      <c r="E270" s="28">
        <f>G270 &amp; "_" &amp; H270 &amp; IF(I270&lt;&gt;"", "_" &amp; I270, "") &amp; IF(J270&lt;&gt;"", "_" &amp; J270, "") &amp; IF(K270&lt;&gt;"", "_" &amp; K270, "") &amp;"_X"&amp;U270&amp;"_Y"&amp;V270&amp;"_Z"&amp;W270 &amp; IF(G270="SM", "_Proxy" , "_Rail") &amp; IF(M270&lt;&gt;"", "_" &amp; M270, "")</f>
      </c>
      <c r="F270" s="29">
        <f>IF(E270="", "", IF(G270="BP", E270, F252))</f>
      </c>
      <c r="G270" s="32" t="str">
        <v>BP</v>
      </c>
      <c r="H270" s="32" t="str">
        <v>Curve</v>
      </c>
      <c r="I270" s="32" t="str">
        <v>R90</v>
      </c>
      <c r="J270" s="32" t="str">
        <v>Borderless</v>
      </c>
      <c r="K270" s="32"/>
      <c r="L270" s="32"/>
      <c r="M270" s="32"/>
      <c r="N270" s="74"/>
      <c r="O270" s="74"/>
      <c r="P270" s="74"/>
      <c r="Q270" s="74" t="str">
        <v>⭕</v>
      </c>
      <c r="R270" s="32" t="str"/>
      <c r="S270" s="29" t="str"/>
      <c r="T270" s="158">
        <v>5.4</v>
      </c>
      <c r="U270" s="156">
        <v>3</v>
      </c>
      <c r="V270" s="156">
        <v>3</v>
      </c>
      <c r="W270" s="156">
        <v>1</v>
      </c>
      <c r="X270" s="34"/>
      <c r="Y270" s="34">
        <f>IF(AND(Q270="✅", OR(ISNUMBER(FIND("F",I270)), I270="CR")),   "X="&amp;U270*16&amp;",Y="&amp;(V270-1)*16&amp;",Z="&amp;IF(I270="FD", -(W270-1)*16, (W270-1)*16),   "")</f>
      </c>
      <c r="Z270" s="34">
        <f>IF(AND(Q270="✅", OR(ISNUMBER(FIND("F",I270)), I270="CR")), "P=0,Y=0,R=0", "")</f>
      </c>
      <c r="AA270" s="34" t="str"/>
      <c r="AB270" s="34" t="str"/>
      <c r="AC270" s="34" t="str"/>
      <c r="AD270" s="34" t="str"/>
      <c r="AE270" s="34" t="str"/>
      <c r="AF270" s="34"/>
      <c r="AG270" s="34" t="str"/>
      <c r="AH270" s="34" t="str"/>
      <c r="AI270" s="34" t="str"/>
      <c r="AJ270" s="34" t="str"/>
      <c r="AK270" s="34" t="str"/>
      <c r="AL270" s="34" t="str"/>
      <c r="AM270" s="34" t="str"/>
      <c r="AN270" s="34"/>
      <c r="AO270" s="34" t="str"/>
      <c r="AP270" s="34" t="str"/>
      <c r="AQ270" s="34" t="str"/>
      <c r="AR270" s="34" t="str"/>
      <c r="AS270" s="34" t="str"/>
      <c r="AT270" s="34" t="str"/>
      <c r="AU270" s="34" t="str"/>
      <c r="AV270" s="34"/>
      <c r="AW270" s="34">
        <f>IF(AND(Q270="✅", I270="U90"), "X="&amp;(U270-1)*16&amp;",Y="&amp;(V270-1)*16&amp;",Z="&amp;W270*16, "")</f>
      </c>
      <c r="AX270" s="34">
        <f>IF(AND(Q270="✅", I270="U90"), "P=90,Y=0,R=0", "")</f>
      </c>
      <c r="AY270" s="34" t="str"/>
      <c r="AZ270" s="34" t="str"/>
      <c r="BA270" s="34" t="str"/>
      <c r="BB270" s="34" t="str"/>
      <c r="BC270" s="34" t="str"/>
      <c r="BD270" s="34"/>
      <c r="BE270" s="34">
        <f>IF(AND(Q270="✅", I270="D90"), "X="&amp;(U270-1)*16&amp;",Y="&amp;(V270-1)*16&amp;",Z="&amp;(W270-2)*16, "")</f>
      </c>
      <c r="BF270" s="34">
        <f>IF(AND(Q270="✅", I270="D90"), "P=-90,Y=0,R=0", "")</f>
      </c>
      <c r="BG270" s="34" t="str"/>
      <c r="BH270" s="34" t="str"/>
      <c r="BI270" s="34" t="str"/>
      <c r="BJ270" s="34" t="str"/>
      <c r="BK270" s="34" t="str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</row>
    <row customHeight="true" hidden="true" ht="19" outlineLevel="4" r="271">
      <c r="A271" s="159" t="str" xml:space="preserve">
        <v> </v>
      </c>
      <c r="B271" s="159" t="str" xml:space="preserve">
        <v> </v>
      </c>
      <c r="C271" s="157" t="str" xml:space="preserve">
        <v> </v>
      </c>
      <c r="D271" s="157" t="str" xml:space="preserve">
        <v> </v>
      </c>
      <c r="E271" s="29">
        <f>E254</f>
      </c>
      <c r="F271" s="29">
        <f>IF(E271="", "", IF(G271="BP", E271, F270))</f>
      </c>
      <c r="G271" s="32"/>
      <c r="H271" s="32"/>
      <c r="I271" s="32"/>
      <c r="J271" s="32"/>
      <c r="K271" s="32"/>
      <c r="L271" s="32"/>
      <c r="M271" s="32" t="str">
        <v>B</v>
      </c>
      <c r="N271" s="74"/>
      <c r="O271" s="74"/>
      <c r="P271" s="30" t="str">
        <v>⭕</v>
      </c>
      <c r="Q271" s="74"/>
      <c r="R271" s="32" t="str"/>
      <c r="S271" s="29" t="str">
        <v>/Script/Engine.StaticMesh'/Game/Item/Rail/Curve/R90/Normal/Curve_R90_X3_Y3_Z1/Proxy/SM_Curve_R90_X3_Y3_Z1_Proxy_B.SM_Curve_R90_X3_Y3_Z1_Proxy_B'</v>
      </c>
      <c r="T271" s="158" t="str"/>
      <c r="U271" s="156"/>
      <c r="V271" s="156"/>
      <c r="W271" s="156"/>
      <c r="X271" s="34"/>
      <c r="Y271" s="34">
        <f>IF(AND(Q271="✅", OR(ISNUMBER(FIND("F",I271)), I271="CR")),   "X="&amp;U271*16&amp;",Y="&amp;(V271-1)*16&amp;",Z="&amp;IF(I271="FD", -(W271-1)*16, (W271-1)*16),   "")</f>
      </c>
      <c r="Z271" s="34">
        <f>IF(AND(Q271="✅", OR(ISNUMBER(FIND("F",I271)), I271="CR")), "P=0,Y=0,R=0", "")</f>
      </c>
      <c r="AA271" s="34" t="str"/>
      <c r="AB271" s="34" t="str"/>
      <c r="AC271" s="34" t="str"/>
      <c r="AD271" s="34" t="str"/>
      <c r="AE271" s="34" t="str"/>
      <c r="AF271" s="34"/>
      <c r="AG271" s="34" t="str"/>
      <c r="AH271" s="34" t="str"/>
      <c r="AI271" s="34" t="str"/>
      <c r="AJ271" s="34" t="str"/>
      <c r="AK271" s="34" t="str"/>
      <c r="AL271" s="34" t="str"/>
      <c r="AM271" s="34" t="str"/>
      <c r="AN271" s="34"/>
      <c r="AO271" s="34" t="str"/>
      <c r="AP271" s="34" t="str"/>
      <c r="AQ271" s="34" t="str"/>
      <c r="AR271" s="34" t="str"/>
      <c r="AS271" s="34" t="str"/>
      <c r="AT271" s="34" t="str"/>
      <c r="AU271" s="34" t="str"/>
      <c r="AV271" s="34"/>
      <c r="AW271" s="34">
        <f>IF(AND(Q271="✅", I271="U90"), "X="&amp;(U271-1)*16&amp;",Y="&amp;(V271-1)*16&amp;",Z="&amp;W271*16, "")</f>
      </c>
      <c r="AX271" s="34">
        <f>IF(AND(Q271="✅", I271="U90"), "P=90,Y=0,R=0", "")</f>
      </c>
      <c r="AY271" s="34" t="str"/>
      <c r="AZ271" s="34" t="str"/>
      <c r="BA271" s="34" t="str"/>
      <c r="BB271" s="34" t="str"/>
      <c r="BC271" s="34" t="str"/>
      <c r="BD271" s="34"/>
      <c r="BE271" s="34">
        <f>IF(AND(Q271="✅", I271="D90"), "X="&amp;(U271-1)*16&amp;",Y="&amp;(V271-1)*16&amp;",Z="&amp;(W271-2)*16, "")</f>
      </c>
      <c r="BF271" s="34">
        <f>IF(AND(Q271="✅", I271="D90"), "P=-90,Y=0,R=0", "")</f>
      </c>
      <c r="BG271" s="34" t="str"/>
      <c r="BH271" s="34" t="str"/>
      <c r="BI271" s="34" t="str"/>
      <c r="BJ271" s="34" t="str"/>
      <c r="BK271" s="34" t="str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</row>
    <row collapsed="true" customHeight="true" ht="19" outlineLevel="3" r="272">
      <c r="A272" s="11"/>
      <c r="B272" s="11"/>
      <c r="C272" s="119"/>
      <c r="D272" s="119">
        <v>4</v>
      </c>
      <c r="E272" s="5"/>
      <c r="F272" s="9"/>
      <c r="G272" s="1"/>
      <c r="H272" s="1"/>
      <c r="I272" s="1"/>
      <c r="J272" s="1"/>
      <c r="K272" s="1"/>
      <c r="L272" s="1"/>
      <c r="M272" s="1"/>
      <c r="N272" s="3"/>
      <c r="O272" s="3"/>
      <c r="P272" s="3"/>
      <c r="Q272" s="3"/>
      <c r="R272" s="1" t="str"/>
      <c r="S272" s="9" t="str"/>
      <c r="T272" s="120" t="str"/>
      <c r="U272" s="118"/>
      <c r="V272" s="118"/>
      <c r="W272" s="118"/>
      <c r="X272" s="4"/>
      <c r="Y272" s="4">
        <f>IF(AND(Q272="✅", OR(ISNUMBER(FIND("F",I272)), I272="CR")),   "X="&amp;U272*16&amp;",Y="&amp;(V272-1)*16&amp;",Z="&amp;IF(I272="FD", -(W272-1)*16, (W272-1)*16),   "")</f>
      </c>
      <c r="Z272" s="4">
        <f>IF(AND(Q272="✅", OR(ISNUMBER(FIND("F",I272)), I272="CR")), "P=0,Y=0,R=0", "")</f>
      </c>
      <c r="AA272" s="4" t="str"/>
      <c r="AB272" s="4" t="str"/>
      <c r="AC272" s="4" t="str"/>
      <c r="AD272" s="4" t="str"/>
      <c r="AE272" s="4" t="str"/>
      <c r="AF272" s="4"/>
      <c r="AG272" s="4" t="str"/>
      <c r="AH272" s="4" t="str"/>
      <c r="AI272" s="4" t="str"/>
      <c r="AJ272" s="4" t="str"/>
      <c r="AK272" s="4" t="str"/>
      <c r="AL272" s="4" t="str"/>
      <c r="AM272" s="4" t="str"/>
      <c r="AN272" s="4"/>
      <c r="AO272" s="4" t="str"/>
      <c r="AP272" s="4" t="str"/>
      <c r="AQ272" s="4" t="str"/>
      <c r="AR272" s="4" t="str"/>
      <c r="AS272" s="4" t="str"/>
      <c r="AT272" s="4" t="str"/>
      <c r="AU272" s="4" t="str"/>
      <c r="AV272" s="4"/>
      <c r="AW272" s="4">
        <f>IF(AND(Q272="✅", I272="U90"), "X="&amp;(U272-1)*16&amp;",Y="&amp;(V272-1)*16&amp;",Z="&amp;W272*16, "")</f>
      </c>
      <c r="AX272" s="4">
        <f>IF(AND(Q272="✅", I272="U90"), "P=90,Y=0,R=0", "")</f>
      </c>
      <c r="AY272" s="4" t="str"/>
      <c r="AZ272" s="4" t="str"/>
      <c r="BA272" s="4" t="str"/>
      <c r="BB272" s="4" t="str"/>
      <c r="BC272" s="4" t="str"/>
      <c r="BD272" s="4"/>
      <c r="BE272" s="4">
        <f>IF(AND(Q272="✅", I272="D90"), "X="&amp;(U272-1)*16&amp;",Y="&amp;(V272-1)*16&amp;",Z="&amp;(W272-2)*16, "")</f>
      </c>
      <c r="BF272" s="4">
        <f>IF(AND(Q272="✅", I272="D90"), "P=-90,Y=0,R=0", "")</f>
      </c>
      <c r="BG272" s="4" t="str"/>
      <c r="BH272" s="4" t="str"/>
      <c r="BI272" s="4" t="str"/>
      <c r="BJ272" s="4" t="str"/>
      <c r="BK272" s="4" t="str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</row>
    <row customHeight="true" hidden="true" ht="19" outlineLevel="4" r="273">
      <c r="A273" s="135" t="str" xml:space="preserve">
        <v> </v>
      </c>
      <c r="B273" s="135" t="str" xml:space="preserve">
        <v> </v>
      </c>
      <c r="C273" s="133" t="str" xml:space="preserve">
        <v> </v>
      </c>
      <c r="D273" s="133" t="str" xml:space="preserve">
        <v> </v>
      </c>
      <c r="E273" s="91">
        <f>G273 &amp; "_" &amp; H273 &amp; IF(I273&lt;&gt;"", "_" &amp; I273, "") &amp; IF(J273&lt;&gt;"", "_" &amp; J273, "") &amp; IF(K273&lt;&gt;"", "_" &amp; K273, "") &amp;"_X"&amp;U273&amp;"_Y"&amp;V273&amp;"_Z"&amp;W273 &amp; IF(G273="SM", "_Proxy" , "_Rail") &amp; IF(M273&lt;&gt;"", "_" &amp; M273, "")</f>
      </c>
      <c r="F273" s="79">
        <f>IF(E273="", "", IF(G273="BP", E273, F255))</f>
      </c>
      <c r="G273" s="92" t="str">
        <v>BP</v>
      </c>
      <c r="H273" s="92" t="str">
        <v>Curve</v>
      </c>
      <c r="I273" s="92" t="str">
        <v>R90</v>
      </c>
      <c r="J273" s="92" t="str">
        <v>Borderless</v>
      </c>
      <c r="K273" s="92"/>
      <c r="L273" s="92"/>
      <c r="M273" s="92"/>
      <c r="N273" s="94"/>
      <c r="O273" s="81"/>
      <c r="P273" s="94"/>
      <c r="Q273" s="81" t="str">
        <v>⭕</v>
      </c>
      <c r="R273" s="92" t="str"/>
      <c r="S273" s="79" t="str"/>
      <c r="T273" s="134">
        <v>7.5</v>
      </c>
      <c r="U273" s="136">
        <v>4</v>
      </c>
      <c r="V273" s="136">
        <v>4</v>
      </c>
      <c r="W273" s="136">
        <v>1</v>
      </c>
      <c r="X273" s="78"/>
      <c r="Y273" s="78">
        <f>IF(AND(Q273="✅", OR(ISNUMBER(FIND("F",I273)), I273="CR")),   "X="&amp;U273*16&amp;",Y="&amp;(V273-1)*16&amp;",Z="&amp;IF(I273="FD", -(W273-1)*16, (W273-1)*16),   "")</f>
      </c>
      <c r="Z273" s="78">
        <f>IF(AND(Q273="✅", OR(ISNUMBER(FIND("F",I273)), I273="CR")), "P=0,Y=0,R=0", "")</f>
      </c>
      <c r="AA273" s="78" t="str"/>
      <c r="AB273" s="78" t="str"/>
      <c r="AC273" s="78" t="str"/>
      <c r="AD273" s="78" t="str"/>
      <c r="AE273" s="78" t="str"/>
      <c r="AF273" s="78"/>
      <c r="AG273" s="78" t="str"/>
      <c r="AH273" s="78" t="str"/>
      <c r="AI273" s="78" t="str"/>
      <c r="AJ273" s="78" t="str"/>
      <c r="AK273" s="78" t="str"/>
      <c r="AL273" s="78" t="str"/>
      <c r="AM273" s="78" t="str"/>
      <c r="AN273" s="78"/>
      <c r="AO273" s="78" t="str"/>
      <c r="AP273" s="78" t="str"/>
      <c r="AQ273" s="78" t="str"/>
      <c r="AR273" s="78" t="str"/>
      <c r="AS273" s="78" t="str"/>
      <c r="AT273" s="78" t="str"/>
      <c r="AU273" s="78" t="str"/>
      <c r="AV273" s="78"/>
      <c r="AW273" s="78">
        <f>IF(AND(Q273="✅", I273="U90"), "X="&amp;(U273-1)*16&amp;",Y="&amp;(V273-1)*16&amp;",Z="&amp;W273*16, "")</f>
      </c>
      <c r="AX273" s="78">
        <f>IF(AND(Q273="✅", I273="U90"), "P=90,Y=0,R=0", "")</f>
      </c>
      <c r="AY273" s="78" t="str"/>
      <c r="AZ273" s="78" t="str"/>
      <c r="BA273" s="78" t="str"/>
      <c r="BB273" s="78" t="str"/>
      <c r="BC273" s="78" t="str"/>
      <c r="BD273" s="78"/>
      <c r="BE273" s="78">
        <f>IF(AND(Q273="✅", I273="D90"), "X="&amp;(U273-1)*16&amp;",Y="&amp;(V273-1)*16&amp;",Z="&amp;(W273-2)*16, "")</f>
      </c>
      <c r="BF273" s="78">
        <f>IF(AND(Q273="✅", I273="D90"), "P=-90,Y=0,R=0", "")</f>
      </c>
      <c r="BG273" s="78" t="str"/>
      <c r="BH273" s="78" t="str"/>
      <c r="BI273" s="78" t="str"/>
      <c r="BJ273" s="78" t="str"/>
      <c r="BK273" s="78" t="str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</row>
    <row customHeight="true" hidden="true" ht="19" outlineLevel="4" r="274">
      <c r="A274" s="135" t="str" xml:space="preserve">
        <v> </v>
      </c>
      <c r="B274" s="135" t="str" xml:space="preserve">
        <v> </v>
      </c>
      <c r="C274" s="133" t="str" xml:space="preserve">
        <v> </v>
      </c>
      <c r="D274" s="133" t="str" xml:space="preserve">
        <v> </v>
      </c>
      <c r="E274" s="79">
        <f>E259</f>
      </c>
      <c r="F274" s="79">
        <f>IF(E274="", "", IF(G274="BP", E274, F273))</f>
      </c>
      <c r="G274" s="92"/>
      <c r="H274" s="92"/>
      <c r="I274" s="92"/>
      <c r="J274" s="92"/>
      <c r="K274" s="92"/>
      <c r="L274" s="92"/>
      <c r="M274" s="92" t="str">
        <v>B</v>
      </c>
      <c r="N274" s="94"/>
      <c r="O274" s="94"/>
      <c r="P274" s="81" t="str">
        <v>⭕</v>
      </c>
      <c r="Q274" s="94"/>
      <c r="R274" s="92" t="str"/>
      <c r="S274" s="79" t="str">
        <v>/Script/Engine.StaticMesh'/Game/Item/Rail/Curve/R90/Normal/Curve_R90_X4_Y4_Z1/Proxy/SM_Curve_R90_X4_Y4_Z1_Proxy_B.SM_Curve_R90_X4_Y4_Z1_Proxy_B'</v>
      </c>
      <c r="T274" s="134" t="str"/>
      <c r="U274" s="136"/>
      <c r="V274" s="136"/>
      <c r="W274" s="136"/>
      <c r="X274" s="78"/>
      <c r="Y274" s="78">
        <f>IF(AND(Q274="✅", OR(ISNUMBER(FIND("F",I274)), I274="CR")),   "X="&amp;U274*16&amp;",Y="&amp;(V274-1)*16&amp;",Z="&amp;IF(I274="FD", -(W274-1)*16, (W274-1)*16),   "")</f>
      </c>
      <c r="Z274" s="78">
        <f>IF(AND(Q274="✅", OR(ISNUMBER(FIND("F",I274)), I274="CR")), "P=0,Y=0,R=0", "")</f>
      </c>
      <c r="AA274" s="78" t="str"/>
      <c r="AB274" s="78" t="str"/>
      <c r="AC274" s="78" t="str"/>
      <c r="AD274" s="78" t="str"/>
      <c r="AE274" s="78" t="str"/>
      <c r="AF274" s="78"/>
      <c r="AG274" s="78" t="str"/>
      <c r="AH274" s="78" t="str"/>
      <c r="AI274" s="78" t="str"/>
      <c r="AJ274" s="78" t="str"/>
      <c r="AK274" s="78" t="str"/>
      <c r="AL274" s="78" t="str"/>
      <c r="AM274" s="78" t="str"/>
      <c r="AN274" s="78"/>
      <c r="AO274" s="78" t="str"/>
      <c r="AP274" s="78" t="str"/>
      <c r="AQ274" s="78" t="str"/>
      <c r="AR274" s="78" t="str"/>
      <c r="AS274" s="78" t="str"/>
      <c r="AT274" s="78" t="str"/>
      <c r="AU274" s="78" t="str"/>
      <c r="AV274" s="78"/>
      <c r="AW274" s="78">
        <f>IF(AND(Q274="✅", I274="U90"), "X="&amp;(U274-1)*16&amp;",Y="&amp;(V274-1)*16&amp;",Z="&amp;W274*16, "")</f>
      </c>
      <c r="AX274" s="78">
        <f>IF(AND(Q274="✅", I274="U90"), "P=90,Y=0,R=0", "")</f>
      </c>
      <c r="AY274" s="78" t="str"/>
      <c r="AZ274" s="78" t="str"/>
      <c r="BA274" s="78" t="str"/>
      <c r="BB274" s="78" t="str"/>
      <c r="BC274" s="78" t="str"/>
      <c r="BD274" s="78"/>
      <c r="BE274" s="78">
        <f>IF(AND(Q274="✅", I274="D90"), "X="&amp;(U274-1)*16&amp;",Y="&amp;(V274-1)*16&amp;",Z="&amp;(W274-2)*16, "")</f>
      </c>
      <c r="BF274" s="78">
        <f>IF(AND(Q274="✅", I274="D90"), "P=-90,Y=0,R=0", "")</f>
      </c>
      <c r="BG274" s="78" t="str"/>
      <c r="BH274" s="78" t="str"/>
      <c r="BI274" s="78" t="str"/>
      <c r="BJ274" s="78" t="str"/>
      <c r="BK274" s="78" t="str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</row>
    <row customHeight="true" ht="19" outlineLevel="2" r="275">
      <c r="A275" s="11"/>
      <c r="B275" s="11"/>
      <c r="C275" s="119" t="str">
        <v>Borderless_Caved</v>
      </c>
      <c r="D275" s="119"/>
      <c r="E275" s="5"/>
      <c r="F275" s="9"/>
      <c r="G275" s="1"/>
      <c r="H275" s="1"/>
      <c r="I275" s="1"/>
      <c r="J275" s="1"/>
      <c r="K275" s="1"/>
      <c r="L275" s="1"/>
      <c r="M275" s="1"/>
      <c r="N275" s="3"/>
      <c r="O275" s="3"/>
      <c r="P275" s="3"/>
      <c r="Q275" s="3"/>
      <c r="R275" s="1" t="str"/>
      <c r="S275" s="9" t="str"/>
      <c r="T275" s="120" t="str"/>
      <c r="U275" s="118"/>
      <c r="V275" s="118"/>
      <c r="W275" s="118"/>
      <c r="X275" s="4"/>
      <c r="Y275" s="4">
        <f>IF(AND(Q275="✅", OR(ISNUMBER(FIND("F",I275)), I275="CR")),   "X="&amp;U275*16&amp;",Y="&amp;(V275-1)*16&amp;",Z="&amp;IF(I275="FD", -(W275-1)*16, (W275-1)*16),   "")</f>
      </c>
      <c r="Z275" s="4">
        <f>IF(AND(Q275="✅", OR(ISNUMBER(FIND("F",I275)), I275="CR")), "P=0,Y=0,R=0", "")</f>
      </c>
      <c r="AA275" s="4" t="str"/>
      <c r="AB275" s="4" t="str"/>
      <c r="AC275" s="4" t="str"/>
      <c r="AD275" s="4" t="str"/>
      <c r="AE275" s="4" t="str"/>
      <c r="AF275" s="4"/>
      <c r="AG275" s="4" t="str"/>
      <c r="AH275" s="4" t="str"/>
      <c r="AI275" s="4" t="str"/>
      <c r="AJ275" s="4" t="str"/>
      <c r="AK275" s="4" t="str"/>
      <c r="AL275" s="4" t="str"/>
      <c r="AM275" s="4" t="str"/>
      <c r="AN275" s="4"/>
      <c r="AO275" s="4" t="str"/>
      <c r="AP275" s="4" t="str"/>
      <c r="AQ275" s="4" t="str"/>
      <c r="AR275" s="4" t="str"/>
      <c r="AS275" s="4" t="str"/>
      <c r="AT275" s="4" t="str"/>
      <c r="AU275" s="4" t="str"/>
      <c r="AV275" s="4"/>
      <c r="AW275" s="4">
        <f>IF(AND(Q275="✅", I275="U90"), "X="&amp;(U275-1)*16&amp;",Y="&amp;(V275-1)*16&amp;",Z="&amp;W275*16, "")</f>
      </c>
      <c r="AX275" s="4">
        <f>IF(AND(Q275="✅", I275="U90"), "P=90,Y=0,R=0", "")</f>
      </c>
      <c r="AY275" s="4" t="str"/>
      <c r="AZ275" s="4" t="str"/>
      <c r="BA275" s="4" t="str"/>
      <c r="BB275" s="4" t="str"/>
      <c r="BC275" s="4" t="str"/>
      <c r="BD275" s="4"/>
      <c r="BE275" s="4">
        <f>IF(AND(Q275="✅", I275="D90"), "X="&amp;(U275-1)*16&amp;",Y="&amp;(V275-1)*16&amp;",Z="&amp;(W275-2)*16, "")</f>
      </c>
      <c r="BF275" s="4">
        <f>IF(AND(Q275="✅", I275="D90"), "P=-90,Y=0,R=0", "")</f>
      </c>
      <c r="BG275" s="4" t="str"/>
      <c r="BH275" s="4" t="str"/>
      <c r="BI275" s="4" t="str"/>
      <c r="BJ275" s="4" t="str"/>
      <c r="BK275" s="4" t="str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</row>
    <row collapsed="true" customHeight="true" ht="19" outlineLevel="3" r="276">
      <c r="A276" s="11"/>
      <c r="B276" s="11"/>
      <c r="C276" s="119"/>
      <c r="D276" s="119">
        <v>1</v>
      </c>
      <c r="E276" s="5"/>
      <c r="F276" s="9"/>
      <c r="G276" s="1"/>
      <c r="H276" s="1"/>
      <c r="I276" s="1"/>
      <c r="J276" s="1"/>
      <c r="K276" s="1"/>
      <c r="L276" s="1"/>
      <c r="M276" s="1"/>
      <c r="N276" s="3"/>
      <c r="O276" s="3"/>
      <c r="P276" s="3"/>
      <c r="Q276" s="3"/>
      <c r="R276" s="1" t="str"/>
      <c r="S276" s="9" t="str"/>
      <c r="T276" s="120" t="str"/>
      <c r="U276" s="118"/>
      <c r="V276" s="118"/>
      <c r="W276" s="118"/>
      <c r="X276" s="4"/>
      <c r="Y276" s="4">
        <f>IF(AND(Q276="✅", OR(ISNUMBER(FIND("F",I276)), I276="CR")),   "X="&amp;U276*16&amp;",Y="&amp;(V276-1)*16&amp;",Z="&amp;IF(I276="FD", -(W276-1)*16, (W276-1)*16),   "")</f>
      </c>
      <c r="Z276" s="4">
        <f>IF(AND(Q276="✅", OR(ISNUMBER(FIND("F",I276)), I276="CR")), "P=0,Y=0,R=0", "")</f>
      </c>
      <c r="AA276" s="4" t="str"/>
      <c r="AB276" s="4" t="str"/>
      <c r="AC276" s="4" t="str"/>
      <c r="AD276" s="4" t="str"/>
      <c r="AE276" s="4" t="str"/>
      <c r="AF276" s="4"/>
      <c r="AG276" s="4" t="str"/>
      <c r="AH276" s="4" t="str"/>
      <c r="AI276" s="4" t="str"/>
      <c r="AJ276" s="4" t="str"/>
      <c r="AK276" s="4" t="str"/>
      <c r="AL276" s="4" t="str"/>
      <c r="AM276" s="4" t="str"/>
      <c r="AN276" s="4"/>
      <c r="AO276" s="4" t="str"/>
      <c r="AP276" s="4" t="str"/>
      <c r="AQ276" s="4" t="str"/>
      <c r="AR276" s="4" t="str"/>
      <c r="AS276" s="4" t="str"/>
      <c r="AT276" s="4" t="str"/>
      <c r="AU276" s="4" t="str"/>
      <c r="AV276" s="4"/>
      <c r="AW276" s="4">
        <f>IF(AND(Q276="✅", I276="U90"), "X="&amp;(U276-1)*16&amp;",Y="&amp;(V276-1)*16&amp;",Z="&amp;W276*16, "")</f>
      </c>
      <c r="AX276" s="4">
        <f>IF(AND(Q276="✅", I276="U90"), "P=90,Y=0,R=0", "")</f>
      </c>
      <c r="AY276" s="4" t="str"/>
      <c r="AZ276" s="4" t="str"/>
      <c r="BA276" s="4" t="str"/>
      <c r="BB276" s="4" t="str"/>
      <c r="BC276" s="4" t="str"/>
      <c r="BD276" s="4"/>
      <c r="BE276" s="4">
        <f>IF(AND(Q276="✅", I276="D90"), "X="&amp;(U276-1)*16&amp;",Y="&amp;(V276-1)*16&amp;",Z="&amp;(W276-2)*16, "")</f>
      </c>
      <c r="BF276" s="4">
        <f>IF(AND(Q276="✅", I276="D90"), "P=-90,Y=0,R=0", "")</f>
      </c>
      <c r="BG276" s="4" t="str"/>
      <c r="BH276" s="4" t="str"/>
      <c r="BI276" s="4" t="str"/>
      <c r="BJ276" s="4" t="str"/>
      <c r="BK276" s="4" t="str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</row>
    <row customHeight="true" hidden="true" ht="19" outlineLevel="4" r="277">
      <c r="A277" s="129" t="str" xml:space="preserve">
        <v> </v>
      </c>
      <c r="B277" s="129" t="str" xml:space="preserve">
        <v> </v>
      </c>
      <c r="C277" s="130" t="str" xml:space="preserve">
        <v> </v>
      </c>
      <c r="D277" s="130" t="str" xml:space="preserve">
        <v> </v>
      </c>
      <c r="E277" s="21">
        <f>G277 &amp; "_" &amp; H277 &amp; IF(I277&lt;&gt;"", "_" &amp; I277, "") &amp; IF(J277&lt;&gt;"", "_" &amp; J277, "") &amp; IF(K277&lt;&gt;"", "_" &amp; K277, "") &amp;"_X"&amp;U277&amp;"_Y"&amp;V277&amp;"_Z"&amp;W277 &amp; IF(G277="SM", "_Proxy" , "_Rail") &amp; IF(M277&lt;&gt;"", "_" &amp; M277, "")</f>
      </c>
      <c r="F277" s="19">
        <f>IF(E277="", "", IF(G277="BP", E277, F265))</f>
      </c>
      <c r="G277" s="20" t="str">
        <v>BP</v>
      </c>
      <c r="H277" s="20" t="str">
        <v>Curve</v>
      </c>
      <c r="I277" s="20" t="str">
        <v>R90</v>
      </c>
      <c r="J277" s="20" t="str">
        <v>Borderless</v>
      </c>
      <c r="K277" s="20" t="str">
        <v>Caved</v>
      </c>
      <c r="L277" s="20"/>
      <c r="M277" s="20"/>
      <c r="N277" s="95"/>
      <c r="O277" s="95"/>
      <c r="P277" s="95"/>
      <c r="Q277" s="95" t="str">
        <v>✅</v>
      </c>
      <c r="R277" s="20" t="str">
        <v>Curve_R90_Borderless_Caved_X1_Y1_Z1</v>
      </c>
      <c r="S277" s="19" t="str">
        <v>/Script/Engine.BlueprintGeneratedClass'/Game/Item/Rail/Curve/R90/Borderless_Caved/Curve_R90_Borderless_Caved_X1_Y1_Z1/BP_Curve_R90_Borderless_Caved_X1_Y1_Z1_Rail.BP_Curve_R90_Borderless_Caved_X1_Y1_Z1_Rail_C'</v>
      </c>
      <c r="T277" s="131">
        <v>2</v>
      </c>
      <c r="U277" s="132">
        <v>1</v>
      </c>
      <c r="V277" s="132">
        <v>1</v>
      </c>
      <c r="W277" s="132">
        <v>1</v>
      </c>
      <c r="X277" s="25"/>
      <c r="Y277" s="25">
        <f>IF(AND(Q277="✅", OR(ISNUMBER(FIND("F",I277)), I277="CR")),   "X="&amp;U277*16&amp;",Y="&amp;(V277-1)*16&amp;",Z="&amp;IF(I277="FD", -(W277-1)*16, (W277-1)*16),   "")</f>
      </c>
      <c r="Z277" s="25">
        <f>IF(AND(Q277="✅", OR(ISNUMBER(FIND("F",I277)), I277="CR")), "P=0,Y=0,R=0", "")</f>
      </c>
      <c r="AA277" s="25" t="str"/>
      <c r="AB277" s="25" t="str"/>
      <c r="AC277" s="25" t="str"/>
      <c r="AD277" s="25" t="str"/>
      <c r="AE277" s="25" t="str">
        <v>X=0,Y=0,Z=0,W=0</v>
      </c>
      <c r="AF277" s="25"/>
      <c r="AG277" s="25" t="str"/>
      <c r="AH277" s="25" t="str"/>
      <c r="AI277" s="25" t="str"/>
      <c r="AJ277" s="25" t="str"/>
      <c r="AK277" s="25" t="str"/>
      <c r="AL277" s="25" t="str"/>
      <c r="AM277" s="25" t="str"/>
      <c r="AN277" s="25"/>
      <c r="AO277" s="25" t="str">
        <v>X=0,Y=16,Z=0</v>
      </c>
      <c r="AP277" s="25" t="str">
        <v>P=0,Y=90,R=0</v>
      </c>
      <c r="AQ277" s="25">
        <v>1</v>
      </c>
      <c r="AR277" s="25">
        <v>2</v>
      </c>
      <c r="AS277" s="25">
        <v>2.5</v>
      </c>
      <c r="AT277" s="25">
        <v>2</v>
      </c>
      <c r="AU277" s="25" t="str">
        <v>X=1,Y=2,Z=2.5,W=2</v>
      </c>
      <c r="AV277" s="25"/>
      <c r="AW277" s="25">
        <f>IF(AND(Q277="✅", I277="U90"), "X="&amp;(U277-1)*16&amp;",Y="&amp;(V277-1)*16&amp;",Z="&amp;W277*16, "")</f>
      </c>
      <c r="AX277" s="25">
        <f>IF(AND(Q277="✅", I277="U90"), "P=90,Y=0,R=0", "")</f>
      </c>
      <c r="AY277" s="25" t="str"/>
      <c r="AZ277" s="25" t="str"/>
      <c r="BA277" s="25" t="str"/>
      <c r="BB277" s="25" t="str"/>
      <c r="BC277" s="25" t="str"/>
      <c r="BD277" s="25"/>
      <c r="BE277" s="25">
        <f>IF(AND(Q277="✅", I277="D90"), "X="&amp;(U277-1)*16&amp;",Y="&amp;(V277-1)*16&amp;",Z="&amp;(W277-2)*16, "")</f>
      </c>
      <c r="BF277" s="25">
        <f>IF(AND(Q277="✅", I277="D90"), "P=-90,Y=0,R=0", "")</f>
      </c>
      <c r="BG277" s="25" t="str"/>
      <c r="BH277" s="25" t="str"/>
      <c r="BI277" s="25" t="str"/>
      <c r="BJ277" s="25" t="str"/>
      <c r="BK277" s="25" t="str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</row>
    <row customHeight="true" hidden="true" ht="19" outlineLevel="4" r="278">
      <c r="A278" s="129" t="str" xml:space="preserve">
        <v> </v>
      </c>
      <c r="B278" s="129" t="str" xml:space="preserve">
        <v> </v>
      </c>
      <c r="C278" s="130" t="str" xml:space="preserve">
        <v> </v>
      </c>
      <c r="D278" s="130" t="str" xml:space="preserve">
        <v> </v>
      </c>
      <c r="E278" s="21">
        <f>G278 &amp; "_" &amp; H278 &amp; IF(I278&lt;&gt;"", "_" &amp; I278, "") &amp; IF(J278&lt;&gt;"", "_" &amp; J278, "") &amp; IF(K278&lt;&gt;"", "_" &amp; K278, "") &amp;"_X"&amp;U278&amp;"_Y"&amp;V278&amp;"_Z"&amp;W278 &amp; IF(G278="SM", "_Proxy" , "_Rail") &amp; IF(M278&lt;&gt;"", "_" &amp; M278, "")</f>
      </c>
      <c r="F278" s="19">
        <f>IF(E278="", "", IF(G278="BP", E278, F277))</f>
      </c>
      <c r="G278" s="20" t="str">
        <v>SM</v>
      </c>
      <c r="H278" s="20" t="str">
        <v>Curve</v>
      </c>
      <c r="I278" s="20" t="str">
        <v>R90</v>
      </c>
      <c r="J278" s="20" t="str">
        <v>Borderless</v>
      </c>
      <c r="K278" s="20" t="str">
        <v>Caved</v>
      </c>
      <c r="L278" s="20"/>
      <c r="M278" s="20" t="str">
        <v>BL</v>
      </c>
      <c r="N278" s="95"/>
      <c r="O278" s="95"/>
      <c r="P278" s="95" t="str">
        <v>✅</v>
      </c>
      <c r="Q278" s="95"/>
      <c r="R278" s="20" t="str">
        <v>Curve_R90_Borderless_Caved_X1_Y1_Z1</v>
      </c>
      <c r="S278" s="19" t="str">
        <v>/Script/Engine.StaticMesh'/Game/Item/Rail/Curve/R90/Borderless_Caved/Curve_R90_Borderless_Caved_X1_Y1_Z1/Proxy/SM_Curve_R90_Borderless_Caved_X1_Y1_Z1_Proxy_BL.SM_Curve_R90_Borderless_Caved_X1_Y1_Z1_Proxy_BL'</v>
      </c>
      <c r="T278" s="131" t="str"/>
      <c r="U278" s="132">
        <v>1</v>
      </c>
      <c r="V278" s="132">
        <v>1</v>
      </c>
      <c r="W278" s="132">
        <v>1</v>
      </c>
      <c r="X278" s="25"/>
      <c r="Y278" s="25">
        <f>IF(AND(Q278="✅", OR(ISNUMBER(FIND("F",I278)), I278="CR")),   "X="&amp;U278*16&amp;",Y="&amp;(V278-1)*16&amp;",Z="&amp;IF(I278="FD", -(W278-1)*16, (W278-1)*16),   "")</f>
      </c>
      <c r="Z278" s="25">
        <f>IF(AND(Q278="✅", OR(ISNUMBER(FIND("F",I278)), I278="CR")), "P=0,Y=0,R=0", "")</f>
      </c>
      <c r="AA278" s="25" t="str"/>
      <c r="AB278" s="25" t="str"/>
      <c r="AC278" s="25" t="str"/>
      <c r="AD278" s="25" t="str"/>
      <c r="AE278" s="25" t="str"/>
      <c r="AF278" s="25"/>
      <c r="AG278" s="25" t="str"/>
      <c r="AH278" s="25" t="str"/>
      <c r="AI278" s="25" t="str"/>
      <c r="AJ278" s="25" t="str"/>
      <c r="AK278" s="25" t="str"/>
      <c r="AL278" s="25" t="str"/>
      <c r="AM278" s="25" t="str"/>
      <c r="AN278" s="25"/>
      <c r="AO278" s="25" t="str"/>
      <c r="AP278" s="25" t="str"/>
      <c r="AQ278" s="25" t="str"/>
      <c r="AR278" s="25" t="str"/>
      <c r="AS278" s="25" t="str"/>
      <c r="AT278" s="25" t="str"/>
      <c r="AU278" s="25" t="str"/>
      <c r="AV278" s="25"/>
      <c r="AW278" s="25">
        <f>IF(AND(Q278="✅", I278="U90"), "X="&amp;(U278-1)*16&amp;",Y="&amp;(V278-1)*16&amp;",Z="&amp;W278*16, "")</f>
      </c>
      <c r="AX278" s="25">
        <f>IF(AND(Q278="✅", I278="U90"), "P=90,Y=0,R=0", "")</f>
      </c>
      <c r="AY278" s="25" t="str"/>
      <c r="AZ278" s="25" t="str"/>
      <c r="BA278" s="25" t="str"/>
      <c r="BB278" s="25" t="str"/>
      <c r="BC278" s="25" t="str"/>
      <c r="BD278" s="25"/>
      <c r="BE278" s="25">
        <f>IF(AND(Q278="✅", I278="D90"), "X="&amp;(U278-1)*16&amp;",Y="&amp;(V278-1)*16&amp;",Z="&amp;(W278-2)*16, "")</f>
      </c>
      <c r="BF278" s="25">
        <f>IF(AND(Q278="✅", I278="D90"), "P=-90,Y=0,R=0", "")</f>
      </c>
      <c r="BG278" s="25" t="str"/>
      <c r="BH278" s="25" t="str"/>
      <c r="BI278" s="25" t="str"/>
      <c r="BJ278" s="25" t="str"/>
      <c r="BK278" s="25" t="str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</row>
    <row customHeight="true" hidden="true" ht="19" outlineLevel="4" r="279">
      <c r="A279" s="129" t="str" xml:space="preserve">
        <v> </v>
      </c>
      <c r="B279" s="129" t="str" xml:space="preserve">
        <v> </v>
      </c>
      <c r="C279" s="130" t="str" xml:space="preserve">
        <v> </v>
      </c>
      <c r="D279" s="130" t="str" xml:space="preserve">
        <v> </v>
      </c>
      <c r="E279" s="21">
        <f>G279 &amp; "_" &amp; H279 &amp; IF(I279&lt;&gt;"", "_" &amp; I279, "") &amp; IF(J279&lt;&gt;"", "_" &amp; J279, "") &amp; IF(K279&lt;&gt;"", "_" &amp; K279, "") &amp;"_X"&amp;U279&amp;"_Y"&amp;V279&amp;"_Z"&amp;W279 &amp; IF(G279="SM", "_Proxy" , "_Rail") &amp; IF(M279&lt;&gt;"", "_" &amp; M279, "")</f>
      </c>
      <c r="F279" s="19">
        <f>IF(E279="", "", IF(G279="BP", E279, F278))</f>
      </c>
      <c r="G279" s="20" t="str">
        <v>SM</v>
      </c>
      <c r="H279" s="20" t="str">
        <v>Curve</v>
      </c>
      <c r="I279" s="20" t="str">
        <v>R90</v>
      </c>
      <c r="J279" s="20" t="str">
        <v>Borderless</v>
      </c>
      <c r="K279" s="20" t="str">
        <v>Caved</v>
      </c>
      <c r="L279" s="20"/>
      <c r="M279" s="20" t="str">
        <v>BR</v>
      </c>
      <c r="N279" s="95"/>
      <c r="O279" s="95"/>
      <c r="P279" s="95" t="str">
        <v>✅</v>
      </c>
      <c r="Q279" s="95"/>
      <c r="R279" s="20" t="str">
        <v>Curve_R90_Borderless_Caved_X1_Y1_Z1</v>
      </c>
      <c r="S279" s="19" t="str">
        <v>/Script/Engine.StaticMesh'/Game/Item/Rail/Curve/R90/Borderless_Caved/Curve_R90_Borderless_Caved_X1_Y1_Z1/Proxy/SM_Curve_R90_Borderless_Caved_X1_Y1_Z1_Proxy_BR.SM_Curve_R90_Borderless_Caved_X1_Y1_Z1_Proxy_BR'</v>
      </c>
      <c r="T279" s="131" t="str"/>
      <c r="U279" s="132">
        <v>1</v>
      </c>
      <c r="V279" s="132">
        <v>1</v>
      </c>
      <c r="W279" s="132">
        <v>1</v>
      </c>
      <c r="X279" s="25"/>
      <c r="Y279" s="25">
        <f>IF(AND(Q279="✅", OR(ISNUMBER(FIND("F",I279)), I279="CR")),   "X="&amp;U279*16&amp;",Y="&amp;(V279-1)*16&amp;",Z="&amp;IF(I279="FD", -(W279-1)*16, (W279-1)*16),   "")</f>
      </c>
      <c r="Z279" s="25">
        <f>IF(AND(Q279="✅", OR(ISNUMBER(FIND("F",I279)), I279="CR")), "P=0,Y=0,R=0", "")</f>
      </c>
      <c r="AA279" s="25" t="str"/>
      <c r="AB279" s="25" t="str"/>
      <c r="AC279" s="25" t="str"/>
      <c r="AD279" s="25" t="str"/>
      <c r="AE279" s="25" t="str"/>
      <c r="AF279" s="25"/>
      <c r="AG279" s="25" t="str"/>
      <c r="AH279" s="25" t="str"/>
      <c r="AI279" s="25" t="str"/>
      <c r="AJ279" s="25" t="str"/>
      <c r="AK279" s="25" t="str"/>
      <c r="AL279" s="25" t="str"/>
      <c r="AM279" s="25" t="str"/>
      <c r="AN279" s="25"/>
      <c r="AO279" s="25" t="str"/>
      <c r="AP279" s="25" t="str"/>
      <c r="AQ279" s="25" t="str"/>
      <c r="AR279" s="25" t="str"/>
      <c r="AS279" s="25" t="str"/>
      <c r="AT279" s="25" t="str"/>
      <c r="AU279" s="25" t="str"/>
      <c r="AV279" s="25"/>
      <c r="AW279" s="25">
        <f>IF(AND(Q279="✅", I279="U90"), "X="&amp;(U279-1)*16&amp;",Y="&amp;(V279-1)*16&amp;",Z="&amp;W279*16, "")</f>
      </c>
      <c r="AX279" s="25">
        <f>IF(AND(Q279="✅", I279="U90"), "P=90,Y=0,R=0", "")</f>
      </c>
      <c r="AY279" s="25" t="str"/>
      <c r="AZ279" s="25" t="str"/>
      <c r="BA279" s="25" t="str"/>
      <c r="BB279" s="25" t="str"/>
      <c r="BC279" s="25" t="str"/>
      <c r="BD279" s="25"/>
      <c r="BE279" s="25">
        <f>IF(AND(Q279="✅", I279="D90"), "X="&amp;(U279-1)*16&amp;",Y="&amp;(V279-1)*16&amp;",Z="&amp;(W279-2)*16, "")</f>
      </c>
      <c r="BF279" s="25">
        <f>IF(AND(Q279="✅", I279="D90"), "P=-90,Y=0,R=0", "")</f>
      </c>
      <c r="BG279" s="25" t="str"/>
      <c r="BH279" s="25" t="str"/>
      <c r="BI279" s="25" t="str"/>
      <c r="BJ279" s="25" t="str"/>
      <c r="BK279" s="25" t="str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</row>
    <row collapsed="true" customHeight="true" ht="19" outlineLevel="3" r="280">
      <c r="A280" s="11"/>
      <c r="B280" s="11"/>
      <c r="C280" s="119"/>
      <c r="D280" s="119">
        <v>2</v>
      </c>
      <c r="E280" s="5"/>
      <c r="F280" s="9"/>
      <c r="G280" s="1"/>
      <c r="H280" s="1"/>
      <c r="I280" s="1"/>
      <c r="J280" s="1"/>
      <c r="K280" s="1"/>
      <c r="L280" s="1"/>
      <c r="M280" s="1"/>
      <c r="N280" s="3"/>
      <c r="O280" s="3"/>
      <c r="P280" s="3"/>
      <c r="Q280" s="3"/>
      <c r="R280" s="1" t="str"/>
      <c r="S280" s="9" t="str"/>
      <c r="T280" s="120" t="str"/>
      <c r="U280" s="118"/>
      <c r="V280" s="118"/>
      <c r="W280" s="118"/>
      <c r="X280" s="4"/>
      <c r="Y280" s="4">
        <f>IF(AND(Q280="✅", OR(ISNUMBER(FIND("F",I280)), I280="CR")),   "X="&amp;U280*16&amp;",Y="&amp;(V280-1)*16&amp;",Z="&amp;IF(I280="FD", -(W280-1)*16, (W280-1)*16),   "")</f>
      </c>
      <c r="Z280" s="4">
        <f>IF(AND(Q280="✅", OR(ISNUMBER(FIND("F",I280)), I280="CR")), "P=0,Y=0,R=0", "")</f>
      </c>
      <c r="AA280" s="4" t="str"/>
      <c r="AB280" s="4" t="str"/>
      <c r="AC280" s="4" t="str"/>
      <c r="AD280" s="4" t="str"/>
      <c r="AE280" s="4" t="str"/>
      <c r="AF280" s="4"/>
      <c r="AG280" s="4" t="str"/>
      <c r="AH280" s="4" t="str"/>
      <c r="AI280" s="4" t="str"/>
      <c r="AJ280" s="4" t="str"/>
      <c r="AK280" s="4" t="str"/>
      <c r="AL280" s="4" t="str"/>
      <c r="AM280" s="4" t="str"/>
      <c r="AN280" s="4"/>
      <c r="AO280" s="4" t="str"/>
      <c r="AP280" s="4" t="str"/>
      <c r="AQ280" s="4" t="str"/>
      <c r="AR280" s="4" t="str"/>
      <c r="AS280" s="4" t="str"/>
      <c r="AT280" s="4" t="str"/>
      <c r="AU280" s="4" t="str"/>
      <c r="AV280" s="4"/>
      <c r="AW280" s="4">
        <f>IF(AND(Q280="✅", I280="U90"), "X="&amp;(U280-1)*16&amp;",Y="&amp;(V280-1)*16&amp;",Z="&amp;W280*16, "")</f>
      </c>
      <c r="AX280" s="4">
        <f>IF(AND(Q280="✅", I280="U90"), "P=90,Y=0,R=0", "")</f>
      </c>
      <c r="AY280" s="4" t="str"/>
      <c r="AZ280" s="4" t="str"/>
      <c r="BA280" s="4" t="str"/>
      <c r="BB280" s="4" t="str"/>
      <c r="BC280" s="4" t="str"/>
      <c r="BD280" s="4"/>
      <c r="BE280" s="4">
        <f>IF(AND(Q280="✅", I280="D90"), "X="&amp;(U280-1)*16&amp;",Y="&amp;(V280-1)*16&amp;",Z="&amp;(W280-2)*16, "")</f>
      </c>
      <c r="BF280" s="4">
        <f>IF(AND(Q280="✅", I280="D90"), "P=-90,Y=0,R=0", "")</f>
      </c>
      <c r="BG280" s="4" t="str"/>
      <c r="BH280" s="4" t="str"/>
      <c r="BI280" s="4" t="str"/>
      <c r="BJ280" s="4" t="str"/>
      <c r="BK280" s="4" t="str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</row>
    <row customHeight="true" hidden="true" ht="19" outlineLevel="4" r="281">
      <c r="A281" s="146" t="str" xml:space="preserve">
        <v> </v>
      </c>
      <c r="B281" s="146" t="str" xml:space="preserve">
        <v> </v>
      </c>
      <c r="C281" s="143" t="str" xml:space="preserve">
        <v> </v>
      </c>
      <c r="D281" s="143" t="str" xml:space="preserve">
        <v> </v>
      </c>
      <c r="E281" s="60">
        <f>G281 &amp; "_" &amp; H281 &amp; IF(I281&lt;&gt;"", "_" &amp; I281, "") &amp; IF(J281&lt;&gt;"", "_" &amp; J281, "") &amp; IF(K281&lt;&gt;"", "_" &amp; K281, "") &amp;"_X"&amp;U281&amp;"_Y"&amp;V281&amp;"_Z"&amp;W281 &amp; IF(G281="SM", "_Proxy" , "_Rail") &amp; IF(M281&lt;&gt;"", "_" &amp; M281, "")</f>
      </c>
      <c r="F281" s="62">
        <f>IF(E281="", "", IF(G281="BP", E281, F251))</f>
      </c>
      <c r="G281" s="61" t="str">
        <v>BP</v>
      </c>
      <c r="H281" s="61" t="str">
        <v>Curve</v>
      </c>
      <c r="I281" s="61" t="str">
        <v>R90</v>
      </c>
      <c r="J281" s="61" t="str">
        <v>Borderless</v>
      </c>
      <c r="K281" s="61" t="str">
        <v>Caved</v>
      </c>
      <c r="L281" s="61"/>
      <c r="M281" s="61"/>
      <c r="N281" s="87"/>
      <c r="O281" s="87"/>
      <c r="P281" s="87"/>
      <c r="Q281" s="87" t="str">
        <v>⭕</v>
      </c>
      <c r="R281" s="61" t="str"/>
      <c r="S281" s="62" t="str"/>
      <c r="T281" s="144">
        <v>2.6</v>
      </c>
      <c r="U281" s="145">
        <v>2</v>
      </c>
      <c r="V281" s="145">
        <v>2</v>
      </c>
      <c r="W281" s="145">
        <v>1</v>
      </c>
      <c r="X281" s="71"/>
      <c r="Y281" s="71">
        <f>IF(AND(Q281="✅", OR(ISNUMBER(FIND("F",I281)), I281="CR")),   "X="&amp;U281*16&amp;",Y="&amp;(V281-1)*16&amp;",Z="&amp;IF(I281="FD", -(W281-1)*16, (W281-1)*16),   "")</f>
      </c>
      <c r="Z281" s="71">
        <f>IF(AND(Q281="✅", OR(ISNUMBER(FIND("F",I281)), I281="CR")), "P=0,Y=0,R=0", "")</f>
      </c>
      <c r="AA281" s="71" t="str"/>
      <c r="AB281" s="71" t="str"/>
      <c r="AC281" s="71" t="str"/>
      <c r="AD281" s="71" t="str"/>
      <c r="AE281" s="71" t="str"/>
      <c r="AF281" s="71"/>
      <c r="AG281" s="71" t="str"/>
      <c r="AH281" s="71" t="str"/>
      <c r="AI281" s="71" t="str"/>
      <c r="AJ281" s="71" t="str"/>
      <c r="AK281" s="71" t="str"/>
      <c r="AL281" s="71" t="str"/>
      <c r="AM281" s="71" t="str"/>
      <c r="AN281" s="71"/>
      <c r="AO281" s="71" t="str"/>
      <c r="AP281" s="71" t="str"/>
      <c r="AQ281" s="71" t="str"/>
      <c r="AR281" s="71" t="str"/>
      <c r="AS281" s="71" t="str"/>
      <c r="AT281" s="71" t="str"/>
      <c r="AU281" s="71" t="str"/>
      <c r="AV281" s="71"/>
      <c r="AW281" s="71">
        <f>IF(AND(Q281="✅", I281="U90"), "X="&amp;(U281-1)*16&amp;",Y="&amp;(V281-1)*16&amp;",Z="&amp;W281*16, "")</f>
      </c>
      <c r="AX281" s="71">
        <f>IF(AND(Q281="✅", I281="U90"), "P=90,Y=0,R=0", "")</f>
      </c>
      <c r="AY281" s="71" t="str"/>
      <c r="AZ281" s="71" t="str"/>
      <c r="BA281" s="71" t="str"/>
      <c r="BB281" s="71" t="str"/>
      <c r="BC281" s="71" t="str"/>
      <c r="BD281" s="71"/>
      <c r="BE281" s="71">
        <f>IF(AND(Q281="✅", I281="D90"), "X="&amp;(U281-1)*16&amp;",Y="&amp;(V281-1)*16&amp;",Z="&amp;(W281-2)*16, "")</f>
      </c>
      <c r="BF281" s="71">
        <f>IF(AND(Q281="✅", I281="D90"), "P=-90,Y=0,R=0", "")</f>
      </c>
      <c r="BG281" s="71" t="str"/>
      <c r="BH281" s="71" t="str"/>
      <c r="BI281" s="71" t="str"/>
      <c r="BJ281" s="71" t="str"/>
      <c r="BK281" s="71" t="str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</row>
    <row customHeight="true" hidden="true" ht="19" outlineLevel="4" r="282">
      <c r="A282" s="146" t="str" xml:space="preserve">
        <v> </v>
      </c>
      <c r="B282" s="146" t="str" xml:space="preserve">
        <v> </v>
      </c>
      <c r="C282" s="143" t="str" xml:space="preserve">
        <v> </v>
      </c>
      <c r="D282" s="143" t="str" xml:space="preserve">
        <v> </v>
      </c>
      <c r="E282" s="60">
        <f>G282 &amp; "_" &amp; H282 &amp; IF(I282&lt;&gt;"", "_" &amp; I282, "") &amp; IF(J282&lt;&gt;"", "_" &amp; J282, "") &amp; IF(K282&lt;&gt;"", "_" &amp; K282, "") &amp;"_X"&amp;U282&amp;"_Y"&amp;V282&amp;"_Z"&amp;W282 &amp; IF(G282="SM", "_Proxy" , "_Rail") &amp; IF(M282&lt;&gt;"", "_" &amp; M282, "")</f>
      </c>
      <c r="F282" s="62">
        <f>IF(E282="", "", IF(G282="BP", E282, F281))</f>
      </c>
      <c r="G282" s="61" t="str">
        <v>SM</v>
      </c>
      <c r="H282" s="61" t="str">
        <v>Curve</v>
      </c>
      <c r="I282" s="61" t="str">
        <v>R90</v>
      </c>
      <c r="J282" s="61" t="str">
        <v>Borderless</v>
      </c>
      <c r="K282" s="61" t="str">
        <v>Caved</v>
      </c>
      <c r="L282" s="61"/>
      <c r="M282" s="61" t="str">
        <v>BL</v>
      </c>
      <c r="N282" s="87"/>
      <c r="O282" s="87"/>
      <c r="P282" s="87" t="str">
        <v>⭕</v>
      </c>
      <c r="Q282" s="87"/>
      <c r="R282" s="61" t="str"/>
      <c r="S282" s="62" t="str"/>
      <c r="T282" s="144" t="str"/>
      <c r="U282" s="145">
        <v>2</v>
      </c>
      <c r="V282" s="145">
        <v>2</v>
      </c>
      <c r="W282" s="145">
        <v>1</v>
      </c>
      <c r="X282" s="71"/>
      <c r="Y282" s="71">
        <f>IF(AND(Q282="✅", OR(ISNUMBER(FIND("F",I282)), I282="CR")),   "X="&amp;U282*16&amp;",Y="&amp;(V282-1)*16&amp;",Z="&amp;IF(I282="FD", -(W282-1)*16, (W282-1)*16),   "")</f>
      </c>
      <c r="Z282" s="71">
        <f>IF(AND(Q282="✅", OR(ISNUMBER(FIND("F",I282)), I282="CR")), "P=0,Y=0,R=0", "")</f>
      </c>
      <c r="AA282" s="71" t="str"/>
      <c r="AB282" s="71" t="str"/>
      <c r="AC282" s="71" t="str"/>
      <c r="AD282" s="71" t="str"/>
      <c r="AE282" s="71" t="str"/>
      <c r="AF282" s="71"/>
      <c r="AG282" s="71" t="str"/>
      <c r="AH282" s="71" t="str"/>
      <c r="AI282" s="71" t="str"/>
      <c r="AJ282" s="71" t="str"/>
      <c r="AK282" s="71" t="str"/>
      <c r="AL282" s="71" t="str"/>
      <c r="AM282" s="71" t="str"/>
      <c r="AN282" s="71"/>
      <c r="AO282" s="71" t="str"/>
      <c r="AP282" s="71" t="str"/>
      <c r="AQ282" s="71" t="str"/>
      <c r="AR282" s="71" t="str"/>
      <c r="AS282" s="71" t="str"/>
      <c r="AT282" s="71" t="str"/>
      <c r="AU282" s="71" t="str"/>
      <c r="AV282" s="71"/>
      <c r="AW282" s="71">
        <f>IF(AND(Q282="✅", I282="U90"), "X="&amp;(U282-1)*16&amp;",Y="&amp;(V282-1)*16&amp;",Z="&amp;W282*16, "")</f>
      </c>
      <c r="AX282" s="71">
        <f>IF(AND(Q282="✅", I282="U90"), "P=90,Y=0,R=0", "")</f>
      </c>
      <c r="AY282" s="71" t="str"/>
      <c r="AZ282" s="71" t="str"/>
      <c r="BA282" s="71" t="str"/>
      <c r="BB282" s="71" t="str"/>
      <c r="BC282" s="71" t="str"/>
      <c r="BD282" s="71"/>
      <c r="BE282" s="71">
        <f>IF(AND(Q282="✅", I282="D90"), "X="&amp;(U282-1)*16&amp;",Y="&amp;(V282-1)*16&amp;",Z="&amp;(W282-2)*16, "")</f>
      </c>
      <c r="BF282" s="71">
        <f>IF(AND(Q282="✅", I282="D90"), "P=-90,Y=0,R=0", "")</f>
      </c>
      <c r="BG282" s="71" t="str"/>
      <c r="BH282" s="71" t="str"/>
      <c r="BI282" s="71" t="str"/>
      <c r="BJ282" s="71" t="str"/>
      <c r="BK282" s="71" t="str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</row>
    <row customHeight="true" hidden="true" ht="19" outlineLevel="4" r="283">
      <c r="A283" s="146" t="str" xml:space="preserve">
        <v> </v>
      </c>
      <c r="B283" s="146" t="str" xml:space="preserve">
        <v> </v>
      </c>
      <c r="C283" s="143" t="str" xml:space="preserve">
        <v> </v>
      </c>
      <c r="D283" s="143" t="str" xml:space="preserve">
        <v> </v>
      </c>
      <c r="E283" s="60">
        <f>G283 &amp; "_" &amp; H283 &amp; IF(I283&lt;&gt;"", "_" &amp; I283, "") &amp; IF(J283&lt;&gt;"", "_" &amp; J283, "") &amp; IF(K283&lt;&gt;"", "_" &amp; K283, "") &amp;"_X"&amp;U283&amp;"_Y"&amp;V283&amp;"_Z"&amp;W283 &amp; IF(G283="SM", "_Proxy" , "_Rail") &amp; IF(M283&lt;&gt;"", "_" &amp; M283, "")</f>
      </c>
      <c r="F283" s="62">
        <f>IF(E283="", "", IF(G283="BP", E283, F282))</f>
      </c>
      <c r="G283" s="61" t="str">
        <v>SM</v>
      </c>
      <c r="H283" s="61" t="str">
        <v>Curve</v>
      </c>
      <c r="I283" s="61" t="str">
        <v>R90</v>
      </c>
      <c r="J283" s="61" t="str">
        <v>Borderless</v>
      </c>
      <c r="K283" s="61" t="str">
        <v>Caved</v>
      </c>
      <c r="L283" s="61"/>
      <c r="M283" s="61" t="str">
        <v>BR</v>
      </c>
      <c r="N283" s="87"/>
      <c r="O283" s="87"/>
      <c r="P283" s="87" t="str">
        <v>⭕</v>
      </c>
      <c r="Q283" s="87"/>
      <c r="R283" s="61" t="str"/>
      <c r="S283" s="62" t="str"/>
      <c r="T283" s="144" t="str"/>
      <c r="U283" s="145">
        <v>2</v>
      </c>
      <c r="V283" s="145">
        <v>2</v>
      </c>
      <c r="W283" s="145">
        <v>1</v>
      </c>
      <c r="X283" s="71"/>
      <c r="Y283" s="71">
        <f>IF(AND(Q283="✅", OR(ISNUMBER(FIND("F",I283)), I283="CR")),   "X="&amp;U283*16&amp;",Y="&amp;(V283-1)*16&amp;",Z="&amp;IF(I283="FD", -(W283-1)*16, (W283-1)*16),   "")</f>
      </c>
      <c r="Z283" s="71">
        <f>IF(AND(Q283="✅", OR(ISNUMBER(FIND("F",I283)), I283="CR")), "P=0,Y=0,R=0", "")</f>
      </c>
      <c r="AA283" s="71" t="str"/>
      <c r="AB283" s="71" t="str"/>
      <c r="AC283" s="71" t="str"/>
      <c r="AD283" s="71" t="str"/>
      <c r="AE283" s="71" t="str"/>
      <c r="AF283" s="71"/>
      <c r="AG283" s="71" t="str"/>
      <c r="AH283" s="71" t="str"/>
      <c r="AI283" s="71" t="str"/>
      <c r="AJ283" s="71" t="str"/>
      <c r="AK283" s="71" t="str"/>
      <c r="AL283" s="71" t="str"/>
      <c r="AM283" s="71" t="str"/>
      <c r="AN283" s="71"/>
      <c r="AO283" s="71" t="str"/>
      <c r="AP283" s="71" t="str"/>
      <c r="AQ283" s="71" t="str"/>
      <c r="AR283" s="71" t="str"/>
      <c r="AS283" s="71" t="str"/>
      <c r="AT283" s="71" t="str"/>
      <c r="AU283" s="71" t="str"/>
      <c r="AV283" s="71"/>
      <c r="AW283" s="71">
        <f>IF(AND(Q283="✅", I283="U90"), "X="&amp;(U283-1)*16&amp;",Y="&amp;(V283-1)*16&amp;",Z="&amp;W283*16, "")</f>
      </c>
      <c r="AX283" s="71">
        <f>IF(AND(Q283="✅", I283="U90"), "P=90,Y=0,R=0", "")</f>
      </c>
      <c r="AY283" s="71" t="str"/>
      <c r="AZ283" s="71" t="str"/>
      <c r="BA283" s="71" t="str"/>
      <c r="BB283" s="71" t="str"/>
      <c r="BC283" s="71" t="str"/>
      <c r="BD283" s="71"/>
      <c r="BE283" s="71">
        <f>IF(AND(Q283="✅", I283="D90"), "X="&amp;(U283-1)*16&amp;",Y="&amp;(V283-1)*16&amp;",Z="&amp;(W283-2)*16, "")</f>
      </c>
      <c r="BF283" s="71">
        <f>IF(AND(Q283="✅", I283="D90"), "P=-90,Y=0,R=0", "")</f>
      </c>
      <c r="BG283" s="71" t="str"/>
      <c r="BH283" s="71" t="str"/>
      <c r="BI283" s="71" t="str"/>
      <c r="BJ283" s="71" t="str"/>
      <c r="BK283" s="71" t="str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</row>
    <row collapsed="true" customHeight="true" ht="19" outlineLevel="3" r="284">
      <c r="A284" s="11"/>
      <c r="B284" s="11"/>
      <c r="C284" s="119"/>
      <c r="D284" s="119">
        <v>3</v>
      </c>
      <c r="E284" s="9"/>
      <c r="F284" s="9"/>
      <c r="G284" s="4"/>
      <c r="H284" s="4"/>
      <c r="I284" s="4"/>
      <c r="J284" s="4"/>
      <c r="K284" s="4"/>
      <c r="L284" s="4"/>
      <c r="M284" s="4"/>
      <c r="N284" s="3"/>
      <c r="O284" s="2"/>
      <c r="P284" s="2"/>
      <c r="Q284" s="2"/>
      <c r="R284" s="1" t="str"/>
      <c r="S284" s="9" t="str"/>
      <c r="T284" s="120" t="str"/>
      <c r="U284" s="118"/>
      <c r="V284" s="118"/>
      <c r="W284" s="118"/>
      <c r="X284" s="4"/>
      <c r="Y284" s="4">
        <f>IF(AND(Q284="✅", OR(ISNUMBER(FIND("F",I284)), I284="CR")),   "X="&amp;U284*16&amp;",Y="&amp;(V284-1)*16&amp;",Z="&amp;IF(I284="FD", -(W284-1)*16, (W284-1)*16),   "")</f>
      </c>
      <c r="Z284" s="4">
        <f>IF(AND(Q284="✅", OR(ISNUMBER(FIND("F",I284)), I284="CR")), "P=0,Y=0,R=0", "")</f>
      </c>
      <c r="AA284" s="4" t="str"/>
      <c r="AB284" s="4" t="str"/>
      <c r="AC284" s="4" t="str"/>
      <c r="AD284" s="4" t="str"/>
      <c r="AE284" s="4" t="str"/>
      <c r="AF284" s="4"/>
      <c r="AG284" s="4" t="str"/>
      <c r="AH284" s="4" t="str"/>
      <c r="AI284" s="4" t="str"/>
      <c r="AJ284" s="4" t="str"/>
      <c r="AK284" s="4" t="str"/>
      <c r="AL284" s="4" t="str"/>
      <c r="AM284" s="4" t="str"/>
      <c r="AN284" s="4"/>
      <c r="AO284" s="4" t="str"/>
      <c r="AP284" s="4" t="str"/>
      <c r="AQ284" s="4" t="str"/>
      <c r="AR284" s="4" t="str"/>
      <c r="AS284" s="4" t="str"/>
      <c r="AT284" s="4" t="str"/>
      <c r="AU284" s="4" t="str"/>
      <c r="AV284" s="4"/>
      <c r="AW284" s="4">
        <f>IF(AND(Q284="✅", I284="U90"), "X="&amp;(U284-1)*16&amp;",Y="&amp;(V284-1)*16&amp;",Z="&amp;W284*16, "")</f>
      </c>
      <c r="AX284" s="4">
        <f>IF(AND(Q284="✅", I284="U90"), "P=90,Y=0,R=0", "")</f>
      </c>
      <c r="AY284" s="4" t="str"/>
      <c r="AZ284" s="4" t="str"/>
      <c r="BA284" s="4" t="str"/>
      <c r="BB284" s="4" t="str"/>
      <c r="BC284" s="4" t="str"/>
      <c r="BD284" s="4"/>
      <c r="BE284" s="4">
        <f>IF(AND(Q284="✅", I284="D90"), "X="&amp;(U284-1)*16&amp;",Y="&amp;(V284-1)*16&amp;",Z="&amp;(W284-2)*16, "")</f>
      </c>
      <c r="BF284" s="4">
        <f>IF(AND(Q284="✅", I284="D90"), "P=-90,Y=0,R=0", "")</f>
      </c>
      <c r="BG284" s="4" t="str"/>
      <c r="BH284" s="4" t="str"/>
      <c r="BI284" s="4" t="str"/>
      <c r="BJ284" s="4" t="str"/>
      <c r="BK284" s="4" t="str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</row>
    <row customHeight="true" hidden="true" ht="19" outlineLevel="4" r="285">
      <c r="A285" s="146" t="str" xml:space="preserve">
        <v> </v>
      </c>
      <c r="B285" s="146" t="str" xml:space="preserve">
        <v> </v>
      </c>
      <c r="C285" s="143" t="str" xml:space="preserve">
        <v> </v>
      </c>
      <c r="D285" s="143" t="str" xml:space="preserve">
        <v> </v>
      </c>
      <c r="E285" s="47">
        <f>G285 &amp; "_" &amp; H285 &amp; IF(I285&lt;&gt;"", "_" &amp; I285, "") &amp; IF(J285&lt;&gt;"", "_" &amp; J285, "") &amp; IF(K285&lt;&gt;"", "_" &amp; K285, "") &amp;"_X"&amp;U285&amp;"_Y"&amp;V285&amp;"_Z"&amp;W285 &amp; IF(G285="SM", "_Proxy" , "_Rail") &amp; IF(M285&lt;&gt;"", "_" &amp; M285, "")</f>
      </c>
      <c r="F285" s="47">
        <f>IF(E285="", "", IF(G285="BP", E285, F256))</f>
      </c>
      <c r="G285" s="48" t="str">
        <v>BP</v>
      </c>
      <c r="H285" s="48" t="str">
        <v>Curve</v>
      </c>
      <c r="I285" s="48" t="str">
        <v>R90</v>
      </c>
      <c r="J285" s="48" t="str">
        <v>Borderless</v>
      </c>
      <c r="K285" s="48" t="str">
        <v>Caved</v>
      </c>
      <c r="L285" s="48"/>
      <c r="M285" s="48"/>
      <c r="N285" s="77"/>
      <c r="O285" s="46"/>
      <c r="P285" s="46"/>
      <c r="Q285" s="46" t="str">
        <v>✅</v>
      </c>
      <c r="R285" s="43" t="str">
        <v>Curve_R90_Borderless_Caved_X3_Y3_Z1</v>
      </c>
      <c r="S285" s="47" t="str">
        <v>/Script/Engine.BlueprintGeneratedClass'/Game/Item/Rail/Curve/R90/Borderless_Caved/Curve_R90_Borderless_Caved_X3_Y3_Z1/BP_Curve_R90_Borderless_Caved_X3_Y3_Z1_Rail.BP_Curve_R90_Borderless_Caved_X3_Y3_Z1_Rail_C'</v>
      </c>
      <c r="T285" s="126">
        <v>3.6</v>
      </c>
      <c r="U285" s="128">
        <v>3</v>
      </c>
      <c r="V285" s="128">
        <v>3</v>
      </c>
      <c r="W285" s="128">
        <v>1</v>
      </c>
      <c r="X285" s="48"/>
      <c r="Y285" s="48">
        <f>IF(AND(Q285="✅", OR(ISNUMBER(FIND("F",I285)), I285="CR")),   "X="&amp;U285*16&amp;",Y="&amp;(V285-1)*16&amp;",Z="&amp;IF(I285="FD", -(W285-1)*16, (W285-1)*16),   "")</f>
      </c>
      <c r="Z285" s="48">
        <f>IF(AND(Q285="✅", OR(ISNUMBER(FIND("F",I285)), I285="CR")), "P=0,Y=0,R=0", "")</f>
      </c>
      <c r="AA285" s="48" t="str"/>
      <c r="AB285" s="48" t="str"/>
      <c r="AC285" s="48" t="str"/>
      <c r="AD285" s="48" t="str"/>
      <c r="AE285" s="48" t="str">
        <v>X=0,Y=0,Z=0,W=0</v>
      </c>
      <c r="AF285" s="48"/>
      <c r="AG285" s="48" t="str"/>
      <c r="AH285" s="48" t="str"/>
      <c r="AI285" s="48" t="str"/>
      <c r="AJ285" s="48" t="str"/>
      <c r="AK285" s="48" t="str"/>
      <c r="AL285" s="48" t="str"/>
      <c r="AM285" s="48" t="str"/>
      <c r="AN285" s="48"/>
      <c r="AO285" s="48" t="str">
        <v>X=32,Y=48,Z=0</v>
      </c>
      <c r="AP285" s="48" t="str">
        <v>P=0,Y=90,R=0</v>
      </c>
      <c r="AQ285" s="48">
        <v>1</v>
      </c>
      <c r="AR285" s="48">
        <v>2</v>
      </c>
      <c r="AS285" s="48">
        <v>2.5</v>
      </c>
      <c r="AT285" s="48">
        <v>2</v>
      </c>
      <c r="AU285" s="48" t="str">
        <v>X=1,Y=2,Z=2.5,W=2</v>
      </c>
      <c r="AV285" s="48"/>
      <c r="AW285" s="48">
        <f>IF(AND(Q285="✅", I285="U90"), "X="&amp;(U285-1)*16&amp;",Y="&amp;(V285-1)*16&amp;",Z="&amp;W285*16, "")</f>
      </c>
      <c r="AX285" s="48">
        <f>IF(AND(Q285="✅", I285="U90"), "P=90,Y=0,R=0", "")</f>
      </c>
      <c r="AY285" s="48" t="str"/>
      <c r="AZ285" s="48" t="str"/>
      <c r="BA285" s="48" t="str"/>
      <c r="BB285" s="48" t="str"/>
      <c r="BC285" s="48" t="str"/>
      <c r="BD285" s="48"/>
      <c r="BE285" s="48">
        <f>IF(AND(Q285="✅", I285="D90"), "X="&amp;(U285-1)*16&amp;",Y="&amp;(V285-1)*16&amp;",Z="&amp;(W285-2)*16, "")</f>
      </c>
      <c r="BF285" s="48">
        <f>IF(AND(Q285="✅", I285="D90"), "P=-90,Y=0,R=0", "")</f>
      </c>
      <c r="BG285" s="48" t="str"/>
      <c r="BH285" s="48" t="str"/>
      <c r="BI285" s="48" t="str"/>
      <c r="BJ285" s="48" t="str"/>
      <c r="BK285" s="48" t="str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</row>
    <row customHeight="true" hidden="true" ht="19" outlineLevel="4" r="286">
      <c r="A286" s="146" t="str" xml:space="preserve">
        <v> </v>
      </c>
      <c r="B286" s="146" t="str" xml:space="preserve">
        <v> </v>
      </c>
      <c r="C286" s="143" t="str" xml:space="preserve">
        <v> </v>
      </c>
      <c r="D286" s="143" t="str" xml:space="preserve">
        <v> </v>
      </c>
      <c r="E286" s="47">
        <f>G286 &amp; "_" &amp; H286 &amp; IF(I286&lt;&gt;"", "_" &amp; I286, "") &amp; IF(J286&lt;&gt;"", "_" &amp; J286, "") &amp; IF(K286&lt;&gt;"", "_" &amp; K286, "") &amp;"_X"&amp;U286&amp;"_Y"&amp;V286&amp;"_Z"&amp;W286 &amp; IF(G286="SM", "_Proxy" , "_Rail") &amp; IF(M286&lt;&gt;"", "_" &amp; M286, "")</f>
      </c>
      <c r="F286" s="47">
        <f>IF(E286="", "", IF(G286="BP", E286, F285))</f>
      </c>
      <c r="G286" s="48" t="str">
        <v>SM</v>
      </c>
      <c r="H286" s="48" t="str">
        <v>Curve</v>
      </c>
      <c r="I286" s="48" t="str">
        <v>R90</v>
      </c>
      <c r="J286" s="48" t="str">
        <v>Borderless</v>
      </c>
      <c r="K286" s="48" t="str">
        <v>Caved</v>
      </c>
      <c r="L286" s="48"/>
      <c r="M286" s="48" t="str">
        <v>BL</v>
      </c>
      <c r="N286" s="77"/>
      <c r="O286" s="46"/>
      <c r="P286" s="46" t="str">
        <v>✅</v>
      </c>
      <c r="Q286" s="46"/>
      <c r="R286" s="43" t="str">
        <v>Curve_R90_Borderless_Caved_X3_Y3_Z1</v>
      </c>
      <c r="S286" s="47" t="str">
        <v>/Script/Engine.StaticMesh'/Game/Item/Rail/Curve/R90/Borderless_Caved/Curve_R90_Borderless_Caved_X3_Y3_Z1/Proxy/SM_Curve_R90_Borderless_Caved_X3_Y3_Z1_Proxy_BL.SM_Curve_R90_Borderless_Caved_X3_Y3_Z1_Proxy_BL'</v>
      </c>
      <c r="T286" s="126" t="str"/>
      <c r="U286" s="128">
        <v>3</v>
      </c>
      <c r="V286" s="128">
        <v>3</v>
      </c>
      <c r="W286" s="128">
        <v>1</v>
      </c>
      <c r="X286" s="48"/>
      <c r="Y286" s="48">
        <f>IF(AND(Q286="✅", OR(ISNUMBER(FIND("F",I286)), I286="CR")),   "X="&amp;U286*16&amp;",Y="&amp;(V286-1)*16&amp;",Z="&amp;IF(I286="FD", -(W286-1)*16, (W286-1)*16),   "")</f>
      </c>
      <c r="Z286" s="48">
        <f>IF(AND(Q286="✅", OR(ISNUMBER(FIND("F",I286)), I286="CR")), "P=0,Y=0,R=0", "")</f>
      </c>
      <c r="AA286" s="48" t="str"/>
      <c r="AB286" s="48" t="str"/>
      <c r="AC286" s="48" t="str"/>
      <c r="AD286" s="48" t="str"/>
      <c r="AE286" s="48" t="str"/>
      <c r="AF286" s="48"/>
      <c r="AG286" s="48" t="str"/>
      <c r="AH286" s="48" t="str"/>
      <c r="AI286" s="48" t="str"/>
      <c r="AJ286" s="48" t="str"/>
      <c r="AK286" s="48" t="str"/>
      <c r="AL286" s="48" t="str"/>
      <c r="AM286" s="48" t="str"/>
      <c r="AN286" s="48"/>
      <c r="AO286" s="48" t="str"/>
      <c r="AP286" s="48" t="str"/>
      <c r="AQ286" s="48" t="str"/>
      <c r="AR286" s="48" t="str"/>
      <c r="AS286" s="48" t="str"/>
      <c r="AT286" s="48" t="str"/>
      <c r="AU286" s="48" t="str"/>
      <c r="AV286" s="48"/>
      <c r="AW286" s="48">
        <f>IF(AND(Q286="✅", I286="U90"), "X="&amp;(U286-1)*16&amp;",Y="&amp;(V286-1)*16&amp;",Z="&amp;W286*16, "")</f>
      </c>
      <c r="AX286" s="48">
        <f>IF(AND(Q286="✅", I286="U90"), "P=90,Y=0,R=0", "")</f>
      </c>
      <c r="AY286" s="48" t="str"/>
      <c r="AZ286" s="48" t="str"/>
      <c r="BA286" s="48" t="str"/>
      <c r="BB286" s="48" t="str"/>
      <c r="BC286" s="48" t="str"/>
      <c r="BD286" s="48"/>
      <c r="BE286" s="48">
        <f>IF(AND(Q286="✅", I286="D90"), "X="&amp;(U286-1)*16&amp;",Y="&amp;(V286-1)*16&amp;",Z="&amp;(W286-2)*16, "")</f>
      </c>
      <c r="BF286" s="48">
        <f>IF(AND(Q286="✅", I286="D90"), "P=-90,Y=0,R=0", "")</f>
      </c>
      <c r="BG286" s="48" t="str"/>
      <c r="BH286" s="48" t="str"/>
      <c r="BI286" s="48" t="str"/>
      <c r="BJ286" s="48" t="str"/>
      <c r="BK286" s="48" t="str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</row>
    <row customHeight="true" hidden="true" ht="19" outlineLevel="4" r="287">
      <c r="A287" s="146" t="str" xml:space="preserve">
        <v> </v>
      </c>
      <c r="B287" s="146" t="str" xml:space="preserve">
        <v> </v>
      </c>
      <c r="C287" s="143" t="str" xml:space="preserve">
        <v> </v>
      </c>
      <c r="D287" s="143" t="str" xml:space="preserve">
        <v> </v>
      </c>
      <c r="E287" s="47">
        <f>G287 &amp; "_" &amp; H287 &amp; IF(I287&lt;&gt;"", "_" &amp; I287, "") &amp; IF(J287&lt;&gt;"", "_" &amp; J287, "") &amp; IF(K287&lt;&gt;"", "_" &amp; K287, "") &amp;"_X"&amp;U287&amp;"_Y"&amp;V287&amp;"_Z"&amp;W287 &amp; IF(G287="SM", "_Proxy" , "_Rail") &amp; IF(M287&lt;&gt;"", "_" &amp; M287, "")</f>
      </c>
      <c r="F287" s="47">
        <f>IF(E287="", "", IF(G287="BP", E287, F286))</f>
      </c>
      <c r="G287" s="48" t="str">
        <v>SM</v>
      </c>
      <c r="H287" s="48" t="str">
        <v>Curve</v>
      </c>
      <c r="I287" s="48" t="str">
        <v>R90</v>
      </c>
      <c r="J287" s="48" t="str">
        <v>Borderless</v>
      </c>
      <c r="K287" s="48" t="str">
        <v>Caved</v>
      </c>
      <c r="L287" s="48"/>
      <c r="M287" s="48" t="str">
        <v>BR</v>
      </c>
      <c r="N287" s="77"/>
      <c r="O287" s="46"/>
      <c r="P287" s="46" t="str">
        <v>✅</v>
      </c>
      <c r="Q287" s="46"/>
      <c r="R287" s="43" t="str">
        <v>Curve_R90_Borderless_Caved_X3_Y3_Z1</v>
      </c>
      <c r="S287" s="47" t="str">
        <v>/Script/Engine.StaticMesh'/Game/Item/Rail/Curve/R90/Borderless_Caved/Curve_R90_Borderless_Caved_X3_Y3_Z1/Proxy/SM_Curve_R90_Borderless_Caved_X3_Y3_Z1_Proxy_BR.SM_Curve_R90_Borderless_Caved_X3_Y3_Z1_Proxy_BR'</v>
      </c>
      <c r="T287" s="126" t="str"/>
      <c r="U287" s="128">
        <v>3</v>
      </c>
      <c r="V287" s="128">
        <v>3</v>
      </c>
      <c r="W287" s="128">
        <v>1</v>
      </c>
      <c r="X287" s="48"/>
      <c r="Y287" s="48">
        <f>IF(AND(Q287="✅", OR(ISNUMBER(FIND("F",I287)), I287="CR")),   "X="&amp;U287*16&amp;",Y="&amp;(V287-1)*16&amp;",Z="&amp;IF(I287="FD", -(W287-1)*16, (W287-1)*16),   "")</f>
      </c>
      <c r="Z287" s="48">
        <f>IF(AND(Q287="✅", OR(ISNUMBER(FIND("F",I287)), I287="CR")), "P=0,Y=0,R=0", "")</f>
      </c>
      <c r="AA287" s="48" t="str"/>
      <c r="AB287" s="48" t="str"/>
      <c r="AC287" s="48" t="str"/>
      <c r="AD287" s="48" t="str"/>
      <c r="AE287" s="48" t="str"/>
      <c r="AF287" s="48"/>
      <c r="AG287" s="48" t="str"/>
      <c r="AH287" s="48" t="str"/>
      <c r="AI287" s="48" t="str"/>
      <c r="AJ287" s="48" t="str"/>
      <c r="AK287" s="48" t="str"/>
      <c r="AL287" s="48" t="str"/>
      <c r="AM287" s="48" t="str"/>
      <c r="AN287" s="48"/>
      <c r="AO287" s="48" t="str"/>
      <c r="AP287" s="48" t="str"/>
      <c r="AQ287" s="48" t="str"/>
      <c r="AR287" s="48" t="str"/>
      <c r="AS287" s="48" t="str"/>
      <c r="AT287" s="48" t="str"/>
      <c r="AU287" s="48" t="str"/>
      <c r="AV287" s="48"/>
      <c r="AW287" s="48">
        <f>IF(AND(Q287="✅", I287="U90"), "X="&amp;(U287-1)*16&amp;",Y="&amp;(V287-1)*16&amp;",Z="&amp;W287*16, "")</f>
      </c>
      <c r="AX287" s="48">
        <f>IF(AND(Q287="✅", I287="U90"), "P=90,Y=0,R=0", "")</f>
      </c>
      <c r="AY287" s="48" t="str"/>
      <c r="AZ287" s="48" t="str"/>
      <c r="BA287" s="48" t="str"/>
      <c r="BB287" s="48" t="str"/>
      <c r="BC287" s="48" t="str"/>
      <c r="BD287" s="48"/>
      <c r="BE287" s="48">
        <f>IF(AND(Q287="✅", I287="D90"), "X="&amp;(U287-1)*16&amp;",Y="&amp;(V287-1)*16&amp;",Z="&amp;(W287-2)*16, "")</f>
      </c>
      <c r="BF287" s="48">
        <f>IF(AND(Q287="✅", I287="D90"), "P=-90,Y=0,R=0", "")</f>
      </c>
      <c r="BG287" s="48" t="str"/>
      <c r="BH287" s="48" t="str"/>
      <c r="BI287" s="48" t="str"/>
      <c r="BJ287" s="48" t="str"/>
      <c r="BK287" s="48" t="str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</row>
    <row customHeight="true" ht="19" outlineLevel="2" r="288">
      <c r="A288" s="11"/>
      <c r="B288" s="11"/>
      <c r="C288" s="119" t="str">
        <v>Borderless_I</v>
      </c>
      <c r="D288" s="119"/>
      <c r="E288" s="5"/>
      <c r="F288" s="9"/>
      <c r="G288" s="1"/>
      <c r="H288" s="1"/>
      <c r="I288" s="1"/>
      <c r="J288" s="1"/>
      <c r="K288" s="1"/>
      <c r="L288" s="1"/>
      <c r="M288" s="1"/>
      <c r="N288" s="3"/>
      <c r="O288" s="3"/>
      <c r="P288" s="3"/>
      <c r="Q288" s="3"/>
      <c r="R288" s="1" t="str"/>
      <c r="S288" s="9" t="str"/>
      <c r="T288" s="120" t="str"/>
      <c r="U288" s="118"/>
      <c r="V288" s="118"/>
      <c r="W288" s="118"/>
      <c r="X288" s="4"/>
      <c r="Y288" s="4">
        <f>IF(AND(Q288="✅", OR(ISNUMBER(FIND("F",I288)), I288="CR")),   "X="&amp;U288*16&amp;",Y="&amp;(V288-1)*16&amp;",Z="&amp;IF(I288="FD", -(W288-1)*16, (W288-1)*16),   "")</f>
      </c>
      <c r="Z288" s="4">
        <f>IF(AND(Q288="✅", OR(ISNUMBER(FIND("F",I288)), I288="CR")), "P=0,Y=0,R=0", "")</f>
      </c>
      <c r="AA288" s="4" t="str"/>
      <c r="AB288" s="4" t="str"/>
      <c r="AC288" s="4" t="str"/>
      <c r="AD288" s="4" t="str"/>
      <c r="AE288" s="4" t="str"/>
      <c r="AF288" s="4"/>
      <c r="AG288" s="4" t="str"/>
      <c r="AH288" s="4" t="str"/>
      <c r="AI288" s="4" t="str"/>
      <c r="AJ288" s="4" t="str"/>
      <c r="AK288" s="4" t="str"/>
      <c r="AL288" s="4" t="str"/>
      <c r="AM288" s="4" t="str"/>
      <c r="AN288" s="4"/>
      <c r="AO288" s="4" t="str"/>
      <c r="AP288" s="4" t="str"/>
      <c r="AQ288" s="4" t="str"/>
      <c r="AR288" s="4" t="str"/>
      <c r="AS288" s="4" t="str"/>
      <c r="AT288" s="4" t="str"/>
      <c r="AU288" s="4" t="str"/>
      <c r="AV288" s="4"/>
      <c r="AW288" s="4">
        <f>IF(AND(Q288="✅", I288="U90"), "X="&amp;(U288-1)*16&amp;",Y="&amp;(V288-1)*16&amp;",Z="&amp;W288*16, "")</f>
      </c>
      <c r="AX288" s="4">
        <f>IF(AND(Q288="✅", I288="U90"), "P=90,Y=0,R=0", "")</f>
      </c>
      <c r="AY288" s="4" t="str"/>
      <c r="AZ288" s="4" t="str"/>
      <c r="BA288" s="4" t="str"/>
      <c r="BB288" s="4" t="str"/>
      <c r="BC288" s="4" t="str"/>
      <c r="BD288" s="4"/>
      <c r="BE288" s="4">
        <f>IF(AND(Q288="✅", I288="D90"), "X="&amp;(U288-1)*16&amp;",Y="&amp;(V288-1)*16&amp;",Z="&amp;(W288-2)*16, "")</f>
      </c>
      <c r="BF288" s="4">
        <f>IF(AND(Q288="✅", I288="D90"), "P=-90,Y=0,R=0", "")</f>
      </c>
      <c r="BG288" s="4" t="str"/>
      <c r="BH288" s="4" t="str"/>
      <c r="BI288" s="4" t="str"/>
      <c r="BJ288" s="4" t="str"/>
      <c r="BK288" s="4" t="str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</row>
    <row collapsed="true" customHeight="true" ht="19" outlineLevel="3" r="289">
      <c r="A289" s="11"/>
      <c r="B289" s="11"/>
      <c r="C289" s="119"/>
      <c r="D289" s="119">
        <v>1</v>
      </c>
      <c r="E289" s="5"/>
      <c r="F289" s="9"/>
      <c r="G289" s="1"/>
      <c r="H289" s="1"/>
      <c r="I289" s="1"/>
      <c r="J289" s="1"/>
      <c r="K289" s="1"/>
      <c r="L289" s="1"/>
      <c r="M289" s="1"/>
      <c r="N289" s="3"/>
      <c r="O289" s="3"/>
      <c r="P289" s="3"/>
      <c r="Q289" s="3"/>
      <c r="R289" s="1" t="str"/>
      <c r="S289" s="9" t="str"/>
      <c r="T289" s="120" t="str"/>
      <c r="U289" s="118"/>
      <c r="V289" s="118"/>
      <c r="W289" s="118"/>
      <c r="X289" s="4"/>
      <c r="Y289" s="4">
        <f>IF(AND(Q289="✅", OR(ISNUMBER(FIND("F",I289)), I289="CR")),   "X="&amp;U289*16&amp;",Y="&amp;(V289-1)*16&amp;",Z="&amp;IF(I289="FD", -(W289-1)*16, (W289-1)*16),   "")</f>
      </c>
      <c r="Z289" s="4">
        <f>IF(AND(Q289="✅", OR(ISNUMBER(FIND("F",I289)), I289="CR")), "P=0,Y=0,R=0", "")</f>
      </c>
      <c r="AA289" s="4" t="str"/>
      <c r="AB289" s="4" t="str"/>
      <c r="AC289" s="4" t="str"/>
      <c r="AD289" s="4" t="str"/>
      <c r="AE289" s="4" t="str"/>
      <c r="AF289" s="4"/>
      <c r="AG289" s="4" t="str"/>
      <c r="AH289" s="4" t="str"/>
      <c r="AI289" s="4" t="str"/>
      <c r="AJ289" s="4" t="str"/>
      <c r="AK289" s="4" t="str"/>
      <c r="AL289" s="4" t="str"/>
      <c r="AM289" s="4" t="str"/>
      <c r="AN289" s="4"/>
      <c r="AO289" s="4" t="str"/>
      <c r="AP289" s="4" t="str"/>
      <c r="AQ289" s="4" t="str"/>
      <c r="AR289" s="4" t="str"/>
      <c r="AS289" s="4" t="str"/>
      <c r="AT289" s="4" t="str"/>
      <c r="AU289" s="4" t="str"/>
      <c r="AV289" s="4"/>
      <c r="AW289" s="4">
        <f>IF(AND(Q289="✅", I289="U90"), "X="&amp;(U289-1)*16&amp;",Y="&amp;(V289-1)*16&amp;",Z="&amp;W289*16, "")</f>
      </c>
      <c r="AX289" s="4">
        <f>IF(AND(Q289="✅", I289="U90"), "P=90,Y=0,R=0", "")</f>
      </c>
      <c r="AY289" s="4" t="str"/>
      <c r="AZ289" s="4" t="str"/>
      <c r="BA289" s="4" t="str"/>
      <c r="BB289" s="4" t="str"/>
      <c r="BC289" s="4" t="str"/>
      <c r="BD289" s="4"/>
      <c r="BE289" s="4">
        <f>IF(AND(Q289="✅", I289="D90"), "X="&amp;(U289-1)*16&amp;",Y="&amp;(V289-1)*16&amp;",Z="&amp;(W289-2)*16, "")</f>
      </c>
      <c r="BF289" s="4">
        <f>IF(AND(Q289="✅", I289="D90"), "P=-90,Y=0,R=0", "")</f>
      </c>
      <c r="BG289" s="4" t="str"/>
      <c r="BH289" s="4" t="str"/>
      <c r="BI289" s="4" t="str"/>
      <c r="BJ289" s="4" t="str"/>
      <c r="BK289" s="4" t="str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</row>
    <row customHeight="true" hidden="true" ht="19" outlineLevel="4" r="290">
      <c r="A290" s="14" t="str" xml:space="preserve">
        <v> </v>
      </c>
      <c r="B290" s="14" t="str" xml:space="preserve">
        <v> </v>
      </c>
      <c r="C290" s="147" t="str" xml:space="preserve">
        <v> </v>
      </c>
      <c r="D290" s="147" t="str" xml:space="preserve">
        <v> </v>
      </c>
      <c r="E290" s="65">
        <f>G290 &amp; "_" &amp; H290 &amp; IF(I290&lt;&gt;"", "_" &amp; I290, "") &amp; IF(J290&lt;&gt;"", "_" &amp; J290, "") &amp; IF(K290&lt;&gt;"", "_" &amp; K290, "") &amp;"_X"&amp;U290&amp;"_Y"&amp;V290&amp;"_Z"&amp;W290 &amp; IF(G290="SM", "_Proxy" , "_Rail") &amp; IF(M290&lt;&gt;"", "_" &amp; M290, "")</f>
      </c>
      <c r="F290" s="66">
        <f>IF(E290="", "", IF(G290="BP", E290, F279))</f>
      </c>
      <c r="G290" s="64" t="str">
        <v>BP</v>
      </c>
      <c r="H290" s="64" t="str">
        <v>Curve</v>
      </c>
      <c r="I290" s="64" t="str">
        <v>R90</v>
      </c>
      <c r="J290" s="64" t="str">
        <v>Borderless_I</v>
      </c>
      <c r="K290" s="64"/>
      <c r="L290" s="64"/>
      <c r="M290" s="64"/>
      <c r="N290" s="90"/>
      <c r="O290" s="90"/>
      <c r="P290" s="90"/>
      <c r="Q290" s="90" t="str">
        <v>✅</v>
      </c>
      <c r="R290" s="64" t="str">
        <v>Curve_R90_Borderless_I_X1_Y1_Z1</v>
      </c>
      <c r="S290" s="66" t="str">
        <v>/Script/Engine.BlueprintGeneratedClass'/Game/Item/Rail/Curve/R90/Borderless_I/Curve_R90_Borderless_I_X1_Y1_Z1/BP_Curve_R90_Borderless_I_X1_Y1_Z1_Rail.BP_Curve_R90_Borderless_I_X1_Y1_Z1_Rail_C'</v>
      </c>
      <c r="T290" s="139">
        <v>1</v>
      </c>
      <c r="U290" s="140">
        <v>1</v>
      </c>
      <c r="V290" s="140">
        <v>1</v>
      </c>
      <c r="W290" s="140">
        <v>1</v>
      </c>
      <c r="X290" s="88"/>
      <c r="Y290" s="88">
        <f>IF(AND(Q290="✅", OR(ISNUMBER(FIND("F",I290)), I290="CR")),   "X="&amp;U290*16&amp;",Y="&amp;(V290-1)*16&amp;",Z="&amp;IF(I290="FD", -(W290-1)*16, (W290-1)*16),   "")</f>
      </c>
      <c r="Z290" s="88">
        <f>IF(AND(Q290="✅", OR(ISNUMBER(FIND("F",I290)), I290="CR")), "P=0,Y=0,R=0", "")</f>
      </c>
      <c r="AA290" s="88" t="str"/>
      <c r="AB290" s="88" t="str"/>
      <c r="AC290" s="88" t="str"/>
      <c r="AD290" s="88" t="str"/>
      <c r="AE290" s="88" t="str">
        <v>X=0,Y=0,Z=0,W=0</v>
      </c>
      <c r="AF290" s="88"/>
      <c r="AG290" s="88" t="str"/>
      <c r="AH290" s="88" t="str"/>
      <c r="AI290" s="88" t="str"/>
      <c r="AJ290" s="88" t="str"/>
      <c r="AK290" s="88" t="str"/>
      <c r="AL290" s="88" t="str"/>
      <c r="AM290" s="88" t="str"/>
      <c r="AN290" s="88"/>
      <c r="AO290" s="88" t="str">
        <v>X=0,Y=16,Z=0</v>
      </c>
      <c r="AP290" s="88" t="str">
        <v>P=0,Y=90,R=0</v>
      </c>
      <c r="AQ290" s="88">
        <v>1</v>
      </c>
      <c r="AR290" s="88">
        <v>1.5</v>
      </c>
      <c r="AS290" s="88">
        <v>2</v>
      </c>
      <c r="AT290" s="88">
        <v>1.5</v>
      </c>
      <c r="AU290" s="88" t="str">
        <v>X=1,Y=1.5,Z=2,W=1.5</v>
      </c>
      <c r="AV290" s="88"/>
      <c r="AW290" s="88">
        <f>IF(AND(Q290="✅", I290="U90"), "X="&amp;(U290-1)*16&amp;",Y="&amp;(V290-1)*16&amp;",Z="&amp;W290*16, "")</f>
      </c>
      <c r="AX290" s="88">
        <f>IF(AND(Q290="✅", I290="U90"), "P=90,Y=0,R=0", "")</f>
      </c>
      <c r="AY290" s="88" t="str"/>
      <c r="AZ290" s="88" t="str"/>
      <c r="BA290" s="88" t="str"/>
      <c r="BB290" s="88" t="str"/>
      <c r="BC290" s="88" t="str"/>
      <c r="BD290" s="88"/>
      <c r="BE290" s="88">
        <f>IF(AND(Q290="✅", I290="D90"), "X="&amp;(U290-1)*16&amp;",Y="&amp;(V290-1)*16&amp;",Z="&amp;(W290-2)*16, "")</f>
      </c>
      <c r="BF290" s="88">
        <f>IF(AND(Q290="✅", I290="D90"), "P=-90,Y=0,R=0", "")</f>
      </c>
      <c r="BG290" s="88" t="str"/>
      <c r="BH290" s="88" t="str"/>
      <c r="BI290" s="88" t="str"/>
      <c r="BJ290" s="88" t="str"/>
      <c r="BK290" s="88" t="str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</row>
    <row customHeight="true" hidden="true" ht="19" outlineLevel="4" r="291">
      <c r="A291" s="14" t="str" xml:space="preserve">
        <v> </v>
      </c>
      <c r="B291" s="14" t="str" xml:space="preserve">
        <v> </v>
      </c>
      <c r="C291" s="147" t="str" xml:space="preserve">
        <v> </v>
      </c>
      <c r="D291" s="147" t="str" xml:space="preserve">
        <v> </v>
      </c>
      <c r="E291" s="65">
        <f>E244</f>
      </c>
      <c r="F291" s="66">
        <f>IF(E291="", "", IF(G291="BP", E291, F290))</f>
      </c>
      <c r="G291" s="64"/>
      <c r="H291" s="64"/>
      <c r="I291" s="64"/>
      <c r="J291" s="64"/>
      <c r="K291" s="64"/>
      <c r="L291" s="64"/>
      <c r="M291" s="64" t="str">
        <v>B</v>
      </c>
      <c r="N291" s="90"/>
      <c r="O291" s="90"/>
      <c r="P291" s="90" t="str">
        <v>✅</v>
      </c>
      <c r="Q291" s="90"/>
      <c r="R291" s="64" t="str">
        <v>Curve_R90_X1_Y1_Z1</v>
      </c>
      <c r="S291" s="66" t="str">
        <v>/Script/Engine.StaticMesh'/Game/Item/Rail/Curve/R90/Normal/Curve_R90_X1_Y1_Z1/Proxy/SM_Curve_R90_X1_Y1_Z1_Proxy_B.SM_Curve_R90_X1_Y1_Z1_Proxy_B'</v>
      </c>
      <c r="T291" s="139" t="str"/>
      <c r="U291" s="140"/>
      <c r="V291" s="140"/>
      <c r="W291" s="140"/>
      <c r="X291" s="88"/>
      <c r="Y291" s="88">
        <f>IF(AND(Q291="✅", OR(ISNUMBER(FIND("F",I291)), I291="CR")),   "X="&amp;U291*16&amp;",Y="&amp;(V291-1)*16&amp;",Z="&amp;IF(I291="FD", -(W291-1)*16, (W291-1)*16),   "")</f>
      </c>
      <c r="Z291" s="88">
        <f>IF(AND(Q291="✅", OR(ISNUMBER(FIND("F",I291)), I291="CR")), "P=0,Y=0,R=0", "")</f>
      </c>
      <c r="AA291" s="88" t="str"/>
      <c r="AB291" s="88" t="str"/>
      <c r="AC291" s="88" t="str"/>
      <c r="AD291" s="88" t="str"/>
      <c r="AE291" s="88" t="str"/>
      <c r="AF291" s="88"/>
      <c r="AG291" s="88" t="str"/>
      <c r="AH291" s="88" t="str"/>
      <c r="AI291" s="88" t="str"/>
      <c r="AJ291" s="88" t="str"/>
      <c r="AK291" s="88" t="str"/>
      <c r="AL291" s="88" t="str"/>
      <c r="AM291" s="88" t="str"/>
      <c r="AN291" s="88"/>
      <c r="AO291" s="88" t="str"/>
      <c r="AP291" s="88" t="str"/>
      <c r="AQ291" s="88" t="str"/>
      <c r="AR291" s="88" t="str"/>
      <c r="AS291" s="88" t="str"/>
      <c r="AT291" s="88" t="str"/>
      <c r="AU291" s="88" t="str"/>
      <c r="AV291" s="88"/>
      <c r="AW291" s="88">
        <f>IF(AND(Q291="✅", I291="U90"), "X="&amp;(U291-1)*16&amp;",Y="&amp;(V291-1)*16&amp;",Z="&amp;W291*16, "")</f>
      </c>
      <c r="AX291" s="88">
        <f>IF(AND(Q291="✅", I291="U90"), "P=90,Y=0,R=0", "")</f>
      </c>
      <c r="AY291" s="88" t="str"/>
      <c r="AZ291" s="88" t="str"/>
      <c r="BA291" s="88" t="str"/>
      <c r="BB291" s="88" t="str"/>
      <c r="BC291" s="88" t="str"/>
      <c r="BD291" s="88"/>
      <c r="BE291" s="88">
        <f>IF(AND(Q291="✅", I291="D90"), "X="&amp;(U291-1)*16&amp;",Y="&amp;(V291-1)*16&amp;",Z="&amp;(W291-2)*16, "")</f>
      </c>
      <c r="BF291" s="88">
        <f>IF(AND(Q291="✅", I291="D90"), "P=-90,Y=0,R=0", "")</f>
      </c>
      <c r="BG291" s="88" t="str"/>
      <c r="BH291" s="88" t="str"/>
      <c r="BI291" s="88" t="str"/>
      <c r="BJ291" s="88" t="str"/>
      <c r="BK291" s="88" t="str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</row>
    <row customHeight="true" hidden="true" ht="19" outlineLevel="4" r="292">
      <c r="A292" s="14" t="str" xml:space="preserve">
        <v> </v>
      </c>
      <c r="B292" s="14" t="str" xml:space="preserve">
        <v> </v>
      </c>
      <c r="C292" s="147" t="str" xml:space="preserve">
        <v> </v>
      </c>
      <c r="D292" s="147" t="str" xml:space="preserve">
        <v> </v>
      </c>
      <c r="E292" s="65">
        <f>E245</f>
      </c>
      <c r="F292" s="66">
        <f>IF(E292="", "", IF(G292="BP", E292, F291))</f>
      </c>
      <c r="G292" s="64"/>
      <c r="H292" s="64"/>
      <c r="I292" s="64"/>
      <c r="J292" s="64"/>
      <c r="K292" s="64"/>
      <c r="L292" s="64"/>
      <c r="M292" s="64" t="str">
        <v>L</v>
      </c>
      <c r="N292" s="90"/>
      <c r="O292" s="90"/>
      <c r="P292" s="90" t="str">
        <v>✅</v>
      </c>
      <c r="Q292" s="90"/>
      <c r="R292" s="64" t="str">
        <v>Curve_R90_X1_Y1_Z1</v>
      </c>
      <c r="S292" s="66" t="str">
        <v>/Script/Engine.StaticMesh'/Game/Item/Rail/Curve/R90/Normal/Curve_R90_X1_Y1_Z1/Proxy/SM_Curve_R90_X1_Y1_Z1_Proxy_L.SM_Curve_R90_X1_Y1_Z1_Proxy_L'</v>
      </c>
      <c r="T292" s="139" t="str"/>
      <c r="U292" s="140"/>
      <c r="V292" s="140"/>
      <c r="W292" s="140"/>
      <c r="X292" s="88"/>
      <c r="Y292" s="88">
        <f>IF(AND(Q292="✅", OR(ISNUMBER(FIND("F",I292)), I292="CR")),   "X="&amp;U292*16&amp;",Y="&amp;(V292-1)*16&amp;",Z="&amp;IF(I292="FD", -(W292-1)*16, (W292-1)*16),   "")</f>
      </c>
      <c r="Z292" s="88">
        <f>IF(AND(Q292="✅", OR(ISNUMBER(FIND("F",I292)), I292="CR")), "P=0,Y=0,R=0", "")</f>
      </c>
      <c r="AA292" s="88" t="str"/>
      <c r="AB292" s="88" t="str"/>
      <c r="AC292" s="88" t="str"/>
      <c r="AD292" s="88" t="str"/>
      <c r="AE292" s="88" t="str"/>
      <c r="AF292" s="88"/>
      <c r="AG292" s="88" t="str"/>
      <c r="AH292" s="88" t="str"/>
      <c r="AI292" s="88" t="str"/>
      <c r="AJ292" s="88" t="str"/>
      <c r="AK292" s="88" t="str"/>
      <c r="AL292" s="88" t="str"/>
      <c r="AM292" s="88" t="str"/>
      <c r="AN292" s="88"/>
      <c r="AO292" s="88" t="str"/>
      <c r="AP292" s="88" t="str"/>
      <c r="AQ292" s="88" t="str"/>
      <c r="AR292" s="88" t="str"/>
      <c r="AS292" s="88" t="str"/>
      <c r="AT292" s="88" t="str"/>
      <c r="AU292" s="88" t="str"/>
      <c r="AV292" s="88"/>
      <c r="AW292" s="88">
        <f>IF(AND(Q292="✅", I292="U90"), "X="&amp;(U292-1)*16&amp;",Y="&amp;(V292-1)*16&amp;",Z="&amp;W292*16, "")</f>
      </c>
      <c r="AX292" s="88">
        <f>IF(AND(Q292="✅", I292="U90"), "P=90,Y=0,R=0", "")</f>
      </c>
      <c r="AY292" s="88" t="str"/>
      <c r="AZ292" s="88" t="str"/>
      <c r="BA292" s="88" t="str"/>
      <c r="BB292" s="88" t="str"/>
      <c r="BC292" s="88" t="str"/>
      <c r="BD292" s="88"/>
      <c r="BE292" s="88">
        <f>IF(AND(Q292="✅", I292="D90"), "X="&amp;(U292-1)*16&amp;",Y="&amp;(V292-1)*16&amp;",Z="&amp;(W292-2)*16, "")</f>
      </c>
      <c r="BF292" s="88">
        <f>IF(AND(Q292="✅", I292="D90"), "P=-90,Y=0,R=0", "")</f>
      </c>
      <c r="BG292" s="88" t="str"/>
      <c r="BH292" s="88" t="str"/>
      <c r="BI292" s="88" t="str"/>
      <c r="BJ292" s="88" t="str"/>
      <c r="BK292" s="88" t="str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</row>
    <row customHeight="true" ht="19" outlineLevel="2" r="293">
      <c r="A293" s="11"/>
      <c r="B293" s="11"/>
      <c r="C293" s="119" t="str">
        <v>Borderless_O</v>
      </c>
      <c r="D293" s="119"/>
      <c r="E293" s="5"/>
      <c r="F293" s="9"/>
      <c r="G293" s="1"/>
      <c r="H293" s="1"/>
      <c r="I293" s="1"/>
      <c r="J293" s="1"/>
      <c r="K293" s="1"/>
      <c r="L293" s="1"/>
      <c r="M293" s="1"/>
      <c r="N293" s="3"/>
      <c r="O293" s="3"/>
      <c r="P293" s="3"/>
      <c r="Q293" s="3"/>
      <c r="R293" s="1" t="str"/>
      <c r="S293" s="9" t="str"/>
      <c r="T293" s="120" t="str"/>
      <c r="U293" s="118"/>
      <c r="V293" s="118"/>
      <c r="W293" s="118"/>
      <c r="X293" s="4"/>
      <c r="Y293" s="4">
        <f>IF(AND(Q293="✅", OR(ISNUMBER(FIND("F",I293)), I293="CR")),   "X="&amp;U293*16&amp;",Y="&amp;(V293-1)*16&amp;",Z="&amp;IF(I293="FD", -(W293-1)*16, (W293-1)*16),   "")</f>
      </c>
      <c r="Z293" s="4">
        <f>IF(AND(Q293="✅", OR(ISNUMBER(FIND("F",I293)), I293="CR")), "P=0,Y=0,R=0", "")</f>
      </c>
      <c r="AA293" s="4" t="str"/>
      <c r="AB293" s="4" t="str"/>
      <c r="AC293" s="4" t="str"/>
      <c r="AD293" s="4" t="str"/>
      <c r="AE293" s="4" t="str"/>
      <c r="AF293" s="4"/>
      <c r="AG293" s="4" t="str"/>
      <c r="AH293" s="4" t="str"/>
      <c r="AI293" s="4" t="str"/>
      <c r="AJ293" s="4" t="str"/>
      <c r="AK293" s="4" t="str"/>
      <c r="AL293" s="4" t="str"/>
      <c r="AM293" s="4" t="str"/>
      <c r="AN293" s="4"/>
      <c r="AO293" s="4" t="str"/>
      <c r="AP293" s="4" t="str"/>
      <c r="AQ293" s="4" t="str"/>
      <c r="AR293" s="4" t="str"/>
      <c r="AS293" s="4" t="str"/>
      <c r="AT293" s="4" t="str"/>
      <c r="AU293" s="4" t="str"/>
      <c r="AV293" s="4"/>
      <c r="AW293" s="4">
        <f>IF(AND(Q293="✅", I293="U90"), "X="&amp;(U293-1)*16&amp;",Y="&amp;(V293-1)*16&amp;",Z="&amp;W293*16, "")</f>
      </c>
      <c r="AX293" s="4">
        <f>IF(AND(Q293="✅", I293="U90"), "P=90,Y=0,R=0", "")</f>
      </c>
      <c r="AY293" s="4" t="str"/>
      <c r="AZ293" s="4" t="str"/>
      <c r="BA293" s="4" t="str"/>
      <c r="BB293" s="4" t="str"/>
      <c r="BC293" s="4" t="str"/>
      <c r="BD293" s="4"/>
      <c r="BE293" s="4">
        <f>IF(AND(Q293="✅", I293="D90"), "X="&amp;(U293-1)*16&amp;",Y="&amp;(V293-1)*16&amp;",Z="&amp;(W293-2)*16, "")</f>
      </c>
      <c r="BF293" s="4">
        <f>IF(AND(Q293="✅", I293="D90"), "P=-90,Y=0,R=0", "")</f>
      </c>
      <c r="BG293" s="4" t="str"/>
      <c r="BH293" s="4" t="str"/>
      <c r="BI293" s="4" t="str"/>
      <c r="BJ293" s="4" t="str"/>
      <c r="BK293" s="4" t="str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</row>
    <row collapsed="true" customHeight="true" ht="19" outlineLevel="3" r="294">
      <c r="A294" s="11"/>
      <c r="B294" s="11"/>
      <c r="C294" s="119"/>
      <c r="D294" s="119">
        <v>1</v>
      </c>
      <c r="E294" s="5"/>
      <c r="F294" s="9"/>
      <c r="G294" s="1"/>
      <c r="H294" s="1"/>
      <c r="I294" s="1"/>
      <c r="J294" s="1"/>
      <c r="K294" s="1"/>
      <c r="L294" s="1"/>
      <c r="M294" s="1"/>
      <c r="N294" s="3"/>
      <c r="O294" s="3"/>
      <c r="P294" s="3"/>
      <c r="Q294" s="3"/>
      <c r="R294" s="1" t="str"/>
      <c r="S294" s="9" t="str"/>
      <c r="T294" s="120" t="str"/>
      <c r="U294" s="118"/>
      <c r="V294" s="118"/>
      <c r="W294" s="118"/>
      <c r="X294" s="4"/>
      <c r="Y294" s="4">
        <f>IF(AND(Q294="✅", OR(ISNUMBER(FIND("F",I294)), I294="CR")),   "X="&amp;U294*16&amp;",Y="&amp;(V294-1)*16&amp;",Z="&amp;IF(I294="FD", -(W294-1)*16, (W294-1)*16),   "")</f>
      </c>
      <c r="Z294" s="4">
        <f>IF(AND(Q294="✅", OR(ISNUMBER(FIND("F",I294)), I294="CR")), "P=0,Y=0,R=0", "")</f>
      </c>
      <c r="AA294" s="4" t="str"/>
      <c r="AB294" s="4" t="str"/>
      <c r="AC294" s="4" t="str"/>
      <c r="AD294" s="4" t="str"/>
      <c r="AE294" s="4" t="str"/>
      <c r="AF294" s="4"/>
      <c r="AG294" s="4" t="str"/>
      <c r="AH294" s="4" t="str"/>
      <c r="AI294" s="4" t="str"/>
      <c r="AJ294" s="4" t="str"/>
      <c r="AK294" s="4" t="str"/>
      <c r="AL294" s="4" t="str"/>
      <c r="AM294" s="4" t="str"/>
      <c r="AN294" s="4"/>
      <c r="AO294" s="4" t="str"/>
      <c r="AP294" s="4" t="str"/>
      <c r="AQ294" s="4" t="str"/>
      <c r="AR294" s="4" t="str"/>
      <c r="AS294" s="4" t="str"/>
      <c r="AT294" s="4" t="str"/>
      <c r="AU294" s="4" t="str"/>
      <c r="AV294" s="4"/>
      <c r="AW294" s="4">
        <f>IF(AND(Q294="✅", I294="U90"), "X="&amp;(U294-1)*16&amp;",Y="&amp;(V294-1)*16&amp;",Z="&amp;W294*16, "")</f>
      </c>
      <c r="AX294" s="4">
        <f>IF(AND(Q294="✅", I294="U90"), "P=90,Y=0,R=0", "")</f>
      </c>
      <c r="AY294" s="4" t="str"/>
      <c r="AZ294" s="4" t="str"/>
      <c r="BA294" s="4" t="str"/>
      <c r="BB294" s="4" t="str"/>
      <c r="BC294" s="4" t="str"/>
      <c r="BD294" s="4"/>
      <c r="BE294" s="4">
        <f>IF(AND(Q294="✅", I294="D90"), "X="&amp;(U294-1)*16&amp;",Y="&amp;(V294-1)*16&amp;",Z="&amp;(W294-2)*16, "")</f>
      </c>
      <c r="BF294" s="4">
        <f>IF(AND(Q294="✅", I294="D90"), "P=-90,Y=0,R=0", "")</f>
      </c>
      <c r="BG294" s="4" t="str"/>
      <c r="BH294" s="4" t="str"/>
      <c r="BI294" s="4" t="str"/>
      <c r="BJ294" s="4" t="str"/>
      <c r="BK294" s="4" t="str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</row>
    <row customHeight="true" hidden="true" ht="19" outlineLevel="4" r="295">
      <c r="A295" s="142" t="str" xml:space="preserve">
        <v> </v>
      </c>
      <c r="B295" s="142" t="str" xml:space="preserve">
        <v> </v>
      </c>
      <c r="C295" s="141" t="str" xml:space="preserve">
        <v> </v>
      </c>
      <c r="D295" s="141" t="str" xml:space="preserve">
        <v> </v>
      </c>
      <c r="E295" s="51">
        <f>G295 &amp; "_" &amp; H295 &amp; IF(I295&lt;&gt;"", "_" &amp; I295, "") &amp; IF(J295&lt;&gt;"", "_" &amp; J295, "") &amp; IF(K295&lt;&gt;"", "_" &amp; K295, "") &amp;"_X"&amp;U295&amp;"_Y"&amp;V295&amp;"_Z"&amp;W295 &amp; IF(G295="SM", "_Proxy" , "_Rail") &amp; IF(M295&lt;&gt;"", "_" &amp; M295, "")</f>
      </c>
      <c r="F295" s="54">
        <f>IF(E295="", "", IF(G295="BP", E295, F292))</f>
      </c>
      <c r="G295" s="52" t="str">
        <v>BP</v>
      </c>
      <c r="H295" s="52" t="str">
        <v>Curve</v>
      </c>
      <c r="I295" s="52" t="str">
        <v>R90</v>
      </c>
      <c r="J295" s="52" t="str">
        <v>Borderless_O</v>
      </c>
      <c r="K295" s="52"/>
      <c r="L295" s="52"/>
      <c r="M295" s="52"/>
      <c r="N295" s="101"/>
      <c r="O295" s="56"/>
      <c r="P295" s="101"/>
      <c r="Q295" s="56" t="str">
        <v>⭕</v>
      </c>
      <c r="R295" s="52" t="str"/>
      <c r="S295" s="54" t="str"/>
      <c r="T295" s="138">
        <v>2.5</v>
      </c>
      <c r="U295" s="137">
        <v>1</v>
      </c>
      <c r="V295" s="137">
        <v>1</v>
      </c>
      <c r="W295" s="137">
        <v>1</v>
      </c>
      <c r="X295" s="53"/>
      <c r="Y295" s="53">
        <f>IF(AND(Q295="✅", OR(ISNUMBER(FIND("F",I295)), I295="CR")),   "X="&amp;U295*16&amp;",Y="&amp;(V295-1)*16&amp;",Z="&amp;IF(I295="FD", -(W295-1)*16, (W295-1)*16),   "")</f>
      </c>
      <c r="Z295" s="53">
        <f>IF(AND(Q295="✅", OR(ISNUMBER(FIND("F",I295)), I295="CR")), "P=0,Y=0,R=0", "")</f>
      </c>
      <c r="AA295" s="53" t="str"/>
      <c r="AB295" s="53" t="str"/>
      <c r="AC295" s="53" t="str"/>
      <c r="AD295" s="53" t="str"/>
      <c r="AE295" s="53" t="str"/>
      <c r="AF295" s="53"/>
      <c r="AG295" s="53" t="str"/>
      <c r="AH295" s="53" t="str"/>
      <c r="AI295" s="53" t="str"/>
      <c r="AJ295" s="53" t="str"/>
      <c r="AK295" s="53" t="str"/>
      <c r="AL295" s="53" t="str"/>
      <c r="AM295" s="53" t="str"/>
      <c r="AN295" s="53"/>
      <c r="AO295" s="53" t="str"/>
      <c r="AP295" s="53" t="str"/>
      <c r="AQ295" s="53" t="str"/>
      <c r="AR295" s="53" t="str"/>
      <c r="AS295" s="53" t="str"/>
      <c r="AT295" s="53" t="str"/>
      <c r="AU295" s="53" t="str"/>
      <c r="AV295" s="53"/>
      <c r="AW295" s="53">
        <f>IF(AND(Q295="✅", I295="U90"), "X="&amp;(U295-1)*16&amp;",Y="&amp;(V295-1)*16&amp;",Z="&amp;W295*16, "")</f>
      </c>
      <c r="AX295" s="53">
        <f>IF(AND(Q295="✅", I295="U90"), "P=90,Y=0,R=0", "")</f>
      </c>
      <c r="AY295" s="53" t="str"/>
      <c r="AZ295" s="53" t="str"/>
      <c r="BA295" s="53" t="str"/>
      <c r="BB295" s="53" t="str"/>
      <c r="BC295" s="53" t="str"/>
      <c r="BD295" s="53"/>
      <c r="BE295" s="53">
        <f>IF(AND(Q295="✅", I295="D90"), "X="&amp;(U295-1)*16&amp;",Y="&amp;(V295-1)*16&amp;",Z="&amp;(W295-2)*16, "")</f>
      </c>
      <c r="BF295" s="53">
        <f>IF(AND(Q295="✅", I295="D90"), "P=-90,Y=0,R=0", "")</f>
      </c>
      <c r="BG295" s="53" t="str"/>
      <c r="BH295" s="53" t="str"/>
      <c r="BI295" s="53" t="str"/>
      <c r="BJ295" s="53" t="str"/>
      <c r="BK295" s="53" t="str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</row>
    <row customHeight="true" hidden="true" ht="19" outlineLevel="4" r="296">
      <c r="A296" s="142" t="str" xml:space="preserve">
        <v> </v>
      </c>
      <c r="B296" s="142" t="str" xml:space="preserve">
        <v> </v>
      </c>
      <c r="C296" s="141" t="str" xml:space="preserve">
        <v> </v>
      </c>
      <c r="D296" s="141" t="str" xml:space="preserve">
        <v> </v>
      </c>
      <c r="E296" s="51">
        <f>E244</f>
      </c>
      <c r="F296" s="54">
        <f>IF(E296="", "", IF(G296="BP", E296, F295))</f>
      </c>
      <c r="G296" s="52"/>
      <c r="H296" s="52"/>
      <c r="I296" s="52"/>
      <c r="J296" s="52"/>
      <c r="K296" s="52"/>
      <c r="L296" s="52"/>
      <c r="M296" s="52" t="str">
        <v>B</v>
      </c>
      <c r="N296" s="101"/>
      <c r="O296" s="101"/>
      <c r="P296" s="56" t="str">
        <v>⭕</v>
      </c>
      <c r="Q296" s="101"/>
      <c r="R296" s="52" t="str"/>
      <c r="S296" s="54" t="str">
        <v>/Script/Engine.StaticMesh'/Game/Item/Rail/Curve/R90/Normal/Curve_R90_X1_Y1_Z1/Proxy/SM_Curve_R90_X1_Y1_Z1_Proxy_B.SM_Curve_R90_X1_Y1_Z1_Proxy_B'</v>
      </c>
      <c r="T296" s="138" t="str"/>
      <c r="U296" s="137"/>
      <c r="V296" s="137"/>
      <c r="W296" s="137"/>
      <c r="X296" s="53"/>
      <c r="Y296" s="53">
        <f>IF(AND(Q296="✅", OR(ISNUMBER(FIND("F",I296)), I296="CR")),   "X="&amp;U296*16&amp;",Y="&amp;(V296-1)*16&amp;",Z="&amp;IF(I296="FD", -(W296-1)*16, (W296-1)*16),   "")</f>
      </c>
      <c r="Z296" s="53">
        <f>IF(AND(Q296="✅", OR(ISNUMBER(FIND("F",I296)), I296="CR")), "P=0,Y=0,R=0", "")</f>
      </c>
      <c r="AA296" s="53" t="str"/>
      <c r="AB296" s="53" t="str"/>
      <c r="AC296" s="53" t="str"/>
      <c r="AD296" s="53" t="str"/>
      <c r="AE296" s="53" t="str"/>
      <c r="AF296" s="53"/>
      <c r="AG296" s="53" t="str"/>
      <c r="AH296" s="53" t="str"/>
      <c r="AI296" s="53" t="str"/>
      <c r="AJ296" s="53" t="str"/>
      <c r="AK296" s="53" t="str"/>
      <c r="AL296" s="53" t="str"/>
      <c r="AM296" s="53" t="str"/>
      <c r="AN296" s="53"/>
      <c r="AO296" s="53" t="str"/>
      <c r="AP296" s="53" t="str"/>
      <c r="AQ296" s="53" t="str"/>
      <c r="AR296" s="53" t="str"/>
      <c r="AS296" s="53" t="str"/>
      <c r="AT296" s="53" t="str"/>
      <c r="AU296" s="53" t="str"/>
      <c r="AV296" s="53"/>
      <c r="AW296" s="53">
        <f>IF(AND(Q296="✅", I296="U90"), "X="&amp;(U296-1)*16&amp;",Y="&amp;(V296-1)*16&amp;",Z="&amp;W296*16, "")</f>
      </c>
      <c r="AX296" s="53">
        <f>IF(AND(Q296="✅", I296="U90"), "P=90,Y=0,R=0", "")</f>
      </c>
      <c r="AY296" s="53" t="str"/>
      <c r="AZ296" s="53" t="str"/>
      <c r="BA296" s="53" t="str"/>
      <c r="BB296" s="53" t="str"/>
      <c r="BC296" s="53" t="str"/>
      <c r="BD296" s="53"/>
      <c r="BE296" s="53">
        <f>IF(AND(Q296="✅", I296="D90"), "X="&amp;(U296-1)*16&amp;",Y="&amp;(V296-1)*16&amp;",Z="&amp;(W296-2)*16, "")</f>
      </c>
      <c r="BF296" s="53">
        <f>IF(AND(Q296="✅", I296="D90"), "P=-90,Y=0,R=0", "")</f>
      </c>
      <c r="BG296" s="53" t="str"/>
      <c r="BH296" s="53" t="str"/>
      <c r="BI296" s="53" t="str"/>
      <c r="BJ296" s="53" t="str"/>
      <c r="BK296" s="53" t="str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</row>
    <row customHeight="true" hidden="true" ht="19" outlineLevel="4" r="297">
      <c r="A297" s="142" t="str" xml:space="preserve">
        <v> </v>
      </c>
      <c r="B297" s="142" t="str" xml:space="preserve">
        <v> </v>
      </c>
      <c r="C297" s="141" t="str" xml:space="preserve">
        <v> </v>
      </c>
      <c r="D297" s="141" t="str" xml:space="preserve">
        <v> </v>
      </c>
      <c r="E297" s="51">
        <f>E246</f>
      </c>
      <c r="F297" s="54">
        <f>IF(E297="", "", IF(G297="BP", E297, F296))</f>
      </c>
      <c r="G297" s="52"/>
      <c r="H297" s="52"/>
      <c r="I297" s="52"/>
      <c r="J297" s="52"/>
      <c r="K297" s="52"/>
      <c r="L297" s="52"/>
      <c r="M297" s="52" t="str">
        <v>R</v>
      </c>
      <c r="N297" s="101"/>
      <c r="O297" s="101"/>
      <c r="P297" s="56" t="str">
        <v>⭕</v>
      </c>
      <c r="Q297" s="101"/>
      <c r="R297" s="52" t="str"/>
      <c r="S297" s="54" t="str">
        <v>/Script/Engine.StaticMesh'/Game/Item/Rail/Curve/R90/Normal/Curve_R90_X1_Y1_Z1/Proxy/SM_Curve_R90_X1_Y1_Z1_Proxy_R.SM_Curve_R90_X1_Y1_Z1_Proxy_R'</v>
      </c>
      <c r="T297" s="138" t="str"/>
      <c r="U297" s="137"/>
      <c r="V297" s="137"/>
      <c r="W297" s="137"/>
      <c r="X297" s="53"/>
      <c r="Y297" s="53">
        <f>IF(AND(Q297="✅", OR(ISNUMBER(FIND("F",I297)), I297="CR")),   "X="&amp;U297*16&amp;",Y="&amp;(V297-1)*16&amp;",Z="&amp;IF(I297="FD", -(W297-1)*16, (W297-1)*16),   "")</f>
      </c>
      <c r="Z297" s="53">
        <f>IF(AND(Q297="✅", OR(ISNUMBER(FIND("F",I297)), I297="CR")), "P=0,Y=0,R=0", "")</f>
      </c>
      <c r="AA297" s="53" t="str"/>
      <c r="AB297" s="53" t="str"/>
      <c r="AC297" s="53" t="str"/>
      <c r="AD297" s="53" t="str"/>
      <c r="AE297" s="53" t="str"/>
      <c r="AF297" s="53"/>
      <c r="AG297" s="53" t="str"/>
      <c r="AH297" s="53" t="str"/>
      <c r="AI297" s="53" t="str"/>
      <c r="AJ297" s="53" t="str"/>
      <c r="AK297" s="53" t="str"/>
      <c r="AL297" s="53" t="str"/>
      <c r="AM297" s="53" t="str"/>
      <c r="AN297" s="53"/>
      <c r="AO297" s="53" t="str"/>
      <c r="AP297" s="53" t="str"/>
      <c r="AQ297" s="53" t="str"/>
      <c r="AR297" s="53" t="str"/>
      <c r="AS297" s="53" t="str"/>
      <c r="AT297" s="53" t="str"/>
      <c r="AU297" s="53" t="str"/>
      <c r="AV297" s="53"/>
      <c r="AW297" s="53">
        <f>IF(AND(Q297="✅", I297="U90"), "X="&amp;(U297-1)*16&amp;",Y="&amp;(V297-1)*16&amp;",Z="&amp;W297*16, "")</f>
      </c>
      <c r="AX297" s="53">
        <f>IF(AND(Q297="✅", I297="U90"), "P=90,Y=0,R=0", "")</f>
      </c>
      <c r="AY297" s="53" t="str"/>
      <c r="AZ297" s="53" t="str"/>
      <c r="BA297" s="53" t="str"/>
      <c r="BB297" s="53" t="str"/>
      <c r="BC297" s="53" t="str"/>
      <c r="BD297" s="53"/>
      <c r="BE297" s="53">
        <f>IF(AND(Q297="✅", I297="D90"), "X="&amp;(U297-1)*16&amp;",Y="&amp;(V297-1)*16&amp;",Z="&amp;(W297-2)*16, "")</f>
      </c>
      <c r="BF297" s="53">
        <f>IF(AND(Q297="✅", I297="D90"), "P=-90,Y=0,R=0", "")</f>
      </c>
      <c r="BG297" s="53" t="str"/>
      <c r="BH297" s="53" t="str"/>
      <c r="BI297" s="53" t="str"/>
      <c r="BJ297" s="53" t="str"/>
      <c r="BK297" s="53" t="str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</row>
    <row collapsed="true" customHeight="true" ht="19" outlineLevel="3" r="298">
      <c r="A298" s="11"/>
      <c r="B298" s="11"/>
      <c r="C298" s="119"/>
      <c r="D298" s="119">
        <v>2</v>
      </c>
      <c r="E298" s="5"/>
      <c r="F298" s="9"/>
      <c r="G298" s="1"/>
      <c r="H298" s="1"/>
      <c r="I298" s="1"/>
      <c r="J298" s="1"/>
      <c r="K298" s="1"/>
      <c r="L298" s="1"/>
      <c r="M298" s="1"/>
      <c r="N298" s="3"/>
      <c r="O298" s="3"/>
      <c r="P298" s="3"/>
      <c r="Q298" s="3"/>
      <c r="R298" s="1" t="str"/>
      <c r="S298" s="9" t="str"/>
      <c r="T298" s="120" t="str"/>
      <c r="U298" s="118"/>
      <c r="V298" s="118"/>
      <c r="W298" s="118"/>
      <c r="X298" s="4"/>
      <c r="Y298" s="4">
        <f>IF(AND(Q298="✅", OR(ISNUMBER(FIND("F",I298)), I298="CR")),   "X="&amp;U298*16&amp;",Y="&amp;(V298-1)*16&amp;",Z="&amp;IF(I298="FD", -(W298-1)*16, (W298-1)*16),   "")</f>
      </c>
      <c r="Z298" s="4">
        <f>IF(AND(Q298="✅", OR(ISNUMBER(FIND("F",I298)), I298="CR")), "P=0,Y=0,R=0", "")</f>
      </c>
      <c r="AA298" s="4" t="str"/>
      <c r="AB298" s="4" t="str"/>
      <c r="AC298" s="4" t="str"/>
      <c r="AD298" s="4" t="str"/>
      <c r="AE298" s="4" t="str"/>
      <c r="AF298" s="4"/>
      <c r="AG298" s="4" t="str"/>
      <c r="AH298" s="4" t="str"/>
      <c r="AI298" s="4" t="str"/>
      <c r="AJ298" s="4" t="str"/>
      <c r="AK298" s="4" t="str"/>
      <c r="AL298" s="4" t="str"/>
      <c r="AM298" s="4" t="str"/>
      <c r="AN298" s="4"/>
      <c r="AO298" s="4" t="str"/>
      <c r="AP298" s="4" t="str"/>
      <c r="AQ298" s="4" t="str"/>
      <c r="AR298" s="4" t="str"/>
      <c r="AS298" s="4" t="str"/>
      <c r="AT298" s="4" t="str"/>
      <c r="AU298" s="4" t="str"/>
      <c r="AV298" s="4"/>
      <c r="AW298" s="4">
        <f>IF(AND(Q298="✅", I298="U90"), "X="&amp;(U298-1)*16&amp;",Y="&amp;(V298-1)*16&amp;",Z="&amp;W298*16, "")</f>
      </c>
      <c r="AX298" s="4">
        <f>IF(AND(Q298="✅", I298="U90"), "P=90,Y=0,R=0", "")</f>
      </c>
      <c r="AY298" s="4" t="str"/>
      <c r="AZ298" s="4" t="str"/>
      <c r="BA298" s="4" t="str"/>
      <c r="BB298" s="4" t="str"/>
      <c r="BC298" s="4" t="str"/>
      <c r="BD298" s="4"/>
      <c r="BE298" s="4">
        <f>IF(AND(Q298="✅", I298="D90"), "X="&amp;(U298-1)*16&amp;",Y="&amp;(V298-1)*16&amp;",Z="&amp;(W298-2)*16, "")</f>
      </c>
      <c r="BF298" s="4">
        <f>IF(AND(Q298="✅", I298="D90"), "P=-90,Y=0,R=0", "")</f>
      </c>
      <c r="BG298" s="4" t="str"/>
      <c r="BH298" s="4" t="str"/>
      <c r="BI298" s="4" t="str"/>
      <c r="BJ298" s="4" t="str"/>
      <c r="BK298" s="4" t="str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</row>
    <row customHeight="true" hidden="true" ht="19" outlineLevel="4" r="299">
      <c r="A299" s="142" t="str" xml:space="preserve">
        <v> </v>
      </c>
      <c r="B299" s="142" t="str" xml:space="preserve">
        <v> </v>
      </c>
      <c r="C299" s="141" t="str" xml:space="preserve">
        <v> </v>
      </c>
      <c r="D299" s="141" t="str" xml:space="preserve">
        <v> </v>
      </c>
      <c r="E299" s="51">
        <f>G299 &amp; "_" &amp; H299 &amp; IF(I299&lt;&gt;"", "_" &amp; I299, "") &amp; IF(J299&lt;&gt;"", "_" &amp; J299, "") &amp; IF(K299&lt;&gt;"", "_" &amp; K299, "") &amp;"_X"&amp;U299&amp;"_Y"&amp;V299&amp;"_Z"&amp;W299 &amp; IF(G299="SM", "_Proxy" , "_Rail") &amp; IF(M299&lt;&gt;"", "_" &amp; M299, "")</f>
      </c>
      <c r="F299" s="54">
        <f>IF(E299="", "", IF(G299="BP", E299, F296))</f>
      </c>
      <c r="G299" s="52" t="str">
        <v>BP</v>
      </c>
      <c r="H299" s="52" t="str">
        <v>Curve</v>
      </c>
      <c r="I299" s="52" t="str">
        <v>R90</v>
      </c>
      <c r="J299" s="52" t="str">
        <v>Borderless_O</v>
      </c>
      <c r="K299" s="52"/>
      <c r="L299" s="52"/>
      <c r="M299" s="52"/>
      <c r="N299" s="101"/>
      <c r="O299" s="101"/>
      <c r="P299" s="101"/>
      <c r="Q299" s="101" t="str">
        <v>⭕</v>
      </c>
      <c r="R299" s="52" t="str"/>
      <c r="S299" s="54" t="str"/>
      <c r="T299" s="138">
        <v>3.25</v>
      </c>
      <c r="U299" s="137">
        <v>2</v>
      </c>
      <c r="V299" s="137">
        <v>2</v>
      </c>
      <c r="W299" s="137">
        <v>1</v>
      </c>
      <c r="X299" s="53"/>
      <c r="Y299" s="53">
        <f>IF(AND(Q299="✅", OR(ISNUMBER(FIND("F",I299)), I299="CR")),   "X="&amp;U299*16&amp;",Y="&amp;(V299-1)*16&amp;",Z="&amp;IF(I299="FD", -(W299-1)*16, (W299-1)*16),   "")</f>
      </c>
      <c r="Z299" s="53">
        <f>IF(AND(Q299="✅", OR(ISNUMBER(FIND("F",I299)), I299="CR")), "P=0,Y=0,R=0", "")</f>
      </c>
      <c r="AA299" s="53" t="str"/>
      <c r="AB299" s="53" t="str"/>
      <c r="AC299" s="53" t="str"/>
      <c r="AD299" s="53" t="str"/>
      <c r="AE299" s="53" t="str"/>
      <c r="AF299" s="53"/>
      <c r="AG299" s="53" t="str"/>
      <c r="AH299" s="53" t="str"/>
      <c r="AI299" s="53" t="str"/>
      <c r="AJ299" s="53" t="str"/>
      <c r="AK299" s="53" t="str"/>
      <c r="AL299" s="53" t="str"/>
      <c r="AM299" s="53" t="str"/>
      <c r="AN299" s="53"/>
      <c r="AO299" s="53" t="str"/>
      <c r="AP299" s="53" t="str"/>
      <c r="AQ299" s="53" t="str"/>
      <c r="AR299" s="53" t="str"/>
      <c r="AS299" s="53" t="str"/>
      <c r="AT299" s="53" t="str"/>
      <c r="AU299" s="53" t="str"/>
      <c r="AV299" s="53"/>
      <c r="AW299" s="53">
        <f>IF(AND(Q299="✅", I299="U90"), "X="&amp;(U299-1)*16&amp;",Y="&amp;(V299-1)*16&amp;",Z="&amp;W299*16, "")</f>
      </c>
      <c r="AX299" s="53">
        <f>IF(AND(Q299="✅", I299="U90"), "P=90,Y=0,R=0", "")</f>
      </c>
      <c r="AY299" s="53" t="str"/>
      <c r="AZ299" s="53" t="str"/>
      <c r="BA299" s="53" t="str"/>
      <c r="BB299" s="53" t="str"/>
      <c r="BC299" s="53" t="str"/>
      <c r="BD299" s="53"/>
      <c r="BE299" s="53">
        <f>IF(AND(Q299="✅", I299="D90"), "X="&amp;(U299-1)*16&amp;",Y="&amp;(V299-1)*16&amp;",Z="&amp;(W299-2)*16, "")</f>
      </c>
      <c r="BF299" s="53">
        <f>IF(AND(Q299="✅", I299="D90"), "P=-90,Y=0,R=0", "")</f>
      </c>
      <c r="BG299" s="53" t="str"/>
      <c r="BH299" s="53" t="str"/>
      <c r="BI299" s="53" t="str"/>
      <c r="BJ299" s="53" t="str"/>
      <c r="BK299" s="53" t="str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</row>
    <row customHeight="true" hidden="true" ht="19" outlineLevel="4" r="300">
      <c r="A300" s="142" t="str" xml:space="preserve">
        <v> </v>
      </c>
      <c r="B300" s="142" t="str" xml:space="preserve">
        <v> </v>
      </c>
      <c r="C300" s="141" t="str" xml:space="preserve">
        <v> </v>
      </c>
      <c r="D300" s="141" t="str" xml:space="preserve">
        <v> </v>
      </c>
      <c r="E300" s="51">
        <f>E249</f>
      </c>
      <c r="F300" s="54">
        <f>IF(E300="", "", IF(G300="BP", E300, F299))</f>
      </c>
      <c r="G300" s="52"/>
      <c r="H300" s="52"/>
      <c r="I300" s="52"/>
      <c r="J300" s="52"/>
      <c r="K300" s="52"/>
      <c r="L300" s="52"/>
      <c r="M300" s="52" t="str">
        <v>B</v>
      </c>
      <c r="N300" s="101"/>
      <c r="O300" s="101"/>
      <c r="P300" s="56" t="str">
        <v>⭕</v>
      </c>
      <c r="Q300" s="101"/>
      <c r="R300" s="52" t="str"/>
      <c r="S300" s="54" t="str">
        <v>/Script/Engine.StaticMesh'/Game/Item/Rail/Curve/R90/Normal/Curve_R90_X2_Y2_Z1/Proxy/SM_Curve_R90_X2_Y2_Z1_Proxy_B.SM_Curve_R90_X2_Y2_Z1_Proxy_B'</v>
      </c>
      <c r="T300" s="138" t="str"/>
      <c r="U300" s="137"/>
      <c r="V300" s="137"/>
      <c r="W300" s="137"/>
      <c r="X300" s="53"/>
      <c r="Y300" s="53">
        <f>IF(AND(Q300="✅", OR(ISNUMBER(FIND("F",I300)), I300="CR")),   "X="&amp;U300*16&amp;",Y="&amp;(V300-1)*16&amp;",Z="&amp;IF(I300="FD", -(W300-1)*16, (W300-1)*16),   "")</f>
      </c>
      <c r="Z300" s="53">
        <f>IF(AND(Q300="✅", OR(ISNUMBER(FIND("F",I300)), I300="CR")), "P=0,Y=0,R=0", "")</f>
      </c>
      <c r="AA300" s="53" t="str"/>
      <c r="AB300" s="53" t="str"/>
      <c r="AC300" s="53" t="str"/>
      <c r="AD300" s="53" t="str"/>
      <c r="AE300" s="53" t="str"/>
      <c r="AF300" s="53"/>
      <c r="AG300" s="53" t="str"/>
      <c r="AH300" s="53" t="str"/>
      <c r="AI300" s="53" t="str"/>
      <c r="AJ300" s="53" t="str"/>
      <c r="AK300" s="53" t="str"/>
      <c r="AL300" s="53" t="str"/>
      <c r="AM300" s="53" t="str"/>
      <c r="AN300" s="53"/>
      <c r="AO300" s="53" t="str"/>
      <c r="AP300" s="53" t="str"/>
      <c r="AQ300" s="53" t="str"/>
      <c r="AR300" s="53" t="str"/>
      <c r="AS300" s="53" t="str"/>
      <c r="AT300" s="53" t="str"/>
      <c r="AU300" s="53" t="str"/>
      <c r="AV300" s="53"/>
      <c r="AW300" s="53">
        <f>IF(AND(Q300="✅", I300="U90"), "X="&amp;(U300-1)*16&amp;",Y="&amp;(V300-1)*16&amp;",Z="&amp;W300*16, "")</f>
      </c>
      <c r="AX300" s="53">
        <f>IF(AND(Q300="✅", I300="U90"), "P=90,Y=0,R=0", "")</f>
      </c>
      <c r="AY300" s="53" t="str"/>
      <c r="AZ300" s="53" t="str"/>
      <c r="BA300" s="53" t="str"/>
      <c r="BB300" s="53" t="str"/>
      <c r="BC300" s="53" t="str"/>
      <c r="BD300" s="53"/>
      <c r="BE300" s="53">
        <f>IF(AND(Q300="✅", I300="D90"), "X="&amp;(U300-1)*16&amp;",Y="&amp;(V300-1)*16&amp;",Z="&amp;(W300-2)*16, "")</f>
      </c>
      <c r="BF300" s="53">
        <f>IF(AND(Q300="✅", I300="D90"), "P=-90,Y=0,R=0", "")</f>
      </c>
      <c r="BG300" s="53" t="str"/>
      <c r="BH300" s="53" t="str"/>
      <c r="BI300" s="53" t="str"/>
      <c r="BJ300" s="53" t="str"/>
      <c r="BK300" s="53" t="str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</row>
    <row customHeight="true" hidden="true" ht="19" outlineLevel="4" r="301">
      <c r="A301" s="142" t="str" xml:space="preserve">
        <v> </v>
      </c>
      <c r="B301" s="142" t="str" xml:space="preserve">
        <v> </v>
      </c>
      <c r="C301" s="141" t="str" xml:space="preserve">
        <v> </v>
      </c>
      <c r="D301" s="141" t="str" xml:space="preserve">
        <v> </v>
      </c>
      <c r="E301" s="51">
        <f>E251</f>
      </c>
      <c r="F301" s="54">
        <f>IF(E301="", "", IF(G301="BP", E301, F300))</f>
      </c>
      <c r="G301" s="52"/>
      <c r="H301" s="52"/>
      <c r="I301" s="52"/>
      <c r="J301" s="52"/>
      <c r="K301" s="52"/>
      <c r="L301" s="52"/>
      <c r="M301" s="52" t="str">
        <v>R</v>
      </c>
      <c r="N301" s="101"/>
      <c r="O301" s="101"/>
      <c r="P301" s="56" t="str">
        <v>⭕</v>
      </c>
      <c r="Q301" s="101"/>
      <c r="R301" s="52" t="str"/>
      <c r="S301" s="54" t="str">
        <v>/Script/Engine.StaticMesh'/Game/Item/Rail/Curve/R90/Normal/Curve_R90_X2_Y2_Z1/Proxy/SM_Curve_R90_X2_Y2_Z1_Proxy_R.SM_Curve_R90_X2_Y2_Z1_Proxy_R'</v>
      </c>
      <c r="T301" s="138" t="str"/>
      <c r="U301" s="137"/>
      <c r="V301" s="137"/>
      <c r="W301" s="137"/>
      <c r="X301" s="53"/>
      <c r="Y301" s="53">
        <f>IF(AND(Q301="✅", OR(ISNUMBER(FIND("F",I301)), I301="CR")),   "X="&amp;U301*16&amp;",Y="&amp;(V301-1)*16&amp;",Z="&amp;IF(I301="FD", -(W301-1)*16, (W301-1)*16),   "")</f>
      </c>
      <c r="Z301" s="53">
        <f>IF(AND(Q301="✅", OR(ISNUMBER(FIND("F",I301)), I301="CR")), "P=0,Y=0,R=0", "")</f>
      </c>
      <c r="AA301" s="53" t="str"/>
      <c r="AB301" s="53" t="str"/>
      <c r="AC301" s="53" t="str"/>
      <c r="AD301" s="53" t="str"/>
      <c r="AE301" s="53" t="str"/>
      <c r="AF301" s="53"/>
      <c r="AG301" s="53" t="str"/>
      <c r="AH301" s="53" t="str"/>
      <c r="AI301" s="53" t="str"/>
      <c r="AJ301" s="53" t="str"/>
      <c r="AK301" s="53" t="str"/>
      <c r="AL301" s="53" t="str"/>
      <c r="AM301" s="53" t="str"/>
      <c r="AN301" s="53"/>
      <c r="AO301" s="53" t="str"/>
      <c r="AP301" s="53" t="str"/>
      <c r="AQ301" s="53" t="str"/>
      <c r="AR301" s="53" t="str"/>
      <c r="AS301" s="53" t="str"/>
      <c r="AT301" s="53" t="str"/>
      <c r="AU301" s="53" t="str"/>
      <c r="AV301" s="53"/>
      <c r="AW301" s="53">
        <f>IF(AND(Q301="✅", I301="U90"), "X="&amp;(U301-1)*16&amp;",Y="&amp;(V301-1)*16&amp;",Z="&amp;W301*16, "")</f>
      </c>
      <c r="AX301" s="53">
        <f>IF(AND(Q301="✅", I301="U90"), "P=90,Y=0,R=0", "")</f>
      </c>
      <c r="AY301" s="53" t="str"/>
      <c r="AZ301" s="53" t="str"/>
      <c r="BA301" s="53" t="str"/>
      <c r="BB301" s="53" t="str"/>
      <c r="BC301" s="53" t="str"/>
      <c r="BD301" s="53"/>
      <c r="BE301" s="53">
        <f>IF(AND(Q301="✅", I301="D90"), "X="&amp;(U301-1)*16&amp;",Y="&amp;(V301-1)*16&amp;",Z="&amp;(W301-2)*16, "")</f>
      </c>
      <c r="BF301" s="53">
        <f>IF(AND(Q301="✅", I301="D90"), "P=-90,Y=0,R=0", "")</f>
      </c>
      <c r="BG301" s="53" t="str"/>
      <c r="BH301" s="53" t="str"/>
      <c r="BI301" s="53" t="str"/>
      <c r="BJ301" s="53" t="str"/>
      <c r="BK301" s="53" t="str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</row>
    <row collapsed="true" customHeight="true" ht="19" outlineLevel="3" r="302">
      <c r="A302" s="11"/>
      <c r="B302" s="11"/>
      <c r="C302" s="119"/>
      <c r="D302" s="119">
        <v>3</v>
      </c>
      <c r="E302" s="5"/>
      <c r="F302" s="9"/>
      <c r="G302" s="1"/>
      <c r="H302" s="1"/>
      <c r="I302" s="1"/>
      <c r="J302" s="1"/>
      <c r="K302" s="1"/>
      <c r="L302" s="1"/>
      <c r="M302" s="1"/>
      <c r="N302" s="3"/>
      <c r="O302" s="3"/>
      <c r="P302" s="3"/>
      <c r="Q302" s="3"/>
      <c r="R302" s="1" t="str"/>
      <c r="S302" s="9" t="str"/>
      <c r="T302" s="120" t="str"/>
      <c r="U302" s="118"/>
      <c r="V302" s="118"/>
      <c r="W302" s="118"/>
      <c r="X302" s="4"/>
      <c r="Y302" s="4">
        <f>IF(AND(Q302="✅", OR(ISNUMBER(FIND("F",I302)), I302="CR")),   "X="&amp;U302*16&amp;",Y="&amp;(V302-1)*16&amp;",Z="&amp;IF(I302="FD", -(W302-1)*16, (W302-1)*16),   "")</f>
      </c>
      <c r="Z302" s="4">
        <f>IF(AND(Q302="✅", OR(ISNUMBER(FIND("F",I302)), I302="CR")), "P=0,Y=0,R=0", "")</f>
      </c>
      <c r="AA302" s="4" t="str"/>
      <c r="AB302" s="4" t="str"/>
      <c r="AC302" s="4" t="str"/>
      <c r="AD302" s="4" t="str"/>
      <c r="AE302" s="4" t="str"/>
      <c r="AF302" s="4"/>
      <c r="AG302" s="4" t="str"/>
      <c r="AH302" s="4" t="str"/>
      <c r="AI302" s="4" t="str"/>
      <c r="AJ302" s="4" t="str"/>
      <c r="AK302" s="4" t="str"/>
      <c r="AL302" s="4" t="str"/>
      <c r="AM302" s="4" t="str"/>
      <c r="AN302" s="4"/>
      <c r="AO302" s="4" t="str"/>
      <c r="AP302" s="4" t="str"/>
      <c r="AQ302" s="4" t="str"/>
      <c r="AR302" s="4" t="str"/>
      <c r="AS302" s="4" t="str"/>
      <c r="AT302" s="4" t="str"/>
      <c r="AU302" s="4" t="str"/>
      <c r="AV302" s="4"/>
      <c r="AW302" s="4">
        <f>IF(AND(Q302="✅", I302="U90"), "X="&amp;(U302-1)*16&amp;",Y="&amp;(V302-1)*16&amp;",Z="&amp;W302*16, "")</f>
      </c>
      <c r="AX302" s="4">
        <f>IF(AND(Q302="✅", I302="U90"), "P=90,Y=0,R=0", "")</f>
      </c>
      <c r="AY302" s="4" t="str"/>
      <c r="AZ302" s="4" t="str"/>
      <c r="BA302" s="4" t="str"/>
      <c r="BB302" s="4" t="str"/>
      <c r="BC302" s="4" t="str"/>
      <c r="BD302" s="4"/>
      <c r="BE302" s="4">
        <f>IF(AND(Q302="✅", I302="D90"), "X="&amp;(U302-1)*16&amp;",Y="&amp;(V302-1)*16&amp;",Z="&amp;(W302-2)*16, "")</f>
      </c>
      <c r="BF302" s="4">
        <f>IF(AND(Q302="✅", I302="D90"), "P=-90,Y=0,R=0", "")</f>
      </c>
      <c r="BG302" s="4" t="str"/>
      <c r="BH302" s="4" t="str"/>
      <c r="BI302" s="4" t="str"/>
      <c r="BJ302" s="4" t="str"/>
      <c r="BK302" s="4" t="str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</row>
    <row customHeight="true" hidden="true" ht="19" outlineLevel="4" r="303">
      <c r="A303" s="142" t="str" xml:space="preserve">
        <v> </v>
      </c>
      <c r="B303" s="142" t="str" xml:space="preserve">
        <v> </v>
      </c>
      <c r="C303" s="141" t="str" xml:space="preserve">
        <v> </v>
      </c>
      <c r="D303" s="141" t="str" xml:space="preserve">
        <v> </v>
      </c>
      <c r="E303" s="51">
        <f>G303 &amp; "_" &amp; H303 &amp; IF(I303&lt;&gt;"", "_" &amp; I303, "") &amp; IF(J303&lt;&gt;"", "_" &amp; J303, "") &amp; IF(K303&lt;&gt;"", "_" &amp; K303, "") &amp;"_X"&amp;U303&amp;"_Y"&amp;V303&amp;"_Z"&amp;W303 &amp; IF(G303="SM", "_Proxy" , "_Rail") &amp; IF(M303&lt;&gt;"", "_" &amp; M303, "")</f>
      </c>
      <c r="F303" s="54">
        <f>IF(E303="", "", IF(G303="BP", E303, F300))</f>
      </c>
      <c r="G303" s="52" t="str">
        <v>BP</v>
      </c>
      <c r="H303" s="52" t="str">
        <v>Curve</v>
      </c>
      <c r="I303" s="52" t="str">
        <v>R90</v>
      </c>
      <c r="J303" s="52" t="str">
        <v>Borderless_O</v>
      </c>
      <c r="K303" s="52"/>
      <c r="L303" s="52"/>
      <c r="M303" s="52"/>
      <c r="N303" s="101"/>
      <c r="O303" s="101"/>
      <c r="P303" s="101"/>
      <c r="Q303" s="101" t="str">
        <v>⭕</v>
      </c>
      <c r="R303" s="52" t="str"/>
      <c r="S303" s="54" t="str"/>
      <c r="T303" s="138">
        <v>4.5</v>
      </c>
      <c r="U303" s="137">
        <v>3</v>
      </c>
      <c r="V303" s="137">
        <v>3</v>
      </c>
      <c r="W303" s="137">
        <v>1</v>
      </c>
      <c r="X303" s="53"/>
      <c r="Y303" s="53">
        <f>IF(AND(Q303="✅", OR(ISNUMBER(FIND("F",I303)), I303="CR")),   "X="&amp;U303*16&amp;",Y="&amp;(V303-1)*16&amp;",Z="&amp;IF(I303="FD", -(W303-1)*16, (W303-1)*16),   "")</f>
      </c>
      <c r="Z303" s="53">
        <f>IF(AND(Q303="✅", OR(ISNUMBER(FIND("F",I303)), I303="CR")), "P=0,Y=0,R=0", "")</f>
      </c>
      <c r="AA303" s="53" t="str"/>
      <c r="AB303" s="53" t="str"/>
      <c r="AC303" s="53" t="str"/>
      <c r="AD303" s="53" t="str"/>
      <c r="AE303" s="53" t="str"/>
      <c r="AF303" s="53"/>
      <c r="AG303" s="53" t="str"/>
      <c r="AH303" s="53" t="str"/>
      <c r="AI303" s="53" t="str"/>
      <c r="AJ303" s="53" t="str"/>
      <c r="AK303" s="53" t="str"/>
      <c r="AL303" s="53" t="str"/>
      <c r="AM303" s="53" t="str"/>
      <c r="AN303" s="53"/>
      <c r="AO303" s="53" t="str"/>
      <c r="AP303" s="53" t="str"/>
      <c r="AQ303" s="53" t="str"/>
      <c r="AR303" s="53" t="str"/>
      <c r="AS303" s="53" t="str"/>
      <c r="AT303" s="53" t="str"/>
      <c r="AU303" s="53" t="str"/>
      <c r="AV303" s="53"/>
      <c r="AW303" s="53">
        <f>IF(AND(Q303="✅", I303="U90"), "X="&amp;(U303-1)*16&amp;",Y="&amp;(V303-1)*16&amp;",Z="&amp;W303*16, "")</f>
      </c>
      <c r="AX303" s="53">
        <f>IF(AND(Q303="✅", I303="U90"), "P=90,Y=0,R=0", "")</f>
      </c>
      <c r="AY303" s="53" t="str"/>
      <c r="AZ303" s="53" t="str"/>
      <c r="BA303" s="53" t="str"/>
      <c r="BB303" s="53" t="str"/>
      <c r="BC303" s="53" t="str"/>
      <c r="BD303" s="53"/>
      <c r="BE303" s="53">
        <f>IF(AND(Q303="✅", I303="D90"), "X="&amp;(U303-1)*16&amp;",Y="&amp;(V303-1)*16&amp;",Z="&amp;(W303-2)*16, "")</f>
      </c>
      <c r="BF303" s="53">
        <f>IF(AND(Q303="✅", I303="D90"), "P=-90,Y=0,R=0", "")</f>
      </c>
      <c r="BG303" s="53" t="str"/>
      <c r="BH303" s="53" t="str"/>
      <c r="BI303" s="53" t="str"/>
      <c r="BJ303" s="53" t="str"/>
      <c r="BK303" s="53" t="str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</row>
    <row customHeight="true" hidden="true" ht="19" outlineLevel="4" r="304">
      <c r="A304" s="142" t="str" xml:space="preserve">
        <v> </v>
      </c>
      <c r="B304" s="142" t="str" xml:space="preserve">
        <v> </v>
      </c>
      <c r="C304" s="141" t="str" xml:space="preserve">
        <v> </v>
      </c>
      <c r="D304" s="141" t="str" xml:space="preserve">
        <v> </v>
      </c>
      <c r="E304" s="51">
        <f>E254</f>
      </c>
      <c r="F304" s="54">
        <f>IF(E304="", "", IF(G304="BP", E304, F303))</f>
      </c>
      <c r="G304" s="52"/>
      <c r="H304" s="52"/>
      <c r="I304" s="52"/>
      <c r="J304" s="52"/>
      <c r="K304" s="52"/>
      <c r="L304" s="52"/>
      <c r="M304" s="52" t="str">
        <v>B</v>
      </c>
      <c r="N304" s="101"/>
      <c r="O304" s="101"/>
      <c r="P304" s="56" t="str">
        <v>⭕</v>
      </c>
      <c r="Q304" s="101"/>
      <c r="R304" s="52" t="str"/>
      <c r="S304" s="54" t="str">
        <v>/Script/Engine.StaticMesh'/Game/Item/Rail/Curve/R90/Normal/Curve_R90_X3_Y3_Z1/Proxy/SM_Curve_R90_X3_Y3_Z1_Proxy_B.SM_Curve_R90_X3_Y3_Z1_Proxy_B'</v>
      </c>
      <c r="T304" s="138" t="str"/>
      <c r="U304" s="137"/>
      <c r="V304" s="137"/>
      <c r="W304" s="137"/>
      <c r="X304" s="53"/>
      <c r="Y304" s="53">
        <f>IF(AND(Q304="✅", OR(ISNUMBER(FIND("F",I304)), I304="CR")),   "X="&amp;U304*16&amp;",Y="&amp;(V304-1)*16&amp;",Z="&amp;IF(I304="FD", -(W304-1)*16, (W304-1)*16),   "")</f>
      </c>
      <c r="Z304" s="53">
        <f>IF(AND(Q304="✅", OR(ISNUMBER(FIND("F",I304)), I304="CR")), "P=0,Y=0,R=0", "")</f>
      </c>
      <c r="AA304" s="53" t="str"/>
      <c r="AB304" s="53" t="str"/>
      <c r="AC304" s="53" t="str"/>
      <c r="AD304" s="53" t="str"/>
      <c r="AE304" s="53" t="str"/>
      <c r="AF304" s="53"/>
      <c r="AG304" s="53" t="str"/>
      <c r="AH304" s="53" t="str"/>
      <c r="AI304" s="53" t="str"/>
      <c r="AJ304" s="53" t="str"/>
      <c r="AK304" s="53" t="str"/>
      <c r="AL304" s="53" t="str"/>
      <c r="AM304" s="53" t="str"/>
      <c r="AN304" s="53"/>
      <c r="AO304" s="53" t="str"/>
      <c r="AP304" s="53" t="str"/>
      <c r="AQ304" s="53" t="str"/>
      <c r="AR304" s="53" t="str"/>
      <c r="AS304" s="53" t="str"/>
      <c r="AT304" s="53" t="str"/>
      <c r="AU304" s="53" t="str"/>
      <c r="AV304" s="53"/>
      <c r="AW304" s="53">
        <f>IF(AND(Q304="✅", I304="U90"), "X="&amp;(U304-1)*16&amp;",Y="&amp;(V304-1)*16&amp;",Z="&amp;W304*16, "")</f>
      </c>
      <c r="AX304" s="53">
        <f>IF(AND(Q304="✅", I304="U90"), "P=90,Y=0,R=0", "")</f>
      </c>
      <c r="AY304" s="53" t="str"/>
      <c r="AZ304" s="53" t="str"/>
      <c r="BA304" s="53" t="str"/>
      <c r="BB304" s="53" t="str"/>
      <c r="BC304" s="53" t="str"/>
      <c r="BD304" s="53"/>
      <c r="BE304" s="53">
        <f>IF(AND(Q304="✅", I304="D90"), "X="&amp;(U304-1)*16&amp;",Y="&amp;(V304-1)*16&amp;",Z="&amp;(W304-2)*16, "")</f>
      </c>
      <c r="BF304" s="53">
        <f>IF(AND(Q304="✅", I304="D90"), "P=-90,Y=0,R=0", "")</f>
      </c>
      <c r="BG304" s="53" t="str"/>
      <c r="BH304" s="53" t="str"/>
      <c r="BI304" s="53" t="str"/>
      <c r="BJ304" s="53" t="str"/>
      <c r="BK304" s="53" t="str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</row>
    <row customHeight="true" hidden="true" ht="19" outlineLevel="4" r="305">
      <c r="A305" s="142" t="str" xml:space="preserve">
        <v> </v>
      </c>
      <c r="B305" s="142" t="str" xml:space="preserve">
        <v> </v>
      </c>
      <c r="C305" s="141" t="str" xml:space="preserve">
        <v> </v>
      </c>
      <c r="D305" s="141" t="str" xml:space="preserve">
        <v> </v>
      </c>
      <c r="E305" s="51">
        <f>E256</f>
      </c>
      <c r="F305" s="54">
        <f>IF(E305="", "", IF(G305="BP", E305, F304))</f>
      </c>
      <c r="G305" s="52"/>
      <c r="H305" s="52"/>
      <c r="I305" s="52"/>
      <c r="J305" s="52"/>
      <c r="K305" s="52"/>
      <c r="L305" s="52"/>
      <c r="M305" s="52" t="str">
        <v>R</v>
      </c>
      <c r="N305" s="101"/>
      <c r="O305" s="101"/>
      <c r="P305" s="56" t="str">
        <v>⭕</v>
      </c>
      <c r="Q305" s="101"/>
      <c r="R305" s="52" t="str"/>
      <c r="S305" s="54" t="str">
        <v>/Script/Engine.StaticMesh'/Game/Item/Rail/Curve/R90/Normal/Curve_R90_X3_Y3_Z1/Proxy/SM_Curve_R90_X3_Y3_Z1_Proxy_R.SM_Curve_R90_X3_Y3_Z1_Proxy_R'</v>
      </c>
      <c r="T305" s="138" t="str"/>
      <c r="U305" s="137"/>
      <c r="V305" s="137"/>
      <c r="W305" s="137"/>
      <c r="X305" s="53"/>
      <c r="Y305" s="53">
        <f>IF(AND(Q305="✅", OR(ISNUMBER(FIND("F",I305)), I305="CR")),   "X="&amp;U305*16&amp;",Y="&amp;(V305-1)*16&amp;",Z="&amp;IF(I305="FD", -(W305-1)*16, (W305-1)*16),   "")</f>
      </c>
      <c r="Z305" s="53">
        <f>IF(AND(Q305="✅", OR(ISNUMBER(FIND("F",I305)), I305="CR")), "P=0,Y=0,R=0", "")</f>
      </c>
      <c r="AA305" s="53" t="str"/>
      <c r="AB305" s="53" t="str"/>
      <c r="AC305" s="53" t="str"/>
      <c r="AD305" s="53" t="str"/>
      <c r="AE305" s="53" t="str"/>
      <c r="AF305" s="53"/>
      <c r="AG305" s="53" t="str"/>
      <c r="AH305" s="53" t="str"/>
      <c r="AI305" s="53" t="str"/>
      <c r="AJ305" s="53" t="str"/>
      <c r="AK305" s="53" t="str"/>
      <c r="AL305" s="53" t="str"/>
      <c r="AM305" s="53" t="str"/>
      <c r="AN305" s="53"/>
      <c r="AO305" s="53" t="str"/>
      <c r="AP305" s="53" t="str"/>
      <c r="AQ305" s="53" t="str"/>
      <c r="AR305" s="53" t="str"/>
      <c r="AS305" s="53" t="str"/>
      <c r="AT305" s="53" t="str"/>
      <c r="AU305" s="53" t="str"/>
      <c r="AV305" s="53"/>
      <c r="AW305" s="53">
        <f>IF(AND(Q305="✅", I305="U90"), "X="&amp;(U305-1)*16&amp;",Y="&amp;(V305-1)*16&amp;",Z="&amp;W305*16, "")</f>
      </c>
      <c r="AX305" s="53">
        <f>IF(AND(Q305="✅", I305="U90"), "P=90,Y=0,R=0", "")</f>
      </c>
      <c r="AY305" s="53" t="str"/>
      <c r="AZ305" s="53" t="str"/>
      <c r="BA305" s="53" t="str"/>
      <c r="BB305" s="53" t="str"/>
      <c r="BC305" s="53" t="str"/>
      <c r="BD305" s="53"/>
      <c r="BE305" s="53">
        <f>IF(AND(Q305="✅", I305="D90"), "X="&amp;(U305-1)*16&amp;",Y="&amp;(V305-1)*16&amp;",Z="&amp;(W305-2)*16, "")</f>
      </c>
      <c r="BF305" s="53">
        <f>IF(AND(Q305="✅", I305="D90"), "P=-90,Y=0,R=0", "")</f>
      </c>
      <c r="BG305" s="53" t="str"/>
      <c r="BH305" s="53" t="str"/>
      <c r="BI305" s="53" t="str"/>
      <c r="BJ305" s="53" t="str"/>
      <c r="BK305" s="53" t="str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</row>
    <row collapsed="true" customHeight="true" ht="19" outlineLevel="3" r="306">
      <c r="A306" s="14"/>
      <c r="B306" s="14"/>
      <c r="C306" s="147"/>
      <c r="D306" s="147">
        <v>4</v>
      </c>
      <c r="E306" s="9"/>
      <c r="F306" s="9"/>
      <c r="G306" s="4"/>
      <c r="H306" s="4"/>
      <c r="I306" s="4"/>
      <c r="J306" s="4"/>
      <c r="K306" s="4"/>
      <c r="L306" s="4"/>
      <c r="M306" s="4"/>
      <c r="N306" s="2"/>
      <c r="O306" s="2"/>
      <c r="P306" s="2"/>
      <c r="Q306" s="2"/>
      <c r="R306" s="4" t="str"/>
      <c r="S306" s="9" t="str"/>
      <c r="T306" s="150" t="str"/>
      <c r="U306" s="118"/>
      <c r="V306" s="118"/>
      <c r="W306" s="118"/>
      <c r="X306" s="4"/>
      <c r="Y306" s="4">
        <f>IF(AND(Q306="✅", OR(ISNUMBER(FIND("F",I306)), I306="CR")),   "X="&amp;U306*16&amp;",Y="&amp;(V306-1)*16&amp;",Z="&amp;IF(I306="FD", -(W306-1)*16, (W306-1)*16),   "")</f>
      </c>
      <c r="Z306" s="4">
        <f>IF(AND(Q306="✅", OR(ISNUMBER(FIND("F",I306)), I306="CR")), "P=0,Y=0,R=0", "")</f>
      </c>
      <c r="AA306" s="4" t="str"/>
      <c r="AB306" s="4" t="str"/>
      <c r="AC306" s="4" t="str"/>
      <c r="AD306" s="4" t="str"/>
      <c r="AE306" s="4" t="str"/>
      <c r="AF306" s="4"/>
      <c r="AG306" s="4" t="str"/>
      <c r="AH306" s="4" t="str"/>
      <c r="AI306" s="4" t="str"/>
      <c r="AJ306" s="4" t="str"/>
      <c r="AK306" s="4" t="str"/>
      <c r="AL306" s="4" t="str"/>
      <c r="AM306" s="4" t="str"/>
      <c r="AN306" s="4"/>
      <c r="AO306" s="4" t="str"/>
      <c r="AP306" s="4" t="str"/>
      <c r="AQ306" s="4" t="str"/>
      <c r="AR306" s="4" t="str"/>
      <c r="AS306" s="4" t="str"/>
      <c r="AT306" s="4" t="str"/>
      <c r="AU306" s="4" t="str"/>
      <c r="AV306" s="4"/>
      <c r="AW306" s="4">
        <f>IF(AND(Q306="✅", I306="U90"), "X="&amp;(U306-1)*16&amp;",Y="&amp;(V306-1)*16&amp;",Z="&amp;W306*16, "")</f>
      </c>
      <c r="AX306" s="4">
        <f>IF(AND(Q306="✅", I306="U90"), "P=90,Y=0,R=0", "")</f>
      </c>
      <c r="AY306" s="4" t="str"/>
      <c r="AZ306" s="4" t="str"/>
      <c r="BA306" s="4" t="str"/>
      <c r="BB306" s="4" t="str"/>
      <c r="BC306" s="4" t="str"/>
      <c r="BD306" s="4"/>
      <c r="BE306" s="4">
        <f>IF(AND(Q306="✅", I306="D90"), "X="&amp;(U306-1)*16&amp;",Y="&amp;(V306-1)*16&amp;",Z="&amp;(W306-2)*16, "")</f>
      </c>
      <c r="BF306" s="4">
        <f>IF(AND(Q306="✅", I306="D90"), "P=-90,Y=0,R=0", "")</f>
      </c>
      <c r="BG306" s="4" t="str"/>
      <c r="BH306" s="4" t="str"/>
      <c r="BI306" s="4" t="str"/>
      <c r="BJ306" s="4" t="str"/>
      <c r="BK306" s="4" t="str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</row>
    <row customHeight="true" hidden="true" ht="19" outlineLevel="4" r="307">
      <c r="A307" s="14" t="str" xml:space="preserve">
        <v> </v>
      </c>
      <c r="B307" s="14" t="str" xml:space="preserve">
        <v> </v>
      </c>
      <c r="C307" s="147" t="str" xml:space="preserve">
        <v> </v>
      </c>
      <c r="D307" s="147" t="str" xml:space="preserve">
        <v> </v>
      </c>
      <c r="E307" s="54">
        <f>G307 &amp; "_" &amp; H307 &amp; IF(I307&lt;&gt;"", "_" &amp; I307, "") &amp; IF(J307&lt;&gt;"", "_" &amp; J307, "") &amp; IF(K307&lt;&gt;"", "_" &amp; K307, "") &amp;"_X"&amp;U307&amp;"_Y"&amp;V307&amp;"_Z"&amp;W307 &amp; IF(G307="SM", "_Proxy" , "_Rail") &amp; IF(M307&lt;&gt;"", "_" &amp; M307, "")</f>
      </c>
      <c r="F307" s="54">
        <f>IF(E307="", "", IF(G307="BP", E307, F304))</f>
      </c>
      <c r="G307" s="53" t="str">
        <v>BP</v>
      </c>
      <c r="H307" s="53" t="str">
        <v>Curve</v>
      </c>
      <c r="I307" s="53" t="str">
        <v>R90</v>
      </c>
      <c r="J307" s="53" t="str">
        <v>Borderless_O</v>
      </c>
      <c r="K307" s="53"/>
      <c r="L307" s="53"/>
      <c r="M307" s="53"/>
      <c r="N307" s="56"/>
      <c r="O307" s="56"/>
      <c r="P307" s="56"/>
      <c r="Q307" s="56" t="str">
        <v>⭕</v>
      </c>
      <c r="R307" s="53" t="str"/>
      <c r="S307" s="54" t="str"/>
      <c r="T307" s="161">
        <v>6.25</v>
      </c>
      <c r="U307" s="137">
        <v>4</v>
      </c>
      <c r="V307" s="137">
        <v>4</v>
      </c>
      <c r="W307" s="137">
        <v>1</v>
      </c>
      <c r="X307" s="53"/>
      <c r="Y307" s="53">
        <f>IF(AND(Q307="✅", OR(ISNUMBER(FIND("F",I307)), I307="CR")),   "X="&amp;U307*16&amp;",Y="&amp;(V307-1)*16&amp;",Z="&amp;IF(I307="FD", -(W307-1)*16, (W307-1)*16),   "")</f>
      </c>
      <c r="Z307" s="53">
        <f>IF(AND(Q307="✅", OR(ISNUMBER(FIND("F",I307)), I307="CR")), "P=0,Y=0,R=0", "")</f>
      </c>
      <c r="AA307" s="53" t="str"/>
      <c r="AB307" s="53" t="str"/>
      <c r="AC307" s="53" t="str"/>
      <c r="AD307" s="53" t="str"/>
      <c r="AE307" s="53" t="str"/>
      <c r="AF307" s="53"/>
      <c r="AG307" s="53" t="str"/>
      <c r="AH307" s="53" t="str"/>
      <c r="AI307" s="53" t="str"/>
      <c r="AJ307" s="53" t="str"/>
      <c r="AK307" s="53" t="str"/>
      <c r="AL307" s="53" t="str"/>
      <c r="AM307" s="53" t="str"/>
      <c r="AN307" s="53"/>
      <c r="AO307" s="53" t="str"/>
      <c r="AP307" s="53" t="str"/>
      <c r="AQ307" s="53" t="str"/>
      <c r="AR307" s="53" t="str"/>
      <c r="AS307" s="53" t="str"/>
      <c r="AT307" s="53" t="str"/>
      <c r="AU307" s="53" t="str"/>
      <c r="AV307" s="53"/>
      <c r="AW307" s="53">
        <f>IF(AND(Q307="✅", I307="U90"), "X="&amp;(U307-1)*16&amp;",Y="&amp;(V307-1)*16&amp;",Z="&amp;W307*16, "")</f>
      </c>
      <c r="AX307" s="53">
        <f>IF(AND(Q307="✅", I307="U90"), "P=90,Y=0,R=0", "")</f>
      </c>
      <c r="AY307" s="53" t="str"/>
      <c r="AZ307" s="53" t="str"/>
      <c r="BA307" s="53" t="str"/>
      <c r="BB307" s="53" t="str"/>
      <c r="BC307" s="53" t="str"/>
      <c r="BD307" s="53"/>
      <c r="BE307" s="53">
        <f>IF(AND(Q307="✅", I307="D90"), "X="&amp;(U307-1)*16&amp;",Y="&amp;(V307-1)*16&amp;",Z="&amp;(W307-2)*16, "")</f>
      </c>
      <c r="BF307" s="53">
        <f>IF(AND(Q307="✅", I307="D90"), "P=-90,Y=0,R=0", "")</f>
      </c>
      <c r="BG307" s="53" t="str"/>
      <c r="BH307" s="53" t="str"/>
      <c r="BI307" s="53" t="str"/>
      <c r="BJ307" s="53" t="str"/>
      <c r="BK307" s="53" t="str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</row>
    <row customHeight="true" hidden="true" ht="19" outlineLevel="4" r="308">
      <c r="A308" s="14" t="str" xml:space="preserve">
        <v> </v>
      </c>
      <c r="B308" s="14" t="str" xml:space="preserve">
        <v> </v>
      </c>
      <c r="C308" s="147" t="str" xml:space="preserve">
        <v> </v>
      </c>
      <c r="D308" s="147" t="str" xml:space="preserve">
        <v> </v>
      </c>
      <c r="E308" s="112">
        <f>E258</f>
      </c>
      <c r="F308" s="54">
        <f>IF(E308="", "", IF(G308="BP", E308, F307))</f>
      </c>
      <c r="G308" s="53"/>
      <c r="H308" s="53"/>
      <c r="I308" s="53"/>
      <c r="J308" s="53"/>
      <c r="K308" s="53"/>
      <c r="L308" s="53"/>
      <c r="M308" s="53" t="str">
        <v>B</v>
      </c>
      <c r="N308" s="56"/>
      <c r="O308" s="56"/>
      <c r="P308" s="56" t="str">
        <v>⭕</v>
      </c>
      <c r="Q308" s="56"/>
      <c r="R308" s="53" t="str"/>
      <c r="S308" s="54" t="str">
        <v>/Script/Engine.BlueprintGeneratedClass'/Game/Item/Rail/Curve/R90/Normal/Curve_R90_X4_Y4_Z1/BP_Curve_R90_X4_Y4_Z1_Rail.BP_Curve_R90_X4_Y4_Z1_Rail_C'</v>
      </c>
      <c r="T308" s="161" t="str"/>
      <c r="U308" s="137"/>
      <c r="V308" s="137"/>
      <c r="W308" s="137"/>
      <c r="X308" s="53"/>
      <c r="Y308" s="53">
        <f>IF(AND(Q308="✅", OR(ISNUMBER(FIND("F",I308)), I308="CR")),   "X="&amp;U308*16&amp;",Y="&amp;(V308-1)*16&amp;",Z="&amp;IF(I308="FD", -(W308-1)*16, (W308-1)*16),   "")</f>
      </c>
      <c r="Z308" s="53">
        <f>IF(AND(Q308="✅", OR(ISNUMBER(FIND("F",I308)), I308="CR")), "P=0,Y=0,R=0", "")</f>
      </c>
      <c r="AA308" s="53" t="str"/>
      <c r="AB308" s="53" t="str"/>
      <c r="AC308" s="53" t="str"/>
      <c r="AD308" s="53" t="str"/>
      <c r="AE308" s="53" t="str"/>
      <c r="AF308" s="53"/>
      <c r="AG308" s="53" t="str"/>
      <c r="AH308" s="53" t="str"/>
      <c r="AI308" s="53" t="str"/>
      <c r="AJ308" s="53" t="str"/>
      <c r="AK308" s="53" t="str"/>
      <c r="AL308" s="53" t="str"/>
      <c r="AM308" s="53" t="str"/>
      <c r="AN308" s="53"/>
      <c r="AO308" s="53" t="str"/>
      <c r="AP308" s="53" t="str"/>
      <c r="AQ308" s="53" t="str"/>
      <c r="AR308" s="53" t="str"/>
      <c r="AS308" s="53" t="str"/>
      <c r="AT308" s="53" t="str"/>
      <c r="AU308" s="53" t="str"/>
      <c r="AV308" s="53"/>
      <c r="AW308" s="53">
        <f>IF(AND(Q308="✅", I308="U90"), "X="&amp;(U308-1)*16&amp;",Y="&amp;(V308-1)*16&amp;",Z="&amp;W308*16, "")</f>
      </c>
      <c r="AX308" s="53">
        <f>IF(AND(Q308="✅", I308="U90"), "P=90,Y=0,R=0", "")</f>
      </c>
      <c r="AY308" s="53" t="str"/>
      <c r="AZ308" s="53" t="str"/>
      <c r="BA308" s="53" t="str"/>
      <c r="BB308" s="53" t="str"/>
      <c r="BC308" s="53" t="str"/>
      <c r="BD308" s="53"/>
      <c r="BE308" s="53">
        <f>IF(AND(Q308="✅", I308="D90"), "X="&amp;(U308-1)*16&amp;",Y="&amp;(V308-1)*16&amp;",Z="&amp;(W308-2)*16, "")</f>
      </c>
      <c r="BF308" s="53">
        <f>IF(AND(Q308="✅", I308="D90"), "P=-90,Y=0,R=0", "")</f>
      </c>
      <c r="BG308" s="53" t="str"/>
      <c r="BH308" s="53" t="str"/>
      <c r="BI308" s="53" t="str"/>
      <c r="BJ308" s="53" t="str"/>
      <c r="BK308" s="53" t="str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</row>
    <row customHeight="true" hidden="true" ht="19" outlineLevel="4" r="309">
      <c r="A309" s="14" t="str" xml:space="preserve">
        <v> </v>
      </c>
      <c r="B309" s="14" t="str" xml:space="preserve">
        <v> </v>
      </c>
      <c r="C309" s="147" t="str" xml:space="preserve">
        <v> </v>
      </c>
      <c r="D309" s="147" t="str" xml:space="preserve">
        <v> </v>
      </c>
      <c r="E309" s="112">
        <f>E260</f>
      </c>
      <c r="F309" s="54">
        <f>IF(E309="", "", IF(G309="BP", E309, F308))</f>
      </c>
      <c r="G309" s="53"/>
      <c r="H309" s="53"/>
      <c r="I309" s="53"/>
      <c r="J309" s="53"/>
      <c r="K309" s="53"/>
      <c r="L309" s="53"/>
      <c r="M309" s="53" t="str">
        <v>R</v>
      </c>
      <c r="N309" s="56"/>
      <c r="O309" s="56"/>
      <c r="P309" s="56" t="str">
        <v>⭕</v>
      </c>
      <c r="Q309" s="56"/>
      <c r="R309" s="53" t="str"/>
      <c r="S309" s="54" t="str">
        <v>/Script/Engine.StaticMesh'/Game/Item/Rail/Curve/R90/Normal/Curve_R90_X4_Y4_Z1/Proxy/SM_Curve_R90_X4_Y4_Z1_Proxy_L.SM_Curve_R90_X4_Y4_Z1_Proxy_L'</v>
      </c>
      <c r="T309" s="161" t="str"/>
      <c r="U309" s="137"/>
      <c r="V309" s="137"/>
      <c r="W309" s="137"/>
      <c r="X309" s="53"/>
      <c r="Y309" s="53">
        <f>IF(AND(Q309="✅", OR(ISNUMBER(FIND("F",I309)), I309="CR")),   "X="&amp;U309*16&amp;",Y="&amp;(V309-1)*16&amp;",Z="&amp;IF(I309="FD", -(W309-1)*16, (W309-1)*16),   "")</f>
      </c>
      <c r="Z309" s="53">
        <f>IF(AND(Q309="✅", OR(ISNUMBER(FIND("F",I309)), I309="CR")), "P=0,Y=0,R=0", "")</f>
      </c>
      <c r="AA309" s="53" t="str"/>
      <c r="AB309" s="53" t="str"/>
      <c r="AC309" s="53" t="str"/>
      <c r="AD309" s="53" t="str"/>
      <c r="AE309" s="53" t="str"/>
      <c r="AF309" s="53"/>
      <c r="AG309" s="53" t="str"/>
      <c r="AH309" s="53" t="str"/>
      <c r="AI309" s="53" t="str"/>
      <c r="AJ309" s="53" t="str"/>
      <c r="AK309" s="53" t="str"/>
      <c r="AL309" s="53" t="str"/>
      <c r="AM309" s="53" t="str"/>
      <c r="AN309" s="53"/>
      <c r="AO309" s="53" t="str"/>
      <c r="AP309" s="53" t="str"/>
      <c r="AQ309" s="53" t="str"/>
      <c r="AR309" s="53" t="str"/>
      <c r="AS309" s="53" t="str"/>
      <c r="AT309" s="53" t="str"/>
      <c r="AU309" s="53" t="str"/>
      <c r="AV309" s="53"/>
      <c r="AW309" s="53">
        <f>IF(AND(Q309="✅", I309="U90"), "X="&amp;(U309-1)*16&amp;",Y="&amp;(V309-1)*16&amp;",Z="&amp;W309*16, "")</f>
      </c>
      <c r="AX309" s="53">
        <f>IF(AND(Q309="✅", I309="U90"), "P=90,Y=0,R=0", "")</f>
      </c>
      <c r="AY309" s="53" t="str"/>
      <c r="AZ309" s="53" t="str"/>
      <c r="BA309" s="53" t="str"/>
      <c r="BB309" s="53" t="str"/>
      <c r="BC309" s="53" t="str"/>
      <c r="BD309" s="53"/>
      <c r="BE309" s="53">
        <f>IF(AND(Q309="✅", I309="D90"), "X="&amp;(U309-1)*16&amp;",Y="&amp;(V309-1)*16&amp;",Z="&amp;(W309-2)*16, "")</f>
      </c>
      <c r="BF309" s="53">
        <f>IF(AND(Q309="✅", I309="D90"), "P=-90,Y=0,R=0", "")</f>
      </c>
      <c r="BG309" s="53" t="str"/>
      <c r="BH309" s="53" t="str"/>
      <c r="BI309" s="53" t="str"/>
      <c r="BJ309" s="53" t="str"/>
      <c r="BK309" s="53" t="str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</row>
    <row customHeight="true" ht="19" outlineLevel="1" r="310">
      <c r="A310" s="11"/>
      <c r="B310" s="11" t="str">
        <v>U90</v>
      </c>
      <c r="C310" s="119"/>
      <c r="D310" s="119"/>
      <c r="E310" s="5"/>
      <c r="F310" s="9">
        <f>IF(E310="", "", IF(G310="BP", E310, #REF!))</f>
      </c>
      <c r="G310" s="1"/>
      <c r="H310" s="1"/>
      <c r="I310" s="1"/>
      <c r="J310" s="1"/>
      <c r="K310" s="1"/>
      <c r="L310" s="1"/>
      <c r="M310" s="1"/>
      <c r="N310" s="3"/>
      <c r="O310" s="3"/>
      <c r="P310" s="3"/>
      <c r="Q310" s="3"/>
      <c r="R310" s="1" t="str"/>
      <c r="S310" s="9" t="str"/>
      <c r="T310" s="120" t="str"/>
      <c r="U310" s="118"/>
      <c r="V310" s="118"/>
      <c r="W310" s="118"/>
      <c r="X310" s="4"/>
      <c r="Y310" s="4">
        <f>IF(AND(Q310="✅", OR(ISNUMBER(FIND("F",I310)), I310="CR")),   "X="&amp;U310*16&amp;",Y="&amp;(V310-1)*16&amp;",Z="&amp;IF(I310="FD", -(W310-1)*16, (W310-1)*16),   "")</f>
      </c>
      <c r="Z310" s="4">
        <f>IF(AND(Q310="✅", OR(ISNUMBER(FIND("F",I310)), I310="CR")), "P=0,Y=0,R=0", "")</f>
      </c>
      <c r="AA310" s="4" t="str"/>
      <c r="AB310" s="4" t="str"/>
      <c r="AC310" s="4" t="str"/>
      <c r="AD310" s="4" t="str"/>
      <c r="AE310" s="4" t="str"/>
      <c r="AF310" s="4"/>
      <c r="AG310" s="4" t="str"/>
      <c r="AH310" s="4" t="str"/>
      <c r="AI310" s="4" t="str"/>
      <c r="AJ310" s="4" t="str"/>
      <c r="AK310" s="4" t="str"/>
      <c r="AL310" s="4" t="str"/>
      <c r="AM310" s="4" t="str"/>
      <c r="AN310" s="4"/>
      <c r="AO310" s="4" t="str"/>
      <c r="AP310" s="4" t="str"/>
      <c r="AQ310" s="4" t="str"/>
      <c r="AR310" s="4" t="str"/>
      <c r="AS310" s="4" t="str"/>
      <c r="AT310" s="4" t="str"/>
      <c r="AU310" s="4" t="str"/>
      <c r="AV310" s="4"/>
      <c r="AW310" s="4">
        <f>IF(AND(Q310="✅", I310="U90"), "X="&amp;(U310-1)*16&amp;",Y="&amp;(V310-1)*16&amp;",Z="&amp;W310*16, "")</f>
      </c>
      <c r="AX310" s="4">
        <f>IF(AND(Q310="✅", I310="U90"), "P=90,Y=0,R=0", "")</f>
      </c>
      <c r="AY310" s="4" t="str"/>
      <c r="AZ310" s="4" t="str"/>
      <c r="BA310" s="4" t="str"/>
      <c r="BB310" s="4" t="str"/>
      <c r="BC310" s="4" t="str"/>
      <c r="BD310" s="4"/>
      <c r="BE310" s="4">
        <f>IF(AND(Q310="✅", I310="D90"), "X="&amp;(U310-1)*16&amp;",Y="&amp;(V310-1)*16&amp;",Z="&amp;(W310-2)*16, "")</f>
      </c>
      <c r="BF310" s="4">
        <f>IF(AND(Q310="✅", I310="D90"), "P=-90,Y=0,R=0", "")</f>
      </c>
      <c r="BG310" s="4" t="str"/>
      <c r="BH310" s="4" t="str"/>
      <c r="BI310" s="4" t="str"/>
      <c r="BJ310" s="4" t="str"/>
      <c r="BK310" s="4" t="str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</row>
    <row customHeight="true" ht="19" outlineLevel="2" r="311">
      <c r="A311" s="11"/>
      <c r="B311" s="11"/>
      <c r="C311" s="119" t="str">
        <v>Normal</v>
      </c>
      <c r="D311" s="119"/>
      <c r="E311" s="5"/>
      <c r="F311" s="9"/>
      <c r="G311" s="1"/>
      <c r="H311" s="1"/>
      <c r="I311" s="1"/>
      <c r="J311" s="1"/>
      <c r="K311" s="1"/>
      <c r="L311" s="1"/>
      <c r="M311" s="1"/>
      <c r="N311" s="3"/>
      <c r="O311" s="3"/>
      <c r="P311" s="3"/>
      <c r="Q311" s="3"/>
      <c r="R311" s="1" t="str"/>
      <c r="S311" s="9" t="str"/>
      <c r="T311" s="120" t="str"/>
      <c r="U311" s="118"/>
      <c r="V311" s="118"/>
      <c r="W311" s="118"/>
      <c r="X311" s="4"/>
      <c r="Y311" s="4"/>
      <c r="Z311" s="4"/>
      <c r="AA311" s="4" t="str"/>
      <c r="AB311" s="4" t="str"/>
      <c r="AC311" s="4" t="str"/>
      <c r="AD311" s="4" t="str"/>
      <c r="AE311" s="4" t="str"/>
      <c r="AF311" s="4"/>
      <c r="AG311" s="4" t="str"/>
      <c r="AH311" s="4" t="str"/>
      <c r="AI311" s="4" t="str"/>
      <c r="AJ311" s="4" t="str"/>
      <c r="AK311" s="4" t="str"/>
      <c r="AL311" s="4" t="str"/>
      <c r="AM311" s="4" t="str"/>
      <c r="AN311" s="4"/>
      <c r="AO311" s="4" t="str"/>
      <c r="AP311" s="4" t="str"/>
      <c r="AQ311" s="4" t="str"/>
      <c r="AR311" s="4" t="str"/>
      <c r="AS311" s="4" t="str"/>
      <c r="AT311" s="4" t="str"/>
      <c r="AU311" s="4" t="str"/>
      <c r="AV311" s="4"/>
      <c r="AW311" s="4"/>
      <c r="AX311" s="4"/>
      <c r="AY311" s="4" t="str"/>
      <c r="AZ311" s="4" t="str"/>
      <c r="BA311" s="4" t="str"/>
      <c r="BB311" s="4" t="str"/>
      <c r="BC311" s="4" t="str"/>
      <c r="BD311" s="4"/>
      <c r="BE311" s="4"/>
      <c r="BF311" s="4"/>
      <c r="BG311" s="4" t="str"/>
      <c r="BH311" s="4" t="str"/>
      <c r="BI311" s="4" t="str"/>
      <c r="BJ311" s="4" t="str"/>
      <c r="BK311" s="4" t="str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</row>
    <row collapsed="true" customHeight="true" ht="19" outlineLevel="2" r="312">
      <c r="A312" s="11"/>
      <c r="B312" s="11"/>
      <c r="C312" s="119"/>
      <c r="D312" s="119">
        <v>1</v>
      </c>
      <c r="E312" s="5"/>
      <c r="F312" s="9"/>
      <c r="G312" s="1"/>
      <c r="H312" s="1"/>
      <c r="I312" s="1"/>
      <c r="J312" s="1"/>
      <c r="K312" s="1"/>
      <c r="L312" s="1"/>
      <c r="M312" s="1"/>
      <c r="N312" s="3"/>
      <c r="O312" s="3"/>
      <c r="P312" s="3"/>
      <c r="Q312" s="3"/>
      <c r="R312" s="1" t="str"/>
      <c r="S312" s="9" t="str"/>
      <c r="T312" s="120" t="str"/>
      <c r="U312" s="118"/>
      <c r="V312" s="118"/>
      <c r="W312" s="118"/>
      <c r="X312" s="4"/>
      <c r="Y312" s="4"/>
      <c r="Z312" s="4"/>
      <c r="AA312" s="4" t="str"/>
      <c r="AB312" s="4" t="str"/>
      <c r="AC312" s="4" t="str"/>
      <c r="AD312" s="4" t="str"/>
      <c r="AE312" s="4" t="str"/>
      <c r="AF312" s="4"/>
      <c r="AG312" s="4" t="str"/>
      <c r="AH312" s="4" t="str"/>
      <c r="AI312" s="4" t="str"/>
      <c r="AJ312" s="4" t="str"/>
      <c r="AK312" s="4" t="str"/>
      <c r="AL312" s="4" t="str"/>
      <c r="AM312" s="4" t="str"/>
      <c r="AN312" s="4"/>
      <c r="AO312" s="4" t="str"/>
      <c r="AP312" s="4" t="str"/>
      <c r="AQ312" s="4" t="str"/>
      <c r="AR312" s="4" t="str"/>
      <c r="AS312" s="4" t="str"/>
      <c r="AT312" s="4" t="str"/>
      <c r="AU312" s="4" t="str"/>
      <c r="AV312" s="4"/>
      <c r="AW312" s="4"/>
      <c r="AX312" s="4"/>
      <c r="AY312" s="4" t="str"/>
      <c r="AZ312" s="4" t="str"/>
      <c r="BA312" s="4" t="str"/>
      <c r="BB312" s="4" t="str"/>
      <c r="BC312" s="4" t="str"/>
      <c r="BD312" s="4"/>
      <c r="BE312" s="4"/>
      <c r="BF312" s="4"/>
      <c r="BG312" s="4" t="str"/>
      <c r="BH312" s="4" t="str"/>
      <c r="BI312" s="4" t="str"/>
      <c r="BJ312" s="4" t="str"/>
      <c r="BK312" s="4" t="str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</row>
    <row customHeight="true" hidden="true" ht="19" outlineLevel="3" r="313">
      <c r="A313" s="11"/>
      <c r="B313" s="11"/>
      <c r="C313" s="119"/>
      <c r="D313" s="119"/>
      <c r="E313" s="5">
        <f>G313 &amp; "_" &amp; H313 &amp; IF(I313&lt;&gt;"", "_" &amp; I313, "") &amp; IF(J313&lt;&gt;"", "_" &amp; J313, "") &amp; IF(K313&lt;&gt;"", "_" &amp; K313, "") &amp;"_X"&amp;U313&amp;"_Y"&amp;V313&amp;"_Z"&amp;W313 &amp; IF(G313="SM", "_Proxy" , "_Rail") &amp; IF(M313&lt;&gt;"", "_" &amp; M313, "")</f>
      </c>
      <c r="F313" s="9">
        <f>IF(E313="", "", IF(G313="BP", E313, F326))</f>
      </c>
      <c r="G313" s="1" t="str">
        <v>BP</v>
      </c>
      <c r="H313" s="1" t="str">
        <v>Curve</v>
      </c>
      <c r="I313" s="1" t="str">
        <v>U90</v>
      </c>
      <c r="J313" s="1"/>
      <c r="K313" s="1"/>
      <c r="L313" s="1"/>
      <c r="M313" s="1"/>
      <c r="N313" s="3"/>
      <c r="O313" s="3"/>
      <c r="P313" s="3"/>
      <c r="Q313" s="3" t="str">
        <v>✅</v>
      </c>
      <c r="R313" s="1" t="str">
        <v>Curve_U90_X1_Y1_Z1</v>
      </c>
      <c r="S313" s="9" t="str">
        <v>/Script/Engine.BlueprintGeneratedClass'/Game/Item/Rail/Curve/U90/Normal/Curve_U90_X1_Y1_Z1/BP_Curve_U90_X1_Y1_Z1_Rail.BP_Curve_U90_X1_Y1_Z1_Rail_C'</v>
      </c>
      <c r="T313" s="120">
        <v>2</v>
      </c>
      <c r="U313" s="118">
        <v>1</v>
      </c>
      <c r="V313" s="118">
        <v>1</v>
      </c>
      <c r="W313" s="118">
        <v>1</v>
      </c>
      <c r="X313" s="4"/>
      <c r="Y313" s="4">
        <f>IF(AND(Q313="✅", OR(ISNUMBER(FIND("F",I313)), I313="CR")),   "X="&amp;U313*16&amp;",Y="&amp;(V313-1)*16&amp;",Z="&amp;IF(I313="FD", -(W313-1)*16, (W313-1)*16),   "")</f>
      </c>
      <c r="Z313" s="4">
        <f>IF(AND(Q313="✅", OR(ISNUMBER(FIND("F",I313)), I313="CR")), "P=0,Y=0,R=0", "")</f>
      </c>
      <c r="AA313" s="4" t="str"/>
      <c r="AB313" s="4" t="str"/>
      <c r="AC313" s="4" t="str"/>
      <c r="AD313" s="4" t="str"/>
      <c r="AE313" s="4" t="str">
        <v>X=0,Y=0,Z=0,W=0</v>
      </c>
      <c r="AF313" s="4"/>
      <c r="AG313" s="4" t="str"/>
      <c r="AH313" s="4" t="str"/>
      <c r="AI313" s="4" t="str"/>
      <c r="AJ313" s="4" t="str"/>
      <c r="AK313" s="4" t="str"/>
      <c r="AL313" s="4" t="str"/>
      <c r="AM313" s="4" t="str"/>
      <c r="AN313" s="4"/>
      <c r="AO313" s="4" t="str"/>
      <c r="AP313" s="4" t="str"/>
      <c r="AQ313" s="4" t="str"/>
      <c r="AR313" s="4" t="str"/>
      <c r="AS313" s="4" t="str"/>
      <c r="AT313" s="4" t="str"/>
      <c r="AU313" s="4" t="str"/>
      <c r="AV313" s="4"/>
      <c r="AW313" s="4">
        <f>IF(AND(Q313="✅", I313="U90"), "X="&amp;(U313-1)*16&amp;",Y="&amp;(V313-1)*16&amp;",Z="&amp;W313*16, "")</f>
      </c>
      <c r="AX313" s="4">
        <f>IF(AND(Q313="✅", I313="U90"), "P=90,Y=0,R=0", "")</f>
      </c>
      <c r="AY313" s="4">
        <v>1</v>
      </c>
      <c r="AZ313" s="4">
        <v>1.5</v>
      </c>
      <c r="BA313" s="4">
        <v>2</v>
      </c>
      <c r="BB313" s="4">
        <v>1.5</v>
      </c>
      <c r="BC313" s="4" t="str">
        <v>X=1,Y=1.5,Z=2,W=1.5</v>
      </c>
      <c r="BD313" s="4"/>
      <c r="BE313" s="4">
        <f>IF(AND(Q313="✅", I313="D90"), "X="&amp;(U313-1)*16&amp;",Y="&amp;(V313-1)*16&amp;",Z="&amp;(W313-2)*16, "")</f>
      </c>
      <c r="BF313" s="4">
        <f>IF(AND(Q313="✅", I313="D90"), "P=-90,Y=0,R=0", "")</f>
      </c>
      <c r="BG313" s="4" t="str"/>
      <c r="BH313" s="4" t="str"/>
      <c r="BI313" s="4" t="str"/>
      <c r="BJ313" s="4" t="str"/>
      <c r="BK313" s="4" t="str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</row>
    <row customHeight="true" hidden="true" ht="19" outlineLevel="3" r="314">
      <c r="A314" s="11"/>
      <c r="B314" s="11"/>
      <c r="C314" s="119"/>
      <c r="D314" s="119"/>
      <c r="E314" s="5">
        <f>G314 &amp; "_" &amp; H314 &amp; IF(I314&lt;&gt;"", "_" &amp; I314, "") &amp; IF(J314&lt;&gt;"", "_" &amp; J314, "") &amp; IF(K314&lt;&gt;"", "_" &amp; K314, "") &amp;"_X"&amp;U314&amp;"_Y"&amp;V314&amp;"_Z"&amp;W314 &amp; IF(G314="SM", "_Proxy" , "_Rail") &amp; IF(M314&lt;&gt;"", "_" &amp; M314, "")</f>
      </c>
      <c r="F314" s="9">
        <f>IF(E314="", "", IF(G314="BP", E314, F313))</f>
      </c>
      <c r="G314" s="1" t="str">
        <v>SM</v>
      </c>
      <c r="H314" s="1" t="str">
        <v>Curve</v>
      </c>
      <c r="I314" s="1" t="str">
        <v>U90</v>
      </c>
      <c r="J314" s="1"/>
      <c r="K314" s="1"/>
      <c r="L314" s="1"/>
      <c r="M314" s="1" t="str">
        <v>B</v>
      </c>
      <c r="N314" s="3"/>
      <c r="O314" s="3"/>
      <c r="P314" s="3" t="str">
        <v>✅</v>
      </c>
      <c r="Q314" s="3"/>
      <c r="R314" s="1" t="str">
        <v>Curve_U90_X1_Y1_Z1</v>
      </c>
      <c r="S314" s="9" t="str">
        <v>/Script/Engine.StaticMesh'/Game/Item/Rail/Curve/U90/Normal/Curve_U90_X1_Y1_Z1/Proxy/SM_Curve_U90_X1_Y1_Z1_Proxy_B.SM_Curve_U90_X1_Y1_Z1_Proxy_B'</v>
      </c>
      <c r="T314" s="120" t="str"/>
      <c r="U314" s="118">
        <v>1</v>
      </c>
      <c r="V314" s="118">
        <v>1</v>
      </c>
      <c r="W314" s="118">
        <v>1</v>
      </c>
      <c r="X314" s="4"/>
      <c r="Y314" s="4">
        <f>IF(AND(Q314="✅", OR(ISNUMBER(FIND("F",I314)), I314="CR")),   "X="&amp;U314*16&amp;",Y="&amp;(V314-1)*16&amp;",Z="&amp;IF(I314="FD", -(W314-1)*16, (W314-1)*16),   "")</f>
      </c>
      <c r="Z314" s="4">
        <f>IF(AND(Q314="✅", OR(ISNUMBER(FIND("F",I314)), I314="CR")), "P=0,Y=0,R=0", "")</f>
      </c>
      <c r="AA314" s="4" t="str"/>
      <c r="AB314" s="4" t="str"/>
      <c r="AC314" s="4" t="str"/>
      <c r="AD314" s="4" t="str"/>
      <c r="AE314" s="4" t="str"/>
      <c r="AF314" s="4"/>
      <c r="AG314" s="4" t="str"/>
      <c r="AH314" s="4" t="str"/>
      <c r="AI314" s="4" t="str"/>
      <c r="AJ314" s="4" t="str"/>
      <c r="AK314" s="4" t="str"/>
      <c r="AL314" s="4" t="str"/>
      <c r="AM314" s="4" t="str"/>
      <c r="AN314" s="4"/>
      <c r="AO314" s="4" t="str"/>
      <c r="AP314" s="4" t="str"/>
      <c r="AQ314" s="4" t="str"/>
      <c r="AR314" s="4" t="str"/>
      <c r="AS314" s="4" t="str"/>
      <c r="AT314" s="4" t="str"/>
      <c r="AU314" s="4" t="str"/>
      <c r="AV314" s="4"/>
      <c r="AW314" s="4">
        <f>IF(AND(Q314="✅", I314="U90"), "X="&amp;(U314-1)*16&amp;",Y="&amp;(V314-1)*16&amp;",Z="&amp;W314*16, "")</f>
      </c>
      <c r="AX314" s="4">
        <f>IF(AND(Q314="✅", I314="U90"), "P=90,Y=0,R=0", "")</f>
      </c>
      <c r="AY314" s="4" t="str"/>
      <c r="AZ314" s="4" t="str"/>
      <c r="BA314" s="4" t="str"/>
      <c r="BB314" s="4" t="str"/>
      <c r="BC314" s="4" t="str"/>
      <c r="BD314" s="4"/>
      <c r="BE314" s="4">
        <f>IF(AND(Q314="✅", I314="D90"), "X="&amp;(U314-1)*16&amp;",Y="&amp;(V314-1)*16&amp;",Z="&amp;(W314-2)*16, "")</f>
      </c>
      <c r="BF314" s="4">
        <f>IF(AND(Q314="✅", I314="D90"), "P=-90,Y=0,R=0", "")</f>
      </c>
      <c r="BG314" s="4" t="str"/>
      <c r="BH314" s="4" t="str"/>
      <c r="BI314" s="4" t="str"/>
      <c r="BJ314" s="4" t="str"/>
      <c r="BK314" s="4" t="str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</row>
    <row customHeight="true" hidden="true" ht="19" outlineLevel="3" r="315">
      <c r="A315" s="11"/>
      <c r="B315" s="11"/>
      <c r="C315" s="119"/>
      <c r="D315" s="119"/>
      <c r="E315" s="5">
        <f>G315 &amp; "_" &amp; H315 &amp; IF(I315&lt;&gt;"", "_" &amp; I315, "") &amp; IF(J315&lt;&gt;"", "_" &amp; J315, "") &amp; IF(K315&lt;&gt;"", "_" &amp; K315, "") &amp;"_X"&amp;U315&amp;"_Y"&amp;V315&amp;"_Z"&amp;W315 &amp; IF(G315="SM", "_Proxy" , "_Rail") &amp; IF(M315&lt;&gt;"", "_" &amp; M315, "")</f>
      </c>
      <c r="F315" s="9">
        <f>IF(E315="", "", IF(G315="BP", E315, F314))</f>
      </c>
      <c r="G315" s="1" t="str">
        <v>SM</v>
      </c>
      <c r="H315" s="1" t="str">
        <v>Curve</v>
      </c>
      <c r="I315" s="1" t="str">
        <v>U90</v>
      </c>
      <c r="J315" s="1"/>
      <c r="K315" s="1"/>
      <c r="L315" s="1"/>
      <c r="M315" s="1" t="str">
        <v>L</v>
      </c>
      <c r="N315" s="3"/>
      <c r="O315" s="3"/>
      <c r="P315" s="3" t="str">
        <v>✅</v>
      </c>
      <c r="Q315" s="3"/>
      <c r="R315" s="1" t="str">
        <v>Curve_U90_X1_Y1_Z1</v>
      </c>
      <c r="S315" s="9" t="str">
        <v>/Script/Engine.StaticMesh'/Game/Item/Rail/Curve/U90/Normal/Curve_U90_X1_Y1_Z1/Proxy/SM_Curve_U90_X1_Y1_Z1_Proxy_L.SM_Curve_U90_X1_Y1_Z1_Proxy_L'</v>
      </c>
      <c r="T315" s="120" t="str"/>
      <c r="U315" s="118">
        <v>1</v>
      </c>
      <c r="V315" s="118">
        <v>1</v>
      </c>
      <c r="W315" s="118">
        <v>1</v>
      </c>
      <c r="X315" s="4"/>
      <c r="Y315" s="4">
        <f>IF(AND(Q315="✅", OR(ISNUMBER(FIND("F",I315)), I315="CR")),   "X="&amp;U315*16&amp;",Y="&amp;(V315-1)*16&amp;",Z="&amp;IF(I315="FD", -(W315-1)*16, (W315-1)*16),   "")</f>
      </c>
      <c r="Z315" s="4">
        <f>IF(AND(Q315="✅", OR(ISNUMBER(FIND("F",I315)), I315="CR")), "P=0,Y=0,R=0", "")</f>
      </c>
      <c r="AA315" s="4" t="str"/>
      <c r="AB315" s="4" t="str"/>
      <c r="AC315" s="4" t="str"/>
      <c r="AD315" s="4" t="str"/>
      <c r="AE315" s="4" t="str"/>
      <c r="AF315" s="4"/>
      <c r="AG315" s="4" t="str"/>
      <c r="AH315" s="4" t="str"/>
      <c r="AI315" s="4" t="str"/>
      <c r="AJ315" s="4" t="str"/>
      <c r="AK315" s="4" t="str"/>
      <c r="AL315" s="4" t="str"/>
      <c r="AM315" s="4" t="str"/>
      <c r="AN315" s="4"/>
      <c r="AO315" s="4" t="str"/>
      <c r="AP315" s="4" t="str"/>
      <c r="AQ315" s="4" t="str"/>
      <c r="AR315" s="4" t="str"/>
      <c r="AS315" s="4" t="str"/>
      <c r="AT315" s="4" t="str"/>
      <c r="AU315" s="4" t="str"/>
      <c r="AV315" s="4"/>
      <c r="AW315" s="4">
        <f>IF(AND(Q315="✅", I315="U90"), "X="&amp;(U315-1)*16&amp;",Y="&amp;(V315-1)*16&amp;",Z="&amp;W315*16, "")</f>
      </c>
      <c r="AX315" s="4">
        <f>IF(AND(Q315="✅", I315="U90"), "P=90,Y=0,R=0", "")</f>
      </c>
      <c r="AY315" s="4" t="str"/>
      <c r="AZ315" s="4" t="str"/>
      <c r="BA315" s="4" t="str"/>
      <c r="BB315" s="4" t="str"/>
      <c r="BC315" s="4" t="str"/>
      <c r="BD315" s="4"/>
      <c r="BE315" s="4">
        <f>IF(AND(Q315="✅", I315="D90"), "X="&amp;(U315-1)*16&amp;",Y="&amp;(V315-1)*16&amp;",Z="&amp;(W315-2)*16, "")</f>
      </c>
      <c r="BF315" s="4">
        <f>IF(AND(Q315="✅", I315="D90"), "P=-90,Y=0,R=0", "")</f>
      </c>
      <c r="BG315" s="4" t="str"/>
      <c r="BH315" s="4" t="str"/>
      <c r="BI315" s="4" t="str"/>
      <c r="BJ315" s="4" t="str"/>
      <c r="BK315" s="4" t="str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</row>
    <row customHeight="true" hidden="true" ht="19" outlineLevel="3" r="316">
      <c r="A316" s="11"/>
      <c r="B316" s="11"/>
      <c r="C316" s="119"/>
      <c r="D316" s="119"/>
      <c r="E316" s="5">
        <f>G316 &amp; "_" &amp; H316 &amp; IF(I316&lt;&gt;"", "_" &amp; I316, "") &amp; IF(J316&lt;&gt;"", "_" &amp; J316, "") &amp; IF(K316&lt;&gt;"", "_" &amp; K316, "") &amp;"_X"&amp;U316&amp;"_Y"&amp;V316&amp;"_Z"&amp;W316 &amp; IF(G316="SM", "_Proxy" , "_Rail") &amp; IF(M316&lt;&gt;"", "_" &amp; M316, "")</f>
      </c>
      <c r="F316" s="9">
        <f>IF(E316="", "", IF(G316="BP", E316, F315))</f>
      </c>
      <c r="G316" s="1" t="str">
        <v>SM</v>
      </c>
      <c r="H316" s="1" t="str">
        <v>Curve</v>
      </c>
      <c r="I316" s="1" t="str">
        <v>U90</v>
      </c>
      <c r="J316" s="1"/>
      <c r="K316" s="1"/>
      <c r="L316" s="1"/>
      <c r="M316" s="1" t="str">
        <v>R</v>
      </c>
      <c r="N316" s="3"/>
      <c r="O316" s="3"/>
      <c r="P316" s="3" t="str">
        <v>✅</v>
      </c>
      <c r="Q316" s="3"/>
      <c r="R316" s="1" t="str">
        <v>Curve_U90_X1_Y1_Z1</v>
      </c>
      <c r="S316" s="9" t="str">
        <v>/Script/Engine.StaticMesh'/Game/Item/Rail/Curve/U90/Normal/Curve_U90_X1_Y1_Z1/Proxy/SM_Curve_U90_X1_Y1_Z1_Proxy_R.SM_Curve_U90_X1_Y1_Z1_Proxy_R'</v>
      </c>
      <c r="T316" s="120" t="str"/>
      <c r="U316" s="118">
        <v>1</v>
      </c>
      <c r="V316" s="118">
        <v>1</v>
      </c>
      <c r="W316" s="118">
        <v>1</v>
      </c>
      <c r="X316" s="4"/>
      <c r="Y316" s="4">
        <f>IF(AND(Q316="✅", OR(ISNUMBER(FIND("F",I316)), I316="CR")),   "X="&amp;U316*16&amp;",Y="&amp;(V316-1)*16&amp;",Z="&amp;IF(I316="FD", -(W316-1)*16, (W316-1)*16),   "")</f>
      </c>
      <c r="Z316" s="4">
        <f>IF(AND(Q316="✅", OR(ISNUMBER(FIND("F",I316)), I316="CR")), "P=0,Y=0,R=0", "")</f>
      </c>
      <c r="AA316" s="4" t="str"/>
      <c r="AB316" s="4" t="str"/>
      <c r="AC316" s="4" t="str"/>
      <c r="AD316" s="4" t="str"/>
      <c r="AE316" s="4" t="str"/>
      <c r="AF316" s="4"/>
      <c r="AG316" s="4" t="str"/>
      <c r="AH316" s="4" t="str"/>
      <c r="AI316" s="4" t="str"/>
      <c r="AJ316" s="4" t="str"/>
      <c r="AK316" s="4" t="str"/>
      <c r="AL316" s="4" t="str"/>
      <c r="AM316" s="4" t="str"/>
      <c r="AN316" s="4"/>
      <c r="AO316" s="4" t="str"/>
      <c r="AP316" s="4" t="str"/>
      <c r="AQ316" s="4" t="str"/>
      <c r="AR316" s="4" t="str"/>
      <c r="AS316" s="4" t="str"/>
      <c r="AT316" s="4" t="str"/>
      <c r="AU316" s="4" t="str"/>
      <c r="AV316" s="4"/>
      <c r="AW316" s="4">
        <f>IF(AND(Q316="✅", I316="U90"), "X="&amp;(U316-1)*16&amp;",Y="&amp;(V316-1)*16&amp;",Z="&amp;W316*16, "")</f>
      </c>
      <c r="AX316" s="4">
        <f>IF(AND(Q316="✅", I316="U90"), "P=90,Y=0,R=0", "")</f>
      </c>
      <c r="AY316" s="4" t="str"/>
      <c r="AZ316" s="4" t="str"/>
      <c r="BA316" s="4" t="str"/>
      <c r="BB316" s="4" t="str"/>
      <c r="BC316" s="4" t="str"/>
      <c r="BD316" s="4"/>
      <c r="BE316" s="4">
        <f>IF(AND(Q316="✅", I316="D90"), "X="&amp;(U316-1)*16&amp;",Y="&amp;(V316-1)*16&amp;",Z="&amp;(W316-2)*16, "")</f>
      </c>
      <c r="BF316" s="4">
        <f>IF(AND(Q316="✅", I316="D90"), "P=-90,Y=0,R=0", "")</f>
      </c>
      <c r="BG316" s="4" t="str"/>
      <c r="BH316" s="4" t="str"/>
      <c r="BI316" s="4" t="str"/>
      <c r="BJ316" s="4" t="str"/>
      <c r="BK316" s="4" t="str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</row>
    <row collapsed="true" customHeight="true" ht="19" outlineLevel="2" r="317">
      <c r="A317" s="11"/>
      <c r="B317" s="11"/>
      <c r="C317" s="119"/>
      <c r="D317" s="119">
        <v>4</v>
      </c>
      <c r="E317" s="5"/>
      <c r="F317" s="9"/>
      <c r="G317" s="1"/>
      <c r="H317" s="1"/>
      <c r="I317" s="1"/>
      <c r="J317" s="1"/>
      <c r="K317" s="1"/>
      <c r="L317" s="1"/>
      <c r="M317" s="1"/>
      <c r="N317" s="3"/>
      <c r="O317" s="3"/>
      <c r="P317" s="3"/>
      <c r="Q317" s="3"/>
      <c r="R317" s="1" t="str"/>
      <c r="S317" s="9" t="str"/>
      <c r="T317" s="120" t="str"/>
      <c r="U317" s="118"/>
      <c r="V317" s="118"/>
      <c r="W317" s="118"/>
      <c r="X317" s="4"/>
      <c r="Y317" s="4"/>
      <c r="Z317" s="4"/>
      <c r="AA317" s="4" t="str"/>
      <c r="AB317" s="4" t="str"/>
      <c r="AC317" s="4" t="str"/>
      <c r="AD317" s="4" t="str"/>
      <c r="AE317" s="4" t="str"/>
      <c r="AF317" s="4"/>
      <c r="AG317" s="4" t="str"/>
      <c r="AH317" s="4" t="str"/>
      <c r="AI317" s="4" t="str"/>
      <c r="AJ317" s="4" t="str"/>
      <c r="AK317" s="4" t="str"/>
      <c r="AL317" s="4" t="str"/>
      <c r="AM317" s="4" t="str"/>
      <c r="AN317" s="4"/>
      <c r="AO317" s="4" t="str"/>
      <c r="AP317" s="4" t="str"/>
      <c r="AQ317" s="4" t="str"/>
      <c r="AR317" s="4" t="str"/>
      <c r="AS317" s="4" t="str"/>
      <c r="AT317" s="4" t="str"/>
      <c r="AU317" s="4" t="str"/>
      <c r="AV317" s="4"/>
      <c r="AW317" s="4"/>
      <c r="AX317" s="4"/>
      <c r="AY317" s="4" t="str"/>
      <c r="AZ317" s="4" t="str"/>
      <c r="BA317" s="4" t="str"/>
      <c r="BB317" s="4" t="str"/>
      <c r="BC317" s="4" t="str"/>
      <c r="BD317" s="4"/>
      <c r="BE317" s="4"/>
      <c r="BF317" s="4"/>
      <c r="BG317" s="4" t="str"/>
      <c r="BH317" s="4" t="str"/>
      <c r="BI317" s="4" t="str"/>
      <c r="BJ317" s="4" t="str"/>
      <c r="BK317" s="4" t="str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</row>
    <row hidden="true" outlineLevel="3" r="318">
      <c r="A318" s="11"/>
      <c r="B318" s="11"/>
      <c r="C318" s="119"/>
      <c r="D318" s="119"/>
      <c r="E318" s="5">
        <f>G318 &amp; "_" &amp; H318 &amp; IF(I318&lt;&gt;"", "_" &amp; I318, "") &amp; IF(J318&lt;&gt;"", "_" &amp; J318, "") &amp; IF(K318&lt;&gt;"", "_" &amp; K318, "") &amp;"_X"&amp;U318&amp;"_Y"&amp;V318&amp;"_Z"&amp;W318 &amp; IF(G318="SM", "_Proxy" , "_Rail") &amp; IF(M318&lt;&gt;"", "_" &amp; M318, "")</f>
      </c>
      <c r="F318" s="9">
        <f>IF(E318="", "", IF(G318="BP", E318, F316))</f>
      </c>
      <c r="G318" s="1" t="str">
        <v>BP</v>
      </c>
      <c r="H318" s="1" t="str">
        <v>Curve</v>
      </c>
      <c r="I318" s="1" t="str">
        <v>U90</v>
      </c>
      <c r="J318" s="1"/>
      <c r="K318" s="1"/>
      <c r="L318" s="1"/>
      <c r="M318" s="1"/>
      <c r="N318" s="3"/>
      <c r="O318" s="3"/>
      <c r="P318" s="3"/>
      <c r="Q318" s="3" t="str">
        <v>✅</v>
      </c>
      <c r="R318" s="1" t="str">
        <v>Curve_U90_X4_Y1_Z4</v>
      </c>
      <c r="S318" s="9" t="str">
        <v>/Script/Engine.BlueprintGeneratedClass'/Game/Item/Rail/Curve/U90/Normal/Curve_U90_X4_Y1_Z4/BP_Curve_U90_X4_Y1_Z4_Rail.BP_Curve_U90_X4_Y1_Z4_Rail_C'</v>
      </c>
      <c r="T318" s="120">
        <v>5</v>
      </c>
      <c r="U318" s="118">
        <v>4</v>
      </c>
      <c r="V318" s="118">
        <v>1</v>
      </c>
      <c r="W318" s="118">
        <v>4</v>
      </c>
      <c r="X318" s="4"/>
      <c r="Y318" s="4">
        <f>IF(AND(Q318="✅", OR(ISNUMBER(FIND("F",I318)), I318="CR")),   "X="&amp;U318*16&amp;",Y="&amp;(V318-1)*16&amp;",Z="&amp;IF(I318="FD", -(W318-1)*16, (W318-1)*16),   "")</f>
      </c>
      <c r="Z318" s="4">
        <f>IF(AND(Q318="✅", OR(ISNUMBER(FIND("F",I318)), I318="CR")), "P=0,Y=0,R=0", "")</f>
      </c>
      <c r="AA318" s="4" t="str"/>
      <c r="AB318" s="4" t="str"/>
      <c r="AC318" s="4" t="str"/>
      <c r="AD318" s="4" t="str"/>
      <c r="AE318" s="4" t="str">
        <v>X=0,Y=0,Z=0,W=0</v>
      </c>
      <c r="AF318" s="4"/>
      <c r="AG318" s="4" t="str"/>
      <c r="AH318" s="4" t="str"/>
      <c r="AI318" s="4" t="str"/>
      <c r="AJ318" s="4" t="str"/>
      <c r="AK318" s="4" t="str"/>
      <c r="AL318" s="4" t="str"/>
      <c r="AM318" s="4" t="str"/>
      <c r="AN318" s="4"/>
      <c r="AO318" s="4" t="str"/>
      <c r="AP318" s="4" t="str"/>
      <c r="AQ318" s="4" t="str"/>
      <c r="AR318" s="4" t="str"/>
      <c r="AS318" s="4" t="str"/>
      <c r="AT318" s="4" t="str"/>
      <c r="AU318" s="4" t="str"/>
      <c r="AV318" s="4"/>
      <c r="AW318" s="4">
        <f>IF(AND(Q318="✅", I318="U90"), "X="&amp;(U318-1)*16&amp;",Y="&amp;(V318-1)*16&amp;",Z="&amp;W318*16, "")</f>
      </c>
      <c r="AX318" s="4">
        <f>IF(AND(Q318="✅", I318="U90"), "P=90,Y=0,R=0", "")</f>
      </c>
      <c r="AY318" s="4">
        <v>1</v>
      </c>
      <c r="AZ318" s="4">
        <v>1.5</v>
      </c>
      <c r="BA318" s="4">
        <v>2</v>
      </c>
      <c r="BB318" s="4">
        <v>1.5</v>
      </c>
      <c r="BC318" s="4" t="str">
        <v>X=1,Y=1.5,Z=2,W=1.5</v>
      </c>
      <c r="BD318" s="4"/>
      <c r="BE318" s="4">
        <f>IF(AND(Q318="✅", I318="D90"), "X="&amp;(U318-1)*16&amp;",Y="&amp;(V318-1)*16&amp;",Z="&amp;(W318-2)*16, "")</f>
      </c>
      <c r="BF318" s="4">
        <f>IF(AND(Q318="✅", I318="D90"), "P=-90,Y=0,R=0", "")</f>
      </c>
      <c r="BG318" s="4" t="str"/>
      <c r="BH318" s="4" t="str"/>
      <c r="BI318" s="4" t="str"/>
      <c r="BJ318" s="4" t="str"/>
      <c r="BK318" s="4" t="str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</row>
    <row hidden="true" outlineLevel="3" r="319">
      <c r="A319" s="11"/>
      <c r="B319" s="11"/>
      <c r="C319" s="119"/>
      <c r="D319" s="119"/>
      <c r="E319" s="5">
        <f>G319 &amp; "_" &amp; H319 &amp; IF(I319&lt;&gt;"", "_" &amp; I319, "") &amp; IF(J319&lt;&gt;"", "_" &amp; J319, "") &amp; IF(K319&lt;&gt;"", "_" &amp; K319, "") &amp;"_X"&amp;U319&amp;"_Y"&amp;V319&amp;"_Z"&amp;W319 &amp; IF(G319="SM", "_Proxy" , "_Rail") &amp; IF(M319&lt;&gt;"", "_" &amp; M319, "")</f>
      </c>
      <c r="F319" s="9">
        <f>IF(E319="", "", IF(G319="BP", E319, F318))</f>
      </c>
      <c r="G319" s="1" t="str">
        <v>SM</v>
      </c>
      <c r="H319" s="1" t="str">
        <v>Curve</v>
      </c>
      <c r="I319" s="1" t="str">
        <v>U90</v>
      </c>
      <c r="J319" s="1"/>
      <c r="K319" s="1"/>
      <c r="L319" s="1"/>
      <c r="M319" s="1" t="str">
        <v>B</v>
      </c>
      <c r="N319" s="3"/>
      <c r="O319" s="3"/>
      <c r="P319" s="3" t="str">
        <v>✅</v>
      </c>
      <c r="Q319" s="3"/>
      <c r="R319" s="1" t="str">
        <v>Curve_U90_X4_Y1_Z4</v>
      </c>
      <c r="S319" s="9" t="str">
        <v>/Script/Engine.StaticMesh'/Game/Item/Rail/Curve/U90/Normal/Curve_U90_X4_Y1_Z4/Proxy/SM_Curve_U90_X4_Y1_Z4_Proxy_B.SM_Curve_U90_X4_Y1_Z4_Proxy_B'</v>
      </c>
      <c r="T319" s="120" t="str"/>
      <c r="U319" s="118">
        <v>4</v>
      </c>
      <c r="V319" s="118">
        <v>1</v>
      </c>
      <c r="W319" s="118">
        <v>4</v>
      </c>
      <c r="X319" s="4"/>
      <c r="Y319" s="4">
        <f>IF(AND(Q319="✅", OR(ISNUMBER(FIND("F",I319)), I319="CR")),   "X="&amp;U319*16&amp;",Y="&amp;(V319-1)*16&amp;",Z="&amp;IF(I319="FD", -(W319-1)*16, (W319-1)*16),   "")</f>
      </c>
      <c r="Z319" s="4">
        <f>IF(AND(Q319="✅", OR(ISNUMBER(FIND("F",I319)), I319="CR")), "P=0,Y=0,R=0", "")</f>
      </c>
      <c r="AA319" s="4" t="str"/>
      <c r="AB319" s="4" t="str"/>
      <c r="AC319" s="4" t="str"/>
      <c r="AD319" s="4" t="str"/>
      <c r="AE319" s="4" t="str"/>
      <c r="AF319" s="4"/>
      <c r="AG319" s="4" t="str"/>
      <c r="AH319" s="4" t="str"/>
      <c r="AI319" s="4" t="str"/>
      <c r="AJ319" s="4" t="str"/>
      <c r="AK319" s="4" t="str"/>
      <c r="AL319" s="4" t="str"/>
      <c r="AM319" s="4" t="str"/>
      <c r="AN319" s="4"/>
      <c r="AO319" s="4" t="str"/>
      <c r="AP319" s="4" t="str"/>
      <c r="AQ319" s="4" t="str"/>
      <c r="AR319" s="4" t="str"/>
      <c r="AS319" s="4" t="str"/>
      <c r="AT319" s="4" t="str"/>
      <c r="AU319" s="4" t="str"/>
      <c r="AV319" s="4"/>
      <c r="AW319" s="4">
        <f>IF(AND(Q319="✅", I319="U90"), "X="&amp;(U319-1)*16&amp;",Y="&amp;(V319-1)*16&amp;",Z="&amp;W319*16, "")</f>
      </c>
      <c r="AX319" s="4">
        <f>IF(AND(Q319="✅", I319="U90"), "P=90,Y=0,R=0", "")</f>
      </c>
      <c r="AY319" s="4" t="str"/>
      <c r="AZ319" s="4" t="str"/>
      <c r="BA319" s="4" t="str"/>
      <c r="BB319" s="4" t="str"/>
      <c r="BC319" s="4" t="str"/>
      <c r="BD319" s="4"/>
      <c r="BE319" s="4">
        <f>IF(AND(Q319="✅", I319="D90"), "X="&amp;(U319-1)*16&amp;",Y="&amp;(V319-1)*16&amp;",Z="&amp;(W319-2)*16, "")</f>
      </c>
      <c r="BF319" s="4">
        <f>IF(AND(Q319="✅", I319="D90"), "P=-90,Y=0,R=0", "")</f>
      </c>
      <c r="BG319" s="4" t="str"/>
      <c r="BH319" s="4" t="str"/>
      <c r="BI319" s="4" t="str"/>
      <c r="BJ319" s="4" t="str"/>
      <c r="BK319" s="4" t="str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</row>
    <row hidden="true" outlineLevel="3" r="320">
      <c r="A320" s="11"/>
      <c r="B320" s="11"/>
      <c r="C320" s="119"/>
      <c r="D320" s="119"/>
      <c r="E320" s="5">
        <f>G320 &amp; "_" &amp; H320 &amp; IF(I320&lt;&gt;"", "_" &amp; I320, "") &amp; IF(J320&lt;&gt;"", "_" &amp; J320, "") &amp; IF(K320&lt;&gt;"", "_" &amp; K320, "") &amp;"_X"&amp;U320&amp;"_Y"&amp;V320&amp;"_Z"&amp;W320 &amp; IF(G320="SM", "_Proxy" , "_Rail") &amp; IF(M320&lt;&gt;"", "_" &amp; M320, "")</f>
      </c>
      <c r="F320" s="9">
        <f>IF(E320="", "", IF(G320="BP", E320, F319))</f>
      </c>
      <c r="G320" s="1" t="str">
        <v>SM</v>
      </c>
      <c r="H320" s="1" t="str">
        <v>Curve</v>
      </c>
      <c r="I320" s="1" t="str">
        <v>U90</v>
      </c>
      <c r="J320" s="1"/>
      <c r="K320" s="1"/>
      <c r="L320" s="1"/>
      <c r="M320" s="1" t="str">
        <v>L</v>
      </c>
      <c r="N320" s="3"/>
      <c r="O320" s="3"/>
      <c r="P320" s="3" t="str">
        <v>✅</v>
      </c>
      <c r="Q320" s="3"/>
      <c r="R320" s="1" t="str">
        <v>Curve_U90_X4_Y1_Z4</v>
      </c>
      <c r="S320" s="9" t="str">
        <v>/Script/Engine.StaticMesh'/Game/Item/Rail/Curve/U90/Normal/Curve_U90_X4_Y1_Z4/Proxy/SM_Curve_U90_X4_Y1_Z4_Proxy_L.SM_Curve_U90_X4_Y1_Z4_Proxy_L'</v>
      </c>
      <c r="T320" s="120" t="str"/>
      <c r="U320" s="118">
        <v>4</v>
      </c>
      <c r="V320" s="118">
        <v>1</v>
      </c>
      <c r="W320" s="118">
        <v>4</v>
      </c>
      <c r="X320" s="4"/>
      <c r="Y320" s="4">
        <f>IF(AND(Q320="✅", OR(ISNUMBER(FIND("F",I320)), I320="CR")),   "X="&amp;U320*16&amp;",Y="&amp;(V320-1)*16&amp;",Z="&amp;IF(I320="FD", -(W320-1)*16, (W320-1)*16),   "")</f>
      </c>
      <c r="Z320" s="4">
        <f>IF(AND(Q320="✅", OR(ISNUMBER(FIND("F",I320)), I320="CR")), "P=0,Y=0,R=0", "")</f>
      </c>
      <c r="AA320" s="4" t="str"/>
      <c r="AB320" s="4" t="str"/>
      <c r="AC320" s="4" t="str"/>
      <c r="AD320" s="4" t="str"/>
      <c r="AE320" s="4" t="str"/>
      <c r="AF320" s="4"/>
      <c r="AG320" s="4" t="str"/>
      <c r="AH320" s="4" t="str"/>
      <c r="AI320" s="4" t="str"/>
      <c r="AJ320" s="4" t="str"/>
      <c r="AK320" s="4" t="str"/>
      <c r="AL320" s="4" t="str"/>
      <c r="AM320" s="4" t="str"/>
      <c r="AN320" s="4"/>
      <c r="AO320" s="4" t="str"/>
      <c r="AP320" s="4" t="str"/>
      <c r="AQ320" s="4" t="str"/>
      <c r="AR320" s="4" t="str"/>
      <c r="AS320" s="4" t="str"/>
      <c r="AT320" s="4" t="str"/>
      <c r="AU320" s="4" t="str"/>
      <c r="AV320" s="4"/>
      <c r="AW320" s="4">
        <f>IF(AND(Q320="✅", I320="U90"), "X="&amp;(U320-1)*16&amp;",Y="&amp;(V320-1)*16&amp;",Z="&amp;W320*16, "")</f>
      </c>
      <c r="AX320" s="4">
        <f>IF(AND(Q320="✅", I320="U90"), "P=90,Y=0,R=0", "")</f>
      </c>
      <c r="AY320" s="4" t="str"/>
      <c r="AZ320" s="4" t="str"/>
      <c r="BA320" s="4" t="str"/>
      <c r="BB320" s="4" t="str"/>
      <c r="BC320" s="4" t="str"/>
      <c r="BD320" s="4"/>
      <c r="BE320" s="4">
        <f>IF(AND(Q320="✅", I320="D90"), "X="&amp;(U320-1)*16&amp;",Y="&amp;(V320-1)*16&amp;",Z="&amp;(W320-2)*16, "")</f>
      </c>
      <c r="BF320" s="4">
        <f>IF(AND(Q320="✅", I320="D90"), "P=-90,Y=0,R=0", "")</f>
      </c>
      <c r="BG320" s="4" t="str"/>
      <c r="BH320" s="4" t="str"/>
      <c r="BI320" s="4" t="str"/>
      <c r="BJ320" s="4" t="str"/>
      <c r="BK320" s="4" t="str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</row>
    <row hidden="true" outlineLevel="3" r="321">
      <c r="A321" s="11"/>
      <c r="B321" s="11"/>
      <c r="C321" s="119"/>
      <c r="D321" s="119"/>
      <c r="E321" s="5">
        <f>G321 &amp; "_" &amp; H321 &amp; IF(I321&lt;&gt;"", "_" &amp; I321, "") &amp; IF(J321&lt;&gt;"", "_" &amp; J321, "") &amp; IF(K321&lt;&gt;"", "_" &amp; K321, "") &amp;"_X"&amp;U321&amp;"_Y"&amp;V321&amp;"_Z"&amp;W321 &amp; IF(G321="SM", "_Proxy" , "_Rail") &amp; IF(M321&lt;&gt;"", "_" &amp; M321, "")</f>
      </c>
      <c r="F321" s="9">
        <f>IF(E321="", "", IF(G321="BP", E321, F320))</f>
      </c>
      <c r="G321" s="1" t="str">
        <v>SM</v>
      </c>
      <c r="H321" s="1" t="str">
        <v>Curve</v>
      </c>
      <c r="I321" s="1" t="str">
        <v>U90</v>
      </c>
      <c r="J321" s="1"/>
      <c r="K321" s="1"/>
      <c r="L321" s="1"/>
      <c r="M321" s="1" t="str">
        <v>R</v>
      </c>
      <c r="N321" s="3"/>
      <c r="O321" s="3"/>
      <c r="P321" s="3" t="str">
        <v>✅</v>
      </c>
      <c r="Q321" s="3"/>
      <c r="R321" s="1" t="str">
        <v>Curve_U90_X4_Y1_Z4</v>
      </c>
      <c r="S321" s="9" t="str">
        <v>/Script/Engine.StaticMesh'/Game/Item/Rail/Curve/U90/Normal/Curve_U90_X4_Y1_Z4/Proxy/SM_Curve_U90_X4_Y1_Z4_Proxy_R.SM_Curve_U90_X4_Y1_Z4_Proxy_R'</v>
      </c>
      <c r="T321" s="120" t="str"/>
      <c r="U321" s="118">
        <v>4</v>
      </c>
      <c r="V321" s="118">
        <v>1</v>
      </c>
      <c r="W321" s="118">
        <v>4</v>
      </c>
      <c r="X321" s="4"/>
      <c r="Y321" s="4">
        <f>IF(AND(Q321="✅", OR(ISNUMBER(FIND("F",I321)), I321="CR")),   "X="&amp;U321*16&amp;",Y="&amp;(V321-1)*16&amp;",Z="&amp;IF(I321="FD", -(W321-1)*16, (W321-1)*16),   "")</f>
      </c>
      <c r="Z321" s="4">
        <f>IF(AND(Q321="✅", OR(ISNUMBER(FIND("F",I321)), I321="CR")), "P=0,Y=0,R=0", "")</f>
      </c>
      <c r="AA321" s="4" t="str"/>
      <c r="AB321" s="4" t="str"/>
      <c r="AC321" s="4" t="str"/>
      <c r="AD321" s="4" t="str"/>
      <c r="AE321" s="4" t="str"/>
      <c r="AF321" s="4"/>
      <c r="AG321" s="4" t="str"/>
      <c r="AH321" s="4" t="str"/>
      <c r="AI321" s="4" t="str"/>
      <c r="AJ321" s="4" t="str"/>
      <c r="AK321" s="4" t="str"/>
      <c r="AL321" s="4" t="str"/>
      <c r="AM321" s="4" t="str"/>
      <c r="AN321" s="4"/>
      <c r="AO321" s="4" t="str"/>
      <c r="AP321" s="4" t="str"/>
      <c r="AQ321" s="4" t="str"/>
      <c r="AR321" s="4" t="str"/>
      <c r="AS321" s="4" t="str"/>
      <c r="AT321" s="4" t="str"/>
      <c r="AU321" s="4" t="str"/>
      <c r="AV321" s="4"/>
      <c r="AW321" s="4">
        <f>IF(AND(Q321="✅", I321="U90"), "X="&amp;(U321-1)*16&amp;",Y="&amp;(V321-1)*16&amp;",Z="&amp;W321*16, "")</f>
      </c>
      <c r="AX321" s="4">
        <f>IF(AND(Q321="✅", I321="U90"), "P=90,Y=0,R=0", "")</f>
      </c>
      <c r="AY321" s="4" t="str"/>
      <c r="AZ321" s="4" t="str"/>
      <c r="BA321" s="4" t="str"/>
      <c r="BB321" s="4" t="str"/>
      <c r="BC321" s="4" t="str"/>
      <c r="BD321" s="4"/>
      <c r="BE321" s="4">
        <f>IF(AND(Q321="✅", I321="D90"), "X="&amp;(U321-1)*16&amp;",Y="&amp;(V321-1)*16&amp;",Z="&amp;(W321-2)*16, "")</f>
      </c>
      <c r="BF321" s="4">
        <f>IF(AND(Q321="✅", I321="D90"), "P=-90,Y=0,R=0", "")</f>
      </c>
      <c r="BG321" s="4" t="str"/>
      <c r="BH321" s="4" t="str"/>
      <c r="BI321" s="4" t="str"/>
      <c r="BJ321" s="4" t="str"/>
      <c r="BK321" s="4" t="str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</row>
    <row customHeight="true" ht="19" outlineLevel="2" r="322">
      <c r="A322" s="11"/>
      <c r="B322" s="11"/>
      <c r="C322" s="119" t="str">
        <v>Borderless_Caved</v>
      </c>
      <c r="D322" s="119"/>
      <c r="E322" s="5"/>
      <c r="F322" s="9"/>
      <c r="G322" s="1"/>
      <c r="H322" s="1"/>
      <c r="I322" s="1"/>
      <c r="J322" s="1"/>
      <c r="K322" s="1"/>
      <c r="L322" s="1"/>
      <c r="M322" s="1"/>
      <c r="N322" s="3"/>
      <c r="O322" s="3"/>
      <c r="P322" s="3"/>
      <c r="Q322" s="3"/>
      <c r="R322" s="1" t="str"/>
      <c r="S322" s="9" t="str"/>
      <c r="T322" s="120" t="str"/>
      <c r="U322" s="118"/>
      <c r="V322" s="118"/>
      <c r="W322" s="118"/>
      <c r="X322" s="4"/>
      <c r="Y322" s="4"/>
      <c r="Z322" s="4"/>
      <c r="AA322" s="4" t="str"/>
      <c r="AB322" s="4" t="str"/>
      <c r="AC322" s="4" t="str"/>
      <c r="AD322" s="4" t="str"/>
      <c r="AE322" s="4" t="str"/>
      <c r="AF322" s="4"/>
      <c r="AG322" s="4" t="str"/>
      <c r="AH322" s="4" t="str"/>
      <c r="AI322" s="4" t="str"/>
      <c r="AJ322" s="4" t="str"/>
      <c r="AK322" s="4" t="str"/>
      <c r="AL322" s="4" t="str"/>
      <c r="AM322" s="4" t="str"/>
      <c r="AN322" s="4"/>
      <c r="AO322" s="4" t="str"/>
      <c r="AP322" s="4" t="str"/>
      <c r="AQ322" s="4" t="str"/>
      <c r="AR322" s="4" t="str"/>
      <c r="AS322" s="4" t="str"/>
      <c r="AT322" s="4" t="str"/>
      <c r="AU322" s="4" t="str"/>
      <c r="AV322" s="4"/>
      <c r="AW322" s="4"/>
      <c r="AX322" s="4"/>
      <c r="AY322" s="4" t="str"/>
      <c r="AZ322" s="4" t="str"/>
      <c r="BA322" s="4" t="str"/>
      <c r="BB322" s="4" t="str"/>
      <c r="BC322" s="4" t="str"/>
      <c r="BD322" s="4"/>
      <c r="BE322" s="4"/>
      <c r="BF322" s="4"/>
      <c r="BG322" s="4" t="str"/>
      <c r="BH322" s="4" t="str"/>
      <c r="BI322" s="4" t="str"/>
      <c r="BJ322" s="4" t="str"/>
      <c r="BK322" s="4" t="str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</row>
    <row collapsed="true" customHeight="true" ht="19" outlineLevel="2" r="323">
      <c r="A323" s="11"/>
      <c r="B323" s="11"/>
      <c r="C323" s="119"/>
      <c r="D323" s="119">
        <v>3</v>
      </c>
      <c r="E323" s="5"/>
      <c r="F323" s="9"/>
      <c r="G323" s="1"/>
      <c r="H323" s="1"/>
      <c r="I323" s="1"/>
      <c r="J323" s="1"/>
      <c r="K323" s="1"/>
      <c r="L323" s="1"/>
      <c r="M323" s="1"/>
      <c r="N323" s="3"/>
      <c r="O323" s="3"/>
      <c r="P323" s="3"/>
      <c r="Q323" s="3"/>
      <c r="R323" s="1" t="str"/>
      <c r="S323" s="9" t="str"/>
      <c r="T323" s="120" t="str"/>
      <c r="U323" s="118"/>
      <c r="V323" s="118"/>
      <c r="W323" s="118"/>
      <c r="X323" s="4"/>
      <c r="Y323" s="4"/>
      <c r="Z323" s="4"/>
      <c r="AA323" s="4" t="str"/>
      <c r="AB323" s="4" t="str"/>
      <c r="AC323" s="4" t="str"/>
      <c r="AD323" s="4" t="str"/>
      <c r="AE323" s="4" t="str"/>
      <c r="AF323" s="4"/>
      <c r="AG323" s="4" t="str"/>
      <c r="AH323" s="4" t="str"/>
      <c r="AI323" s="4" t="str"/>
      <c r="AJ323" s="4" t="str"/>
      <c r="AK323" s="4" t="str"/>
      <c r="AL323" s="4" t="str"/>
      <c r="AM323" s="4" t="str"/>
      <c r="AN323" s="4"/>
      <c r="AO323" s="4" t="str"/>
      <c r="AP323" s="4" t="str"/>
      <c r="AQ323" s="4" t="str"/>
      <c r="AR323" s="4" t="str"/>
      <c r="AS323" s="4" t="str"/>
      <c r="AT323" s="4" t="str"/>
      <c r="AU323" s="4" t="str"/>
      <c r="AV323" s="4"/>
      <c r="AW323" s="4"/>
      <c r="AX323" s="4"/>
      <c r="AY323" s="4" t="str"/>
      <c r="AZ323" s="4" t="str"/>
      <c r="BA323" s="4" t="str"/>
      <c r="BB323" s="4" t="str"/>
      <c r="BC323" s="4" t="str"/>
      <c r="BD323" s="4"/>
      <c r="BE323" s="4"/>
      <c r="BF323" s="4"/>
      <c r="BG323" s="4" t="str"/>
      <c r="BH323" s="4" t="str"/>
      <c r="BI323" s="4" t="str"/>
      <c r="BJ323" s="4" t="str"/>
      <c r="BK323" s="4" t="str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</row>
    <row customHeight="true" hidden="true" ht="19" outlineLevel="3" r="324">
      <c r="A324" s="11"/>
      <c r="B324" s="11"/>
      <c r="C324" s="119"/>
      <c r="D324" s="119"/>
      <c r="E324" s="5">
        <f>G324 &amp; "_" &amp; H324 &amp; IF(I324&lt;&gt;"", "_" &amp; I324, "") &amp; IF(J324&lt;&gt;"", "_" &amp; J324, "") &amp; IF(K324&lt;&gt;"", "_" &amp; K324, "") &amp;"_X"&amp;U324&amp;"_Y"&amp;V324&amp;"_Z"&amp;W324 &amp; IF(G324="SM", "_Proxy" , "_Rail") &amp; IF(M324&lt;&gt;"", "_" &amp; M324, "")</f>
      </c>
      <c r="F324" s="9">
        <f>IF(E324="", "", IF(G324="BP", E324, F310))</f>
      </c>
      <c r="G324" s="1" t="str">
        <v>BP</v>
      </c>
      <c r="H324" s="1" t="str">
        <v>Curve</v>
      </c>
      <c r="I324" s="1" t="str">
        <v>U90</v>
      </c>
      <c r="J324" s="1" t="str">
        <v>Borderless</v>
      </c>
      <c r="K324" s="1" t="str">
        <v>Caved</v>
      </c>
      <c r="L324" s="1"/>
      <c r="M324" s="1"/>
      <c r="N324" s="3"/>
      <c r="O324" s="3"/>
      <c r="P324" s="3"/>
      <c r="Q324" s="3" t="str">
        <v>✅</v>
      </c>
      <c r="R324" s="1" t="str">
        <v>Curve_U90_Borderless_Caved_X3_Y1_Z3</v>
      </c>
      <c r="S324" s="9" t="str">
        <v>/Script/Engine.BlueprintGeneratedClass'/Game/Item/Rail/Curve/U90/Borderless_Caved/Curve_U90_Borderless_Caved_X3_Y1_Z3/BP_Curve_U90_Borderless_Caved_X3_Y1_Z3_Rail.BP_Curve_U90_Borderless_Caved_X3_Y1_Z3_Rail_C'</v>
      </c>
      <c r="T324" s="120">
        <v>5.4</v>
      </c>
      <c r="U324" s="118">
        <v>3</v>
      </c>
      <c r="V324" s="118">
        <v>1</v>
      </c>
      <c r="W324" s="118">
        <v>3</v>
      </c>
      <c r="X324" s="4"/>
      <c r="Y324" s="4">
        <f>IF(AND(Q324="✅", OR(ISNUMBER(FIND("F",I324)), I324="CR")),   "X="&amp;U324*16&amp;",Y="&amp;(V324-1)*16&amp;",Z="&amp;IF(I324="FD", -(W324-1)*16, (W324-1)*16),   "")</f>
      </c>
      <c r="Z324" s="4">
        <f>IF(AND(Q324="✅", OR(ISNUMBER(FIND("F",I324)), I324="CR")), "P=0,Y=0,R=0", "")</f>
      </c>
      <c r="AA324" s="4" t="str"/>
      <c r="AB324" s="4" t="str"/>
      <c r="AC324" s="4" t="str"/>
      <c r="AD324" s="4" t="str"/>
      <c r="AE324" s="4" t="str">
        <v>X=0,Y=0,Z=0,W=0</v>
      </c>
      <c r="AF324" s="4"/>
      <c r="AG324" s="4" t="str"/>
      <c r="AH324" s="4" t="str"/>
      <c r="AI324" s="4" t="str"/>
      <c r="AJ324" s="4" t="str"/>
      <c r="AK324" s="4" t="str"/>
      <c r="AL324" s="4" t="str"/>
      <c r="AM324" s="4" t="str"/>
      <c r="AN324" s="4"/>
      <c r="AO324" s="4" t="str"/>
      <c r="AP324" s="4" t="str"/>
      <c r="AQ324" s="4" t="str"/>
      <c r="AR324" s="4" t="str"/>
      <c r="AS324" s="4" t="str"/>
      <c r="AT324" s="4" t="str"/>
      <c r="AU324" s="4" t="str"/>
      <c r="AV324" s="4"/>
      <c r="AW324" s="4">
        <f>IF(AND(Q324="✅", I324="U90"), "X="&amp;(U324-1)*16&amp;",Y="&amp;(V324-1)*16&amp;",Z="&amp;W324*16, "")</f>
      </c>
      <c r="AX324" s="4">
        <f>IF(AND(Q324="✅", I324="U90"), "P=90,Y=0,R=0", "")</f>
      </c>
      <c r="AY324" s="4">
        <v>1</v>
      </c>
      <c r="AZ324" s="4">
        <v>2</v>
      </c>
      <c r="BA324" s="4">
        <v>2.5</v>
      </c>
      <c r="BB324" s="4">
        <v>2</v>
      </c>
      <c r="BC324" s="4" t="str">
        <v>X=1,Y=2,Z=2.5,W=2</v>
      </c>
      <c r="BD324" s="4"/>
      <c r="BE324" s="4">
        <f>IF(AND(Q324="✅", I324="D90"), "X="&amp;(U324-1)*16&amp;",Y="&amp;(V324-1)*16&amp;",Z="&amp;(W324-2)*16, "")</f>
      </c>
      <c r="BF324" s="4">
        <f>IF(AND(Q324="✅", I324="D90"), "P=-90,Y=0,R=0", "")</f>
      </c>
      <c r="BG324" s="4" t="str"/>
      <c r="BH324" s="4" t="str"/>
      <c r="BI324" s="4" t="str"/>
      <c r="BJ324" s="4" t="str"/>
      <c r="BK324" s="4" t="str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</row>
    <row hidden="true" outlineLevel="3" r="325">
      <c r="A325" s="11"/>
      <c r="B325" s="11"/>
      <c r="C325" s="119"/>
      <c r="D325" s="119"/>
      <c r="E325" s="5">
        <f>G325 &amp; "_" &amp; H325 &amp; IF(I325&lt;&gt;"", "_" &amp; I325, "") &amp; IF(J325&lt;&gt;"", "_" &amp; J325, "") &amp; IF(K325&lt;&gt;"", "_" &amp; K325, "") &amp;"_X"&amp;U325&amp;"_Y"&amp;V325&amp;"_Z"&amp;W325 &amp; IF(G325="SM", "_Proxy" , "_Rail") &amp; IF(M325&lt;&gt;"", "_" &amp; M325, "")</f>
      </c>
      <c r="F325" s="9">
        <f>IF(E325="", "", IF(G325="BP", E325, F324))</f>
      </c>
      <c r="G325" s="1" t="str">
        <v>SM</v>
      </c>
      <c r="H325" s="1" t="str">
        <v>Curve</v>
      </c>
      <c r="I325" s="1" t="str">
        <v>U90</v>
      </c>
      <c r="J325" s="1" t="str">
        <v>Borderless</v>
      </c>
      <c r="K325" s="1" t="str">
        <v>Caved</v>
      </c>
      <c r="L325" s="1"/>
      <c r="M325" s="1" t="str">
        <v>BL</v>
      </c>
      <c r="N325" s="3"/>
      <c r="O325" s="3"/>
      <c r="P325" s="3" t="str">
        <v>✅</v>
      </c>
      <c r="Q325" s="3"/>
      <c r="R325" s="1" t="str">
        <v>Curve_U90_Borderless_Caved_X3_Y1_Z3</v>
      </c>
      <c r="S325" s="9" t="str">
        <v>/Script/Engine.StaticMesh'/Game/Item/Rail/Curve/U90/Borderless_Caved/Curve_U90_Borderless_Caved_X3_Y1_Z3/Proxy/SM_Curve_U90_Borderless_Caved_X3_Y1_Z3_Proxy_BL.SM_Curve_U90_Borderless_Caved_X3_Y1_Z3_Proxy_BL'</v>
      </c>
      <c r="T325" s="120" t="str"/>
      <c r="U325" s="118">
        <v>3</v>
      </c>
      <c r="V325" s="118">
        <v>1</v>
      </c>
      <c r="W325" s="118">
        <v>3</v>
      </c>
      <c r="X325" s="4"/>
      <c r="Y325" s="4">
        <f>IF(AND(Q325="✅", OR(ISNUMBER(FIND("F",I325)), I325="CR")),   "X="&amp;U325*16&amp;",Y="&amp;(V325-1)*16&amp;",Z="&amp;IF(I325="FD", -(W325-1)*16, (W325-1)*16),   "")</f>
      </c>
      <c r="Z325" s="4">
        <f>IF(AND(Q325="✅", OR(ISNUMBER(FIND("F",I325)), I325="CR")), "P=0,Y=0,R=0", "")</f>
      </c>
      <c r="AA325" s="4" t="str"/>
      <c r="AB325" s="4" t="str"/>
      <c r="AC325" s="4" t="str"/>
      <c r="AD325" s="4" t="str"/>
      <c r="AE325" s="4" t="str"/>
      <c r="AF325" s="4"/>
      <c r="AG325" s="4" t="str"/>
      <c r="AH325" s="4" t="str"/>
      <c r="AI325" s="4" t="str"/>
      <c r="AJ325" s="4" t="str"/>
      <c r="AK325" s="4" t="str"/>
      <c r="AL325" s="4" t="str"/>
      <c r="AM325" s="4" t="str"/>
      <c r="AN325" s="4"/>
      <c r="AO325" s="4" t="str"/>
      <c r="AP325" s="4" t="str"/>
      <c r="AQ325" s="4" t="str"/>
      <c r="AR325" s="4" t="str"/>
      <c r="AS325" s="4" t="str"/>
      <c r="AT325" s="4" t="str"/>
      <c r="AU325" s="4" t="str"/>
      <c r="AV325" s="4"/>
      <c r="AW325" s="4">
        <f>IF(AND(Q325="✅", I325="U90"), "X="&amp;(U325-1)*16&amp;",Y="&amp;(V325-1)*16&amp;",Z="&amp;W325*16, "")</f>
      </c>
      <c r="AX325" s="4">
        <f>IF(AND(Q325="✅", I325="U90"), "P=90,Y=0,R=0", "")</f>
      </c>
      <c r="AY325" s="4" t="str"/>
      <c r="AZ325" s="4" t="str"/>
      <c r="BA325" s="4" t="str"/>
      <c r="BB325" s="4" t="str"/>
      <c r="BC325" s="4" t="str"/>
      <c r="BD325" s="4"/>
      <c r="BE325" s="4">
        <f>IF(AND(Q325="✅", I325="D90"), "X="&amp;(U325-1)*16&amp;",Y="&amp;(V325-1)*16&amp;",Z="&amp;(W325-2)*16, "")</f>
      </c>
      <c r="BF325" s="4">
        <f>IF(AND(Q325="✅", I325="D90"), "P=-90,Y=0,R=0", "")</f>
      </c>
      <c r="BG325" s="4" t="str"/>
      <c r="BH325" s="4" t="str"/>
      <c r="BI325" s="4" t="str"/>
      <c r="BJ325" s="4" t="str"/>
      <c r="BK325" s="4" t="str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</row>
    <row customHeight="true" hidden="true" ht="19" outlineLevel="3" r="326">
      <c r="A326" s="11"/>
      <c r="B326" s="11"/>
      <c r="C326" s="119"/>
      <c r="D326" s="119"/>
      <c r="E326" s="5">
        <f>G326 &amp; "_" &amp; H326 &amp; IF(I326&lt;&gt;"", "_" &amp; I326, "") &amp; IF(J326&lt;&gt;"", "_" &amp; J326, "") &amp; IF(K326&lt;&gt;"", "_" &amp; K326, "") &amp;"_X"&amp;U326&amp;"_Y"&amp;V326&amp;"_Z"&amp;W326 &amp; IF(G326="SM", "_Proxy" , "_Rail") &amp; IF(M326&lt;&gt;"", "_" &amp; M326, "")</f>
      </c>
      <c r="F326" s="9">
        <f>IF(E326="", "", IF(G326="BP", E326, F325))</f>
      </c>
      <c r="G326" s="1" t="str">
        <v>SM</v>
      </c>
      <c r="H326" s="1" t="str">
        <v>Curve</v>
      </c>
      <c r="I326" s="1" t="str">
        <v>U90</v>
      </c>
      <c r="J326" s="1" t="str">
        <v>Borderless</v>
      </c>
      <c r="K326" s="1" t="str">
        <v>Caved</v>
      </c>
      <c r="L326" s="1"/>
      <c r="M326" s="1" t="str">
        <v>BR</v>
      </c>
      <c r="N326" s="3"/>
      <c r="O326" s="3"/>
      <c r="P326" s="3" t="str">
        <v>✅</v>
      </c>
      <c r="Q326" s="3"/>
      <c r="R326" s="1" t="str">
        <v>Curve_U90_Borderless_Caved_X3_Y1_Z3</v>
      </c>
      <c r="S326" s="9" t="str">
        <v>/Script/Engine.StaticMesh'/Game/Item/Rail/Curve/U90/Borderless_Caved/Curve_U90_Borderless_Caved_X3_Y1_Z3/Proxy/SM_Curve_U90_Borderless_Caved_X3_Y1_Z3_Proxy_BR.SM_Curve_U90_Borderless_Caved_X3_Y1_Z3_Proxy_BR'</v>
      </c>
      <c r="T326" s="120" t="str"/>
      <c r="U326" s="118">
        <v>3</v>
      </c>
      <c r="V326" s="118">
        <v>1</v>
      </c>
      <c r="W326" s="118">
        <v>3</v>
      </c>
      <c r="X326" s="4"/>
      <c r="Y326" s="4">
        <f>IF(AND(Q326="✅", OR(ISNUMBER(FIND("F",I326)), I326="CR")),   "X="&amp;U326*16&amp;",Y="&amp;(V326-1)*16&amp;",Z="&amp;IF(I326="FD", -(W326-1)*16, (W326-1)*16),   "")</f>
      </c>
      <c r="Z326" s="4">
        <f>IF(AND(Q326="✅", OR(ISNUMBER(FIND("F",I326)), I326="CR")), "P=0,Y=0,R=0", "")</f>
      </c>
      <c r="AA326" s="4" t="str"/>
      <c r="AB326" s="4" t="str"/>
      <c r="AC326" s="4" t="str"/>
      <c r="AD326" s="4" t="str"/>
      <c r="AE326" s="4" t="str"/>
      <c r="AF326" s="4"/>
      <c r="AG326" s="4" t="str"/>
      <c r="AH326" s="4" t="str"/>
      <c r="AI326" s="4" t="str"/>
      <c r="AJ326" s="4" t="str"/>
      <c r="AK326" s="4" t="str"/>
      <c r="AL326" s="4" t="str"/>
      <c r="AM326" s="4" t="str"/>
      <c r="AN326" s="4"/>
      <c r="AO326" s="4" t="str"/>
      <c r="AP326" s="4" t="str"/>
      <c r="AQ326" s="4" t="str"/>
      <c r="AR326" s="4" t="str"/>
      <c r="AS326" s="4" t="str"/>
      <c r="AT326" s="4" t="str"/>
      <c r="AU326" s="4" t="str"/>
      <c r="AV326" s="4"/>
      <c r="AW326" s="4">
        <f>IF(AND(Q326="✅", I326="U90"), "X="&amp;(U326-1)*16&amp;",Y="&amp;(V326-1)*16&amp;",Z="&amp;W326*16, "")</f>
      </c>
      <c r="AX326" s="4">
        <f>IF(AND(Q326="✅", I326="U90"), "P=90,Y=0,R=0", "")</f>
      </c>
      <c r="AY326" s="4" t="str"/>
      <c r="AZ326" s="4" t="str"/>
      <c r="BA326" s="4" t="str"/>
      <c r="BB326" s="4" t="str"/>
      <c r="BC326" s="4" t="str"/>
      <c r="BD326" s="4"/>
      <c r="BE326" s="4">
        <f>IF(AND(Q326="✅", I326="D90"), "X="&amp;(U326-1)*16&amp;",Y="&amp;(V326-1)*16&amp;",Z="&amp;(W326-2)*16, "")</f>
      </c>
      <c r="BF326" s="4">
        <f>IF(AND(Q326="✅", I326="D90"), "P=-90,Y=0,R=0", "")</f>
      </c>
      <c r="BG326" s="4" t="str"/>
      <c r="BH326" s="4" t="str"/>
      <c r="BI326" s="4" t="str"/>
      <c r="BJ326" s="4" t="str"/>
      <c r="BK326" s="4" t="str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</row>
    <row customHeight="true" ht="19" outlineLevel="1" r="327">
      <c r="A327" s="11"/>
      <c r="B327" s="11" t="str">
        <v>D90</v>
      </c>
      <c r="C327" s="119"/>
      <c r="D327" s="119"/>
      <c r="E327" s="9"/>
      <c r="F327" s="9">
        <f>IF(E327="", "", IF(G327="BP", E327, F321))</f>
      </c>
      <c r="G327" s="4"/>
      <c r="H327" s="4"/>
      <c r="I327" s="4"/>
      <c r="J327" s="4"/>
      <c r="K327" s="4"/>
      <c r="L327" s="4"/>
      <c r="M327" s="4"/>
      <c r="N327" s="3"/>
      <c r="O327" s="2"/>
      <c r="P327" s="2"/>
      <c r="Q327" s="2"/>
      <c r="R327" s="1" t="str"/>
      <c r="S327" s="9" t="str"/>
      <c r="T327" s="120" t="str"/>
      <c r="U327" s="118"/>
      <c r="V327" s="118"/>
      <c r="W327" s="118"/>
      <c r="X327" s="4"/>
      <c r="Y327" s="4">
        <f>IF(AND(Q327="✅", OR(ISNUMBER(FIND("F",I327)), I327="CR")),   "X="&amp;U327*16&amp;",Y="&amp;(V327-1)*16&amp;",Z="&amp;IF(I327="FD", -(W327-1)*16, (W327-1)*16),   "")</f>
      </c>
      <c r="Z327" s="4">
        <f>IF(AND(Q327="✅", OR(ISNUMBER(FIND("F",I327)), I327="CR")), "P=0,Y=0,R=0", "")</f>
      </c>
      <c r="AA327" s="4" t="str"/>
      <c r="AB327" s="4" t="str"/>
      <c r="AC327" s="4" t="str"/>
      <c r="AD327" s="4" t="str"/>
      <c r="AE327" s="4" t="str"/>
      <c r="AF327" s="4"/>
      <c r="AG327" s="4" t="str"/>
      <c r="AH327" s="4" t="str"/>
      <c r="AI327" s="4" t="str"/>
      <c r="AJ327" s="4" t="str"/>
      <c r="AK327" s="4" t="str"/>
      <c r="AL327" s="4" t="str"/>
      <c r="AM327" s="4" t="str"/>
      <c r="AN327" s="4"/>
      <c r="AO327" s="4" t="str"/>
      <c r="AP327" s="4" t="str"/>
      <c r="AQ327" s="4" t="str"/>
      <c r="AR327" s="4" t="str"/>
      <c r="AS327" s="4" t="str"/>
      <c r="AT327" s="4" t="str"/>
      <c r="AU327" s="4" t="str"/>
      <c r="AV327" s="4"/>
      <c r="AW327" s="4">
        <f>IF(AND(Q327="✅", I327="U90"), "X="&amp;(U327-1)*16&amp;",Y="&amp;(V327-1)*16&amp;",Z="&amp;W327*16, "")</f>
      </c>
      <c r="AX327" s="4">
        <f>IF(AND(Q327="✅", I327="U90"), "P=90,Y=0,R=0", "")</f>
      </c>
      <c r="AY327" s="4" t="str"/>
      <c r="AZ327" s="4" t="str"/>
      <c r="BA327" s="4" t="str"/>
      <c r="BB327" s="4" t="str"/>
      <c r="BC327" s="4" t="str"/>
      <c r="BD327" s="4"/>
      <c r="BE327" s="4">
        <f>IF(AND(Q327="✅", I327="D90"), "X="&amp;(U327-1)*16&amp;",Y="&amp;(V327-1)*16&amp;",Z="&amp;(W327-2)*16, "")</f>
      </c>
      <c r="BF327" s="4">
        <f>IF(AND(Q327="✅", I327="D90"), "P=-90,Y=0,R=0", "")</f>
      </c>
      <c r="BG327" s="4" t="str"/>
      <c r="BH327" s="4" t="str"/>
      <c r="BI327" s="4" t="str"/>
      <c r="BJ327" s="4" t="str"/>
      <c r="BK327" s="4" t="str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</row>
    <row collapsed="true" customHeight="true" ht="19" outlineLevel="2" r="328">
      <c r="A328" s="11"/>
      <c r="B328" s="11"/>
      <c r="C328" s="119"/>
      <c r="D328" s="119">
        <v>3</v>
      </c>
      <c r="E328" s="9"/>
      <c r="F328" s="9"/>
      <c r="G328" s="4"/>
      <c r="H328" s="4"/>
      <c r="I328" s="4"/>
      <c r="J328" s="4"/>
      <c r="K328" s="4"/>
      <c r="L328" s="4"/>
      <c r="M328" s="4"/>
      <c r="N328" s="3"/>
      <c r="O328" s="2"/>
      <c r="P328" s="2"/>
      <c r="Q328" s="2"/>
      <c r="R328" s="1" t="str"/>
      <c r="S328" s="9" t="str"/>
      <c r="T328" s="120" t="str"/>
      <c r="U328" s="118"/>
      <c r="V328" s="118"/>
      <c r="W328" s="118"/>
      <c r="X328" s="4"/>
      <c r="Y328" s="4"/>
      <c r="Z328" s="4"/>
      <c r="AA328" s="4" t="str"/>
      <c r="AB328" s="4" t="str"/>
      <c r="AC328" s="4" t="str"/>
      <c r="AD328" s="4" t="str"/>
      <c r="AE328" s="4" t="str"/>
      <c r="AF328" s="4"/>
      <c r="AG328" s="4" t="str"/>
      <c r="AH328" s="4" t="str"/>
      <c r="AI328" s="4" t="str"/>
      <c r="AJ328" s="4" t="str"/>
      <c r="AK328" s="4" t="str"/>
      <c r="AL328" s="4" t="str"/>
      <c r="AM328" s="4" t="str"/>
      <c r="AN328" s="4"/>
      <c r="AO328" s="4" t="str"/>
      <c r="AP328" s="4" t="str"/>
      <c r="AQ328" s="4" t="str"/>
      <c r="AR328" s="4" t="str"/>
      <c r="AS328" s="4" t="str"/>
      <c r="AT328" s="4" t="str"/>
      <c r="AU328" s="4" t="str"/>
      <c r="AV328" s="4"/>
      <c r="AW328" s="4"/>
      <c r="AX328" s="4"/>
      <c r="AY328" s="4" t="str"/>
      <c r="AZ328" s="4" t="str"/>
      <c r="BA328" s="4" t="str"/>
      <c r="BB328" s="4" t="str"/>
      <c r="BC328" s="4" t="str"/>
      <c r="BD328" s="4"/>
      <c r="BE328" s="4"/>
      <c r="BF328" s="4"/>
      <c r="BG328" s="4" t="str"/>
      <c r="BH328" s="4" t="str"/>
      <c r="BI328" s="4" t="str"/>
      <c r="BJ328" s="4" t="str"/>
      <c r="BK328" s="4" t="str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</row>
    <row customHeight="true" hidden="true" ht="19" outlineLevel="3" r="329">
      <c r="A329" s="122" t="str" xml:space="preserve">
        <v> </v>
      </c>
      <c r="B329" s="122" t="str" xml:space="preserve">
        <v> </v>
      </c>
      <c r="C329" s="123" t="str" xml:space="preserve">
        <v> </v>
      </c>
      <c r="D329" s="123" t="str" xml:space="preserve">
        <v> </v>
      </c>
      <c r="E329" s="37">
        <f>G329 &amp; "_" &amp; H329 &amp; IF(I329&lt;&gt;"", "_" &amp; I329, "") &amp; IF(J329&lt;&gt;"", "_" &amp; J329, "") &amp; IF(K329&lt;&gt;"", "_" &amp; K329, "") &amp;"_X"&amp;U329&amp;"_Y"&amp;V329&amp;"_Z"&amp;W329 &amp; IF(G329="SM", "_Proxy" , "_Rail") &amp; IF(M329&lt;&gt;"", "_" &amp; M329, "")</f>
      </c>
      <c r="F329" s="37">
        <f>IF(E329="", "", IF(G329="BP", E329, F327))</f>
      </c>
      <c r="G329" s="38" t="str">
        <v>BP</v>
      </c>
      <c r="H329" s="38" t="str">
        <v>Curve</v>
      </c>
      <c r="I329" s="38" t="str">
        <v>D90</v>
      </c>
      <c r="J329" s="38"/>
      <c r="K329" s="38"/>
      <c r="L329" s="38"/>
      <c r="M329" s="38"/>
      <c r="N329" s="72"/>
      <c r="O329" s="41"/>
      <c r="P329" s="41"/>
      <c r="Q329" s="41" t="str">
        <v>✅</v>
      </c>
      <c r="R329" s="35" t="str">
        <v>Curve_D90_X3_Y1_Z3</v>
      </c>
      <c r="S329" s="37" t="str">
        <v>/Script/Engine.BlueprintGeneratedClass'/Game/Item/Rail/Curve/D90/Normal/Curve_D90_X3_Y1_Z3/BP_Curve_D90_X3_Y1_Z3_Rail.BP_Curve_D90_X3_Y1_Z3_Rail_C'</v>
      </c>
      <c r="T329" s="124">
        <v>5.4</v>
      </c>
      <c r="U329" s="121">
        <v>3</v>
      </c>
      <c r="V329" s="121">
        <v>1</v>
      </c>
      <c r="W329" s="121">
        <v>3</v>
      </c>
      <c r="X329" s="38"/>
      <c r="Y329" s="38">
        <f>IF(AND(Q329="✅", OR(ISNUMBER(FIND("F",I329)), I329="CR")),   "X="&amp;U329*16&amp;",Y="&amp;(V329-1)*16&amp;",Z="&amp;IF(I329="FD", -(W329-1)*16, (W329-1)*16),   "")</f>
      </c>
      <c r="Z329" s="38">
        <f>IF(AND(Q329="✅", OR(ISNUMBER(FIND("F",I329)), I329="CR")), "P=0,Y=0,R=0", "")</f>
      </c>
      <c r="AA329" s="38" t="str"/>
      <c r="AB329" s="38" t="str"/>
      <c r="AC329" s="38" t="str"/>
      <c r="AD329" s="38" t="str"/>
      <c r="AE329" s="38" t="str">
        <v>X=0,Y=0,Z=0,W=0</v>
      </c>
      <c r="AF329" s="38"/>
      <c r="AG329" s="38" t="str"/>
      <c r="AH329" s="38" t="str"/>
      <c r="AI329" s="38" t="str"/>
      <c r="AJ329" s="38" t="str"/>
      <c r="AK329" s="38" t="str"/>
      <c r="AL329" s="38" t="str"/>
      <c r="AM329" s="38" t="str"/>
      <c r="AN329" s="38"/>
      <c r="AO329" s="38" t="str"/>
      <c r="AP329" s="38" t="str"/>
      <c r="AQ329" s="38" t="str"/>
      <c r="AR329" s="38" t="str"/>
      <c r="AS329" s="38" t="str"/>
      <c r="AT329" s="38" t="str"/>
      <c r="AU329" s="38" t="str"/>
      <c r="AV329" s="38"/>
      <c r="AW329" s="38">
        <f>IF(AND(Q329="✅", I329="U90"), "X="&amp;(U329-1)*16&amp;",Y="&amp;(V329-1)*16&amp;",Z="&amp;W329*16, "")</f>
      </c>
      <c r="AX329" s="38">
        <f>IF(AND(Q329="✅", I329="U90"), "P=90,Y=0,R=0", "")</f>
      </c>
      <c r="AY329" s="38" t="str"/>
      <c r="AZ329" s="38" t="str"/>
      <c r="BA329" s="38" t="str"/>
      <c r="BB329" s="38" t="str"/>
      <c r="BC329" s="38" t="str"/>
      <c r="BD329" s="38"/>
      <c r="BE329" s="38">
        <f>IF(AND(Q329="✅", I329="D90"), "X="&amp;(U329-1)*16&amp;",Y="&amp;(V329-1)*16&amp;",Z="&amp;(W329-2)*16, "")</f>
      </c>
      <c r="BF329" s="38">
        <f>IF(AND(Q329="✅", I329="D90"), "P=-90,Y=0,R=0", "")</f>
      </c>
      <c r="BG329" s="38">
        <v>1</v>
      </c>
      <c r="BH329" s="38">
        <v>1.5</v>
      </c>
      <c r="BI329" s="38">
        <v>2</v>
      </c>
      <c r="BJ329" s="38">
        <v>1.5</v>
      </c>
      <c r="BK329" s="38" t="str">
        <v>X=1,Y=1.5,Z=2,W=1.5</v>
      </c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</row>
    <row customHeight="true" hidden="true" ht="19" outlineLevel="3" r="330">
      <c r="A330" s="122" t="str" xml:space="preserve">
        <v> </v>
      </c>
      <c r="B330" s="122" t="str" xml:space="preserve">
        <v> </v>
      </c>
      <c r="C330" s="123" t="str" xml:space="preserve">
        <v> </v>
      </c>
      <c r="D330" s="123" t="str" xml:space="preserve">
        <v> </v>
      </c>
      <c r="E330" s="37">
        <f>G330 &amp; "_" &amp; H330 &amp; IF(I330&lt;&gt;"", "_" &amp; I330, "") &amp; IF(J330&lt;&gt;"", "_" &amp; J330, "") &amp; IF(K330&lt;&gt;"", "_" &amp; K330, "") &amp;"_X"&amp;U330&amp;"_Y"&amp;V330&amp;"_Z"&amp;W330 &amp; IF(G330="SM", "_Proxy" , "_Rail") &amp; IF(M330&lt;&gt;"", "_" &amp; M330, "")</f>
      </c>
      <c r="F330" s="37">
        <f>IF(E330="", "", IF(G330="BP", E330, F329))</f>
      </c>
      <c r="G330" s="38" t="str">
        <v>SM</v>
      </c>
      <c r="H330" s="38" t="str">
        <v>Curve</v>
      </c>
      <c r="I330" s="38" t="str">
        <v>D90</v>
      </c>
      <c r="J330" s="38"/>
      <c r="K330" s="38"/>
      <c r="L330" s="38"/>
      <c r="M330" s="38" t="str">
        <v>B</v>
      </c>
      <c r="N330" s="72"/>
      <c r="O330" s="41"/>
      <c r="P330" s="41" t="str">
        <v>✅</v>
      </c>
      <c r="Q330" s="41"/>
      <c r="R330" s="35" t="str">
        <v>Curve_D90_X3_Y1_Z3</v>
      </c>
      <c r="S330" s="37" t="str">
        <v>/Script/Engine.StaticMesh'/Game/Item/Rail/Curve/D90/Normal/Curve_D90_X3_Y1_Z3/Proxy/SM_Curve_D90_X3_Y1_Z3_Proxy_B.SM_Curve_D90_X3_Y1_Z3_Proxy_B'</v>
      </c>
      <c r="T330" s="124" t="str"/>
      <c r="U330" s="121">
        <v>3</v>
      </c>
      <c r="V330" s="121">
        <v>1</v>
      </c>
      <c r="W330" s="121">
        <v>3</v>
      </c>
      <c r="X330" s="38"/>
      <c r="Y330" s="38">
        <f>IF(AND(Q330="✅", OR(ISNUMBER(FIND("F",I330)), I330="CR")),   "X="&amp;U330*16&amp;",Y="&amp;(V330-1)*16&amp;",Z="&amp;IF(I330="FD", -(W330-1)*16, (W330-1)*16),   "")</f>
      </c>
      <c r="Z330" s="38">
        <f>IF(AND(Q330="✅", OR(ISNUMBER(FIND("F",I330)), I330="CR")), "P=0,Y=0,R=0", "")</f>
      </c>
      <c r="AA330" s="38" t="str"/>
      <c r="AB330" s="38" t="str"/>
      <c r="AC330" s="38" t="str"/>
      <c r="AD330" s="38" t="str"/>
      <c r="AE330" s="38" t="str"/>
      <c r="AF330" s="38"/>
      <c r="AG330" s="38" t="str"/>
      <c r="AH330" s="38" t="str"/>
      <c r="AI330" s="38" t="str"/>
      <c r="AJ330" s="38" t="str"/>
      <c r="AK330" s="38" t="str"/>
      <c r="AL330" s="38" t="str"/>
      <c r="AM330" s="38" t="str"/>
      <c r="AN330" s="38"/>
      <c r="AO330" s="38" t="str"/>
      <c r="AP330" s="38" t="str"/>
      <c r="AQ330" s="38" t="str"/>
      <c r="AR330" s="38" t="str"/>
      <c r="AS330" s="38" t="str"/>
      <c r="AT330" s="38" t="str"/>
      <c r="AU330" s="38" t="str"/>
      <c r="AV330" s="38"/>
      <c r="AW330" s="38">
        <f>IF(AND(Q330="✅", I330="U90"), "X="&amp;(U330-1)*16&amp;",Y="&amp;(V330-1)*16&amp;",Z="&amp;W330*16, "")</f>
      </c>
      <c r="AX330" s="38">
        <f>IF(AND(Q330="✅", I330="U90"), "P=90,Y=0,R=0", "")</f>
      </c>
      <c r="AY330" s="38" t="str"/>
      <c r="AZ330" s="38" t="str"/>
      <c r="BA330" s="38" t="str"/>
      <c r="BB330" s="38" t="str"/>
      <c r="BC330" s="38" t="str"/>
      <c r="BD330" s="38"/>
      <c r="BE330" s="38">
        <f>IF(AND(Q330="✅", I330="D90"), "X="&amp;(U330-1)*16&amp;",Y="&amp;(V330-1)*16&amp;",Z="&amp;(W330-2)*16, "")</f>
      </c>
      <c r="BF330" s="38">
        <f>IF(AND(Q330="✅", I330="D90"), "P=-90,Y=0,R=0", "")</f>
      </c>
      <c r="BG330" s="38" t="str"/>
      <c r="BH330" s="38" t="str"/>
      <c r="BI330" s="38" t="str"/>
      <c r="BJ330" s="38" t="str"/>
      <c r="BK330" s="38" t="str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</row>
    <row customHeight="true" hidden="true" ht="19" outlineLevel="3" r="331">
      <c r="A331" s="122" t="str" xml:space="preserve">
        <v> </v>
      </c>
      <c r="B331" s="122" t="str" xml:space="preserve">
        <v> </v>
      </c>
      <c r="C331" s="123" t="str" xml:space="preserve">
        <v> </v>
      </c>
      <c r="D331" s="123" t="str" xml:space="preserve">
        <v> </v>
      </c>
      <c r="E331" s="37">
        <f>G331 &amp; "_" &amp; H331 &amp; IF(I331&lt;&gt;"", "_" &amp; I331, "") &amp; IF(J331&lt;&gt;"", "_" &amp; J331, "") &amp; IF(K331&lt;&gt;"", "_" &amp; K331, "") &amp;"_X"&amp;U331&amp;"_Y"&amp;V331&amp;"_Z"&amp;W331 &amp; IF(G331="SM", "_Proxy" , "_Rail") &amp; IF(M331&lt;&gt;"", "_" &amp; M331, "")</f>
      </c>
      <c r="F331" s="37">
        <f>IF(E331="", "", IF(G331="BP", E331, F330))</f>
      </c>
      <c r="G331" s="38" t="str">
        <v>SM</v>
      </c>
      <c r="H331" s="38" t="str">
        <v>Curve</v>
      </c>
      <c r="I331" s="38" t="str">
        <v>D90</v>
      </c>
      <c r="J331" s="38"/>
      <c r="K331" s="38"/>
      <c r="L331" s="38"/>
      <c r="M331" s="38" t="str">
        <v>L</v>
      </c>
      <c r="N331" s="72"/>
      <c r="O331" s="41"/>
      <c r="P331" s="41" t="str">
        <v>✅</v>
      </c>
      <c r="Q331" s="41"/>
      <c r="R331" s="35" t="str">
        <v>Curve_D90_X3_Y1_Z3</v>
      </c>
      <c r="S331" s="37" t="str">
        <v>/Script/Engine.StaticMesh'/Game/Item/Rail/Curve/D90/Normal/Curve_D90_X3_Y1_Z3/Proxy/SM_Curve_D90_X3_Y1_Z3_Proxy_L.SM_Curve_D90_X3_Y1_Z3_Proxy_L'</v>
      </c>
      <c r="T331" s="124" t="str"/>
      <c r="U331" s="121">
        <v>3</v>
      </c>
      <c r="V331" s="121">
        <v>1</v>
      </c>
      <c r="W331" s="121">
        <v>3</v>
      </c>
      <c r="X331" s="38"/>
      <c r="Y331" s="38">
        <f>IF(AND(Q331="✅", OR(ISNUMBER(FIND("F",I331)), I331="CR")),   "X="&amp;U331*16&amp;",Y="&amp;(V331-1)*16&amp;",Z="&amp;IF(I331="FD", -(W331-1)*16, (W331-1)*16),   "")</f>
      </c>
      <c r="Z331" s="38">
        <f>IF(AND(Q331="✅", OR(ISNUMBER(FIND("F",I331)), I331="CR")), "P=0,Y=0,R=0", "")</f>
      </c>
      <c r="AA331" s="38" t="str"/>
      <c r="AB331" s="38" t="str"/>
      <c r="AC331" s="38" t="str"/>
      <c r="AD331" s="38" t="str"/>
      <c r="AE331" s="38" t="str"/>
      <c r="AF331" s="38"/>
      <c r="AG331" s="38" t="str"/>
      <c r="AH331" s="38" t="str"/>
      <c r="AI331" s="38" t="str"/>
      <c r="AJ331" s="38" t="str"/>
      <c r="AK331" s="38" t="str"/>
      <c r="AL331" s="38" t="str"/>
      <c r="AM331" s="38" t="str"/>
      <c r="AN331" s="38"/>
      <c r="AO331" s="38" t="str"/>
      <c r="AP331" s="38" t="str"/>
      <c r="AQ331" s="38" t="str"/>
      <c r="AR331" s="38" t="str"/>
      <c r="AS331" s="38" t="str"/>
      <c r="AT331" s="38" t="str"/>
      <c r="AU331" s="38" t="str"/>
      <c r="AV331" s="38"/>
      <c r="AW331" s="38">
        <f>IF(AND(Q331="✅", I331="U90"), "X="&amp;(U331-1)*16&amp;",Y="&amp;(V331-1)*16&amp;",Z="&amp;W331*16, "")</f>
      </c>
      <c r="AX331" s="38">
        <f>IF(AND(Q331="✅", I331="U90"), "P=90,Y=0,R=0", "")</f>
      </c>
      <c r="AY331" s="38" t="str"/>
      <c r="AZ331" s="38" t="str"/>
      <c r="BA331" s="38" t="str"/>
      <c r="BB331" s="38" t="str"/>
      <c r="BC331" s="38" t="str"/>
      <c r="BD331" s="38"/>
      <c r="BE331" s="38">
        <f>IF(AND(Q331="✅", I331="D90"), "X="&amp;(U331-1)*16&amp;",Y="&amp;(V331-1)*16&amp;",Z="&amp;(W331-2)*16, "")</f>
      </c>
      <c r="BF331" s="38">
        <f>IF(AND(Q331="✅", I331="D90"), "P=-90,Y=0,R=0", "")</f>
      </c>
      <c r="BG331" s="38" t="str"/>
      <c r="BH331" s="38" t="str"/>
      <c r="BI331" s="38" t="str"/>
      <c r="BJ331" s="38" t="str"/>
      <c r="BK331" s="38" t="str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</row>
    <row customHeight="true" hidden="true" ht="19" outlineLevel="3" r="332">
      <c r="A332" s="122" t="str" xml:space="preserve">
        <v> </v>
      </c>
      <c r="B332" s="122" t="str" xml:space="preserve">
        <v> </v>
      </c>
      <c r="C332" s="123" t="str" xml:space="preserve">
        <v> </v>
      </c>
      <c r="D332" s="123" t="str" xml:space="preserve">
        <v> </v>
      </c>
      <c r="E332" s="37">
        <f>G332 &amp; "_" &amp; H332 &amp; IF(I332&lt;&gt;"", "_" &amp; I332, "") &amp; IF(J332&lt;&gt;"", "_" &amp; J332, "") &amp; IF(K332&lt;&gt;"", "_" &amp; K332, "") &amp;"_X"&amp;U332&amp;"_Y"&amp;V332&amp;"_Z"&amp;W332 &amp; IF(G332="SM", "_Proxy" , "_Rail") &amp; IF(M332&lt;&gt;"", "_" &amp; M332, "")</f>
      </c>
      <c r="F332" s="37">
        <f>IF(E332="", "", IF(G332="BP", E332, F331))</f>
      </c>
      <c r="G332" s="38" t="str">
        <v>SM</v>
      </c>
      <c r="H332" s="38" t="str">
        <v>Curve</v>
      </c>
      <c r="I332" s="38" t="str">
        <v>D90</v>
      </c>
      <c r="J332" s="38"/>
      <c r="K332" s="38"/>
      <c r="L332" s="38"/>
      <c r="M332" s="38" t="str">
        <v>R</v>
      </c>
      <c r="N332" s="72"/>
      <c r="O332" s="41"/>
      <c r="P332" s="41" t="str">
        <v>✅</v>
      </c>
      <c r="Q332" s="41"/>
      <c r="R332" s="35" t="str">
        <v>Curve_D90_X3_Y1_Z3</v>
      </c>
      <c r="S332" s="37" t="str">
        <v>/Script/Engine.StaticMesh'/Game/Item/Rail/Curve/D90/Normal/Curve_D90_X3_Y1_Z3/Proxy/SM_Curve_D90_X3_Y1_Z3_Proxy_R.SM_Curve_D90_X3_Y1_Z3_Proxy_R'</v>
      </c>
      <c r="T332" s="124" t="str"/>
      <c r="U332" s="121">
        <v>3</v>
      </c>
      <c r="V332" s="121">
        <v>1</v>
      </c>
      <c r="W332" s="121">
        <v>3</v>
      </c>
      <c r="X332" s="38"/>
      <c r="Y332" s="38">
        <f>IF(AND(Q332="✅", OR(ISNUMBER(FIND("F",I332)), I332="CR")),   "X="&amp;U332*16&amp;",Y="&amp;(V332-1)*16&amp;",Z="&amp;IF(I332="FD", -(W332-1)*16, (W332-1)*16),   "")</f>
      </c>
      <c r="Z332" s="38">
        <f>IF(AND(Q332="✅", OR(ISNUMBER(FIND("F",I332)), I332="CR")), "P=0,Y=0,R=0", "")</f>
      </c>
      <c r="AA332" s="38" t="str"/>
      <c r="AB332" s="38" t="str"/>
      <c r="AC332" s="38" t="str"/>
      <c r="AD332" s="38" t="str"/>
      <c r="AE332" s="38" t="str"/>
      <c r="AF332" s="38"/>
      <c r="AG332" s="38" t="str"/>
      <c r="AH332" s="38" t="str"/>
      <c r="AI332" s="38" t="str"/>
      <c r="AJ332" s="38" t="str"/>
      <c r="AK332" s="38" t="str"/>
      <c r="AL332" s="38" t="str"/>
      <c r="AM332" s="38" t="str"/>
      <c r="AN332" s="38"/>
      <c r="AO332" s="38" t="str"/>
      <c r="AP332" s="38" t="str"/>
      <c r="AQ332" s="38" t="str"/>
      <c r="AR332" s="38" t="str"/>
      <c r="AS332" s="38" t="str"/>
      <c r="AT332" s="38" t="str"/>
      <c r="AU332" s="38" t="str"/>
      <c r="AV332" s="38"/>
      <c r="AW332" s="38">
        <f>IF(AND(Q332="✅", I332="U90"), "X="&amp;(U332-1)*16&amp;",Y="&amp;(V332-1)*16&amp;",Z="&amp;W332*16, "")</f>
      </c>
      <c r="AX332" s="38">
        <f>IF(AND(Q332="✅", I332="U90"), "P=90,Y=0,R=0", "")</f>
      </c>
      <c r="AY332" s="38" t="str"/>
      <c r="AZ332" s="38" t="str"/>
      <c r="BA332" s="38" t="str"/>
      <c r="BB332" s="38" t="str"/>
      <c r="BC332" s="38" t="str"/>
      <c r="BD332" s="38"/>
      <c r="BE332" s="38">
        <f>IF(AND(Q332="✅", I332="D90"), "X="&amp;(U332-1)*16&amp;",Y="&amp;(V332-1)*16&amp;",Z="&amp;(W332-2)*16, "")</f>
      </c>
      <c r="BF332" s="38">
        <f>IF(AND(Q332="✅", I332="D90"), "P=-90,Y=0,R=0", "")</f>
      </c>
      <c r="BG332" s="38" t="str"/>
      <c r="BH332" s="38" t="str"/>
      <c r="BI332" s="38" t="str"/>
      <c r="BJ332" s="38" t="str"/>
      <c r="BK332" s="38" t="str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</row>
    <row collapsed="true" customHeight="true" ht="19" outlineLevel="2" r="333">
      <c r="A333" s="11"/>
      <c r="B333" s="11"/>
      <c r="C333" s="119"/>
      <c r="D333" s="119">
        <v>4</v>
      </c>
      <c r="E333" s="5"/>
      <c r="F333" s="9"/>
      <c r="G333" s="1"/>
      <c r="H333" s="1"/>
      <c r="I333" s="1"/>
      <c r="J333" s="1"/>
      <c r="K333" s="1"/>
      <c r="L333" s="1"/>
      <c r="M333" s="1"/>
      <c r="N333" s="3"/>
      <c r="O333" s="3"/>
      <c r="P333" s="3"/>
      <c r="Q333" s="3"/>
      <c r="R333" s="1" t="str"/>
      <c r="S333" s="9" t="str"/>
      <c r="T333" s="120" t="str"/>
      <c r="U333" s="118"/>
      <c r="V333" s="118"/>
      <c r="W333" s="118"/>
      <c r="X333" s="4"/>
      <c r="Y333" s="4"/>
      <c r="Z333" s="4"/>
      <c r="AA333" s="4" t="str"/>
      <c r="AB333" s="4" t="str"/>
      <c r="AC333" s="4" t="str"/>
      <c r="AD333" s="4" t="str"/>
      <c r="AE333" s="4" t="str"/>
      <c r="AF333" s="4"/>
      <c r="AG333" s="4" t="str"/>
      <c r="AH333" s="4" t="str"/>
      <c r="AI333" s="4" t="str"/>
      <c r="AJ333" s="4" t="str"/>
      <c r="AK333" s="4" t="str"/>
      <c r="AL333" s="4" t="str"/>
      <c r="AM333" s="4" t="str"/>
      <c r="AN333" s="4"/>
      <c r="AO333" s="4" t="str"/>
      <c r="AP333" s="4" t="str"/>
      <c r="AQ333" s="4" t="str"/>
      <c r="AR333" s="4" t="str"/>
      <c r="AS333" s="4" t="str"/>
      <c r="AT333" s="4" t="str"/>
      <c r="AU333" s="4" t="str"/>
      <c r="AV333" s="4"/>
      <c r="AW333" s="4"/>
      <c r="AX333" s="4"/>
      <c r="AY333" s="4" t="str"/>
      <c r="AZ333" s="4" t="str"/>
      <c r="BA333" s="4" t="str"/>
      <c r="BB333" s="4" t="str"/>
      <c r="BC333" s="4" t="str"/>
      <c r="BD333" s="4"/>
      <c r="BE333" s="4"/>
      <c r="BF333" s="4"/>
      <c r="BG333" s="4" t="str"/>
      <c r="BH333" s="4" t="str"/>
      <c r="BI333" s="4" t="str"/>
      <c r="BJ333" s="4" t="str"/>
      <c r="BK333" s="4" t="str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</row>
    <row customHeight="true" hidden="true" ht="19" outlineLevel="3" r="334">
      <c r="A334" s="129" t="str" xml:space="preserve">
        <v> </v>
      </c>
      <c r="B334" s="129" t="str" xml:space="preserve">
        <v> </v>
      </c>
      <c r="C334" s="130" t="str" xml:space="preserve">
        <v> </v>
      </c>
      <c r="D334" s="130" t="str" xml:space="preserve">
        <v> </v>
      </c>
      <c r="E334" s="21">
        <f>G334 &amp; "_" &amp; H334 &amp; IF(I334&lt;&gt;"", "_" &amp; I334, "") &amp; IF(J334&lt;&gt;"", "_" &amp; J334, "") &amp; IF(K334&lt;&gt;"", "_" &amp; K334, "") &amp;"_X"&amp;U334&amp;"_Y"&amp;V334&amp;"_Z"&amp;W334 &amp; IF(G334="SM", "_Proxy" , "_Rail") &amp; IF(M334&lt;&gt;"", "_" &amp; M334, "")</f>
      </c>
      <c r="F334" s="19">
        <f>IF(E334="", "", IF(G334="BP", E334, F332))</f>
      </c>
      <c r="G334" s="20" t="str">
        <v>BP</v>
      </c>
      <c r="H334" s="20" t="str">
        <v>Curve</v>
      </c>
      <c r="I334" s="20" t="str">
        <v>D90</v>
      </c>
      <c r="J334" s="20"/>
      <c r="K334" s="20"/>
      <c r="L334" s="20"/>
      <c r="M334" s="20"/>
      <c r="N334" s="95"/>
      <c r="O334" s="95"/>
      <c r="P334" s="95"/>
      <c r="Q334" s="95" t="str">
        <v>✅</v>
      </c>
      <c r="R334" s="20" t="str">
        <v>Curve_D90_X4_Y1_Z4</v>
      </c>
      <c r="S334" s="19" t="str">
        <v>/Script/Engine.BlueprintGeneratedClass'/Game/Item/Rail/Curve/D90/Normal/Curve_D90_X4_Y1_Z4/BP_Curve_D90_X4_Y1_Z4_Rail.BP_Curve_D90_X4_Y1_Z4_Rail_C'</v>
      </c>
      <c r="T334" s="131">
        <v>7.5</v>
      </c>
      <c r="U334" s="132">
        <v>4</v>
      </c>
      <c r="V334" s="132">
        <v>1</v>
      </c>
      <c r="W334" s="132">
        <v>4</v>
      </c>
      <c r="X334" s="25"/>
      <c r="Y334" s="25">
        <f>IF(AND(Q334="✅", OR(ISNUMBER(FIND("F",I334)), I334="CR")),   "X="&amp;U334*16&amp;",Y="&amp;(V334-1)*16&amp;",Z="&amp;IF(I334="FD", -(W334-1)*16, (W334-1)*16),   "")</f>
      </c>
      <c r="Z334" s="25">
        <f>IF(AND(Q334="✅", OR(ISNUMBER(FIND("F",I334)), I334="CR")), "P=0,Y=0,R=0", "")</f>
      </c>
      <c r="AA334" s="25" t="str"/>
      <c r="AB334" s="25" t="str"/>
      <c r="AC334" s="25" t="str"/>
      <c r="AD334" s="25" t="str"/>
      <c r="AE334" s="25" t="str">
        <v>X=0,Y=0,Z=0,W=0</v>
      </c>
      <c r="AF334" s="25"/>
      <c r="AG334" s="25" t="str"/>
      <c r="AH334" s="25" t="str"/>
      <c r="AI334" s="25" t="str"/>
      <c r="AJ334" s="25" t="str"/>
      <c r="AK334" s="25" t="str"/>
      <c r="AL334" s="25" t="str"/>
      <c r="AM334" s="25" t="str"/>
      <c r="AN334" s="25"/>
      <c r="AO334" s="25" t="str"/>
      <c r="AP334" s="25" t="str"/>
      <c r="AQ334" s="25" t="str"/>
      <c r="AR334" s="25" t="str"/>
      <c r="AS334" s="25" t="str"/>
      <c r="AT334" s="25" t="str"/>
      <c r="AU334" s="25" t="str"/>
      <c r="AV334" s="25"/>
      <c r="AW334" s="25">
        <f>IF(AND(Q334="✅", I334="U90"), "X="&amp;(U334-1)*16&amp;",Y="&amp;(V334-1)*16&amp;",Z="&amp;W334*16, "")</f>
      </c>
      <c r="AX334" s="25">
        <f>IF(AND(Q334="✅", I334="U90"), "P=90,Y=0,R=0", "")</f>
      </c>
      <c r="AY334" s="25" t="str"/>
      <c r="AZ334" s="25" t="str"/>
      <c r="BA334" s="25" t="str"/>
      <c r="BB334" s="25" t="str"/>
      <c r="BC334" s="25" t="str"/>
      <c r="BD334" s="25"/>
      <c r="BE334" s="25">
        <f>IF(AND(Q334="✅", I334="D90"), "X="&amp;(U334-1)*16&amp;",Y="&amp;(V334-1)*16&amp;",Z="&amp;(W334-2)*16, "")</f>
      </c>
      <c r="BF334" s="25">
        <f>IF(AND(Q334="✅", I334="D90"), "P=-90,Y=0,R=0", "")</f>
      </c>
      <c r="BG334" s="25">
        <v>1</v>
      </c>
      <c r="BH334" s="25">
        <v>1.5</v>
      </c>
      <c r="BI334" s="25">
        <v>2</v>
      </c>
      <c r="BJ334" s="25">
        <v>1.5</v>
      </c>
      <c r="BK334" s="25" t="str">
        <v>X=1,Y=1.5,Z=2,W=1.5</v>
      </c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</row>
    <row customHeight="true" hidden="true" ht="19" outlineLevel="3" r="335">
      <c r="A335" s="129" t="str" xml:space="preserve">
        <v> </v>
      </c>
      <c r="B335" s="129" t="str" xml:space="preserve">
        <v> </v>
      </c>
      <c r="C335" s="130" t="str" xml:space="preserve">
        <v> </v>
      </c>
      <c r="D335" s="130" t="str" xml:space="preserve">
        <v> </v>
      </c>
      <c r="E335" s="21">
        <f>G335 &amp; "_" &amp; H335 &amp; IF(I335&lt;&gt;"", "_" &amp; I335, "") &amp; IF(J335&lt;&gt;"", "_" &amp; J335, "") &amp; IF(K335&lt;&gt;"", "_" &amp; K335, "") &amp;"_X"&amp;U335&amp;"_Y"&amp;V335&amp;"_Z"&amp;W335 &amp; IF(G335="SM", "_Proxy" , "_Rail") &amp; IF(M335&lt;&gt;"", "_" &amp; M335, "")</f>
      </c>
      <c r="F335" s="19">
        <f>IF(E335="", "", IF(G335="BP", E335, F334))</f>
      </c>
      <c r="G335" s="20" t="str">
        <v>SM</v>
      </c>
      <c r="H335" s="20" t="str">
        <v>Curve</v>
      </c>
      <c r="I335" s="20" t="str">
        <v>D90</v>
      </c>
      <c r="J335" s="20"/>
      <c r="K335" s="20"/>
      <c r="L335" s="20"/>
      <c r="M335" s="20" t="str">
        <v>B</v>
      </c>
      <c r="N335" s="95"/>
      <c r="O335" s="95"/>
      <c r="P335" s="95" t="str">
        <v>✅</v>
      </c>
      <c r="Q335" s="95"/>
      <c r="R335" s="20" t="str">
        <v>Curve_D90_X4_Y1_Z4</v>
      </c>
      <c r="S335" s="19" t="str">
        <v>/Script/Engine.StaticMesh'/Game/Item/Rail/Curve/D90/Normal/Curve_D90_X4_Y1_Z4/Proxy/SM_Curve_D90_X4_Y1_Z4_Proxy_B.SM_Curve_D90_X4_Y1_Z4_Proxy_B'</v>
      </c>
      <c r="T335" s="131" t="str"/>
      <c r="U335" s="132">
        <v>4</v>
      </c>
      <c r="V335" s="132">
        <v>1</v>
      </c>
      <c r="W335" s="132">
        <v>4</v>
      </c>
      <c r="X335" s="25"/>
      <c r="Y335" s="25">
        <f>IF(AND(Q335="✅", OR(ISNUMBER(FIND("F",I335)), I335="CR")),   "X="&amp;U335*16&amp;",Y="&amp;(V335-1)*16&amp;",Z="&amp;IF(I335="FD", -(W335-1)*16, (W335-1)*16),   "")</f>
      </c>
      <c r="Z335" s="25">
        <f>IF(AND(Q335="✅", OR(ISNUMBER(FIND("F",I335)), I335="CR")), "P=0,Y=0,R=0", "")</f>
      </c>
      <c r="AA335" s="25" t="str"/>
      <c r="AB335" s="25" t="str"/>
      <c r="AC335" s="25" t="str"/>
      <c r="AD335" s="25" t="str"/>
      <c r="AE335" s="25" t="str"/>
      <c r="AF335" s="25"/>
      <c r="AG335" s="25" t="str"/>
      <c r="AH335" s="25" t="str"/>
      <c r="AI335" s="25" t="str"/>
      <c r="AJ335" s="25" t="str"/>
      <c r="AK335" s="25" t="str"/>
      <c r="AL335" s="25" t="str"/>
      <c r="AM335" s="25" t="str"/>
      <c r="AN335" s="25"/>
      <c r="AO335" s="25" t="str"/>
      <c r="AP335" s="25" t="str"/>
      <c r="AQ335" s="25" t="str"/>
      <c r="AR335" s="25" t="str"/>
      <c r="AS335" s="25" t="str"/>
      <c r="AT335" s="25" t="str"/>
      <c r="AU335" s="25" t="str"/>
      <c r="AV335" s="25"/>
      <c r="AW335" s="25">
        <f>IF(AND(Q335="✅", I335="U90"), "X="&amp;(U335-1)*16&amp;",Y="&amp;(V335-1)*16&amp;",Z="&amp;W335*16, "")</f>
      </c>
      <c r="AX335" s="25">
        <f>IF(AND(Q335="✅", I335="U90"), "P=90,Y=0,R=0", "")</f>
      </c>
      <c r="AY335" s="25" t="str"/>
      <c r="AZ335" s="25" t="str"/>
      <c r="BA335" s="25" t="str"/>
      <c r="BB335" s="25" t="str"/>
      <c r="BC335" s="25" t="str"/>
      <c r="BD335" s="25"/>
      <c r="BE335" s="25">
        <f>IF(AND(Q335="✅", I335="D90"), "X="&amp;(U335-1)*16&amp;",Y="&amp;(V335-1)*16&amp;",Z="&amp;(W335-2)*16, "")</f>
      </c>
      <c r="BF335" s="25">
        <f>IF(AND(Q335="✅", I335="D90"), "P=-90,Y=0,R=0", "")</f>
      </c>
      <c r="BG335" s="25" t="str"/>
      <c r="BH335" s="25" t="str"/>
      <c r="BI335" s="25" t="str"/>
      <c r="BJ335" s="25" t="str"/>
      <c r="BK335" s="25" t="str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</row>
    <row customHeight="true" hidden="true" ht="19" outlineLevel="3" r="336">
      <c r="A336" s="129" t="str" xml:space="preserve">
        <v> </v>
      </c>
      <c r="B336" s="129" t="str" xml:space="preserve">
        <v> </v>
      </c>
      <c r="C336" s="130" t="str" xml:space="preserve">
        <v> </v>
      </c>
      <c r="D336" s="130" t="str" xml:space="preserve">
        <v> </v>
      </c>
      <c r="E336" s="21">
        <f>G336 &amp; "_" &amp; H336 &amp; IF(I336&lt;&gt;"", "_" &amp; I336, "") &amp; IF(J336&lt;&gt;"", "_" &amp; J336, "") &amp; IF(K336&lt;&gt;"", "_" &amp; K336, "") &amp;"_X"&amp;U336&amp;"_Y"&amp;V336&amp;"_Z"&amp;W336 &amp; IF(G336="SM", "_Proxy" , "_Rail") &amp; IF(M336&lt;&gt;"", "_" &amp; M336, "")</f>
      </c>
      <c r="F336" s="19">
        <f>IF(E336="", "", IF(G336="BP", E336, F335))</f>
      </c>
      <c r="G336" s="20" t="str">
        <v>SM</v>
      </c>
      <c r="H336" s="20" t="str">
        <v>Curve</v>
      </c>
      <c r="I336" s="20" t="str">
        <v>D90</v>
      </c>
      <c r="J336" s="20"/>
      <c r="K336" s="20"/>
      <c r="L336" s="20"/>
      <c r="M336" s="20" t="str">
        <v>L</v>
      </c>
      <c r="N336" s="95"/>
      <c r="O336" s="95"/>
      <c r="P336" s="95" t="str">
        <v>✅</v>
      </c>
      <c r="Q336" s="95"/>
      <c r="R336" s="20" t="str">
        <v>Curve_D90_X4_Y1_Z4</v>
      </c>
      <c r="S336" s="19" t="str">
        <v>/Script/Engine.StaticMesh'/Game/Item/Rail/Curve/D90/Normal/Curve_D90_X4_Y1_Z4/Proxy/SM_Curve_D90_X4_Y1_Z4_Proxy_L.SM_Curve_D90_X4_Y1_Z4_Proxy_L'</v>
      </c>
      <c r="T336" s="131" t="str"/>
      <c r="U336" s="132">
        <v>4</v>
      </c>
      <c r="V336" s="132">
        <v>1</v>
      </c>
      <c r="W336" s="132">
        <v>4</v>
      </c>
      <c r="X336" s="25"/>
      <c r="Y336" s="25">
        <f>IF(AND(Q336="✅", OR(ISNUMBER(FIND("F",I336)), I336="CR")),   "X="&amp;U336*16&amp;",Y="&amp;(V336-1)*16&amp;",Z="&amp;IF(I336="FD", -(W336-1)*16, (W336-1)*16),   "")</f>
      </c>
      <c r="Z336" s="25">
        <f>IF(AND(Q336="✅", OR(ISNUMBER(FIND("F",I336)), I336="CR")), "P=0,Y=0,R=0", "")</f>
      </c>
      <c r="AA336" s="25" t="str"/>
      <c r="AB336" s="25" t="str"/>
      <c r="AC336" s="25" t="str"/>
      <c r="AD336" s="25" t="str"/>
      <c r="AE336" s="25" t="str"/>
      <c r="AF336" s="25"/>
      <c r="AG336" s="25" t="str"/>
      <c r="AH336" s="25" t="str"/>
      <c r="AI336" s="25" t="str"/>
      <c r="AJ336" s="25" t="str"/>
      <c r="AK336" s="25" t="str"/>
      <c r="AL336" s="25" t="str"/>
      <c r="AM336" s="25" t="str"/>
      <c r="AN336" s="25"/>
      <c r="AO336" s="25" t="str"/>
      <c r="AP336" s="25" t="str"/>
      <c r="AQ336" s="25" t="str"/>
      <c r="AR336" s="25" t="str"/>
      <c r="AS336" s="25" t="str"/>
      <c r="AT336" s="25" t="str"/>
      <c r="AU336" s="25" t="str"/>
      <c r="AV336" s="25"/>
      <c r="AW336" s="25">
        <f>IF(AND(Q336="✅", I336="U90"), "X="&amp;(U336-1)*16&amp;",Y="&amp;(V336-1)*16&amp;",Z="&amp;W336*16, "")</f>
      </c>
      <c r="AX336" s="25">
        <f>IF(AND(Q336="✅", I336="U90"), "P=90,Y=0,R=0", "")</f>
      </c>
      <c r="AY336" s="25" t="str"/>
      <c r="AZ336" s="25" t="str"/>
      <c r="BA336" s="25" t="str"/>
      <c r="BB336" s="25" t="str"/>
      <c r="BC336" s="25" t="str"/>
      <c r="BD336" s="25"/>
      <c r="BE336" s="25">
        <f>IF(AND(Q336="✅", I336="D90"), "X="&amp;(U336-1)*16&amp;",Y="&amp;(V336-1)*16&amp;",Z="&amp;(W336-2)*16, "")</f>
      </c>
      <c r="BF336" s="25">
        <f>IF(AND(Q336="✅", I336="D90"), "P=-90,Y=0,R=0", "")</f>
      </c>
      <c r="BG336" s="25" t="str"/>
      <c r="BH336" s="25" t="str"/>
      <c r="BI336" s="25" t="str"/>
      <c r="BJ336" s="25" t="str"/>
      <c r="BK336" s="25" t="str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</row>
    <row customHeight="true" hidden="true" ht="19" outlineLevel="3" r="337">
      <c r="A337" s="129" t="str" xml:space="preserve">
        <v> </v>
      </c>
      <c r="B337" s="129" t="str" xml:space="preserve">
        <v> </v>
      </c>
      <c r="C337" s="130" t="str" xml:space="preserve">
        <v> </v>
      </c>
      <c r="D337" s="130" t="str" xml:space="preserve">
        <v> </v>
      </c>
      <c r="E337" s="21">
        <f>G337 &amp; "_" &amp; H337 &amp; IF(I337&lt;&gt;"", "_" &amp; I337, "") &amp; IF(J337&lt;&gt;"", "_" &amp; J337, "") &amp; IF(K337&lt;&gt;"", "_" &amp; K337, "") &amp;"_X"&amp;U337&amp;"_Y"&amp;V337&amp;"_Z"&amp;W337 &amp; IF(G337="SM", "_Proxy" , "_Rail") &amp; IF(M337&lt;&gt;"", "_" &amp; M337, "")</f>
      </c>
      <c r="F337" s="19">
        <f>IF(E337="", "", IF(G337="BP", E337, F336))</f>
      </c>
      <c r="G337" s="20" t="str">
        <v>SM</v>
      </c>
      <c r="H337" s="20" t="str">
        <v>Curve</v>
      </c>
      <c r="I337" s="20" t="str">
        <v>D90</v>
      </c>
      <c r="J337" s="20"/>
      <c r="K337" s="20"/>
      <c r="L337" s="20"/>
      <c r="M337" s="20" t="str">
        <v>R</v>
      </c>
      <c r="N337" s="95"/>
      <c r="O337" s="95"/>
      <c r="P337" s="95" t="str">
        <v>✅</v>
      </c>
      <c r="Q337" s="95"/>
      <c r="R337" s="20" t="str">
        <v>Curve_D90_X4_Y1_Z4</v>
      </c>
      <c r="S337" s="19" t="str">
        <v>/Script/Engine.StaticMesh'/Game/Item/Rail/Curve/D90/Normal/Curve_D90_X4_Y1_Z4/Proxy/SM_Curve_D90_X4_Y1_Z4_Proxy_R.SM_Curve_D90_X4_Y1_Z4_Proxy_R'</v>
      </c>
      <c r="T337" s="131" t="str"/>
      <c r="U337" s="132">
        <v>4</v>
      </c>
      <c r="V337" s="132">
        <v>1</v>
      </c>
      <c r="W337" s="132">
        <v>4</v>
      </c>
      <c r="X337" s="25"/>
      <c r="Y337" s="25">
        <f>IF(AND(Q337="✅", OR(ISNUMBER(FIND("F",I337)), I337="CR")),   "X="&amp;U337*16&amp;",Y="&amp;(V337-1)*16&amp;",Z="&amp;IF(I337="FD", -(W337-1)*16, (W337-1)*16),   "")</f>
      </c>
      <c r="Z337" s="25">
        <f>IF(AND(Q337="✅", OR(ISNUMBER(FIND("F",I337)), I337="CR")), "P=0,Y=0,R=0", "")</f>
      </c>
      <c r="AA337" s="25" t="str"/>
      <c r="AB337" s="25" t="str"/>
      <c r="AC337" s="25" t="str"/>
      <c r="AD337" s="25" t="str"/>
      <c r="AE337" s="25" t="str"/>
      <c r="AF337" s="25"/>
      <c r="AG337" s="25" t="str"/>
      <c r="AH337" s="25" t="str"/>
      <c r="AI337" s="25" t="str"/>
      <c r="AJ337" s="25" t="str"/>
      <c r="AK337" s="25" t="str"/>
      <c r="AL337" s="25" t="str"/>
      <c r="AM337" s="25" t="str"/>
      <c r="AN337" s="25"/>
      <c r="AO337" s="25" t="str"/>
      <c r="AP337" s="25" t="str"/>
      <c r="AQ337" s="25" t="str"/>
      <c r="AR337" s="25" t="str"/>
      <c r="AS337" s="25" t="str"/>
      <c r="AT337" s="25" t="str"/>
      <c r="AU337" s="25" t="str"/>
      <c r="AV337" s="25"/>
      <c r="AW337" s="25">
        <f>IF(AND(Q337="✅", I337="U90"), "X="&amp;(U337-1)*16&amp;",Y="&amp;(V337-1)*16&amp;",Z="&amp;W337*16, "")</f>
      </c>
      <c r="AX337" s="25">
        <f>IF(AND(Q337="✅", I337="U90"), "P=90,Y=0,R=0", "")</f>
      </c>
      <c r="AY337" s="25" t="str"/>
      <c r="AZ337" s="25" t="str"/>
      <c r="BA337" s="25" t="str"/>
      <c r="BB337" s="25" t="str"/>
      <c r="BC337" s="25" t="str"/>
      <c r="BD337" s="25"/>
      <c r="BE337" s="25">
        <f>IF(AND(Q337="✅", I337="D90"), "X="&amp;(U337-1)*16&amp;",Y="&amp;(V337-1)*16&amp;",Z="&amp;(W337-2)*16, "")</f>
      </c>
      <c r="BF337" s="25">
        <f>IF(AND(Q337="✅", I337="D90"), "P=-90,Y=0,R=0", "")</f>
      </c>
      <c r="BG337" s="25" t="str"/>
      <c r="BH337" s="25" t="str"/>
      <c r="BI337" s="25" t="str"/>
      <c r="BJ337" s="25" t="str"/>
      <c r="BK337" s="25" t="str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</row>
    <row customHeight="true" ht="19" r="338">
      <c r="A338" s="11" t="str">
        <v>Bump</v>
      </c>
      <c r="B338" s="11"/>
      <c r="C338" s="119"/>
      <c r="D338" s="119"/>
      <c r="E338" s="5"/>
      <c r="F338" s="9">
        <f>IF(E338="", "", IF(G338="BP", E338, F337))</f>
      </c>
      <c r="G338" s="1"/>
      <c r="H338" s="1"/>
      <c r="I338" s="1"/>
      <c r="J338" s="1"/>
      <c r="K338" s="1"/>
      <c r="L338" s="1"/>
      <c r="M338" s="1"/>
      <c r="N338" s="3"/>
      <c r="O338" s="3"/>
      <c r="P338" s="3"/>
      <c r="Q338" s="3"/>
      <c r="R338" s="1" t="str"/>
      <c r="S338" s="9" t="str"/>
      <c r="T338" s="120" t="str"/>
      <c r="U338" s="118"/>
      <c r="V338" s="118"/>
      <c r="W338" s="118"/>
      <c r="X338" s="4"/>
      <c r="Y338" s="4">
        <f>IF(AND(Q338="✅", OR(ISNUMBER(FIND("F",I338)), I338="CR")),   "X="&amp;U338*16&amp;",Y="&amp;(V338-1)*16&amp;",Z="&amp;IF(I338="FD", -(W338-1)*16, (W338-1)*16),   "")</f>
      </c>
      <c r="Z338" s="4">
        <f>IF(AND(Q338="✅", OR(ISNUMBER(FIND("F",I338)), I338="CR")), "P=0,Y=0,R=0", "")</f>
      </c>
      <c r="AA338" s="4" t="str"/>
      <c r="AB338" s="4" t="str"/>
      <c r="AC338" s="4" t="str"/>
      <c r="AD338" s="4" t="str"/>
      <c r="AE338" s="4" t="str"/>
      <c r="AF338" s="4"/>
      <c r="AG338" s="4" t="str"/>
      <c r="AH338" s="4" t="str"/>
      <c r="AI338" s="4" t="str"/>
      <c r="AJ338" s="4" t="str"/>
      <c r="AK338" s="4" t="str"/>
      <c r="AL338" s="4" t="str"/>
      <c r="AM338" s="4" t="str"/>
      <c r="AN338" s="4"/>
      <c r="AO338" s="4" t="str"/>
      <c r="AP338" s="4" t="str"/>
      <c r="AQ338" s="4" t="str"/>
      <c r="AR338" s="4" t="str"/>
      <c r="AS338" s="4" t="str"/>
      <c r="AT338" s="4" t="str"/>
      <c r="AU338" s="4" t="str"/>
      <c r="AV338" s="4"/>
      <c r="AW338" s="4">
        <f>IF(AND(Q338="✅", I338="U90"), "X="&amp;(U338-1)*16&amp;",Y="&amp;(V338-1)*16&amp;",Z="&amp;W338*16, "")</f>
      </c>
      <c r="AX338" s="4">
        <f>IF(AND(Q338="✅", I338="U90"), "P=90,Y=0,R=0", "")</f>
      </c>
      <c r="AY338" s="4" t="str"/>
      <c r="AZ338" s="4" t="str"/>
      <c r="BA338" s="4" t="str"/>
      <c r="BB338" s="4" t="str"/>
      <c r="BC338" s="4" t="str"/>
      <c r="BD338" s="4"/>
      <c r="BE338" s="4">
        <f>IF(AND(Q338="✅", I338="D90"), "X="&amp;(U338-1)*16&amp;",Y="&amp;(V338-1)*16&amp;",Z="&amp;(W338-2)*16, "")</f>
      </c>
      <c r="BF338" s="4">
        <f>IF(AND(Q338="✅", I338="D90"), "P=-90,Y=0,R=0", "")</f>
      </c>
      <c r="BG338" s="4" t="str"/>
      <c r="BH338" s="4" t="str"/>
      <c r="BI338" s="4" t="str"/>
      <c r="BJ338" s="4" t="str"/>
      <c r="BK338" s="4" t="str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</row>
    <row customHeight="true" ht="19" outlineLevel="1" r="339">
      <c r="A339" s="11"/>
      <c r="B339" s="11" t="str">
        <v>FD</v>
      </c>
      <c r="C339" s="119"/>
      <c r="D339" s="119"/>
      <c r="E339" s="5"/>
      <c r="F339" s="9">
        <f>IF(E339="", "", IF(G339="BP", E339, F338))</f>
      </c>
      <c r="G339" s="1"/>
      <c r="H339" s="1"/>
      <c r="I339" s="1"/>
      <c r="J339" s="1"/>
      <c r="K339" s="1"/>
      <c r="L339" s="1"/>
      <c r="M339" s="1"/>
      <c r="N339" s="3"/>
      <c r="O339" s="3"/>
      <c r="P339" s="3"/>
      <c r="Q339" s="3"/>
      <c r="R339" s="1" t="str"/>
      <c r="S339" s="9" t="str"/>
      <c r="T339" s="120" t="str"/>
      <c r="U339" s="118"/>
      <c r="V339" s="118"/>
      <c r="W339" s="118"/>
      <c r="X339" s="4"/>
      <c r="Y339" s="4">
        <f>IF(AND(Q339="✅", OR(ISNUMBER(FIND("F",I339)), I339="CR")),   "X="&amp;U339*16&amp;",Y="&amp;(V339-1)*16&amp;",Z="&amp;IF(I339="FD", -(W339-1)*16, (W339-1)*16),   "")</f>
      </c>
      <c r="Z339" s="4">
        <f>IF(AND(Q339="✅", OR(ISNUMBER(FIND("F",I339)), I339="CR")), "P=0,Y=0,R=0", "")</f>
      </c>
      <c r="AA339" s="4" t="str"/>
      <c r="AB339" s="4" t="str"/>
      <c r="AC339" s="4" t="str"/>
      <c r="AD339" s="4" t="str"/>
      <c r="AE339" s="4" t="str"/>
      <c r="AF339" s="4"/>
      <c r="AG339" s="4" t="str"/>
      <c r="AH339" s="4" t="str"/>
      <c r="AI339" s="4" t="str"/>
      <c r="AJ339" s="4" t="str"/>
      <c r="AK339" s="4" t="str"/>
      <c r="AL339" s="4" t="str"/>
      <c r="AM339" s="4" t="str"/>
      <c r="AN339" s="4"/>
      <c r="AO339" s="4" t="str"/>
      <c r="AP339" s="4" t="str"/>
      <c r="AQ339" s="4" t="str"/>
      <c r="AR339" s="4" t="str"/>
      <c r="AS339" s="4" t="str"/>
      <c r="AT339" s="4" t="str"/>
      <c r="AU339" s="4" t="str"/>
      <c r="AV339" s="4"/>
      <c r="AW339" s="4">
        <f>IF(AND(Q339="✅", I339="U90"), "X="&amp;(U339-1)*16&amp;",Y="&amp;(V339-1)*16&amp;",Z="&amp;W339*16, "")</f>
      </c>
      <c r="AX339" s="4">
        <f>IF(AND(Q339="✅", I339="U90"), "P=90,Y=0,R=0", "")</f>
      </c>
      <c r="AY339" s="4" t="str"/>
      <c r="AZ339" s="4" t="str"/>
      <c r="BA339" s="4" t="str"/>
      <c r="BB339" s="4" t="str"/>
      <c r="BC339" s="4" t="str"/>
      <c r="BD339" s="4"/>
      <c r="BE339" s="4">
        <f>IF(AND(Q339="✅", I339="D90"), "X="&amp;(U339-1)*16&amp;",Y="&amp;(V339-1)*16&amp;",Z="&amp;(W339-2)*16, "")</f>
      </c>
      <c r="BF339" s="4">
        <f>IF(AND(Q339="✅", I339="D90"), "P=-90,Y=0,R=0", "")</f>
      </c>
      <c r="BG339" s="4" t="str"/>
      <c r="BH339" s="4" t="str"/>
      <c r="BI339" s="4" t="str"/>
      <c r="BJ339" s="4" t="str"/>
      <c r="BK339" s="4" t="str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</row>
    <row collapsed="true" customHeight="true" ht="19" outlineLevel="2" r="340">
      <c r="A340" s="11"/>
      <c r="B340" s="11"/>
      <c r="C340" s="119" t="str">
        <v>Normal</v>
      </c>
      <c r="D340" s="119"/>
      <c r="E340" s="5"/>
      <c r="F340" s="9"/>
      <c r="G340" s="1"/>
      <c r="H340" s="1"/>
      <c r="I340" s="1"/>
      <c r="J340" s="1"/>
      <c r="K340" s="1"/>
      <c r="L340" s="1"/>
      <c r="M340" s="1"/>
      <c r="N340" s="3"/>
      <c r="O340" s="3"/>
      <c r="P340" s="3"/>
      <c r="Q340" s="3"/>
      <c r="R340" s="1" t="str"/>
      <c r="S340" s="9" t="str"/>
      <c r="T340" s="120" t="str"/>
      <c r="U340" s="118"/>
      <c r="V340" s="118"/>
      <c r="W340" s="118"/>
      <c r="X340" s="4"/>
      <c r="Y340" s="4"/>
      <c r="Z340" s="4"/>
      <c r="AA340" s="4" t="str"/>
      <c r="AB340" s="4" t="str"/>
      <c r="AC340" s="4" t="str"/>
      <c r="AD340" s="4" t="str"/>
      <c r="AE340" s="4" t="str"/>
      <c r="AF340" s="4"/>
      <c r="AG340" s="4" t="str"/>
      <c r="AH340" s="4" t="str"/>
      <c r="AI340" s="4" t="str"/>
      <c r="AJ340" s="4" t="str"/>
      <c r="AK340" s="4" t="str"/>
      <c r="AL340" s="4" t="str"/>
      <c r="AM340" s="4" t="str"/>
      <c r="AN340" s="4"/>
      <c r="AO340" s="4" t="str"/>
      <c r="AP340" s="4" t="str"/>
      <c r="AQ340" s="4" t="str"/>
      <c r="AR340" s="4" t="str"/>
      <c r="AS340" s="4" t="str"/>
      <c r="AT340" s="4" t="str"/>
      <c r="AU340" s="4" t="str"/>
      <c r="AV340" s="4"/>
      <c r="AW340" s="4"/>
      <c r="AX340" s="4"/>
      <c r="AY340" s="4" t="str"/>
      <c r="AZ340" s="4" t="str"/>
      <c r="BA340" s="4" t="str"/>
      <c r="BB340" s="4" t="str"/>
      <c r="BC340" s="4" t="str"/>
      <c r="BD340" s="4"/>
      <c r="BE340" s="4"/>
      <c r="BF340" s="4"/>
      <c r="BG340" s="4" t="str"/>
      <c r="BH340" s="4" t="str"/>
      <c r="BI340" s="4" t="str"/>
      <c r="BJ340" s="4" t="str"/>
      <c r="BK340" s="4" t="str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</row>
    <row customHeight="true" hidden="true" ht="19" outlineLevel="3" r="341">
      <c r="A341" s="11"/>
      <c r="B341" s="11"/>
      <c r="C341" s="119"/>
      <c r="D341" s="119">
        <v>2</v>
      </c>
      <c r="E341" s="5"/>
      <c r="F341" s="9"/>
      <c r="G341" s="1"/>
      <c r="H341" s="1"/>
      <c r="I341" s="1"/>
      <c r="J341" s="1"/>
      <c r="K341" s="1"/>
      <c r="L341" s="1"/>
      <c r="M341" s="1"/>
      <c r="N341" s="3"/>
      <c r="O341" s="3"/>
      <c r="P341" s="3"/>
      <c r="Q341" s="3"/>
      <c r="R341" s="1" t="str"/>
      <c r="S341" s="9" t="str"/>
      <c r="T341" s="120" t="str"/>
      <c r="U341" s="118"/>
      <c r="V341" s="118"/>
      <c r="W341" s="118"/>
      <c r="X341" s="4"/>
      <c r="Y341" s="4"/>
      <c r="Z341" s="4"/>
      <c r="AA341" s="4" t="str"/>
      <c r="AB341" s="4" t="str"/>
      <c r="AC341" s="4" t="str"/>
      <c r="AD341" s="4" t="str"/>
      <c r="AE341" s="4" t="str"/>
      <c r="AF341" s="4"/>
      <c r="AG341" s="4" t="str"/>
      <c r="AH341" s="4" t="str"/>
      <c r="AI341" s="4" t="str"/>
      <c r="AJ341" s="4" t="str"/>
      <c r="AK341" s="4" t="str"/>
      <c r="AL341" s="4" t="str"/>
      <c r="AM341" s="4" t="str"/>
      <c r="AN341" s="4"/>
      <c r="AO341" s="4" t="str"/>
      <c r="AP341" s="4" t="str"/>
      <c r="AQ341" s="4" t="str"/>
      <c r="AR341" s="4" t="str"/>
      <c r="AS341" s="4" t="str"/>
      <c r="AT341" s="4" t="str"/>
      <c r="AU341" s="4" t="str"/>
      <c r="AV341" s="4"/>
      <c r="AW341" s="4"/>
      <c r="AX341" s="4"/>
      <c r="AY341" s="4" t="str"/>
      <c r="AZ341" s="4" t="str"/>
      <c r="BA341" s="4" t="str"/>
      <c r="BB341" s="4" t="str"/>
      <c r="BC341" s="4" t="str"/>
      <c r="BD341" s="4"/>
      <c r="BE341" s="4"/>
      <c r="BF341" s="4"/>
      <c r="BG341" s="4" t="str"/>
      <c r="BH341" s="4" t="str"/>
      <c r="BI341" s="4" t="str"/>
      <c r="BJ341" s="4" t="str"/>
      <c r="BK341" s="4" t="str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</row>
    <row customHeight="true" hidden="true" ht="19" outlineLevel="4" r="342">
      <c r="A342" s="146" t="str" xml:space="preserve">
        <v> </v>
      </c>
      <c r="B342" s="146" t="str" xml:space="preserve">
        <v> </v>
      </c>
      <c r="C342" s="143" t="str" xml:space="preserve">
        <v> </v>
      </c>
      <c r="D342" s="143" t="str" xml:space="preserve">
        <v> </v>
      </c>
      <c r="E342" s="60">
        <f>G342 &amp; "_" &amp; H342 &amp; IF(I342&lt;&gt;"", "_" &amp; I342, "") &amp; IF(J342&lt;&gt;"", "_" &amp; J342, "") &amp; IF(K342&lt;&gt;"", "_" &amp; K342, "") &amp;"_X"&amp;U342&amp;"_Y"&amp;V342&amp;"_Z"&amp;W342 &amp; IF(G342="SM", "_Proxy" , "_Rail") &amp; IF(M342&lt;&gt;"", "_" &amp; M342, "")</f>
      </c>
      <c r="F342" s="62">
        <f>IF(E342="", "", IF(G342="BP", E342, F341))</f>
      </c>
      <c r="G342" s="61" t="str">
        <v>BP</v>
      </c>
      <c r="H342" s="61" t="str">
        <v>Bump</v>
      </c>
      <c r="I342" s="61" t="str">
        <v>FD</v>
      </c>
      <c r="J342" s="61"/>
      <c r="K342" s="61"/>
      <c r="L342" s="61"/>
      <c r="M342" s="61"/>
      <c r="N342" s="87"/>
      <c r="O342" s="87"/>
      <c r="P342" s="87"/>
      <c r="Q342" s="87" t="str">
        <v>✅</v>
      </c>
      <c r="R342" s="61" t="str">
        <v>Bump_FD_X2_Y1_Z2</v>
      </c>
      <c r="S342" s="62" t="str">
        <v>/Script/Engine.BlueprintGeneratedClass'/Game/Item/Rail/Bump/FD/Normal/Bump_FD_X2_Y1_Z2/BP_Bump_FD_X2_Y1_Z2_Rail.BP_Bump_FD_X2_Y1_Z2_Rail_C'</v>
      </c>
      <c r="T342" s="144">
        <v>5.2</v>
      </c>
      <c r="U342" s="145">
        <v>2</v>
      </c>
      <c r="V342" s="145">
        <v>1</v>
      </c>
      <c r="W342" s="145">
        <v>2</v>
      </c>
      <c r="X342" s="71"/>
      <c r="Y342" s="71">
        <f>IF(AND(Q342="✅", OR(ISNUMBER(FIND("F",I342)), I342="CR")),   "X="&amp;U342*16&amp;",Y="&amp;(V342-1)*16&amp;",Z="&amp;IF(I342="FD", -(W342-1)*16, (W342-1)*16),   "")</f>
      </c>
      <c r="Z342" s="71">
        <f>IF(AND(Q342="✅", OR(ISNUMBER(FIND("F",I342)), I342="CR")), "P=0,Y=0,R=0", "")</f>
      </c>
      <c r="AA342" s="71">
        <v>1</v>
      </c>
      <c r="AB342" s="71">
        <v>1.5</v>
      </c>
      <c r="AC342" s="71">
        <v>2</v>
      </c>
      <c r="AD342" s="71">
        <v>1.5</v>
      </c>
      <c r="AE342" s="71" t="str">
        <v>X=1,Y=1.5,Z=2,W=1.5</v>
      </c>
      <c r="AF342" s="71"/>
      <c r="AG342" s="71" t="str"/>
      <c r="AH342" s="71" t="str"/>
      <c r="AI342" s="71" t="str"/>
      <c r="AJ342" s="71" t="str"/>
      <c r="AK342" s="71" t="str"/>
      <c r="AL342" s="71" t="str"/>
      <c r="AM342" s="71" t="str"/>
      <c r="AN342" s="71"/>
      <c r="AO342" s="71" t="str"/>
      <c r="AP342" s="71" t="str"/>
      <c r="AQ342" s="71" t="str"/>
      <c r="AR342" s="71" t="str"/>
      <c r="AS342" s="71" t="str"/>
      <c r="AT342" s="71" t="str"/>
      <c r="AU342" s="71" t="str"/>
      <c r="AV342" s="71"/>
      <c r="AW342" s="71">
        <f>IF(AND(Q342="✅", I342="U90"), "X="&amp;(U342-1)*16&amp;",Y="&amp;(V342-1)*16&amp;",Z="&amp;W342*16, "")</f>
      </c>
      <c r="AX342" s="71">
        <f>IF(AND(Q342="✅", I342="U90"), "P=90,Y=0,R=0", "")</f>
      </c>
      <c r="AY342" s="71" t="str"/>
      <c r="AZ342" s="71" t="str"/>
      <c r="BA342" s="71" t="str"/>
      <c r="BB342" s="71" t="str"/>
      <c r="BC342" s="71" t="str"/>
      <c r="BD342" s="71"/>
      <c r="BE342" s="71">
        <f>IF(AND(Q342="✅", I342="D90"), "X="&amp;(U342-1)*16&amp;",Y="&amp;(V342-1)*16&amp;",Z="&amp;(W342-2)*16, "")</f>
      </c>
      <c r="BF342" s="71">
        <f>IF(AND(Q342="✅", I342="D90"), "P=-90,Y=0,R=0", "")</f>
      </c>
      <c r="BG342" s="71" t="str"/>
      <c r="BH342" s="71" t="str"/>
      <c r="BI342" s="71" t="str"/>
      <c r="BJ342" s="71" t="str"/>
      <c r="BK342" s="71" t="str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</row>
    <row customHeight="true" hidden="true" ht="19" outlineLevel="4" r="343">
      <c r="A343" s="146" t="str" xml:space="preserve">
        <v> </v>
      </c>
      <c r="B343" s="146" t="str" xml:space="preserve">
        <v> </v>
      </c>
      <c r="C343" s="143" t="str" xml:space="preserve">
        <v> </v>
      </c>
      <c r="D343" s="143" t="str" xml:space="preserve">
        <v> </v>
      </c>
      <c r="E343" s="60">
        <f>G343 &amp; "_" &amp; H343 &amp; IF(I343&lt;&gt;"", "_" &amp; I343, "") &amp; IF(J343&lt;&gt;"", "_" &amp; J343, "") &amp; IF(K343&lt;&gt;"", "_" &amp; K343, "") &amp;"_X"&amp;U343&amp;"_Y"&amp;V343&amp;"_Z"&amp;W343 &amp; IF(G343="SM", "_Proxy" , "_Rail") &amp; IF(M343&lt;&gt;"", "_" &amp; M343, "")</f>
      </c>
      <c r="F343" s="62">
        <f>IF(E343="", "", IF(G343="BP", E343, F342))</f>
      </c>
      <c r="G343" s="61" t="str">
        <v>SM</v>
      </c>
      <c r="H343" s="61" t="str">
        <v>Bump</v>
      </c>
      <c r="I343" s="61" t="str">
        <v>FD</v>
      </c>
      <c r="J343" s="61"/>
      <c r="K343" s="61"/>
      <c r="L343" s="61"/>
      <c r="M343" s="61" t="str">
        <v>B</v>
      </c>
      <c r="N343" s="87"/>
      <c r="O343" s="87"/>
      <c r="P343" s="87" t="str">
        <v>✅</v>
      </c>
      <c r="Q343" s="87"/>
      <c r="R343" s="61" t="str">
        <v>Bump_FD_X2_Y1_Z2</v>
      </c>
      <c r="S343" s="62" t="str">
        <v>/Script/Engine.StaticMesh'/Game/Item/Rail/Bump/FD/Normal/Bump_FD_X2_Y1_Z2/Proxy/SM_Bump_FD_X2_Y1_Z2_Proxy_B.SM_Bump_FD_X2_Y1_Z2_Proxy_B'</v>
      </c>
      <c r="T343" s="144" t="str"/>
      <c r="U343" s="145">
        <v>2</v>
      </c>
      <c r="V343" s="145">
        <v>1</v>
      </c>
      <c r="W343" s="145">
        <v>2</v>
      </c>
      <c r="X343" s="71"/>
      <c r="Y343" s="71">
        <f>IF(AND(Q343="✅", OR(ISNUMBER(FIND("F",I343)), I343="CR")),   "X="&amp;U343*16&amp;",Y="&amp;(V343-1)*16&amp;",Z="&amp;IF(I343="FD", -(W343-1)*16, (W343-1)*16),   "")</f>
      </c>
      <c r="Z343" s="71">
        <f>IF(AND(Q343="✅", OR(ISNUMBER(FIND("F",I343)), I343="CR")), "P=0,Y=0,R=0", "")</f>
      </c>
      <c r="AA343" s="71" t="str"/>
      <c r="AB343" s="71" t="str"/>
      <c r="AC343" s="71" t="str"/>
      <c r="AD343" s="71" t="str"/>
      <c r="AE343" s="71" t="str"/>
      <c r="AF343" s="71"/>
      <c r="AG343" s="71" t="str"/>
      <c r="AH343" s="71" t="str"/>
      <c r="AI343" s="71" t="str"/>
      <c r="AJ343" s="71" t="str"/>
      <c r="AK343" s="71" t="str"/>
      <c r="AL343" s="71" t="str"/>
      <c r="AM343" s="71" t="str"/>
      <c r="AN343" s="71"/>
      <c r="AO343" s="71" t="str"/>
      <c r="AP343" s="71" t="str"/>
      <c r="AQ343" s="71" t="str"/>
      <c r="AR343" s="71" t="str"/>
      <c r="AS343" s="71" t="str"/>
      <c r="AT343" s="71" t="str"/>
      <c r="AU343" s="71" t="str"/>
      <c r="AV343" s="71"/>
      <c r="AW343" s="71">
        <f>IF(AND(Q343="✅", I343="U90"), "X="&amp;(U343-1)*16&amp;",Y="&amp;(V343-1)*16&amp;",Z="&amp;W343*16, "")</f>
      </c>
      <c r="AX343" s="71">
        <f>IF(AND(Q343="✅", I343="U90"), "P=90,Y=0,R=0", "")</f>
      </c>
      <c r="AY343" s="71" t="str"/>
      <c r="AZ343" s="71" t="str"/>
      <c r="BA343" s="71" t="str"/>
      <c r="BB343" s="71" t="str"/>
      <c r="BC343" s="71" t="str"/>
      <c r="BD343" s="71"/>
      <c r="BE343" s="71">
        <f>IF(AND(Q343="✅", I343="D90"), "X="&amp;(U343-1)*16&amp;",Y="&amp;(V343-1)*16&amp;",Z="&amp;(W343-2)*16, "")</f>
      </c>
      <c r="BF343" s="71">
        <f>IF(AND(Q343="✅", I343="D90"), "P=-90,Y=0,R=0", "")</f>
      </c>
      <c r="BG343" s="71" t="str"/>
      <c r="BH343" s="71" t="str"/>
      <c r="BI343" s="71" t="str"/>
      <c r="BJ343" s="71" t="str"/>
      <c r="BK343" s="71" t="str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</row>
    <row hidden="true" outlineLevel="4" r="344">
      <c r="A344" s="146" t="str" xml:space="preserve">
        <v> </v>
      </c>
      <c r="B344" s="146" t="str" xml:space="preserve">
        <v> </v>
      </c>
      <c r="C344" s="143" t="str" xml:space="preserve">
        <v> </v>
      </c>
      <c r="D344" s="143" t="str" xml:space="preserve">
        <v> </v>
      </c>
      <c r="E344" s="60">
        <f>G344 &amp; "_" &amp; H344 &amp; IF(I344&lt;&gt;"", "_" &amp; I344, "") &amp; IF(J344&lt;&gt;"", "_" &amp; J344, "") &amp; IF(K344&lt;&gt;"", "_" &amp; K344, "") &amp;"_X"&amp;U344&amp;"_Y"&amp;V344&amp;"_Z"&amp;W344 &amp; IF(G344="SM", "_Proxy" , "_Rail") &amp; IF(M344&lt;&gt;"", "_" &amp; M344, "")</f>
      </c>
      <c r="F344" s="62">
        <f>IF(E344="", "", IF(G344="BP", E344, F343))</f>
      </c>
      <c r="G344" s="61" t="str">
        <v>SM</v>
      </c>
      <c r="H344" s="61" t="str">
        <v>Bump</v>
      </c>
      <c r="I344" s="61" t="str">
        <v>FD</v>
      </c>
      <c r="J344" s="61"/>
      <c r="K344" s="61"/>
      <c r="L344" s="61"/>
      <c r="M344" s="61" t="str">
        <v>L</v>
      </c>
      <c r="N344" s="87"/>
      <c r="O344" s="87"/>
      <c r="P344" s="87" t="str">
        <v>✅</v>
      </c>
      <c r="Q344" s="87"/>
      <c r="R344" s="61" t="str">
        <v>Bump_FD_X2_Y1_Z2</v>
      </c>
      <c r="S344" s="62" t="str">
        <v>/Script/Engine.StaticMesh'/Game/Item/Rail/Bump/FD/Normal/Bump_FD_X2_Y1_Z2/Proxy/SM_Bump_FD_X2_Y1_Z2_Proxy_L.SM_Bump_FD_X2_Y1_Z2_Proxy_L'</v>
      </c>
      <c r="T344" s="144" t="str"/>
      <c r="U344" s="145">
        <v>2</v>
      </c>
      <c r="V344" s="145">
        <v>1</v>
      </c>
      <c r="W344" s="145">
        <v>2</v>
      </c>
      <c r="X344" s="71"/>
      <c r="Y344" s="71">
        <f>IF(AND(Q344="✅", OR(ISNUMBER(FIND("F",I344)), I344="CR")),   "X="&amp;U344*16&amp;",Y="&amp;(V344-1)*16&amp;",Z="&amp;IF(I344="FD", -(W344-1)*16, (W344-1)*16),   "")</f>
      </c>
      <c r="Z344" s="71">
        <f>IF(AND(Q344="✅", OR(ISNUMBER(FIND("F",I344)), I344="CR")), "P=0,Y=0,R=0", "")</f>
      </c>
      <c r="AA344" s="71" t="str"/>
      <c r="AB344" s="71" t="str"/>
      <c r="AC344" s="71" t="str"/>
      <c r="AD344" s="71" t="str"/>
      <c r="AE344" s="71" t="str"/>
      <c r="AF344" s="71"/>
      <c r="AG344" s="71" t="str"/>
      <c r="AH344" s="71" t="str"/>
      <c r="AI344" s="71" t="str"/>
      <c r="AJ344" s="71" t="str"/>
      <c r="AK344" s="71" t="str"/>
      <c r="AL344" s="71" t="str"/>
      <c r="AM344" s="71" t="str"/>
      <c r="AN344" s="71"/>
      <c r="AO344" s="71" t="str"/>
      <c r="AP344" s="71" t="str"/>
      <c r="AQ344" s="71" t="str"/>
      <c r="AR344" s="71" t="str"/>
      <c r="AS344" s="71" t="str"/>
      <c r="AT344" s="71" t="str"/>
      <c r="AU344" s="71" t="str"/>
      <c r="AV344" s="71"/>
      <c r="AW344" s="71">
        <f>IF(AND(Q344="✅", I344="U90"), "X="&amp;(U344-1)*16&amp;",Y="&amp;(V344-1)*16&amp;",Z="&amp;W344*16, "")</f>
      </c>
      <c r="AX344" s="71">
        <f>IF(AND(Q344="✅", I344="U90"), "P=90,Y=0,R=0", "")</f>
      </c>
      <c r="AY344" s="71" t="str"/>
      <c r="AZ344" s="71" t="str"/>
      <c r="BA344" s="71" t="str"/>
      <c r="BB344" s="71" t="str"/>
      <c r="BC344" s="71" t="str"/>
      <c r="BD344" s="71"/>
      <c r="BE344" s="71">
        <f>IF(AND(Q344="✅", I344="D90"), "X="&amp;(U344-1)*16&amp;",Y="&amp;(V344-1)*16&amp;",Z="&amp;(W344-2)*16, "")</f>
      </c>
      <c r="BF344" s="71">
        <f>IF(AND(Q344="✅", I344="D90"), "P=-90,Y=0,R=0", "")</f>
      </c>
      <c r="BG344" s="71" t="str"/>
      <c r="BH344" s="71" t="str"/>
      <c r="BI344" s="71" t="str"/>
      <c r="BJ344" s="71" t="str"/>
      <c r="BK344" s="71" t="str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</row>
    <row customHeight="true" hidden="true" ht="19" outlineLevel="4" r="345">
      <c r="A345" s="146" t="str" xml:space="preserve">
        <v> </v>
      </c>
      <c r="B345" s="146" t="str" xml:space="preserve">
        <v> </v>
      </c>
      <c r="C345" s="143" t="str" xml:space="preserve">
        <v> </v>
      </c>
      <c r="D345" s="143" t="str" xml:space="preserve">
        <v> </v>
      </c>
      <c r="E345" s="60">
        <f>G345 &amp; "_" &amp; H345 &amp; IF(I345&lt;&gt;"", "_" &amp; I345, "") &amp; IF(J345&lt;&gt;"", "_" &amp; J345, "") &amp; IF(K345&lt;&gt;"", "_" &amp; K345, "") &amp;"_X"&amp;U345&amp;"_Y"&amp;V345&amp;"_Z"&amp;W345 &amp; IF(G345="SM", "_Proxy" , "_Rail") &amp; IF(M345&lt;&gt;"", "_" &amp; M345, "")</f>
      </c>
      <c r="F345" s="62">
        <f>IF(E345="", "", IF(G345="BP", E345, F344))</f>
      </c>
      <c r="G345" s="61" t="str">
        <v>SM</v>
      </c>
      <c r="H345" s="61" t="str">
        <v>Bump</v>
      </c>
      <c r="I345" s="61" t="str">
        <v>FD</v>
      </c>
      <c r="J345" s="61"/>
      <c r="K345" s="61"/>
      <c r="L345" s="61"/>
      <c r="M345" s="61" t="str">
        <v>R</v>
      </c>
      <c r="N345" s="87"/>
      <c r="O345" s="87"/>
      <c r="P345" s="87" t="str">
        <v>✅</v>
      </c>
      <c r="Q345" s="87"/>
      <c r="R345" s="61" t="str">
        <v>Bump_FD_X2_Y1_Z2</v>
      </c>
      <c r="S345" s="62" t="str">
        <v>/Script/Engine.StaticMesh'/Game/Item/Rail/Bump/FD/Normal/Bump_FD_X2_Y1_Z2/Proxy/SM_Bump_FD_X2_Y1_Z2_Proxy_R.SM_Bump_FD_X2_Y1_Z2_Proxy_R'</v>
      </c>
      <c r="T345" s="144" t="str"/>
      <c r="U345" s="145">
        <v>2</v>
      </c>
      <c r="V345" s="145">
        <v>1</v>
      </c>
      <c r="W345" s="145">
        <v>2</v>
      </c>
      <c r="X345" s="71"/>
      <c r="Y345" s="71">
        <f>IF(AND(Q345="✅", OR(ISNUMBER(FIND("F",I345)), I345="CR")),   "X="&amp;U345*16&amp;",Y="&amp;(V345-1)*16&amp;",Z="&amp;IF(I345="FD", -(W345-1)*16, (W345-1)*16),   "")</f>
      </c>
      <c r="Z345" s="71">
        <f>IF(AND(Q345="✅", OR(ISNUMBER(FIND("F",I345)), I345="CR")), "P=0,Y=0,R=0", "")</f>
      </c>
      <c r="AA345" s="71" t="str"/>
      <c r="AB345" s="71" t="str"/>
      <c r="AC345" s="71" t="str"/>
      <c r="AD345" s="71" t="str"/>
      <c r="AE345" s="71" t="str"/>
      <c r="AF345" s="71"/>
      <c r="AG345" s="71" t="str"/>
      <c r="AH345" s="71" t="str"/>
      <c r="AI345" s="71" t="str"/>
      <c r="AJ345" s="71" t="str"/>
      <c r="AK345" s="71" t="str"/>
      <c r="AL345" s="71" t="str"/>
      <c r="AM345" s="71" t="str"/>
      <c r="AN345" s="71"/>
      <c r="AO345" s="71" t="str"/>
      <c r="AP345" s="71" t="str"/>
      <c r="AQ345" s="71" t="str"/>
      <c r="AR345" s="71" t="str"/>
      <c r="AS345" s="71" t="str"/>
      <c r="AT345" s="71" t="str"/>
      <c r="AU345" s="71" t="str"/>
      <c r="AV345" s="71"/>
      <c r="AW345" s="71">
        <f>IF(AND(Q345="✅", I345="U90"), "X="&amp;(U345-1)*16&amp;",Y="&amp;(V345-1)*16&amp;",Z="&amp;W345*16, "")</f>
      </c>
      <c r="AX345" s="71">
        <f>IF(AND(Q345="✅", I345="U90"), "P=90,Y=0,R=0", "")</f>
      </c>
      <c r="AY345" s="71" t="str"/>
      <c r="AZ345" s="71" t="str"/>
      <c r="BA345" s="71" t="str"/>
      <c r="BB345" s="71" t="str"/>
      <c r="BC345" s="71" t="str"/>
      <c r="BD345" s="71"/>
      <c r="BE345" s="71">
        <f>IF(AND(Q345="✅", I345="D90"), "X="&amp;(U345-1)*16&amp;",Y="&amp;(V345-1)*16&amp;",Z="&amp;(W345-2)*16, "")</f>
      </c>
      <c r="BF345" s="71">
        <f>IF(AND(Q345="✅", I345="D90"), "P=-90,Y=0,R=0", "")</f>
      </c>
      <c r="BG345" s="71" t="str"/>
      <c r="BH345" s="71" t="str"/>
      <c r="BI345" s="71" t="str"/>
      <c r="BJ345" s="71" t="str"/>
      <c r="BK345" s="71" t="str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</row>
    <row collapsed="true" customHeight="true" ht="19" outlineLevel="2" r="346">
      <c r="A346" s="11"/>
      <c r="B346" s="11"/>
      <c r="C346" s="119" t="str">
        <v>Borderless</v>
      </c>
      <c r="D346" s="119"/>
      <c r="E346" s="5"/>
      <c r="F346" s="9"/>
      <c r="G346" s="1"/>
      <c r="H346" s="1"/>
      <c r="I346" s="1"/>
      <c r="J346" s="1"/>
      <c r="K346" s="1"/>
      <c r="L346" s="1"/>
      <c r="M346" s="1"/>
      <c r="N346" s="3"/>
      <c r="O346" s="3"/>
      <c r="P346" s="3"/>
      <c r="Q346" s="3"/>
      <c r="R346" s="1" t="str"/>
      <c r="S346" s="9" t="str"/>
      <c r="T346" s="120" t="str"/>
      <c r="U346" s="118"/>
      <c r="V346" s="118"/>
      <c r="W346" s="118"/>
      <c r="X346" s="4"/>
      <c r="Y346" s="4"/>
      <c r="Z346" s="4"/>
      <c r="AA346" s="4" t="str"/>
      <c r="AB346" s="4" t="str"/>
      <c r="AC346" s="4" t="str"/>
      <c r="AD346" s="4" t="str"/>
      <c r="AE346" s="4" t="str"/>
      <c r="AF346" s="4"/>
      <c r="AG346" s="4" t="str"/>
      <c r="AH346" s="4" t="str"/>
      <c r="AI346" s="4" t="str"/>
      <c r="AJ346" s="4" t="str"/>
      <c r="AK346" s="4" t="str"/>
      <c r="AL346" s="4" t="str"/>
      <c r="AM346" s="4" t="str"/>
      <c r="AN346" s="4"/>
      <c r="AO346" s="4" t="str"/>
      <c r="AP346" s="4" t="str"/>
      <c r="AQ346" s="4" t="str"/>
      <c r="AR346" s="4" t="str"/>
      <c r="AS346" s="4" t="str"/>
      <c r="AT346" s="4" t="str"/>
      <c r="AU346" s="4" t="str"/>
      <c r="AV346" s="4"/>
      <c r="AW346" s="4"/>
      <c r="AX346" s="4"/>
      <c r="AY346" s="4" t="str"/>
      <c r="AZ346" s="4" t="str"/>
      <c r="BA346" s="4" t="str"/>
      <c r="BB346" s="4" t="str"/>
      <c r="BC346" s="4" t="str"/>
      <c r="BD346" s="4"/>
      <c r="BE346" s="4"/>
      <c r="BF346" s="4"/>
      <c r="BG346" s="4" t="str"/>
      <c r="BH346" s="4" t="str"/>
      <c r="BI346" s="4" t="str"/>
      <c r="BJ346" s="4" t="str"/>
      <c r="BK346" s="4" t="str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</row>
    <row customHeight="true" hidden="true" ht="19" outlineLevel="3" r="347">
      <c r="A347" s="11"/>
      <c r="B347" s="11"/>
      <c r="C347" s="119"/>
      <c r="D347" s="119">
        <v>2</v>
      </c>
      <c r="E347" s="5"/>
      <c r="F347" s="9"/>
      <c r="G347" s="1"/>
      <c r="H347" s="1"/>
      <c r="I347" s="1"/>
      <c r="J347" s="1"/>
      <c r="K347" s="1"/>
      <c r="L347" s="1"/>
      <c r="M347" s="1"/>
      <c r="N347" s="3"/>
      <c r="O347" s="3"/>
      <c r="P347" s="3"/>
      <c r="Q347" s="3"/>
      <c r="R347" s="1" t="str"/>
      <c r="S347" s="9" t="str"/>
      <c r="T347" s="120" t="str"/>
      <c r="U347" s="118"/>
      <c r="V347" s="118"/>
      <c r="W347" s="118"/>
      <c r="X347" s="4"/>
      <c r="Y347" s="4"/>
      <c r="Z347" s="4"/>
      <c r="AA347" s="4" t="str"/>
      <c r="AB347" s="4" t="str"/>
      <c r="AC347" s="4" t="str"/>
      <c r="AD347" s="4" t="str"/>
      <c r="AE347" s="4" t="str"/>
      <c r="AF347" s="4"/>
      <c r="AG347" s="4" t="str"/>
      <c r="AH347" s="4" t="str"/>
      <c r="AI347" s="4" t="str"/>
      <c r="AJ347" s="4" t="str"/>
      <c r="AK347" s="4" t="str"/>
      <c r="AL347" s="4" t="str"/>
      <c r="AM347" s="4" t="str"/>
      <c r="AN347" s="4"/>
      <c r="AO347" s="4" t="str"/>
      <c r="AP347" s="4" t="str"/>
      <c r="AQ347" s="4" t="str"/>
      <c r="AR347" s="4" t="str"/>
      <c r="AS347" s="4" t="str"/>
      <c r="AT347" s="4" t="str"/>
      <c r="AU347" s="4" t="str"/>
      <c r="AV347" s="4"/>
      <c r="AW347" s="4"/>
      <c r="AX347" s="4"/>
      <c r="AY347" s="4" t="str"/>
      <c r="AZ347" s="4" t="str"/>
      <c r="BA347" s="4" t="str"/>
      <c r="BB347" s="4" t="str"/>
      <c r="BC347" s="4" t="str"/>
      <c r="BD347" s="4"/>
      <c r="BE347" s="4"/>
      <c r="BF347" s="4"/>
      <c r="BG347" s="4" t="str"/>
      <c r="BH347" s="4" t="str"/>
      <c r="BI347" s="4" t="str"/>
      <c r="BJ347" s="4" t="str"/>
      <c r="BK347" s="4" t="str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</row>
    <row customHeight="true" hidden="true" ht="19" outlineLevel="4" r="348">
      <c r="A348" s="127" t="str" xml:space="preserve">
        <v> </v>
      </c>
      <c r="B348" s="127" t="str" xml:space="preserve">
        <v> </v>
      </c>
      <c r="C348" s="125" t="str" xml:space="preserve">
        <v> </v>
      </c>
      <c r="D348" s="125" t="str" xml:space="preserve">
        <v> </v>
      </c>
      <c r="E348" s="42">
        <f>G348 &amp; "_" &amp; H348 &amp; IF(I348&lt;&gt;"", "_" &amp; I348, "") &amp; IF(J348&lt;&gt;"", "_" &amp; J348, "") &amp; IF(K348&lt;&gt;"", "_" &amp; K348, "") &amp;"_X"&amp;U348&amp;"_Y"&amp;V348&amp;"_Z"&amp;W348 &amp; IF(G348="SM", "_Proxy" , "_Rail") &amp; IF(M348&lt;&gt;"", "_" &amp; M348, "")</f>
      </c>
      <c r="F348" s="47">
        <f>IF(E348="", "", IF(G348="BP", E348, F347))</f>
      </c>
      <c r="G348" s="43" t="str">
        <v>BP</v>
      </c>
      <c r="H348" s="43" t="str">
        <v>Bump</v>
      </c>
      <c r="I348" s="43" t="str">
        <v>FD</v>
      </c>
      <c r="J348" s="43" t="str">
        <v>Borderless</v>
      </c>
      <c r="K348" s="43"/>
      <c r="L348" s="43"/>
      <c r="M348" s="43"/>
      <c r="N348" s="77"/>
      <c r="O348" s="77"/>
      <c r="P348" s="77"/>
      <c r="Q348" s="77" t="str">
        <v>⭕</v>
      </c>
      <c r="R348" s="43" t="str"/>
      <c r="S348" s="47" t="str"/>
      <c r="T348" s="126">
        <v>7.800000000000001</v>
      </c>
      <c r="U348" s="128">
        <v>2</v>
      </c>
      <c r="V348" s="128">
        <v>1</v>
      </c>
      <c r="W348" s="128">
        <v>2</v>
      </c>
      <c r="X348" s="48"/>
      <c r="Y348" s="48">
        <f>IF(AND(Q348="✅", OR(ISNUMBER(FIND("F",I348)), I348="CR")),   "X="&amp;U348*16&amp;",Y="&amp;(V348-1)*16&amp;",Z="&amp;IF(I348="FD", -(W348-1)*16, (W348-1)*16),   "")</f>
      </c>
      <c r="Z348" s="48">
        <f>IF(AND(Q348="✅", OR(ISNUMBER(FIND("F",I348)), I348="CR")), "P=0,Y=0,R=0", "")</f>
      </c>
      <c r="AA348" s="48" t="str"/>
      <c r="AB348" s="48" t="str"/>
      <c r="AC348" s="48" t="str"/>
      <c r="AD348" s="48" t="str"/>
      <c r="AE348" s="48" t="str"/>
      <c r="AF348" s="48"/>
      <c r="AG348" s="48" t="str"/>
      <c r="AH348" s="48" t="str"/>
      <c r="AI348" s="48" t="str"/>
      <c r="AJ348" s="48" t="str"/>
      <c r="AK348" s="48" t="str"/>
      <c r="AL348" s="48" t="str"/>
      <c r="AM348" s="48" t="str"/>
      <c r="AN348" s="48"/>
      <c r="AO348" s="48" t="str"/>
      <c r="AP348" s="48" t="str"/>
      <c r="AQ348" s="48" t="str"/>
      <c r="AR348" s="48" t="str"/>
      <c r="AS348" s="48" t="str"/>
      <c r="AT348" s="48" t="str"/>
      <c r="AU348" s="48" t="str"/>
      <c r="AV348" s="48"/>
      <c r="AW348" s="48">
        <f>IF(AND(Q348="✅", I348="U90"), "X="&amp;(U348-1)*16&amp;",Y="&amp;(V348-1)*16&amp;",Z="&amp;W348*16, "")</f>
      </c>
      <c r="AX348" s="48">
        <f>IF(AND(Q348="✅", I348="U90"), "P=90,Y=0,R=0", "")</f>
      </c>
      <c r="AY348" s="48" t="str"/>
      <c r="AZ348" s="48" t="str"/>
      <c r="BA348" s="48" t="str"/>
      <c r="BB348" s="48" t="str"/>
      <c r="BC348" s="48" t="str"/>
      <c r="BD348" s="48"/>
      <c r="BE348" s="48">
        <f>IF(AND(Q348="✅", I348="D90"), "X="&amp;(U348-1)*16&amp;",Y="&amp;(V348-1)*16&amp;",Z="&amp;(W348-2)*16, "")</f>
      </c>
      <c r="BF348" s="48">
        <f>IF(AND(Q348="✅", I348="D90"), "P=-90,Y=0,R=0", "")</f>
      </c>
      <c r="BG348" s="48" t="str"/>
      <c r="BH348" s="48" t="str"/>
      <c r="BI348" s="48" t="str"/>
      <c r="BJ348" s="48" t="str"/>
      <c r="BK348" s="48" t="str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</row>
    <row customHeight="true" hidden="true" ht="19" outlineLevel="4" r="349">
      <c r="A349" s="127" t="str" xml:space="preserve">
        <v> </v>
      </c>
      <c r="B349" s="127" t="str" xml:space="preserve">
        <v> </v>
      </c>
      <c r="C349" s="125" t="str" xml:space="preserve">
        <v> </v>
      </c>
      <c r="D349" s="125" t="str" xml:space="preserve">
        <v> </v>
      </c>
      <c r="E349" s="42">
        <f>E343</f>
      </c>
      <c r="F349" s="47">
        <f>IF(E349="", "", IF(G349="BP", E349, F348))</f>
      </c>
      <c r="G349" s="43"/>
      <c r="H349" s="43"/>
      <c r="I349" s="43"/>
      <c r="J349" s="43"/>
      <c r="K349" s="43"/>
      <c r="L349" s="43"/>
      <c r="M349" s="43" t="str">
        <v>B</v>
      </c>
      <c r="N349" s="77"/>
      <c r="O349" s="77"/>
      <c r="P349" s="77" t="str">
        <v>✅</v>
      </c>
      <c r="Q349" s="77"/>
      <c r="R349" s="43" t="str">
        <v>Bump_FD_X2_Y1_Z2</v>
      </c>
      <c r="S349" s="47" t="str">
        <v>/Script/Engine.StaticMesh'/Game/Item/Rail/Bump/FD/Normal/Bump_FD_X2_Y1_Z2/Proxy/SM_Bump_FD_X2_Y1_Z2_Proxy_B.SM_Bump_FD_X2_Y1_Z2_Proxy_B'</v>
      </c>
      <c r="T349" s="126" t="str"/>
      <c r="U349" s="128">
        <v>2</v>
      </c>
      <c r="V349" s="128">
        <v>1</v>
      </c>
      <c r="W349" s="128">
        <v>2</v>
      </c>
      <c r="X349" s="48"/>
      <c r="Y349" s="48">
        <f>IF(AND(Q349="✅", OR(ISNUMBER(FIND("F",I349)), I349="CR")),   "X="&amp;U349*16&amp;",Y="&amp;(V349-1)*16&amp;",Z="&amp;IF(I349="FD", -(W349-1)*16, (W349-1)*16),   "")</f>
      </c>
      <c r="Z349" s="48">
        <f>IF(AND(Q349="✅", OR(ISNUMBER(FIND("F",I349)), I349="CR")), "P=0,Y=0,R=0", "")</f>
      </c>
      <c r="AA349" s="48" t="str"/>
      <c r="AB349" s="48" t="str"/>
      <c r="AC349" s="48" t="str"/>
      <c r="AD349" s="48" t="str"/>
      <c r="AE349" s="48" t="str"/>
      <c r="AF349" s="48"/>
      <c r="AG349" s="48" t="str"/>
      <c r="AH349" s="48" t="str"/>
      <c r="AI349" s="48" t="str"/>
      <c r="AJ349" s="48" t="str"/>
      <c r="AK349" s="48" t="str"/>
      <c r="AL349" s="48" t="str"/>
      <c r="AM349" s="48" t="str"/>
      <c r="AN349" s="48"/>
      <c r="AO349" s="48" t="str"/>
      <c r="AP349" s="48" t="str"/>
      <c r="AQ349" s="48" t="str"/>
      <c r="AR349" s="48" t="str"/>
      <c r="AS349" s="48" t="str"/>
      <c r="AT349" s="48" t="str"/>
      <c r="AU349" s="48" t="str"/>
      <c r="AV349" s="48"/>
      <c r="AW349" s="48">
        <f>IF(AND(Q349="✅", I349="U90"), "X="&amp;(U349-1)*16&amp;",Y="&amp;(V349-1)*16&amp;",Z="&amp;W349*16, "")</f>
      </c>
      <c r="AX349" s="48">
        <f>IF(AND(Q349="✅", I349="U90"), "P=90,Y=0,R=0", "")</f>
      </c>
      <c r="AY349" s="48" t="str"/>
      <c r="AZ349" s="48" t="str"/>
      <c r="BA349" s="48" t="str"/>
      <c r="BB349" s="48" t="str"/>
      <c r="BC349" s="48" t="str"/>
      <c r="BD349" s="48"/>
      <c r="BE349" s="48">
        <f>IF(AND(Q349="✅", I349="D90"), "X="&amp;(U349-1)*16&amp;",Y="&amp;(V349-1)*16&amp;",Z="&amp;(W349-2)*16, "")</f>
      </c>
      <c r="BF349" s="48">
        <f>IF(AND(Q349="✅", I349="D90"), "P=-90,Y=0,R=0", "")</f>
      </c>
      <c r="BG349" s="48" t="str"/>
      <c r="BH349" s="48" t="str"/>
      <c r="BI349" s="48" t="str"/>
      <c r="BJ349" s="48" t="str"/>
      <c r="BK349" s="48" t="str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</row>
    <row collapsed="true" customHeight="true" ht="19" outlineLevel="2" r="350">
      <c r="A350" s="11"/>
      <c r="B350" s="11"/>
      <c r="C350" s="119" t="str">
        <v>Borderless_Caved</v>
      </c>
      <c r="D350" s="119"/>
      <c r="E350" s="5"/>
      <c r="F350" s="9"/>
      <c r="G350" s="1"/>
      <c r="H350" s="1"/>
      <c r="I350" s="1"/>
      <c r="J350" s="1"/>
      <c r="K350" s="1"/>
      <c r="L350" s="1"/>
      <c r="M350" s="1"/>
      <c r="N350" s="3"/>
      <c r="O350" s="3"/>
      <c r="P350" s="3"/>
      <c r="Q350" s="3"/>
      <c r="R350" s="1" t="str"/>
      <c r="S350" s="9" t="str"/>
      <c r="T350" s="120" t="str"/>
      <c r="U350" s="118"/>
      <c r="V350" s="118"/>
      <c r="W350" s="118"/>
      <c r="X350" s="4"/>
      <c r="Y350" s="4"/>
      <c r="Z350" s="4"/>
      <c r="AA350" s="4" t="str"/>
      <c r="AB350" s="4" t="str"/>
      <c r="AC350" s="4" t="str"/>
      <c r="AD350" s="4" t="str"/>
      <c r="AE350" s="4" t="str"/>
      <c r="AF350" s="4"/>
      <c r="AG350" s="4" t="str"/>
      <c r="AH350" s="4" t="str"/>
      <c r="AI350" s="4" t="str"/>
      <c r="AJ350" s="4" t="str"/>
      <c r="AK350" s="4" t="str"/>
      <c r="AL350" s="4" t="str"/>
      <c r="AM350" s="4" t="str"/>
      <c r="AN350" s="4"/>
      <c r="AO350" s="4" t="str"/>
      <c r="AP350" s="4" t="str"/>
      <c r="AQ350" s="4" t="str"/>
      <c r="AR350" s="4" t="str"/>
      <c r="AS350" s="4" t="str"/>
      <c r="AT350" s="4" t="str"/>
      <c r="AU350" s="4" t="str"/>
      <c r="AV350" s="4"/>
      <c r="AW350" s="4"/>
      <c r="AX350" s="4"/>
      <c r="AY350" s="4" t="str"/>
      <c r="AZ350" s="4" t="str"/>
      <c r="BA350" s="4" t="str"/>
      <c r="BB350" s="4" t="str"/>
      <c r="BC350" s="4" t="str"/>
      <c r="BD350" s="4"/>
      <c r="BE350" s="4"/>
      <c r="BF350" s="4"/>
      <c r="BG350" s="4" t="str"/>
      <c r="BH350" s="4" t="str"/>
      <c r="BI350" s="4" t="str"/>
      <c r="BJ350" s="4" t="str"/>
      <c r="BK350" s="4" t="str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</row>
    <row customHeight="true" hidden="true" ht="19" outlineLevel="3" r="351">
      <c r="A351" s="11"/>
      <c r="B351" s="11"/>
      <c r="C351" s="119"/>
      <c r="D351" s="119">
        <v>2</v>
      </c>
      <c r="E351" s="5"/>
      <c r="F351" s="9"/>
      <c r="G351" s="1"/>
      <c r="H351" s="1"/>
      <c r="I351" s="1"/>
      <c r="J351" s="1"/>
      <c r="K351" s="1"/>
      <c r="L351" s="1"/>
      <c r="M351" s="1"/>
      <c r="N351" s="3"/>
      <c r="O351" s="3"/>
      <c r="P351" s="3"/>
      <c r="Q351" s="3"/>
      <c r="R351" s="1" t="str"/>
      <c r="S351" s="9" t="str"/>
      <c r="T351" s="120" t="str"/>
      <c r="U351" s="118"/>
      <c r="V351" s="118"/>
      <c r="W351" s="118"/>
      <c r="X351" s="4"/>
      <c r="Y351" s="4"/>
      <c r="Z351" s="4"/>
      <c r="AA351" s="4" t="str"/>
      <c r="AB351" s="4" t="str"/>
      <c r="AC351" s="4" t="str"/>
      <c r="AD351" s="4" t="str"/>
      <c r="AE351" s="4" t="str"/>
      <c r="AF351" s="4"/>
      <c r="AG351" s="4" t="str"/>
      <c r="AH351" s="4" t="str"/>
      <c r="AI351" s="4" t="str"/>
      <c r="AJ351" s="4" t="str"/>
      <c r="AK351" s="4" t="str"/>
      <c r="AL351" s="4" t="str"/>
      <c r="AM351" s="4" t="str"/>
      <c r="AN351" s="4"/>
      <c r="AO351" s="4" t="str"/>
      <c r="AP351" s="4" t="str"/>
      <c r="AQ351" s="4" t="str"/>
      <c r="AR351" s="4" t="str"/>
      <c r="AS351" s="4" t="str"/>
      <c r="AT351" s="4" t="str"/>
      <c r="AU351" s="4" t="str"/>
      <c r="AV351" s="4"/>
      <c r="AW351" s="4"/>
      <c r="AX351" s="4"/>
      <c r="AY351" s="4" t="str"/>
      <c r="AZ351" s="4" t="str"/>
      <c r="BA351" s="4" t="str"/>
      <c r="BB351" s="4" t="str"/>
      <c r="BC351" s="4" t="str"/>
      <c r="BD351" s="4"/>
      <c r="BE351" s="4"/>
      <c r="BF351" s="4"/>
      <c r="BG351" s="4" t="str"/>
      <c r="BH351" s="4" t="str"/>
      <c r="BI351" s="4" t="str"/>
      <c r="BJ351" s="4" t="str"/>
      <c r="BK351" s="4" t="str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</row>
    <row customHeight="true" hidden="true" ht="19" outlineLevel="4" r="352">
      <c r="A352" s="127" t="str" xml:space="preserve">
        <v> </v>
      </c>
      <c r="B352" s="127" t="str" xml:space="preserve">
        <v> </v>
      </c>
      <c r="C352" s="125" t="str" xml:space="preserve">
        <v> </v>
      </c>
      <c r="D352" s="125" t="str" xml:space="preserve">
        <v> </v>
      </c>
      <c r="E352" s="42">
        <f>G352 &amp; "_" &amp; H352 &amp; IF(I352&lt;&gt;"", "_" &amp; I352, "") &amp; IF(J352&lt;&gt;"", "_" &amp; J352, "") &amp; IF(K352&lt;&gt;"", "_" &amp; K352, "") &amp;"_X"&amp;U352&amp;"_Y"&amp;V352&amp;"_Z"&amp;W352 &amp; IF(G352="SM", "_Proxy" , "_Rail") &amp; IF(M352&lt;&gt;"", "_" &amp; M352, "")</f>
      </c>
      <c r="F352" s="47">
        <f>IF(E352="", "", IF(G352="BP", E352, F351))</f>
      </c>
      <c r="G352" s="43" t="str">
        <v>BP</v>
      </c>
      <c r="H352" s="43" t="str">
        <v>Bump</v>
      </c>
      <c r="I352" s="43" t="str">
        <v>FD</v>
      </c>
      <c r="J352" s="43" t="str">
        <v>Borderless</v>
      </c>
      <c r="K352" s="43" t="str">
        <v>Caved</v>
      </c>
      <c r="L352" s="43"/>
      <c r="M352" s="43"/>
      <c r="N352" s="77"/>
      <c r="O352" s="77"/>
      <c r="P352" s="77"/>
      <c r="Q352" s="77" t="str">
        <v>⭕</v>
      </c>
      <c r="R352" s="43" t="str"/>
      <c r="S352" s="47" t="str"/>
      <c r="T352" s="126">
        <v>6.5</v>
      </c>
      <c r="U352" s="128">
        <v>2</v>
      </c>
      <c r="V352" s="128">
        <v>1</v>
      </c>
      <c r="W352" s="128">
        <v>2</v>
      </c>
      <c r="X352" s="48"/>
      <c r="Y352" s="48">
        <f>IF(AND(Q352="✅", OR(ISNUMBER(FIND("F",I352)), I352="CR")),   "X="&amp;U352*16&amp;",Y="&amp;(V352-1)*16&amp;",Z="&amp;IF(I352="FD", -(W352-1)*16, (W352-1)*16),   "")</f>
      </c>
      <c r="Z352" s="48">
        <f>IF(AND(Q352="✅", OR(ISNUMBER(FIND("F",I352)), I352="CR")), "P=0,Y=0,R=0", "")</f>
      </c>
      <c r="AA352" s="48" t="str"/>
      <c r="AB352" s="48" t="str"/>
      <c r="AC352" s="48" t="str"/>
      <c r="AD352" s="48" t="str"/>
      <c r="AE352" s="48" t="str"/>
      <c r="AF352" s="48"/>
      <c r="AG352" s="48" t="str"/>
      <c r="AH352" s="48" t="str"/>
      <c r="AI352" s="48" t="str"/>
      <c r="AJ352" s="48" t="str"/>
      <c r="AK352" s="48" t="str"/>
      <c r="AL352" s="48" t="str"/>
      <c r="AM352" s="48" t="str"/>
      <c r="AN352" s="48"/>
      <c r="AO352" s="48" t="str"/>
      <c r="AP352" s="48" t="str"/>
      <c r="AQ352" s="48" t="str"/>
      <c r="AR352" s="48" t="str"/>
      <c r="AS352" s="48" t="str"/>
      <c r="AT352" s="48" t="str"/>
      <c r="AU352" s="48" t="str"/>
      <c r="AV352" s="48"/>
      <c r="AW352" s="48">
        <f>IF(AND(Q352="✅", I352="U90"), "X="&amp;(U352-1)*16&amp;",Y="&amp;(V352-1)*16&amp;",Z="&amp;W352*16, "")</f>
      </c>
      <c r="AX352" s="48">
        <f>IF(AND(Q352="✅", I352="U90"), "P=90,Y=0,R=0", "")</f>
      </c>
      <c r="AY352" s="48" t="str"/>
      <c r="AZ352" s="48" t="str"/>
      <c r="BA352" s="48" t="str"/>
      <c r="BB352" s="48" t="str"/>
      <c r="BC352" s="48" t="str"/>
      <c r="BD352" s="48"/>
      <c r="BE352" s="48">
        <f>IF(AND(Q352="✅", I352="D90"), "X="&amp;(U352-1)*16&amp;",Y="&amp;(V352-1)*16&amp;",Z="&amp;(W352-2)*16, "")</f>
      </c>
      <c r="BF352" s="48">
        <f>IF(AND(Q352="✅", I352="D90"), "P=-90,Y=0,R=0", "")</f>
      </c>
      <c r="BG352" s="48" t="str"/>
      <c r="BH352" s="48" t="str"/>
      <c r="BI352" s="48" t="str"/>
      <c r="BJ352" s="48" t="str"/>
      <c r="BK352" s="48" t="str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</row>
    <row customHeight="true" hidden="true" ht="19" outlineLevel="4" r="353">
      <c r="A353" s="127" t="str" xml:space="preserve">
        <v> </v>
      </c>
      <c r="B353" s="127" t="str" xml:space="preserve">
        <v> </v>
      </c>
      <c r="C353" s="125" t="str" xml:space="preserve">
        <v> </v>
      </c>
      <c r="D353" s="125" t="str" xml:space="preserve">
        <v> </v>
      </c>
      <c r="E353" s="42">
        <f>G353 &amp; "_" &amp; H353 &amp; IF(I353&lt;&gt;"", "_" &amp; I353, "") &amp; IF(J353&lt;&gt;"", "_" &amp; J353, "") &amp; IF(K353&lt;&gt;"", "_" &amp; K353, "") &amp;"_X"&amp;U353&amp;"_Y"&amp;V353&amp;"_Z"&amp;W353 &amp; IF(G353="SM", "_Proxy" , "_Rail") &amp; IF(M353&lt;&gt;"", "_" &amp; M353, "")</f>
      </c>
      <c r="F353" s="47">
        <f>IF(E353="", "", IF(G353="BP", E353, F352))</f>
      </c>
      <c r="G353" s="43" t="str">
        <v>SM</v>
      </c>
      <c r="H353" s="43" t="str">
        <v>Bump</v>
      </c>
      <c r="I353" s="43" t="str">
        <v>FD</v>
      </c>
      <c r="J353" s="43"/>
      <c r="K353" s="43"/>
      <c r="L353" s="43"/>
      <c r="M353" s="43" t="str">
        <v>BL</v>
      </c>
      <c r="N353" s="77"/>
      <c r="O353" s="77"/>
      <c r="P353" s="77" t="str">
        <v>⭕</v>
      </c>
      <c r="Q353" s="77"/>
      <c r="R353" s="43" t="str"/>
      <c r="S353" s="47" t="str"/>
      <c r="T353" s="126" t="str"/>
      <c r="U353" s="128">
        <v>2</v>
      </c>
      <c r="V353" s="128">
        <v>1</v>
      </c>
      <c r="W353" s="128">
        <v>2</v>
      </c>
      <c r="X353" s="48"/>
      <c r="Y353" s="48">
        <f>IF(AND(Q353="✅", OR(ISNUMBER(FIND("F",I353)), I353="CR")),   "X="&amp;U353*16&amp;",Y="&amp;(V353-1)*16&amp;",Z="&amp;IF(I353="FD", -(W353-1)*16, (W353-1)*16),   "")</f>
      </c>
      <c r="Z353" s="48">
        <f>IF(AND(Q353="✅", OR(ISNUMBER(FIND("F",I353)), I353="CR")), "P=0,Y=0,R=0", "")</f>
      </c>
      <c r="AA353" s="48" t="str"/>
      <c r="AB353" s="48" t="str"/>
      <c r="AC353" s="48" t="str"/>
      <c r="AD353" s="48" t="str"/>
      <c r="AE353" s="48" t="str"/>
      <c r="AF353" s="48"/>
      <c r="AG353" s="48" t="str"/>
      <c r="AH353" s="48" t="str"/>
      <c r="AI353" s="48" t="str"/>
      <c r="AJ353" s="48" t="str"/>
      <c r="AK353" s="48" t="str"/>
      <c r="AL353" s="48" t="str"/>
      <c r="AM353" s="48" t="str"/>
      <c r="AN353" s="48"/>
      <c r="AO353" s="48" t="str"/>
      <c r="AP353" s="48" t="str"/>
      <c r="AQ353" s="48" t="str"/>
      <c r="AR353" s="48" t="str"/>
      <c r="AS353" s="48" t="str"/>
      <c r="AT353" s="48" t="str"/>
      <c r="AU353" s="48" t="str"/>
      <c r="AV353" s="48"/>
      <c r="AW353" s="48">
        <f>IF(AND(Q353="✅", I353="U90"), "X="&amp;(U353-1)*16&amp;",Y="&amp;(V353-1)*16&amp;",Z="&amp;W353*16, "")</f>
      </c>
      <c r="AX353" s="48">
        <f>IF(AND(Q353="✅", I353="U90"), "P=90,Y=0,R=0", "")</f>
      </c>
      <c r="AY353" s="48" t="str"/>
      <c r="AZ353" s="48" t="str"/>
      <c r="BA353" s="48" t="str"/>
      <c r="BB353" s="48" t="str"/>
      <c r="BC353" s="48" t="str"/>
      <c r="BD353" s="48"/>
      <c r="BE353" s="48">
        <f>IF(AND(Q353="✅", I353="D90"), "X="&amp;(U353-1)*16&amp;",Y="&amp;(V353-1)*16&amp;",Z="&amp;(W353-2)*16, "")</f>
      </c>
      <c r="BF353" s="48">
        <f>IF(AND(Q353="✅", I353="D90"), "P=-90,Y=0,R=0", "")</f>
      </c>
      <c r="BG353" s="48" t="str"/>
      <c r="BH353" s="48" t="str"/>
      <c r="BI353" s="48" t="str"/>
      <c r="BJ353" s="48" t="str"/>
      <c r="BK353" s="48" t="str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</row>
    <row customHeight="true" hidden="true" ht="19" outlineLevel="4" r="354">
      <c r="A354" s="127" t="str" xml:space="preserve">
        <v> </v>
      </c>
      <c r="B354" s="127" t="str" xml:space="preserve">
        <v> </v>
      </c>
      <c r="C354" s="125" t="str" xml:space="preserve">
        <v> </v>
      </c>
      <c r="D354" s="125" t="str" xml:space="preserve">
        <v> </v>
      </c>
      <c r="E354" s="42">
        <f>G354 &amp; "_" &amp; H354 &amp; IF(I354&lt;&gt;"", "_" &amp; I354, "") &amp; IF(J354&lt;&gt;"", "_" &amp; J354, "") &amp; IF(K354&lt;&gt;"", "_" &amp; K354, "") &amp;"_X"&amp;U354&amp;"_Y"&amp;V354&amp;"_Z"&amp;W354 &amp; IF(G354="SM", "_Proxy" , "_Rail") &amp; IF(M354&lt;&gt;"", "_" &amp; M354, "")</f>
      </c>
      <c r="F354" s="47">
        <f>IF(E354="", "", IF(G354="BP", E354, F353))</f>
      </c>
      <c r="G354" s="43" t="str">
        <v>SM</v>
      </c>
      <c r="H354" s="43" t="str">
        <v>Bump</v>
      </c>
      <c r="I354" s="43" t="str">
        <v>FD</v>
      </c>
      <c r="J354" s="43"/>
      <c r="K354" s="43"/>
      <c r="L354" s="43"/>
      <c r="M354" s="43" t="str">
        <v>BR</v>
      </c>
      <c r="N354" s="77"/>
      <c r="O354" s="77"/>
      <c r="P354" s="77" t="str">
        <v>⭕</v>
      </c>
      <c r="Q354" s="77"/>
      <c r="R354" s="43" t="str"/>
      <c r="S354" s="47" t="str"/>
      <c r="T354" s="126" t="str"/>
      <c r="U354" s="128"/>
      <c r="V354" s="128"/>
      <c r="W354" s="128"/>
      <c r="X354" s="48"/>
      <c r="Y354" s="48"/>
      <c r="Z354" s="48"/>
      <c r="AA354" s="48" t="str"/>
      <c r="AB354" s="48" t="str"/>
      <c r="AC354" s="48" t="str"/>
      <c r="AD354" s="48" t="str"/>
      <c r="AE354" s="48" t="str"/>
      <c r="AF354" s="48"/>
      <c r="AG354" s="48" t="str"/>
      <c r="AH354" s="48" t="str"/>
      <c r="AI354" s="48" t="str"/>
      <c r="AJ354" s="48" t="str"/>
      <c r="AK354" s="48" t="str"/>
      <c r="AL354" s="48" t="str"/>
      <c r="AM354" s="48" t="str"/>
      <c r="AN354" s="48"/>
      <c r="AO354" s="48" t="str"/>
      <c r="AP354" s="48" t="str"/>
      <c r="AQ354" s="48" t="str"/>
      <c r="AR354" s="48" t="str"/>
      <c r="AS354" s="48" t="str"/>
      <c r="AT354" s="48" t="str"/>
      <c r="AU354" s="48" t="str"/>
      <c r="AV354" s="48"/>
      <c r="AW354" s="48"/>
      <c r="AX354" s="48"/>
      <c r="AY354" s="48" t="str"/>
      <c r="AZ354" s="48" t="str"/>
      <c r="BA354" s="48" t="str"/>
      <c r="BB354" s="48" t="str"/>
      <c r="BC354" s="48" t="str"/>
      <c r="BD354" s="48"/>
      <c r="BE354" s="48"/>
      <c r="BF354" s="48"/>
      <c r="BG354" s="48" t="str"/>
      <c r="BH354" s="48" t="str"/>
      <c r="BI354" s="48" t="str"/>
      <c r="BJ354" s="48" t="str"/>
      <c r="BK354" s="48" t="str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</row>
    <row collapsed="true" customHeight="true" ht="19" outlineLevel="2" r="355">
      <c r="A355" s="11"/>
      <c r="B355" s="11"/>
      <c r="C355" s="119" t="str">
        <v>Borderless_L</v>
      </c>
      <c r="D355" s="119"/>
      <c r="E355" s="5"/>
      <c r="F355" s="9"/>
      <c r="G355" s="1"/>
      <c r="H355" s="1"/>
      <c r="I355" s="1"/>
      <c r="J355" s="1"/>
      <c r="K355" s="1"/>
      <c r="L355" s="1"/>
      <c r="M355" s="1"/>
      <c r="N355" s="3"/>
      <c r="O355" s="3"/>
      <c r="P355" s="3"/>
      <c r="Q355" s="3"/>
      <c r="R355" s="1" t="str"/>
      <c r="S355" s="9" t="str"/>
      <c r="T355" s="120" t="str"/>
      <c r="U355" s="118"/>
      <c r="V355" s="118"/>
      <c r="W355" s="118"/>
      <c r="X355" s="4"/>
      <c r="Y355" s="4"/>
      <c r="Z355" s="4"/>
      <c r="AA355" s="4" t="str"/>
      <c r="AB355" s="4" t="str"/>
      <c r="AC355" s="4" t="str"/>
      <c r="AD355" s="4" t="str"/>
      <c r="AE355" s="4" t="str"/>
      <c r="AF355" s="4"/>
      <c r="AG355" s="4" t="str"/>
      <c r="AH355" s="4" t="str"/>
      <c r="AI355" s="4" t="str"/>
      <c r="AJ355" s="4" t="str"/>
      <c r="AK355" s="4" t="str"/>
      <c r="AL355" s="4" t="str"/>
      <c r="AM355" s="4" t="str"/>
      <c r="AN355" s="4"/>
      <c r="AO355" s="4" t="str"/>
      <c r="AP355" s="4" t="str"/>
      <c r="AQ355" s="4" t="str"/>
      <c r="AR355" s="4" t="str"/>
      <c r="AS355" s="4" t="str"/>
      <c r="AT355" s="4" t="str"/>
      <c r="AU355" s="4" t="str"/>
      <c r="AV355" s="4"/>
      <c r="AW355" s="4"/>
      <c r="AX355" s="4"/>
      <c r="AY355" s="4" t="str"/>
      <c r="AZ355" s="4" t="str"/>
      <c r="BA355" s="4" t="str"/>
      <c r="BB355" s="4" t="str"/>
      <c r="BC355" s="4" t="str"/>
      <c r="BD355" s="4"/>
      <c r="BE355" s="4"/>
      <c r="BF355" s="4"/>
      <c r="BG355" s="4" t="str"/>
      <c r="BH355" s="4" t="str"/>
      <c r="BI355" s="4" t="str"/>
      <c r="BJ355" s="4" t="str"/>
      <c r="BK355" s="4" t="str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</row>
    <row customHeight="true" hidden="true" ht="19" outlineLevel="3" r="356">
      <c r="A356" s="11"/>
      <c r="B356" s="11"/>
      <c r="C356" s="119"/>
      <c r="D356" s="119">
        <v>2</v>
      </c>
      <c r="E356" s="5"/>
      <c r="F356" s="9"/>
      <c r="G356" s="1"/>
      <c r="H356" s="1"/>
      <c r="I356" s="1"/>
      <c r="J356" s="1"/>
      <c r="K356" s="1"/>
      <c r="L356" s="1"/>
      <c r="M356" s="1"/>
      <c r="N356" s="3"/>
      <c r="O356" s="3"/>
      <c r="P356" s="3"/>
      <c r="Q356" s="3"/>
      <c r="R356" s="1" t="str"/>
      <c r="S356" s="9" t="str"/>
      <c r="T356" s="120" t="str"/>
      <c r="U356" s="118"/>
      <c r="V356" s="118"/>
      <c r="W356" s="118"/>
      <c r="X356" s="4"/>
      <c r="Y356" s="4"/>
      <c r="Z356" s="4"/>
      <c r="AA356" s="4" t="str"/>
      <c r="AB356" s="4" t="str"/>
      <c r="AC356" s="4" t="str"/>
      <c r="AD356" s="4" t="str"/>
      <c r="AE356" s="4" t="str"/>
      <c r="AF356" s="4"/>
      <c r="AG356" s="4" t="str"/>
      <c r="AH356" s="4" t="str"/>
      <c r="AI356" s="4" t="str"/>
      <c r="AJ356" s="4" t="str"/>
      <c r="AK356" s="4" t="str"/>
      <c r="AL356" s="4" t="str"/>
      <c r="AM356" s="4" t="str"/>
      <c r="AN356" s="4"/>
      <c r="AO356" s="4" t="str"/>
      <c r="AP356" s="4" t="str"/>
      <c r="AQ356" s="4" t="str"/>
      <c r="AR356" s="4" t="str"/>
      <c r="AS356" s="4" t="str"/>
      <c r="AT356" s="4" t="str"/>
      <c r="AU356" s="4" t="str"/>
      <c r="AV356" s="4"/>
      <c r="AW356" s="4"/>
      <c r="AX356" s="4"/>
      <c r="AY356" s="4" t="str"/>
      <c r="AZ356" s="4" t="str"/>
      <c r="BA356" s="4" t="str"/>
      <c r="BB356" s="4" t="str"/>
      <c r="BC356" s="4" t="str"/>
      <c r="BD356" s="4"/>
      <c r="BE356" s="4"/>
      <c r="BF356" s="4"/>
      <c r="BG356" s="4" t="str"/>
      <c r="BH356" s="4" t="str"/>
      <c r="BI356" s="4" t="str"/>
      <c r="BJ356" s="4" t="str"/>
      <c r="BK356" s="4" t="str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</row>
    <row customHeight="true" hidden="true" ht="19" outlineLevel="4" r="357">
      <c r="A357" s="142" t="str" xml:space="preserve">
        <v> </v>
      </c>
      <c r="B357" s="142" t="str" xml:space="preserve">
        <v> </v>
      </c>
      <c r="C357" s="141" t="str" xml:space="preserve">
        <v> </v>
      </c>
      <c r="D357" s="141" t="str" xml:space="preserve">
        <v> </v>
      </c>
      <c r="E357" s="51">
        <f>G357 &amp; "_" &amp; H357 &amp; IF(I357&lt;&gt;"", "_" &amp; I357, "") &amp; IF(J357&lt;&gt;"", "_" &amp; J357, "") &amp; IF(K357&lt;&gt;"", "_" &amp; K357, "") &amp;"_X"&amp;U357&amp;"_Y"&amp;V357&amp;"_Z"&amp;W357 &amp; IF(G357="SM", "_Proxy" , "_Rail") &amp; IF(M357&lt;&gt;"", "_" &amp; M357, "")</f>
      </c>
      <c r="F357" s="54">
        <f>IF(E357="", "", IF(G357="BP", E357, F356))</f>
      </c>
      <c r="G357" s="52" t="str">
        <v>BP</v>
      </c>
      <c r="H357" s="52" t="str">
        <v>Bump</v>
      </c>
      <c r="I357" s="52" t="str">
        <v>FD</v>
      </c>
      <c r="J357" s="52" t="str">
        <v>Borderless_L</v>
      </c>
      <c r="K357" s="52"/>
      <c r="L357" s="52"/>
      <c r="M357" s="52"/>
      <c r="N357" s="101"/>
      <c r="O357" s="101"/>
      <c r="P357" s="101"/>
      <c r="Q357" s="101" t="str">
        <v>⭕</v>
      </c>
      <c r="R357" s="52" t="str"/>
      <c r="S357" s="54" t="str"/>
      <c r="T357" s="138">
        <v>6.5</v>
      </c>
      <c r="U357" s="137">
        <v>2</v>
      </c>
      <c r="V357" s="137">
        <v>1</v>
      </c>
      <c r="W357" s="137">
        <v>2</v>
      </c>
      <c r="X357" s="53"/>
      <c r="Y357" s="53">
        <f>IF(AND(Q357="✅", OR(ISNUMBER(FIND("F",I357)), I357="CR")),   "X="&amp;U357*16&amp;",Y="&amp;(V357-1)*16&amp;",Z="&amp;IF(I357="FD", -(W357-1)*16, (W357-1)*16),   "")</f>
      </c>
      <c r="Z357" s="53">
        <f>IF(AND(Q357="✅", OR(ISNUMBER(FIND("F",I357)), I357="CR")), "P=0,Y=0,R=0", "")</f>
      </c>
      <c r="AA357" s="53" t="str"/>
      <c r="AB357" s="53" t="str"/>
      <c r="AC357" s="53" t="str"/>
      <c r="AD357" s="53" t="str"/>
      <c r="AE357" s="53" t="str"/>
      <c r="AF357" s="53"/>
      <c r="AG357" s="53" t="str"/>
      <c r="AH357" s="53" t="str"/>
      <c r="AI357" s="53" t="str"/>
      <c r="AJ357" s="53" t="str"/>
      <c r="AK357" s="53" t="str"/>
      <c r="AL357" s="53" t="str"/>
      <c r="AM357" s="53" t="str"/>
      <c r="AN357" s="53"/>
      <c r="AO357" s="53" t="str"/>
      <c r="AP357" s="53" t="str"/>
      <c r="AQ357" s="53" t="str"/>
      <c r="AR357" s="53" t="str"/>
      <c r="AS357" s="53" t="str"/>
      <c r="AT357" s="53" t="str"/>
      <c r="AU357" s="53" t="str"/>
      <c r="AV357" s="53"/>
      <c r="AW357" s="53">
        <f>IF(AND(Q357="✅", I357="U90"), "X="&amp;(U357-1)*16&amp;",Y="&amp;(V357-1)*16&amp;",Z="&amp;W357*16, "")</f>
      </c>
      <c r="AX357" s="53">
        <f>IF(AND(Q357="✅", I357="U90"), "P=90,Y=0,R=0", "")</f>
      </c>
      <c r="AY357" s="53" t="str"/>
      <c r="AZ357" s="53" t="str"/>
      <c r="BA357" s="53" t="str"/>
      <c r="BB357" s="53" t="str"/>
      <c r="BC357" s="53" t="str"/>
      <c r="BD357" s="53"/>
      <c r="BE357" s="53">
        <f>IF(AND(Q357="✅", I357="D90"), "X="&amp;(U357-1)*16&amp;",Y="&amp;(V357-1)*16&amp;",Z="&amp;(W357-2)*16, "")</f>
      </c>
      <c r="BF357" s="53">
        <f>IF(AND(Q357="✅", I357="D90"), "P=-90,Y=0,R=0", "")</f>
      </c>
      <c r="BG357" s="53" t="str"/>
      <c r="BH357" s="53" t="str"/>
      <c r="BI357" s="53" t="str"/>
      <c r="BJ357" s="53" t="str"/>
      <c r="BK357" s="53" t="str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</row>
    <row customHeight="true" hidden="true" ht="19" outlineLevel="4" r="358">
      <c r="A358" s="142" t="str" xml:space="preserve">
        <v> </v>
      </c>
      <c r="B358" s="142" t="str" xml:space="preserve">
        <v> </v>
      </c>
      <c r="C358" s="141" t="str" xml:space="preserve">
        <v> </v>
      </c>
      <c r="D358" s="141" t="str" xml:space="preserve">
        <v> </v>
      </c>
      <c r="E358" s="51">
        <f>E343</f>
      </c>
      <c r="F358" s="54">
        <f>IF(E358="", "", IF(G358="BP", E358, F357))</f>
      </c>
      <c r="G358" s="52"/>
      <c r="H358" s="52"/>
      <c r="I358" s="52"/>
      <c r="J358" s="52"/>
      <c r="K358" s="52"/>
      <c r="L358" s="52"/>
      <c r="M358" s="52" t="str">
        <v>B</v>
      </c>
      <c r="N358" s="101"/>
      <c r="O358" s="101"/>
      <c r="P358" s="101" t="str">
        <v>✅</v>
      </c>
      <c r="Q358" s="101"/>
      <c r="R358" s="52" t="str">
        <v>Bump_FD_X2_Y1_Z2</v>
      </c>
      <c r="S358" s="54" t="str">
        <v>/Script/Engine.StaticMesh'/Game/Item/Rail/Bump/FD/Normal/Bump_FD_X2_Y1_Z2/Proxy/SM_Bump_FD_X2_Y1_Z2_Proxy_B.SM_Bump_FD_X2_Y1_Z2_Proxy_B'</v>
      </c>
      <c r="T358" s="138" t="str"/>
      <c r="U358" s="137">
        <v>2</v>
      </c>
      <c r="V358" s="137">
        <v>1</v>
      </c>
      <c r="W358" s="137">
        <v>2</v>
      </c>
      <c r="X358" s="53"/>
      <c r="Y358" s="53">
        <f>IF(AND(Q358="✅", OR(ISNUMBER(FIND("F",I358)), I358="CR")),   "X="&amp;U358*16&amp;",Y="&amp;(V358-1)*16&amp;",Z="&amp;IF(I358="FD", -(W358-1)*16, (W358-1)*16),   "")</f>
      </c>
      <c r="Z358" s="53">
        <f>IF(AND(Q358="✅", OR(ISNUMBER(FIND("F",I358)), I358="CR")), "P=0,Y=0,R=0", "")</f>
      </c>
      <c r="AA358" s="53" t="str"/>
      <c r="AB358" s="53" t="str"/>
      <c r="AC358" s="53" t="str"/>
      <c r="AD358" s="53" t="str"/>
      <c r="AE358" s="53" t="str"/>
      <c r="AF358" s="53"/>
      <c r="AG358" s="53" t="str"/>
      <c r="AH358" s="53" t="str"/>
      <c r="AI358" s="53" t="str"/>
      <c r="AJ358" s="53" t="str"/>
      <c r="AK358" s="53" t="str"/>
      <c r="AL358" s="53" t="str"/>
      <c r="AM358" s="53" t="str"/>
      <c r="AN358" s="53"/>
      <c r="AO358" s="53" t="str"/>
      <c r="AP358" s="53" t="str"/>
      <c r="AQ358" s="53" t="str"/>
      <c r="AR358" s="53" t="str"/>
      <c r="AS358" s="53" t="str"/>
      <c r="AT358" s="53" t="str"/>
      <c r="AU358" s="53" t="str"/>
      <c r="AV358" s="53"/>
      <c r="AW358" s="53">
        <f>IF(AND(Q358="✅", I358="U90"), "X="&amp;(U358-1)*16&amp;",Y="&amp;(V358-1)*16&amp;",Z="&amp;W358*16, "")</f>
      </c>
      <c r="AX358" s="53">
        <f>IF(AND(Q358="✅", I358="U90"), "P=90,Y=0,R=0", "")</f>
      </c>
      <c r="AY358" s="53" t="str"/>
      <c r="AZ358" s="53" t="str"/>
      <c r="BA358" s="53" t="str"/>
      <c r="BB358" s="53" t="str"/>
      <c r="BC358" s="53" t="str"/>
      <c r="BD358" s="53"/>
      <c r="BE358" s="53">
        <f>IF(AND(Q358="✅", I358="D90"), "X="&amp;(U358-1)*16&amp;",Y="&amp;(V358-1)*16&amp;",Z="&amp;(W358-2)*16, "")</f>
      </c>
      <c r="BF358" s="53">
        <f>IF(AND(Q358="✅", I358="D90"), "P=-90,Y=0,R=0", "")</f>
      </c>
      <c r="BG358" s="53" t="str"/>
      <c r="BH358" s="53" t="str"/>
      <c r="BI358" s="53" t="str"/>
      <c r="BJ358" s="53" t="str"/>
      <c r="BK358" s="53" t="str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</row>
    <row customHeight="true" hidden="true" ht="19" outlineLevel="4" r="359">
      <c r="A359" s="142" t="str" xml:space="preserve">
        <v> </v>
      </c>
      <c r="B359" s="142" t="str" xml:space="preserve">
        <v> </v>
      </c>
      <c r="C359" s="141" t="str" xml:space="preserve">
        <v> </v>
      </c>
      <c r="D359" s="141" t="str" xml:space="preserve">
        <v> </v>
      </c>
      <c r="E359" s="51">
        <f>E345</f>
      </c>
      <c r="F359" s="54">
        <f>IF(E359="", "", IF(G359="BP", E359, F358))</f>
      </c>
      <c r="G359" s="52"/>
      <c r="H359" s="52"/>
      <c r="I359" s="52"/>
      <c r="J359" s="52"/>
      <c r="K359" s="52"/>
      <c r="L359" s="52"/>
      <c r="M359" s="52" t="str">
        <v>R</v>
      </c>
      <c r="N359" s="101"/>
      <c r="O359" s="101"/>
      <c r="P359" s="101" t="str">
        <v>✅</v>
      </c>
      <c r="Q359" s="101"/>
      <c r="R359" s="52" t="str">
        <v>Bump_FD_X2_Y1_Z2</v>
      </c>
      <c r="S359" s="54" t="str">
        <v>/Script/Engine.StaticMesh'/Game/Item/Rail/Bump/FD/Normal/Bump_FD_X2_Y1_Z2/Proxy/SM_Bump_FD_X2_Y1_Z2_Proxy_R.SM_Bump_FD_X2_Y1_Z2_Proxy_R'</v>
      </c>
      <c r="T359" s="138" t="str"/>
      <c r="U359" s="137">
        <v>2</v>
      </c>
      <c r="V359" s="137">
        <v>1</v>
      </c>
      <c r="W359" s="137">
        <v>2</v>
      </c>
      <c r="X359" s="53"/>
      <c r="Y359" s="53">
        <f>IF(AND(Q359="✅", OR(ISNUMBER(FIND("F",I359)), I359="CR")),   "X="&amp;U359*16&amp;",Y="&amp;(V359-1)*16&amp;",Z="&amp;IF(I359="FD", -(W359-1)*16, (W359-1)*16),   "")</f>
      </c>
      <c r="Z359" s="53">
        <f>IF(AND(Q359="✅", OR(ISNUMBER(FIND("F",I359)), I359="CR")), "P=0,Y=0,R=0", "")</f>
      </c>
      <c r="AA359" s="53" t="str"/>
      <c r="AB359" s="53" t="str"/>
      <c r="AC359" s="53" t="str"/>
      <c r="AD359" s="53" t="str"/>
      <c r="AE359" s="53" t="str"/>
      <c r="AF359" s="53"/>
      <c r="AG359" s="53" t="str"/>
      <c r="AH359" s="53" t="str"/>
      <c r="AI359" s="53" t="str"/>
      <c r="AJ359" s="53" t="str"/>
      <c r="AK359" s="53" t="str"/>
      <c r="AL359" s="53" t="str"/>
      <c r="AM359" s="53" t="str"/>
      <c r="AN359" s="53"/>
      <c r="AO359" s="53" t="str"/>
      <c r="AP359" s="53" t="str"/>
      <c r="AQ359" s="53" t="str"/>
      <c r="AR359" s="53" t="str"/>
      <c r="AS359" s="53" t="str"/>
      <c r="AT359" s="53" t="str"/>
      <c r="AU359" s="53" t="str"/>
      <c r="AV359" s="53"/>
      <c r="AW359" s="53">
        <f>IF(AND(Q359="✅", I359="U90"), "X="&amp;(U359-1)*16&amp;",Y="&amp;(V359-1)*16&amp;",Z="&amp;W359*16, "")</f>
      </c>
      <c r="AX359" s="53">
        <f>IF(AND(Q359="✅", I359="U90"), "P=90,Y=0,R=0", "")</f>
      </c>
      <c r="AY359" s="53" t="str"/>
      <c r="AZ359" s="53" t="str"/>
      <c r="BA359" s="53" t="str"/>
      <c r="BB359" s="53" t="str"/>
      <c r="BC359" s="53" t="str"/>
      <c r="BD359" s="53"/>
      <c r="BE359" s="53">
        <f>IF(AND(Q359="✅", I359="D90"), "X="&amp;(U359-1)*16&amp;",Y="&amp;(V359-1)*16&amp;",Z="&amp;(W359-2)*16, "")</f>
      </c>
      <c r="BF359" s="53">
        <f>IF(AND(Q359="✅", I359="D90"), "P=-90,Y=0,R=0", "")</f>
      </c>
      <c r="BG359" s="53" t="str"/>
      <c r="BH359" s="53" t="str"/>
      <c r="BI359" s="53" t="str"/>
      <c r="BJ359" s="53" t="str"/>
      <c r="BK359" s="53" t="str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</row>
    <row collapsed="true" customHeight="true" ht="19" outlineLevel="2" r="360">
      <c r="A360" s="14"/>
      <c r="B360" s="14"/>
      <c r="C360" s="147" t="str">
        <v>Borderless_L_Caved</v>
      </c>
      <c r="D360" s="147"/>
      <c r="E360" s="9"/>
      <c r="F360" s="9"/>
      <c r="G360" s="4"/>
      <c r="H360" s="4"/>
      <c r="I360" s="4"/>
      <c r="J360" s="4"/>
      <c r="K360" s="4"/>
      <c r="L360" s="4"/>
      <c r="M360" s="4"/>
      <c r="N360" s="2"/>
      <c r="O360" s="2"/>
      <c r="P360" s="2"/>
      <c r="Q360" s="2"/>
      <c r="R360" s="4" t="str"/>
      <c r="S360" s="9" t="str"/>
      <c r="T360" s="150" t="str"/>
      <c r="U360" s="118"/>
      <c r="V360" s="118"/>
      <c r="W360" s="118"/>
      <c r="X360" s="4"/>
      <c r="Y360" s="4"/>
      <c r="Z360" s="4"/>
      <c r="AA360" s="4" t="str"/>
      <c r="AB360" s="4" t="str"/>
      <c r="AC360" s="4" t="str"/>
      <c r="AD360" s="4" t="str"/>
      <c r="AE360" s="4" t="str"/>
      <c r="AF360" s="4"/>
      <c r="AG360" s="4" t="str"/>
      <c r="AH360" s="4" t="str"/>
      <c r="AI360" s="4" t="str"/>
      <c r="AJ360" s="4" t="str"/>
      <c r="AK360" s="4" t="str"/>
      <c r="AL360" s="4" t="str"/>
      <c r="AM360" s="4" t="str"/>
      <c r="AN360" s="4"/>
      <c r="AO360" s="4" t="str"/>
      <c r="AP360" s="4" t="str"/>
      <c r="AQ360" s="4" t="str"/>
      <c r="AR360" s="4" t="str"/>
      <c r="AS360" s="4" t="str"/>
      <c r="AT360" s="4" t="str"/>
      <c r="AU360" s="4" t="str"/>
      <c r="AV360" s="4"/>
      <c r="AW360" s="4"/>
      <c r="AX360" s="4"/>
      <c r="AY360" s="4" t="str"/>
      <c r="AZ360" s="4" t="str"/>
      <c r="BA360" s="4" t="str"/>
      <c r="BB360" s="4" t="str"/>
      <c r="BC360" s="4" t="str"/>
      <c r="BD360" s="4"/>
      <c r="BE360" s="4"/>
      <c r="BF360" s="4"/>
      <c r="BG360" s="4" t="str"/>
      <c r="BH360" s="4" t="str"/>
      <c r="BI360" s="4" t="str"/>
      <c r="BJ360" s="4" t="str"/>
      <c r="BK360" s="4" t="str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</row>
    <row customHeight="true" hidden="true" ht="19" outlineLevel="3" r="361">
      <c r="A361" s="14"/>
      <c r="B361" s="14"/>
      <c r="C361" s="147"/>
      <c r="D361" s="147">
        <v>2</v>
      </c>
      <c r="E361" s="9"/>
      <c r="F361" s="9"/>
      <c r="G361" s="4"/>
      <c r="H361" s="4"/>
      <c r="I361" s="4"/>
      <c r="J361" s="4"/>
      <c r="K361" s="4"/>
      <c r="L361" s="4"/>
      <c r="M361" s="4"/>
      <c r="N361" s="2"/>
      <c r="O361" s="2"/>
      <c r="P361" s="2"/>
      <c r="Q361" s="2"/>
      <c r="R361" s="4" t="str"/>
      <c r="S361" s="9" t="str"/>
      <c r="T361" s="150" t="str"/>
      <c r="U361" s="118"/>
      <c r="V361" s="118"/>
      <c r="W361" s="118"/>
      <c r="X361" s="4"/>
      <c r="Y361" s="4"/>
      <c r="Z361" s="4"/>
      <c r="AA361" s="4" t="str"/>
      <c r="AB361" s="4" t="str"/>
      <c r="AC361" s="4" t="str"/>
      <c r="AD361" s="4" t="str"/>
      <c r="AE361" s="4" t="str"/>
      <c r="AF361" s="4"/>
      <c r="AG361" s="4" t="str"/>
      <c r="AH361" s="4" t="str"/>
      <c r="AI361" s="4" t="str"/>
      <c r="AJ361" s="4" t="str"/>
      <c r="AK361" s="4" t="str"/>
      <c r="AL361" s="4" t="str"/>
      <c r="AM361" s="4" t="str"/>
      <c r="AN361" s="4"/>
      <c r="AO361" s="4" t="str"/>
      <c r="AP361" s="4" t="str"/>
      <c r="AQ361" s="4" t="str"/>
      <c r="AR361" s="4" t="str"/>
      <c r="AS361" s="4" t="str"/>
      <c r="AT361" s="4" t="str"/>
      <c r="AU361" s="4" t="str"/>
      <c r="AV361" s="4"/>
      <c r="AW361" s="4"/>
      <c r="AX361" s="4"/>
      <c r="AY361" s="4" t="str"/>
      <c r="AZ361" s="4" t="str"/>
      <c r="BA361" s="4" t="str"/>
      <c r="BB361" s="4" t="str"/>
      <c r="BC361" s="4" t="str"/>
      <c r="BD361" s="4"/>
      <c r="BE361" s="4"/>
      <c r="BF361" s="4"/>
      <c r="BG361" s="4" t="str"/>
      <c r="BH361" s="4" t="str"/>
      <c r="BI361" s="4" t="str"/>
      <c r="BJ361" s="4" t="str"/>
      <c r="BK361" s="4" t="str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</row>
    <row customHeight="true" hidden="true" ht="19" outlineLevel="4" r="362">
      <c r="A362" s="14" t="str" xml:space="preserve">
        <v> </v>
      </c>
      <c r="B362" s="14" t="str" xml:space="preserve">
        <v> </v>
      </c>
      <c r="C362" s="147" t="str" xml:space="preserve">
        <v> </v>
      </c>
      <c r="D362" s="147" t="str" xml:space="preserve">
        <v> </v>
      </c>
      <c r="E362" s="47">
        <f>G362 &amp; "_" &amp; H362 &amp; IF(I362&lt;&gt;"", "_" &amp; I362, "") &amp; IF(J362&lt;&gt;"", "_" &amp; J362, "") &amp; IF(K362&lt;&gt;"", "_" &amp; K362, "") &amp;"_X"&amp;U362&amp;"_Y"&amp;V362&amp;"_Z"&amp;W362 &amp; IF(G362="SM", "_Proxy" , "_Rail") &amp; IF(M362&lt;&gt;"", "_" &amp; M362, "")</f>
      </c>
      <c r="F362" s="47">
        <f>IF(E362="", "", IF(G362="BP", E362, F361))</f>
      </c>
      <c r="G362" s="48" t="str">
        <v>BP</v>
      </c>
      <c r="H362" s="48" t="str">
        <v>Bump</v>
      </c>
      <c r="I362" s="48" t="str">
        <v>FD</v>
      </c>
      <c r="J362" s="48" t="str">
        <v>Borderless</v>
      </c>
      <c r="K362" s="48" t="str">
        <v>Caved</v>
      </c>
      <c r="L362" s="48"/>
      <c r="M362" s="48"/>
      <c r="N362" s="46"/>
      <c r="O362" s="46"/>
      <c r="P362" s="46"/>
      <c r="Q362" s="46" t="str">
        <v>⭕</v>
      </c>
      <c r="R362" s="48" t="str"/>
      <c r="S362" s="47" t="str"/>
      <c r="T362" s="151">
        <v>6.5</v>
      </c>
      <c r="U362" s="128">
        <v>2</v>
      </c>
      <c r="V362" s="128">
        <v>1</v>
      </c>
      <c r="W362" s="128">
        <v>2</v>
      </c>
      <c r="X362" s="48"/>
      <c r="Y362" s="48">
        <f>IF(AND(Q362="✅", OR(ISNUMBER(FIND("F",I362)), I362="CR")),   "X="&amp;U362*16&amp;",Y="&amp;(V362-1)*16&amp;",Z="&amp;IF(I362="FD", -(W362-1)*16, (W362-1)*16),   "")</f>
      </c>
      <c r="Z362" s="48">
        <f>IF(AND(Q362="✅", OR(ISNUMBER(FIND("F",I362)), I362="CR")), "P=0,Y=0,R=0", "")</f>
      </c>
      <c r="AA362" s="48" t="str"/>
      <c r="AB362" s="48" t="str"/>
      <c r="AC362" s="48" t="str"/>
      <c r="AD362" s="48" t="str"/>
      <c r="AE362" s="48" t="str"/>
      <c r="AF362" s="48"/>
      <c r="AG362" s="48" t="str"/>
      <c r="AH362" s="48" t="str"/>
      <c r="AI362" s="48" t="str"/>
      <c r="AJ362" s="48" t="str"/>
      <c r="AK362" s="48" t="str"/>
      <c r="AL362" s="48" t="str"/>
      <c r="AM362" s="48" t="str"/>
      <c r="AN362" s="48"/>
      <c r="AO362" s="48" t="str"/>
      <c r="AP362" s="48" t="str"/>
      <c r="AQ362" s="48" t="str"/>
      <c r="AR362" s="48" t="str"/>
      <c r="AS362" s="48" t="str"/>
      <c r="AT362" s="48" t="str"/>
      <c r="AU362" s="48" t="str"/>
      <c r="AV362" s="48"/>
      <c r="AW362" s="48">
        <f>IF(AND(Q362="✅", I362="U90"), "X="&amp;(U362-1)*16&amp;",Y="&amp;(V362-1)*16&amp;",Z="&amp;W362*16, "")</f>
      </c>
      <c r="AX362" s="48">
        <f>IF(AND(Q362="✅", I362="U90"), "P=90,Y=0,R=0", "")</f>
      </c>
      <c r="AY362" s="48" t="str"/>
      <c r="AZ362" s="48" t="str"/>
      <c r="BA362" s="48" t="str"/>
      <c r="BB362" s="48" t="str"/>
      <c r="BC362" s="48" t="str"/>
      <c r="BD362" s="48"/>
      <c r="BE362" s="48">
        <f>IF(AND(Q362="✅", I362="D90"), "X="&amp;(U362-1)*16&amp;",Y="&amp;(V362-1)*16&amp;",Z="&amp;(W362-2)*16, "")</f>
      </c>
      <c r="BF362" s="48">
        <f>IF(AND(Q362="✅", I362="D90"), "P=-90,Y=0,R=0", "")</f>
      </c>
      <c r="BG362" s="48" t="str"/>
      <c r="BH362" s="48" t="str"/>
      <c r="BI362" s="48" t="str"/>
      <c r="BJ362" s="48" t="str"/>
      <c r="BK362" s="48" t="str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</row>
    <row customHeight="true" hidden="true" ht="19" outlineLevel="4" r="363">
      <c r="A363" s="14" t="str" xml:space="preserve">
        <v> </v>
      </c>
      <c r="B363" s="14" t="str" xml:space="preserve">
        <v> </v>
      </c>
      <c r="C363" s="147" t="str" xml:space="preserve">
        <v> </v>
      </c>
      <c r="D363" s="147" t="str" xml:space="preserve">
        <v> </v>
      </c>
      <c r="E363" s="47">
        <f>E353</f>
      </c>
      <c r="F363" s="47">
        <f>IF(E363="", "", IF(G363="BP", E363, F362))</f>
      </c>
      <c r="G363" s="48"/>
      <c r="H363" s="48"/>
      <c r="I363" s="48"/>
      <c r="J363" s="48"/>
      <c r="K363" s="48"/>
      <c r="L363" s="48"/>
      <c r="M363" s="48" t="str">
        <v>BL</v>
      </c>
      <c r="N363" s="46"/>
      <c r="O363" s="46"/>
      <c r="P363" s="46" t="str">
        <v>⭕</v>
      </c>
      <c r="Q363" s="46"/>
      <c r="R363" s="48" t="str"/>
      <c r="S363" s="47" t="str"/>
      <c r="T363" s="151" t="str"/>
      <c r="U363" s="128">
        <v>2</v>
      </c>
      <c r="V363" s="128">
        <v>1</v>
      </c>
      <c r="W363" s="128">
        <v>2</v>
      </c>
      <c r="X363" s="48"/>
      <c r="Y363" s="48">
        <f>IF(AND(Q363="✅", OR(ISNUMBER(FIND("F",I363)), I363="CR")),   "X="&amp;U363*16&amp;",Y="&amp;(V363-1)*16&amp;",Z="&amp;IF(I363="FD", -(W363-1)*16, (W363-1)*16),   "")</f>
      </c>
      <c r="Z363" s="48">
        <f>IF(AND(Q363="✅", OR(ISNUMBER(FIND("F",I363)), I363="CR")), "P=0,Y=0,R=0", "")</f>
      </c>
      <c r="AA363" s="48" t="str"/>
      <c r="AB363" s="48" t="str"/>
      <c r="AC363" s="48" t="str"/>
      <c r="AD363" s="48" t="str"/>
      <c r="AE363" s="48" t="str"/>
      <c r="AF363" s="48"/>
      <c r="AG363" s="48" t="str"/>
      <c r="AH363" s="48" t="str"/>
      <c r="AI363" s="48" t="str"/>
      <c r="AJ363" s="48" t="str"/>
      <c r="AK363" s="48" t="str"/>
      <c r="AL363" s="48" t="str"/>
      <c r="AM363" s="48" t="str"/>
      <c r="AN363" s="48"/>
      <c r="AO363" s="48" t="str"/>
      <c r="AP363" s="48" t="str"/>
      <c r="AQ363" s="48" t="str"/>
      <c r="AR363" s="48" t="str"/>
      <c r="AS363" s="48" t="str"/>
      <c r="AT363" s="48" t="str"/>
      <c r="AU363" s="48" t="str"/>
      <c r="AV363" s="48"/>
      <c r="AW363" s="48">
        <f>IF(AND(Q363="✅", I363="U90"), "X="&amp;(U363-1)*16&amp;",Y="&amp;(V363-1)*16&amp;",Z="&amp;W363*16, "")</f>
      </c>
      <c r="AX363" s="48">
        <f>IF(AND(Q363="✅", I363="U90"), "P=90,Y=0,R=0", "")</f>
      </c>
      <c r="AY363" s="48" t="str"/>
      <c r="AZ363" s="48" t="str"/>
      <c r="BA363" s="48" t="str"/>
      <c r="BB363" s="48" t="str"/>
      <c r="BC363" s="48" t="str"/>
      <c r="BD363" s="48"/>
      <c r="BE363" s="48">
        <f>IF(AND(Q363="✅", I363="D90"), "X="&amp;(U363-1)*16&amp;",Y="&amp;(V363-1)*16&amp;",Z="&amp;(W363-2)*16, "")</f>
      </c>
      <c r="BF363" s="48">
        <f>IF(AND(Q363="✅", I363="D90"), "P=-90,Y=0,R=0", "")</f>
      </c>
      <c r="BG363" s="48" t="str"/>
      <c r="BH363" s="48" t="str"/>
      <c r="BI363" s="48" t="str"/>
      <c r="BJ363" s="48" t="str"/>
      <c r="BK363" s="48" t="str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</row>
    <row customHeight="true" hidden="true" ht="19" outlineLevel="4" r="364">
      <c r="A364" s="14" t="str" xml:space="preserve">
        <v> </v>
      </c>
      <c r="B364" s="14" t="str" xml:space="preserve">
        <v> </v>
      </c>
      <c r="C364" s="147" t="str" xml:space="preserve">
        <v> </v>
      </c>
      <c r="D364" s="147" t="str" xml:space="preserve">
        <v> </v>
      </c>
      <c r="E364" s="47">
        <f>E353</f>
      </c>
      <c r="F364" s="47">
        <f>IF(E364="", "", IF(G364="BP", E364, F363))</f>
      </c>
      <c r="G364" s="48"/>
      <c r="H364" s="48"/>
      <c r="I364" s="48"/>
      <c r="J364" s="48"/>
      <c r="K364" s="48"/>
      <c r="L364" s="48"/>
      <c r="M364" s="48" t="str">
        <v>BR</v>
      </c>
      <c r="N364" s="46"/>
      <c r="O364" s="46"/>
      <c r="P364" s="46" t="str">
        <v>⭕</v>
      </c>
      <c r="Q364" s="46"/>
      <c r="R364" s="48" t="str"/>
      <c r="S364" s="47" t="str"/>
      <c r="T364" s="151" t="str"/>
      <c r="U364" s="128"/>
      <c r="V364" s="128"/>
      <c r="W364" s="128"/>
      <c r="X364" s="48"/>
      <c r="Y364" s="48"/>
      <c r="Z364" s="48"/>
      <c r="AA364" s="48" t="str"/>
      <c r="AB364" s="48" t="str"/>
      <c r="AC364" s="48" t="str"/>
      <c r="AD364" s="48" t="str"/>
      <c r="AE364" s="48" t="str"/>
      <c r="AF364" s="48"/>
      <c r="AG364" s="48" t="str"/>
      <c r="AH364" s="48" t="str"/>
      <c r="AI364" s="48" t="str"/>
      <c r="AJ364" s="48" t="str"/>
      <c r="AK364" s="48" t="str"/>
      <c r="AL364" s="48" t="str"/>
      <c r="AM364" s="48" t="str"/>
      <c r="AN364" s="48"/>
      <c r="AO364" s="48" t="str"/>
      <c r="AP364" s="48" t="str"/>
      <c r="AQ364" s="48" t="str"/>
      <c r="AR364" s="48" t="str"/>
      <c r="AS364" s="48" t="str"/>
      <c r="AT364" s="48" t="str"/>
      <c r="AU364" s="48" t="str"/>
      <c r="AV364" s="48"/>
      <c r="AW364" s="48"/>
      <c r="AX364" s="48"/>
      <c r="AY364" s="48" t="str"/>
      <c r="AZ364" s="48" t="str"/>
      <c r="BA364" s="48" t="str"/>
      <c r="BB364" s="48" t="str"/>
      <c r="BC364" s="48" t="str"/>
      <c r="BD364" s="48"/>
      <c r="BE364" s="48"/>
      <c r="BF364" s="48"/>
      <c r="BG364" s="48" t="str"/>
      <c r="BH364" s="48" t="str"/>
      <c r="BI364" s="48" t="str"/>
      <c r="BJ364" s="48" t="str"/>
      <c r="BK364" s="48" t="str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</row>
    <row customHeight="true" hidden="true" ht="19" outlineLevel="4" r="365">
      <c r="A365" s="14"/>
      <c r="B365" s="14"/>
      <c r="C365" s="147"/>
      <c r="D365" s="147"/>
      <c r="E365" s="47">
        <f>E345</f>
      </c>
      <c r="F365" s="47">
        <f>IF(E365="", "", IF(G365="BP", E365, F364))</f>
      </c>
      <c r="G365" s="48"/>
      <c r="H365" s="48"/>
      <c r="I365" s="48"/>
      <c r="J365" s="48"/>
      <c r="K365" s="48"/>
      <c r="L365" s="48"/>
      <c r="M365" s="48" t="str">
        <v>R</v>
      </c>
      <c r="N365" s="46"/>
      <c r="O365" s="46"/>
      <c r="P365" s="46" t="str">
        <v>✅</v>
      </c>
      <c r="Q365" s="46"/>
      <c r="R365" s="48" t="str">
        <v>Bump_FD_X2_Y1_Z2</v>
      </c>
      <c r="S365" s="47" t="str">
        <v>/Script/Engine.StaticMesh'/Game/Item/Rail/Bump/FD/Normal/Bump_FD_X2_Y1_Z2/Proxy/SM_Bump_FD_X2_Y1_Z2_Proxy_R.SM_Bump_FD_X2_Y1_Z2_Proxy_R'</v>
      </c>
      <c r="T365" s="151" t="str"/>
      <c r="U365" s="128"/>
      <c r="V365" s="128"/>
      <c r="W365" s="128"/>
      <c r="X365" s="48"/>
      <c r="Y365" s="48"/>
      <c r="Z365" s="48"/>
      <c r="AA365" s="48" t="str"/>
      <c r="AB365" s="48" t="str"/>
      <c r="AC365" s="48" t="str"/>
      <c r="AD365" s="48" t="str"/>
      <c r="AE365" s="48" t="str"/>
      <c r="AF365" s="48"/>
      <c r="AG365" s="48" t="str"/>
      <c r="AH365" s="48" t="str"/>
      <c r="AI365" s="48" t="str"/>
      <c r="AJ365" s="48" t="str"/>
      <c r="AK365" s="48" t="str"/>
      <c r="AL365" s="48" t="str"/>
      <c r="AM365" s="48" t="str"/>
      <c r="AN365" s="48"/>
      <c r="AO365" s="48" t="str"/>
      <c r="AP365" s="48" t="str"/>
      <c r="AQ365" s="48" t="str"/>
      <c r="AR365" s="48" t="str"/>
      <c r="AS365" s="48" t="str"/>
      <c r="AT365" s="48" t="str"/>
      <c r="AU365" s="48" t="str"/>
      <c r="AV365" s="48"/>
      <c r="AW365" s="48"/>
      <c r="AX365" s="48"/>
      <c r="AY365" s="48" t="str"/>
      <c r="AZ365" s="48" t="str"/>
      <c r="BA365" s="48" t="str"/>
      <c r="BB365" s="48" t="str"/>
      <c r="BC365" s="48" t="str"/>
      <c r="BD365" s="48"/>
      <c r="BE365" s="48"/>
      <c r="BF365" s="48"/>
      <c r="BG365" s="48" t="str"/>
      <c r="BH365" s="48" t="str"/>
      <c r="BI365" s="48" t="str"/>
      <c r="BJ365" s="48" t="str"/>
      <c r="BK365" s="48" t="str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</row>
    <row collapsed="true" customHeight="true" ht="19" outlineLevel="2" r="366">
      <c r="A366" s="11"/>
      <c r="B366" s="11"/>
      <c r="C366" s="119" t="str">
        <v>Borderless_R</v>
      </c>
      <c r="D366" s="119"/>
      <c r="E366" s="5"/>
      <c r="F366" s="9"/>
      <c r="G366" s="1"/>
      <c r="H366" s="1"/>
      <c r="I366" s="1"/>
      <c r="J366" s="1"/>
      <c r="K366" s="1"/>
      <c r="L366" s="1"/>
      <c r="M366" s="1"/>
      <c r="N366" s="3"/>
      <c r="O366" s="3"/>
      <c r="P366" s="3"/>
      <c r="Q366" s="3"/>
      <c r="R366" s="1" t="str"/>
      <c r="S366" s="9" t="str"/>
      <c r="T366" s="120" t="str"/>
      <c r="U366" s="118"/>
      <c r="V366" s="118"/>
      <c r="W366" s="118"/>
      <c r="X366" s="4"/>
      <c r="Y366" s="4"/>
      <c r="Z366" s="4"/>
      <c r="AA366" s="4" t="str"/>
      <c r="AB366" s="4" t="str"/>
      <c r="AC366" s="4" t="str"/>
      <c r="AD366" s="4" t="str"/>
      <c r="AE366" s="4" t="str"/>
      <c r="AF366" s="4"/>
      <c r="AG366" s="4" t="str"/>
      <c r="AH366" s="4" t="str"/>
      <c r="AI366" s="4" t="str"/>
      <c r="AJ366" s="4" t="str"/>
      <c r="AK366" s="4" t="str"/>
      <c r="AL366" s="4" t="str"/>
      <c r="AM366" s="4" t="str"/>
      <c r="AN366" s="4"/>
      <c r="AO366" s="4" t="str"/>
      <c r="AP366" s="4" t="str"/>
      <c r="AQ366" s="4" t="str"/>
      <c r="AR366" s="4" t="str"/>
      <c r="AS366" s="4" t="str"/>
      <c r="AT366" s="4" t="str"/>
      <c r="AU366" s="4" t="str"/>
      <c r="AV366" s="4"/>
      <c r="AW366" s="4"/>
      <c r="AX366" s="4"/>
      <c r="AY366" s="4" t="str"/>
      <c r="AZ366" s="4" t="str"/>
      <c r="BA366" s="4" t="str"/>
      <c r="BB366" s="4" t="str"/>
      <c r="BC366" s="4" t="str"/>
      <c r="BD366" s="4"/>
      <c r="BE366" s="4"/>
      <c r="BF366" s="4"/>
      <c r="BG366" s="4" t="str"/>
      <c r="BH366" s="4" t="str"/>
      <c r="BI366" s="4" t="str"/>
      <c r="BJ366" s="4" t="str"/>
      <c r="BK366" s="4" t="str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</row>
    <row customHeight="true" hidden="true" ht="19" outlineLevel="3" r="367">
      <c r="A367" s="11"/>
      <c r="B367" s="11"/>
      <c r="C367" s="119"/>
      <c r="D367" s="119">
        <v>2</v>
      </c>
      <c r="E367" s="5"/>
      <c r="F367" s="9"/>
      <c r="G367" s="1"/>
      <c r="H367" s="1"/>
      <c r="I367" s="1"/>
      <c r="J367" s="1"/>
      <c r="K367" s="1"/>
      <c r="L367" s="1"/>
      <c r="M367" s="1"/>
      <c r="N367" s="3"/>
      <c r="O367" s="3"/>
      <c r="P367" s="3"/>
      <c r="Q367" s="3"/>
      <c r="R367" s="1" t="str"/>
      <c r="S367" s="9" t="str"/>
      <c r="T367" s="120" t="str"/>
      <c r="U367" s="118"/>
      <c r="V367" s="118"/>
      <c r="W367" s="118"/>
      <c r="X367" s="4"/>
      <c r="Y367" s="4"/>
      <c r="Z367" s="4"/>
      <c r="AA367" s="4" t="str"/>
      <c r="AB367" s="4" t="str"/>
      <c r="AC367" s="4" t="str"/>
      <c r="AD367" s="4" t="str"/>
      <c r="AE367" s="4" t="str"/>
      <c r="AF367" s="4"/>
      <c r="AG367" s="4" t="str"/>
      <c r="AH367" s="4" t="str"/>
      <c r="AI367" s="4" t="str"/>
      <c r="AJ367" s="4" t="str"/>
      <c r="AK367" s="4" t="str"/>
      <c r="AL367" s="4" t="str"/>
      <c r="AM367" s="4" t="str"/>
      <c r="AN367" s="4"/>
      <c r="AO367" s="4" t="str"/>
      <c r="AP367" s="4" t="str"/>
      <c r="AQ367" s="4" t="str"/>
      <c r="AR367" s="4" t="str"/>
      <c r="AS367" s="4" t="str"/>
      <c r="AT367" s="4" t="str"/>
      <c r="AU367" s="4" t="str"/>
      <c r="AV367" s="4"/>
      <c r="AW367" s="4"/>
      <c r="AX367" s="4"/>
      <c r="AY367" s="4" t="str"/>
      <c r="AZ367" s="4" t="str"/>
      <c r="BA367" s="4" t="str"/>
      <c r="BB367" s="4" t="str"/>
      <c r="BC367" s="4" t="str"/>
      <c r="BD367" s="4"/>
      <c r="BE367" s="4"/>
      <c r="BF367" s="4"/>
      <c r="BG367" s="4" t="str"/>
      <c r="BH367" s="4" t="str"/>
      <c r="BI367" s="4" t="str"/>
      <c r="BJ367" s="4" t="str"/>
      <c r="BK367" s="4" t="str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</row>
    <row customHeight="true" hidden="true" ht="19" outlineLevel="4" r="368">
      <c r="A368" s="146" t="str" xml:space="preserve">
        <v> </v>
      </c>
      <c r="B368" s="146" t="str" xml:space="preserve">
        <v> </v>
      </c>
      <c r="C368" s="143" t="str" xml:space="preserve">
        <v> </v>
      </c>
      <c r="D368" s="143" t="str" xml:space="preserve">
        <v> </v>
      </c>
      <c r="E368" s="60">
        <f>G368 &amp; "_" &amp; H368 &amp; IF(I368&lt;&gt;"", "_" &amp; I368, "") &amp; IF(J368&lt;&gt;"", "_" &amp; J368, "") &amp; IF(K368&lt;&gt;"", "_" &amp; K368, "") &amp;"_X"&amp;U368&amp;"_Y"&amp;V368&amp;"_Z"&amp;W368 &amp; IF(G368="SM", "_Proxy" , "_Rail") &amp; IF(M368&lt;&gt;"", "_" &amp; M368, "")</f>
      </c>
      <c r="F368" s="62">
        <f>IF(E368="", "", IF(G368="BP", E368, F367))</f>
      </c>
      <c r="G368" s="61" t="str">
        <v>BP</v>
      </c>
      <c r="H368" s="61" t="str">
        <v>Bump</v>
      </c>
      <c r="I368" s="61" t="str">
        <v>FD</v>
      </c>
      <c r="J368" s="61" t="str">
        <v>Borderless_R</v>
      </c>
      <c r="K368" s="61"/>
      <c r="L368" s="61"/>
      <c r="M368" s="61"/>
      <c r="N368" s="87"/>
      <c r="O368" s="87"/>
      <c r="P368" s="87"/>
      <c r="Q368" s="87" t="str">
        <v>⭕</v>
      </c>
      <c r="R368" s="61" t="str"/>
      <c r="S368" s="62" t="str"/>
      <c r="T368" s="144">
        <v>6.5</v>
      </c>
      <c r="U368" s="145">
        <v>2</v>
      </c>
      <c r="V368" s="145">
        <v>1</v>
      </c>
      <c r="W368" s="145">
        <v>2</v>
      </c>
      <c r="X368" s="71"/>
      <c r="Y368" s="71">
        <f>IF(AND(Q368="✅", OR(ISNUMBER(FIND("F",I368)), I368="CR")),   "X="&amp;U368*16&amp;",Y="&amp;(V368-1)*16&amp;",Z="&amp;IF(I368="FD", -(W368-1)*16, (W368-1)*16),   "")</f>
      </c>
      <c r="Z368" s="71">
        <f>IF(AND(Q368="✅", OR(ISNUMBER(FIND("F",I368)), I368="CR")), "P=0,Y=0,R=0", "")</f>
      </c>
      <c r="AA368" s="71" t="str"/>
      <c r="AB368" s="71" t="str"/>
      <c r="AC368" s="71" t="str"/>
      <c r="AD368" s="71" t="str"/>
      <c r="AE368" s="71" t="str"/>
      <c r="AF368" s="71"/>
      <c r="AG368" s="71" t="str"/>
      <c r="AH368" s="71" t="str"/>
      <c r="AI368" s="71" t="str"/>
      <c r="AJ368" s="71" t="str"/>
      <c r="AK368" s="71" t="str"/>
      <c r="AL368" s="71" t="str"/>
      <c r="AM368" s="71" t="str"/>
      <c r="AN368" s="71"/>
      <c r="AO368" s="71" t="str"/>
      <c r="AP368" s="71" t="str"/>
      <c r="AQ368" s="71" t="str"/>
      <c r="AR368" s="71" t="str"/>
      <c r="AS368" s="71" t="str"/>
      <c r="AT368" s="71" t="str"/>
      <c r="AU368" s="71" t="str"/>
      <c r="AV368" s="71"/>
      <c r="AW368" s="71">
        <f>IF(AND(Q368="✅", I368="U90"), "X="&amp;(U368-1)*16&amp;",Y="&amp;(V368-1)*16&amp;",Z="&amp;W368*16, "")</f>
      </c>
      <c r="AX368" s="71">
        <f>IF(AND(Q368="✅", I368="U90"), "P=90,Y=0,R=0", "")</f>
      </c>
      <c r="AY368" s="71" t="str"/>
      <c r="AZ368" s="71" t="str"/>
      <c r="BA368" s="71" t="str"/>
      <c r="BB368" s="71" t="str"/>
      <c r="BC368" s="71" t="str"/>
      <c r="BD368" s="71"/>
      <c r="BE368" s="71">
        <f>IF(AND(Q368="✅", I368="D90"), "X="&amp;(U368-1)*16&amp;",Y="&amp;(V368-1)*16&amp;",Z="&amp;(W368-2)*16, "")</f>
      </c>
      <c r="BF368" s="71">
        <f>IF(AND(Q368="✅", I368="D90"), "P=-90,Y=0,R=0", "")</f>
      </c>
      <c r="BG368" s="71" t="str"/>
      <c r="BH368" s="71" t="str"/>
      <c r="BI368" s="71" t="str"/>
      <c r="BJ368" s="71" t="str"/>
      <c r="BK368" s="71" t="str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</row>
    <row customHeight="true" hidden="true" ht="19" outlineLevel="4" r="369">
      <c r="A369" s="146" t="str" xml:space="preserve">
        <v> </v>
      </c>
      <c r="B369" s="146" t="str" xml:space="preserve">
        <v> </v>
      </c>
      <c r="C369" s="143" t="str" xml:space="preserve">
        <v> </v>
      </c>
      <c r="D369" s="143" t="str" xml:space="preserve">
        <v> </v>
      </c>
      <c r="E369" s="60">
        <f>E343</f>
      </c>
      <c r="F369" s="62">
        <f>IF(E369="", "", IF(G369="BP", E369, F368))</f>
      </c>
      <c r="G369" s="61"/>
      <c r="H369" s="61"/>
      <c r="I369" s="61"/>
      <c r="J369" s="61"/>
      <c r="K369" s="61"/>
      <c r="L369" s="61"/>
      <c r="M369" s="61" t="str">
        <v>B</v>
      </c>
      <c r="N369" s="87"/>
      <c r="O369" s="87"/>
      <c r="P369" s="87" t="str">
        <v>⭕</v>
      </c>
      <c r="Q369" s="87"/>
      <c r="R369" s="61" t="str"/>
      <c r="S369" s="62" t="str">
        <v>/Script/Engine.StaticMesh'/Game/Item/Rail/Bump/FD/Normal/Bump_FD_X2_Y1_Z2/Proxy/SM_Bump_FD_X2_Y1_Z2_Proxy_B.SM_Bump_FD_X2_Y1_Z2_Proxy_B'</v>
      </c>
      <c r="T369" s="144" t="str"/>
      <c r="U369" s="145">
        <v>2</v>
      </c>
      <c r="V369" s="145">
        <v>1</v>
      </c>
      <c r="W369" s="145">
        <v>2</v>
      </c>
      <c r="X369" s="71"/>
      <c r="Y369" s="71">
        <f>IF(AND(Q369="✅", OR(ISNUMBER(FIND("F",I369)), I369="CR")),   "X="&amp;U369*16&amp;",Y="&amp;(V369-1)*16&amp;",Z="&amp;IF(I369="FD", -(W369-1)*16, (W369-1)*16),   "")</f>
      </c>
      <c r="Z369" s="71">
        <f>IF(AND(Q369="✅", OR(ISNUMBER(FIND("F",I369)), I369="CR")), "P=0,Y=0,R=0", "")</f>
      </c>
      <c r="AA369" s="71" t="str"/>
      <c r="AB369" s="71" t="str"/>
      <c r="AC369" s="71" t="str"/>
      <c r="AD369" s="71" t="str"/>
      <c r="AE369" s="71" t="str"/>
      <c r="AF369" s="71"/>
      <c r="AG369" s="71" t="str"/>
      <c r="AH369" s="71" t="str"/>
      <c r="AI369" s="71" t="str"/>
      <c r="AJ369" s="71" t="str"/>
      <c r="AK369" s="71" t="str"/>
      <c r="AL369" s="71" t="str"/>
      <c r="AM369" s="71" t="str"/>
      <c r="AN369" s="71"/>
      <c r="AO369" s="71" t="str"/>
      <c r="AP369" s="71" t="str"/>
      <c r="AQ369" s="71" t="str"/>
      <c r="AR369" s="71" t="str"/>
      <c r="AS369" s="71" t="str"/>
      <c r="AT369" s="71" t="str"/>
      <c r="AU369" s="71" t="str"/>
      <c r="AV369" s="71"/>
      <c r="AW369" s="71">
        <f>IF(AND(Q369="✅", I369="U90"), "X="&amp;(U369-1)*16&amp;",Y="&amp;(V369-1)*16&amp;",Z="&amp;W369*16, "")</f>
      </c>
      <c r="AX369" s="71">
        <f>IF(AND(Q369="✅", I369="U90"), "P=90,Y=0,R=0", "")</f>
      </c>
      <c r="AY369" s="71" t="str"/>
      <c r="AZ369" s="71" t="str"/>
      <c r="BA369" s="71" t="str"/>
      <c r="BB369" s="71" t="str"/>
      <c r="BC369" s="71" t="str"/>
      <c r="BD369" s="71"/>
      <c r="BE369" s="71">
        <f>IF(AND(Q369="✅", I369="D90"), "X="&amp;(U369-1)*16&amp;",Y="&amp;(V369-1)*16&amp;",Z="&amp;(W369-2)*16, "")</f>
      </c>
      <c r="BF369" s="71">
        <f>IF(AND(Q369="✅", I369="D90"), "P=-90,Y=0,R=0", "")</f>
      </c>
      <c r="BG369" s="71" t="str"/>
      <c r="BH369" s="71" t="str"/>
      <c r="BI369" s="71" t="str"/>
      <c r="BJ369" s="71" t="str"/>
      <c r="BK369" s="71" t="str"/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</row>
    <row customHeight="true" hidden="true" ht="19" outlineLevel="4" r="370">
      <c r="A370" s="146" t="str" xml:space="preserve">
        <v> </v>
      </c>
      <c r="B370" s="146" t="str" xml:space="preserve">
        <v> </v>
      </c>
      <c r="C370" s="143" t="str" xml:space="preserve">
        <v> </v>
      </c>
      <c r="D370" s="143" t="str" xml:space="preserve">
        <v> </v>
      </c>
      <c r="E370" s="60">
        <f>E344</f>
      </c>
      <c r="F370" s="62">
        <f>IF(E370="", "", IF(G370="BP", E370, F369))</f>
      </c>
      <c r="G370" s="61"/>
      <c r="H370" s="61"/>
      <c r="I370" s="61"/>
      <c r="J370" s="61"/>
      <c r="K370" s="61"/>
      <c r="L370" s="61"/>
      <c r="M370" s="61" t="str">
        <v>L</v>
      </c>
      <c r="N370" s="87"/>
      <c r="O370" s="87"/>
      <c r="P370" s="87" t="str">
        <v>⭕</v>
      </c>
      <c r="Q370" s="87"/>
      <c r="R370" s="61" t="str"/>
      <c r="S370" s="62" t="str">
        <v>/Script/Engine.StaticMesh'/Game/Item/Rail/Bump/FD/Normal/Bump_FD_X2_Y1_Z2/Proxy/SM_Bump_FD_X2_Y1_Z2_Proxy_L.SM_Bump_FD_X2_Y1_Z2_Proxy_L'</v>
      </c>
      <c r="T370" s="144" t="str"/>
      <c r="U370" s="145">
        <v>2</v>
      </c>
      <c r="V370" s="145">
        <v>1</v>
      </c>
      <c r="W370" s="145">
        <v>2</v>
      </c>
      <c r="X370" s="71"/>
      <c r="Y370" s="71">
        <f>IF(AND(Q370="✅", OR(ISNUMBER(FIND("F",I370)), I370="CR")),   "X="&amp;U370*16&amp;",Y="&amp;(V370-1)*16&amp;",Z="&amp;IF(I370="FD", -(W370-1)*16, (W370-1)*16),   "")</f>
      </c>
      <c r="Z370" s="71">
        <f>IF(AND(Q370="✅", OR(ISNUMBER(FIND("F",I370)), I370="CR")), "P=0,Y=0,R=0", "")</f>
      </c>
      <c r="AA370" s="71" t="str"/>
      <c r="AB370" s="71" t="str"/>
      <c r="AC370" s="71" t="str"/>
      <c r="AD370" s="71" t="str"/>
      <c r="AE370" s="71" t="str"/>
      <c r="AF370" s="71"/>
      <c r="AG370" s="71" t="str"/>
      <c r="AH370" s="71" t="str"/>
      <c r="AI370" s="71" t="str"/>
      <c r="AJ370" s="71" t="str"/>
      <c r="AK370" s="71" t="str"/>
      <c r="AL370" s="71" t="str"/>
      <c r="AM370" s="71" t="str"/>
      <c r="AN370" s="71"/>
      <c r="AO370" s="71" t="str"/>
      <c r="AP370" s="71" t="str"/>
      <c r="AQ370" s="71" t="str"/>
      <c r="AR370" s="71" t="str"/>
      <c r="AS370" s="71" t="str"/>
      <c r="AT370" s="71" t="str"/>
      <c r="AU370" s="71" t="str"/>
      <c r="AV370" s="71"/>
      <c r="AW370" s="71">
        <f>IF(AND(Q370="✅", I370="U90"), "X="&amp;(U370-1)*16&amp;",Y="&amp;(V370-1)*16&amp;",Z="&amp;W370*16, "")</f>
      </c>
      <c r="AX370" s="71">
        <f>IF(AND(Q370="✅", I370="U90"), "P=90,Y=0,R=0", "")</f>
      </c>
      <c r="AY370" s="71" t="str"/>
      <c r="AZ370" s="71" t="str"/>
      <c r="BA370" s="71" t="str"/>
      <c r="BB370" s="71" t="str"/>
      <c r="BC370" s="71" t="str"/>
      <c r="BD370" s="71"/>
      <c r="BE370" s="71">
        <f>IF(AND(Q370="✅", I370="D90"), "X="&amp;(U370-1)*16&amp;",Y="&amp;(V370-1)*16&amp;",Z="&amp;(W370-2)*16, "")</f>
      </c>
      <c r="BF370" s="71">
        <f>IF(AND(Q370="✅", I370="D90"), "P=-90,Y=0,R=0", "")</f>
      </c>
      <c r="BG370" s="71" t="str"/>
      <c r="BH370" s="71" t="str"/>
      <c r="BI370" s="71" t="str"/>
      <c r="BJ370" s="71" t="str"/>
      <c r="BK370" s="71" t="str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</row>
    <row customHeight="true" ht="19" outlineLevel="1" r="371">
      <c r="A371" s="11"/>
      <c r="B371" s="11" t="str">
        <v>FU</v>
      </c>
      <c r="C371" s="119"/>
      <c r="D371" s="119"/>
      <c r="E371" s="5"/>
      <c r="F371" s="9">
        <f>IF(E371="", "", IF(G371="BP", E371, F345))</f>
      </c>
      <c r="G371" s="1"/>
      <c r="H371" s="1"/>
      <c r="I371" s="1"/>
      <c r="J371" s="1"/>
      <c r="K371" s="1"/>
      <c r="L371" s="1"/>
      <c r="M371" s="1"/>
      <c r="N371" s="3"/>
      <c r="O371" s="3"/>
      <c r="P371" s="3"/>
      <c r="Q371" s="3"/>
      <c r="R371" s="1" t="str"/>
      <c r="S371" s="9" t="str"/>
      <c r="T371" s="120" t="str"/>
      <c r="U371" s="118"/>
      <c r="V371" s="118"/>
      <c r="W371" s="118"/>
      <c r="X371" s="4"/>
      <c r="Y371" s="4">
        <f>IF(AND(Q371="✅", OR(ISNUMBER(FIND("F",I371)), I371="CR")),   "X="&amp;U371*16&amp;",Y="&amp;(V371-1)*16&amp;",Z="&amp;IF(I371="FD", -(W371-1)*16, (W371-1)*16),   "")</f>
      </c>
      <c r="Z371" s="4">
        <f>IF(AND(Q371="✅", OR(ISNUMBER(FIND("F",I371)), I371="CR")), "P=0,Y=0,R=0", "")</f>
      </c>
      <c r="AA371" s="4" t="str"/>
      <c r="AB371" s="4" t="str"/>
      <c r="AC371" s="4" t="str"/>
      <c r="AD371" s="4" t="str"/>
      <c r="AE371" s="4" t="str"/>
      <c r="AF371" s="4"/>
      <c r="AG371" s="4" t="str"/>
      <c r="AH371" s="4" t="str"/>
      <c r="AI371" s="4" t="str"/>
      <c r="AJ371" s="4" t="str"/>
      <c r="AK371" s="4" t="str"/>
      <c r="AL371" s="4" t="str"/>
      <c r="AM371" s="4" t="str"/>
      <c r="AN371" s="4"/>
      <c r="AO371" s="4" t="str"/>
      <c r="AP371" s="4" t="str"/>
      <c r="AQ371" s="4" t="str"/>
      <c r="AR371" s="4" t="str"/>
      <c r="AS371" s="4" t="str"/>
      <c r="AT371" s="4" t="str"/>
      <c r="AU371" s="4" t="str"/>
      <c r="AV371" s="4"/>
      <c r="AW371" s="4">
        <f>IF(AND(Q371="✅", I371="U90"), "X="&amp;(U371-1)*16&amp;",Y="&amp;(V371-1)*16&amp;",Z="&amp;W371*16, "")</f>
      </c>
      <c r="AX371" s="4">
        <f>IF(AND(Q371="✅", I371="U90"), "P=90,Y=0,R=0", "")</f>
      </c>
      <c r="AY371" s="4" t="str"/>
      <c r="AZ371" s="4" t="str"/>
      <c r="BA371" s="4" t="str"/>
      <c r="BB371" s="4" t="str"/>
      <c r="BC371" s="4" t="str"/>
      <c r="BD371" s="4"/>
      <c r="BE371" s="4">
        <f>IF(AND(Q371="✅", I371="D90"), "X="&amp;(U371-1)*16&amp;",Y="&amp;(V371-1)*16&amp;",Z="&amp;(W371-2)*16, "")</f>
      </c>
      <c r="BF371" s="4">
        <f>IF(AND(Q371="✅", I371="D90"), "P=-90,Y=0,R=0", "")</f>
      </c>
      <c r="BG371" s="4" t="str"/>
      <c r="BH371" s="4" t="str"/>
      <c r="BI371" s="4" t="str"/>
      <c r="BJ371" s="4" t="str"/>
      <c r="BK371" s="4" t="str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</row>
    <row customHeight="true" ht="19" outlineLevel="2" r="372">
      <c r="A372" s="11"/>
      <c r="B372" s="11"/>
      <c r="C372" s="119" t="str">
        <v>Normal</v>
      </c>
      <c r="D372" s="119"/>
      <c r="E372" s="5"/>
      <c r="F372" s="9"/>
      <c r="G372" s="1"/>
      <c r="H372" s="1"/>
      <c r="I372" s="1"/>
      <c r="J372" s="1"/>
      <c r="K372" s="1"/>
      <c r="L372" s="1"/>
      <c r="M372" s="1"/>
      <c r="N372" s="3"/>
      <c r="O372" s="3"/>
      <c r="P372" s="3"/>
      <c r="Q372" s="3"/>
      <c r="R372" s="1" t="str"/>
      <c r="S372" s="9" t="str"/>
      <c r="T372" s="120" t="str"/>
      <c r="U372" s="118"/>
      <c r="V372" s="118"/>
      <c r="W372" s="118"/>
      <c r="X372" s="4"/>
      <c r="Y372" s="4"/>
      <c r="Z372" s="4"/>
      <c r="AA372" s="4" t="str"/>
      <c r="AB372" s="4" t="str"/>
      <c r="AC372" s="4" t="str"/>
      <c r="AD372" s="4" t="str"/>
      <c r="AE372" s="4" t="str"/>
      <c r="AF372" s="4"/>
      <c r="AG372" s="4" t="str"/>
      <c r="AH372" s="4" t="str"/>
      <c r="AI372" s="4" t="str"/>
      <c r="AJ372" s="4" t="str"/>
      <c r="AK372" s="4" t="str"/>
      <c r="AL372" s="4" t="str"/>
      <c r="AM372" s="4" t="str"/>
      <c r="AN372" s="4"/>
      <c r="AO372" s="4" t="str"/>
      <c r="AP372" s="4" t="str"/>
      <c r="AQ372" s="4" t="str"/>
      <c r="AR372" s="4" t="str"/>
      <c r="AS372" s="4" t="str"/>
      <c r="AT372" s="4" t="str"/>
      <c r="AU372" s="4" t="str"/>
      <c r="AV372" s="4"/>
      <c r="AW372" s="4"/>
      <c r="AX372" s="4"/>
      <c r="AY372" s="4" t="str"/>
      <c r="AZ372" s="4" t="str"/>
      <c r="BA372" s="4" t="str"/>
      <c r="BB372" s="4" t="str"/>
      <c r="BC372" s="4" t="str"/>
      <c r="BD372" s="4"/>
      <c r="BE372" s="4"/>
      <c r="BF372" s="4"/>
      <c r="BG372" s="4" t="str"/>
      <c r="BH372" s="4" t="str"/>
      <c r="BI372" s="4" t="str"/>
      <c r="BJ372" s="4" t="str"/>
      <c r="BK372" s="4" t="str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</row>
    <row customHeight="true" ht="19" outlineLevel="3" r="373">
      <c r="A373" s="11"/>
      <c r="B373" s="11"/>
      <c r="C373" s="119"/>
      <c r="D373" s="119">
        <v>2</v>
      </c>
      <c r="E373" s="5"/>
      <c r="F373" s="9"/>
      <c r="G373" s="1"/>
      <c r="H373" s="1"/>
      <c r="I373" s="1"/>
      <c r="J373" s="1"/>
      <c r="K373" s="1"/>
      <c r="L373" s="1"/>
      <c r="M373" s="1"/>
      <c r="N373" s="3"/>
      <c r="O373" s="3"/>
      <c r="P373" s="3"/>
      <c r="Q373" s="3"/>
      <c r="R373" s="1" t="str"/>
      <c r="S373" s="9" t="str"/>
      <c r="T373" s="120" t="str"/>
      <c r="U373" s="118"/>
      <c r="V373" s="118"/>
      <c r="W373" s="118"/>
      <c r="X373" s="4"/>
      <c r="Y373" s="4"/>
      <c r="Z373" s="4"/>
      <c r="AA373" s="4" t="str"/>
      <c r="AB373" s="4" t="str"/>
      <c r="AC373" s="4" t="str"/>
      <c r="AD373" s="4" t="str"/>
      <c r="AE373" s="4" t="str"/>
      <c r="AF373" s="4"/>
      <c r="AG373" s="4" t="str"/>
      <c r="AH373" s="4" t="str"/>
      <c r="AI373" s="4" t="str"/>
      <c r="AJ373" s="4" t="str"/>
      <c r="AK373" s="4" t="str"/>
      <c r="AL373" s="4" t="str"/>
      <c r="AM373" s="4" t="str"/>
      <c r="AN373" s="4"/>
      <c r="AO373" s="4" t="str"/>
      <c r="AP373" s="4" t="str"/>
      <c r="AQ373" s="4" t="str"/>
      <c r="AR373" s="4" t="str"/>
      <c r="AS373" s="4" t="str"/>
      <c r="AT373" s="4" t="str"/>
      <c r="AU373" s="4" t="str"/>
      <c r="AV373" s="4"/>
      <c r="AW373" s="4"/>
      <c r="AX373" s="4"/>
      <c r="AY373" s="4" t="str"/>
      <c r="AZ373" s="4" t="str"/>
      <c r="BA373" s="4" t="str"/>
      <c r="BB373" s="4" t="str"/>
      <c r="BC373" s="4" t="str"/>
      <c r="BD373" s="4"/>
      <c r="BE373" s="4"/>
      <c r="BF373" s="4"/>
      <c r="BG373" s="4" t="str"/>
      <c r="BH373" s="4" t="str"/>
      <c r="BI373" s="4" t="str"/>
      <c r="BJ373" s="4" t="str"/>
      <c r="BK373" s="4" t="str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</row>
    <row customHeight="true" ht="19" outlineLevel="4" r="374">
      <c r="A374" s="149" t="str" xml:space="preserve">
        <v> </v>
      </c>
      <c r="B374" s="149" t="str" xml:space="preserve">
        <v> </v>
      </c>
      <c r="C374" s="148" t="str" xml:space="preserve">
        <v> </v>
      </c>
      <c r="D374" s="148" t="str" xml:space="preserve">
        <v> </v>
      </c>
      <c r="E374" s="65">
        <f>G374 &amp; "_" &amp; H374 &amp; IF(I374&lt;&gt;"", "_" &amp; I374, "") &amp; IF(J374&lt;&gt;"", "_" &amp; J374, "") &amp; IF(K374&lt;&gt;"", "_" &amp; K374, "") &amp;"_X"&amp;U374&amp;"_Y"&amp;V374&amp;"_Z"&amp;W374 &amp; IF(G374="SM", "_Proxy" , "_Rail") &amp; IF(M374&lt;&gt;"", "_" &amp; M374, "")</f>
      </c>
      <c r="F374" s="66">
        <f>IF(E374="", "", IF(G374="BP", E374, F371))</f>
      </c>
      <c r="G374" s="64" t="str">
        <v>BP</v>
      </c>
      <c r="H374" s="64" t="str">
        <v>Bump</v>
      </c>
      <c r="I374" s="64" t="str">
        <v>FU</v>
      </c>
      <c r="J374" s="64"/>
      <c r="K374" s="64"/>
      <c r="L374" s="64"/>
      <c r="M374" s="64"/>
      <c r="N374" s="90"/>
      <c r="O374" s="90"/>
      <c r="P374" s="90"/>
      <c r="Q374" s="90" t="str">
        <v>⭕</v>
      </c>
      <c r="R374" s="64" t="str"/>
      <c r="S374" s="66" t="str"/>
      <c r="T374" s="139">
        <v>3.9000000000000004</v>
      </c>
      <c r="U374" s="140">
        <v>2</v>
      </c>
      <c r="V374" s="140">
        <v>1</v>
      </c>
      <c r="W374" s="140">
        <v>2</v>
      </c>
      <c r="X374" s="88"/>
      <c r="Y374" s="88">
        <f>IF(AND(Q374="✅", OR(ISNUMBER(FIND("F",I374)), I374="CR")),   "X="&amp;U374*16&amp;",Y="&amp;(V374-1)*16&amp;",Z="&amp;IF(I374="FD", -(W374-1)*16, (W374-1)*16),   "")</f>
      </c>
      <c r="Z374" s="88">
        <f>IF(AND(Q374="✅", OR(ISNUMBER(FIND("F",I374)), I374="CR")), "P=0,Y=0,R=0", "")</f>
      </c>
      <c r="AA374" s="88" t="str"/>
      <c r="AB374" s="88" t="str"/>
      <c r="AC374" s="88" t="str"/>
      <c r="AD374" s="88" t="str"/>
      <c r="AE374" s="88" t="str"/>
      <c r="AF374" s="88"/>
      <c r="AG374" s="88" t="str"/>
      <c r="AH374" s="88" t="str"/>
      <c r="AI374" s="88" t="str"/>
      <c r="AJ374" s="88" t="str"/>
      <c r="AK374" s="88" t="str"/>
      <c r="AL374" s="88" t="str"/>
      <c r="AM374" s="88" t="str"/>
      <c r="AN374" s="88"/>
      <c r="AO374" s="88" t="str"/>
      <c r="AP374" s="88" t="str"/>
      <c r="AQ374" s="88" t="str"/>
      <c r="AR374" s="88" t="str"/>
      <c r="AS374" s="88" t="str"/>
      <c r="AT374" s="88" t="str"/>
      <c r="AU374" s="88" t="str"/>
      <c r="AV374" s="88"/>
      <c r="AW374" s="88">
        <f>IF(AND(Q374="✅", I374="U90"), "X="&amp;(U374-1)*16&amp;",Y="&amp;(V374-1)*16&amp;",Z="&amp;W374*16, "")</f>
      </c>
      <c r="AX374" s="88">
        <f>IF(AND(Q374="✅", I374="U90"), "P=90,Y=0,R=0", "")</f>
      </c>
      <c r="AY374" s="88" t="str"/>
      <c r="AZ374" s="88" t="str"/>
      <c r="BA374" s="88" t="str"/>
      <c r="BB374" s="88" t="str"/>
      <c r="BC374" s="88" t="str"/>
      <c r="BD374" s="88"/>
      <c r="BE374" s="88">
        <f>IF(AND(Q374="✅", I374="D90"), "X="&amp;(U374-1)*16&amp;",Y="&amp;(V374-1)*16&amp;",Z="&amp;(W374-2)*16, "")</f>
      </c>
      <c r="BF374" s="88">
        <f>IF(AND(Q374="✅", I374="D90"), "P=-90,Y=0,R=0", "")</f>
      </c>
      <c r="BG374" s="88" t="str"/>
      <c r="BH374" s="88" t="str"/>
      <c r="BI374" s="88" t="str"/>
      <c r="BJ374" s="88" t="str"/>
      <c r="BK374" s="88" t="str"/>
      <c r="BL374" s="65"/>
      <c r="BM374" s="65"/>
      <c r="BN374" s="65"/>
      <c r="BO374" s="65"/>
      <c r="BP374" s="65"/>
      <c r="BQ374" s="65"/>
      <c r="BR374" s="65"/>
      <c r="BS374" s="65"/>
      <c r="BT374" s="65"/>
      <c r="BU374" s="65"/>
      <c r="BV374" s="65"/>
      <c r="BW374" s="65"/>
      <c r="BX374" s="65"/>
      <c r="BY374" s="65"/>
    </row>
    <row customHeight="true" ht="19" outlineLevel="4" r="375">
      <c r="A375" s="149" t="str" xml:space="preserve">
        <v> </v>
      </c>
      <c r="B375" s="149" t="str" xml:space="preserve">
        <v> </v>
      </c>
      <c r="C375" s="148" t="str" xml:space="preserve">
        <v> </v>
      </c>
      <c r="D375" s="148" t="str" xml:space="preserve">
        <v> </v>
      </c>
      <c r="E375" s="65">
        <f>G375 &amp; "_" &amp; H375 &amp; IF(I375&lt;&gt;"", "_" &amp; I375, "") &amp; IF(J375&lt;&gt;"", "_" &amp; J375, "") &amp; IF(K375&lt;&gt;"", "_" &amp; K375, "") &amp;"_X"&amp;U375&amp;"_Y"&amp;V375&amp;"_Z"&amp;W375 &amp; IF(G375="SM", "_Proxy" , "_Rail") &amp; IF(M375&lt;&gt;"", "_" &amp; M375, "")</f>
      </c>
      <c r="F375" s="66">
        <f>IF(E375="", "", IF(G375="BP", E375, F374))</f>
      </c>
      <c r="G375" s="64" t="str">
        <v>SM</v>
      </c>
      <c r="H375" s="64" t="str">
        <v>Bump</v>
      </c>
      <c r="I375" s="64" t="str">
        <v>FU</v>
      </c>
      <c r="J375" s="64"/>
      <c r="K375" s="64"/>
      <c r="L375" s="64"/>
      <c r="M375" s="64" t="str">
        <v>B</v>
      </c>
      <c r="N375" s="90"/>
      <c r="O375" s="90"/>
      <c r="P375" s="90" t="str">
        <v>⭕</v>
      </c>
      <c r="Q375" s="90"/>
      <c r="R375" s="64" t="str"/>
      <c r="S375" s="66" t="str"/>
      <c r="T375" s="139" t="str"/>
      <c r="U375" s="140">
        <v>2</v>
      </c>
      <c r="V375" s="140">
        <v>1</v>
      </c>
      <c r="W375" s="140">
        <v>2</v>
      </c>
      <c r="X375" s="88"/>
      <c r="Y375" s="88">
        <f>IF(AND(Q375="✅", OR(ISNUMBER(FIND("F",I375)), I375="CR")),   "X="&amp;U375*16&amp;",Y="&amp;(V375-1)*16&amp;",Z="&amp;IF(I375="FD", -(W375-1)*16, (W375-1)*16),   "")</f>
      </c>
      <c r="Z375" s="88">
        <f>IF(AND(Q375="✅", OR(ISNUMBER(FIND("F",I375)), I375="CR")), "P=0,Y=0,R=0", "")</f>
      </c>
      <c r="AA375" s="88" t="str"/>
      <c r="AB375" s="88" t="str"/>
      <c r="AC375" s="88" t="str"/>
      <c r="AD375" s="88" t="str"/>
      <c r="AE375" s="88" t="str"/>
      <c r="AF375" s="88"/>
      <c r="AG375" s="88" t="str"/>
      <c r="AH375" s="88" t="str"/>
      <c r="AI375" s="88" t="str"/>
      <c r="AJ375" s="88" t="str"/>
      <c r="AK375" s="88" t="str"/>
      <c r="AL375" s="88" t="str"/>
      <c r="AM375" s="88" t="str"/>
      <c r="AN375" s="88"/>
      <c r="AO375" s="88" t="str"/>
      <c r="AP375" s="88" t="str"/>
      <c r="AQ375" s="88" t="str"/>
      <c r="AR375" s="88" t="str"/>
      <c r="AS375" s="88" t="str"/>
      <c r="AT375" s="88" t="str"/>
      <c r="AU375" s="88" t="str"/>
      <c r="AV375" s="88"/>
      <c r="AW375" s="88">
        <f>IF(AND(Q375="✅", I375="U90"), "X="&amp;(U375-1)*16&amp;",Y="&amp;(V375-1)*16&amp;",Z="&amp;W375*16, "")</f>
      </c>
      <c r="AX375" s="88">
        <f>IF(AND(Q375="✅", I375="U90"), "P=90,Y=0,R=0", "")</f>
      </c>
      <c r="AY375" s="88" t="str"/>
      <c r="AZ375" s="88" t="str"/>
      <c r="BA375" s="88" t="str"/>
      <c r="BB375" s="88" t="str"/>
      <c r="BC375" s="88" t="str"/>
      <c r="BD375" s="88"/>
      <c r="BE375" s="88">
        <f>IF(AND(Q375="✅", I375="D90"), "X="&amp;(U375-1)*16&amp;",Y="&amp;(V375-1)*16&amp;",Z="&amp;(W375-2)*16, "")</f>
      </c>
      <c r="BF375" s="88">
        <f>IF(AND(Q375="✅", I375="D90"), "P=-90,Y=0,R=0", "")</f>
      </c>
      <c r="BG375" s="88" t="str"/>
      <c r="BH375" s="88" t="str"/>
      <c r="BI375" s="88" t="str"/>
      <c r="BJ375" s="88" t="str"/>
      <c r="BK375" s="88" t="str"/>
      <c r="BL375" s="65"/>
      <c r="BM375" s="65"/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</row>
    <row customHeight="true" ht="19" outlineLevel="4" r="376">
      <c r="A376" s="149" t="str" xml:space="preserve">
        <v> </v>
      </c>
      <c r="B376" s="149" t="str" xml:space="preserve">
        <v> </v>
      </c>
      <c r="C376" s="148" t="str" xml:space="preserve">
        <v> </v>
      </c>
      <c r="D376" s="148" t="str" xml:space="preserve">
        <v> </v>
      </c>
      <c r="E376" s="65">
        <f>G376 &amp; "_" &amp; H376 &amp; IF(I376&lt;&gt;"", "_" &amp; I376, "") &amp; IF(J376&lt;&gt;"", "_" &amp; J376, "") &amp; IF(K376&lt;&gt;"", "_" &amp; K376, "") &amp;"_X"&amp;U376&amp;"_Y"&amp;V376&amp;"_Z"&amp;W376 &amp; IF(G376="SM", "_Proxy" , "_Rail") &amp; IF(M376&lt;&gt;"", "_" &amp; M376, "")</f>
      </c>
      <c r="F376" s="66">
        <f>IF(E376="", "", IF(G376="BP", E376, F375))</f>
      </c>
      <c r="G376" s="64" t="str">
        <v>SM</v>
      </c>
      <c r="H376" s="64" t="str">
        <v>Bump</v>
      </c>
      <c r="I376" s="64" t="str">
        <v>FU</v>
      </c>
      <c r="J376" s="64"/>
      <c r="K376" s="64"/>
      <c r="L376" s="64"/>
      <c r="M376" s="64" t="str">
        <v>L</v>
      </c>
      <c r="N376" s="90"/>
      <c r="O376" s="90"/>
      <c r="P376" s="90" t="str">
        <v>⭕</v>
      </c>
      <c r="Q376" s="90"/>
      <c r="R376" s="64" t="str"/>
      <c r="S376" s="66" t="str"/>
      <c r="T376" s="139" t="str"/>
      <c r="U376" s="140">
        <v>2</v>
      </c>
      <c r="V376" s="140">
        <v>1</v>
      </c>
      <c r="W376" s="140">
        <v>2</v>
      </c>
      <c r="X376" s="88"/>
      <c r="Y376" s="88">
        <f>IF(AND(Q376="✅", OR(ISNUMBER(FIND("F",I376)), I376="CR")),   "X="&amp;U376*16&amp;",Y="&amp;(V376-1)*16&amp;",Z="&amp;IF(I376="FD", -(W376-1)*16, (W376-1)*16),   "")</f>
      </c>
      <c r="Z376" s="88">
        <f>IF(AND(Q376="✅", OR(ISNUMBER(FIND("F",I376)), I376="CR")), "P=0,Y=0,R=0", "")</f>
      </c>
      <c r="AA376" s="88" t="str"/>
      <c r="AB376" s="88" t="str"/>
      <c r="AC376" s="88" t="str"/>
      <c r="AD376" s="88" t="str"/>
      <c r="AE376" s="88" t="str"/>
      <c r="AF376" s="88"/>
      <c r="AG376" s="88" t="str"/>
      <c r="AH376" s="88" t="str"/>
      <c r="AI376" s="88" t="str"/>
      <c r="AJ376" s="88" t="str"/>
      <c r="AK376" s="88" t="str"/>
      <c r="AL376" s="88" t="str"/>
      <c r="AM376" s="88" t="str"/>
      <c r="AN376" s="88"/>
      <c r="AO376" s="88" t="str"/>
      <c r="AP376" s="88" t="str"/>
      <c r="AQ376" s="88" t="str"/>
      <c r="AR376" s="88" t="str"/>
      <c r="AS376" s="88" t="str"/>
      <c r="AT376" s="88" t="str"/>
      <c r="AU376" s="88" t="str"/>
      <c r="AV376" s="88"/>
      <c r="AW376" s="88">
        <f>IF(AND(Q376="✅", I376="U90"), "X="&amp;(U376-1)*16&amp;",Y="&amp;(V376-1)*16&amp;",Z="&amp;W376*16, "")</f>
      </c>
      <c r="AX376" s="88">
        <f>IF(AND(Q376="✅", I376="U90"), "P=90,Y=0,R=0", "")</f>
      </c>
      <c r="AY376" s="88" t="str"/>
      <c r="AZ376" s="88" t="str"/>
      <c r="BA376" s="88" t="str"/>
      <c r="BB376" s="88" t="str"/>
      <c r="BC376" s="88" t="str"/>
      <c r="BD376" s="88"/>
      <c r="BE376" s="88">
        <f>IF(AND(Q376="✅", I376="D90"), "X="&amp;(U376-1)*16&amp;",Y="&amp;(V376-1)*16&amp;",Z="&amp;(W376-2)*16, "")</f>
      </c>
      <c r="BF376" s="88">
        <f>IF(AND(Q376="✅", I376="D90"), "P=-90,Y=0,R=0", "")</f>
      </c>
      <c r="BG376" s="88" t="str"/>
      <c r="BH376" s="88" t="str"/>
      <c r="BI376" s="88" t="str"/>
      <c r="BJ376" s="88" t="str"/>
      <c r="BK376" s="88" t="str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5"/>
    </row>
    <row customHeight="true" ht="19" outlineLevel="4" r="377">
      <c r="A377" s="149" t="str" xml:space="preserve">
        <v> </v>
      </c>
      <c r="B377" s="149" t="str" xml:space="preserve">
        <v> </v>
      </c>
      <c r="C377" s="148" t="str" xml:space="preserve">
        <v> </v>
      </c>
      <c r="D377" s="148" t="str" xml:space="preserve">
        <v> </v>
      </c>
      <c r="E377" s="65">
        <f>G377 &amp; "_" &amp; H377 &amp; IF(I377&lt;&gt;"", "_" &amp; I377, "") &amp; IF(J377&lt;&gt;"", "_" &amp; J377, "") &amp; IF(K377&lt;&gt;"", "_" &amp; K377, "") &amp;"_X"&amp;U377&amp;"_Y"&amp;V377&amp;"_Z"&amp;W377 &amp; IF(G377="SM", "_Proxy" , "_Rail") &amp; IF(M377&lt;&gt;"", "_" &amp; M377, "")</f>
      </c>
      <c r="F377" s="66">
        <f>IF(E377="", "", IF(G377="BP", E377, F376))</f>
      </c>
      <c r="G377" s="64" t="str">
        <v>SM</v>
      </c>
      <c r="H377" s="64" t="str">
        <v>Bump</v>
      </c>
      <c r="I377" s="64" t="str">
        <v>FU</v>
      </c>
      <c r="J377" s="64"/>
      <c r="K377" s="64"/>
      <c r="L377" s="64"/>
      <c r="M377" s="64" t="str">
        <v>R</v>
      </c>
      <c r="N377" s="90"/>
      <c r="O377" s="90"/>
      <c r="P377" s="90" t="str">
        <v>⭕</v>
      </c>
      <c r="Q377" s="90"/>
      <c r="R377" s="64" t="str"/>
      <c r="S377" s="66" t="str"/>
      <c r="T377" s="139" t="str"/>
      <c r="U377" s="140">
        <v>2</v>
      </c>
      <c r="V377" s="140">
        <v>1</v>
      </c>
      <c r="W377" s="140">
        <v>2</v>
      </c>
      <c r="X377" s="88"/>
      <c r="Y377" s="88">
        <f>IF(AND(Q377="✅", OR(ISNUMBER(FIND("F",I377)), I377="CR")),   "X="&amp;U377*16&amp;",Y="&amp;(V377-1)*16&amp;",Z="&amp;IF(I377="FD", -(W377-1)*16, (W377-1)*16),   "")</f>
      </c>
      <c r="Z377" s="88">
        <f>IF(AND(Q377="✅", OR(ISNUMBER(FIND("F",I377)), I377="CR")), "P=0,Y=0,R=0", "")</f>
      </c>
      <c r="AA377" s="88" t="str"/>
      <c r="AB377" s="88" t="str"/>
      <c r="AC377" s="88" t="str"/>
      <c r="AD377" s="88" t="str"/>
      <c r="AE377" s="88" t="str"/>
      <c r="AF377" s="88"/>
      <c r="AG377" s="88" t="str"/>
      <c r="AH377" s="88" t="str"/>
      <c r="AI377" s="88" t="str"/>
      <c r="AJ377" s="88" t="str"/>
      <c r="AK377" s="88" t="str"/>
      <c r="AL377" s="88" t="str"/>
      <c r="AM377" s="88" t="str"/>
      <c r="AN377" s="88"/>
      <c r="AO377" s="88" t="str"/>
      <c r="AP377" s="88" t="str"/>
      <c r="AQ377" s="88" t="str"/>
      <c r="AR377" s="88" t="str"/>
      <c r="AS377" s="88" t="str"/>
      <c r="AT377" s="88" t="str"/>
      <c r="AU377" s="88" t="str"/>
      <c r="AV377" s="88"/>
      <c r="AW377" s="88">
        <f>IF(AND(Q377="✅", I377="U90"), "X="&amp;(U377-1)*16&amp;",Y="&amp;(V377-1)*16&amp;",Z="&amp;W377*16, "")</f>
      </c>
      <c r="AX377" s="88">
        <f>IF(AND(Q377="✅", I377="U90"), "P=90,Y=0,R=0", "")</f>
      </c>
      <c r="AY377" s="88" t="str"/>
      <c r="AZ377" s="88" t="str"/>
      <c r="BA377" s="88" t="str"/>
      <c r="BB377" s="88" t="str"/>
      <c r="BC377" s="88" t="str"/>
      <c r="BD377" s="88"/>
      <c r="BE377" s="88">
        <f>IF(AND(Q377="✅", I377="D90"), "X="&amp;(U377-1)*16&amp;",Y="&amp;(V377-1)*16&amp;",Z="&amp;(W377-2)*16, "")</f>
      </c>
      <c r="BF377" s="88">
        <f>IF(AND(Q377="✅", I377="D90"), "P=-90,Y=0,R=0", "")</f>
      </c>
      <c r="BG377" s="88" t="str"/>
      <c r="BH377" s="88" t="str"/>
      <c r="BI377" s="88" t="str"/>
      <c r="BJ377" s="88" t="str"/>
      <c r="BK377" s="88" t="str"/>
      <c r="BL377" s="65"/>
      <c r="BM377" s="65"/>
      <c r="BN377" s="65"/>
      <c r="BO377" s="65"/>
      <c r="BP377" s="65"/>
      <c r="BQ377" s="65"/>
      <c r="BR377" s="65"/>
      <c r="BS377" s="65"/>
      <c r="BT377" s="65"/>
      <c r="BU377" s="65"/>
      <c r="BV377" s="65"/>
      <c r="BW377" s="65"/>
      <c r="BX377" s="65"/>
      <c r="BY377" s="65"/>
    </row>
    <row customHeight="true" ht="19" r="378">
      <c r="A378" s="11" t="str">
        <v>BoxTube</v>
      </c>
      <c r="B378" s="11"/>
      <c r="C378" s="119"/>
      <c r="D378" s="119"/>
      <c r="E378" s="5"/>
      <c r="F378" s="9">
        <f>IF(E378="", "", IF(G378="BP", E378, F377))</f>
      </c>
      <c r="G378" s="1"/>
      <c r="H378" s="1"/>
      <c r="I378" s="1"/>
      <c r="J378" s="1"/>
      <c r="K378" s="1"/>
      <c r="L378" s="1"/>
      <c r="M378" s="1"/>
      <c r="N378" s="3"/>
      <c r="O378" s="3"/>
      <c r="P378" s="3"/>
      <c r="Q378" s="3"/>
      <c r="R378" s="1" t="str"/>
      <c r="S378" s="9" t="str"/>
      <c r="T378" s="120" t="str"/>
      <c r="U378" s="118"/>
      <c r="V378" s="118"/>
      <c r="W378" s="118"/>
      <c r="X378" s="4"/>
      <c r="Y378" s="4">
        <f>IF(AND(Q378="✅", OR(ISNUMBER(FIND("F",I378)), I378="CR")),   "X="&amp;U378*16&amp;",Y="&amp;(V378-1)*16&amp;",Z="&amp;IF(I378="FD", -(W378-1)*16, (W378-1)*16),   "")</f>
      </c>
      <c r="Z378" s="4">
        <f>IF(AND(Q378="✅", OR(ISNUMBER(FIND("F",I378)), I378="CR")), "P=0,Y=0,R=0", "")</f>
      </c>
      <c r="AA378" s="4" t="str"/>
      <c r="AB378" s="4" t="str"/>
      <c r="AC378" s="4" t="str"/>
      <c r="AD378" s="4" t="str"/>
      <c r="AE378" s="4" t="str"/>
      <c r="AF378" s="4"/>
      <c r="AG378" s="4" t="str"/>
      <c r="AH378" s="4" t="str"/>
      <c r="AI378" s="4" t="str"/>
      <c r="AJ378" s="4" t="str"/>
      <c r="AK378" s="4" t="str"/>
      <c r="AL378" s="4" t="str"/>
      <c r="AM378" s="4" t="str"/>
      <c r="AN378" s="4"/>
      <c r="AO378" s="4" t="str"/>
      <c r="AP378" s="4" t="str"/>
      <c r="AQ378" s="4" t="str"/>
      <c r="AR378" s="4" t="str"/>
      <c r="AS378" s="4" t="str"/>
      <c r="AT378" s="4" t="str"/>
      <c r="AU378" s="4" t="str"/>
      <c r="AV378" s="4"/>
      <c r="AW378" s="4">
        <f>IF(AND(Q378="✅", I378="U90"), "X="&amp;(U378-1)*16&amp;",Y="&amp;(V378-1)*16&amp;",Z="&amp;W378*16, "")</f>
      </c>
      <c r="AX378" s="4">
        <f>IF(AND(Q378="✅", I378="U90"), "P=90,Y=0,R=0", "")</f>
      </c>
      <c r="AY378" s="4" t="str"/>
      <c r="AZ378" s="4" t="str"/>
      <c r="BA378" s="4" t="str"/>
      <c r="BB378" s="4" t="str"/>
      <c r="BC378" s="4" t="str"/>
      <c r="BD378" s="4"/>
      <c r="BE378" s="4">
        <f>IF(AND(Q378="✅", I378="D90"), "X="&amp;(U378-1)*16&amp;",Y="&amp;(V378-1)*16&amp;",Z="&amp;(W378-2)*16, "")</f>
      </c>
      <c r="BF378" s="4">
        <f>IF(AND(Q378="✅", I378="D90"), "P=-90,Y=0,R=0", "")</f>
      </c>
      <c r="BG378" s="4" t="str"/>
      <c r="BH378" s="4" t="str"/>
      <c r="BI378" s="4" t="str"/>
      <c r="BJ378" s="4" t="str"/>
      <c r="BK378" s="4" t="str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</row>
    <row customHeight="true" ht="19" outlineLevel="1" r="379">
      <c r="A379" s="11"/>
      <c r="B379" s="11" t="str">
        <v>F</v>
      </c>
      <c r="C379" s="119"/>
      <c r="D379" s="119"/>
      <c r="E379" s="5"/>
      <c r="F379" s="9">
        <f>IF(E379="", "", IF(G379="BP", E379, F378))</f>
      </c>
      <c r="G379" s="1"/>
      <c r="H379" s="1"/>
      <c r="I379" s="1"/>
      <c r="J379" s="1"/>
      <c r="K379" s="1"/>
      <c r="L379" s="1"/>
      <c r="M379" s="1"/>
      <c r="N379" s="3"/>
      <c r="O379" s="3"/>
      <c r="P379" s="3"/>
      <c r="Q379" s="3"/>
      <c r="R379" s="1" t="str"/>
      <c r="S379" s="9" t="str"/>
      <c r="T379" s="120" t="str"/>
      <c r="U379" s="118"/>
      <c r="V379" s="118"/>
      <c r="W379" s="118"/>
      <c r="X379" s="4"/>
      <c r="Y379" s="4">
        <f>IF(AND(Q379="✅", OR(ISNUMBER(FIND("F",I379)), I379="CR")),   "X="&amp;U379*16&amp;",Y="&amp;(V379-1)*16&amp;",Z="&amp;IF(I379="FD", -(W379-1)*16, (W379-1)*16),   "")</f>
      </c>
      <c r="Z379" s="4">
        <f>IF(AND(Q379="✅", OR(ISNUMBER(FIND("F",I379)), I379="CR")), "P=0,Y=0,R=0", "")</f>
      </c>
      <c r="AA379" s="4" t="str"/>
      <c r="AB379" s="4" t="str"/>
      <c r="AC379" s="4" t="str"/>
      <c r="AD379" s="4" t="str"/>
      <c r="AE379" s="4" t="str"/>
      <c r="AF379" s="4"/>
      <c r="AG379" s="4" t="str"/>
      <c r="AH379" s="4" t="str"/>
      <c r="AI379" s="4" t="str"/>
      <c r="AJ379" s="4" t="str"/>
      <c r="AK379" s="4" t="str"/>
      <c r="AL379" s="4" t="str"/>
      <c r="AM379" s="4" t="str"/>
      <c r="AN379" s="4"/>
      <c r="AO379" s="4" t="str"/>
      <c r="AP379" s="4" t="str"/>
      <c r="AQ379" s="4" t="str"/>
      <c r="AR379" s="4" t="str"/>
      <c r="AS379" s="4" t="str"/>
      <c r="AT379" s="4" t="str"/>
      <c r="AU379" s="4" t="str"/>
      <c r="AV379" s="4"/>
      <c r="AW379" s="4">
        <f>IF(AND(Q379="✅", I379="U90"), "X="&amp;(U379-1)*16&amp;",Y="&amp;(V379-1)*16&amp;",Z="&amp;W379*16, "")</f>
      </c>
      <c r="AX379" s="4">
        <f>IF(AND(Q379="✅", I379="U90"), "P=90,Y=0,R=0", "")</f>
      </c>
      <c r="AY379" s="4" t="str"/>
      <c r="AZ379" s="4" t="str"/>
      <c r="BA379" s="4" t="str"/>
      <c r="BB379" s="4" t="str"/>
      <c r="BC379" s="4" t="str"/>
      <c r="BD379" s="4"/>
      <c r="BE379" s="4">
        <f>IF(AND(Q379="✅", I379="D90"), "X="&amp;(U379-1)*16&amp;",Y="&amp;(V379-1)*16&amp;",Z="&amp;(W379-2)*16, "")</f>
      </c>
      <c r="BF379" s="4">
        <f>IF(AND(Q379="✅", I379="D90"), "P=-90,Y=0,R=0", "")</f>
      </c>
      <c r="BG379" s="4" t="str"/>
      <c r="BH379" s="4" t="str"/>
      <c r="BI379" s="4" t="str"/>
      <c r="BJ379" s="4" t="str"/>
      <c r="BK379" s="4" t="str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</row>
    <row customHeight="true" ht="19" outlineLevel="2" r="380">
      <c r="A380" s="11"/>
      <c r="B380" s="11"/>
      <c r="C380" s="119" t="str">
        <v>Normal</v>
      </c>
      <c r="D380" s="119"/>
      <c r="E380" s="5"/>
      <c r="F380" s="9"/>
      <c r="G380" s="1"/>
      <c r="H380" s="1"/>
      <c r="I380" s="1"/>
      <c r="J380" s="1"/>
      <c r="K380" s="1"/>
      <c r="L380" s="1"/>
      <c r="M380" s="1"/>
      <c r="N380" s="3"/>
      <c r="O380" s="3"/>
      <c r="P380" s="3"/>
      <c r="Q380" s="3"/>
      <c r="R380" s="1" t="str"/>
      <c r="S380" s="9" t="str"/>
      <c r="T380" s="120" t="str"/>
      <c r="U380" s="118"/>
      <c r="V380" s="118"/>
      <c r="W380" s="118"/>
      <c r="X380" s="4"/>
      <c r="Y380" s="4"/>
      <c r="Z380" s="4"/>
      <c r="AA380" s="4" t="str"/>
      <c r="AB380" s="4" t="str"/>
      <c r="AC380" s="4" t="str"/>
      <c r="AD380" s="4" t="str"/>
      <c r="AE380" s="4" t="str"/>
      <c r="AF380" s="4"/>
      <c r="AG380" s="4" t="str"/>
      <c r="AH380" s="4" t="str"/>
      <c r="AI380" s="4" t="str"/>
      <c r="AJ380" s="4" t="str"/>
      <c r="AK380" s="4" t="str"/>
      <c r="AL380" s="4" t="str"/>
      <c r="AM380" s="4" t="str"/>
      <c r="AN380" s="4"/>
      <c r="AO380" s="4" t="str"/>
      <c r="AP380" s="4" t="str"/>
      <c r="AQ380" s="4" t="str"/>
      <c r="AR380" s="4" t="str"/>
      <c r="AS380" s="4" t="str"/>
      <c r="AT380" s="4" t="str"/>
      <c r="AU380" s="4" t="str"/>
      <c r="AV380" s="4"/>
      <c r="AW380" s="4"/>
      <c r="AX380" s="4"/>
      <c r="AY380" s="4" t="str"/>
      <c r="AZ380" s="4" t="str"/>
      <c r="BA380" s="4" t="str"/>
      <c r="BB380" s="4" t="str"/>
      <c r="BC380" s="4" t="str"/>
      <c r="BD380" s="4"/>
      <c r="BE380" s="4"/>
      <c r="BF380" s="4"/>
      <c r="BG380" s="4" t="str"/>
      <c r="BH380" s="4" t="str"/>
      <c r="BI380" s="4" t="str"/>
      <c r="BJ380" s="4" t="str"/>
      <c r="BK380" s="4" t="str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</row>
    <row customHeight="true" ht="19" outlineLevel="3" r="381">
      <c r="A381" s="11"/>
      <c r="B381" s="11"/>
      <c r="C381" s="119"/>
      <c r="D381" s="119">
        <v>1</v>
      </c>
      <c r="E381" s="5"/>
      <c r="F381" s="9"/>
      <c r="G381" s="1"/>
      <c r="H381" s="1"/>
      <c r="I381" s="1"/>
      <c r="J381" s="1"/>
      <c r="K381" s="1"/>
      <c r="L381" s="1"/>
      <c r="M381" s="1"/>
      <c r="N381" s="3"/>
      <c r="O381" s="3"/>
      <c r="P381" s="3"/>
      <c r="Q381" s="3"/>
      <c r="R381" s="1" t="str"/>
      <c r="S381" s="9" t="str"/>
      <c r="T381" s="120" t="str"/>
      <c r="U381" s="118"/>
      <c r="V381" s="118"/>
      <c r="W381" s="118"/>
      <c r="X381" s="4"/>
      <c r="Y381" s="4"/>
      <c r="Z381" s="4"/>
      <c r="AA381" s="4" t="str"/>
      <c r="AB381" s="4" t="str"/>
      <c r="AC381" s="4" t="str"/>
      <c r="AD381" s="4" t="str"/>
      <c r="AE381" s="4" t="str"/>
      <c r="AF381" s="4"/>
      <c r="AG381" s="4" t="str"/>
      <c r="AH381" s="4" t="str"/>
      <c r="AI381" s="4" t="str"/>
      <c r="AJ381" s="4" t="str"/>
      <c r="AK381" s="4" t="str"/>
      <c r="AL381" s="4" t="str"/>
      <c r="AM381" s="4" t="str"/>
      <c r="AN381" s="4"/>
      <c r="AO381" s="4" t="str"/>
      <c r="AP381" s="4" t="str"/>
      <c r="AQ381" s="4" t="str"/>
      <c r="AR381" s="4" t="str"/>
      <c r="AS381" s="4" t="str"/>
      <c r="AT381" s="4" t="str"/>
      <c r="AU381" s="4" t="str"/>
      <c r="AV381" s="4"/>
      <c r="AW381" s="4"/>
      <c r="AX381" s="4"/>
      <c r="AY381" s="4" t="str"/>
      <c r="AZ381" s="4" t="str"/>
      <c r="BA381" s="4" t="str"/>
      <c r="BB381" s="4" t="str"/>
      <c r="BC381" s="4" t="str"/>
      <c r="BD381" s="4"/>
      <c r="BE381" s="4"/>
      <c r="BF381" s="4"/>
      <c r="BG381" s="4" t="str"/>
      <c r="BH381" s="4" t="str"/>
      <c r="BI381" s="4" t="str"/>
      <c r="BJ381" s="4" t="str"/>
      <c r="BK381" s="4" t="str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</row>
    <row customHeight="true" ht="19" outlineLevel="4" r="382">
      <c r="A382" s="129" t="str" xml:space="preserve">
        <v> </v>
      </c>
      <c r="B382" s="129" t="str" xml:space="preserve">
        <v> </v>
      </c>
      <c r="C382" s="130" t="str" xml:space="preserve">
        <v> </v>
      </c>
      <c r="D382" s="130" t="str" xml:space="preserve">
        <v> </v>
      </c>
      <c r="E382" s="21">
        <f>G382 &amp; "_" &amp; H382 &amp; IF(I382&lt;&gt;"", "_" &amp; I382, "") &amp; IF(J382&lt;&gt;"", "_" &amp; J382, "") &amp; IF(K382&lt;&gt;"", "_" &amp; K382, "") &amp;"_X"&amp;U382&amp;"_Y"&amp;V382&amp;"_Z"&amp;W382 &amp; IF(G382="SM", "_Proxy" , "_Rail") &amp; IF(M382&lt;&gt;"", "_" &amp; M382, "")</f>
      </c>
      <c r="F382" s="19">
        <f>IF(E382="", "", IF(G382="BP", E382, F379))</f>
      </c>
      <c r="G382" s="20" t="str">
        <v>BP</v>
      </c>
      <c r="H382" s="20" t="str">
        <v>BoxTube</v>
      </c>
      <c r="I382" s="20" t="str">
        <v>F</v>
      </c>
      <c r="J382" s="20"/>
      <c r="K382" s="20"/>
      <c r="L382" s="20"/>
      <c r="M382" s="20"/>
      <c r="N382" s="95"/>
      <c r="O382" s="95"/>
      <c r="P382" s="95"/>
      <c r="Q382" s="95" t="str">
        <v>✅</v>
      </c>
      <c r="R382" s="20" t="str">
        <v>BoxTube_F_X1_Y1_Z1</v>
      </c>
      <c r="S382" s="19" t="str">
        <v>/Script/Engine.BlueprintGeneratedClass'/Game/Item/Rail/BoxTube/F/Normal/BoxTube_F_X1_Y1_Z1/BP_BoxTube_F_X1_Y1_Z1_Rail.BP_BoxTube_F_X1_Y1_Z1_Rail_C'</v>
      </c>
      <c r="T382" s="131">
        <v>0</v>
      </c>
      <c r="U382" s="132">
        <v>1</v>
      </c>
      <c r="V382" s="132">
        <v>1</v>
      </c>
      <c r="W382" s="132">
        <v>1</v>
      </c>
      <c r="X382" s="25"/>
      <c r="Y382" s="25">
        <f>IF(AND(Q382="✅", OR(ISNUMBER(FIND("F",I382)), I382="CR")),   "X="&amp;U382*16&amp;",Y="&amp;(V382-1)*16&amp;",Z="&amp;IF(I382="FD", -(W382-1)*16, (W382-1)*16),   "")</f>
      </c>
      <c r="Z382" s="25">
        <f>IF(AND(Q382="✅", OR(ISNUMBER(FIND("F",I382)), I382="CR")), "P=0,Y=0,R=0", "")</f>
      </c>
      <c r="AA382" s="25">
        <v>1</v>
      </c>
      <c r="AB382" s="25">
        <v>1.5</v>
      </c>
      <c r="AC382" s="25">
        <v>2</v>
      </c>
      <c r="AD382" s="25">
        <v>1.5</v>
      </c>
      <c r="AE382" s="25" t="str">
        <v>X=1,Y=1.5,Z=2,W=1.5</v>
      </c>
      <c r="AF382" s="25"/>
      <c r="AG382" s="25" t="str"/>
      <c r="AH382" s="25" t="str"/>
      <c r="AI382" s="25" t="str"/>
      <c r="AJ382" s="25" t="str"/>
      <c r="AK382" s="25" t="str"/>
      <c r="AL382" s="25" t="str"/>
      <c r="AM382" s="25" t="str"/>
      <c r="AN382" s="25"/>
      <c r="AO382" s="25" t="str"/>
      <c r="AP382" s="25" t="str"/>
      <c r="AQ382" s="25" t="str"/>
      <c r="AR382" s="25" t="str"/>
      <c r="AS382" s="25" t="str"/>
      <c r="AT382" s="25" t="str"/>
      <c r="AU382" s="25" t="str"/>
      <c r="AV382" s="25"/>
      <c r="AW382" s="25">
        <f>IF(AND(Q382="✅", I382="U90"), "X="&amp;(U382-1)*16&amp;",Y="&amp;(V382-1)*16&amp;",Z="&amp;W382*16, "")</f>
      </c>
      <c r="AX382" s="25">
        <f>IF(AND(Q382="✅", I382="U90"), "P=90,Y=0,R=0", "")</f>
      </c>
      <c r="AY382" s="25" t="str"/>
      <c r="AZ382" s="25" t="str"/>
      <c r="BA382" s="25" t="str"/>
      <c r="BB382" s="25" t="str"/>
      <c r="BC382" s="25" t="str"/>
      <c r="BD382" s="25"/>
      <c r="BE382" s="25">
        <f>IF(AND(Q382="✅", I382="D90"), "X="&amp;(U382-1)*16&amp;",Y="&amp;(V382-1)*16&amp;",Z="&amp;(W382-2)*16, "")</f>
      </c>
      <c r="BF382" s="25">
        <f>IF(AND(Q382="✅", I382="D90"), "P=-90,Y=0,R=0", "")</f>
      </c>
      <c r="BG382" s="25" t="str"/>
      <c r="BH382" s="25" t="str"/>
      <c r="BI382" s="25" t="str"/>
      <c r="BJ382" s="25" t="str"/>
      <c r="BK382" s="25" t="str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</row>
    <row customHeight="true" ht="19" outlineLevel="4" r="383">
      <c r="A383" s="129" t="str" xml:space="preserve">
        <v> </v>
      </c>
      <c r="B383" s="129" t="str" xml:space="preserve">
        <v> </v>
      </c>
      <c r="C383" s="130" t="str" xml:space="preserve">
        <v> </v>
      </c>
      <c r="D383" s="130" t="str" xml:space="preserve">
        <v> </v>
      </c>
      <c r="E383" s="21">
        <f>E24</f>
      </c>
      <c r="F383" s="19">
        <f>IF(E383="", "", IF(G383="BP", E383, F382))</f>
      </c>
      <c r="G383" s="20"/>
      <c r="H383" s="20"/>
      <c r="I383" s="20"/>
      <c r="J383" s="20"/>
      <c r="K383" s="20"/>
      <c r="L383" s="20"/>
      <c r="M383" s="20"/>
      <c r="N383" s="95"/>
      <c r="O383" s="95"/>
      <c r="P383" s="95"/>
      <c r="Q383" s="95"/>
      <c r="R383" s="20" t="str"/>
      <c r="S383" s="19" t="str">
        <v>/Script/Engine.BlueprintGeneratedClass'/Game/Item/Rail/Straight/F/Normal/Straight_F_X1_Y1_Z1/BP_Straight_F_X1_Y1_Z1_Rail.BP_Straight_F_X1_Y1_Z1_Rail_C'</v>
      </c>
      <c r="T383" s="131" t="str"/>
      <c r="U383" s="132"/>
      <c r="V383" s="132"/>
      <c r="W383" s="132"/>
      <c r="X383" s="25"/>
      <c r="Y383" s="25">
        <f>IF(AND(Q383="✅", OR(ISNUMBER(FIND("F",I383)), I383="CR")),   "X="&amp;U383*16&amp;",Y="&amp;(V383-1)*16&amp;",Z="&amp;IF(I383="FD", -(W383-1)*16, (W383-1)*16),   "")</f>
      </c>
      <c r="Z383" s="25">
        <f>IF(AND(Q383="✅", OR(ISNUMBER(FIND("F",I383)), I383="CR")), "P=0,Y=0,R=0", "")</f>
      </c>
      <c r="AA383" s="25" t="str"/>
      <c r="AB383" s="25" t="str"/>
      <c r="AC383" s="25" t="str"/>
      <c r="AD383" s="25" t="str"/>
      <c r="AE383" s="25" t="str"/>
      <c r="AF383" s="25"/>
      <c r="AG383" s="25" t="str"/>
      <c r="AH383" s="25" t="str"/>
      <c r="AI383" s="25" t="str"/>
      <c r="AJ383" s="25" t="str"/>
      <c r="AK383" s="25" t="str"/>
      <c r="AL383" s="25" t="str"/>
      <c r="AM383" s="25" t="str"/>
      <c r="AN383" s="25"/>
      <c r="AO383" s="25" t="str"/>
      <c r="AP383" s="25" t="str"/>
      <c r="AQ383" s="25" t="str"/>
      <c r="AR383" s="25" t="str"/>
      <c r="AS383" s="25" t="str"/>
      <c r="AT383" s="25" t="str"/>
      <c r="AU383" s="25" t="str"/>
      <c r="AV383" s="25"/>
      <c r="AW383" s="25">
        <f>IF(AND(Q383="✅", I383="U90"), "X="&amp;(U383-1)*16&amp;",Y="&amp;(V383-1)*16&amp;",Z="&amp;W383*16, "")</f>
      </c>
      <c r="AX383" s="25">
        <f>IF(AND(Q383="✅", I383="U90"), "P=90,Y=0,R=0", "")</f>
      </c>
      <c r="AY383" s="25" t="str"/>
      <c r="AZ383" s="25" t="str"/>
      <c r="BA383" s="25" t="str"/>
      <c r="BB383" s="25" t="str"/>
      <c r="BC383" s="25" t="str"/>
      <c r="BD383" s="25"/>
      <c r="BE383" s="25">
        <f>IF(AND(Q383="✅", I383="D90"), "X="&amp;(U383-1)*16&amp;",Y="&amp;(V383-1)*16&amp;",Z="&amp;(W383-2)*16, "")</f>
      </c>
      <c r="BF383" s="25">
        <f>IF(AND(Q383="✅", I383="D90"), "P=-90,Y=0,R=0", "")</f>
      </c>
      <c r="BG383" s="25" t="str"/>
      <c r="BH383" s="25" t="str"/>
      <c r="BI383" s="25" t="str"/>
      <c r="BJ383" s="25" t="str"/>
      <c r="BK383" s="25" t="str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</row>
    <row customHeight="true" ht="19" outlineLevel="4" r="384">
      <c r="A384" s="129" t="str" xml:space="preserve">
        <v> </v>
      </c>
      <c r="B384" s="129" t="str" xml:space="preserve">
        <v> </v>
      </c>
      <c r="C384" s="130" t="str" xml:space="preserve">
        <v> </v>
      </c>
      <c r="D384" s="130" t="str" xml:space="preserve">
        <v> </v>
      </c>
      <c r="E384" s="21">
        <f>E24</f>
      </c>
      <c r="F384" s="19">
        <f>IF(E384="", "", IF(G384="BP", E384, F383))</f>
      </c>
      <c r="G384" s="20"/>
      <c r="H384" s="20"/>
      <c r="I384" s="20"/>
      <c r="J384" s="20"/>
      <c r="K384" s="20"/>
      <c r="L384" s="20"/>
      <c r="M384" s="20"/>
      <c r="N384" s="95"/>
      <c r="O384" s="95"/>
      <c r="P384" s="95"/>
      <c r="Q384" s="95"/>
      <c r="R384" s="20" t="str"/>
      <c r="S384" s="19" t="str">
        <v>/Script/Engine.BlueprintGeneratedClass'/Game/Item/Rail/Straight/F/Normal/Straight_F_X1_Y1_Z1/BP_Straight_F_X1_Y1_Z1_Rail.BP_Straight_F_X1_Y1_Z1_Rail_C'</v>
      </c>
      <c r="T384" s="131" t="str"/>
      <c r="U384" s="132"/>
      <c r="V384" s="132"/>
      <c r="W384" s="132"/>
      <c r="X384" s="25"/>
      <c r="Y384" s="25">
        <f>IF(AND(Q384="✅", OR(ISNUMBER(FIND("F",I384)), I384="CR")),   "X="&amp;U384*16&amp;",Y="&amp;(V384-1)*16&amp;",Z="&amp;IF(I384="FD", -(W384-1)*16, (W384-1)*16),   "")</f>
      </c>
      <c r="Z384" s="25">
        <f>IF(AND(Q384="✅", OR(ISNUMBER(FIND("F",I384)), I384="CR")), "P=0,Y=0,R=0", "")</f>
      </c>
      <c r="AA384" s="25" t="str"/>
      <c r="AB384" s="25" t="str"/>
      <c r="AC384" s="25" t="str"/>
      <c r="AD384" s="25" t="str"/>
      <c r="AE384" s="25" t="str"/>
      <c r="AF384" s="25"/>
      <c r="AG384" s="25" t="str"/>
      <c r="AH384" s="25" t="str"/>
      <c r="AI384" s="25" t="str"/>
      <c r="AJ384" s="25" t="str"/>
      <c r="AK384" s="25" t="str"/>
      <c r="AL384" s="25" t="str"/>
      <c r="AM384" s="25" t="str"/>
      <c r="AN384" s="25"/>
      <c r="AO384" s="25" t="str"/>
      <c r="AP384" s="25" t="str"/>
      <c r="AQ384" s="25" t="str"/>
      <c r="AR384" s="25" t="str"/>
      <c r="AS384" s="25" t="str"/>
      <c r="AT384" s="25" t="str"/>
      <c r="AU384" s="25" t="str"/>
      <c r="AV384" s="25"/>
      <c r="AW384" s="25">
        <f>IF(AND(Q384="✅", I384="U90"), "X="&amp;(U384-1)*16&amp;",Y="&amp;(V384-1)*16&amp;",Z="&amp;W384*16, "")</f>
      </c>
      <c r="AX384" s="25">
        <f>IF(AND(Q384="✅", I384="U90"), "P=90,Y=0,R=0", "")</f>
      </c>
      <c r="AY384" s="25" t="str"/>
      <c r="AZ384" s="25" t="str"/>
      <c r="BA384" s="25" t="str"/>
      <c r="BB384" s="25" t="str"/>
      <c r="BC384" s="25" t="str"/>
      <c r="BD384" s="25"/>
      <c r="BE384" s="25">
        <f>IF(AND(Q384="✅", I384="D90"), "X="&amp;(U384-1)*16&amp;",Y="&amp;(V384-1)*16&amp;",Z="&amp;(W384-2)*16, "")</f>
      </c>
      <c r="BF384" s="25">
        <f>IF(AND(Q384="✅", I384="D90"), "P=-90,Y=0,R=0", "")</f>
      </c>
      <c r="BG384" s="25" t="str"/>
      <c r="BH384" s="25" t="str"/>
      <c r="BI384" s="25" t="str"/>
      <c r="BJ384" s="25" t="str"/>
      <c r="BK384" s="25" t="str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</row>
    <row collapsed="true" customHeight="true" ht="19" r="385">
      <c r="A385" s="11" t="str">
        <v>TheCity Special</v>
      </c>
      <c r="B385" s="11"/>
      <c r="C385" s="119"/>
      <c r="D385" s="119"/>
      <c r="E385" s="5"/>
      <c r="F385" s="9">
        <f>IF(E385="", "", IF(G385="BP", E385, F384))</f>
      </c>
      <c r="G385" s="1"/>
      <c r="H385" s="1"/>
      <c r="I385" s="1"/>
      <c r="J385" s="1"/>
      <c r="K385" s="1"/>
      <c r="L385" s="1"/>
      <c r="M385" s="1"/>
      <c r="N385" s="3"/>
      <c r="O385" s="3"/>
      <c r="P385" s="3"/>
      <c r="Q385" s="3"/>
      <c r="R385" s="1" t="str"/>
      <c r="S385" s="9" t="str"/>
      <c r="T385" s="120" t="str"/>
      <c r="U385" s="118"/>
      <c r="V385" s="118"/>
      <c r="W385" s="118"/>
      <c r="X385" s="4"/>
      <c r="Y385" s="4">
        <f>IF(AND(Q385="✅", OR(ISNUMBER(FIND("F",I385)), I385="CR")),   "X="&amp;U385*16&amp;",Y="&amp;(V385-1)*16&amp;",Z="&amp;IF(I385="FD", -(W385-1)*16, (W385-1)*16),   "")</f>
      </c>
      <c r="Z385" s="4">
        <f>IF(AND(Q385="✅", OR(ISNUMBER(FIND("F",I385)), I385="CR")), "P=0,Y=0,R=0", "")</f>
      </c>
      <c r="AA385" s="4" t="str"/>
      <c r="AB385" s="4" t="str"/>
      <c r="AC385" s="4" t="str"/>
      <c r="AD385" s="4" t="str"/>
      <c r="AE385" s="4" t="str"/>
      <c r="AF385" s="4"/>
      <c r="AG385" s="4" t="str"/>
      <c r="AH385" s="4" t="str"/>
      <c r="AI385" s="4" t="str"/>
      <c r="AJ385" s="4" t="str"/>
      <c r="AK385" s="4" t="str"/>
      <c r="AL385" s="4" t="str"/>
      <c r="AM385" s="4" t="str"/>
      <c r="AN385" s="4"/>
      <c r="AO385" s="4" t="str"/>
      <c r="AP385" s="4" t="str"/>
      <c r="AQ385" s="4" t="str"/>
      <c r="AR385" s="4" t="str"/>
      <c r="AS385" s="4" t="str"/>
      <c r="AT385" s="4" t="str"/>
      <c r="AU385" s="4" t="str"/>
      <c r="AV385" s="4"/>
      <c r="AW385" s="4">
        <f>IF(AND(Q385="✅", I385="U90"), "X="&amp;(U385-1)*16&amp;",Y="&amp;(V385-1)*16&amp;",Z="&amp;W385*16, "")</f>
      </c>
      <c r="AX385" s="4">
        <f>IF(AND(Q385="✅", I385="U90"), "P=90,Y=0,R=0", "")</f>
      </c>
      <c r="AY385" s="4" t="str"/>
      <c r="AZ385" s="4" t="str"/>
      <c r="BA385" s="4" t="str"/>
      <c r="BB385" s="4" t="str"/>
      <c r="BC385" s="4" t="str"/>
      <c r="BD385" s="4"/>
      <c r="BE385" s="4">
        <f>IF(AND(Q385="✅", I385="D90"), "X="&amp;(U385-1)*16&amp;",Y="&amp;(V385-1)*16&amp;",Z="&amp;(W385-2)*16, "")</f>
      </c>
      <c r="BF385" s="4">
        <f>IF(AND(Q385="✅", I385="D90"), "P=-90,Y=0,R=0", "")</f>
      </c>
      <c r="BG385" s="4" t="str"/>
      <c r="BH385" s="4" t="str"/>
      <c r="BI385" s="4" t="str"/>
      <c r="BJ385" s="4" t="str"/>
      <c r="BK385" s="4" t="str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</row>
    <row hidden="true" outlineLevel="1" r="386">
      <c r="A386" s="11"/>
      <c r="B386" s="11"/>
      <c r="C386" s="119"/>
      <c r="D386" s="119"/>
      <c r="E386" s="5">
        <f>G386 &amp; "_" &amp; H386 &amp; IF(I386&lt;&gt;"", "_" &amp; I386, "") &amp; IF(J386&lt;&gt;"", "_" &amp; J386, "") &amp; IF(K386&lt;&gt;"", "_" &amp; K386, "") &amp;"_X"&amp;U386&amp;"_Y"&amp;V386&amp;"_Z"&amp;W386 &amp; IF(G386="SM", "_Proxy" , "_Rail") &amp; IF(M386&lt;&gt;"", "_" &amp; M386, "")</f>
      </c>
      <c r="F386" s="9">
        <f>IF(E386="", "", IF(G386="BP", E386, F385))</f>
      </c>
      <c r="G386" s="1" t="str">
        <v>BP</v>
      </c>
      <c r="H386" s="1" t="str">
        <v>TriggerElevator</v>
      </c>
      <c r="I386" s="1" t="str">
        <v>FU</v>
      </c>
      <c r="J386" s="1"/>
      <c r="K386" s="1"/>
      <c r="L386" s="1"/>
      <c r="M386" s="1"/>
      <c r="N386" s="3">
        <v>1</v>
      </c>
      <c r="O386" s="3"/>
      <c r="P386" s="3"/>
      <c r="Q386" s="3" t="str">
        <v>❗</v>
      </c>
      <c r="R386" s="1" t="str"/>
      <c r="S386" s="9" t="str"/>
      <c r="T386" s="120">
        <v>4.4</v>
      </c>
      <c r="U386" s="118">
        <v>1</v>
      </c>
      <c r="V386" s="118">
        <v>1</v>
      </c>
      <c r="W386" s="118">
        <v>2</v>
      </c>
      <c r="X386" s="4"/>
      <c r="Y386" s="4">
        <f>IF(AND(Q386="✅", OR(ISNUMBER(FIND("F",I386)), I386="CR")),   "X="&amp;U386*16&amp;",Y="&amp;(V386-1)*16&amp;",Z="&amp;IF(I386="FD", -(W386-1)*16, (W386-1)*16),   "")</f>
      </c>
      <c r="Z386" s="4">
        <f>IF(AND(Q386="✅", OR(ISNUMBER(FIND("F",I386)), I386="CR")), "P=0,Y=0,R=0", "")</f>
      </c>
      <c r="AA386" s="4" t="str"/>
      <c r="AB386" s="4" t="str"/>
      <c r="AC386" s="4" t="str"/>
      <c r="AD386" s="4" t="str"/>
      <c r="AE386" s="4" t="str"/>
      <c r="AF386" s="4"/>
      <c r="AG386" s="4" t="str"/>
      <c r="AH386" s="4" t="str"/>
      <c r="AI386" s="4" t="str"/>
      <c r="AJ386" s="4" t="str"/>
      <c r="AK386" s="4" t="str"/>
      <c r="AL386" s="4" t="str"/>
      <c r="AM386" s="4" t="str"/>
      <c r="AN386" s="4"/>
      <c r="AO386" s="4" t="str"/>
      <c r="AP386" s="4" t="str"/>
      <c r="AQ386" s="4" t="str"/>
      <c r="AR386" s="4" t="str"/>
      <c r="AS386" s="4" t="str"/>
      <c r="AT386" s="4" t="str"/>
      <c r="AU386" s="4" t="str"/>
      <c r="AV386" s="4"/>
      <c r="AW386" s="4">
        <f>IF(AND(Q386="✅", I386="U90"), "X="&amp;(U386-1)*16&amp;",Y="&amp;(V386-1)*16&amp;",Z="&amp;W386*16, "")</f>
      </c>
      <c r="AX386" s="4">
        <f>IF(AND(Q386="✅", I386="U90"), "P=90,Y=0,R=0", "")</f>
      </c>
      <c r="AY386" s="4" t="str"/>
      <c r="AZ386" s="4" t="str"/>
      <c r="BA386" s="4" t="str"/>
      <c r="BB386" s="4" t="str"/>
      <c r="BC386" s="4" t="str"/>
      <c r="BD386" s="4"/>
      <c r="BE386" s="4">
        <f>IF(AND(Q386="✅", I386="D90"), "X="&amp;(U386-1)*16&amp;",Y="&amp;(V386-1)*16&amp;",Z="&amp;(W386-2)*16, "")</f>
      </c>
      <c r="BF386" s="4">
        <f>IF(AND(Q386="✅", I386="D90"), "P=-90,Y=0,R=0", "")</f>
      </c>
      <c r="BG386" s="4" t="str"/>
      <c r="BH386" s="4" t="str"/>
      <c r="BI386" s="4" t="str"/>
      <c r="BJ386" s="4" t="str"/>
      <c r="BK386" s="4" t="str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</row>
    <row hidden="true" outlineLevel="2" r="387">
      <c r="A387" s="11"/>
      <c r="B387" s="11"/>
      <c r="C387" s="119"/>
      <c r="D387" s="119"/>
      <c r="E387" s="5">
        <f>E425</f>
      </c>
      <c r="F387" s="9">
        <f>IF(E387="", "", IF(G387="BP", E387, F386))</f>
      </c>
      <c r="G387" s="1"/>
      <c r="H387" s="1"/>
      <c r="I387" s="1"/>
      <c r="J387" s="1"/>
      <c r="K387" s="1"/>
      <c r="L387" s="1"/>
      <c r="M387" s="1"/>
      <c r="N387" s="3"/>
      <c r="O387" s="3"/>
      <c r="P387" s="3"/>
      <c r="Q387" s="3"/>
      <c r="R387" s="1" t="str"/>
      <c r="S387" s="9" t="str">
        <v>/Script/Engine.StaticMesh'/Game/Item/Rail/Straight/F/Normal/Straight_F_X1_Y1_Z1/Proxy/SM_Straight_F_X1_Y1_Z1_Proxy_L.SM_Straight_F_X1_Y1_Z1_Proxy_L'</v>
      </c>
      <c r="T387" s="120" t="str"/>
      <c r="U387" s="118"/>
      <c r="V387" s="118"/>
      <c r="W387" s="118"/>
      <c r="X387" s="4"/>
      <c r="Y387" s="4">
        <f>IF(AND(Q387="✅", OR(ISNUMBER(FIND("F",I387)), I387="CR")),   "X="&amp;U387*16&amp;",Y="&amp;(V387-1)*16&amp;",Z="&amp;IF(I387="FD", -(W387-1)*16, (W387-1)*16),   "")</f>
      </c>
      <c r="Z387" s="4">
        <f>IF(AND(Q387="✅", OR(ISNUMBER(FIND("F",I387)), I387="CR")), "P=0,Y=0,R=0", "")</f>
      </c>
      <c r="AA387" s="4" t="str"/>
      <c r="AB387" s="4" t="str"/>
      <c r="AC387" s="4" t="str"/>
      <c r="AD387" s="4" t="str"/>
      <c r="AE387" s="4" t="str"/>
      <c r="AF387" s="4"/>
      <c r="AG387" s="4" t="str"/>
      <c r="AH387" s="4" t="str"/>
      <c r="AI387" s="4" t="str"/>
      <c r="AJ387" s="4" t="str"/>
      <c r="AK387" s="4" t="str"/>
      <c r="AL387" s="4" t="str"/>
      <c r="AM387" s="4" t="str"/>
      <c r="AN387" s="4"/>
      <c r="AO387" s="4" t="str"/>
      <c r="AP387" s="4" t="str"/>
      <c r="AQ387" s="4" t="str"/>
      <c r="AR387" s="4" t="str"/>
      <c r="AS387" s="4" t="str"/>
      <c r="AT387" s="4" t="str"/>
      <c r="AU387" s="4" t="str"/>
      <c r="AV387" s="4"/>
      <c r="AW387" s="4">
        <f>IF(AND(Q387="✅", I387="U90"), "X="&amp;(U387-1)*16&amp;",Y="&amp;(V387-1)*16&amp;",Z="&amp;W387*16, "")</f>
      </c>
      <c r="AX387" s="4">
        <f>IF(AND(Q387="✅", I387="U90"), "P=90,Y=0,R=0", "")</f>
      </c>
      <c r="AY387" s="4" t="str"/>
      <c r="AZ387" s="4" t="str"/>
      <c r="BA387" s="4" t="str"/>
      <c r="BB387" s="4" t="str"/>
      <c r="BC387" s="4" t="str"/>
      <c r="BD387" s="4"/>
      <c r="BE387" s="4">
        <f>IF(AND(Q387="✅", I387="D90"), "X="&amp;(U387-1)*16&amp;",Y="&amp;(V387-1)*16&amp;",Z="&amp;(W387-2)*16, "")</f>
      </c>
      <c r="BF387" s="4">
        <f>IF(AND(Q387="✅", I387="D90"), "P=-90,Y=0,R=0", "")</f>
      </c>
      <c r="BG387" s="4" t="str"/>
      <c r="BH387" s="4" t="str"/>
      <c r="BI387" s="4" t="str"/>
      <c r="BJ387" s="4" t="str"/>
      <c r="BK387" s="4" t="str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</row>
    <row hidden="true" outlineLevel="2" r="388">
      <c r="A388" s="11"/>
      <c r="B388" s="11"/>
      <c r="C388" s="119"/>
      <c r="D388" s="119"/>
      <c r="E388" s="5">
        <f>E26</f>
      </c>
      <c r="F388" s="9">
        <f>IF(E388="", "", IF(G388="BP", E388, F387))</f>
      </c>
      <c r="G388" s="1"/>
      <c r="H388" s="1"/>
      <c r="I388" s="1"/>
      <c r="J388" s="1"/>
      <c r="K388" s="1"/>
      <c r="L388" s="1"/>
      <c r="M388" s="1"/>
      <c r="N388" s="3"/>
      <c r="O388" s="3"/>
      <c r="P388" s="3"/>
      <c r="Q388" s="3"/>
      <c r="R388" s="1" t="str"/>
      <c r="S388" s="9" t="str">
        <v>/Script/Engine.StaticMesh'/Game/Item/Rail/Straight/F/Normal/Straight_F_X1_Y1_Z1/Proxy/SM_Straight_F_X1_Y1_Z1_Proxy_L.SM_Straight_F_X1_Y1_Z1_Proxy_L'</v>
      </c>
      <c r="T388" s="120" t="str"/>
      <c r="U388" s="118"/>
      <c r="V388" s="118"/>
      <c r="W388" s="118"/>
      <c r="X388" s="4"/>
      <c r="Y388" s="4">
        <f>IF(AND(Q388="✅", OR(ISNUMBER(FIND("F",I388)), I388="CR")),   "X="&amp;U388*16&amp;",Y="&amp;(V388-1)*16&amp;",Z="&amp;IF(I388="FD", -(W388-1)*16, (W388-1)*16),   "")</f>
      </c>
      <c r="Z388" s="4">
        <f>IF(AND(Q388="✅", OR(ISNUMBER(FIND("F",I388)), I388="CR")), "P=0,Y=0,R=0", "")</f>
      </c>
      <c r="AA388" s="4" t="str"/>
      <c r="AB388" s="4" t="str"/>
      <c r="AC388" s="4" t="str"/>
      <c r="AD388" s="4" t="str"/>
      <c r="AE388" s="4" t="str"/>
      <c r="AF388" s="4"/>
      <c r="AG388" s="4" t="str"/>
      <c r="AH388" s="4" t="str"/>
      <c r="AI388" s="4" t="str"/>
      <c r="AJ388" s="4" t="str"/>
      <c r="AK388" s="4" t="str"/>
      <c r="AL388" s="4" t="str"/>
      <c r="AM388" s="4" t="str"/>
      <c r="AN388" s="4"/>
      <c r="AO388" s="4" t="str"/>
      <c r="AP388" s="4" t="str"/>
      <c r="AQ388" s="4" t="str"/>
      <c r="AR388" s="4" t="str"/>
      <c r="AS388" s="4" t="str"/>
      <c r="AT388" s="4" t="str"/>
      <c r="AU388" s="4" t="str"/>
      <c r="AV388" s="4"/>
      <c r="AW388" s="4">
        <f>IF(AND(Q388="✅", I388="U90"), "X="&amp;(U388-1)*16&amp;",Y="&amp;(V388-1)*16&amp;",Z="&amp;W388*16, "")</f>
      </c>
      <c r="AX388" s="4">
        <f>IF(AND(Q388="✅", I388="U90"), "P=90,Y=0,R=0", "")</f>
      </c>
      <c r="AY388" s="4" t="str"/>
      <c r="AZ388" s="4" t="str"/>
      <c r="BA388" s="4" t="str"/>
      <c r="BB388" s="4" t="str"/>
      <c r="BC388" s="4" t="str"/>
      <c r="BD388" s="4"/>
      <c r="BE388" s="4">
        <f>IF(AND(Q388="✅", I388="D90"), "X="&amp;(U388-1)*16&amp;",Y="&amp;(V388-1)*16&amp;",Z="&amp;(W388-2)*16, "")</f>
      </c>
      <c r="BF388" s="4">
        <f>IF(AND(Q388="✅", I388="D90"), "P=-90,Y=0,R=0", "")</f>
      </c>
      <c r="BG388" s="4" t="str"/>
      <c r="BH388" s="4" t="str"/>
      <c r="BI388" s="4" t="str"/>
      <c r="BJ388" s="4" t="str"/>
      <c r="BK388" s="4" t="str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</row>
    <row hidden="true" outlineLevel="2" r="389">
      <c r="A389" s="11"/>
      <c r="B389" s="11"/>
      <c r="C389" s="119"/>
      <c r="D389" s="119"/>
      <c r="E389" s="5">
        <f>E27</f>
      </c>
      <c r="F389" s="9">
        <f>IF(E389="", "", IF(G389="BP", E389, F388))</f>
      </c>
      <c r="G389" s="1"/>
      <c r="H389" s="1"/>
      <c r="I389" s="1"/>
      <c r="J389" s="1"/>
      <c r="K389" s="1"/>
      <c r="L389" s="1"/>
      <c r="M389" s="1"/>
      <c r="N389" s="3"/>
      <c r="O389" s="3"/>
      <c r="P389" s="3"/>
      <c r="Q389" s="3"/>
      <c r="R389" s="1" t="str"/>
      <c r="S389" s="9" t="str">
        <v>/Script/Engine.StaticMesh'/Game/Item/Rail/Straight/F/Normal/Straight_F_X1_Y1_Z1/Proxy/SM_Straight_F_X1_Y1_Z1_Proxy_R.SM_Straight_F_X1_Y1_Z1_Proxy_R'</v>
      </c>
      <c r="T389" s="120" t="str"/>
      <c r="U389" s="118"/>
      <c r="V389" s="118"/>
      <c r="W389" s="118"/>
      <c r="X389" s="4"/>
      <c r="Y389" s="4">
        <f>IF(AND(Q389="✅", OR(ISNUMBER(FIND("F",I389)), I389="CR")),   "X="&amp;U389*16&amp;",Y="&amp;(V389-1)*16&amp;",Z="&amp;IF(I389="FD", -(W389-1)*16, (W389-1)*16),   "")</f>
      </c>
      <c r="Z389" s="4">
        <f>IF(AND(Q389="✅", OR(ISNUMBER(FIND("F",I389)), I389="CR")), "P=0,Y=0,R=0", "")</f>
      </c>
      <c r="AA389" s="4" t="str"/>
      <c r="AB389" s="4" t="str"/>
      <c r="AC389" s="4" t="str"/>
      <c r="AD389" s="4" t="str"/>
      <c r="AE389" s="4" t="str"/>
      <c r="AF389" s="4"/>
      <c r="AG389" s="4" t="str"/>
      <c r="AH389" s="4" t="str"/>
      <c r="AI389" s="4" t="str"/>
      <c r="AJ389" s="4" t="str"/>
      <c r="AK389" s="4" t="str"/>
      <c r="AL389" s="4" t="str"/>
      <c r="AM389" s="4" t="str"/>
      <c r="AN389" s="4"/>
      <c r="AO389" s="4" t="str"/>
      <c r="AP389" s="4" t="str"/>
      <c r="AQ389" s="4" t="str"/>
      <c r="AR389" s="4" t="str"/>
      <c r="AS389" s="4" t="str"/>
      <c r="AT389" s="4" t="str"/>
      <c r="AU389" s="4" t="str"/>
      <c r="AV389" s="4"/>
      <c r="AW389" s="4">
        <f>IF(AND(Q389="✅", I389="U90"), "X="&amp;(U389-1)*16&amp;",Y="&amp;(V389-1)*16&amp;",Z="&amp;W389*16, "")</f>
      </c>
      <c r="AX389" s="4">
        <f>IF(AND(Q389="✅", I389="U90"), "P=90,Y=0,R=0", "")</f>
      </c>
      <c r="AY389" s="4" t="str"/>
      <c r="AZ389" s="4" t="str"/>
      <c r="BA389" s="4" t="str"/>
      <c r="BB389" s="4" t="str"/>
      <c r="BC389" s="4" t="str"/>
      <c r="BD389" s="4"/>
      <c r="BE389" s="4">
        <f>IF(AND(Q389="✅", I389="D90"), "X="&amp;(U389-1)*16&amp;",Y="&amp;(V389-1)*16&amp;",Z="&amp;(W389-2)*16, "")</f>
      </c>
      <c r="BF389" s="4">
        <f>IF(AND(Q389="✅", I389="D90"), "P=-90,Y=0,R=0", "")</f>
      </c>
      <c r="BG389" s="4" t="str"/>
      <c r="BH389" s="4" t="str"/>
      <c r="BI389" s="4" t="str"/>
      <c r="BJ389" s="4" t="str"/>
      <c r="BK389" s="4" t="str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</row>
    <row hidden="true" outlineLevel="1" r="390">
      <c r="A390" s="11"/>
      <c r="B390" s="11"/>
      <c r="C390" s="119"/>
      <c r="D390" s="119"/>
      <c r="E390" s="5">
        <f>G390 &amp; "_" &amp; H390 &amp; IF(I390&lt;&gt;"", "_" &amp; I390, "") &amp; IF(J390&lt;&gt;"", "_" &amp; J390, "") &amp; IF(K390&lt;&gt;"", "_" &amp; K390, "") &amp;"_X"&amp;U390&amp;"_Y"&amp;V390&amp;"_Z"&amp;W390 &amp; IF(G390="SM", "_Proxy" , "_Rail") &amp; IF(M390&lt;&gt;"", "_" &amp; M390, "")</f>
      </c>
      <c r="F390" s="9">
        <f>IF(E390="", "", IF(G390="BP", E390, F389))</f>
      </c>
      <c r="G390" s="1" t="str">
        <v>BP</v>
      </c>
      <c r="H390" s="1" t="str">
        <v>TriggerElevator</v>
      </c>
      <c r="I390" s="1" t="str">
        <v>FD</v>
      </c>
      <c r="J390" s="1"/>
      <c r="K390" s="1"/>
      <c r="L390" s="1"/>
      <c r="M390" s="1"/>
      <c r="N390" s="3">
        <v>1</v>
      </c>
      <c r="O390" s="3"/>
      <c r="P390" s="3"/>
      <c r="Q390" s="3" t="str">
        <v>❗</v>
      </c>
      <c r="R390" s="1" t="str"/>
      <c r="S390" s="9" t="str"/>
      <c r="T390" s="120">
        <v>5.5</v>
      </c>
      <c r="U390" s="118">
        <v>1</v>
      </c>
      <c r="V390" s="118">
        <v>1</v>
      </c>
      <c r="W390" s="118">
        <v>2</v>
      </c>
      <c r="X390" s="4"/>
      <c r="Y390" s="4">
        <f>IF(AND(Q390="✅", OR(ISNUMBER(FIND("F",I390)), I390="CR")),   "X="&amp;U390*16&amp;",Y="&amp;(V390-1)*16&amp;",Z="&amp;IF(I390="FD", -(W390-1)*16, (W390-1)*16),   "")</f>
      </c>
      <c r="Z390" s="4">
        <f>IF(AND(Q390="✅", OR(ISNUMBER(FIND("F",I390)), I390="CR")), "P=0,Y=0,R=0", "")</f>
      </c>
      <c r="AA390" s="4" t="str"/>
      <c r="AB390" s="4" t="str"/>
      <c r="AC390" s="4" t="str"/>
      <c r="AD390" s="4" t="str"/>
      <c r="AE390" s="4" t="str"/>
      <c r="AF390" s="4"/>
      <c r="AG390" s="4" t="str"/>
      <c r="AH390" s="4" t="str"/>
      <c r="AI390" s="4" t="str"/>
      <c r="AJ390" s="4" t="str"/>
      <c r="AK390" s="4" t="str"/>
      <c r="AL390" s="4" t="str"/>
      <c r="AM390" s="4" t="str"/>
      <c r="AN390" s="4"/>
      <c r="AO390" s="4" t="str"/>
      <c r="AP390" s="4" t="str"/>
      <c r="AQ390" s="4" t="str"/>
      <c r="AR390" s="4" t="str"/>
      <c r="AS390" s="4" t="str"/>
      <c r="AT390" s="4" t="str"/>
      <c r="AU390" s="4" t="str"/>
      <c r="AV390" s="4"/>
      <c r="AW390" s="4">
        <f>IF(AND(Q390="✅", I390="U90"), "X="&amp;(U390-1)*16&amp;",Y="&amp;(V390-1)*16&amp;",Z="&amp;W390*16, "")</f>
      </c>
      <c r="AX390" s="4">
        <f>IF(AND(Q390="✅", I390="U90"), "P=90,Y=0,R=0", "")</f>
      </c>
      <c r="AY390" s="4" t="str"/>
      <c r="AZ390" s="4" t="str"/>
      <c r="BA390" s="4" t="str"/>
      <c r="BB390" s="4" t="str"/>
      <c r="BC390" s="4" t="str"/>
      <c r="BD390" s="4"/>
      <c r="BE390" s="4">
        <f>IF(AND(Q390="✅", I390="D90"), "X="&amp;(U390-1)*16&amp;",Y="&amp;(V390-1)*16&amp;",Z="&amp;(W390-2)*16, "")</f>
      </c>
      <c r="BF390" s="4">
        <f>IF(AND(Q390="✅", I390="D90"), "P=-90,Y=0,R=0", "")</f>
      </c>
      <c r="BG390" s="4" t="str"/>
      <c r="BH390" s="4" t="str"/>
      <c r="BI390" s="4" t="str"/>
      <c r="BJ390" s="4" t="str"/>
      <c r="BK390" s="4" t="str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</row>
    <row hidden="true" outlineLevel="2" r="391">
      <c r="A391" s="11"/>
      <c r="B391" s="11"/>
      <c r="C391" s="119"/>
      <c r="D391" s="119"/>
      <c r="E391" s="5">
        <f>E387</f>
      </c>
      <c r="F391" s="9">
        <f>IF(E391="", "", IF(G391="BP", E391, F390))</f>
      </c>
      <c r="G391" s="1"/>
      <c r="H391" s="1"/>
      <c r="I391" s="1"/>
      <c r="J391" s="1"/>
      <c r="K391" s="1"/>
      <c r="L391" s="1"/>
      <c r="M391" s="1"/>
      <c r="N391" s="3"/>
      <c r="O391" s="3"/>
      <c r="P391" s="3"/>
      <c r="Q391" s="3"/>
      <c r="R391" s="1" t="str"/>
      <c r="S391" s="9" t="str">
        <v>/Script/Engine.StaticMesh'/Game/Item/Rail/Straight/F/Normal/Straight_F_X1_Y1_Z1/Proxy/SM_Straight_F_X1_Y1_Z1_Proxy_L.SM_Straight_F_X1_Y1_Z1_Proxy_L'</v>
      </c>
      <c r="T391" s="120" t="str"/>
      <c r="U391" s="118"/>
      <c r="V391" s="118"/>
      <c r="W391" s="118"/>
      <c r="X391" s="4"/>
      <c r="Y391" s="4">
        <f>IF(AND(Q391="✅", OR(ISNUMBER(FIND("F",I391)), I391="CR")),   "X="&amp;U391*16&amp;",Y="&amp;(V391-1)*16&amp;",Z="&amp;IF(I391="FD", -(W391-1)*16, (W391-1)*16),   "")</f>
      </c>
      <c r="Z391" s="4">
        <f>IF(AND(Q391="✅", OR(ISNUMBER(FIND("F",I391)), I391="CR")), "P=0,Y=0,R=0", "")</f>
      </c>
      <c r="AA391" s="4" t="str"/>
      <c r="AB391" s="4" t="str"/>
      <c r="AC391" s="4" t="str"/>
      <c r="AD391" s="4" t="str"/>
      <c r="AE391" s="4" t="str"/>
      <c r="AF391" s="4"/>
      <c r="AG391" s="4" t="str"/>
      <c r="AH391" s="4" t="str"/>
      <c r="AI391" s="4" t="str"/>
      <c r="AJ391" s="4" t="str"/>
      <c r="AK391" s="4" t="str"/>
      <c r="AL391" s="4" t="str"/>
      <c r="AM391" s="4" t="str"/>
      <c r="AN391" s="4"/>
      <c r="AO391" s="4" t="str"/>
      <c r="AP391" s="4" t="str"/>
      <c r="AQ391" s="4" t="str"/>
      <c r="AR391" s="4" t="str"/>
      <c r="AS391" s="4" t="str"/>
      <c r="AT391" s="4" t="str"/>
      <c r="AU391" s="4" t="str"/>
      <c r="AV391" s="4"/>
      <c r="AW391" s="4">
        <f>IF(AND(Q391="✅", I391="U90"), "X="&amp;(U391-1)*16&amp;",Y="&amp;(V391-1)*16&amp;",Z="&amp;W391*16, "")</f>
      </c>
      <c r="AX391" s="4">
        <f>IF(AND(Q391="✅", I391="U90"), "P=90,Y=0,R=0", "")</f>
      </c>
      <c r="AY391" s="4" t="str"/>
      <c r="AZ391" s="4" t="str"/>
      <c r="BA391" s="4" t="str"/>
      <c r="BB391" s="4" t="str"/>
      <c r="BC391" s="4" t="str"/>
      <c r="BD391" s="4"/>
      <c r="BE391" s="4">
        <f>IF(AND(Q391="✅", I391="D90"), "X="&amp;(U391-1)*16&amp;",Y="&amp;(V391-1)*16&amp;",Z="&amp;(W391-2)*16, "")</f>
      </c>
      <c r="BF391" s="4">
        <f>IF(AND(Q391="✅", I391="D90"), "P=-90,Y=0,R=0", "")</f>
      </c>
      <c r="BG391" s="4" t="str"/>
      <c r="BH391" s="4" t="str"/>
      <c r="BI391" s="4" t="str"/>
      <c r="BJ391" s="4" t="str"/>
      <c r="BK391" s="4" t="str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</row>
    <row hidden="true" outlineLevel="2" r="392">
      <c r="A392" s="11"/>
      <c r="B392" s="11"/>
      <c r="C392" s="119"/>
      <c r="D392" s="119"/>
      <c r="E392" s="5">
        <f>E49</f>
      </c>
      <c r="F392" s="9">
        <f>IF(E392="", "", IF(G392="BP", E392, F391))</f>
      </c>
      <c r="G392" s="1"/>
      <c r="H392" s="1"/>
      <c r="I392" s="1"/>
      <c r="J392" s="1"/>
      <c r="K392" s="1"/>
      <c r="L392" s="1"/>
      <c r="M392" s="1"/>
      <c r="N392" s="3"/>
      <c r="O392" s="3"/>
      <c r="P392" s="3"/>
      <c r="Q392" s="3"/>
      <c r="R392" s="1" t="str"/>
      <c r="S392" s="9" t="str">
        <v>/Script/Engine.BlueprintGeneratedClass'/Game/Item/Rail/Straight/F/Borderless_Caved/Straight_F_Borderless_Caved_X1_Y1_Z1/BP_Straight_F_Borderless_Caved_X1_Y1_Z1_Rail.BP_Straight_F_Borderless_Caved_X1_Y1_Z1_Rail_C'</v>
      </c>
      <c r="T392" s="120" t="str"/>
      <c r="U392" s="118"/>
      <c r="V392" s="118"/>
      <c r="W392" s="118"/>
      <c r="X392" s="4"/>
      <c r="Y392" s="4">
        <f>IF(AND(Q392="✅", OR(ISNUMBER(FIND("F",I392)), I392="CR")),   "X="&amp;U392*16&amp;",Y="&amp;(V392-1)*16&amp;",Z="&amp;IF(I392="FD", -(W392-1)*16, (W392-1)*16),   "")</f>
      </c>
      <c r="Z392" s="4">
        <f>IF(AND(Q392="✅", OR(ISNUMBER(FIND("F",I392)), I392="CR")), "P=0,Y=0,R=0", "")</f>
      </c>
      <c r="AA392" s="4" t="str"/>
      <c r="AB392" s="4" t="str"/>
      <c r="AC392" s="4" t="str"/>
      <c r="AD392" s="4" t="str"/>
      <c r="AE392" s="4" t="str"/>
      <c r="AF392" s="4"/>
      <c r="AG392" s="4" t="str"/>
      <c r="AH392" s="4" t="str"/>
      <c r="AI392" s="4" t="str"/>
      <c r="AJ392" s="4" t="str"/>
      <c r="AK392" s="4" t="str"/>
      <c r="AL392" s="4" t="str"/>
      <c r="AM392" s="4" t="str"/>
      <c r="AN392" s="4"/>
      <c r="AO392" s="4" t="str"/>
      <c r="AP392" s="4" t="str"/>
      <c r="AQ392" s="4" t="str"/>
      <c r="AR392" s="4" t="str"/>
      <c r="AS392" s="4" t="str"/>
      <c r="AT392" s="4" t="str"/>
      <c r="AU392" s="4" t="str"/>
      <c r="AV392" s="4"/>
      <c r="AW392" s="4">
        <f>IF(AND(Q392="✅", I392="U90"), "X="&amp;(U392-1)*16&amp;",Y="&amp;(V392-1)*16&amp;",Z="&amp;W392*16, "")</f>
      </c>
      <c r="AX392" s="4">
        <f>IF(AND(Q392="✅", I392="U90"), "P=90,Y=0,R=0", "")</f>
      </c>
      <c r="AY392" s="4" t="str"/>
      <c r="AZ392" s="4" t="str"/>
      <c r="BA392" s="4" t="str"/>
      <c r="BB392" s="4" t="str"/>
      <c r="BC392" s="4" t="str"/>
      <c r="BD392" s="4"/>
      <c r="BE392" s="4">
        <f>IF(AND(Q392="✅", I392="D90"), "X="&amp;(U392-1)*16&amp;",Y="&amp;(V392-1)*16&amp;",Z="&amp;(W392-2)*16, "")</f>
      </c>
      <c r="BF392" s="4">
        <f>IF(AND(Q392="✅", I392="D90"), "P=-90,Y=0,R=0", "")</f>
      </c>
      <c r="BG392" s="4" t="str"/>
      <c r="BH392" s="4" t="str"/>
      <c r="BI392" s="4" t="str"/>
      <c r="BJ392" s="4" t="str"/>
      <c r="BK392" s="4" t="str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</row>
    <row hidden="true" outlineLevel="2" r="393">
      <c r="A393" s="11"/>
      <c r="B393" s="11"/>
      <c r="C393" s="119"/>
      <c r="D393" s="119"/>
      <c r="E393" s="5">
        <f>E50</f>
      </c>
      <c r="F393" s="9">
        <f>IF(E393="", "", IF(G393="BP", E393, F392))</f>
      </c>
      <c r="G393" s="1"/>
      <c r="H393" s="1"/>
      <c r="I393" s="1"/>
      <c r="J393" s="1"/>
      <c r="K393" s="1"/>
      <c r="L393" s="1"/>
      <c r="M393" s="1"/>
      <c r="N393" s="3"/>
      <c r="O393" s="3"/>
      <c r="P393" s="3"/>
      <c r="Q393" s="3"/>
      <c r="R393" s="1" t="str"/>
      <c r="S393" s="9" t="str">
        <v>/Script/Engine.StaticMesh'/Game/Item/Rail/Straight/F/Borderless_Caved/Straight_F_Borderless_Caved_X1_Y1_Z1/Proxy/SM_Straight_F_Borderless_Caved_X1_Y1_Z1_Proxy_BL.SM_Straight_F_Borderless_Caved_X1_Y1_Z1_Proxy_BL'</v>
      </c>
      <c r="T393" s="120" t="str"/>
      <c r="U393" s="118"/>
      <c r="V393" s="118"/>
      <c r="W393" s="118"/>
      <c r="X393" s="4"/>
      <c r="Y393" s="4">
        <f>IF(AND(Q393="✅", OR(ISNUMBER(FIND("F",I393)), I393="CR")),   "X="&amp;U393*16&amp;",Y="&amp;(V393-1)*16&amp;",Z="&amp;IF(I393="FD", -(W393-1)*16, (W393-1)*16),   "")</f>
      </c>
      <c r="Z393" s="4">
        <f>IF(AND(Q393="✅", OR(ISNUMBER(FIND("F",I393)), I393="CR")), "P=0,Y=0,R=0", "")</f>
      </c>
      <c r="AA393" s="4" t="str"/>
      <c r="AB393" s="4" t="str"/>
      <c r="AC393" s="4" t="str"/>
      <c r="AD393" s="4" t="str"/>
      <c r="AE393" s="4" t="str"/>
      <c r="AF393" s="4"/>
      <c r="AG393" s="4" t="str"/>
      <c r="AH393" s="4" t="str"/>
      <c r="AI393" s="4" t="str"/>
      <c r="AJ393" s="4" t="str"/>
      <c r="AK393" s="4" t="str"/>
      <c r="AL393" s="4" t="str"/>
      <c r="AM393" s="4" t="str"/>
      <c r="AN393" s="4"/>
      <c r="AO393" s="4" t="str"/>
      <c r="AP393" s="4" t="str"/>
      <c r="AQ393" s="4" t="str"/>
      <c r="AR393" s="4" t="str"/>
      <c r="AS393" s="4" t="str"/>
      <c r="AT393" s="4" t="str"/>
      <c r="AU393" s="4" t="str"/>
      <c r="AV393" s="4"/>
      <c r="AW393" s="4">
        <f>IF(AND(Q393="✅", I393="U90"), "X="&amp;(U393-1)*16&amp;",Y="&amp;(V393-1)*16&amp;",Z="&amp;W393*16, "")</f>
      </c>
      <c r="AX393" s="4">
        <f>IF(AND(Q393="✅", I393="U90"), "P=90,Y=0,R=0", "")</f>
      </c>
      <c r="AY393" s="4" t="str"/>
      <c r="AZ393" s="4" t="str"/>
      <c r="BA393" s="4" t="str"/>
      <c r="BB393" s="4" t="str"/>
      <c r="BC393" s="4" t="str"/>
      <c r="BD393" s="4"/>
      <c r="BE393" s="4">
        <f>IF(AND(Q393="✅", I393="D90"), "X="&amp;(U393-1)*16&amp;",Y="&amp;(V393-1)*16&amp;",Z="&amp;(W393-2)*16, "")</f>
      </c>
      <c r="BF393" s="4">
        <f>IF(AND(Q393="✅", I393="D90"), "P=-90,Y=0,R=0", "")</f>
      </c>
      <c r="BG393" s="4" t="str"/>
      <c r="BH393" s="4" t="str"/>
      <c r="BI393" s="4" t="str"/>
      <c r="BJ393" s="4" t="str"/>
      <c r="BK393" s="4" t="str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</row>
    <row hidden="true" outlineLevel="1" r="394">
      <c r="A394" s="11"/>
      <c r="B394" s="11"/>
      <c r="C394" s="119"/>
      <c r="D394" s="119"/>
      <c r="E394" s="5">
        <f>G394 &amp; "_" &amp; H394 &amp; IF(I394&lt;&gt;"", "_" &amp; I394, "") &amp; IF(J394&lt;&gt;"", "_" &amp; J394, "") &amp; IF(K394&lt;&gt;"", "_" &amp; K394, "") &amp;"_X"&amp;U394&amp;"_Y"&amp;V394&amp;"_Z"&amp;W394 &amp; IF(G394="SM", "_Proxy" , "_Rail") &amp; IF(M394&lt;&gt;"", "_" &amp; M394, "")</f>
      </c>
      <c r="F394" s="9">
        <f>IF(E394="", "", IF(G394="BP", E394, F393))</f>
      </c>
      <c r="G394" s="1" t="str">
        <v>BP</v>
      </c>
      <c r="H394" s="1" t="str">
        <v>SpinRotationElevator</v>
      </c>
      <c r="I394" s="1" t="str">
        <v>F</v>
      </c>
      <c r="J394" s="1" t="str">
        <v>CheckHole</v>
      </c>
      <c r="K394" s="1"/>
      <c r="L394" s="1"/>
      <c r="M394" s="1"/>
      <c r="N394" s="3">
        <v>1</v>
      </c>
      <c r="O394" s="3"/>
      <c r="P394" s="3"/>
      <c r="Q394" s="3" t="str">
        <v>❗</v>
      </c>
      <c r="R394" s="1" t="str"/>
      <c r="S394" s="9" t="str"/>
      <c r="T394" s="120">
        <v>5.4</v>
      </c>
      <c r="U394" s="118">
        <v>3</v>
      </c>
      <c r="V394" s="118">
        <v>1</v>
      </c>
      <c r="W394" s="118">
        <v>3</v>
      </c>
      <c r="X394" s="4"/>
      <c r="Y394" s="4">
        <f>IF(AND(Q394="✅", OR(ISNUMBER(FIND("F",I394)), I394="CR")),   "X="&amp;U394*16&amp;",Y="&amp;(V394-1)*16&amp;",Z="&amp;IF(I394="FD", -(W394-1)*16, (W394-1)*16),   "")</f>
      </c>
      <c r="Z394" s="4">
        <f>IF(AND(Q394="✅", OR(ISNUMBER(FIND("F",I394)), I394="CR")), "P=0,Y=0,R=0", "")</f>
      </c>
      <c r="AA394" s="4" t="str"/>
      <c r="AB394" s="4" t="str"/>
      <c r="AC394" s="4" t="str"/>
      <c r="AD394" s="4" t="str"/>
      <c r="AE394" s="4" t="str"/>
      <c r="AF394" s="4"/>
      <c r="AG394" s="4" t="str"/>
      <c r="AH394" s="4" t="str"/>
      <c r="AI394" s="4" t="str"/>
      <c r="AJ394" s="4" t="str"/>
      <c r="AK394" s="4" t="str"/>
      <c r="AL394" s="4" t="str"/>
      <c r="AM394" s="4" t="str"/>
      <c r="AN394" s="4"/>
      <c r="AO394" s="4" t="str"/>
      <c r="AP394" s="4" t="str"/>
      <c r="AQ394" s="4" t="str"/>
      <c r="AR394" s="4" t="str"/>
      <c r="AS394" s="4" t="str"/>
      <c r="AT394" s="4" t="str"/>
      <c r="AU394" s="4" t="str"/>
      <c r="AV394" s="4"/>
      <c r="AW394" s="4">
        <f>IF(AND(Q394="✅", I394="U90"), "X="&amp;(U394-1)*16&amp;",Y="&amp;(V394-1)*16&amp;",Z="&amp;W394*16, "")</f>
      </c>
      <c r="AX394" s="4">
        <f>IF(AND(Q394="✅", I394="U90"), "P=90,Y=0,R=0", "")</f>
      </c>
      <c r="AY394" s="4" t="str"/>
      <c r="AZ394" s="4" t="str"/>
      <c r="BA394" s="4" t="str"/>
      <c r="BB394" s="4" t="str"/>
      <c r="BC394" s="4" t="str"/>
      <c r="BD394" s="4"/>
      <c r="BE394" s="4">
        <f>IF(AND(Q394="✅", I394="D90"), "X="&amp;(U394-1)*16&amp;",Y="&amp;(V394-1)*16&amp;",Z="&amp;(W394-2)*16, "")</f>
      </c>
      <c r="BF394" s="4">
        <f>IF(AND(Q394="✅", I394="D90"), "P=-90,Y=0,R=0", "")</f>
      </c>
      <c r="BG394" s="4" t="str"/>
      <c r="BH394" s="4" t="str"/>
      <c r="BI394" s="4" t="str"/>
      <c r="BJ394" s="4" t="str"/>
      <c r="BK394" s="4" t="str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</row>
    <row hidden="true" outlineLevel="2" r="395">
      <c r="A395" s="11"/>
      <c r="B395" s="11"/>
      <c r="C395" s="119"/>
      <c r="D395" s="119"/>
      <c r="E395" s="5">
        <f>E391</f>
      </c>
      <c r="F395" s="9">
        <f>IF(E395="", "", IF(G395="BP", E395, F394))</f>
      </c>
      <c r="G395" s="1"/>
      <c r="H395" s="1"/>
      <c r="I395" s="1"/>
      <c r="J395" s="1"/>
      <c r="K395" s="1"/>
      <c r="L395" s="1"/>
      <c r="M395" s="1"/>
      <c r="N395" s="3"/>
      <c r="O395" s="3"/>
      <c r="P395" s="3"/>
      <c r="Q395" s="3"/>
      <c r="R395" s="1" t="str"/>
      <c r="S395" s="9" t="str">
        <v>/Script/Engine.StaticMesh'/Game/Item/Rail/Straight/F/Normal/Straight_F_X1_Y1_Z1/Proxy/SM_Straight_F_X1_Y1_Z1_Proxy_L.SM_Straight_F_X1_Y1_Z1_Proxy_L'</v>
      </c>
      <c r="T395" s="120" t="str"/>
      <c r="U395" s="118"/>
      <c r="V395" s="118"/>
      <c r="W395" s="118"/>
      <c r="X395" s="4"/>
      <c r="Y395" s="4">
        <f>IF(AND(Q395="✅", OR(ISNUMBER(FIND("F",I395)), I395="CR")),   "X="&amp;U395*16&amp;",Y="&amp;(V395-1)*16&amp;",Z="&amp;IF(I395="FD", -(W395-1)*16, (W395-1)*16),   "")</f>
      </c>
      <c r="Z395" s="4">
        <f>IF(AND(Q395="✅", OR(ISNUMBER(FIND("F",I395)), I395="CR")), "P=0,Y=0,R=0", "")</f>
      </c>
      <c r="AA395" s="4" t="str"/>
      <c r="AB395" s="4" t="str"/>
      <c r="AC395" s="4" t="str"/>
      <c r="AD395" s="4" t="str"/>
      <c r="AE395" s="4" t="str"/>
      <c r="AF395" s="4"/>
      <c r="AG395" s="4" t="str"/>
      <c r="AH395" s="4" t="str"/>
      <c r="AI395" s="4" t="str"/>
      <c r="AJ395" s="4" t="str"/>
      <c r="AK395" s="4" t="str"/>
      <c r="AL395" s="4" t="str"/>
      <c r="AM395" s="4" t="str"/>
      <c r="AN395" s="4"/>
      <c r="AO395" s="4" t="str"/>
      <c r="AP395" s="4" t="str"/>
      <c r="AQ395" s="4" t="str"/>
      <c r="AR395" s="4" t="str"/>
      <c r="AS395" s="4" t="str"/>
      <c r="AT395" s="4" t="str"/>
      <c r="AU395" s="4" t="str"/>
      <c r="AV395" s="4"/>
      <c r="AW395" s="4">
        <f>IF(AND(Q395="✅", I395="U90"), "X="&amp;(U395-1)*16&amp;",Y="&amp;(V395-1)*16&amp;",Z="&amp;W395*16, "")</f>
      </c>
      <c r="AX395" s="4">
        <f>IF(AND(Q395="✅", I395="U90"), "P=90,Y=0,R=0", "")</f>
      </c>
      <c r="AY395" s="4" t="str"/>
      <c r="AZ395" s="4" t="str"/>
      <c r="BA395" s="4" t="str"/>
      <c r="BB395" s="4" t="str"/>
      <c r="BC395" s="4" t="str"/>
      <c r="BD395" s="4"/>
      <c r="BE395" s="4">
        <f>IF(AND(Q395="✅", I395="D90"), "X="&amp;(U395-1)*16&amp;",Y="&amp;(V395-1)*16&amp;",Z="&amp;(W395-2)*16, "")</f>
      </c>
      <c r="BF395" s="4">
        <f>IF(AND(Q395="✅", I395="D90"), "P=-90,Y=0,R=0", "")</f>
      </c>
      <c r="BG395" s="4" t="str"/>
      <c r="BH395" s="4" t="str"/>
      <c r="BI395" s="4" t="str"/>
      <c r="BJ395" s="4" t="str"/>
      <c r="BK395" s="4" t="str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</row>
    <row hidden="true" outlineLevel="2" r="396">
      <c r="A396" s="11"/>
      <c r="B396" s="11"/>
      <c r="C396" s="119"/>
      <c r="D396" s="119"/>
      <c r="E396" s="5">
        <f>E55</f>
      </c>
      <c r="F396" s="9">
        <f>IF(E396="", "", IF(G396="BP", E396, F395))</f>
      </c>
      <c r="G396" s="1"/>
      <c r="H396" s="1"/>
      <c r="I396" s="1"/>
      <c r="J396" s="1"/>
      <c r="K396" s="1"/>
      <c r="L396" s="1"/>
      <c r="M396" s="1"/>
      <c r="N396" s="3"/>
      <c r="O396" s="3"/>
      <c r="P396" s="3"/>
      <c r="Q396" s="3"/>
      <c r="R396" s="1" t="str"/>
      <c r="S396" s="9" t="str">
        <v>/Script/Engine.StaticMesh'/Game/Item/Rail/Straight/F/Normal/Straight_F_X1_Y1_Z1/Proxy/SM_Straight_F_X1_Y1_Z1_Proxy_B.SM_Straight_F_X1_Y1_Z1_Proxy_B'</v>
      </c>
      <c r="T396" s="120" t="str"/>
      <c r="U396" s="118"/>
      <c r="V396" s="118"/>
      <c r="W396" s="118"/>
      <c r="X396" s="4"/>
      <c r="Y396" s="4">
        <f>IF(AND(Q396="✅", OR(ISNUMBER(FIND("F",I396)), I396="CR")),   "X="&amp;U396*16&amp;",Y="&amp;(V396-1)*16&amp;",Z="&amp;IF(I396="FD", -(W396-1)*16, (W396-1)*16),   "")</f>
      </c>
      <c r="Z396" s="4">
        <f>IF(AND(Q396="✅", OR(ISNUMBER(FIND("F",I396)), I396="CR")), "P=0,Y=0,R=0", "")</f>
      </c>
      <c r="AA396" s="4" t="str"/>
      <c r="AB396" s="4" t="str"/>
      <c r="AC396" s="4" t="str"/>
      <c r="AD396" s="4" t="str"/>
      <c r="AE396" s="4" t="str"/>
      <c r="AF396" s="4"/>
      <c r="AG396" s="4" t="str"/>
      <c r="AH396" s="4" t="str"/>
      <c r="AI396" s="4" t="str"/>
      <c r="AJ396" s="4" t="str"/>
      <c r="AK396" s="4" t="str"/>
      <c r="AL396" s="4" t="str"/>
      <c r="AM396" s="4" t="str"/>
      <c r="AN396" s="4"/>
      <c r="AO396" s="4" t="str"/>
      <c r="AP396" s="4" t="str"/>
      <c r="AQ396" s="4" t="str"/>
      <c r="AR396" s="4" t="str"/>
      <c r="AS396" s="4" t="str"/>
      <c r="AT396" s="4" t="str"/>
      <c r="AU396" s="4" t="str"/>
      <c r="AV396" s="4"/>
      <c r="AW396" s="4">
        <f>IF(AND(Q396="✅", I396="U90"), "X="&amp;(U396-1)*16&amp;",Y="&amp;(V396-1)*16&amp;",Z="&amp;W396*16, "")</f>
      </c>
      <c r="AX396" s="4">
        <f>IF(AND(Q396="✅", I396="U90"), "P=90,Y=0,R=0", "")</f>
      </c>
      <c r="AY396" s="4" t="str"/>
      <c r="AZ396" s="4" t="str"/>
      <c r="BA396" s="4" t="str"/>
      <c r="BB396" s="4" t="str"/>
      <c r="BC396" s="4" t="str"/>
      <c r="BD396" s="4"/>
      <c r="BE396" s="4">
        <f>IF(AND(Q396="✅", I396="D90"), "X="&amp;(U396-1)*16&amp;",Y="&amp;(V396-1)*16&amp;",Z="&amp;(W396-2)*16, "")</f>
      </c>
      <c r="BF396" s="4">
        <f>IF(AND(Q396="✅", I396="D90"), "P=-90,Y=0,R=0", "")</f>
      </c>
      <c r="BG396" s="4" t="str"/>
      <c r="BH396" s="4" t="str"/>
      <c r="BI396" s="4" t="str"/>
      <c r="BJ396" s="4" t="str"/>
      <c r="BK396" s="4" t="str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</row>
    <row hidden="true" outlineLevel="2" r="397">
      <c r="A397" s="11"/>
      <c r="B397" s="11"/>
      <c r="C397" s="119"/>
      <c r="D397" s="119"/>
      <c r="E397" s="5">
        <f>E56</f>
      </c>
      <c r="F397" s="9">
        <f>IF(E397="", "", IF(G397="BP", E397, F396))</f>
      </c>
      <c r="G397" s="1"/>
      <c r="H397" s="1"/>
      <c r="I397" s="1"/>
      <c r="J397" s="1"/>
      <c r="K397" s="1"/>
      <c r="L397" s="1"/>
      <c r="M397" s="1"/>
      <c r="N397" s="3"/>
      <c r="O397" s="3"/>
      <c r="P397" s="3"/>
      <c r="Q397" s="3"/>
      <c r="R397" s="1" t="str"/>
      <c r="S397" s="9" t="str">
        <v>/Script/Engine.StaticMesh'/Game/Item/Rail/Straight/F/Normal/Straight_F_X1_Y1_Z1/Proxy/SM_Straight_F_X1_Y1_Z1_Proxy_R.SM_Straight_F_X1_Y1_Z1_Proxy_R'</v>
      </c>
      <c r="T397" s="120" t="str"/>
      <c r="U397" s="118"/>
      <c r="V397" s="118"/>
      <c r="W397" s="118"/>
      <c r="X397" s="4"/>
      <c r="Y397" s="4">
        <f>IF(AND(Q397="✅", OR(ISNUMBER(FIND("F",I397)), I397="CR")),   "X="&amp;U397*16&amp;",Y="&amp;(V397-1)*16&amp;",Z="&amp;IF(I397="FD", -(W397-1)*16, (W397-1)*16),   "")</f>
      </c>
      <c r="Z397" s="4">
        <f>IF(AND(Q397="✅", OR(ISNUMBER(FIND("F",I397)), I397="CR")), "P=0,Y=0,R=0", "")</f>
      </c>
      <c r="AA397" s="4" t="str"/>
      <c r="AB397" s="4" t="str"/>
      <c r="AC397" s="4" t="str"/>
      <c r="AD397" s="4" t="str"/>
      <c r="AE397" s="4" t="str"/>
      <c r="AF397" s="4"/>
      <c r="AG397" s="4" t="str"/>
      <c r="AH397" s="4" t="str"/>
      <c r="AI397" s="4" t="str"/>
      <c r="AJ397" s="4" t="str"/>
      <c r="AK397" s="4" t="str"/>
      <c r="AL397" s="4" t="str"/>
      <c r="AM397" s="4" t="str"/>
      <c r="AN397" s="4"/>
      <c r="AO397" s="4" t="str"/>
      <c r="AP397" s="4" t="str"/>
      <c r="AQ397" s="4" t="str"/>
      <c r="AR397" s="4" t="str"/>
      <c r="AS397" s="4" t="str"/>
      <c r="AT397" s="4" t="str"/>
      <c r="AU397" s="4" t="str"/>
      <c r="AV397" s="4"/>
      <c r="AW397" s="4">
        <f>IF(AND(Q397="✅", I397="U90"), "X="&amp;(U397-1)*16&amp;",Y="&amp;(V397-1)*16&amp;",Z="&amp;W397*16, "")</f>
      </c>
      <c r="AX397" s="4">
        <f>IF(AND(Q397="✅", I397="U90"), "P=90,Y=0,R=0", "")</f>
      </c>
      <c r="AY397" s="4" t="str"/>
      <c r="AZ397" s="4" t="str"/>
      <c r="BA397" s="4" t="str"/>
      <c r="BB397" s="4" t="str"/>
      <c r="BC397" s="4" t="str"/>
      <c r="BD397" s="4"/>
      <c r="BE397" s="4">
        <f>IF(AND(Q397="✅", I397="D90"), "X="&amp;(U397-1)*16&amp;",Y="&amp;(V397-1)*16&amp;",Z="&amp;(W397-2)*16, "")</f>
      </c>
      <c r="BF397" s="4">
        <f>IF(AND(Q397="✅", I397="D90"), "P=-90,Y=0,R=0", "")</f>
      </c>
      <c r="BG397" s="4" t="str"/>
      <c r="BH397" s="4" t="str"/>
      <c r="BI397" s="4" t="str"/>
      <c r="BJ397" s="4" t="str"/>
      <c r="BK397" s="4" t="str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</row>
    <row hidden="true" outlineLevel="1" r="398">
      <c r="A398" s="11"/>
      <c r="B398" s="11"/>
      <c r="C398" s="119"/>
      <c r="D398" s="119"/>
      <c r="E398" s="5">
        <f>G398 &amp; "_" &amp; H398 &amp; IF(I398&lt;&gt;"", "_" &amp; I398, "") &amp; IF(J398&lt;&gt;"", "_" &amp; J398, "") &amp; IF(K398&lt;&gt;"", "_" &amp; K398, "") &amp;"_X"&amp;U398&amp;"_Y"&amp;V398&amp;"_Z"&amp;W398 &amp; IF(G398="SM", "_Proxy" , "_Rail") &amp; IF(M398&lt;&gt;"", "_" &amp; M398, "")</f>
      </c>
      <c r="F398" s="9">
        <f>IF(E398="", "", IF(G398="BP", E398, F397))</f>
      </c>
      <c r="G398" s="1" t="str">
        <v>BP</v>
      </c>
      <c r="H398" s="1" t="str">
        <v>SplineElevator</v>
      </c>
      <c r="I398" s="1" t="str">
        <v>FL90</v>
      </c>
      <c r="J398" s="1" t="str">
        <v>CheckHole</v>
      </c>
      <c r="K398" s="1"/>
      <c r="L398" s="1"/>
      <c r="M398" s="1"/>
      <c r="N398" s="3">
        <v>1</v>
      </c>
      <c r="O398" s="3"/>
      <c r="P398" s="3"/>
      <c r="Q398" s="3" t="str">
        <v>❗</v>
      </c>
      <c r="R398" s="1" t="str"/>
      <c r="S398" s="9" t="str"/>
      <c r="T398" s="120">
        <v>3.9000000000000004</v>
      </c>
      <c r="U398" s="118">
        <v>1</v>
      </c>
      <c r="V398" s="118">
        <v>4</v>
      </c>
      <c r="W398" s="118">
        <v>1</v>
      </c>
      <c r="X398" s="4"/>
      <c r="Y398" s="4">
        <f>IF(AND(Q398="✅", OR(ISNUMBER(FIND("F",I398)), I398="CR")),   "X="&amp;U398*16&amp;",Y="&amp;(V398-1)*16&amp;",Z="&amp;IF(I398="FD", -(W398-1)*16, (W398-1)*16),   "")</f>
      </c>
      <c r="Z398" s="4">
        <f>IF(AND(Q398="✅", OR(ISNUMBER(FIND("F",I398)), I398="CR")), "P=0,Y=0,R=0", "")</f>
      </c>
      <c r="AA398" s="4" t="str"/>
      <c r="AB398" s="4" t="str"/>
      <c r="AC398" s="4" t="str"/>
      <c r="AD398" s="4" t="str"/>
      <c r="AE398" s="4" t="str"/>
      <c r="AF398" s="4"/>
      <c r="AG398" s="4" t="str"/>
      <c r="AH398" s="4" t="str"/>
      <c r="AI398" s="4" t="str"/>
      <c r="AJ398" s="4" t="str"/>
      <c r="AK398" s="4" t="str"/>
      <c r="AL398" s="4" t="str"/>
      <c r="AM398" s="4" t="str"/>
      <c r="AN398" s="4"/>
      <c r="AO398" s="4" t="str"/>
      <c r="AP398" s="4" t="str"/>
      <c r="AQ398" s="4" t="str"/>
      <c r="AR398" s="4" t="str"/>
      <c r="AS398" s="4" t="str"/>
      <c r="AT398" s="4" t="str"/>
      <c r="AU398" s="4" t="str"/>
      <c r="AV398" s="4"/>
      <c r="AW398" s="4">
        <f>IF(AND(Q398="✅", I398="U90"), "X="&amp;(U398-1)*16&amp;",Y="&amp;(V398-1)*16&amp;",Z="&amp;W398*16, "")</f>
      </c>
      <c r="AX398" s="4">
        <f>IF(AND(Q398="✅", I398="U90"), "P=90,Y=0,R=0", "")</f>
      </c>
      <c r="AY398" s="4" t="str"/>
      <c r="AZ398" s="4" t="str"/>
      <c r="BA398" s="4" t="str"/>
      <c r="BB398" s="4" t="str"/>
      <c r="BC398" s="4" t="str"/>
      <c r="BD398" s="4"/>
      <c r="BE398" s="4">
        <f>IF(AND(Q398="✅", I398="D90"), "X="&amp;(U398-1)*16&amp;",Y="&amp;(V398-1)*16&amp;",Z="&amp;(W398-2)*16, "")</f>
      </c>
      <c r="BF398" s="4">
        <f>IF(AND(Q398="✅", I398="D90"), "P=-90,Y=0,R=0", "")</f>
      </c>
      <c r="BG398" s="4" t="str"/>
      <c r="BH398" s="4" t="str"/>
      <c r="BI398" s="4" t="str"/>
      <c r="BJ398" s="4" t="str"/>
      <c r="BK398" s="4" t="str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</row>
    <row collapsed="true" customHeight="true" ht="19" r="399">
      <c r="A399" s="11" t="str">
        <v>TheMine Special</v>
      </c>
      <c r="B399" s="11"/>
      <c r="C399" s="119"/>
      <c r="D399" s="119"/>
      <c r="E399" s="5"/>
      <c r="F399" s="9">
        <f>IF(E399="", "", IF(G399="BP", E399, F398))</f>
      </c>
      <c r="G399" s="1"/>
      <c r="H399" s="1"/>
      <c r="I399" s="1"/>
      <c r="J399" s="1"/>
      <c r="K399" s="1"/>
      <c r="L399" s="1"/>
      <c r="M399" s="1"/>
      <c r="N399" s="3"/>
      <c r="O399" s="3"/>
      <c r="P399" s="3"/>
      <c r="Q399" s="3"/>
      <c r="R399" s="1" t="str"/>
      <c r="S399" s="9" t="str"/>
      <c r="T399" s="120" t="str"/>
      <c r="U399" s="118"/>
      <c r="V399" s="118"/>
      <c r="W399" s="118"/>
      <c r="X399" s="4"/>
      <c r="Y399" s="4">
        <f>IF(AND(Q399="✅", OR(ISNUMBER(FIND("F",I399)), I399="CR")),   "X="&amp;U399*16&amp;",Y="&amp;(V399-1)*16&amp;",Z="&amp;IF(I399="FD", -(W399-1)*16, (W399-1)*16),   "")</f>
      </c>
      <c r="Z399" s="4">
        <f>IF(AND(Q399="✅", OR(ISNUMBER(FIND("F",I399)), I399="CR")), "P=0,Y=0,R=0", "")</f>
      </c>
      <c r="AA399" s="4" t="str"/>
      <c r="AB399" s="4" t="str"/>
      <c r="AC399" s="4" t="str"/>
      <c r="AD399" s="4" t="str"/>
      <c r="AE399" s="4" t="str"/>
      <c r="AF399" s="4"/>
      <c r="AG399" s="4" t="str"/>
      <c r="AH399" s="4" t="str"/>
      <c r="AI399" s="4" t="str"/>
      <c r="AJ399" s="4" t="str"/>
      <c r="AK399" s="4" t="str"/>
      <c r="AL399" s="4" t="str"/>
      <c r="AM399" s="4" t="str"/>
      <c r="AN399" s="4"/>
      <c r="AO399" s="4" t="str"/>
      <c r="AP399" s="4" t="str"/>
      <c r="AQ399" s="4" t="str"/>
      <c r="AR399" s="4" t="str"/>
      <c r="AS399" s="4" t="str"/>
      <c r="AT399" s="4" t="str"/>
      <c r="AU399" s="4" t="str"/>
      <c r="AV399" s="4"/>
      <c r="AW399" s="4">
        <f>IF(AND(Q399="✅", I399="U90"), "X="&amp;(U399-1)*16&amp;",Y="&amp;(V399-1)*16&amp;",Z="&amp;W399*16, "")</f>
      </c>
      <c r="AX399" s="4">
        <f>IF(AND(Q399="✅", I399="U90"), "P=90,Y=0,R=0", "")</f>
      </c>
      <c r="AY399" s="4" t="str"/>
      <c r="AZ399" s="4" t="str"/>
      <c r="BA399" s="4" t="str"/>
      <c r="BB399" s="4" t="str"/>
      <c r="BC399" s="4" t="str"/>
      <c r="BD399" s="4"/>
      <c r="BE399" s="4">
        <f>IF(AND(Q399="✅", I399="D90"), "X="&amp;(U399-1)*16&amp;",Y="&amp;(V399-1)*16&amp;",Z="&amp;(W399-2)*16, "")</f>
      </c>
      <c r="BF399" s="4">
        <f>IF(AND(Q399="✅", I399="D90"), "P=-90,Y=0,R=0", "")</f>
      </c>
      <c r="BG399" s="4" t="str"/>
      <c r="BH399" s="4" t="str"/>
      <c r="BI399" s="4" t="str"/>
      <c r="BJ399" s="4" t="str"/>
      <c r="BK399" s="4" t="str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</row>
    <row hidden="true" outlineLevel="1" r="400">
      <c r="A400" s="11"/>
      <c r="B400" s="11"/>
      <c r="C400" s="119"/>
      <c r="D400" s="119"/>
      <c r="E400" s="5">
        <f>G400 &amp; "_" &amp; H400 &amp; IF(I400&lt;&gt;"", "_" &amp; I400, "") &amp; IF(J400&lt;&gt;"", "_" &amp; J400, "") &amp; IF(K400&lt;&gt;"", "_" &amp; K400, "") &amp;"_X"&amp;U400&amp;"_Y"&amp;V400&amp;"_Z"&amp;W400 &amp; IF(G400="SM", "_Proxy" , "_Rail") &amp; IF(M400&lt;&gt;"", "_" &amp; M400, "")</f>
      </c>
      <c r="F400" s="9">
        <f>IF(E400="", "", IF(G400="BP", E400, F399))</f>
      </c>
      <c r="G400" s="1" t="str">
        <v>BP</v>
      </c>
      <c r="H400" s="1" t="str">
        <v>SwingBasket</v>
      </c>
      <c r="I400" s="1" t="str">
        <v>T</v>
      </c>
      <c r="J400" s="1"/>
      <c r="K400" s="1" t="str">
        <v>Rotate_Y</v>
      </c>
      <c r="L400" s="1"/>
      <c r="M400" s="1"/>
      <c r="N400" s="3">
        <v>2</v>
      </c>
      <c r="O400" s="3"/>
      <c r="P400" s="3"/>
      <c r="Q400" s="3" t="str">
        <v>❗</v>
      </c>
      <c r="R400" s="1" t="str"/>
      <c r="S400" s="9" t="str"/>
      <c r="T400" s="120">
        <v>6</v>
      </c>
      <c r="U400" s="118">
        <v>1</v>
      </c>
      <c r="V400" s="118">
        <v>1</v>
      </c>
      <c r="W400" s="118">
        <v>1</v>
      </c>
      <c r="X400" s="4"/>
      <c r="Y400" s="4">
        <f>IF(AND(Q400="✅", OR(ISNUMBER(FIND("F",I400)), I400="CR")),   "X="&amp;U400*16&amp;",Y="&amp;(V400-1)*16&amp;",Z="&amp;IF(I400="FD", -(W400-1)*16, (W400-1)*16),   "")</f>
      </c>
      <c r="Z400" s="4">
        <f>IF(AND(Q400="✅", OR(ISNUMBER(FIND("F",I400)), I400="CR")), "P=0,Y=0,R=0", "")</f>
      </c>
      <c r="AA400" s="4" t="str"/>
      <c r="AB400" s="4" t="str"/>
      <c r="AC400" s="4" t="str"/>
      <c r="AD400" s="4" t="str"/>
      <c r="AE400" s="4" t="str"/>
      <c r="AF400" s="4"/>
      <c r="AG400" s="4" t="str"/>
      <c r="AH400" s="4" t="str"/>
      <c r="AI400" s="4" t="str"/>
      <c r="AJ400" s="4" t="str"/>
      <c r="AK400" s="4" t="str"/>
      <c r="AL400" s="4" t="str"/>
      <c r="AM400" s="4" t="str"/>
      <c r="AN400" s="4"/>
      <c r="AO400" s="4" t="str"/>
      <c r="AP400" s="4" t="str"/>
      <c r="AQ400" s="4" t="str"/>
      <c r="AR400" s="4" t="str"/>
      <c r="AS400" s="4" t="str"/>
      <c r="AT400" s="4" t="str"/>
      <c r="AU400" s="4" t="str"/>
      <c r="AV400" s="4"/>
      <c r="AW400" s="4">
        <f>IF(AND(Q400="✅", I400="U90"), "X="&amp;(U400-1)*16&amp;",Y="&amp;(V400-1)*16&amp;",Z="&amp;W400*16, "")</f>
      </c>
      <c r="AX400" s="4">
        <f>IF(AND(Q400="✅", I400="U90"), "P=90,Y=0,R=0", "")</f>
      </c>
      <c r="AY400" s="4" t="str"/>
      <c r="AZ400" s="4" t="str"/>
      <c r="BA400" s="4" t="str"/>
      <c r="BB400" s="4" t="str"/>
      <c r="BC400" s="4" t="str"/>
      <c r="BD400" s="4"/>
      <c r="BE400" s="4">
        <f>IF(AND(Q400="✅", I400="D90"), "X="&amp;(U400-1)*16&amp;",Y="&amp;(V400-1)*16&amp;",Z="&amp;(W400-2)*16, "")</f>
      </c>
      <c r="BF400" s="4">
        <f>IF(AND(Q400="✅", I400="D90"), "P=-90,Y=0,R=0", "")</f>
      </c>
      <c r="BG400" s="4" t="str"/>
      <c r="BH400" s="4" t="str"/>
      <c r="BI400" s="4" t="str"/>
      <c r="BJ400" s="4" t="str"/>
      <c r="BK400" s="4" t="str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</row>
    <row hidden="true" outlineLevel="2" r="401">
      <c r="A401" s="11"/>
      <c r="B401" s="11"/>
      <c r="C401" s="119"/>
      <c r="D401" s="119"/>
      <c r="E401" s="5">
        <f>E25</f>
      </c>
      <c r="F401" s="9">
        <f>IF(E401="", "", IF(G401="BP", E401, F400))</f>
      </c>
      <c r="G401" s="1"/>
      <c r="H401" s="1"/>
      <c r="I401" s="1"/>
      <c r="J401" s="1"/>
      <c r="K401" s="1"/>
      <c r="L401" s="1"/>
      <c r="M401" s="1"/>
      <c r="N401" s="3"/>
      <c r="O401" s="3"/>
      <c r="P401" s="3"/>
      <c r="Q401" s="3"/>
      <c r="R401" s="1" t="str"/>
      <c r="S401" s="9" t="str">
        <v>/Script/Engine.StaticMesh'/Game/Item/Rail/Straight/F/Normal/Straight_F_X1_Y1_Z1/Proxy/SM_Straight_F_X1_Y1_Z1_Proxy_B.SM_Straight_F_X1_Y1_Z1_Proxy_B'</v>
      </c>
      <c r="T401" s="120" t="str"/>
      <c r="U401" s="118"/>
      <c r="V401" s="118"/>
      <c r="W401" s="118"/>
      <c r="X401" s="4"/>
      <c r="Y401" s="4">
        <f>IF(AND(Q401="✅", OR(ISNUMBER(FIND("F",I401)), I401="CR")),   "X="&amp;U401*16&amp;",Y="&amp;(V401-1)*16&amp;",Z="&amp;IF(I401="FD", -(W401-1)*16, (W401-1)*16),   "")</f>
      </c>
      <c r="Z401" s="4">
        <f>IF(AND(Q401="✅", OR(ISNUMBER(FIND("F",I401)), I401="CR")), "P=0,Y=0,R=0", "")</f>
      </c>
      <c r="AA401" s="4" t="str"/>
      <c r="AB401" s="4" t="str"/>
      <c r="AC401" s="4" t="str"/>
      <c r="AD401" s="4" t="str"/>
      <c r="AE401" s="4" t="str"/>
      <c r="AF401" s="4"/>
      <c r="AG401" s="4" t="str"/>
      <c r="AH401" s="4" t="str"/>
      <c r="AI401" s="4" t="str"/>
      <c r="AJ401" s="4" t="str"/>
      <c r="AK401" s="4" t="str"/>
      <c r="AL401" s="4" t="str"/>
      <c r="AM401" s="4" t="str"/>
      <c r="AN401" s="4"/>
      <c r="AO401" s="4" t="str"/>
      <c r="AP401" s="4" t="str"/>
      <c r="AQ401" s="4" t="str"/>
      <c r="AR401" s="4" t="str"/>
      <c r="AS401" s="4" t="str"/>
      <c r="AT401" s="4" t="str"/>
      <c r="AU401" s="4" t="str"/>
      <c r="AV401" s="4"/>
      <c r="AW401" s="4">
        <f>IF(AND(Q401="✅", I401="U90"), "X="&amp;(U401-1)*16&amp;",Y="&amp;(V401-1)*16&amp;",Z="&amp;W401*16, "")</f>
      </c>
      <c r="AX401" s="4">
        <f>IF(AND(Q401="✅", I401="U90"), "P=90,Y=0,R=0", "")</f>
      </c>
      <c r="AY401" s="4" t="str"/>
      <c r="AZ401" s="4" t="str"/>
      <c r="BA401" s="4" t="str"/>
      <c r="BB401" s="4" t="str"/>
      <c r="BC401" s="4" t="str"/>
      <c r="BD401" s="4"/>
      <c r="BE401" s="4">
        <f>IF(AND(Q401="✅", I401="D90"), "X="&amp;(U401-1)*16&amp;",Y="&amp;(V401-1)*16&amp;",Z="&amp;(W401-2)*16, "")</f>
      </c>
      <c r="BF401" s="4">
        <f>IF(AND(Q401="✅", I401="D90"), "P=-90,Y=0,R=0", "")</f>
      </c>
      <c r="BG401" s="4" t="str"/>
      <c r="BH401" s="4" t="str"/>
      <c r="BI401" s="4" t="str"/>
      <c r="BJ401" s="4" t="str"/>
      <c r="BK401" s="4" t="str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</row>
    <row hidden="true" outlineLevel="2" r="402">
      <c r="A402" s="11"/>
      <c r="B402" s="11"/>
      <c r="C402" s="119"/>
      <c r="D402" s="119"/>
      <c r="E402" s="5">
        <f>#REF!</f>
      </c>
      <c r="F402" s="9">
        <f>IF(E402="", "", IF(G402="BP", E402, F401))</f>
      </c>
      <c r="G402" s="1"/>
      <c r="H402" s="1"/>
      <c r="I402" s="1"/>
      <c r="J402" s="1"/>
      <c r="K402" s="1"/>
      <c r="L402" s="1"/>
      <c r="M402" s="1"/>
      <c r="N402" s="3"/>
      <c r="O402" s="3"/>
      <c r="P402" s="3"/>
      <c r="Q402" s="3"/>
      <c r="R402" s="1" t="str"/>
      <c r="S402" s="9" t="str">
        <v>#REF!</v>
      </c>
      <c r="T402" s="120" t="str"/>
      <c r="U402" s="118"/>
      <c r="V402" s="118"/>
      <c r="W402" s="118"/>
      <c r="X402" s="4"/>
      <c r="Y402" s="4">
        <f>IF(AND(Q402="✅", OR(ISNUMBER(FIND("F",I402)), I402="CR")),   "X="&amp;U402*16&amp;",Y="&amp;(V402-1)*16&amp;",Z="&amp;IF(I402="FD", -(W402-1)*16, (W402-1)*16),   "")</f>
      </c>
      <c r="Z402" s="4">
        <f>IF(AND(Q402="✅", OR(ISNUMBER(FIND("F",I402)), I402="CR")), "P=0,Y=0,R=0", "")</f>
      </c>
      <c r="AA402" s="4" t="str"/>
      <c r="AB402" s="4" t="str"/>
      <c r="AC402" s="4" t="str"/>
      <c r="AD402" s="4" t="str"/>
      <c r="AE402" s="4" t="str"/>
      <c r="AF402" s="4"/>
      <c r="AG402" s="4" t="str"/>
      <c r="AH402" s="4" t="str"/>
      <c r="AI402" s="4" t="str"/>
      <c r="AJ402" s="4" t="str"/>
      <c r="AK402" s="4" t="str"/>
      <c r="AL402" s="4" t="str"/>
      <c r="AM402" s="4" t="str"/>
      <c r="AN402" s="4"/>
      <c r="AO402" s="4" t="str"/>
      <c r="AP402" s="4" t="str"/>
      <c r="AQ402" s="4" t="str"/>
      <c r="AR402" s="4" t="str"/>
      <c r="AS402" s="4" t="str"/>
      <c r="AT402" s="4" t="str"/>
      <c r="AU402" s="4" t="str"/>
      <c r="AV402" s="4"/>
      <c r="AW402" s="4">
        <f>IF(AND(Q402="✅", I402="U90"), "X="&amp;(U402-1)*16&amp;",Y="&amp;(V402-1)*16&amp;",Z="&amp;W402*16, "")</f>
      </c>
      <c r="AX402" s="4">
        <f>IF(AND(Q402="✅", I402="U90"), "P=90,Y=0,R=0", "")</f>
      </c>
      <c r="AY402" s="4" t="str"/>
      <c r="AZ402" s="4" t="str"/>
      <c r="BA402" s="4" t="str"/>
      <c r="BB402" s="4" t="str"/>
      <c r="BC402" s="4" t="str"/>
      <c r="BD402" s="4"/>
      <c r="BE402" s="4">
        <f>IF(AND(Q402="✅", I402="D90"), "X="&amp;(U402-1)*16&amp;",Y="&amp;(V402-1)*16&amp;",Z="&amp;(W402-2)*16, "")</f>
      </c>
      <c r="BF402" s="4">
        <f>IF(AND(Q402="✅", I402="D90"), "P=-90,Y=0,R=0", "")</f>
      </c>
      <c r="BG402" s="4" t="str"/>
      <c r="BH402" s="4" t="str"/>
      <c r="BI402" s="4" t="str"/>
      <c r="BJ402" s="4" t="str"/>
      <c r="BK402" s="4" t="str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</row>
    <row customHeight="true" hidden="true" ht="19" outlineLevel="2" r="403">
      <c r="A403" s="11"/>
      <c r="B403" s="11"/>
      <c r="C403" s="119"/>
      <c r="D403" s="119"/>
      <c r="E403" s="5">
        <f>E129</f>
      </c>
      <c r="F403" s="9">
        <f>IF(E403="", "", IF(G403="BP", E403, F402))</f>
      </c>
      <c r="G403" s="1"/>
      <c r="H403" s="1"/>
      <c r="I403" s="1"/>
      <c r="J403" s="1"/>
      <c r="K403" s="1"/>
      <c r="L403" s="1"/>
      <c r="M403" s="1"/>
      <c r="N403" s="3"/>
      <c r="O403" s="3"/>
      <c r="P403" s="3"/>
      <c r="Q403" s="3"/>
      <c r="R403" s="1" t="str"/>
      <c r="S403" s="9" t="str">
        <v>/Script/Engine.StaticMesh'/Game/Item/Rail/Straight/L90/Normal/Straight_L90_X1_Y1_Z1/Proxy/SM_Straight_L90_X1_Y1_Z1_Proxy_L.SM_Straight_L90_X1_Y1_Z1_Proxy_L'</v>
      </c>
      <c r="T403" s="120" t="str"/>
      <c r="U403" s="118"/>
      <c r="V403" s="118"/>
      <c r="W403" s="118"/>
      <c r="X403" s="4"/>
      <c r="Y403" s="4">
        <f>IF(AND(Q403="✅", OR(ISNUMBER(FIND("F",I403)), I403="CR")),   "X="&amp;U403*16&amp;",Y="&amp;(V403-1)*16&amp;",Z="&amp;IF(I403="FD", -(W403-1)*16, (W403-1)*16),   "")</f>
      </c>
      <c r="Z403" s="4">
        <f>IF(AND(Q403="✅", OR(ISNUMBER(FIND("F",I403)), I403="CR")), "P=0,Y=0,R=0", "")</f>
      </c>
      <c r="AA403" s="4" t="str"/>
      <c r="AB403" s="4" t="str"/>
      <c r="AC403" s="4" t="str"/>
      <c r="AD403" s="4" t="str"/>
      <c r="AE403" s="4" t="str"/>
      <c r="AF403" s="4"/>
      <c r="AG403" s="4" t="str"/>
      <c r="AH403" s="4" t="str"/>
      <c r="AI403" s="4" t="str"/>
      <c r="AJ403" s="4" t="str"/>
      <c r="AK403" s="4" t="str"/>
      <c r="AL403" s="4" t="str"/>
      <c r="AM403" s="4" t="str"/>
      <c r="AN403" s="4"/>
      <c r="AO403" s="4" t="str"/>
      <c r="AP403" s="4" t="str"/>
      <c r="AQ403" s="4" t="str"/>
      <c r="AR403" s="4" t="str"/>
      <c r="AS403" s="4" t="str"/>
      <c r="AT403" s="4" t="str"/>
      <c r="AU403" s="4" t="str"/>
      <c r="AV403" s="4"/>
      <c r="AW403" s="4">
        <f>IF(AND(Q403="✅", I403="U90"), "X="&amp;(U403-1)*16&amp;",Y="&amp;(V403-1)*16&amp;",Z="&amp;W403*16, "")</f>
      </c>
      <c r="AX403" s="4">
        <f>IF(AND(Q403="✅", I403="U90"), "P=90,Y=0,R=0", "")</f>
      </c>
      <c r="AY403" s="4" t="str"/>
      <c r="AZ403" s="4" t="str"/>
      <c r="BA403" s="4" t="str"/>
      <c r="BB403" s="4" t="str"/>
      <c r="BC403" s="4" t="str"/>
      <c r="BD403" s="4"/>
      <c r="BE403" s="4">
        <f>IF(AND(Q403="✅", I403="D90"), "X="&amp;(U403-1)*16&amp;",Y="&amp;(V403-1)*16&amp;",Z="&amp;(W403-2)*16, "")</f>
      </c>
      <c r="BF403" s="4">
        <f>IF(AND(Q403="✅", I403="D90"), "P=-90,Y=0,R=0", "")</f>
      </c>
      <c r="BG403" s="4" t="str"/>
      <c r="BH403" s="4" t="str"/>
      <c r="BI403" s="4" t="str"/>
      <c r="BJ403" s="4" t="str"/>
      <c r="BK403" s="4" t="str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</row>
    <row customHeight="true" hidden="true" ht="19" outlineLevel="2" r="404">
      <c r="A404" s="11"/>
      <c r="B404" s="11"/>
      <c r="C404" s="119"/>
      <c r="D404" s="119"/>
      <c r="E404" s="5">
        <f>E130</f>
      </c>
      <c r="F404" s="9">
        <f>IF(E404="", "", IF(G404="BP", E404, F403))</f>
      </c>
      <c r="G404" s="1"/>
      <c r="H404" s="1"/>
      <c r="I404" s="1"/>
      <c r="J404" s="1"/>
      <c r="K404" s="1"/>
      <c r="L404" s="1"/>
      <c r="M404" s="1"/>
      <c r="N404" s="3"/>
      <c r="O404" s="3"/>
      <c r="P404" s="3"/>
      <c r="Q404" s="3"/>
      <c r="R404" s="1" t="str"/>
      <c r="S404" s="9" t="str">
        <v>/Script/Engine.StaticMesh'/Game/Item/Rail/Straight/R90/Normal/Straight_R90_X1_Y1_Z1/Proxy/SM_Straight_R90_X1_Y1_Z1_Proxy_R.SM_Straight_R90_X1_Y1_Z1_Proxy_R'</v>
      </c>
      <c r="T404" s="120" t="str"/>
      <c r="U404" s="118"/>
      <c r="V404" s="118"/>
      <c r="W404" s="118"/>
      <c r="X404" s="4"/>
      <c r="Y404" s="4">
        <f>IF(AND(Q404="✅", OR(ISNUMBER(FIND("F",I404)), I404="CR")),   "X="&amp;U404*16&amp;",Y="&amp;(V404-1)*16&amp;",Z="&amp;IF(I404="FD", -(W404-1)*16, (W404-1)*16),   "")</f>
      </c>
      <c r="Z404" s="4">
        <f>IF(AND(Q404="✅", OR(ISNUMBER(FIND("F",I404)), I404="CR")), "P=0,Y=0,R=0", "")</f>
      </c>
      <c r="AA404" s="4" t="str"/>
      <c r="AB404" s="4" t="str"/>
      <c r="AC404" s="4" t="str"/>
      <c r="AD404" s="4" t="str"/>
      <c r="AE404" s="4" t="str"/>
      <c r="AF404" s="4"/>
      <c r="AG404" s="4" t="str"/>
      <c r="AH404" s="4" t="str"/>
      <c r="AI404" s="4" t="str"/>
      <c r="AJ404" s="4" t="str"/>
      <c r="AK404" s="4" t="str"/>
      <c r="AL404" s="4" t="str"/>
      <c r="AM404" s="4" t="str"/>
      <c r="AN404" s="4"/>
      <c r="AO404" s="4" t="str"/>
      <c r="AP404" s="4" t="str"/>
      <c r="AQ404" s="4" t="str"/>
      <c r="AR404" s="4" t="str"/>
      <c r="AS404" s="4" t="str"/>
      <c r="AT404" s="4" t="str"/>
      <c r="AU404" s="4" t="str"/>
      <c r="AV404" s="4"/>
      <c r="AW404" s="4">
        <f>IF(AND(Q404="✅", I404="U90"), "X="&amp;(U404-1)*16&amp;",Y="&amp;(V404-1)*16&amp;",Z="&amp;W404*16, "")</f>
      </c>
      <c r="AX404" s="4">
        <f>IF(AND(Q404="✅", I404="U90"), "P=90,Y=0,R=0", "")</f>
      </c>
      <c r="AY404" s="4" t="str"/>
      <c r="AZ404" s="4" t="str"/>
      <c r="BA404" s="4" t="str"/>
      <c r="BB404" s="4" t="str"/>
      <c r="BC404" s="4" t="str"/>
      <c r="BD404" s="4"/>
      <c r="BE404" s="4">
        <f>IF(AND(Q404="✅", I404="D90"), "X="&amp;(U404-1)*16&amp;",Y="&amp;(V404-1)*16&amp;",Z="&amp;(W404-2)*16, "")</f>
      </c>
      <c r="BF404" s="4">
        <f>IF(AND(Q404="✅", I404="D90"), "P=-90,Y=0,R=0", "")</f>
      </c>
      <c r="BG404" s="4" t="str"/>
      <c r="BH404" s="4" t="str"/>
      <c r="BI404" s="4" t="str"/>
      <c r="BJ404" s="4" t="str"/>
      <c r="BK404" s="4" t="str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</row>
    <row hidden="true" outlineLevel="1" r="405">
      <c r="A405" s="11"/>
      <c r="B405" s="11"/>
      <c r="C405" s="119"/>
      <c r="D405" s="119"/>
      <c r="E405" s="5">
        <f>G405 &amp; "_" &amp; H405 &amp; IF(I405&lt;&gt;"", "_" &amp; I405, "") &amp; IF(J405&lt;&gt;"", "_" &amp; J405, "") &amp; IF(K405&lt;&gt;"", "_" &amp; K405, "") &amp;"_X"&amp;U405&amp;"_Y"&amp;V405&amp;"_Z"&amp;W405 &amp; IF(G405="SM", "_Proxy" , "_Rail") &amp; IF(M405&lt;&gt;"", "_" &amp; M405, "")</f>
      </c>
      <c r="F405" s="9">
        <f>IF(E405="", "", IF(G405="BP", E405, F404))</f>
      </c>
      <c r="G405" s="1" t="str">
        <v>BP</v>
      </c>
      <c r="H405" s="1" t="str">
        <v>SwingBasket</v>
      </c>
      <c r="I405" s="1" t="str">
        <v>T</v>
      </c>
      <c r="J405" s="1"/>
      <c r="K405" s="1" t="str">
        <v>Rotate_Y</v>
      </c>
      <c r="L405" s="1"/>
      <c r="M405" s="1"/>
      <c r="N405" s="3">
        <v>2</v>
      </c>
      <c r="O405" s="3"/>
      <c r="P405" s="3"/>
      <c r="Q405" s="3" t="str">
        <v>❗</v>
      </c>
      <c r="R405" s="1" t="str"/>
      <c r="S405" s="9" t="str"/>
      <c r="T405" s="120">
        <v>6.6000000000000005</v>
      </c>
      <c r="U405" s="118">
        <v>1</v>
      </c>
      <c r="V405" s="118">
        <v>1</v>
      </c>
      <c r="W405" s="118">
        <v>2</v>
      </c>
      <c r="X405" s="4"/>
      <c r="Y405" s="4">
        <f>IF(AND(Q405="✅", OR(ISNUMBER(FIND("F",I405)), I405="CR")),   "X="&amp;U405*16&amp;",Y="&amp;(V405-1)*16&amp;",Z="&amp;IF(I405="FD", -(W405-1)*16, (W405-1)*16),   "")</f>
      </c>
      <c r="Z405" s="4">
        <f>IF(AND(Q405="✅", OR(ISNUMBER(FIND("F",I405)), I405="CR")), "P=0,Y=0,R=0", "")</f>
      </c>
      <c r="AA405" s="4" t="str"/>
      <c r="AB405" s="4" t="str"/>
      <c r="AC405" s="4" t="str"/>
      <c r="AD405" s="4" t="str"/>
      <c r="AE405" s="4" t="str"/>
      <c r="AF405" s="4"/>
      <c r="AG405" s="4" t="str"/>
      <c r="AH405" s="4" t="str"/>
      <c r="AI405" s="4" t="str"/>
      <c r="AJ405" s="4" t="str"/>
      <c r="AK405" s="4" t="str"/>
      <c r="AL405" s="4" t="str"/>
      <c r="AM405" s="4" t="str"/>
      <c r="AN405" s="4"/>
      <c r="AO405" s="4" t="str"/>
      <c r="AP405" s="4" t="str"/>
      <c r="AQ405" s="4" t="str"/>
      <c r="AR405" s="4" t="str"/>
      <c r="AS405" s="4" t="str"/>
      <c r="AT405" s="4" t="str"/>
      <c r="AU405" s="4" t="str"/>
      <c r="AV405" s="4"/>
      <c r="AW405" s="4">
        <f>IF(AND(Q405="✅", I405="U90"), "X="&amp;(U405-1)*16&amp;",Y="&amp;(V405-1)*16&amp;",Z="&amp;W405*16, "")</f>
      </c>
      <c r="AX405" s="4">
        <f>IF(AND(Q405="✅", I405="U90"), "P=90,Y=0,R=0", "")</f>
      </c>
      <c r="AY405" s="4" t="str"/>
      <c r="AZ405" s="4" t="str"/>
      <c r="BA405" s="4" t="str"/>
      <c r="BB405" s="4" t="str"/>
      <c r="BC405" s="4" t="str"/>
      <c r="BD405" s="4"/>
      <c r="BE405" s="4">
        <f>IF(AND(Q405="✅", I405="D90"), "X="&amp;(U405-1)*16&amp;",Y="&amp;(V405-1)*16&amp;",Z="&amp;(W405-2)*16, "")</f>
      </c>
      <c r="BF405" s="4">
        <f>IF(AND(Q405="✅", I405="D90"), "P=-90,Y=0,R=0", "")</f>
      </c>
      <c r="BG405" s="4" t="str"/>
      <c r="BH405" s="4" t="str"/>
      <c r="BI405" s="4" t="str"/>
      <c r="BJ405" s="4" t="str"/>
      <c r="BK405" s="4" t="str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</row>
    <row hidden="true" outlineLevel="2" r="406">
      <c r="A406" s="11"/>
      <c r="B406" s="11"/>
      <c r="C406" s="119"/>
      <c r="D406" s="119"/>
      <c r="E406" s="5">
        <f>E49</f>
      </c>
      <c r="F406" s="9">
        <f>IF(E406="", "", IF(G406="BP", E406, F405))</f>
      </c>
      <c r="G406" s="1"/>
      <c r="H406" s="1"/>
      <c r="I406" s="1"/>
      <c r="J406" s="1"/>
      <c r="K406" s="1"/>
      <c r="L406" s="1"/>
      <c r="M406" s="1"/>
      <c r="N406" s="3"/>
      <c r="O406" s="3"/>
      <c r="P406" s="3"/>
      <c r="Q406" s="3"/>
      <c r="R406" s="1" t="str"/>
      <c r="S406" s="9" t="str">
        <v>/Script/Engine.BlueprintGeneratedClass'/Game/Item/Rail/Straight/F/Borderless_Caved/Straight_F_Borderless_Caved_X1_Y1_Z1/BP_Straight_F_Borderless_Caved_X1_Y1_Z1_Rail.BP_Straight_F_Borderless_Caved_X1_Y1_Z1_Rail_C'</v>
      </c>
      <c r="T406" s="120" t="str"/>
      <c r="U406" s="118"/>
      <c r="V406" s="118"/>
      <c r="W406" s="118"/>
      <c r="X406" s="4"/>
      <c r="Y406" s="4">
        <f>IF(AND(Q406="✅", OR(ISNUMBER(FIND("F",I406)), I406="CR")),   "X="&amp;U406*16&amp;",Y="&amp;(V406-1)*16&amp;",Z="&amp;IF(I406="FD", -(W406-1)*16, (W406-1)*16),   "")</f>
      </c>
      <c r="Z406" s="4">
        <f>IF(AND(Q406="✅", OR(ISNUMBER(FIND("F",I406)), I406="CR")), "P=0,Y=0,R=0", "")</f>
      </c>
      <c r="AA406" s="4" t="str"/>
      <c r="AB406" s="4" t="str"/>
      <c r="AC406" s="4" t="str"/>
      <c r="AD406" s="4" t="str"/>
      <c r="AE406" s="4" t="str"/>
      <c r="AF406" s="4"/>
      <c r="AG406" s="4" t="str"/>
      <c r="AH406" s="4" t="str"/>
      <c r="AI406" s="4" t="str"/>
      <c r="AJ406" s="4" t="str"/>
      <c r="AK406" s="4" t="str"/>
      <c r="AL406" s="4" t="str"/>
      <c r="AM406" s="4" t="str"/>
      <c r="AN406" s="4"/>
      <c r="AO406" s="4" t="str"/>
      <c r="AP406" s="4" t="str"/>
      <c r="AQ406" s="4" t="str"/>
      <c r="AR406" s="4" t="str"/>
      <c r="AS406" s="4" t="str"/>
      <c r="AT406" s="4" t="str"/>
      <c r="AU406" s="4" t="str"/>
      <c r="AV406" s="4"/>
      <c r="AW406" s="4">
        <f>IF(AND(Q406="✅", I406="U90"), "X="&amp;(U406-1)*16&amp;",Y="&amp;(V406-1)*16&amp;",Z="&amp;W406*16, "")</f>
      </c>
      <c r="AX406" s="4">
        <f>IF(AND(Q406="✅", I406="U90"), "P=90,Y=0,R=0", "")</f>
      </c>
      <c r="AY406" s="4" t="str"/>
      <c r="AZ406" s="4" t="str"/>
      <c r="BA406" s="4" t="str"/>
      <c r="BB406" s="4" t="str"/>
      <c r="BC406" s="4" t="str"/>
      <c r="BD406" s="4"/>
      <c r="BE406" s="4">
        <f>IF(AND(Q406="✅", I406="D90"), "X="&amp;(U406-1)*16&amp;",Y="&amp;(V406-1)*16&amp;",Z="&amp;(W406-2)*16, "")</f>
      </c>
      <c r="BF406" s="4">
        <f>IF(AND(Q406="✅", I406="D90"), "P=-90,Y=0,R=0", "")</f>
      </c>
      <c r="BG406" s="4" t="str"/>
      <c r="BH406" s="4" t="str"/>
      <c r="BI406" s="4" t="str"/>
      <c r="BJ406" s="4" t="str"/>
      <c r="BK406" s="4" t="str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</row>
    <row hidden="true" outlineLevel="2" r="407">
      <c r="A407" s="11"/>
      <c r="B407" s="11"/>
      <c r="C407" s="119"/>
      <c r="D407" s="119"/>
      <c r="E407" s="5">
        <f>E402</f>
      </c>
      <c r="F407" s="9">
        <f>IF(E407="", "", IF(G407="BP", E407, F406))</f>
      </c>
      <c r="G407" s="1"/>
      <c r="H407" s="1"/>
      <c r="I407" s="1"/>
      <c r="J407" s="1"/>
      <c r="K407" s="1"/>
      <c r="L407" s="1"/>
      <c r="M407" s="1"/>
      <c r="N407" s="3"/>
      <c r="O407" s="3"/>
      <c r="P407" s="3"/>
      <c r="Q407" s="3"/>
      <c r="R407" s="1" t="str"/>
      <c r="S407" s="9" t="str">
        <v>#REF!</v>
      </c>
      <c r="T407" s="120" t="str"/>
      <c r="U407" s="118"/>
      <c r="V407" s="118"/>
      <c r="W407" s="118"/>
      <c r="X407" s="4"/>
      <c r="Y407" s="4">
        <f>IF(AND(Q407="✅", OR(ISNUMBER(FIND("F",I407)), I407="CR")),   "X="&amp;U407*16&amp;",Y="&amp;(V407-1)*16&amp;",Z="&amp;IF(I407="FD", -(W407-1)*16, (W407-1)*16),   "")</f>
      </c>
      <c r="Z407" s="4">
        <f>IF(AND(Q407="✅", OR(ISNUMBER(FIND("F",I407)), I407="CR")), "P=0,Y=0,R=0", "")</f>
      </c>
      <c r="AA407" s="4" t="str"/>
      <c r="AB407" s="4" t="str"/>
      <c r="AC407" s="4" t="str"/>
      <c r="AD407" s="4" t="str"/>
      <c r="AE407" s="4" t="str"/>
      <c r="AF407" s="4"/>
      <c r="AG407" s="4" t="str"/>
      <c r="AH407" s="4" t="str"/>
      <c r="AI407" s="4" t="str"/>
      <c r="AJ407" s="4" t="str"/>
      <c r="AK407" s="4" t="str"/>
      <c r="AL407" s="4" t="str"/>
      <c r="AM407" s="4" t="str"/>
      <c r="AN407" s="4"/>
      <c r="AO407" s="4" t="str"/>
      <c r="AP407" s="4" t="str"/>
      <c r="AQ407" s="4" t="str"/>
      <c r="AR407" s="4" t="str"/>
      <c r="AS407" s="4" t="str"/>
      <c r="AT407" s="4" t="str"/>
      <c r="AU407" s="4" t="str"/>
      <c r="AV407" s="4"/>
      <c r="AW407" s="4">
        <f>IF(AND(Q407="✅", I407="U90"), "X="&amp;(U407-1)*16&amp;",Y="&amp;(V407-1)*16&amp;",Z="&amp;W407*16, "")</f>
      </c>
      <c r="AX407" s="4">
        <f>IF(AND(Q407="✅", I407="U90"), "P=90,Y=0,R=0", "")</f>
      </c>
      <c r="AY407" s="4" t="str"/>
      <c r="AZ407" s="4" t="str"/>
      <c r="BA407" s="4" t="str"/>
      <c r="BB407" s="4" t="str"/>
      <c r="BC407" s="4" t="str"/>
      <c r="BD407" s="4"/>
      <c r="BE407" s="4">
        <f>IF(AND(Q407="✅", I407="D90"), "X="&amp;(U407-1)*16&amp;",Y="&amp;(V407-1)*16&amp;",Z="&amp;(W407-2)*16, "")</f>
      </c>
      <c r="BF407" s="4">
        <f>IF(AND(Q407="✅", I407="D90"), "P=-90,Y=0,R=0", "")</f>
      </c>
      <c r="BG407" s="4" t="str"/>
      <c r="BH407" s="4" t="str"/>
      <c r="BI407" s="4" t="str"/>
      <c r="BJ407" s="4" t="str"/>
      <c r="BK407" s="4" t="str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</row>
    <row hidden="true" outlineLevel="2" r="408">
      <c r="A408" s="11"/>
      <c r="B408" s="11"/>
      <c r="C408" s="119"/>
      <c r="D408" s="119"/>
      <c r="E408" s="5">
        <f>E403</f>
      </c>
      <c r="F408" s="9">
        <f>IF(E408="", "", IF(G408="BP", E408, F407))</f>
      </c>
      <c r="G408" s="1"/>
      <c r="H408" s="1"/>
      <c r="I408" s="1"/>
      <c r="J408" s="1"/>
      <c r="K408" s="1"/>
      <c r="L408" s="1"/>
      <c r="M408" s="1"/>
      <c r="N408" s="3"/>
      <c r="O408" s="3"/>
      <c r="P408" s="3"/>
      <c r="Q408" s="3"/>
      <c r="R408" s="1" t="str"/>
      <c r="S408" s="9" t="str">
        <v>/Script/Engine.StaticMesh'/Game/Item/Rail/Straight/L90/Normal/Straight_L90_X1_Y1_Z1/Proxy/SM_Straight_L90_X1_Y1_Z1_Proxy_L.SM_Straight_L90_X1_Y1_Z1_Proxy_L'</v>
      </c>
      <c r="T408" s="120" t="str"/>
      <c r="U408" s="118"/>
      <c r="V408" s="118"/>
      <c r="W408" s="118"/>
      <c r="X408" s="4"/>
      <c r="Y408" s="4">
        <f>IF(AND(Q408="✅", OR(ISNUMBER(FIND("F",I408)), I408="CR")),   "X="&amp;U408*16&amp;",Y="&amp;(V408-1)*16&amp;",Z="&amp;IF(I408="FD", -(W408-1)*16, (W408-1)*16),   "")</f>
      </c>
      <c r="Z408" s="4">
        <f>IF(AND(Q408="✅", OR(ISNUMBER(FIND("F",I408)), I408="CR")), "P=0,Y=0,R=0", "")</f>
      </c>
      <c r="AA408" s="4" t="str"/>
      <c r="AB408" s="4" t="str"/>
      <c r="AC408" s="4" t="str"/>
      <c r="AD408" s="4" t="str"/>
      <c r="AE408" s="4" t="str"/>
      <c r="AF408" s="4"/>
      <c r="AG408" s="4" t="str"/>
      <c r="AH408" s="4" t="str"/>
      <c r="AI408" s="4" t="str"/>
      <c r="AJ408" s="4" t="str"/>
      <c r="AK408" s="4" t="str"/>
      <c r="AL408" s="4" t="str"/>
      <c r="AM408" s="4" t="str"/>
      <c r="AN408" s="4"/>
      <c r="AO408" s="4" t="str"/>
      <c r="AP408" s="4" t="str"/>
      <c r="AQ408" s="4" t="str"/>
      <c r="AR408" s="4" t="str"/>
      <c r="AS408" s="4" t="str"/>
      <c r="AT408" s="4" t="str"/>
      <c r="AU408" s="4" t="str"/>
      <c r="AV408" s="4"/>
      <c r="AW408" s="4">
        <f>IF(AND(Q408="✅", I408="U90"), "X="&amp;(U408-1)*16&amp;",Y="&amp;(V408-1)*16&amp;",Z="&amp;W408*16, "")</f>
      </c>
      <c r="AX408" s="4">
        <f>IF(AND(Q408="✅", I408="U90"), "P=90,Y=0,R=0", "")</f>
      </c>
      <c r="AY408" s="4" t="str"/>
      <c r="AZ408" s="4" t="str"/>
      <c r="BA408" s="4" t="str"/>
      <c r="BB408" s="4" t="str"/>
      <c r="BC408" s="4" t="str"/>
      <c r="BD408" s="4"/>
      <c r="BE408" s="4">
        <f>IF(AND(Q408="✅", I408="D90"), "X="&amp;(U408-1)*16&amp;",Y="&amp;(V408-1)*16&amp;",Z="&amp;(W408-2)*16, "")</f>
      </c>
      <c r="BF408" s="4">
        <f>IF(AND(Q408="✅", I408="D90"), "P=-90,Y=0,R=0", "")</f>
      </c>
      <c r="BG408" s="4" t="str"/>
      <c r="BH408" s="4" t="str"/>
      <c r="BI408" s="4" t="str"/>
      <c r="BJ408" s="4" t="str"/>
      <c r="BK408" s="4" t="str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</row>
    <row hidden="true" outlineLevel="2" r="409">
      <c r="A409" s="11"/>
      <c r="B409" s="11"/>
      <c r="C409" s="119"/>
      <c r="D409" s="119"/>
      <c r="E409" s="5">
        <f>E404</f>
      </c>
      <c r="F409" s="9">
        <f>IF(E409="", "", IF(G409="BP", E409, F408))</f>
      </c>
      <c r="G409" s="1"/>
      <c r="H409" s="1"/>
      <c r="I409" s="1"/>
      <c r="J409" s="1"/>
      <c r="K409" s="1"/>
      <c r="L409" s="1"/>
      <c r="M409" s="1"/>
      <c r="N409" s="3"/>
      <c r="O409" s="3"/>
      <c r="P409" s="3"/>
      <c r="Q409" s="3"/>
      <c r="R409" s="1" t="str"/>
      <c r="S409" s="9" t="str">
        <v>/Script/Engine.StaticMesh'/Game/Item/Rail/Straight/R90/Normal/Straight_R90_X1_Y1_Z1/Proxy/SM_Straight_R90_X1_Y1_Z1_Proxy_R.SM_Straight_R90_X1_Y1_Z1_Proxy_R'</v>
      </c>
      <c r="T409" s="120" t="str"/>
      <c r="U409" s="118"/>
      <c r="V409" s="118"/>
      <c r="W409" s="118"/>
      <c r="X409" s="4"/>
      <c r="Y409" s="4">
        <f>IF(AND(Q409="✅", OR(ISNUMBER(FIND("F",I409)), I409="CR")),   "X="&amp;U409*16&amp;",Y="&amp;(V409-1)*16&amp;",Z="&amp;IF(I409="FD", -(W409-1)*16, (W409-1)*16),   "")</f>
      </c>
      <c r="Z409" s="4">
        <f>IF(AND(Q409="✅", OR(ISNUMBER(FIND("F",I409)), I409="CR")), "P=0,Y=0,R=0", "")</f>
      </c>
      <c r="AA409" s="4" t="str"/>
      <c r="AB409" s="4" t="str"/>
      <c r="AC409" s="4" t="str"/>
      <c r="AD409" s="4" t="str"/>
      <c r="AE409" s="4" t="str"/>
      <c r="AF409" s="4"/>
      <c r="AG409" s="4" t="str"/>
      <c r="AH409" s="4" t="str"/>
      <c r="AI409" s="4" t="str"/>
      <c r="AJ409" s="4" t="str"/>
      <c r="AK409" s="4" t="str"/>
      <c r="AL409" s="4" t="str"/>
      <c r="AM409" s="4" t="str"/>
      <c r="AN409" s="4"/>
      <c r="AO409" s="4" t="str"/>
      <c r="AP409" s="4" t="str"/>
      <c r="AQ409" s="4" t="str"/>
      <c r="AR409" s="4" t="str"/>
      <c r="AS409" s="4" t="str"/>
      <c r="AT409" s="4" t="str"/>
      <c r="AU409" s="4" t="str"/>
      <c r="AV409" s="4"/>
      <c r="AW409" s="4">
        <f>IF(AND(Q409="✅", I409="U90"), "X="&amp;(U409-1)*16&amp;",Y="&amp;(V409-1)*16&amp;",Z="&amp;W409*16, "")</f>
      </c>
      <c r="AX409" s="4">
        <f>IF(AND(Q409="✅", I409="U90"), "P=90,Y=0,R=0", "")</f>
      </c>
      <c r="AY409" s="4" t="str"/>
      <c r="AZ409" s="4" t="str"/>
      <c r="BA409" s="4" t="str"/>
      <c r="BB409" s="4" t="str"/>
      <c r="BC409" s="4" t="str"/>
      <c r="BD409" s="4"/>
      <c r="BE409" s="4">
        <f>IF(AND(Q409="✅", I409="D90"), "X="&amp;(U409-1)*16&amp;",Y="&amp;(V409-1)*16&amp;",Z="&amp;(W409-2)*16, "")</f>
      </c>
      <c r="BF409" s="4">
        <f>IF(AND(Q409="✅", I409="D90"), "P=-90,Y=0,R=0", "")</f>
      </c>
      <c r="BG409" s="4" t="str"/>
      <c r="BH409" s="4" t="str"/>
      <c r="BI409" s="4" t="str"/>
      <c r="BJ409" s="4" t="str"/>
      <c r="BK409" s="4" t="str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</row>
    <row hidden="true" outlineLevel="1" r="410">
      <c r="A410" s="11"/>
      <c r="B410" s="11"/>
      <c r="C410" s="119"/>
      <c r="D410" s="119"/>
      <c r="E410" s="5">
        <f>G410 &amp; "_" &amp; H410 &amp; IF(I410&lt;&gt;"", "_" &amp; I410, "") &amp; IF(J410&lt;&gt;"", "_" &amp; J410, "") &amp; IF(K410&lt;&gt;"", "_" &amp; K410, "") &amp;"_X"&amp;U410&amp;"_Y"&amp;V410&amp;"_Z"&amp;W410 &amp; IF(G410="SM", "_Proxy" , "_Rail") &amp; IF(M410&lt;&gt;"", "_" &amp; M410, "")</f>
      </c>
      <c r="F410" s="9">
        <f>IF(E410="", "", IF(G410="BP", E410, F409))</f>
      </c>
      <c r="G410" s="1" t="str">
        <v>BP</v>
      </c>
      <c r="H410" s="1" t="str">
        <v>SwingBasket</v>
      </c>
      <c r="I410" s="1" t="str">
        <v>T</v>
      </c>
      <c r="J410" s="1"/>
      <c r="K410" s="1" t="str">
        <v>Rotate_Y</v>
      </c>
      <c r="L410" s="1"/>
      <c r="M410" s="1"/>
      <c r="N410" s="3">
        <v>2</v>
      </c>
      <c r="O410" s="3"/>
      <c r="P410" s="3"/>
      <c r="Q410" s="3" t="str">
        <v>❗</v>
      </c>
      <c r="R410" s="1" t="str"/>
      <c r="S410" s="9" t="str"/>
      <c r="T410" s="120">
        <v>7.199999999999999</v>
      </c>
      <c r="U410" s="118">
        <v>1</v>
      </c>
      <c r="V410" s="118">
        <v>1</v>
      </c>
      <c r="W410" s="118">
        <v>3</v>
      </c>
      <c r="X410" s="4"/>
      <c r="Y410" s="4">
        <f>IF(AND(Q410="✅", OR(ISNUMBER(FIND("F",I410)), I410="CR")),   "X="&amp;U410*16&amp;",Y="&amp;(V410-1)*16&amp;",Z="&amp;IF(I410="FD", -(W410-1)*16, (W410-1)*16),   "")</f>
      </c>
      <c r="Z410" s="4">
        <f>IF(AND(Q410="✅", OR(ISNUMBER(FIND("F",I410)), I410="CR")), "P=0,Y=0,R=0", "")</f>
      </c>
      <c r="AA410" s="4" t="str"/>
      <c r="AB410" s="4" t="str"/>
      <c r="AC410" s="4" t="str"/>
      <c r="AD410" s="4" t="str"/>
      <c r="AE410" s="4" t="str"/>
      <c r="AF410" s="4"/>
      <c r="AG410" s="4" t="str"/>
      <c r="AH410" s="4" t="str"/>
      <c r="AI410" s="4" t="str"/>
      <c r="AJ410" s="4" t="str"/>
      <c r="AK410" s="4" t="str"/>
      <c r="AL410" s="4" t="str"/>
      <c r="AM410" s="4" t="str"/>
      <c r="AN410" s="4"/>
      <c r="AO410" s="4" t="str"/>
      <c r="AP410" s="4" t="str"/>
      <c r="AQ410" s="4" t="str"/>
      <c r="AR410" s="4" t="str"/>
      <c r="AS410" s="4" t="str"/>
      <c r="AT410" s="4" t="str"/>
      <c r="AU410" s="4" t="str"/>
      <c r="AV410" s="4"/>
      <c r="AW410" s="4">
        <f>IF(AND(Q410="✅", I410="U90"), "X="&amp;(U410-1)*16&amp;",Y="&amp;(V410-1)*16&amp;",Z="&amp;W410*16, "")</f>
      </c>
      <c r="AX410" s="4">
        <f>IF(AND(Q410="✅", I410="U90"), "P=90,Y=0,R=0", "")</f>
      </c>
      <c r="AY410" s="4" t="str"/>
      <c r="AZ410" s="4" t="str"/>
      <c r="BA410" s="4" t="str"/>
      <c r="BB410" s="4" t="str"/>
      <c r="BC410" s="4" t="str"/>
      <c r="BD410" s="4"/>
      <c r="BE410" s="4">
        <f>IF(AND(Q410="✅", I410="D90"), "X="&amp;(U410-1)*16&amp;",Y="&amp;(V410-1)*16&amp;",Z="&amp;(W410-2)*16, "")</f>
      </c>
      <c r="BF410" s="4">
        <f>IF(AND(Q410="✅", I410="D90"), "P=-90,Y=0,R=0", "")</f>
      </c>
      <c r="BG410" s="4" t="str"/>
      <c r="BH410" s="4" t="str"/>
      <c r="BI410" s="4" t="str"/>
      <c r="BJ410" s="4" t="str"/>
      <c r="BK410" s="4" t="str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</row>
    <row hidden="true" outlineLevel="2" r="411">
      <c r="A411" s="11"/>
      <c r="B411" s="11"/>
      <c r="C411" s="119"/>
      <c r="D411" s="119"/>
      <c r="E411" s="5">
        <f>E56</f>
      </c>
      <c r="F411" s="9">
        <f>IF(E411="", "", IF(G411="BP", E411, F410))</f>
      </c>
      <c r="G411" s="1"/>
      <c r="H411" s="1"/>
      <c r="I411" s="1"/>
      <c r="J411" s="1"/>
      <c r="K411" s="1"/>
      <c r="L411" s="1"/>
      <c r="M411" s="1"/>
      <c r="N411" s="3"/>
      <c r="O411" s="3"/>
      <c r="P411" s="3"/>
      <c r="Q411" s="3"/>
      <c r="R411" s="1" t="str"/>
      <c r="S411" s="9" t="str">
        <v>/Script/Engine.StaticMesh'/Game/Item/Rail/Straight/F/Normal/Straight_F_X1_Y1_Z1/Proxy/SM_Straight_F_X1_Y1_Z1_Proxy_R.SM_Straight_F_X1_Y1_Z1_Proxy_R'</v>
      </c>
      <c r="T411" s="120" t="str"/>
      <c r="U411" s="118"/>
      <c r="V411" s="118"/>
      <c r="W411" s="118"/>
      <c r="X411" s="4"/>
      <c r="Y411" s="4">
        <f>IF(AND(Q411="✅", OR(ISNUMBER(FIND("F",I411)), I411="CR")),   "X="&amp;U411*16&amp;",Y="&amp;(V411-1)*16&amp;",Z="&amp;IF(I411="FD", -(W411-1)*16, (W411-1)*16),   "")</f>
      </c>
      <c r="Z411" s="4">
        <f>IF(AND(Q411="✅", OR(ISNUMBER(FIND("F",I411)), I411="CR")), "P=0,Y=0,R=0", "")</f>
      </c>
      <c r="AA411" s="4" t="str"/>
      <c r="AB411" s="4" t="str"/>
      <c r="AC411" s="4" t="str"/>
      <c r="AD411" s="4" t="str"/>
      <c r="AE411" s="4" t="str"/>
      <c r="AF411" s="4"/>
      <c r="AG411" s="4" t="str"/>
      <c r="AH411" s="4" t="str"/>
      <c r="AI411" s="4" t="str"/>
      <c r="AJ411" s="4" t="str"/>
      <c r="AK411" s="4" t="str"/>
      <c r="AL411" s="4" t="str"/>
      <c r="AM411" s="4" t="str"/>
      <c r="AN411" s="4"/>
      <c r="AO411" s="4" t="str"/>
      <c r="AP411" s="4" t="str"/>
      <c r="AQ411" s="4" t="str"/>
      <c r="AR411" s="4" t="str"/>
      <c r="AS411" s="4" t="str"/>
      <c r="AT411" s="4" t="str"/>
      <c r="AU411" s="4" t="str"/>
      <c r="AV411" s="4"/>
      <c r="AW411" s="4">
        <f>IF(AND(Q411="✅", I411="U90"), "X="&amp;(U411-1)*16&amp;",Y="&amp;(V411-1)*16&amp;",Z="&amp;W411*16, "")</f>
      </c>
      <c r="AX411" s="4">
        <f>IF(AND(Q411="✅", I411="U90"), "P=90,Y=0,R=0", "")</f>
      </c>
      <c r="AY411" s="4" t="str"/>
      <c r="AZ411" s="4" t="str"/>
      <c r="BA411" s="4" t="str"/>
      <c r="BB411" s="4" t="str"/>
      <c r="BC411" s="4" t="str"/>
      <c r="BD411" s="4"/>
      <c r="BE411" s="4">
        <f>IF(AND(Q411="✅", I411="D90"), "X="&amp;(U411-1)*16&amp;",Y="&amp;(V411-1)*16&amp;",Z="&amp;(W411-2)*16, "")</f>
      </c>
      <c r="BF411" s="4">
        <f>IF(AND(Q411="✅", I411="D90"), "P=-90,Y=0,R=0", "")</f>
      </c>
      <c r="BG411" s="4" t="str"/>
      <c r="BH411" s="4" t="str"/>
      <c r="BI411" s="4" t="str"/>
      <c r="BJ411" s="4" t="str"/>
      <c r="BK411" s="4" t="str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</row>
    <row hidden="true" outlineLevel="2" r="412">
      <c r="A412" s="11"/>
      <c r="B412" s="11"/>
      <c r="C412" s="119"/>
      <c r="D412" s="119"/>
      <c r="E412" s="5">
        <f>E407</f>
      </c>
      <c r="F412" s="9">
        <f>IF(E412="", "", IF(G412="BP", E412, F411))</f>
      </c>
      <c r="G412" s="1"/>
      <c r="H412" s="1"/>
      <c r="I412" s="1"/>
      <c r="J412" s="1"/>
      <c r="K412" s="1"/>
      <c r="L412" s="1"/>
      <c r="M412" s="1"/>
      <c r="N412" s="3"/>
      <c r="O412" s="3"/>
      <c r="P412" s="3"/>
      <c r="Q412" s="3"/>
      <c r="R412" s="1" t="str"/>
      <c r="S412" s="9" t="str">
        <v>#REF!</v>
      </c>
      <c r="T412" s="120" t="str"/>
      <c r="U412" s="118"/>
      <c r="V412" s="118"/>
      <c r="W412" s="118"/>
      <c r="X412" s="4"/>
      <c r="Y412" s="4">
        <f>IF(AND(Q412="✅", OR(ISNUMBER(FIND("F",I412)), I412="CR")),   "X="&amp;U412*16&amp;",Y="&amp;(V412-1)*16&amp;",Z="&amp;IF(I412="FD", -(W412-1)*16, (W412-1)*16),   "")</f>
      </c>
      <c r="Z412" s="4">
        <f>IF(AND(Q412="✅", OR(ISNUMBER(FIND("F",I412)), I412="CR")), "P=0,Y=0,R=0", "")</f>
      </c>
      <c r="AA412" s="4" t="str"/>
      <c r="AB412" s="4" t="str"/>
      <c r="AC412" s="4" t="str"/>
      <c r="AD412" s="4" t="str"/>
      <c r="AE412" s="4" t="str"/>
      <c r="AF412" s="4"/>
      <c r="AG412" s="4" t="str"/>
      <c r="AH412" s="4" t="str"/>
      <c r="AI412" s="4" t="str"/>
      <c r="AJ412" s="4" t="str"/>
      <c r="AK412" s="4" t="str"/>
      <c r="AL412" s="4" t="str"/>
      <c r="AM412" s="4" t="str"/>
      <c r="AN412" s="4"/>
      <c r="AO412" s="4" t="str"/>
      <c r="AP412" s="4" t="str"/>
      <c r="AQ412" s="4" t="str"/>
      <c r="AR412" s="4" t="str"/>
      <c r="AS412" s="4" t="str"/>
      <c r="AT412" s="4" t="str"/>
      <c r="AU412" s="4" t="str"/>
      <c r="AV412" s="4"/>
      <c r="AW412" s="4">
        <f>IF(AND(Q412="✅", I412="U90"), "X="&amp;(U412-1)*16&amp;",Y="&amp;(V412-1)*16&amp;",Z="&amp;W412*16, "")</f>
      </c>
      <c r="AX412" s="4">
        <f>IF(AND(Q412="✅", I412="U90"), "P=90,Y=0,R=0", "")</f>
      </c>
      <c r="AY412" s="4" t="str"/>
      <c r="AZ412" s="4" t="str"/>
      <c r="BA412" s="4" t="str"/>
      <c r="BB412" s="4" t="str"/>
      <c r="BC412" s="4" t="str"/>
      <c r="BD412" s="4"/>
      <c r="BE412" s="4">
        <f>IF(AND(Q412="✅", I412="D90"), "X="&amp;(U412-1)*16&amp;",Y="&amp;(V412-1)*16&amp;",Z="&amp;(W412-2)*16, "")</f>
      </c>
      <c r="BF412" s="4">
        <f>IF(AND(Q412="✅", I412="D90"), "P=-90,Y=0,R=0", "")</f>
      </c>
      <c r="BG412" s="4" t="str"/>
      <c r="BH412" s="4" t="str"/>
      <c r="BI412" s="4" t="str"/>
      <c r="BJ412" s="4" t="str"/>
      <c r="BK412" s="4" t="str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</row>
    <row hidden="true" outlineLevel="2" r="413">
      <c r="A413" s="11"/>
      <c r="B413" s="11"/>
      <c r="C413" s="119"/>
      <c r="D413" s="119"/>
      <c r="E413" s="5">
        <f>E408</f>
      </c>
      <c r="F413" s="9">
        <f>IF(E413="", "", IF(G413="BP", E413, F412))</f>
      </c>
      <c r="G413" s="1"/>
      <c r="H413" s="1"/>
      <c r="I413" s="1"/>
      <c r="J413" s="1"/>
      <c r="K413" s="1"/>
      <c r="L413" s="1"/>
      <c r="M413" s="1"/>
      <c r="N413" s="3"/>
      <c r="O413" s="3"/>
      <c r="P413" s="3"/>
      <c r="Q413" s="3"/>
      <c r="R413" s="1" t="str"/>
      <c r="S413" s="9" t="str">
        <v>/Script/Engine.StaticMesh'/Game/Item/Rail/Straight/L90/Normal/Straight_L90_X1_Y1_Z1/Proxy/SM_Straight_L90_X1_Y1_Z1_Proxy_L.SM_Straight_L90_X1_Y1_Z1_Proxy_L'</v>
      </c>
      <c r="T413" s="120" t="str"/>
      <c r="U413" s="118"/>
      <c r="V413" s="118"/>
      <c r="W413" s="118"/>
      <c r="X413" s="4"/>
      <c r="Y413" s="4">
        <f>IF(AND(Q413="✅", OR(ISNUMBER(FIND("F",I413)), I413="CR")),   "X="&amp;U413*16&amp;",Y="&amp;(V413-1)*16&amp;",Z="&amp;IF(I413="FD", -(W413-1)*16, (W413-1)*16),   "")</f>
      </c>
      <c r="Z413" s="4">
        <f>IF(AND(Q413="✅", OR(ISNUMBER(FIND("F",I413)), I413="CR")), "P=0,Y=0,R=0", "")</f>
      </c>
      <c r="AA413" s="4" t="str"/>
      <c r="AB413" s="4" t="str"/>
      <c r="AC413" s="4" t="str"/>
      <c r="AD413" s="4" t="str"/>
      <c r="AE413" s="4" t="str"/>
      <c r="AF413" s="4"/>
      <c r="AG413" s="4" t="str"/>
      <c r="AH413" s="4" t="str"/>
      <c r="AI413" s="4" t="str"/>
      <c r="AJ413" s="4" t="str"/>
      <c r="AK413" s="4" t="str"/>
      <c r="AL413" s="4" t="str"/>
      <c r="AM413" s="4" t="str"/>
      <c r="AN413" s="4"/>
      <c r="AO413" s="4" t="str"/>
      <c r="AP413" s="4" t="str"/>
      <c r="AQ413" s="4" t="str"/>
      <c r="AR413" s="4" t="str"/>
      <c r="AS413" s="4" t="str"/>
      <c r="AT413" s="4" t="str"/>
      <c r="AU413" s="4" t="str"/>
      <c r="AV413" s="4"/>
      <c r="AW413" s="4">
        <f>IF(AND(Q413="✅", I413="U90"), "X="&amp;(U413-1)*16&amp;",Y="&amp;(V413-1)*16&amp;",Z="&amp;W413*16, "")</f>
      </c>
      <c r="AX413" s="4">
        <f>IF(AND(Q413="✅", I413="U90"), "P=90,Y=0,R=0", "")</f>
      </c>
      <c r="AY413" s="4" t="str"/>
      <c r="AZ413" s="4" t="str"/>
      <c r="BA413" s="4" t="str"/>
      <c r="BB413" s="4" t="str"/>
      <c r="BC413" s="4" t="str"/>
      <c r="BD413" s="4"/>
      <c r="BE413" s="4">
        <f>IF(AND(Q413="✅", I413="D90"), "X="&amp;(U413-1)*16&amp;",Y="&amp;(V413-1)*16&amp;",Z="&amp;(W413-2)*16, "")</f>
      </c>
      <c r="BF413" s="4">
        <f>IF(AND(Q413="✅", I413="D90"), "P=-90,Y=0,R=0", "")</f>
      </c>
      <c r="BG413" s="4" t="str"/>
      <c r="BH413" s="4" t="str"/>
      <c r="BI413" s="4" t="str"/>
      <c r="BJ413" s="4" t="str"/>
      <c r="BK413" s="4" t="str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</row>
    <row hidden="true" outlineLevel="2" r="414">
      <c r="A414" s="11"/>
      <c r="B414" s="11"/>
      <c r="C414" s="119"/>
      <c r="D414" s="119"/>
      <c r="E414" s="5">
        <f>E409</f>
      </c>
      <c r="F414" s="9">
        <f>IF(E414="", "", IF(G414="BP", E414, F413))</f>
      </c>
      <c r="G414" s="1"/>
      <c r="H414" s="1"/>
      <c r="I414" s="1"/>
      <c r="J414" s="1"/>
      <c r="K414" s="1"/>
      <c r="L414" s="1"/>
      <c r="M414" s="1"/>
      <c r="N414" s="3"/>
      <c r="O414" s="3"/>
      <c r="P414" s="3"/>
      <c r="Q414" s="3"/>
      <c r="R414" s="1" t="str"/>
      <c r="S414" s="9" t="str">
        <v>/Script/Engine.StaticMesh'/Game/Item/Rail/Straight/R90/Normal/Straight_R90_X1_Y1_Z1/Proxy/SM_Straight_R90_X1_Y1_Z1_Proxy_R.SM_Straight_R90_X1_Y1_Z1_Proxy_R'</v>
      </c>
      <c r="T414" s="120" t="str"/>
      <c r="U414" s="118"/>
      <c r="V414" s="118"/>
      <c r="W414" s="118"/>
      <c r="X414" s="4"/>
      <c r="Y414" s="4">
        <f>IF(AND(Q414="✅", OR(ISNUMBER(FIND("F",I414)), I414="CR")),   "X="&amp;U414*16&amp;",Y="&amp;(V414-1)*16&amp;",Z="&amp;IF(I414="FD", -(W414-1)*16, (W414-1)*16),   "")</f>
      </c>
      <c r="Z414" s="4">
        <f>IF(AND(Q414="✅", OR(ISNUMBER(FIND("F",I414)), I414="CR")), "P=0,Y=0,R=0", "")</f>
      </c>
      <c r="AA414" s="4" t="str"/>
      <c r="AB414" s="4" t="str"/>
      <c r="AC414" s="4" t="str"/>
      <c r="AD414" s="4" t="str"/>
      <c r="AE414" s="4" t="str"/>
      <c r="AF414" s="4"/>
      <c r="AG414" s="4" t="str"/>
      <c r="AH414" s="4" t="str"/>
      <c r="AI414" s="4" t="str"/>
      <c r="AJ414" s="4" t="str"/>
      <c r="AK414" s="4" t="str"/>
      <c r="AL414" s="4" t="str"/>
      <c r="AM414" s="4" t="str"/>
      <c r="AN414" s="4"/>
      <c r="AO414" s="4" t="str"/>
      <c r="AP414" s="4" t="str"/>
      <c r="AQ414" s="4" t="str"/>
      <c r="AR414" s="4" t="str"/>
      <c r="AS414" s="4" t="str"/>
      <c r="AT414" s="4" t="str"/>
      <c r="AU414" s="4" t="str"/>
      <c r="AV414" s="4"/>
      <c r="AW414" s="4">
        <f>IF(AND(Q414="✅", I414="U90"), "X="&amp;(U414-1)*16&amp;",Y="&amp;(V414-1)*16&amp;",Z="&amp;W414*16, "")</f>
      </c>
      <c r="AX414" s="4">
        <f>IF(AND(Q414="✅", I414="U90"), "P=90,Y=0,R=0", "")</f>
      </c>
      <c r="AY414" s="4" t="str"/>
      <c r="AZ414" s="4" t="str"/>
      <c r="BA414" s="4" t="str"/>
      <c r="BB414" s="4" t="str"/>
      <c r="BC414" s="4" t="str"/>
      <c r="BD414" s="4"/>
      <c r="BE414" s="4">
        <f>IF(AND(Q414="✅", I414="D90"), "X="&amp;(U414-1)*16&amp;",Y="&amp;(V414-1)*16&amp;",Z="&amp;(W414-2)*16, "")</f>
      </c>
      <c r="BF414" s="4">
        <f>IF(AND(Q414="✅", I414="D90"), "P=-90,Y=0,R=0", "")</f>
      </c>
      <c r="BG414" s="4" t="str"/>
      <c r="BH414" s="4" t="str"/>
      <c r="BI414" s="4" t="str"/>
      <c r="BJ414" s="4" t="str"/>
      <c r="BK414" s="4" t="str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</row>
    <row hidden="true" outlineLevel="1" r="415">
      <c r="A415" s="11"/>
      <c r="B415" s="11"/>
      <c r="C415" s="119"/>
      <c r="D415" s="119"/>
      <c r="E415" s="5">
        <f>G415 &amp; "_" &amp; H415 &amp; IF(I415&lt;&gt;"", "_" &amp; I415, "") &amp; IF(J415&lt;&gt;"", "_" &amp; J415, "") &amp; IF(K415&lt;&gt;"", "_" &amp; K415, "") &amp;"_X"&amp;U415&amp;"_Y"&amp;V415&amp;"_Z"&amp;W415 &amp; IF(G415="SM", "_Proxy" , "_Rail") &amp; IF(M415&lt;&gt;"", "_" &amp; M415, "")</f>
      </c>
      <c r="F415" s="9">
        <f>IF(E415="", "", IF(G415="BP", E415, F414))</f>
      </c>
      <c r="G415" s="1" t="str">
        <v>BP</v>
      </c>
      <c r="H415" s="1" t="str">
        <v>SwingBasket</v>
      </c>
      <c r="I415" s="1" t="str">
        <v>T</v>
      </c>
      <c r="J415" s="1"/>
      <c r="K415" s="1" t="str">
        <v>Rotate_Y</v>
      </c>
      <c r="L415" s="1"/>
      <c r="M415" s="1"/>
      <c r="N415" s="3">
        <v>2</v>
      </c>
      <c r="O415" s="3"/>
      <c r="P415" s="3"/>
      <c r="Q415" s="3" t="str">
        <v>❗</v>
      </c>
      <c r="R415" s="1" t="str"/>
      <c r="S415" s="9" t="str"/>
      <c r="T415" s="120">
        <v>7.800000000000001</v>
      </c>
      <c r="U415" s="118">
        <v>1</v>
      </c>
      <c r="V415" s="118">
        <v>1</v>
      </c>
      <c r="W415" s="118">
        <v>4</v>
      </c>
      <c r="X415" s="4"/>
      <c r="Y415" s="4">
        <f>IF(AND(Q415="✅", OR(ISNUMBER(FIND("F",I415)), I415="CR")),   "X="&amp;U415*16&amp;",Y="&amp;(V415-1)*16&amp;",Z="&amp;IF(I415="FD", -(W415-1)*16, (W415-1)*16),   "")</f>
      </c>
      <c r="Z415" s="4">
        <f>IF(AND(Q415="✅", OR(ISNUMBER(FIND("F",I415)), I415="CR")), "P=0,Y=0,R=0", "")</f>
      </c>
      <c r="AA415" s="4" t="str"/>
      <c r="AB415" s="4" t="str"/>
      <c r="AC415" s="4" t="str"/>
      <c r="AD415" s="4" t="str"/>
      <c r="AE415" s="4" t="str"/>
      <c r="AF415" s="4"/>
      <c r="AG415" s="4" t="str"/>
      <c r="AH415" s="4" t="str"/>
      <c r="AI415" s="4" t="str"/>
      <c r="AJ415" s="4" t="str"/>
      <c r="AK415" s="4" t="str"/>
      <c r="AL415" s="4" t="str"/>
      <c r="AM415" s="4" t="str"/>
      <c r="AN415" s="4"/>
      <c r="AO415" s="4" t="str"/>
      <c r="AP415" s="4" t="str"/>
      <c r="AQ415" s="4" t="str"/>
      <c r="AR415" s="4" t="str"/>
      <c r="AS415" s="4" t="str"/>
      <c r="AT415" s="4" t="str"/>
      <c r="AU415" s="4" t="str"/>
      <c r="AV415" s="4"/>
      <c r="AW415" s="4">
        <f>IF(AND(Q415="✅", I415="U90"), "X="&amp;(U415-1)*16&amp;",Y="&amp;(V415-1)*16&amp;",Z="&amp;W415*16, "")</f>
      </c>
      <c r="AX415" s="4">
        <f>IF(AND(Q415="✅", I415="U90"), "P=90,Y=0,R=0", "")</f>
      </c>
      <c r="AY415" s="4" t="str"/>
      <c r="AZ415" s="4" t="str"/>
      <c r="BA415" s="4" t="str"/>
      <c r="BB415" s="4" t="str"/>
      <c r="BC415" s="4" t="str"/>
      <c r="BD415" s="4"/>
      <c r="BE415" s="4">
        <f>IF(AND(Q415="✅", I415="D90"), "X="&amp;(U415-1)*16&amp;",Y="&amp;(V415-1)*16&amp;",Z="&amp;(W415-2)*16, "")</f>
      </c>
      <c r="BF415" s="4">
        <f>IF(AND(Q415="✅", I415="D90"), "P=-90,Y=0,R=0", "")</f>
      </c>
      <c r="BG415" s="4" t="str"/>
      <c r="BH415" s="4" t="str"/>
      <c r="BI415" s="4" t="str"/>
      <c r="BJ415" s="4" t="str"/>
      <c r="BK415" s="4" t="str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</row>
    <row hidden="true" outlineLevel="2" r="416">
      <c r="A416" s="11"/>
      <c r="B416" s="11"/>
      <c r="C416" s="119"/>
      <c r="D416" s="119"/>
      <c r="E416" s="5">
        <f>E70</f>
      </c>
      <c r="F416" s="9">
        <f>IF(E416="", "", IF(G416="BP", E416, F415))</f>
      </c>
      <c r="G416" s="1"/>
      <c r="H416" s="1"/>
      <c r="I416" s="1"/>
      <c r="J416" s="1"/>
      <c r="K416" s="1"/>
      <c r="L416" s="1"/>
      <c r="M416" s="1"/>
      <c r="N416" s="3"/>
      <c r="O416" s="3"/>
      <c r="P416" s="3"/>
      <c r="Q416" s="3"/>
      <c r="R416" s="1" t="str"/>
      <c r="S416" s="9" t="str">
        <v>/Script/Engine.StaticMesh'/Game/Item/Rail/Straight/F/Normal/Straight_F_X1_Y1_Z1/Proxy/SM_Straight_F_X1_Y1_Z1_Proxy_B.SM_Straight_F_X1_Y1_Z1_Proxy_B'</v>
      </c>
      <c r="T416" s="120" t="str"/>
      <c r="U416" s="118"/>
      <c r="V416" s="118"/>
      <c r="W416" s="118"/>
      <c r="X416" s="4"/>
      <c r="Y416" s="4">
        <f>IF(AND(Q416="✅", OR(ISNUMBER(FIND("F",I416)), I416="CR")),   "X="&amp;U416*16&amp;",Y="&amp;(V416-1)*16&amp;",Z="&amp;IF(I416="FD", -(W416-1)*16, (W416-1)*16),   "")</f>
      </c>
      <c r="Z416" s="4">
        <f>IF(AND(Q416="✅", OR(ISNUMBER(FIND("F",I416)), I416="CR")), "P=0,Y=0,R=0", "")</f>
      </c>
      <c r="AA416" s="4" t="str"/>
      <c r="AB416" s="4" t="str"/>
      <c r="AC416" s="4" t="str"/>
      <c r="AD416" s="4" t="str"/>
      <c r="AE416" s="4" t="str"/>
      <c r="AF416" s="4"/>
      <c r="AG416" s="4" t="str"/>
      <c r="AH416" s="4" t="str"/>
      <c r="AI416" s="4" t="str"/>
      <c r="AJ416" s="4" t="str"/>
      <c r="AK416" s="4" t="str"/>
      <c r="AL416" s="4" t="str"/>
      <c r="AM416" s="4" t="str"/>
      <c r="AN416" s="4"/>
      <c r="AO416" s="4" t="str"/>
      <c r="AP416" s="4" t="str"/>
      <c r="AQ416" s="4" t="str"/>
      <c r="AR416" s="4" t="str"/>
      <c r="AS416" s="4" t="str"/>
      <c r="AT416" s="4" t="str"/>
      <c r="AU416" s="4" t="str"/>
      <c r="AV416" s="4"/>
      <c r="AW416" s="4">
        <f>IF(AND(Q416="✅", I416="U90"), "X="&amp;(U416-1)*16&amp;",Y="&amp;(V416-1)*16&amp;",Z="&amp;W416*16, "")</f>
      </c>
      <c r="AX416" s="4">
        <f>IF(AND(Q416="✅", I416="U90"), "P=90,Y=0,R=0", "")</f>
      </c>
      <c r="AY416" s="4" t="str"/>
      <c r="AZ416" s="4" t="str"/>
      <c r="BA416" s="4" t="str"/>
      <c r="BB416" s="4" t="str"/>
      <c r="BC416" s="4" t="str"/>
      <c r="BD416" s="4"/>
      <c r="BE416" s="4">
        <f>IF(AND(Q416="✅", I416="D90"), "X="&amp;(U416-1)*16&amp;",Y="&amp;(V416-1)*16&amp;",Z="&amp;(W416-2)*16, "")</f>
      </c>
      <c r="BF416" s="4">
        <f>IF(AND(Q416="✅", I416="D90"), "P=-90,Y=0,R=0", "")</f>
      </c>
      <c r="BG416" s="4" t="str"/>
      <c r="BH416" s="4" t="str"/>
      <c r="BI416" s="4" t="str"/>
      <c r="BJ416" s="4" t="str"/>
      <c r="BK416" s="4" t="str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</row>
    <row hidden="true" outlineLevel="2" r="417">
      <c r="A417" s="11"/>
      <c r="B417" s="11"/>
      <c r="C417" s="119"/>
      <c r="D417" s="119"/>
      <c r="E417" s="5">
        <f>E412</f>
      </c>
      <c r="F417" s="9">
        <f>IF(E417="", "", IF(G417="BP", E417, F416))</f>
      </c>
      <c r="G417" s="1"/>
      <c r="H417" s="1"/>
      <c r="I417" s="1"/>
      <c r="J417" s="1"/>
      <c r="K417" s="1"/>
      <c r="L417" s="1"/>
      <c r="M417" s="1"/>
      <c r="N417" s="3"/>
      <c r="O417" s="3"/>
      <c r="P417" s="3"/>
      <c r="Q417" s="3"/>
      <c r="R417" s="1" t="str"/>
      <c r="S417" s="9" t="str">
        <v>#REF!</v>
      </c>
      <c r="T417" s="120" t="str"/>
      <c r="U417" s="118"/>
      <c r="V417" s="118"/>
      <c r="W417" s="118"/>
      <c r="X417" s="4"/>
      <c r="Y417" s="4">
        <f>IF(AND(Q417="✅", OR(ISNUMBER(FIND("F",I417)), I417="CR")),   "X="&amp;U417*16&amp;",Y="&amp;(V417-1)*16&amp;",Z="&amp;IF(I417="FD", -(W417-1)*16, (W417-1)*16),   "")</f>
      </c>
      <c r="Z417" s="4">
        <f>IF(AND(Q417="✅", OR(ISNUMBER(FIND("F",I417)), I417="CR")), "P=0,Y=0,R=0", "")</f>
      </c>
      <c r="AA417" s="4" t="str"/>
      <c r="AB417" s="4" t="str"/>
      <c r="AC417" s="4" t="str"/>
      <c r="AD417" s="4" t="str"/>
      <c r="AE417" s="4" t="str"/>
      <c r="AF417" s="4"/>
      <c r="AG417" s="4" t="str"/>
      <c r="AH417" s="4" t="str"/>
      <c r="AI417" s="4" t="str"/>
      <c r="AJ417" s="4" t="str"/>
      <c r="AK417" s="4" t="str"/>
      <c r="AL417" s="4" t="str"/>
      <c r="AM417" s="4" t="str"/>
      <c r="AN417" s="4"/>
      <c r="AO417" s="4" t="str"/>
      <c r="AP417" s="4" t="str"/>
      <c r="AQ417" s="4" t="str"/>
      <c r="AR417" s="4" t="str"/>
      <c r="AS417" s="4" t="str"/>
      <c r="AT417" s="4" t="str"/>
      <c r="AU417" s="4" t="str"/>
      <c r="AV417" s="4"/>
      <c r="AW417" s="4">
        <f>IF(AND(Q417="✅", I417="U90"), "X="&amp;(U417-1)*16&amp;",Y="&amp;(V417-1)*16&amp;",Z="&amp;W417*16, "")</f>
      </c>
      <c r="AX417" s="4">
        <f>IF(AND(Q417="✅", I417="U90"), "P=90,Y=0,R=0", "")</f>
      </c>
      <c r="AY417" s="4" t="str"/>
      <c r="AZ417" s="4" t="str"/>
      <c r="BA417" s="4" t="str"/>
      <c r="BB417" s="4" t="str"/>
      <c r="BC417" s="4" t="str"/>
      <c r="BD417" s="4"/>
      <c r="BE417" s="4">
        <f>IF(AND(Q417="✅", I417="D90"), "X="&amp;(U417-1)*16&amp;",Y="&amp;(V417-1)*16&amp;",Z="&amp;(W417-2)*16, "")</f>
      </c>
      <c r="BF417" s="4">
        <f>IF(AND(Q417="✅", I417="D90"), "P=-90,Y=0,R=0", "")</f>
      </c>
      <c r="BG417" s="4" t="str"/>
      <c r="BH417" s="4" t="str"/>
      <c r="BI417" s="4" t="str"/>
      <c r="BJ417" s="4" t="str"/>
      <c r="BK417" s="4" t="str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</row>
    <row hidden="true" outlineLevel="2" r="418">
      <c r="A418" s="11"/>
      <c r="B418" s="11"/>
      <c r="C418" s="119"/>
      <c r="D418" s="119"/>
      <c r="E418" s="5">
        <f>E413</f>
      </c>
      <c r="F418" s="9">
        <f>IF(E418="", "", IF(G418="BP", E418, F417))</f>
      </c>
      <c r="G418" s="1"/>
      <c r="H418" s="1"/>
      <c r="I418" s="1"/>
      <c r="J418" s="1"/>
      <c r="K418" s="1"/>
      <c r="L418" s="1"/>
      <c r="M418" s="1"/>
      <c r="N418" s="3"/>
      <c r="O418" s="3"/>
      <c r="P418" s="3"/>
      <c r="Q418" s="3"/>
      <c r="R418" s="1" t="str"/>
      <c r="S418" s="9" t="str">
        <v>/Script/Engine.StaticMesh'/Game/Item/Rail/Straight/L90/Normal/Straight_L90_X1_Y1_Z1/Proxy/SM_Straight_L90_X1_Y1_Z1_Proxy_L.SM_Straight_L90_X1_Y1_Z1_Proxy_L'</v>
      </c>
      <c r="T418" s="120" t="str"/>
      <c r="U418" s="118"/>
      <c r="V418" s="118"/>
      <c r="W418" s="118"/>
      <c r="X418" s="4"/>
      <c r="Y418" s="4">
        <f>IF(AND(Q418="✅", OR(ISNUMBER(FIND("F",I418)), I418="CR")),   "X="&amp;U418*16&amp;",Y="&amp;(V418-1)*16&amp;",Z="&amp;IF(I418="FD", -(W418-1)*16, (W418-1)*16),   "")</f>
      </c>
      <c r="Z418" s="4">
        <f>IF(AND(Q418="✅", OR(ISNUMBER(FIND("F",I418)), I418="CR")), "P=0,Y=0,R=0", "")</f>
      </c>
      <c r="AA418" s="4" t="str"/>
      <c r="AB418" s="4" t="str"/>
      <c r="AC418" s="4" t="str"/>
      <c r="AD418" s="4" t="str"/>
      <c r="AE418" s="4" t="str"/>
      <c r="AF418" s="4"/>
      <c r="AG418" s="4" t="str"/>
      <c r="AH418" s="4" t="str"/>
      <c r="AI418" s="4" t="str"/>
      <c r="AJ418" s="4" t="str"/>
      <c r="AK418" s="4" t="str"/>
      <c r="AL418" s="4" t="str"/>
      <c r="AM418" s="4" t="str"/>
      <c r="AN418" s="4"/>
      <c r="AO418" s="4" t="str"/>
      <c r="AP418" s="4" t="str"/>
      <c r="AQ418" s="4" t="str"/>
      <c r="AR418" s="4" t="str"/>
      <c r="AS418" s="4" t="str"/>
      <c r="AT418" s="4" t="str"/>
      <c r="AU418" s="4" t="str"/>
      <c r="AV418" s="4"/>
      <c r="AW418" s="4">
        <f>IF(AND(Q418="✅", I418="U90"), "X="&amp;(U418-1)*16&amp;",Y="&amp;(V418-1)*16&amp;",Z="&amp;W418*16, "")</f>
      </c>
      <c r="AX418" s="4">
        <f>IF(AND(Q418="✅", I418="U90"), "P=90,Y=0,R=0", "")</f>
      </c>
      <c r="AY418" s="4" t="str"/>
      <c r="AZ418" s="4" t="str"/>
      <c r="BA418" s="4" t="str"/>
      <c r="BB418" s="4" t="str"/>
      <c r="BC418" s="4" t="str"/>
      <c r="BD418" s="4"/>
      <c r="BE418" s="4">
        <f>IF(AND(Q418="✅", I418="D90"), "X="&amp;(U418-1)*16&amp;",Y="&amp;(V418-1)*16&amp;",Z="&amp;(W418-2)*16, "")</f>
      </c>
      <c r="BF418" s="4">
        <f>IF(AND(Q418="✅", I418="D90"), "P=-90,Y=0,R=0", "")</f>
      </c>
      <c r="BG418" s="4" t="str"/>
      <c r="BH418" s="4" t="str"/>
      <c r="BI418" s="4" t="str"/>
      <c r="BJ418" s="4" t="str"/>
      <c r="BK418" s="4" t="str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</row>
    <row hidden="true" outlineLevel="2" r="419">
      <c r="A419" s="11"/>
      <c r="B419" s="11"/>
      <c r="C419" s="119"/>
      <c r="D419" s="119"/>
      <c r="E419" s="5">
        <f>E414</f>
      </c>
      <c r="F419" s="9">
        <f>IF(E419="", "", IF(G419="BP", E419, F418))</f>
      </c>
      <c r="G419" s="1"/>
      <c r="H419" s="1"/>
      <c r="I419" s="1"/>
      <c r="J419" s="1"/>
      <c r="K419" s="1"/>
      <c r="L419" s="1"/>
      <c r="M419" s="1"/>
      <c r="N419" s="3"/>
      <c r="O419" s="3"/>
      <c r="P419" s="3"/>
      <c r="Q419" s="3"/>
      <c r="R419" s="1" t="str"/>
      <c r="S419" s="9" t="str">
        <v>/Script/Engine.StaticMesh'/Game/Item/Rail/Straight/R90/Normal/Straight_R90_X1_Y1_Z1/Proxy/SM_Straight_R90_X1_Y1_Z1_Proxy_R.SM_Straight_R90_X1_Y1_Z1_Proxy_R'</v>
      </c>
      <c r="T419" s="120" t="str"/>
      <c r="U419" s="118"/>
      <c r="V419" s="118"/>
      <c r="W419" s="118"/>
      <c r="X419" s="4"/>
      <c r="Y419" s="4">
        <f>IF(AND(Q419="✅", OR(ISNUMBER(FIND("F",I419)), I419="CR")),   "X="&amp;U419*16&amp;",Y="&amp;(V419-1)*16&amp;",Z="&amp;IF(I419="FD", -(W419-1)*16, (W419-1)*16),   "")</f>
      </c>
      <c r="Z419" s="4">
        <f>IF(AND(Q419="✅", OR(ISNUMBER(FIND("F",I419)), I419="CR")), "P=0,Y=0,R=0", "")</f>
      </c>
      <c r="AA419" s="4" t="str"/>
      <c r="AB419" s="4" t="str"/>
      <c r="AC419" s="4" t="str"/>
      <c r="AD419" s="4" t="str"/>
      <c r="AE419" s="4" t="str"/>
      <c r="AF419" s="4"/>
      <c r="AG419" s="4" t="str"/>
      <c r="AH419" s="4" t="str"/>
      <c r="AI419" s="4" t="str"/>
      <c r="AJ419" s="4" t="str"/>
      <c r="AK419" s="4" t="str"/>
      <c r="AL419" s="4" t="str"/>
      <c r="AM419" s="4" t="str"/>
      <c r="AN419" s="4"/>
      <c r="AO419" s="4" t="str"/>
      <c r="AP419" s="4" t="str"/>
      <c r="AQ419" s="4" t="str"/>
      <c r="AR419" s="4" t="str"/>
      <c r="AS419" s="4" t="str"/>
      <c r="AT419" s="4" t="str"/>
      <c r="AU419" s="4" t="str"/>
      <c r="AV419" s="4"/>
      <c r="AW419" s="4">
        <f>IF(AND(Q419="✅", I419="U90"), "X="&amp;(U419-1)*16&amp;",Y="&amp;(V419-1)*16&amp;",Z="&amp;W419*16, "")</f>
      </c>
      <c r="AX419" s="4">
        <f>IF(AND(Q419="✅", I419="U90"), "P=90,Y=0,R=0", "")</f>
      </c>
      <c r="AY419" s="4" t="str"/>
      <c r="AZ419" s="4" t="str"/>
      <c r="BA419" s="4" t="str"/>
      <c r="BB419" s="4" t="str"/>
      <c r="BC419" s="4" t="str"/>
      <c r="BD419" s="4"/>
      <c r="BE419" s="4">
        <f>IF(AND(Q419="✅", I419="D90"), "X="&amp;(U419-1)*16&amp;",Y="&amp;(V419-1)*16&amp;",Z="&amp;(W419-2)*16, "")</f>
      </c>
      <c r="BF419" s="4">
        <f>IF(AND(Q419="✅", I419="D90"), "P=-90,Y=0,R=0", "")</f>
      </c>
      <c r="BG419" s="4" t="str"/>
      <c r="BH419" s="4" t="str"/>
      <c r="BI419" s="4" t="str"/>
      <c r="BJ419" s="4" t="str"/>
      <c r="BK419" s="4" t="str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</row>
    <row hidden="true" outlineLevel="1" r="420">
      <c r="A420" s="11"/>
      <c r="B420" s="11"/>
      <c r="C420" s="119"/>
      <c r="D420" s="119"/>
      <c r="E420" s="5">
        <f>G420 &amp; "_" &amp; H420 &amp; IF(I420&lt;&gt;"", "_" &amp; I420, "") &amp; IF(J420&lt;&gt;"", "_" &amp; J420, "") &amp; IF(K420&lt;&gt;"", "_" &amp; K420, "") &amp;"_X"&amp;U420&amp;"_Y"&amp;V420&amp;"_Z"&amp;W420 &amp; IF(G420="SM", "_Proxy" , "_Rail") &amp; IF(M420&lt;&gt;"", "_" &amp; M420, "")</f>
      </c>
      <c r="F420" s="9">
        <f>IF(E420="", "", IF(G420="BP", E420, F419))</f>
      </c>
      <c r="G420" s="1" t="str">
        <v>BP</v>
      </c>
      <c r="H420" s="1" t="str">
        <v>SwingBasket</v>
      </c>
      <c r="I420" s="1" t="str">
        <v>F</v>
      </c>
      <c r="J420" s="1" t="str">
        <v>CheckHole</v>
      </c>
      <c r="K420" s="1" t="str">
        <v>Rotate_Y</v>
      </c>
      <c r="L420" s="1"/>
      <c r="M420" s="1"/>
      <c r="N420" s="3">
        <v>2</v>
      </c>
      <c r="O420" s="3"/>
      <c r="P420" s="3"/>
      <c r="Q420" s="3" t="str">
        <v>❗</v>
      </c>
      <c r="R420" s="1" t="str"/>
      <c r="S420" s="9" t="str"/>
      <c r="T420" s="120">
        <v>5</v>
      </c>
      <c r="U420" s="118">
        <v>1</v>
      </c>
      <c r="V420" s="118">
        <v>1</v>
      </c>
      <c r="W420" s="118">
        <v>1</v>
      </c>
      <c r="X420" s="4"/>
      <c r="Y420" s="4">
        <f>IF(AND(Q420="✅", OR(ISNUMBER(FIND("F",I420)), I420="CR")),   "X="&amp;U420*16&amp;",Y="&amp;(V420-1)*16&amp;",Z="&amp;IF(I420="FD", -(W420-1)*16, (W420-1)*16),   "")</f>
      </c>
      <c r="Z420" s="4">
        <f>IF(AND(Q420="✅", OR(ISNUMBER(FIND("F",I420)), I420="CR")), "P=0,Y=0,R=0", "")</f>
      </c>
      <c r="AA420" s="4" t="str"/>
      <c r="AB420" s="4" t="str"/>
      <c r="AC420" s="4" t="str"/>
      <c r="AD420" s="4" t="str"/>
      <c r="AE420" s="4" t="str"/>
      <c r="AF420" s="4"/>
      <c r="AG420" s="4" t="str"/>
      <c r="AH420" s="4" t="str"/>
      <c r="AI420" s="4" t="str"/>
      <c r="AJ420" s="4" t="str"/>
      <c r="AK420" s="4" t="str"/>
      <c r="AL420" s="4" t="str"/>
      <c r="AM420" s="4" t="str"/>
      <c r="AN420" s="4"/>
      <c r="AO420" s="4" t="str"/>
      <c r="AP420" s="4" t="str"/>
      <c r="AQ420" s="4" t="str"/>
      <c r="AR420" s="4" t="str"/>
      <c r="AS420" s="4" t="str"/>
      <c r="AT420" s="4" t="str"/>
      <c r="AU420" s="4" t="str"/>
      <c r="AV420" s="4"/>
      <c r="AW420" s="4">
        <f>IF(AND(Q420="✅", I420="U90"), "X="&amp;(U420-1)*16&amp;",Y="&amp;(V420-1)*16&amp;",Z="&amp;W420*16, "")</f>
      </c>
      <c r="AX420" s="4">
        <f>IF(AND(Q420="✅", I420="U90"), "P=90,Y=0,R=0", "")</f>
      </c>
      <c r="AY420" s="4" t="str"/>
      <c r="AZ420" s="4" t="str"/>
      <c r="BA420" s="4" t="str"/>
      <c r="BB420" s="4" t="str"/>
      <c r="BC420" s="4" t="str"/>
      <c r="BD420" s="4"/>
      <c r="BE420" s="4">
        <f>IF(AND(Q420="✅", I420="D90"), "X="&amp;(U420-1)*16&amp;",Y="&amp;(V420-1)*16&amp;",Z="&amp;(W420-2)*16, "")</f>
      </c>
      <c r="BF420" s="4">
        <f>IF(AND(Q420="✅", I420="D90"), "P=-90,Y=0,R=0", "")</f>
      </c>
      <c r="BG420" s="4" t="str"/>
      <c r="BH420" s="4" t="str"/>
      <c r="BI420" s="4" t="str"/>
      <c r="BJ420" s="4" t="str"/>
      <c r="BK420" s="4" t="str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</row>
    <row hidden="true" outlineLevel="2" r="421">
      <c r="A421" s="11"/>
      <c r="B421" s="11"/>
      <c r="C421" s="119"/>
      <c r="D421" s="119"/>
      <c r="E421" s="5">
        <f>E60</f>
      </c>
      <c r="F421" s="9">
        <f>IF(E421="", "", IF(G421="BP", E421, F420))</f>
      </c>
      <c r="G421" s="1"/>
      <c r="H421" s="1"/>
      <c r="I421" s="1"/>
      <c r="J421" s="1"/>
      <c r="K421" s="1"/>
      <c r="L421" s="1"/>
      <c r="M421" s="1"/>
      <c r="N421" s="3"/>
      <c r="O421" s="3"/>
      <c r="P421" s="3"/>
      <c r="Q421" s="3"/>
      <c r="R421" s="1" t="str"/>
      <c r="S421" s="9" t="str"/>
      <c r="T421" s="120" t="str"/>
      <c r="U421" s="118"/>
      <c r="V421" s="118"/>
      <c r="W421" s="118"/>
      <c r="X421" s="4"/>
      <c r="Y421" s="4">
        <f>IF(AND(Q421="✅", OR(ISNUMBER(FIND("F",I421)), I421="CR")),   "X="&amp;U421*16&amp;",Y="&amp;(V421-1)*16&amp;",Z="&amp;IF(I421="FD", -(W421-1)*16, (W421-1)*16),   "")</f>
      </c>
      <c r="Z421" s="4">
        <f>IF(AND(Q421="✅", OR(ISNUMBER(FIND("F",I421)), I421="CR")), "P=0,Y=0,R=0", "")</f>
      </c>
      <c r="AA421" s="4" t="str"/>
      <c r="AB421" s="4" t="str"/>
      <c r="AC421" s="4" t="str"/>
      <c r="AD421" s="4" t="str"/>
      <c r="AE421" s="4" t="str"/>
      <c r="AF421" s="4"/>
      <c r="AG421" s="4" t="str"/>
      <c r="AH421" s="4" t="str"/>
      <c r="AI421" s="4" t="str"/>
      <c r="AJ421" s="4" t="str"/>
      <c r="AK421" s="4" t="str"/>
      <c r="AL421" s="4" t="str"/>
      <c r="AM421" s="4" t="str"/>
      <c r="AN421" s="4"/>
      <c r="AO421" s="4" t="str"/>
      <c r="AP421" s="4" t="str"/>
      <c r="AQ421" s="4" t="str"/>
      <c r="AR421" s="4" t="str"/>
      <c r="AS421" s="4" t="str"/>
      <c r="AT421" s="4" t="str"/>
      <c r="AU421" s="4" t="str"/>
      <c r="AV421" s="4"/>
      <c r="AW421" s="4">
        <f>IF(AND(Q421="✅", I421="U90"), "X="&amp;(U421-1)*16&amp;",Y="&amp;(V421-1)*16&amp;",Z="&amp;W421*16, "")</f>
      </c>
      <c r="AX421" s="4">
        <f>IF(AND(Q421="✅", I421="U90"), "P=90,Y=0,R=0", "")</f>
      </c>
      <c r="AY421" s="4" t="str"/>
      <c r="AZ421" s="4" t="str"/>
      <c r="BA421" s="4" t="str"/>
      <c r="BB421" s="4" t="str"/>
      <c r="BC421" s="4" t="str"/>
      <c r="BD421" s="4"/>
      <c r="BE421" s="4">
        <f>IF(AND(Q421="✅", I421="D90"), "X="&amp;(U421-1)*16&amp;",Y="&amp;(V421-1)*16&amp;",Z="&amp;(W421-2)*16, "")</f>
      </c>
      <c r="BF421" s="4">
        <f>IF(AND(Q421="✅", I421="D90"), "P=-90,Y=0,R=0", "")</f>
      </c>
      <c r="BG421" s="4" t="str"/>
      <c r="BH421" s="4" t="str"/>
      <c r="BI421" s="4" t="str"/>
      <c r="BJ421" s="4" t="str"/>
      <c r="BK421" s="4" t="str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</row>
    <row hidden="true" outlineLevel="1" r="422">
      <c r="A422" s="11"/>
      <c r="B422" s="11"/>
      <c r="C422" s="119"/>
      <c r="D422" s="119"/>
      <c r="E422" s="5">
        <f>G422 &amp; "_" &amp; H422 &amp; IF(I422&lt;&gt;"", "_" &amp; I422, "") &amp; IF(J422&lt;&gt;"", "_" &amp; J422, "") &amp; IF(K422&lt;&gt;"", "_" &amp; K422, "") &amp;"_X"&amp;U422&amp;"_Y"&amp;V422&amp;"_Z"&amp;W422 &amp; IF(G422="SM", "_Proxy" , "_Rail") &amp; IF(M422&lt;&gt;"", "_" &amp; M422, "")</f>
      </c>
      <c r="F422" s="9">
        <f>IF(E422="", "", IF(G422="BP", E422, F421))</f>
      </c>
      <c r="G422" s="1" t="str">
        <v>BP</v>
      </c>
      <c r="H422" s="1" t="str">
        <v>SwingBasket</v>
      </c>
      <c r="I422" s="1" t="str">
        <v>F</v>
      </c>
      <c r="J422" s="1" t="str">
        <v>CheckHole</v>
      </c>
      <c r="K422" s="1" t="str">
        <v>Rotate_Y</v>
      </c>
      <c r="L422" s="1"/>
      <c r="M422" s="1"/>
      <c r="N422" s="3">
        <v>2</v>
      </c>
      <c r="O422" s="3"/>
      <c r="P422" s="3"/>
      <c r="Q422" s="3" t="str">
        <v>❗</v>
      </c>
      <c r="R422" s="1" t="str"/>
      <c r="S422" s="9" t="str"/>
      <c r="T422" s="120">
        <v>5.5</v>
      </c>
      <c r="U422" s="118">
        <v>1</v>
      </c>
      <c r="V422" s="118">
        <v>1</v>
      </c>
      <c r="W422" s="118">
        <v>2</v>
      </c>
      <c r="X422" s="4"/>
      <c r="Y422" s="4">
        <f>IF(AND(Q422="✅", OR(ISNUMBER(FIND("F",I422)), I422="CR")),   "X="&amp;U422*16&amp;",Y="&amp;(V422-1)*16&amp;",Z="&amp;IF(I422="FD", -(W422-1)*16, (W422-1)*16),   "")</f>
      </c>
      <c r="Z422" s="4">
        <f>IF(AND(Q422="✅", OR(ISNUMBER(FIND("F",I422)), I422="CR")), "P=0,Y=0,R=0", "")</f>
      </c>
      <c r="AA422" s="4" t="str"/>
      <c r="AB422" s="4" t="str"/>
      <c r="AC422" s="4" t="str"/>
      <c r="AD422" s="4" t="str"/>
      <c r="AE422" s="4" t="str"/>
      <c r="AF422" s="4"/>
      <c r="AG422" s="4" t="str"/>
      <c r="AH422" s="4" t="str"/>
      <c r="AI422" s="4" t="str"/>
      <c r="AJ422" s="4" t="str"/>
      <c r="AK422" s="4" t="str"/>
      <c r="AL422" s="4" t="str"/>
      <c r="AM422" s="4" t="str"/>
      <c r="AN422" s="4"/>
      <c r="AO422" s="4" t="str"/>
      <c r="AP422" s="4" t="str"/>
      <c r="AQ422" s="4" t="str"/>
      <c r="AR422" s="4" t="str"/>
      <c r="AS422" s="4" t="str"/>
      <c r="AT422" s="4" t="str"/>
      <c r="AU422" s="4" t="str"/>
      <c r="AV422" s="4"/>
      <c r="AW422" s="4">
        <f>IF(AND(Q422="✅", I422="U90"), "X="&amp;(U422-1)*16&amp;",Y="&amp;(V422-1)*16&amp;",Z="&amp;W422*16, "")</f>
      </c>
      <c r="AX422" s="4">
        <f>IF(AND(Q422="✅", I422="U90"), "P=90,Y=0,R=0", "")</f>
      </c>
      <c r="AY422" s="4" t="str"/>
      <c r="AZ422" s="4" t="str"/>
      <c r="BA422" s="4" t="str"/>
      <c r="BB422" s="4" t="str"/>
      <c r="BC422" s="4" t="str"/>
      <c r="BD422" s="4"/>
      <c r="BE422" s="4">
        <f>IF(AND(Q422="✅", I422="D90"), "X="&amp;(U422-1)*16&amp;",Y="&amp;(V422-1)*16&amp;",Z="&amp;(W422-2)*16, "")</f>
      </c>
      <c r="BF422" s="4">
        <f>IF(AND(Q422="✅", I422="D90"), "P=-90,Y=0,R=0", "")</f>
      </c>
      <c r="BG422" s="4" t="str"/>
      <c r="BH422" s="4" t="str"/>
      <c r="BI422" s="4" t="str"/>
      <c r="BJ422" s="4" t="str"/>
      <c r="BK422" s="4" t="str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</row>
    <row hidden="true" outlineLevel="2" r="423">
      <c r="A423" s="11"/>
      <c r="B423" s="11"/>
      <c r="C423" s="119"/>
      <c r="D423" s="119"/>
      <c r="E423" s="5">
        <f>E69</f>
      </c>
      <c r="F423" s="9">
        <f>IF(E423="", "", IF(G423="BP", E423, F422))</f>
      </c>
      <c r="G423" s="1"/>
      <c r="H423" s="1"/>
      <c r="I423" s="1"/>
      <c r="J423" s="1" t="str">
        <v>CheckHole</v>
      </c>
      <c r="K423" s="1"/>
      <c r="L423" s="1"/>
      <c r="M423" s="1"/>
      <c r="N423" s="3"/>
      <c r="O423" s="3"/>
      <c r="P423" s="3"/>
      <c r="Q423" s="3"/>
      <c r="R423" s="1" t="str"/>
      <c r="S423" s="9" t="str">
        <v>/Script/Engine.BlueprintGeneratedClass'/Game/Item/Rail/Straight/F/Borderless_R/Straight_F_Borderless_R_X1_Y1_Z1/BP_Straight_F_Borderless_R_X1_Y1_Z1_Rail.BP_Straight_F_Borderless_R_X1_Y1_Z1_Rail_C'</v>
      </c>
      <c r="T423" s="120" t="str"/>
      <c r="U423" s="118"/>
      <c r="V423" s="118"/>
      <c r="W423" s="118"/>
      <c r="X423" s="4"/>
      <c r="Y423" s="4">
        <f>IF(AND(Q423="✅", OR(ISNUMBER(FIND("F",I423)), I423="CR")),   "X="&amp;U423*16&amp;",Y="&amp;(V423-1)*16&amp;",Z="&amp;IF(I423="FD", -(W423-1)*16, (W423-1)*16),   "")</f>
      </c>
      <c r="Z423" s="4">
        <f>IF(AND(Q423="✅", OR(ISNUMBER(FIND("F",I423)), I423="CR")), "P=0,Y=0,R=0", "")</f>
      </c>
      <c r="AA423" s="4" t="str"/>
      <c r="AB423" s="4" t="str"/>
      <c r="AC423" s="4" t="str"/>
      <c r="AD423" s="4" t="str"/>
      <c r="AE423" s="4" t="str"/>
      <c r="AF423" s="4"/>
      <c r="AG423" s="4" t="str"/>
      <c r="AH423" s="4" t="str"/>
      <c r="AI423" s="4" t="str"/>
      <c r="AJ423" s="4" t="str"/>
      <c r="AK423" s="4" t="str"/>
      <c r="AL423" s="4" t="str"/>
      <c r="AM423" s="4" t="str"/>
      <c r="AN423" s="4"/>
      <c r="AO423" s="4" t="str"/>
      <c r="AP423" s="4" t="str"/>
      <c r="AQ423" s="4" t="str"/>
      <c r="AR423" s="4" t="str"/>
      <c r="AS423" s="4" t="str"/>
      <c r="AT423" s="4" t="str"/>
      <c r="AU423" s="4" t="str"/>
      <c r="AV423" s="4"/>
      <c r="AW423" s="4">
        <f>IF(AND(Q423="✅", I423="U90"), "X="&amp;(U423-1)*16&amp;",Y="&amp;(V423-1)*16&amp;",Z="&amp;W423*16, "")</f>
      </c>
      <c r="AX423" s="4">
        <f>IF(AND(Q423="✅", I423="U90"), "P=90,Y=0,R=0", "")</f>
      </c>
      <c r="AY423" s="4" t="str"/>
      <c r="AZ423" s="4" t="str"/>
      <c r="BA423" s="4" t="str"/>
      <c r="BB423" s="4" t="str"/>
      <c r="BC423" s="4" t="str"/>
      <c r="BD423" s="4"/>
      <c r="BE423" s="4">
        <f>IF(AND(Q423="✅", I423="D90"), "X="&amp;(U423-1)*16&amp;",Y="&amp;(V423-1)*16&amp;",Z="&amp;(W423-2)*16, "")</f>
      </c>
      <c r="BF423" s="4">
        <f>IF(AND(Q423="✅", I423="D90"), "P=-90,Y=0,R=0", "")</f>
      </c>
      <c r="BG423" s="4" t="str"/>
      <c r="BH423" s="4" t="str"/>
      <c r="BI423" s="4" t="str"/>
      <c r="BJ423" s="4" t="str"/>
      <c r="BK423" s="4" t="str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</row>
    <row hidden="true" outlineLevel="1" r="424">
      <c r="A424" s="11"/>
      <c r="B424" s="11"/>
      <c r="C424" s="119"/>
      <c r="D424" s="119"/>
      <c r="E424" s="5">
        <f>G424 &amp; "_" &amp; H424 &amp; IF(I424&lt;&gt;"", "_" &amp; I424, "") &amp; IF(J424&lt;&gt;"", "_" &amp; J424, "") &amp; IF(K424&lt;&gt;"", "_" &amp; K424, "") &amp;"_X"&amp;U424&amp;"_Y"&amp;V424&amp;"_Z"&amp;W424 &amp; IF(G424="SM", "_Proxy" , "_Rail") &amp; IF(M424&lt;&gt;"", "_" &amp; M424, "")</f>
      </c>
      <c r="F424" s="9">
        <f>IF(E424="", "", IF(G424="BP", E424, F423))</f>
      </c>
      <c r="G424" s="1" t="str">
        <v>BP</v>
      </c>
      <c r="H424" s="1" t="str">
        <v>SwingBasket</v>
      </c>
      <c r="I424" s="1" t="str">
        <v>F</v>
      </c>
      <c r="J424" s="1" t="str">
        <v>CheckHole</v>
      </c>
      <c r="K424" s="1" t="str">
        <v>Rotate_Y</v>
      </c>
      <c r="L424" s="1"/>
      <c r="M424" s="1"/>
      <c r="N424" s="3">
        <v>2</v>
      </c>
      <c r="O424" s="3"/>
      <c r="P424" s="3"/>
      <c r="Q424" s="3" t="str">
        <v>❗</v>
      </c>
      <c r="R424" s="1" t="str"/>
      <c r="S424" s="9" t="str"/>
      <c r="T424" s="120">
        <v>6</v>
      </c>
      <c r="U424" s="118">
        <v>1</v>
      </c>
      <c r="V424" s="118">
        <v>1</v>
      </c>
      <c r="W424" s="118">
        <v>3</v>
      </c>
      <c r="X424" s="4"/>
      <c r="Y424" s="4">
        <f>IF(AND(Q424="✅", OR(ISNUMBER(FIND("F",I424)), I424="CR")),   "X="&amp;U424*16&amp;",Y="&amp;(V424-1)*16&amp;",Z="&amp;IF(I424="FD", -(W424-1)*16, (W424-1)*16),   "")</f>
      </c>
      <c r="Z424" s="4">
        <f>IF(AND(Q424="✅", OR(ISNUMBER(FIND("F",I424)), I424="CR")), "P=0,Y=0,R=0", "")</f>
      </c>
      <c r="AA424" s="4" t="str"/>
      <c r="AB424" s="4" t="str"/>
      <c r="AC424" s="4" t="str"/>
      <c r="AD424" s="4" t="str"/>
      <c r="AE424" s="4" t="str"/>
      <c r="AF424" s="4"/>
      <c r="AG424" s="4" t="str"/>
      <c r="AH424" s="4" t="str"/>
      <c r="AI424" s="4" t="str"/>
      <c r="AJ424" s="4" t="str"/>
      <c r="AK424" s="4" t="str"/>
      <c r="AL424" s="4" t="str"/>
      <c r="AM424" s="4" t="str"/>
      <c r="AN424" s="4"/>
      <c r="AO424" s="4" t="str"/>
      <c r="AP424" s="4" t="str"/>
      <c r="AQ424" s="4" t="str"/>
      <c r="AR424" s="4" t="str"/>
      <c r="AS424" s="4" t="str"/>
      <c r="AT424" s="4" t="str"/>
      <c r="AU424" s="4" t="str"/>
      <c r="AV424" s="4"/>
      <c r="AW424" s="4">
        <f>IF(AND(Q424="✅", I424="U90"), "X="&amp;(U424-1)*16&amp;",Y="&amp;(V424-1)*16&amp;",Z="&amp;W424*16, "")</f>
      </c>
      <c r="AX424" s="4">
        <f>IF(AND(Q424="✅", I424="U90"), "P=90,Y=0,R=0", "")</f>
      </c>
      <c r="AY424" s="4" t="str"/>
      <c r="AZ424" s="4" t="str"/>
      <c r="BA424" s="4" t="str"/>
      <c r="BB424" s="4" t="str"/>
      <c r="BC424" s="4" t="str"/>
      <c r="BD424" s="4"/>
      <c r="BE424" s="4">
        <f>IF(AND(Q424="✅", I424="D90"), "X="&amp;(U424-1)*16&amp;",Y="&amp;(V424-1)*16&amp;",Z="&amp;(W424-2)*16, "")</f>
      </c>
      <c r="BF424" s="4">
        <f>IF(AND(Q424="✅", I424="D90"), "P=-90,Y=0,R=0", "")</f>
      </c>
      <c r="BG424" s="4" t="str"/>
      <c r="BH424" s="4" t="str"/>
      <c r="BI424" s="4" t="str"/>
      <c r="BJ424" s="4" t="str"/>
      <c r="BK424" s="4" t="str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</row>
    <row hidden="true" outlineLevel="2" r="425">
      <c r="A425" s="11"/>
      <c r="B425" s="11"/>
      <c r="C425" s="119"/>
      <c r="D425" s="119"/>
      <c r="E425" s="5">
        <f>E71</f>
      </c>
      <c r="F425" s="9">
        <f>IF(E425="", "", IF(G425="BP", E425, F424))</f>
      </c>
      <c r="G425" s="1"/>
      <c r="H425" s="1"/>
      <c r="I425" s="1"/>
      <c r="J425" s="1" t="str">
        <v>CheckHole</v>
      </c>
      <c r="K425" s="1"/>
      <c r="L425" s="1"/>
      <c r="M425" s="1"/>
      <c r="N425" s="3"/>
      <c r="O425" s="3"/>
      <c r="P425" s="3"/>
      <c r="Q425" s="3"/>
      <c r="R425" s="1" t="str"/>
      <c r="S425" s="9" t="str">
        <v>/Script/Engine.StaticMesh'/Game/Item/Rail/Straight/F/Normal/Straight_F_X1_Y1_Z1/Proxy/SM_Straight_F_X1_Y1_Z1_Proxy_L.SM_Straight_F_X1_Y1_Z1_Proxy_L'</v>
      </c>
      <c r="T425" s="120" t="str"/>
      <c r="U425" s="118"/>
      <c r="V425" s="118"/>
      <c r="W425" s="118"/>
      <c r="X425" s="4"/>
      <c r="Y425" s="4">
        <f>IF(AND(Q425="✅", OR(ISNUMBER(FIND("F",I425)), I425="CR")),   "X="&amp;U425*16&amp;",Y="&amp;(V425-1)*16&amp;",Z="&amp;IF(I425="FD", -(W425-1)*16, (W425-1)*16),   "")</f>
      </c>
      <c r="Z425" s="4">
        <f>IF(AND(Q425="✅", OR(ISNUMBER(FIND("F",I425)), I425="CR")), "P=0,Y=0,R=0", "")</f>
      </c>
      <c r="AA425" s="4" t="str"/>
      <c r="AB425" s="4" t="str"/>
      <c r="AC425" s="4" t="str"/>
      <c r="AD425" s="4" t="str"/>
      <c r="AE425" s="4" t="str"/>
      <c r="AF425" s="4"/>
      <c r="AG425" s="4" t="str"/>
      <c r="AH425" s="4" t="str"/>
      <c r="AI425" s="4" t="str"/>
      <c r="AJ425" s="4" t="str"/>
      <c r="AK425" s="4" t="str"/>
      <c r="AL425" s="4" t="str"/>
      <c r="AM425" s="4" t="str"/>
      <c r="AN425" s="4"/>
      <c r="AO425" s="4" t="str"/>
      <c r="AP425" s="4" t="str"/>
      <c r="AQ425" s="4" t="str"/>
      <c r="AR425" s="4" t="str"/>
      <c r="AS425" s="4" t="str"/>
      <c r="AT425" s="4" t="str"/>
      <c r="AU425" s="4" t="str"/>
      <c r="AV425" s="4"/>
      <c r="AW425" s="4">
        <f>IF(AND(Q425="✅", I425="U90"), "X="&amp;(U425-1)*16&amp;",Y="&amp;(V425-1)*16&amp;",Z="&amp;W425*16, "")</f>
      </c>
      <c r="AX425" s="4">
        <f>IF(AND(Q425="✅", I425="U90"), "P=90,Y=0,R=0", "")</f>
      </c>
      <c r="AY425" s="4" t="str"/>
      <c r="AZ425" s="4" t="str"/>
      <c r="BA425" s="4" t="str"/>
      <c r="BB425" s="4" t="str"/>
      <c r="BC425" s="4" t="str"/>
      <c r="BD425" s="4"/>
      <c r="BE425" s="4">
        <f>IF(AND(Q425="✅", I425="D90"), "X="&amp;(U425-1)*16&amp;",Y="&amp;(V425-1)*16&amp;",Z="&amp;(W425-2)*16, "")</f>
      </c>
      <c r="BF425" s="4">
        <f>IF(AND(Q425="✅", I425="D90"), "P=-90,Y=0,R=0", "")</f>
      </c>
      <c r="BG425" s="4" t="str"/>
      <c r="BH425" s="4" t="str"/>
      <c r="BI425" s="4" t="str"/>
      <c r="BJ425" s="4" t="str"/>
      <c r="BK425" s="4" t="str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</row>
    <row hidden="true" outlineLevel="1" r="426">
      <c r="A426" s="11"/>
      <c r="B426" s="11"/>
      <c r="C426" s="119"/>
      <c r="D426" s="119"/>
      <c r="E426" s="5">
        <f>G426 &amp; "_" &amp; H426 &amp; IF(I426&lt;&gt;"", "_" &amp; I426, "") &amp; IF(J426&lt;&gt;"", "_" &amp; J426, "") &amp; IF(K426&lt;&gt;"", "_" &amp; K426, "") &amp;"_X"&amp;U426&amp;"_Y"&amp;V426&amp;"_Z"&amp;W426 &amp; IF(G426="SM", "_Proxy" , "_Rail") &amp; IF(M426&lt;&gt;"", "_" &amp; M426, "")</f>
      </c>
      <c r="F426" s="9">
        <f>IF(E426="", "", IF(G426="BP", E426, F425))</f>
      </c>
      <c r="G426" s="1" t="str">
        <v>BP</v>
      </c>
      <c r="H426" s="1" t="str">
        <v>SwingBasket</v>
      </c>
      <c r="I426" s="1" t="str">
        <v>F</v>
      </c>
      <c r="J426" s="1" t="str">
        <v>CheckHole</v>
      </c>
      <c r="K426" s="1" t="str">
        <v>Rotate_Y</v>
      </c>
      <c r="L426" s="1"/>
      <c r="M426" s="1"/>
      <c r="N426" s="3">
        <v>2</v>
      </c>
      <c r="O426" s="3"/>
      <c r="P426" s="3"/>
      <c r="Q426" s="3" t="str">
        <v>❗</v>
      </c>
      <c r="R426" s="1" t="str"/>
      <c r="S426" s="9" t="str"/>
      <c r="T426" s="120">
        <v>6.5</v>
      </c>
      <c r="U426" s="118">
        <v>1</v>
      </c>
      <c r="V426" s="118">
        <v>1</v>
      </c>
      <c r="W426" s="118">
        <v>4</v>
      </c>
      <c r="X426" s="4"/>
      <c r="Y426" s="4">
        <f>IF(AND(Q426="✅", OR(ISNUMBER(FIND("F",I426)), I426="CR")),   "X="&amp;U426*16&amp;",Y="&amp;(V426-1)*16&amp;",Z="&amp;IF(I426="FD", -(W426-1)*16, (W426-1)*16),   "")</f>
      </c>
      <c r="Z426" s="4">
        <f>IF(AND(Q426="✅", OR(ISNUMBER(FIND("F",I426)), I426="CR")), "P=0,Y=0,R=0", "")</f>
      </c>
      <c r="AA426" s="4" t="str"/>
      <c r="AB426" s="4" t="str"/>
      <c r="AC426" s="4" t="str"/>
      <c r="AD426" s="4" t="str"/>
      <c r="AE426" s="4" t="str"/>
      <c r="AF426" s="4"/>
      <c r="AG426" s="4" t="str"/>
      <c r="AH426" s="4" t="str"/>
      <c r="AI426" s="4" t="str"/>
      <c r="AJ426" s="4" t="str"/>
      <c r="AK426" s="4" t="str"/>
      <c r="AL426" s="4" t="str"/>
      <c r="AM426" s="4" t="str"/>
      <c r="AN426" s="4"/>
      <c r="AO426" s="4" t="str"/>
      <c r="AP426" s="4" t="str"/>
      <c r="AQ426" s="4" t="str"/>
      <c r="AR426" s="4" t="str"/>
      <c r="AS426" s="4" t="str"/>
      <c r="AT426" s="4" t="str"/>
      <c r="AU426" s="4" t="str"/>
      <c r="AV426" s="4"/>
      <c r="AW426" s="4">
        <f>IF(AND(Q426="✅", I426="U90"), "X="&amp;(U426-1)*16&amp;",Y="&amp;(V426-1)*16&amp;",Z="&amp;W426*16, "")</f>
      </c>
      <c r="AX426" s="4">
        <f>IF(AND(Q426="✅", I426="U90"), "P=90,Y=0,R=0", "")</f>
      </c>
      <c r="AY426" s="4" t="str"/>
      <c r="AZ426" s="4" t="str"/>
      <c r="BA426" s="4" t="str"/>
      <c r="BB426" s="4" t="str"/>
      <c r="BC426" s="4" t="str"/>
      <c r="BD426" s="4"/>
      <c r="BE426" s="4">
        <f>IF(AND(Q426="✅", I426="D90"), "X="&amp;(U426-1)*16&amp;",Y="&amp;(V426-1)*16&amp;",Z="&amp;(W426-2)*16, "")</f>
      </c>
      <c r="BF426" s="4">
        <f>IF(AND(Q426="✅", I426="D90"), "P=-90,Y=0,R=0", "")</f>
      </c>
      <c r="BG426" s="4" t="str"/>
      <c r="BH426" s="4" t="str"/>
      <c r="BI426" s="4" t="str"/>
      <c r="BJ426" s="4" t="str"/>
      <c r="BK426" s="4" t="str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</row>
    <row hidden="true" outlineLevel="1" r="427">
      <c r="A427" s="11"/>
      <c r="B427" s="11"/>
      <c r="C427" s="119"/>
      <c r="D427" s="119"/>
      <c r="E427" s="5">
        <f>E75</f>
      </c>
      <c r="F427" s="9">
        <f>IF(E427="", "", IF(G427="BP", E427, F426))</f>
      </c>
      <c r="G427" s="1"/>
      <c r="H427" s="1"/>
      <c r="I427" s="1"/>
      <c r="J427" s="1"/>
      <c r="K427" s="1"/>
      <c r="L427" s="1"/>
      <c r="M427" s="1"/>
      <c r="N427" s="3"/>
      <c r="O427" s="3"/>
      <c r="P427" s="3"/>
      <c r="Q427" s="3"/>
      <c r="R427" s="1" t="str"/>
      <c r="S427" s="9" t="str"/>
      <c r="T427" s="120" t="str"/>
      <c r="U427" s="118"/>
      <c r="V427" s="118"/>
      <c r="W427" s="118"/>
      <c r="X427" s="4"/>
      <c r="Y427" s="4">
        <f>IF(AND(Q427="✅", OR(ISNUMBER(FIND("F",I427)), I427="CR")),   "X="&amp;U427*16&amp;",Y="&amp;(V427-1)*16&amp;",Z="&amp;IF(I427="FD", -(W427-1)*16, (W427-1)*16),   "")</f>
      </c>
      <c r="Z427" s="4">
        <f>IF(AND(Q427="✅", OR(ISNUMBER(FIND("F",I427)), I427="CR")), "P=0,Y=0,R=0", "")</f>
      </c>
      <c r="AA427" s="4" t="str"/>
      <c r="AB427" s="4" t="str"/>
      <c r="AC427" s="4" t="str"/>
      <c r="AD427" s="4" t="str"/>
      <c r="AE427" s="4" t="str"/>
      <c r="AF427" s="4"/>
      <c r="AG427" s="4" t="str"/>
      <c r="AH427" s="4" t="str"/>
      <c r="AI427" s="4" t="str"/>
      <c r="AJ427" s="4" t="str"/>
      <c r="AK427" s="4" t="str"/>
      <c r="AL427" s="4" t="str"/>
      <c r="AM427" s="4" t="str"/>
      <c r="AN427" s="4"/>
      <c r="AO427" s="4" t="str"/>
      <c r="AP427" s="4" t="str"/>
      <c r="AQ427" s="4" t="str"/>
      <c r="AR427" s="4" t="str"/>
      <c r="AS427" s="4" t="str"/>
      <c r="AT427" s="4" t="str"/>
      <c r="AU427" s="4" t="str"/>
      <c r="AV427" s="4"/>
      <c r="AW427" s="4">
        <f>IF(AND(Q427="✅", I427="U90"), "X="&amp;(U427-1)*16&amp;",Y="&amp;(V427-1)*16&amp;",Z="&amp;W427*16, "")</f>
      </c>
      <c r="AX427" s="4">
        <f>IF(AND(Q427="✅", I427="U90"), "P=90,Y=0,R=0", "")</f>
      </c>
      <c r="AY427" s="4" t="str"/>
      <c r="AZ427" s="4" t="str"/>
      <c r="BA427" s="4" t="str"/>
      <c r="BB427" s="4" t="str"/>
      <c r="BC427" s="4" t="str"/>
      <c r="BD427" s="4"/>
      <c r="BE427" s="4">
        <f>IF(AND(Q427="✅", I427="D90"), "X="&amp;(U427-1)*16&amp;",Y="&amp;(V427-1)*16&amp;",Z="&amp;(W427-2)*16, "")</f>
      </c>
      <c r="BF427" s="4">
        <f>IF(AND(Q427="✅", I427="D90"), "P=-90,Y=0,R=0", "")</f>
      </c>
      <c r="BG427" s="4" t="str"/>
      <c r="BH427" s="4" t="str"/>
      <c r="BI427" s="4" t="str"/>
      <c r="BJ427" s="4" t="str"/>
      <c r="BK427" s="4" t="str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</row>
    <row r="428">
      <c r="A428" s="11"/>
      <c r="B428" s="11"/>
      <c r="C428" s="119"/>
      <c r="D428" s="119"/>
      <c r="E428" s="5"/>
      <c r="F428" s="9">
        <f>IF(E428="", "", IF(G428="BP", E428, F427))</f>
      </c>
      <c r="G428" s="1"/>
      <c r="H428" s="1"/>
      <c r="I428" s="1"/>
      <c r="J428" s="1"/>
      <c r="K428" s="1"/>
      <c r="L428" s="1"/>
      <c r="M428" s="1"/>
      <c r="N428" s="3"/>
      <c r="O428" s="3"/>
      <c r="P428" s="3"/>
      <c r="Q428" s="3"/>
      <c r="R428" s="1" t="str"/>
      <c r="S428" s="9" t="str"/>
      <c r="T428" s="120" t="str"/>
      <c r="U428" s="118"/>
      <c r="V428" s="118"/>
      <c r="W428" s="118"/>
      <c r="X428" s="4"/>
      <c r="Y428" s="4">
        <f>IF(AND(Q428="✅", OR(ISNUMBER(FIND("F",I428)), I428="CR")),   "X="&amp;U428*16&amp;",Y="&amp;(V428-1)*16&amp;",Z="&amp;IF(I428="FD", -(W428-1)*16, (W428-1)*16),   "")</f>
      </c>
      <c r="Z428" s="4">
        <f>IF(AND(Q428="✅", OR(ISNUMBER(FIND("F",I428)), I428="CR")), "P=0,Y=0,R=0", "")</f>
      </c>
      <c r="AA428" s="4" t="str"/>
      <c r="AB428" s="4" t="str"/>
      <c r="AC428" s="4" t="str"/>
      <c r="AD428" s="4" t="str"/>
      <c r="AE428" s="4" t="str"/>
      <c r="AF428" s="4"/>
      <c r="AG428" s="4" t="str"/>
      <c r="AH428" s="4" t="str"/>
      <c r="AI428" s="4" t="str"/>
      <c r="AJ428" s="4" t="str"/>
      <c r="AK428" s="4" t="str"/>
      <c r="AL428" s="4" t="str"/>
      <c r="AM428" s="4" t="str"/>
      <c r="AN428" s="4"/>
      <c r="AO428" s="4" t="str"/>
      <c r="AP428" s="4" t="str"/>
      <c r="AQ428" s="4" t="str"/>
      <c r="AR428" s="4" t="str"/>
      <c r="AS428" s="4" t="str"/>
      <c r="AT428" s="4" t="str"/>
      <c r="AU428" s="4" t="str"/>
      <c r="AV428" s="4"/>
      <c r="AW428" s="4">
        <f>IF(AND(Q428="✅", I428="U90"), "X="&amp;(U428-1)*16&amp;",Y="&amp;(V428-1)*16&amp;",Z="&amp;W428*16, "")</f>
      </c>
      <c r="AX428" s="4">
        <f>IF(AND(Q428="✅", I428="U90"), "P=90,Y=0,R=0", "")</f>
      </c>
      <c r="AY428" s="4" t="str"/>
      <c r="AZ428" s="4" t="str"/>
      <c r="BA428" s="4" t="str"/>
      <c r="BB428" s="4" t="str"/>
      <c r="BC428" s="4" t="str"/>
      <c r="BD428" s="4"/>
      <c r="BE428" s="4">
        <f>IF(AND(Q428="✅", I428="D90"), "X="&amp;(U428-1)*16&amp;",Y="&amp;(V428-1)*16&amp;",Z="&amp;(W428-2)*16, "")</f>
      </c>
      <c r="BF428" s="4">
        <f>IF(AND(Q428="✅", I428="D90"), "P=-90,Y=0,R=0", "")</f>
      </c>
      <c r="BG428" s="4" t="str"/>
      <c r="BH428" s="4" t="str"/>
      <c r="BI428" s="4" t="str"/>
      <c r="BJ428" s="4" t="str"/>
      <c r="BK428" s="4" t="str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</row>
    <row r="429">
      <c r="A429" s="11"/>
      <c r="B429" s="11"/>
      <c r="C429" s="119"/>
      <c r="D429" s="119"/>
      <c r="E429" s="5"/>
      <c r="F429" s="9">
        <f>IF(E429="", "", IF(G429="BP", E429, F428))</f>
      </c>
      <c r="G429" s="1"/>
      <c r="H429" s="1"/>
      <c r="I429" s="1"/>
      <c r="J429" s="1"/>
      <c r="K429" s="1"/>
      <c r="L429" s="1"/>
      <c r="M429" s="1"/>
      <c r="N429" s="3"/>
      <c r="O429" s="3"/>
      <c r="P429" s="3"/>
      <c r="Q429" s="3"/>
      <c r="R429" s="1" t="str"/>
      <c r="S429" s="9" t="str"/>
      <c r="T429" s="120" t="str"/>
      <c r="U429" s="118"/>
      <c r="V429" s="118"/>
      <c r="W429" s="118"/>
      <c r="X429" s="4"/>
      <c r="Y429" s="4">
        <f>IF(AND(Q429="✅", OR(ISNUMBER(FIND("F",I429)), I429="CR")),   "X="&amp;U429*16&amp;",Y="&amp;(V429-1)*16&amp;",Z="&amp;IF(I429="FD", -(W429-1)*16, (W429-1)*16),   "")</f>
      </c>
      <c r="Z429" s="4">
        <f>IF(AND(Q429="✅", OR(ISNUMBER(FIND("F",I429)), I429="CR")), "P=0,Y=0,R=0", "")</f>
      </c>
      <c r="AA429" s="4" t="str"/>
      <c r="AB429" s="4" t="str"/>
      <c r="AC429" s="4" t="str"/>
      <c r="AD429" s="4" t="str"/>
      <c r="AE429" s="4" t="str"/>
      <c r="AF429" s="4"/>
      <c r="AG429" s="4" t="str"/>
      <c r="AH429" s="4" t="str"/>
      <c r="AI429" s="4" t="str"/>
      <c r="AJ429" s="4" t="str"/>
      <c r="AK429" s="4" t="str"/>
      <c r="AL429" s="4" t="str"/>
      <c r="AM429" s="4" t="str"/>
      <c r="AN429" s="4"/>
      <c r="AO429" s="4" t="str"/>
      <c r="AP429" s="4" t="str"/>
      <c r="AQ429" s="4" t="str"/>
      <c r="AR429" s="4" t="str"/>
      <c r="AS429" s="4" t="str"/>
      <c r="AT429" s="4" t="str"/>
      <c r="AU429" s="4" t="str"/>
      <c r="AV429" s="4"/>
      <c r="AW429" s="4">
        <f>IF(AND(Q429="✅", I429="U90"), "X="&amp;(U429-1)*16&amp;",Y="&amp;(V429-1)*16&amp;",Z="&amp;W429*16, "")</f>
      </c>
      <c r="AX429" s="4">
        <f>IF(AND(Q429="✅", I429="U90"), "P=90,Y=0,R=0", "")</f>
      </c>
      <c r="AY429" s="4" t="str"/>
      <c r="AZ429" s="4" t="str"/>
      <c r="BA429" s="4" t="str"/>
      <c r="BB429" s="4" t="str"/>
      <c r="BC429" s="4" t="str"/>
      <c r="BD429" s="4"/>
      <c r="BE429" s="4">
        <f>IF(AND(Q429="✅", I429="D90"), "X="&amp;(U429-1)*16&amp;",Y="&amp;(V429-1)*16&amp;",Z="&amp;(W429-2)*16, "")</f>
      </c>
      <c r="BF429" s="4">
        <f>IF(AND(Q429="✅", I429="D90"), "P=-90,Y=0,R=0", "")</f>
      </c>
      <c r="BG429" s="4" t="str"/>
      <c r="BH429" s="4" t="str"/>
      <c r="BI429" s="4" t="str"/>
      <c r="BJ429" s="4" t="str"/>
      <c r="BK429" s="4" t="str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</row>
    <row r="430">
      <c r="A430" s="11"/>
      <c r="B430" s="11"/>
      <c r="C430" s="119"/>
      <c r="D430" s="119"/>
      <c r="E430" s="5"/>
      <c r="F430" s="9">
        <f>IF(E430="", "", IF(G430="BP", E430, F429))</f>
      </c>
      <c r="G430" s="1"/>
      <c r="H430" s="1"/>
      <c r="I430" s="1"/>
      <c r="J430" s="1"/>
      <c r="K430" s="1"/>
      <c r="L430" s="1"/>
      <c r="M430" s="1"/>
      <c r="N430" s="3"/>
      <c r="O430" s="3"/>
      <c r="P430" s="3"/>
      <c r="Q430" s="3"/>
      <c r="R430" s="1" t="str"/>
      <c r="S430" s="9" t="str"/>
      <c r="T430" s="120" t="str"/>
      <c r="U430" s="118"/>
      <c r="V430" s="118"/>
      <c r="W430" s="118"/>
      <c r="X430" s="4"/>
      <c r="Y430" s="4">
        <f>IF(AND(Q430="✅", OR(ISNUMBER(FIND("F",I430)), I430="CR")),   "X="&amp;U430*16&amp;",Y="&amp;(V430-1)*16&amp;",Z="&amp;IF(I430="FD", -(W430-1)*16, (W430-1)*16),   "")</f>
      </c>
      <c r="Z430" s="4">
        <f>IF(AND(Q430="✅", OR(ISNUMBER(FIND("F",I430)), I430="CR")), "P=0,Y=0,R=0", "")</f>
      </c>
      <c r="AA430" s="4" t="str"/>
      <c r="AB430" s="4" t="str"/>
      <c r="AC430" s="4" t="str"/>
      <c r="AD430" s="4" t="str"/>
      <c r="AE430" s="4" t="str"/>
      <c r="AF430" s="4"/>
      <c r="AG430" s="4" t="str"/>
      <c r="AH430" s="4" t="str"/>
      <c r="AI430" s="4" t="str"/>
      <c r="AJ430" s="4" t="str"/>
      <c r="AK430" s="4" t="str"/>
      <c r="AL430" s="4" t="str"/>
      <c r="AM430" s="4" t="str"/>
      <c r="AN430" s="4"/>
      <c r="AO430" s="4" t="str"/>
      <c r="AP430" s="4" t="str"/>
      <c r="AQ430" s="4" t="str"/>
      <c r="AR430" s="4" t="str"/>
      <c r="AS430" s="4" t="str"/>
      <c r="AT430" s="4" t="str"/>
      <c r="AU430" s="4" t="str"/>
      <c r="AV430" s="4"/>
      <c r="AW430" s="4">
        <f>IF(AND(Q430="✅", I430="U90"), "X="&amp;(U430-1)*16&amp;",Y="&amp;(V430-1)*16&amp;",Z="&amp;W430*16, "")</f>
      </c>
      <c r="AX430" s="4">
        <f>IF(AND(Q430="✅", I430="U90"), "P=90,Y=0,R=0", "")</f>
      </c>
      <c r="AY430" s="4" t="str"/>
      <c r="AZ430" s="4" t="str"/>
      <c r="BA430" s="4" t="str"/>
      <c r="BB430" s="4" t="str"/>
      <c r="BC430" s="4" t="str"/>
      <c r="BD430" s="4"/>
      <c r="BE430" s="4">
        <f>IF(AND(Q430="✅", I430="D90"), "X="&amp;(U430-1)*16&amp;",Y="&amp;(V430-1)*16&amp;",Z="&amp;(W430-2)*16, "")</f>
      </c>
      <c r="BF430" s="4">
        <f>IF(AND(Q430="✅", I430="D90"), "P=-90,Y=0,R=0", "")</f>
      </c>
      <c r="BG430" s="4" t="str"/>
      <c r="BH430" s="4" t="str"/>
      <c r="BI430" s="4" t="str"/>
      <c r="BJ430" s="4" t="str"/>
      <c r="BK430" s="4" t="str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</row>
    <row r="431">
      <c r="A431" s="11"/>
      <c r="B431" s="11"/>
      <c r="C431" s="119"/>
      <c r="D431" s="119"/>
      <c r="E431" s="5"/>
      <c r="F431" s="9">
        <f>IF(E431="", "", IF(G431="BP", E431, F430))</f>
      </c>
      <c r="G431" s="1"/>
      <c r="H431" s="1"/>
      <c r="I431" s="1"/>
      <c r="J431" s="1"/>
      <c r="K431" s="1"/>
      <c r="L431" s="1"/>
      <c r="M431" s="1"/>
      <c r="N431" s="3"/>
      <c r="O431" s="3"/>
      <c r="P431" s="3"/>
      <c r="Q431" s="3"/>
      <c r="R431" s="1" t="str"/>
      <c r="S431" s="9" t="str"/>
      <c r="T431" s="120" t="str"/>
      <c r="U431" s="118"/>
      <c r="V431" s="118"/>
      <c r="W431" s="118"/>
      <c r="X431" s="4"/>
      <c r="Y431" s="4">
        <f>IF(AND(Q431="✅", OR(ISNUMBER(FIND("F",I431)), I431="CR")),   "X="&amp;U431*16&amp;",Y="&amp;(V431-1)*16&amp;",Z="&amp;IF(I431="FD", -(W431-1)*16, (W431-1)*16),   "")</f>
      </c>
      <c r="Z431" s="4">
        <f>IF(AND(Q431="✅", OR(ISNUMBER(FIND("F",I431)), I431="CR")), "P=0,Y=0,R=0", "")</f>
      </c>
      <c r="AA431" s="4" t="str"/>
      <c r="AB431" s="4" t="str"/>
      <c r="AC431" s="4" t="str"/>
      <c r="AD431" s="4" t="str"/>
      <c r="AE431" s="4" t="str"/>
      <c r="AF431" s="4"/>
      <c r="AG431" s="4" t="str"/>
      <c r="AH431" s="4" t="str"/>
      <c r="AI431" s="4" t="str"/>
      <c r="AJ431" s="4" t="str"/>
      <c r="AK431" s="4" t="str"/>
      <c r="AL431" s="4" t="str"/>
      <c r="AM431" s="4" t="str"/>
      <c r="AN431" s="4"/>
      <c r="AO431" s="4" t="str"/>
      <c r="AP431" s="4" t="str"/>
      <c r="AQ431" s="4" t="str"/>
      <c r="AR431" s="4" t="str"/>
      <c r="AS431" s="4" t="str"/>
      <c r="AT431" s="4" t="str"/>
      <c r="AU431" s="4" t="str"/>
      <c r="AV431" s="4"/>
      <c r="AW431" s="4">
        <f>IF(AND(Q431="✅", I431="U90"), "X="&amp;(U431-1)*16&amp;",Y="&amp;(V431-1)*16&amp;",Z="&amp;W431*16, "")</f>
      </c>
      <c r="AX431" s="4">
        <f>IF(AND(Q431="✅", I431="U90"), "P=90,Y=0,R=0", "")</f>
      </c>
      <c r="AY431" s="4" t="str"/>
      <c r="AZ431" s="4" t="str"/>
      <c r="BA431" s="4" t="str"/>
      <c r="BB431" s="4" t="str"/>
      <c r="BC431" s="4" t="str"/>
      <c r="BD431" s="4"/>
      <c r="BE431" s="4">
        <f>IF(AND(Q431="✅", I431="D90"), "X="&amp;(U431-1)*16&amp;",Y="&amp;(V431-1)*16&amp;",Z="&amp;(W431-2)*16, "")</f>
      </c>
      <c r="BF431" s="4">
        <f>IF(AND(Q431="✅", I431="D90"), "P=-90,Y=0,R=0", "")</f>
      </c>
      <c r="BG431" s="4" t="str"/>
      <c r="BH431" s="4" t="str"/>
      <c r="BI431" s="4" t="str"/>
      <c r="BJ431" s="4" t="str"/>
      <c r="BK431" s="4" t="str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</row>
    <row r="432">
      <c r="A432" s="11"/>
      <c r="B432" s="11"/>
      <c r="C432" s="119"/>
      <c r="D432" s="119"/>
      <c r="E432" s="5"/>
      <c r="F432" s="9">
        <f>IF(E432="", "", IF(G432="BP", E432, F431))</f>
      </c>
      <c r="G432" s="1"/>
      <c r="H432" s="1"/>
      <c r="I432" s="1"/>
      <c r="J432" s="1"/>
      <c r="K432" s="1"/>
      <c r="L432" s="1"/>
      <c r="M432" s="1"/>
      <c r="N432" s="3"/>
      <c r="O432" s="3"/>
      <c r="P432" s="3"/>
      <c r="Q432" s="3"/>
      <c r="R432" s="1" t="str"/>
      <c r="S432" s="9" t="str"/>
      <c r="T432" s="120" t="str"/>
      <c r="U432" s="118"/>
      <c r="V432" s="118"/>
      <c r="W432" s="118"/>
      <c r="X432" s="4"/>
      <c r="Y432" s="4">
        <f>IF(AND(Q432="✅", OR(ISNUMBER(FIND("F",I432)), I432="CR")),   "X="&amp;U432*16&amp;",Y="&amp;(V432-1)*16&amp;",Z="&amp;IF(I432="FD", -(W432-1)*16, (W432-1)*16),   "")</f>
      </c>
      <c r="Z432" s="4">
        <f>IF(AND(Q432="✅", OR(ISNUMBER(FIND("F",I432)), I432="CR")), "P=0,Y=0,R=0", "")</f>
      </c>
      <c r="AA432" s="4" t="str"/>
      <c r="AB432" s="4" t="str"/>
      <c r="AC432" s="4" t="str"/>
      <c r="AD432" s="4" t="str"/>
      <c r="AE432" s="4" t="str"/>
      <c r="AF432" s="4"/>
      <c r="AG432" s="4" t="str"/>
      <c r="AH432" s="4" t="str"/>
      <c r="AI432" s="4" t="str"/>
      <c r="AJ432" s="4" t="str"/>
      <c r="AK432" s="4" t="str"/>
      <c r="AL432" s="4" t="str"/>
      <c r="AM432" s="4" t="str"/>
      <c r="AN432" s="4"/>
      <c r="AO432" s="4" t="str"/>
      <c r="AP432" s="4" t="str"/>
      <c r="AQ432" s="4" t="str"/>
      <c r="AR432" s="4" t="str"/>
      <c r="AS432" s="4" t="str"/>
      <c r="AT432" s="4" t="str"/>
      <c r="AU432" s="4" t="str"/>
      <c r="AV432" s="4"/>
      <c r="AW432" s="4">
        <f>IF(AND(Q432="✅", I432="U90"), "X="&amp;(U432-1)*16&amp;",Y="&amp;(V432-1)*16&amp;",Z="&amp;W432*16, "")</f>
      </c>
      <c r="AX432" s="4">
        <f>IF(AND(Q432="✅", I432="U90"), "P=90,Y=0,R=0", "")</f>
      </c>
      <c r="AY432" s="4" t="str"/>
      <c r="AZ432" s="4" t="str"/>
      <c r="BA432" s="4" t="str"/>
      <c r="BB432" s="4" t="str"/>
      <c r="BC432" s="4" t="str"/>
      <c r="BD432" s="4"/>
      <c r="BE432" s="4">
        <f>IF(AND(Q432="✅", I432="D90"), "X="&amp;(U432-1)*16&amp;",Y="&amp;(V432-1)*16&amp;",Z="&amp;(W432-2)*16, "")</f>
      </c>
      <c r="BF432" s="4">
        <f>IF(AND(Q432="✅", I432="D90"), "P=-90,Y=0,R=0", "")</f>
      </c>
      <c r="BG432" s="4" t="str"/>
      <c r="BH432" s="4" t="str"/>
      <c r="BI432" s="4" t="str"/>
      <c r="BJ432" s="4" t="str"/>
      <c r="BK432" s="4" t="str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</row>
    <row r="433">
      <c r="A433" s="11"/>
      <c r="B433" s="11"/>
      <c r="C433" s="119"/>
      <c r="D433" s="119"/>
      <c r="E433" s="5"/>
      <c r="F433" s="9">
        <f>IF(E433="", "", IF(G433="BP", E433, F432))</f>
      </c>
      <c r="G433" s="1"/>
      <c r="H433" s="1"/>
      <c r="I433" s="1"/>
      <c r="J433" s="1"/>
      <c r="K433" s="1"/>
      <c r="L433" s="1"/>
      <c r="M433" s="1"/>
      <c r="N433" s="3"/>
      <c r="O433" s="3"/>
      <c r="P433" s="3"/>
      <c r="Q433" s="3"/>
      <c r="R433" s="1" t="str"/>
      <c r="S433" s="9" t="str"/>
      <c r="T433" s="120" t="str"/>
      <c r="U433" s="118"/>
      <c r="V433" s="118"/>
      <c r="W433" s="118"/>
      <c r="X433" s="4"/>
      <c r="Y433" s="4">
        <f>IF(AND(Q433="✅", OR(ISNUMBER(FIND("F",I433)), I433="CR")),   "X="&amp;U433*16&amp;",Y="&amp;(V433-1)*16&amp;",Z="&amp;IF(I433="FD", -(W433-1)*16, (W433-1)*16),   "")</f>
      </c>
      <c r="Z433" s="4">
        <f>IF(AND(Q433="✅", OR(ISNUMBER(FIND("F",I433)), I433="CR")), "P=0,Y=0,R=0", "")</f>
      </c>
      <c r="AA433" s="4" t="str"/>
      <c r="AB433" s="4" t="str"/>
      <c r="AC433" s="4" t="str"/>
      <c r="AD433" s="4" t="str"/>
      <c r="AE433" s="4" t="str"/>
      <c r="AF433" s="4"/>
      <c r="AG433" s="4" t="str"/>
      <c r="AH433" s="4" t="str"/>
      <c r="AI433" s="4" t="str"/>
      <c r="AJ433" s="4" t="str"/>
      <c r="AK433" s="4" t="str"/>
      <c r="AL433" s="4" t="str"/>
      <c r="AM433" s="4" t="str"/>
      <c r="AN433" s="4"/>
      <c r="AO433" s="4" t="str"/>
      <c r="AP433" s="4" t="str"/>
      <c r="AQ433" s="4" t="str"/>
      <c r="AR433" s="4" t="str"/>
      <c r="AS433" s="4" t="str"/>
      <c r="AT433" s="4" t="str"/>
      <c r="AU433" s="4" t="str"/>
      <c r="AV433" s="4"/>
      <c r="AW433" s="4">
        <f>IF(AND(Q433="✅", I433="U90"), "X="&amp;(U433-1)*16&amp;",Y="&amp;(V433-1)*16&amp;",Z="&amp;W433*16, "")</f>
      </c>
      <c r="AX433" s="4">
        <f>IF(AND(Q433="✅", I433="U90"), "P=90,Y=0,R=0", "")</f>
      </c>
      <c r="AY433" s="4" t="str"/>
      <c r="AZ433" s="4" t="str"/>
      <c r="BA433" s="4" t="str"/>
      <c r="BB433" s="4" t="str"/>
      <c r="BC433" s="4" t="str"/>
      <c r="BD433" s="4"/>
      <c r="BE433" s="4">
        <f>IF(AND(Q433="✅", I433="D90"), "X="&amp;(U433-1)*16&amp;",Y="&amp;(V433-1)*16&amp;",Z="&amp;(W433-2)*16, "")</f>
      </c>
      <c r="BF433" s="4">
        <f>IF(AND(Q433="✅", I433="D90"), "P=-90,Y=0,R=0", "")</f>
      </c>
      <c r="BG433" s="4" t="str"/>
      <c r="BH433" s="4" t="str"/>
      <c r="BI433" s="4" t="str"/>
      <c r="BJ433" s="4" t="str"/>
      <c r="BK433" s="4" t="str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</row>
    <row r="434">
      <c r="A434" s="11"/>
      <c r="B434" s="11"/>
      <c r="C434" s="119"/>
      <c r="D434" s="119"/>
      <c r="E434" s="5"/>
      <c r="F434" s="9">
        <f>IF(E434="", "", IF(G434="BP", E434, F433))</f>
      </c>
      <c r="G434" s="1"/>
      <c r="H434" s="1"/>
      <c r="I434" s="1"/>
      <c r="J434" s="1"/>
      <c r="K434" s="1"/>
      <c r="L434" s="1"/>
      <c r="M434" s="1"/>
      <c r="N434" s="3"/>
      <c r="O434" s="3"/>
      <c r="P434" s="3"/>
      <c r="Q434" s="3"/>
      <c r="R434" s="1" t="str"/>
      <c r="S434" s="9" t="str"/>
      <c r="T434" s="120" t="str"/>
      <c r="U434" s="118"/>
      <c r="V434" s="118"/>
      <c r="W434" s="118"/>
      <c r="X434" s="4"/>
      <c r="Y434" s="4">
        <f>IF(AND(Q434="✅", OR(ISNUMBER(FIND("F",I434)), I434="CR")),   "X="&amp;U434*16&amp;",Y="&amp;(V434-1)*16&amp;",Z="&amp;IF(I434="FD", -(W434-1)*16, (W434-1)*16),   "")</f>
      </c>
      <c r="Z434" s="4">
        <f>IF(AND(Q434="✅", OR(ISNUMBER(FIND("F",I434)), I434="CR")), "P=0,Y=0,R=0", "")</f>
      </c>
      <c r="AA434" s="4" t="str"/>
      <c r="AB434" s="4" t="str"/>
      <c r="AC434" s="4" t="str"/>
      <c r="AD434" s="4" t="str"/>
      <c r="AE434" s="4" t="str"/>
      <c r="AF434" s="4"/>
      <c r="AG434" s="4" t="str"/>
      <c r="AH434" s="4" t="str"/>
      <c r="AI434" s="4" t="str"/>
      <c r="AJ434" s="4" t="str"/>
      <c r="AK434" s="4" t="str"/>
      <c r="AL434" s="4" t="str"/>
      <c r="AM434" s="4" t="str"/>
      <c r="AN434" s="4"/>
      <c r="AO434" s="4" t="str"/>
      <c r="AP434" s="4" t="str"/>
      <c r="AQ434" s="4" t="str"/>
      <c r="AR434" s="4" t="str"/>
      <c r="AS434" s="4" t="str"/>
      <c r="AT434" s="4" t="str"/>
      <c r="AU434" s="4" t="str"/>
      <c r="AV434" s="4"/>
      <c r="AW434" s="4">
        <f>IF(AND(Q434="✅", I434="U90"), "X="&amp;(U434-1)*16&amp;",Y="&amp;(V434-1)*16&amp;",Z="&amp;W434*16, "")</f>
      </c>
      <c r="AX434" s="4">
        <f>IF(AND(Q434="✅", I434="U90"), "P=90,Y=0,R=0", "")</f>
      </c>
      <c r="AY434" s="4" t="str"/>
      <c r="AZ434" s="4" t="str"/>
      <c r="BA434" s="4" t="str"/>
      <c r="BB434" s="4" t="str"/>
      <c r="BC434" s="4" t="str"/>
      <c r="BD434" s="4"/>
      <c r="BE434" s="4">
        <f>IF(AND(Q434="✅", I434="D90"), "X="&amp;(U434-1)*16&amp;",Y="&amp;(V434-1)*16&amp;",Z="&amp;(W434-2)*16, "")</f>
      </c>
      <c r="BF434" s="4">
        <f>IF(AND(Q434="✅", I434="D90"), "P=-90,Y=0,R=0", "")</f>
      </c>
      <c r="BG434" s="4" t="str"/>
      <c r="BH434" s="4" t="str"/>
      <c r="BI434" s="4" t="str"/>
      <c r="BJ434" s="4" t="str"/>
      <c r="BK434" s="4" t="str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</row>
    <row r="435">
      <c r="A435" s="11"/>
      <c r="B435" s="11"/>
      <c r="C435" s="119"/>
      <c r="D435" s="119"/>
      <c r="E435" s="5"/>
      <c r="F435" s="9">
        <f>IF(E435="", "", IF(G435="BP", E435, F434))</f>
      </c>
      <c r="G435" s="1"/>
      <c r="H435" s="1"/>
      <c r="I435" s="1"/>
      <c r="J435" s="1"/>
      <c r="K435" s="1"/>
      <c r="L435" s="1"/>
      <c r="M435" s="1"/>
      <c r="N435" s="3"/>
      <c r="O435" s="3"/>
      <c r="P435" s="3"/>
      <c r="Q435" s="3"/>
      <c r="R435" s="1" t="str"/>
      <c r="S435" s="9" t="str"/>
      <c r="T435" s="120" t="str"/>
      <c r="U435" s="118"/>
      <c r="V435" s="118"/>
      <c r="W435" s="118"/>
      <c r="X435" s="4"/>
      <c r="Y435" s="4">
        <f>IF(AND(Q435="✅", OR(ISNUMBER(FIND("F",I435)), I435="CR")),   "X="&amp;U435*16&amp;",Y="&amp;(V435-1)*16&amp;",Z="&amp;IF(I435="FD", -(W435-1)*16, (W435-1)*16),   "")</f>
      </c>
      <c r="Z435" s="4">
        <f>IF(AND(Q435="✅", OR(ISNUMBER(FIND("F",I435)), I435="CR")), "P=0,Y=0,R=0", "")</f>
      </c>
      <c r="AA435" s="4" t="str"/>
      <c r="AB435" s="4" t="str"/>
      <c r="AC435" s="4" t="str"/>
      <c r="AD435" s="4" t="str"/>
      <c r="AE435" s="4" t="str"/>
      <c r="AF435" s="4"/>
      <c r="AG435" s="4" t="str"/>
      <c r="AH435" s="4" t="str"/>
      <c r="AI435" s="4" t="str"/>
      <c r="AJ435" s="4" t="str"/>
      <c r="AK435" s="4" t="str"/>
      <c r="AL435" s="4" t="str"/>
      <c r="AM435" s="4" t="str"/>
      <c r="AN435" s="4"/>
      <c r="AO435" s="4" t="str"/>
      <c r="AP435" s="4" t="str"/>
      <c r="AQ435" s="4" t="str"/>
      <c r="AR435" s="4" t="str"/>
      <c r="AS435" s="4" t="str"/>
      <c r="AT435" s="4" t="str"/>
      <c r="AU435" s="4" t="str"/>
      <c r="AV435" s="4"/>
      <c r="AW435" s="4">
        <f>IF(AND(Q435="✅", I435="U90"), "X="&amp;(U435-1)*16&amp;",Y="&amp;(V435-1)*16&amp;",Z="&amp;W435*16, "")</f>
      </c>
      <c r="AX435" s="4">
        <f>IF(AND(Q435="✅", I435="U90"), "P=90,Y=0,R=0", "")</f>
      </c>
      <c r="AY435" s="4" t="str"/>
      <c r="AZ435" s="4" t="str"/>
      <c r="BA435" s="4" t="str"/>
      <c r="BB435" s="4" t="str"/>
      <c r="BC435" s="4" t="str"/>
      <c r="BD435" s="4"/>
      <c r="BE435" s="4">
        <f>IF(AND(Q435="✅", I435="D90"), "X="&amp;(U435-1)*16&amp;",Y="&amp;(V435-1)*16&amp;",Z="&amp;(W435-2)*16, "")</f>
      </c>
      <c r="BF435" s="4">
        <f>IF(AND(Q435="✅", I435="D90"), "P=-90,Y=0,R=0", "")</f>
      </c>
      <c r="BG435" s="4" t="str"/>
      <c r="BH435" s="4" t="str"/>
      <c r="BI435" s="4" t="str"/>
      <c r="BJ435" s="4" t="str"/>
      <c r="BK435" s="4" t="str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</row>
    <row r="436">
      <c r="A436" s="11"/>
      <c r="B436" s="11"/>
      <c r="C436" s="119"/>
      <c r="D436" s="119"/>
      <c r="E436" s="5"/>
      <c r="F436" s="9">
        <f>IF(E436="", "", IF(G436="BP", E436, F435))</f>
      </c>
      <c r="G436" s="1"/>
      <c r="H436" s="1"/>
      <c r="I436" s="1"/>
      <c r="J436" s="1"/>
      <c r="K436" s="1"/>
      <c r="L436" s="1"/>
      <c r="M436" s="1"/>
      <c r="N436" s="3"/>
      <c r="O436" s="3"/>
      <c r="P436" s="3"/>
      <c r="Q436" s="3"/>
      <c r="R436" s="1" t="str"/>
      <c r="S436" s="9" t="str"/>
      <c r="T436" s="120" t="str"/>
      <c r="U436" s="118"/>
      <c r="V436" s="118"/>
      <c r="W436" s="118"/>
      <c r="X436" s="4"/>
      <c r="Y436" s="4">
        <f>IF(AND(Q436="✅", OR(ISNUMBER(FIND("F",I436)), I436="CR")),   "X="&amp;U436*16&amp;",Y="&amp;(V436-1)*16&amp;",Z="&amp;IF(I436="FD", -(W436-1)*16, (W436-1)*16),   "")</f>
      </c>
      <c r="Z436" s="4">
        <f>IF(AND(Q436="✅", OR(ISNUMBER(FIND("F",I436)), I436="CR")), "P=0,Y=0,R=0", "")</f>
      </c>
      <c r="AA436" s="4" t="str"/>
      <c r="AB436" s="4" t="str"/>
      <c r="AC436" s="4" t="str"/>
      <c r="AD436" s="4" t="str"/>
      <c r="AE436" s="4" t="str"/>
      <c r="AF436" s="4"/>
      <c r="AG436" s="4" t="str"/>
      <c r="AH436" s="4" t="str"/>
      <c r="AI436" s="4" t="str"/>
      <c r="AJ436" s="4" t="str"/>
      <c r="AK436" s="4" t="str"/>
      <c r="AL436" s="4" t="str"/>
      <c r="AM436" s="4" t="str"/>
      <c r="AN436" s="4"/>
      <c r="AO436" s="4" t="str"/>
      <c r="AP436" s="4" t="str"/>
      <c r="AQ436" s="4" t="str"/>
      <c r="AR436" s="4" t="str"/>
      <c r="AS436" s="4" t="str"/>
      <c r="AT436" s="4" t="str"/>
      <c r="AU436" s="4" t="str"/>
      <c r="AV436" s="4"/>
      <c r="AW436" s="4">
        <f>IF(AND(Q436="✅", I436="U90"), "X="&amp;(U436-1)*16&amp;",Y="&amp;(V436-1)*16&amp;",Z="&amp;W436*16, "")</f>
      </c>
      <c r="AX436" s="4">
        <f>IF(AND(Q436="✅", I436="U90"), "P=90,Y=0,R=0", "")</f>
      </c>
      <c r="AY436" s="4" t="str"/>
      <c r="AZ436" s="4" t="str"/>
      <c r="BA436" s="4" t="str"/>
      <c r="BB436" s="4" t="str"/>
      <c r="BC436" s="4" t="str"/>
      <c r="BD436" s="4"/>
      <c r="BE436" s="4">
        <f>IF(AND(Q436="✅", I436="D90"), "X="&amp;(U436-1)*16&amp;",Y="&amp;(V436-1)*16&amp;",Z="&amp;(W436-2)*16, "")</f>
      </c>
      <c r="BF436" s="4">
        <f>IF(AND(Q436="✅", I436="D90"), "P=-90,Y=0,R=0", "")</f>
      </c>
      <c r="BG436" s="4" t="str"/>
      <c r="BH436" s="4" t="str"/>
      <c r="BI436" s="4" t="str"/>
      <c r="BJ436" s="4" t="str"/>
      <c r="BK436" s="4" t="str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</row>
    <row r="437">
      <c r="A437" s="11"/>
      <c r="B437" s="11"/>
      <c r="C437" s="119"/>
      <c r="D437" s="119"/>
      <c r="E437" s="5"/>
      <c r="F437" s="9">
        <f>IF(E437="", "", IF(G437="BP", E437, F436))</f>
      </c>
      <c r="G437" s="1"/>
      <c r="H437" s="1"/>
      <c r="I437" s="1"/>
      <c r="J437" s="1"/>
      <c r="K437" s="1"/>
      <c r="L437" s="1"/>
      <c r="M437" s="1"/>
      <c r="N437" s="3"/>
      <c r="O437" s="3"/>
      <c r="P437" s="3"/>
      <c r="Q437" s="3"/>
      <c r="R437" s="1" t="str"/>
      <c r="S437" s="9" t="str"/>
      <c r="T437" s="120" t="str"/>
      <c r="U437" s="118"/>
      <c r="V437" s="118"/>
      <c r="W437" s="118"/>
      <c r="X437" s="4"/>
      <c r="Y437" s="4">
        <f>IF(AND(Q437="✅", OR(ISNUMBER(FIND("F",I437)), I437="CR")),   "X="&amp;U437*16&amp;",Y="&amp;(V437-1)*16&amp;",Z="&amp;IF(I437="FD", -(W437-1)*16, (W437-1)*16),   "")</f>
      </c>
      <c r="Z437" s="4">
        <f>IF(AND(Q437="✅", OR(ISNUMBER(FIND("F",I437)), I437="CR")), "P=0,Y=0,R=0", "")</f>
      </c>
      <c r="AA437" s="4" t="str"/>
      <c r="AB437" s="4" t="str"/>
      <c r="AC437" s="4" t="str"/>
      <c r="AD437" s="4" t="str"/>
      <c r="AE437" s="4" t="str"/>
      <c r="AF437" s="4"/>
      <c r="AG437" s="4" t="str"/>
      <c r="AH437" s="4" t="str"/>
      <c r="AI437" s="4" t="str"/>
      <c r="AJ437" s="4" t="str"/>
      <c r="AK437" s="4" t="str"/>
      <c r="AL437" s="4" t="str"/>
      <c r="AM437" s="4" t="str"/>
      <c r="AN437" s="4"/>
      <c r="AO437" s="4" t="str"/>
      <c r="AP437" s="4" t="str"/>
      <c r="AQ437" s="4" t="str"/>
      <c r="AR437" s="4" t="str"/>
      <c r="AS437" s="4" t="str"/>
      <c r="AT437" s="4" t="str"/>
      <c r="AU437" s="4" t="str"/>
      <c r="AV437" s="4"/>
      <c r="AW437" s="4">
        <f>IF(AND(Q437="✅", I437="U90"), "X="&amp;(U437-1)*16&amp;",Y="&amp;(V437-1)*16&amp;",Z="&amp;W437*16, "")</f>
      </c>
      <c r="AX437" s="4">
        <f>IF(AND(Q437="✅", I437="U90"), "P=90,Y=0,R=0", "")</f>
      </c>
      <c r="AY437" s="4" t="str"/>
      <c r="AZ437" s="4" t="str"/>
      <c r="BA437" s="4" t="str"/>
      <c r="BB437" s="4" t="str"/>
      <c r="BC437" s="4" t="str"/>
      <c r="BD437" s="4"/>
      <c r="BE437" s="4">
        <f>IF(AND(Q437="✅", I437="D90"), "X="&amp;(U437-1)*16&amp;",Y="&amp;(V437-1)*16&amp;",Z="&amp;(W437-2)*16, "")</f>
      </c>
      <c r="BF437" s="4">
        <f>IF(AND(Q437="✅", I437="D90"), "P=-90,Y=0,R=0", "")</f>
      </c>
      <c r="BG437" s="4" t="str"/>
      <c r="BH437" s="4" t="str"/>
      <c r="BI437" s="4" t="str"/>
      <c r="BJ437" s="4" t="str"/>
      <c r="BK437" s="4" t="str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</row>
    <row r="438">
      <c r="A438" s="11"/>
      <c r="B438" s="11"/>
      <c r="C438" s="119"/>
      <c r="D438" s="119"/>
      <c r="E438" s="5"/>
      <c r="F438" s="9">
        <f>IF(E438="", "", IF(G438="BP", E438, F437))</f>
      </c>
      <c r="G438" s="1"/>
      <c r="H438" s="1"/>
      <c r="I438" s="1"/>
      <c r="J438" s="1"/>
      <c r="K438" s="1"/>
      <c r="L438" s="1"/>
      <c r="M438" s="1"/>
      <c r="N438" s="3"/>
      <c r="O438" s="3"/>
      <c r="P438" s="3"/>
      <c r="Q438" s="3"/>
      <c r="R438" s="1" t="str"/>
      <c r="S438" s="9" t="str"/>
      <c r="T438" s="120" t="str"/>
      <c r="U438" s="118"/>
      <c r="V438" s="118"/>
      <c r="W438" s="118"/>
      <c r="X438" s="4"/>
      <c r="Y438" s="4">
        <f>IF(AND(Q438="✅", OR(ISNUMBER(FIND("F",I438)), I438="CR")),   "X="&amp;U438*16&amp;",Y="&amp;(V438-1)*16&amp;",Z="&amp;IF(I438="FD", -(W438-1)*16, (W438-1)*16),   "")</f>
      </c>
      <c r="Z438" s="4">
        <f>IF(AND(Q438="✅", OR(ISNUMBER(FIND("F",I438)), I438="CR")), "P=0,Y=0,R=0", "")</f>
      </c>
      <c r="AA438" s="4" t="str"/>
      <c r="AB438" s="4" t="str"/>
      <c r="AC438" s="4" t="str"/>
      <c r="AD438" s="4" t="str"/>
      <c r="AE438" s="4" t="str"/>
      <c r="AF438" s="4"/>
      <c r="AG438" s="4" t="str"/>
      <c r="AH438" s="4" t="str"/>
      <c r="AI438" s="4" t="str"/>
      <c r="AJ438" s="4" t="str"/>
      <c r="AK438" s="4" t="str"/>
      <c r="AL438" s="4" t="str"/>
      <c r="AM438" s="4" t="str"/>
      <c r="AN438" s="4"/>
      <c r="AO438" s="4" t="str"/>
      <c r="AP438" s="4" t="str"/>
      <c r="AQ438" s="4" t="str"/>
      <c r="AR438" s="4" t="str"/>
      <c r="AS438" s="4" t="str"/>
      <c r="AT438" s="4" t="str"/>
      <c r="AU438" s="4" t="str"/>
      <c r="AV438" s="4"/>
      <c r="AW438" s="4">
        <f>IF(AND(Q438="✅", I438="U90"), "X="&amp;(U438-1)*16&amp;",Y="&amp;(V438-1)*16&amp;",Z="&amp;W438*16, "")</f>
      </c>
      <c r="AX438" s="4">
        <f>IF(AND(Q438="✅", I438="U90"), "P=90,Y=0,R=0", "")</f>
      </c>
      <c r="AY438" s="4" t="str"/>
      <c r="AZ438" s="4" t="str"/>
      <c r="BA438" s="4" t="str"/>
      <c r="BB438" s="4" t="str"/>
      <c r="BC438" s="4" t="str"/>
      <c r="BD438" s="4"/>
      <c r="BE438" s="4">
        <f>IF(AND(Q438="✅", I438="D90"), "X="&amp;(U438-1)*16&amp;",Y="&amp;(V438-1)*16&amp;",Z="&amp;(W438-2)*16, "")</f>
      </c>
      <c r="BF438" s="4">
        <f>IF(AND(Q438="✅", I438="D90"), "P=-90,Y=0,R=0", "")</f>
      </c>
      <c r="BG438" s="4" t="str"/>
      <c r="BH438" s="4" t="str"/>
      <c r="BI438" s="4" t="str"/>
      <c r="BJ438" s="4" t="str"/>
      <c r="BK438" s="4" t="str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</row>
    <row r="439">
      <c r="A439" s="11"/>
      <c r="B439" s="11"/>
      <c r="C439" s="119"/>
      <c r="D439" s="119"/>
      <c r="E439" s="5"/>
      <c r="F439" s="9">
        <f>IF(E439="", "", IF(G439="BP", E439, F438))</f>
      </c>
      <c r="G439" s="1"/>
      <c r="H439" s="1"/>
      <c r="I439" s="1"/>
      <c r="J439" s="1"/>
      <c r="K439" s="1"/>
      <c r="L439" s="1"/>
      <c r="M439" s="1"/>
      <c r="N439" s="3"/>
      <c r="O439" s="3"/>
      <c r="P439" s="3"/>
      <c r="Q439" s="3"/>
      <c r="R439" s="1" t="str"/>
      <c r="S439" s="9" t="str"/>
      <c r="T439" s="120" t="str"/>
      <c r="U439" s="118"/>
      <c r="V439" s="118"/>
      <c r="W439" s="118"/>
      <c r="X439" s="4"/>
      <c r="Y439" s="4">
        <f>IF(AND(Q439="✅", OR(ISNUMBER(FIND("F",I439)), I439="CR")),   "X="&amp;U439*16&amp;",Y="&amp;(V439-1)*16&amp;",Z="&amp;IF(I439="FD", -(W439-1)*16, (W439-1)*16),   "")</f>
      </c>
      <c r="Z439" s="4">
        <f>IF(AND(Q439="✅", OR(ISNUMBER(FIND("F",I439)), I439="CR")), "P=0,Y=0,R=0", "")</f>
      </c>
      <c r="AA439" s="4" t="str"/>
      <c r="AB439" s="4" t="str"/>
      <c r="AC439" s="4" t="str"/>
      <c r="AD439" s="4" t="str"/>
      <c r="AE439" s="4" t="str"/>
      <c r="AF439" s="4"/>
      <c r="AG439" s="4" t="str"/>
      <c r="AH439" s="4" t="str"/>
      <c r="AI439" s="4" t="str"/>
      <c r="AJ439" s="4" t="str"/>
      <c r="AK439" s="4" t="str"/>
      <c r="AL439" s="4" t="str"/>
      <c r="AM439" s="4" t="str"/>
      <c r="AN439" s="4"/>
      <c r="AO439" s="4" t="str"/>
      <c r="AP439" s="4" t="str"/>
      <c r="AQ439" s="4" t="str"/>
      <c r="AR439" s="4" t="str"/>
      <c r="AS439" s="4" t="str"/>
      <c r="AT439" s="4" t="str"/>
      <c r="AU439" s="4" t="str"/>
      <c r="AV439" s="4"/>
      <c r="AW439" s="4">
        <f>IF(AND(Q439="✅", I439="U90"), "X="&amp;(U439-1)*16&amp;",Y="&amp;(V439-1)*16&amp;",Z="&amp;W439*16, "")</f>
      </c>
      <c r="AX439" s="4">
        <f>IF(AND(Q439="✅", I439="U90"), "P=90,Y=0,R=0", "")</f>
      </c>
      <c r="AY439" s="4" t="str"/>
      <c r="AZ439" s="4" t="str"/>
      <c r="BA439" s="4" t="str"/>
      <c r="BB439" s="4" t="str"/>
      <c r="BC439" s="4" t="str"/>
      <c r="BD439" s="4"/>
      <c r="BE439" s="4">
        <f>IF(AND(Q439="✅", I439="D90"), "X="&amp;(U439-1)*16&amp;",Y="&amp;(V439-1)*16&amp;",Z="&amp;(W439-2)*16, "")</f>
      </c>
      <c r="BF439" s="4">
        <f>IF(AND(Q439="✅", I439="D90"), "P=-90,Y=0,R=0", "")</f>
      </c>
      <c r="BG439" s="4" t="str"/>
      <c r="BH439" s="4" t="str"/>
      <c r="BI439" s="4" t="str"/>
      <c r="BJ439" s="4" t="str"/>
      <c r="BK439" s="4" t="str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</row>
    <row r="440">
      <c r="A440" s="11"/>
      <c r="B440" s="11"/>
      <c r="C440" s="119"/>
      <c r="D440" s="119"/>
      <c r="E440" s="5"/>
      <c r="F440" s="9">
        <f>IF(E440="", "", IF(G440="BP", E440, F439))</f>
      </c>
      <c r="G440" s="1"/>
      <c r="H440" s="1"/>
      <c r="I440" s="1"/>
      <c r="J440" s="1"/>
      <c r="K440" s="1"/>
      <c r="L440" s="1"/>
      <c r="M440" s="1"/>
      <c r="N440" s="3"/>
      <c r="O440" s="3"/>
      <c r="P440" s="3"/>
      <c r="Q440" s="3"/>
      <c r="R440" s="1" t="str"/>
      <c r="S440" s="9" t="str"/>
      <c r="T440" s="120" t="str"/>
      <c r="U440" s="118"/>
      <c r="V440" s="118"/>
      <c r="W440" s="118"/>
      <c r="X440" s="4"/>
      <c r="Y440" s="4">
        <f>IF(AND(Q440="✅", OR(ISNUMBER(FIND("F",I440)), I440="CR")),   "X="&amp;U440*16&amp;",Y="&amp;(V440-1)*16&amp;",Z="&amp;IF(I440="FD", -(W440-1)*16, (W440-1)*16),   "")</f>
      </c>
      <c r="Z440" s="4">
        <f>IF(AND(Q440="✅", OR(ISNUMBER(FIND("F",I440)), I440="CR")), "P=0,Y=0,R=0", "")</f>
      </c>
      <c r="AA440" s="4" t="str"/>
      <c r="AB440" s="4" t="str"/>
      <c r="AC440" s="4" t="str"/>
      <c r="AD440" s="4" t="str"/>
      <c r="AE440" s="4" t="str"/>
      <c r="AF440" s="4"/>
      <c r="AG440" s="4" t="str"/>
      <c r="AH440" s="4" t="str"/>
      <c r="AI440" s="4" t="str"/>
      <c r="AJ440" s="4" t="str"/>
      <c r="AK440" s="4" t="str"/>
      <c r="AL440" s="4" t="str"/>
      <c r="AM440" s="4" t="str"/>
      <c r="AN440" s="4"/>
      <c r="AO440" s="4" t="str"/>
      <c r="AP440" s="4" t="str"/>
      <c r="AQ440" s="4" t="str"/>
      <c r="AR440" s="4" t="str"/>
      <c r="AS440" s="4" t="str"/>
      <c r="AT440" s="4" t="str"/>
      <c r="AU440" s="4" t="str"/>
      <c r="AV440" s="4"/>
      <c r="AW440" s="4">
        <f>IF(AND(Q440="✅", I440="U90"), "X="&amp;(U440-1)*16&amp;",Y="&amp;(V440-1)*16&amp;",Z="&amp;W440*16, "")</f>
      </c>
      <c r="AX440" s="4">
        <f>IF(AND(Q440="✅", I440="U90"), "P=90,Y=0,R=0", "")</f>
      </c>
      <c r="AY440" s="4" t="str"/>
      <c r="AZ440" s="4" t="str"/>
      <c r="BA440" s="4" t="str"/>
      <c r="BB440" s="4" t="str"/>
      <c r="BC440" s="4" t="str"/>
      <c r="BD440" s="4"/>
      <c r="BE440" s="4">
        <f>IF(AND(Q440="✅", I440="D90"), "X="&amp;(U440-1)*16&amp;",Y="&amp;(V440-1)*16&amp;",Z="&amp;(W440-2)*16, "")</f>
      </c>
      <c r="BF440" s="4">
        <f>IF(AND(Q440="✅", I440="D90"), "P=-90,Y=0,R=0", "")</f>
      </c>
      <c r="BG440" s="4" t="str"/>
      <c r="BH440" s="4" t="str"/>
      <c r="BI440" s="4" t="str"/>
      <c r="BJ440" s="4" t="str"/>
      <c r="BK440" s="4" t="str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</row>
    <row r="441">
      <c r="A441" s="11"/>
      <c r="B441" s="11"/>
      <c r="C441" s="119"/>
      <c r="D441" s="119"/>
      <c r="E441" s="5"/>
      <c r="F441" s="9">
        <f>IF(E441="", "", IF(G441="BP", E441, F440))</f>
      </c>
      <c r="G441" s="1"/>
      <c r="H441" s="1"/>
      <c r="I441" s="1"/>
      <c r="J441" s="1"/>
      <c r="K441" s="1"/>
      <c r="L441" s="1"/>
      <c r="M441" s="1"/>
      <c r="N441" s="3"/>
      <c r="O441" s="3"/>
      <c r="P441" s="3"/>
      <c r="Q441" s="3"/>
      <c r="R441" s="1" t="str"/>
      <c r="S441" s="9" t="str"/>
      <c r="T441" s="120" t="str"/>
      <c r="U441" s="118"/>
      <c r="V441" s="118"/>
      <c r="W441" s="118"/>
      <c r="X441" s="4"/>
      <c r="Y441" s="4">
        <f>IF(AND(Q441="✅", OR(ISNUMBER(FIND("F",I441)), I441="CR")),   "X="&amp;U441*16&amp;",Y="&amp;(V441-1)*16&amp;",Z="&amp;IF(I441="FD", -(W441-1)*16, (W441-1)*16),   "")</f>
      </c>
      <c r="Z441" s="4">
        <f>IF(AND(Q441="✅", OR(ISNUMBER(FIND("F",I441)), I441="CR")), "P=0,Y=0,R=0", "")</f>
      </c>
      <c r="AA441" s="4" t="str"/>
      <c r="AB441" s="4" t="str"/>
      <c r="AC441" s="4" t="str"/>
      <c r="AD441" s="4" t="str"/>
      <c r="AE441" s="4" t="str"/>
      <c r="AF441" s="4"/>
      <c r="AG441" s="4" t="str"/>
      <c r="AH441" s="4" t="str"/>
      <c r="AI441" s="4" t="str"/>
      <c r="AJ441" s="4" t="str"/>
      <c r="AK441" s="4" t="str"/>
      <c r="AL441" s="4" t="str"/>
      <c r="AM441" s="4" t="str"/>
      <c r="AN441" s="4"/>
      <c r="AO441" s="4" t="str"/>
      <c r="AP441" s="4" t="str"/>
      <c r="AQ441" s="4" t="str"/>
      <c r="AR441" s="4" t="str"/>
      <c r="AS441" s="4" t="str"/>
      <c r="AT441" s="4" t="str"/>
      <c r="AU441" s="4" t="str"/>
      <c r="AV441" s="4"/>
      <c r="AW441" s="4">
        <f>IF(AND(Q441="✅", I441="U90"), "X="&amp;(U441-1)*16&amp;",Y="&amp;(V441-1)*16&amp;",Z="&amp;W441*16, "")</f>
      </c>
      <c r="AX441" s="4">
        <f>IF(AND(Q441="✅", I441="U90"), "P=90,Y=0,R=0", "")</f>
      </c>
      <c r="AY441" s="4" t="str"/>
      <c r="AZ441" s="4" t="str"/>
      <c r="BA441" s="4" t="str"/>
      <c r="BB441" s="4" t="str"/>
      <c r="BC441" s="4" t="str"/>
      <c r="BD441" s="4"/>
      <c r="BE441" s="4">
        <f>IF(AND(Q441="✅", I441="D90"), "X="&amp;(U441-1)*16&amp;",Y="&amp;(V441-1)*16&amp;",Z="&amp;(W441-2)*16, "")</f>
      </c>
      <c r="BF441" s="4">
        <f>IF(AND(Q441="✅", I441="D90"), "P=-90,Y=0,R=0", "")</f>
      </c>
      <c r="BG441" s="4" t="str"/>
      <c r="BH441" s="4" t="str"/>
      <c r="BI441" s="4" t="str"/>
      <c r="BJ441" s="4" t="str"/>
      <c r="BK441" s="4" t="str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</row>
    <row r="442">
      <c r="A442" s="11"/>
      <c r="B442" s="11"/>
      <c r="C442" s="119"/>
      <c r="D442" s="119"/>
      <c r="E442" s="5"/>
      <c r="F442" s="9">
        <f>IF(E442="", "", IF(G442="BP", E442, F441))</f>
      </c>
      <c r="G442" s="1"/>
      <c r="H442" s="1"/>
      <c r="I442" s="1"/>
      <c r="J442" s="1"/>
      <c r="K442" s="1"/>
      <c r="L442" s="1"/>
      <c r="M442" s="1"/>
      <c r="N442" s="3"/>
      <c r="O442" s="3"/>
      <c r="P442" s="3"/>
      <c r="Q442" s="3"/>
      <c r="R442" s="1" t="str"/>
      <c r="S442" s="9" t="str"/>
      <c r="T442" s="120" t="str"/>
      <c r="U442" s="118"/>
      <c r="V442" s="118"/>
      <c r="W442" s="118"/>
      <c r="X442" s="4"/>
      <c r="Y442" s="4">
        <f>IF(AND(Q442="✅", OR(ISNUMBER(FIND("F",I442)), I442="CR")),   "X="&amp;U442*16&amp;",Y="&amp;(V442-1)*16&amp;",Z="&amp;IF(I442="FD", -(W442-1)*16, (W442-1)*16),   "")</f>
      </c>
      <c r="Z442" s="4">
        <f>IF(AND(Q442="✅", OR(ISNUMBER(FIND("F",I442)), I442="CR")), "P=0,Y=0,R=0", "")</f>
      </c>
      <c r="AA442" s="4" t="str"/>
      <c r="AB442" s="4" t="str"/>
      <c r="AC442" s="4" t="str"/>
      <c r="AD442" s="4" t="str"/>
      <c r="AE442" s="4" t="str"/>
      <c r="AF442" s="4"/>
      <c r="AG442" s="4" t="str"/>
      <c r="AH442" s="4" t="str"/>
      <c r="AI442" s="4" t="str"/>
      <c r="AJ442" s="4" t="str"/>
      <c r="AK442" s="4" t="str"/>
      <c r="AL442" s="4" t="str"/>
      <c r="AM442" s="4" t="str"/>
      <c r="AN442" s="4"/>
      <c r="AO442" s="4" t="str"/>
      <c r="AP442" s="4" t="str"/>
      <c r="AQ442" s="4" t="str"/>
      <c r="AR442" s="4" t="str"/>
      <c r="AS442" s="4" t="str"/>
      <c r="AT442" s="4" t="str"/>
      <c r="AU442" s="4" t="str"/>
      <c r="AV442" s="4"/>
      <c r="AW442" s="4">
        <f>IF(AND(Q442="✅", I442="U90"), "X="&amp;(U442-1)*16&amp;",Y="&amp;(V442-1)*16&amp;",Z="&amp;W442*16, "")</f>
      </c>
      <c r="AX442" s="4">
        <f>IF(AND(Q442="✅", I442="U90"), "P=90,Y=0,R=0", "")</f>
      </c>
      <c r="AY442" s="4" t="str"/>
      <c r="AZ442" s="4" t="str"/>
      <c r="BA442" s="4" t="str"/>
      <c r="BB442" s="4" t="str"/>
      <c r="BC442" s="4" t="str"/>
      <c r="BD442" s="4"/>
      <c r="BE442" s="4">
        <f>IF(AND(Q442="✅", I442="D90"), "X="&amp;(U442-1)*16&amp;",Y="&amp;(V442-1)*16&amp;",Z="&amp;(W442-2)*16, "")</f>
      </c>
      <c r="BF442" s="4">
        <f>IF(AND(Q442="✅", I442="D90"), "P=-90,Y=0,R=0", "")</f>
      </c>
      <c r="BG442" s="4" t="str"/>
      <c r="BH442" s="4" t="str"/>
      <c r="BI442" s="4" t="str"/>
      <c r="BJ442" s="4" t="str"/>
      <c r="BK442" s="4" t="str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</row>
    <row r="443">
      <c r="A443" s="11"/>
      <c r="B443" s="11"/>
      <c r="C443" s="119"/>
      <c r="D443" s="119"/>
      <c r="E443" s="5"/>
      <c r="F443" s="9">
        <f>IF(E443="", "", IF(G443="BP", E443, F442))</f>
      </c>
      <c r="G443" s="1"/>
      <c r="H443" s="1"/>
      <c r="I443" s="1"/>
      <c r="J443" s="1"/>
      <c r="K443" s="1"/>
      <c r="L443" s="1"/>
      <c r="M443" s="1"/>
      <c r="N443" s="3"/>
      <c r="O443" s="3"/>
      <c r="P443" s="3"/>
      <c r="Q443" s="3"/>
      <c r="R443" s="1" t="str"/>
      <c r="S443" s="9" t="str"/>
      <c r="T443" s="120" t="str"/>
      <c r="U443" s="118"/>
      <c r="V443" s="118"/>
      <c r="W443" s="118"/>
      <c r="X443" s="4"/>
      <c r="Y443" s="4">
        <f>IF(AND(Q443="✅", OR(ISNUMBER(FIND("F",I443)), I443="CR")),   "X="&amp;U443*16&amp;",Y="&amp;(V443-1)*16&amp;",Z="&amp;IF(I443="FD", -(W443-1)*16, (W443-1)*16),   "")</f>
      </c>
      <c r="Z443" s="4">
        <f>IF(AND(Q443="✅", OR(ISNUMBER(FIND("F",I443)), I443="CR")), "P=0,Y=0,R=0", "")</f>
      </c>
      <c r="AA443" s="4" t="str"/>
      <c r="AB443" s="4" t="str"/>
      <c r="AC443" s="4" t="str"/>
      <c r="AD443" s="4" t="str"/>
      <c r="AE443" s="4" t="str"/>
      <c r="AF443" s="4"/>
      <c r="AG443" s="4" t="str"/>
      <c r="AH443" s="4" t="str"/>
      <c r="AI443" s="4" t="str"/>
      <c r="AJ443" s="4" t="str"/>
      <c r="AK443" s="4" t="str"/>
      <c r="AL443" s="4" t="str"/>
      <c r="AM443" s="4" t="str"/>
      <c r="AN443" s="4"/>
      <c r="AO443" s="4" t="str"/>
      <c r="AP443" s="4" t="str"/>
      <c r="AQ443" s="4" t="str"/>
      <c r="AR443" s="4" t="str"/>
      <c r="AS443" s="4" t="str"/>
      <c r="AT443" s="4" t="str"/>
      <c r="AU443" s="4" t="str"/>
      <c r="AV443" s="4"/>
      <c r="AW443" s="4">
        <f>IF(AND(Q443="✅", I443="U90"), "X="&amp;(U443-1)*16&amp;",Y="&amp;(V443-1)*16&amp;",Z="&amp;W443*16, "")</f>
      </c>
      <c r="AX443" s="4">
        <f>IF(AND(Q443="✅", I443="U90"), "P=90,Y=0,R=0", "")</f>
      </c>
      <c r="AY443" s="4" t="str"/>
      <c r="AZ443" s="4" t="str"/>
      <c r="BA443" s="4" t="str"/>
      <c r="BB443" s="4" t="str"/>
      <c r="BC443" s="4" t="str"/>
      <c r="BD443" s="4"/>
      <c r="BE443" s="4">
        <f>IF(AND(Q443="✅", I443="D90"), "X="&amp;(U443-1)*16&amp;",Y="&amp;(V443-1)*16&amp;",Z="&amp;(W443-2)*16, "")</f>
      </c>
      <c r="BF443" s="4">
        <f>IF(AND(Q443="✅", I443="D90"), "P=-90,Y=0,R=0", "")</f>
      </c>
      <c r="BG443" s="4" t="str"/>
      <c r="BH443" s="4" t="str"/>
      <c r="BI443" s="4" t="str"/>
      <c r="BJ443" s="4" t="str"/>
      <c r="BK443" s="4" t="str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</row>
    <row r="444">
      <c r="A444" s="11"/>
      <c r="B444" s="11"/>
      <c r="C444" s="119"/>
      <c r="D444" s="119"/>
      <c r="E444" s="5"/>
      <c r="F444" s="9">
        <f>IF(E444="", "", IF(G444="BP", E444, F443))</f>
      </c>
      <c r="G444" s="1"/>
      <c r="H444" s="1"/>
      <c r="I444" s="1"/>
      <c r="J444" s="1"/>
      <c r="K444" s="1"/>
      <c r="L444" s="1"/>
      <c r="M444" s="1"/>
      <c r="N444" s="3"/>
      <c r="O444" s="3"/>
      <c r="P444" s="3"/>
      <c r="Q444" s="3"/>
      <c r="R444" s="1" t="str"/>
      <c r="S444" s="9" t="str"/>
      <c r="T444" s="120" t="str"/>
      <c r="U444" s="118"/>
      <c r="V444" s="118"/>
      <c r="W444" s="118"/>
      <c r="X444" s="4"/>
      <c r="Y444" s="4">
        <f>IF(AND(Q444="✅", OR(ISNUMBER(FIND("F",I444)), I444="CR")),   "X="&amp;U444*16&amp;",Y="&amp;(V444-1)*16&amp;",Z="&amp;IF(I444="FD", -(W444-1)*16, (W444-1)*16),   "")</f>
      </c>
      <c r="Z444" s="4">
        <f>IF(AND(Q444="✅", OR(ISNUMBER(FIND("F",I444)), I444="CR")), "P=0,Y=0,R=0", "")</f>
      </c>
      <c r="AA444" s="4" t="str"/>
      <c r="AB444" s="4" t="str"/>
      <c r="AC444" s="4" t="str"/>
      <c r="AD444" s="4" t="str"/>
      <c r="AE444" s="4" t="str"/>
      <c r="AF444" s="4"/>
      <c r="AG444" s="4" t="str"/>
      <c r="AH444" s="4" t="str"/>
      <c r="AI444" s="4" t="str"/>
      <c r="AJ444" s="4" t="str"/>
      <c r="AK444" s="4" t="str"/>
      <c r="AL444" s="4" t="str"/>
      <c r="AM444" s="4" t="str"/>
      <c r="AN444" s="4"/>
      <c r="AO444" s="4" t="str"/>
      <c r="AP444" s="4" t="str"/>
      <c r="AQ444" s="4" t="str"/>
      <c r="AR444" s="4" t="str"/>
      <c r="AS444" s="4" t="str"/>
      <c r="AT444" s="4" t="str"/>
      <c r="AU444" s="4" t="str"/>
      <c r="AV444" s="4"/>
      <c r="AW444" s="4">
        <f>IF(AND(Q444="✅", I444="U90"), "X="&amp;(U444-1)*16&amp;",Y="&amp;(V444-1)*16&amp;",Z="&amp;W444*16, "")</f>
      </c>
      <c r="AX444" s="4">
        <f>IF(AND(Q444="✅", I444="U90"), "P=90,Y=0,R=0", "")</f>
      </c>
      <c r="AY444" s="4" t="str"/>
      <c r="AZ444" s="4" t="str"/>
      <c r="BA444" s="4" t="str"/>
      <c r="BB444" s="4" t="str"/>
      <c r="BC444" s="4" t="str"/>
      <c r="BD444" s="4"/>
      <c r="BE444" s="4">
        <f>IF(AND(Q444="✅", I444="D90"), "X="&amp;(U444-1)*16&amp;",Y="&amp;(V444-1)*16&amp;",Z="&amp;(W444-2)*16, "")</f>
      </c>
      <c r="BF444" s="4">
        <f>IF(AND(Q444="✅", I444="D90"), "P=-90,Y=0,R=0", "")</f>
      </c>
      <c r="BG444" s="4" t="str"/>
      <c r="BH444" s="4" t="str"/>
      <c r="BI444" s="4" t="str"/>
      <c r="BJ444" s="4" t="str"/>
      <c r="BK444" s="4" t="str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</row>
    <row r="445">
      <c r="A445" s="11"/>
      <c r="B445" s="11"/>
      <c r="C445" s="119"/>
      <c r="D445" s="119"/>
      <c r="E445" s="5"/>
      <c r="F445" s="9">
        <f>IF(E445="", "", IF(G445="BP", E445, F444))</f>
      </c>
      <c r="G445" s="1"/>
      <c r="H445" s="1"/>
      <c r="I445" s="1"/>
      <c r="J445" s="1"/>
      <c r="K445" s="1"/>
      <c r="L445" s="1"/>
      <c r="M445" s="1"/>
      <c r="N445" s="3"/>
      <c r="O445" s="3"/>
      <c r="P445" s="3"/>
      <c r="Q445" s="3"/>
      <c r="R445" s="1" t="str"/>
      <c r="S445" s="9" t="str"/>
      <c r="T445" s="120" t="str"/>
      <c r="U445" s="118"/>
      <c r="V445" s="118"/>
      <c r="W445" s="118"/>
      <c r="X445" s="4"/>
      <c r="Y445" s="4">
        <f>IF(AND(Q445="✅", OR(ISNUMBER(FIND("F",I445)), I445="CR")),   "X="&amp;U445*16&amp;",Y="&amp;(V445-1)*16&amp;",Z="&amp;IF(I445="FD", -(W445-1)*16, (W445-1)*16),   "")</f>
      </c>
      <c r="Z445" s="4">
        <f>IF(AND(Q445="✅", OR(ISNUMBER(FIND("F",I445)), I445="CR")), "P=0,Y=0,R=0", "")</f>
      </c>
      <c r="AA445" s="4" t="str"/>
      <c r="AB445" s="4" t="str"/>
      <c r="AC445" s="4" t="str"/>
      <c r="AD445" s="4" t="str"/>
      <c r="AE445" s="4" t="str"/>
      <c r="AF445" s="4"/>
      <c r="AG445" s="4" t="str"/>
      <c r="AH445" s="4" t="str"/>
      <c r="AI445" s="4" t="str"/>
      <c r="AJ445" s="4" t="str"/>
      <c r="AK445" s="4" t="str"/>
      <c r="AL445" s="4" t="str"/>
      <c r="AM445" s="4" t="str"/>
      <c r="AN445" s="4"/>
      <c r="AO445" s="4" t="str"/>
      <c r="AP445" s="4" t="str"/>
      <c r="AQ445" s="4" t="str"/>
      <c r="AR445" s="4" t="str"/>
      <c r="AS445" s="4" t="str"/>
      <c r="AT445" s="4" t="str"/>
      <c r="AU445" s="4" t="str"/>
      <c r="AV445" s="4"/>
      <c r="AW445" s="4">
        <f>IF(AND(Q445="✅", I445="U90"), "X="&amp;(U445-1)*16&amp;",Y="&amp;(V445-1)*16&amp;",Z="&amp;W445*16, "")</f>
      </c>
      <c r="AX445" s="4">
        <f>IF(AND(Q445="✅", I445="U90"), "P=90,Y=0,R=0", "")</f>
      </c>
      <c r="AY445" s="4" t="str"/>
      <c r="AZ445" s="4" t="str"/>
      <c r="BA445" s="4" t="str"/>
      <c r="BB445" s="4" t="str"/>
      <c r="BC445" s="4" t="str"/>
      <c r="BD445" s="4"/>
      <c r="BE445" s="4">
        <f>IF(AND(Q445="✅", I445="D90"), "X="&amp;(U445-1)*16&amp;",Y="&amp;(V445-1)*16&amp;",Z="&amp;(W445-2)*16, "")</f>
      </c>
      <c r="BF445" s="4">
        <f>IF(AND(Q445="✅", I445="D90"), "P=-90,Y=0,R=0", "")</f>
      </c>
      <c r="BG445" s="4" t="str"/>
      <c r="BH445" s="4" t="str"/>
      <c r="BI445" s="4" t="str"/>
      <c r="BJ445" s="4" t="str"/>
      <c r="BK445" s="4" t="str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</row>
    <row r="446">
      <c r="A446" s="11"/>
      <c r="B446" s="11"/>
      <c r="C446" s="119"/>
      <c r="D446" s="119"/>
      <c r="E446" s="5"/>
      <c r="F446" s="9">
        <f>IF(E446="", "", IF(G446="BP", E446, F445))</f>
      </c>
      <c r="G446" s="1"/>
      <c r="H446" s="1"/>
      <c r="I446" s="1"/>
      <c r="J446" s="1"/>
      <c r="K446" s="1"/>
      <c r="L446" s="1"/>
      <c r="M446" s="1"/>
      <c r="N446" s="3"/>
      <c r="O446" s="3"/>
      <c r="P446" s="3"/>
      <c r="Q446" s="3"/>
      <c r="R446" s="1" t="str"/>
      <c r="S446" s="9" t="str"/>
      <c r="T446" s="120" t="str"/>
      <c r="U446" s="118"/>
      <c r="V446" s="118"/>
      <c r="W446" s="118"/>
      <c r="X446" s="4"/>
      <c r="Y446" s="4">
        <f>IF(AND(Q446="✅", OR(ISNUMBER(FIND("F",I446)), I446="CR")),   "X="&amp;U446*16&amp;",Y="&amp;(V446-1)*16&amp;",Z="&amp;IF(I446="FD", -(W446-1)*16, (W446-1)*16),   "")</f>
      </c>
      <c r="Z446" s="4">
        <f>IF(AND(Q446="✅", OR(ISNUMBER(FIND("F",I446)), I446="CR")), "P=0,Y=0,R=0", "")</f>
      </c>
      <c r="AA446" s="4" t="str"/>
      <c r="AB446" s="4" t="str"/>
      <c r="AC446" s="4" t="str"/>
      <c r="AD446" s="4" t="str"/>
      <c r="AE446" s="4" t="str"/>
      <c r="AF446" s="4"/>
      <c r="AG446" s="4" t="str"/>
      <c r="AH446" s="4" t="str"/>
      <c r="AI446" s="4" t="str"/>
      <c r="AJ446" s="4" t="str"/>
      <c r="AK446" s="4" t="str"/>
      <c r="AL446" s="4" t="str"/>
      <c r="AM446" s="4" t="str"/>
      <c r="AN446" s="4"/>
      <c r="AO446" s="4" t="str"/>
      <c r="AP446" s="4" t="str"/>
      <c r="AQ446" s="4" t="str"/>
      <c r="AR446" s="4" t="str"/>
      <c r="AS446" s="4" t="str"/>
      <c r="AT446" s="4" t="str"/>
      <c r="AU446" s="4" t="str"/>
      <c r="AV446" s="4"/>
      <c r="AW446" s="4">
        <f>IF(AND(Q446="✅", I446="U90"), "X="&amp;(U446-1)*16&amp;",Y="&amp;(V446-1)*16&amp;",Z="&amp;W446*16, "")</f>
      </c>
      <c r="AX446" s="4">
        <f>IF(AND(Q446="✅", I446="U90"), "P=90,Y=0,R=0", "")</f>
      </c>
      <c r="AY446" s="4" t="str"/>
      <c r="AZ446" s="4" t="str"/>
      <c r="BA446" s="4" t="str"/>
      <c r="BB446" s="4" t="str"/>
      <c r="BC446" s="4" t="str"/>
      <c r="BD446" s="4"/>
      <c r="BE446" s="4">
        <f>IF(AND(Q446="✅", I446="D90"), "X="&amp;(U446-1)*16&amp;",Y="&amp;(V446-1)*16&amp;",Z="&amp;(W446-2)*16, "")</f>
      </c>
      <c r="BF446" s="4">
        <f>IF(AND(Q446="✅", I446="D90"), "P=-90,Y=0,R=0", "")</f>
      </c>
      <c r="BG446" s="4" t="str"/>
      <c r="BH446" s="4" t="str"/>
      <c r="BI446" s="4" t="str"/>
      <c r="BJ446" s="4" t="str"/>
      <c r="BK446" s="4" t="str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</row>
    <row r="447">
      <c r="A447" s="11"/>
      <c r="B447" s="11"/>
      <c r="C447" s="119"/>
      <c r="D447" s="119"/>
      <c r="E447" s="5"/>
      <c r="F447" s="9">
        <f>IF(E447="", "", IF(G447="BP", E447, F446))</f>
      </c>
      <c r="G447" s="1"/>
      <c r="H447" s="1"/>
      <c r="I447" s="1"/>
      <c r="J447" s="1"/>
      <c r="K447" s="1"/>
      <c r="L447" s="1"/>
      <c r="M447" s="1"/>
      <c r="N447" s="3"/>
      <c r="O447" s="3"/>
      <c r="P447" s="3"/>
      <c r="Q447" s="3"/>
      <c r="R447" s="1" t="str"/>
      <c r="S447" s="9" t="str"/>
      <c r="T447" s="120" t="str"/>
      <c r="U447" s="118"/>
      <c r="V447" s="118"/>
      <c r="W447" s="118"/>
      <c r="X447" s="4"/>
      <c r="Y447" s="4">
        <f>IF(AND(Q447="✅", OR(ISNUMBER(FIND("F",I447)), I447="CR")),   "X="&amp;U447*16&amp;",Y="&amp;(V447-1)*16&amp;",Z="&amp;IF(I447="FD", -(W447-1)*16, (W447-1)*16),   "")</f>
      </c>
      <c r="Z447" s="4">
        <f>IF(AND(Q447="✅", OR(ISNUMBER(FIND("F",I447)), I447="CR")), "P=0,Y=0,R=0", "")</f>
      </c>
      <c r="AA447" s="4" t="str"/>
      <c r="AB447" s="4" t="str"/>
      <c r="AC447" s="4" t="str"/>
      <c r="AD447" s="4" t="str"/>
      <c r="AE447" s="4" t="str"/>
      <c r="AF447" s="4"/>
      <c r="AG447" s="4" t="str"/>
      <c r="AH447" s="4" t="str"/>
      <c r="AI447" s="4" t="str"/>
      <c r="AJ447" s="4" t="str"/>
      <c r="AK447" s="4" t="str"/>
      <c r="AL447" s="4" t="str"/>
      <c r="AM447" s="4" t="str"/>
      <c r="AN447" s="4"/>
      <c r="AO447" s="4" t="str"/>
      <c r="AP447" s="4" t="str"/>
      <c r="AQ447" s="4" t="str"/>
      <c r="AR447" s="4" t="str"/>
      <c r="AS447" s="4" t="str"/>
      <c r="AT447" s="4" t="str"/>
      <c r="AU447" s="4" t="str"/>
      <c r="AV447" s="4"/>
      <c r="AW447" s="4">
        <f>IF(AND(Q447="✅", I447="U90"), "X="&amp;(U447-1)*16&amp;",Y="&amp;(V447-1)*16&amp;",Z="&amp;W447*16, "")</f>
      </c>
      <c r="AX447" s="4">
        <f>IF(AND(Q447="✅", I447="U90"), "P=90,Y=0,R=0", "")</f>
      </c>
      <c r="AY447" s="4" t="str"/>
      <c r="AZ447" s="4" t="str"/>
      <c r="BA447" s="4" t="str"/>
      <c r="BB447" s="4" t="str"/>
      <c r="BC447" s="4" t="str"/>
      <c r="BD447" s="4"/>
      <c r="BE447" s="4">
        <f>IF(AND(Q447="✅", I447="D90"), "X="&amp;(U447-1)*16&amp;",Y="&amp;(V447-1)*16&amp;",Z="&amp;(W447-2)*16, "")</f>
      </c>
      <c r="BF447" s="4">
        <f>IF(AND(Q447="✅", I447="D90"), "P=-90,Y=0,R=0", "")</f>
      </c>
      <c r="BG447" s="4" t="str"/>
      <c r="BH447" s="4" t="str"/>
      <c r="BI447" s="4" t="str"/>
      <c r="BJ447" s="4" t="str"/>
      <c r="BK447" s="4" t="str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</row>
    <row r="448">
      <c r="A448" s="11"/>
      <c r="B448" s="11"/>
      <c r="C448" s="119"/>
      <c r="D448" s="119"/>
      <c r="E448" s="5"/>
      <c r="F448" s="9">
        <f>IF(E448="", "", IF(G448="BP", E448, F447))</f>
      </c>
      <c r="G448" s="1"/>
      <c r="H448" s="1"/>
      <c r="I448" s="1"/>
      <c r="J448" s="1"/>
      <c r="K448" s="1"/>
      <c r="L448" s="1"/>
      <c r="M448" s="1"/>
      <c r="N448" s="3"/>
      <c r="O448" s="3"/>
      <c r="P448" s="3"/>
      <c r="Q448" s="3"/>
      <c r="R448" s="1" t="str"/>
      <c r="S448" s="9" t="str"/>
      <c r="T448" s="120" t="str"/>
      <c r="U448" s="118"/>
      <c r="V448" s="118"/>
      <c r="W448" s="118"/>
      <c r="X448" s="4"/>
      <c r="Y448" s="4">
        <f>IF(AND(Q448="✅", OR(ISNUMBER(FIND("F",I448)), I448="CR")),   "X="&amp;U448*16&amp;",Y="&amp;(V448-1)*16&amp;",Z="&amp;IF(I448="FD", -(W448-1)*16, (W448-1)*16),   "")</f>
      </c>
      <c r="Z448" s="4">
        <f>IF(AND(Q448="✅", OR(ISNUMBER(FIND("F",I448)), I448="CR")), "P=0,Y=0,R=0", "")</f>
      </c>
      <c r="AA448" s="4" t="str"/>
      <c r="AB448" s="4" t="str"/>
      <c r="AC448" s="4" t="str"/>
      <c r="AD448" s="4" t="str"/>
      <c r="AE448" s="4" t="str"/>
      <c r="AF448" s="4"/>
      <c r="AG448" s="4" t="str"/>
      <c r="AH448" s="4" t="str"/>
      <c r="AI448" s="4" t="str"/>
      <c r="AJ448" s="4" t="str"/>
      <c r="AK448" s="4" t="str"/>
      <c r="AL448" s="4" t="str"/>
      <c r="AM448" s="4" t="str"/>
      <c r="AN448" s="4"/>
      <c r="AO448" s="4" t="str"/>
      <c r="AP448" s="4" t="str"/>
      <c r="AQ448" s="4" t="str"/>
      <c r="AR448" s="4" t="str"/>
      <c r="AS448" s="4" t="str"/>
      <c r="AT448" s="4" t="str"/>
      <c r="AU448" s="4" t="str"/>
      <c r="AV448" s="4"/>
      <c r="AW448" s="4">
        <f>IF(AND(Q448="✅", I448="U90"), "X="&amp;(U448-1)*16&amp;",Y="&amp;(V448-1)*16&amp;",Z="&amp;W448*16, "")</f>
      </c>
      <c r="AX448" s="4">
        <f>IF(AND(Q448="✅", I448="U90"), "P=90,Y=0,R=0", "")</f>
      </c>
      <c r="AY448" s="4" t="str"/>
      <c r="AZ448" s="4" t="str"/>
      <c r="BA448" s="4" t="str"/>
      <c r="BB448" s="4" t="str"/>
      <c r="BC448" s="4" t="str"/>
      <c r="BD448" s="4"/>
      <c r="BE448" s="4">
        <f>IF(AND(Q448="✅", I448="D90"), "X="&amp;(U448-1)*16&amp;",Y="&amp;(V448-1)*16&amp;",Z="&amp;(W448-2)*16, "")</f>
      </c>
      <c r="BF448" s="4">
        <f>IF(AND(Q448="✅", I448="D90"), "P=-90,Y=0,R=0", "")</f>
      </c>
      <c r="BG448" s="4" t="str"/>
      <c r="BH448" s="4" t="str"/>
      <c r="BI448" s="4" t="str"/>
      <c r="BJ448" s="4" t="str"/>
      <c r="BK448" s="4" t="str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</row>
    <row r="449">
      <c r="A449" s="11"/>
      <c r="B449" s="11"/>
      <c r="C449" s="119"/>
      <c r="D449" s="119"/>
      <c r="E449" s="5"/>
      <c r="F449" s="9">
        <f>IF(E449="", "", IF(G449="BP", E449, F448))</f>
      </c>
      <c r="G449" s="1"/>
      <c r="H449" s="1"/>
      <c r="I449" s="1"/>
      <c r="J449" s="1"/>
      <c r="K449" s="1"/>
      <c r="L449" s="1"/>
      <c r="M449" s="1"/>
      <c r="N449" s="3"/>
      <c r="O449" s="3"/>
      <c r="P449" s="3"/>
      <c r="Q449" s="3"/>
      <c r="R449" s="1" t="str"/>
      <c r="S449" s="9" t="str"/>
      <c r="T449" s="120" t="str"/>
      <c r="U449" s="118"/>
      <c r="V449" s="118"/>
      <c r="W449" s="118"/>
      <c r="X449" s="4"/>
      <c r="Y449" s="4">
        <f>IF(AND(Q449="✅", OR(ISNUMBER(FIND("F",I449)), I449="CR")),   "X="&amp;U449*16&amp;",Y="&amp;(V449-1)*16&amp;",Z="&amp;IF(I449="FD", -(W449-1)*16, (W449-1)*16),   "")</f>
      </c>
      <c r="Z449" s="4">
        <f>IF(AND(Q449="✅", OR(ISNUMBER(FIND("F",I449)), I449="CR")), "P=0,Y=0,R=0", "")</f>
      </c>
      <c r="AA449" s="4" t="str"/>
      <c r="AB449" s="4" t="str"/>
      <c r="AC449" s="4" t="str"/>
      <c r="AD449" s="4" t="str"/>
      <c r="AE449" s="4" t="str"/>
      <c r="AF449" s="4"/>
      <c r="AG449" s="4" t="str"/>
      <c r="AH449" s="4" t="str"/>
      <c r="AI449" s="4" t="str"/>
      <c r="AJ449" s="4" t="str"/>
      <c r="AK449" s="4" t="str"/>
      <c r="AL449" s="4" t="str"/>
      <c r="AM449" s="4" t="str"/>
      <c r="AN449" s="4"/>
      <c r="AO449" s="4" t="str"/>
      <c r="AP449" s="4" t="str"/>
      <c r="AQ449" s="4" t="str"/>
      <c r="AR449" s="4" t="str"/>
      <c r="AS449" s="4" t="str"/>
      <c r="AT449" s="4" t="str"/>
      <c r="AU449" s="4" t="str"/>
      <c r="AV449" s="4"/>
      <c r="AW449" s="4">
        <f>IF(AND(Q449="✅", I449="U90"), "X="&amp;(U449-1)*16&amp;",Y="&amp;(V449-1)*16&amp;",Z="&amp;W449*16, "")</f>
      </c>
      <c r="AX449" s="4">
        <f>IF(AND(Q449="✅", I449="U90"), "P=90,Y=0,R=0", "")</f>
      </c>
      <c r="AY449" s="4" t="str"/>
      <c r="AZ449" s="4" t="str"/>
      <c r="BA449" s="4" t="str"/>
      <c r="BB449" s="4" t="str"/>
      <c r="BC449" s="4" t="str"/>
      <c r="BD449" s="4"/>
      <c r="BE449" s="4">
        <f>IF(AND(Q449="✅", I449="D90"), "X="&amp;(U449-1)*16&amp;",Y="&amp;(V449-1)*16&amp;",Z="&amp;(W449-2)*16, "")</f>
      </c>
      <c r="BF449" s="4">
        <f>IF(AND(Q449="✅", I449="D90"), "P=-90,Y=0,R=0", "")</f>
      </c>
      <c r="BG449" s="4" t="str"/>
      <c r="BH449" s="4" t="str"/>
      <c r="BI449" s="4" t="str"/>
      <c r="BJ449" s="4" t="str"/>
      <c r="BK449" s="4" t="str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</row>
    <row r="450">
      <c r="A450" s="11"/>
      <c r="B450" s="11"/>
      <c r="C450" s="119"/>
      <c r="D450" s="119"/>
      <c r="E450" s="5"/>
      <c r="F450" s="9">
        <f>IF(E450="", "", IF(G450="BP", E450, F449))</f>
      </c>
      <c r="G450" s="1"/>
      <c r="H450" s="1"/>
      <c r="I450" s="1"/>
      <c r="J450" s="1"/>
      <c r="K450" s="1"/>
      <c r="L450" s="1"/>
      <c r="M450" s="1"/>
      <c r="N450" s="3"/>
      <c r="O450" s="3"/>
      <c r="P450" s="3"/>
      <c r="Q450" s="3"/>
      <c r="R450" s="1" t="str"/>
      <c r="S450" s="9" t="str"/>
      <c r="T450" s="120" t="str"/>
      <c r="U450" s="118"/>
      <c r="V450" s="118"/>
      <c r="W450" s="118"/>
      <c r="X450" s="4"/>
      <c r="Y450" s="4">
        <f>IF(AND(Q450="✅", OR(ISNUMBER(FIND("F",I450)), I450="CR")),   "X="&amp;U450*16&amp;",Y="&amp;(V450-1)*16&amp;",Z="&amp;IF(I450="FD", -(W450-1)*16, (W450-1)*16),   "")</f>
      </c>
      <c r="Z450" s="4">
        <f>IF(AND(Q450="✅", OR(ISNUMBER(FIND("F",I450)), I450="CR")), "P=0,Y=0,R=0", "")</f>
      </c>
      <c r="AA450" s="4" t="str"/>
      <c r="AB450" s="4" t="str"/>
      <c r="AC450" s="4" t="str"/>
      <c r="AD450" s="4" t="str"/>
      <c r="AE450" s="4" t="str"/>
      <c r="AF450" s="4"/>
      <c r="AG450" s="4" t="str"/>
      <c r="AH450" s="4" t="str"/>
      <c r="AI450" s="4" t="str"/>
      <c r="AJ450" s="4" t="str"/>
      <c r="AK450" s="4" t="str"/>
      <c r="AL450" s="4" t="str"/>
      <c r="AM450" s="4" t="str"/>
      <c r="AN450" s="4"/>
      <c r="AO450" s="4" t="str"/>
      <c r="AP450" s="4" t="str"/>
      <c r="AQ450" s="4" t="str"/>
      <c r="AR450" s="4" t="str"/>
      <c r="AS450" s="4" t="str"/>
      <c r="AT450" s="4" t="str"/>
      <c r="AU450" s="4" t="str"/>
      <c r="AV450" s="4"/>
      <c r="AW450" s="4">
        <f>IF(AND(Q450="✅", I450="U90"), "X="&amp;(U450-1)*16&amp;",Y="&amp;(V450-1)*16&amp;",Z="&amp;W450*16, "")</f>
      </c>
      <c r="AX450" s="4">
        <f>IF(AND(Q450="✅", I450="U90"), "P=90,Y=0,R=0", "")</f>
      </c>
      <c r="AY450" s="4" t="str"/>
      <c r="AZ450" s="4" t="str"/>
      <c r="BA450" s="4" t="str"/>
      <c r="BB450" s="4" t="str"/>
      <c r="BC450" s="4" t="str"/>
      <c r="BD450" s="4"/>
      <c r="BE450" s="4">
        <f>IF(AND(Q450="✅", I450="D90"), "X="&amp;(U450-1)*16&amp;",Y="&amp;(V450-1)*16&amp;",Z="&amp;(W450-2)*16, "")</f>
      </c>
      <c r="BF450" s="4">
        <f>IF(AND(Q450="✅", I450="D90"), "P=-90,Y=0,R=0", "")</f>
      </c>
      <c r="BG450" s="4" t="str"/>
      <c r="BH450" s="4" t="str"/>
      <c r="BI450" s="4" t="str"/>
      <c r="BJ450" s="4" t="str"/>
      <c r="BK450" s="4" t="str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</row>
    <row r="451">
      <c r="A451" s="11"/>
      <c r="B451" s="11"/>
      <c r="C451" s="119"/>
      <c r="D451" s="119"/>
      <c r="E451" s="5"/>
      <c r="F451" s="9">
        <f>IF(E451="", "", IF(G451="BP", E451, F450))</f>
      </c>
      <c r="G451" s="1"/>
      <c r="H451" s="1"/>
      <c r="I451" s="1"/>
      <c r="J451" s="1"/>
      <c r="K451" s="1"/>
      <c r="L451" s="1"/>
      <c r="M451" s="1"/>
      <c r="N451" s="3"/>
      <c r="O451" s="3"/>
      <c r="P451" s="3"/>
      <c r="Q451" s="3"/>
      <c r="R451" s="1" t="str"/>
      <c r="S451" s="9" t="str"/>
      <c r="T451" s="120" t="str"/>
      <c r="U451" s="118"/>
      <c r="V451" s="118"/>
      <c r="W451" s="118"/>
      <c r="X451" s="4"/>
      <c r="Y451" s="4">
        <f>IF(AND(Q451="✅", OR(ISNUMBER(FIND("F",I451)), I451="CR")),   "X="&amp;U451*16&amp;",Y="&amp;(V451-1)*16&amp;",Z="&amp;IF(I451="FD", -(W451-1)*16, (W451-1)*16),   "")</f>
      </c>
      <c r="Z451" s="4">
        <f>IF(AND(Q451="✅", OR(ISNUMBER(FIND("F",I451)), I451="CR")), "P=0,Y=0,R=0", "")</f>
      </c>
      <c r="AA451" s="4" t="str"/>
      <c r="AB451" s="4" t="str"/>
      <c r="AC451" s="4" t="str"/>
      <c r="AD451" s="4" t="str"/>
      <c r="AE451" s="4" t="str"/>
      <c r="AF451" s="4"/>
      <c r="AG451" s="4" t="str"/>
      <c r="AH451" s="4" t="str"/>
      <c r="AI451" s="4" t="str"/>
      <c r="AJ451" s="4" t="str"/>
      <c r="AK451" s="4" t="str"/>
      <c r="AL451" s="4" t="str"/>
      <c r="AM451" s="4" t="str"/>
      <c r="AN451" s="4"/>
      <c r="AO451" s="4" t="str"/>
      <c r="AP451" s="4" t="str"/>
      <c r="AQ451" s="4" t="str"/>
      <c r="AR451" s="4" t="str"/>
      <c r="AS451" s="4" t="str"/>
      <c r="AT451" s="4" t="str"/>
      <c r="AU451" s="4" t="str"/>
      <c r="AV451" s="4"/>
      <c r="AW451" s="4">
        <f>IF(AND(Q451="✅", I451="U90"), "X="&amp;(U451-1)*16&amp;",Y="&amp;(V451-1)*16&amp;",Z="&amp;W451*16, "")</f>
      </c>
      <c r="AX451" s="4">
        <f>IF(AND(Q451="✅", I451="U90"), "P=90,Y=0,R=0", "")</f>
      </c>
      <c r="AY451" s="4" t="str"/>
      <c r="AZ451" s="4" t="str"/>
      <c r="BA451" s="4" t="str"/>
      <c r="BB451" s="4" t="str"/>
      <c r="BC451" s="4" t="str"/>
      <c r="BD451" s="4"/>
      <c r="BE451" s="4">
        <f>IF(AND(Q451="✅", I451="D90"), "X="&amp;(U451-1)*16&amp;",Y="&amp;(V451-1)*16&amp;",Z="&amp;(W451-2)*16, "")</f>
      </c>
      <c r="BF451" s="4">
        <f>IF(AND(Q451="✅", I451="D90"), "P=-90,Y=0,R=0", "")</f>
      </c>
      <c r="BG451" s="4" t="str"/>
      <c r="BH451" s="4" t="str"/>
      <c r="BI451" s="4" t="str"/>
      <c r="BJ451" s="4" t="str"/>
      <c r="BK451" s="4" t="str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</row>
    <row r="452">
      <c r="A452" s="11"/>
      <c r="B452" s="11"/>
      <c r="C452" s="119"/>
      <c r="D452" s="119"/>
      <c r="E452" s="5"/>
      <c r="F452" s="9">
        <f>IF(E452="", "", IF(G452="BP", E452, F451))</f>
      </c>
      <c r="G452" s="1"/>
      <c r="H452" s="1"/>
      <c r="I452" s="1"/>
      <c r="J452" s="1"/>
      <c r="K452" s="1"/>
      <c r="L452" s="1"/>
      <c r="M452" s="1"/>
      <c r="N452" s="3"/>
      <c r="O452" s="3"/>
      <c r="P452" s="3"/>
      <c r="Q452" s="3"/>
      <c r="R452" s="1" t="str"/>
      <c r="S452" s="9" t="str"/>
      <c r="T452" s="120" t="str"/>
      <c r="U452" s="118"/>
      <c r="V452" s="118"/>
      <c r="W452" s="118"/>
      <c r="X452" s="4"/>
      <c r="Y452" s="4">
        <f>IF(AND(Q452="✅", OR(ISNUMBER(FIND("F",I452)), I452="CR")),   "X="&amp;U452*16&amp;",Y="&amp;(V452-1)*16&amp;",Z="&amp;IF(I452="FD", -(W452-1)*16, (W452-1)*16),   "")</f>
      </c>
      <c r="Z452" s="4">
        <f>IF(AND(Q452="✅", OR(ISNUMBER(FIND("F",I452)), I452="CR")), "P=0,Y=0,R=0", "")</f>
      </c>
      <c r="AA452" s="4" t="str"/>
      <c r="AB452" s="4" t="str"/>
      <c r="AC452" s="4" t="str"/>
      <c r="AD452" s="4" t="str"/>
      <c r="AE452" s="4" t="str"/>
      <c r="AF452" s="4"/>
      <c r="AG452" s="4" t="str"/>
      <c r="AH452" s="4" t="str"/>
      <c r="AI452" s="4" t="str"/>
      <c r="AJ452" s="4" t="str"/>
      <c r="AK452" s="4" t="str"/>
      <c r="AL452" s="4" t="str"/>
      <c r="AM452" s="4" t="str"/>
      <c r="AN452" s="4"/>
      <c r="AO452" s="4" t="str"/>
      <c r="AP452" s="4" t="str"/>
      <c r="AQ452" s="4" t="str"/>
      <c r="AR452" s="4" t="str"/>
      <c r="AS452" s="4" t="str"/>
      <c r="AT452" s="4" t="str"/>
      <c r="AU452" s="4" t="str"/>
      <c r="AV452" s="4"/>
      <c r="AW452" s="4">
        <f>IF(AND(Q452="✅", I452="U90"), "X="&amp;(U452-1)*16&amp;",Y="&amp;(V452-1)*16&amp;",Z="&amp;W452*16, "")</f>
      </c>
      <c r="AX452" s="4">
        <f>IF(AND(Q452="✅", I452="U90"), "P=90,Y=0,R=0", "")</f>
      </c>
      <c r="AY452" s="4" t="str"/>
      <c r="AZ452" s="4" t="str"/>
      <c r="BA452" s="4" t="str"/>
      <c r="BB452" s="4" t="str"/>
      <c r="BC452" s="4" t="str"/>
      <c r="BD452" s="4"/>
      <c r="BE452" s="4">
        <f>IF(AND(Q452="✅", I452="D90"), "X="&amp;(U452-1)*16&amp;",Y="&amp;(V452-1)*16&amp;",Z="&amp;(W452-2)*16, "")</f>
      </c>
      <c r="BF452" s="4">
        <f>IF(AND(Q452="✅", I452="D90"), "P=-90,Y=0,R=0", "")</f>
      </c>
      <c r="BG452" s="4" t="str"/>
      <c r="BH452" s="4" t="str"/>
      <c r="BI452" s="4" t="str"/>
      <c r="BJ452" s="4" t="str"/>
      <c r="BK452" s="4" t="str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</row>
    <row r="453">
      <c r="A453" s="11"/>
      <c r="B453" s="11"/>
      <c r="C453" s="119"/>
      <c r="D453" s="119"/>
      <c r="E453" s="5"/>
      <c r="F453" s="9">
        <f>IF(E453="", "", IF(G453="BP", E453, F452))</f>
      </c>
      <c r="G453" s="1"/>
      <c r="H453" s="1"/>
      <c r="I453" s="1"/>
      <c r="J453" s="1"/>
      <c r="K453" s="1"/>
      <c r="L453" s="1"/>
      <c r="M453" s="1"/>
      <c r="N453" s="3"/>
      <c r="O453" s="3"/>
      <c r="P453" s="3"/>
      <c r="Q453" s="3"/>
      <c r="R453" s="1" t="str"/>
      <c r="S453" s="9" t="str"/>
      <c r="T453" s="120" t="str"/>
      <c r="U453" s="118"/>
      <c r="V453" s="118"/>
      <c r="W453" s="118"/>
      <c r="X453" s="4"/>
      <c r="Y453" s="4">
        <f>IF(AND(Q453="✅", OR(ISNUMBER(FIND("F",I453)), I453="CR")),   "X="&amp;U453*16&amp;",Y="&amp;(V453-1)*16&amp;",Z="&amp;IF(I453="FD", -(W453-1)*16, (W453-1)*16),   "")</f>
      </c>
      <c r="Z453" s="4">
        <f>IF(AND(Q453="✅", OR(ISNUMBER(FIND("F",I453)), I453="CR")), "P=0,Y=0,R=0", "")</f>
      </c>
      <c r="AA453" s="4" t="str"/>
      <c r="AB453" s="4" t="str"/>
      <c r="AC453" s="4" t="str"/>
      <c r="AD453" s="4" t="str"/>
      <c r="AE453" s="4" t="str"/>
      <c r="AF453" s="4"/>
      <c r="AG453" s="4" t="str"/>
      <c r="AH453" s="4" t="str"/>
      <c r="AI453" s="4" t="str"/>
      <c r="AJ453" s="4" t="str"/>
      <c r="AK453" s="4" t="str"/>
      <c r="AL453" s="4" t="str"/>
      <c r="AM453" s="4" t="str"/>
      <c r="AN453" s="4"/>
      <c r="AO453" s="4" t="str"/>
      <c r="AP453" s="4" t="str"/>
      <c r="AQ453" s="4" t="str"/>
      <c r="AR453" s="4" t="str"/>
      <c r="AS453" s="4" t="str"/>
      <c r="AT453" s="4" t="str"/>
      <c r="AU453" s="4" t="str"/>
      <c r="AV453" s="4"/>
      <c r="AW453" s="4">
        <f>IF(AND(Q453="✅", I453="U90"), "X="&amp;(U453-1)*16&amp;",Y="&amp;(V453-1)*16&amp;",Z="&amp;W453*16, "")</f>
      </c>
      <c r="AX453" s="4">
        <f>IF(AND(Q453="✅", I453="U90"), "P=90,Y=0,R=0", "")</f>
      </c>
      <c r="AY453" s="4" t="str"/>
      <c r="AZ453" s="4" t="str"/>
      <c r="BA453" s="4" t="str"/>
      <c r="BB453" s="4" t="str"/>
      <c r="BC453" s="4" t="str"/>
      <c r="BD453" s="4"/>
      <c r="BE453" s="4">
        <f>IF(AND(Q453="✅", I453="D90"), "X="&amp;(U453-1)*16&amp;",Y="&amp;(V453-1)*16&amp;",Z="&amp;(W453-2)*16, "")</f>
      </c>
      <c r="BF453" s="4">
        <f>IF(AND(Q453="✅", I453="D90"), "P=-90,Y=0,R=0", "")</f>
      </c>
      <c r="BG453" s="4" t="str"/>
      <c r="BH453" s="4" t="str"/>
      <c r="BI453" s="4" t="str"/>
      <c r="BJ453" s="4" t="str"/>
      <c r="BK453" s="4" t="str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</row>
    <row r="454">
      <c r="A454" s="11"/>
      <c r="B454" s="11"/>
      <c r="C454" s="119"/>
      <c r="D454" s="119"/>
      <c r="E454" s="5"/>
      <c r="F454" s="9">
        <f>IF(E454="", "", IF(G454="BP", E454, F453))</f>
      </c>
      <c r="G454" s="1"/>
      <c r="H454" s="1"/>
      <c r="I454" s="1"/>
      <c r="J454" s="1"/>
      <c r="K454" s="1"/>
      <c r="L454" s="1"/>
      <c r="M454" s="1"/>
      <c r="N454" s="3"/>
      <c r="O454" s="3"/>
      <c r="P454" s="3"/>
      <c r="Q454" s="3"/>
      <c r="R454" s="1" t="str"/>
      <c r="S454" s="9" t="str"/>
      <c r="T454" s="120" t="str"/>
      <c r="U454" s="118"/>
      <c r="V454" s="118"/>
      <c r="W454" s="118"/>
      <c r="X454" s="4"/>
      <c r="Y454" s="4">
        <f>IF(AND(Q454="✅", OR(ISNUMBER(FIND("F",I454)), I454="CR")),   "X="&amp;U454*16&amp;",Y="&amp;(V454-1)*16&amp;",Z="&amp;IF(I454="FD", -(W454-1)*16, (W454-1)*16),   "")</f>
      </c>
      <c r="Z454" s="4">
        <f>IF(AND(Q454="✅", OR(ISNUMBER(FIND("F",I454)), I454="CR")), "P=0,Y=0,R=0", "")</f>
      </c>
      <c r="AA454" s="4" t="str"/>
      <c r="AB454" s="4" t="str"/>
      <c r="AC454" s="4" t="str"/>
      <c r="AD454" s="4" t="str"/>
      <c r="AE454" s="4" t="str"/>
      <c r="AF454" s="4"/>
      <c r="AG454" s="4" t="str"/>
      <c r="AH454" s="4" t="str"/>
      <c r="AI454" s="4" t="str"/>
      <c r="AJ454" s="4" t="str"/>
      <c r="AK454" s="4" t="str"/>
      <c r="AL454" s="4" t="str"/>
      <c r="AM454" s="4" t="str"/>
      <c r="AN454" s="4"/>
      <c r="AO454" s="4" t="str"/>
      <c r="AP454" s="4" t="str"/>
      <c r="AQ454" s="4" t="str"/>
      <c r="AR454" s="4" t="str"/>
      <c r="AS454" s="4" t="str"/>
      <c r="AT454" s="4" t="str"/>
      <c r="AU454" s="4" t="str"/>
      <c r="AV454" s="4"/>
      <c r="AW454" s="4">
        <f>IF(AND(Q454="✅", I454="U90"), "X="&amp;(U454-1)*16&amp;",Y="&amp;(V454-1)*16&amp;",Z="&amp;W454*16, "")</f>
      </c>
      <c r="AX454" s="4">
        <f>IF(AND(Q454="✅", I454="U90"), "P=90,Y=0,R=0", "")</f>
      </c>
      <c r="AY454" s="4" t="str"/>
      <c r="AZ454" s="4" t="str"/>
      <c r="BA454" s="4" t="str"/>
      <c r="BB454" s="4" t="str"/>
      <c r="BC454" s="4" t="str"/>
      <c r="BD454" s="4"/>
      <c r="BE454" s="4">
        <f>IF(AND(Q454="✅", I454="D90"), "X="&amp;(U454-1)*16&amp;",Y="&amp;(V454-1)*16&amp;",Z="&amp;(W454-2)*16, "")</f>
      </c>
      <c r="BF454" s="4">
        <f>IF(AND(Q454="✅", I454="D90"), "P=-90,Y=0,R=0", "")</f>
      </c>
      <c r="BG454" s="4" t="str"/>
      <c r="BH454" s="4" t="str"/>
      <c r="BI454" s="4" t="str"/>
      <c r="BJ454" s="4" t="str"/>
      <c r="BK454" s="4" t="str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</row>
    <row r="455">
      <c r="A455" s="11"/>
      <c r="B455" s="11"/>
      <c r="C455" s="119"/>
      <c r="D455" s="119"/>
      <c r="E455" s="5"/>
      <c r="F455" s="9">
        <f>IF(E455="", "", IF(G455="BP", E455, F454))</f>
      </c>
      <c r="G455" s="1"/>
      <c r="H455" s="1"/>
      <c r="I455" s="1"/>
      <c r="J455" s="1"/>
      <c r="K455" s="1"/>
      <c r="L455" s="1"/>
      <c r="M455" s="1"/>
      <c r="N455" s="3"/>
      <c r="O455" s="3"/>
      <c r="P455" s="3"/>
      <c r="Q455" s="3"/>
      <c r="R455" s="1" t="str"/>
      <c r="S455" s="9" t="str"/>
      <c r="T455" s="120" t="str"/>
      <c r="U455" s="118"/>
      <c r="V455" s="118"/>
      <c r="W455" s="118"/>
      <c r="X455" s="4"/>
      <c r="Y455" s="4">
        <f>IF(AND(Q455="✅", OR(ISNUMBER(FIND("F",I455)), I455="CR")),   "X="&amp;U455*16&amp;",Y="&amp;(V455-1)*16&amp;",Z="&amp;IF(I455="FD", -(W455-1)*16, (W455-1)*16),   "")</f>
      </c>
      <c r="Z455" s="4">
        <f>IF(AND(Q455="✅", OR(ISNUMBER(FIND("F",I455)), I455="CR")), "P=0,Y=0,R=0", "")</f>
      </c>
      <c r="AA455" s="4" t="str"/>
      <c r="AB455" s="4" t="str"/>
      <c r="AC455" s="4" t="str"/>
      <c r="AD455" s="4" t="str"/>
      <c r="AE455" s="4" t="str"/>
      <c r="AF455" s="4"/>
      <c r="AG455" s="4" t="str"/>
      <c r="AH455" s="4" t="str"/>
      <c r="AI455" s="4" t="str"/>
      <c r="AJ455" s="4" t="str"/>
      <c r="AK455" s="4" t="str"/>
      <c r="AL455" s="4" t="str"/>
      <c r="AM455" s="4" t="str"/>
      <c r="AN455" s="4"/>
      <c r="AO455" s="4" t="str"/>
      <c r="AP455" s="4" t="str"/>
      <c r="AQ455" s="4" t="str"/>
      <c r="AR455" s="4" t="str"/>
      <c r="AS455" s="4" t="str"/>
      <c r="AT455" s="4" t="str"/>
      <c r="AU455" s="4" t="str"/>
      <c r="AV455" s="4"/>
      <c r="AW455" s="4">
        <f>IF(AND(Q455="✅", I455="U90"), "X="&amp;(U455-1)*16&amp;",Y="&amp;(V455-1)*16&amp;",Z="&amp;W455*16, "")</f>
      </c>
      <c r="AX455" s="4">
        <f>IF(AND(Q455="✅", I455="U90"), "P=90,Y=0,R=0", "")</f>
      </c>
      <c r="AY455" s="4" t="str"/>
      <c r="AZ455" s="4" t="str"/>
      <c r="BA455" s="4" t="str"/>
      <c r="BB455" s="4" t="str"/>
      <c r="BC455" s="4" t="str"/>
      <c r="BD455" s="4"/>
      <c r="BE455" s="4">
        <f>IF(AND(Q455="✅", I455="D90"), "X="&amp;(U455-1)*16&amp;",Y="&amp;(V455-1)*16&amp;",Z="&amp;(W455-2)*16, "")</f>
      </c>
      <c r="BF455" s="4">
        <f>IF(AND(Q455="✅", I455="D90"), "P=-90,Y=0,R=0", "")</f>
      </c>
      <c r="BG455" s="4" t="str"/>
      <c r="BH455" s="4" t="str"/>
      <c r="BI455" s="4" t="str"/>
      <c r="BJ455" s="4" t="str"/>
      <c r="BK455" s="4" t="str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</row>
    <row r="456">
      <c r="A456" s="11"/>
      <c r="B456" s="11"/>
      <c r="C456" s="119"/>
      <c r="D456" s="119"/>
      <c r="E456" s="5"/>
      <c r="F456" s="9">
        <f>IF(E456="", "", IF(G456="BP", E456, F455))</f>
      </c>
      <c r="G456" s="1"/>
      <c r="H456" s="1"/>
      <c r="I456" s="1"/>
      <c r="J456" s="1"/>
      <c r="K456" s="1"/>
      <c r="L456" s="1"/>
      <c r="M456" s="1"/>
      <c r="N456" s="3"/>
      <c r="O456" s="3"/>
      <c r="P456" s="3"/>
      <c r="Q456" s="3"/>
      <c r="R456" s="1" t="str"/>
      <c r="S456" s="9" t="str"/>
      <c r="T456" s="120" t="str"/>
      <c r="U456" s="118"/>
      <c r="V456" s="118"/>
      <c r="W456" s="118"/>
      <c r="X456" s="4"/>
      <c r="Y456" s="4">
        <f>IF(AND(Q456="✅", OR(ISNUMBER(FIND("F",I456)), I456="CR")),   "X="&amp;U456*16&amp;",Y="&amp;(V456-1)*16&amp;",Z="&amp;IF(I456="FD", -(W456-1)*16, (W456-1)*16),   "")</f>
      </c>
      <c r="Z456" s="4">
        <f>IF(AND(Q456="✅", OR(ISNUMBER(FIND("F",I456)), I456="CR")), "P=0,Y=0,R=0", "")</f>
      </c>
      <c r="AA456" s="4" t="str"/>
      <c r="AB456" s="4" t="str"/>
      <c r="AC456" s="4" t="str"/>
      <c r="AD456" s="4" t="str"/>
      <c r="AE456" s="4" t="str"/>
      <c r="AF456" s="4"/>
      <c r="AG456" s="4" t="str"/>
      <c r="AH456" s="4" t="str"/>
      <c r="AI456" s="4" t="str"/>
      <c r="AJ456" s="4" t="str"/>
      <c r="AK456" s="4" t="str"/>
      <c r="AL456" s="4" t="str"/>
      <c r="AM456" s="4" t="str"/>
      <c r="AN456" s="4"/>
      <c r="AO456" s="4" t="str"/>
      <c r="AP456" s="4" t="str"/>
      <c r="AQ456" s="4" t="str"/>
      <c r="AR456" s="4" t="str"/>
      <c r="AS456" s="4" t="str"/>
      <c r="AT456" s="4" t="str"/>
      <c r="AU456" s="4" t="str"/>
      <c r="AV456" s="4"/>
      <c r="AW456" s="4">
        <f>IF(AND(Q456="✅", I456="U90"), "X="&amp;(U456-1)*16&amp;",Y="&amp;(V456-1)*16&amp;",Z="&amp;W456*16, "")</f>
      </c>
      <c r="AX456" s="4">
        <f>IF(AND(Q456="✅", I456="U90"), "P=90,Y=0,R=0", "")</f>
      </c>
      <c r="AY456" s="4" t="str"/>
      <c r="AZ456" s="4" t="str"/>
      <c r="BA456" s="4" t="str"/>
      <c r="BB456" s="4" t="str"/>
      <c r="BC456" s="4" t="str"/>
      <c r="BD456" s="4"/>
      <c r="BE456" s="4">
        <f>IF(AND(Q456="✅", I456="D90"), "X="&amp;(U456-1)*16&amp;",Y="&amp;(V456-1)*16&amp;",Z="&amp;(W456-2)*16, "")</f>
      </c>
      <c r="BF456" s="4">
        <f>IF(AND(Q456="✅", I456="D90"), "P=-90,Y=0,R=0", "")</f>
      </c>
      <c r="BG456" s="4" t="str"/>
      <c r="BH456" s="4" t="str"/>
      <c r="BI456" s="4" t="str"/>
      <c r="BJ456" s="4" t="str"/>
      <c r="BK456" s="4" t="str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</row>
    <row r="457">
      <c r="A457" s="11"/>
      <c r="B457" s="11"/>
      <c r="C457" s="119"/>
      <c r="D457" s="119"/>
      <c r="E457" s="5"/>
      <c r="F457" s="9">
        <f>IF(E457="", "", IF(G457="BP", E457, F456))</f>
      </c>
      <c r="G457" s="1"/>
      <c r="H457" s="1"/>
      <c r="I457" s="1"/>
      <c r="J457" s="1"/>
      <c r="K457" s="1"/>
      <c r="L457" s="1"/>
      <c r="M457" s="1"/>
      <c r="N457" s="3"/>
      <c r="O457" s="3"/>
      <c r="P457" s="3"/>
      <c r="Q457" s="3"/>
      <c r="R457" s="1" t="str"/>
      <c r="S457" s="9" t="str"/>
      <c r="T457" s="120" t="str"/>
      <c r="U457" s="118"/>
      <c r="V457" s="118"/>
      <c r="W457" s="118"/>
      <c r="X457" s="4"/>
      <c r="Y457" s="4">
        <f>IF(AND(Q457="✅", OR(ISNUMBER(FIND("F",I457)), I457="CR")),   "X="&amp;U457*16&amp;",Y="&amp;(V457-1)*16&amp;",Z="&amp;IF(I457="FD", -(W457-1)*16, (W457-1)*16),   "")</f>
      </c>
      <c r="Z457" s="4">
        <f>IF(AND(Q457="✅", OR(ISNUMBER(FIND("F",I457)), I457="CR")), "P=0,Y=0,R=0", "")</f>
      </c>
      <c r="AA457" s="4" t="str"/>
      <c r="AB457" s="4" t="str"/>
      <c r="AC457" s="4" t="str"/>
      <c r="AD457" s="4" t="str"/>
      <c r="AE457" s="4" t="str"/>
      <c r="AF457" s="4"/>
      <c r="AG457" s="4" t="str"/>
      <c r="AH457" s="4" t="str"/>
      <c r="AI457" s="4" t="str"/>
      <c r="AJ457" s="4" t="str"/>
      <c r="AK457" s="4" t="str"/>
      <c r="AL457" s="4" t="str"/>
      <c r="AM457" s="4" t="str"/>
      <c r="AN457" s="4"/>
      <c r="AO457" s="4" t="str"/>
      <c r="AP457" s="4" t="str"/>
      <c r="AQ457" s="4" t="str"/>
      <c r="AR457" s="4" t="str"/>
      <c r="AS457" s="4" t="str"/>
      <c r="AT457" s="4" t="str"/>
      <c r="AU457" s="4" t="str"/>
      <c r="AV457" s="4"/>
      <c r="AW457" s="4">
        <f>IF(AND(Q457="✅", I457="U90"), "X="&amp;(U457-1)*16&amp;",Y="&amp;(V457-1)*16&amp;",Z="&amp;W457*16, "")</f>
      </c>
      <c r="AX457" s="4">
        <f>IF(AND(Q457="✅", I457="U90"), "P=90,Y=0,R=0", "")</f>
      </c>
      <c r="AY457" s="4" t="str"/>
      <c r="AZ457" s="4" t="str"/>
      <c r="BA457" s="4" t="str"/>
      <c r="BB457" s="4" t="str"/>
      <c r="BC457" s="4" t="str"/>
      <c r="BD457" s="4"/>
      <c r="BE457" s="4">
        <f>IF(AND(Q457="✅", I457="D90"), "X="&amp;(U457-1)*16&amp;",Y="&amp;(V457-1)*16&amp;",Z="&amp;(W457-2)*16, "")</f>
      </c>
      <c r="BF457" s="4">
        <f>IF(AND(Q457="✅", I457="D90"), "P=-90,Y=0,R=0", "")</f>
      </c>
      <c r="BG457" s="4" t="str"/>
      <c r="BH457" s="4" t="str"/>
      <c r="BI457" s="4" t="str"/>
      <c r="BJ457" s="4" t="str"/>
      <c r="BK457" s="4" t="str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</row>
    <row r="458">
      <c r="A458" s="11"/>
      <c r="B458" s="11"/>
      <c r="C458" s="119"/>
      <c r="D458" s="119"/>
      <c r="E458" s="5"/>
      <c r="F458" s="9">
        <f>IF(E458="", "", IF(G458="BP", E458, F457))</f>
      </c>
      <c r="G458" s="1"/>
      <c r="H458" s="1"/>
      <c r="I458" s="1"/>
      <c r="J458" s="1"/>
      <c r="K458" s="1"/>
      <c r="L458" s="1"/>
      <c r="M458" s="1"/>
      <c r="N458" s="3"/>
      <c r="O458" s="3"/>
      <c r="P458" s="3"/>
      <c r="Q458" s="3"/>
      <c r="R458" s="1" t="str"/>
      <c r="S458" s="9" t="str"/>
      <c r="T458" s="120" t="str"/>
      <c r="U458" s="118"/>
      <c r="V458" s="118"/>
      <c r="W458" s="118"/>
      <c r="X458" s="4"/>
      <c r="Y458" s="4">
        <f>IF(AND(Q458="✅", OR(ISNUMBER(FIND("F",I458)), I458="CR")),   "X="&amp;U458*16&amp;",Y="&amp;(V458-1)*16&amp;",Z="&amp;IF(I458="FD", -(W458-1)*16, (W458-1)*16),   "")</f>
      </c>
      <c r="Z458" s="4">
        <f>IF(AND(Q458="✅", OR(ISNUMBER(FIND("F",I458)), I458="CR")), "P=0,Y=0,R=0", "")</f>
      </c>
      <c r="AA458" s="4" t="str"/>
      <c r="AB458" s="4" t="str"/>
      <c r="AC458" s="4" t="str"/>
      <c r="AD458" s="4" t="str"/>
      <c r="AE458" s="4" t="str"/>
      <c r="AF458" s="4"/>
      <c r="AG458" s="4" t="str"/>
      <c r="AH458" s="4" t="str"/>
      <c r="AI458" s="4" t="str"/>
      <c r="AJ458" s="4" t="str"/>
      <c r="AK458" s="4" t="str"/>
      <c r="AL458" s="4" t="str"/>
      <c r="AM458" s="4" t="str"/>
      <c r="AN458" s="4"/>
      <c r="AO458" s="4" t="str"/>
      <c r="AP458" s="4" t="str"/>
      <c r="AQ458" s="4" t="str"/>
      <c r="AR458" s="4" t="str"/>
      <c r="AS458" s="4" t="str"/>
      <c r="AT458" s="4" t="str"/>
      <c r="AU458" s="4" t="str"/>
      <c r="AV458" s="4"/>
      <c r="AW458" s="4">
        <f>IF(AND(Q458="✅", I458="U90"), "X="&amp;(U458-1)*16&amp;",Y="&amp;(V458-1)*16&amp;",Z="&amp;W458*16, "")</f>
      </c>
      <c r="AX458" s="4">
        <f>IF(AND(Q458="✅", I458="U90"), "P=90,Y=0,R=0", "")</f>
      </c>
      <c r="AY458" s="4" t="str"/>
      <c r="AZ458" s="4" t="str"/>
      <c r="BA458" s="4" t="str"/>
      <c r="BB458" s="4" t="str"/>
      <c r="BC458" s="4" t="str"/>
      <c r="BD458" s="4"/>
      <c r="BE458" s="4">
        <f>IF(AND(Q458="✅", I458="D90"), "X="&amp;(U458-1)*16&amp;",Y="&amp;(V458-1)*16&amp;",Z="&amp;(W458-2)*16, "")</f>
      </c>
      <c r="BF458" s="4">
        <f>IF(AND(Q458="✅", I458="D90"), "P=-90,Y=0,R=0", "")</f>
      </c>
      <c r="BG458" s="4" t="str"/>
      <c r="BH458" s="4" t="str"/>
      <c r="BI458" s="4" t="str"/>
      <c r="BJ458" s="4" t="str"/>
      <c r="BK458" s="4" t="str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</row>
    <row r="459">
      <c r="A459" s="11"/>
      <c r="B459" s="11"/>
      <c r="C459" s="119"/>
      <c r="D459" s="119"/>
      <c r="E459" s="5"/>
      <c r="F459" s="9">
        <f>IF(E459="", "", IF(G459="BP", E459, F458))</f>
      </c>
      <c r="G459" s="1"/>
      <c r="H459" s="1"/>
      <c r="I459" s="1"/>
      <c r="J459" s="1"/>
      <c r="K459" s="1"/>
      <c r="L459" s="1"/>
      <c r="M459" s="1"/>
      <c r="N459" s="3"/>
      <c r="O459" s="3"/>
      <c r="P459" s="3"/>
      <c r="Q459" s="3"/>
      <c r="R459" s="1" t="str"/>
      <c r="S459" s="9" t="str"/>
      <c r="T459" s="120" t="str"/>
      <c r="U459" s="118"/>
      <c r="V459" s="118"/>
      <c r="W459" s="118"/>
      <c r="X459" s="4"/>
      <c r="Y459" s="4">
        <f>IF(AND(Q459="✅", OR(ISNUMBER(FIND("F",I459)), I459="CR")),   "X="&amp;U459*16&amp;",Y="&amp;(V459-1)*16&amp;",Z="&amp;IF(I459="FD", -(W459-1)*16, (W459-1)*16),   "")</f>
      </c>
      <c r="Z459" s="4">
        <f>IF(AND(Q459="✅", OR(ISNUMBER(FIND("F",I459)), I459="CR")), "P=0,Y=0,R=0", "")</f>
      </c>
      <c r="AA459" s="4" t="str"/>
      <c r="AB459" s="4" t="str"/>
      <c r="AC459" s="4" t="str"/>
      <c r="AD459" s="4" t="str"/>
      <c r="AE459" s="4" t="str"/>
      <c r="AF459" s="4"/>
      <c r="AG459" s="4" t="str"/>
      <c r="AH459" s="4" t="str"/>
      <c r="AI459" s="4" t="str"/>
      <c r="AJ459" s="4" t="str"/>
      <c r="AK459" s="4" t="str"/>
      <c r="AL459" s="4" t="str"/>
      <c r="AM459" s="4" t="str"/>
      <c r="AN459" s="4"/>
      <c r="AO459" s="4" t="str"/>
      <c r="AP459" s="4" t="str"/>
      <c r="AQ459" s="4" t="str"/>
      <c r="AR459" s="4" t="str"/>
      <c r="AS459" s="4" t="str"/>
      <c r="AT459" s="4" t="str"/>
      <c r="AU459" s="4" t="str"/>
      <c r="AV459" s="4"/>
      <c r="AW459" s="4">
        <f>IF(AND(Q459="✅", I459="U90"), "X="&amp;(U459-1)*16&amp;",Y="&amp;(V459-1)*16&amp;",Z="&amp;W459*16, "")</f>
      </c>
      <c r="AX459" s="4">
        <f>IF(AND(Q459="✅", I459="U90"), "P=90,Y=0,R=0", "")</f>
      </c>
      <c r="AY459" s="4" t="str"/>
      <c r="AZ459" s="4" t="str"/>
      <c r="BA459" s="4" t="str"/>
      <c r="BB459" s="4" t="str"/>
      <c r="BC459" s="4" t="str"/>
      <c r="BD459" s="4"/>
      <c r="BE459" s="4">
        <f>IF(AND(Q459="✅", I459="D90"), "X="&amp;(U459-1)*16&amp;",Y="&amp;(V459-1)*16&amp;",Z="&amp;(W459-2)*16, "")</f>
      </c>
      <c r="BF459" s="4">
        <f>IF(AND(Q459="✅", I459="D90"), "P=-90,Y=0,R=0", "")</f>
      </c>
      <c r="BG459" s="4" t="str"/>
      <c r="BH459" s="4" t="str"/>
      <c r="BI459" s="4" t="str"/>
      <c r="BJ459" s="4" t="str"/>
      <c r="BK459" s="4" t="str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</row>
    <row r="460">
      <c r="A460" s="11"/>
      <c r="B460" s="11"/>
      <c r="C460" s="119"/>
      <c r="D460" s="119"/>
      <c r="E460" s="5"/>
      <c r="F460" s="9">
        <f>IF(E460="", "", IF(G460="BP", E460, F459))</f>
      </c>
      <c r="G460" s="1"/>
      <c r="H460" s="1"/>
      <c r="I460" s="1"/>
      <c r="J460" s="1"/>
      <c r="K460" s="1"/>
      <c r="L460" s="1"/>
      <c r="M460" s="1"/>
      <c r="N460" s="3"/>
      <c r="O460" s="3"/>
      <c r="P460" s="3"/>
      <c r="Q460" s="3"/>
      <c r="R460" s="1" t="str"/>
      <c r="S460" s="9" t="str"/>
      <c r="T460" s="120" t="str"/>
      <c r="U460" s="118"/>
      <c r="V460" s="118"/>
      <c r="W460" s="118"/>
      <c r="X460" s="4"/>
      <c r="Y460" s="4">
        <f>IF(AND(Q460="✅", OR(ISNUMBER(FIND("F",I460)), I460="CR")),   "X="&amp;U460*16&amp;",Y="&amp;(V460-1)*16&amp;",Z="&amp;IF(I460="FD", -(W460-1)*16, (W460-1)*16),   "")</f>
      </c>
      <c r="Z460" s="4">
        <f>IF(AND(Q460="✅", OR(ISNUMBER(FIND("F",I460)), I460="CR")), "P=0,Y=0,R=0", "")</f>
      </c>
      <c r="AA460" s="4" t="str"/>
      <c r="AB460" s="4" t="str"/>
      <c r="AC460" s="4" t="str"/>
      <c r="AD460" s="4" t="str"/>
      <c r="AE460" s="4" t="str"/>
      <c r="AF460" s="4"/>
      <c r="AG460" s="4" t="str"/>
      <c r="AH460" s="4" t="str"/>
      <c r="AI460" s="4" t="str"/>
      <c r="AJ460" s="4" t="str"/>
      <c r="AK460" s="4" t="str"/>
      <c r="AL460" s="4" t="str"/>
      <c r="AM460" s="4" t="str"/>
      <c r="AN460" s="4"/>
      <c r="AO460" s="4" t="str"/>
      <c r="AP460" s="4" t="str"/>
      <c r="AQ460" s="4" t="str"/>
      <c r="AR460" s="4" t="str"/>
      <c r="AS460" s="4" t="str"/>
      <c r="AT460" s="4" t="str"/>
      <c r="AU460" s="4" t="str"/>
      <c r="AV460" s="4"/>
      <c r="AW460" s="4">
        <f>IF(AND(Q460="✅", I460="U90"), "X="&amp;(U460-1)*16&amp;",Y="&amp;(V460-1)*16&amp;",Z="&amp;W460*16, "")</f>
      </c>
      <c r="AX460" s="4">
        <f>IF(AND(Q460="✅", I460="U90"), "P=90,Y=0,R=0", "")</f>
      </c>
      <c r="AY460" s="4" t="str"/>
      <c r="AZ460" s="4" t="str"/>
      <c r="BA460" s="4" t="str"/>
      <c r="BB460" s="4" t="str"/>
      <c r="BC460" s="4" t="str"/>
      <c r="BD460" s="4"/>
      <c r="BE460" s="4">
        <f>IF(AND(Q460="✅", I460="D90"), "X="&amp;(U460-1)*16&amp;",Y="&amp;(V460-1)*16&amp;",Z="&amp;(W460-2)*16, "")</f>
      </c>
      <c r="BF460" s="4">
        <f>IF(AND(Q460="✅", I460="D90"), "P=-90,Y=0,R=0", "")</f>
      </c>
      <c r="BG460" s="4" t="str"/>
      <c r="BH460" s="4" t="str"/>
      <c r="BI460" s="4" t="str"/>
      <c r="BJ460" s="4" t="str"/>
      <c r="BK460" s="4" t="str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</row>
    <row r="461">
      <c r="A461" s="11"/>
      <c r="B461" s="11"/>
      <c r="C461" s="119"/>
      <c r="D461" s="119"/>
      <c r="E461" s="5"/>
      <c r="F461" s="9">
        <f>IF(E461="", "", IF(G461="BP", E461, F460))</f>
      </c>
      <c r="G461" s="1"/>
      <c r="H461" s="1"/>
      <c r="I461" s="1"/>
      <c r="J461" s="1"/>
      <c r="K461" s="1"/>
      <c r="L461" s="1"/>
      <c r="M461" s="1"/>
      <c r="N461" s="3"/>
      <c r="O461" s="3"/>
      <c r="P461" s="3"/>
      <c r="Q461" s="3"/>
      <c r="R461" s="1" t="str"/>
      <c r="S461" s="9" t="str"/>
      <c r="T461" s="120" t="str"/>
      <c r="U461" s="118"/>
      <c r="V461" s="118"/>
      <c r="W461" s="118"/>
      <c r="X461" s="4"/>
      <c r="Y461" s="4">
        <f>IF(AND(Q461="✅", OR(ISNUMBER(FIND("F",I461)), I461="CR")),   "X="&amp;U461*16&amp;",Y="&amp;(V461-1)*16&amp;",Z="&amp;IF(I461="FD", -(W461-1)*16, (W461-1)*16),   "")</f>
      </c>
      <c r="Z461" s="4">
        <f>IF(AND(Q461="✅", OR(ISNUMBER(FIND("F",I461)), I461="CR")), "P=0,Y=0,R=0", "")</f>
      </c>
      <c r="AA461" s="4" t="str"/>
      <c r="AB461" s="4" t="str"/>
      <c r="AC461" s="4" t="str"/>
      <c r="AD461" s="4" t="str"/>
      <c r="AE461" s="4" t="str"/>
      <c r="AF461" s="4"/>
      <c r="AG461" s="4" t="str"/>
      <c r="AH461" s="4" t="str"/>
      <c r="AI461" s="4" t="str"/>
      <c r="AJ461" s="4" t="str"/>
      <c r="AK461" s="4" t="str"/>
      <c r="AL461" s="4" t="str"/>
      <c r="AM461" s="4" t="str"/>
      <c r="AN461" s="4"/>
      <c r="AO461" s="4" t="str"/>
      <c r="AP461" s="4" t="str"/>
      <c r="AQ461" s="4" t="str"/>
      <c r="AR461" s="4" t="str"/>
      <c r="AS461" s="4" t="str"/>
      <c r="AT461" s="4" t="str"/>
      <c r="AU461" s="4" t="str"/>
      <c r="AV461" s="4"/>
      <c r="AW461" s="4">
        <f>IF(AND(Q461="✅", I461="U90"), "X="&amp;(U461-1)*16&amp;",Y="&amp;(V461-1)*16&amp;",Z="&amp;W461*16, "")</f>
      </c>
      <c r="AX461" s="4">
        <f>IF(AND(Q461="✅", I461="U90"), "P=90,Y=0,R=0", "")</f>
      </c>
      <c r="AY461" s="4" t="str"/>
      <c r="AZ461" s="4" t="str"/>
      <c r="BA461" s="4" t="str"/>
      <c r="BB461" s="4" t="str"/>
      <c r="BC461" s="4" t="str"/>
      <c r="BD461" s="4"/>
      <c r="BE461" s="4">
        <f>IF(AND(Q461="✅", I461="D90"), "X="&amp;(U461-1)*16&amp;",Y="&amp;(V461-1)*16&amp;",Z="&amp;(W461-2)*16, "")</f>
      </c>
      <c r="BF461" s="4">
        <f>IF(AND(Q461="✅", I461="D90"), "P=-90,Y=0,R=0", "")</f>
      </c>
      <c r="BG461" s="4" t="str"/>
      <c r="BH461" s="4" t="str"/>
      <c r="BI461" s="4" t="str"/>
      <c r="BJ461" s="4" t="str"/>
      <c r="BK461" s="4" t="str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</row>
    <row r="462">
      <c r="A462" s="11"/>
      <c r="B462" s="11"/>
      <c r="C462" s="119"/>
      <c r="D462" s="119"/>
      <c r="E462" s="5"/>
      <c r="F462" s="9">
        <f>IF(E462="", "", IF(G462="BP", E462, F461))</f>
      </c>
      <c r="G462" s="1"/>
      <c r="H462" s="1"/>
      <c r="I462" s="1"/>
      <c r="J462" s="1"/>
      <c r="K462" s="1"/>
      <c r="L462" s="1"/>
      <c r="M462" s="1"/>
      <c r="N462" s="3"/>
      <c r="O462" s="3"/>
      <c r="P462" s="3"/>
      <c r="Q462" s="3"/>
      <c r="R462" s="1" t="str"/>
      <c r="S462" s="9" t="str"/>
      <c r="T462" s="120" t="str"/>
      <c r="U462" s="118"/>
      <c r="V462" s="118"/>
      <c r="W462" s="118"/>
      <c r="X462" s="4"/>
      <c r="Y462" s="4">
        <f>IF(AND(Q462="✅", OR(ISNUMBER(FIND("F",I462)), I462="CR")),   "X="&amp;U462*16&amp;",Y="&amp;(V462-1)*16&amp;",Z="&amp;IF(I462="FD", -(W462-1)*16, (W462-1)*16),   "")</f>
      </c>
      <c r="Z462" s="4">
        <f>IF(AND(Q462="✅", OR(ISNUMBER(FIND("F",I462)), I462="CR")), "P=0,Y=0,R=0", "")</f>
      </c>
      <c r="AA462" s="4" t="str"/>
      <c r="AB462" s="4" t="str"/>
      <c r="AC462" s="4" t="str"/>
      <c r="AD462" s="4" t="str"/>
      <c r="AE462" s="4" t="str"/>
      <c r="AF462" s="4"/>
      <c r="AG462" s="4" t="str"/>
      <c r="AH462" s="4" t="str"/>
      <c r="AI462" s="4" t="str"/>
      <c r="AJ462" s="4" t="str"/>
      <c r="AK462" s="4" t="str"/>
      <c r="AL462" s="4" t="str"/>
      <c r="AM462" s="4" t="str"/>
      <c r="AN462" s="4"/>
      <c r="AO462" s="4" t="str"/>
      <c r="AP462" s="4" t="str"/>
      <c r="AQ462" s="4" t="str"/>
      <c r="AR462" s="4" t="str"/>
      <c r="AS462" s="4" t="str"/>
      <c r="AT462" s="4" t="str"/>
      <c r="AU462" s="4" t="str"/>
      <c r="AV462" s="4"/>
      <c r="AW462" s="4">
        <f>IF(AND(Q462="✅", I462="U90"), "X="&amp;(U462-1)*16&amp;",Y="&amp;(V462-1)*16&amp;",Z="&amp;W462*16, "")</f>
      </c>
      <c r="AX462" s="4">
        <f>IF(AND(Q462="✅", I462="U90"), "P=90,Y=0,R=0", "")</f>
      </c>
      <c r="AY462" s="4" t="str"/>
      <c r="AZ462" s="4" t="str"/>
      <c r="BA462" s="4" t="str"/>
      <c r="BB462" s="4" t="str"/>
      <c r="BC462" s="4" t="str"/>
      <c r="BD462" s="4"/>
      <c r="BE462" s="4">
        <f>IF(AND(Q462="✅", I462="D90"), "X="&amp;(U462-1)*16&amp;",Y="&amp;(V462-1)*16&amp;",Z="&amp;(W462-2)*16, "")</f>
      </c>
      <c r="BF462" s="4">
        <f>IF(AND(Q462="✅", I462="D90"), "P=-90,Y=0,R=0", "")</f>
      </c>
      <c r="BG462" s="4" t="str"/>
      <c r="BH462" s="4" t="str"/>
      <c r="BI462" s="4" t="str"/>
      <c r="BJ462" s="4" t="str"/>
      <c r="BK462" s="4" t="str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</row>
    <row r="463">
      <c r="A463" s="11"/>
      <c r="B463" s="11"/>
      <c r="C463" s="119"/>
      <c r="D463" s="119"/>
      <c r="E463" s="5"/>
      <c r="F463" s="9">
        <f>IF(E463="", "", IF(G463="BP", E463, F462))</f>
      </c>
      <c r="G463" s="1"/>
      <c r="H463" s="1"/>
      <c r="I463" s="1"/>
      <c r="J463" s="1"/>
      <c r="K463" s="1"/>
      <c r="L463" s="1"/>
      <c r="M463" s="1"/>
      <c r="N463" s="3"/>
      <c r="O463" s="3"/>
      <c r="P463" s="3"/>
      <c r="Q463" s="3"/>
      <c r="R463" s="1" t="str"/>
      <c r="S463" s="9" t="str"/>
      <c r="T463" s="120" t="str"/>
      <c r="U463" s="118"/>
      <c r="V463" s="118"/>
      <c r="W463" s="118"/>
      <c r="X463" s="4"/>
      <c r="Y463" s="4">
        <f>IF(AND(Q463="✅", OR(ISNUMBER(FIND("F",I463)), I463="CR")),   "X="&amp;U463*16&amp;",Y="&amp;(V463-1)*16&amp;",Z="&amp;IF(I463="FD", -(W463-1)*16, (W463-1)*16),   "")</f>
      </c>
      <c r="Z463" s="4">
        <f>IF(AND(Q463="✅", OR(ISNUMBER(FIND("F",I463)), I463="CR")), "P=0,Y=0,R=0", "")</f>
      </c>
      <c r="AA463" s="4" t="str"/>
      <c r="AB463" s="4" t="str"/>
      <c r="AC463" s="4" t="str"/>
      <c r="AD463" s="4" t="str"/>
      <c r="AE463" s="4" t="str"/>
      <c r="AF463" s="4"/>
      <c r="AG463" s="4" t="str"/>
      <c r="AH463" s="4" t="str"/>
      <c r="AI463" s="4" t="str"/>
      <c r="AJ463" s="4" t="str"/>
      <c r="AK463" s="4" t="str"/>
      <c r="AL463" s="4" t="str"/>
      <c r="AM463" s="4" t="str"/>
      <c r="AN463" s="4"/>
      <c r="AO463" s="4" t="str"/>
      <c r="AP463" s="4" t="str"/>
      <c r="AQ463" s="4" t="str"/>
      <c r="AR463" s="4" t="str"/>
      <c r="AS463" s="4" t="str"/>
      <c r="AT463" s="4" t="str"/>
      <c r="AU463" s="4" t="str"/>
      <c r="AV463" s="4"/>
      <c r="AW463" s="4">
        <f>IF(AND(Q463="✅", I463="U90"), "X="&amp;(U463-1)*16&amp;",Y="&amp;(V463-1)*16&amp;",Z="&amp;W463*16, "")</f>
      </c>
      <c r="AX463" s="4">
        <f>IF(AND(Q463="✅", I463="U90"), "P=90,Y=0,R=0", "")</f>
      </c>
      <c r="AY463" s="4" t="str"/>
      <c r="AZ463" s="4" t="str"/>
      <c r="BA463" s="4" t="str"/>
      <c r="BB463" s="4" t="str"/>
      <c r="BC463" s="4" t="str"/>
      <c r="BD463" s="4"/>
      <c r="BE463" s="4">
        <f>IF(AND(Q463="✅", I463="D90"), "X="&amp;(U463-1)*16&amp;",Y="&amp;(V463-1)*16&amp;",Z="&amp;(W463-2)*16, "")</f>
      </c>
      <c r="BF463" s="4">
        <f>IF(AND(Q463="✅", I463="D90"), "P=-90,Y=0,R=0", "")</f>
      </c>
      <c r="BG463" s="4" t="str"/>
      <c r="BH463" s="4" t="str"/>
      <c r="BI463" s="4" t="str"/>
      <c r="BJ463" s="4" t="str"/>
      <c r="BK463" s="4" t="str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</row>
    <row r="464">
      <c r="A464" s="11"/>
      <c r="B464" s="11"/>
      <c r="C464" s="119"/>
      <c r="D464" s="119"/>
      <c r="E464" s="5"/>
      <c r="F464" s="9">
        <f>IF(E464="", "", IF(G464="BP", E464, F463))</f>
      </c>
      <c r="G464" s="1"/>
      <c r="H464" s="1"/>
      <c r="I464" s="1"/>
      <c r="J464" s="1"/>
      <c r="K464" s="1"/>
      <c r="L464" s="1"/>
      <c r="M464" s="1"/>
      <c r="N464" s="3"/>
      <c r="O464" s="3"/>
      <c r="P464" s="3"/>
      <c r="Q464" s="3"/>
      <c r="R464" s="1" t="str"/>
      <c r="S464" s="9" t="str"/>
      <c r="T464" s="120" t="str"/>
      <c r="U464" s="118"/>
      <c r="V464" s="118"/>
      <c r="W464" s="118"/>
      <c r="X464" s="4"/>
      <c r="Y464" s="4">
        <f>IF(AND(Q464="✅", OR(ISNUMBER(FIND("F",I464)), I464="CR")),   "X="&amp;U464*16&amp;",Y="&amp;(V464-1)*16&amp;",Z="&amp;IF(I464="FD", -(W464-1)*16, (W464-1)*16),   "")</f>
      </c>
      <c r="Z464" s="4">
        <f>IF(AND(Q464="✅", OR(ISNUMBER(FIND("F",I464)), I464="CR")), "P=0,Y=0,R=0", "")</f>
      </c>
      <c r="AA464" s="4" t="str"/>
      <c r="AB464" s="4" t="str"/>
      <c r="AC464" s="4" t="str"/>
      <c r="AD464" s="4" t="str"/>
      <c r="AE464" s="4" t="str"/>
      <c r="AF464" s="4"/>
      <c r="AG464" s="4" t="str"/>
      <c r="AH464" s="4" t="str"/>
      <c r="AI464" s="4" t="str"/>
      <c r="AJ464" s="4" t="str"/>
      <c r="AK464" s="4" t="str"/>
      <c r="AL464" s="4" t="str"/>
      <c r="AM464" s="4" t="str"/>
      <c r="AN464" s="4"/>
      <c r="AO464" s="4" t="str"/>
      <c r="AP464" s="4" t="str"/>
      <c r="AQ464" s="4" t="str"/>
      <c r="AR464" s="4" t="str"/>
      <c r="AS464" s="4" t="str"/>
      <c r="AT464" s="4" t="str"/>
      <c r="AU464" s="4" t="str"/>
      <c r="AV464" s="4"/>
      <c r="AW464" s="4">
        <f>IF(AND(Q464="✅", I464="U90"), "X="&amp;(U464-1)*16&amp;",Y="&amp;(V464-1)*16&amp;",Z="&amp;W464*16, "")</f>
      </c>
      <c r="AX464" s="4">
        <f>IF(AND(Q464="✅", I464="U90"), "P=90,Y=0,R=0", "")</f>
      </c>
      <c r="AY464" s="4" t="str"/>
      <c r="AZ464" s="4" t="str"/>
      <c r="BA464" s="4" t="str"/>
      <c r="BB464" s="4" t="str"/>
      <c r="BC464" s="4" t="str"/>
      <c r="BD464" s="4"/>
      <c r="BE464" s="4">
        <f>IF(AND(Q464="✅", I464="D90"), "X="&amp;(U464-1)*16&amp;",Y="&amp;(V464-1)*16&amp;",Z="&amp;(W464-2)*16, "")</f>
      </c>
      <c r="BF464" s="4">
        <f>IF(AND(Q464="✅", I464="D90"), "P=-90,Y=0,R=0", "")</f>
      </c>
      <c r="BG464" s="4" t="str"/>
      <c r="BH464" s="4" t="str"/>
      <c r="BI464" s="4" t="str"/>
      <c r="BJ464" s="4" t="str"/>
      <c r="BK464" s="4" t="str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</row>
    <row r="465">
      <c r="A465" s="11"/>
      <c r="B465" s="11"/>
      <c r="C465" s="119"/>
      <c r="D465" s="119"/>
      <c r="E465" s="5"/>
      <c r="F465" s="9">
        <f>IF(E465="", "", IF(G465="BP", E465, F464))</f>
      </c>
      <c r="G465" s="1"/>
      <c r="H465" s="1"/>
      <c r="I465" s="1"/>
      <c r="J465" s="1"/>
      <c r="K465" s="1"/>
      <c r="L465" s="1"/>
      <c r="M465" s="1"/>
      <c r="N465" s="3"/>
      <c r="O465" s="3"/>
      <c r="P465" s="3"/>
      <c r="Q465" s="3"/>
      <c r="R465" s="1" t="str"/>
      <c r="S465" s="9" t="str"/>
      <c r="T465" s="120" t="str"/>
      <c r="U465" s="118"/>
      <c r="V465" s="118"/>
      <c r="W465" s="118"/>
      <c r="X465" s="4"/>
      <c r="Y465" s="4">
        <f>IF(AND(Q465="✅", OR(ISNUMBER(FIND("F",I465)), I465="CR")),   "X="&amp;U465*16&amp;",Y="&amp;(V465-1)*16&amp;",Z="&amp;IF(I465="FD", -(W465-1)*16, (W465-1)*16),   "")</f>
      </c>
      <c r="Z465" s="4">
        <f>IF(AND(Q465="✅", OR(ISNUMBER(FIND("F",I465)), I465="CR")), "P=0,Y=0,R=0", "")</f>
      </c>
      <c r="AA465" s="4" t="str"/>
      <c r="AB465" s="4" t="str"/>
      <c r="AC465" s="4" t="str"/>
      <c r="AD465" s="4" t="str"/>
      <c r="AE465" s="4" t="str"/>
      <c r="AF465" s="4"/>
      <c r="AG465" s="4" t="str"/>
      <c r="AH465" s="4" t="str"/>
      <c r="AI465" s="4" t="str"/>
      <c r="AJ465" s="4" t="str"/>
      <c r="AK465" s="4" t="str"/>
      <c r="AL465" s="4" t="str"/>
      <c r="AM465" s="4" t="str"/>
      <c r="AN465" s="4"/>
      <c r="AO465" s="4" t="str"/>
      <c r="AP465" s="4" t="str"/>
      <c r="AQ465" s="4" t="str"/>
      <c r="AR465" s="4" t="str"/>
      <c r="AS465" s="4" t="str"/>
      <c r="AT465" s="4" t="str"/>
      <c r="AU465" s="4" t="str"/>
      <c r="AV465" s="4"/>
      <c r="AW465" s="4">
        <f>IF(AND(Q465="✅", I465="U90"), "X="&amp;(U465-1)*16&amp;",Y="&amp;(V465-1)*16&amp;",Z="&amp;W465*16, "")</f>
      </c>
      <c r="AX465" s="4">
        <f>IF(AND(Q465="✅", I465="U90"), "P=90,Y=0,R=0", "")</f>
      </c>
      <c r="AY465" s="4" t="str"/>
      <c r="AZ465" s="4" t="str"/>
      <c r="BA465" s="4" t="str"/>
      <c r="BB465" s="4" t="str"/>
      <c r="BC465" s="4" t="str"/>
      <c r="BD465" s="4"/>
      <c r="BE465" s="4">
        <f>IF(AND(Q465="✅", I465="D90"), "X="&amp;(U465-1)*16&amp;",Y="&amp;(V465-1)*16&amp;",Z="&amp;(W465-2)*16, "")</f>
      </c>
      <c r="BF465" s="4">
        <f>IF(AND(Q465="✅", I465="D90"), "P=-90,Y=0,R=0", "")</f>
      </c>
      <c r="BG465" s="4" t="str"/>
      <c r="BH465" s="4" t="str"/>
      <c r="BI465" s="4" t="str"/>
      <c r="BJ465" s="4" t="str"/>
      <c r="BK465" s="4" t="str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</row>
    <row r="466">
      <c r="A466" s="11"/>
      <c r="B466" s="11"/>
      <c r="C466" s="119"/>
      <c r="D466" s="119"/>
      <c r="E466" s="5"/>
      <c r="F466" s="9">
        <f>IF(E466="", "", IF(G466="BP", E466, F465))</f>
      </c>
      <c r="G466" s="1"/>
      <c r="H466" s="1"/>
      <c r="I466" s="1"/>
      <c r="J466" s="1"/>
      <c r="K466" s="1"/>
      <c r="L466" s="1"/>
      <c r="M466" s="1"/>
      <c r="N466" s="3"/>
      <c r="O466" s="3"/>
      <c r="P466" s="3"/>
      <c r="Q466" s="3"/>
      <c r="R466" s="1" t="str"/>
      <c r="S466" s="9" t="str"/>
      <c r="T466" s="120" t="str"/>
      <c r="U466" s="118"/>
      <c r="V466" s="118"/>
      <c r="W466" s="118"/>
      <c r="X466" s="4"/>
      <c r="Y466" s="4">
        <f>IF(AND(Q466="✅", OR(ISNUMBER(FIND("F",I466)), I466="CR")),   "X="&amp;U466*16&amp;",Y="&amp;(V466-1)*16&amp;",Z="&amp;IF(I466="FD", -(W466-1)*16, (W466-1)*16),   "")</f>
      </c>
      <c r="Z466" s="4">
        <f>IF(AND(Q466="✅", OR(ISNUMBER(FIND("F",I466)), I466="CR")), "P=0,Y=0,R=0", "")</f>
      </c>
      <c r="AA466" s="4" t="str"/>
      <c r="AB466" s="4" t="str"/>
      <c r="AC466" s="4" t="str"/>
      <c r="AD466" s="4" t="str"/>
      <c r="AE466" s="4" t="str"/>
      <c r="AF466" s="4"/>
      <c r="AG466" s="4" t="str"/>
      <c r="AH466" s="4" t="str"/>
      <c r="AI466" s="4" t="str"/>
      <c r="AJ466" s="4" t="str"/>
      <c r="AK466" s="4" t="str"/>
      <c r="AL466" s="4" t="str"/>
      <c r="AM466" s="4" t="str"/>
      <c r="AN466" s="4"/>
      <c r="AO466" s="4" t="str"/>
      <c r="AP466" s="4" t="str"/>
      <c r="AQ466" s="4" t="str"/>
      <c r="AR466" s="4" t="str"/>
      <c r="AS466" s="4" t="str"/>
      <c r="AT466" s="4" t="str"/>
      <c r="AU466" s="4" t="str"/>
      <c r="AV466" s="4"/>
      <c r="AW466" s="4">
        <f>IF(AND(Q466="✅", I466="U90"), "X="&amp;(U466-1)*16&amp;",Y="&amp;(V466-1)*16&amp;",Z="&amp;W466*16, "")</f>
      </c>
      <c r="AX466" s="4">
        <f>IF(AND(Q466="✅", I466="U90"), "P=90,Y=0,R=0", "")</f>
      </c>
      <c r="AY466" s="4" t="str"/>
      <c r="AZ466" s="4" t="str"/>
      <c r="BA466" s="4" t="str"/>
      <c r="BB466" s="4" t="str"/>
      <c r="BC466" s="4" t="str"/>
      <c r="BD466" s="4"/>
      <c r="BE466" s="4">
        <f>IF(AND(Q466="✅", I466="D90"), "X="&amp;(U466-1)*16&amp;",Y="&amp;(V466-1)*16&amp;",Z="&amp;(W466-2)*16, "")</f>
      </c>
      <c r="BF466" s="4">
        <f>IF(AND(Q466="✅", I466="D90"), "P=-90,Y=0,R=0", "")</f>
      </c>
      <c r="BG466" s="4" t="str"/>
      <c r="BH466" s="4" t="str"/>
      <c r="BI466" s="4" t="str"/>
      <c r="BJ466" s="4" t="str"/>
      <c r="BK466" s="4" t="str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</row>
    <row r="467">
      <c r="A467" s="11"/>
      <c r="B467" s="11"/>
      <c r="C467" s="119"/>
      <c r="D467" s="119"/>
      <c r="E467" s="5"/>
      <c r="F467" s="9">
        <f>IF(E467="", "", IF(G467="BP", E467, F466))</f>
      </c>
      <c r="G467" s="1"/>
      <c r="H467" s="1"/>
      <c r="I467" s="1"/>
      <c r="J467" s="1"/>
      <c r="K467" s="1"/>
      <c r="L467" s="1"/>
      <c r="M467" s="1"/>
      <c r="N467" s="3"/>
      <c r="O467" s="3"/>
      <c r="P467" s="3"/>
      <c r="Q467" s="3"/>
      <c r="R467" s="1" t="str"/>
      <c r="S467" s="9" t="str"/>
      <c r="T467" s="120" t="str"/>
      <c r="U467" s="118"/>
      <c r="V467" s="118"/>
      <c r="W467" s="118"/>
      <c r="X467" s="4"/>
      <c r="Y467" s="4">
        <f>IF(AND(Q467="✅", OR(ISNUMBER(FIND("F",I467)), I467="CR")),   "X="&amp;U467*16&amp;",Y="&amp;(V467-1)*16&amp;",Z="&amp;IF(I467="FD", -(W467-1)*16, (W467-1)*16),   "")</f>
      </c>
      <c r="Z467" s="4">
        <f>IF(AND(Q467="✅", OR(ISNUMBER(FIND("F",I467)), I467="CR")), "P=0,Y=0,R=0", "")</f>
      </c>
      <c r="AA467" s="4" t="str"/>
      <c r="AB467" s="4" t="str"/>
      <c r="AC467" s="4" t="str"/>
      <c r="AD467" s="4" t="str"/>
      <c r="AE467" s="4" t="str"/>
      <c r="AF467" s="4"/>
      <c r="AG467" s="4" t="str"/>
      <c r="AH467" s="4" t="str"/>
      <c r="AI467" s="4" t="str"/>
      <c r="AJ467" s="4" t="str"/>
      <c r="AK467" s="4" t="str"/>
      <c r="AL467" s="4" t="str"/>
      <c r="AM467" s="4" t="str"/>
      <c r="AN467" s="4"/>
      <c r="AO467" s="4" t="str"/>
      <c r="AP467" s="4" t="str"/>
      <c r="AQ467" s="4" t="str"/>
      <c r="AR467" s="4" t="str"/>
      <c r="AS467" s="4" t="str"/>
      <c r="AT467" s="4" t="str"/>
      <c r="AU467" s="4" t="str"/>
      <c r="AV467" s="4"/>
      <c r="AW467" s="4">
        <f>IF(AND(Q467="✅", I467="U90"), "X="&amp;(U467-1)*16&amp;",Y="&amp;(V467-1)*16&amp;",Z="&amp;W467*16, "")</f>
      </c>
      <c r="AX467" s="4">
        <f>IF(AND(Q467="✅", I467="U90"), "P=90,Y=0,R=0", "")</f>
      </c>
      <c r="AY467" s="4" t="str"/>
      <c r="AZ467" s="4" t="str"/>
      <c r="BA467" s="4" t="str"/>
      <c r="BB467" s="4" t="str"/>
      <c r="BC467" s="4" t="str"/>
      <c r="BD467" s="4"/>
      <c r="BE467" s="4">
        <f>IF(AND(Q467="✅", I467="D90"), "X="&amp;(U467-1)*16&amp;",Y="&amp;(V467-1)*16&amp;",Z="&amp;(W467-2)*16, "")</f>
      </c>
      <c r="BF467" s="4">
        <f>IF(AND(Q467="✅", I467="D90"), "P=-90,Y=0,R=0", "")</f>
      </c>
      <c r="BG467" s="4" t="str"/>
      <c r="BH467" s="4" t="str"/>
      <c r="BI467" s="4" t="str"/>
      <c r="BJ467" s="4" t="str"/>
      <c r="BK467" s="4" t="str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</row>
    <row r="468">
      <c r="A468" s="11"/>
      <c r="B468" s="11"/>
      <c r="C468" s="119"/>
      <c r="D468" s="119"/>
      <c r="E468" s="5"/>
      <c r="F468" s="9">
        <f>IF(E468="", "", IF(G468="BP", E468, F467))</f>
      </c>
      <c r="G468" s="1"/>
      <c r="H468" s="1"/>
      <c r="I468" s="1"/>
      <c r="J468" s="1"/>
      <c r="K468" s="1"/>
      <c r="L468" s="1"/>
      <c r="M468" s="1"/>
      <c r="N468" s="3"/>
      <c r="O468" s="3"/>
      <c r="P468" s="3"/>
      <c r="Q468" s="3"/>
      <c r="R468" s="1" t="str"/>
      <c r="S468" s="9" t="str"/>
      <c r="T468" s="120" t="str"/>
      <c r="U468" s="118"/>
      <c r="V468" s="118"/>
      <c r="W468" s="118"/>
      <c r="X468" s="4"/>
      <c r="Y468" s="4">
        <f>IF(AND(Q468="✅", OR(ISNUMBER(FIND("F",I468)), I468="CR")),   "X="&amp;U468*16&amp;",Y="&amp;(V468-1)*16&amp;",Z="&amp;IF(I468="FD", -(W468-1)*16, (W468-1)*16),   "")</f>
      </c>
      <c r="Z468" s="4">
        <f>IF(AND(Q468="✅", OR(ISNUMBER(FIND("F",I468)), I468="CR")), "P=0,Y=0,R=0", "")</f>
      </c>
      <c r="AA468" s="4" t="str"/>
      <c r="AB468" s="4" t="str"/>
      <c r="AC468" s="4" t="str"/>
      <c r="AD468" s="4" t="str"/>
      <c r="AE468" s="4" t="str"/>
      <c r="AF468" s="4"/>
      <c r="AG468" s="4" t="str"/>
      <c r="AH468" s="4" t="str"/>
      <c r="AI468" s="4" t="str"/>
      <c r="AJ468" s="4" t="str"/>
      <c r="AK468" s="4" t="str"/>
      <c r="AL468" s="4" t="str"/>
      <c r="AM468" s="4" t="str"/>
      <c r="AN468" s="4"/>
      <c r="AO468" s="4" t="str"/>
      <c r="AP468" s="4" t="str"/>
      <c r="AQ468" s="4" t="str"/>
      <c r="AR468" s="4" t="str"/>
      <c r="AS468" s="4" t="str"/>
      <c r="AT468" s="4" t="str"/>
      <c r="AU468" s="4" t="str"/>
      <c r="AV468" s="4"/>
      <c r="AW468" s="4">
        <f>IF(AND(Q468="✅", I468="U90"), "X="&amp;(U468-1)*16&amp;",Y="&amp;(V468-1)*16&amp;",Z="&amp;W468*16, "")</f>
      </c>
      <c r="AX468" s="4">
        <f>IF(AND(Q468="✅", I468="U90"), "P=90,Y=0,R=0", "")</f>
      </c>
      <c r="AY468" s="4" t="str"/>
      <c r="AZ468" s="4" t="str"/>
      <c r="BA468" s="4" t="str"/>
      <c r="BB468" s="4" t="str"/>
      <c r="BC468" s="4" t="str"/>
      <c r="BD468" s="4"/>
      <c r="BE468" s="4">
        <f>IF(AND(Q468="✅", I468="D90"), "X="&amp;(U468-1)*16&amp;",Y="&amp;(V468-1)*16&amp;",Z="&amp;(W468-2)*16, "")</f>
      </c>
      <c r="BF468" s="4">
        <f>IF(AND(Q468="✅", I468="D90"), "P=-90,Y=0,R=0", "")</f>
      </c>
      <c r="BG468" s="4" t="str"/>
      <c r="BH468" s="4" t="str"/>
      <c r="BI468" s="4" t="str"/>
      <c r="BJ468" s="4" t="str"/>
      <c r="BK468" s="4" t="str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</row>
    <row r="469">
      <c r="A469" s="11"/>
      <c r="B469" s="11"/>
      <c r="C469" s="119"/>
      <c r="D469" s="119"/>
      <c r="E469" s="5"/>
      <c r="F469" s="9">
        <f>IF(E469="", "", IF(G469="BP", E469, F468))</f>
      </c>
      <c r="G469" s="1"/>
      <c r="H469" s="1"/>
      <c r="I469" s="1"/>
      <c r="J469" s="1"/>
      <c r="K469" s="1"/>
      <c r="L469" s="1"/>
      <c r="M469" s="1"/>
      <c r="N469" s="3"/>
      <c r="O469" s="3"/>
      <c r="P469" s="3"/>
      <c r="Q469" s="3"/>
      <c r="R469" s="1" t="str"/>
      <c r="S469" s="9" t="str"/>
      <c r="T469" s="120" t="str"/>
      <c r="U469" s="118"/>
      <c r="V469" s="118"/>
      <c r="W469" s="118"/>
      <c r="X469" s="4"/>
      <c r="Y469" s="4">
        <f>IF(AND(Q469="✅", OR(ISNUMBER(FIND("F",I469)), I469="CR")),   "X="&amp;U469*16&amp;",Y="&amp;(V469-1)*16&amp;",Z="&amp;IF(I469="FD", -(W469-1)*16, (W469-1)*16),   "")</f>
      </c>
      <c r="Z469" s="4">
        <f>IF(AND(Q469="✅", OR(ISNUMBER(FIND("F",I469)), I469="CR")), "P=0,Y=0,R=0", "")</f>
      </c>
      <c r="AA469" s="4" t="str"/>
      <c r="AB469" s="4" t="str"/>
      <c r="AC469" s="4" t="str"/>
      <c r="AD469" s="4" t="str"/>
      <c r="AE469" s="4" t="str"/>
      <c r="AF469" s="4"/>
      <c r="AG469" s="4" t="str"/>
      <c r="AH469" s="4" t="str"/>
      <c r="AI469" s="4" t="str"/>
      <c r="AJ469" s="4" t="str"/>
      <c r="AK469" s="4" t="str"/>
      <c r="AL469" s="4" t="str"/>
      <c r="AM469" s="4" t="str"/>
      <c r="AN469" s="4"/>
      <c r="AO469" s="4" t="str"/>
      <c r="AP469" s="4" t="str"/>
      <c r="AQ469" s="4" t="str"/>
      <c r="AR469" s="4" t="str"/>
      <c r="AS469" s="4" t="str"/>
      <c r="AT469" s="4" t="str"/>
      <c r="AU469" s="4" t="str"/>
      <c r="AV469" s="4"/>
      <c r="AW469" s="4">
        <f>IF(AND(Q469="✅", I469="U90"), "X="&amp;(U469-1)*16&amp;",Y="&amp;(V469-1)*16&amp;",Z="&amp;W469*16, "")</f>
      </c>
      <c r="AX469" s="4">
        <f>IF(AND(Q469="✅", I469="U90"), "P=90,Y=0,R=0", "")</f>
      </c>
      <c r="AY469" s="4" t="str"/>
      <c r="AZ469" s="4" t="str"/>
      <c r="BA469" s="4" t="str"/>
      <c r="BB469" s="4" t="str"/>
      <c r="BC469" s="4" t="str"/>
      <c r="BD469" s="4"/>
      <c r="BE469" s="4">
        <f>IF(AND(Q469="✅", I469="D90"), "X="&amp;(U469-1)*16&amp;",Y="&amp;(V469-1)*16&amp;",Z="&amp;(W469-2)*16, "")</f>
      </c>
      <c r="BF469" s="4">
        <f>IF(AND(Q469="✅", I469="D90"), "P=-90,Y=0,R=0", "")</f>
      </c>
      <c r="BG469" s="4" t="str"/>
      <c r="BH469" s="4" t="str"/>
      <c r="BI469" s="4" t="str"/>
      <c r="BJ469" s="4" t="str"/>
      <c r="BK469" s="4" t="str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</row>
    <row r="470">
      <c r="A470" s="11"/>
      <c r="B470" s="11"/>
      <c r="C470" s="119"/>
      <c r="D470" s="119"/>
      <c r="E470" s="5"/>
      <c r="F470" s="9">
        <f>IF(E470="", "", IF(G470="BP", E470, F469))</f>
      </c>
      <c r="G470" s="1"/>
      <c r="H470" s="1"/>
      <c r="I470" s="1"/>
      <c r="J470" s="1"/>
      <c r="K470" s="1"/>
      <c r="L470" s="1"/>
      <c r="M470" s="1"/>
      <c r="N470" s="3"/>
      <c r="O470" s="3"/>
      <c r="P470" s="3"/>
      <c r="Q470" s="3"/>
      <c r="R470" s="1" t="str"/>
      <c r="S470" s="9" t="str"/>
      <c r="T470" s="120" t="str"/>
      <c r="U470" s="118"/>
      <c r="V470" s="118"/>
      <c r="W470" s="118"/>
      <c r="X470" s="4"/>
      <c r="Y470" s="4">
        <f>IF(AND(Q470="✅", OR(ISNUMBER(FIND("F",I470)), I470="CR")),   "X="&amp;U470*16&amp;",Y="&amp;(V470-1)*16&amp;",Z="&amp;IF(I470="FD", -(W470-1)*16, (W470-1)*16),   "")</f>
      </c>
      <c r="Z470" s="4">
        <f>IF(AND(Q470="✅", OR(ISNUMBER(FIND("F",I470)), I470="CR")), "P=0,Y=0,R=0", "")</f>
      </c>
      <c r="AA470" s="4" t="str"/>
      <c r="AB470" s="4" t="str"/>
      <c r="AC470" s="4" t="str"/>
      <c r="AD470" s="4" t="str"/>
      <c r="AE470" s="4" t="str"/>
      <c r="AF470" s="4"/>
      <c r="AG470" s="4" t="str"/>
      <c r="AH470" s="4" t="str"/>
      <c r="AI470" s="4" t="str"/>
      <c r="AJ470" s="4" t="str"/>
      <c r="AK470" s="4" t="str"/>
      <c r="AL470" s="4" t="str"/>
      <c r="AM470" s="4" t="str"/>
      <c r="AN470" s="4"/>
      <c r="AO470" s="4" t="str"/>
      <c r="AP470" s="4" t="str"/>
      <c r="AQ470" s="4" t="str"/>
      <c r="AR470" s="4" t="str"/>
      <c r="AS470" s="4" t="str"/>
      <c r="AT470" s="4" t="str"/>
      <c r="AU470" s="4" t="str"/>
      <c r="AV470" s="4"/>
      <c r="AW470" s="4">
        <f>IF(AND(Q470="✅", I470="U90"), "X="&amp;(U470-1)*16&amp;",Y="&amp;(V470-1)*16&amp;",Z="&amp;W470*16, "")</f>
      </c>
      <c r="AX470" s="4">
        <f>IF(AND(Q470="✅", I470="U90"), "P=90,Y=0,R=0", "")</f>
      </c>
      <c r="AY470" s="4" t="str"/>
      <c r="AZ470" s="4" t="str"/>
      <c r="BA470" s="4" t="str"/>
      <c r="BB470" s="4" t="str"/>
      <c r="BC470" s="4" t="str"/>
      <c r="BD470" s="4"/>
      <c r="BE470" s="4">
        <f>IF(AND(Q470="✅", I470="D90"), "X="&amp;(U470-1)*16&amp;",Y="&amp;(V470-1)*16&amp;",Z="&amp;(W470-2)*16, "")</f>
      </c>
      <c r="BF470" s="4">
        <f>IF(AND(Q470="✅", I470="D90"), "P=-90,Y=0,R=0", "")</f>
      </c>
      <c r="BG470" s="4" t="str"/>
      <c r="BH470" s="4" t="str"/>
      <c r="BI470" s="4" t="str"/>
      <c r="BJ470" s="4" t="str"/>
      <c r="BK470" s="4" t="str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</row>
    <row r="471">
      <c r="A471" s="11"/>
      <c r="B471" s="11"/>
      <c r="C471" s="119"/>
      <c r="D471" s="119"/>
      <c r="E471" s="5"/>
      <c r="F471" s="9">
        <f>IF(E471="", "", IF(G471="BP", E471, F470))</f>
      </c>
      <c r="G471" s="1"/>
      <c r="H471" s="1"/>
      <c r="I471" s="1"/>
      <c r="J471" s="1"/>
      <c r="K471" s="1"/>
      <c r="L471" s="1"/>
      <c r="M471" s="1"/>
      <c r="N471" s="3"/>
      <c r="O471" s="3"/>
      <c r="P471" s="3"/>
      <c r="Q471" s="3"/>
      <c r="R471" s="1" t="str"/>
      <c r="S471" s="9" t="str"/>
      <c r="T471" s="120" t="str"/>
      <c r="U471" s="118"/>
      <c r="V471" s="118"/>
      <c r="W471" s="118"/>
      <c r="X471" s="4"/>
      <c r="Y471" s="4">
        <f>IF(AND(Q471="✅", OR(ISNUMBER(FIND("F",I471)), I471="CR")),   "X="&amp;U471*16&amp;",Y="&amp;(V471-1)*16&amp;",Z="&amp;IF(I471="FD", -(W471-1)*16, (W471-1)*16),   "")</f>
      </c>
      <c r="Z471" s="4">
        <f>IF(AND(Q471="✅", OR(ISNUMBER(FIND("F",I471)), I471="CR")), "P=0,Y=0,R=0", "")</f>
      </c>
      <c r="AA471" s="4" t="str"/>
      <c r="AB471" s="4" t="str"/>
      <c r="AC471" s="4" t="str"/>
      <c r="AD471" s="4" t="str"/>
      <c r="AE471" s="4" t="str"/>
      <c r="AF471" s="4"/>
      <c r="AG471" s="4" t="str"/>
      <c r="AH471" s="4" t="str"/>
      <c r="AI471" s="4" t="str"/>
      <c r="AJ471" s="4" t="str"/>
      <c r="AK471" s="4" t="str"/>
      <c r="AL471" s="4" t="str"/>
      <c r="AM471" s="4" t="str"/>
      <c r="AN471" s="4"/>
      <c r="AO471" s="4" t="str"/>
      <c r="AP471" s="4" t="str"/>
      <c r="AQ471" s="4" t="str"/>
      <c r="AR471" s="4" t="str"/>
      <c r="AS471" s="4" t="str"/>
      <c r="AT471" s="4" t="str"/>
      <c r="AU471" s="4" t="str"/>
      <c r="AV471" s="4"/>
      <c r="AW471" s="4">
        <f>IF(AND(Q471="✅", I471="U90"), "X="&amp;(U471-1)*16&amp;",Y="&amp;(V471-1)*16&amp;",Z="&amp;W471*16, "")</f>
      </c>
      <c r="AX471" s="4">
        <f>IF(AND(Q471="✅", I471="U90"), "P=90,Y=0,R=0", "")</f>
      </c>
      <c r="AY471" s="4" t="str"/>
      <c r="AZ471" s="4" t="str"/>
      <c r="BA471" s="4" t="str"/>
      <c r="BB471" s="4" t="str"/>
      <c r="BC471" s="4" t="str"/>
      <c r="BD471" s="4"/>
      <c r="BE471" s="4">
        <f>IF(AND(Q471="✅", I471="D90"), "X="&amp;(U471-1)*16&amp;",Y="&amp;(V471-1)*16&amp;",Z="&amp;(W471-2)*16, "")</f>
      </c>
      <c r="BF471" s="4">
        <f>IF(AND(Q471="✅", I471="D90"), "P=-90,Y=0,R=0", "")</f>
      </c>
      <c r="BG471" s="4" t="str"/>
      <c r="BH471" s="4" t="str"/>
      <c r="BI471" s="4" t="str"/>
      <c r="BJ471" s="4" t="str"/>
      <c r="BK471" s="4" t="str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</row>
    <row r="472">
      <c r="A472" s="11"/>
      <c r="B472" s="11"/>
      <c r="C472" s="119"/>
      <c r="D472" s="119"/>
      <c r="E472" s="5"/>
      <c r="F472" s="9">
        <f>IF(E472="", "", IF(G472="BP", E472, F471))</f>
      </c>
      <c r="G472" s="1"/>
      <c r="H472" s="1"/>
      <c r="I472" s="1"/>
      <c r="J472" s="1"/>
      <c r="K472" s="1"/>
      <c r="L472" s="1"/>
      <c r="M472" s="1"/>
      <c r="N472" s="3"/>
      <c r="O472" s="3"/>
      <c r="P472" s="3"/>
      <c r="Q472" s="3"/>
      <c r="R472" s="1" t="str"/>
      <c r="S472" s="9" t="str"/>
      <c r="T472" s="120" t="str"/>
      <c r="U472" s="118"/>
      <c r="V472" s="118"/>
      <c r="W472" s="118"/>
      <c r="X472" s="4"/>
      <c r="Y472" s="4">
        <f>IF(AND(Q472="✅", OR(ISNUMBER(FIND("F",I472)), I472="CR")),   "X="&amp;U472*16&amp;",Y="&amp;(V472-1)*16&amp;",Z="&amp;IF(I472="FD", -(W472-1)*16, (W472-1)*16),   "")</f>
      </c>
      <c r="Z472" s="4">
        <f>IF(AND(Q472="✅", OR(ISNUMBER(FIND("F",I472)), I472="CR")), "P=0,Y=0,R=0", "")</f>
      </c>
      <c r="AA472" s="4" t="str"/>
      <c r="AB472" s="4" t="str"/>
      <c r="AC472" s="4" t="str"/>
      <c r="AD472" s="4" t="str"/>
      <c r="AE472" s="4" t="str"/>
      <c r="AF472" s="4"/>
      <c r="AG472" s="4" t="str"/>
      <c r="AH472" s="4" t="str"/>
      <c r="AI472" s="4" t="str"/>
      <c r="AJ472" s="4" t="str"/>
      <c r="AK472" s="4" t="str"/>
      <c r="AL472" s="4" t="str"/>
      <c r="AM472" s="4" t="str"/>
      <c r="AN472" s="4"/>
      <c r="AO472" s="4" t="str"/>
      <c r="AP472" s="4" t="str"/>
      <c r="AQ472" s="4" t="str"/>
      <c r="AR472" s="4" t="str"/>
      <c r="AS472" s="4" t="str"/>
      <c r="AT472" s="4" t="str"/>
      <c r="AU472" s="4" t="str"/>
      <c r="AV472" s="4"/>
      <c r="AW472" s="4">
        <f>IF(AND(Q472="✅", I472="U90"), "X="&amp;(U472-1)*16&amp;",Y="&amp;(V472-1)*16&amp;",Z="&amp;W472*16, "")</f>
      </c>
      <c r="AX472" s="4">
        <f>IF(AND(Q472="✅", I472="U90"), "P=90,Y=0,R=0", "")</f>
      </c>
      <c r="AY472" s="4" t="str"/>
      <c r="AZ472" s="4" t="str"/>
      <c r="BA472" s="4" t="str"/>
      <c r="BB472" s="4" t="str"/>
      <c r="BC472" s="4" t="str"/>
      <c r="BD472" s="4"/>
      <c r="BE472" s="4">
        <f>IF(AND(Q472="✅", I472="D90"), "X="&amp;(U472-1)*16&amp;",Y="&amp;(V472-1)*16&amp;",Z="&amp;(W472-2)*16, "")</f>
      </c>
      <c r="BF472" s="4">
        <f>IF(AND(Q472="✅", I472="D90"), "P=-90,Y=0,R=0", "")</f>
      </c>
      <c r="BG472" s="4" t="str"/>
      <c r="BH472" s="4" t="str"/>
      <c r="BI472" s="4" t="str"/>
      <c r="BJ472" s="4" t="str"/>
      <c r="BK472" s="4" t="str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</row>
    <row r="473">
      <c r="A473" s="11"/>
      <c r="B473" s="11"/>
      <c r="C473" s="119"/>
      <c r="D473" s="119"/>
      <c r="E473" s="5"/>
      <c r="F473" s="9">
        <f>IF(E473="", "", IF(G473="BP", E473, F472))</f>
      </c>
      <c r="G473" s="1"/>
      <c r="H473" s="1"/>
      <c r="I473" s="1"/>
      <c r="J473" s="1"/>
      <c r="K473" s="1"/>
      <c r="L473" s="1"/>
      <c r="M473" s="1"/>
      <c r="N473" s="3"/>
      <c r="O473" s="3"/>
      <c r="P473" s="3"/>
      <c r="Q473" s="3"/>
      <c r="R473" s="1" t="str"/>
      <c r="S473" s="9" t="str"/>
      <c r="T473" s="120" t="str"/>
      <c r="U473" s="118"/>
      <c r="V473" s="118"/>
      <c r="W473" s="118"/>
      <c r="X473" s="4"/>
      <c r="Y473" s="4">
        <f>IF(AND(Q473="✅", OR(ISNUMBER(FIND("F",I473)), I473="CR")),   "X="&amp;U473*16&amp;",Y="&amp;(V473-1)*16&amp;",Z="&amp;IF(I473="FD", -(W473-1)*16, (W473-1)*16),   "")</f>
      </c>
      <c r="Z473" s="4">
        <f>IF(AND(Q473="✅", OR(ISNUMBER(FIND("F",I473)), I473="CR")), "P=0,Y=0,R=0", "")</f>
      </c>
      <c r="AA473" s="4" t="str"/>
      <c r="AB473" s="4" t="str"/>
      <c r="AC473" s="4" t="str"/>
      <c r="AD473" s="4" t="str"/>
      <c r="AE473" s="4" t="str"/>
      <c r="AF473" s="4"/>
      <c r="AG473" s="4" t="str"/>
      <c r="AH473" s="4" t="str"/>
      <c r="AI473" s="4" t="str"/>
      <c r="AJ473" s="4" t="str"/>
      <c r="AK473" s="4" t="str"/>
      <c r="AL473" s="4" t="str"/>
      <c r="AM473" s="4" t="str"/>
      <c r="AN473" s="4"/>
      <c r="AO473" s="4" t="str"/>
      <c r="AP473" s="4" t="str"/>
      <c r="AQ473" s="4" t="str"/>
      <c r="AR473" s="4" t="str"/>
      <c r="AS473" s="4" t="str"/>
      <c r="AT473" s="4" t="str"/>
      <c r="AU473" s="4" t="str"/>
      <c r="AV473" s="4"/>
      <c r="AW473" s="4">
        <f>IF(AND(Q473="✅", I473="U90"), "X="&amp;(U473-1)*16&amp;",Y="&amp;(V473-1)*16&amp;",Z="&amp;W473*16, "")</f>
      </c>
      <c r="AX473" s="4">
        <f>IF(AND(Q473="✅", I473="U90"), "P=90,Y=0,R=0", "")</f>
      </c>
      <c r="AY473" s="4" t="str"/>
      <c r="AZ473" s="4" t="str"/>
      <c r="BA473" s="4" t="str"/>
      <c r="BB473" s="4" t="str"/>
      <c r="BC473" s="4" t="str"/>
      <c r="BD473" s="4"/>
      <c r="BE473" s="4">
        <f>IF(AND(Q473="✅", I473="D90"), "X="&amp;(U473-1)*16&amp;",Y="&amp;(V473-1)*16&amp;",Z="&amp;(W473-2)*16, "")</f>
      </c>
      <c r="BF473" s="4">
        <f>IF(AND(Q473="✅", I473="D90"), "P=-90,Y=0,R=0", "")</f>
      </c>
      <c r="BG473" s="4" t="str"/>
      <c r="BH473" s="4" t="str"/>
      <c r="BI473" s="4" t="str"/>
      <c r="BJ473" s="4" t="str"/>
      <c r="BK473" s="4" t="str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</row>
    <row r="474">
      <c r="A474" s="11"/>
      <c r="B474" s="11"/>
      <c r="C474" s="119"/>
      <c r="D474" s="119"/>
      <c r="E474" s="5"/>
      <c r="F474" s="9">
        <f>IF(E474="", "", IF(G474="BP", E474, F473))</f>
      </c>
      <c r="G474" s="1"/>
      <c r="H474" s="1"/>
      <c r="I474" s="1"/>
      <c r="J474" s="1"/>
      <c r="K474" s="1"/>
      <c r="L474" s="1"/>
      <c r="M474" s="1"/>
      <c r="N474" s="3"/>
      <c r="O474" s="3"/>
      <c r="P474" s="3"/>
      <c r="Q474" s="3"/>
      <c r="R474" s="1" t="str"/>
      <c r="S474" s="9" t="str"/>
      <c r="T474" s="120" t="str"/>
      <c r="U474" s="118"/>
      <c r="V474" s="118"/>
      <c r="W474" s="118"/>
      <c r="X474" s="4"/>
      <c r="Y474" s="4">
        <f>IF(AND(Q474="✅", OR(ISNUMBER(FIND("F",I474)), I474="CR")),   "X="&amp;U474*16&amp;",Y="&amp;(V474-1)*16&amp;",Z="&amp;IF(I474="FD", -(W474-1)*16, (W474-1)*16),   "")</f>
      </c>
      <c r="Z474" s="4">
        <f>IF(AND(Q474="✅", OR(ISNUMBER(FIND("F",I474)), I474="CR")), "P=0,Y=0,R=0", "")</f>
      </c>
      <c r="AA474" s="4" t="str"/>
      <c r="AB474" s="4" t="str"/>
      <c r="AC474" s="4" t="str"/>
      <c r="AD474" s="4" t="str"/>
      <c r="AE474" s="4" t="str"/>
      <c r="AF474" s="4"/>
      <c r="AG474" s="4" t="str"/>
      <c r="AH474" s="4" t="str"/>
      <c r="AI474" s="4" t="str"/>
      <c r="AJ474" s="4" t="str"/>
      <c r="AK474" s="4" t="str"/>
      <c r="AL474" s="4" t="str"/>
      <c r="AM474" s="4" t="str"/>
      <c r="AN474" s="4"/>
      <c r="AO474" s="4" t="str"/>
      <c r="AP474" s="4" t="str"/>
      <c r="AQ474" s="4" t="str"/>
      <c r="AR474" s="4" t="str"/>
      <c r="AS474" s="4" t="str"/>
      <c r="AT474" s="4" t="str"/>
      <c r="AU474" s="4" t="str"/>
      <c r="AV474" s="4"/>
      <c r="AW474" s="4">
        <f>IF(AND(Q474="✅", I474="U90"), "X="&amp;(U474-1)*16&amp;",Y="&amp;(V474-1)*16&amp;",Z="&amp;W474*16, "")</f>
      </c>
      <c r="AX474" s="4">
        <f>IF(AND(Q474="✅", I474="U90"), "P=90,Y=0,R=0", "")</f>
      </c>
      <c r="AY474" s="4" t="str"/>
      <c r="AZ474" s="4" t="str"/>
      <c r="BA474" s="4" t="str"/>
      <c r="BB474" s="4" t="str"/>
      <c r="BC474" s="4" t="str"/>
      <c r="BD474" s="4"/>
      <c r="BE474" s="4">
        <f>IF(AND(Q474="✅", I474="D90"), "X="&amp;(U474-1)*16&amp;",Y="&amp;(V474-1)*16&amp;",Z="&amp;(W474-2)*16, "")</f>
      </c>
      <c r="BF474" s="4">
        <f>IF(AND(Q474="✅", I474="D90"), "P=-90,Y=0,R=0", "")</f>
      </c>
      <c r="BG474" s="4" t="str"/>
      <c r="BH474" s="4" t="str"/>
      <c r="BI474" s="4" t="str"/>
      <c r="BJ474" s="4" t="str"/>
      <c r="BK474" s="4" t="str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</row>
    <row r="475">
      <c r="A475" s="11"/>
      <c r="B475" s="11"/>
      <c r="C475" s="119"/>
      <c r="D475" s="119"/>
      <c r="E475" s="5"/>
      <c r="F475" s="9">
        <f>IF(E475="", "", IF(G475="BP", E475, F474))</f>
      </c>
      <c r="G475" s="1"/>
      <c r="H475" s="1"/>
      <c r="I475" s="1"/>
      <c r="J475" s="1"/>
      <c r="K475" s="1"/>
      <c r="L475" s="1"/>
      <c r="M475" s="1"/>
      <c r="N475" s="3"/>
      <c r="O475" s="3"/>
      <c r="P475" s="3"/>
      <c r="Q475" s="3"/>
      <c r="R475" s="1" t="str"/>
      <c r="S475" s="9" t="str"/>
      <c r="T475" s="120" t="str"/>
      <c r="U475" s="118"/>
      <c r="V475" s="118"/>
      <c r="W475" s="118"/>
      <c r="X475" s="4"/>
      <c r="Y475" s="4">
        <f>IF(AND(Q475="✅", OR(ISNUMBER(FIND("F",I475)), I475="CR")),   "X="&amp;U475*16&amp;",Y="&amp;(V475-1)*16&amp;",Z="&amp;IF(I475="FD", -(W475-1)*16, (W475-1)*16),   "")</f>
      </c>
      <c r="Z475" s="4">
        <f>IF(AND(Q475="✅", OR(ISNUMBER(FIND("F",I475)), I475="CR")), "P=0,Y=0,R=0", "")</f>
      </c>
      <c r="AA475" s="4" t="str"/>
      <c r="AB475" s="4" t="str"/>
      <c r="AC475" s="4" t="str"/>
      <c r="AD475" s="4" t="str"/>
      <c r="AE475" s="4" t="str"/>
      <c r="AF475" s="4"/>
      <c r="AG475" s="4" t="str"/>
      <c r="AH475" s="4" t="str"/>
      <c r="AI475" s="4" t="str"/>
      <c r="AJ475" s="4" t="str"/>
      <c r="AK475" s="4" t="str"/>
      <c r="AL475" s="4" t="str"/>
      <c r="AM475" s="4" t="str"/>
      <c r="AN475" s="4"/>
      <c r="AO475" s="4" t="str"/>
      <c r="AP475" s="4" t="str"/>
      <c r="AQ475" s="4" t="str"/>
      <c r="AR475" s="4" t="str"/>
      <c r="AS475" s="4" t="str"/>
      <c r="AT475" s="4" t="str"/>
      <c r="AU475" s="4" t="str"/>
      <c r="AV475" s="4"/>
      <c r="AW475" s="4">
        <f>IF(AND(Q475="✅", I475="U90"), "X="&amp;(U475-1)*16&amp;",Y="&amp;(V475-1)*16&amp;",Z="&amp;W475*16, "")</f>
      </c>
      <c r="AX475" s="4">
        <f>IF(AND(Q475="✅", I475="U90"), "P=90,Y=0,R=0", "")</f>
      </c>
      <c r="AY475" s="4" t="str"/>
      <c r="AZ475" s="4" t="str"/>
      <c r="BA475" s="4" t="str"/>
      <c r="BB475" s="4" t="str"/>
      <c r="BC475" s="4" t="str"/>
      <c r="BD475" s="4"/>
      <c r="BE475" s="4">
        <f>IF(AND(Q475="✅", I475="D90"), "X="&amp;(U475-1)*16&amp;",Y="&amp;(V475-1)*16&amp;",Z="&amp;(W475-2)*16, "")</f>
      </c>
      <c r="BF475" s="4">
        <f>IF(AND(Q475="✅", I475="D90"), "P=-90,Y=0,R=0", "")</f>
      </c>
      <c r="BG475" s="4" t="str"/>
      <c r="BH475" s="4" t="str"/>
      <c r="BI475" s="4" t="str"/>
      <c r="BJ475" s="4" t="str"/>
      <c r="BK475" s="4" t="str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</row>
    <row r="476">
      <c r="A476" s="11"/>
      <c r="B476" s="11"/>
      <c r="C476" s="119"/>
      <c r="D476" s="119"/>
      <c r="E476" s="5"/>
      <c r="F476" s="9">
        <f>IF(E476="", "", IF(G476="BP", E476, F475))</f>
      </c>
      <c r="G476" s="1"/>
      <c r="H476" s="1"/>
      <c r="I476" s="1"/>
      <c r="J476" s="1"/>
      <c r="K476" s="1"/>
      <c r="L476" s="1"/>
      <c r="M476" s="1"/>
      <c r="N476" s="3"/>
      <c r="O476" s="3"/>
      <c r="P476" s="3"/>
      <c r="Q476" s="3"/>
      <c r="R476" s="1" t="str"/>
      <c r="S476" s="9" t="str"/>
      <c r="T476" s="120" t="str"/>
      <c r="U476" s="118"/>
      <c r="V476" s="118"/>
      <c r="W476" s="118"/>
      <c r="X476" s="4"/>
      <c r="Y476" s="4">
        <f>IF(AND(Q476="✅", OR(ISNUMBER(FIND("F",I476)), I476="CR")),   "X="&amp;U476*16&amp;",Y="&amp;(V476-1)*16&amp;",Z="&amp;IF(I476="FD", -(W476-1)*16, (W476-1)*16),   "")</f>
      </c>
      <c r="Z476" s="4">
        <f>IF(AND(Q476="✅", OR(ISNUMBER(FIND("F",I476)), I476="CR")), "P=0,Y=0,R=0", "")</f>
      </c>
      <c r="AA476" s="4" t="str"/>
      <c r="AB476" s="4" t="str"/>
      <c r="AC476" s="4" t="str"/>
      <c r="AD476" s="4" t="str"/>
      <c r="AE476" s="4" t="str"/>
      <c r="AF476" s="4"/>
      <c r="AG476" s="4" t="str"/>
      <c r="AH476" s="4" t="str"/>
      <c r="AI476" s="4" t="str"/>
      <c r="AJ476" s="4" t="str"/>
      <c r="AK476" s="4" t="str"/>
      <c r="AL476" s="4" t="str"/>
      <c r="AM476" s="4" t="str"/>
      <c r="AN476" s="4"/>
      <c r="AO476" s="4" t="str"/>
      <c r="AP476" s="4" t="str"/>
      <c r="AQ476" s="4" t="str"/>
      <c r="AR476" s="4" t="str"/>
      <c r="AS476" s="4" t="str"/>
      <c r="AT476" s="4" t="str"/>
      <c r="AU476" s="4" t="str"/>
      <c r="AV476" s="4"/>
      <c r="AW476" s="4">
        <f>IF(AND(Q476="✅", I476="U90"), "X="&amp;(U476-1)*16&amp;",Y="&amp;(V476-1)*16&amp;",Z="&amp;W476*16, "")</f>
      </c>
      <c r="AX476" s="4">
        <f>IF(AND(Q476="✅", I476="U90"), "P=90,Y=0,R=0", "")</f>
      </c>
      <c r="AY476" s="4" t="str"/>
      <c r="AZ476" s="4" t="str"/>
      <c r="BA476" s="4" t="str"/>
      <c r="BB476" s="4" t="str"/>
      <c r="BC476" s="4" t="str"/>
      <c r="BD476" s="4"/>
      <c r="BE476" s="4">
        <f>IF(AND(Q476="✅", I476="D90"), "X="&amp;(U476-1)*16&amp;",Y="&amp;(V476-1)*16&amp;",Z="&amp;(W476-2)*16, "")</f>
      </c>
      <c r="BF476" s="4">
        <f>IF(AND(Q476="✅", I476="D90"), "P=-90,Y=0,R=0", "")</f>
      </c>
      <c r="BG476" s="4" t="str"/>
      <c r="BH476" s="4" t="str"/>
      <c r="BI476" s="4" t="str"/>
      <c r="BJ476" s="4" t="str"/>
      <c r="BK476" s="4" t="str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</row>
    <row r="477">
      <c r="A477" s="11"/>
      <c r="B477" s="11"/>
      <c r="C477" s="119"/>
      <c r="D477" s="119"/>
      <c r="E477" s="5"/>
      <c r="F477" s="9">
        <f>IF(E477="", "", IF(G477="BP", E477, F476))</f>
      </c>
      <c r="G477" s="1"/>
      <c r="H477" s="1"/>
      <c r="I477" s="1"/>
      <c r="J477" s="1"/>
      <c r="K477" s="1"/>
      <c r="L477" s="1"/>
      <c r="M477" s="1"/>
      <c r="N477" s="3"/>
      <c r="O477" s="3"/>
      <c r="P477" s="3"/>
      <c r="Q477" s="3"/>
      <c r="R477" s="1" t="str"/>
      <c r="S477" s="9" t="str"/>
      <c r="T477" s="120" t="str"/>
      <c r="U477" s="118"/>
      <c r="V477" s="118"/>
      <c r="W477" s="118"/>
      <c r="X477" s="4"/>
      <c r="Y477" s="4">
        <f>IF(AND(Q477="✅", OR(ISNUMBER(FIND("F",I477)), I477="CR")),   "X="&amp;U477*16&amp;",Y="&amp;(V477-1)*16&amp;",Z="&amp;IF(I477="FD", -(W477-1)*16, (W477-1)*16),   "")</f>
      </c>
      <c r="Z477" s="4">
        <f>IF(AND(Q477="✅", OR(ISNUMBER(FIND("F",I477)), I477="CR")), "P=0,Y=0,R=0", "")</f>
      </c>
      <c r="AA477" s="4" t="str"/>
      <c r="AB477" s="4" t="str"/>
      <c r="AC477" s="4" t="str"/>
      <c r="AD477" s="4" t="str"/>
      <c r="AE477" s="4" t="str"/>
      <c r="AF477" s="4"/>
      <c r="AG477" s="4" t="str"/>
      <c r="AH477" s="4" t="str"/>
      <c r="AI477" s="4" t="str"/>
      <c r="AJ477" s="4" t="str"/>
      <c r="AK477" s="4" t="str"/>
      <c r="AL477" s="4" t="str"/>
      <c r="AM477" s="4" t="str"/>
      <c r="AN477" s="4"/>
      <c r="AO477" s="4" t="str"/>
      <c r="AP477" s="4" t="str"/>
      <c r="AQ477" s="4" t="str"/>
      <c r="AR477" s="4" t="str"/>
      <c r="AS477" s="4" t="str"/>
      <c r="AT477" s="4" t="str"/>
      <c r="AU477" s="4" t="str"/>
      <c r="AV477" s="4"/>
      <c r="AW477" s="4">
        <f>IF(AND(Q477="✅", I477="U90"), "X="&amp;(U477-1)*16&amp;",Y="&amp;(V477-1)*16&amp;",Z="&amp;W477*16, "")</f>
      </c>
      <c r="AX477" s="4">
        <f>IF(AND(Q477="✅", I477="U90"), "P=90,Y=0,R=0", "")</f>
      </c>
      <c r="AY477" s="4" t="str"/>
      <c r="AZ477" s="4" t="str"/>
      <c r="BA477" s="4" t="str"/>
      <c r="BB477" s="4" t="str"/>
      <c r="BC477" s="4" t="str"/>
      <c r="BD477" s="4"/>
      <c r="BE477" s="4">
        <f>IF(AND(Q477="✅", I477="D90"), "X="&amp;(U477-1)*16&amp;",Y="&amp;(V477-1)*16&amp;",Z="&amp;(W477-2)*16, "")</f>
      </c>
      <c r="BF477" s="4">
        <f>IF(AND(Q477="✅", I477="D90"), "P=-90,Y=0,R=0", "")</f>
      </c>
      <c r="BG477" s="4" t="str"/>
      <c r="BH477" s="4" t="str"/>
      <c r="BI477" s="4" t="str"/>
      <c r="BJ477" s="4" t="str"/>
      <c r="BK477" s="4" t="str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</row>
    <row r="478">
      <c r="A478" s="11"/>
      <c r="B478" s="11"/>
      <c r="C478" s="119"/>
      <c r="D478" s="119"/>
      <c r="E478" s="5"/>
      <c r="F478" s="9">
        <f>IF(E478="", "", IF(G478="BP", E478, F477))</f>
      </c>
      <c r="G478" s="1"/>
      <c r="H478" s="1"/>
      <c r="I478" s="1"/>
      <c r="J478" s="1"/>
      <c r="K478" s="1"/>
      <c r="L478" s="1"/>
      <c r="M478" s="1"/>
      <c r="N478" s="3"/>
      <c r="O478" s="3"/>
      <c r="P478" s="3"/>
      <c r="Q478" s="3"/>
      <c r="R478" s="1" t="str"/>
      <c r="S478" s="9" t="str"/>
      <c r="T478" s="120" t="str"/>
      <c r="U478" s="118"/>
      <c r="V478" s="118"/>
      <c r="W478" s="118"/>
      <c r="X478" s="4"/>
      <c r="Y478" s="4">
        <f>IF(AND(Q478="✅", OR(ISNUMBER(FIND("F",I478)), I478="CR")),   "X="&amp;U478*16&amp;",Y="&amp;(V478-1)*16&amp;",Z="&amp;IF(I478="FD", -(W478-1)*16, (W478-1)*16),   "")</f>
      </c>
      <c r="Z478" s="4">
        <f>IF(AND(Q478="✅", OR(ISNUMBER(FIND("F",I478)), I478="CR")), "P=0,Y=0,R=0", "")</f>
      </c>
      <c r="AA478" s="4" t="str"/>
      <c r="AB478" s="4" t="str"/>
      <c r="AC478" s="4" t="str"/>
      <c r="AD478" s="4" t="str"/>
      <c r="AE478" s="4" t="str"/>
      <c r="AF478" s="4"/>
      <c r="AG478" s="4" t="str"/>
      <c r="AH478" s="4" t="str"/>
      <c r="AI478" s="4" t="str"/>
      <c r="AJ478" s="4" t="str"/>
      <c r="AK478" s="4" t="str"/>
      <c r="AL478" s="4" t="str"/>
      <c r="AM478" s="4" t="str"/>
      <c r="AN478" s="4"/>
      <c r="AO478" s="4" t="str"/>
      <c r="AP478" s="4" t="str"/>
      <c r="AQ478" s="4" t="str"/>
      <c r="AR478" s="4" t="str"/>
      <c r="AS478" s="4" t="str"/>
      <c r="AT478" s="4" t="str"/>
      <c r="AU478" s="4" t="str"/>
      <c r="AV478" s="4"/>
      <c r="AW478" s="4">
        <f>IF(AND(Q478="✅", I478="U90"), "X="&amp;(U478-1)*16&amp;",Y="&amp;(V478-1)*16&amp;",Z="&amp;W478*16, "")</f>
      </c>
      <c r="AX478" s="4">
        <f>IF(AND(Q478="✅", I478="U90"), "P=90,Y=0,R=0", "")</f>
      </c>
      <c r="AY478" s="4" t="str"/>
      <c r="AZ478" s="4" t="str"/>
      <c r="BA478" s="4" t="str"/>
      <c r="BB478" s="4" t="str"/>
      <c r="BC478" s="4" t="str"/>
      <c r="BD478" s="4"/>
      <c r="BE478" s="4">
        <f>IF(AND(Q478="✅", I478="D90"), "X="&amp;(U478-1)*16&amp;",Y="&amp;(V478-1)*16&amp;",Z="&amp;(W478-2)*16, "")</f>
      </c>
      <c r="BF478" s="4">
        <f>IF(AND(Q478="✅", I478="D90"), "P=-90,Y=0,R=0", "")</f>
      </c>
      <c r="BG478" s="4" t="str"/>
      <c r="BH478" s="4" t="str"/>
      <c r="BI478" s="4" t="str"/>
      <c r="BJ478" s="4" t="str"/>
      <c r="BK478" s="4" t="str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</row>
    <row r="479">
      <c r="A479" s="11"/>
      <c r="B479" s="11"/>
      <c r="C479" s="119"/>
      <c r="D479" s="119"/>
      <c r="E479" s="5"/>
      <c r="F479" s="9">
        <f>IF(E479="", "", IF(G479="BP", E479, F478))</f>
      </c>
      <c r="G479" s="1"/>
      <c r="H479" s="1"/>
      <c r="I479" s="1"/>
      <c r="J479" s="1"/>
      <c r="K479" s="1"/>
      <c r="L479" s="1"/>
      <c r="M479" s="1"/>
      <c r="N479" s="3"/>
      <c r="O479" s="3"/>
      <c r="P479" s="3"/>
      <c r="Q479" s="3"/>
      <c r="R479" s="1" t="str"/>
      <c r="S479" s="9" t="str"/>
      <c r="T479" s="120" t="str"/>
      <c r="U479" s="118"/>
      <c r="V479" s="118"/>
      <c r="W479" s="118"/>
      <c r="X479" s="4"/>
      <c r="Y479" s="4">
        <f>IF(AND(Q479="✅", OR(ISNUMBER(FIND("F",I479)), I479="CR")),   "X="&amp;U479*16&amp;",Y="&amp;(V479-1)*16&amp;",Z="&amp;IF(I479="FD", -(W479-1)*16, (W479-1)*16),   "")</f>
      </c>
      <c r="Z479" s="4">
        <f>IF(AND(Q479="✅", OR(ISNUMBER(FIND("F",I479)), I479="CR")), "P=0,Y=0,R=0", "")</f>
      </c>
      <c r="AA479" s="4" t="str"/>
      <c r="AB479" s="4" t="str"/>
      <c r="AC479" s="4" t="str"/>
      <c r="AD479" s="4" t="str"/>
      <c r="AE479" s="4" t="str"/>
      <c r="AF479" s="4"/>
      <c r="AG479" s="4" t="str"/>
      <c r="AH479" s="4" t="str"/>
      <c r="AI479" s="4" t="str"/>
      <c r="AJ479" s="4" t="str"/>
      <c r="AK479" s="4" t="str"/>
      <c r="AL479" s="4" t="str"/>
      <c r="AM479" s="4" t="str"/>
      <c r="AN479" s="4"/>
      <c r="AO479" s="4" t="str"/>
      <c r="AP479" s="4" t="str"/>
      <c r="AQ479" s="4" t="str"/>
      <c r="AR479" s="4" t="str"/>
      <c r="AS479" s="4" t="str"/>
      <c r="AT479" s="4" t="str"/>
      <c r="AU479" s="4" t="str"/>
      <c r="AV479" s="4"/>
      <c r="AW479" s="4">
        <f>IF(AND(Q479="✅", I479="U90"), "X="&amp;(U479-1)*16&amp;",Y="&amp;(V479-1)*16&amp;",Z="&amp;W479*16, "")</f>
      </c>
      <c r="AX479" s="4">
        <f>IF(AND(Q479="✅", I479="U90"), "P=90,Y=0,R=0", "")</f>
      </c>
      <c r="AY479" s="4" t="str"/>
      <c r="AZ479" s="4" t="str"/>
      <c r="BA479" s="4" t="str"/>
      <c r="BB479" s="4" t="str"/>
      <c r="BC479" s="4" t="str"/>
      <c r="BD479" s="4"/>
      <c r="BE479" s="4">
        <f>IF(AND(Q479="✅", I479="D90"), "X="&amp;(U479-1)*16&amp;",Y="&amp;(V479-1)*16&amp;",Z="&amp;(W479-2)*16, "")</f>
      </c>
      <c r="BF479" s="4">
        <f>IF(AND(Q479="✅", I479="D90"), "P=-90,Y=0,R=0", "")</f>
      </c>
      <c r="BG479" s="4" t="str"/>
      <c r="BH479" s="4" t="str"/>
      <c r="BI479" s="4" t="str"/>
      <c r="BJ479" s="4" t="str"/>
      <c r="BK479" s="4" t="str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</row>
    <row r="480">
      <c r="A480" s="11"/>
      <c r="B480" s="11"/>
      <c r="C480" s="119"/>
      <c r="D480" s="119"/>
      <c r="E480" s="5"/>
      <c r="F480" s="9">
        <f>IF(E480="", "", IF(G480="BP", E480, F479))</f>
      </c>
      <c r="G480" s="1"/>
      <c r="H480" s="1"/>
      <c r="I480" s="1"/>
      <c r="J480" s="1"/>
      <c r="K480" s="1"/>
      <c r="L480" s="1"/>
      <c r="M480" s="1"/>
      <c r="N480" s="3"/>
      <c r="O480" s="3"/>
      <c r="P480" s="3"/>
      <c r="Q480" s="3"/>
      <c r="R480" s="1" t="str"/>
      <c r="S480" s="9" t="str"/>
      <c r="T480" s="120" t="str"/>
      <c r="U480" s="118"/>
      <c r="V480" s="118"/>
      <c r="W480" s="118"/>
      <c r="X480" s="4"/>
      <c r="Y480" s="4">
        <f>IF(AND(Q480="✅", OR(ISNUMBER(FIND("F",I480)), I480="CR")),   "X="&amp;U480*16&amp;",Y="&amp;(V480-1)*16&amp;",Z="&amp;IF(I480="FD", -(W480-1)*16, (W480-1)*16),   "")</f>
      </c>
      <c r="Z480" s="4">
        <f>IF(AND(Q480="✅", OR(ISNUMBER(FIND("F",I480)), I480="CR")), "P=0,Y=0,R=0", "")</f>
      </c>
      <c r="AA480" s="4" t="str"/>
      <c r="AB480" s="4" t="str"/>
      <c r="AC480" s="4" t="str"/>
      <c r="AD480" s="4" t="str"/>
      <c r="AE480" s="4" t="str"/>
      <c r="AF480" s="4"/>
      <c r="AG480" s="4" t="str"/>
      <c r="AH480" s="4" t="str"/>
      <c r="AI480" s="4" t="str"/>
      <c r="AJ480" s="4" t="str"/>
      <c r="AK480" s="4" t="str"/>
      <c r="AL480" s="4" t="str"/>
      <c r="AM480" s="4" t="str"/>
      <c r="AN480" s="4"/>
      <c r="AO480" s="4" t="str"/>
      <c r="AP480" s="4" t="str"/>
      <c r="AQ480" s="4" t="str"/>
      <c r="AR480" s="4" t="str"/>
      <c r="AS480" s="4" t="str"/>
      <c r="AT480" s="4" t="str"/>
      <c r="AU480" s="4" t="str"/>
      <c r="AV480" s="4"/>
      <c r="AW480" s="4">
        <f>IF(AND(Q480="✅", I480="U90"), "X="&amp;(U480-1)*16&amp;",Y="&amp;(V480-1)*16&amp;",Z="&amp;W480*16, "")</f>
      </c>
      <c r="AX480" s="4">
        <f>IF(AND(Q480="✅", I480="U90"), "P=90,Y=0,R=0", "")</f>
      </c>
      <c r="AY480" s="4" t="str"/>
      <c r="AZ480" s="4" t="str"/>
      <c r="BA480" s="4" t="str"/>
      <c r="BB480" s="4" t="str"/>
      <c r="BC480" s="4" t="str"/>
      <c r="BD480" s="4"/>
      <c r="BE480" s="4">
        <f>IF(AND(Q480="✅", I480="D90"), "X="&amp;(U480-1)*16&amp;",Y="&amp;(V480-1)*16&amp;",Z="&amp;(W480-2)*16, "")</f>
      </c>
      <c r="BF480" s="4">
        <f>IF(AND(Q480="✅", I480="D90"), "P=-90,Y=0,R=0", "")</f>
      </c>
      <c r="BG480" s="4" t="str"/>
      <c r="BH480" s="4" t="str"/>
      <c r="BI480" s="4" t="str"/>
      <c r="BJ480" s="4" t="str"/>
      <c r="BK480" s="4" t="str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</row>
    <row r="481">
      <c r="A481" s="11"/>
      <c r="B481" s="11"/>
      <c r="C481" s="119"/>
      <c r="D481" s="119"/>
      <c r="E481" s="5"/>
      <c r="F481" s="9">
        <f>IF(E481="", "", IF(G481="BP", E481, F480))</f>
      </c>
      <c r="G481" s="1"/>
      <c r="H481" s="1"/>
      <c r="I481" s="1"/>
      <c r="J481" s="1"/>
      <c r="K481" s="1"/>
      <c r="L481" s="1"/>
      <c r="M481" s="1"/>
      <c r="N481" s="3"/>
      <c r="O481" s="3"/>
      <c r="P481" s="3"/>
      <c r="Q481" s="3"/>
      <c r="R481" s="1" t="str"/>
      <c r="S481" s="9" t="str"/>
      <c r="T481" s="120" t="str"/>
      <c r="U481" s="118"/>
      <c r="V481" s="118"/>
      <c r="W481" s="118"/>
      <c r="X481" s="4"/>
      <c r="Y481" s="4">
        <f>IF(AND(Q481="✅", OR(ISNUMBER(FIND("F",I481)), I481="CR")),   "X="&amp;U481*16&amp;",Y="&amp;(V481-1)*16&amp;",Z="&amp;IF(I481="FD", -(W481-1)*16, (W481-1)*16),   "")</f>
      </c>
      <c r="Z481" s="4">
        <f>IF(AND(Q481="✅", OR(ISNUMBER(FIND("F",I481)), I481="CR")), "P=0,Y=0,R=0", "")</f>
      </c>
      <c r="AA481" s="4" t="str"/>
      <c r="AB481" s="4" t="str"/>
      <c r="AC481" s="4" t="str"/>
      <c r="AD481" s="4" t="str"/>
      <c r="AE481" s="4" t="str"/>
      <c r="AF481" s="4"/>
      <c r="AG481" s="4" t="str"/>
      <c r="AH481" s="4" t="str"/>
      <c r="AI481" s="4" t="str"/>
      <c r="AJ481" s="4" t="str"/>
      <c r="AK481" s="4" t="str"/>
      <c r="AL481" s="4" t="str"/>
      <c r="AM481" s="4" t="str"/>
      <c r="AN481" s="4"/>
      <c r="AO481" s="4" t="str"/>
      <c r="AP481" s="4" t="str"/>
      <c r="AQ481" s="4" t="str"/>
      <c r="AR481" s="4" t="str"/>
      <c r="AS481" s="4" t="str"/>
      <c r="AT481" s="4" t="str"/>
      <c r="AU481" s="4" t="str"/>
      <c r="AV481" s="4"/>
      <c r="AW481" s="4">
        <f>IF(AND(Q481="✅", I481="U90"), "X="&amp;(U481-1)*16&amp;",Y="&amp;(V481-1)*16&amp;",Z="&amp;W481*16, "")</f>
      </c>
      <c r="AX481" s="4">
        <f>IF(AND(Q481="✅", I481="U90"), "P=90,Y=0,R=0", "")</f>
      </c>
      <c r="AY481" s="4" t="str"/>
      <c r="AZ481" s="4" t="str"/>
      <c r="BA481" s="4" t="str"/>
      <c r="BB481" s="4" t="str"/>
      <c r="BC481" s="4" t="str"/>
      <c r="BD481" s="4"/>
      <c r="BE481" s="4">
        <f>IF(AND(Q481="✅", I481="D90"), "X="&amp;(U481-1)*16&amp;",Y="&amp;(V481-1)*16&amp;",Z="&amp;(W481-2)*16, "")</f>
      </c>
      <c r="BF481" s="4">
        <f>IF(AND(Q481="✅", I481="D90"), "P=-90,Y=0,R=0", "")</f>
      </c>
      <c r="BG481" s="4" t="str"/>
      <c r="BH481" s="4" t="str"/>
      <c r="BI481" s="4" t="str"/>
      <c r="BJ481" s="4" t="str"/>
      <c r="BK481" s="4" t="str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</row>
    <row r="482">
      <c r="A482" s="11"/>
      <c r="B482" s="11"/>
      <c r="C482" s="119"/>
      <c r="D482" s="119"/>
      <c r="E482" s="5"/>
      <c r="F482" s="9">
        <f>IF(E482="", "", IF(G482="BP", E482, F481))</f>
      </c>
      <c r="G482" s="1"/>
      <c r="H482" s="1"/>
      <c r="I482" s="1"/>
      <c r="J482" s="1"/>
      <c r="K482" s="1"/>
      <c r="L482" s="1"/>
      <c r="M482" s="1"/>
      <c r="N482" s="3"/>
      <c r="O482" s="3"/>
      <c r="P482" s="3"/>
      <c r="Q482" s="3"/>
      <c r="R482" s="1" t="str"/>
      <c r="S482" s="9" t="str"/>
      <c r="T482" s="120" t="str"/>
      <c r="U482" s="118"/>
      <c r="V482" s="118"/>
      <c r="W482" s="118"/>
      <c r="X482" s="4"/>
      <c r="Y482" s="4">
        <f>IF(AND(Q482="✅", OR(ISNUMBER(FIND("F",I482)), I482="CR")),   "X="&amp;U482*16&amp;",Y="&amp;(V482-1)*16&amp;",Z="&amp;IF(I482="FD", -(W482-1)*16, (W482-1)*16),   "")</f>
      </c>
      <c r="Z482" s="4">
        <f>IF(AND(Q482="✅", OR(ISNUMBER(FIND("F",I482)), I482="CR")), "P=0,Y=0,R=0", "")</f>
      </c>
      <c r="AA482" s="4" t="str"/>
      <c r="AB482" s="4" t="str"/>
      <c r="AC482" s="4" t="str"/>
      <c r="AD482" s="4" t="str"/>
      <c r="AE482" s="4" t="str"/>
      <c r="AF482" s="4"/>
      <c r="AG482" s="4" t="str"/>
      <c r="AH482" s="4" t="str"/>
      <c r="AI482" s="4" t="str"/>
      <c r="AJ482" s="4" t="str"/>
      <c r="AK482" s="4" t="str"/>
      <c r="AL482" s="4" t="str"/>
      <c r="AM482" s="4" t="str"/>
      <c r="AN482" s="4"/>
      <c r="AO482" s="4" t="str"/>
      <c r="AP482" s="4" t="str"/>
      <c r="AQ482" s="4" t="str"/>
      <c r="AR482" s="4" t="str"/>
      <c r="AS482" s="4" t="str"/>
      <c r="AT482" s="4" t="str"/>
      <c r="AU482" s="4" t="str"/>
      <c r="AV482" s="4"/>
      <c r="AW482" s="4">
        <f>IF(AND(Q482="✅", I482="U90"), "X="&amp;(U482-1)*16&amp;",Y="&amp;(V482-1)*16&amp;",Z="&amp;W482*16, "")</f>
      </c>
      <c r="AX482" s="4">
        <f>IF(AND(Q482="✅", I482="U90"), "P=90,Y=0,R=0", "")</f>
      </c>
      <c r="AY482" s="4" t="str"/>
      <c r="AZ482" s="4" t="str"/>
      <c r="BA482" s="4" t="str"/>
      <c r="BB482" s="4" t="str"/>
      <c r="BC482" s="4" t="str"/>
      <c r="BD482" s="4"/>
      <c r="BE482" s="4">
        <f>IF(AND(Q482="✅", I482="D90"), "X="&amp;(U482-1)*16&amp;",Y="&amp;(V482-1)*16&amp;",Z="&amp;(W482-2)*16, "")</f>
      </c>
      <c r="BF482" s="4">
        <f>IF(AND(Q482="✅", I482="D90"), "P=-90,Y=0,R=0", "")</f>
      </c>
      <c r="BG482" s="4" t="str"/>
      <c r="BH482" s="4" t="str"/>
      <c r="BI482" s="4" t="str"/>
      <c r="BJ482" s="4" t="str"/>
      <c r="BK482" s="4" t="str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</row>
    <row r="483">
      <c r="A483" s="11"/>
      <c r="B483" s="11"/>
      <c r="C483" s="119"/>
      <c r="D483" s="119"/>
      <c r="E483" s="5"/>
      <c r="F483" s="9">
        <f>IF(E483="", "", IF(G483="BP", E483, F482))</f>
      </c>
      <c r="G483" s="1"/>
      <c r="H483" s="1"/>
      <c r="I483" s="1"/>
      <c r="J483" s="1"/>
      <c r="K483" s="1"/>
      <c r="L483" s="1"/>
      <c r="M483" s="1"/>
      <c r="N483" s="3"/>
      <c r="O483" s="3"/>
      <c r="P483" s="3"/>
      <c r="Q483" s="3"/>
      <c r="R483" s="1" t="str"/>
      <c r="S483" s="9" t="str"/>
      <c r="T483" s="120" t="str"/>
      <c r="U483" s="118"/>
      <c r="V483" s="118"/>
      <c r="W483" s="118"/>
      <c r="X483" s="4"/>
      <c r="Y483" s="4">
        <f>IF(AND(Q483="✅", OR(ISNUMBER(FIND("F",I483)), I483="CR")),   "X="&amp;U483*16&amp;",Y="&amp;(V483-1)*16&amp;",Z="&amp;IF(I483="FD", -(W483-1)*16, (W483-1)*16),   "")</f>
      </c>
      <c r="Z483" s="4">
        <f>IF(AND(Q483="✅", OR(ISNUMBER(FIND("F",I483)), I483="CR")), "P=0,Y=0,R=0", "")</f>
      </c>
      <c r="AA483" s="4" t="str"/>
      <c r="AB483" s="4" t="str"/>
      <c r="AC483" s="4" t="str"/>
      <c r="AD483" s="4" t="str"/>
      <c r="AE483" s="4" t="str"/>
      <c r="AF483" s="4"/>
      <c r="AG483" s="4" t="str"/>
      <c r="AH483" s="4" t="str"/>
      <c r="AI483" s="4" t="str"/>
      <c r="AJ483" s="4" t="str"/>
      <c r="AK483" s="4" t="str"/>
      <c r="AL483" s="4" t="str"/>
      <c r="AM483" s="4" t="str"/>
      <c r="AN483" s="4"/>
      <c r="AO483" s="4" t="str"/>
      <c r="AP483" s="4" t="str"/>
      <c r="AQ483" s="4" t="str"/>
      <c r="AR483" s="4" t="str"/>
      <c r="AS483" s="4" t="str"/>
      <c r="AT483" s="4" t="str"/>
      <c r="AU483" s="4" t="str"/>
      <c r="AV483" s="4"/>
      <c r="AW483" s="4">
        <f>IF(AND(Q483="✅", I483="U90"), "X="&amp;(U483-1)*16&amp;",Y="&amp;(V483-1)*16&amp;",Z="&amp;W483*16, "")</f>
      </c>
      <c r="AX483" s="4">
        <f>IF(AND(Q483="✅", I483="U90"), "P=90,Y=0,R=0", "")</f>
      </c>
      <c r="AY483" s="4" t="str"/>
      <c r="AZ483" s="4" t="str"/>
      <c r="BA483" s="4" t="str"/>
      <c r="BB483" s="4" t="str"/>
      <c r="BC483" s="4" t="str"/>
      <c r="BD483" s="4"/>
      <c r="BE483" s="4">
        <f>IF(AND(Q483="✅", I483="D90"), "X="&amp;(U483-1)*16&amp;",Y="&amp;(V483-1)*16&amp;",Z="&amp;(W483-2)*16, "")</f>
      </c>
      <c r="BF483" s="4">
        <f>IF(AND(Q483="✅", I483="D90"), "P=-90,Y=0,R=0", "")</f>
      </c>
      <c r="BG483" s="4" t="str"/>
      <c r="BH483" s="4" t="str"/>
      <c r="BI483" s="4" t="str"/>
      <c r="BJ483" s="4" t="str"/>
      <c r="BK483" s="4" t="str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</row>
    <row r="484">
      <c r="A484" s="11"/>
      <c r="B484" s="11"/>
      <c r="C484" s="119"/>
      <c r="D484" s="119"/>
      <c r="E484" s="5"/>
      <c r="F484" s="9">
        <f>IF(E484="", "", IF(G484="BP", E484, F483))</f>
      </c>
      <c r="G484" s="1"/>
      <c r="H484" s="1"/>
      <c r="I484" s="1"/>
      <c r="J484" s="1"/>
      <c r="K484" s="1"/>
      <c r="L484" s="1"/>
      <c r="M484" s="1"/>
      <c r="N484" s="3"/>
      <c r="O484" s="3"/>
      <c r="P484" s="3"/>
      <c r="Q484" s="3"/>
      <c r="R484" s="1" t="str"/>
      <c r="S484" s="9" t="str"/>
      <c r="T484" s="120" t="str"/>
      <c r="U484" s="118"/>
      <c r="V484" s="118"/>
      <c r="W484" s="118"/>
      <c r="X484" s="4"/>
      <c r="Y484" s="4">
        <f>IF(AND(Q484="✅", OR(ISNUMBER(FIND("F",I484)), I484="CR")),   "X="&amp;U484*16&amp;",Y="&amp;(V484-1)*16&amp;",Z="&amp;IF(I484="FD", -(W484-1)*16, (W484-1)*16),   "")</f>
      </c>
      <c r="Z484" s="4">
        <f>IF(AND(Q484="✅", OR(ISNUMBER(FIND("F",I484)), I484="CR")), "P=0,Y=0,R=0", "")</f>
      </c>
      <c r="AA484" s="4" t="str"/>
      <c r="AB484" s="4" t="str"/>
      <c r="AC484" s="4" t="str"/>
      <c r="AD484" s="4" t="str"/>
      <c r="AE484" s="4" t="str"/>
      <c r="AF484" s="4"/>
      <c r="AG484" s="4" t="str"/>
      <c r="AH484" s="4" t="str"/>
      <c r="AI484" s="4" t="str"/>
      <c r="AJ484" s="4" t="str"/>
      <c r="AK484" s="4" t="str"/>
      <c r="AL484" s="4" t="str"/>
      <c r="AM484" s="4" t="str"/>
      <c r="AN484" s="4"/>
      <c r="AO484" s="4" t="str"/>
      <c r="AP484" s="4" t="str"/>
      <c r="AQ484" s="4" t="str"/>
      <c r="AR484" s="4" t="str"/>
      <c r="AS484" s="4" t="str"/>
      <c r="AT484" s="4" t="str"/>
      <c r="AU484" s="4" t="str"/>
      <c r="AV484" s="4"/>
      <c r="AW484" s="4">
        <f>IF(AND(Q484="✅", I484="U90"), "X="&amp;(U484-1)*16&amp;",Y="&amp;(V484-1)*16&amp;",Z="&amp;W484*16, "")</f>
      </c>
      <c r="AX484" s="4">
        <f>IF(AND(Q484="✅", I484="U90"), "P=90,Y=0,R=0", "")</f>
      </c>
      <c r="AY484" s="4" t="str"/>
      <c r="AZ484" s="4" t="str"/>
      <c r="BA484" s="4" t="str"/>
      <c r="BB484" s="4" t="str"/>
      <c r="BC484" s="4" t="str"/>
      <c r="BD484" s="4"/>
      <c r="BE484" s="4">
        <f>IF(AND(Q484="✅", I484="D90"), "X="&amp;(U484-1)*16&amp;",Y="&amp;(V484-1)*16&amp;",Z="&amp;(W484-2)*16, "")</f>
      </c>
      <c r="BF484" s="4">
        <f>IF(AND(Q484="✅", I484="D90"), "P=-90,Y=0,R=0", "")</f>
      </c>
      <c r="BG484" s="4" t="str"/>
      <c r="BH484" s="4" t="str"/>
      <c r="BI484" s="4" t="str"/>
      <c r="BJ484" s="4" t="str"/>
      <c r="BK484" s="4" t="str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</row>
    <row r="485">
      <c r="A485" s="11"/>
      <c r="B485" s="11"/>
      <c r="C485" s="119"/>
      <c r="D485" s="119"/>
      <c r="E485" s="5"/>
      <c r="F485" s="9">
        <f>IF(E485="", "", IF(G485="BP", E485, F484))</f>
      </c>
      <c r="G485" s="1"/>
      <c r="H485" s="1"/>
      <c r="I485" s="1"/>
      <c r="J485" s="1"/>
      <c r="K485" s="1"/>
      <c r="L485" s="1"/>
      <c r="M485" s="1"/>
      <c r="N485" s="3"/>
      <c r="O485" s="3"/>
      <c r="P485" s="3"/>
      <c r="Q485" s="3"/>
      <c r="R485" s="1" t="str"/>
      <c r="S485" s="9" t="str"/>
      <c r="T485" s="120" t="str"/>
      <c r="U485" s="118"/>
      <c r="V485" s="118"/>
      <c r="W485" s="118"/>
      <c r="X485" s="4"/>
      <c r="Y485" s="4">
        <f>IF(AND(Q485="✅", OR(ISNUMBER(FIND("F",I485)), I485="CR")),   "X="&amp;U485*16&amp;",Y="&amp;(V485-1)*16&amp;",Z="&amp;IF(I485="FD", -(W485-1)*16, (W485-1)*16),   "")</f>
      </c>
      <c r="Z485" s="4">
        <f>IF(AND(Q485="✅", OR(ISNUMBER(FIND("F",I485)), I485="CR")), "P=0,Y=0,R=0", "")</f>
      </c>
      <c r="AA485" s="4" t="str"/>
      <c r="AB485" s="4" t="str"/>
      <c r="AC485" s="4" t="str"/>
      <c r="AD485" s="4" t="str"/>
      <c r="AE485" s="4" t="str"/>
      <c r="AF485" s="4"/>
      <c r="AG485" s="4" t="str"/>
      <c r="AH485" s="4" t="str"/>
      <c r="AI485" s="4" t="str"/>
      <c r="AJ485" s="4" t="str"/>
      <c r="AK485" s="4" t="str"/>
      <c r="AL485" s="4" t="str"/>
      <c r="AM485" s="4" t="str"/>
      <c r="AN485" s="4"/>
      <c r="AO485" s="4" t="str"/>
      <c r="AP485" s="4" t="str"/>
      <c r="AQ485" s="4" t="str"/>
      <c r="AR485" s="4" t="str"/>
      <c r="AS485" s="4" t="str"/>
      <c r="AT485" s="4" t="str"/>
      <c r="AU485" s="4" t="str"/>
      <c r="AV485" s="4"/>
      <c r="AW485" s="4">
        <f>IF(AND(Q485="✅", I485="U90"), "X="&amp;(U485-1)*16&amp;",Y="&amp;(V485-1)*16&amp;",Z="&amp;W485*16, "")</f>
      </c>
      <c r="AX485" s="4">
        <f>IF(AND(Q485="✅", I485="U90"), "P=90,Y=0,R=0", "")</f>
      </c>
      <c r="AY485" s="4" t="str"/>
      <c r="AZ485" s="4" t="str"/>
      <c r="BA485" s="4" t="str"/>
      <c r="BB485" s="4" t="str"/>
      <c r="BC485" s="4" t="str"/>
      <c r="BD485" s="4"/>
      <c r="BE485" s="4">
        <f>IF(AND(Q485="✅", I485="D90"), "X="&amp;(U485-1)*16&amp;",Y="&amp;(V485-1)*16&amp;",Z="&amp;(W485-2)*16, "")</f>
      </c>
      <c r="BF485" s="4">
        <f>IF(AND(Q485="✅", I485="D90"), "P=-90,Y=0,R=0", "")</f>
      </c>
      <c r="BG485" s="4" t="str"/>
      <c r="BH485" s="4" t="str"/>
      <c r="BI485" s="4" t="str"/>
      <c r="BJ485" s="4" t="str"/>
      <c r="BK485" s="4" t="str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</row>
    <row r="486">
      <c r="A486" s="11"/>
      <c r="B486" s="11"/>
      <c r="C486" s="119"/>
      <c r="D486" s="119"/>
      <c r="E486" s="5"/>
      <c r="F486" s="9">
        <f>IF(E486="", "", IF(G486="BP", E486, F485))</f>
      </c>
      <c r="G486" s="1"/>
      <c r="H486" s="1"/>
      <c r="I486" s="1"/>
      <c r="J486" s="1"/>
      <c r="K486" s="1"/>
      <c r="L486" s="1"/>
      <c r="M486" s="1"/>
      <c r="N486" s="3"/>
      <c r="O486" s="3"/>
      <c r="P486" s="3"/>
      <c r="Q486" s="3"/>
      <c r="R486" s="1" t="str"/>
      <c r="S486" s="9" t="str"/>
      <c r="T486" s="120" t="str"/>
      <c r="U486" s="118"/>
      <c r="V486" s="118"/>
      <c r="W486" s="118"/>
      <c r="X486" s="4"/>
      <c r="Y486" s="4">
        <f>IF(AND(Q486="✅", OR(ISNUMBER(FIND("F",I486)), I486="CR")),   "X="&amp;U486*16&amp;",Y="&amp;(V486-1)*16&amp;",Z="&amp;IF(I486="FD", -(W486-1)*16, (W486-1)*16),   "")</f>
      </c>
      <c r="Z486" s="4">
        <f>IF(AND(Q486="✅", OR(ISNUMBER(FIND("F",I486)), I486="CR")), "P=0,Y=0,R=0", "")</f>
      </c>
      <c r="AA486" s="4" t="str"/>
      <c r="AB486" s="4" t="str"/>
      <c r="AC486" s="4" t="str"/>
      <c r="AD486" s="4" t="str"/>
      <c r="AE486" s="4" t="str"/>
      <c r="AF486" s="4"/>
      <c r="AG486" s="4" t="str"/>
      <c r="AH486" s="4" t="str"/>
      <c r="AI486" s="4" t="str"/>
      <c r="AJ486" s="4" t="str"/>
      <c r="AK486" s="4" t="str"/>
      <c r="AL486" s="4" t="str"/>
      <c r="AM486" s="4" t="str"/>
      <c r="AN486" s="4"/>
      <c r="AO486" s="4" t="str"/>
      <c r="AP486" s="4" t="str"/>
      <c r="AQ486" s="4" t="str"/>
      <c r="AR486" s="4" t="str"/>
      <c r="AS486" s="4" t="str"/>
      <c r="AT486" s="4" t="str"/>
      <c r="AU486" s="4" t="str"/>
      <c r="AV486" s="4"/>
      <c r="AW486" s="4">
        <f>IF(AND(Q486="✅", I486="U90"), "X="&amp;(U486-1)*16&amp;",Y="&amp;(V486-1)*16&amp;",Z="&amp;W486*16, "")</f>
      </c>
      <c r="AX486" s="4">
        <f>IF(AND(Q486="✅", I486="U90"), "P=90,Y=0,R=0", "")</f>
      </c>
      <c r="AY486" s="4" t="str"/>
      <c r="AZ486" s="4" t="str"/>
      <c r="BA486" s="4" t="str"/>
      <c r="BB486" s="4" t="str"/>
      <c r="BC486" s="4" t="str"/>
      <c r="BD486" s="4"/>
      <c r="BE486" s="4">
        <f>IF(AND(Q486="✅", I486="D90"), "X="&amp;(U486-1)*16&amp;",Y="&amp;(V486-1)*16&amp;",Z="&amp;(W486-2)*16, "")</f>
      </c>
      <c r="BF486" s="4">
        <f>IF(AND(Q486="✅", I486="D90"), "P=-90,Y=0,R=0", "")</f>
      </c>
      <c r="BG486" s="4" t="str"/>
      <c r="BH486" s="4" t="str"/>
      <c r="BI486" s="4" t="str"/>
      <c r="BJ486" s="4" t="str"/>
      <c r="BK486" s="4" t="str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</row>
    <row r="487">
      <c r="A487" s="11"/>
      <c r="B487" s="11"/>
      <c r="C487" s="119"/>
      <c r="D487" s="119"/>
      <c r="E487" s="5"/>
      <c r="F487" s="9">
        <f>IF(E487="", "", IF(G487="BP", E487, F486))</f>
      </c>
      <c r="G487" s="1"/>
      <c r="H487" s="1"/>
      <c r="I487" s="1"/>
      <c r="J487" s="1"/>
      <c r="K487" s="1"/>
      <c r="L487" s="1"/>
      <c r="M487" s="1"/>
      <c r="N487" s="3"/>
      <c r="O487" s="3"/>
      <c r="P487" s="3"/>
      <c r="Q487" s="3"/>
      <c r="R487" s="1" t="str"/>
      <c r="S487" s="9" t="str"/>
      <c r="T487" s="120" t="str"/>
      <c r="U487" s="118"/>
      <c r="V487" s="118"/>
      <c r="W487" s="118"/>
      <c r="X487" s="4"/>
      <c r="Y487" s="4">
        <f>IF(AND(Q487="✅", OR(ISNUMBER(FIND("F",I487)), I487="CR")),   "X="&amp;U487*16&amp;",Y="&amp;(V487-1)*16&amp;",Z="&amp;IF(I487="FD", -(W487-1)*16, (W487-1)*16),   "")</f>
      </c>
      <c r="Z487" s="4">
        <f>IF(AND(Q487="✅", OR(ISNUMBER(FIND("F",I487)), I487="CR")), "P=0,Y=0,R=0", "")</f>
      </c>
      <c r="AA487" s="4" t="str"/>
      <c r="AB487" s="4" t="str"/>
      <c r="AC487" s="4" t="str"/>
      <c r="AD487" s="4" t="str"/>
      <c r="AE487" s="4" t="str"/>
      <c r="AF487" s="4"/>
      <c r="AG487" s="4" t="str"/>
      <c r="AH487" s="4" t="str"/>
      <c r="AI487" s="4" t="str"/>
      <c r="AJ487" s="4" t="str"/>
      <c r="AK487" s="4" t="str"/>
      <c r="AL487" s="4" t="str"/>
      <c r="AM487" s="4" t="str"/>
      <c r="AN487" s="4"/>
      <c r="AO487" s="4" t="str"/>
      <c r="AP487" s="4" t="str"/>
      <c r="AQ487" s="4" t="str"/>
      <c r="AR487" s="4" t="str"/>
      <c r="AS487" s="4" t="str"/>
      <c r="AT487" s="4" t="str"/>
      <c r="AU487" s="4" t="str"/>
      <c r="AV487" s="4"/>
      <c r="AW487" s="4">
        <f>IF(AND(Q487="✅", I487="U90"), "X="&amp;(U487-1)*16&amp;",Y="&amp;(V487-1)*16&amp;",Z="&amp;W487*16, "")</f>
      </c>
      <c r="AX487" s="4">
        <f>IF(AND(Q487="✅", I487="U90"), "P=90,Y=0,R=0", "")</f>
      </c>
      <c r="AY487" s="4" t="str"/>
      <c r="AZ487" s="4" t="str"/>
      <c r="BA487" s="4" t="str"/>
      <c r="BB487" s="4" t="str"/>
      <c r="BC487" s="4" t="str"/>
      <c r="BD487" s="4"/>
      <c r="BE487" s="4">
        <f>IF(AND(Q487="✅", I487="D90"), "X="&amp;(U487-1)*16&amp;",Y="&amp;(V487-1)*16&amp;",Z="&amp;(W487-2)*16, "")</f>
      </c>
      <c r="BF487" s="4">
        <f>IF(AND(Q487="✅", I487="D90"), "P=-90,Y=0,R=0", "")</f>
      </c>
      <c r="BG487" s="4" t="str"/>
      <c r="BH487" s="4" t="str"/>
      <c r="BI487" s="4" t="str"/>
      <c r="BJ487" s="4" t="str"/>
      <c r="BK487" s="4" t="str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</row>
    <row r="488">
      <c r="A488" s="11"/>
      <c r="B488" s="11"/>
      <c r="C488" s="119"/>
      <c r="D488" s="119"/>
      <c r="E488" s="5"/>
      <c r="F488" s="9">
        <f>IF(E488="", "", IF(G488="BP", E488, F487))</f>
      </c>
      <c r="G488" s="1"/>
      <c r="H488" s="1"/>
      <c r="I488" s="1"/>
      <c r="J488" s="1"/>
      <c r="K488" s="1"/>
      <c r="L488" s="1"/>
      <c r="M488" s="1"/>
      <c r="N488" s="3"/>
      <c r="O488" s="3"/>
      <c r="P488" s="3"/>
      <c r="Q488" s="3"/>
      <c r="R488" s="1" t="str"/>
      <c r="S488" s="9" t="str"/>
      <c r="T488" s="120" t="str"/>
      <c r="U488" s="118"/>
      <c r="V488" s="118"/>
      <c r="W488" s="118"/>
      <c r="X488" s="4"/>
      <c r="Y488" s="4">
        <f>IF(AND(Q488="✅", OR(ISNUMBER(FIND("F",I488)), I488="CR")),   "X="&amp;U488*16&amp;",Y="&amp;(V488-1)*16&amp;",Z="&amp;IF(I488="FD", -(W488-1)*16, (W488-1)*16),   "")</f>
      </c>
      <c r="Z488" s="4">
        <f>IF(AND(Q488="✅", OR(ISNUMBER(FIND("F",I488)), I488="CR")), "P=0,Y=0,R=0", "")</f>
      </c>
      <c r="AA488" s="4" t="str"/>
      <c r="AB488" s="4" t="str"/>
      <c r="AC488" s="4" t="str"/>
      <c r="AD488" s="4" t="str"/>
      <c r="AE488" s="4" t="str"/>
      <c r="AF488" s="4"/>
      <c r="AG488" s="4" t="str"/>
      <c r="AH488" s="4" t="str"/>
      <c r="AI488" s="4" t="str"/>
      <c r="AJ488" s="4" t="str"/>
      <c r="AK488" s="4" t="str"/>
      <c r="AL488" s="4" t="str"/>
      <c r="AM488" s="4" t="str"/>
      <c r="AN488" s="4"/>
      <c r="AO488" s="4" t="str"/>
      <c r="AP488" s="4" t="str"/>
      <c r="AQ488" s="4" t="str"/>
      <c r="AR488" s="4" t="str"/>
      <c r="AS488" s="4" t="str"/>
      <c r="AT488" s="4" t="str"/>
      <c r="AU488" s="4" t="str"/>
      <c r="AV488" s="4"/>
      <c r="AW488" s="4">
        <f>IF(AND(Q488="✅", I488="U90"), "X="&amp;(U488-1)*16&amp;",Y="&amp;(V488-1)*16&amp;",Z="&amp;W488*16, "")</f>
      </c>
      <c r="AX488" s="4">
        <f>IF(AND(Q488="✅", I488="U90"), "P=90,Y=0,R=0", "")</f>
      </c>
      <c r="AY488" s="4" t="str"/>
      <c r="AZ488" s="4" t="str"/>
      <c r="BA488" s="4" t="str"/>
      <c r="BB488" s="4" t="str"/>
      <c r="BC488" s="4" t="str"/>
      <c r="BD488" s="4"/>
      <c r="BE488" s="4">
        <f>IF(AND(Q488="✅", I488="D90"), "X="&amp;(U488-1)*16&amp;",Y="&amp;(V488-1)*16&amp;",Z="&amp;(W488-2)*16, "")</f>
      </c>
      <c r="BF488" s="4">
        <f>IF(AND(Q488="✅", I488="D90"), "P=-90,Y=0,R=0", "")</f>
      </c>
      <c r="BG488" s="4" t="str"/>
      <c r="BH488" s="4" t="str"/>
      <c r="BI488" s="4" t="str"/>
      <c r="BJ488" s="4" t="str"/>
      <c r="BK488" s="4" t="str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</row>
    <row r="489">
      <c r="A489" s="11"/>
      <c r="B489" s="11"/>
      <c r="C489" s="119"/>
      <c r="D489" s="119"/>
      <c r="E489" s="5"/>
      <c r="F489" s="9">
        <f>IF(E489="", "", IF(G489="BP", E489, F488))</f>
      </c>
      <c r="G489" s="1"/>
      <c r="H489" s="1"/>
      <c r="I489" s="1"/>
      <c r="J489" s="1"/>
      <c r="K489" s="1"/>
      <c r="L489" s="1"/>
      <c r="M489" s="1"/>
      <c r="N489" s="3"/>
      <c r="O489" s="3"/>
      <c r="P489" s="3"/>
      <c r="Q489" s="3"/>
      <c r="R489" s="1" t="str"/>
      <c r="S489" s="9" t="str"/>
      <c r="T489" s="120" t="str"/>
      <c r="U489" s="118"/>
      <c r="V489" s="118"/>
      <c r="W489" s="118"/>
      <c r="X489" s="4"/>
      <c r="Y489" s="4">
        <f>IF(AND(Q489="✅", OR(ISNUMBER(FIND("F",I489)), I489="CR")),   "X="&amp;U489*16&amp;",Y="&amp;(V489-1)*16&amp;",Z="&amp;IF(I489="FD", -(W489-1)*16, (W489-1)*16),   "")</f>
      </c>
      <c r="Z489" s="4">
        <f>IF(AND(Q489="✅", OR(ISNUMBER(FIND("F",I489)), I489="CR")), "P=0,Y=0,R=0", "")</f>
      </c>
      <c r="AA489" s="4" t="str"/>
      <c r="AB489" s="4" t="str"/>
      <c r="AC489" s="4" t="str"/>
      <c r="AD489" s="4" t="str"/>
      <c r="AE489" s="4" t="str"/>
      <c r="AF489" s="4"/>
      <c r="AG489" s="4" t="str"/>
      <c r="AH489" s="4" t="str"/>
      <c r="AI489" s="4" t="str"/>
      <c r="AJ489" s="4" t="str"/>
      <c r="AK489" s="4" t="str"/>
      <c r="AL489" s="4" t="str"/>
      <c r="AM489" s="4" t="str"/>
      <c r="AN489" s="4"/>
      <c r="AO489" s="4" t="str"/>
      <c r="AP489" s="4" t="str"/>
      <c r="AQ489" s="4" t="str"/>
      <c r="AR489" s="4" t="str"/>
      <c r="AS489" s="4" t="str"/>
      <c r="AT489" s="4" t="str"/>
      <c r="AU489" s="4" t="str"/>
      <c r="AV489" s="4"/>
      <c r="AW489" s="4">
        <f>IF(AND(Q489="✅", I489="U90"), "X="&amp;(U489-1)*16&amp;",Y="&amp;(V489-1)*16&amp;",Z="&amp;W489*16, "")</f>
      </c>
      <c r="AX489" s="4">
        <f>IF(AND(Q489="✅", I489="U90"), "P=90,Y=0,R=0", "")</f>
      </c>
      <c r="AY489" s="4" t="str"/>
      <c r="AZ489" s="4" t="str"/>
      <c r="BA489" s="4" t="str"/>
      <c r="BB489" s="4" t="str"/>
      <c r="BC489" s="4" t="str"/>
      <c r="BD489" s="4"/>
      <c r="BE489" s="4">
        <f>IF(AND(Q489="✅", I489="D90"), "X="&amp;(U489-1)*16&amp;",Y="&amp;(V489-1)*16&amp;",Z="&amp;(W489-2)*16, "")</f>
      </c>
      <c r="BF489" s="4">
        <f>IF(AND(Q489="✅", I489="D90"), "P=-90,Y=0,R=0", "")</f>
      </c>
      <c r="BG489" s="4" t="str"/>
      <c r="BH489" s="4" t="str"/>
      <c r="BI489" s="4" t="str"/>
      <c r="BJ489" s="4" t="str"/>
      <c r="BK489" s="4" t="str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</row>
    <row r="490">
      <c r="A490" s="11"/>
      <c r="B490" s="11"/>
      <c r="C490" s="119"/>
      <c r="D490" s="119"/>
      <c r="E490" s="5"/>
      <c r="F490" s="9">
        <f>IF(E490="", "", IF(G490="BP", E490, F489))</f>
      </c>
      <c r="G490" s="1"/>
      <c r="H490" s="1"/>
      <c r="I490" s="1"/>
      <c r="J490" s="1"/>
      <c r="K490" s="1"/>
      <c r="L490" s="1"/>
      <c r="M490" s="1"/>
      <c r="N490" s="3"/>
      <c r="O490" s="3"/>
      <c r="P490" s="3"/>
      <c r="Q490" s="3"/>
      <c r="R490" s="1" t="str"/>
      <c r="S490" s="9" t="str"/>
      <c r="T490" s="120" t="str"/>
      <c r="U490" s="118"/>
      <c r="V490" s="118"/>
      <c r="W490" s="118"/>
      <c r="X490" s="4"/>
      <c r="Y490" s="4">
        <f>IF(AND(Q490="✅", OR(ISNUMBER(FIND("F",I490)), I490="CR")),   "X="&amp;U490*16&amp;",Y="&amp;(V490-1)*16&amp;",Z="&amp;IF(I490="FD", -(W490-1)*16, (W490-1)*16),   "")</f>
      </c>
      <c r="Z490" s="4">
        <f>IF(AND(Q490="✅", OR(ISNUMBER(FIND("F",I490)), I490="CR")), "P=0,Y=0,R=0", "")</f>
      </c>
      <c r="AA490" s="4" t="str"/>
      <c r="AB490" s="4" t="str"/>
      <c r="AC490" s="4" t="str"/>
      <c r="AD490" s="4" t="str"/>
      <c r="AE490" s="4" t="str"/>
      <c r="AF490" s="4"/>
      <c r="AG490" s="4" t="str"/>
      <c r="AH490" s="4" t="str"/>
      <c r="AI490" s="4" t="str"/>
      <c r="AJ490" s="4" t="str"/>
      <c r="AK490" s="4" t="str"/>
      <c r="AL490" s="4" t="str"/>
      <c r="AM490" s="4" t="str"/>
      <c r="AN490" s="4"/>
      <c r="AO490" s="4" t="str"/>
      <c r="AP490" s="4" t="str"/>
      <c r="AQ490" s="4" t="str"/>
      <c r="AR490" s="4" t="str"/>
      <c r="AS490" s="4" t="str"/>
      <c r="AT490" s="4" t="str"/>
      <c r="AU490" s="4" t="str"/>
      <c r="AV490" s="4"/>
      <c r="AW490" s="4">
        <f>IF(AND(Q490="✅", I490="U90"), "X="&amp;(U490-1)*16&amp;",Y="&amp;(V490-1)*16&amp;",Z="&amp;W490*16, "")</f>
      </c>
      <c r="AX490" s="4">
        <f>IF(AND(Q490="✅", I490="U90"), "P=90,Y=0,R=0", "")</f>
      </c>
      <c r="AY490" s="4" t="str"/>
      <c r="AZ490" s="4" t="str"/>
      <c r="BA490" s="4" t="str"/>
      <c r="BB490" s="4" t="str"/>
      <c r="BC490" s="4" t="str"/>
      <c r="BD490" s="4"/>
      <c r="BE490" s="4">
        <f>IF(AND(Q490="✅", I490="D90"), "X="&amp;(U490-1)*16&amp;",Y="&amp;(V490-1)*16&amp;",Z="&amp;(W490-2)*16, "")</f>
      </c>
      <c r="BF490" s="4">
        <f>IF(AND(Q490="✅", I490="D90"), "P=-90,Y=0,R=0", "")</f>
      </c>
      <c r="BG490" s="4" t="str"/>
      <c r="BH490" s="4" t="str"/>
      <c r="BI490" s="4" t="str"/>
      <c r="BJ490" s="4" t="str"/>
      <c r="BK490" s="4" t="str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</row>
    <row r="491">
      <c r="A491" s="11"/>
      <c r="B491" s="11"/>
      <c r="C491" s="119"/>
      <c r="D491" s="119"/>
      <c r="E491" s="5"/>
      <c r="F491" s="9">
        <f>IF(E491="", "", IF(G491="BP", E491, F490))</f>
      </c>
      <c r="G491" s="1"/>
      <c r="H491" s="1"/>
      <c r="I491" s="1"/>
      <c r="J491" s="1"/>
      <c r="K491" s="1"/>
      <c r="L491" s="1"/>
      <c r="M491" s="1"/>
      <c r="N491" s="3"/>
      <c r="O491" s="3"/>
      <c r="P491" s="3"/>
      <c r="Q491" s="3"/>
      <c r="R491" s="1" t="str"/>
      <c r="S491" s="9" t="str"/>
      <c r="T491" s="120" t="str"/>
      <c r="U491" s="118"/>
      <c r="V491" s="118"/>
      <c r="W491" s="118"/>
      <c r="X491" s="4"/>
      <c r="Y491" s="4">
        <f>IF(AND(Q491="✅", OR(ISNUMBER(FIND("F",I491)), I491="CR")),   "X="&amp;U491*16&amp;",Y="&amp;(V491-1)*16&amp;",Z="&amp;IF(I491="FD", -(W491-1)*16, (W491-1)*16),   "")</f>
      </c>
      <c r="Z491" s="4">
        <f>IF(AND(Q491="✅", OR(ISNUMBER(FIND("F",I491)), I491="CR")), "P=0,Y=0,R=0", "")</f>
      </c>
      <c r="AA491" s="4" t="str"/>
      <c r="AB491" s="4" t="str"/>
      <c r="AC491" s="4" t="str"/>
      <c r="AD491" s="4" t="str"/>
      <c r="AE491" s="4" t="str"/>
      <c r="AF491" s="4"/>
      <c r="AG491" s="4" t="str"/>
      <c r="AH491" s="4" t="str"/>
      <c r="AI491" s="4" t="str"/>
      <c r="AJ491" s="4" t="str"/>
      <c r="AK491" s="4" t="str"/>
      <c r="AL491" s="4" t="str"/>
      <c r="AM491" s="4" t="str"/>
      <c r="AN491" s="4"/>
      <c r="AO491" s="4" t="str"/>
      <c r="AP491" s="4" t="str"/>
      <c r="AQ491" s="4" t="str"/>
      <c r="AR491" s="4" t="str"/>
      <c r="AS491" s="4" t="str"/>
      <c r="AT491" s="4" t="str"/>
      <c r="AU491" s="4" t="str"/>
      <c r="AV491" s="4"/>
      <c r="AW491" s="4">
        <f>IF(AND(Q491="✅", I491="U90"), "X="&amp;(U491-1)*16&amp;",Y="&amp;(V491-1)*16&amp;",Z="&amp;W491*16, "")</f>
      </c>
      <c r="AX491" s="4">
        <f>IF(AND(Q491="✅", I491="U90"), "P=90,Y=0,R=0", "")</f>
      </c>
      <c r="AY491" s="4" t="str"/>
      <c r="AZ491" s="4" t="str"/>
      <c r="BA491" s="4" t="str"/>
      <c r="BB491" s="4" t="str"/>
      <c r="BC491" s="4" t="str"/>
      <c r="BD491" s="4"/>
      <c r="BE491" s="4">
        <f>IF(AND(Q491="✅", I491="D90"), "X="&amp;(U491-1)*16&amp;",Y="&amp;(V491-1)*16&amp;",Z="&amp;(W491-2)*16, "")</f>
      </c>
      <c r="BF491" s="4">
        <f>IF(AND(Q491="✅", I491="D90"), "P=-90,Y=0,R=0", "")</f>
      </c>
      <c r="BG491" s="4" t="str"/>
      <c r="BH491" s="4" t="str"/>
      <c r="BI491" s="4" t="str"/>
      <c r="BJ491" s="4" t="str"/>
      <c r="BK491" s="4" t="str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</row>
    <row r="492">
      <c r="A492" s="11"/>
      <c r="B492" s="11"/>
      <c r="C492" s="119"/>
      <c r="D492" s="119"/>
      <c r="E492" s="5"/>
      <c r="F492" s="9">
        <f>IF(E492="", "", IF(G492="BP", E492, F491))</f>
      </c>
      <c r="G492" s="1"/>
      <c r="H492" s="1"/>
      <c r="I492" s="1"/>
      <c r="J492" s="1"/>
      <c r="K492" s="1"/>
      <c r="L492" s="1"/>
      <c r="M492" s="1"/>
      <c r="N492" s="3"/>
      <c r="O492" s="3"/>
      <c r="P492" s="3"/>
      <c r="Q492" s="3"/>
      <c r="R492" s="1" t="str"/>
      <c r="S492" s="9" t="str"/>
      <c r="T492" s="120" t="str"/>
      <c r="U492" s="118"/>
      <c r="V492" s="118"/>
      <c r="W492" s="118"/>
      <c r="X492" s="4"/>
      <c r="Y492" s="4">
        <f>IF(AND(Q492="✅", OR(ISNUMBER(FIND("F",I492)), I492="CR")),   "X="&amp;U492*16&amp;",Y="&amp;(V492-1)*16&amp;",Z="&amp;IF(I492="FD", -(W492-1)*16, (W492-1)*16),   "")</f>
      </c>
      <c r="Z492" s="4">
        <f>IF(AND(Q492="✅", OR(ISNUMBER(FIND("F",I492)), I492="CR")), "P=0,Y=0,R=0", "")</f>
      </c>
      <c r="AA492" s="4" t="str"/>
      <c r="AB492" s="4" t="str"/>
      <c r="AC492" s="4" t="str"/>
      <c r="AD492" s="4" t="str"/>
      <c r="AE492" s="4" t="str"/>
      <c r="AF492" s="4"/>
      <c r="AG492" s="4" t="str"/>
      <c r="AH492" s="4" t="str"/>
      <c r="AI492" s="4" t="str"/>
      <c r="AJ492" s="4" t="str"/>
      <c r="AK492" s="4" t="str"/>
      <c r="AL492" s="4" t="str"/>
      <c r="AM492" s="4" t="str"/>
      <c r="AN492" s="4"/>
      <c r="AO492" s="4" t="str"/>
      <c r="AP492" s="4" t="str"/>
      <c r="AQ492" s="4" t="str"/>
      <c r="AR492" s="4" t="str"/>
      <c r="AS492" s="4" t="str"/>
      <c r="AT492" s="4" t="str"/>
      <c r="AU492" s="4" t="str"/>
      <c r="AV492" s="4"/>
      <c r="AW492" s="4">
        <f>IF(AND(Q492="✅", I492="U90"), "X="&amp;(U492-1)*16&amp;",Y="&amp;(V492-1)*16&amp;",Z="&amp;W492*16, "")</f>
      </c>
      <c r="AX492" s="4">
        <f>IF(AND(Q492="✅", I492="U90"), "P=90,Y=0,R=0", "")</f>
      </c>
      <c r="AY492" s="4" t="str"/>
      <c r="AZ492" s="4" t="str"/>
      <c r="BA492" s="4" t="str"/>
      <c r="BB492" s="4" t="str"/>
      <c r="BC492" s="4" t="str"/>
      <c r="BD492" s="4"/>
      <c r="BE492" s="4">
        <f>IF(AND(Q492="✅", I492="D90"), "X="&amp;(U492-1)*16&amp;",Y="&amp;(V492-1)*16&amp;",Z="&amp;(W492-2)*16, "")</f>
      </c>
      <c r="BF492" s="4">
        <f>IF(AND(Q492="✅", I492="D90"), "P=-90,Y=0,R=0", "")</f>
      </c>
      <c r="BG492" s="4" t="str"/>
      <c r="BH492" s="4" t="str"/>
      <c r="BI492" s="4" t="str"/>
      <c r="BJ492" s="4" t="str"/>
      <c r="BK492" s="4" t="str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</row>
    <row r="493">
      <c r="A493" s="11"/>
      <c r="B493" s="11"/>
      <c r="C493" s="119"/>
      <c r="D493" s="119"/>
      <c r="E493" s="5"/>
      <c r="F493" s="9">
        <f>IF(E493="", "", IF(G493="BP", E493, F492))</f>
      </c>
      <c r="G493" s="1"/>
      <c r="H493" s="1"/>
      <c r="I493" s="1"/>
      <c r="J493" s="1"/>
      <c r="K493" s="1"/>
      <c r="L493" s="1"/>
      <c r="M493" s="1"/>
      <c r="N493" s="3"/>
      <c r="O493" s="3"/>
      <c r="P493" s="3"/>
      <c r="Q493" s="3"/>
      <c r="R493" s="1" t="str"/>
      <c r="S493" s="9" t="str"/>
      <c r="T493" s="120" t="str"/>
      <c r="U493" s="118"/>
      <c r="V493" s="118"/>
      <c r="W493" s="118"/>
      <c r="X493" s="4"/>
      <c r="Y493" s="4">
        <f>IF(AND(Q493="✅", OR(ISNUMBER(FIND("F",I493)), I493="CR")),   "X="&amp;U493*16&amp;",Y="&amp;(V493-1)*16&amp;",Z="&amp;IF(I493="FD", -(W493-1)*16, (W493-1)*16),   "")</f>
      </c>
      <c r="Z493" s="4">
        <f>IF(AND(Q493="✅", OR(ISNUMBER(FIND("F",I493)), I493="CR")), "P=0,Y=0,R=0", "")</f>
      </c>
      <c r="AA493" s="4" t="str"/>
      <c r="AB493" s="4" t="str"/>
      <c r="AC493" s="4" t="str"/>
      <c r="AD493" s="4" t="str"/>
      <c r="AE493" s="4" t="str"/>
      <c r="AF493" s="4"/>
      <c r="AG493" s="4" t="str"/>
      <c r="AH493" s="4" t="str"/>
      <c r="AI493" s="4" t="str"/>
      <c r="AJ493" s="4" t="str"/>
      <c r="AK493" s="4" t="str"/>
      <c r="AL493" s="4" t="str"/>
      <c r="AM493" s="4" t="str"/>
      <c r="AN493" s="4"/>
      <c r="AO493" s="4" t="str"/>
      <c r="AP493" s="4" t="str"/>
      <c r="AQ493" s="4" t="str"/>
      <c r="AR493" s="4" t="str"/>
      <c r="AS493" s="4" t="str"/>
      <c r="AT493" s="4" t="str"/>
      <c r="AU493" s="4" t="str"/>
      <c r="AV493" s="4"/>
      <c r="AW493" s="4">
        <f>IF(AND(Q493="✅", I493="U90"), "X="&amp;(U493-1)*16&amp;",Y="&amp;(V493-1)*16&amp;",Z="&amp;W493*16, "")</f>
      </c>
      <c r="AX493" s="4">
        <f>IF(AND(Q493="✅", I493="U90"), "P=90,Y=0,R=0", "")</f>
      </c>
      <c r="AY493" s="4" t="str"/>
      <c r="AZ493" s="4" t="str"/>
      <c r="BA493" s="4" t="str"/>
      <c r="BB493" s="4" t="str"/>
      <c r="BC493" s="4" t="str"/>
      <c r="BD493" s="4"/>
      <c r="BE493" s="4">
        <f>IF(AND(Q493="✅", I493="D90"), "X="&amp;(U493-1)*16&amp;",Y="&amp;(V493-1)*16&amp;",Z="&amp;(W493-2)*16, "")</f>
      </c>
      <c r="BF493" s="4">
        <f>IF(AND(Q493="✅", I493="D90"), "P=-90,Y=0,R=0", "")</f>
      </c>
      <c r="BG493" s="4" t="str"/>
      <c r="BH493" s="4" t="str"/>
      <c r="BI493" s="4" t="str"/>
      <c r="BJ493" s="4" t="str"/>
      <c r="BK493" s="4" t="str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</row>
    <row r="494">
      <c r="A494" s="11"/>
      <c r="B494" s="11"/>
      <c r="C494" s="119"/>
      <c r="D494" s="119"/>
      <c r="E494" s="5"/>
      <c r="F494" s="9">
        <f>IF(E494="", "", IF(G494="BP", E494, F493))</f>
      </c>
      <c r="G494" s="1"/>
      <c r="H494" s="1"/>
      <c r="I494" s="1"/>
      <c r="J494" s="1"/>
      <c r="K494" s="1"/>
      <c r="L494" s="1"/>
      <c r="M494" s="1"/>
      <c r="N494" s="3"/>
      <c r="O494" s="3"/>
      <c r="P494" s="3"/>
      <c r="Q494" s="3"/>
      <c r="R494" s="1" t="str"/>
      <c r="S494" s="9" t="str"/>
      <c r="T494" s="120" t="str"/>
      <c r="U494" s="118"/>
      <c r="V494" s="118"/>
      <c r="W494" s="118"/>
      <c r="X494" s="4"/>
      <c r="Y494" s="4">
        <f>IF(AND(Q494="✅", OR(ISNUMBER(FIND("F",I494)), I494="CR")),   "X="&amp;U494*16&amp;",Y="&amp;(V494-1)*16&amp;",Z="&amp;IF(I494="FD", -(W494-1)*16, (W494-1)*16),   "")</f>
      </c>
      <c r="Z494" s="4">
        <f>IF(AND(Q494="✅", OR(ISNUMBER(FIND("F",I494)), I494="CR")), "P=0,Y=0,R=0", "")</f>
      </c>
      <c r="AA494" s="4" t="str"/>
      <c r="AB494" s="4" t="str"/>
      <c r="AC494" s="4" t="str"/>
      <c r="AD494" s="4" t="str"/>
      <c r="AE494" s="4" t="str"/>
      <c r="AF494" s="4"/>
      <c r="AG494" s="4" t="str"/>
      <c r="AH494" s="4" t="str"/>
      <c r="AI494" s="4" t="str"/>
      <c r="AJ494" s="4" t="str"/>
      <c r="AK494" s="4" t="str"/>
      <c r="AL494" s="4" t="str"/>
      <c r="AM494" s="4" t="str"/>
      <c r="AN494" s="4"/>
      <c r="AO494" s="4" t="str"/>
      <c r="AP494" s="4" t="str"/>
      <c r="AQ494" s="4" t="str"/>
      <c r="AR494" s="4" t="str"/>
      <c r="AS494" s="4" t="str"/>
      <c r="AT494" s="4" t="str"/>
      <c r="AU494" s="4" t="str"/>
      <c r="AV494" s="4"/>
      <c r="AW494" s="4">
        <f>IF(AND(Q494="✅", I494="U90"), "X="&amp;(U494-1)*16&amp;",Y="&amp;(V494-1)*16&amp;",Z="&amp;W494*16, "")</f>
      </c>
      <c r="AX494" s="4">
        <f>IF(AND(Q494="✅", I494="U90"), "P=90,Y=0,R=0", "")</f>
      </c>
      <c r="AY494" s="4" t="str"/>
      <c r="AZ494" s="4" t="str"/>
      <c r="BA494" s="4" t="str"/>
      <c r="BB494" s="4" t="str"/>
      <c r="BC494" s="4" t="str"/>
      <c r="BD494" s="4"/>
      <c r="BE494" s="4">
        <f>IF(AND(Q494="✅", I494="D90"), "X="&amp;(U494-1)*16&amp;",Y="&amp;(V494-1)*16&amp;",Z="&amp;(W494-2)*16, "")</f>
      </c>
      <c r="BF494" s="4">
        <f>IF(AND(Q494="✅", I494="D90"), "P=-90,Y=0,R=0", "")</f>
      </c>
      <c r="BG494" s="4" t="str"/>
      <c r="BH494" s="4" t="str"/>
      <c r="BI494" s="4" t="str"/>
      <c r="BJ494" s="4" t="str"/>
      <c r="BK494" s="4" t="str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</row>
    <row r="495">
      <c r="A495" s="11"/>
      <c r="B495" s="11"/>
      <c r="C495" s="119"/>
      <c r="D495" s="119"/>
      <c r="E495" s="5"/>
      <c r="F495" s="9">
        <f>IF(E495="", "", IF(G495="BP", E495, F494))</f>
      </c>
      <c r="G495" s="1"/>
      <c r="H495" s="1"/>
      <c r="I495" s="1"/>
      <c r="J495" s="1"/>
      <c r="K495" s="1"/>
      <c r="L495" s="1"/>
      <c r="M495" s="1"/>
      <c r="N495" s="3"/>
      <c r="O495" s="3"/>
      <c r="P495" s="3"/>
      <c r="Q495" s="3"/>
      <c r="R495" s="1" t="str"/>
      <c r="S495" s="9" t="str"/>
      <c r="T495" s="120" t="str"/>
      <c r="U495" s="118"/>
      <c r="V495" s="118"/>
      <c r="W495" s="118"/>
      <c r="X495" s="4"/>
      <c r="Y495" s="4">
        <f>IF(AND(Q495="✅", OR(ISNUMBER(FIND("F",I495)), I495="CR")),   "X="&amp;U495*16&amp;",Y="&amp;(V495-1)*16&amp;",Z="&amp;IF(I495="FD", -(W495-1)*16, (W495-1)*16),   "")</f>
      </c>
      <c r="Z495" s="4">
        <f>IF(AND(Q495="✅", OR(ISNUMBER(FIND("F",I495)), I495="CR")), "P=0,Y=0,R=0", "")</f>
      </c>
      <c r="AA495" s="4" t="str"/>
      <c r="AB495" s="4" t="str"/>
      <c r="AC495" s="4" t="str"/>
      <c r="AD495" s="4" t="str"/>
      <c r="AE495" s="4" t="str"/>
      <c r="AF495" s="4"/>
      <c r="AG495" s="4" t="str"/>
      <c r="AH495" s="4" t="str"/>
      <c r="AI495" s="4" t="str"/>
      <c r="AJ495" s="4" t="str"/>
      <c r="AK495" s="4" t="str"/>
      <c r="AL495" s="4" t="str"/>
      <c r="AM495" s="4" t="str"/>
      <c r="AN495" s="4"/>
      <c r="AO495" s="4" t="str"/>
      <c r="AP495" s="4" t="str"/>
      <c r="AQ495" s="4" t="str"/>
      <c r="AR495" s="4" t="str"/>
      <c r="AS495" s="4" t="str"/>
      <c r="AT495" s="4" t="str"/>
      <c r="AU495" s="4" t="str"/>
      <c r="AV495" s="4"/>
      <c r="AW495" s="4">
        <f>IF(AND(Q495="✅", I495="U90"), "X="&amp;(U495-1)*16&amp;",Y="&amp;(V495-1)*16&amp;",Z="&amp;W495*16, "")</f>
      </c>
      <c r="AX495" s="4">
        <f>IF(AND(Q495="✅", I495="U90"), "P=90,Y=0,R=0", "")</f>
      </c>
      <c r="AY495" s="4" t="str"/>
      <c r="AZ495" s="4" t="str"/>
      <c r="BA495" s="4" t="str"/>
      <c r="BB495" s="4" t="str"/>
      <c r="BC495" s="4" t="str"/>
      <c r="BD495" s="4"/>
      <c r="BE495" s="4">
        <f>IF(AND(Q495="✅", I495="D90"), "X="&amp;(U495-1)*16&amp;",Y="&amp;(V495-1)*16&amp;",Z="&amp;(W495-2)*16, "")</f>
      </c>
      <c r="BF495" s="4">
        <f>IF(AND(Q495="✅", I495="D90"), "P=-90,Y=0,R=0", "")</f>
      </c>
      <c r="BG495" s="4" t="str"/>
      <c r="BH495" s="4" t="str"/>
      <c r="BI495" s="4" t="str"/>
      <c r="BJ495" s="4" t="str"/>
      <c r="BK495" s="4" t="str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</row>
    <row r="496">
      <c r="A496" s="11"/>
      <c r="B496" s="11"/>
      <c r="C496" s="119"/>
      <c r="D496" s="119"/>
      <c r="E496" s="5"/>
      <c r="F496" s="9">
        <f>IF(E496="", "", IF(G496="BP", E496, F495))</f>
      </c>
      <c r="G496" s="1"/>
      <c r="H496" s="1"/>
      <c r="I496" s="1"/>
      <c r="J496" s="1"/>
      <c r="K496" s="1"/>
      <c r="L496" s="1"/>
      <c r="M496" s="1"/>
      <c r="N496" s="3"/>
      <c r="O496" s="3"/>
      <c r="P496" s="3"/>
      <c r="Q496" s="3"/>
      <c r="R496" s="1" t="str"/>
      <c r="S496" s="9" t="str"/>
      <c r="T496" s="120" t="str"/>
      <c r="U496" s="118"/>
      <c r="V496" s="118"/>
      <c r="W496" s="118"/>
      <c r="X496" s="4"/>
      <c r="Y496" s="4">
        <f>IF(AND(Q496="✅", OR(ISNUMBER(FIND("F",I496)), I496="CR")),   "X="&amp;U496*16&amp;",Y="&amp;(V496-1)*16&amp;",Z="&amp;IF(I496="FD", -(W496-1)*16, (W496-1)*16),   "")</f>
      </c>
      <c r="Z496" s="4">
        <f>IF(AND(Q496="✅", OR(ISNUMBER(FIND("F",I496)), I496="CR")), "P=0,Y=0,R=0", "")</f>
      </c>
      <c r="AA496" s="4" t="str"/>
      <c r="AB496" s="4" t="str"/>
      <c r="AC496" s="4" t="str"/>
      <c r="AD496" s="4" t="str"/>
      <c r="AE496" s="4" t="str"/>
      <c r="AF496" s="4"/>
      <c r="AG496" s="4" t="str"/>
      <c r="AH496" s="4" t="str"/>
      <c r="AI496" s="4" t="str"/>
      <c r="AJ496" s="4" t="str"/>
      <c r="AK496" s="4" t="str"/>
      <c r="AL496" s="4" t="str"/>
      <c r="AM496" s="4" t="str"/>
      <c r="AN496" s="4"/>
      <c r="AO496" s="4" t="str"/>
      <c r="AP496" s="4" t="str"/>
      <c r="AQ496" s="4" t="str"/>
      <c r="AR496" s="4" t="str"/>
      <c r="AS496" s="4" t="str"/>
      <c r="AT496" s="4" t="str"/>
      <c r="AU496" s="4" t="str"/>
      <c r="AV496" s="4"/>
      <c r="AW496" s="4">
        <f>IF(AND(Q496="✅", I496="U90"), "X="&amp;(U496-1)*16&amp;",Y="&amp;(V496-1)*16&amp;",Z="&amp;W496*16, "")</f>
      </c>
      <c r="AX496" s="4">
        <f>IF(AND(Q496="✅", I496="U90"), "P=90,Y=0,R=0", "")</f>
      </c>
      <c r="AY496" s="4" t="str"/>
      <c r="AZ496" s="4" t="str"/>
      <c r="BA496" s="4" t="str"/>
      <c r="BB496" s="4" t="str"/>
      <c r="BC496" s="4" t="str"/>
      <c r="BD496" s="4"/>
      <c r="BE496" s="4">
        <f>IF(AND(Q496="✅", I496="D90"), "X="&amp;(U496-1)*16&amp;",Y="&amp;(V496-1)*16&amp;",Z="&amp;(W496-2)*16, "")</f>
      </c>
      <c r="BF496" s="4">
        <f>IF(AND(Q496="✅", I496="D90"), "P=-90,Y=0,R=0", "")</f>
      </c>
      <c r="BG496" s="4" t="str"/>
      <c r="BH496" s="4" t="str"/>
      <c r="BI496" s="4" t="str"/>
      <c r="BJ496" s="4" t="str"/>
      <c r="BK496" s="4" t="str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</row>
    <row r="497">
      <c r="A497" s="11"/>
      <c r="B497" s="11"/>
      <c r="C497" s="119"/>
      <c r="D497" s="119"/>
      <c r="E497" s="5"/>
      <c r="F497" s="9">
        <f>IF(E497="", "", IF(G497="BP", E497, F496))</f>
      </c>
      <c r="G497" s="1"/>
      <c r="H497" s="1"/>
      <c r="I497" s="1"/>
      <c r="J497" s="1"/>
      <c r="K497" s="1"/>
      <c r="L497" s="1"/>
      <c r="M497" s="1"/>
      <c r="N497" s="3"/>
      <c r="O497" s="3"/>
      <c r="P497" s="3"/>
      <c r="Q497" s="3"/>
      <c r="R497" s="1" t="str"/>
      <c r="S497" s="9" t="str"/>
      <c r="T497" s="120" t="str"/>
      <c r="U497" s="118"/>
      <c r="V497" s="118"/>
      <c r="W497" s="118"/>
      <c r="X497" s="4"/>
      <c r="Y497" s="4">
        <f>IF(AND(Q497="✅", OR(ISNUMBER(FIND("F",I497)), I497="CR")),   "X="&amp;U497*16&amp;",Y="&amp;(V497-1)*16&amp;",Z="&amp;IF(I497="FD", -(W497-1)*16, (W497-1)*16),   "")</f>
      </c>
      <c r="Z497" s="4">
        <f>IF(AND(Q497="✅", OR(ISNUMBER(FIND("F",I497)), I497="CR")), "P=0,Y=0,R=0", "")</f>
      </c>
      <c r="AA497" s="4" t="str"/>
      <c r="AB497" s="4" t="str"/>
      <c r="AC497" s="4" t="str"/>
      <c r="AD497" s="4" t="str"/>
      <c r="AE497" s="4" t="str"/>
      <c r="AF497" s="4"/>
      <c r="AG497" s="4" t="str"/>
      <c r="AH497" s="4" t="str"/>
      <c r="AI497" s="4" t="str"/>
      <c r="AJ497" s="4" t="str"/>
      <c r="AK497" s="4" t="str"/>
      <c r="AL497" s="4" t="str"/>
      <c r="AM497" s="4" t="str"/>
      <c r="AN497" s="4"/>
      <c r="AO497" s="4" t="str"/>
      <c r="AP497" s="4" t="str"/>
      <c r="AQ497" s="4" t="str"/>
      <c r="AR497" s="4" t="str"/>
      <c r="AS497" s="4" t="str"/>
      <c r="AT497" s="4" t="str"/>
      <c r="AU497" s="4" t="str"/>
      <c r="AV497" s="4"/>
      <c r="AW497" s="4">
        <f>IF(AND(Q497="✅", I497="U90"), "X="&amp;(U497-1)*16&amp;",Y="&amp;(V497-1)*16&amp;",Z="&amp;W497*16, "")</f>
      </c>
      <c r="AX497" s="4">
        <f>IF(AND(Q497="✅", I497="U90"), "P=90,Y=0,R=0", "")</f>
      </c>
      <c r="AY497" s="4" t="str"/>
      <c r="AZ497" s="4" t="str"/>
      <c r="BA497" s="4" t="str"/>
      <c r="BB497" s="4" t="str"/>
      <c r="BC497" s="4" t="str"/>
      <c r="BD497" s="4"/>
      <c r="BE497" s="4">
        <f>IF(AND(Q497="✅", I497="D90"), "X="&amp;(U497-1)*16&amp;",Y="&amp;(V497-1)*16&amp;",Z="&amp;(W497-2)*16, "")</f>
      </c>
      <c r="BF497" s="4">
        <f>IF(AND(Q497="✅", I497="D90"), "P=-90,Y=0,R=0", "")</f>
      </c>
      <c r="BG497" s="4" t="str"/>
      <c r="BH497" s="4" t="str"/>
      <c r="BI497" s="4" t="str"/>
      <c r="BJ497" s="4" t="str"/>
      <c r="BK497" s="4" t="str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</row>
    <row r="498">
      <c r="A498" s="11"/>
      <c r="B498" s="11"/>
      <c r="C498" s="119"/>
      <c r="D498" s="119"/>
      <c r="E498" s="5"/>
      <c r="F498" s="9">
        <f>IF(E498="", "", IF(G498="BP", E498, F497))</f>
      </c>
      <c r="G498" s="1"/>
      <c r="H498" s="1"/>
      <c r="I498" s="1"/>
      <c r="J498" s="1"/>
      <c r="K498" s="1"/>
      <c r="L498" s="1"/>
      <c r="M498" s="1"/>
      <c r="N498" s="3"/>
      <c r="O498" s="3"/>
      <c r="P498" s="3"/>
      <c r="Q498" s="3"/>
      <c r="R498" s="1" t="str"/>
      <c r="S498" s="9" t="str"/>
      <c r="T498" s="120" t="str"/>
      <c r="U498" s="118"/>
      <c r="V498" s="118"/>
      <c r="W498" s="118"/>
      <c r="X498" s="4"/>
      <c r="Y498" s="4">
        <f>IF(AND(Q498="✅", OR(ISNUMBER(FIND("F",I498)), I498="CR")),   "X="&amp;U498*16&amp;",Y="&amp;(V498-1)*16&amp;",Z="&amp;IF(I498="FD", -(W498-1)*16, (W498-1)*16),   "")</f>
      </c>
      <c r="Z498" s="4">
        <f>IF(AND(Q498="✅", OR(ISNUMBER(FIND("F",I498)), I498="CR")), "P=0,Y=0,R=0", "")</f>
      </c>
      <c r="AA498" s="4" t="str"/>
      <c r="AB498" s="4" t="str"/>
      <c r="AC498" s="4" t="str"/>
      <c r="AD498" s="4" t="str"/>
      <c r="AE498" s="4" t="str"/>
      <c r="AF498" s="4"/>
      <c r="AG498" s="4" t="str"/>
      <c r="AH498" s="4" t="str"/>
      <c r="AI498" s="4" t="str"/>
      <c r="AJ498" s="4" t="str"/>
      <c r="AK498" s="4" t="str"/>
      <c r="AL498" s="4" t="str"/>
      <c r="AM498" s="4" t="str"/>
      <c r="AN498" s="4"/>
      <c r="AO498" s="4" t="str"/>
      <c r="AP498" s="4" t="str"/>
      <c r="AQ498" s="4" t="str"/>
      <c r="AR498" s="4" t="str"/>
      <c r="AS498" s="4" t="str"/>
      <c r="AT498" s="4" t="str"/>
      <c r="AU498" s="4" t="str"/>
      <c r="AV498" s="4"/>
      <c r="AW498" s="4">
        <f>IF(AND(Q498="✅", I498="U90"), "X="&amp;(U498-1)*16&amp;",Y="&amp;(V498-1)*16&amp;",Z="&amp;W498*16, "")</f>
      </c>
      <c r="AX498" s="4">
        <f>IF(AND(Q498="✅", I498="U90"), "P=90,Y=0,R=0", "")</f>
      </c>
      <c r="AY498" s="4" t="str"/>
      <c r="AZ498" s="4" t="str"/>
      <c r="BA498" s="4" t="str"/>
      <c r="BB498" s="4" t="str"/>
      <c r="BC498" s="4" t="str"/>
      <c r="BD498" s="4"/>
      <c r="BE498" s="4">
        <f>IF(AND(Q498="✅", I498="D90"), "X="&amp;(U498-1)*16&amp;",Y="&amp;(V498-1)*16&amp;",Z="&amp;(W498-2)*16, "")</f>
      </c>
      <c r="BF498" s="4">
        <f>IF(AND(Q498="✅", I498="D90"), "P=-90,Y=0,R=0", "")</f>
      </c>
      <c r="BG498" s="4" t="str"/>
      <c r="BH498" s="4" t="str"/>
      <c r="BI498" s="4" t="str"/>
      <c r="BJ498" s="4" t="str"/>
      <c r="BK498" s="4" t="str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</row>
    <row r="499">
      <c r="A499" s="11"/>
      <c r="B499" s="11"/>
      <c r="C499" s="119"/>
      <c r="D499" s="119"/>
      <c r="E499" s="5"/>
      <c r="F499" s="9">
        <f>IF(E499="", "", IF(G499="BP", E499, F498))</f>
      </c>
      <c r="G499" s="1"/>
      <c r="H499" s="1"/>
      <c r="I499" s="1"/>
      <c r="J499" s="1"/>
      <c r="K499" s="1"/>
      <c r="L499" s="1"/>
      <c r="M499" s="1"/>
      <c r="N499" s="3"/>
      <c r="O499" s="3"/>
      <c r="P499" s="3"/>
      <c r="Q499" s="3"/>
      <c r="R499" s="1" t="str"/>
      <c r="S499" s="9" t="str"/>
      <c r="T499" s="120" t="str"/>
      <c r="U499" s="118"/>
      <c r="V499" s="118"/>
      <c r="W499" s="118"/>
      <c r="X499" s="4"/>
      <c r="Y499" s="4">
        <f>IF(AND(Q499="✅", OR(ISNUMBER(FIND("F",I499)), I499="CR")),   "X="&amp;U499*16&amp;",Y="&amp;(V499-1)*16&amp;",Z="&amp;IF(I499="FD", -(W499-1)*16, (W499-1)*16),   "")</f>
      </c>
      <c r="Z499" s="4">
        <f>IF(AND(Q499="✅", OR(ISNUMBER(FIND("F",I499)), I499="CR")), "P=0,Y=0,R=0", "")</f>
      </c>
      <c r="AA499" s="4" t="str"/>
      <c r="AB499" s="4" t="str"/>
      <c r="AC499" s="4" t="str"/>
      <c r="AD499" s="4" t="str"/>
      <c r="AE499" s="4" t="str"/>
      <c r="AF499" s="4"/>
      <c r="AG499" s="4" t="str"/>
      <c r="AH499" s="4" t="str"/>
      <c r="AI499" s="4" t="str"/>
      <c r="AJ499" s="4" t="str"/>
      <c r="AK499" s="4" t="str"/>
      <c r="AL499" s="4" t="str"/>
      <c r="AM499" s="4" t="str"/>
      <c r="AN499" s="4"/>
      <c r="AO499" s="4" t="str"/>
      <c r="AP499" s="4" t="str"/>
      <c r="AQ499" s="4" t="str"/>
      <c r="AR499" s="4" t="str"/>
      <c r="AS499" s="4" t="str"/>
      <c r="AT499" s="4" t="str"/>
      <c r="AU499" s="4" t="str"/>
      <c r="AV499" s="4"/>
      <c r="AW499" s="4">
        <f>IF(AND(Q499="✅", I499="U90"), "X="&amp;(U499-1)*16&amp;",Y="&amp;(V499-1)*16&amp;",Z="&amp;W499*16, "")</f>
      </c>
      <c r="AX499" s="4">
        <f>IF(AND(Q499="✅", I499="U90"), "P=90,Y=0,R=0", "")</f>
      </c>
      <c r="AY499" s="4" t="str"/>
      <c r="AZ499" s="4" t="str"/>
      <c r="BA499" s="4" t="str"/>
      <c r="BB499" s="4" t="str"/>
      <c r="BC499" s="4" t="str"/>
      <c r="BD499" s="4"/>
      <c r="BE499" s="4">
        <f>IF(AND(Q499="✅", I499="D90"), "X="&amp;(U499-1)*16&amp;",Y="&amp;(V499-1)*16&amp;",Z="&amp;(W499-2)*16, "")</f>
      </c>
      <c r="BF499" s="4">
        <f>IF(AND(Q499="✅", I499="D90"), "P=-90,Y=0,R=0", "")</f>
      </c>
      <c r="BG499" s="4" t="str"/>
      <c r="BH499" s="4" t="str"/>
      <c r="BI499" s="4" t="str"/>
      <c r="BJ499" s="4" t="str"/>
      <c r="BK499" s="4" t="str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</row>
    <row r="500">
      <c r="A500" s="11"/>
      <c r="B500" s="11"/>
      <c r="C500" s="119"/>
      <c r="D500" s="119"/>
      <c r="E500" s="5"/>
      <c r="F500" s="9">
        <f>IF(E500="", "", IF(G500="BP", E500, F499))</f>
      </c>
      <c r="G500" s="1"/>
      <c r="H500" s="1"/>
      <c r="I500" s="1"/>
      <c r="J500" s="1"/>
      <c r="K500" s="1"/>
      <c r="L500" s="1"/>
      <c r="M500" s="1"/>
      <c r="N500" s="3"/>
      <c r="O500" s="3"/>
      <c r="P500" s="3"/>
      <c r="Q500" s="3"/>
      <c r="R500" s="1" t="str"/>
      <c r="S500" s="9" t="str"/>
      <c r="T500" s="120" t="str"/>
      <c r="U500" s="118"/>
      <c r="V500" s="118"/>
      <c r="W500" s="118"/>
      <c r="X500" s="4"/>
      <c r="Y500" s="4">
        <f>IF(AND(Q500="✅", OR(ISNUMBER(FIND("F",I500)), I500="CR")),   "X="&amp;U500*16&amp;",Y="&amp;(V500-1)*16&amp;",Z="&amp;IF(I500="FD", -(W500-1)*16, (W500-1)*16),   "")</f>
      </c>
      <c r="Z500" s="4">
        <f>IF(AND(Q500="✅", OR(ISNUMBER(FIND("F",I500)), I500="CR")), "P=0,Y=0,R=0", "")</f>
      </c>
      <c r="AA500" s="4" t="str"/>
      <c r="AB500" s="4" t="str"/>
      <c r="AC500" s="4" t="str"/>
      <c r="AD500" s="4" t="str"/>
      <c r="AE500" s="4" t="str"/>
      <c r="AF500" s="4"/>
      <c r="AG500" s="4" t="str"/>
      <c r="AH500" s="4" t="str"/>
      <c r="AI500" s="4" t="str"/>
      <c r="AJ500" s="4" t="str"/>
      <c r="AK500" s="4" t="str"/>
      <c r="AL500" s="4" t="str"/>
      <c r="AM500" s="4" t="str"/>
      <c r="AN500" s="4"/>
      <c r="AO500" s="4" t="str"/>
      <c r="AP500" s="4" t="str"/>
      <c r="AQ500" s="4" t="str"/>
      <c r="AR500" s="4" t="str"/>
      <c r="AS500" s="4" t="str"/>
      <c r="AT500" s="4" t="str"/>
      <c r="AU500" s="4" t="str"/>
      <c r="AV500" s="4"/>
      <c r="AW500" s="4">
        <f>IF(AND(Q500="✅", I500="U90"), "X="&amp;(U500-1)*16&amp;",Y="&amp;(V500-1)*16&amp;",Z="&amp;W500*16, "")</f>
      </c>
      <c r="AX500" s="4">
        <f>IF(AND(Q500="✅", I500="U90"), "P=90,Y=0,R=0", "")</f>
      </c>
      <c r="AY500" s="4" t="str"/>
      <c r="AZ500" s="4" t="str"/>
      <c r="BA500" s="4" t="str"/>
      <c r="BB500" s="4" t="str"/>
      <c r="BC500" s="4" t="str"/>
      <c r="BD500" s="4"/>
      <c r="BE500" s="4">
        <f>IF(AND(Q500="✅", I500="D90"), "X="&amp;(U500-1)*16&amp;",Y="&amp;(V500-1)*16&amp;",Z="&amp;(W500-2)*16, "")</f>
      </c>
      <c r="BF500" s="4">
        <f>IF(AND(Q500="✅", I500="D90"), "P=-90,Y=0,R=0", "")</f>
      </c>
      <c r="BG500" s="4" t="str"/>
      <c r="BH500" s="4" t="str"/>
      <c r="BI500" s="4" t="str"/>
      <c r="BJ500" s="4" t="str"/>
      <c r="BK500" s="4" t="str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</row>
    <row r="501">
      <c r="A501" s="11"/>
      <c r="B501" s="11"/>
      <c r="C501" s="119"/>
      <c r="D501" s="119"/>
      <c r="E501" s="5"/>
      <c r="F501" s="9">
        <f>IF(E501="", "", IF(G501="BP", E501, F500))</f>
      </c>
      <c r="G501" s="1"/>
      <c r="H501" s="1"/>
      <c r="I501" s="1"/>
      <c r="J501" s="1"/>
      <c r="K501" s="1"/>
      <c r="L501" s="1"/>
      <c r="M501" s="1"/>
      <c r="N501" s="3"/>
      <c r="O501" s="3"/>
      <c r="P501" s="3"/>
      <c r="Q501" s="3"/>
      <c r="R501" s="1" t="str"/>
      <c r="S501" s="9" t="str"/>
      <c r="T501" s="120" t="str"/>
      <c r="U501" s="118"/>
      <c r="V501" s="118"/>
      <c r="W501" s="118"/>
      <c r="X501" s="4"/>
      <c r="Y501" s="4">
        <f>IF(AND(Q501="✅", OR(ISNUMBER(FIND("F",I501)), I501="CR")),   "X="&amp;U501*16&amp;",Y="&amp;(V501-1)*16&amp;",Z="&amp;IF(I501="FD", -(W501-1)*16, (W501-1)*16),   "")</f>
      </c>
      <c r="Z501" s="4">
        <f>IF(AND(Q501="✅", OR(ISNUMBER(FIND("F",I501)), I501="CR")), "P=0,Y=0,R=0", "")</f>
      </c>
      <c r="AA501" s="4" t="str"/>
      <c r="AB501" s="4" t="str"/>
      <c r="AC501" s="4" t="str"/>
      <c r="AD501" s="4" t="str"/>
      <c r="AE501" s="4" t="str"/>
      <c r="AF501" s="4"/>
      <c r="AG501" s="4" t="str"/>
      <c r="AH501" s="4" t="str"/>
      <c r="AI501" s="4" t="str"/>
      <c r="AJ501" s="4" t="str"/>
      <c r="AK501" s="4" t="str"/>
      <c r="AL501" s="4" t="str"/>
      <c r="AM501" s="4" t="str"/>
      <c r="AN501" s="4"/>
      <c r="AO501" s="4" t="str"/>
      <c r="AP501" s="4" t="str"/>
      <c r="AQ501" s="4" t="str"/>
      <c r="AR501" s="4" t="str"/>
      <c r="AS501" s="4" t="str"/>
      <c r="AT501" s="4" t="str"/>
      <c r="AU501" s="4" t="str"/>
      <c r="AV501" s="4"/>
      <c r="AW501" s="4">
        <f>IF(AND(Q501="✅", I501="U90"), "X="&amp;(U501-1)*16&amp;",Y="&amp;(V501-1)*16&amp;",Z="&amp;W501*16, "")</f>
      </c>
      <c r="AX501" s="4">
        <f>IF(AND(Q501="✅", I501="U90"), "P=90,Y=0,R=0", "")</f>
      </c>
      <c r="AY501" s="4" t="str"/>
      <c r="AZ501" s="4" t="str"/>
      <c r="BA501" s="4" t="str"/>
      <c r="BB501" s="4" t="str"/>
      <c r="BC501" s="4" t="str"/>
      <c r="BD501" s="4"/>
      <c r="BE501" s="4">
        <f>IF(AND(Q501="✅", I501="D90"), "X="&amp;(U501-1)*16&amp;",Y="&amp;(V501-1)*16&amp;",Z="&amp;(W501-2)*16, "")</f>
      </c>
      <c r="BF501" s="4">
        <f>IF(AND(Q501="✅", I501="D90"), "P=-90,Y=0,R=0", "")</f>
      </c>
      <c r="BG501" s="4" t="str"/>
      <c r="BH501" s="4" t="str"/>
      <c r="BI501" s="4" t="str"/>
      <c r="BJ501" s="4" t="str"/>
      <c r="BK501" s="4" t="str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</row>
    <row r="502">
      <c r="A502" s="11"/>
      <c r="B502" s="11"/>
      <c r="C502" s="119"/>
      <c r="D502" s="119"/>
      <c r="E502" s="5"/>
      <c r="F502" s="9">
        <f>IF(E502="", "", IF(G502="BP", E502, F501))</f>
      </c>
      <c r="G502" s="1"/>
      <c r="H502" s="1"/>
      <c r="I502" s="1"/>
      <c r="J502" s="1"/>
      <c r="K502" s="1"/>
      <c r="L502" s="1"/>
      <c r="M502" s="1"/>
      <c r="N502" s="3"/>
      <c r="O502" s="3"/>
      <c r="P502" s="3"/>
      <c r="Q502" s="3"/>
      <c r="R502" s="1" t="str"/>
      <c r="S502" s="9" t="str"/>
      <c r="T502" s="120" t="str"/>
      <c r="U502" s="118"/>
      <c r="V502" s="118"/>
      <c r="W502" s="118"/>
      <c r="X502" s="4"/>
      <c r="Y502" s="4">
        <f>IF(AND(Q502="✅", OR(ISNUMBER(FIND("F",I502)), I502="CR")),   "X="&amp;U502*16&amp;",Y="&amp;(V502-1)*16&amp;",Z="&amp;IF(I502="FD", -(W502-1)*16, (W502-1)*16),   "")</f>
      </c>
      <c r="Z502" s="4">
        <f>IF(AND(Q502="✅", OR(ISNUMBER(FIND("F",I502)), I502="CR")), "P=0,Y=0,R=0", "")</f>
      </c>
      <c r="AA502" s="4" t="str"/>
      <c r="AB502" s="4" t="str"/>
      <c r="AC502" s="4" t="str"/>
      <c r="AD502" s="4" t="str"/>
      <c r="AE502" s="4" t="str"/>
      <c r="AF502" s="4"/>
      <c r="AG502" s="4" t="str"/>
      <c r="AH502" s="4" t="str"/>
      <c r="AI502" s="4" t="str"/>
      <c r="AJ502" s="4" t="str"/>
      <c r="AK502" s="4" t="str"/>
      <c r="AL502" s="4" t="str"/>
      <c r="AM502" s="4" t="str"/>
      <c r="AN502" s="4"/>
      <c r="AO502" s="4" t="str"/>
      <c r="AP502" s="4" t="str"/>
      <c r="AQ502" s="4" t="str"/>
      <c r="AR502" s="4" t="str"/>
      <c r="AS502" s="4" t="str"/>
      <c r="AT502" s="4" t="str"/>
      <c r="AU502" s="4" t="str"/>
      <c r="AV502" s="4"/>
      <c r="AW502" s="4">
        <f>IF(AND(Q502="✅", I502="U90"), "X="&amp;(U502-1)*16&amp;",Y="&amp;(V502-1)*16&amp;",Z="&amp;W502*16, "")</f>
      </c>
      <c r="AX502" s="4">
        <f>IF(AND(Q502="✅", I502="U90"), "P=90,Y=0,R=0", "")</f>
      </c>
      <c r="AY502" s="4" t="str"/>
      <c r="AZ502" s="4" t="str"/>
      <c r="BA502" s="4" t="str"/>
      <c r="BB502" s="4" t="str"/>
      <c r="BC502" s="4" t="str"/>
      <c r="BD502" s="4"/>
      <c r="BE502" s="4">
        <f>IF(AND(Q502="✅", I502="D90"), "X="&amp;(U502-1)*16&amp;",Y="&amp;(V502-1)*16&amp;",Z="&amp;(W502-2)*16, "")</f>
      </c>
      <c r="BF502" s="4">
        <f>IF(AND(Q502="✅", I502="D90"), "P=-90,Y=0,R=0", "")</f>
      </c>
      <c r="BG502" s="4" t="str"/>
      <c r="BH502" s="4" t="str"/>
      <c r="BI502" s="4" t="str"/>
      <c r="BJ502" s="4" t="str"/>
      <c r="BK502" s="4" t="str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</row>
    <row r="503">
      <c r="A503" s="11"/>
      <c r="B503" s="11"/>
      <c r="C503" s="119"/>
      <c r="D503" s="119"/>
      <c r="E503" s="5"/>
      <c r="F503" s="9">
        <f>IF(E503="", "", IF(G503="BP", E503, F502))</f>
      </c>
      <c r="G503" s="1"/>
      <c r="H503" s="1"/>
      <c r="I503" s="1"/>
      <c r="J503" s="1"/>
      <c r="K503" s="1"/>
      <c r="L503" s="1"/>
      <c r="M503" s="1"/>
      <c r="N503" s="3"/>
      <c r="O503" s="3"/>
      <c r="P503" s="3"/>
      <c r="Q503" s="3"/>
      <c r="R503" s="1" t="str"/>
      <c r="S503" s="9" t="str"/>
      <c r="T503" s="120" t="str"/>
      <c r="U503" s="118"/>
      <c r="V503" s="118"/>
      <c r="W503" s="118"/>
      <c r="X503" s="4"/>
      <c r="Y503" s="4">
        <f>IF(AND(Q503="✅", OR(ISNUMBER(FIND("F",I503)), I503="CR")),   "X="&amp;U503*16&amp;",Y="&amp;(V503-1)*16&amp;",Z="&amp;IF(I503="FD", -(W503-1)*16, (W503-1)*16),   "")</f>
      </c>
      <c r="Z503" s="4">
        <f>IF(AND(Q503="✅", OR(ISNUMBER(FIND("F",I503)), I503="CR")), "P=0,Y=0,R=0", "")</f>
      </c>
      <c r="AA503" s="4" t="str"/>
      <c r="AB503" s="4" t="str"/>
      <c r="AC503" s="4" t="str"/>
      <c r="AD503" s="4" t="str"/>
      <c r="AE503" s="4" t="str"/>
      <c r="AF503" s="4"/>
      <c r="AG503" s="4" t="str"/>
      <c r="AH503" s="4" t="str"/>
      <c r="AI503" s="4" t="str"/>
      <c r="AJ503" s="4" t="str"/>
      <c r="AK503" s="4" t="str"/>
      <c r="AL503" s="4" t="str"/>
      <c r="AM503" s="4" t="str"/>
      <c r="AN503" s="4"/>
      <c r="AO503" s="4" t="str"/>
      <c r="AP503" s="4" t="str"/>
      <c r="AQ503" s="4" t="str"/>
      <c r="AR503" s="4" t="str"/>
      <c r="AS503" s="4" t="str"/>
      <c r="AT503" s="4" t="str"/>
      <c r="AU503" s="4" t="str"/>
      <c r="AV503" s="4"/>
      <c r="AW503" s="4">
        <f>IF(AND(Q503="✅", I503="U90"), "X="&amp;(U503-1)*16&amp;",Y="&amp;(V503-1)*16&amp;",Z="&amp;W503*16, "")</f>
      </c>
      <c r="AX503" s="4">
        <f>IF(AND(Q503="✅", I503="U90"), "P=90,Y=0,R=0", "")</f>
      </c>
      <c r="AY503" s="4" t="str"/>
      <c r="AZ503" s="4" t="str"/>
      <c r="BA503" s="4" t="str"/>
      <c r="BB503" s="4" t="str"/>
      <c r="BC503" s="4" t="str"/>
      <c r="BD503" s="4"/>
      <c r="BE503" s="4">
        <f>IF(AND(Q503="✅", I503="D90"), "X="&amp;(U503-1)*16&amp;",Y="&amp;(V503-1)*16&amp;",Z="&amp;(W503-2)*16, "")</f>
      </c>
      <c r="BF503" s="4">
        <f>IF(AND(Q503="✅", I503="D90"), "P=-90,Y=0,R=0", "")</f>
      </c>
      <c r="BG503" s="4" t="str"/>
      <c r="BH503" s="4" t="str"/>
      <c r="BI503" s="4" t="str"/>
      <c r="BJ503" s="4" t="str"/>
      <c r="BK503" s="4" t="str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</row>
    <row r="504">
      <c r="A504" s="11"/>
      <c r="B504" s="11"/>
      <c r="C504" s="119"/>
      <c r="D504" s="119"/>
      <c r="E504" s="5"/>
      <c r="F504" s="9">
        <f>IF(E504="", "", IF(G504="BP", E504, F503))</f>
      </c>
      <c r="G504" s="1"/>
      <c r="H504" s="1"/>
      <c r="I504" s="1"/>
      <c r="J504" s="1"/>
      <c r="K504" s="1"/>
      <c r="L504" s="1"/>
      <c r="M504" s="1"/>
      <c r="N504" s="3"/>
      <c r="O504" s="3"/>
      <c r="P504" s="3"/>
      <c r="Q504" s="3"/>
      <c r="R504" s="1" t="str"/>
      <c r="S504" s="9" t="str"/>
      <c r="T504" s="120" t="str"/>
      <c r="U504" s="118"/>
      <c r="V504" s="118"/>
      <c r="W504" s="118"/>
      <c r="X504" s="4"/>
      <c r="Y504" s="4">
        <f>IF(AND(Q504="✅", OR(ISNUMBER(FIND("F",I504)), I504="CR")),   "X="&amp;U504*16&amp;",Y="&amp;(V504-1)*16&amp;",Z="&amp;IF(I504="FD", -(W504-1)*16, (W504-1)*16),   "")</f>
      </c>
      <c r="Z504" s="4">
        <f>IF(AND(Q504="✅", OR(ISNUMBER(FIND("F",I504)), I504="CR")), "P=0,Y=0,R=0", "")</f>
      </c>
      <c r="AA504" s="4" t="str"/>
      <c r="AB504" s="4" t="str"/>
      <c r="AC504" s="4" t="str"/>
      <c r="AD504" s="4" t="str"/>
      <c r="AE504" s="4" t="str"/>
      <c r="AF504" s="4"/>
      <c r="AG504" s="4" t="str"/>
      <c r="AH504" s="4" t="str"/>
      <c r="AI504" s="4" t="str"/>
      <c r="AJ504" s="4" t="str"/>
      <c r="AK504" s="4" t="str"/>
      <c r="AL504" s="4" t="str"/>
      <c r="AM504" s="4" t="str"/>
      <c r="AN504" s="4"/>
      <c r="AO504" s="4" t="str"/>
      <c r="AP504" s="4" t="str"/>
      <c r="AQ504" s="4" t="str"/>
      <c r="AR504" s="4" t="str"/>
      <c r="AS504" s="4" t="str"/>
      <c r="AT504" s="4" t="str"/>
      <c r="AU504" s="4" t="str"/>
      <c r="AV504" s="4"/>
      <c r="AW504" s="4">
        <f>IF(AND(Q504="✅", I504="U90"), "X="&amp;(U504-1)*16&amp;",Y="&amp;(V504-1)*16&amp;",Z="&amp;W504*16, "")</f>
      </c>
      <c r="AX504" s="4">
        <f>IF(AND(Q504="✅", I504="U90"), "P=90,Y=0,R=0", "")</f>
      </c>
      <c r="AY504" s="4" t="str"/>
      <c r="AZ504" s="4" t="str"/>
      <c r="BA504" s="4" t="str"/>
      <c r="BB504" s="4" t="str"/>
      <c r="BC504" s="4" t="str"/>
      <c r="BD504" s="4"/>
      <c r="BE504" s="4">
        <f>IF(AND(Q504="✅", I504="D90"), "X="&amp;(U504-1)*16&amp;",Y="&amp;(V504-1)*16&amp;",Z="&amp;(W504-2)*16, "")</f>
      </c>
      <c r="BF504" s="4">
        <f>IF(AND(Q504="✅", I504="D90"), "P=-90,Y=0,R=0", "")</f>
      </c>
      <c r="BG504" s="4" t="str"/>
      <c r="BH504" s="4" t="str"/>
      <c r="BI504" s="4" t="str"/>
      <c r="BJ504" s="4" t="str"/>
      <c r="BK504" s="4" t="str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</row>
    <row r="505">
      <c r="A505" s="11"/>
      <c r="B505" s="11"/>
      <c r="C505" s="119"/>
      <c r="D505" s="119"/>
      <c r="E505" s="5"/>
      <c r="F505" s="9">
        <f>IF(E505="", "", IF(G505="BP", E505, F504))</f>
      </c>
      <c r="G505" s="1"/>
      <c r="H505" s="1"/>
      <c r="I505" s="1"/>
      <c r="J505" s="1"/>
      <c r="K505" s="1"/>
      <c r="L505" s="1"/>
      <c r="M505" s="1"/>
      <c r="N505" s="3"/>
      <c r="O505" s="3"/>
      <c r="P505" s="3"/>
      <c r="Q505" s="3"/>
      <c r="R505" s="1" t="str"/>
      <c r="S505" s="9" t="str"/>
      <c r="T505" s="120" t="str"/>
      <c r="U505" s="118"/>
      <c r="V505" s="118"/>
      <c r="W505" s="118"/>
      <c r="X505" s="4"/>
      <c r="Y505" s="4">
        <f>IF(AND(Q505="✅", OR(ISNUMBER(FIND("F",I505)), I505="CR")),   "X="&amp;U505*16&amp;",Y="&amp;(V505-1)*16&amp;",Z="&amp;IF(I505="FD", -(W505-1)*16, (W505-1)*16),   "")</f>
      </c>
      <c r="Z505" s="4">
        <f>IF(AND(Q505="✅", OR(ISNUMBER(FIND("F",I505)), I505="CR")), "P=0,Y=0,R=0", "")</f>
      </c>
      <c r="AA505" s="4" t="str"/>
      <c r="AB505" s="4" t="str"/>
      <c r="AC505" s="4" t="str"/>
      <c r="AD505" s="4" t="str"/>
      <c r="AE505" s="4" t="str"/>
      <c r="AF505" s="4"/>
      <c r="AG505" s="4" t="str"/>
      <c r="AH505" s="4" t="str"/>
      <c r="AI505" s="4" t="str"/>
      <c r="AJ505" s="4" t="str"/>
      <c r="AK505" s="4" t="str"/>
      <c r="AL505" s="4" t="str"/>
      <c r="AM505" s="4" t="str"/>
      <c r="AN505" s="4"/>
      <c r="AO505" s="4" t="str"/>
      <c r="AP505" s="4" t="str"/>
      <c r="AQ505" s="4" t="str"/>
      <c r="AR505" s="4" t="str"/>
      <c r="AS505" s="4" t="str"/>
      <c r="AT505" s="4" t="str"/>
      <c r="AU505" s="4" t="str"/>
      <c r="AV505" s="4"/>
      <c r="AW505" s="4">
        <f>IF(AND(Q505="✅", I505="U90"), "X="&amp;(U505-1)*16&amp;",Y="&amp;(V505-1)*16&amp;",Z="&amp;W505*16, "")</f>
      </c>
      <c r="AX505" s="4">
        <f>IF(AND(Q505="✅", I505="U90"), "P=90,Y=0,R=0", "")</f>
      </c>
      <c r="AY505" s="4" t="str"/>
      <c r="AZ505" s="4" t="str"/>
      <c r="BA505" s="4" t="str"/>
      <c r="BB505" s="4" t="str"/>
      <c r="BC505" s="4" t="str"/>
      <c r="BD505" s="4"/>
      <c r="BE505" s="4">
        <f>IF(AND(Q505="✅", I505="D90"), "X="&amp;(U505-1)*16&amp;",Y="&amp;(V505-1)*16&amp;",Z="&amp;(W505-2)*16, "")</f>
      </c>
      <c r="BF505" s="4">
        <f>IF(AND(Q505="✅", I505="D90"), "P=-90,Y=0,R=0", "")</f>
      </c>
      <c r="BG505" s="4" t="str"/>
      <c r="BH505" s="4" t="str"/>
      <c r="BI505" s="4" t="str"/>
      <c r="BJ505" s="4" t="str"/>
      <c r="BK505" s="4" t="str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</row>
    <row r="506">
      <c r="A506" s="11"/>
      <c r="B506" s="11"/>
      <c r="C506" s="119"/>
      <c r="D506" s="119"/>
      <c r="E506" s="5"/>
      <c r="F506" s="9">
        <f>IF(E506="", "", IF(G506="BP", E506, F505))</f>
      </c>
      <c r="G506" s="1"/>
      <c r="H506" s="1"/>
      <c r="I506" s="1"/>
      <c r="J506" s="1"/>
      <c r="K506" s="1"/>
      <c r="L506" s="1"/>
      <c r="M506" s="1"/>
      <c r="N506" s="3"/>
      <c r="O506" s="3"/>
      <c r="P506" s="3"/>
      <c r="Q506" s="3"/>
      <c r="R506" s="1" t="str"/>
      <c r="S506" s="9" t="str"/>
      <c r="T506" s="120" t="str"/>
      <c r="U506" s="118"/>
      <c r="V506" s="118"/>
      <c r="W506" s="118"/>
      <c r="X506" s="4"/>
      <c r="Y506" s="4">
        <f>IF(AND(Q506="✅", OR(ISNUMBER(FIND("F",I506)), I506="CR")),   "X="&amp;U506*16&amp;",Y="&amp;(V506-1)*16&amp;",Z="&amp;IF(I506="FD", -(W506-1)*16, (W506-1)*16),   "")</f>
      </c>
      <c r="Z506" s="4">
        <f>IF(AND(Q506="✅", OR(ISNUMBER(FIND("F",I506)), I506="CR")), "P=0,Y=0,R=0", "")</f>
      </c>
      <c r="AA506" s="4" t="str"/>
      <c r="AB506" s="4" t="str"/>
      <c r="AC506" s="4" t="str"/>
      <c r="AD506" s="4" t="str"/>
      <c r="AE506" s="4" t="str"/>
      <c r="AF506" s="4"/>
      <c r="AG506" s="4" t="str"/>
      <c r="AH506" s="4" t="str"/>
      <c r="AI506" s="4" t="str"/>
      <c r="AJ506" s="4" t="str"/>
      <c r="AK506" s="4" t="str"/>
      <c r="AL506" s="4" t="str"/>
      <c r="AM506" s="4" t="str"/>
      <c r="AN506" s="4"/>
      <c r="AO506" s="4" t="str"/>
      <c r="AP506" s="4" t="str"/>
      <c r="AQ506" s="4" t="str"/>
      <c r="AR506" s="4" t="str"/>
      <c r="AS506" s="4" t="str"/>
      <c r="AT506" s="4" t="str"/>
      <c r="AU506" s="4" t="str"/>
      <c r="AV506" s="4"/>
      <c r="AW506" s="4">
        <f>IF(AND(Q506="✅", I506="U90"), "X="&amp;(U506-1)*16&amp;",Y="&amp;(V506-1)*16&amp;",Z="&amp;W506*16, "")</f>
      </c>
      <c r="AX506" s="4">
        <f>IF(AND(Q506="✅", I506="U90"), "P=90,Y=0,R=0", "")</f>
      </c>
      <c r="AY506" s="4" t="str"/>
      <c r="AZ506" s="4" t="str"/>
      <c r="BA506" s="4" t="str"/>
      <c r="BB506" s="4" t="str"/>
      <c r="BC506" s="4" t="str"/>
      <c r="BD506" s="4"/>
      <c r="BE506" s="4">
        <f>IF(AND(Q506="✅", I506="D90"), "X="&amp;(U506-1)*16&amp;",Y="&amp;(V506-1)*16&amp;",Z="&amp;(W506-2)*16, "")</f>
      </c>
      <c r="BF506" s="4">
        <f>IF(AND(Q506="✅", I506="D90"), "P=-90,Y=0,R=0", "")</f>
      </c>
      <c r="BG506" s="4" t="str"/>
      <c r="BH506" s="4" t="str"/>
      <c r="BI506" s="4" t="str"/>
      <c r="BJ506" s="4" t="str"/>
      <c r="BK506" s="4" t="str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</row>
    <row r="507">
      <c r="A507" s="11"/>
      <c r="B507" s="11"/>
      <c r="C507" s="119"/>
      <c r="D507" s="119"/>
      <c r="E507" s="5"/>
      <c r="F507" s="9">
        <f>IF(E507="", "", IF(G507="BP", E507, F506))</f>
      </c>
      <c r="G507" s="1"/>
      <c r="H507" s="1"/>
      <c r="I507" s="1"/>
      <c r="J507" s="1"/>
      <c r="K507" s="1"/>
      <c r="L507" s="1"/>
      <c r="M507" s="1"/>
      <c r="N507" s="3"/>
      <c r="O507" s="3"/>
      <c r="P507" s="3"/>
      <c r="Q507" s="3"/>
      <c r="R507" s="1" t="str"/>
      <c r="S507" s="9" t="str"/>
      <c r="T507" s="120" t="str"/>
      <c r="U507" s="118"/>
      <c r="V507" s="118"/>
      <c r="W507" s="118"/>
      <c r="X507" s="4"/>
      <c r="Y507" s="4">
        <f>IF(AND(Q507="✅", OR(ISNUMBER(FIND("F",I507)), I507="CR")),   "X="&amp;U507*16&amp;",Y="&amp;(V507-1)*16&amp;",Z="&amp;IF(I507="FD", -(W507-1)*16, (W507-1)*16),   "")</f>
      </c>
      <c r="Z507" s="4">
        <f>IF(AND(Q507="✅", OR(ISNUMBER(FIND("F",I507)), I507="CR")), "P=0,Y=0,R=0", "")</f>
      </c>
      <c r="AA507" s="4" t="str"/>
      <c r="AB507" s="4" t="str"/>
      <c r="AC507" s="4" t="str"/>
      <c r="AD507" s="4" t="str"/>
      <c r="AE507" s="4" t="str"/>
      <c r="AF507" s="4"/>
      <c r="AG507" s="4" t="str"/>
      <c r="AH507" s="4" t="str"/>
      <c r="AI507" s="4" t="str"/>
      <c r="AJ507" s="4" t="str"/>
      <c r="AK507" s="4" t="str"/>
      <c r="AL507" s="4" t="str"/>
      <c r="AM507" s="4" t="str"/>
      <c r="AN507" s="4"/>
      <c r="AO507" s="4" t="str"/>
      <c r="AP507" s="4" t="str"/>
      <c r="AQ507" s="4" t="str"/>
      <c r="AR507" s="4" t="str"/>
      <c r="AS507" s="4" t="str"/>
      <c r="AT507" s="4" t="str"/>
      <c r="AU507" s="4" t="str"/>
      <c r="AV507" s="4"/>
      <c r="AW507" s="4">
        <f>IF(AND(Q507="✅", I507="U90"), "X="&amp;(U507-1)*16&amp;",Y="&amp;(V507-1)*16&amp;",Z="&amp;W507*16, "")</f>
      </c>
      <c r="AX507" s="4">
        <f>IF(AND(Q507="✅", I507="U90"), "P=90,Y=0,R=0", "")</f>
      </c>
      <c r="AY507" s="4" t="str"/>
      <c r="AZ507" s="4" t="str"/>
      <c r="BA507" s="4" t="str"/>
      <c r="BB507" s="4" t="str"/>
      <c r="BC507" s="4" t="str"/>
      <c r="BD507" s="4"/>
      <c r="BE507" s="4">
        <f>IF(AND(Q507="✅", I507="D90"), "X="&amp;(U507-1)*16&amp;",Y="&amp;(V507-1)*16&amp;",Z="&amp;(W507-2)*16, "")</f>
      </c>
      <c r="BF507" s="4">
        <f>IF(AND(Q507="✅", I507="D90"), "P=-90,Y=0,R=0", "")</f>
      </c>
      <c r="BG507" s="4" t="str"/>
      <c r="BH507" s="4" t="str"/>
      <c r="BI507" s="4" t="str"/>
      <c r="BJ507" s="4" t="str"/>
      <c r="BK507" s="4" t="str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</row>
    <row r="508">
      <c r="A508" s="11"/>
      <c r="B508" s="11"/>
      <c r="C508" s="119"/>
      <c r="D508" s="119"/>
      <c r="E508" s="5"/>
      <c r="F508" s="9">
        <f>IF(E508="", "", IF(G508="BP", E508, F507))</f>
      </c>
      <c r="G508" s="1"/>
      <c r="H508" s="1"/>
      <c r="I508" s="1"/>
      <c r="J508" s="1"/>
      <c r="K508" s="1"/>
      <c r="L508" s="1"/>
      <c r="M508" s="1"/>
      <c r="N508" s="3"/>
      <c r="O508" s="3"/>
      <c r="P508" s="3"/>
      <c r="Q508" s="3"/>
      <c r="R508" s="1" t="str"/>
      <c r="S508" s="9" t="str"/>
      <c r="T508" s="120" t="str"/>
      <c r="U508" s="118"/>
      <c r="V508" s="118"/>
      <c r="W508" s="118"/>
      <c r="X508" s="4"/>
      <c r="Y508" s="4">
        <f>IF(AND(Q508="✅", OR(ISNUMBER(FIND("F",I508)), I508="CR")),   "X="&amp;U508*16&amp;",Y="&amp;(V508-1)*16&amp;",Z="&amp;IF(I508="FD", -(W508-1)*16, (W508-1)*16),   "")</f>
      </c>
      <c r="Z508" s="4">
        <f>IF(AND(Q508="✅", OR(ISNUMBER(FIND("F",I508)), I508="CR")), "P=0,Y=0,R=0", "")</f>
      </c>
      <c r="AA508" s="4" t="str"/>
      <c r="AB508" s="4" t="str"/>
      <c r="AC508" s="4" t="str"/>
      <c r="AD508" s="4" t="str"/>
      <c r="AE508" s="4" t="str"/>
      <c r="AF508" s="4"/>
      <c r="AG508" s="4" t="str"/>
      <c r="AH508" s="4" t="str"/>
      <c r="AI508" s="4" t="str"/>
      <c r="AJ508" s="4" t="str"/>
      <c r="AK508" s="4" t="str"/>
      <c r="AL508" s="4" t="str"/>
      <c r="AM508" s="4" t="str"/>
      <c r="AN508" s="4"/>
      <c r="AO508" s="4" t="str"/>
      <c r="AP508" s="4" t="str"/>
      <c r="AQ508" s="4" t="str"/>
      <c r="AR508" s="4" t="str"/>
      <c r="AS508" s="4" t="str"/>
      <c r="AT508" s="4" t="str"/>
      <c r="AU508" s="4" t="str"/>
      <c r="AV508" s="4"/>
      <c r="AW508" s="4">
        <f>IF(AND(Q508="✅", I508="U90"), "X="&amp;(U508-1)*16&amp;",Y="&amp;(V508-1)*16&amp;",Z="&amp;W508*16, "")</f>
      </c>
      <c r="AX508" s="4">
        <f>IF(AND(Q508="✅", I508="U90"), "P=90,Y=0,R=0", "")</f>
      </c>
      <c r="AY508" s="4" t="str"/>
      <c r="AZ508" s="4" t="str"/>
      <c r="BA508" s="4" t="str"/>
      <c r="BB508" s="4" t="str"/>
      <c r="BC508" s="4" t="str"/>
      <c r="BD508" s="4"/>
      <c r="BE508" s="4">
        <f>IF(AND(Q508="✅", I508="D90"), "X="&amp;(U508-1)*16&amp;",Y="&amp;(V508-1)*16&amp;",Z="&amp;(W508-2)*16, "")</f>
      </c>
      <c r="BF508" s="4">
        <f>IF(AND(Q508="✅", I508="D90"), "P=-90,Y=0,R=0", "")</f>
      </c>
      <c r="BG508" s="4" t="str"/>
      <c r="BH508" s="4" t="str"/>
      <c r="BI508" s="4" t="str"/>
      <c r="BJ508" s="4" t="str"/>
      <c r="BK508" s="4" t="str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</row>
    <row r="509">
      <c r="A509" s="11"/>
      <c r="B509" s="11"/>
      <c r="C509" s="119"/>
      <c r="D509" s="119"/>
      <c r="E509" s="5"/>
      <c r="F509" s="9">
        <f>IF(E509="", "", IF(G509="BP", E509, F508))</f>
      </c>
      <c r="G509" s="1"/>
      <c r="H509" s="1"/>
      <c r="I509" s="1"/>
      <c r="J509" s="1"/>
      <c r="K509" s="1"/>
      <c r="L509" s="1"/>
      <c r="M509" s="1"/>
      <c r="N509" s="3"/>
      <c r="O509" s="3"/>
      <c r="P509" s="3"/>
      <c r="Q509" s="3"/>
      <c r="R509" s="1" t="str"/>
      <c r="S509" s="9" t="str"/>
      <c r="T509" s="120" t="str"/>
      <c r="U509" s="118"/>
      <c r="V509" s="118"/>
      <c r="W509" s="118"/>
      <c r="X509" s="4"/>
      <c r="Y509" s="4">
        <f>IF(AND(Q509="✅", OR(ISNUMBER(FIND("F",I509)), I509="CR")),   "X="&amp;U509*16&amp;",Y="&amp;(V509-1)*16&amp;",Z="&amp;IF(I509="FD", -(W509-1)*16, (W509-1)*16),   "")</f>
      </c>
      <c r="Z509" s="4">
        <f>IF(AND(Q509="✅", OR(ISNUMBER(FIND("F",I509)), I509="CR")), "P=0,Y=0,R=0", "")</f>
      </c>
      <c r="AA509" s="4" t="str"/>
      <c r="AB509" s="4" t="str"/>
      <c r="AC509" s="4" t="str"/>
      <c r="AD509" s="4" t="str"/>
      <c r="AE509" s="4" t="str"/>
      <c r="AF509" s="4"/>
      <c r="AG509" s="4" t="str"/>
      <c r="AH509" s="4" t="str"/>
      <c r="AI509" s="4" t="str"/>
      <c r="AJ509" s="4" t="str"/>
      <c r="AK509" s="4" t="str"/>
      <c r="AL509" s="4" t="str"/>
      <c r="AM509" s="4" t="str"/>
      <c r="AN509" s="4"/>
      <c r="AO509" s="4" t="str"/>
      <c r="AP509" s="4" t="str"/>
      <c r="AQ509" s="4" t="str"/>
      <c r="AR509" s="4" t="str"/>
      <c r="AS509" s="4" t="str"/>
      <c r="AT509" s="4" t="str"/>
      <c r="AU509" s="4" t="str"/>
      <c r="AV509" s="4"/>
      <c r="AW509" s="4">
        <f>IF(AND(Q509="✅", I509="U90"), "X="&amp;(U509-1)*16&amp;",Y="&amp;(V509-1)*16&amp;",Z="&amp;W509*16, "")</f>
      </c>
      <c r="AX509" s="4">
        <f>IF(AND(Q509="✅", I509="U90"), "P=90,Y=0,R=0", "")</f>
      </c>
      <c r="AY509" s="4" t="str"/>
      <c r="AZ509" s="4" t="str"/>
      <c r="BA509" s="4" t="str"/>
      <c r="BB509" s="4" t="str"/>
      <c r="BC509" s="4" t="str"/>
      <c r="BD509" s="4"/>
      <c r="BE509" s="4">
        <f>IF(AND(Q509="✅", I509="D90"), "X="&amp;(U509-1)*16&amp;",Y="&amp;(V509-1)*16&amp;",Z="&amp;(W509-2)*16, "")</f>
      </c>
      <c r="BF509" s="4">
        <f>IF(AND(Q509="✅", I509="D90"), "P=-90,Y=0,R=0", "")</f>
      </c>
      <c r="BG509" s="4" t="str"/>
      <c r="BH509" s="4" t="str"/>
      <c r="BI509" s="4" t="str"/>
      <c r="BJ509" s="4" t="str"/>
      <c r="BK509" s="4" t="str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</row>
    <row r="510">
      <c r="A510" s="11"/>
      <c r="B510" s="11"/>
      <c r="C510" s="119"/>
      <c r="D510" s="119"/>
      <c r="E510" s="5"/>
      <c r="F510" s="9">
        <f>IF(E510="", "", IF(G510="BP", E510, F509))</f>
      </c>
      <c r="G510" s="1"/>
      <c r="H510" s="1"/>
      <c r="I510" s="1"/>
      <c r="J510" s="1"/>
      <c r="K510" s="1"/>
      <c r="L510" s="1"/>
      <c r="M510" s="1"/>
      <c r="N510" s="3"/>
      <c r="O510" s="3"/>
      <c r="P510" s="3"/>
      <c r="Q510" s="3"/>
      <c r="R510" s="1" t="str"/>
      <c r="S510" s="9" t="str"/>
      <c r="T510" s="120" t="str"/>
      <c r="U510" s="118"/>
      <c r="V510" s="118"/>
      <c r="W510" s="118"/>
      <c r="X510" s="4"/>
      <c r="Y510" s="4">
        <f>IF(AND(Q510="✅", OR(ISNUMBER(FIND("F",I510)), I510="CR")),   "X="&amp;U510*16&amp;",Y="&amp;(V510-1)*16&amp;",Z="&amp;IF(I510="FD", -(W510-1)*16, (W510-1)*16),   "")</f>
      </c>
      <c r="Z510" s="4">
        <f>IF(AND(Q510="✅", OR(ISNUMBER(FIND("F",I510)), I510="CR")), "P=0,Y=0,R=0", "")</f>
      </c>
      <c r="AA510" s="4" t="str"/>
      <c r="AB510" s="4" t="str"/>
      <c r="AC510" s="4" t="str"/>
      <c r="AD510" s="4" t="str"/>
      <c r="AE510" s="4" t="str"/>
      <c r="AF510" s="4"/>
      <c r="AG510" s="4" t="str"/>
      <c r="AH510" s="4" t="str"/>
      <c r="AI510" s="4" t="str"/>
      <c r="AJ510" s="4" t="str"/>
      <c r="AK510" s="4" t="str"/>
      <c r="AL510" s="4" t="str"/>
      <c r="AM510" s="4" t="str"/>
      <c r="AN510" s="4"/>
      <c r="AO510" s="4" t="str"/>
      <c r="AP510" s="4" t="str"/>
      <c r="AQ510" s="4" t="str"/>
      <c r="AR510" s="4" t="str"/>
      <c r="AS510" s="4" t="str"/>
      <c r="AT510" s="4" t="str"/>
      <c r="AU510" s="4" t="str"/>
      <c r="AV510" s="4"/>
      <c r="AW510" s="4">
        <f>IF(AND(Q510="✅", I510="U90"), "X="&amp;(U510-1)*16&amp;",Y="&amp;(V510-1)*16&amp;",Z="&amp;W510*16, "")</f>
      </c>
      <c r="AX510" s="4">
        <f>IF(AND(Q510="✅", I510="U90"), "P=90,Y=0,R=0", "")</f>
      </c>
      <c r="AY510" s="4" t="str"/>
      <c r="AZ510" s="4" t="str"/>
      <c r="BA510" s="4" t="str"/>
      <c r="BB510" s="4" t="str"/>
      <c r="BC510" s="4" t="str"/>
      <c r="BD510" s="4"/>
      <c r="BE510" s="4">
        <f>IF(AND(Q510="✅", I510="D90"), "X="&amp;(U510-1)*16&amp;",Y="&amp;(V510-1)*16&amp;",Z="&amp;(W510-2)*16, "")</f>
      </c>
      <c r="BF510" s="4">
        <f>IF(AND(Q510="✅", I510="D90"), "P=-90,Y=0,R=0", "")</f>
      </c>
      <c r="BG510" s="4" t="str"/>
      <c r="BH510" s="4" t="str"/>
      <c r="BI510" s="4" t="str"/>
      <c r="BJ510" s="4" t="str"/>
      <c r="BK510" s="4" t="str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</row>
    <row r="511">
      <c r="A511" s="11"/>
      <c r="B511" s="11"/>
      <c r="C511" s="119"/>
      <c r="D511" s="119"/>
      <c r="E511" s="5"/>
      <c r="F511" s="9">
        <f>IF(E511="", "", IF(G511="BP", E511, F510))</f>
      </c>
      <c r="G511" s="1"/>
      <c r="H511" s="1"/>
      <c r="I511" s="1"/>
      <c r="J511" s="1"/>
      <c r="K511" s="1"/>
      <c r="L511" s="1"/>
      <c r="M511" s="1"/>
      <c r="N511" s="3"/>
      <c r="O511" s="3"/>
      <c r="P511" s="3"/>
      <c r="Q511" s="3"/>
      <c r="R511" s="1" t="str"/>
      <c r="S511" s="9" t="str"/>
      <c r="T511" s="120" t="str"/>
      <c r="U511" s="118"/>
      <c r="V511" s="118"/>
      <c r="W511" s="118"/>
      <c r="X511" s="4"/>
      <c r="Y511" s="4">
        <f>IF(AND(Q511="✅", OR(ISNUMBER(FIND("F",I511)), I511="CR")),   "X="&amp;U511*16&amp;",Y="&amp;(V511-1)*16&amp;",Z="&amp;IF(I511="FD", -(W511-1)*16, (W511-1)*16),   "")</f>
      </c>
      <c r="Z511" s="4">
        <f>IF(AND(Q511="✅", OR(ISNUMBER(FIND("F",I511)), I511="CR")), "P=0,Y=0,R=0", "")</f>
      </c>
      <c r="AA511" s="4" t="str"/>
      <c r="AB511" s="4" t="str"/>
      <c r="AC511" s="4" t="str"/>
      <c r="AD511" s="4" t="str"/>
      <c r="AE511" s="4" t="str"/>
      <c r="AF511" s="4"/>
      <c r="AG511" s="4" t="str"/>
      <c r="AH511" s="4" t="str"/>
      <c r="AI511" s="4" t="str"/>
      <c r="AJ511" s="4" t="str"/>
      <c r="AK511" s="4" t="str"/>
      <c r="AL511" s="4" t="str"/>
      <c r="AM511" s="4" t="str"/>
      <c r="AN511" s="4"/>
      <c r="AO511" s="4" t="str"/>
      <c r="AP511" s="4" t="str"/>
      <c r="AQ511" s="4" t="str"/>
      <c r="AR511" s="4" t="str"/>
      <c r="AS511" s="4" t="str"/>
      <c r="AT511" s="4" t="str"/>
      <c r="AU511" s="4" t="str"/>
      <c r="AV511" s="4"/>
      <c r="AW511" s="4">
        <f>IF(AND(Q511="✅", I511="U90"), "X="&amp;(U511-1)*16&amp;",Y="&amp;(V511-1)*16&amp;",Z="&amp;W511*16, "")</f>
      </c>
      <c r="AX511" s="4">
        <f>IF(AND(Q511="✅", I511="U90"), "P=90,Y=0,R=0", "")</f>
      </c>
      <c r="AY511" s="4" t="str"/>
      <c r="AZ511" s="4" t="str"/>
      <c r="BA511" s="4" t="str"/>
      <c r="BB511" s="4" t="str"/>
      <c r="BC511" s="4" t="str"/>
      <c r="BD511" s="4"/>
      <c r="BE511" s="4">
        <f>IF(AND(Q511="✅", I511="D90"), "X="&amp;(U511-1)*16&amp;",Y="&amp;(V511-1)*16&amp;",Z="&amp;(W511-2)*16, "")</f>
      </c>
      <c r="BF511" s="4">
        <f>IF(AND(Q511="✅", I511="D90"), "P=-90,Y=0,R=0", "")</f>
      </c>
      <c r="BG511" s="4" t="str"/>
      <c r="BH511" s="4" t="str"/>
      <c r="BI511" s="4" t="str"/>
      <c r="BJ511" s="4" t="str"/>
      <c r="BK511" s="4" t="str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</row>
    <row r="512">
      <c r="A512" s="11"/>
      <c r="B512" s="11"/>
      <c r="C512" s="119"/>
      <c r="D512" s="119"/>
      <c r="E512" s="5"/>
      <c r="F512" s="9">
        <f>IF(E512="", "", IF(G512="BP", E512, F511))</f>
      </c>
      <c r="G512" s="1"/>
      <c r="H512" s="1"/>
      <c r="I512" s="1"/>
      <c r="J512" s="1"/>
      <c r="K512" s="1"/>
      <c r="L512" s="1"/>
      <c r="M512" s="1"/>
      <c r="N512" s="3"/>
      <c r="O512" s="3"/>
      <c r="P512" s="3"/>
      <c r="Q512" s="3"/>
      <c r="R512" s="1" t="str"/>
      <c r="S512" s="9" t="str"/>
      <c r="T512" s="120" t="str"/>
      <c r="U512" s="118"/>
      <c r="V512" s="118"/>
      <c r="W512" s="118"/>
      <c r="X512" s="4"/>
      <c r="Y512" s="4">
        <f>IF(AND(Q512="✅", OR(ISNUMBER(FIND("F",I512)), I512="CR")),   "X="&amp;U512*16&amp;",Y="&amp;(V512-1)*16&amp;",Z="&amp;IF(I512="FD", -(W512-1)*16, (W512-1)*16),   "")</f>
      </c>
      <c r="Z512" s="4">
        <f>IF(AND(Q512="✅", OR(ISNUMBER(FIND("F",I512)), I512="CR")), "P=0,Y=0,R=0", "")</f>
      </c>
      <c r="AA512" s="4" t="str"/>
      <c r="AB512" s="4" t="str"/>
      <c r="AC512" s="4" t="str"/>
      <c r="AD512" s="4" t="str"/>
      <c r="AE512" s="4" t="str"/>
      <c r="AF512" s="4"/>
      <c r="AG512" s="4" t="str"/>
      <c r="AH512" s="4" t="str"/>
      <c r="AI512" s="4" t="str"/>
      <c r="AJ512" s="4" t="str"/>
      <c r="AK512" s="4" t="str"/>
      <c r="AL512" s="4" t="str"/>
      <c r="AM512" s="4" t="str"/>
      <c r="AN512" s="4"/>
      <c r="AO512" s="4" t="str"/>
      <c r="AP512" s="4" t="str"/>
      <c r="AQ512" s="4" t="str"/>
      <c r="AR512" s="4" t="str"/>
      <c r="AS512" s="4" t="str"/>
      <c r="AT512" s="4" t="str"/>
      <c r="AU512" s="4" t="str"/>
      <c r="AV512" s="4"/>
      <c r="AW512" s="4">
        <f>IF(AND(Q512="✅", I512="U90"), "X="&amp;(U512-1)*16&amp;",Y="&amp;(V512-1)*16&amp;",Z="&amp;W512*16, "")</f>
      </c>
      <c r="AX512" s="4">
        <f>IF(AND(Q512="✅", I512="U90"), "P=90,Y=0,R=0", "")</f>
      </c>
      <c r="AY512" s="4" t="str"/>
      <c r="AZ512" s="4" t="str"/>
      <c r="BA512" s="4" t="str"/>
      <c r="BB512" s="4" t="str"/>
      <c r="BC512" s="4" t="str"/>
      <c r="BD512" s="4"/>
      <c r="BE512" s="4">
        <f>IF(AND(Q512="✅", I512="D90"), "X="&amp;(U512-1)*16&amp;",Y="&amp;(V512-1)*16&amp;",Z="&amp;(W512-2)*16, "")</f>
      </c>
      <c r="BF512" s="4">
        <f>IF(AND(Q512="✅", I512="D90"), "P=-90,Y=0,R=0", "")</f>
      </c>
      <c r="BG512" s="4" t="str"/>
      <c r="BH512" s="4" t="str"/>
      <c r="BI512" s="4" t="str"/>
      <c r="BJ512" s="4" t="str"/>
      <c r="BK512" s="4" t="str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</row>
    <row r="513">
      <c r="A513" s="11"/>
      <c r="B513" s="11"/>
      <c r="C513" s="119"/>
      <c r="D513" s="119"/>
      <c r="E513" s="5"/>
      <c r="F513" s="9">
        <f>IF(E513="", "", IF(G513="BP", E513, F512))</f>
      </c>
      <c r="G513" s="1"/>
      <c r="H513" s="1"/>
      <c r="I513" s="1"/>
      <c r="J513" s="1"/>
      <c r="K513" s="1"/>
      <c r="L513" s="1"/>
      <c r="M513" s="1"/>
      <c r="N513" s="3"/>
      <c r="O513" s="3"/>
      <c r="P513" s="3"/>
      <c r="Q513" s="3"/>
      <c r="R513" s="1" t="str"/>
      <c r="S513" s="9" t="str"/>
      <c r="T513" s="120" t="str"/>
      <c r="U513" s="118"/>
      <c r="V513" s="118"/>
      <c r="W513" s="118"/>
      <c r="X513" s="4"/>
      <c r="Y513" s="4">
        <f>IF(AND(Q513="✅", OR(ISNUMBER(FIND("F",I513)), I513="CR")),   "X="&amp;U513*16&amp;",Y="&amp;(V513-1)*16&amp;",Z="&amp;IF(I513="FD", -(W513-1)*16, (W513-1)*16),   "")</f>
      </c>
      <c r="Z513" s="4">
        <f>IF(AND(Q513="✅", OR(ISNUMBER(FIND("F",I513)), I513="CR")), "P=0,Y=0,R=0", "")</f>
      </c>
      <c r="AA513" s="4" t="str"/>
      <c r="AB513" s="4" t="str"/>
      <c r="AC513" s="4" t="str"/>
      <c r="AD513" s="4" t="str"/>
      <c r="AE513" s="4" t="str"/>
      <c r="AF513" s="4"/>
      <c r="AG513" s="4" t="str"/>
      <c r="AH513" s="4" t="str"/>
      <c r="AI513" s="4" t="str"/>
      <c r="AJ513" s="4" t="str"/>
      <c r="AK513" s="4" t="str"/>
      <c r="AL513" s="4" t="str"/>
      <c r="AM513" s="4" t="str"/>
      <c r="AN513" s="4"/>
      <c r="AO513" s="4" t="str"/>
      <c r="AP513" s="4" t="str"/>
      <c r="AQ513" s="4" t="str"/>
      <c r="AR513" s="4" t="str"/>
      <c r="AS513" s="4" t="str"/>
      <c r="AT513" s="4" t="str"/>
      <c r="AU513" s="4" t="str"/>
      <c r="AV513" s="4"/>
      <c r="AW513" s="4">
        <f>IF(AND(Q513="✅", I513="U90"), "X="&amp;(U513-1)*16&amp;",Y="&amp;(V513-1)*16&amp;",Z="&amp;W513*16, "")</f>
      </c>
      <c r="AX513" s="4">
        <f>IF(AND(Q513="✅", I513="U90"), "P=90,Y=0,R=0", "")</f>
      </c>
      <c r="AY513" s="4" t="str"/>
      <c r="AZ513" s="4" t="str"/>
      <c r="BA513" s="4" t="str"/>
      <c r="BB513" s="4" t="str"/>
      <c r="BC513" s="4" t="str"/>
      <c r="BD513" s="4"/>
      <c r="BE513" s="4">
        <f>IF(AND(Q513="✅", I513="D90"), "X="&amp;(U513-1)*16&amp;",Y="&amp;(V513-1)*16&amp;",Z="&amp;(W513-2)*16, "")</f>
      </c>
      <c r="BF513" s="4">
        <f>IF(AND(Q513="✅", I513="D90"), "P=-90,Y=0,R=0", "")</f>
      </c>
      <c r="BG513" s="4" t="str"/>
      <c r="BH513" s="4" t="str"/>
      <c r="BI513" s="4" t="str"/>
      <c r="BJ513" s="4" t="str"/>
      <c r="BK513" s="4" t="str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</row>
    <row r="514">
      <c r="A514" s="11"/>
      <c r="B514" s="11"/>
      <c r="C514" s="119"/>
      <c r="D514" s="119"/>
      <c r="E514" s="5"/>
      <c r="F514" s="9">
        <f>IF(E514="", "", IF(G514="BP", E514, F513))</f>
      </c>
      <c r="G514" s="1"/>
      <c r="H514" s="1"/>
      <c r="I514" s="1"/>
      <c r="J514" s="1"/>
      <c r="K514" s="1"/>
      <c r="L514" s="1"/>
      <c r="M514" s="1"/>
      <c r="N514" s="3"/>
      <c r="O514" s="3"/>
      <c r="P514" s="3"/>
      <c r="Q514" s="3"/>
      <c r="R514" s="1" t="str"/>
      <c r="S514" s="9" t="str"/>
      <c r="T514" s="120" t="str"/>
      <c r="U514" s="118"/>
      <c r="V514" s="118"/>
      <c r="W514" s="118"/>
      <c r="X514" s="4"/>
      <c r="Y514" s="4">
        <f>IF(AND(Q514="✅", OR(ISNUMBER(FIND("F",I514)), I514="CR")),   "X="&amp;U514*16&amp;",Y="&amp;(V514-1)*16&amp;",Z="&amp;IF(I514="FD", -(W514-1)*16, (W514-1)*16),   "")</f>
      </c>
      <c r="Z514" s="4">
        <f>IF(AND(Q514="✅", OR(ISNUMBER(FIND("F",I514)), I514="CR")), "P=0,Y=0,R=0", "")</f>
      </c>
      <c r="AA514" s="4" t="str"/>
      <c r="AB514" s="4" t="str"/>
      <c r="AC514" s="4" t="str"/>
      <c r="AD514" s="4" t="str"/>
      <c r="AE514" s="4" t="str"/>
      <c r="AF514" s="4"/>
      <c r="AG514" s="4" t="str"/>
      <c r="AH514" s="4" t="str"/>
      <c r="AI514" s="4" t="str"/>
      <c r="AJ514" s="4" t="str"/>
      <c r="AK514" s="4" t="str"/>
      <c r="AL514" s="4" t="str"/>
      <c r="AM514" s="4" t="str"/>
      <c r="AN514" s="4"/>
      <c r="AO514" s="4" t="str"/>
      <c r="AP514" s="4" t="str"/>
      <c r="AQ514" s="4" t="str"/>
      <c r="AR514" s="4" t="str"/>
      <c r="AS514" s="4" t="str"/>
      <c r="AT514" s="4" t="str"/>
      <c r="AU514" s="4" t="str"/>
      <c r="AV514" s="4"/>
      <c r="AW514" s="4">
        <f>IF(AND(Q514="✅", I514="U90"), "X="&amp;(U514-1)*16&amp;",Y="&amp;(V514-1)*16&amp;",Z="&amp;W514*16, "")</f>
      </c>
      <c r="AX514" s="4">
        <f>IF(AND(Q514="✅", I514="U90"), "P=90,Y=0,R=0", "")</f>
      </c>
      <c r="AY514" s="4" t="str"/>
      <c r="AZ514" s="4" t="str"/>
      <c r="BA514" s="4" t="str"/>
      <c r="BB514" s="4" t="str"/>
      <c r="BC514" s="4" t="str"/>
      <c r="BD514" s="4"/>
      <c r="BE514" s="4">
        <f>IF(AND(Q514="✅", I514="D90"), "X="&amp;(U514-1)*16&amp;",Y="&amp;(V514-1)*16&amp;",Z="&amp;(W514-2)*16, "")</f>
      </c>
      <c r="BF514" s="4">
        <f>IF(AND(Q514="✅", I514="D90"), "P=-90,Y=0,R=0", "")</f>
      </c>
      <c r="BG514" s="4" t="str"/>
      <c r="BH514" s="4" t="str"/>
      <c r="BI514" s="4" t="str"/>
      <c r="BJ514" s="4" t="str"/>
      <c r="BK514" s="4" t="str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</row>
    <row r="515">
      <c r="A515" s="11"/>
      <c r="B515" s="11"/>
      <c r="C515" s="119"/>
      <c r="D515" s="119"/>
      <c r="E515" s="5"/>
      <c r="F515" s="9">
        <f>IF(E515="", "", IF(G515="BP", E515, F514))</f>
      </c>
      <c r="G515" s="1"/>
      <c r="H515" s="1"/>
      <c r="I515" s="1"/>
      <c r="J515" s="1"/>
      <c r="K515" s="1"/>
      <c r="L515" s="1"/>
      <c r="M515" s="1"/>
      <c r="N515" s="3"/>
      <c r="O515" s="3"/>
      <c r="P515" s="3"/>
      <c r="Q515" s="3"/>
      <c r="R515" s="1" t="str"/>
      <c r="S515" s="9" t="str"/>
      <c r="T515" s="120" t="str"/>
      <c r="U515" s="118"/>
      <c r="V515" s="118"/>
      <c r="W515" s="118"/>
      <c r="X515" s="4"/>
      <c r="Y515" s="4">
        <f>IF(AND(Q515="✅", OR(ISNUMBER(FIND("F",I515)), I515="CR")),   "X="&amp;U515*16&amp;",Y="&amp;(V515-1)*16&amp;",Z="&amp;IF(I515="FD", -(W515-1)*16, (W515-1)*16),   "")</f>
      </c>
      <c r="Z515" s="4">
        <f>IF(AND(Q515="✅", OR(ISNUMBER(FIND("F",I515)), I515="CR")), "P=0,Y=0,R=0", "")</f>
      </c>
      <c r="AA515" s="4" t="str"/>
      <c r="AB515" s="4" t="str"/>
      <c r="AC515" s="4" t="str"/>
      <c r="AD515" s="4" t="str"/>
      <c r="AE515" s="4" t="str"/>
      <c r="AF515" s="4"/>
      <c r="AG515" s="4" t="str"/>
      <c r="AH515" s="4" t="str"/>
      <c r="AI515" s="4" t="str"/>
      <c r="AJ515" s="4" t="str"/>
      <c r="AK515" s="4" t="str"/>
      <c r="AL515" s="4" t="str"/>
      <c r="AM515" s="4" t="str"/>
      <c r="AN515" s="4"/>
      <c r="AO515" s="4" t="str"/>
      <c r="AP515" s="4" t="str"/>
      <c r="AQ515" s="4" t="str"/>
      <c r="AR515" s="4" t="str"/>
      <c r="AS515" s="4" t="str"/>
      <c r="AT515" s="4" t="str"/>
      <c r="AU515" s="4" t="str"/>
      <c r="AV515" s="4"/>
      <c r="AW515" s="4">
        <f>IF(AND(Q515="✅", I515="U90"), "X="&amp;(U515-1)*16&amp;",Y="&amp;(V515-1)*16&amp;",Z="&amp;W515*16, "")</f>
      </c>
      <c r="AX515" s="4">
        <f>IF(AND(Q515="✅", I515="U90"), "P=90,Y=0,R=0", "")</f>
      </c>
      <c r="AY515" s="4" t="str"/>
      <c r="AZ515" s="4" t="str"/>
      <c r="BA515" s="4" t="str"/>
      <c r="BB515" s="4" t="str"/>
      <c r="BC515" s="4" t="str"/>
      <c r="BD515" s="4"/>
      <c r="BE515" s="4">
        <f>IF(AND(Q515="✅", I515="D90"), "X="&amp;(U515-1)*16&amp;",Y="&amp;(V515-1)*16&amp;",Z="&amp;(W515-2)*16, "")</f>
      </c>
      <c r="BF515" s="4">
        <f>IF(AND(Q515="✅", I515="D90"), "P=-90,Y=0,R=0", "")</f>
      </c>
      <c r="BG515" s="4" t="str"/>
      <c r="BH515" s="4" t="str"/>
      <c r="BI515" s="4" t="str"/>
      <c r="BJ515" s="4" t="str"/>
      <c r="BK515" s="4" t="str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</row>
    <row r="516">
      <c r="A516" s="11"/>
      <c r="B516" s="11"/>
      <c r="C516" s="119"/>
      <c r="D516" s="119"/>
      <c r="E516" s="5"/>
      <c r="F516" s="9">
        <f>IF(E516="", "", IF(G516="BP", E516, F515))</f>
      </c>
      <c r="G516" s="1"/>
      <c r="H516" s="1"/>
      <c r="I516" s="1"/>
      <c r="J516" s="1"/>
      <c r="K516" s="1"/>
      <c r="L516" s="1"/>
      <c r="M516" s="1"/>
      <c r="N516" s="3"/>
      <c r="O516" s="3"/>
      <c r="P516" s="3"/>
      <c r="Q516" s="3"/>
      <c r="R516" s="1" t="str"/>
      <c r="S516" s="9" t="str"/>
      <c r="T516" s="120" t="str"/>
      <c r="U516" s="118"/>
      <c r="V516" s="118"/>
      <c r="W516" s="118"/>
      <c r="X516" s="4"/>
      <c r="Y516" s="4">
        <f>IF(AND(Q516="✅", OR(ISNUMBER(FIND("F",I516)), I516="CR")),   "X="&amp;U516*16&amp;",Y="&amp;(V516-1)*16&amp;",Z="&amp;IF(I516="FD", -(W516-1)*16, (W516-1)*16),   "")</f>
      </c>
      <c r="Z516" s="4">
        <f>IF(AND(Q516="✅", OR(ISNUMBER(FIND("F",I516)), I516="CR")), "P=0,Y=0,R=0", "")</f>
      </c>
      <c r="AA516" s="4" t="str"/>
      <c r="AB516" s="4" t="str"/>
      <c r="AC516" s="4" t="str"/>
      <c r="AD516" s="4" t="str"/>
      <c r="AE516" s="4" t="str"/>
      <c r="AF516" s="4"/>
      <c r="AG516" s="4" t="str"/>
      <c r="AH516" s="4" t="str"/>
      <c r="AI516" s="4" t="str"/>
      <c r="AJ516" s="4" t="str"/>
      <c r="AK516" s="4" t="str"/>
      <c r="AL516" s="4" t="str"/>
      <c r="AM516" s="4" t="str"/>
      <c r="AN516" s="4"/>
      <c r="AO516" s="4" t="str"/>
      <c r="AP516" s="4" t="str"/>
      <c r="AQ516" s="4" t="str"/>
      <c r="AR516" s="4" t="str"/>
      <c r="AS516" s="4" t="str"/>
      <c r="AT516" s="4" t="str"/>
      <c r="AU516" s="4" t="str"/>
      <c r="AV516" s="4"/>
      <c r="AW516" s="4">
        <f>IF(AND(Q516="✅", I516="U90"), "X="&amp;(U516-1)*16&amp;",Y="&amp;(V516-1)*16&amp;",Z="&amp;W516*16, "")</f>
      </c>
      <c r="AX516" s="4">
        <f>IF(AND(Q516="✅", I516="U90"), "P=90,Y=0,R=0", "")</f>
      </c>
      <c r="AY516" s="4" t="str"/>
      <c r="AZ516" s="4" t="str"/>
      <c r="BA516" s="4" t="str"/>
      <c r="BB516" s="4" t="str"/>
      <c r="BC516" s="4" t="str"/>
      <c r="BD516" s="4"/>
      <c r="BE516" s="4">
        <f>IF(AND(Q516="✅", I516="D90"), "X="&amp;(U516-1)*16&amp;",Y="&amp;(V516-1)*16&amp;",Z="&amp;(W516-2)*16, "")</f>
      </c>
      <c r="BF516" s="4">
        <f>IF(AND(Q516="✅", I516="D90"), "P=-90,Y=0,R=0", "")</f>
      </c>
      <c r="BG516" s="4" t="str"/>
      <c r="BH516" s="4" t="str"/>
      <c r="BI516" s="4" t="str"/>
      <c r="BJ516" s="4" t="str"/>
      <c r="BK516" s="4" t="str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</row>
    <row r="517">
      <c r="A517" s="11"/>
      <c r="B517" s="11"/>
      <c r="C517" s="119"/>
      <c r="D517" s="119"/>
      <c r="E517" s="5"/>
      <c r="F517" s="9">
        <f>IF(E517="", "", IF(G517="BP", E517, F516))</f>
      </c>
      <c r="G517" s="1"/>
      <c r="H517" s="1"/>
      <c r="I517" s="1"/>
      <c r="J517" s="1"/>
      <c r="K517" s="1"/>
      <c r="L517" s="1"/>
      <c r="M517" s="1"/>
      <c r="N517" s="3"/>
      <c r="O517" s="3"/>
      <c r="P517" s="3"/>
      <c r="Q517" s="3"/>
      <c r="R517" s="1" t="str"/>
      <c r="S517" s="9" t="str"/>
      <c r="T517" s="120" t="str"/>
      <c r="U517" s="118"/>
      <c r="V517" s="118"/>
      <c r="W517" s="118"/>
      <c r="X517" s="4"/>
      <c r="Y517" s="4">
        <f>IF(AND(Q517="✅", OR(ISNUMBER(FIND("F",I517)), I517="CR")),   "X="&amp;U517*16&amp;",Y="&amp;(V517-1)*16&amp;",Z="&amp;IF(I517="FD", -(W517-1)*16, (W517-1)*16),   "")</f>
      </c>
      <c r="Z517" s="4">
        <f>IF(AND(Q517="✅", OR(ISNUMBER(FIND("F",I517)), I517="CR")), "P=0,Y=0,R=0", "")</f>
      </c>
      <c r="AA517" s="4" t="str"/>
      <c r="AB517" s="4" t="str"/>
      <c r="AC517" s="4" t="str"/>
      <c r="AD517" s="4" t="str"/>
      <c r="AE517" s="4" t="str"/>
      <c r="AF517" s="4"/>
      <c r="AG517" s="4" t="str"/>
      <c r="AH517" s="4" t="str"/>
      <c r="AI517" s="4" t="str"/>
      <c r="AJ517" s="4" t="str"/>
      <c r="AK517" s="4" t="str"/>
      <c r="AL517" s="4" t="str"/>
      <c r="AM517" s="4" t="str"/>
      <c r="AN517" s="4"/>
      <c r="AO517" s="4" t="str"/>
      <c r="AP517" s="4" t="str"/>
      <c r="AQ517" s="4" t="str"/>
      <c r="AR517" s="4" t="str"/>
      <c r="AS517" s="4" t="str"/>
      <c r="AT517" s="4" t="str"/>
      <c r="AU517" s="4" t="str"/>
      <c r="AV517" s="4"/>
      <c r="AW517" s="4">
        <f>IF(AND(Q517="✅", I517="U90"), "X="&amp;(U517-1)*16&amp;",Y="&amp;(V517-1)*16&amp;",Z="&amp;W517*16, "")</f>
      </c>
      <c r="AX517" s="4">
        <f>IF(AND(Q517="✅", I517="U90"), "P=90,Y=0,R=0", "")</f>
      </c>
      <c r="AY517" s="4" t="str"/>
      <c r="AZ517" s="4" t="str"/>
      <c r="BA517" s="4" t="str"/>
      <c r="BB517" s="4" t="str"/>
      <c r="BC517" s="4" t="str"/>
      <c r="BD517" s="4"/>
      <c r="BE517" s="4">
        <f>IF(AND(Q517="✅", I517="D90"), "X="&amp;(U517-1)*16&amp;",Y="&amp;(V517-1)*16&amp;",Z="&amp;(W517-2)*16, "")</f>
      </c>
      <c r="BF517" s="4">
        <f>IF(AND(Q517="✅", I517="D90"), "P=-90,Y=0,R=0", "")</f>
      </c>
      <c r="BG517" s="4" t="str"/>
      <c r="BH517" s="4" t="str"/>
      <c r="BI517" s="4" t="str"/>
      <c r="BJ517" s="4" t="str"/>
      <c r="BK517" s="4" t="str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</row>
    <row r="518">
      <c r="A518" s="11"/>
      <c r="B518" s="11"/>
      <c r="C518" s="119"/>
      <c r="D518" s="119"/>
      <c r="E518" s="5"/>
      <c r="F518" s="9">
        <f>IF(E518="", "", IF(G518="BP", E518, F517))</f>
      </c>
      <c r="G518" s="1"/>
      <c r="H518" s="1"/>
      <c r="I518" s="1"/>
      <c r="J518" s="1"/>
      <c r="K518" s="1"/>
      <c r="L518" s="1"/>
      <c r="M518" s="1"/>
      <c r="N518" s="3"/>
      <c r="O518" s="3"/>
      <c r="P518" s="3"/>
      <c r="Q518" s="3"/>
      <c r="R518" s="1" t="str"/>
      <c r="S518" s="9" t="str"/>
      <c r="T518" s="120" t="str"/>
      <c r="U518" s="118"/>
      <c r="V518" s="118"/>
      <c r="W518" s="118"/>
      <c r="X518" s="4"/>
      <c r="Y518" s="4">
        <f>IF(AND(Q518="✅", OR(ISNUMBER(FIND("F",I518)), I518="CR")),   "X="&amp;U518*16&amp;",Y="&amp;(V518-1)*16&amp;",Z="&amp;IF(I518="FD", -(W518-1)*16, (W518-1)*16),   "")</f>
      </c>
      <c r="Z518" s="4">
        <f>IF(AND(Q518="✅", OR(ISNUMBER(FIND("F",I518)), I518="CR")), "P=0,Y=0,R=0", "")</f>
      </c>
      <c r="AA518" s="4" t="str"/>
      <c r="AB518" s="4" t="str"/>
      <c r="AC518" s="4" t="str"/>
      <c r="AD518" s="4" t="str"/>
      <c r="AE518" s="4" t="str"/>
      <c r="AF518" s="4"/>
      <c r="AG518" s="4" t="str"/>
      <c r="AH518" s="4" t="str"/>
      <c r="AI518" s="4" t="str"/>
      <c r="AJ518" s="4" t="str"/>
      <c r="AK518" s="4" t="str"/>
      <c r="AL518" s="4" t="str"/>
      <c r="AM518" s="4" t="str"/>
      <c r="AN518" s="4"/>
      <c r="AO518" s="4" t="str"/>
      <c r="AP518" s="4" t="str"/>
      <c r="AQ518" s="4" t="str"/>
      <c r="AR518" s="4" t="str"/>
      <c r="AS518" s="4" t="str"/>
      <c r="AT518" s="4" t="str"/>
      <c r="AU518" s="4" t="str"/>
      <c r="AV518" s="4"/>
      <c r="AW518" s="4">
        <f>IF(AND(Q518="✅", I518="U90"), "X="&amp;(U518-1)*16&amp;",Y="&amp;(V518-1)*16&amp;",Z="&amp;W518*16, "")</f>
      </c>
      <c r="AX518" s="4">
        <f>IF(AND(Q518="✅", I518="U90"), "P=90,Y=0,R=0", "")</f>
      </c>
      <c r="AY518" s="4" t="str"/>
      <c r="AZ518" s="4" t="str"/>
      <c r="BA518" s="4" t="str"/>
      <c r="BB518" s="4" t="str"/>
      <c r="BC518" s="4" t="str"/>
      <c r="BD518" s="4"/>
      <c r="BE518" s="4">
        <f>IF(AND(Q518="✅", I518="D90"), "X="&amp;(U518-1)*16&amp;",Y="&amp;(V518-1)*16&amp;",Z="&amp;(W518-2)*16, "")</f>
      </c>
      <c r="BF518" s="4">
        <f>IF(AND(Q518="✅", I518="D90"), "P=-90,Y=0,R=0", "")</f>
      </c>
      <c r="BG518" s="4" t="str"/>
      <c r="BH518" s="4" t="str"/>
      <c r="BI518" s="4" t="str"/>
      <c r="BJ518" s="4" t="str"/>
      <c r="BK518" s="4" t="str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</row>
    <row r="519">
      <c r="A519" s="11"/>
      <c r="B519" s="11"/>
      <c r="C519" s="119"/>
      <c r="D519" s="119"/>
      <c r="E519" s="5"/>
      <c r="F519" s="9">
        <f>IF(E519="", "", IF(G519="BP", E519, F518))</f>
      </c>
      <c r="G519" s="1"/>
      <c r="H519" s="1"/>
      <c r="I519" s="1"/>
      <c r="J519" s="1"/>
      <c r="K519" s="1"/>
      <c r="L519" s="1"/>
      <c r="M519" s="1"/>
      <c r="N519" s="3"/>
      <c r="O519" s="3"/>
      <c r="P519" s="3"/>
      <c r="Q519" s="3"/>
      <c r="R519" s="1" t="str"/>
      <c r="S519" s="9" t="str"/>
      <c r="T519" s="120" t="str"/>
      <c r="U519" s="118"/>
      <c r="V519" s="118"/>
      <c r="W519" s="118"/>
      <c r="X519" s="4"/>
      <c r="Y519" s="4">
        <f>IF(AND(Q519="✅", OR(ISNUMBER(FIND("F",I519)), I519="CR")),   "X="&amp;U519*16&amp;",Y="&amp;(V519-1)*16&amp;",Z="&amp;IF(I519="FD", -(W519-1)*16, (W519-1)*16),   "")</f>
      </c>
      <c r="Z519" s="4">
        <f>IF(AND(Q519="✅", OR(ISNUMBER(FIND("F",I519)), I519="CR")), "P=0,Y=0,R=0", "")</f>
      </c>
      <c r="AA519" s="4" t="str"/>
      <c r="AB519" s="4" t="str"/>
      <c r="AC519" s="4" t="str"/>
      <c r="AD519" s="4" t="str"/>
      <c r="AE519" s="4" t="str"/>
      <c r="AF519" s="4"/>
      <c r="AG519" s="4" t="str"/>
      <c r="AH519" s="4" t="str"/>
      <c r="AI519" s="4" t="str"/>
      <c r="AJ519" s="4" t="str"/>
      <c r="AK519" s="4" t="str"/>
      <c r="AL519" s="4" t="str"/>
      <c r="AM519" s="4" t="str"/>
      <c r="AN519" s="4"/>
      <c r="AO519" s="4" t="str"/>
      <c r="AP519" s="4" t="str"/>
      <c r="AQ519" s="4" t="str"/>
      <c r="AR519" s="4" t="str"/>
      <c r="AS519" s="4" t="str"/>
      <c r="AT519" s="4" t="str"/>
      <c r="AU519" s="4" t="str"/>
      <c r="AV519" s="4"/>
      <c r="AW519" s="4">
        <f>IF(AND(Q519="✅", I519="U90"), "X="&amp;(U519-1)*16&amp;",Y="&amp;(V519-1)*16&amp;",Z="&amp;W519*16, "")</f>
      </c>
      <c r="AX519" s="4">
        <f>IF(AND(Q519="✅", I519="U90"), "P=90,Y=0,R=0", "")</f>
      </c>
      <c r="AY519" s="4" t="str"/>
      <c r="AZ519" s="4" t="str"/>
      <c r="BA519" s="4" t="str"/>
      <c r="BB519" s="4" t="str"/>
      <c r="BC519" s="4" t="str"/>
      <c r="BD519" s="4"/>
      <c r="BE519" s="4">
        <f>IF(AND(Q519="✅", I519="D90"), "X="&amp;(U519-1)*16&amp;",Y="&amp;(V519-1)*16&amp;",Z="&amp;(W519-2)*16, "")</f>
      </c>
      <c r="BF519" s="4">
        <f>IF(AND(Q519="✅", I519="D90"), "P=-90,Y=0,R=0", "")</f>
      </c>
      <c r="BG519" s="4" t="str"/>
      <c r="BH519" s="4" t="str"/>
      <c r="BI519" s="4" t="str"/>
      <c r="BJ519" s="4" t="str"/>
      <c r="BK519" s="4" t="str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</row>
    <row r="520">
      <c r="A520" s="11"/>
      <c r="B520" s="11"/>
      <c r="C520" s="119"/>
      <c r="D520" s="119"/>
      <c r="E520" s="5"/>
      <c r="F520" s="9">
        <f>IF(E520="", "", IF(G520="BP", E520, F519))</f>
      </c>
      <c r="G520" s="5"/>
      <c r="H520" s="5"/>
      <c r="I520" s="5"/>
      <c r="J520" s="5"/>
      <c r="K520" s="5"/>
      <c r="L520" s="5"/>
      <c r="M520" s="5"/>
      <c r="N520" s="3"/>
      <c r="O520" s="5"/>
      <c r="P520" s="5"/>
      <c r="Q520" s="5"/>
      <c r="R520" s="1" t="str"/>
      <c r="S520" s="9" t="str"/>
      <c r="T520" s="120" t="str"/>
      <c r="U520" s="154"/>
      <c r="V520" s="154"/>
      <c r="W520" s="154"/>
      <c r="X520" s="4"/>
      <c r="Y520" s="4">
        <f>IF(AND(Q520="✅", OR(ISNUMBER(FIND("F",I520)), I520="CR")),   "X="&amp;U520*16&amp;",Y="&amp;(V520-1)*16&amp;",Z="&amp;IF(I520="FD", -(W520-1)*16, (W520-1)*16),   "")</f>
      </c>
      <c r="Z520" s="5">
        <f>IF(AND(Q520="✅", OR(ISNUMBER(FIND("F",I520)), I520="CR")), "P=0,Y=0,R=0", "")</f>
      </c>
      <c r="AA520" s="1" t="str"/>
      <c r="AB520" s="1" t="str"/>
      <c r="AC520" s="1" t="str"/>
      <c r="AD520" s="1" t="str"/>
      <c r="AE520" s="5" t="str"/>
      <c r="AF520" s="5"/>
      <c r="AG520" s="5" t="str"/>
      <c r="AH520" s="5" t="str"/>
      <c r="AI520" s="5" t="str"/>
      <c r="AJ520" s="5" t="str"/>
      <c r="AK520" s="5" t="str"/>
      <c r="AL520" s="5" t="str"/>
      <c r="AM520" s="5" t="str"/>
      <c r="AN520" s="5"/>
      <c r="AO520" s="5" t="str"/>
      <c r="AP520" s="5" t="str"/>
      <c r="AQ520" s="5" t="str"/>
      <c r="AR520" s="5" t="str"/>
      <c r="AS520" s="5" t="str"/>
      <c r="AT520" s="5" t="str"/>
      <c r="AU520" s="5" t="str"/>
      <c r="AV520" s="5"/>
      <c r="AW520" s="5">
        <f>IF(AND(Q520="✅", I520="U90"), "X="&amp;(U520-1)*16&amp;",Y="&amp;(V520-1)*16&amp;",Z="&amp;W520*16, "")</f>
      </c>
      <c r="AX520" s="5">
        <f>IF(AND(Q520="✅", I520="U90"), "P=90,Y=0,R=0", "")</f>
      </c>
      <c r="AY520" s="5" t="str"/>
      <c r="AZ520" s="5" t="str"/>
      <c r="BA520" s="5" t="str"/>
      <c r="BB520" s="5" t="str"/>
      <c r="BC520" s="5" t="str"/>
      <c r="BD520" s="5"/>
      <c r="BE520" s="5">
        <f>IF(AND(Q520="✅", I520="D90"), "X="&amp;(U520-1)*16&amp;",Y="&amp;(V520-1)*16&amp;",Z="&amp;(W520-2)*16, "")</f>
      </c>
      <c r="BF520" s="5">
        <f>IF(AND(Q520="✅", I520="D90"), "P=-90,Y=0,R=0", "")</f>
      </c>
      <c r="BG520" s="5" t="str"/>
      <c r="BH520" s="5" t="str"/>
      <c r="BI520" s="5" t="str"/>
      <c r="BJ520" s="5" t="str"/>
      <c r="BK520" s="5" t="str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</row>
    <row r="521">
      <c r="A521" s="11"/>
      <c r="B521" s="11"/>
      <c r="C521" s="119"/>
      <c r="D521" s="119"/>
      <c r="E521" s="5"/>
      <c r="F521" s="9">
        <f>IF(E521="", "", IF(G521="BP", E521, F520))</f>
      </c>
      <c r="G521" s="5"/>
      <c r="H521" s="5"/>
      <c r="I521" s="5"/>
      <c r="J521" s="5"/>
      <c r="K521" s="5"/>
      <c r="L521" s="5"/>
      <c r="M521" s="5"/>
      <c r="N521" s="3"/>
      <c r="O521" s="5"/>
      <c r="P521" s="5"/>
      <c r="Q521" s="5"/>
      <c r="R521" s="1" t="str"/>
      <c r="S521" s="9" t="str"/>
      <c r="T521" s="120" t="str"/>
      <c r="U521" s="154"/>
      <c r="V521" s="154"/>
      <c r="W521" s="154"/>
      <c r="X521" s="4"/>
      <c r="Y521" s="4">
        <f>IF(AND(Q521="✅", OR(ISNUMBER(FIND("F",I521)), I521="CR")),   "X="&amp;U521*16&amp;",Y="&amp;(V521-1)*16&amp;",Z="&amp;IF(I521="FD", -(W521-1)*16, (W521-1)*16),   "")</f>
      </c>
      <c r="Z521" s="5">
        <f>IF(AND(Q521="✅", OR(ISNUMBER(FIND("F",I521)), I521="CR")), "P=0,Y=0,R=0", "")</f>
      </c>
      <c r="AA521" s="1" t="str"/>
      <c r="AB521" s="1" t="str"/>
      <c r="AC521" s="1" t="str"/>
      <c r="AD521" s="1" t="str"/>
      <c r="AE521" s="5" t="str"/>
      <c r="AF521" s="5"/>
      <c r="AG521" s="5" t="str"/>
      <c r="AH521" s="5" t="str"/>
      <c r="AI521" s="5" t="str"/>
      <c r="AJ521" s="5" t="str"/>
      <c r="AK521" s="5" t="str"/>
      <c r="AL521" s="5" t="str"/>
      <c r="AM521" s="5" t="str"/>
      <c r="AN521" s="5"/>
      <c r="AO521" s="5" t="str"/>
      <c r="AP521" s="5" t="str"/>
      <c r="AQ521" s="5" t="str"/>
      <c r="AR521" s="5" t="str"/>
      <c r="AS521" s="5" t="str"/>
      <c r="AT521" s="5" t="str"/>
      <c r="AU521" s="5" t="str"/>
      <c r="AV521" s="5"/>
      <c r="AW521" s="5">
        <f>IF(AND(Q521="✅", I521="U90"), "X="&amp;(U521-1)*16&amp;",Y="&amp;(V521-1)*16&amp;",Z="&amp;W521*16, "")</f>
      </c>
      <c r="AX521" s="5">
        <f>IF(AND(Q521="✅", I521="U90"), "P=90,Y=0,R=0", "")</f>
      </c>
      <c r="AY521" s="5" t="str"/>
      <c r="AZ521" s="5" t="str"/>
      <c r="BA521" s="5" t="str"/>
      <c r="BB521" s="5" t="str"/>
      <c r="BC521" s="5" t="str"/>
      <c r="BD521" s="5"/>
      <c r="BE521" s="5">
        <f>IF(AND(Q521="✅", I521="D90"), "X="&amp;(U521-1)*16&amp;",Y="&amp;(V521-1)*16&amp;",Z="&amp;(W521-2)*16, "")</f>
      </c>
      <c r="BF521" s="5">
        <f>IF(AND(Q521="✅", I521="D90"), "P=-90,Y=0,R=0", "")</f>
      </c>
      <c r="BG521" s="5" t="str"/>
      <c r="BH521" s="5" t="str"/>
      <c r="BI521" s="5" t="str"/>
      <c r="BJ521" s="5" t="str"/>
      <c r="BK521" s="5" t="str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</row>
    <row r="522">
      <c r="A522" s="11"/>
      <c r="B522" s="11"/>
      <c r="C522" s="119"/>
      <c r="D522" s="119"/>
      <c r="E522" s="5"/>
      <c r="F522" s="9">
        <f>IF(E522="", "", IF(G522="BP", E522, F521))</f>
      </c>
      <c r="G522" s="5"/>
      <c r="H522" s="5"/>
      <c r="I522" s="5"/>
      <c r="J522" s="5"/>
      <c r="K522" s="5"/>
      <c r="L522" s="5"/>
      <c r="M522" s="5"/>
      <c r="N522" s="3"/>
      <c r="O522" s="5"/>
      <c r="P522" s="5"/>
      <c r="Q522" s="5"/>
      <c r="R522" s="1" t="str"/>
      <c r="S522" s="9" t="str"/>
      <c r="T522" s="120" t="str"/>
      <c r="U522" s="154"/>
      <c r="V522" s="154"/>
      <c r="W522" s="154"/>
      <c r="X522" s="4"/>
      <c r="Y522" s="4">
        <f>IF(AND(Q522="✅", OR(ISNUMBER(FIND("F",I522)), I522="CR")),   "X="&amp;U522*16&amp;",Y="&amp;(V522-1)*16&amp;",Z="&amp;IF(I522="FD", -(W522-1)*16, (W522-1)*16),   "")</f>
      </c>
      <c r="Z522" s="5">
        <f>IF(AND(Q522="✅", OR(ISNUMBER(FIND("F",I522)), I522="CR")), "P=0,Y=0,R=0", "")</f>
      </c>
      <c r="AA522" s="1" t="str"/>
      <c r="AB522" s="1" t="str"/>
      <c r="AC522" s="1" t="str"/>
      <c r="AD522" s="1" t="str"/>
      <c r="AE522" s="5" t="str"/>
      <c r="AF522" s="5"/>
      <c r="AG522" s="5" t="str"/>
      <c r="AH522" s="5" t="str"/>
      <c r="AI522" s="5" t="str"/>
      <c r="AJ522" s="5" t="str"/>
      <c r="AK522" s="5" t="str"/>
      <c r="AL522" s="5" t="str"/>
      <c r="AM522" s="5" t="str"/>
      <c r="AN522" s="5"/>
      <c r="AO522" s="5" t="str"/>
      <c r="AP522" s="5" t="str"/>
      <c r="AQ522" s="5" t="str"/>
      <c r="AR522" s="5" t="str"/>
      <c r="AS522" s="5" t="str"/>
      <c r="AT522" s="5" t="str"/>
      <c r="AU522" s="5" t="str"/>
      <c r="AV522" s="5"/>
      <c r="AW522" s="5">
        <f>IF(AND(Q522="✅", I522="U90"), "X="&amp;(U522-1)*16&amp;",Y="&amp;(V522-1)*16&amp;",Z="&amp;W522*16, "")</f>
      </c>
      <c r="AX522" s="5">
        <f>IF(AND(Q522="✅", I522="U90"), "P=90,Y=0,R=0", "")</f>
      </c>
      <c r="AY522" s="5" t="str"/>
      <c r="AZ522" s="5" t="str"/>
      <c r="BA522" s="5" t="str"/>
      <c r="BB522" s="5" t="str"/>
      <c r="BC522" s="5" t="str"/>
      <c r="BD522" s="5"/>
      <c r="BE522" s="5">
        <f>IF(AND(Q522="✅", I522="D90"), "X="&amp;(U522-1)*16&amp;",Y="&amp;(V522-1)*16&amp;",Z="&amp;(W522-2)*16, "")</f>
      </c>
      <c r="BF522" s="5">
        <f>IF(AND(Q522="✅", I522="D90"), "P=-90,Y=0,R=0", "")</f>
      </c>
      <c r="BG522" s="5" t="str"/>
      <c r="BH522" s="5" t="str"/>
      <c r="BI522" s="5" t="str"/>
      <c r="BJ522" s="5" t="str"/>
      <c r="BK522" s="5" t="str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</row>
    <row r="523">
      <c r="A523" s="11"/>
      <c r="B523" s="11"/>
      <c r="C523" s="119"/>
      <c r="D523" s="119"/>
      <c r="E523" s="5"/>
      <c r="F523" s="9">
        <f>IF(E523="", "", IF(G523="BP", E523, F522))</f>
      </c>
      <c r="G523" s="5"/>
      <c r="H523" s="5"/>
      <c r="I523" s="5"/>
      <c r="J523" s="5"/>
      <c r="K523" s="5"/>
      <c r="L523" s="5"/>
      <c r="M523" s="5"/>
      <c r="N523" s="3"/>
      <c r="O523" s="5"/>
      <c r="P523" s="5"/>
      <c r="Q523" s="5"/>
      <c r="R523" s="1" t="str"/>
      <c r="S523" s="9" t="str"/>
      <c r="T523" s="120" t="str"/>
      <c r="U523" s="154"/>
      <c r="V523" s="154"/>
      <c r="W523" s="154"/>
      <c r="X523" s="4"/>
      <c r="Y523" s="4">
        <f>IF(AND(Q523="✅", OR(ISNUMBER(FIND("F",I523)), I523="CR")),   "X="&amp;U523*16&amp;",Y="&amp;(V523-1)*16&amp;",Z="&amp;IF(I523="FD", -(W523-1)*16, (W523-1)*16),   "")</f>
      </c>
      <c r="Z523" s="5">
        <f>IF(AND(Q523="✅", OR(ISNUMBER(FIND("F",I523)), I523="CR")), "P=0,Y=0,R=0", "")</f>
      </c>
      <c r="AA523" s="1" t="str"/>
      <c r="AB523" s="1" t="str"/>
      <c r="AC523" s="1" t="str"/>
      <c r="AD523" s="1" t="str"/>
      <c r="AE523" s="5" t="str"/>
      <c r="AF523" s="5"/>
      <c r="AG523" s="5" t="str"/>
      <c r="AH523" s="5" t="str"/>
      <c r="AI523" s="5" t="str"/>
      <c r="AJ523" s="5" t="str"/>
      <c r="AK523" s="5" t="str"/>
      <c r="AL523" s="5" t="str"/>
      <c r="AM523" s="5" t="str"/>
      <c r="AN523" s="5"/>
      <c r="AO523" s="5" t="str"/>
      <c r="AP523" s="5" t="str"/>
      <c r="AQ523" s="5" t="str"/>
      <c r="AR523" s="5" t="str"/>
      <c r="AS523" s="5" t="str"/>
      <c r="AT523" s="5" t="str"/>
      <c r="AU523" s="5" t="str"/>
      <c r="AV523" s="5"/>
      <c r="AW523" s="5">
        <f>IF(AND(Q523="✅", I523="U90"), "X="&amp;(U523-1)*16&amp;",Y="&amp;(V523-1)*16&amp;",Z="&amp;W523*16, "")</f>
      </c>
      <c r="AX523" s="5">
        <f>IF(AND(Q523="✅", I523="U90"), "P=90,Y=0,R=0", "")</f>
      </c>
      <c r="AY523" s="5" t="str"/>
      <c r="AZ523" s="5" t="str"/>
      <c r="BA523" s="5" t="str"/>
      <c r="BB523" s="5" t="str"/>
      <c r="BC523" s="5" t="str"/>
      <c r="BD523" s="5"/>
      <c r="BE523" s="5">
        <f>IF(AND(Q523="✅", I523="D90"), "X="&amp;(U523-1)*16&amp;",Y="&amp;(V523-1)*16&amp;",Z="&amp;(W523-2)*16, "")</f>
      </c>
      <c r="BF523" s="5">
        <f>IF(AND(Q523="✅", I523="D90"), "P=-90,Y=0,R=0", "")</f>
      </c>
      <c r="BG523" s="5" t="str"/>
      <c r="BH523" s="5" t="str"/>
      <c r="BI523" s="5" t="str"/>
      <c r="BJ523" s="5" t="str"/>
      <c r="BK523" s="5" t="str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</row>
    <row r="524">
      <c r="A524" s="11"/>
      <c r="B524" s="11"/>
      <c r="C524" s="119"/>
      <c r="D524" s="119"/>
      <c r="E524" s="5"/>
      <c r="F524" s="9">
        <f>IF(E524="", "", IF(G524="BP", E524, F523))</f>
      </c>
      <c r="G524" s="5"/>
      <c r="H524" s="5"/>
      <c r="I524" s="5"/>
      <c r="J524" s="5"/>
      <c r="K524" s="5"/>
      <c r="L524" s="5"/>
      <c r="M524" s="5"/>
      <c r="N524" s="3"/>
      <c r="O524" s="5"/>
      <c r="P524" s="5"/>
      <c r="Q524" s="5"/>
      <c r="R524" s="1" t="str"/>
      <c r="S524" s="9" t="str"/>
      <c r="T524" s="120" t="str"/>
      <c r="U524" s="154"/>
      <c r="V524" s="154"/>
      <c r="W524" s="154"/>
      <c r="X524" s="4"/>
      <c r="Y524" s="4">
        <f>IF(AND(Q524="✅", OR(ISNUMBER(FIND("F",I524)), I524="CR")),   "X="&amp;U524*16&amp;",Y="&amp;(V524-1)*16&amp;",Z="&amp;IF(I524="FD", -(W524-1)*16, (W524-1)*16),   "")</f>
      </c>
      <c r="Z524" s="5">
        <f>IF(AND(Q524="✅", OR(ISNUMBER(FIND("F",I524)), I524="CR")), "P=0,Y=0,R=0", "")</f>
      </c>
      <c r="AA524" s="1" t="str"/>
      <c r="AB524" s="1" t="str"/>
      <c r="AC524" s="1" t="str"/>
      <c r="AD524" s="1" t="str"/>
      <c r="AE524" s="5" t="str"/>
      <c r="AF524" s="5"/>
      <c r="AG524" s="5" t="str"/>
      <c r="AH524" s="5" t="str"/>
      <c r="AI524" s="5" t="str"/>
      <c r="AJ524" s="5" t="str"/>
      <c r="AK524" s="5" t="str"/>
      <c r="AL524" s="5" t="str"/>
      <c r="AM524" s="5" t="str"/>
      <c r="AN524" s="5"/>
      <c r="AO524" s="5" t="str"/>
      <c r="AP524" s="5" t="str"/>
      <c r="AQ524" s="5" t="str"/>
      <c r="AR524" s="5" t="str"/>
      <c r="AS524" s="5" t="str"/>
      <c r="AT524" s="5" t="str"/>
      <c r="AU524" s="5" t="str"/>
      <c r="AV524" s="5"/>
      <c r="AW524" s="5">
        <f>IF(AND(Q524="✅", I524="U90"), "X="&amp;(U524-1)*16&amp;",Y="&amp;(V524-1)*16&amp;",Z="&amp;W524*16, "")</f>
      </c>
      <c r="AX524" s="5">
        <f>IF(AND(Q524="✅", I524="U90"), "P=90,Y=0,R=0", "")</f>
      </c>
      <c r="AY524" s="5" t="str"/>
      <c r="AZ524" s="5" t="str"/>
      <c r="BA524" s="5" t="str"/>
      <c r="BB524" s="5" t="str"/>
      <c r="BC524" s="5" t="str"/>
      <c r="BD524" s="5"/>
      <c r="BE524" s="5">
        <f>IF(AND(Q524="✅", I524="D90"), "X="&amp;(U524-1)*16&amp;",Y="&amp;(V524-1)*16&amp;",Z="&amp;(W524-2)*16, "")</f>
      </c>
      <c r="BF524" s="5">
        <f>IF(AND(Q524="✅", I524="D90"), "P=-90,Y=0,R=0", "")</f>
      </c>
      <c r="BG524" s="5" t="str"/>
      <c r="BH524" s="5" t="str"/>
      <c r="BI524" s="5" t="str"/>
      <c r="BJ524" s="5" t="str"/>
      <c r="BK524" s="5" t="str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</row>
    <row r="525">
      <c r="A525" s="11"/>
      <c r="B525" s="11"/>
      <c r="C525" s="119"/>
      <c r="D525" s="119"/>
      <c r="E525" s="5"/>
      <c r="F525" s="9">
        <f>IF(E525="", "", IF(G525="BP", E525, F524))</f>
      </c>
      <c r="G525" s="5"/>
      <c r="H525" s="5"/>
      <c r="I525" s="5"/>
      <c r="J525" s="5"/>
      <c r="K525" s="5"/>
      <c r="L525" s="5"/>
      <c r="M525" s="5"/>
      <c r="N525" s="3"/>
      <c r="O525" s="5"/>
      <c r="P525" s="5"/>
      <c r="Q525" s="5"/>
      <c r="R525" s="1" t="str"/>
      <c r="S525" s="9" t="str"/>
      <c r="T525" s="120" t="str"/>
      <c r="U525" s="154"/>
      <c r="V525" s="154"/>
      <c r="W525" s="154"/>
      <c r="X525" s="4"/>
      <c r="Y525" s="4">
        <f>IF(AND(Q525="✅", OR(ISNUMBER(FIND("F",I525)), I525="CR")),   "X="&amp;U525*16&amp;",Y="&amp;(V525-1)*16&amp;",Z="&amp;IF(I525="FD", -(W525-1)*16, (W525-1)*16),   "")</f>
      </c>
      <c r="Z525" s="5">
        <f>IF(AND(Q525="✅", OR(ISNUMBER(FIND("F",I525)), I525="CR")), "P=0,Y=0,R=0", "")</f>
      </c>
      <c r="AA525" s="1" t="str"/>
      <c r="AB525" s="1" t="str"/>
      <c r="AC525" s="1" t="str"/>
      <c r="AD525" s="1" t="str"/>
      <c r="AE525" s="5" t="str"/>
      <c r="AF525" s="5"/>
      <c r="AG525" s="5" t="str"/>
      <c r="AH525" s="5" t="str"/>
      <c r="AI525" s="5" t="str"/>
      <c r="AJ525" s="5" t="str"/>
      <c r="AK525" s="5" t="str"/>
      <c r="AL525" s="5" t="str"/>
      <c r="AM525" s="5" t="str"/>
      <c r="AN525" s="5"/>
      <c r="AO525" s="5" t="str"/>
      <c r="AP525" s="5" t="str"/>
      <c r="AQ525" s="5" t="str"/>
      <c r="AR525" s="5" t="str"/>
      <c r="AS525" s="5" t="str"/>
      <c r="AT525" s="5" t="str"/>
      <c r="AU525" s="5" t="str"/>
      <c r="AV525" s="5"/>
      <c r="AW525" s="5">
        <f>IF(AND(Q525="✅", I525="U90"), "X="&amp;(U525-1)*16&amp;",Y="&amp;(V525-1)*16&amp;",Z="&amp;W525*16, "")</f>
      </c>
      <c r="AX525" s="5">
        <f>IF(AND(Q525="✅", I525="U90"), "P=90,Y=0,R=0", "")</f>
      </c>
      <c r="AY525" s="5" t="str"/>
      <c r="AZ525" s="5" t="str"/>
      <c r="BA525" s="5" t="str"/>
      <c r="BB525" s="5" t="str"/>
      <c r="BC525" s="5" t="str"/>
      <c r="BD525" s="5"/>
      <c r="BE525" s="5">
        <f>IF(AND(Q525="✅", I525="D90"), "X="&amp;(U525-1)*16&amp;",Y="&amp;(V525-1)*16&amp;",Z="&amp;(W525-2)*16, "")</f>
      </c>
      <c r="BF525" s="5">
        <f>IF(AND(Q525="✅", I525="D90"), "P=-90,Y=0,R=0", "")</f>
      </c>
      <c r="BG525" s="5" t="str"/>
      <c r="BH525" s="5" t="str"/>
      <c r="BI525" s="5" t="str"/>
      <c r="BJ525" s="5" t="str"/>
      <c r="BK525" s="5" t="str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</row>
    <row r="526">
      <c r="A526" s="11"/>
      <c r="B526" s="11"/>
      <c r="C526" s="119"/>
      <c r="D526" s="119"/>
      <c r="E526" s="5"/>
      <c r="F526" s="9">
        <f>IF(E526="", "", IF(G526="BP", E526, F525))</f>
      </c>
      <c r="G526" s="5"/>
      <c r="H526" s="5"/>
      <c r="I526" s="5"/>
      <c r="J526" s="5"/>
      <c r="K526" s="5"/>
      <c r="L526" s="5"/>
      <c r="M526" s="5"/>
      <c r="N526" s="3"/>
      <c r="O526" s="5"/>
      <c r="P526" s="5"/>
      <c r="Q526" s="5"/>
      <c r="R526" s="1" t="str"/>
      <c r="S526" s="9" t="str"/>
      <c r="T526" s="120" t="str"/>
      <c r="U526" s="154"/>
      <c r="V526" s="154"/>
      <c r="W526" s="154"/>
      <c r="X526" s="4"/>
      <c r="Y526" s="4">
        <f>IF(AND(Q526="✅", OR(ISNUMBER(FIND("F",I526)), I526="CR")),   "X="&amp;U526*16&amp;",Y="&amp;(V526-1)*16&amp;",Z="&amp;IF(I526="FD", -(W526-1)*16, (W526-1)*16),   "")</f>
      </c>
      <c r="Z526" s="5">
        <f>IF(AND(Q526="✅", OR(ISNUMBER(FIND("F",I526)), I526="CR")), "P=0,Y=0,R=0", "")</f>
      </c>
      <c r="AA526" s="1" t="str"/>
      <c r="AB526" s="1" t="str"/>
      <c r="AC526" s="1" t="str"/>
      <c r="AD526" s="1" t="str"/>
      <c r="AE526" s="5" t="str"/>
      <c r="AF526" s="5"/>
      <c r="AG526" s="5" t="str"/>
      <c r="AH526" s="5" t="str"/>
      <c r="AI526" s="5" t="str"/>
      <c r="AJ526" s="5" t="str"/>
      <c r="AK526" s="5" t="str"/>
      <c r="AL526" s="5" t="str"/>
      <c r="AM526" s="5" t="str"/>
      <c r="AN526" s="5"/>
      <c r="AO526" s="5" t="str"/>
      <c r="AP526" s="5" t="str"/>
      <c r="AQ526" s="5" t="str"/>
      <c r="AR526" s="5" t="str"/>
      <c r="AS526" s="5" t="str"/>
      <c r="AT526" s="5" t="str"/>
      <c r="AU526" s="5" t="str"/>
      <c r="AV526" s="5"/>
      <c r="AW526" s="5">
        <f>IF(AND(Q526="✅", I526="U90"), "X="&amp;(U526-1)*16&amp;",Y="&amp;(V526-1)*16&amp;",Z="&amp;W526*16, "")</f>
      </c>
      <c r="AX526" s="5">
        <f>IF(AND(Q526="✅", I526="U90"), "P=90,Y=0,R=0", "")</f>
      </c>
      <c r="AY526" s="5" t="str"/>
      <c r="AZ526" s="5" t="str"/>
      <c r="BA526" s="5" t="str"/>
      <c r="BB526" s="5" t="str"/>
      <c r="BC526" s="5" t="str"/>
      <c r="BD526" s="5"/>
      <c r="BE526" s="5">
        <f>IF(AND(Q526="✅", I526="D90"), "X="&amp;(U526-1)*16&amp;",Y="&amp;(V526-1)*16&amp;",Z="&amp;(W526-2)*16, "")</f>
      </c>
      <c r="BF526" s="5">
        <f>IF(AND(Q526="✅", I526="D90"), "P=-90,Y=0,R=0", "")</f>
      </c>
      <c r="BG526" s="5" t="str"/>
      <c r="BH526" s="5" t="str"/>
      <c r="BI526" s="5" t="str"/>
      <c r="BJ526" s="5" t="str"/>
      <c r="BK526" s="5" t="str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>
      <c r="A527" s="11"/>
      <c r="B527" s="11"/>
      <c r="C527" s="119"/>
      <c r="D527" s="119"/>
      <c r="E527" s="5"/>
      <c r="F527" s="9">
        <f>IF(E527="", "", IF(G527="BP", E527, F526))</f>
      </c>
      <c r="G527" s="5"/>
      <c r="H527" s="5"/>
      <c r="I527" s="5"/>
      <c r="J527" s="5"/>
      <c r="K527" s="5"/>
      <c r="L527" s="5"/>
      <c r="M527" s="5"/>
      <c r="N527" s="3"/>
      <c r="O527" s="5"/>
      <c r="P527" s="5"/>
      <c r="Q527" s="5"/>
      <c r="R527" s="1" t="str"/>
      <c r="S527" s="9" t="str"/>
      <c r="T527" s="120" t="str"/>
      <c r="U527" s="154"/>
      <c r="V527" s="154"/>
      <c r="W527" s="154"/>
      <c r="X527" s="4"/>
      <c r="Y527" s="4">
        <f>IF(AND(Q527="✅", OR(ISNUMBER(FIND("F",I527)), I527="CR")),   "X="&amp;U527*16&amp;",Y="&amp;(V527-1)*16&amp;",Z="&amp;IF(I527="FD", -(W527-1)*16, (W527-1)*16),   "")</f>
      </c>
      <c r="Z527" s="5">
        <f>IF(AND(Q527="✅", OR(ISNUMBER(FIND("F",I527)), I527="CR")), "P=0,Y=0,R=0", "")</f>
      </c>
      <c r="AA527" s="1" t="str"/>
      <c r="AB527" s="1" t="str"/>
      <c r="AC527" s="1" t="str"/>
      <c r="AD527" s="1" t="str"/>
      <c r="AE527" s="5" t="str"/>
      <c r="AF527" s="5"/>
      <c r="AG527" s="5" t="str"/>
      <c r="AH527" s="5" t="str"/>
      <c r="AI527" s="5" t="str"/>
      <c r="AJ527" s="5" t="str"/>
      <c r="AK527" s="5" t="str"/>
      <c r="AL527" s="5" t="str"/>
      <c r="AM527" s="5" t="str"/>
      <c r="AN527" s="5"/>
      <c r="AO527" s="5" t="str"/>
      <c r="AP527" s="5" t="str"/>
      <c r="AQ527" s="5" t="str"/>
      <c r="AR527" s="5" t="str"/>
      <c r="AS527" s="5" t="str"/>
      <c r="AT527" s="5" t="str"/>
      <c r="AU527" s="5" t="str"/>
      <c r="AV527" s="5"/>
      <c r="AW527" s="5">
        <f>IF(AND(Q527="✅", I527="U90"), "X="&amp;(U527-1)*16&amp;",Y="&amp;(V527-1)*16&amp;",Z="&amp;W527*16, "")</f>
      </c>
      <c r="AX527" s="5">
        <f>IF(AND(Q527="✅", I527="U90"), "P=90,Y=0,R=0", "")</f>
      </c>
      <c r="AY527" s="5" t="str"/>
      <c r="AZ527" s="5" t="str"/>
      <c r="BA527" s="5" t="str"/>
      <c r="BB527" s="5" t="str"/>
      <c r="BC527" s="5" t="str"/>
      <c r="BD527" s="5"/>
      <c r="BE527" s="5">
        <f>IF(AND(Q527="✅", I527="D90"), "X="&amp;(U527-1)*16&amp;",Y="&amp;(V527-1)*16&amp;",Z="&amp;(W527-2)*16, "")</f>
      </c>
      <c r="BF527" s="5">
        <f>IF(AND(Q527="✅", I527="D90"), "P=-90,Y=0,R=0", "")</f>
      </c>
      <c r="BG527" s="5" t="str"/>
      <c r="BH527" s="5" t="str"/>
      <c r="BI527" s="5" t="str"/>
      <c r="BJ527" s="5" t="str"/>
      <c r="BK527" s="5" t="str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</sheetData>
  <conditionalFormatting sqref="A1:D1048576">
    <cfRule dxfId="5" operator="equal" priority="2" stopIfTrue="true" type="cellIs">
      <formula>" "</formula>
    </cfRule>
  </conditionalFormatting>
  <conditionalFormatting sqref="E1:E1048576">
    <cfRule dxfId="6" priority="3" stopIfTrue="true" type="duplicateValues"/>
  </conditionalFormatting>
  <dataValidations count="3">
    <dataValidation allowBlank="true" errorStyle="stop" showDropDown="true" showErrorMessage="true" sqref="N2:N527" type="list">
      <formula1>"1,2,3,4,5,6"</formula1>
    </dataValidation>
    <dataValidation allowBlank="true" errorStyle="stop" showDropDown="true" showErrorMessage="true" sqref="G2:G527" type="list">
      <formula1>"BP,SM"</formula1>
    </dataValidation>
    <dataValidation allowBlank="true" errorStyle="stop" showDropDown="true" showErrorMessage="true" sqref="U2:U527 V2:V527 W2:W527" type="list">
      <formula1>"1,2,3,4"</formula1>
    </dataValidation>
  </dataValidations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true" errorStyle="stop" showDropDown="true" showErrorMessage="true" xr:uid="{6A7F66B5-C3D6-45A6-A538-37467E5DE179}">
          <x14:formula1>
            <xm:f>'引用列表'!$I$2:$I$16</xm:f>
          </x14:formula1>
          <xm:sqref>K327:K337</xm:sqref>
        </x14:dataValidation>
        <x14:dataValidation type="list" allowBlank="true" errorStyle="stop" showDropDown="true" showErrorMessage="true" xr:uid="{E56215B3-B4F2-43DE-A89D-F17753299527}">
          <x14:formula1>
            <xm:f>'引用列表'!$A$2:$A$21</xm:f>
          </x14:formula1>
          <xm:sqref>H2:H527</xm:sqref>
        </x14:dataValidation>
        <x14:dataValidation type="list" allowBlank="true" errorStyle="stop" showDropDown="true" showErrorMessage="true" xr:uid="{23EBE33E-AE4E-4E8B-AE1F-9B7AD9BF9617}">
          <x14:formula1>
            <xm:f>'引用列表'!$I$2:$I$16</xm:f>
          </x14:formula1>
          <xm:sqref>K2:K326 K338:K519 J2:J527</xm:sqref>
        </x14:dataValidation>
        <x14:dataValidation type="list" allowBlank="true" errorStyle="stop" showDropDown="true" showErrorMessage="true" xr:uid="{DCA7717F-CEBD-48CB-8A56-C3BB817940A5}">
          <x14:formula1>
            <xm:f>'引用列表'!$AJ$2:$AJ$20</xm:f>
          </x14:formula1>
          <xm:sqref>O2:O527 P2:P527 Q2:Q527</xm:sqref>
        </x14:dataValidation>
        <x14:dataValidation type="list" allowBlank="true" errorStyle="stop" showDropDown="true" showErrorMessage="true" xr:uid="{346032EF-5F62-43B0-951A-7D9F32E32B25}">
          <x14:formula1>
            <xm:f>'引用列表'!$N$2:$N$25</xm:f>
          </x14:formula1>
          <xm:sqref>M2:M527</xm:sqref>
        </x14:dataValidation>
        <x14:dataValidation type="list" allowBlank="true" errorStyle="stop" showDropDown="true" showErrorMessage="true" xr:uid="{BB72962F-4F20-464A-835E-315C629167A8}">
          <x14:formula1>
            <xm:f>'引用列表'!$E$2:$E$20</xm:f>
          </x14:formula1>
          <xm:sqref>I2:I527</xm:sqref>
        </x14:dataValidation>
      </x14:dataValidations>
    </ext>
  </extLst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ee085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1"/>
    <col collapsed="false" customWidth="true" hidden="false" max="2" min="2" style="0" width="26"/>
    <col collapsed="false" customWidth="true" hidden="false" max="3" min="3" style="0" width="17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</cols>
  <sheetData>
    <row r="1">
      <c r="A1" s="17" t="str">
        <v>RowName</v>
      </c>
      <c r="B1" s="17" t="str">
        <v>MeshRef</v>
      </c>
      <c r="C1" s="17" t="str">
        <v>StartOpeningType</v>
      </c>
      <c r="D1" s="17" t="str">
        <v>EndOpeningType</v>
      </c>
      <c r="E1" s="17" t="str">
        <v>LeftOpeningType</v>
      </c>
      <c r="F1" s="17" t="str">
        <v>RightOpeningType</v>
      </c>
      <c r="G1" s="17" t="str">
        <v>StartStyleType</v>
      </c>
      <c r="H1" s="17" t="str">
        <v>EndStyleType</v>
      </c>
      <c r="I1" s="17" t="str">
        <v>LeftStyleType</v>
      </c>
      <c r="J1" s="17" t="str">
        <v>RightStyleType</v>
      </c>
      <c r="K1" s="14" t="str">
        <v>bEndOnly</v>
      </c>
    </row>
    <row r="2">
      <c r="A2">
        <f t="array" ref="A2:A80">FILTER(VoxelMeshDefinition!E:E,(VoxelMeshDefinition!AE:AE="✅")+(VoxelMeshDefinition!AE:AE="❗"))</f>
      </c>
      <c r="B2">
        <f t="array" ref="B2:B80">FILTER(VoxelMeshDefinition!S:S,(VoxelMeshDefinition!AE:AE="✅")+(VoxelMeshDefinition!AE:AE="❗"))</f>
      </c>
      <c r="C2">
        <f t="array" ref="C2:C80">FILTER(VoxelMeshDefinition!T:T,(VoxelMeshDefinition!AE:AE="✅")+(VoxelMeshDefinition!AE:AE="❗"))</f>
      </c>
      <c r="D2" s="9">
        <f t="array" ref="D2:D80">FILTER(VoxelMeshDefinition!U:U,(VoxelMeshDefinition!AE:AE="✅")+(VoxelMeshDefinition!AE:AE="❗"))</f>
      </c>
      <c r="E2">
        <f t="array" ref="E2:E80">FILTER(VoxelMeshDefinition!V:V,(VoxelMeshDefinition!AE:AE="✅")+(VoxelMeshDefinition!AE:AE="❗"))</f>
      </c>
      <c r="F2" s="9">
        <f t="array" ref="F2:F80">FILTER(VoxelMeshDefinition!W:W,(VoxelMeshDefinition!AE:AE="✅")+(VoxelMeshDefinition!AE:AE="❗"))</f>
      </c>
      <c r="G2" s="9">
        <f t="array" ref="G2:G80">FILTER(VoxelMeshDefinition!X:X,(VoxelMeshDefinition!AE:AE="✅")+(VoxelMeshDefinition!AE:AE="❗"))</f>
      </c>
      <c r="H2" s="9">
        <f t="array" ref="H2:H80">FILTER(VoxelMeshDefinition!Y:Y,(VoxelMeshDefinition!AE:AE="✅")+(VoxelMeshDefinition!AE:AE="❗"))</f>
      </c>
      <c r="I2">
        <f t="array" ref="I2:I80">FILTER(VoxelMeshDefinition!Z:Z,(VoxelMeshDefinition!AE:AE="✅")+(VoxelMeshDefinition!AE:AE="❗"))</f>
      </c>
      <c r="J2" s="9">
        <f t="array" ref="J2:J80">FILTER(VoxelMeshDefinition!AA:AA,(VoxelMeshDefinition!AE:AE="✅")+(VoxelMeshDefinition!AE:AE="❗"))</f>
      </c>
      <c r="K2" s="9">
        <f t="array" ref="K2:K80">FILTER(VoxelMeshDefinition!AB:AB,(VoxelMeshDefinition!AE:AE="✅")+(VoxelMeshDefinition!AE:AE="❗"))</f>
      </c>
    </row>
    <row r="3">
      <c r="A3" t="str">
        <v>SM_Test_Blank_Close</v>
      </c>
      <c r="B3" t="str"/>
      <c r="C3" t="str">
        <v>Close</v>
      </c>
      <c r="D3" t="str">
        <v>Close</v>
      </c>
      <c r="E3" t="str">
        <v>Close</v>
      </c>
      <c r="F3" t="str">
        <v>Close</v>
      </c>
      <c r="K3" t="b">
        <v>0</v>
      </c>
    </row>
    <row r="4">
      <c r="A4" t="str">
        <v>SM_Test_Blank_Open</v>
      </c>
      <c r="B4" t="str"/>
      <c r="C4" t="str">
        <v>Open</v>
      </c>
      <c r="D4" t="str">
        <v>Open</v>
      </c>
      <c r="E4" t="str">
        <v>Open</v>
      </c>
      <c r="F4" t="str">
        <v>Open</v>
      </c>
      <c r="K4" t="b">
        <v>0</v>
      </c>
    </row>
    <row r="5">
      <c r="A5" t="str">
        <v>SM_TheCity_Side_Major_B_1</v>
      </c>
      <c r="B5" t="str">
        <v>/Script/Engine.StaticMesh'/Game/Item/Mesh/Voxel/World_01_TheCity/Side/SM_TheCity_Side_Major_B_1.SM_TheCity_Side_Major_B_1'</v>
      </c>
      <c r="C5" t="str">
        <v>Close</v>
      </c>
      <c r="D5" t="str">
        <v>Open</v>
      </c>
      <c r="H5" t="str">
        <v>CityMajor</v>
      </c>
      <c r="K5" t="b">
        <v>0</v>
      </c>
    </row>
    <row r="6">
      <c r="A6" t="str">
        <v>SM_TheCity_Side_Major_C_1</v>
      </c>
      <c r="B6" t="str">
        <v>/Script/Engine.StaticMesh'/Game/Item/Mesh/Voxel/World_01_TheCity/Side/SM_TheCity_Side_Major_C_1.SM_TheCity_Side_Major_C_1'</v>
      </c>
      <c r="C6" t="str">
        <v>Open</v>
      </c>
      <c r="D6" t="str">
        <v>Open</v>
      </c>
      <c r="G6" t="str">
        <v>CityMajor</v>
      </c>
      <c r="H6" t="str">
        <v>CityMajor</v>
      </c>
      <c r="K6" t="b">
        <v>0</v>
      </c>
    </row>
    <row r="7">
      <c r="A7" t="str">
        <v>SM_TheCity_Side_Major_T_1</v>
      </c>
      <c r="B7" t="str">
        <v>/Script/Engine.StaticMesh'/Game/Item/Mesh/Voxel/World_01_TheCity/Side/SM_TheCity_Side_Major_T_1.SM_TheCity_Side_Major_T_1'</v>
      </c>
      <c r="C7" t="str">
        <v>Open</v>
      </c>
      <c r="D7" t="str">
        <v>Close</v>
      </c>
      <c r="G7" t="str">
        <v>CityMajor</v>
      </c>
      <c r="K7" t="b">
        <v>1</v>
      </c>
    </row>
    <row r="8">
      <c r="A8" t="str">
        <v>SM_TheCity_Side_Major_S_1</v>
      </c>
      <c r="B8" t="str">
        <v>/Script/Engine.StaticMesh'/Game/Item/Mesh/Voxel/World_01_TheCity/Side/SM_TheCity_Side_Major_S_1.SM_TheCity_Side_Major_S_1'</v>
      </c>
      <c r="C8" t="str">
        <v>Close</v>
      </c>
      <c r="D8" t="str">
        <v>Close</v>
      </c>
      <c r="K8" t="b">
        <v>0</v>
      </c>
    </row>
    <row r="9">
      <c r="A9" t="str">
        <v>SM_TheCity_Side_Minor_B_1</v>
      </c>
      <c r="B9" t="str">
        <v>/Script/Engine.StaticMesh'/Game/Item/Mesh/Voxel/World_01_TheCity/Side/SM_TheCity_Side_Minor_B_1.SM_TheCity_Side_Minor_B_1'</v>
      </c>
      <c r="C9" t="str">
        <v>Close</v>
      </c>
      <c r="D9" t="str">
        <v>Open</v>
      </c>
      <c r="H9" t="str">
        <v>CityMinor</v>
      </c>
      <c r="K9" t="b">
        <v>0</v>
      </c>
    </row>
    <row r="10">
      <c r="A10" t="str">
        <v>SM_TheCity_Side_Minor_C_1</v>
      </c>
      <c r="B10" t="str">
        <v>/Script/Engine.StaticMesh'/Game/Item/Mesh/Voxel/World_01_TheCity/Side/SM_TheCity_Side_Minor_C_1.SM_TheCity_Side_Minor_C_1'</v>
      </c>
      <c r="C10" t="str">
        <v>Open</v>
      </c>
      <c r="D10" t="str">
        <v>Open</v>
      </c>
      <c r="G10" t="str">
        <v>CityMinor</v>
      </c>
      <c r="H10" t="str">
        <v>CityMinor</v>
      </c>
      <c r="K10" t="b">
        <v>0</v>
      </c>
    </row>
    <row r="11">
      <c r="A11" t="str">
        <v>SM_TheCity_Side_Minor_T_1</v>
      </c>
      <c r="B11" t="str">
        <v>/Script/Engine.StaticMesh'/Game/Item/Mesh/Voxel/World_01_TheCity/Side/SM_TheCity_Side_Minor_T_1.SM_TheCity_Side_Minor_T_1'</v>
      </c>
      <c r="C11" t="str">
        <v>Open</v>
      </c>
      <c r="D11" t="str">
        <v>Close</v>
      </c>
      <c r="G11" t="str">
        <v>CityMinor</v>
      </c>
      <c r="K11" t="b">
        <v>1</v>
      </c>
    </row>
    <row r="12">
      <c r="A12" t="str">
        <v>SM_TheCity_Side_Minor_S_1</v>
      </c>
      <c r="B12" t="str">
        <v>/Script/Engine.StaticMesh'/Game/Item/Mesh/Voxel/World_01_TheCity/Side/SM_TheCity_Side_Minor_S_1.SM_TheCity_Side_Minor_S_1'</v>
      </c>
      <c r="C12" t="str">
        <v>Close</v>
      </c>
      <c r="D12" t="str">
        <v>Close</v>
      </c>
      <c r="K12" t="b">
        <v>0</v>
      </c>
    </row>
    <row r="13">
      <c r="A13" t="str">
        <v>SM_TheCity_GroundLine_Major_Road_B_1</v>
      </c>
      <c r="B13" t="str">
        <v>/Script/Engine.StaticMesh'/Game/Item/Mesh/Voxel/World_01_TheCity/GroundLine/SM_TheCity_GroundLine_Major_Road_B_1.SM_TheCity_GroundLine_Major_Road_B_1'</v>
      </c>
      <c r="C13" t="str">
        <v>Close</v>
      </c>
      <c r="D13" t="str">
        <v>Open</v>
      </c>
      <c r="H13" t="str">
        <v>Road</v>
      </c>
      <c r="K13" t="b">
        <v>0</v>
      </c>
    </row>
    <row r="14">
      <c r="A14" t="str">
        <v>SM_TheCity_GroundLine_Major_Road_C_1</v>
      </c>
      <c r="B14" t="str">
        <v>/Script/Engine.StaticMesh'/Game/Item/Mesh/Voxel/World_01_TheCity/GroundLine/SM_TheCity_GroundLine_Major_Road_C_1.SM_TheCity_GroundLine_Major_Road_C_1'</v>
      </c>
      <c r="C14" t="str">
        <v>Open</v>
      </c>
      <c r="D14" t="str">
        <v>Open</v>
      </c>
      <c r="G14" t="str">
        <v>Road</v>
      </c>
      <c r="H14" t="str">
        <v>Road</v>
      </c>
      <c r="K14" t="b">
        <v>0</v>
      </c>
    </row>
    <row r="15">
      <c r="A15" t="str">
        <v>SM_TheCity_GroundLine_Major_Road_T_1</v>
      </c>
      <c r="B15" t="str">
        <v>/Script/Engine.StaticMesh'/Game/Item/Mesh/Voxel/World_01_TheCity/GroundLine/SM_TheCity_GroundLine_Major_Road_T_1.SM_TheCity_GroundLine_Major_Road_T_1'</v>
      </c>
      <c r="C15" t="str">
        <v>Open</v>
      </c>
      <c r="D15" t="str">
        <v>Close</v>
      </c>
      <c r="G15" t="str">
        <v>Road</v>
      </c>
      <c r="K15" t="b">
        <v>1</v>
      </c>
    </row>
    <row r="16">
      <c r="A16" t="str">
        <v>SM_TheCity_GroundLine_Major_Road_B_CR_1</v>
      </c>
      <c r="B16" t="str">
        <v>/Script/Engine.StaticMesh'/Game/Item/Mesh/Voxel/World_01_TheCity/GroundLine/SM_TheCity_GroundLine_Major_Road_B_CR_1.SM_TheCity_GroundLine_Major_Road_B_CR_1'</v>
      </c>
      <c r="C16" t="str">
        <v>Close</v>
      </c>
      <c r="D16" t="str">
        <v>Open</v>
      </c>
      <c r="H16" t="str">
        <v>Road</v>
      </c>
      <c r="K16" t="b">
        <v>0</v>
      </c>
    </row>
    <row r="17">
      <c r="A17" t="str">
        <v>SM_TheCity_GroundLine_Major_Road_C_CR_2</v>
      </c>
      <c r="B17" t="str">
        <v>/Script/Engine.StaticMesh'/Game/Item/Mesh/Voxel/World_01_TheCity/GroundLine/SM_TheCity_GroundLine_Major_Road_C_CR_2.SM_TheCity_GroundLine_Major_Road_C_CR_2'</v>
      </c>
      <c r="C17" t="str">
        <v>Open</v>
      </c>
      <c r="D17" t="str">
        <v>Open</v>
      </c>
      <c r="G17" t="str">
        <v>Road</v>
      </c>
      <c r="H17" t="str">
        <v>Road</v>
      </c>
      <c r="K17" t="b">
        <v>0</v>
      </c>
    </row>
    <row r="18">
      <c r="A18" t="str">
        <v>SM_TheCity_GroundLine_Major_Road_C_CR_3</v>
      </c>
      <c r="B18" t="str">
        <v>/Script/Engine.StaticMesh'/Game/Item/Mesh/Voxel/World_01_TheCity/GroundLine/SM_TheCity_GroundLine_Major_Road_C_CR_3.SM_TheCity_GroundLine_Major_Road_C_CR_3'</v>
      </c>
      <c r="C18" t="str">
        <v>Open</v>
      </c>
      <c r="D18" t="str">
        <v>Close</v>
      </c>
      <c r="G18" t="str">
        <v>Road</v>
      </c>
      <c r="K18" t="b">
        <v>1</v>
      </c>
    </row>
    <row r="19">
      <c r="A19" t="str">
        <v>SM_TheCity_GroundLine_Major_Road_C_CR_7</v>
      </c>
      <c r="B19" t="str">
        <v>/Script/Engine.StaticMesh'/Game/Item/Mesh/Voxel/World_01_TheCity/GroundLine/SM_TheCity_GroundLine_Major_Road_C_CR_7.SM_TheCity_GroundLine_Major_Road_C_CR_7'</v>
      </c>
      <c r="C19" t="str">
        <v>Open</v>
      </c>
      <c r="D19" t="str">
        <v>Close</v>
      </c>
      <c r="G19" t="str">
        <v>Road</v>
      </c>
      <c r="K19" t="b">
        <v>1</v>
      </c>
    </row>
    <row r="20">
      <c r="A20" t="str">
        <v>SM_TheCity_GroundLine_Major_Road_T_CR_8</v>
      </c>
      <c r="B20" t="str">
        <v>/Script/Engine.StaticMesh'/Game/Item/Mesh/Voxel/World_01_TheCity/GroundLine/SM_TheCity_GroundLine_Major_Road_T_CR_8.SM_TheCity_GroundLine_Major_Road_T_CR_8'</v>
      </c>
      <c r="C20" t="str">
        <v>Open</v>
      </c>
      <c r="D20" t="str">
        <v>Close</v>
      </c>
      <c r="G20" t="str">
        <v>Road</v>
      </c>
      <c r="K20" t="b">
        <v>1</v>
      </c>
    </row>
    <row r="21">
      <c r="A21" t="str">
        <v>SM_TheCity_GroundLine_Caved_Major_Road_B_1</v>
      </c>
      <c r="B21" t="str">
        <v>/Script/Engine.StaticMesh'/Game/Item/Mesh/Voxel/World_01_TheCity/GroundLine_Caved/SM_TheCity_GroundLine_Caved_Major_Road_B_1.SM_TheCity_GroundLine_Caved_Major_Road_B_1'</v>
      </c>
      <c r="C21" t="str">
        <v>Close</v>
      </c>
      <c r="D21" t="str">
        <v>Open</v>
      </c>
      <c r="H21" t="str">
        <v>RoadCave</v>
      </c>
      <c r="K21" t="b">
        <v>0</v>
      </c>
    </row>
    <row r="22">
      <c r="A22" t="str">
        <v>SM_TheCity_GroundLine_Caved_Major_Road_C_1</v>
      </c>
      <c r="B22" t="str">
        <v>/Script/Engine.StaticMesh'/Game/Item/Mesh/Voxel/World_01_TheCity/GroundLine_Caved/SM_TheCity_GroundLine_Caved_Major_Road_C_1.SM_TheCity_GroundLine_Caved_Major_Road_C_1'</v>
      </c>
      <c r="C22" t="str">
        <v>Open</v>
      </c>
      <c r="D22" t="str">
        <v>Open</v>
      </c>
      <c r="G22" t="str">
        <v>RoadCave</v>
      </c>
      <c r="H22" t="str">
        <v>RoadCave</v>
      </c>
      <c r="K22" t="b">
        <v>0</v>
      </c>
    </row>
    <row r="23">
      <c r="A23" t="str">
        <v>SM_TheCity_GroundLine_Caved_Major_Road_T_1</v>
      </c>
      <c r="B23" t="str">
        <v>/Script/Engine.StaticMesh'/Game/Item/Mesh/Voxel/World_01_TheCity/GroundLine_Caved/SM_TheCity_GroundLine_Caved_Major_Road_T_1.SM_TheCity_GroundLine_Caved_Major_Road_T_1'</v>
      </c>
      <c r="C23" t="str">
        <v>Open</v>
      </c>
      <c r="D23" t="str">
        <v>Close</v>
      </c>
      <c r="G23" t="str">
        <v>RoadCave</v>
      </c>
      <c r="K23" t="b">
        <v>1</v>
      </c>
    </row>
    <row r="24">
      <c r="A24" t="str">
        <v>SM_TheCity_StartHole_Major_Sidewalk_B_1</v>
      </c>
      <c r="B24" t="str">
        <v>/Script/Engine.StaticMesh'/Game/Item/Mesh/Voxel/World_01_TheCity/StartHole/SM_TheCity_StartHole_Major_Sidewalk_B_1.SM_TheCity_StartHole_Major_Sidewalk_B_1'</v>
      </c>
      <c r="C24" t="str">
        <v>Close</v>
      </c>
      <c r="D24" t="str">
        <v>StartHole1</v>
      </c>
      <c r="H24" t="str">
        <v>Sidewalk</v>
      </c>
      <c r="K24" t="b">
        <v>0</v>
      </c>
    </row>
    <row r="25">
      <c r="A25" t="str">
        <v>SM_TheCity_StartHole_Major_SidewalkToRoad_C_2</v>
      </c>
      <c r="B25" t="str">
        <v>/Script/Engine.StaticMesh'/Game/Item/Mesh/Voxel/World_01_TheCity/StartHole/SM_TheCity_StartHole_Major_SidewalkToRoad_C_2.SM_TheCity_StartHole_Major_SidewalkToRoad_C_2'</v>
      </c>
      <c r="C25" t="str">
        <v>StartHole1</v>
      </c>
      <c r="D25" t="str">
        <v>StartHole2</v>
      </c>
      <c r="G25" t="str">
        <v>Sidewalk</v>
      </c>
      <c r="H25" t="str">
        <v>Road</v>
      </c>
      <c r="K25" t="b">
        <v>0</v>
      </c>
    </row>
    <row r="26">
      <c r="A26" t="str">
        <v>SM_TheCity_StartHole_Major_Road_C_3</v>
      </c>
      <c r="B26" t="str">
        <v>/Script/Engine.StaticMesh'/Game/Item/Mesh/Voxel/World_01_TheCity/StartHole/SM_TheCity_StartHole_Major_Road_C_3.SM_TheCity_StartHole_Major_Road_C_3'</v>
      </c>
      <c r="C26" t="str">
        <v>StartHole2</v>
      </c>
      <c r="D26" t="str">
        <v>StartHole3</v>
      </c>
      <c r="G26" t="str">
        <v>Road</v>
      </c>
      <c r="H26" t="str">
        <v>Road</v>
      </c>
      <c r="K26" t="b">
        <v>0</v>
      </c>
    </row>
    <row r="27">
      <c r="A27" t="str">
        <v>SM_TheCity_StartHole_Major_Road_C_4</v>
      </c>
      <c r="B27" t="str">
        <v>/Script/Engine.StaticMesh'/Game/Item/Mesh/Voxel/World_01_TheCity/StartHole/SM_TheCity_StartHole_Major_Road_C_4.SM_TheCity_StartHole_Major_Road_C_4'</v>
      </c>
      <c r="C27" t="str">
        <v>StartHole3</v>
      </c>
      <c r="D27" t="str">
        <v>StartHole4</v>
      </c>
      <c r="G27" t="str">
        <v>Road</v>
      </c>
      <c r="H27" t="str">
        <v>Road</v>
      </c>
      <c r="K27" t="b">
        <v>0</v>
      </c>
    </row>
    <row r="28">
      <c r="A28" t="str">
        <v>SM_TheCity_StartHole_Major_Road_C_5</v>
      </c>
      <c r="B28" t="str">
        <v>/Script/Engine.StaticMesh'/Game/Item/Mesh/Voxel/World_01_TheCity/StartHole/SM_TheCity_StartHole_Major_Road_C_5.SM_TheCity_StartHole_Major_Road_C_5'</v>
      </c>
      <c r="C28" t="str">
        <v>StartHole4</v>
      </c>
      <c r="D28" t="str">
        <v>Open</v>
      </c>
      <c r="G28" t="str">
        <v>Road</v>
      </c>
      <c r="H28" t="str">
        <v>Road</v>
      </c>
      <c r="K28" t="b">
        <v>0</v>
      </c>
    </row>
    <row r="29">
      <c r="A29" t="str">
        <v>SM_TheCity_CheckHole_Major_Road_C_4</v>
      </c>
      <c r="B29" t="str">
        <v>/Script/Engine.StaticMesh'/Game/Item/Mesh/Voxel/World_01_TheCity/CheckHole/SM_TheCity_CheckHole_Major_Road_C_4.SM_TheCity_CheckHole_Major_Road_C_4'</v>
      </c>
      <c r="C29" t="str">
        <v>StartHole3</v>
      </c>
      <c r="D29" t="str">
        <v>CheckHole4</v>
      </c>
      <c r="G29" t="str">
        <v>Road</v>
      </c>
      <c r="H29" t="str">
        <v>Road</v>
      </c>
      <c r="K29" t="b">
        <v>0</v>
      </c>
    </row>
    <row r="30">
      <c r="A30" t="str">
        <v>SM_TheCity_CheckHole_Major_Road_C_5</v>
      </c>
      <c r="B30" t="str">
        <v>/Script/Engine.StaticMesh'/Game/Item/Mesh/Voxel/World_01_TheCity/CheckHole/SM_TheCity_CheckHole_Major_Road_C_5.SM_TheCity_CheckHole_Major_Road_C_5'</v>
      </c>
      <c r="C30" t="str">
        <v>CheckHole4</v>
      </c>
      <c r="D30" t="str">
        <v>Open</v>
      </c>
      <c r="G30" t="str">
        <v>Road</v>
      </c>
      <c r="H30" t="str">
        <v>Road</v>
      </c>
      <c r="K30" t="b">
        <v>0</v>
      </c>
    </row>
    <row r="31">
      <c r="A31" t="str">
        <v>SM_TheCity_EndHole_Major_Road_C_3</v>
      </c>
      <c r="B31" t="str">
        <v>/Script/Engine.StaticMesh'/Game/Item/Mesh/Voxel/World_01_TheCity/EndHole/SM_TheCity_EndHole_Major_Road_C_3.SM_TheCity_EndHole_Major_Road_C_3'</v>
      </c>
      <c r="C31" t="str">
        <v>StartHole2</v>
      </c>
      <c r="D31" t="str">
        <v>EndHole3</v>
      </c>
      <c r="G31" t="str">
        <v>Road</v>
      </c>
      <c r="H31" t="str">
        <v>Road</v>
      </c>
      <c r="K31" t="b">
        <v>0</v>
      </c>
    </row>
    <row r="32">
      <c r="A32" t="str">
        <v>SM_TheCity_EndHole_Major_Road_C_4</v>
      </c>
      <c r="B32" t="str">
        <v>/Script/Engine.StaticMesh'/Game/Item/Mesh/Voxel/World_01_TheCity/EndHole/SM_TheCity_EndHole_Major_Road_C_4.SM_TheCity_EndHole_Major_Road_C_4'</v>
      </c>
      <c r="C32" t="str">
        <v>EndHole3</v>
      </c>
      <c r="D32" t="str">
        <v>EndHole4</v>
      </c>
      <c r="G32" t="str">
        <v>Road</v>
      </c>
      <c r="H32" t="str">
        <v>Road</v>
      </c>
      <c r="K32" t="b">
        <v>0</v>
      </c>
    </row>
    <row r="33">
      <c r="A33" t="str">
        <v>SM_TheCity_EndHole_Major_Road_C_5</v>
      </c>
      <c r="B33" t="str">
        <v>/Script/Engine.StaticMesh'/Game/Item/Mesh/Voxel/World_01_TheCity/EndHole/SM_TheCity_EndHole_Major_Road_C_5.SM_TheCity_EndHole_Major_Road_C_5'</v>
      </c>
      <c r="C33" t="str">
        <v>EndHole4</v>
      </c>
      <c r="D33" t="str">
        <v>EndHole5</v>
      </c>
      <c r="G33" t="str">
        <v>Road</v>
      </c>
      <c r="H33" t="str">
        <v>Road</v>
      </c>
      <c r="K33" t="b">
        <v>0</v>
      </c>
    </row>
    <row r="34">
      <c r="A34" t="str">
        <v>SM_TheCity_EndHole_Major_Road_C_6</v>
      </c>
      <c r="B34" t="str">
        <v>/Script/Engine.StaticMesh'/Game/Item/Mesh/Voxel/World_01_TheCity/EndHole/SM_TheCity_EndHole_Major_Road_C_6.SM_TheCity_EndHole_Major_Road_C_6'</v>
      </c>
      <c r="C34" t="str">
        <v>EndHole5</v>
      </c>
      <c r="D34" t="str">
        <v>Open</v>
      </c>
      <c r="G34" t="str">
        <v>Road</v>
      </c>
      <c r="H34" t="str">
        <v>Road</v>
      </c>
      <c r="K34" t="b">
        <v>0</v>
      </c>
    </row>
    <row r="35">
      <c r="A35" t="str">
        <v>SM_TheCity_RailHole_Major_Road_C_2</v>
      </c>
      <c r="B35" t="str">
        <v>/Script/Engine.StaticMesh'/Game/Item/Mesh/Voxel/World_01_TheCity/RailHole/SM_TheCity_RailHole_Major_Road_C_2.SM_TheCity_RailHole_Major_Road_C_2'</v>
      </c>
      <c r="C35" t="str">
        <v>Open</v>
      </c>
      <c r="D35" t="str">
        <v>RailHole2</v>
      </c>
      <c r="G35" t="str">
        <v>Road</v>
      </c>
      <c r="H35" t="str">
        <v>Road</v>
      </c>
      <c r="K35" t="b">
        <v>0</v>
      </c>
    </row>
    <row r="36">
      <c r="A36" t="str">
        <v>SM_TheCity_RailHole_Major_Road_C_3</v>
      </c>
      <c r="B36" t="str">
        <v>/Script/Engine.StaticMesh'/Game/Item/Mesh/Voxel/World_01_TheCity/RailHole/SM_TheCity_RailHole_Major_Road_C_3.SM_TheCity_RailHole_Major_Road_C_3'</v>
      </c>
      <c r="C36" t="str">
        <v>RailHole2</v>
      </c>
      <c r="D36" t="str">
        <v>RailHole3</v>
      </c>
      <c r="G36" t="str">
        <v>Road</v>
      </c>
      <c r="H36" t="str">
        <v>Road</v>
      </c>
      <c r="K36" t="b">
        <v>0</v>
      </c>
    </row>
    <row r="37">
      <c r="A37" t="str">
        <v>SM_TheCity_RailHole_Major_Road_C_4</v>
      </c>
      <c r="B37" t="str">
        <v>/Script/Engine.StaticMesh'/Game/Item/Mesh/Voxel/World_01_TheCity/RailHole/SM_TheCity_RailHole_Major_Road_C_4.SM_TheCity_RailHole_Major_Road_C_4'</v>
      </c>
      <c r="C37" t="str">
        <v>RailHole3</v>
      </c>
      <c r="D37" t="str">
        <v>RailHole4</v>
      </c>
      <c r="G37" t="str">
        <v>Road</v>
      </c>
      <c r="H37" t="str">
        <v>Road</v>
      </c>
      <c r="K37" t="b">
        <v>0</v>
      </c>
    </row>
    <row r="38">
      <c r="A38" t="str">
        <v>SM_TheCity_RailHole_Major_Road_C_5</v>
      </c>
      <c r="B38" t="str">
        <v>/Script/Engine.StaticMesh'/Game/Item/Mesh/Voxel/World_01_TheCity/RailHole/SM_TheCity_RailHole_Major_Road_C_5.SM_TheCity_RailHole_Major_Road_C_5'</v>
      </c>
      <c r="C38" t="str">
        <v>RailHole4</v>
      </c>
      <c r="D38" t="str">
        <v>RailHole5</v>
      </c>
      <c r="G38" t="str">
        <v>Road</v>
      </c>
      <c r="H38" t="str">
        <v>Road</v>
      </c>
      <c r="K38" t="b">
        <v>0</v>
      </c>
    </row>
    <row r="39">
      <c r="A39" t="str">
        <v>SM_TheCity_RailHole_Major_Road_C_6</v>
      </c>
      <c r="B39" t="str">
        <v>/Script/Engine.StaticMesh'/Game/Item/Mesh/Voxel/World_01_TheCity/RailHole/SM_TheCity_RailHole_Major_Road_C_6.SM_TheCity_RailHole_Major_Road_C_6'</v>
      </c>
      <c r="C39" t="str">
        <v>RailHole5</v>
      </c>
      <c r="D39" t="str">
        <v>RailHole6</v>
      </c>
      <c r="G39" t="str">
        <v>Road</v>
      </c>
      <c r="H39" t="str">
        <v>Road</v>
      </c>
      <c r="K39" t="b">
        <v>0</v>
      </c>
    </row>
    <row r="40">
      <c r="A40" t="str">
        <v>SM_TheCity_RailHole_Major_Road_C_7</v>
      </c>
      <c r="B40" t="str">
        <v>/Script/Engine.StaticMesh'/Game/Item/Mesh/Voxel/World_01_TheCity/RailHole/SM_TheCity_RailHole_Major_Road_C_7.SM_TheCity_RailHole_Major_Road_C_7'</v>
      </c>
      <c r="C40" t="str">
        <v>RailHole6</v>
      </c>
      <c r="D40" t="str">
        <v>Open</v>
      </c>
      <c r="G40" t="str">
        <v>Road</v>
      </c>
      <c r="H40" t="str">
        <v>Road</v>
      </c>
      <c r="K40" t="b">
        <v>0</v>
      </c>
    </row>
    <row r="41">
      <c r="A41" t="str">
        <v>SM_TheMine_Side_Major_B_1</v>
      </c>
      <c r="B41" t="str">
        <v>/Script/Engine.StaticMesh'/Game/Item/Mesh/Voxel/World_02_TheMine/Side/SM_TheMine_Side_Major_B_1.SM_TheMine_Side_Major_B_1'</v>
      </c>
      <c r="C41" t="str">
        <v>Close</v>
      </c>
      <c r="D41" t="str">
        <v>Open</v>
      </c>
      <c r="H41" t="str">
        <v>MineMajor</v>
      </c>
      <c r="K41" t="b">
        <v>0</v>
      </c>
    </row>
    <row r="42">
      <c r="A42" t="str">
        <v>SM_TheMine_Side_Major_B_2</v>
      </c>
      <c r="B42" t="str">
        <v>/Script/Engine.StaticMesh'/Game/Item/Mesh/Voxel/World_02_TheMine/Side/SM_TheMine_Side_Major_B_2.SM_TheMine_Side_Major_B_2'</v>
      </c>
      <c r="C42" t="str">
        <v>Close</v>
      </c>
      <c r="D42" t="str">
        <v>Open</v>
      </c>
      <c r="H42" t="str">
        <v>MineMajor</v>
      </c>
      <c r="K42" t="b">
        <v>0</v>
      </c>
    </row>
    <row r="43">
      <c r="A43" t="str">
        <v>SM_TheMine_Side_Major_B_3</v>
      </c>
      <c r="B43" t="str">
        <v>/Script/Engine.StaticMesh'/Game/Item/Mesh/Voxel/World_02_TheMine/Side/SM_TheMine_Side_Major_B_3.SM_TheMine_Side_Major_B_3'</v>
      </c>
      <c r="C43" t="str">
        <v>Close</v>
      </c>
      <c r="D43" t="str">
        <v>Open</v>
      </c>
      <c r="H43" t="str">
        <v>MineMajor</v>
      </c>
      <c r="K43" t="b">
        <v>0</v>
      </c>
    </row>
    <row r="44">
      <c r="A44" t="str">
        <v>SM_TheMine_Side_Major_C_1</v>
      </c>
      <c r="B44" t="str">
        <v>/Script/Engine.StaticMesh'/Game/Item/Mesh/Voxel/World_02_TheMine/Side/SM_TheMine_Side_Major_C_1.SM_TheMine_Side_Major_C_1'</v>
      </c>
      <c r="C44" t="str">
        <v>Open</v>
      </c>
      <c r="D44" t="str">
        <v>Open</v>
      </c>
      <c r="G44" t="str">
        <v>MineMajor</v>
      </c>
      <c r="H44" t="str">
        <v>MineMajor</v>
      </c>
      <c r="K44" t="b">
        <v>0</v>
      </c>
    </row>
    <row r="45">
      <c r="A45" t="str">
        <v>SM_TheMine_Side_Major_C_2</v>
      </c>
      <c r="B45" t="str">
        <v>/Script/Engine.StaticMesh'/Game/Item/Mesh/Voxel/World_02_TheMine/Side/SM_TheMine_Side_Major_C_2.SM_TheMine_Side_Major_C_2'</v>
      </c>
      <c r="C45" t="str">
        <v>Open</v>
      </c>
      <c r="D45" t="str">
        <v>Open</v>
      </c>
      <c r="G45" t="str">
        <v>MineMajor</v>
      </c>
      <c r="H45" t="str">
        <v>MineMajor</v>
      </c>
      <c r="K45" t="b">
        <v>0</v>
      </c>
    </row>
    <row r="46">
      <c r="A46" t="str">
        <v>SM_TheMine_Side_Major_C_3</v>
      </c>
      <c r="B46" t="str">
        <v>/Script/Engine.StaticMesh'/Game/Item/Mesh/Voxel/World_02_TheMine/Side/SM_TheMine_Side_Major_C_3.SM_TheMine_Side_Major_C_3'</v>
      </c>
      <c r="C46" t="str">
        <v>Open</v>
      </c>
      <c r="D46" t="str">
        <v>Open</v>
      </c>
      <c r="G46" t="str">
        <v>MineMajor</v>
      </c>
      <c r="H46" t="str">
        <v>MineMajor</v>
      </c>
      <c r="K46" t="b">
        <v>0</v>
      </c>
    </row>
    <row r="47">
      <c r="A47" t="str">
        <v>SM_TheMine_Side_Major_C_4</v>
      </c>
      <c r="B47" t="str">
        <v>/Script/Engine.StaticMesh'/Game/Item/Mesh/Voxel/World_02_TheMine/Side/SM_TheMine_Side_Major_C_4.SM_TheMine_Side_Major_C_4'</v>
      </c>
      <c r="C47" t="str">
        <v>Open</v>
      </c>
      <c r="D47" t="str">
        <v>Open</v>
      </c>
      <c r="G47" t="str">
        <v>MineMajor</v>
      </c>
      <c r="H47" t="str">
        <v>MineMajor</v>
      </c>
      <c r="K47" t="b">
        <v>0</v>
      </c>
    </row>
    <row r="48">
      <c r="A48" t="str">
        <v>SM_TheMine_Side_Major_C_5</v>
      </c>
      <c r="B48" t="str">
        <v>/Script/Engine.StaticMesh'/Game/Item/Mesh/Voxel/World_02_TheMine/Side/SM_TheMine_Side_Major_C_5.SM_TheMine_Side_Major_C_5'</v>
      </c>
      <c r="C48" t="str">
        <v>Open</v>
      </c>
      <c r="D48" t="str">
        <v>Open</v>
      </c>
      <c r="G48" t="str">
        <v>MineMajor</v>
      </c>
      <c r="H48" t="str">
        <v>MineMajor</v>
      </c>
      <c r="K48" t="b">
        <v>0</v>
      </c>
    </row>
    <row r="49">
      <c r="A49" t="str">
        <v>SM_TheMine_Side_Major_T_1</v>
      </c>
      <c r="B49" t="str">
        <v>/Script/Engine.StaticMesh'/Game/Item/Mesh/Voxel/World_02_TheMine/Side/SM_TheMine_Side_Major_T_1.SM_TheMine_Side_Major_T_1'</v>
      </c>
      <c r="C49" t="str">
        <v>Open</v>
      </c>
      <c r="D49" t="str">
        <v>Close</v>
      </c>
      <c r="G49" t="str">
        <v>MineMajor</v>
      </c>
      <c r="K49" t="b">
        <v>1</v>
      </c>
    </row>
    <row r="50">
      <c r="A50" t="str">
        <v>SM_TheMine_Side_Major_T_2</v>
      </c>
      <c r="B50" t="str">
        <v>/Script/Engine.StaticMesh'/Game/Item/Mesh/Voxel/World_02_TheMine/Side/SM_TheMine_Side_Major_T_2.SM_TheMine_Side_Major_T_2'</v>
      </c>
      <c r="C50" t="str">
        <v>Open</v>
      </c>
      <c r="D50" t="str">
        <v>Close</v>
      </c>
      <c r="G50" t="str">
        <v>MineMajor</v>
      </c>
      <c r="K50" t="b">
        <v>1</v>
      </c>
    </row>
    <row r="51">
      <c r="A51" t="str">
        <v>SM_TheMine_Side_Major_T_3</v>
      </c>
      <c r="B51" t="str">
        <v>/Script/Engine.StaticMesh'/Game/Item/Mesh/Voxel/World_02_TheMine/Side/SM_TheMine_Side_Major_T_3.SM_TheMine_Side_Major_T_3'</v>
      </c>
      <c r="C51" t="str">
        <v>Open</v>
      </c>
      <c r="D51" t="str">
        <v>Close</v>
      </c>
      <c r="G51" t="str">
        <v>MineMajor</v>
      </c>
      <c r="K51" t="b">
        <v>1</v>
      </c>
    </row>
    <row r="52">
      <c r="A52" t="str">
        <v>SM_TheMine_Side_Major_S_1</v>
      </c>
      <c r="B52" t="str">
        <v>/Script/Engine.StaticMesh'/Game/Item/Mesh/Voxel/World_02_TheMine/Side/SM_TheMine_Side_Major_S_1.SM_TheMine_Side_Major_S_1'</v>
      </c>
      <c r="C52" t="str">
        <v>Close</v>
      </c>
      <c r="D52" t="str">
        <v>Close</v>
      </c>
      <c r="K52" t="b">
        <v>0</v>
      </c>
    </row>
    <row r="53">
      <c r="A53" t="str">
        <v>SM_TheMine_Side_Minor_B_1</v>
      </c>
      <c r="B53" t="str">
        <v>/Script/Engine.StaticMesh'/Game/Item/Mesh/Voxel/World_02_TheMine/Side/SM_TheMine_Side_Minor_B_1.SM_TheMine_Side_Minor_B_1'</v>
      </c>
      <c r="C53" t="str">
        <v>Close</v>
      </c>
      <c r="D53" t="str">
        <v>Open</v>
      </c>
      <c r="H53" t="str">
        <v>MineMinor</v>
      </c>
      <c r="K53" t="b">
        <v>0</v>
      </c>
    </row>
    <row r="54">
      <c r="A54" t="str">
        <v>SM_TheMine_Side_Minor_C_1</v>
      </c>
      <c r="B54" t="str">
        <v>/Script/Engine.StaticMesh'/Game/Item/Mesh/Voxel/World_02_TheMine/Side/SM_TheMine_Side_Minor_C_1.SM_TheMine_Side_Minor_C_1'</v>
      </c>
      <c r="C54" t="str">
        <v>Open</v>
      </c>
      <c r="D54" t="str">
        <v>Open</v>
      </c>
      <c r="G54" t="str">
        <v>MineMajor</v>
      </c>
      <c r="H54" t="str">
        <v>MineMinor</v>
      </c>
      <c r="K54" t="b">
        <v>0</v>
      </c>
    </row>
    <row r="55">
      <c r="A55" t="str">
        <v>SM_TheMine_Side_Minor_C_2</v>
      </c>
      <c r="B55" t="str">
        <v>/Script/Engine.StaticMesh'/Game/Item/Mesh/Voxel/World_02_TheMine/Side/SM_TheMine_Side_Minor_C_2.SM_TheMine_Side_Minor_C_2'</v>
      </c>
      <c r="C55" t="str">
        <v>Open</v>
      </c>
      <c r="D55" t="str">
        <v>Open</v>
      </c>
      <c r="G55" t="str">
        <v>MineMinor</v>
      </c>
      <c r="H55" t="str">
        <v>MineMinor</v>
      </c>
      <c r="K55" t="b">
        <v>0</v>
      </c>
    </row>
    <row r="56">
      <c r="A56" t="str">
        <v>SM_TheMine_Side_Minor_C_3</v>
      </c>
      <c r="B56" t="str">
        <v>/Script/Engine.StaticMesh'/Game/Item/Mesh/Voxel/World_02_TheMine/Side/SM_TheMine_Side_Minor_C_3.SM_TheMine_Side_Minor_C_3'</v>
      </c>
      <c r="C56" t="str">
        <v>Open</v>
      </c>
      <c r="D56" t="str">
        <v>Open</v>
      </c>
      <c r="G56" t="str">
        <v>MineMinor</v>
      </c>
      <c r="H56" t="str">
        <v>MineMajor</v>
      </c>
      <c r="K56" t="b">
        <v>0</v>
      </c>
    </row>
    <row r="57">
      <c r="A57" t="str">
        <v>SM_TheMine_Side_Minor_T_1</v>
      </c>
      <c r="B57" t="str">
        <v>/Script/Engine.StaticMesh'/Game/Item/Mesh/Voxel/World_02_TheMine/Side/SM_TheMine_Side_Minor_T_1.SM_TheMine_Side_Minor_T_1'</v>
      </c>
      <c r="C57" t="str">
        <v>Open</v>
      </c>
      <c r="D57" t="str">
        <v>Close</v>
      </c>
      <c r="G57" t="str">
        <v>MineMinor</v>
      </c>
      <c r="K57" t="b">
        <v>1</v>
      </c>
    </row>
    <row r="58">
      <c r="A58" t="str">
        <v>SM_TheMine_GroundLine_Major_YellowSoil_B_1</v>
      </c>
      <c r="B58" t="str">
        <v>/Script/Engine.StaticMesh'/Game/Item/Mesh/Voxel/World_02_TheMine/GroundLine/SM_TheMine_GroundLine_Major_YellowSoil_B_1.SM_TheMine_GroundLine_Major_YellowSoil_B_1'</v>
      </c>
      <c r="C58" t="str">
        <v>Close</v>
      </c>
      <c r="D58" t="str">
        <v>Open</v>
      </c>
      <c r="H58" t="str">
        <v>YellowSoil</v>
      </c>
      <c r="K58" t="b">
        <v>0</v>
      </c>
    </row>
    <row r="59">
      <c r="A59" t="str">
        <v>SM_TheMine_GroundLine_Major_YellowSoil_C_1</v>
      </c>
      <c r="B59" t="str">
        <v>/Script/Engine.StaticMesh'/Game/Item/Mesh/Voxel/World_02_TheMine/GroundLine/SM_TheMine_GroundLine_Major_YellowSoil_C_1.SM_TheMine_GroundLine_Major_YellowSoil_C_1'</v>
      </c>
      <c r="C59" t="str">
        <v>Open</v>
      </c>
      <c r="D59" t="str">
        <v>Open</v>
      </c>
      <c r="G59" t="str">
        <v>YellowSoil</v>
      </c>
      <c r="H59" t="str">
        <v>YellowSoil</v>
      </c>
      <c r="K59" t="b">
        <v>0</v>
      </c>
    </row>
    <row r="60">
      <c r="A60" t="str">
        <v>SM_TheMine_GroundLine_Major_YellowSoil_T_1</v>
      </c>
      <c r="B60" t="str">
        <v>/Script/Engine.StaticMesh'/Game/Item/Mesh/Voxel/World_02_TheMine/GroundLine/SM_TheMine_GroundLine_Major_YellowSoil_T_1.SM_TheMine_GroundLine_Major_YellowSoil_T_1'</v>
      </c>
      <c r="C60" t="str">
        <v>Open</v>
      </c>
      <c r="D60" t="str">
        <v>Close</v>
      </c>
      <c r="G60" t="str">
        <v>YellowSoil</v>
      </c>
      <c r="K60" t="b">
        <v>1</v>
      </c>
    </row>
    <row r="61">
      <c r="A61" t="str">
        <v>SM_TheMine_GroundLine_Caved_Major_YellowSoil_B_1</v>
      </c>
      <c r="B61" t="str">
        <v>/Script/Engine.StaticMesh'/Game/Item/Mesh/Voxel/World_02_TheMine/GroundLine_Caved/SM_TheMine_GroundLine_Caved_Major_YellowSoil_B_1.SM_TheMine_GroundLine_Caved_Major_YellowSoil_B_1'</v>
      </c>
      <c r="C61" t="str">
        <v>Close</v>
      </c>
      <c r="D61" t="str">
        <v>Open</v>
      </c>
      <c r="H61" t="str">
        <v>YellowSoilCave</v>
      </c>
      <c r="K61" t="b">
        <v>0</v>
      </c>
    </row>
    <row r="62">
      <c r="A62" t="str">
        <v>SM_TheMine_GroundLine_Caved_Major_YellowSoil_C_1</v>
      </c>
      <c r="B62" t="str">
        <v>/Script/Engine.StaticMesh'/Game/Item/Mesh/Voxel/World_02_TheMine/GroundLine_Caved/SM_TheMine_GroundLine_Caved_Major_YellowSoil_C_1.SM_TheMine_GroundLine_Caved_Major_YellowSoil_C_1'</v>
      </c>
      <c r="C62" t="str">
        <v>Open</v>
      </c>
      <c r="D62" t="str">
        <v>Open</v>
      </c>
      <c r="G62" t="str">
        <v>YellowSoilCave</v>
      </c>
      <c r="H62" t="str">
        <v>YellowSoilCave</v>
      </c>
      <c r="K62" t="b">
        <v>0</v>
      </c>
    </row>
    <row r="63">
      <c r="A63" t="str">
        <v>SM_TheMine_GroundLine_Caved_Major_YellowSoil_T_1</v>
      </c>
      <c r="B63" t="str">
        <v>/Script/Engine.StaticMesh'/Game/Item/Mesh/Voxel/World_02_TheMine/GroundLine_Caved/SM_TheMine_GroundLine_Caved_Major_YellowSoil_T_1.SM_TheMine_GroundLine_Caved_Major_YellowSoil_T_1'</v>
      </c>
      <c r="C63" t="str">
        <v>Open</v>
      </c>
      <c r="D63" t="str">
        <v>Close</v>
      </c>
      <c r="G63" t="str">
        <v>YellowSoilCave</v>
      </c>
      <c r="K63" t="b">
        <v>1</v>
      </c>
    </row>
    <row r="64">
      <c r="A64" t="str">
        <v>SM_TheMine_StartHole_Major_RedSoil_B_1</v>
      </c>
      <c r="B64" t="str">
        <v>/Script/Engine.StaticMesh'/Game/Item/Mesh/Voxel/World_02_TheMine/StartHole/SM_TheMine_StartHole_Major_RedSoil_B_1.SM_TheMine_StartHole_Major_RedSoil_B_1'</v>
      </c>
      <c r="C64" t="str">
        <v>Close</v>
      </c>
      <c r="D64" t="str">
        <v>StartHole1</v>
      </c>
      <c r="H64" t="str">
        <v>RedSoil</v>
      </c>
      <c r="K64" t="b">
        <v>0</v>
      </c>
    </row>
    <row r="65">
      <c r="A65" t="str">
        <v>SM_TheMine_StartHole_Major_RedToYellow_C_2</v>
      </c>
      <c r="B65" t="str">
        <v>/Script/Engine.StaticMesh'/Game/Item/Mesh/Voxel/World_02_TheMine/StartHole/SM_TheMine_StartHole_Major_RedToYellow_C_2.SM_TheMine_StartHole_Major_RedToYellow_C_2'</v>
      </c>
      <c r="C65" t="str">
        <v>StartHole1</v>
      </c>
      <c r="D65" t="str">
        <v>StartHole2</v>
      </c>
      <c r="G65" t="str">
        <v>RedSoil</v>
      </c>
      <c r="H65" t="str">
        <v>YellowSoil</v>
      </c>
      <c r="K65" t="b">
        <v>0</v>
      </c>
    </row>
    <row r="66">
      <c r="A66" t="str">
        <v>SM_TheMine_StartHole_Major_YellowSoil_C_3</v>
      </c>
      <c r="B66" t="str">
        <v>/Script/Engine.StaticMesh'/Game/Item/Mesh/Voxel/World_02_TheMine/StartHole/SM_TheMine_StartHole_Major_YellowSoil_C_3.SM_TheMine_StartHole_Major_YellowSoil_C_3'</v>
      </c>
      <c r="C66" t="str">
        <v>StartHole2</v>
      </c>
      <c r="D66" t="str">
        <v>StartHole3</v>
      </c>
      <c r="G66" t="str">
        <v>YellowSoil</v>
      </c>
      <c r="H66" t="str">
        <v>YellowSoil</v>
      </c>
      <c r="K66" t="b">
        <v>0</v>
      </c>
    </row>
    <row r="67">
      <c r="A67" t="str">
        <v>SM_TheMine_StartHole_Major_YellowSoil_C_4</v>
      </c>
      <c r="B67" t="str">
        <v>/Script/Engine.StaticMesh'/Game/Item/Mesh/Voxel/World_02_TheMine/StartHole/SM_TheMine_StartHole_Major_YellowSoil_C_4.SM_TheMine_StartHole_Major_YellowSoil_C_4'</v>
      </c>
      <c r="C67" t="str">
        <v>StartHole3</v>
      </c>
      <c r="D67" t="str">
        <v>StartHole4</v>
      </c>
      <c r="G67" t="str">
        <v>YellowSoil</v>
      </c>
      <c r="H67" t="str">
        <v>YellowSoil</v>
      </c>
      <c r="K67" t="b">
        <v>0</v>
      </c>
    </row>
    <row r="68">
      <c r="A68" t="str">
        <v>SM_TheMine_StartHole_Major_YellowSoil_C_5</v>
      </c>
      <c r="B68" t="str">
        <v>/Script/Engine.StaticMesh'/Game/Item/Mesh/Voxel/World_02_TheMine/StartHole/SM_TheMine_StartHole_Major_YellowSoil_C_5.SM_TheMine_StartHole_Major_YellowSoil_C_5'</v>
      </c>
      <c r="C68" t="str">
        <v>StartHole4</v>
      </c>
      <c r="D68" t="str">
        <v>Open</v>
      </c>
      <c r="G68" t="str">
        <v>YellowSoil</v>
      </c>
      <c r="H68" t="str">
        <v>YellowSoil</v>
      </c>
      <c r="K68" t="b">
        <v>0</v>
      </c>
    </row>
    <row r="69">
      <c r="A69" t="str">
        <v>SM_TheMine_CheckHole_Major_YellowSoil_C_4</v>
      </c>
      <c r="B69" t="str">
        <v>/Script/Engine.StaticMesh'/Game/Item/Mesh/Voxel/World_02_TheMine/CheckHole/SM_TheMine_CheckHole_Major_YellowSoil_C_4.SM_TheMine_CheckHole_Major_YellowSoil_C_4'</v>
      </c>
      <c r="C69" t="str">
        <v>StartHole3</v>
      </c>
      <c r="D69" t="str">
        <v>CheckHole4</v>
      </c>
      <c r="G69" t="str">
        <v>YellowSoil</v>
      </c>
      <c r="H69" t="str">
        <v>YellowSoil</v>
      </c>
      <c r="K69" t="b">
        <v>0</v>
      </c>
    </row>
    <row r="70">
      <c r="A70" t="str">
        <v>SM_TheMine_CheckHole_Major_YellowSoil_C_5</v>
      </c>
      <c r="B70" t="str">
        <v>/Script/Engine.StaticMesh'/Game/Item/Mesh/Voxel/World_02_TheMine/CheckHole/SM_TheMine_CheckHole_Major_YellowSoil_C_5.SM_TheMine_CheckHole_Major_YellowSoil_C_5'</v>
      </c>
      <c r="C70" t="str">
        <v>CheckHole4</v>
      </c>
      <c r="D70" t="str">
        <v>Open</v>
      </c>
      <c r="G70" t="str">
        <v>YellowSoil</v>
      </c>
      <c r="H70" t="str">
        <v>YellowSoil</v>
      </c>
      <c r="K70" t="b">
        <v>0</v>
      </c>
    </row>
    <row r="71">
      <c r="A71" t="str">
        <v>SM_TheMine_EndHole_Major_YellowSoil_C_3</v>
      </c>
      <c r="B71" t="str">
        <v>/Script/Engine.StaticMesh'/Game/Item/Mesh/Voxel/World_02_TheMine/EndHole/SM_TheMine_EndHole_Major_YellowSoil_C_3.SM_TheMine_EndHole_Major_YellowSoil_C_3'</v>
      </c>
      <c r="C71" t="str">
        <v>StartHole2</v>
      </c>
      <c r="D71" t="str">
        <v>EndHole3</v>
      </c>
      <c r="G71" t="str">
        <v>YellowSoil</v>
      </c>
      <c r="H71" t="str">
        <v>YellowSoil</v>
      </c>
      <c r="K71" t="b">
        <v>0</v>
      </c>
    </row>
    <row r="72">
      <c r="A72" t="str">
        <v>SM_TheMine_EndHole_Major_YellowSoil_C_4</v>
      </c>
      <c r="B72" t="str">
        <v>/Script/Engine.StaticMesh'/Game/Item/Mesh/Voxel/World_02_TheMine/EndHole/SM_TheMine_EndHole_Major_YellowSoil_C_4.SM_TheMine_EndHole_Major_YellowSoil_C_4'</v>
      </c>
      <c r="C72" t="str">
        <v>EndHole3</v>
      </c>
      <c r="D72" t="str">
        <v>EndHole4</v>
      </c>
      <c r="G72" t="str">
        <v>YellowSoil</v>
      </c>
      <c r="H72" t="str">
        <v>YellowSoil</v>
      </c>
      <c r="K72" t="b">
        <v>0</v>
      </c>
    </row>
    <row r="73">
      <c r="A73" t="str">
        <v>SM_TheMine_EndHole_Major_YellowSoil_C_5</v>
      </c>
      <c r="B73" t="str">
        <v>/Script/Engine.StaticMesh'/Game/Item/Mesh/Voxel/World_02_TheMine/EndHole/SM_TheMine_EndHole_Major_YellowSoil_C_5.SM_TheMine_EndHole_Major_YellowSoil_C_5'</v>
      </c>
      <c r="C73" t="str">
        <v>EndHole4</v>
      </c>
      <c r="D73" t="str">
        <v>EndHole5</v>
      </c>
      <c r="G73" t="str">
        <v>YellowSoil</v>
      </c>
      <c r="H73" t="str">
        <v>YellowSoil</v>
      </c>
      <c r="K73" t="b">
        <v>0</v>
      </c>
    </row>
    <row r="74">
      <c r="A74" t="str">
        <v>SM_TheMine_EndHole_Major_YellowSoil_C_6</v>
      </c>
      <c r="B74" t="str">
        <v>/Script/Engine.StaticMesh'/Game/Item/Mesh/Voxel/World_02_TheMine/EndHole/SM_TheMine_EndHole_Major_YellowSoil_C_6.SM_TheMine_EndHole_Major_YellowSoil_C_6'</v>
      </c>
      <c r="C74" t="str">
        <v>EndHole5</v>
      </c>
      <c r="D74" t="str">
        <v>Open</v>
      </c>
      <c r="G74" t="str">
        <v>YellowSoil</v>
      </c>
      <c r="H74" t="str">
        <v>YellowSoil</v>
      </c>
      <c r="K74" t="b">
        <v>0</v>
      </c>
    </row>
    <row r="75">
      <c r="A75" t="str">
        <v>SM_TheMine_RailHole_Major_YellowSoil_C_2</v>
      </c>
      <c r="B75" t="str">
        <v>/Script/Engine.StaticMesh'/Game/Item/Mesh/Voxel/World_02_TheMine/RailHole/SM_TheMine_RailHole_Major_YellowSoil_C_2.SM_TheMine_RailHole_Major_YellowSoil_C_2'</v>
      </c>
      <c r="C75" t="str">
        <v>Open</v>
      </c>
      <c r="D75" t="str">
        <v>RailHole2</v>
      </c>
      <c r="G75" t="str">
        <v>YellowSoil</v>
      </c>
      <c r="H75" t="str">
        <v>YellowSoil</v>
      </c>
      <c r="K75" t="b">
        <v>0</v>
      </c>
    </row>
  </sheetData>
  <conditionalFormatting sqref="K1:K1048576">
    <cfRule dxfId="7" operator="containsText" priority="2" stopIfTrue="true" text="TRUE" type="containsText">
      <formula>NOT(ISERROR(SEARCH("TRUE",K1)))</formula>
    </cfRule>
  </conditionalFormatting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ee085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7"/>
    <col collapsed="false" customWidth="true" hidden="false" max="3" min="3" style="0" width="41"/>
  </cols>
  <sheetData>
    <row r="1">
      <c r="A1" s="17" t="str">
        <v>RowName</v>
      </c>
      <c r="B1" s="17" t="str">
        <v>SplineTag</v>
      </c>
      <c r="C1" s="17" t="str">
        <v>VoxelName</v>
      </c>
      <c r="D1" s="17" t="str">
        <v>Weight</v>
      </c>
      <c r="E1" s="17" t="str">
        <v>Environment</v>
      </c>
    </row>
    <row r="2">
      <c r="A2" s="5">
        <f t="array" ref="A2:A111">SEQUENCE(COUNTA(B2:B1000))</f>
      </c>
      <c r="B2" s="5">
        <f t="array" ref="B2:B111">TOCOL(SPLIT(FILTER(VoxelMeshDefinition!AD:AD,(VoxelMeshDefinition!AE:AE="✅")*(VoxelMeshDefinition!AD:AD&lt;&gt;"")),","),3)</f>
      </c>
      <c r="C2">
        <f t="array" ref="C2:C111">TOCOL(FILTER(VoxelMeshDefinition!E:E,(VoxelMeshDefinition!AE:AE="✅")*(VoxelMeshDefinition!AD:AD&lt;&gt;""))&amp;IF(SPLIT(FILTER(VoxelMeshDefinition!AD:AD,(VoxelMeshDefinition!AE:AE="✅")*(VoxelMeshDefinition!AD:AD&lt;&gt;"")),",")&lt;&gt;"","",1/0),3)</f>
      </c>
      <c r="D2" s="5">
        <f t="array" ref="D2:D111">TOCOL(SWITCH(FILTER(VoxelMeshDefinition!J:J,(VoxelMeshDefinition!AE:AE="✅")*(VoxelMeshDefinition!AD:AD&lt;&gt;"")),"Major",32,"Minor",8,"Special",1,"")&amp;IF(SPLIT(FILTER(VoxelMeshDefinition!AD:AD,(VoxelMeshDefinition!AE:AE="✅")*(VoxelMeshDefinition!AD:AD&lt;&gt;"")),",")&lt;&gt;"","",1/0),2)</f>
      </c>
      <c r="E2" s="5">
        <f t="array" ref="E2:E111">TOCOL(SWITCH(FILTER(VoxelMeshDefinition!G:G,(VoxelMeshDefinition!AE:AE="✅")*(VoxelMeshDefinition!AD:AD&lt;&gt;"")),"TheCity",1,"TheMine",2,"")&amp;IF(SPLIT(FILTER(VoxelMeshDefinition!AD:AD,(VoxelMeshDefinition!AE:AE="✅")*(VoxelMeshDefinition!AD:AD&lt;&gt;"")),",")&lt;&gt;"","",1/0),2)</f>
      </c>
    </row>
    <row customHeight="true" ht="19" r="3">
      <c r="A3" s="5">
        <v>2</v>
      </c>
      <c r="B3" s="5" t="str">
        <v>Side</v>
      </c>
      <c r="C3" t="str">
        <v>SM_TheCity_Side_Major_C_1</v>
      </c>
      <c r="D3" s="5" t="str">
        <v>32</v>
      </c>
      <c r="E3" s="5" t="str">
        <v>1</v>
      </c>
    </row>
    <row customHeight="true" ht="19" r="4">
      <c r="A4" s="5">
        <v>3</v>
      </c>
      <c r="B4" s="5" t="str">
        <v>Side</v>
      </c>
      <c r="C4" t="str">
        <v>SM_TheCity_Side_Major_T_1</v>
      </c>
      <c r="D4" s="5" t="str">
        <v>32</v>
      </c>
      <c r="E4" s="5" t="str">
        <v>1</v>
      </c>
    </row>
    <row customHeight="true" ht="19" r="5">
      <c r="A5" s="5">
        <v>4</v>
      </c>
      <c r="B5" s="5" t="str">
        <v>Side</v>
      </c>
      <c r="C5" t="str">
        <v>SM_TheCity_Side_Major_S_1</v>
      </c>
      <c r="D5" s="5" t="str">
        <v>32</v>
      </c>
      <c r="E5" s="5" t="str">
        <v>1</v>
      </c>
    </row>
    <row customHeight="true" ht="19" r="6">
      <c r="A6" s="5">
        <v>5</v>
      </c>
      <c r="B6" s="5" t="str">
        <v>Side</v>
      </c>
      <c r="C6" t="str">
        <v>SM_TheCity_Side_Minor_B_1</v>
      </c>
      <c r="D6" s="5" t="str">
        <v>8</v>
      </c>
      <c r="E6" s="5" t="str">
        <v>1</v>
      </c>
    </row>
    <row customHeight="true" ht="19" r="7">
      <c r="A7" s="5">
        <v>6</v>
      </c>
      <c r="B7" s="5" t="str">
        <v>Side</v>
      </c>
      <c r="C7" t="str">
        <v>SM_TheCity_Side_Minor_C_1</v>
      </c>
      <c r="D7" s="5" t="str">
        <v>8</v>
      </c>
      <c r="E7" s="5" t="str">
        <v>1</v>
      </c>
    </row>
    <row customHeight="true" ht="19" r="8">
      <c r="A8" s="5">
        <v>7</v>
      </c>
      <c r="B8" s="5" t="str">
        <v>Side</v>
      </c>
      <c r="C8" t="str">
        <v>SM_TheCity_Side_Minor_T_1</v>
      </c>
      <c r="D8" s="5" t="str">
        <v>8</v>
      </c>
      <c r="E8" s="5" t="str">
        <v>1</v>
      </c>
    </row>
    <row customHeight="true" ht="19" r="9">
      <c r="A9" s="5">
        <v>8</v>
      </c>
      <c r="B9" s="5" t="str">
        <v>Side</v>
      </c>
      <c r="C9" t="str">
        <v>SM_TheCity_Side_Minor_S_1</v>
      </c>
      <c r="D9" s="5" t="str">
        <v>8</v>
      </c>
      <c r="E9" s="5" t="str">
        <v>1</v>
      </c>
    </row>
    <row customHeight="true" ht="19" r="10">
      <c r="A10" s="5">
        <v>9</v>
      </c>
      <c r="B10" s="5" t="str">
        <v>GroundLine</v>
      </c>
      <c r="C10" t="str">
        <v>SM_TheCity_GroundLine_Major_Road_B_1</v>
      </c>
      <c r="D10" s="5" t="str">
        <v>32</v>
      </c>
      <c r="E10" s="5" t="str">
        <v>1</v>
      </c>
    </row>
    <row customHeight="true" ht="19" r="11">
      <c r="A11" s="5">
        <v>10</v>
      </c>
      <c r="B11" s="5" t="str">
        <v>GroundLine</v>
      </c>
      <c r="C11" t="str">
        <v>SM_TheCity_GroundLine_Major_Road_C_1</v>
      </c>
      <c r="D11" s="5" t="str">
        <v>32</v>
      </c>
      <c r="E11" s="5" t="str">
        <v>1</v>
      </c>
    </row>
    <row customHeight="true" ht="19" r="12">
      <c r="A12" s="5">
        <v>11</v>
      </c>
      <c r="B12" s="5" t="str">
        <v>StartHole</v>
      </c>
      <c r="C12" t="str">
        <v>SM_TheCity_GroundLine_Major_Road_C_1</v>
      </c>
      <c r="D12" s="5" t="str">
        <v>32</v>
      </c>
      <c r="E12" s="5" t="str">
        <v>1</v>
      </c>
    </row>
    <row r="13">
      <c r="A13">
        <v>12</v>
      </c>
      <c r="B13" s="5" t="str">
        <v>CheckHole</v>
      </c>
      <c r="C13" t="str">
        <v>SM_TheCity_GroundLine_Major_Road_C_1</v>
      </c>
      <c r="D13" t="str">
        <v>32</v>
      </c>
      <c r="E13" s="5" t="str">
        <v>1</v>
      </c>
    </row>
    <row r="14">
      <c r="A14">
        <v>13</v>
      </c>
      <c r="B14" s="5" t="str">
        <v>EndHole</v>
      </c>
      <c r="C14" t="str">
        <v>SM_TheCity_GroundLine_Major_Road_C_1</v>
      </c>
      <c r="D14" t="str">
        <v>32</v>
      </c>
      <c r="E14" s="5" t="str">
        <v>1</v>
      </c>
    </row>
    <row r="15">
      <c r="A15">
        <v>14</v>
      </c>
      <c r="B15" s="5" t="str">
        <v>GroundLine</v>
      </c>
      <c r="C15" t="str">
        <v>SM_TheCity_GroundLine_Major_Road_T_1</v>
      </c>
      <c r="D15" t="str">
        <v>32</v>
      </c>
      <c r="E15" s="5" t="str">
        <v>1</v>
      </c>
    </row>
    <row r="16">
      <c r="A16">
        <v>15</v>
      </c>
      <c r="B16" s="5" t="str">
        <v>StartHole</v>
      </c>
      <c r="C16" t="str">
        <v>SM_TheCity_GroundLine_Major_Road_T_1</v>
      </c>
      <c r="D16" t="str">
        <v>32</v>
      </c>
      <c r="E16" s="5" t="str">
        <v>1</v>
      </c>
    </row>
    <row r="17">
      <c r="A17">
        <v>16</v>
      </c>
      <c r="B17" s="5" t="str">
        <v>CheckHole</v>
      </c>
      <c r="C17" t="str">
        <v>SM_TheCity_GroundLine_Major_Road_T_1</v>
      </c>
      <c r="D17" t="str">
        <v>32</v>
      </c>
      <c r="E17" s="5" t="str">
        <v>1</v>
      </c>
    </row>
    <row r="18">
      <c r="A18">
        <v>17</v>
      </c>
      <c r="B18" s="5" t="str">
        <v>EndHole</v>
      </c>
      <c r="C18" t="str">
        <v>SM_TheCity_GroundLine_Major_Road_T_1</v>
      </c>
      <c r="D18" t="str">
        <v>32</v>
      </c>
      <c r="E18" s="5" t="str">
        <v>1</v>
      </c>
    </row>
    <row r="19">
      <c r="A19">
        <v>18</v>
      </c>
      <c r="B19" s="5" t="str">
        <v>GroundLine</v>
      </c>
      <c r="C19" t="str">
        <v>SM_TheCity_GroundLine_Major_Road_B_CR_1</v>
      </c>
      <c r="D19" t="str">
        <v>32</v>
      </c>
      <c r="E19" s="5" t="str">
        <v>1</v>
      </c>
    </row>
    <row r="20">
      <c r="A20">
        <v>19</v>
      </c>
      <c r="B20" s="5" t="str">
        <v>GroundLine</v>
      </c>
      <c r="C20" t="str">
        <v>SM_TheCity_GroundLine_Major_Road_C_CR_2</v>
      </c>
      <c r="D20" t="str">
        <v>32</v>
      </c>
      <c r="E20" s="5" t="str">
        <v>1</v>
      </c>
    </row>
    <row r="21">
      <c r="A21">
        <v>20</v>
      </c>
      <c r="B21" s="5" t="str">
        <v>StartHole</v>
      </c>
      <c r="C21" t="str">
        <v>SM_TheCity_GroundLine_Major_Road_C_CR_2</v>
      </c>
      <c r="D21" t="str">
        <v>32</v>
      </c>
      <c r="E21" s="5" t="str">
        <v>1</v>
      </c>
    </row>
    <row r="22">
      <c r="A22">
        <v>21</v>
      </c>
      <c r="B22" t="str">
        <v>CheckHole</v>
      </c>
      <c r="C22" t="str">
        <v>SM_TheCity_GroundLine_Major_Road_C_CR_2</v>
      </c>
      <c r="D22" t="str">
        <v>32</v>
      </c>
      <c r="E22" s="5" t="str">
        <v>1</v>
      </c>
    </row>
    <row r="23">
      <c r="A23">
        <v>22</v>
      </c>
      <c r="B23" t="str">
        <v>EndHole</v>
      </c>
      <c r="C23" t="str">
        <v>SM_TheCity_GroundLine_Major_Road_C_CR_2</v>
      </c>
      <c r="D23" t="str">
        <v>32</v>
      </c>
      <c r="E23" s="5" t="str">
        <v>1</v>
      </c>
    </row>
    <row r="24">
      <c r="A24">
        <v>23</v>
      </c>
      <c r="B24" t="str">
        <v>GroundLine</v>
      </c>
      <c r="C24" t="str">
        <v>SM_TheCity_GroundLine_Major_Road_C_CR_3</v>
      </c>
      <c r="D24" t="str">
        <v>32</v>
      </c>
      <c r="E24" s="5" t="str">
        <v>1</v>
      </c>
    </row>
    <row r="25">
      <c r="A25">
        <v>24</v>
      </c>
      <c r="B25" t="str">
        <v>StartHole</v>
      </c>
      <c r="C25" t="str">
        <v>SM_TheCity_GroundLine_Major_Road_C_CR_3</v>
      </c>
      <c r="D25" t="str">
        <v>32</v>
      </c>
      <c r="E25" s="5" t="str">
        <v>1</v>
      </c>
    </row>
    <row r="26">
      <c r="A26">
        <v>25</v>
      </c>
      <c r="B26" t="str">
        <v>CheckHole</v>
      </c>
      <c r="C26" t="str">
        <v>SM_TheCity_GroundLine_Major_Road_C_CR_3</v>
      </c>
      <c r="D26" t="str">
        <v>32</v>
      </c>
      <c r="E26" s="5" t="str">
        <v>1</v>
      </c>
    </row>
    <row r="27">
      <c r="A27">
        <v>26</v>
      </c>
      <c r="B27" t="str">
        <v>EndHole</v>
      </c>
      <c r="C27" t="str">
        <v>SM_TheCity_GroundLine_Major_Road_C_CR_3</v>
      </c>
      <c r="D27" t="str">
        <v>32</v>
      </c>
      <c r="E27" s="5" t="str">
        <v>1</v>
      </c>
    </row>
    <row r="28">
      <c r="A28">
        <v>27</v>
      </c>
      <c r="B28" t="str">
        <v>GroundLine</v>
      </c>
      <c r="C28" t="str">
        <v>SM_TheCity_GroundLine_Major_Road_C_CR_7</v>
      </c>
      <c r="D28" t="str">
        <v>32</v>
      </c>
      <c r="E28" s="5" t="str">
        <v>1</v>
      </c>
    </row>
    <row r="29">
      <c r="A29">
        <v>28</v>
      </c>
      <c r="B29" t="str">
        <v>StartHole</v>
      </c>
      <c r="C29" t="str">
        <v>SM_TheCity_GroundLine_Major_Road_C_CR_7</v>
      </c>
      <c r="D29" t="str">
        <v>32</v>
      </c>
      <c r="E29" s="5" t="str">
        <v>1</v>
      </c>
    </row>
    <row r="30">
      <c r="A30">
        <v>29</v>
      </c>
      <c r="B30" t="str">
        <v>CheckHole</v>
      </c>
      <c r="C30" t="str">
        <v>SM_TheCity_GroundLine_Major_Road_C_CR_7</v>
      </c>
      <c r="D30" t="str">
        <v>32</v>
      </c>
      <c r="E30" s="5" t="str">
        <v>1</v>
      </c>
    </row>
    <row r="31">
      <c r="A31">
        <v>30</v>
      </c>
      <c r="B31" t="str">
        <v>EndHole</v>
      </c>
      <c r="C31" t="str">
        <v>SM_TheCity_GroundLine_Major_Road_C_CR_7</v>
      </c>
      <c r="D31" t="str">
        <v>32</v>
      </c>
      <c r="E31" s="5" t="str">
        <v>1</v>
      </c>
    </row>
    <row r="32">
      <c r="A32">
        <v>31</v>
      </c>
      <c r="B32" t="str">
        <v>GroundLine</v>
      </c>
      <c r="C32" t="str">
        <v>SM_TheCity_GroundLine_Major_Road_T_CR_8</v>
      </c>
      <c r="D32" t="str">
        <v>32</v>
      </c>
      <c r="E32" s="5" t="str">
        <v>1</v>
      </c>
    </row>
    <row r="33">
      <c r="A33">
        <v>32</v>
      </c>
      <c r="B33" t="str">
        <v>StartHole</v>
      </c>
      <c r="C33" t="str">
        <v>SM_TheCity_GroundLine_Major_Road_T_CR_8</v>
      </c>
      <c r="D33" t="str">
        <v>32</v>
      </c>
      <c r="E33" s="5" t="str">
        <v>1</v>
      </c>
    </row>
    <row r="34">
      <c r="A34">
        <v>33</v>
      </c>
      <c r="B34" t="str">
        <v>CheckHole</v>
      </c>
      <c r="C34" t="str">
        <v>SM_TheCity_GroundLine_Major_Road_T_CR_8</v>
      </c>
      <c r="D34" t="str">
        <v>32</v>
      </c>
      <c r="E34" s="5" t="str">
        <v>1</v>
      </c>
    </row>
    <row r="35">
      <c r="A35">
        <v>34</v>
      </c>
      <c r="B35" t="str">
        <v>EndHole</v>
      </c>
      <c r="C35" t="str">
        <v>SM_TheCity_GroundLine_Major_Road_T_CR_8</v>
      </c>
      <c r="D35" t="str">
        <v>32</v>
      </c>
      <c r="E35" s="5" t="str">
        <v>1</v>
      </c>
    </row>
    <row r="36">
      <c r="A36">
        <v>35</v>
      </c>
      <c r="B36" t="str">
        <v>GroundLine_Caved</v>
      </c>
      <c r="C36" t="str">
        <v>SM_TheCity_GroundLine_Caved_Major_Road_B_1</v>
      </c>
      <c r="D36" t="str">
        <v>32</v>
      </c>
      <c r="E36" s="5" t="str">
        <v>1</v>
      </c>
    </row>
    <row r="37">
      <c r="A37">
        <v>36</v>
      </c>
      <c r="B37" t="str">
        <v>GroundLine_Caved</v>
      </c>
      <c r="C37" t="str">
        <v>SM_TheCity_GroundLine_Caved_Major_Road_C_1</v>
      </c>
      <c r="D37" t="str">
        <v>32</v>
      </c>
      <c r="E37" s="5" t="str">
        <v>1</v>
      </c>
    </row>
    <row r="38">
      <c r="A38">
        <v>37</v>
      </c>
      <c r="B38" t="str">
        <v>GroundLine_Caved</v>
      </c>
      <c r="C38" t="str">
        <v>SM_TheCity_GroundLine_Caved_Major_Road_T_1</v>
      </c>
      <c r="D38" t="str">
        <v>32</v>
      </c>
      <c r="E38" s="5" t="str">
        <v>1</v>
      </c>
    </row>
    <row r="39">
      <c r="A39">
        <v>38</v>
      </c>
      <c r="B39" t="str">
        <v>StartHole</v>
      </c>
      <c r="C39" t="str">
        <v>SM_TheCity_StartHole_Major_Sidewalk_B_1</v>
      </c>
      <c r="D39" t="str">
        <v>32</v>
      </c>
      <c r="E39" s="5" t="str">
        <v>1</v>
      </c>
    </row>
    <row r="40">
      <c r="A40">
        <v>39</v>
      </c>
      <c r="B40" t="str">
        <v>CheckHole</v>
      </c>
      <c r="C40" t="str">
        <v>SM_TheCity_StartHole_Major_Sidewalk_B_1</v>
      </c>
      <c r="D40" t="str">
        <v>32</v>
      </c>
      <c r="E40" s="5" t="str">
        <v>1</v>
      </c>
    </row>
    <row r="41">
      <c r="A41">
        <v>40</v>
      </c>
      <c r="B41" t="str">
        <v>EndHole</v>
      </c>
      <c r="C41" t="str">
        <v>SM_TheCity_StartHole_Major_Sidewalk_B_1</v>
      </c>
      <c r="D41" t="str">
        <v>32</v>
      </c>
      <c r="E41" s="5" t="str">
        <v>1</v>
      </c>
    </row>
    <row r="42">
      <c r="A42">
        <v>41</v>
      </c>
      <c r="B42" t="str">
        <v>StartHole</v>
      </c>
      <c r="C42" t="str">
        <v>SM_TheCity_StartHole_Major_SidewalkToRoad_C_2</v>
      </c>
      <c r="D42" t="str">
        <v>32</v>
      </c>
      <c r="E42" s="5" t="str">
        <v>1</v>
      </c>
    </row>
    <row r="43">
      <c r="A43">
        <v>42</v>
      </c>
      <c r="B43" t="str">
        <v>CheckHole</v>
      </c>
      <c r="C43" t="str">
        <v>SM_TheCity_StartHole_Major_SidewalkToRoad_C_2</v>
      </c>
      <c r="D43" t="str">
        <v>32</v>
      </c>
      <c r="E43" s="5" t="str">
        <v>1</v>
      </c>
    </row>
    <row r="44">
      <c r="A44">
        <v>43</v>
      </c>
      <c r="B44" t="str">
        <v>EndHole</v>
      </c>
      <c r="C44" t="str">
        <v>SM_TheCity_StartHole_Major_SidewalkToRoad_C_2</v>
      </c>
      <c r="D44" t="str">
        <v>32</v>
      </c>
      <c r="E44" s="5" t="str">
        <v>1</v>
      </c>
    </row>
    <row r="45">
      <c r="A45">
        <v>44</v>
      </c>
      <c r="B45" t="str">
        <v>StartHole</v>
      </c>
      <c r="C45" t="str">
        <v>SM_TheCity_StartHole_Major_Road_C_3</v>
      </c>
      <c r="D45" t="str">
        <v>32</v>
      </c>
      <c r="E45" s="5" t="str">
        <v>1</v>
      </c>
    </row>
    <row r="46">
      <c r="A46">
        <v>45</v>
      </c>
      <c r="B46" t="str">
        <v>CheckHole</v>
      </c>
      <c r="C46" t="str">
        <v>SM_TheCity_StartHole_Major_Road_C_3</v>
      </c>
      <c r="D46" t="str">
        <v>32</v>
      </c>
      <c r="E46" s="5" t="str">
        <v>1</v>
      </c>
    </row>
    <row r="47">
      <c r="A47">
        <v>46</v>
      </c>
      <c r="B47" t="str">
        <v>StartHole</v>
      </c>
      <c r="C47" t="str">
        <v>SM_TheCity_StartHole_Major_Road_C_4</v>
      </c>
      <c r="D47" t="str">
        <v>32</v>
      </c>
      <c r="E47" s="5" t="str">
        <v>1</v>
      </c>
    </row>
    <row r="48">
      <c r="A48">
        <v>47</v>
      </c>
      <c r="B48" t="str">
        <v>StartHole</v>
      </c>
      <c r="C48" t="str">
        <v>SM_TheCity_StartHole_Major_Road_C_5</v>
      </c>
      <c r="D48" t="str">
        <v>32</v>
      </c>
      <c r="E48" s="5" t="str">
        <v>1</v>
      </c>
    </row>
    <row r="49">
      <c r="A49">
        <v>48</v>
      </c>
      <c r="B49" t="str">
        <v>CheckHole</v>
      </c>
      <c r="C49" t="str">
        <v>SM_TheCity_CheckHole_Major_Road_C_4</v>
      </c>
      <c r="D49" t="str">
        <v>32</v>
      </c>
      <c r="E49" s="5" t="str">
        <v>1</v>
      </c>
    </row>
    <row r="50">
      <c r="A50">
        <v>49</v>
      </c>
      <c r="B50" t="str">
        <v>CheckHole</v>
      </c>
      <c r="C50" t="str">
        <v>SM_TheCity_CheckHole_Major_Road_C_5</v>
      </c>
      <c r="D50" t="str">
        <v>32</v>
      </c>
      <c r="E50" s="5" t="str">
        <v>1</v>
      </c>
    </row>
    <row r="51">
      <c r="A51">
        <v>50</v>
      </c>
      <c r="B51" t="str">
        <v>EndHole</v>
      </c>
      <c r="C51" t="str">
        <v>SM_TheCity_EndHole_Major_Road_C_3</v>
      </c>
      <c r="D51" t="str">
        <v>32</v>
      </c>
      <c r="E51" s="5" t="str">
        <v>1</v>
      </c>
    </row>
    <row r="52">
      <c r="A52">
        <v>51</v>
      </c>
      <c r="B52" t="str">
        <v>EndHole</v>
      </c>
      <c r="C52" t="str">
        <v>SM_TheCity_EndHole_Major_Road_C_4</v>
      </c>
      <c r="D52" t="str">
        <v>32</v>
      </c>
      <c r="E52" s="5" t="str">
        <v>1</v>
      </c>
    </row>
    <row r="53">
      <c r="A53">
        <v>52</v>
      </c>
      <c r="B53" t="str">
        <v>EndHole</v>
      </c>
      <c r="C53" t="str">
        <v>SM_TheCity_EndHole_Major_Road_C_5</v>
      </c>
      <c r="D53" t="str">
        <v>32</v>
      </c>
      <c r="E53" s="5" t="str">
        <v>1</v>
      </c>
    </row>
    <row r="54">
      <c r="A54">
        <v>53</v>
      </c>
      <c r="B54" t="str">
        <v>EndHole</v>
      </c>
      <c r="C54" t="str">
        <v>SM_TheCity_EndHole_Major_Road_C_6</v>
      </c>
      <c r="D54" t="str">
        <v>32</v>
      </c>
      <c r="E54" s="5" t="str">
        <v>1</v>
      </c>
    </row>
    <row r="55">
      <c r="A55">
        <v>54</v>
      </c>
      <c r="B55" t="str">
        <v>RailHole</v>
      </c>
      <c r="C55" t="str">
        <v>SM_TheCity_RailHole_Major_Road_C_2</v>
      </c>
      <c r="D55" t="str">
        <v>32</v>
      </c>
      <c r="E55" s="5" t="str">
        <v>1</v>
      </c>
    </row>
    <row r="56">
      <c r="A56">
        <v>55</v>
      </c>
      <c r="B56" t="str">
        <v>RailHole</v>
      </c>
      <c r="C56" t="str">
        <v>SM_TheCity_RailHole_Major_Road_C_3</v>
      </c>
      <c r="D56" t="str">
        <v>32</v>
      </c>
      <c r="E56" s="5" t="str">
        <v>1</v>
      </c>
    </row>
    <row r="57">
      <c r="A57">
        <v>56</v>
      </c>
      <c r="B57" t="str">
        <v>RailHole</v>
      </c>
      <c r="C57" t="str">
        <v>SM_TheCity_RailHole_Major_Road_C_4</v>
      </c>
      <c r="D57" t="str">
        <v>32</v>
      </c>
      <c r="E57" s="5" t="str">
        <v>1</v>
      </c>
    </row>
    <row r="58">
      <c r="A58">
        <v>57</v>
      </c>
      <c r="B58" t="str">
        <v>RailHole</v>
      </c>
      <c r="C58" t="str">
        <v>SM_TheCity_RailHole_Major_Road_C_5</v>
      </c>
      <c r="D58" t="str">
        <v>32</v>
      </c>
      <c r="E58" s="5" t="str">
        <v>1</v>
      </c>
    </row>
    <row r="59">
      <c r="A59">
        <v>58</v>
      </c>
      <c r="B59" t="str">
        <v>RailHole</v>
      </c>
      <c r="C59" t="str">
        <v>SM_TheCity_RailHole_Major_Road_C_6</v>
      </c>
      <c r="D59" t="str">
        <v>32</v>
      </c>
      <c r="E59" s="5" t="str">
        <v>1</v>
      </c>
    </row>
    <row r="60">
      <c r="A60">
        <v>59</v>
      </c>
      <c r="B60" t="str">
        <v>RailHole</v>
      </c>
      <c r="C60" t="str">
        <v>SM_TheCity_RailHole_Major_Road_C_7</v>
      </c>
      <c r="D60" t="str">
        <v>32</v>
      </c>
      <c r="E60" s="5" t="str">
        <v>1</v>
      </c>
    </row>
    <row r="61">
      <c r="A61">
        <v>60</v>
      </c>
      <c r="B61" t="str">
        <v>Side</v>
      </c>
      <c r="C61" t="str">
        <v>SM_TheMine_Side_Major_B_1</v>
      </c>
      <c r="D61" t="str">
        <v>32</v>
      </c>
      <c r="E61" s="5" t="str">
        <v>2</v>
      </c>
    </row>
    <row r="62">
      <c r="A62">
        <v>61</v>
      </c>
      <c r="B62" t="str">
        <v>Side</v>
      </c>
      <c r="C62" t="str">
        <v>SM_TheMine_Side_Major_B_2</v>
      </c>
      <c r="D62" t="str">
        <v>32</v>
      </c>
      <c r="E62" s="5" t="str">
        <v>2</v>
      </c>
    </row>
    <row r="63">
      <c r="A63">
        <v>62</v>
      </c>
      <c r="B63" t="str">
        <v>Side</v>
      </c>
      <c r="C63" t="str">
        <v>SM_TheMine_Side_Major_B_3</v>
      </c>
      <c r="D63" t="str">
        <v>32</v>
      </c>
      <c r="E63" s="5" t="str">
        <v>2</v>
      </c>
    </row>
    <row r="64">
      <c r="A64">
        <v>63</v>
      </c>
      <c r="B64" t="str">
        <v>Side</v>
      </c>
      <c r="C64" t="str">
        <v>SM_TheMine_Side_Major_C_1</v>
      </c>
      <c r="D64" t="str">
        <v>32</v>
      </c>
      <c r="E64" s="5" t="str">
        <v>2</v>
      </c>
    </row>
    <row r="65">
      <c r="A65">
        <v>64</v>
      </c>
      <c r="B65" t="str">
        <v>Side</v>
      </c>
      <c r="C65" t="str">
        <v>SM_TheMine_Side_Major_C_2</v>
      </c>
      <c r="D65" t="str">
        <v>32</v>
      </c>
      <c r="E65" s="5" t="str">
        <v>2</v>
      </c>
    </row>
    <row r="66">
      <c r="A66">
        <v>65</v>
      </c>
      <c r="B66" t="str">
        <v>Side</v>
      </c>
      <c r="C66" t="str">
        <v>SM_TheMine_Side_Major_C_3</v>
      </c>
      <c r="D66" t="str">
        <v>32</v>
      </c>
      <c r="E66" s="5" t="str">
        <v>2</v>
      </c>
    </row>
    <row r="67">
      <c r="A67">
        <v>66</v>
      </c>
      <c r="B67" t="str">
        <v>Side</v>
      </c>
      <c r="C67" t="str">
        <v>SM_TheMine_Side_Major_C_4</v>
      </c>
      <c r="D67" t="str">
        <v>32</v>
      </c>
      <c r="E67" s="5" t="str">
        <v>2</v>
      </c>
    </row>
    <row r="68">
      <c r="A68">
        <v>67</v>
      </c>
      <c r="B68" t="str">
        <v>Side</v>
      </c>
      <c r="C68" t="str">
        <v>SM_TheMine_Side_Major_C_5</v>
      </c>
      <c r="D68" t="str">
        <v>32</v>
      </c>
      <c r="E68" s="5" t="str">
        <v>2</v>
      </c>
    </row>
    <row r="69">
      <c r="A69">
        <v>68</v>
      </c>
      <c r="B69" t="str">
        <v>Side</v>
      </c>
      <c r="C69" t="str">
        <v>SM_TheMine_Side_Major_T_1</v>
      </c>
      <c r="D69" t="str">
        <v>32</v>
      </c>
      <c r="E69" s="5" t="str">
        <v>2</v>
      </c>
    </row>
    <row r="70">
      <c r="A70">
        <v>69</v>
      </c>
      <c r="B70" t="str">
        <v>Side</v>
      </c>
      <c r="C70" t="str">
        <v>SM_TheMine_Side_Major_T_2</v>
      </c>
      <c r="D70" t="str">
        <v>32</v>
      </c>
      <c r="E70" s="5" t="str">
        <v>2</v>
      </c>
    </row>
    <row r="71">
      <c r="A71">
        <v>70</v>
      </c>
      <c r="B71" t="str">
        <v>Side</v>
      </c>
      <c r="C71" t="str">
        <v>SM_TheMine_Side_Major_T_3</v>
      </c>
      <c r="D71" t="str">
        <v>32</v>
      </c>
      <c r="E71" s="5" t="str">
        <v>2</v>
      </c>
    </row>
    <row r="72">
      <c r="A72">
        <v>71</v>
      </c>
      <c r="B72" t="str">
        <v>Side</v>
      </c>
      <c r="C72" t="str">
        <v>SM_TheMine_Side_Major_S_1</v>
      </c>
      <c r="D72" t="str">
        <v>32</v>
      </c>
      <c r="E72" s="5" t="str">
        <v>2</v>
      </c>
    </row>
    <row r="73">
      <c r="A73">
        <v>72</v>
      </c>
      <c r="B73" t="str">
        <v>Side</v>
      </c>
      <c r="C73" t="str">
        <v>SM_TheMine_Side_Minor_B_1</v>
      </c>
      <c r="D73" t="str">
        <v>8</v>
      </c>
      <c r="E73" s="5" t="str">
        <v>2</v>
      </c>
    </row>
    <row r="74">
      <c r="A74">
        <v>73</v>
      </c>
      <c r="B74" t="str">
        <v>Side</v>
      </c>
      <c r="C74" t="str">
        <v>SM_TheMine_Side_Minor_C_1</v>
      </c>
      <c r="D74" t="str">
        <v>8</v>
      </c>
      <c r="E74" s="5" t="str">
        <v>2</v>
      </c>
    </row>
    <row r="75">
      <c r="A75">
        <v>74</v>
      </c>
      <c r="B75" t="str">
        <v>Side</v>
      </c>
      <c r="C75" t="str">
        <v>SM_TheMine_Side_Minor_C_2</v>
      </c>
      <c r="D75" t="str">
        <v>8</v>
      </c>
      <c r="E75" s="5" t="str">
        <v>2</v>
      </c>
    </row>
    <row r="76">
      <c r="A76">
        <v>75</v>
      </c>
      <c r="B76" t="str">
        <v>Side</v>
      </c>
      <c r="C76" t="str">
        <v>SM_TheMine_Side_Minor_C_3</v>
      </c>
      <c r="D76" t="str">
        <v>8</v>
      </c>
      <c r="E76" s="5" t="str">
        <v>2</v>
      </c>
    </row>
    <row r="77">
      <c r="A77">
        <v>76</v>
      </c>
      <c r="B77" t="str">
        <v>Side</v>
      </c>
      <c r="C77" t="str">
        <v>SM_TheMine_Side_Minor_T_1</v>
      </c>
      <c r="D77" t="str">
        <v>8</v>
      </c>
      <c r="E77" s="5" t="str">
        <v>2</v>
      </c>
    </row>
    <row r="78">
      <c r="A78">
        <v>77</v>
      </c>
      <c r="B78" t="str">
        <v>GroundLine</v>
      </c>
      <c r="C78" t="str">
        <v>SM_TheMine_GroundLine_Major_YellowSoil_B_1</v>
      </c>
      <c r="D78" t="str">
        <v>32</v>
      </c>
      <c r="E78" s="5" t="str">
        <v>2</v>
      </c>
    </row>
    <row r="79">
      <c r="A79">
        <v>78</v>
      </c>
      <c r="B79" t="str">
        <v>GroundLine</v>
      </c>
      <c r="C79" t="str">
        <v>SM_TheMine_GroundLine_Major_YellowSoil_C_1</v>
      </c>
      <c r="D79" t="str">
        <v>32</v>
      </c>
      <c r="E79" s="5" t="str">
        <v>2</v>
      </c>
    </row>
    <row r="80">
      <c r="A80">
        <v>79</v>
      </c>
      <c r="B80" t="str">
        <v>StartHole</v>
      </c>
      <c r="C80" t="str">
        <v>SM_TheMine_GroundLine_Major_YellowSoil_C_1</v>
      </c>
      <c r="D80" t="str">
        <v>32</v>
      </c>
      <c r="E80" s="5" t="str">
        <v>2</v>
      </c>
    </row>
    <row r="81">
      <c r="A81">
        <v>80</v>
      </c>
      <c r="B81" t="str">
        <v>CheckHole</v>
      </c>
      <c r="C81" t="str">
        <v>SM_TheMine_GroundLine_Major_YellowSoil_C_1</v>
      </c>
      <c r="D81" t="str">
        <v>32</v>
      </c>
      <c r="E81" s="5" t="str">
        <v>2</v>
      </c>
    </row>
    <row r="82">
      <c r="A82">
        <v>81</v>
      </c>
      <c r="B82" t="str">
        <v>EndHole</v>
      </c>
      <c r="C82" t="str">
        <v>SM_TheMine_GroundLine_Major_YellowSoil_C_1</v>
      </c>
      <c r="D82" t="str">
        <v>32</v>
      </c>
      <c r="E82" s="5" t="str">
        <v>2</v>
      </c>
    </row>
    <row r="83">
      <c r="A83">
        <v>82</v>
      </c>
      <c r="B83" t="str">
        <v>GroundLine</v>
      </c>
      <c r="C83" t="str">
        <v>SM_TheMine_GroundLine_Major_YellowSoil_T_1</v>
      </c>
      <c r="D83" t="str">
        <v>32</v>
      </c>
      <c r="E83" s="5" t="str">
        <v>2</v>
      </c>
    </row>
    <row r="84">
      <c r="A84">
        <v>83</v>
      </c>
      <c r="B84" t="str">
        <v>StartHole</v>
      </c>
      <c r="C84" t="str">
        <v>SM_TheMine_GroundLine_Major_YellowSoil_T_1</v>
      </c>
      <c r="D84" t="str">
        <v>32</v>
      </c>
      <c r="E84" s="5" t="str">
        <v>2</v>
      </c>
    </row>
    <row r="85">
      <c r="A85">
        <v>84</v>
      </c>
      <c r="B85" t="str">
        <v>CheckHole</v>
      </c>
      <c r="C85" t="str">
        <v>SM_TheMine_GroundLine_Major_YellowSoil_T_1</v>
      </c>
      <c r="D85" t="str">
        <v>32</v>
      </c>
      <c r="E85" s="5" t="str">
        <v>2</v>
      </c>
    </row>
    <row r="86">
      <c r="A86">
        <v>85</v>
      </c>
      <c r="B86" t="str">
        <v>EndHole</v>
      </c>
      <c r="C86" t="str">
        <v>SM_TheMine_GroundLine_Major_YellowSoil_T_1</v>
      </c>
      <c r="D86" t="str">
        <v>32</v>
      </c>
      <c r="E86" s="5" t="str">
        <v>2</v>
      </c>
    </row>
    <row r="87">
      <c r="A87">
        <v>86</v>
      </c>
      <c r="B87" t="str">
        <v>GroundLine_Caved</v>
      </c>
      <c r="C87" t="str">
        <v>SM_TheMine_GroundLine_Caved_Major_YellowSoil_B_1</v>
      </c>
      <c r="D87" t="str">
        <v>32</v>
      </c>
      <c r="E87" s="5" t="str">
        <v>2</v>
      </c>
    </row>
    <row r="88">
      <c r="A88">
        <v>87</v>
      </c>
      <c r="B88" t="str">
        <v>GroundLine_Caved</v>
      </c>
      <c r="C88" t="str">
        <v>SM_TheMine_GroundLine_Caved_Major_YellowSoil_C_1</v>
      </c>
      <c r="D88" t="str">
        <v>32</v>
      </c>
      <c r="E88" s="5" t="str">
        <v>2</v>
      </c>
    </row>
    <row r="89">
      <c r="A89">
        <v>88</v>
      </c>
      <c r="B89" t="str">
        <v>GroundLine_Caved</v>
      </c>
      <c r="C89" t="str">
        <v>SM_TheMine_GroundLine_Caved_Major_YellowSoil_T_1</v>
      </c>
      <c r="D89" t="str">
        <v>32</v>
      </c>
      <c r="E89" s="5" t="str">
        <v>2</v>
      </c>
    </row>
    <row r="90">
      <c r="A90">
        <v>89</v>
      </c>
      <c r="B90" t="str">
        <v>StartHole</v>
      </c>
      <c r="C90" t="str">
        <v>SM_TheMine_StartHole_Major_RedSoil_B_1</v>
      </c>
      <c r="D90" t="str">
        <v>32</v>
      </c>
      <c r="E90" s="5" t="str">
        <v>2</v>
      </c>
    </row>
    <row r="91">
      <c r="A91">
        <v>90</v>
      </c>
      <c r="B91" t="str">
        <v>CheckHole</v>
      </c>
      <c r="C91" t="str">
        <v>SM_TheMine_StartHole_Major_RedSoil_B_1</v>
      </c>
      <c r="D91" t="str">
        <v>32</v>
      </c>
      <c r="E91" s="5" t="str">
        <v>2</v>
      </c>
    </row>
    <row r="92">
      <c r="A92">
        <v>91</v>
      </c>
      <c r="B92" t="str">
        <v>EndHole</v>
      </c>
      <c r="C92" t="str">
        <v>SM_TheMine_StartHole_Major_RedSoil_B_1</v>
      </c>
      <c r="D92" t="str">
        <v>32</v>
      </c>
      <c r="E92" s="5" t="str">
        <v>2</v>
      </c>
    </row>
    <row r="93">
      <c r="A93">
        <v>92</v>
      </c>
      <c r="B93" t="str">
        <v>StartHole</v>
      </c>
      <c r="C93" t="str">
        <v>SM_TheMine_StartHole_Major_RedToYellow_C_2</v>
      </c>
      <c r="D93" t="str">
        <v>32</v>
      </c>
      <c r="E93" s="5" t="str">
        <v>2</v>
      </c>
    </row>
    <row r="94">
      <c r="A94">
        <v>93</v>
      </c>
      <c r="B94" t="str">
        <v>CheckHole</v>
      </c>
      <c r="C94" t="str">
        <v>SM_TheMine_StartHole_Major_RedToYellow_C_2</v>
      </c>
      <c r="D94" t="str">
        <v>32</v>
      </c>
      <c r="E94" s="5" t="str">
        <v>2</v>
      </c>
    </row>
    <row r="95">
      <c r="C95" t="str">
        <v>SM_TheMine_StartHole_Major_RedToYellow_C_2</v>
      </c>
      <c r="E95" s="5" t="str">
        <v>2</v>
      </c>
    </row>
    <row r="96">
      <c r="C96" t="str">
        <v>SM_TheMine_StartHole_Major_YellowSoil_C_3</v>
      </c>
      <c r="E96" s="5" t="str">
        <v>2</v>
      </c>
    </row>
    <row r="97">
      <c r="C97" t="str">
        <v>SM_TheMine_StartHole_Major_YellowSoil_C_3</v>
      </c>
      <c r="E97" s="5" t="str">
        <v>2</v>
      </c>
    </row>
    <row r="98">
      <c r="C98" t="str">
        <v>SM_TheMine_StartHole_Major_YellowSoil_C_4</v>
      </c>
      <c r="E98" s="5" t="str">
        <v>2</v>
      </c>
    </row>
    <row r="99">
      <c r="C99" t="str">
        <v>SM_TheMine_StartHole_Major_YellowSoil_C_5</v>
      </c>
      <c r="E99" s="5" t="str">
        <v>2</v>
      </c>
    </row>
    <row r="100">
      <c r="C100" t="str">
        <v>SM_TheMine_CheckHole_Major_YellowSoil_C_4</v>
      </c>
      <c r="E100" s="5" t="str">
        <v>2</v>
      </c>
    </row>
    <row r="101">
      <c r="C101" t="str">
        <v>SM_TheMine_CheckHole_Major_YellowSoil_C_5</v>
      </c>
      <c r="E101" s="5" t="str">
        <v>2</v>
      </c>
    </row>
    <row r="102">
      <c r="C102" t="str">
        <v>SM_TheMine_EndHole_Major_YellowSoil_C_3</v>
      </c>
      <c r="E102" s="5" t="str">
        <v>2</v>
      </c>
    </row>
    <row r="103">
      <c r="C103" t="str">
        <v>SM_TheMine_EndHole_Major_YellowSoil_C_4</v>
      </c>
      <c r="E103" s="5" t="str">
        <v>2</v>
      </c>
    </row>
    <row r="104">
      <c r="C104" t="str">
        <v>SM_TheMine_EndHole_Major_YellowSoil_C_5</v>
      </c>
      <c r="E104" s="5" t="str">
        <v>2</v>
      </c>
    </row>
    <row r="105">
      <c r="C105" t="str">
        <v>SM_TheMine_EndHole_Major_YellowSoil_C_6</v>
      </c>
      <c r="E105" s="5" t="str">
        <v>2</v>
      </c>
    </row>
    <row r="106">
      <c r="C106" t="str">
        <v>SM_TheMine_RailHole_Major_YellowSoil_C_2</v>
      </c>
      <c r="E106" s="5" t="str">
        <v>2</v>
      </c>
    </row>
    <row r="107">
      <c r="C107" t="str">
        <v>SM_TheMine_RailHole_Major_YellowSoil_C_3</v>
      </c>
      <c r="E107" s="5" t="str">
        <v>2</v>
      </c>
    </row>
    <row r="108">
      <c r="C108" t="str">
        <v>SM_TheMine_RailHole_Major_YellowSoil_C_4</v>
      </c>
      <c r="E108" s="5" t="str">
        <v>2</v>
      </c>
    </row>
    <row r="109">
      <c r="C109" t="str">
        <v>SM_TheMine_RailHole_Major_YellowSoil_C_5</v>
      </c>
      <c r="E109" s="5" t="str">
        <v>2</v>
      </c>
    </row>
    <row r="110">
      <c r="C110" t="str">
        <v>SM_TheMine_RailHole_Major_YellowSoil_C_6</v>
      </c>
      <c r="E110" s="5" t="str">
        <v>2</v>
      </c>
    </row>
    <row r="111">
      <c r="C111" t="str">
        <v>SM_TheMine_RailHole_Major_YellowSoil_C_7</v>
      </c>
      <c r="E111" s="5" t="str">
        <v>2</v>
      </c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</sheetData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DropDown="true" showErrorMessage="true" xr:uid="{F839E4A5-9674-4136-8E6E-A6BFA52812D7}">
          <x14:formula1>
            <xm:f>'VoxelMeshConfig'!$A$2:$A$400</xm:f>
          </x14:formula1>
          <xm:sqref>C2:C210</xm:sqref>
        </x14:dataValidation>
      </x14:dataValidations>
    </ext>
  </extLst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ee085"/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43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26"/>
    <col collapsed="false" customWidth="true" hidden="false" max="6" min="6" style="0" width="26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2" min="12" style="0" width="14"/>
  </cols>
  <sheetData>
    <row r="1">
      <c r="A1" s="17" t="str">
        <v>RowName</v>
      </c>
      <c r="B1" s="17" t="str">
        <v>SideL_Tag</v>
      </c>
      <c r="C1" s="17" t="str">
        <v>SideR_Tag</v>
      </c>
      <c r="D1" s="17" t="str">
        <v>Ground_Tag</v>
      </c>
      <c r="E1" s="17" t="str">
        <v>Side</v>
      </c>
      <c r="F1" s="17" t="str">
        <v>BR</v>
      </c>
      <c r="G1" s="17" t="str">
        <v>BL</v>
      </c>
      <c r="H1" s="17" t="str">
        <v>B</v>
      </c>
      <c r="I1" s="17" t="str">
        <v>L</v>
      </c>
      <c r="J1" s="17" t="str">
        <v>R</v>
      </c>
      <c r="K1" s="17" t="str">
        <v>Diff_Base</v>
      </c>
      <c r="L1" s="17" t="str">
        <v>Size</v>
      </c>
      <c r="M1" s="17" t="str">
        <v>Exit_Array</v>
      </c>
      <c r="N1" s="17"/>
      <c r="O1" s="17"/>
      <c r="P1" s="17"/>
      <c r="Q1" s="17"/>
      <c r="R1" s="17"/>
      <c r="S1" s="17"/>
      <c r="T1" s="17"/>
      <c r="U1" s="17"/>
      <c r="V1" s="17"/>
      <c r="W1" s="17"/>
    </row>
    <row r="2">
      <c r="A2" s="5">
        <f t="array" ref="A2:A40">FILTER(RailDefinition!E:E,(RailDefinition!Q:Q="✅"))</f>
      </c>
      <c r="B2" s="5">
        <f>IF(A2="", "", LET(    checkF, XLOOKUP(A2, RailDefinition!E:E, RailDefinition!J:J),    checkE, XLOOKUP(A2, RailDefinition!E:E, RailDefinition!I:I),    IF(OR(        checkF="Borderless",        checkF="Borderless_L",        AND(checkF="Borderless_I", checkE="L90"),        AND(checkF="Borderless_O", checkE="R90")    ), "", "Side")))</f>
      </c>
      <c r="C2" s="5"/>
      <c r="D2" s="5">
        <f>IF(A2="", "", LET(    valG, XLOOKUP(A2, RailDefinition!E:E, RailDefinition!K:K),    valD, XLOOKUP(A2, RailDefinition!E:E, RailDefinition!H:H),    valE, XLOOKUP(A2,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">
        <f t="array" ref="E2:E2">XLOOKUP(1,(RailDefinition!$F:$F=$A2)*(RailDefinition!$M:$M=E$1),RailDefinition!$S:$S,"")</f>
      </c>
      <c r="F2">
        <f t="array" ref="F2:F2">XLOOKUP(1,(RailDefinition!$F:$F=$A2)*(RailDefinition!$M:$M=F$1),RailDefinition!$S:$S,"")</f>
      </c>
      <c r="G2">
        <f t="array" ref="G2:G2">XLOOKUP(1,(RailDefinition!$F:$F=$A2)*(RailDefinition!$M:$M=G$1),RailDefinition!$S:$S,"")</f>
      </c>
      <c r="H2">
        <f t="array" ref="H2:H2">XLOOKUP(1,(RailDefinition!$F:$F=$A2)*(RailDefinition!$M:$M=H$1),RailDefinition!$S:$S,"")</f>
      </c>
      <c r="I2">
        <f t="array" ref="I2:I2">XLOOKUP(1,(RailDefinition!$F:$F=$A2)*(RailDefinition!$M:$M=I$1),RailDefinition!$S:$S,"")</f>
      </c>
      <c r="J2">
        <f t="array" ref="J2:J2">XLOOKUP(1,(RailDefinition!$F:$F=$A2)*(RailDefinition!$M:$M=J$1),RailDefinition!$S:$S,"")</f>
      </c>
      <c r="K2">
        <f t="array" ref="K2:K40">FILTER(RailDefinition!T:T,(RailDefinition!Q:Q="✅")*(RailDefinition!N:N=""))</f>
      </c>
      <c r="L2" s="5">
        <f t="array" ref="L2:L40">FILTER(RailDefinition!T:T,(RailDefinition!Q:Q="✅")*(RailDefinition!N:N=""))</f>
      </c>
      <c r="M2" s="5">
        <f t="array" ref="M2:M200">""</f>
      </c>
    </row>
    <row r="3">
      <c r="B3" s="5">
        <f>IF(A3="", "", LET(    checkF, XLOOKUP(A3, RailDefinition!E:E, RailDefinition!J:J),    checkE, XLOOKUP(A3, RailDefinition!E:E, RailDefinition!I:I),    IF(OR(        checkF="Borderless",        checkF="Borderless_L",        AND(checkF="Borderless_I", checkE="L90"),        AND(checkF="Borderless_O", checkE="R90")    ), "", "Side")))</f>
      </c>
      <c r="C3" s="5"/>
      <c r="D3" s="5">
        <f>IF(A3="", "", LET(    valG, XLOOKUP(A3, RailDefinition!E:E, RailDefinition!K:K),    valD, XLOOKUP(A3, RailDefinition!E:E, RailDefinition!H:H),    valE, XLOOKUP(A3,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">
        <f t="array" ref="E3:E3">XLOOKUP(1,(RailDefinition!$F:$F=$A3)*(RailDefinition!$M:$M=E$1),RailDefinition!$S:$S,"")</f>
      </c>
      <c r="F3">
        <f t="array" ref="F3:F3">XLOOKUP(1,(RailDefinition!$F:$F=$A3)*(RailDefinition!$M:$M=F$1),RailDefinition!$S:$S,"")</f>
      </c>
      <c r="G3">
        <f t="array" ref="G3:G3">XLOOKUP(1,(RailDefinition!$F:$F=$A3)*(RailDefinition!$M:$M=G$1),RailDefinition!$S:$S,"")</f>
      </c>
      <c r="H3">
        <f t="array" ref="H3:H3">XLOOKUP(1,(RailDefinition!$F:$F=$A3)*(RailDefinition!$M:$M=H$1),RailDefinition!$S:$S,"")</f>
      </c>
      <c r="I3">
        <f t="array" ref="I3:I3">XLOOKUP(1,(RailDefinition!$F:$F=$A3)*(RailDefinition!$M:$M=I$1),RailDefinition!$S:$S,"")</f>
      </c>
      <c r="J3">
        <f t="array" ref="J3:J3">XLOOKUP(1,(RailDefinition!$F:$F=$A3)*(RailDefinition!$M:$M=J$1),RailDefinition!$S:$S,"")</f>
      </c>
    </row>
    <row r="4">
      <c r="B4" s="5">
        <f>IF(A4="", "", LET(    checkF, XLOOKUP(A4, RailDefinition!E:E, RailDefinition!J:J),    checkE, XLOOKUP(A4, RailDefinition!E:E, RailDefinition!I:I),    IF(OR(        checkF="Borderless",        checkF="Borderless_L",        AND(checkF="Borderless_I", checkE="L90"),        AND(checkF="Borderless_O", checkE="R90")    ), "", "Side")))</f>
      </c>
      <c r="C4" s="5"/>
      <c r="D4" s="5">
        <f>IF(A4="", "", LET(    valG, XLOOKUP(A4, RailDefinition!E:E, RailDefinition!K:K),    valD, XLOOKUP(A4, RailDefinition!E:E, RailDefinition!H:H),    valE, XLOOKUP(A4,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">
        <f t="array" ref="E4:E4">XLOOKUP(1,(RailDefinition!$F:$F=$A4)*(RailDefinition!$M:$M=E$1),RailDefinition!$S:$S,"")</f>
      </c>
      <c r="F4">
        <f t="array" ref="F4:F4">XLOOKUP(1,(RailDefinition!$F:$F=$A4)*(RailDefinition!$M:$M=F$1),RailDefinition!$S:$S,"")</f>
      </c>
      <c r="G4">
        <f t="array" ref="G4:G4">XLOOKUP(1,(RailDefinition!$F:$F=$A4)*(RailDefinition!$M:$M=G$1),RailDefinition!$S:$S,"")</f>
      </c>
      <c r="H4">
        <f t="array" ref="H4:H4">XLOOKUP(1,(RailDefinition!$F:$F=$A4)*(RailDefinition!$M:$M=H$1),RailDefinition!$S:$S,"")</f>
      </c>
      <c r="I4">
        <f t="array" ref="I4:I4">XLOOKUP(1,(RailDefinition!$F:$F=$A4)*(RailDefinition!$M:$M=I$1),RailDefinition!$S:$S,"")</f>
      </c>
      <c r="J4">
        <f t="array" ref="J4:J4">XLOOKUP(1,(RailDefinition!$F:$F=$A4)*(RailDefinition!$M:$M=J$1),RailDefinition!$S:$S,"")</f>
      </c>
    </row>
    <row r="5">
      <c r="B5" s="5">
        <f>IF(A5="", "", LET(    checkF, XLOOKUP(A5, RailDefinition!E:E, RailDefinition!J:J),    checkE, XLOOKUP(A5, RailDefinition!E:E, RailDefinition!I:I),    IF(OR(        checkF="Borderless",        checkF="Borderless_L",        AND(checkF="Borderless_I", checkE="L90"),        AND(checkF="Borderless_O", checkE="R90")    ), "", "Side")))</f>
      </c>
      <c r="C5" s="5">
        <f>IF(A5="", "", LET(    checkF, XLOOKUP(A5, RailDefinition!E:E, RailDefinition!J:J),    checkE, XLOOKUP(A5, RailDefinition!E:E, RailDefinition!I:I),    IF(OR(        checkF="Borderless",        checkF="Borderless_R",        AND(checkF="Borderless_O", checkE="L90"),        AND(checkF="Borderless_I", checkE="R90")    ), "", "Side")))</f>
      </c>
      <c r="D5" s="5">
        <f>IF(A5="", "", LET(    valG, XLOOKUP(A5, RailDefinition!E:E, RailDefinition!K:K),    valD, XLOOKUP(A5, RailDefinition!E:E, RailDefinition!H:H),    valE, XLOOKUP(A5,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">
        <f t="array" ref="E5:E5">XLOOKUP(1,(RailDefinition!$F:$F=$A5)*(RailDefinition!$M:$M=E$1),RailDefinition!$S:$S,"")</f>
      </c>
      <c r="F5">
        <f t="array" ref="F5:F5">XLOOKUP(1,(RailDefinition!$F:$F=$A5)*(RailDefinition!$M:$M=F$1),RailDefinition!$S:$S,"")</f>
      </c>
      <c r="G5">
        <f t="array" ref="G5:G5">XLOOKUP(1,(RailDefinition!$F:$F=$A5)*(RailDefinition!$M:$M=G$1),RailDefinition!$S:$S,"")</f>
      </c>
      <c r="H5">
        <f t="array" ref="H5:H5">XLOOKUP(1,(RailDefinition!$F:$F=$A5)*(RailDefinition!$M:$M=H$1),RailDefinition!$S:$S,"")</f>
      </c>
      <c r="I5">
        <f t="array" ref="I5:I5">XLOOKUP(1,(RailDefinition!$F:$F=$A5)*(RailDefinition!$M:$M=I$1),RailDefinition!$S:$S,"")</f>
      </c>
      <c r="J5">
        <f t="array" ref="J5:J5">XLOOKUP(1,(RailDefinition!$F:$F=$A5)*(RailDefinition!$M:$M=J$1),RailDefinition!$S:$S,"")</f>
      </c>
    </row>
    <row r="6">
      <c r="B6" s="5">
        <f>IF(A6="", "", LET(    checkF, XLOOKUP(A6, RailDefinition!E:E, RailDefinition!J:J),    checkE, XLOOKUP(A6, RailDefinition!E:E, RailDefinition!I:I),    IF(OR(        checkF="Borderless",        checkF="Borderless_L",        AND(checkF="Borderless_I", checkE="L90"),        AND(checkF="Borderless_O", checkE="R90")    ), "", "Side")))</f>
      </c>
      <c r="C6" s="5">
        <f>IF(A6="", "", LET(    checkF, XLOOKUP(A6, RailDefinition!E:E, RailDefinition!J:J),    checkE, XLOOKUP(A6, RailDefinition!E:E, RailDefinition!I:I),    IF(OR(        checkF="Borderless",        checkF="Borderless_R",        AND(checkF="Borderless_O", checkE="L90"),        AND(checkF="Borderless_I", checkE="R90")    ), "", "Side")))</f>
      </c>
      <c r="D6" s="5">
        <f>IF(A6="", "", LET(    valG, XLOOKUP(A6, RailDefinition!E:E, RailDefinition!K:K),    valD, XLOOKUP(A6, RailDefinition!E:E, RailDefinition!H:H),    valE, XLOOKUP(A6,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">
        <f t="array" ref="E6:E6">XLOOKUP(1,(RailDefinition!$F:$F=$A6)*(RailDefinition!$M:$M=E$1),RailDefinition!$S:$S,"")</f>
      </c>
      <c r="F6">
        <f t="array" ref="F6:F6">XLOOKUP(1,(RailDefinition!$F:$F=$A6)*(RailDefinition!$M:$M=F$1),RailDefinition!$S:$S,"")</f>
      </c>
      <c r="G6">
        <f t="array" ref="G6:G6">XLOOKUP(1,(RailDefinition!$F:$F=$A6)*(RailDefinition!$M:$M=G$1),RailDefinition!$S:$S,"")</f>
      </c>
      <c r="H6">
        <f t="array" ref="H6:H6">XLOOKUP(1,(RailDefinition!$F:$F=$A6)*(RailDefinition!$M:$M=H$1),RailDefinition!$S:$S,"")</f>
      </c>
      <c r="I6">
        <f t="array" ref="I6:I6">XLOOKUP(1,(RailDefinition!$F:$F=$A6)*(RailDefinition!$M:$M=I$1),RailDefinition!$S:$S,"")</f>
      </c>
      <c r="J6">
        <f t="array" ref="J6:J6">XLOOKUP(1,(RailDefinition!$F:$F=$A6)*(RailDefinition!$M:$M=J$1),RailDefinition!$S:$S,"")</f>
      </c>
    </row>
    <row r="7">
      <c r="B7" s="5">
        <f>IF(A7="", "", LET(    checkF, XLOOKUP(A7, RailDefinition!E:E, RailDefinition!J:J),    checkE, XLOOKUP(A7, RailDefinition!E:E, RailDefinition!I:I),    IF(OR(        checkF="Borderless",        checkF="Borderless_L",        AND(checkF="Borderless_I", checkE="L90"),        AND(checkF="Borderless_O", checkE="R90")    ), "", "Side")))</f>
      </c>
      <c r="C7" s="5">
        <f>IF(A7="", "", LET(    checkF, XLOOKUP(A7, RailDefinition!E:E, RailDefinition!J:J),    checkE, XLOOKUP(A7, RailDefinition!E:E, RailDefinition!I:I),    IF(OR(        checkF="Borderless",        checkF="Borderless_R",        AND(checkF="Borderless_O", checkE="L90"),        AND(checkF="Borderless_I", checkE="R90")    ), "", "Side")))</f>
      </c>
      <c r="D7" s="5">
        <f>IF(A7="", "", LET(    valG, XLOOKUP(A7, RailDefinition!E:E, RailDefinition!K:K),    valD, XLOOKUP(A7, RailDefinition!E:E, RailDefinition!H:H),    valE, XLOOKUP(A7,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">
        <f t="array" ref="E7:E7">XLOOKUP(1,(RailDefinition!$F:$F=$A7)*(RailDefinition!$M:$M=E$1),RailDefinition!$S:$S,"")</f>
      </c>
      <c r="F7">
        <f t="array" ref="F7:F7">XLOOKUP(1,(RailDefinition!$F:$F=$A7)*(RailDefinition!$M:$M=F$1),RailDefinition!$S:$S,"")</f>
      </c>
      <c r="G7">
        <f t="array" ref="G7:G7">XLOOKUP(1,(RailDefinition!$F:$F=$A7)*(RailDefinition!$M:$M=G$1),RailDefinition!$S:$S,"")</f>
      </c>
      <c r="H7">
        <f t="array" ref="H7:H7">XLOOKUP(1,(RailDefinition!$F:$F=$A7)*(RailDefinition!$M:$M=H$1),RailDefinition!$S:$S,"")</f>
      </c>
      <c r="I7">
        <f t="array" ref="I7:I7">XLOOKUP(1,(RailDefinition!$F:$F=$A7)*(RailDefinition!$M:$M=I$1),RailDefinition!$S:$S,"")</f>
      </c>
      <c r="J7">
        <f t="array" ref="J7:J7">XLOOKUP(1,(RailDefinition!$F:$F=$A7)*(RailDefinition!$M:$M=J$1),RailDefinition!$S:$S,"")</f>
      </c>
    </row>
    <row r="8">
      <c r="B8" s="5">
        <f>IF(A8="", "", LET(    checkF, XLOOKUP(A8, RailDefinition!E:E, RailDefinition!J:J),    checkE, XLOOKUP(A8, RailDefinition!E:E, RailDefinition!I:I),    IF(OR(        checkF="Borderless",        checkF="Borderless_L",        AND(checkF="Borderless_I", checkE="L90"),        AND(checkF="Borderless_O", checkE="R90")    ), "", "Side")))</f>
      </c>
      <c r="C8" s="5">
        <f>IF(A8="", "", LET(    checkF, XLOOKUP(A8, RailDefinition!E:E, RailDefinition!J:J),    checkE, XLOOKUP(A8, RailDefinition!E:E, RailDefinition!I:I),    IF(OR(        checkF="Borderless",        checkF="Borderless_R",        AND(checkF="Borderless_O", checkE="L90"),        AND(checkF="Borderless_I", checkE="R90")    ), "", "Side")))</f>
      </c>
      <c r="D8" s="5">
        <f>IF(A8="", "", LET(    valG, XLOOKUP(A8, RailDefinition!E:E, RailDefinition!K:K),    valD, XLOOKUP(A8, RailDefinition!E:E, RailDefinition!H:H),    valE, XLOOKUP(A8,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">
        <f t="array" ref="E8:E8">XLOOKUP(1,(RailDefinition!$F:$F=$A8)*(RailDefinition!$M:$M=E$1),RailDefinition!$S:$S,"")</f>
      </c>
      <c r="F8">
        <f t="array" ref="F8:F8">XLOOKUP(1,(RailDefinition!$F:$F=$A8)*(RailDefinition!$M:$M=F$1),RailDefinition!$S:$S,"")</f>
      </c>
      <c r="G8">
        <f t="array" ref="G8:G8">XLOOKUP(1,(RailDefinition!$F:$F=$A8)*(RailDefinition!$M:$M=G$1),RailDefinition!$S:$S,"")</f>
      </c>
      <c r="H8">
        <f t="array" ref="H8:H8">XLOOKUP(1,(RailDefinition!$F:$F=$A8)*(RailDefinition!$M:$M=H$1),RailDefinition!$S:$S,"")</f>
      </c>
      <c r="I8">
        <f t="array" ref="I8:I8">XLOOKUP(1,(RailDefinition!$F:$F=$A8)*(RailDefinition!$M:$M=I$1),RailDefinition!$S:$S,"")</f>
      </c>
      <c r="J8">
        <f t="array" ref="J8:J8">XLOOKUP(1,(RailDefinition!$F:$F=$A8)*(RailDefinition!$M:$M=J$1),RailDefinition!$S:$S,"")</f>
      </c>
    </row>
    <row r="9">
      <c r="B9" s="5">
        <f>IF(A9="", "", LET(    checkF, XLOOKUP(A9, RailDefinition!E:E, RailDefinition!J:J),    checkE, XLOOKUP(A9, RailDefinition!E:E, RailDefinition!I:I),    IF(OR(        checkF="Borderless",        checkF="Borderless_L",        AND(checkF="Borderless_I", checkE="L90"),        AND(checkF="Borderless_O", checkE="R90")    ), "", "Side")))</f>
      </c>
      <c r="C9" s="5">
        <f>IF(A9="", "", LET(    checkF, XLOOKUP(A9, RailDefinition!E:E, RailDefinition!J:J),    checkE, XLOOKUP(A9, RailDefinition!E:E, RailDefinition!I:I),    IF(OR(        checkF="Borderless",        checkF="Borderless_R",        AND(checkF="Borderless_O", checkE="L90"),        AND(checkF="Borderless_I", checkE="R90")    ), "", "Side")))</f>
      </c>
      <c r="D9" s="5">
        <f>IF(A9="", "", LET(    valG, XLOOKUP(A9, RailDefinition!E:E, RailDefinition!K:K),    valD, XLOOKUP(A9, RailDefinition!E:E, RailDefinition!H:H),    valE, XLOOKUP(A9,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">
        <f t="array" ref="E9:E9">XLOOKUP(1,(RailDefinition!$F:$F=$A9)*(RailDefinition!$M:$M=E$1),RailDefinition!$S:$S,"")</f>
      </c>
      <c r="F9">
        <f t="array" ref="F9:F9">XLOOKUP(1,(RailDefinition!$F:$F=$A9)*(RailDefinition!$M:$M=F$1),RailDefinition!$S:$S,"")</f>
      </c>
      <c r="G9">
        <f t="array" ref="G9:G9">XLOOKUP(1,(RailDefinition!$F:$F=$A9)*(RailDefinition!$M:$M=G$1),RailDefinition!$S:$S,"")</f>
      </c>
      <c r="H9">
        <f t="array" ref="H9:H9">XLOOKUP(1,(RailDefinition!$F:$F=$A9)*(RailDefinition!$M:$M=H$1),RailDefinition!$S:$S,"")</f>
      </c>
      <c r="I9">
        <f t="array" ref="I9:I9">XLOOKUP(1,(RailDefinition!$F:$F=$A9)*(RailDefinition!$M:$M=I$1),RailDefinition!$S:$S,"")</f>
      </c>
      <c r="J9">
        <f t="array" ref="J9:J9">XLOOKUP(1,(RailDefinition!$F:$F=$A9)*(RailDefinition!$M:$M=J$1),RailDefinition!$S:$S,"")</f>
      </c>
    </row>
    <row r="10">
      <c r="B10" s="5">
        <f>IF(A10="", "", LET(    checkF, XLOOKUP(A10, RailDefinition!E:E, RailDefinition!J:J),    checkE, XLOOKUP(A10, RailDefinition!E:E, RailDefinition!I:I),    IF(OR(        checkF="Borderless",        checkF="Borderless_L",        AND(checkF="Borderless_I", checkE="L90"),        AND(checkF="Borderless_O", checkE="R90")    ), "", "Side")))</f>
      </c>
      <c r="C10" s="5">
        <f>IF(A10="", "", LET(    checkF, XLOOKUP(A10, RailDefinition!E:E, RailDefinition!J:J),    checkE, XLOOKUP(A10, RailDefinition!E:E, RailDefinition!I:I),    IF(OR(        checkF="Borderless",        checkF="Borderless_R",        AND(checkF="Borderless_O", checkE="L90"),        AND(checkF="Borderless_I", checkE="R90")    ), "", "Side")))</f>
      </c>
      <c r="D10" s="5">
        <f>IF(A10="", "", LET(    valG, XLOOKUP(A10, RailDefinition!E:E, RailDefinition!K:K),    valD, XLOOKUP(A10, RailDefinition!E:E, RailDefinition!H:H),    valE, XLOOKUP(A10,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">
        <f t="array" ref="E10:E10">XLOOKUP(1,(RailDefinition!$F:$F=$A10)*(RailDefinition!$M:$M=E$1),RailDefinition!$S:$S,"")</f>
      </c>
      <c r="F10">
        <f t="array" ref="F10:F10">XLOOKUP(1,(RailDefinition!$F:$F=$A10)*(RailDefinition!$M:$M=F$1),RailDefinition!$S:$S,"")</f>
      </c>
      <c r="G10">
        <f t="array" ref="G10:G10">XLOOKUP(1,(RailDefinition!$F:$F=$A10)*(RailDefinition!$M:$M=G$1),RailDefinition!$S:$S,"")</f>
      </c>
      <c r="H10">
        <f t="array" ref="H10:H10">XLOOKUP(1,(RailDefinition!$F:$F=$A10)*(RailDefinition!$M:$M=H$1),RailDefinition!$S:$S,"")</f>
      </c>
      <c r="I10">
        <f t="array" ref="I10:I10">XLOOKUP(1,(RailDefinition!$F:$F=$A10)*(RailDefinition!$M:$M=I$1),RailDefinition!$S:$S,"")</f>
      </c>
      <c r="J10">
        <f t="array" ref="J10:J10">XLOOKUP(1,(RailDefinition!$F:$F=$A10)*(RailDefinition!$M:$M=J$1),RailDefinition!$S:$S,"")</f>
      </c>
    </row>
    <row r="11">
      <c r="B11" s="5">
        <f>IF(A11="", "", LET(    checkF, XLOOKUP(A11, RailDefinition!E:E, RailDefinition!J:J),    checkE, XLOOKUP(A11, RailDefinition!E:E, RailDefinition!I:I),    IF(OR(        checkF="Borderless",        checkF="Borderless_L",        AND(checkF="Borderless_I", checkE="L90"),        AND(checkF="Borderless_O", checkE="R90")    ), "", "Side")))</f>
      </c>
      <c r="C11" s="5">
        <f>IF(A11="", "", LET(    checkF, XLOOKUP(A11, RailDefinition!E:E, RailDefinition!J:J),    checkE, XLOOKUP(A11, RailDefinition!E:E, RailDefinition!I:I),    IF(OR(        checkF="Borderless",        checkF="Borderless_R",        AND(checkF="Borderless_O", checkE="L90"),        AND(checkF="Borderless_I", checkE="R90")    ), "", "Side")))</f>
      </c>
      <c r="D11" s="5">
        <f>IF(A11="", "", LET(    valG, XLOOKUP(A11, RailDefinition!E:E, RailDefinition!K:K),    valD, XLOOKUP(A11, RailDefinition!E:E, RailDefinition!H:H),    valE, XLOOKUP(A11,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">
        <f t="array" ref="E11:E11">XLOOKUP(1,(RailDefinition!$F:$F=$A11)*(RailDefinition!$M:$M=E$1),RailDefinition!$S:$S,"")</f>
      </c>
      <c r="F11">
        <f t="array" ref="F11:F11">XLOOKUP(1,(RailDefinition!$F:$F=$A11)*(RailDefinition!$M:$M=F$1),RailDefinition!$S:$S,"")</f>
      </c>
      <c r="G11">
        <f t="array" ref="G11:G11">XLOOKUP(1,(RailDefinition!$F:$F=$A11)*(RailDefinition!$M:$M=G$1),RailDefinition!$S:$S,"")</f>
      </c>
      <c r="H11">
        <f t="array" ref="H11:H11">XLOOKUP(1,(RailDefinition!$F:$F=$A11)*(RailDefinition!$M:$M=H$1),RailDefinition!$S:$S,"")</f>
      </c>
      <c r="I11">
        <f t="array" ref="I11:I11">XLOOKUP(1,(RailDefinition!$F:$F=$A11)*(RailDefinition!$M:$M=I$1),RailDefinition!$S:$S,"")</f>
      </c>
      <c r="J11">
        <f t="array" ref="J11:J11">XLOOKUP(1,(RailDefinition!$F:$F=$A11)*(RailDefinition!$M:$M=J$1),RailDefinition!$S:$S,"")</f>
      </c>
    </row>
    <row r="12">
      <c r="B12" s="5">
        <f>IF(A12="", "", LET(    checkF, XLOOKUP(A12, RailDefinition!E:E, RailDefinition!J:J),    checkE, XLOOKUP(A12, RailDefinition!E:E, RailDefinition!I:I),    IF(OR(        checkF="Borderless",        checkF="Borderless_L",        AND(checkF="Borderless_I", checkE="L90"),        AND(checkF="Borderless_O", checkE="R90")    ), "", "Side")))</f>
      </c>
      <c r="C12" s="5">
        <f>IF(A12="", "", LET(    checkF, XLOOKUP(A12, RailDefinition!E:E, RailDefinition!J:J),    checkE, XLOOKUP(A12, RailDefinition!E:E, RailDefinition!I:I),    IF(OR(        checkF="Borderless",        checkF="Borderless_R",        AND(checkF="Borderless_O", checkE="L90"),        AND(checkF="Borderless_I", checkE="R90")    ), "", "Side")))</f>
      </c>
      <c r="D12" s="5">
        <f>IF(A12="", "", LET(    valG, XLOOKUP(A12, RailDefinition!E:E, RailDefinition!K:K),    valD, XLOOKUP(A12, RailDefinition!E:E, RailDefinition!H:H),    valE, XLOOKUP(A12,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">
        <f t="array" ref="E12:E12">XLOOKUP(1,(RailDefinition!$F:$F=$A12)*(RailDefinition!$M:$M=E$1),RailDefinition!$S:$S,"")</f>
      </c>
      <c r="F12">
        <f t="array" ref="F12:F12">XLOOKUP(1,(RailDefinition!$F:$F=$A12)*(RailDefinition!$M:$M=F$1),RailDefinition!$S:$S,"")</f>
      </c>
      <c r="G12">
        <f t="array" ref="G12:G12">XLOOKUP(1,(RailDefinition!$F:$F=$A12)*(RailDefinition!$M:$M=G$1),RailDefinition!$S:$S,"")</f>
      </c>
      <c r="H12">
        <f t="array" ref="H12:H12">XLOOKUP(1,(RailDefinition!$F:$F=$A12)*(RailDefinition!$M:$M=H$1),RailDefinition!$S:$S,"")</f>
      </c>
      <c r="I12">
        <f t="array" ref="I12:I12">XLOOKUP(1,(RailDefinition!$F:$F=$A12)*(RailDefinition!$M:$M=I$1),RailDefinition!$S:$S,"")</f>
      </c>
      <c r="J12">
        <f t="array" ref="J12:J12">XLOOKUP(1,(RailDefinition!$F:$F=$A12)*(RailDefinition!$M:$M=J$1),RailDefinition!$S:$S,"")</f>
      </c>
    </row>
    <row r="13">
      <c r="B13" s="5">
        <f>IF(A13="", "", LET(    checkF, XLOOKUP(A13, RailDefinition!E:E, RailDefinition!J:J),    checkE, XLOOKUP(A13, RailDefinition!E:E, RailDefinition!I:I),    IF(OR(        checkF="Borderless",        checkF="Borderless_L",        AND(checkF="Borderless_I", checkE="L90"),        AND(checkF="Borderless_O", checkE="R90")    ), "", "Side")))</f>
      </c>
      <c r="C13" s="5">
        <f>IF(A13="", "", LET(    checkF, XLOOKUP(A13, RailDefinition!E:E, RailDefinition!J:J),    checkE, XLOOKUP(A13, RailDefinition!E:E, RailDefinition!I:I),    IF(OR(        checkF="Borderless",        checkF="Borderless_R",        AND(checkF="Borderless_O", checkE="L90"),        AND(checkF="Borderless_I", checkE="R90")    ), "", "Side")))</f>
      </c>
      <c r="D13" s="5">
        <f>IF(A13="", "", LET(    valG, XLOOKUP(A13, RailDefinition!E:E, RailDefinition!K:K),    valD, XLOOKUP(A13, RailDefinition!E:E, RailDefinition!H:H),    valE, XLOOKUP(A13,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">
        <f t="array" ref="E13:E13">XLOOKUP(1,(RailDefinition!$F:$F=$A13)*(RailDefinition!$M:$M=E$1),RailDefinition!$S:$S,"")</f>
      </c>
      <c r="F13">
        <f t="array" ref="F13:F13">XLOOKUP(1,(RailDefinition!$F:$F=$A13)*(RailDefinition!$M:$M=F$1),RailDefinition!$S:$S,"")</f>
      </c>
      <c r="G13">
        <f t="array" ref="G13:G13">XLOOKUP(1,(RailDefinition!$F:$F=$A13)*(RailDefinition!$M:$M=G$1),RailDefinition!$S:$S,"")</f>
      </c>
      <c r="H13">
        <f t="array" ref="H13:H13">XLOOKUP(1,(RailDefinition!$F:$F=$A13)*(RailDefinition!$M:$M=H$1),RailDefinition!$S:$S,"")</f>
      </c>
      <c r="I13">
        <f t="array" ref="I13:I13">XLOOKUP(1,(RailDefinition!$F:$F=$A13)*(RailDefinition!$M:$M=I$1),RailDefinition!$S:$S,"")</f>
      </c>
      <c r="J13">
        <f t="array" ref="J13:J13">XLOOKUP(1,(RailDefinition!$F:$F=$A13)*(RailDefinition!$M:$M=J$1),RailDefinition!$S:$S,"")</f>
      </c>
    </row>
    <row r="14">
      <c r="B14" s="5">
        <f>IF(A14="", "", LET(    checkF, XLOOKUP(A14, RailDefinition!E:E, RailDefinition!J:J),    checkE, XLOOKUP(A14, RailDefinition!E:E, RailDefinition!I:I),    IF(OR(        checkF="Borderless",        checkF="Borderless_L",        AND(checkF="Borderless_I", checkE="L90"),        AND(checkF="Borderless_O", checkE="R90")    ), "", "Side")))</f>
      </c>
      <c r="C14" s="5">
        <f>IF(A14="", "", LET(    checkF, XLOOKUP(A14, RailDefinition!E:E, RailDefinition!J:J),    checkE, XLOOKUP(A14, RailDefinition!E:E, RailDefinition!I:I),    IF(OR(        checkF="Borderless",        checkF="Borderless_R",        AND(checkF="Borderless_O", checkE="L90"),        AND(checkF="Borderless_I", checkE="R90")    ), "", "Side")))</f>
      </c>
      <c r="D14" s="5">
        <f>IF(A14="", "", LET(    valG, XLOOKUP(A14, RailDefinition!E:E, RailDefinition!K:K),    valD, XLOOKUP(A14, RailDefinition!E:E, RailDefinition!H:H),    valE, XLOOKUP(A14,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">
        <f t="array" ref="E14:E14">XLOOKUP(1,(RailDefinition!$F:$F=$A14)*(RailDefinition!$M:$M=E$1),RailDefinition!$S:$S,"")</f>
      </c>
      <c r="F14">
        <f t="array" ref="F14:F14">XLOOKUP(1,(RailDefinition!$F:$F=$A14)*(RailDefinition!$M:$M=F$1),RailDefinition!$S:$S,"")</f>
      </c>
      <c r="G14">
        <f t="array" ref="G14:G14">XLOOKUP(1,(RailDefinition!$F:$F=$A14)*(RailDefinition!$M:$M=G$1),RailDefinition!$S:$S,"")</f>
      </c>
      <c r="H14">
        <f t="array" ref="H14:H14">XLOOKUP(1,(RailDefinition!$F:$F=$A14)*(RailDefinition!$M:$M=H$1),RailDefinition!$S:$S,"")</f>
      </c>
      <c r="I14">
        <f t="array" ref="I14:I14">XLOOKUP(1,(RailDefinition!$F:$F=$A14)*(RailDefinition!$M:$M=I$1),RailDefinition!$S:$S,"")</f>
      </c>
      <c r="J14">
        <f t="array" ref="J14:J14">XLOOKUP(1,(RailDefinition!$F:$F=$A14)*(RailDefinition!$M:$M=J$1),RailDefinition!$S:$S,"")</f>
      </c>
    </row>
    <row r="15">
      <c r="B15" s="5">
        <f>IF(A15="", "", LET(    checkF, XLOOKUP(A15, RailDefinition!E:E, RailDefinition!J:J),    checkE, XLOOKUP(A15, RailDefinition!E:E, RailDefinition!I:I),    IF(OR(        checkF="Borderless",        checkF="Borderless_L",        AND(checkF="Borderless_I", checkE="L90"),        AND(checkF="Borderless_O", checkE="R90")    ), "", "Side")))</f>
      </c>
      <c r="C15" s="5">
        <f>IF(A15="", "", LET(    checkF, XLOOKUP(A15, RailDefinition!E:E, RailDefinition!J:J),    checkE, XLOOKUP(A15, RailDefinition!E:E, RailDefinition!I:I),    IF(OR(        checkF="Borderless",        checkF="Borderless_R",        AND(checkF="Borderless_O", checkE="L90"),        AND(checkF="Borderless_I", checkE="R90")    ), "", "Side")))</f>
      </c>
      <c r="D15" s="5">
        <f>IF(A15="", "", LET(    valG, XLOOKUP(A15, RailDefinition!E:E, RailDefinition!K:K),    valD, XLOOKUP(A15, RailDefinition!E:E, RailDefinition!H:H),    valE, XLOOKUP(A15,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">
        <f t="array" ref="E15:E15">XLOOKUP(1,(RailDefinition!$F:$F=$A15)*(RailDefinition!$M:$M=E$1),RailDefinition!$S:$S,"")</f>
      </c>
      <c r="F15">
        <f t="array" ref="F15:F15">XLOOKUP(1,(RailDefinition!$F:$F=$A15)*(RailDefinition!$M:$M=F$1),RailDefinition!$S:$S,"")</f>
      </c>
      <c r="G15">
        <f t="array" ref="G15:G15">XLOOKUP(1,(RailDefinition!$F:$F=$A15)*(RailDefinition!$M:$M=G$1),RailDefinition!$S:$S,"")</f>
      </c>
      <c r="H15">
        <f t="array" ref="H15:H15">XLOOKUP(1,(RailDefinition!$F:$F=$A15)*(RailDefinition!$M:$M=H$1),RailDefinition!$S:$S,"")</f>
      </c>
      <c r="I15">
        <f t="array" ref="I15:I15">XLOOKUP(1,(RailDefinition!$F:$F=$A15)*(RailDefinition!$M:$M=I$1),RailDefinition!$S:$S,"")</f>
      </c>
      <c r="J15">
        <f t="array" ref="J15:J15">XLOOKUP(1,(RailDefinition!$F:$F=$A15)*(RailDefinition!$M:$M=J$1),RailDefinition!$S:$S,"")</f>
      </c>
    </row>
    <row r="16">
      <c r="B16" s="5">
        <f>IF(A16="", "", LET(    checkF, XLOOKUP(A16, RailDefinition!E:E, RailDefinition!J:J),    checkE, XLOOKUP(A16, RailDefinition!E:E, RailDefinition!I:I),    IF(OR(        checkF="Borderless",        checkF="Borderless_L",        AND(checkF="Borderless_I", checkE="L90"),        AND(checkF="Borderless_O", checkE="R90")    ), "", "Side")))</f>
      </c>
      <c r="C16" s="5">
        <f>IF(A16="", "", LET(    checkF, XLOOKUP(A16, RailDefinition!E:E, RailDefinition!J:J),    checkE, XLOOKUP(A16, RailDefinition!E:E, RailDefinition!I:I),    IF(OR(        checkF="Borderless",        checkF="Borderless_R",        AND(checkF="Borderless_O", checkE="L90"),        AND(checkF="Borderless_I", checkE="R90")    ), "", "Side")))</f>
      </c>
      <c r="D16" s="5">
        <f>IF(A16="", "", LET(    valG, XLOOKUP(A16, RailDefinition!E:E, RailDefinition!K:K),    valD, XLOOKUP(A16, RailDefinition!E:E, RailDefinition!H:H),    valE, XLOOKUP(A16,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">
        <f t="array" ref="E16:E16">XLOOKUP(1,(RailDefinition!$F:$F=$A16)*(RailDefinition!$M:$M=E$1),RailDefinition!$S:$S,"")</f>
      </c>
      <c r="F16">
        <f t="array" ref="F16:F16">XLOOKUP(1,(RailDefinition!$F:$F=$A16)*(RailDefinition!$M:$M=F$1),RailDefinition!$S:$S,"")</f>
      </c>
      <c r="G16">
        <f t="array" ref="G16:G16">XLOOKUP(1,(RailDefinition!$F:$F=$A16)*(RailDefinition!$M:$M=G$1),RailDefinition!$S:$S,"")</f>
      </c>
      <c r="H16">
        <f t="array" ref="H16:H16">XLOOKUP(1,(RailDefinition!$F:$F=$A16)*(RailDefinition!$M:$M=H$1),RailDefinition!$S:$S,"")</f>
      </c>
      <c r="I16">
        <f t="array" ref="I16:I16">XLOOKUP(1,(RailDefinition!$F:$F=$A16)*(RailDefinition!$M:$M=I$1),RailDefinition!$S:$S,"")</f>
      </c>
      <c r="J16">
        <f t="array" ref="J16:J16">XLOOKUP(1,(RailDefinition!$F:$F=$A16)*(RailDefinition!$M:$M=J$1),RailDefinition!$S:$S,"")</f>
      </c>
    </row>
    <row r="17">
      <c r="B17" s="5">
        <f>IF(A17="", "", LET(    checkF, XLOOKUP(A17, RailDefinition!E:E, RailDefinition!J:J),    checkE, XLOOKUP(A17, RailDefinition!E:E, RailDefinition!I:I),    IF(OR(        checkF="Borderless",        checkF="Borderless_L",        AND(checkF="Borderless_I", checkE="L90"),        AND(checkF="Borderless_O", checkE="R90")    ), "", "Side")))</f>
      </c>
      <c r="C17" s="5">
        <f>IF(A17="", "", LET(    checkF, XLOOKUP(A17, RailDefinition!E:E, RailDefinition!J:J),    checkE, XLOOKUP(A17, RailDefinition!E:E, RailDefinition!I:I),    IF(OR(        checkF="Borderless",        checkF="Borderless_R",        AND(checkF="Borderless_O", checkE="L90"),        AND(checkF="Borderless_I", checkE="R90")    ), "", "Side")))</f>
      </c>
      <c r="D17" s="5">
        <f>IF(A17="", "", LET(    valG, XLOOKUP(A17, RailDefinition!E:E, RailDefinition!K:K),    valD, XLOOKUP(A17, RailDefinition!E:E, RailDefinition!H:H),    valE, XLOOKUP(A17,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">
        <f t="array" ref="E17:E17">XLOOKUP(1,(RailDefinition!$F:$F=$A17)*(RailDefinition!$M:$M=E$1),RailDefinition!$S:$S,"")</f>
      </c>
      <c r="F17">
        <f t="array" ref="F17:F17">XLOOKUP(1,(RailDefinition!$F:$F=$A17)*(RailDefinition!$M:$M=F$1),RailDefinition!$S:$S,"")</f>
      </c>
      <c r="G17">
        <f t="array" ref="G17:G17">XLOOKUP(1,(RailDefinition!$F:$F=$A17)*(RailDefinition!$M:$M=G$1),RailDefinition!$S:$S,"")</f>
      </c>
      <c r="H17">
        <f t="array" ref="H17:H17">XLOOKUP(1,(RailDefinition!$F:$F=$A17)*(RailDefinition!$M:$M=H$1),RailDefinition!$S:$S,"")</f>
      </c>
      <c r="I17">
        <f t="array" ref="I17:I17">XLOOKUP(1,(RailDefinition!$F:$F=$A17)*(RailDefinition!$M:$M=I$1),RailDefinition!$S:$S,"")</f>
      </c>
      <c r="J17">
        <f t="array" ref="J17:J17">XLOOKUP(1,(RailDefinition!$F:$F=$A17)*(RailDefinition!$M:$M=J$1),RailDefinition!$S:$S,"")</f>
      </c>
    </row>
    <row r="18">
      <c r="B18" s="5">
        <f>IF(A18="", "", LET(    checkF, XLOOKUP(A18, RailDefinition!E:E, RailDefinition!J:J),    checkE, XLOOKUP(A18, RailDefinition!E:E, RailDefinition!I:I),    IF(OR(        checkF="Borderless",        checkF="Borderless_L",        AND(checkF="Borderless_I", checkE="L90"),        AND(checkF="Borderless_O", checkE="R90")    ), "", "Side")))</f>
      </c>
      <c r="C18" s="5">
        <f>IF(A18="", "", LET(    checkF, XLOOKUP(A18, RailDefinition!E:E, RailDefinition!J:J),    checkE, XLOOKUP(A18, RailDefinition!E:E, RailDefinition!I:I),    IF(OR(        checkF="Borderless",        checkF="Borderless_R",        AND(checkF="Borderless_O", checkE="L90"),        AND(checkF="Borderless_I", checkE="R90")    ), "", "Side")))</f>
      </c>
      <c r="D18" s="5">
        <f>IF(A18="", "", LET(    valG, XLOOKUP(A18, RailDefinition!E:E, RailDefinition!K:K),    valD, XLOOKUP(A18, RailDefinition!E:E, RailDefinition!H:H),    valE, XLOOKUP(A18,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">
        <f t="array" ref="E18:E18">XLOOKUP(1,(RailDefinition!$F:$F=$A18)*(RailDefinition!$M:$M=E$1),RailDefinition!$S:$S,"")</f>
      </c>
      <c r="F18">
        <f t="array" ref="F18:F18">XLOOKUP(1,(RailDefinition!$F:$F=$A18)*(RailDefinition!$M:$M=F$1),RailDefinition!$S:$S,"")</f>
      </c>
      <c r="G18">
        <f t="array" ref="G18:G18">XLOOKUP(1,(RailDefinition!$F:$F=$A18)*(RailDefinition!$M:$M=G$1),RailDefinition!$S:$S,"")</f>
      </c>
      <c r="H18">
        <f t="array" ref="H18:H18">XLOOKUP(1,(RailDefinition!$F:$F=$A18)*(RailDefinition!$M:$M=H$1),RailDefinition!$S:$S,"")</f>
      </c>
      <c r="I18">
        <f t="array" ref="I18:I18">XLOOKUP(1,(RailDefinition!$F:$F=$A18)*(RailDefinition!$M:$M=I$1),RailDefinition!$S:$S,"")</f>
      </c>
      <c r="J18">
        <f t="array" ref="J18:J18">XLOOKUP(1,(RailDefinition!$F:$F=$A18)*(RailDefinition!$M:$M=J$1),RailDefinition!$S:$S,"")</f>
      </c>
    </row>
    <row r="19">
      <c r="B19" s="5">
        <f>IF(A19="", "", LET(    checkF, XLOOKUP(A19, RailDefinition!E:E, RailDefinition!J:J),    checkE, XLOOKUP(A19, RailDefinition!E:E, RailDefinition!I:I),    IF(OR(        checkF="Borderless",        checkF="Borderless_L",        AND(checkF="Borderless_I", checkE="L90"),        AND(checkF="Borderless_O", checkE="R90")    ), "", "Side")))</f>
      </c>
      <c r="C19" s="5">
        <f>IF(A19="", "", LET(    checkF, XLOOKUP(A19, RailDefinition!E:E, RailDefinition!J:J),    checkE, XLOOKUP(A19, RailDefinition!E:E, RailDefinition!I:I),    IF(OR(        checkF="Borderless",        checkF="Borderless_R",        AND(checkF="Borderless_O", checkE="L90"),        AND(checkF="Borderless_I", checkE="R90")    ), "", "Side")))</f>
      </c>
      <c r="D19" s="5">
        <f>IF(A19="", "", LET(    valG, XLOOKUP(A19, RailDefinition!E:E, RailDefinition!K:K),    valD, XLOOKUP(A19, RailDefinition!E:E, RailDefinition!H:H),    valE, XLOOKUP(A19,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">
        <f t="array" ref="E19:E19">XLOOKUP(1,(RailDefinition!$F:$F=$A19)*(RailDefinition!$M:$M=E$1),RailDefinition!$S:$S,"")</f>
      </c>
      <c r="F19">
        <f t="array" ref="F19:F19">XLOOKUP(1,(RailDefinition!$F:$F=$A19)*(RailDefinition!$M:$M=F$1),RailDefinition!$S:$S,"")</f>
      </c>
      <c r="G19">
        <f t="array" ref="G19:G19">XLOOKUP(1,(RailDefinition!$F:$F=$A19)*(RailDefinition!$M:$M=G$1),RailDefinition!$S:$S,"")</f>
      </c>
      <c r="H19">
        <f t="array" ref="H19:H19">XLOOKUP(1,(RailDefinition!$F:$F=$A19)*(RailDefinition!$M:$M=H$1),RailDefinition!$S:$S,"")</f>
      </c>
      <c r="I19">
        <f t="array" ref="I19:I19">XLOOKUP(1,(RailDefinition!$F:$F=$A19)*(RailDefinition!$M:$M=I$1),RailDefinition!$S:$S,"")</f>
      </c>
      <c r="J19">
        <f t="array" ref="J19:J19">XLOOKUP(1,(RailDefinition!$F:$F=$A19)*(RailDefinition!$M:$M=J$1),RailDefinition!$S:$S,"")</f>
      </c>
    </row>
    <row r="20">
      <c r="B20" s="5">
        <f>IF(A20="", "", LET(    checkF, XLOOKUP(A20, RailDefinition!E:E, RailDefinition!J:J),    checkE, XLOOKUP(A20, RailDefinition!E:E, RailDefinition!I:I),    IF(OR(        checkF="Borderless",        checkF="Borderless_L",        AND(checkF="Borderless_I", checkE="L90"),        AND(checkF="Borderless_O", checkE="R90")    ), "", "Side")))</f>
      </c>
      <c r="C20" s="5">
        <f>IF(A20="", "", LET(    checkF, XLOOKUP(A20, RailDefinition!E:E, RailDefinition!J:J),    checkE, XLOOKUP(A20, RailDefinition!E:E, RailDefinition!I:I),    IF(OR(        checkF="Borderless",        checkF="Borderless_R",        AND(checkF="Borderless_O", checkE="L90"),        AND(checkF="Borderless_I", checkE="R90")    ), "", "Side")))</f>
      </c>
      <c r="D20" s="5">
        <f>IF(A20="", "", LET(    valG, XLOOKUP(A20, RailDefinition!E:E, RailDefinition!K:K),    valD, XLOOKUP(A20, RailDefinition!E:E, RailDefinition!H:H),    valE, XLOOKUP(A20,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0">
        <f t="array" ref="E20:E20">XLOOKUP(1,(RailDefinition!$F:$F=$A20)*(RailDefinition!$M:$M=E$1),RailDefinition!$S:$S,"")</f>
      </c>
      <c r="F20">
        <f t="array" ref="F20:F20">XLOOKUP(1,(RailDefinition!$F:$F=$A20)*(RailDefinition!$M:$M=F$1),RailDefinition!$S:$S,"")</f>
      </c>
      <c r="G20">
        <f t="array" ref="G20:G20">XLOOKUP(1,(RailDefinition!$F:$F=$A20)*(RailDefinition!$M:$M=G$1),RailDefinition!$S:$S,"")</f>
      </c>
      <c r="H20">
        <f t="array" ref="H20:H20">XLOOKUP(1,(RailDefinition!$F:$F=$A20)*(RailDefinition!$M:$M=H$1),RailDefinition!$S:$S,"")</f>
      </c>
      <c r="I20">
        <f t="array" ref="I20:I20">XLOOKUP(1,(RailDefinition!$F:$F=$A20)*(RailDefinition!$M:$M=I$1),RailDefinition!$S:$S,"")</f>
      </c>
      <c r="J20">
        <f t="array" ref="J20:J20">XLOOKUP(1,(RailDefinition!$F:$F=$A20)*(RailDefinition!$M:$M=J$1),RailDefinition!$S:$S,"")</f>
      </c>
    </row>
    <row r="21">
      <c r="B21" s="5">
        <f>IF(A21="", "", LET(    checkF, XLOOKUP(A21, RailDefinition!E:E, RailDefinition!J:J),    checkE, XLOOKUP(A21, RailDefinition!E:E, RailDefinition!I:I),    IF(OR(        checkF="Borderless",        checkF="Borderless_L",        AND(checkF="Borderless_I", checkE="L90"),        AND(checkF="Borderless_O", checkE="R90")    ), "", "Side")))</f>
      </c>
      <c r="C21" s="5">
        <f>IF(A21="", "", LET(    checkF, XLOOKUP(A21, RailDefinition!E:E, RailDefinition!J:J),    checkE, XLOOKUP(A21, RailDefinition!E:E, RailDefinition!I:I),    IF(OR(        checkF="Borderless",        checkF="Borderless_R",        AND(checkF="Borderless_O", checkE="L90"),        AND(checkF="Borderless_I", checkE="R90")    ), "", "Side")))</f>
      </c>
      <c r="D21" s="5">
        <f>IF(A21="", "", LET(    valG, XLOOKUP(A21, RailDefinition!E:E, RailDefinition!K:K),    valD, XLOOKUP(A21, RailDefinition!E:E, RailDefinition!H:H),    valE, XLOOKUP(A21,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1">
        <f t="array" ref="E21:E21">XLOOKUP(1,(RailDefinition!$F:$F=$A21)*(RailDefinition!$M:$M=E$1),RailDefinition!$S:$S,"")</f>
      </c>
      <c r="F21">
        <f t="array" ref="F21:F21">XLOOKUP(1,(RailDefinition!$F:$F=$A21)*(RailDefinition!$M:$M=F$1),RailDefinition!$S:$S,"")</f>
      </c>
      <c r="G21">
        <f t="array" ref="G21:G21">XLOOKUP(1,(RailDefinition!$F:$F=$A21)*(RailDefinition!$M:$M=G$1),RailDefinition!$S:$S,"")</f>
      </c>
      <c r="H21">
        <f t="array" ref="H21:H21">XLOOKUP(1,(RailDefinition!$F:$F=$A21)*(RailDefinition!$M:$M=H$1),RailDefinition!$S:$S,"")</f>
      </c>
      <c r="I21">
        <f t="array" ref="I21:I21">XLOOKUP(1,(RailDefinition!$F:$F=$A21)*(RailDefinition!$M:$M=I$1),RailDefinition!$S:$S,"")</f>
      </c>
      <c r="J21">
        <f t="array" ref="J21:J21">XLOOKUP(1,(RailDefinition!$F:$F=$A21)*(RailDefinition!$M:$M=J$1),RailDefinition!$S:$S,"")</f>
      </c>
    </row>
    <row r="22">
      <c r="B22" s="5">
        <f>IF(A22="", "", LET(    checkF, XLOOKUP(A22, RailDefinition!E:E, RailDefinition!J:J),    checkE, XLOOKUP(A22, RailDefinition!E:E, RailDefinition!I:I),    IF(OR(        checkF="Borderless",        checkF="Borderless_L",        AND(checkF="Borderless_I", checkE="L90"),        AND(checkF="Borderless_O", checkE="R90")    ), "", "Side")))</f>
      </c>
      <c r="C22" s="5">
        <f>IF(A22="", "", LET(    checkF, XLOOKUP(A22, RailDefinition!E:E, RailDefinition!J:J),    checkE, XLOOKUP(A22, RailDefinition!E:E, RailDefinition!I:I),    IF(OR(        checkF="Borderless",        checkF="Borderless_R",        AND(checkF="Borderless_O", checkE="L90"),        AND(checkF="Borderless_I", checkE="R90")    ), "", "Side")))</f>
      </c>
      <c r="D22" s="5">
        <f>IF(A22="", "", LET(    valG, XLOOKUP(A22, RailDefinition!E:E, RailDefinition!K:K),    valD, XLOOKUP(A22, RailDefinition!E:E, RailDefinition!H:H),    valE, XLOOKUP(A22,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2">
        <f t="array" ref="E22:E22">XLOOKUP(1,(RailDefinition!$F:$F=$A22)*(RailDefinition!$M:$M=E$1),RailDefinition!$S:$S,"")</f>
      </c>
      <c r="F22">
        <f t="array" ref="F22:F22">XLOOKUP(1,(RailDefinition!$F:$F=$A22)*(RailDefinition!$M:$M=F$1),RailDefinition!$S:$S,"")</f>
      </c>
      <c r="G22">
        <f t="array" ref="G22:G22">XLOOKUP(1,(RailDefinition!$F:$F=$A22)*(RailDefinition!$M:$M=G$1),RailDefinition!$S:$S,"")</f>
      </c>
      <c r="H22">
        <f t="array" ref="H22:H22">XLOOKUP(1,(RailDefinition!$F:$F=$A22)*(RailDefinition!$M:$M=H$1),RailDefinition!$S:$S,"")</f>
      </c>
      <c r="I22">
        <f t="array" ref="I22:I22">XLOOKUP(1,(RailDefinition!$F:$F=$A22)*(RailDefinition!$M:$M=I$1),RailDefinition!$S:$S,"")</f>
      </c>
      <c r="J22">
        <f t="array" ref="J22:J22">XLOOKUP(1,(RailDefinition!$F:$F=$A22)*(RailDefinition!$M:$M=J$1),RailDefinition!$S:$S,"")</f>
      </c>
    </row>
    <row r="23">
      <c r="B23" s="5">
        <f>IF(A23="", "", LET(    checkF, XLOOKUP(A23, RailDefinition!E:E, RailDefinition!J:J),    checkE, XLOOKUP(A23, RailDefinition!E:E, RailDefinition!I:I),    IF(OR(        checkF="Borderless",        checkF="Borderless_L",        AND(checkF="Borderless_I", checkE="L90"),        AND(checkF="Borderless_O", checkE="R90")    ), "", "Side")))</f>
      </c>
      <c r="C23" s="5">
        <f>IF(A23="", "", LET(    checkF, XLOOKUP(A23, RailDefinition!E:E, RailDefinition!J:J),    checkE, XLOOKUP(A23, RailDefinition!E:E, RailDefinition!I:I),    IF(OR(        checkF="Borderless",        checkF="Borderless_R",        AND(checkF="Borderless_O", checkE="L90"),        AND(checkF="Borderless_I", checkE="R90")    ), "", "Side")))</f>
      </c>
      <c r="D23" s="5">
        <f>IF(A23="", "", LET(    valG, XLOOKUP(A23, RailDefinition!E:E, RailDefinition!K:K),    valD, XLOOKUP(A23, RailDefinition!E:E, RailDefinition!H:H),    valE, XLOOKUP(A23,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3">
        <f t="array" ref="E23:E23">XLOOKUP(1,(RailDefinition!$F:$F=$A23)*(RailDefinition!$M:$M=E$1),RailDefinition!$S:$S,"")</f>
      </c>
      <c r="F23">
        <f t="array" ref="F23:F23">XLOOKUP(1,(RailDefinition!$F:$F=$A23)*(RailDefinition!$M:$M=F$1),RailDefinition!$S:$S,"")</f>
      </c>
      <c r="G23">
        <f t="array" ref="G23:G23">XLOOKUP(1,(RailDefinition!$F:$F=$A23)*(RailDefinition!$M:$M=G$1),RailDefinition!$S:$S,"")</f>
      </c>
      <c r="H23">
        <f t="array" ref="H23:H23">XLOOKUP(1,(RailDefinition!$F:$F=$A23)*(RailDefinition!$M:$M=H$1),RailDefinition!$S:$S,"")</f>
      </c>
      <c r="I23">
        <f t="array" ref="I23:I23">XLOOKUP(1,(RailDefinition!$F:$F=$A23)*(RailDefinition!$M:$M=I$1),RailDefinition!$S:$S,"")</f>
      </c>
      <c r="J23">
        <f t="array" ref="J23:J23">XLOOKUP(1,(RailDefinition!$F:$F=$A23)*(RailDefinition!$M:$M=J$1),RailDefinition!$S:$S,"")</f>
      </c>
    </row>
    <row r="24">
      <c r="B24" s="5">
        <f>IF(A24="", "", LET(    checkF, XLOOKUP(A24, RailDefinition!E:E, RailDefinition!J:J),    checkE, XLOOKUP(A24, RailDefinition!E:E, RailDefinition!I:I),    IF(OR(        checkF="Borderless",        checkF="Borderless_L",        AND(checkF="Borderless_I", checkE="L90"),        AND(checkF="Borderless_O", checkE="R90")    ), "", "Side")))</f>
      </c>
      <c r="C24" s="5">
        <f>IF(A24="", "", LET(    checkF, XLOOKUP(A24, RailDefinition!E:E, RailDefinition!J:J),    checkE, XLOOKUP(A24, RailDefinition!E:E, RailDefinition!I:I),    IF(OR(        checkF="Borderless",        checkF="Borderless_R",        AND(checkF="Borderless_O", checkE="L90"),        AND(checkF="Borderless_I", checkE="R90")    ), "", "Side")))</f>
      </c>
      <c r="D24" s="5">
        <f>IF(A24="", "", LET(    valG, XLOOKUP(A24, RailDefinition!E:E, RailDefinition!K:K),    valD, XLOOKUP(A24, RailDefinition!E:E, RailDefinition!H:H),    valE, XLOOKUP(A24,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4">
        <f t="array" ref="E24:E24">XLOOKUP(1,(RailDefinition!$F:$F=$A24)*(RailDefinition!$M:$M=E$1),RailDefinition!$S:$S,"")</f>
      </c>
      <c r="F24">
        <f t="array" ref="F24:F24">XLOOKUP(1,(RailDefinition!$F:$F=$A24)*(RailDefinition!$M:$M=F$1),RailDefinition!$S:$S,"")</f>
      </c>
      <c r="G24">
        <f t="array" ref="G24:G24">XLOOKUP(1,(RailDefinition!$F:$F=$A24)*(RailDefinition!$M:$M=G$1),RailDefinition!$S:$S,"")</f>
      </c>
      <c r="H24">
        <f t="array" ref="H24:H24">XLOOKUP(1,(RailDefinition!$F:$F=$A24)*(RailDefinition!$M:$M=H$1),RailDefinition!$S:$S,"")</f>
      </c>
      <c r="I24">
        <f t="array" ref="I24:I24">XLOOKUP(1,(RailDefinition!$F:$F=$A24)*(RailDefinition!$M:$M=I$1),RailDefinition!$S:$S,"")</f>
      </c>
      <c r="J24">
        <f t="array" ref="J24:J24">XLOOKUP(1,(RailDefinition!$F:$F=$A24)*(RailDefinition!$M:$M=J$1),RailDefinition!$S:$S,"")</f>
      </c>
    </row>
    <row r="25">
      <c r="B25" s="5">
        <f>IF(A25="", "", LET(    checkF, XLOOKUP(A25, RailDefinition!E:E, RailDefinition!J:J),    checkE, XLOOKUP(A25, RailDefinition!E:E, RailDefinition!I:I),    IF(OR(        checkF="Borderless",        checkF="Borderless_L",        AND(checkF="Borderless_I", checkE="L90"),        AND(checkF="Borderless_O", checkE="R90")    ), "", "Side")))</f>
      </c>
      <c r="C25" s="5">
        <f>IF(A25="", "", LET(    checkF, XLOOKUP(A25, RailDefinition!E:E, RailDefinition!J:J),    checkE, XLOOKUP(A25, RailDefinition!E:E, RailDefinition!I:I),    IF(OR(        checkF="Borderless",        checkF="Borderless_R",        AND(checkF="Borderless_O", checkE="L90"),        AND(checkF="Borderless_I", checkE="R90")    ), "", "Side")))</f>
      </c>
      <c r="D25" s="5">
        <f>IF(A25="", "", LET(    valG, XLOOKUP(A25, RailDefinition!E:E, RailDefinition!K:K),    valD, XLOOKUP(A25, RailDefinition!E:E, RailDefinition!H:H),    valE, XLOOKUP(A25,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5">
        <f t="array" ref="E25:E25">XLOOKUP(1,(RailDefinition!$F:$F=$A25)*(RailDefinition!$M:$M=E$1),RailDefinition!$S:$S,"")</f>
      </c>
      <c r="F25">
        <f t="array" ref="F25:F25">XLOOKUP(1,(RailDefinition!$F:$F=$A25)*(RailDefinition!$M:$M=F$1),RailDefinition!$S:$S,"")</f>
      </c>
      <c r="G25">
        <f t="array" ref="G25:G25">XLOOKUP(1,(RailDefinition!$F:$F=$A25)*(RailDefinition!$M:$M=G$1),RailDefinition!$S:$S,"")</f>
      </c>
      <c r="H25">
        <f t="array" ref="H25:H25">XLOOKUP(1,(RailDefinition!$F:$F=$A25)*(RailDefinition!$M:$M=H$1),RailDefinition!$S:$S,"")</f>
      </c>
      <c r="I25">
        <f t="array" ref="I25:I25">XLOOKUP(1,(RailDefinition!$F:$F=$A25)*(RailDefinition!$M:$M=I$1),RailDefinition!$S:$S,"")</f>
      </c>
      <c r="J25">
        <f t="array" ref="J25:J25">XLOOKUP(1,(RailDefinition!$F:$F=$A25)*(RailDefinition!$M:$M=J$1),RailDefinition!$S:$S,"")</f>
      </c>
    </row>
    <row r="26">
      <c r="B26" s="5">
        <f>IF(A26="", "", LET(    checkF, XLOOKUP(A26, RailDefinition!E:E, RailDefinition!J:J),    checkE, XLOOKUP(A26, RailDefinition!E:E, RailDefinition!I:I),    IF(OR(        checkF="Borderless",        checkF="Borderless_L",        AND(checkF="Borderless_I", checkE="L90"),        AND(checkF="Borderless_O", checkE="R90")    ), "", "Side")))</f>
      </c>
      <c r="C26" s="5">
        <f>IF(A26="", "", LET(    checkF, XLOOKUP(A26, RailDefinition!E:E, RailDefinition!J:J),    checkE, XLOOKUP(A26, RailDefinition!E:E, RailDefinition!I:I),    IF(OR(        checkF="Borderless",        checkF="Borderless_R",        AND(checkF="Borderless_O", checkE="L90"),        AND(checkF="Borderless_I", checkE="R90")    ), "", "Side")))</f>
      </c>
      <c r="D26" s="5">
        <f>IF(A26="", "", LET(    valG, XLOOKUP(A26, RailDefinition!E:E, RailDefinition!K:K),    valD, XLOOKUP(A26, RailDefinition!E:E, RailDefinition!H:H),    valE, XLOOKUP(A26,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6">
        <f t="array" ref="E26:E26">XLOOKUP(1,(RailDefinition!$F:$F=$A26)*(RailDefinition!$M:$M=E$1),RailDefinition!$S:$S,"")</f>
      </c>
      <c r="F26">
        <f t="array" ref="F26:F26">XLOOKUP(1,(RailDefinition!$F:$F=$A26)*(RailDefinition!$M:$M=F$1),RailDefinition!$S:$S,"")</f>
      </c>
      <c r="G26">
        <f t="array" ref="G26:G26">XLOOKUP(1,(RailDefinition!$F:$F=$A26)*(RailDefinition!$M:$M=G$1),RailDefinition!$S:$S,"")</f>
      </c>
      <c r="H26">
        <f t="array" ref="H26:H26">XLOOKUP(1,(RailDefinition!$F:$F=$A26)*(RailDefinition!$M:$M=H$1),RailDefinition!$S:$S,"")</f>
      </c>
      <c r="I26">
        <f t="array" ref="I26:I26">XLOOKUP(1,(RailDefinition!$F:$F=$A26)*(RailDefinition!$M:$M=I$1),RailDefinition!$S:$S,"")</f>
      </c>
      <c r="J26">
        <f t="array" ref="J26:J26">XLOOKUP(1,(RailDefinition!$F:$F=$A26)*(RailDefinition!$M:$M=J$1),RailDefinition!$S:$S,"")</f>
      </c>
    </row>
    <row r="27">
      <c r="B27" s="5">
        <f>IF(A27="", "", LET(    checkF, XLOOKUP(A27, RailDefinition!E:E, RailDefinition!J:J),    checkE, XLOOKUP(A27, RailDefinition!E:E, RailDefinition!I:I),    IF(OR(        checkF="Borderless",        checkF="Borderless_L",        AND(checkF="Borderless_I", checkE="L90"),        AND(checkF="Borderless_O", checkE="R90")    ), "", "Side")))</f>
      </c>
      <c r="C27" s="5">
        <f>IF(A27="", "", LET(    checkF, XLOOKUP(A27, RailDefinition!E:E, RailDefinition!J:J),    checkE, XLOOKUP(A27, RailDefinition!E:E, RailDefinition!I:I),    IF(OR(        checkF="Borderless",        checkF="Borderless_R",        AND(checkF="Borderless_O", checkE="L90"),        AND(checkF="Borderless_I", checkE="R90")    ), "", "Side")))</f>
      </c>
      <c r="D27" s="5">
        <f>IF(A27="", "", LET(    valG, XLOOKUP(A27, RailDefinition!E:E, RailDefinition!K:K),    valD, XLOOKUP(A27, RailDefinition!E:E, RailDefinition!H:H),    valE, XLOOKUP(A27,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7">
        <f t="array" ref="E27:E27">XLOOKUP(1,(RailDefinition!$F:$F=$A27)*(RailDefinition!$M:$M=E$1),RailDefinition!$S:$S,"")</f>
      </c>
      <c r="F27">
        <f t="array" ref="F27:F27">XLOOKUP(1,(RailDefinition!$F:$F=$A27)*(RailDefinition!$M:$M=F$1),RailDefinition!$S:$S,"")</f>
      </c>
      <c r="G27">
        <f t="array" ref="G27:G27">XLOOKUP(1,(RailDefinition!$F:$F=$A27)*(RailDefinition!$M:$M=G$1),RailDefinition!$S:$S,"")</f>
      </c>
      <c r="H27">
        <f t="array" ref="H27:H27">XLOOKUP(1,(RailDefinition!$F:$F=$A27)*(RailDefinition!$M:$M=H$1),RailDefinition!$S:$S,"")</f>
      </c>
      <c r="I27">
        <f t="array" ref="I27:I27">XLOOKUP(1,(RailDefinition!$F:$F=$A27)*(RailDefinition!$M:$M=I$1),RailDefinition!$S:$S,"")</f>
      </c>
      <c r="J27">
        <f t="array" ref="J27:J27">XLOOKUP(1,(RailDefinition!$F:$F=$A27)*(RailDefinition!$M:$M=J$1),RailDefinition!$S:$S,"")</f>
      </c>
    </row>
    <row r="28">
      <c r="B28" s="5">
        <f>IF(A28="", "", LET(    checkF, XLOOKUP(A28, RailDefinition!E:E, RailDefinition!J:J),    checkE, XLOOKUP(A28, RailDefinition!E:E, RailDefinition!I:I),    IF(OR(        checkF="Borderless",        checkF="Borderless_L",        AND(checkF="Borderless_I", checkE="L90"),        AND(checkF="Borderless_O", checkE="R90")    ), "", "Side")))</f>
      </c>
      <c r="C28" s="5">
        <f>IF(A28="", "", LET(    checkF, XLOOKUP(A28, RailDefinition!E:E, RailDefinition!J:J),    checkE, XLOOKUP(A28, RailDefinition!E:E, RailDefinition!I:I),    IF(OR(        checkF="Borderless",        checkF="Borderless_R",        AND(checkF="Borderless_O", checkE="L90"),        AND(checkF="Borderless_I", checkE="R90")    ), "", "Side")))</f>
      </c>
      <c r="D28" s="5">
        <f>IF(A28="", "", LET(    valG, XLOOKUP(A28, RailDefinition!E:E, RailDefinition!K:K),    valD, XLOOKUP(A28, RailDefinition!E:E, RailDefinition!H:H),    valE, XLOOKUP(A28,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8">
        <f t="array" ref="E28:E28">XLOOKUP(1,(RailDefinition!$F:$F=$A28)*(RailDefinition!$M:$M=E$1),RailDefinition!$S:$S,"")</f>
      </c>
      <c r="F28">
        <f t="array" ref="F28:F28">XLOOKUP(1,(RailDefinition!$F:$F=$A28)*(RailDefinition!$M:$M=F$1),RailDefinition!$S:$S,"")</f>
      </c>
      <c r="G28">
        <f t="array" ref="G28:G28">XLOOKUP(1,(RailDefinition!$F:$F=$A28)*(RailDefinition!$M:$M=G$1),RailDefinition!$S:$S,"")</f>
      </c>
      <c r="H28">
        <f t="array" ref="H28:H28">XLOOKUP(1,(RailDefinition!$F:$F=$A28)*(RailDefinition!$M:$M=H$1),RailDefinition!$S:$S,"")</f>
      </c>
      <c r="I28">
        <f t="array" ref="I28:I28">XLOOKUP(1,(RailDefinition!$F:$F=$A28)*(RailDefinition!$M:$M=I$1),RailDefinition!$S:$S,"")</f>
      </c>
      <c r="J28">
        <f t="array" ref="J28:J28">XLOOKUP(1,(RailDefinition!$F:$F=$A28)*(RailDefinition!$M:$M=J$1),RailDefinition!$S:$S,"")</f>
      </c>
    </row>
    <row r="29">
      <c r="B29" s="5">
        <f>IF(A29="", "", LET(    checkF, XLOOKUP(A29, RailDefinition!E:E, RailDefinition!J:J),    checkE, XLOOKUP(A29, RailDefinition!E:E, RailDefinition!I:I),    IF(OR(        checkF="Borderless",        checkF="Borderless_L",        AND(checkF="Borderless_I", checkE="L90"),        AND(checkF="Borderless_O", checkE="R90")    ), "", "Side")))</f>
      </c>
      <c r="C29" s="5">
        <f>IF(A29="", "", LET(    checkF, XLOOKUP(A29, RailDefinition!E:E, RailDefinition!J:J),    checkE, XLOOKUP(A29, RailDefinition!E:E, RailDefinition!I:I),    IF(OR(        checkF="Borderless",        checkF="Borderless_R",        AND(checkF="Borderless_O", checkE="L90"),        AND(checkF="Borderless_I", checkE="R90")    ), "", "Side")))</f>
      </c>
      <c r="D29" s="5">
        <f>IF(A29="", "", LET(    valG, XLOOKUP(A29, RailDefinition!E:E, RailDefinition!K:K),    valD, XLOOKUP(A29, RailDefinition!E:E, RailDefinition!H:H),    valE, XLOOKUP(A29,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9">
        <f t="array" ref="E29:E29">XLOOKUP(1,(RailDefinition!$F:$F=$A29)*(RailDefinition!$M:$M=E$1),RailDefinition!$S:$S,"")</f>
      </c>
      <c r="F29">
        <f t="array" ref="F29:F29">XLOOKUP(1,(RailDefinition!$F:$F=$A29)*(RailDefinition!$M:$M=F$1),RailDefinition!$S:$S,"")</f>
      </c>
      <c r="G29">
        <f t="array" ref="G29:G29">XLOOKUP(1,(RailDefinition!$F:$F=$A29)*(RailDefinition!$M:$M=G$1),RailDefinition!$S:$S,"")</f>
      </c>
      <c r="H29">
        <f t="array" ref="H29:H29">XLOOKUP(1,(RailDefinition!$F:$F=$A29)*(RailDefinition!$M:$M=H$1),RailDefinition!$S:$S,"")</f>
      </c>
      <c r="I29">
        <f t="array" ref="I29:I29">XLOOKUP(1,(RailDefinition!$F:$F=$A29)*(RailDefinition!$M:$M=I$1),RailDefinition!$S:$S,"")</f>
      </c>
      <c r="J29">
        <f t="array" ref="J29:J29">XLOOKUP(1,(RailDefinition!$F:$F=$A29)*(RailDefinition!$M:$M=J$1),RailDefinition!$S:$S,"")</f>
      </c>
    </row>
    <row r="30">
      <c r="B30" s="5">
        <f>IF(A30="", "", LET(    checkF, XLOOKUP(A30, RailDefinition!E:E, RailDefinition!J:J),    checkE, XLOOKUP(A30, RailDefinition!E:E, RailDefinition!I:I),    IF(OR(        checkF="Borderless",        checkF="Borderless_L",        AND(checkF="Borderless_I", checkE="L90"),        AND(checkF="Borderless_O", checkE="R90")    ), "", "Side")))</f>
      </c>
      <c r="C30" s="5">
        <f>IF(A30="", "", LET(    checkF, XLOOKUP(A30, RailDefinition!E:E, RailDefinition!J:J),    checkE, XLOOKUP(A30, RailDefinition!E:E, RailDefinition!I:I),    IF(OR(        checkF="Borderless",        checkF="Borderless_R",        AND(checkF="Borderless_O", checkE="L90"),        AND(checkF="Borderless_I", checkE="R90")    ), "", "Side")))</f>
      </c>
      <c r="D30" s="5">
        <f>IF(A30="", "", LET(    valG, XLOOKUP(A30, RailDefinition!E:E, RailDefinition!K:K),    valD, XLOOKUP(A30, RailDefinition!E:E, RailDefinition!H:H),    valE, XLOOKUP(A30,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0">
        <f t="array" ref="E30:E30">XLOOKUP(1,(RailDefinition!$F:$F=$A30)*(RailDefinition!$M:$M=E$1),RailDefinition!$S:$S,"")</f>
      </c>
      <c r="F30">
        <f t="array" ref="F30:F30">XLOOKUP(1,(RailDefinition!$F:$F=$A30)*(RailDefinition!$M:$M=F$1),RailDefinition!$S:$S,"")</f>
      </c>
      <c r="G30">
        <f t="array" ref="G30:G30">XLOOKUP(1,(RailDefinition!$F:$F=$A30)*(RailDefinition!$M:$M=G$1),RailDefinition!$S:$S,"")</f>
      </c>
      <c r="H30">
        <f t="array" ref="H30:H30">XLOOKUP(1,(RailDefinition!$F:$F=$A30)*(RailDefinition!$M:$M=H$1),RailDefinition!$S:$S,"")</f>
      </c>
      <c r="I30">
        <f t="array" ref="I30:I30">XLOOKUP(1,(RailDefinition!$F:$F=$A30)*(RailDefinition!$M:$M=I$1),RailDefinition!$S:$S,"")</f>
      </c>
      <c r="J30">
        <f t="array" ref="J30:J30">XLOOKUP(1,(RailDefinition!$F:$F=$A30)*(RailDefinition!$M:$M=J$1),RailDefinition!$S:$S,"")</f>
      </c>
    </row>
    <row r="31">
      <c r="B31" s="5">
        <f>IF(A31="", "", LET(    checkF, XLOOKUP(A31, RailDefinition!E:E, RailDefinition!J:J),    checkE, XLOOKUP(A31, RailDefinition!E:E, RailDefinition!I:I),    IF(OR(        checkF="Borderless",        checkF="Borderless_L",        AND(checkF="Borderless_I", checkE="L90"),        AND(checkF="Borderless_O", checkE="R90")    ), "", "Side")))</f>
      </c>
      <c r="C31" s="5">
        <f>IF(A31="", "", LET(    checkF, XLOOKUP(A31, RailDefinition!E:E, RailDefinition!J:J),    checkE, XLOOKUP(A31, RailDefinition!E:E, RailDefinition!I:I),    IF(OR(        checkF="Borderless",        checkF="Borderless_R",        AND(checkF="Borderless_O", checkE="L90"),        AND(checkF="Borderless_I", checkE="R90")    ), "", "Side")))</f>
      </c>
      <c r="D31" s="5">
        <f>IF(A31="", "", LET(    valG, XLOOKUP(A31, RailDefinition!E:E, RailDefinition!K:K),    valD, XLOOKUP(A31, RailDefinition!E:E, RailDefinition!H:H),    valE, XLOOKUP(A31,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1">
        <f t="array" ref="E31:E31">XLOOKUP(1,(RailDefinition!$F:$F=$A31)*(RailDefinition!$M:$M=E$1),RailDefinition!$S:$S,"")</f>
      </c>
      <c r="F31">
        <f t="array" ref="F31:F31">XLOOKUP(1,(RailDefinition!$F:$F=$A31)*(RailDefinition!$M:$M=F$1),RailDefinition!$S:$S,"")</f>
      </c>
      <c r="G31">
        <f t="array" ref="G31:G31">XLOOKUP(1,(RailDefinition!$F:$F=$A31)*(RailDefinition!$M:$M=G$1),RailDefinition!$S:$S,"")</f>
      </c>
      <c r="H31">
        <f t="array" ref="H31:H31">XLOOKUP(1,(RailDefinition!$F:$F=$A31)*(RailDefinition!$M:$M=H$1),RailDefinition!$S:$S,"")</f>
      </c>
      <c r="I31">
        <f t="array" ref="I31:I31">XLOOKUP(1,(RailDefinition!$F:$F=$A31)*(RailDefinition!$M:$M=I$1),RailDefinition!$S:$S,"")</f>
      </c>
      <c r="J31">
        <f t="array" ref="J31:J31">XLOOKUP(1,(RailDefinition!$F:$F=$A31)*(RailDefinition!$M:$M=J$1),RailDefinition!$S:$S,"")</f>
      </c>
    </row>
    <row r="32">
      <c r="B32" s="5">
        <f>IF(A32="", "", LET(    checkF, XLOOKUP(A32, RailDefinition!E:E, RailDefinition!J:J),    checkE, XLOOKUP(A32, RailDefinition!E:E, RailDefinition!I:I),    IF(OR(        checkF="Borderless",        checkF="Borderless_L",        AND(checkF="Borderless_I", checkE="L90"),        AND(checkF="Borderless_O", checkE="R90")    ), "", "Side")))</f>
      </c>
      <c r="C32" s="5">
        <f>IF(A32="", "", LET(    checkF, XLOOKUP(A32, RailDefinition!E:E, RailDefinition!J:J),    checkE, XLOOKUP(A32, RailDefinition!E:E, RailDefinition!I:I),    IF(OR(        checkF="Borderless",        checkF="Borderless_R",        AND(checkF="Borderless_O", checkE="L90"),        AND(checkF="Borderless_I", checkE="R90")    ), "", "Side")))</f>
      </c>
      <c r="D32" s="5">
        <f>IF(A32="", "", LET(    valG, XLOOKUP(A32, RailDefinition!E:E, RailDefinition!K:K),    valD, XLOOKUP(A32, RailDefinition!E:E, RailDefinition!H:H),    valE, XLOOKUP(A32,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2">
        <f t="array" ref="E32:E32">XLOOKUP(1,(RailDefinition!$F:$F=$A32)*(RailDefinition!$M:$M=E$1),RailDefinition!$S:$S,"")</f>
      </c>
      <c r="F32">
        <f t="array" ref="F32:F32">XLOOKUP(1,(RailDefinition!$F:$F=$A32)*(RailDefinition!$M:$M=F$1),RailDefinition!$S:$S,"")</f>
      </c>
      <c r="G32">
        <f t="array" ref="G32:G32">XLOOKUP(1,(RailDefinition!$F:$F=$A32)*(RailDefinition!$M:$M=G$1),RailDefinition!$S:$S,"")</f>
      </c>
      <c r="H32">
        <f t="array" ref="H32:H32">XLOOKUP(1,(RailDefinition!$F:$F=$A32)*(RailDefinition!$M:$M=H$1),RailDefinition!$S:$S,"")</f>
      </c>
      <c r="I32">
        <f t="array" ref="I32:I32">XLOOKUP(1,(RailDefinition!$F:$F=$A32)*(RailDefinition!$M:$M=I$1),RailDefinition!$S:$S,"")</f>
      </c>
      <c r="J32">
        <f t="array" ref="J32:J32">XLOOKUP(1,(RailDefinition!$F:$F=$A32)*(RailDefinition!$M:$M=J$1),RailDefinition!$S:$S,"")</f>
      </c>
    </row>
    <row r="33">
      <c r="B33" s="5">
        <f>IF(A33="", "", LET(    checkF, XLOOKUP(A33, RailDefinition!E:E, RailDefinition!J:J),    checkE, XLOOKUP(A33, RailDefinition!E:E, RailDefinition!I:I),    IF(OR(        checkF="Borderless",        checkF="Borderless_L",        AND(checkF="Borderless_I", checkE="L90"),        AND(checkF="Borderless_O", checkE="R90")    ), "", "Side")))</f>
      </c>
      <c r="C33" s="5">
        <f>IF(A33="", "", LET(    checkF, XLOOKUP(A33, RailDefinition!E:E, RailDefinition!J:J),    checkE, XLOOKUP(A33, RailDefinition!E:E, RailDefinition!I:I),    IF(OR(        checkF="Borderless",        checkF="Borderless_R",        AND(checkF="Borderless_O", checkE="L90"),        AND(checkF="Borderless_I", checkE="R90")    ), "", "Side")))</f>
      </c>
      <c r="D33" s="5">
        <f>IF(A33="", "", LET(    valG, XLOOKUP(A33, RailDefinition!E:E, RailDefinition!K:K),    valD, XLOOKUP(A33, RailDefinition!E:E, RailDefinition!H:H),    valE, XLOOKUP(A33,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3">
        <f t="array" ref="E33:E33">XLOOKUP(1,(RailDefinition!$F:$F=$A33)*(RailDefinition!$M:$M=E$1),RailDefinition!$S:$S,"")</f>
      </c>
      <c r="F33">
        <f t="array" ref="F33:F33">XLOOKUP(1,(RailDefinition!$F:$F=$A33)*(RailDefinition!$M:$M=F$1),RailDefinition!$S:$S,"")</f>
      </c>
      <c r="G33">
        <f t="array" ref="G33:G33">XLOOKUP(1,(RailDefinition!$F:$F=$A33)*(RailDefinition!$M:$M=G$1),RailDefinition!$S:$S,"")</f>
      </c>
      <c r="H33">
        <f t="array" ref="H33:H33">XLOOKUP(1,(RailDefinition!$F:$F=$A33)*(RailDefinition!$M:$M=H$1),RailDefinition!$S:$S,"")</f>
      </c>
      <c r="I33">
        <f t="array" ref="I33:I33">XLOOKUP(1,(RailDefinition!$F:$F=$A33)*(RailDefinition!$M:$M=I$1),RailDefinition!$S:$S,"")</f>
      </c>
      <c r="J33">
        <f t="array" ref="J33:J33">XLOOKUP(1,(RailDefinition!$F:$F=$A33)*(RailDefinition!$M:$M=J$1),RailDefinition!$S:$S,"")</f>
      </c>
    </row>
    <row r="34">
      <c r="B34" s="5">
        <f>IF(A34="", "", LET(    checkF, XLOOKUP(A34, RailDefinition!E:E, RailDefinition!J:J),    checkE, XLOOKUP(A34, RailDefinition!E:E, RailDefinition!I:I),    IF(OR(        checkF="Borderless",        checkF="Borderless_L",        AND(checkF="Borderless_I", checkE="L90"),        AND(checkF="Borderless_O", checkE="R90")    ), "", "Side")))</f>
      </c>
      <c r="C34" s="5">
        <f>IF(A34="", "", LET(    checkF, XLOOKUP(A34, RailDefinition!E:E, RailDefinition!J:J),    checkE, XLOOKUP(A34, RailDefinition!E:E, RailDefinition!I:I),    IF(OR(        checkF="Borderless",        checkF="Borderless_R",        AND(checkF="Borderless_O", checkE="L90"),        AND(checkF="Borderless_I", checkE="R90")    ), "", "Side")))</f>
      </c>
      <c r="D34" s="5">
        <f>IF(A34="", "", LET(    valG, XLOOKUP(A34, RailDefinition!E:E, RailDefinition!K:K),    valD, XLOOKUP(A34, RailDefinition!E:E, RailDefinition!H:H),    valE, XLOOKUP(A34,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4">
        <f t="array" ref="E34:E34">XLOOKUP(1,(RailDefinition!$F:$F=$A34)*(RailDefinition!$M:$M=E$1),RailDefinition!$S:$S,"")</f>
      </c>
      <c r="F34">
        <f t="array" ref="F34:F34">XLOOKUP(1,(RailDefinition!$F:$F=$A34)*(RailDefinition!$M:$M=F$1),RailDefinition!$S:$S,"")</f>
      </c>
      <c r="G34">
        <f t="array" ref="G34:G34">XLOOKUP(1,(RailDefinition!$F:$F=$A34)*(RailDefinition!$M:$M=G$1),RailDefinition!$S:$S,"")</f>
      </c>
      <c r="H34">
        <f t="array" ref="H34:H34">XLOOKUP(1,(RailDefinition!$F:$F=$A34)*(RailDefinition!$M:$M=H$1),RailDefinition!$S:$S,"")</f>
      </c>
      <c r="I34">
        <f t="array" ref="I34:I34">XLOOKUP(1,(RailDefinition!$F:$F=$A34)*(RailDefinition!$M:$M=I$1),RailDefinition!$S:$S,"")</f>
      </c>
      <c r="J34">
        <f t="array" ref="J34:J34">XLOOKUP(1,(RailDefinition!$F:$F=$A34)*(RailDefinition!$M:$M=J$1),RailDefinition!$S:$S,"")</f>
      </c>
    </row>
    <row r="35">
      <c r="B35" s="5">
        <f>IF(A35="", "", LET(    checkF, XLOOKUP(A35, RailDefinition!E:E, RailDefinition!J:J),    checkE, XLOOKUP(A35, RailDefinition!E:E, RailDefinition!I:I),    IF(OR(        checkF="Borderless",        checkF="Borderless_L",        AND(checkF="Borderless_I", checkE="L90"),        AND(checkF="Borderless_O", checkE="R90")    ), "", "Side")))</f>
      </c>
      <c r="C35" s="5">
        <f>IF(A35="", "", LET(    checkF, XLOOKUP(A35, RailDefinition!E:E, RailDefinition!J:J),    checkE, XLOOKUP(A35, RailDefinition!E:E, RailDefinition!I:I),    IF(OR(        checkF="Borderless",        checkF="Borderless_R",        AND(checkF="Borderless_O", checkE="L90"),        AND(checkF="Borderless_I", checkE="R90")    ), "", "Side")))</f>
      </c>
      <c r="D35" s="5">
        <f>IF(A35="", "", LET(    valG, XLOOKUP(A35, RailDefinition!E:E, RailDefinition!K:K),    valD, XLOOKUP(A35, RailDefinition!E:E, RailDefinition!H:H),    valE, XLOOKUP(A35,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5">
        <f t="array" ref="E35:E35">XLOOKUP(1,(RailDefinition!$F:$F=$A35)*(RailDefinition!$M:$M=E$1),RailDefinition!$S:$S,"")</f>
      </c>
      <c r="F35">
        <f t="array" ref="F35:F35">XLOOKUP(1,(RailDefinition!$F:$F=$A35)*(RailDefinition!$M:$M=F$1),RailDefinition!$S:$S,"")</f>
      </c>
      <c r="G35">
        <f t="array" ref="G35:G35">XLOOKUP(1,(RailDefinition!$F:$F=$A35)*(RailDefinition!$M:$M=G$1),RailDefinition!$S:$S,"")</f>
      </c>
      <c r="H35">
        <f t="array" ref="H35:H35">XLOOKUP(1,(RailDefinition!$F:$F=$A35)*(RailDefinition!$M:$M=H$1),RailDefinition!$S:$S,"")</f>
      </c>
      <c r="I35">
        <f t="array" ref="I35:I35">XLOOKUP(1,(RailDefinition!$F:$F=$A35)*(RailDefinition!$M:$M=I$1),RailDefinition!$S:$S,"")</f>
      </c>
      <c r="J35">
        <f t="array" ref="J35:J35">XLOOKUP(1,(RailDefinition!$F:$F=$A35)*(RailDefinition!$M:$M=J$1),RailDefinition!$S:$S,"")</f>
      </c>
    </row>
    <row r="36">
      <c r="B36" s="5">
        <f>IF(A36="", "", LET(    checkF, XLOOKUP(A36, RailDefinition!E:E, RailDefinition!J:J),    checkE, XLOOKUP(A36, RailDefinition!E:E, RailDefinition!I:I),    IF(OR(        checkF="Borderless",        checkF="Borderless_L",        AND(checkF="Borderless_I", checkE="L90"),        AND(checkF="Borderless_O", checkE="R90")    ), "", "Side")))</f>
      </c>
      <c r="C36" s="5">
        <f>IF(A36="", "", LET(    checkF, XLOOKUP(A36, RailDefinition!E:E, RailDefinition!J:J),    checkE, XLOOKUP(A36, RailDefinition!E:E, RailDefinition!I:I),    IF(OR(        checkF="Borderless",        checkF="Borderless_R",        AND(checkF="Borderless_O", checkE="L90"),        AND(checkF="Borderless_I", checkE="R90")    ), "", "Side")))</f>
      </c>
      <c r="D36" s="5">
        <f>IF(A36="", "", LET(    valG, XLOOKUP(A36, RailDefinition!E:E, RailDefinition!K:K),    valD, XLOOKUP(A36, RailDefinition!E:E, RailDefinition!H:H),    valE, XLOOKUP(A36,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6">
        <f t="array" ref="E36:E36">XLOOKUP(1,(RailDefinition!$F:$F=$A36)*(RailDefinition!$M:$M=E$1),RailDefinition!$S:$S,"")</f>
      </c>
      <c r="F36">
        <f t="array" ref="F36:F36">XLOOKUP(1,(RailDefinition!$F:$F=$A36)*(RailDefinition!$M:$M=F$1),RailDefinition!$S:$S,"")</f>
      </c>
      <c r="G36">
        <f t="array" ref="G36:G36">XLOOKUP(1,(RailDefinition!$F:$F=$A36)*(RailDefinition!$M:$M=G$1),RailDefinition!$S:$S,"")</f>
      </c>
      <c r="H36">
        <f t="array" ref="H36:H36">XLOOKUP(1,(RailDefinition!$F:$F=$A36)*(RailDefinition!$M:$M=H$1),RailDefinition!$S:$S,"")</f>
      </c>
      <c r="I36">
        <f t="array" ref="I36:I36">XLOOKUP(1,(RailDefinition!$F:$F=$A36)*(RailDefinition!$M:$M=I$1),RailDefinition!$S:$S,"")</f>
      </c>
      <c r="J36">
        <f t="array" ref="J36:J36">XLOOKUP(1,(RailDefinition!$F:$F=$A36)*(RailDefinition!$M:$M=J$1),RailDefinition!$S:$S,"")</f>
      </c>
    </row>
    <row r="37">
      <c r="B37" s="5">
        <f>IF(A37="", "", LET(    checkF, XLOOKUP(A37, RailDefinition!E:E, RailDefinition!J:J),    checkE, XLOOKUP(A37, RailDefinition!E:E, RailDefinition!I:I),    IF(OR(        checkF="Borderless",        checkF="Borderless_L",        AND(checkF="Borderless_I", checkE="L90"),        AND(checkF="Borderless_O", checkE="R90")    ), "", "Side")))</f>
      </c>
      <c r="C37" s="5">
        <f>IF(A37="", "", LET(    checkF, XLOOKUP(A37, RailDefinition!E:E, RailDefinition!J:J),    checkE, XLOOKUP(A37, RailDefinition!E:E, RailDefinition!I:I),    IF(OR(        checkF="Borderless",        checkF="Borderless_R",        AND(checkF="Borderless_O", checkE="L90"),        AND(checkF="Borderless_I", checkE="R90")    ), "", "Side")))</f>
      </c>
      <c r="D37" s="5">
        <f>IF(A37="", "", LET(    valG, XLOOKUP(A37, RailDefinition!E:E, RailDefinition!K:K),    valD, XLOOKUP(A37, RailDefinition!E:E, RailDefinition!H:H),    valE, XLOOKUP(A37,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7">
        <f t="array" ref="E37:E37">XLOOKUP(1,(RailDefinition!$F:$F=$A37)*(RailDefinition!$M:$M=E$1),RailDefinition!$S:$S,"")</f>
      </c>
      <c r="F37">
        <f t="array" ref="F37:F37">XLOOKUP(1,(RailDefinition!$F:$F=$A37)*(RailDefinition!$M:$M=F$1),RailDefinition!$S:$S,"")</f>
      </c>
      <c r="G37">
        <f t="array" ref="G37:G37">XLOOKUP(1,(RailDefinition!$F:$F=$A37)*(RailDefinition!$M:$M=G$1),RailDefinition!$S:$S,"")</f>
      </c>
      <c r="H37">
        <f t="array" ref="H37:H37">XLOOKUP(1,(RailDefinition!$F:$F=$A37)*(RailDefinition!$M:$M=H$1),RailDefinition!$S:$S,"")</f>
      </c>
      <c r="I37">
        <f t="array" ref="I37:I37">XLOOKUP(1,(RailDefinition!$F:$F=$A37)*(RailDefinition!$M:$M=I$1),RailDefinition!$S:$S,"")</f>
      </c>
      <c r="J37">
        <f t="array" ref="J37:J37">XLOOKUP(1,(RailDefinition!$F:$F=$A37)*(RailDefinition!$M:$M=J$1),RailDefinition!$S:$S,"")</f>
      </c>
    </row>
    <row r="38">
      <c r="B38" s="5">
        <f>IF(A38="", "", LET(    checkF, XLOOKUP(A38, RailDefinition!E:E, RailDefinition!J:J),    checkE, XLOOKUP(A38, RailDefinition!E:E, RailDefinition!I:I),    IF(OR(        checkF="Borderless",        checkF="Borderless_L",        AND(checkF="Borderless_I", checkE="L90"),        AND(checkF="Borderless_O", checkE="R90")    ), "", "Side")))</f>
      </c>
      <c r="C38" s="5">
        <f>IF(A38="", "", LET(    checkF, XLOOKUP(A38, RailDefinition!E:E, RailDefinition!J:J),    checkE, XLOOKUP(A38, RailDefinition!E:E, RailDefinition!I:I),    IF(OR(        checkF="Borderless",        checkF="Borderless_R",        AND(checkF="Borderless_O", checkE="L90"),        AND(checkF="Borderless_I", checkE="R90")    ), "", "Side")))</f>
      </c>
      <c r="D38" s="5">
        <f>IF(A38="", "", LET(    valG, XLOOKUP(A38, RailDefinition!E:E, RailDefinition!K:K),    valD, XLOOKUP(A38, RailDefinition!E:E, RailDefinition!H:H),    valE, XLOOKUP(A38,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8">
        <f t="array" ref="E38:E38">XLOOKUP(1,(RailDefinition!$F:$F=$A38)*(RailDefinition!$M:$M=E$1),RailDefinition!$S:$S,"")</f>
      </c>
      <c r="F38">
        <f t="array" ref="F38:F38">XLOOKUP(1,(RailDefinition!$F:$F=$A38)*(RailDefinition!$M:$M=F$1),RailDefinition!$S:$S,"")</f>
      </c>
      <c r="G38">
        <f t="array" ref="G38:G38">XLOOKUP(1,(RailDefinition!$F:$F=$A38)*(RailDefinition!$M:$M=G$1),RailDefinition!$S:$S,"")</f>
      </c>
      <c r="H38">
        <f t="array" ref="H38:H38">XLOOKUP(1,(RailDefinition!$F:$F=$A38)*(RailDefinition!$M:$M=H$1),RailDefinition!$S:$S,"")</f>
      </c>
      <c r="I38">
        <f t="array" ref="I38:I38">XLOOKUP(1,(RailDefinition!$F:$F=$A38)*(RailDefinition!$M:$M=I$1),RailDefinition!$S:$S,"")</f>
      </c>
      <c r="J38">
        <f t="array" ref="J38:J38">XLOOKUP(1,(RailDefinition!$F:$F=$A38)*(RailDefinition!$M:$M=J$1),RailDefinition!$S:$S,"")</f>
      </c>
    </row>
    <row r="39">
      <c r="B39" s="5">
        <f>IF(A39="", "", LET(    checkF, XLOOKUP(A39, RailDefinition!E:E, RailDefinition!J:J),    checkE, XLOOKUP(A39, RailDefinition!E:E, RailDefinition!I:I),    IF(OR(        checkF="Borderless",        checkF="Borderless_L",        AND(checkF="Borderless_I", checkE="L90"),        AND(checkF="Borderless_O", checkE="R90")    ), "", "Side")))</f>
      </c>
      <c r="C39" s="5">
        <f>IF(A39="", "", LET(    checkF, XLOOKUP(A39, RailDefinition!E:E, RailDefinition!J:J),    checkE, XLOOKUP(A39, RailDefinition!E:E, RailDefinition!I:I),    IF(OR(        checkF="Borderless",        checkF="Borderless_R",        AND(checkF="Borderless_O", checkE="L90"),        AND(checkF="Borderless_I", checkE="R90")    ), "", "Side")))</f>
      </c>
      <c r="D39" s="5">
        <f>IF(A39="", "", LET(    valG, XLOOKUP(A39, RailDefinition!E:E, RailDefinition!K:K),    valD, XLOOKUP(A39, RailDefinition!E:E, RailDefinition!H:H),    valE, XLOOKUP(A39,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39">
        <f t="array" ref="E39:E39">XLOOKUP(1,(RailDefinition!$F:$F=$A39)*(RailDefinition!$M:$M=E$1),RailDefinition!$S:$S,"")</f>
      </c>
      <c r="F39">
        <f t="array" ref="F39:F39">XLOOKUP(1,(RailDefinition!$F:$F=$A39)*(RailDefinition!$M:$M=F$1),RailDefinition!$S:$S,"")</f>
      </c>
      <c r="G39">
        <f t="array" ref="G39:G39">XLOOKUP(1,(RailDefinition!$F:$F=$A39)*(RailDefinition!$M:$M=G$1),RailDefinition!$S:$S,"")</f>
      </c>
      <c r="H39">
        <f t="array" ref="H39:H39">XLOOKUP(1,(RailDefinition!$F:$F=$A39)*(RailDefinition!$M:$M=H$1),RailDefinition!$S:$S,"")</f>
      </c>
      <c r="I39">
        <f t="array" ref="I39:I39">XLOOKUP(1,(RailDefinition!$F:$F=$A39)*(RailDefinition!$M:$M=I$1),RailDefinition!$S:$S,"")</f>
      </c>
      <c r="J39">
        <f t="array" ref="J39:J39">XLOOKUP(1,(RailDefinition!$F:$F=$A39)*(RailDefinition!$M:$M=J$1),RailDefinition!$S:$S,"")</f>
      </c>
    </row>
    <row r="40">
      <c r="B40" s="5">
        <f>IF(A40="", "", LET(    checkF, XLOOKUP(A40, RailDefinition!E:E, RailDefinition!J:J),    checkE, XLOOKUP(A40, RailDefinition!E:E, RailDefinition!I:I),    IF(OR(        checkF="Borderless",        checkF="Borderless_L",        AND(checkF="Borderless_I", checkE="L90"),        AND(checkF="Borderless_O", checkE="R90")    ), "", "Side")))</f>
      </c>
      <c r="C40" s="5">
        <f>IF(A40="", "", LET(    checkF, XLOOKUP(A40, RailDefinition!E:E, RailDefinition!J:J),    checkE, XLOOKUP(A40, RailDefinition!E:E, RailDefinition!I:I),    IF(OR(        checkF="Borderless",        checkF="Borderless_R",        AND(checkF="Borderless_O", checkE="L90"),        AND(checkF="Borderless_I", checkE="R90")    ), "", "Side")))</f>
      </c>
      <c r="D40" s="5">
        <f>IF(A40="", "", LET(    valG, XLOOKUP(A40, RailDefinition!E:E, RailDefinition!K:K),    valD, XLOOKUP(A40, RailDefinition!E:E, RailDefinition!H:H),    valE, XLOOKUP(A40,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0">
        <f t="array" ref="E40:E40">XLOOKUP(1,(RailDefinition!$F:$F=$A40)*(RailDefinition!$M:$M=E$1),RailDefinition!$S:$S,"")</f>
      </c>
      <c r="F40">
        <f t="array" ref="F40:F40">XLOOKUP(1,(RailDefinition!$F:$F=$A40)*(RailDefinition!$M:$M=F$1),RailDefinition!$S:$S,"")</f>
      </c>
      <c r="G40">
        <f t="array" ref="G40:G40">XLOOKUP(1,(RailDefinition!$F:$F=$A40)*(RailDefinition!$M:$M=G$1),RailDefinition!$S:$S,"")</f>
      </c>
      <c r="H40">
        <f t="array" ref="H40:H40">XLOOKUP(1,(RailDefinition!$F:$F=$A40)*(RailDefinition!$M:$M=H$1),RailDefinition!$S:$S,"")</f>
      </c>
      <c r="I40">
        <f t="array" ref="I40:I40">XLOOKUP(1,(RailDefinition!$F:$F=$A40)*(RailDefinition!$M:$M=I$1),RailDefinition!$S:$S,"")</f>
      </c>
      <c r="J40">
        <f t="array" ref="J40:J40">XLOOKUP(1,(RailDefinition!$F:$F=$A40)*(RailDefinition!$M:$M=J$1),RailDefinition!$S:$S,"")</f>
      </c>
    </row>
    <row r="41">
      <c r="B41" s="5">
        <f>IF(A41="", "", LET(    checkF, XLOOKUP(A41, RailDefinition!E:E, RailDefinition!J:J),    checkE, XLOOKUP(A41, RailDefinition!E:E, RailDefinition!I:I),    IF(OR(        checkF="Borderless",        checkF="Borderless_L",        AND(checkF="Borderless_I", checkE="L90"),        AND(checkF="Borderless_O", checkE="R90")    ), "", "Side")))</f>
      </c>
      <c r="C41" s="5">
        <f>IF(A41="", "", LET(    checkF, XLOOKUP(A41, RailDefinition!E:E, RailDefinition!J:J),    checkE, XLOOKUP(A41, RailDefinition!E:E, RailDefinition!I:I),    IF(OR(        checkF="Borderless",        checkF="Borderless_R",        AND(checkF="Borderless_O", checkE="L90"),        AND(checkF="Borderless_I", checkE="R90")    ), "", "Side")))</f>
      </c>
      <c r="D41" s="5">
        <f>IF(A41="", "", LET(    valG, XLOOKUP(A41, RailDefinition!E:E, RailDefinition!K:K),    valD, XLOOKUP(A41, RailDefinition!E:E, RailDefinition!H:H),    valE, XLOOKUP(A41,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1">
        <f t="array" ref="E41:E41">XLOOKUP(1,(RailDefinition!$F:$F=$A41)*(RailDefinition!$M:$M=E$1),RailDefinition!$S:$S,"")</f>
      </c>
      <c r="F41">
        <f t="array" ref="F41:F41">XLOOKUP(1,(RailDefinition!$F:$F=$A41)*(RailDefinition!$M:$M=F$1),RailDefinition!$S:$S,"")</f>
      </c>
      <c r="G41">
        <f t="array" ref="G41:G41">XLOOKUP(1,(RailDefinition!$F:$F=$A41)*(RailDefinition!$M:$M=G$1),RailDefinition!$S:$S,"")</f>
      </c>
      <c r="H41">
        <f t="array" ref="H41:H41">XLOOKUP(1,(RailDefinition!$F:$F=$A41)*(RailDefinition!$M:$M=H$1),RailDefinition!$S:$S,"")</f>
      </c>
      <c r="I41">
        <f t="array" ref="I41:I41">XLOOKUP(1,(RailDefinition!$F:$F=$A41)*(RailDefinition!$M:$M=I$1),RailDefinition!$S:$S,"")</f>
      </c>
      <c r="J41">
        <f t="array" ref="J41:J41">XLOOKUP(1,(RailDefinition!$F:$F=$A41)*(RailDefinition!$M:$M=J$1),RailDefinition!$S:$S,"")</f>
      </c>
    </row>
    <row r="42">
      <c r="B42" s="5">
        <f>IF(A42="", "", LET(    checkF, XLOOKUP(A42, RailDefinition!E:E, RailDefinition!J:J),    checkE, XLOOKUP(A42, RailDefinition!E:E, RailDefinition!I:I),    IF(OR(        checkF="Borderless",        checkF="Borderless_L",        AND(checkF="Borderless_I", checkE="L90"),        AND(checkF="Borderless_O", checkE="R90")    ), "", "Side")))</f>
      </c>
      <c r="C42" s="5">
        <f>IF(A42="", "", LET(    checkF, XLOOKUP(A42, RailDefinition!E:E, RailDefinition!J:J),    checkE, XLOOKUP(A42, RailDefinition!E:E, RailDefinition!I:I),    IF(OR(        checkF="Borderless",        checkF="Borderless_R",        AND(checkF="Borderless_O", checkE="L90"),        AND(checkF="Borderless_I", checkE="R90")    ), "", "Side")))</f>
      </c>
      <c r="D42" s="5">
        <f>IF(A42="", "", LET(    valG, XLOOKUP(A42, RailDefinition!E:E, RailDefinition!K:K),    valD, XLOOKUP(A42, RailDefinition!E:E, RailDefinition!H:H),    valE, XLOOKUP(A42,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2">
        <f t="array" ref="E42:E42">XLOOKUP(1,(RailDefinition!$F:$F=$A42)*(RailDefinition!$M:$M=E$1),RailDefinition!$S:$S,"")</f>
      </c>
      <c r="F42">
        <f t="array" ref="F42:F42">XLOOKUP(1,(RailDefinition!$F:$F=$A42)*(RailDefinition!$M:$M=F$1),RailDefinition!$S:$S,"")</f>
      </c>
      <c r="G42">
        <f t="array" ref="G42:G42">XLOOKUP(1,(RailDefinition!$F:$F=$A42)*(RailDefinition!$M:$M=G$1),RailDefinition!$S:$S,"")</f>
      </c>
      <c r="H42">
        <f t="array" ref="H42:H42">XLOOKUP(1,(RailDefinition!$F:$F=$A42)*(RailDefinition!$M:$M=H$1),RailDefinition!$S:$S,"")</f>
      </c>
      <c r="I42">
        <f t="array" ref="I42:I42">XLOOKUP(1,(RailDefinition!$F:$F=$A42)*(RailDefinition!$M:$M=I$1),RailDefinition!$S:$S,"")</f>
      </c>
      <c r="J42">
        <f t="array" ref="J42:J42">XLOOKUP(1,(RailDefinition!$F:$F=$A42)*(RailDefinition!$M:$M=J$1),RailDefinition!$S:$S,"")</f>
      </c>
    </row>
    <row r="43">
      <c r="B43" s="5">
        <f>IF(A43="", "", LET(    checkF, XLOOKUP(A43, RailDefinition!E:E, RailDefinition!J:J),    checkE, XLOOKUP(A43, RailDefinition!E:E, RailDefinition!I:I),    IF(OR(        checkF="Borderless",        checkF="Borderless_L",        AND(checkF="Borderless_I", checkE="L90"),        AND(checkF="Borderless_O", checkE="R90")    ), "", "Side")))</f>
      </c>
      <c r="C43" s="5">
        <f>IF(A43="", "", LET(    checkF, XLOOKUP(A43, RailDefinition!E:E, RailDefinition!J:J),    checkE, XLOOKUP(A43, RailDefinition!E:E, RailDefinition!I:I),    IF(OR(        checkF="Borderless",        checkF="Borderless_R",        AND(checkF="Borderless_O", checkE="L90"),        AND(checkF="Borderless_I", checkE="R90")    ), "", "Side")))</f>
      </c>
      <c r="D43" s="5">
        <f>IF(A43="", "", LET(    valG, XLOOKUP(A43, RailDefinition!E:E, RailDefinition!K:K),    valD, XLOOKUP(A43, RailDefinition!E:E, RailDefinition!H:H),    valE, XLOOKUP(A43,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3">
        <f t="array" ref="E43:E43">XLOOKUP(1,(RailDefinition!$F:$F=$A43)*(RailDefinition!$M:$M=E$1),RailDefinition!$S:$S,"")</f>
      </c>
      <c r="F43">
        <f t="array" ref="F43:F43">XLOOKUP(1,(RailDefinition!$F:$F=$A43)*(RailDefinition!$M:$M=F$1),RailDefinition!$S:$S,"")</f>
      </c>
      <c r="G43">
        <f t="array" ref="G43:G43">XLOOKUP(1,(RailDefinition!$F:$F=$A43)*(RailDefinition!$M:$M=G$1),RailDefinition!$S:$S,"")</f>
      </c>
      <c r="H43">
        <f t="array" ref="H43:H43">XLOOKUP(1,(RailDefinition!$F:$F=$A43)*(RailDefinition!$M:$M=H$1),RailDefinition!$S:$S,"")</f>
      </c>
      <c r="I43">
        <f t="array" ref="I43:I43">XLOOKUP(1,(RailDefinition!$F:$F=$A43)*(RailDefinition!$M:$M=I$1),RailDefinition!$S:$S,"")</f>
      </c>
      <c r="J43">
        <f t="array" ref="J43:J43">XLOOKUP(1,(RailDefinition!$F:$F=$A43)*(RailDefinition!$M:$M=J$1),RailDefinition!$S:$S,"")</f>
      </c>
    </row>
    <row r="44">
      <c r="B44" s="5">
        <f>IF(A44="", "", LET(    checkF, XLOOKUP(A44, RailDefinition!E:E, RailDefinition!J:J),    checkE, XLOOKUP(A44, RailDefinition!E:E, RailDefinition!I:I),    IF(OR(        checkF="Borderless",        checkF="Borderless_L",        AND(checkF="Borderless_I", checkE="L90"),        AND(checkF="Borderless_O", checkE="R90")    ), "", "Side")))</f>
      </c>
      <c r="C44" s="5">
        <f>IF(A44="", "", LET(    checkF, XLOOKUP(A44, RailDefinition!E:E, RailDefinition!J:J),    checkE, XLOOKUP(A44, RailDefinition!E:E, RailDefinition!I:I),    IF(OR(        checkF="Borderless",        checkF="Borderless_R",        AND(checkF="Borderless_O", checkE="L90"),        AND(checkF="Borderless_I", checkE="R90")    ), "", "Side")))</f>
      </c>
      <c r="D44" s="5">
        <f>IF(A44="", "", LET(    valG, XLOOKUP(A44, RailDefinition!E:E, RailDefinition!K:K),    valD, XLOOKUP(A44, RailDefinition!E:E, RailDefinition!H:H),    valE, XLOOKUP(A44,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4">
        <f t="array" ref="E44:E44">XLOOKUP(1,(RailDefinition!$F:$F=$A44)*(RailDefinition!$M:$M=E$1),RailDefinition!$S:$S,"")</f>
      </c>
      <c r="F44">
        <f t="array" ref="F44:F44">XLOOKUP(1,(RailDefinition!$F:$F=$A44)*(RailDefinition!$M:$M=F$1),RailDefinition!$S:$S,"")</f>
      </c>
      <c r="G44">
        <f t="array" ref="G44:G44">XLOOKUP(1,(RailDefinition!$F:$F=$A44)*(RailDefinition!$M:$M=G$1),RailDefinition!$S:$S,"")</f>
      </c>
      <c r="H44">
        <f t="array" ref="H44:H44">XLOOKUP(1,(RailDefinition!$F:$F=$A44)*(RailDefinition!$M:$M=H$1),RailDefinition!$S:$S,"")</f>
      </c>
      <c r="I44">
        <f t="array" ref="I44:I44">XLOOKUP(1,(RailDefinition!$F:$F=$A44)*(RailDefinition!$M:$M=I$1),RailDefinition!$S:$S,"")</f>
      </c>
      <c r="J44">
        <f t="array" ref="J44:J44">XLOOKUP(1,(RailDefinition!$F:$F=$A44)*(RailDefinition!$M:$M=J$1),RailDefinition!$S:$S,"")</f>
      </c>
    </row>
    <row r="45">
      <c r="B45" s="5">
        <f>IF(A45="", "", LET(    checkF, XLOOKUP(A45, RailDefinition!E:E, RailDefinition!J:J),    checkE, XLOOKUP(A45, RailDefinition!E:E, RailDefinition!I:I),    IF(OR(        checkF="Borderless",        checkF="Borderless_L",        AND(checkF="Borderless_I", checkE="L90"),        AND(checkF="Borderless_O", checkE="R90")    ), "", "Side")))</f>
      </c>
      <c r="C45" s="5">
        <f>IF(A45="", "", LET(    checkF, XLOOKUP(A45, RailDefinition!E:E, RailDefinition!J:J),    checkE, XLOOKUP(A45, RailDefinition!E:E, RailDefinition!I:I),    IF(OR(        checkF="Borderless",        checkF="Borderless_R",        AND(checkF="Borderless_O", checkE="L90"),        AND(checkF="Borderless_I", checkE="R90")    ), "", "Side")))</f>
      </c>
      <c r="D45" s="5">
        <f>IF(A45="", "", LET(    valG, XLOOKUP(A45, RailDefinition!E:E, RailDefinition!K:K),    valD, XLOOKUP(A45, RailDefinition!E:E, RailDefinition!H:H),    valE, XLOOKUP(A45,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5">
        <f t="array" ref="E45:E45">XLOOKUP(1,(RailDefinition!$F:$F=$A45)*(RailDefinition!$M:$M=E$1),RailDefinition!$S:$S,"")</f>
      </c>
      <c r="F45">
        <f t="array" ref="F45:F45">XLOOKUP(1,(RailDefinition!$F:$F=$A45)*(RailDefinition!$M:$M=F$1),RailDefinition!$S:$S,"")</f>
      </c>
      <c r="G45">
        <f t="array" ref="G45:G45">XLOOKUP(1,(RailDefinition!$F:$F=$A45)*(RailDefinition!$M:$M=G$1),RailDefinition!$S:$S,"")</f>
      </c>
      <c r="H45">
        <f t="array" ref="H45:H45">XLOOKUP(1,(RailDefinition!$F:$F=$A45)*(RailDefinition!$M:$M=H$1),RailDefinition!$S:$S,"")</f>
      </c>
      <c r="I45">
        <f t="array" ref="I45:I45">XLOOKUP(1,(RailDefinition!$F:$F=$A45)*(RailDefinition!$M:$M=I$1),RailDefinition!$S:$S,"")</f>
      </c>
      <c r="J45">
        <f t="array" ref="J45:J45">XLOOKUP(1,(RailDefinition!$F:$F=$A45)*(RailDefinition!$M:$M=J$1),RailDefinition!$S:$S,"")</f>
      </c>
    </row>
    <row r="46">
      <c r="B46" s="5">
        <f>IF(A46="", "", LET(    checkF, XLOOKUP(A46, RailDefinition!E:E, RailDefinition!J:J),    checkE, XLOOKUP(A46, RailDefinition!E:E, RailDefinition!I:I),    IF(OR(        checkF="Borderless",        checkF="Borderless_L",        AND(checkF="Borderless_I", checkE="L90"),        AND(checkF="Borderless_O", checkE="R90")    ), "", "Side")))</f>
      </c>
      <c r="C46" s="5">
        <f>IF(A46="", "", LET(    checkF, XLOOKUP(A46, RailDefinition!E:E, RailDefinition!J:J),    checkE, XLOOKUP(A46, RailDefinition!E:E, RailDefinition!I:I),    IF(OR(        checkF="Borderless",        checkF="Borderless_R",        AND(checkF="Borderless_O", checkE="L90"),        AND(checkF="Borderless_I", checkE="R90")    ), "", "Side")))</f>
      </c>
      <c r="D46" s="5">
        <f>IF(A46="", "", LET(    valG, XLOOKUP(A46, RailDefinition!E:E, RailDefinition!K:K),    valD, XLOOKUP(A46, RailDefinition!E:E, RailDefinition!H:H),    valE, XLOOKUP(A46,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6">
        <f t="array" ref="E46:E46">XLOOKUP(1,(RailDefinition!$F:$F=$A46)*(RailDefinition!$M:$M=E$1),RailDefinition!$S:$S,"")</f>
      </c>
      <c r="F46">
        <f t="array" ref="F46:F46">XLOOKUP(1,(RailDefinition!$F:$F=$A46)*(RailDefinition!$M:$M=F$1),RailDefinition!$S:$S,"")</f>
      </c>
      <c r="G46">
        <f t="array" ref="G46:G46">XLOOKUP(1,(RailDefinition!$F:$F=$A46)*(RailDefinition!$M:$M=G$1),RailDefinition!$S:$S,"")</f>
      </c>
      <c r="H46">
        <f t="array" ref="H46:H46">XLOOKUP(1,(RailDefinition!$F:$F=$A46)*(RailDefinition!$M:$M=H$1),RailDefinition!$S:$S,"")</f>
      </c>
      <c r="I46">
        <f t="array" ref="I46:I46">XLOOKUP(1,(RailDefinition!$F:$F=$A46)*(RailDefinition!$M:$M=I$1),RailDefinition!$S:$S,"")</f>
      </c>
      <c r="J46">
        <f t="array" ref="J46:J46">XLOOKUP(1,(RailDefinition!$F:$F=$A46)*(RailDefinition!$M:$M=J$1),RailDefinition!$S:$S,"")</f>
      </c>
    </row>
    <row r="47">
      <c r="B47" s="5">
        <f>IF(A47="", "", LET(    checkF, XLOOKUP(A47, RailDefinition!E:E, RailDefinition!J:J),    checkE, XLOOKUP(A47, RailDefinition!E:E, RailDefinition!I:I),    IF(OR(        checkF="Borderless",        checkF="Borderless_L",        AND(checkF="Borderless_I", checkE="L90"),        AND(checkF="Borderless_O", checkE="R90")    ), "", "Side")))</f>
      </c>
      <c r="C47" s="5">
        <f>IF(A47="", "", LET(    checkF, XLOOKUP(A47, RailDefinition!E:E, RailDefinition!J:J),    checkE, XLOOKUP(A47, RailDefinition!E:E, RailDefinition!I:I),    IF(OR(        checkF="Borderless",        checkF="Borderless_R",        AND(checkF="Borderless_O", checkE="L90"),        AND(checkF="Borderless_I", checkE="R90")    ), "", "Side")))</f>
      </c>
      <c r="D47" s="5">
        <f>IF(A47="", "", LET(    valG, XLOOKUP(A47, RailDefinition!E:E, RailDefinition!K:K),    valD, XLOOKUP(A47, RailDefinition!E:E, RailDefinition!H:H),    valE, XLOOKUP(A47,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7">
        <f t="array" ref="E47:E47">XLOOKUP(1,(RailDefinition!$F:$F=$A47)*(RailDefinition!$M:$M=E$1),RailDefinition!$S:$S,"")</f>
      </c>
      <c r="F47">
        <f t="array" ref="F47:F47">XLOOKUP(1,(RailDefinition!$F:$F=$A47)*(RailDefinition!$M:$M=F$1),RailDefinition!$S:$S,"")</f>
      </c>
      <c r="G47">
        <f t="array" ref="G47:G47">XLOOKUP(1,(RailDefinition!$F:$F=$A47)*(RailDefinition!$M:$M=G$1),RailDefinition!$S:$S,"")</f>
      </c>
      <c r="H47">
        <f t="array" ref="H47:H47">XLOOKUP(1,(RailDefinition!$F:$F=$A47)*(RailDefinition!$M:$M=H$1),RailDefinition!$S:$S,"")</f>
      </c>
      <c r="I47">
        <f t="array" ref="I47:I47">XLOOKUP(1,(RailDefinition!$F:$F=$A47)*(RailDefinition!$M:$M=I$1),RailDefinition!$S:$S,"")</f>
      </c>
      <c r="J47">
        <f t="array" ref="J47:J47">XLOOKUP(1,(RailDefinition!$F:$F=$A47)*(RailDefinition!$M:$M=J$1),RailDefinition!$S:$S,"")</f>
      </c>
    </row>
    <row r="48">
      <c r="B48" s="5">
        <f>IF(A48="", "", LET(    checkF, XLOOKUP(A48, RailDefinition!E:E, RailDefinition!J:J),    checkE, XLOOKUP(A48, RailDefinition!E:E, RailDefinition!I:I),    IF(OR(        checkF="Borderless",        checkF="Borderless_L",        AND(checkF="Borderless_I", checkE="L90"),        AND(checkF="Borderless_O", checkE="R90")    ), "", "Side")))</f>
      </c>
      <c r="C48" s="5">
        <f>IF(A48="", "", LET(    checkF, XLOOKUP(A48, RailDefinition!E:E, RailDefinition!J:J),    checkE, XLOOKUP(A48, RailDefinition!E:E, RailDefinition!I:I),    IF(OR(        checkF="Borderless",        checkF="Borderless_R",        AND(checkF="Borderless_O", checkE="L90"),        AND(checkF="Borderless_I", checkE="R90")    ), "", "Side")))</f>
      </c>
      <c r="D48" s="5">
        <f>IF(A48="", "", LET(    valG, XLOOKUP(A48, RailDefinition!E:E, RailDefinition!K:K),    valD, XLOOKUP(A48, RailDefinition!E:E, RailDefinition!H:H),    valE, XLOOKUP(A48,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8">
        <f t="array" ref="E48:E48">XLOOKUP(1,(RailDefinition!$F:$F=$A48)*(RailDefinition!$M:$M=E$1),RailDefinition!$S:$S,"")</f>
      </c>
      <c r="F48">
        <f t="array" ref="F48:F48">XLOOKUP(1,(RailDefinition!$F:$F=$A48)*(RailDefinition!$M:$M=F$1),RailDefinition!$S:$S,"")</f>
      </c>
      <c r="G48">
        <f t="array" ref="G48:G48">XLOOKUP(1,(RailDefinition!$F:$F=$A48)*(RailDefinition!$M:$M=G$1),RailDefinition!$S:$S,"")</f>
      </c>
      <c r="H48">
        <f t="array" ref="H48:H48">XLOOKUP(1,(RailDefinition!$F:$F=$A48)*(RailDefinition!$M:$M=H$1),RailDefinition!$S:$S,"")</f>
      </c>
      <c r="I48">
        <f t="array" ref="I48:I48">XLOOKUP(1,(RailDefinition!$F:$F=$A48)*(RailDefinition!$M:$M=I$1),RailDefinition!$S:$S,"")</f>
      </c>
      <c r="J48">
        <f t="array" ref="J48:J48">XLOOKUP(1,(RailDefinition!$F:$F=$A48)*(RailDefinition!$M:$M=J$1),RailDefinition!$S:$S,"")</f>
      </c>
    </row>
    <row r="49">
      <c r="B49" s="5">
        <f>IF(A49="", "", LET(    checkF, XLOOKUP(A49, RailDefinition!E:E, RailDefinition!J:J),    checkE, XLOOKUP(A49, RailDefinition!E:E, RailDefinition!I:I),    IF(OR(        checkF="Borderless",        checkF="Borderless_L",        AND(checkF="Borderless_I", checkE="L90"),        AND(checkF="Borderless_O", checkE="R90")    ), "", "Side")))</f>
      </c>
      <c r="C49" s="5">
        <f>IF(A49="", "", LET(    checkF, XLOOKUP(A49, RailDefinition!E:E, RailDefinition!J:J),    checkE, XLOOKUP(A49, RailDefinition!E:E, RailDefinition!I:I),    IF(OR(        checkF="Borderless",        checkF="Borderless_R",        AND(checkF="Borderless_O", checkE="L90"),        AND(checkF="Borderless_I", checkE="R90")    ), "", "Side")))</f>
      </c>
      <c r="D49" s="5">
        <f>IF(A49="", "", LET(    valG, XLOOKUP(A49, RailDefinition!E:E, RailDefinition!K:K),    valD, XLOOKUP(A49, RailDefinition!E:E, RailDefinition!H:H),    valE, XLOOKUP(A49,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49">
        <f t="array" ref="E49:E49">XLOOKUP(1,(RailDefinition!$F:$F=$A49)*(RailDefinition!$M:$M=E$1),RailDefinition!$S:$S,"")</f>
      </c>
      <c r="F49">
        <f t="array" ref="F49:F49">XLOOKUP(1,(RailDefinition!$F:$F=$A49)*(RailDefinition!$M:$M=F$1),RailDefinition!$S:$S,"")</f>
      </c>
      <c r="G49">
        <f t="array" ref="G49:G49">XLOOKUP(1,(RailDefinition!$F:$F=$A49)*(RailDefinition!$M:$M=G$1),RailDefinition!$S:$S,"")</f>
      </c>
      <c r="H49">
        <f t="array" ref="H49:H49">XLOOKUP(1,(RailDefinition!$F:$F=$A49)*(RailDefinition!$M:$M=H$1),RailDefinition!$S:$S,"")</f>
      </c>
      <c r="I49">
        <f t="array" ref="I49:I49">XLOOKUP(1,(RailDefinition!$F:$F=$A49)*(RailDefinition!$M:$M=I$1),RailDefinition!$S:$S,"")</f>
      </c>
      <c r="J49">
        <f t="array" ref="J49:J49">XLOOKUP(1,(RailDefinition!$F:$F=$A49)*(RailDefinition!$M:$M=J$1),RailDefinition!$S:$S,"")</f>
      </c>
    </row>
    <row r="50">
      <c r="B50" s="5">
        <f>IF(A50="", "", LET(    checkF, XLOOKUP(A50, RailDefinition!E:E, RailDefinition!J:J),    checkE, XLOOKUP(A50, RailDefinition!E:E, RailDefinition!I:I),    IF(OR(        checkF="Borderless",        checkF="Borderless_L",        AND(checkF="Borderless_I", checkE="L90"),        AND(checkF="Borderless_O", checkE="R90")    ), "", "Side")))</f>
      </c>
      <c r="C50" s="5">
        <f>IF(A50="", "", LET(    checkF, XLOOKUP(A50, RailDefinition!E:E, RailDefinition!J:J),    checkE, XLOOKUP(A50, RailDefinition!E:E, RailDefinition!I:I),    IF(OR(        checkF="Borderless",        checkF="Borderless_R",        AND(checkF="Borderless_O", checkE="L90"),        AND(checkF="Borderless_I", checkE="R90")    ), "", "Side")))</f>
      </c>
      <c r="D50" s="5">
        <f>IF(A50="", "", LET(    valG, XLOOKUP(A50, RailDefinition!E:E, RailDefinition!K:K),    valD, XLOOKUP(A50, RailDefinition!E:E, RailDefinition!H:H),    valE, XLOOKUP(A50,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0">
        <f t="array" ref="E50:E50">XLOOKUP(1,(RailDefinition!$F:$F=$A50)*(RailDefinition!$M:$M=E$1),RailDefinition!$S:$S,"")</f>
      </c>
      <c r="F50">
        <f t="array" ref="F50:F50">XLOOKUP(1,(RailDefinition!$F:$F=$A50)*(RailDefinition!$M:$M=F$1),RailDefinition!$S:$S,"")</f>
      </c>
      <c r="G50">
        <f t="array" ref="G50:G50">XLOOKUP(1,(RailDefinition!$F:$F=$A50)*(RailDefinition!$M:$M=G$1),RailDefinition!$S:$S,"")</f>
      </c>
      <c r="H50">
        <f t="array" ref="H50:H50">XLOOKUP(1,(RailDefinition!$F:$F=$A50)*(RailDefinition!$M:$M=H$1),RailDefinition!$S:$S,"")</f>
      </c>
      <c r="I50">
        <f t="array" ref="I50:I50">XLOOKUP(1,(RailDefinition!$F:$F=$A50)*(RailDefinition!$M:$M=I$1),RailDefinition!$S:$S,"")</f>
      </c>
      <c r="J50">
        <f t="array" ref="J50:J50">XLOOKUP(1,(RailDefinition!$F:$F=$A50)*(RailDefinition!$M:$M=J$1),RailDefinition!$S:$S,"")</f>
      </c>
    </row>
    <row r="51">
      <c r="B51" s="5">
        <f>IF(A51="", "", LET(    checkF, XLOOKUP(A51, RailDefinition!E:E, RailDefinition!J:J),    checkE, XLOOKUP(A51, RailDefinition!E:E, RailDefinition!I:I),    IF(OR(        checkF="Borderless",        checkF="Borderless_L",        AND(checkF="Borderless_I", checkE="L90"),        AND(checkF="Borderless_O", checkE="R90")    ), "", "Side")))</f>
      </c>
      <c r="C51" s="5">
        <f>IF(A51="", "", LET(    checkF, XLOOKUP(A51, RailDefinition!E:E, RailDefinition!J:J),    checkE, XLOOKUP(A51, RailDefinition!E:E, RailDefinition!I:I),    IF(OR(        checkF="Borderless",        checkF="Borderless_R",        AND(checkF="Borderless_O", checkE="L90"),        AND(checkF="Borderless_I", checkE="R90")    ), "", "Side")))</f>
      </c>
      <c r="D51" s="5">
        <f>IF(A51="", "", LET(    valG, XLOOKUP(A51, RailDefinition!E:E, RailDefinition!K:K),    valD, XLOOKUP(A51, RailDefinition!E:E, RailDefinition!H:H),    valE, XLOOKUP(A51,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1">
        <f t="array" ref="E51:E51">XLOOKUP(1,(RailDefinition!$F:$F=$A51)*(RailDefinition!$M:$M=E$1),RailDefinition!$S:$S,"")</f>
      </c>
      <c r="F51">
        <f t="array" ref="F51:F51">XLOOKUP(1,(RailDefinition!$F:$F=$A51)*(RailDefinition!$M:$M=F$1),RailDefinition!$S:$S,"")</f>
      </c>
      <c r="G51">
        <f t="array" ref="G51:G51">XLOOKUP(1,(RailDefinition!$F:$F=$A51)*(RailDefinition!$M:$M=G$1),RailDefinition!$S:$S,"")</f>
      </c>
      <c r="H51">
        <f t="array" ref="H51:H51">XLOOKUP(1,(RailDefinition!$F:$F=$A51)*(RailDefinition!$M:$M=H$1),RailDefinition!$S:$S,"")</f>
      </c>
      <c r="I51">
        <f t="array" ref="I51:I51">XLOOKUP(1,(RailDefinition!$F:$F=$A51)*(RailDefinition!$M:$M=I$1),RailDefinition!$S:$S,"")</f>
      </c>
      <c r="J51">
        <f t="array" ref="J51:J51">XLOOKUP(1,(RailDefinition!$F:$F=$A51)*(RailDefinition!$M:$M=J$1),RailDefinition!$S:$S,"")</f>
      </c>
    </row>
    <row r="52">
      <c r="B52" s="5">
        <f>IF(A52="", "", LET(    checkF, XLOOKUP(A52, RailDefinition!E:E, RailDefinition!J:J),    checkE, XLOOKUP(A52, RailDefinition!E:E, RailDefinition!I:I),    IF(OR(        checkF="Borderless",        checkF="Borderless_L",        AND(checkF="Borderless_I", checkE="L90"),        AND(checkF="Borderless_O", checkE="R90")    ), "", "Side")))</f>
      </c>
      <c r="C52" s="5">
        <f>IF(A52="", "", LET(    checkF, XLOOKUP(A52, RailDefinition!E:E, RailDefinition!J:J),    checkE, XLOOKUP(A52, RailDefinition!E:E, RailDefinition!I:I),    IF(OR(        checkF="Borderless",        checkF="Borderless_R",        AND(checkF="Borderless_O", checkE="L90"),        AND(checkF="Borderless_I", checkE="R90")    ), "", "Side")))</f>
      </c>
      <c r="D52" s="5">
        <f>IF(A52="", "", LET(    valG, XLOOKUP(A52, RailDefinition!E:E, RailDefinition!K:K),    valD, XLOOKUP(A52, RailDefinition!E:E, RailDefinition!H:H),    valE, XLOOKUP(A52,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2">
        <f t="array" ref="E52:E52">XLOOKUP(1,(RailDefinition!$F:$F=$A52)*(RailDefinition!$M:$M=E$1),RailDefinition!$S:$S,"")</f>
      </c>
      <c r="F52">
        <f t="array" ref="F52:F52">XLOOKUP(1,(RailDefinition!$F:$F=$A52)*(RailDefinition!$M:$M=F$1),RailDefinition!$S:$S,"")</f>
      </c>
      <c r="G52">
        <f t="array" ref="G52:G52">XLOOKUP(1,(RailDefinition!$F:$F=$A52)*(RailDefinition!$M:$M=G$1),RailDefinition!$S:$S,"")</f>
      </c>
      <c r="H52">
        <f t="array" ref="H52:H52">XLOOKUP(1,(RailDefinition!$F:$F=$A52)*(RailDefinition!$M:$M=H$1),RailDefinition!$S:$S,"")</f>
      </c>
      <c r="I52">
        <f t="array" ref="I52:I52">XLOOKUP(1,(RailDefinition!$F:$F=$A52)*(RailDefinition!$M:$M=I$1),RailDefinition!$S:$S,"")</f>
      </c>
      <c r="J52">
        <f t="array" ref="J52:J52">XLOOKUP(1,(RailDefinition!$F:$F=$A52)*(RailDefinition!$M:$M=J$1),RailDefinition!$S:$S,"")</f>
      </c>
    </row>
    <row r="53">
      <c r="B53" s="5">
        <f>IF(A53="", "", LET(    checkF, XLOOKUP(A53, RailDefinition!E:E, RailDefinition!J:J),    checkE, XLOOKUP(A53, RailDefinition!E:E, RailDefinition!I:I),    IF(OR(        checkF="Borderless",        checkF="Borderless_L",        AND(checkF="Borderless_I", checkE="L90"),        AND(checkF="Borderless_O", checkE="R90")    ), "", "Side")))</f>
      </c>
      <c r="C53" s="5">
        <f>IF(A53="", "", LET(    checkF, XLOOKUP(A53, RailDefinition!E:E, RailDefinition!J:J),    checkE, XLOOKUP(A53, RailDefinition!E:E, RailDefinition!I:I),    IF(OR(        checkF="Borderless",        checkF="Borderless_R",        AND(checkF="Borderless_O", checkE="L90"),        AND(checkF="Borderless_I", checkE="R90")    ), "", "Side")))</f>
      </c>
      <c r="D53" s="5">
        <f>IF(A53="", "", LET(    valG, XLOOKUP(A53, RailDefinition!E:E, RailDefinition!K:K),    valD, XLOOKUP(A53, RailDefinition!E:E, RailDefinition!H:H),    valE, XLOOKUP(A53,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3">
        <f t="array" ref="E53:E53">XLOOKUP(1,(RailDefinition!$F:$F=$A53)*(RailDefinition!$M:$M=E$1),RailDefinition!$S:$S,"")</f>
      </c>
      <c r="F53">
        <f t="array" ref="F53:F53">XLOOKUP(1,(RailDefinition!$F:$F=$A53)*(RailDefinition!$M:$M=F$1),RailDefinition!$S:$S,"")</f>
      </c>
      <c r="G53">
        <f t="array" ref="G53:G53">XLOOKUP(1,(RailDefinition!$F:$F=$A53)*(RailDefinition!$M:$M=G$1),RailDefinition!$S:$S,"")</f>
      </c>
      <c r="H53">
        <f t="array" ref="H53:H53">XLOOKUP(1,(RailDefinition!$F:$F=$A53)*(RailDefinition!$M:$M=H$1),RailDefinition!$S:$S,"")</f>
      </c>
      <c r="I53">
        <f t="array" ref="I53:I53">XLOOKUP(1,(RailDefinition!$F:$F=$A53)*(RailDefinition!$M:$M=I$1),RailDefinition!$S:$S,"")</f>
      </c>
      <c r="J53">
        <f t="array" ref="J53:J53">XLOOKUP(1,(RailDefinition!$F:$F=$A53)*(RailDefinition!$M:$M=J$1),RailDefinition!$S:$S,"")</f>
      </c>
    </row>
    <row r="54">
      <c r="B54" s="5">
        <f>IF(A54="", "", LET(    checkF, XLOOKUP(A54, RailDefinition!E:E, RailDefinition!J:J),    checkE, XLOOKUP(A54, RailDefinition!E:E, RailDefinition!I:I),    IF(OR(        checkF="Borderless",        checkF="Borderless_L",        AND(checkF="Borderless_I", checkE="L90"),        AND(checkF="Borderless_O", checkE="R90")    ), "", "Side")))</f>
      </c>
      <c r="C54" s="5">
        <f>IF(A54="", "", LET(    checkF, XLOOKUP(A54, RailDefinition!E:E, RailDefinition!J:J),    checkE, XLOOKUP(A54, RailDefinition!E:E, RailDefinition!I:I),    IF(OR(        checkF="Borderless",        checkF="Borderless_R",        AND(checkF="Borderless_O", checkE="L90"),        AND(checkF="Borderless_I", checkE="R90")    ), "", "Side")))</f>
      </c>
      <c r="D54" s="5">
        <f>IF(A54="", "", LET(    valG, XLOOKUP(A54, RailDefinition!E:E, RailDefinition!K:K),    valD, XLOOKUP(A54, RailDefinition!E:E, RailDefinition!H:H),    valE, XLOOKUP(A54,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4">
        <f t="array" ref="E54:E54">XLOOKUP(1,(RailDefinition!$F:$F=$A54)*(RailDefinition!$M:$M=E$1),RailDefinition!$S:$S,"")</f>
      </c>
      <c r="F54">
        <f t="array" ref="F54:F54">XLOOKUP(1,(RailDefinition!$F:$F=$A54)*(RailDefinition!$M:$M=F$1),RailDefinition!$S:$S,"")</f>
      </c>
      <c r="G54">
        <f t="array" ref="G54:G54">XLOOKUP(1,(RailDefinition!$F:$F=$A54)*(RailDefinition!$M:$M=G$1),RailDefinition!$S:$S,"")</f>
      </c>
      <c r="H54">
        <f t="array" ref="H54:H54">XLOOKUP(1,(RailDefinition!$F:$F=$A54)*(RailDefinition!$M:$M=H$1),RailDefinition!$S:$S,"")</f>
      </c>
      <c r="I54">
        <f t="array" ref="I54:I54">XLOOKUP(1,(RailDefinition!$F:$F=$A54)*(RailDefinition!$M:$M=I$1),RailDefinition!$S:$S,"")</f>
      </c>
      <c r="J54">
        <f t="array" ref="J54:J54">XLOOKUP(1,(RailDefinition!$F:$F=$A54)*(RailDefinition!$M:$M=J$1),RailDefinition!$S:$S,"")</f>
      </c>
    </row>
    <row r="55">
      <c r="B55" s="5">
        <f>IF(A55="", "", LET(    checkF, XLOOKUP(A55, RailDefinition!E:E, RailDefinition!J:J),    checkE, XLOOKUP(A55, RailDefinition!E:E, RailDefinition!I:I),    IF(OR(        checkF="Borderless",        checkF="Borderless_L",        AND(checkF="Borderless_I", checkE="L90"),        AND(checkF="Borderless_O", checkE="R90")    ), "", "Side")))</f>
      </c>
      <c r="C55" s="5">
        <f>IF(A55="", "", LET(    checkF, XLOOKUP(A55, RailDefinition!E:E, RailDefinition!J:J),    checkE, XLOOKUP(A55, RailDefinition!E:E, RailDefinition!I:I),    IF(OR(        checkF="Borderless",        checkF="Borderless_R",        AND(checkF="Borderless_O", checkE="L90"),        AND(checkF="Borderless_I", checkE="R90")    ), "", "Side")))</f>
      </c>
      <c r="D55" s="5">
        <f>IF(A55="", "", LET(    valG, XLOOKUP(A55, RailDefinition!E:E, RailDefinition!K:K),    valD, XLOOKUP(A55, RailDefinition!E:E, RailDefinition!H:H),    valE, XLOOKUP(A55,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5">
        <f t="array" ref="E55:E55">XLOOKUP(1,(RailDefinition!$F:$F=$A55)*(RailDefinition!$M:$M=E$1),RailDefinition!$S:$S,"")</f>
      </c>
      <c r="F55">
        <f t="array" ref="F55:F55">XLOOKUP(1,(RailDefinition!$F:$F=$A55)*(RailDefinition!$M:$M=F$1),RailDefinition!$S:$S,"")</f>
      </c>
      <c r="G55">
        <f t="array" ref="G55:G55">XLOOKUP(1,(RailDefinition!$F:$F=$A55)*(RailDefinition!$M:$M=G$1),RailDefinition!$S:$S,"")</f>
      </c>
      <c r="H55">
        <f t="array" ref="H55:H55">XLOOKUP(1,(RailDefinition!$F:$F=$A55)*(RailDefinition!$M:$M=H$1),RailDefinition!$S:$S,"")</f>
      </c>
      <c r="I55">
        <f t="array" ref="I55:I55">XLOOKUP(1,(RailDefinition!$F:$F=$A55)*(RailDefinition!$M:$M=I$1),RailDefinition!$S:$S,"")</f>
      </c>
      <c r="J55">
        <f t="array" ref="J55:J55">XLOOKUP(1,(RailDefinition!$F:$F=$A55)*(RailDefinition!$M:$M=J$1),RailDefinition!$S:$S,"")</f>
      </c>
    </row>
    <row r="56">
      <c r="B56" s="5">
        <f>IF(A56="", "", LET(    checkF, XLOOKUP(A56, RailDefinition!E:E, RailDefinition!J:J),    checkE, XLOOKUP(A56, RailDefinition!E:E, RailDefinition!I:I),    IF(OR(        checkF="Borderless",        checkF="Borderless_L",        AND(checkF="Borderless_I", checkE="L90"),        AND(checkF="Borderless_O", checkE="R90")    ), "", "Side")))</f>
      </c>
      <c r="C56" s="5">
        <f>IF(A56="", "", LET(    checkF, XLOOKUP(A56, RailDefinition!E:E, RailDefinition!J:J),    checkE, XLOOKUP(A56, RailDefinition!E:E, RailDefinition!I:I),    IF(OR(        checkF="Borderless",        checkF="Borderless_R",        AND(checkF="Borderless_O", checkE="L90"),        AND(checkF="Borderless_I", checkE="R90")    ), "", "Side")))</f>
      </c>
      <c r="D56" s="5">
        <f>IF(A56="", "", LET(    valG, XLOOKUP(A56, RailDefinition!E:E, RailDefinition!K:K),    valD, XLOOKUP(A56, RailDefinition!E:E, RailDefinition!H:H),    valE, XLOOKUP(A56,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6">
        <f t="array" ref="E56:E56">XLOOKUP(1,(RailDefinition!$F:$F=$A56)*(RailDefinition!$M:$M=E$1),RailDefinition!$S:$S,"")</f>
      </c>
      <c r="F56">
        <f t="array" ref="F56:F56">XLOOKUP(1,(RailDefinition!$F:$F=$A56)*(RailDefinition!$M:$M=F$1),RailDefinition!$S:$S,"")</f>
      </c>
      <c r="G56">
        <f t="array" ref="G56:G56">XLOOKUP(1,(RailDefinition!$F:$F=$A56)*(RailDefinition!$M:$M=G$1),RailDefinition!$S:$S,"")</f>
      </c>
      <c r="H56">
        <f t="array" ref="H56:H56">XLOOKUP(1,(RailDefinition!$F:$F=$A56)*(RailDefinition!$M:$M=H$1),RailDefinition!$S:$S,"")</f>
      </c>
      <c r="I56">
        <f t="array" ref="I56:I56">XLOOKUP(1,(RailDefinition!$F:$F=$A56)*(RailDefinition!$M:$M=I$1),RailDefinition!$S:$S,"")</f>
      </c>
      <c r="J56">
        <f t="array" ref="J56:J56">XLOOKUP(1,(RailDefinition!$F:$F=$A56)*(RailDefinition!$M:$M=J$1),RailDefinition!$S:$S,"")</f>
      </c>
    </row>
    <row r="57">
      <c r="B57" s="5">
        <f>IF(A57="", "", LET(    checkF, XLOOKUP(A57, RailDefinition!E:E, RailDefinition!J:J),    checkE, XLOOKUP(A57, RailDefinition!E:E, RailDefinition!I:I),    IF(OR(        checkF="Borderless",        checkF="Borderless_L",        AND(checkF="Borderless_I", checkE="L90"),        AND(checkF="Borderless_O", checkE="R90")    ), "", "Side")))</f>
      </c>
      <c r="C57" s="5">
        <f>IF(A57="", "", LET(    checkF, XLOOKUP(A57, RailDefinition!E:E, RailDefinition!J:J),    checkE, XLOOKUP(A57, RailDefinition!E:E, RailDefinition!I:I),    IF(OR(        checkF="Borderless",        checkF="Borderless_R",        AND(checkF="Borderless_O", checkE="L90"),        AND(checkF="Borderless_I", checkE="R90")    ), "", "Side")))</f>
      </c>
      <c r="D57" s="5">
        <f>IF(A57="", "", LET(    valG, XLOOKUP(A57, RailDefinition!E:E, RailDefinition!K:K),    valD, XLOOKUP(A57, RailDefinition!E:E, RailDefinition!H:H),    valE, XLOOKUP(A57,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7">
        <f t="array" ref="E57:E57">XLOOKUP(1,(RailDefinition!$F:$F=$A57)*(RailDefinition!$M:$M=E$1),RailDefinition!$S:$S,"")</f>
      </c>
      <c r="F57">
        <f t="array" ref="F57:F57">XLOOKUP(1,(RailDefinition!$F:$F=$A57)*(RailDefinition!$M:$M=F$1),RailDefinition!$S:$S,"")</f>
      </c>
      <c r="G57">
        <f t="array" ref="G57:G57">XLOOKUP(1,(RailDefinition!$F:$F=$A57)*(RailDefinition!$M:$M=G$1),RailDefinition!$S:$S,"")</f>
      </c>
      <c r="H57">
        <f t="array" ref="H57:H57">XLOOKUP(1,(RailDefinition!$F:$F=$A57)*(RailDefinition!$M:$M=H$1),RailDefinition!$S:$S,"")</f>
      </c>
      <c r="I57">
        <f t="array" ref="I57:I57">XLOOKUP(1,(RailDefinition!$F:$F=$A57)*(RailDefinition!$M:$M=I$1),RailDefinition!$S:$S,"")</f>
      </c>
      <c r="J57">
        <f t="array" ref="J57:J57">XLOOKUP(1,(RailDefinition!$F:$F=$A57)*(RailDefinition!$M:$M=J$1),RailDefinition!$S:$S,"")</f>
      </c>
    </row>
    <row r="58">
      <c r="B58" s="5">
        <f>IF(A58="", "", LET(    checkF, XLOOKUP(A58, RailDefinition!E:E, RailDefinition!J:J),    checkE, XLOOKUP(A58, RailDefinition!E:E, RailDefinition!I:I),    IF(OR(        checkF="Borderless",        checkF="Borderless_L",        AND(checkF="Borderless_I", checkE="L90"),        AND(checkF="Borderless_O", checkE="R90")    ), "", "Side")))</f>
      </c>
      <c r="C58" s="5">
        <f>IF(A58="", "", LET(    checkF, XLOOKUP(A58, RailDefinition!E:E, RailDefinition!J:J),    checkE, XLOOKUP(A58, RailDefinition!E:E, RailDefinition!I:I),    IF(OR(        checkF="Borderless",        checkF="Borderless_R",        AND(checkF="Borderless_O", checkE="L90"),        AND(checkF="Borderless_I", checkE="R90")    ), "", "Side")))</f>
      </c>
      <c r="D58" s="5">
        <f>IF(A58="", "", LET(    valG, XLOOKUP(A58, RailDefinition!E:E, RailDefinition!K:K),    valD, XLOOKUP(A58, RailDefinition!E:E, RailDefinition!H:H),    valE, XLOOKUP(A58,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8">
        <f t="array" ref="E58:E58">XLOOKUP(1,(RailDefinition!$F:$F=$A58)*(RailDefinition!$M:$M=E$1),RailDefinition!$S:$S,"")</f>
      </c>
      <c r="F58">
        <f t="array" ref="F58:F58">XLOOKUP(1,(RailDefinition!$F:$F=$A58)*(RailDefinition!$M:$M=F$1),RailDefinition!$S:$S,"")</f>
      </c>
      <c r="G58">
        <f t="array" ref="G58:G58">XLOOKUP(1,(RailDefinition!$F:$F=$A58)*(RailDefinition!$M:$M=G$1),RailDefinition!$S:$S,"")</f>
      </c>
      <c r="H58">
        <f t="array" ref="H58:H58">XLOOKUP(1,(RailDefinition!$F:$F=$A58)*(RailDefinition!$M:$M=H$1),RailDefinition!$S:$S,"")</f>
      </c>
      <c r="I58">
        <f t="array" ref="I58:I58">XLOOKUP(1,(RailDefinition!$F:$F=$A58)*(RailDefinition!$M:$M=I$1),RailDefinition!$S:$S,"")</f>
      </c>
      <c r="J58">
        <f t="array" ref="J58:J58">XLOOKUP(1,(RailDefinition!$F:$F=$A58)*(RailDefinition!$M:$M=J$1),RailDefinition!$S:$S,"")</f>
      </c>
    </row>
    <row r="59">
      <c r="B59" s="5">
        <f>IF(A59="", "", LET(    checkF, XLOOKUP(A59, RailDefinition!E:E, RailDefinition!J:J),    checkE, XLOOKUP(A59, RailDefinition!E:E, RailDefinition!I:I),    IF(OR(        checkF="Borderless",        checkF="Borderless_L",        AND(checkF="Borderless_I", checkE="L90"),        AND(checkF="Borderless_O", checkE="R90")    ), "", "Side")))</f>
      </c>
      <c r="C59" s="5">
        <f>IF(A59="", "", LET(    checkF, XLOOKUP(A59, RailDefinition!E:E, RailDefinition!J:J),    checkE, XLOOKUP(A59, RailDefinition!E:E, RailDefinition!I:I),    IF(OR(        checkF="Borderless",        checkF="Borderless_R",        AND(checkF="Borderless_O", checkE="L90"),        AND(checkF="Borderless_I", checkE="R90")    ), "", "Side")))</f>
      </c>
      <c r="D59" s="5">
        <f>IF(A59="", "", LET(    valG, XLOOKUP(A59, RailDefinition!E:E, RailDefinition!K:K),    valD, XLOOKUP(A59, RailDefinition!E:E, RailDefinition!H:H),    valE, XLOOKUP(A59,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59">
        <f t="array" ref="E59:E59">XLOOKUP(1,(RailDefinition!$F:$F=$A59)*(RailDefinition!$M:$M=E$1),RailDefinition!$S:$S,"")</f>
      </c>
      <c r="F59">
        <f t="array" ref="F59:F59">XLOOKUP(1,(RailDefinition!$F:$F=$A59)*(RailDefinition!$M:$M=F$1),RailDefinition!$S:$S,"")</f>
      </c>
      <c r="G59">
        <f t="array" ref="G59:G59">XLOOKUP(1,(RailDefinition!$F:$F=$A59)*(RailDefinition!$M:$M=G$1),RailDefinition!$S:$S,"")</f>
      </c>
      <c r="H59">
        <f t="array" ref="H59:H59">XLOOKUP(1,(RailDefinition!$F:$F=$A59)*(RailDefinition!$M:$M=H$1),RailDefinition!$S:$S,"")</f>
      </c>
      <c r="I59">
        <f t="array" ref="I59:I59">XLOOKUP(1,(RailDefinition!$F:$F=$A59)*(RailDefinition!$M:$M=I$1),RailDefinition!$S:$S,"")</f>
      </c>
      <c r="J59">
        <f t="array" ref="J59:J59">XLOOKUP(1,(RailDefinition!$F:$F=$A59)*(RailDefinition!$M:$M=J$1),RailDefinition!$S:$S,"")</f>
      </c>
    </row>
    <row r="60">
      <c r="B60" s="5">
        <f>IF(A60="", "", LET(    checkF, XLOOKUP(A60, RailDefinition!E:E, RailDefinition!J:J),    checkE, XLOOKUP(A60, RailDefinition!E:E, RailDefinition!I:I),    IF(OR(        checkF="Borderless",        checkF="Borderless_L",        AND(checkF="Borderless_I", checkE="L90"),        AND(checkF="Borderless_O", checkE="R90")    ), "", "Side")))</f>
      </c>
      <c r="C60" s="5">
        <f>IF(A60="", "", LET(    checkF, XLOOKUP(A60, RailDefinition!E:E, RailDefinition!J:J),    checkE, XLOOKUP(A60, RailDefinition!E:E, RailDefinition!I:I),    IF(OR(        checkF="Borderless",        checkF="Borderless_R",        AND(checkF="Borderless_O", checkE="L90"),        AND(checkF="Borderless_I", checkE="R90")    ), "", "Side")))</f>
      </c>
      <c r="D60" s="5">
        <f>IF(A60="", "", LET(    valG, XLOOKUP(A60, RailDefinition!E:E, RailDefinition!K:K),    valD, XLOOKUP(A60, RailDefinition!E:E, RailDefinition!H:H),    valE, XLOOKUP(A60,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0">
        <f t="array" ref="E60:E60">XLOOKUP(1,(RailDefinition!$F:$F=$A60)*(RailDefinition!$M:$M=E$1),RailDefinition!$S:$S,"")</f>
      </c>
      <c r="F60">
        <f t="array" ref="F60:F60">XLOOKUP(1,(RailDefinition!$F:$F=$A60)*(RailDefinition!$M:$M=F$1),RailDefinition!$S:$S,"")</f>
      </c>
      <c r="G60">
        <f t="array" ref="G60:G60">XLOOKUP(1,(RailDefinition!$F:$F=$A60)*(RailDefinition!$M:$M=G$1),RailDefinition!$S:$S,"")</f>
      </c>
      <c r="H60">
        <f t="array" ref="H60:H60">XLOOKUP(1,(RailDefinition!$F:$F=$A60)*(RailDefinition!$M:$M=H$1),RailDefinition!$S:$S,"")</f>
      </c>
      <c r="I60">
        <f t="array" ref="I60:I60">XLOOKUP(1,(RailDefinition!$F:$F=$A60)*(RailDefinition!$M:$M=I$1),RailDefinition!$S:$S,"")</f>
      </c>
      <c r="J60">
        <f t="array" ref="J60:J60">XLOOKUP(1,(RailDefinition!$F:$F=$A60)*(RailDefinition!$M:$M=J$1),RailDefinition!$S:$S,"")</f>
      </c>
    </row>
    <row r="61">
      <c r="B61" s="5">
        <f>IF(A61="", "", LET(    checkF, XLOOKUP(A61, RailDefinition!E:E, RailDefinition!J:J),    checkE, XLOOKUP(A61, RailDefinition!E:E, RailDefinition!I:I),    IF(OR(        checkF="Borderless",        checkF="Borderless_L",        AND(checkF="Borderless_I", checkE="L90"),        AND(checkF="Borderless_O", checkE="R90")    ), "", "Side")))</f>
      </c>
      <c r="C61" s="5">
        <f>IF(A61="", "", LET(    checkF, XLOOKUP(A61, RailDefinition!E:E, RailDefinition!J:J),    checkE, XLOOKUP(A61, RailDefinition!E:E, RailDefinition!I:I),    IF(OR(        checkF="Borderless",        checkF="Borderless_R",        AND(checkF="Borderless_O", checkE="L90"),        AND(checkF="Borderless_I", checkE="R90")    ), "", "Side")))</f>
      </c>
      <c r="D61" s="5">
        <f>IF(A61="", "", LET(    valG, XLOOKUP(A61, RailDefinition!E:E, RailDefinition!K:K),    valD, XLOOKUP(A61, RailDefinition!E:E, RailDefinition!H:H),    valE, XLOOKUP(A61,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1">
        <f t="array" ref="E61:E61">XLOOKUP(1,(RailDefinition!$F:$F=$A61)*(RailDefinition!$M:$M=E$1),RailDefinition!$S:$S,"")</f>
      </c>
      <c r="F61">
        <f t="array" ref="F61:F61">XLOOKUP(1,(RailDefinition!$F:$F=$A61)*(RailDefinition!$M:$M=F$1),RailDefinition!$S:$S,"")</f>
      </c>
      <c r="G61">
        <f t="array" ref="G61:G61">XLOOKUP(1,(RailDefinition!$F:$F=$A61)*(RailDefinition!$M:$M=G$1),RailDefinition!$S:$S,"")</f>
      </c>
      <c r="H61">
        <f t="array" ref="H61:H61">XLOOKUP(1,(RailDefinition!$F:$F=$A61)*(RailDefinition!$M:$M=H$1),RailDefinition!$S:$S,"")</f>
      </c>
      <c r="I61">
        <f t="array" ref="I61:I61">XLOOKUP(1,(RailDefinition!$F:$F=$A61)*(RailDefinition!$M:$M=I$1),RailDefinition!$S:$S,"")</f>
      </c>
      <c r="J61">
        <f t="array" ref="J61:J61">XLOOKUP(1,(RailDefinition!$F:$F=$A61)*(RailDefinition!$M:$M=J$1),RailDefinition!$S:$S,"")</f>
      </c>
    </row>
    <row r="62">
      <c r="B62" s="5">
        <f>IF(A62="", "", LET(    checkF, XLOOKUP(A62, RailDefinition!E:E, RailDefinition!J:J),    checkE, XLOOKUP(A62, RailDefinition!E:E, RailDefinition!I:I),    IF(OR(        checkF="Borderless",        checkF="Borderless_L",        AND(checkF="Borderless_I", checkE="L90"),        AND(checkF="Borderless_O", checkE="R90")    ), "", "Side")))</f>
      </c>
      <c r="C62" s="5">
        <f>IF(A62="", "", LET(    checkF, XLOOKUP(A62, RailDefinition!E:E, RailDefinition!J:J),    checkE, XLOOKUP(A62, RailDefinition!E:E, RailDefinition!I:I),    IF(OR(        checkF="Borderless",        checkF="Borderless_R",        AND(checkF="Borderless_O", checkE="L90"),        AND(checkF="Borderless_I", checkE="R90")    ), "", "Side")))</f>
      </c>
      <c r="D62" s="5">
        <f>IF(A62="", "", LET(    valG, XLOOKUP(A62, RailDefinition!E:E, RailDefinition!K:K),    valD, XLOOKUP(A62, RailDefinition!E:E, RailDefinition!H:H),    valE, XLOOKUP(A62,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2">
        <f t="array" ref="E62:E62">XLOOKUP(1,(RailDefinition!$F:$F=$A62)*(RailDefinition!$M:$M=E$1),RailDefinition!$S:$S,"")</f>
      </c>
      <c r="F62">
        <f t="array" ref="F62:F62">XLOOKUP(1,(RailDefinition!$F:$F=$A62)*(RailDefinition!$M:$M=F$1),RailDefinition!$S:$S,"")</f>
      </c>
      <c r="G62">
        <f t="array" ref="G62:G62">XLOOKUP(1,(RailDefinition!$F:$F=$A62)*(RailDefinition!$M:$M=G$1),RailDefinition!$S:$S,"")</f>
      </c>
      <c r="H62">
        <f t="array" ref="H62:H62">XLOOKUP(1,(RailDefinition!$F:$F=$A62)*(RailDefinition!$M:$M=H$1),RailDefinition!$S:$S,"")</f>
      </c>
      <c r="I62">
        <f t="array" ref="I62:I62">XLOOKUP(1,(RailDefinition!$F:$F=$A62)*(RailDefinition!$M:$M=I$1),RailDefinition!$S:$S,"")</f>
      </c>
      <c r="J62">
        <f t="array" ref="J62:J62">XLOOKUP(1,(RailDefinition!$F:$F=$A62)*(RailDefinition!$M:$M=J$1),RailDefinition!$S:$S,"")</f>
      </c>
    </row>
    <row r="63">
      <c r="B63" s="5">
        <f>IF(A63="", "", LET(    checkF, XLOOKUP(A63, RailDefinition!E:E, RailDefinition!J:J),    checkE, XLOOKUP(A63, RailDefinition!E:E, RailDefinition!I:I),    IF(OR(        checkF="Borderless",        checkF="Borderless_L",        AND(checkF="Borderless_I", checkE="L90"),        AND(checkF="Borderless_O", checkE="R90")    ), "", "Side")))</f>
      </c>
      <c r="C63" s="5">
        <f>IF(A63="", "", LET(    checkF, XLOOKUP(A63, RailDefinition!E:E, RailDefinition!J:J),    checkE, XLOOKUP(A63, RailDefinition!E:E, RailDefinition!I:I),    IF(OR(        checkF="Borderless",        checkF="Borderless_R",        AND(checkF="Borderless_O", checkE="L90"),        AND(checkF="Borderless_I", checkE="R90")    ), "", "Side")))</f>
      </c>
      <c r="D63" s="5">
        <f>IF(A63="", "", LET(    valG, XLOOKUP(A63, RailDefinition!E:E, RailDefinition!K:K),    valD, XLOOKUP(A63, RailDefinition!E:E, RailDefinition!H:H),    valE, XLOOKUP(A63,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3">
        <f t="array" ref="E63:E63">XLOOKUP(1,(RailDefinition!$F:$F=$A63)*(RailDefinition!$M:$M=E$1),RailDefinition!$S:$S,"")</f>
      </c>
      <c r="F63">
        <f t="array" ref="F63:F63">XLOOKUP(1,(RailDefinition!$F:$F=$A63)*(RailDefinition!$M:$M=F$1),RailDefinition!$S:$S,"")</f>
      </c>
      <c r="G63">
        <f t="array" ref="G63:G63">XLOOKUP(1,(RailDefinition!$F:$F=$A63)*(RailDefinition!$M:$M=G$1),RailDefinition!$S:$S,"")</f>
      </c>
      <c r="H63">
        <f t="array" ref="H63:H63">XLOOKUP(1,(RailDefinition!$F:$F=$A63)*(RailDefinition!$M:$M=H$1),RailDefinition!$S:$S,"")</f>
      </c>
      <c r="I63">
        <f t="array" ref="I63:I63">XLOOKUP(1,(RailDefinition!$F:$F=$A63)*(RailDefinition!$M:$M=I$1),RailDefinition!$S:$S,"")</f>
      </c>
      <c r="J63">
        <f t="array" ref="J63:J63">XLOOKUP(1,(RailDefinition!$F:$F=$A63)*(RailDefinition!$M:$M=J$1),RailDefinition!$S:$S,"")</f>
      </c>
    </row>
    <row r="64">
      <c r="B64" s="5">
        <f>IF(A64="", "", LET(    checkF, XLOOKUP(A64, RailDefinition!E:E, RailDefinition!J:J),    checkE, XLOOKUP(A64, RailDefinition!E:E, RailDefinition!I:I),    IF(OR(        checkF="Borderless",        checkF="Borderless_L",        AND(checkF="Borderless_I", checkE="L90"),        AND(checkF="Borderless_O", checkE="R90")    ), "", "Side")))</f>
      </c>
      <c r="C64" s="5">
        <f>IF(A64="", "", LET(    checkF, XLOOKUP(A64, RailDefinition!E:E, RailDefinition!J:J),    checkE, XLOOKUP(A64, RailDefinition!E:E, RailDefinition!I:I),    IF(OR(        checkF="Borderless",        checkF="Borderless_R",        AND(checkF="Borderless_O", checkE="L90"),        AND(checkF="Borderless_I", checkE="R90")    ), "", "Side")))</f>
      </c>
      <c r="D64" s="5">
        <f>IF(A64="", "", LET(    valG, XLOOKUP(A64, RailDefinition!E:E, RailDefinition!K:K),    valD, XLOOKUP(A64, RailDefinition!E:E, RailDefinition!H:H),    valE, XLOOKUP(A64,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4">
        <f t="array" ref="E64:E64">XLOOKUP(1,(RailDefinition!$F:$F=$A64)*(RailDefinition!$M:$M=E$1),RailDefinition!$S:$S,"")</f>
      </c>
      <c r="F64">
        <f t="array" ref="F64:F64">XLOOKUP(1,(RailDefinition!$F:$F=$A64)*(RailDefinition!$M:$M=F$1),RailDefinition!$S:$S,"")</f>
      </c>
      <c r="G64">
        <f t="array" ref="G64:G64">XLOOKUP(1,(RailDefinition!$F:$F=$A64)*(RailDefinition!$M:$M=G$1),RailDefinition!$S:$S,"")</f>
      </c>
      <c r="H64">
        <f t="array" ref="H64:H64">XLOOKUP(1,(RailDefinition!$F:$F=$A64)*(RailDefinition!$M:$M=H$1),RailDefinition!$S:$S,"")</f>
      </c>
      <c r="I64">
        <f t="array" ref="I64:I64">XLOOKUP(1,(RailDefinition!$F:$F=$A64)*(RailDefinition!$M:$M=I$1),RailDefinition!$S:$S,"")</f>
      </c>
      <c r="J64">
        <f t="array" ref="J64:J64">XLOOKUP(1,(RailDefinition!$F:$F=$A64)*(RailDefinition!$M:$M=J$1),RailDefinition!$S:$S,"")</f>
      </c>
    </row>
    <row r="65">
      <c r="B65" s="5">
        <f>IF(A65="", "", LET(    checkF, XLOOKUP(A65, RailDefinition!E:E, RailDefinition!J:J),    checkE, XLOOKUP(A65, RailDefinition!E:E, RailDefinition!I:I),    IF(OR(        checkF="Borderless",        checkF="Borderless_L",        AND(checkF="Borderless_I", checkE="L90"),        AND(checkF="Borderless_O", checkE="R90")    ), "", "Side")))</f>
      </c>
      <c r="C65" s="5">
        <f>IF(A65="", "", LET(    checkF, XLOOKUP(A65, RailDefinition!E:E, RailDefinition!J:J),    checkE, XLOOKUP(A65, RailDefinition!E:E, RailDefinition!I:I),    IF(OR(        checkF="Borderless",        checkF="Borderless_R",        AND(checkF="Borderless_O", checkE="L90"),        AND(checkF="Borderless_I", checkE="R90")    ), "", "Side")))</f>
      </c>
      <c r="D65" s="5">
        <f>IF(A65="", "", LET(    valG, XLOOKUP(A65, RailDefinition!E:E, RailDefinition!K:K),    valD, XLOOKUP(A65, RailDefinition!E:E, RailDefinition!H:H),    valE, XLOOKUP(A65,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5">
        <f t="array" ref="E65:E65">XLOOKUP(1,(RailDefinition!$F:$F=$A65)*(RailDefinition!$M:$M=E$1),RailDefinition!$S:$S,"")</f>
      </c>
      <c r="F65">
        <f t="array" ref="F65:F65">XLOOKUP(1,(RailDefinition!$F:$F=$A65)*(RailDefinition!$M:$M=F$1),RailDefinition!$S:$S,"")</f>
      </c>
      <c r="G65">
        <f t="array" ref="G65:G65">XLOOKUP(1,(RailDefinition!$F:$F=$A65)*(RailDefinition!$M:$M=G$1),RailDefinition!$S:$S,"")</f>
      </c>
      <c r="H65">
        <f t="array" ref="H65:H65">XLOOKUP(1,(RailDefinition!$F:$F=$A65)*(RailDefinition!$M:$M=H$1),RailDefinition!$S:$S,"")</f>
      </c>
      <c r="I65">
        <f t="array" ref="I65:I65">XLOOKUP(1,(RailDefinition!$F:$F=$A65)*(RailDefinition!$M:$M=I$1),RailDefinition!$S:$S,"")</f>
      </c>
      <c r="J65">
        <f t="array" ref="J65:J65">XLOOKUP(1,(RailDefinition!$F:$F=$A65)*(RailDefinition!$M:$M=J$1),RailDefinition!$S:$S,"")</f>
      </c>
    </row>
    <row r="66">
      <c r="B66" s="5">
        <f>IF(A66="", "", LET(    checkF, XLOOKUP(A66, RailDefinition!E:E, RailDefinition!J:J),    checkE, XLOOKUP(A66, RailDefinition!E:E, RailDefinition!I:I),    IF(OR(        checkF="Borderless",        checkF="Borderless_L",        AND(checkF="Borderless_I", checkE="L90"),        AND(checkF="Borderless_O", checkE="R90")    ), "", "Side")))</f>
      </c>
      <c r="C66" s="5">
        <f>IF(A66="", "", LET(    checkF, XLOOKUP(A66, RailDefinition!E:E, RailDefinition!J:J),    checkE, XLOOKUP(A66, RailDefinition!E:E, RailDefinition!I:I),    IF(OR(        checkF="Borderless",        checkF="Borderless_R",        AND(checkF="Borderless_O", checkE="L90"),        AND(checkF="Borderless_I", checkE="R90")    ), "", "Side")))</f>
      </c>
      <c r="D66" s="5">
        <f>IF(A66="", "", LET(    valG, XLOOKUP(A66, RailDefinition!E:E, RailDefinition!K:K),    valD, XLOOKUP(A66, RailDefinition!E:E, RailDefinition!H:H),    valE, XLOOKUP(A66,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6">
        <f t="array" ref="E66:E66">XLOOKUP(1,(RailDefinition!$F:$F=$A66)*(RailDefinition!$M:$M=E$1),RailDefinition!$S:$S,"")</f>
      </c>
      <c r="F66">
        <f t="array" ref="F66:F66">XLOOKUP(1,(RailDefinition!$F:$F=$A66)*(RailDefinition!$M:$M=F$1),RailDefinition!$S:$S,"")</f>
      </c>
      <c r="G66">
        <f t="array" ref="G66:G66">XLOOKUP(1,(RailDefinition!$F:$F=$A66)*(RailDefinition!$M:$M=G$1),RailDefinition!$S:$S,"")</f>
      </c>
      <c r="H66">
        <f t="array" ref="H66:H66">XLOOKUP(1,(RailDefinition!$F:$F=$A66)*(RailDefinition!$M:$M=H$1),RailDefinition!$S:$S,"")</f>
      </c>
      <c r="I66">
        <f t="array" ref="I66:I66">XLOOKUP(1,(RailDefinition!$F:$F=$A66)*(RailDefinition!$M:$M=I$1),RailDefinition!$S:$S,"")</f>
      </c>
      <c r="J66">
        <f t="array" ref="J66:J66">XLOOKUP(1,(RailDefinition!$F:$F=$A66)*(RailDefinition!$M:$M=J$1),RailDefinition!$S:$S,"")</f>
      </c>
    </row>
    <row r="67">
      <c r="B67" s="5">
        <f>IF(A67="", "", LET(    checkF, XLOOKUP(A67, RailDefinition!E:E, RailDefinition!J:J),    checkE, XLOOKUP(A67, RailDefinition!E:E, RailDefinition!I:I),    IF(OR(        checkF="Borderless",        checkF="Borderless_L",        AND(checkF="Borderless_I", checkE="L90"),        AND(checkF="Borderless_O", checkE="R90")    ), "", "Side")))</f>
      </c>
      <c r="C67" s="5">
        <f>IF(A67="", "", LET(    checkF, XLOOKUP(A67, RailDefinition!E:E, RailDefinition!J:J),    checkE, XLOOKUP(A67, RailDefinition!E:E, RailDefinition!I:I),    IF(OR(        checkF="Borderless",        checkF="Borderless_R",        AND(checkF="Borderless_O", checkE="L90"),        AND(checkF="Borderless_I", checkE="R90")    ), "", "Side")))</f>
      </c>
      <c r="D67" s="5">
        <f>IF(A67="", "", LET(    valG, XLOOKUP(A67, RailDefinition!E:E, RailDefinition!K:K),    valD, XLOOKUP(A67, RailDefinition!E:E, RailDefinition!H:H),    valE, XLOOKUP(A67,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7">
        <f t="array" ref="E67:E67">XLOOKUP(1,(RailDefinition!$F:$F=$A67)*(RailDefinition!$M:$M=E$1),RailDefinition!$S:$S,"")</f>
      </c>
      <c r="F67">
        <f t="array" ref="F67:F67">XLOOKUP(1,(RailDefinition!$F:$F=$A67)*(RailDefinition!$M:$M=F$1),RailDefinition!$S:$S,"")</f>
      </c>
      <c r="G67">
        <f t="array" ref="G67:G67">XLOOKUP(1,(RailDefinition!$F:$F=$A67)*(RailDefinition!$M:$M=G$1),RailDefinition!$S:$S,"")</f>
      </c>
      <c r="H67">
        <f t="array" ref="H67:H67">XLOOKUP(1,(RailDefinition!$F:$F=$A67)*(RailDefinition!$M:$M=H$1),RailDefinition!$S:$S,"")</f>
      </c>
      <c r="I67">
        <f t="array" ref="I67:I67">XLOOKUP(1,(RailDefinition!$F:$F=$A67)*(RailDefinition!$M:$M=I$1),RailDefinition!$S:$S,"")</f>
      </c>
      <c r="J67">
        <f t="array" ref="J67:J67">XLOOKUP(1,(RailDefinition!$F:$F=$A67)*(RailDefinition!$M:$M=J$1),RailDefinition!$S:$S,"")</f>
      </c>
    </row>
    <row r="68">
      <c r="B68" s="5">
        <f>IF(A68="", "", LET(    checkF, XLOOKUP(A68, RailDefinition!E:E, RailDefinition!J:J),    checkE, XLOOKUP(A68, RailDefinition!E:E, RailDefinition!I:I),    IF(OR(        checkF="Borderless",        checkF="Borderless_L",        AND(checkF="Borderless_I", checkE="L90"),        AND(checkF="Borderless_O", checkE="R90")    ), "", "Side")))</f>
      </c>
      <c r="C68" s="5">
        <f>IF(A68="", "", LET(    checkF, XLOOKUP(A68, RailDefinition!E:E, RailDefinition!J:J),    checkE, XLOOKUP(A68, RailDefinition!E:E, RailDefinition!I:I),    IF(OR(        checkF="Borderless",        checkF="Borderless_R",        AND(checkF="Borderless_O", checkE="L90"),        AND(checkF="Borderless_I", checkE="R90")    ), "", "Side")))</f>
      </c>
      <c r="D68" s="5">
        <f>IF(A68="", "", LET(    valG, XLOOKUP(A68, RailDefinition!E:E, RailDefinition!K:K),    valD, XLOOKUP(A68, RailDefinition!E:E, RailDefinition!H:H),    valE, XLOOKUP(A68,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8">
        <f t="array" ref="E68:E68">XLOOKUP(1,(RailDefinition!$F:$F=$A68)*(RailDefinition!$M:$M=E$1),RailDefinition!$S:$S,"")</f>
      </c>
      <c r="F68">
        <f t="array" ref="F68:F68">XLOOKUP(1,(RailDefinition!$F:$F=$A68)*(RailDefinition!$M:$M=F$1),RailDefinition!$S:$S,"")</f>
      </c>
      <c r="G68">
        <f t="array" ref="G68:G68">XLOOKUP(1,(RailDefinition!$F:$F=$A68)*(RailDefinition!$M:$M=G$1),RailDefinition!$S:$S,"")</f>
      </c>
      <c r="H68">
        <f t="array" ref="H68:H68">XLOOKUP(1,(RailDefinition!$F:$F=$A68)*(RailDefinition!$M:$M=H$1),RailDefinition!$S:$S,"")</f>
      </c>
      <c r="I68">
        <f t="array" ref="I68:I68">XLOOKUP(1,(RailDefinition!$F:$F=$A68)*(RailDefinition!$M:$M=I$1),RailDefinition!$S:$S,"")</f>
      </c>
      <c r="J68">
        <f t="array" ref="J68:J68">XLOOKUP(1,(RailDefinition!$F:$F=$A68)*(RailDefinition!$M:$M=J$1),RailDefinition!$S:$S,"")</f>
      </c>
    </row>
    <row r="69">
      <c r="B69" s="5">
        <f>IF(A69="", "", LET(    checkF, XLOOKUP(A69, RailDefinition!E:E, RailDefinition!J:J),    checkE, XLOOKUP(A69, RailDefinition!E:E, RailDefinition!I:I),    IF(OR(        checkF="Borderless",        checkF="Borderless_L",        AND(checkF="Borderless_I", checkE="L90"),        AND(checkF="Borderless_O", checkE="R90")    ), "", "Side")))</f>
      </c>
      <c r="C69" s="5">
        <f>IF(A69="", "", LET(    checkF, XLOOKUP(A69, RailDefinition!E:E, RailDefinition!J:J),    checkE, XLOOKUP(A69, RailDefinition!E:E, RailDefinition!I:I),    IF(OR(        checkF="Borderless",        checkF="Borderless_R",        AND(checkF="Borderless_O", checkE="L90"),        AND(checkF="Borderless_I", checkE="R90")    ), "", "Side")))</f>
      </c>
      <c r="D69" s="5">
        <f>IF(A69="", "", LET(    valG, XLOOKUP(A69, RailDefinition!E:E, RailDefinition!K:K),    valD, XLOOKUP(A69, RailDefinition!E:E, RailDefinition!H:H),    valE, XLOOKUP(A69,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69">
        <f t="array" ref="E69:E69">XLOOKUP(1,(RailDefinition!$F:$F=$A69)*(RailDefinition!$M:$M=E$1),RailDefinition!$S:$S,"")</f>
      </c>
      <c r="F69">
        <f t="array" ref="F69:F69">XLOOKUP(1,(RailDefinition!$F:$F=$A69)*(RailDefinition!$M:$M=F$1),RailDefinition!$S:$S,"")</f>
      </c>
      <c r="G69">
        <f t="array" ref="G69:G69">XLOOKUP(1,(RailDefinition!$F:$F=$A69)*(RailDefinition!$M:$M=G$1),RailDefinition!$S:$S,"")</f>
      </c>
      <c r="H69">
        <f t="array" ref="H69:H69">XLOOKUP(1,(RailDefinition!$F:$F=$A69)*(RailDefinition!$M:$M=H$1),RailDefinition!$S:$S,"")</f>
      </c>
      <c r="I69">
        <f t="array" ref="I69:I69">XLOOKUP(1,(RailDefinition!$F:$F=$A69)*(RailDefinition!$M:$M=I$1),RailDefinition!$S:$S,"")</f>
      </c>
      <c r="J69">
        <f t="array" ref="J69:J69">XLOOKUP(1,(RailDefinition!$F:$F=$A69)*(RailDefinition!$M:$M=J$1),RailDefinition!$S:$S,"")</f>
      </c>
    </row>
    <row r="70">
      <c r="B70" s="5">
        <f>IF(A70="", "", LET(    checkF, XLOOKUP(A70, RailDefinition!E:E, RailDefinition!J:J),    checkE, XLOOKUP(A70, RailDefinition!E:E, RailDefinition!I:I),    IF(OR(        checkF="Borderless",        checkF="Borderless_L",        AND(checkF="Borderless_I", checkE="L90"),        AND(checkF="Borderless_O", checkE="R90")    ), "", "Side")))</f>
      </c>
      <c r="C70" s="5">
        <f>IF(A70="", "", LET(    checkF, XLOOKUP(A70, RailDefinition!E:E, RailDefinition!J:J),    checkE, XLOOKUP(A70, RailDefinition!E:E, RailDefinition!I:I),    IF(OR(        checkF="Borderless",        checkF="Borderless_R",        AND(checkF="Borderless_O", checkE="L90"),        AND(checkF="Borderless_I", checkE="R90")    ), "", "Side")))</f>
      </c>
      <c r="D70" s="5">
        <f>IF(A70="", "", LET(    valG, XLOOKUP(A70, RailDefinition!E:E, RailDefinition!K:K),    valD, XLOOKUP(A70, RailDefinition!E:E, RailDefinition!H:H),    valE, XLOOKUP(A70,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0">
        <f t="array" ref="E70:E70">XLOOKUP(1,(RailDefinition!$F:$F=$A70)*(RailDefinition!$M:$M=E$1),RailDefinition!$S:$S,"")</f>
      </c>
      <c r="F70">
        <f t="array" ref="F70:F70">XLOOKUP(1,(RailDefinition!$F:$F=$A70)*(RailDefinition!$M:$M=F$1),RailDefinition!$S:$S,"")</f>
      </c>
      <c r="G70">
        <f t="array" ref="G70:G70">XLOOKUP(1,(RailDefinition!$F:$F=$A70)*(RailDefinition!$M:$M=G$1),RailDefinition!$S:$S,"")</f>
      </c>
      <c r="H70">
        <f t="array" ref="H70:H70">XLOOKUP(1,(RailDefinition!$F:$F=$A70)*(RailDefinition!$M:$M=H$1),RailDefinition!$S:$S,"")</f>
      </c>
      <c r="I70">
        <f t="array" ref="I70:I70">XLOOKUP(1,(RailDefinition!$F:$F=$A70)*(RailDefinition!$M:$M=I$1),RailDefinition!$S:$S,"")</f>
      </c>
      <c r="J70">
        <f t="array" ref="J70:J70">XLOOKUP(1,(RailDefinition!$F:$F=$A70)*(RailDefinition!$M:$M=J$1),RailDefinition!$S:$S,"")</f>
      </c>
    </row>
    <row r="71">
      <c r="B71" s="5">
        <f>IF(A71="", "", LET(    checkF, XLOOKUP(A71, RailDefinition!E:E, RailDefinition!J:J),    checkE, XLOOKUP(A71, RailDefinition!E:E, RailDefinition!I:I),    IF(OR(        checkF="Borderless",        checkF="Borderless_L",        AND(checkF="Borderless_I", checkE="L90"),        AND(checkF="Borderless_O", checkE="R90")    ), "", "Side")))</f>
      </c>
      <c r="C71" s="5">
        <f>IF(A71="", "", LET(    checkF, XLOOKUP(A71, RailDefinition!E:E, RailDefinition!J:J),    checkE, XLOOKUP(A71, RailDefinition!E:E, RailDefinition!I:I),    IF(OR(        checkF="Borderless",        checkF="Borderless_R",        AND(checkF="Borderless_O", checkE="L90"),        AND(checkF="Borderless_I", checkE="R90")    ), "", "Side")))</f>
      </c>
      <c r="D71" s="5">
        <f>IF(A71="", "", LET(    valG, XLOOKUP(A71, RailDefinition!E:E, RailDefinition!K:K),    valD, XLOOKUP(A71, RailDefinition!E:E, RailDefinition!H:H),    valE, XLOOKUP(A71,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1">
        <f t="array" ref="E71:E71">XLOOKUP(1,(RailDefinition!$F:$F=$A71)*(RailDefinition!$M:$M=E$1),RailDefinition!$S:$S,"")</f>
      </c>
      <c r="F71">
        <f t="array" ref="F71:F71">XLOOKUP(1,(RailDefinition!$F:$F=$A71)*(RailDefinition!$M:$M=F$1),RailDefinition!$S:$S,"")</f>
      </c>
      <c r="G71">
        <f t="array" ref="G71:G71">XLOOKUP(1,(RailDefinition!$F:$F=$A71)*(RailDefinition!$M:$M=G$1),RailDefinition!$S:$S,"")</f>
      </c>
      <c r="H71">
        <f t="array" ref="H71:H71">XLOOKUP(1,(RailDefinition!$F:$F=$A71)*(RailDefinition!$M:$M=H$1),RailDefinition!$S:$S,"")</f>
      </c>
      <c r="I71">
        <f t="array" ref="I71:I71">XLOOKUP(1,(RailDefinition!$F:$F=$A71)*(RailDefinition!$M:$M=I$1),RailDefinition!$S:$S,"")</f>
      </c>
      <c r="J71">
        <f t="array" ref="J71:J71">XLOOKUP(1,(RailDefinition!$F:$F=$A71)*(RailDefinition!$M:$M=J$1),RailDefinition!$S:$S,"")</f>
      </c>
    </row>
    <row r="72">
      <c r="B72" s="5">
        <f>IF(A72="", "", LET(    checkF, XLOOKUP(A72, RailDefinition!E:E, RailDefinition!J:J),    checkE, XLOOKUP(A72, RailDefinition!E:E, RailDefinition!I:I),    IF(OR(        checkF="Borderless",        checkF="Borderless_L",        AND(checkF="Borderless_I", checkE="L90"),        AND(checkF="Borderless_O", checkE="R90")    ), "", "Side")))</f>
      </c>
      <c r="C72" s="5">
        <f>IF(A72="", "", LET(    checkF, XLOOKUP(A72, RailDefinition!E:E, RailDefinition!J:J),    checkE, XLOOKUP(A72, RailDefinition!E:E, RailDefinition!I:I),    IF(OR(        checkF="Borderless",        checkF="Borderless_R",        AND(checkF="Borderless_O", checkE="L90"),        AND(checkF="Borderless_I", checkE="R90")    ), "", "Side")))</f>
      </c>
      <c r="D72" s="5">
        <f>IF(A72="", "", LET(    valG, XLOOKUP(A72, RailDefinition!E:E, RailDefinition!K:K),    valD, XLOOKUP(A72, RailDefinition!E:E, RailDefinition!H:H),    valE, XLOOKUP(A72,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2">
        <f t="array" ref="E72:E72">XLOOKUP(1,(RailDefinition!$F:$F=$A72)*(RailDefinition!$M:$M=E$1),RailDefinition!$S:$S,"")</f>
      </c>
      <c r="F72">
        <f t="array" ref="F72:F72">XLOOKUP(1,(RailDefinition!$F:$F=$A72)*(RailDefinition!$M:$M=F$1),RailDefinition!$S:$S,"")</f>
      </c>
      <c r="G72">
        <f t="array" ref="G72:G72">XLOOKUP(1,(RailDefinition!$F:$F=$A72)*(RailDefinition!$M:$M=G$1),RailDefinition!$S:$S,"")</f>
      </c>
      <c r="H72">
        <f t="array" ref="H72:H72">XLOOKUP(1,(RailDefinition!$F:$F=$A72)*(RailDefinition!$M:$M=H$1),RailDefinition!$S:$S,"")</f>
      </c>
      <c r="I72">
        <f t="array" ref="I72:I72">XLOOKUP(1,(RailDefinition!$F:$F=$A72)*(RailDefinition!$M:$M=I$1),RailDefinition!$S:$S,"")</f>
      </c>
      <c r="J72">
        <f t="array" ref="J72:J72">XLOOKUP(1,(RailDefinition!$F:$F=$A72)*(RailDefinition!$M:$M=J$1),RailDefinition!$S:$S,"")</f>
      </c>
    </row>
    <row r="73">
      <c r="B73" s="5">
        <f>IF(A73="", "", LET(    checkF, XLOOKUP(A73, RailDefinition!E:E, RailDefinition!J:J),    checkE, XLOOKUP(A73, RailDefinition!E:E, RailDefinition!I:I),    IF(OR(        checkF="Borderless",        checkF="Borderless_L",        AND(checkF="Borderless_I", checkE="L90"),        AND(checkF="Borderless_O", checkE="R90")    ), "", "Side")))</f>
      </c>
      <c r="C73" s="5">
        <f>IF(A73="", "", LET(    checkF, XLOOKUP(A73, RailDefinition!E:E, RailDefinition!J:J),    checkE, XLOOKUP(A73, RailDefinition!E:E, RailDefinition!I:I),    IF(OR(        checkF="Borderless",        checkF="Borderless_R",        AND(checkF="Borderless_O", checkE="L90"),        AND(checkF="Borderless_I", checkE="R90")    ), "", "Side")))</f>
      </c>
      <c r="D73" s="5">
        <f>IF(A73="", "", LET(    valG, XLOOKUP(A73, RailDefinition!E:E, RailDefinition!K:K),    valD, XLOOKUP(A73, RailDefinition!E:E, RailDefinition!H:H),    valE, XLOOKUP(A73,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3">
        <f t="array" ref="E73:E73">XLOOKUP(1,(RailDefinition!$F:$F=$A73)*(RailDefinition!$M:$M=E$1),RailDefinition!$S:$S,"")</f>
      </c>
      <c r="F73">
        <f t="array" ref="F73:F73">XLOOKUP(1,(RailDefinition!$F:$F=$A73)*(RailDefinition!$M:$M=F$1),RailDefinition!$S:$S,"")</f>
      </c>
      <c r="G73">
        <f t="array" ref="G73:G73">XLOOKUP(1,(RailDefinition!$F:$F=$A73)*(RailDefinition!$M:$M=G$1),RailDefinition!$S:$S,"")</f>
      </c>
      <c r="H73">
        <f t="array" ref="H73:H73">XLOOKUP(1,(RailDefinition!$F:$F=$A73)*(RailDefinition!$M:$M=H$1),RailDefinition!$S:$S,"")</f>
      </c>
      <c r="I73">
        <f t="array" ref="I73:I73">XLOOKUP(1,(RailDefinition!$F:$F=$A73)*(RailDefinition!$M:$M=I$1),RailDefinition!$S:$S,"")</f>
      </c>
      <c r="J73">
        <f t="array" ref="J73:J73">XLOOKUP(1,(RailDefinition!$F:$F=$A73)*(RailDefinition!$M:$M=J$1),RailDefinition!$S:$S,"")</f>
      </c>
    </row>
    <row r="74">
      <c r="B74" s="5">
        <f>IF(A74="", "", LET(    checkF, XLOOKUP(A74, RailDefinition!E:E, RailDefinition!J:J),    checkE, XLOOKUP(A74, RailDefinition!E:E, RailDefinition!I:I),    IF(OR(        checkF="Borderless",        checkF="Borderless_L",        AND(checkF="Borderless_I", checkE="L90"),        AND(checkF="Borderless_O", checkE="R90")    ), "", "Side")))</f>
      </c>
      <c r="C74" s="5">
        <f>IF(A74="", "", LET(    checkF, XLOOKUP(A74, RailDefinition!E:E, RailDefinition!J:J),    checkE, XLOOKUP(A74, RailDefinition!E:E, RailDefinition!I:I),    IF(OR(        checkF="Borderless",        checkF="Borderless_R",        AND(checkF="Borderless_O", checkE="L90"),        AND(checkF="Borderless_I", checkE="R90")    ), "", "Side")))</f>
      </c>
      <c r="D74" s="5">
        <f>IF(A74="", "", LET(    valG, XLOOKUP(A74, RailDefinition!E:E, RailDefinition!K:K),    valD, XLOOKUP(A74, RailDefinition!E:E, RailDefinition!H:H),    valE, XLOOKUP(A74,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4">
        <f t="array" ref="E74:E74">XLOOKUP(1,(RailDefinition!$F:$F=$A74)*(RailDefinition!$M:$M=E$1),RailDefinition!$S:$S,"")</f>
      </c>
      <c r="F74">
        <f t="array" ref="F74:F74">XLOOKUP(1,(RailDefinition!$F:$F=$A74)*(RailDefinition!$M:$M=F$1),RailDefinition!$S:$S,"")</f>
      </c>
      <c r="G74">
        <f t="array" ref="G74:G74">XLOOKUP(1,(RailDefinition!$F:$F=$A74)*(RailDefinition!$M:$M=G$1),RailDefinition!$S:$S,"")</f>
      </c>
      <c r="H74">
        <f t="array" ref="H74:H74">XLOOKUP(1,(RailDefinition!$F:$F=$A74)*(RailDefinition!$M:$M=H$1),RailDefinition!$S:$S,"")</f>
      </c>
      <c r="I74">
        <f t="array" ref="I74:I74">XLOOKUP(1,(RailDefinition!$F:$F=$A74)*(RailDefinition!$M:$M=I$1),RailDefinition!$S:$S,"")</f>
      </c>
      <c r="J74">
        <f t="array" ref="J74:J74">XLOOKUP(1,(RailDefinition!$F:$F=$A74)*(RailDefinition!$M:$M=J$1),RailDefinition!$S:$S,"")</f>
      </c>
    </row>
    <row r="75">
      <c r="B75" s="5">
        <f>IF(A75="", "", LET(    checkF, XLOOKUP(A75, RailDefinition!E:E, RailDefinition!J:J),    checkE, XLOOKUP(A75, RailDefinition!E:E, RailDefinition!I:I),    IF(OR(        checkF="Borderless",        checkF="Borderless_L",        AND(checkF="Borderless_I", checkE="L90"),        AND(checkF="Borderless_O", checkE="R90")    ), "", "Side")))</f>
      </c>
      <c r="C75" s="5">
        <f>IF(A75="", "", LET(    checkF, XLOOKUP(A75, RailDefinition!E:E, RailDefinition!J:J),    checkE, XLOOKUP(A75, RailDefinition!E:E, RailDefinition!I:I),    IF(OR(        checkF="Borderless",        checkF="Borderless_R",        AND(checkF="Borderless_O", checkE="L90"),        AND(checkF="Borderless_I", checkE="R90")    ), "", "Side")))</f>
      </c>
      <c r="D75" s="5">
        <f>IF(A75="", "", LET(    valG, XLOOKUP(A75, RailDefinition!E:E, RailDefinition!K:K),    valD, XLOOKUP(A75, RailDefinition!E:E, RailDefinition!H:H),    valE, XLOOKUP(A75,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5">
        <f t="array" ref="E75:E75">XLOOKUP(1,(RailDefinition!$F:$F=$A75)*(RailDefinition!$M:$M=E$1),RailDefinition!$S:$S,"")</f>
      </c>
      <c r="F75">
        <f t="array" ref="F75:F75">XLOOKUP(1,(RailDefinition!$F:$F=$A75)*(RailDefinition!$M:$M=F$1),RailDefinition!$S:$S,"")</f>
      </c>
      <c r="G75">
        <f t="array" ref="G75:G75">XLOOKUP(1,(RailDefinition!$F:$F=$A75)*(RailDefinition!$M:$M=G$1),RailDefinition!$S:$S,"")</f>
      </c>
      <c r="H75">
        <f t="array" ref="H75:H75">XLOOKUP(1,(RailDefinition!$F:$F=$A75)*(RailDefinition!$M:$M=H$1),RailDefinition!$S:$S,"")</f>
      </c>
      <c r="I75">
        <f t="array" ref="I75:I75">XLOOKUP(1,(RailDefinition!$F:$F=$A75)*(RailDefinition!$M:$M=I$1),RailDefinition!$S:$S,"")</f>
      </c>
      <c r="J75">
        <f t="array" ref="J75:J75">XLOOKUP(1,(RailDefinition!$F:$F=$A75)*(RailDefinition!$M:$M=J$1),RailDefinition!$S:$S,"")</f>
      </c>
    </row>
    <row r="76">
      <c r="B76" s="5">
        <f>IF(A76="", "", LET(    checkF, XLOOKUP(A76, RailDefinition!E:E, RailDefinition!J:J),    checkE, XLOOKUP(A76, RailDefinition!E:E, RailDefinition!I:I),    IF(OR(        checkF="Borderless",        checkF="Borderless_L",        AND(checkF="Borderless_I", checkE="L90"),        AND(checkF="Borderless_O", checkE="R90")    ), "", "Side")))</f>
      </c>
      <c r="C76" s="5">
        <f>IF(A76="", "", LET(    checkF, XLOOKUP(A76, RailDefinition!E:E, RailDefinition!J:J),    checkE, XLOOKUP(A76, RailDefinition!E:E, RailDefinition!I:I),    IF(OR(        checkF="Borderless",        checkF="Borderless_R",        AND(checkF="Borderless_O", checkE="L90"),        AND(checkF="Borderless_I", checkE="R90")    ), "", "Side")))</f>
      </c>
      <c r="D76" s="5">
        <f>IF(A76="", "", LET(    valG, XLOOKUP(A76, RailDefinition!E:E, RailDefinition!K:K),    valD, XLOOKUP(A76, RailDefinition!E:E, RailDefinition!H:H),    valE, XLOOKUP(A76,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6">
        <f t="array" ref="E76:E76">XLOOKUP(1,(RailDefinition!$F:$F=$A76)*(RailDefinition!$M:$M=E$1),RailDefinition!$S:$S,"")</f>
      </c>
      <c r="F76">
        <f t="array" ref="F76:F76">XLOOKUP(1,(RailDefinition!$F:$F=$A76)*(RailDefinition!$M:$M=F$1),RailDefinition!$S:$S,"")</f>
      </c>
      <c r="G76">
        <f t="array" ref="G76:G76">XLOOKUP(1,(RailDefinition!$F:$F=$A76)*(RailDefinition!$M:$M=G$1),RailDefinition!$S:$S,"")</f>
      </c>
      <c r="H76">
        <f t="array" ref="H76:H76">XLOOKUP(1,(RailDefinition!$F:$F=$A76)*(RailDefinition!$M:$M=H$1),RailDefinition!$S:$S,"")</f>
      </c>
      <c r="I76">
        <f t="array" ref="I76:I76">XLOOKUP(1,(RailDefinition!$F:$F=$A76)*(RailDefinition!$M:$M=I$1),RailDefinition!$S:$S,"")</f>
      </c>
      <c r="J76">
        <f t="array" ref="J76:J76">XLOOKUP(1,(RailDefinition!$F:$F=$A76)*(RailDefinition!$M:$M=J$1),RailDefinition!$S:$S,"")</f>
      </c>
    </row>
    <row r="77">
      <c r="B77" s="5">
        <f>IF(A77="", "", LET(    checkF, XLOOKUP(A77, RailDefinition!E:E, RailDefinition!J:J),    checkE, XLOOKUP(A77, RailDefinition!E:E, RailDefinition!I:I),    IF(OR(        checkF="Borderless",        checkF="Borderless_L",        AND(checkF="Borderless_I", checkE="L90"),        AND(checkF="Borderless_O", checkE="R90")    ), "", "Side")))</f>
      </c>
      <c r="C77" s="5">
        <f>IF(A77="", "", LET(    checkF, XLOOKUP(A77, RailDefinition!E:E, RailDefinition!J:J),    checkE, XLOOKUP(A77, RailDefinition!E:E, RailDefinition!I:I),    IF(OR(        checkF="Borderless",        checkF="Borderless_R",        AND(checkF="Borderless_O", checkE="L90"),        AND(checkF="Borderless_I", checkE="R90")    ), "", "Side")))</f>
      </c>
      <c r="D77" s="5">
        <f>IF(A77="", "", LET(    valG, XLOOKUP(A77, RailDefinition!E:E, RailDefinition!K:K),    valD, XLOOKUP(A77, RailDefinition!E:E, RailDefinition!H:H),    valE, XLOOKUP(A77,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7">
        <f t="array" ref="E77:E77">XLOOKUP(1,(RailDefinition!$F:$F=$A77)*(RailDefinition!$M:$M=E$1),RailDefinition!$S:$S,"")</f>
      </c>
      <c r="F77">
        <f t="array" ref="F77:F77">XLOOKUP(1,(RailDefinition!$F:$F=$A77)*(RailDefinition!$M:$M=F$1),RailDefinition!$S:$S,"")</f>
      </c>
      <c r="G77">
        <f t="array" ref="G77:G77">XLOOKUP(1,(RailDefinition!$F:$F=$A77)*(RailDefinition!$M:$M=G$1),RailDefinition!$S:$S,"")</f>
      </c>
      <c r="H77">
        <f t="array" ref="H77:H77">XLOOKUP(1,(RailDefinition!$F:$F=$A77)*(RailDefinition!$M:$M=H$1),RailDefinition!$S:$S,"")</f>
      </c>
      <c r="I77">
        <f t="array" ref="I77:I77">XLOOKUP(1,(RailDefinition!$F:$F=$A77)*(RailDefinition!$M:$M=I$1),RailDefinition!$S:$S,"")</f>
      </c>
      <c r="J77">
        <f t="array" ref="J77:J77">XLOOKUP(1,(RailDefinition!$F:$F=$A77)*(RailDefinition!$M:$M=J$1),RailDefinition!$S:$S,"")</f>
      </c>
    </row>
    <row r="78">
      <c r="B78" s="5">
        <f>IF(A78="", "", LET(    checkF, XLOOKUP(A78, RailDefinition!E:E, RailDefinition!J:J),    checkE, XLOOKUP(A78, RailDefinition!E:E, RailDefinition!I:I),    IF(OR(        checkF="Borderless",        checkF="Borderless_L",        AND(checkF="Borderless_I", checkE="L90"),        AND(checkF="Borderless_O", checkE="R90")    ), "", "Side")))</f>
      </c>
      <c r="C78" s="5">
        <f>IF(A78="", "", LET(    checkF, XLOOKUP(A78, RailDefinition!E:E, RailDefinition!J:J),    checkE, XLOOKUP(A78, RailDefinition!E:E, RailDefinition!I:I),    IF(OR(        checkF="Borderless",        checkF="Borderless_R",        AND(checkF="Borderless_O", checkE="L90"),        AND(checkF="Borderless_I", checkE="R90")    ), "", "Side")))</f>
      </c>
      <c r="D78" s="5">
        <f>IF(A78="", "", LET(    valG, XLOOKUP(A78, RailDefinition!E:E, RailDefinition!K:K),    valD, XLOOKUP(A78, RailDefinition!E:E, RailDefinition!H:H),    valE, XLOOKUP(A78,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8">
        <f t="array" ref="E78:E78">XLOOKUP(1,(RailDefinition!$F:$F=$A78)*(RailDefinition!$M:$M=E$1),RailDefinition!$S:$S,"")</f>
      </c>
      <c r="F78">
        <f t="array" ref="F78:F78">XLOOKUP(1,(RailDefinition!$F:$F=$A78)*(RailDefinition!$M:$M=F$1),RailDefinition!$S:$S,"")</f>
      </c>
      <c r="G78">
        <f t="array" ref="G78:G78">XLOOKUP(1,(RailDefinition!$F:$F=$A78)*(RailDefinition!$M:$M=G$1),RailDefinition!$S:$S,"")</f>
      </c>
      <c r="H78">
        <f t="array" ref="H78:H78">XLOOKUP(1,(RailDefinition!$F:$F=$A78)*(RailDefinition!$M:$M=H$1),RailDefinition!$S:$S,"")</f>
      </c>
      <c r="I78">
        <f t="array" ref="I78:I78">XLOOKUP(1,(RailDefinition!$F:$F=$A78)*(RailDefinition!$M:$M=I$1),RailDefinition!$S:$S,"")</f>
      </c>
      <c r="J78">
        <f t="array" ref="J78:J78">XLOOKUP(1,(RailDefinition!$F:$F=$A78)*(RailDefinition!$M:$M=J$1),RailDefinition!$S:$S,"")</f>
      </c>
    </row>
    <row r="79">
      <c r="B79" s="5">
        <f>IF(A79="", "", LET(    checkF, XLOOKUP(A79, RailDefinition!E:E, RailDefinition!J:J),    checkE, XLOOKUP(A79, RailDefinition!E:E, RailDefinition!I:I),    IF(OR(        checkF="Borderless",        checkF="Borderless_L",        AND(checkF="Borderless_I", checkE="L90"),        AND(checkF="Borderless_O", checkE="R90")    ), "", "Side")))</f>
      </c>
      <c r="C79" s="5">
        <f>IF(A79="", "", LET(    checkF, XLOOKUP(A79, RailDefinition!E:E, RailDefinition!J:J),    checkE, XLOOKUP(A79, RailDefinition!E:E, RailDefinition!I:I),    IF(OR(        checkF="Borderless",        checkF="Borderless_R",        AND(checkF="Borderless_O", checkE="L90"),        AND(checkF="Borderless_I", checkE="R90")    ), "", "Side")))</f>
      </c>
      <c r="D79" s="5">
        <f>IF(A79="", "", LET(    valG, XLOOKUP(A79, RailDefinition!E:E, RailDefinition!K:K),    valD, XLOOKUP(A79, RailDefinition!E:E, RailDefinition!H:H),    valE, XLOOKUP(A79,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79">
        <f t="array" ref="E79:E79">XLOOKUP(1,(RailDefinition!$F:$F=$A79)*(RailDefinition!$M:$M=E$1),RailDefinition!$S:$S,"")</f>
      </c>
      <c r="F79">
        <f t="array" ref="F79:F79">XLOOKUP(1,(RailDefinition!$F:$F=$A79)*(RailDefinition!$M:$M=F$1),RailDefinition!$S:$S,"")</f>
      </c>
      <c r="G79">
        <f t="array" ref="G79:G79">XLOOKUP(1,(RailDefinition!$F:$F=$A79)*(RailDefinition!$M:$M=G$1),RailDefinition!$S:$S,"")</f>
      </c>
      <c r="H79">
        <f t="array" ref="H79:H79">XLOOKUP(1,(RailDefinition!$F:$F=$A79)*(RailDefinition!$M:$M=H$1),RailDefinition!$S:$S,"")</f>
      </c>
      <c r="I79">
        <f t="array" ref="I79:I79">XLOOKUP(1,(RailDefinition!$F:$F=$A79)*(RailDefinition!$M:$M=I$1),RailDefinition!$S:$S,"")</f>
      </c>
      <c r="J79">
        <f t="array" ref="J79:J79">XLOOKUP(1,(RailDefinition!$F:$F=$A79)*(RailDefinition!$M:$M=J$1),RailDefinition!$S:$S,"")</f>
      </c>
    </row>
    <row r="80">
      <c r="B80" s="5">
        <f>IF(A80="", "", LET(    checkF, XLOOKUP(A80, RailDefinition!E:E, RailDefinition!J:J),    checkE, XLOOKUP(A80, RailDefinition!E:E, RailDefinition!I:I),    IF(OR(        checkF="Borderless",        checkF="Borderless_L",        AND(checkF="Borderless_I", checkE="L90"),        AND(checkF="Borderless_O", checkE="R90")    ), "", "Side")))</f>
      </c>
      <c r="C80" s="5">
        <f>IF(A80="", "", LET(    checkF, XLOOKUP(A80, RailDefinition!E:E, RailDefinition!J:J),    checkE, XLOOKUP(A80, RailDefinition!E:E, RailDefinition!I:I),    IF(OR(        checkF="Borderless",        checkF="Borderless_R",        AND(checkF="Borderless_O", checkE="L90"),        AND(checkF="Borderless_I", checkE="R90")    ), "", "Side")))</f>
      </c>
      <c r="D80" s="5">
        <f>IF(A80="", "", LET(    valG, XLOOKUP(A80, RailDefinition!E:E, RailDefinition!K:K),    valD, XLOOKUP(A80, RailDefinition!E:E, RailDefinition!H:H),    valE, XLOOKUP(A80,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0">
        <f t="array" ref="E80:E80">XLOOKUP(1,(RailDefinition!$F:$F=$A80)*(RailDefinition!$M:$M=E$1),RailDefinition!$S:$S,"")</f>
      </c>
      <c r="F80">
        <f t="array" ref="F80:F80">XLOOKUP(1,(RailDefinition!$F:$F=$A80)*(RailDefinition!$M:$M=F$1),RailDefinition!$S:$S,"")</f>
      </c>
      <c r="G80">
        <f t="array" ref="G80:G80">XLOOKUP(1,(RailDefinition!$F:$F=$A80)*(RailDefinition!$M:$M=G$1),RailDefinition!$S:$S,"")</f>
      </c>
      <c r="H80">
        <f t="array" ref="H80:H80">XLOOKUP(1,(RailDefinition!$F:$F=$A80)*(RailDefinition!$M:$M=H$1),RailDefinition!$S:$S,"")</f>
      </c>
      <c r="I80">
        <f t="array" ref="I80:I80">XLOOKUP(1,(RailDefinition!$F:$F=$A80)*(RailDefinition!$M:$M=I$1),RailDefinition!$S:$S,"")</f>
      </c>
      <c r="J80">
        <f t="array" ref="J80:J80">XLOOKUP(1,(RailDefinition!$F:$F=$A80)*(RailDefinition!$M:$M=J$1),RailDefinition!$S:$S,"")</f>
      </c>
    </row>
    <row r="81">
      <c r="B81" s="5">
        <f>IF(A81="", "", LET(    checkF, XLOOKUP(A81, RailDefinition!E:E, RailDefinition!J:J),    checkE, XLOOKUP(A81, RailDefinition!E:E, RailDefinition!I:I),    IF(OR(        checkF="Borderless",        checkF="Borderless_L",        AND(checkF="Borderless_I", checkE="L90"),        AND(checkF="Borderless_O", checkE="R90")    ), "", "Side")))</f>
      </c>
      <c r="C81" s="5">
        <f>IF(A81="", "", LET(    checkF, XLOOKUP(A81, RailDefinition!E:E, RailDefinition!J:J),    checkE, XLOOKUP(A81, RailDefinition!E:E, RailDefinition!I:I),    IF(OR(        checkF="Borderless",        checkF="Borderless_R",        AND(checkF="Borderless_O", checkE="L90"),        AND(checkF="Borderless_I", checkE="R90")    ), "", "Side")))</f>
      </c>
      <c r="D81" s="5">
        <f>IF(A81="", "", LET(    valG, XLOOKUP(A81, RailDefinition!E:E, RailDefinition!K:K),    valD, XLOOKUP(A81, RailDefinition!E:E, RailDefinition!H:H),    valE, XLOOKUP(A81,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1">
        <f t="array" ref="E81:E81">XLOOKUP(1,(RailDefinition!$F:$F=$A81)*(RailDefinition!$M:$M=E$1),RailDefinition!$S:$S,"")</f>
      </c>
      <c r="F81">
        <f t="array" ref="F81:F81">XLOOKUP(1,(RailDefinition!$F:$F=$A81)*(RailDefinition!$M:$M=F$1),RailDefinition!$S:$S,"")</f>
      </c>
      <c r="G81">
        <f t="array" ref="G81:G81">XLOOKUP(1,(RailDefinition!$F:$F=$A81)*(RailDefinition!$M:$M=G$1),RailDefinition!$S:$S,"")</f>
      </c>
      <c r="H81">
        <f t="array" ref="H81:H81">XLOOKUP(1,(RailDefinition!$F:$F=$A81)*(RailDefinition!$M:$M=H$1),RailDefinition!$S:$S,"")</f>
      </c>
      <c r="I81">
        <f t="array" ref="I81:I81">XLOOKUP(1,(RailDefinition!$F:$F=$A81)*(RailDefinition!$M:$M=I$1),RailDefinition!$S:$S,"")</f>
      </c>
      <c r="J81">
        <f t="array" ref="J81:J81">XLOOKUP(1,(RailDefinition!$F:$F=$A81)*(RailDefinition!$M:$M=J$1),RailDefinition!$S:$S,"")</f>
      </c>
    </row>
    <row r="82">
      <c r="B82" s="5">
        <f>IF(A82="", "", LET(    checkF, XLOOKUP(A82, RailDefinition!E:E, RailDefinition!J:J),    checkE, XLOOKUP(A82, RailDefinition!E:E, RailDefinition!I:I),    IF(OR(        checkF="Borderless",        checkF="Borderless_L",        AND(checkF="Borderless_I", checkE="L90"),        AND(checkF="Borderless_O", checkE="R90")    ), "", "Side")))</f>
      </c>
      <c r="C82" s="5">
        <f>IF(A82="", "", LET(    checkF, XLOOKUP(A82, RailDefinition!E:E, RailDefinition!J:J),    checkE, XLOOKUP(A82, RailDefinition!E:E, RailDefinition!I:I),    IF(OR(        checkF="Borderless",        checkF="Borderless_R",        AND(checkF="Borderless_O", checkE="L90"),        AND(checkF="Borderless_I", checkE="R90")    ), "", "Side")))</f>
      </c>
      <c r="D82" s="5">
        <f>IF(A82="", "", LET(    valG, XLOOKUP(A82, RailDefinition!E:E, RailDefinition!K:K),    valD, XLOOKUP(A82, RailDefinition!E:E, RailDefinition!H:H),    valE, XLOOKUP(A82,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2">
        <f t="array" ref="E82:E82">XLOOKUP(1,(RailDefinition!$F:$F=$A82)*(RailDefinition!$M:$M=E$1),RailDefinition!$S:$S,"")</f>
      </c>
      <c r="F82">
        <f t="array" ref="F82:F82">XLOOKUP(1,(RailDefinition!$F:$F=$A82)*(RailDefinition!$M:$M=F$1),RailDefinition!$S:$S,"")</f>
      </c>
      <c r="G82">
        <f t="array" ref="G82:G82">XLOOKUP(1,(RailDefinition!$F:$F=$A82)*(RailDefinition!$M:$M=G$1),RailDefinition!$S:$S,"")</f>
      </c>
      <c r="H82">
        <f t="array" ref="H82:H82">XLOOKUP(1,(RailDefinition!$F:$F=$A82)*(RailDefinition!$M:$M=H$1),RailDefinition!$S:$S,"")</f>
      </c>
      <c r="I82">
        <f t="array" ref="I82:I82">XLOOKUP(1,(RailDefinition!$F:$F=$A82)*(RailDefinition!$M:$M=I$1),RailDefinition!$S:$S,"")</f>
      </c>
      <c r="J82">
        <f t="array" ref="J82:J82">XLOOKUP(1,(RailDefinition!$F:$F=$A82)*(RailDefinition!$M:$M=J$1),RailDefinition!$S:$S,"")</f>
      </c>
    </row>
    <row r="83">
      <c r="B83" s="5">
        <f>IF(A83="", "", LET(    checkF, XLOOKUP(A83, RailDefinition!E:E, RailDefinition!J:J),    checkE, XLOOKUP(A83, RailDefinition!E:E, RailDefinition!I:I),    IF(OR(        checkF="Borderless",        checkF="Borderless_L",        AND(checkF="Borderless_I", checkE="L90"),        AND(checkF="Borderless_O", checkE="R90")    ), "", "Side")))</f>
      </c>
      <c r="C83" s="5">
        <f>IF(A83="", "", LET(    checkF, XLOOKUP(A83, RailDefinition!E:E, RailDefinition!J:J),    checkE, XLOOKUP(A83, RailDefinition!E:E, RailDefinition!I:I),    IF(OR(        checkF="Borderless",        checkF="Borderless_R",        AND(checkF="Borderless_O", checkE="L90"),        AND(checkF="Borderless_I", checkE="R90")    ), "", "Side")))</f>
      </c>
      <c r="D83" s="5">
        <f>IF(A83="", "", LET(    valG, XLOOKUP(A83, RailDefinition!E:E, RailDefinition!K:K),    valD, XLOOKUP(A83, RailDefinition!E:E, RailDefinition!H:H),    valE, XLOOKUP(A83,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3">
        <f t="array" ref="E83:E83">XLOOKUP(1,(RailDefinition!$F:$F=$A83)*(RailDefinition!$M:$M=E$1),RailDefinition!$S:$S,"")</f>
      </c>
      <c r="F83">
        <f t="array" ref="F83:F83">XLOOKUP(1,(RailDefinition!$F:$F=$A83)*(RailDefinition!$M:$M=F$1),RailDefinition!$S:$S,"")</f>
      </c>
      <c r="G83">
        <f t="array" ref="G83:G83">XLOOKUP(1,(RailDefinition!$F:$F=$A83)*(RailDefinition!$M:$M=G$1),RailDefinition!$S:$S,"")</f>
      </c>
      <c r="H83">
        <f t="array" ref="H83:H83">XLOOKUP(1,(RailDefinition!$F:$F=$A83)*(RailDefinition!$M:$M=H$1),RailDefinition!$S:$S,"")</f>
      </c>
      <c r="I83">
        <f t="array" ref="I83:I83">XLOOKUP(1,(RailDefinition!$F:$F=$A83)*(RailDefinition!$M:$M=I$1),RailDefinition!$S:$S,"")</f>
      </c>
      <c r="J83">
        <f t="array" ref="J83:J83">XLOOKUP(1,(RailDefinition!$F:$F=$A83)*(RailDefinition!$M:$M=J$1),RailDefinition!$S:$S,"")</f>
      </c>
    </row>
    <row r="84">
      <c r="B84" s="5">
        <f>IF(A84="", "", LET(    checkF, XLOOKUP(A84, RailDefinition!E:E, RailDefinition!J:J),    checkE, XLOOKUP(A84, RailDefinition!E:E, RailDefinition!I:I),    IF(OR(        checkF="Borderless",        checkF="Borderless_L",        AND(checkF="Borderless_I", checkE="L90"),        AND(checkF="Borderless_O", checkE="R90")    ), "", "Side")))</f>
      </c>
      <c r="C84" s="5">
        <f>IF(A84="", "", LET(    checkF, XLOOKUP(A84, RailDefinition!E:E, RailDefinition!J:J),    checkE, XLOOKUP(A84, RailDefinition!E:E, RailDefinition!I:I),    IF(OR(        checkF="Borderless",        checkF="Borderless_R",        AND(checkF="Borderless_O", checkE="L90"),        AND(checkF="Borderless_I", checkE="R90")    ), "", "Side")))</f>
      </c>
      <c r="D84" s="5">
        <f>IF(A84="", "", LET(    valG, XLOOKUP(A84, RailDefinition!E:E, RailDefinition!K:K),    valD, XLOOKUP(A84, RailDefinition!E:E, RailDefinition!H:H),    valE, XLOOKUP(A84,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4">
        <f t="array" ref="E84:E84">XLOOKUP(1,(RailDefinition!$F:$F=$A84)*(RailDefinition!$M:$M=E$1),RailDefinition!$S:$S,"")</f>
      </c>
      <c r="F84">
        <f t="array" ref="F84:F84">XLOOKUP(1,(RailDefinition!$F:$F=$A84)*(RailDefinition!$M:$M=F$1),RailDefinition!$S:$S,"")</f>
      </c>
      <c r="G84">
        <f t="array" ref="G84:G84">XLOOKUP(1,(RailDefinition!$F:$F=$A84)*(RailDefinition!$M:$M=G$1),RailDefinition!$S:$S,"")</f>
      </c>
      <c r="H84">
        <f t="array" ref="H84:H84">XLOOKUP(1,(RailDefinition!$F:$F=$A84)*(RailDefinition!$M:$M=H$1),RailDefinition!$S:$S,"")</f>
      </c>
      <c r="I84">
        <f t="array" ref="I84:I84">XLOOKUP(1,(RailDefinition!$F:$F=$A84)*(RailDefinition!$M:$M=I$1),RailDefinition!$S:$S,"")</f>
      </c>
      <c r="J84">
        <f t="array" ref="J84:J84">XLOOKUP(1,(RailDefinition!$F:$F=$A84)*(RailDefinition!$M:$M=J$1),RailDefinition!$S:$S,"")</f>
      </c>
    </row>
    <row r="85">
      <c r="B85" s="5">
        <f>IF(A85="", "", LET(    checkF, XLOOKUP(A85, RailDefinition!E:E, RailDefinition!J:J),    checkE, XLOOKUP(A85, RailDefinition!E:E, RailDefinition!I:I),    IF(OR(        checkF="Borderless",        checkF="Borderless_L",        AND(checkF="Borderless_I", checkE="L90"),        AND(checkF="Borderless_O", checkE="R90")    ), "", "Side")))</f>
      </c>
      <c r="C85" s="5">
        <f>IF(A85="", "", LET(    checkF, XLOOKUP(A85, RailDefinition!E:E, RailDefinition!J:J),    checkE, XLOOKUP(A85, RailDefinition!E:E, RailDefinition!I:I),    IF(OR(        checkF="Borderless",        checkF="Borderless_R",        AND(checkF="Borderless_O", checkE="L90"),        AND(checkF="Borderless_I", checkE="R90")    ), "", "Side")))</f>
      </c>
      <c r="D85" s="5">
        <f>IF(A85="", "", LET(    valG, XLOOKUP(A85, RailDefinition!E:E, RailDefinition!K:K),    valD, XLOOKUP(A85, RailDefinition!E:E, RailDefinition!H:H),    valE, XLOOKUP(A85,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5">
        <f t="array" ref="E85:E85">XLOOKUP(1,(RailDefinition!$F:$F=$A85)*(RailDefinition!$M:$M=E$1),RailDefinition!$S:$S,"")</f>
      </c>
      <c r="F85">
        <f t="array" ref="F85:F85">XLOOKUP(1,(RailDefinition!$F:$F=$A85)*(RailDefinition!$M:$M=F$1),RailDefinition!$S:$S,"")</f>
      </c>
      <c r="G85">
        <f t="array" ref="G85:G85">XLOOKUP(1,(RailDefinition!$F:$F=$A85)*(RailDefinition!$M:$M=G$1),RailDefinition!$S:$S,"")</f>
      </c>
      <c r="H85">
        <f t="array" ref="H85:H85">XLOOKUP(1,(RailDefinition!$F:$F=$A85)*(RailDefinition!$M:$M=H$1),RailDefinition!$S:$S,"")</f>
      </c>
      <c r="I85">
        <f t="array" ref="I85:I85">XLOOKUP(1,(RailDefinition!$F:$F=$A85)*(RailDefinition!$M:$M=I$1),RailDefinition!$S:$S,"")</f>
      </c>
      <c r="J85">
        <f t="array" ref="J85:J85">XLOOKUP(1,(RailDefinition!$F:$F=$A85)*(RailDefinition!$M:$M=J$1),RailDefinition!$S:$S,"")</f>
      </c>
    </row>
    <row r="86">
      <c r="B86" s="5">
        <f>IF(A86="", "", LET(    checkF, XLOOKUP(A86, RailDefinition!E:E, RailDefinition!J:J),    checkE, XLOOKUP(A86, RailDefinition!E:E, RailDefinition!I:I),    IF(OR(        checkF="Borderless",        checkF="Borderless_L",        AND(checkF="Borderless_I", checkE="L90"),        AND(checkF="Borderless_O", checkE="R90")    ), "", "Side")))</f>
      </c>
      <c r="C86" s="5">
        <f>IF(A86="", "", LET(    checkF, XLOOKUP(A86, RailDefinition!E:E, RailDefinition!J:J),    checkE, XLOOKUP(A86, RailDefinition!E:E, RailDefinition!I:I),    IF(OR(        checkF="Borderless",        checkF="Borderless_R",        AND(checkF="Borderless_O", checkE="L90"),        AND(checkF="Borderless_I", checkE="R90")    ), "", "Side")))</f>
      </c>
      <c r="D86" s="5">
        <f>IF(A86="", "", LET(    valG, XLOOKUP(A86, RailDefinition!E:E, RailDefinition!K:K),    valD, XLOOKUP(A86, RailDefinition!E:E, RailDefinition!H:H),    valE, XLOOKUP(A86,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6">
        <f t="array" ref="E86:E86">XLOOKUP(1,(RailDefinition!$F:$F=$A86)*(RailDefinition!$M:$M=E$1),RailDefinition!$S:$S,"")</f>
      </c>
      <c r="F86">
        <f t="array" ref="F86:F86">XLOOKUP(1,(RailDefinition!$F:$F=$A86)*(RailDefinition!$M:$M=F$1),RailDefinition!$S:$S,"")</f>
      </c>
      <c r="G86">
        <f t="array" ref="G86:G86">XLOOKUP(1,(RailDefinition!$F:$F=$A86)*(RailDefinition!$M:$M=G$1),RailDefinition!$S:$S,"")</f>
      </c>
      <c r="H86">
        <f t="array" ref="H86:H86">XLOOKUP(1,(RailDefinition!$F:$F=$A86)*(RailDefinition!$M:$M=H$1),RailDefinition!$S:$S,"")</f>
      </c>
      <c r="I86">
        <f t="array" ref="I86:I86">XLOOKUP(1,(RailDefinition!$F:$F=$A86)*(RailDefinition!$M:$M=I$1),RailDefinition!$S:$S,"")</f>
      </c>
      <c r="J86">
        <f t="array" ref="J86:J86">XLOOKUP(1,(RailDefinition!$F:$F=$A86)*(RailDefinition!$M:$M=J$1),RailDefinition!$S:$S,"")</f>
      </c>
    </row>
    <row r="87">
      <c r="B87" s="5">
        <f>IF(A87="", "", LET(    checkF, XLOOKUP(A87, RailDefinition!E:E, RailDefinition!J:J),    checkE, XLOOKUP(A87, RailDefinition!E:E, RailDefinition!I:I),    IF(OR(        checkF="Borderless",        checkF="Borderless_L",        AND(checkF="Borderless_I", checkE="L90"),        AND(checkF="Borderless_O", checkE="R90")    ), "", "Side")))</f>
      </c>
      <c r="C87" s="5">
        <f>IF(A87="", "", LET(    checkF, XLOOKUP(A87, RailDefinition!E:E, RailDefinition!J:J),    checkE, XLOOKUP(A87, RailDefinition!E:E, RailDefinition!I:I),    IF(OR(        checkF="Borderless",        checkF="Borderless_R",        AND(checkF="Borderless_O", checkE="L90"),        AND(checkF="Borderless_I", checkE="R90")    ), "", "Side")))</f>
      </c>
      <c r="D87" s="5">
        <f>IF(A87="", "", LET(    valG, XLOOKUP(A87, RailDefinition!E:E, RailDefinition!K:K),    valD, XLOOKUP(A87, RailDefinition!E:E, RailDefinition!H:H),    valE, XLOOKUP(A87,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7">
        <f t="array" ref="E87:E87">XLOOKUP(1,(RailDefinition!$F:$F=$A87)*(RailDefinition!$M:$M=E$1),RailDefinition!$S:$S,"")</f>
      </c>
      <c r="F87">
        <f t="array" ref="F87:F87">XLOOKUP(1,(RailDefinition!$F:$F=$A87)*(RailDefinition!$M:$M=F$1),RailDefinition!$S:$S,"")</f>
      </c>
      <c r="G87">
        <f t="array" ref="G87:G87">XLOOKUP(1,(RailDefinition!$F:$F=$A87)*(RailDefinition!$M:$M=G$1),RailDefinition!$S:$S,"")</f>
      </c>
      <c r="H87">
        <f t="array" ref="H87:H87">XLOOKUP(1,(RailDefinition!$F:$F=$A87)*(RailDefinition!$M:$M=H$1),RailDefinition!$S:$S,"")</f>
      </c>
      <c r="I87">
        <f t="array" ref="I87:I87">XLOOKUP(1,(RailDefinition!$F:$F=$A87)*(RailDefinition!$M:$M=I$1),RailDefinition!$S:$S,"")</f>
      </c>
      <c r="J87">
        <f t="array" ref="J87:J87">XLOOKUP(1,(RailDefinition!$F:$F=$A87)*(RailDefinition!$M:$M=J$1),RailDefinition!$S:$S,"")</f>
      </c>
    </row>
    <row r="88">
      <c r="B88" s="5">
        <f>IF(A88="", "", LET(    checkF, XLOOKUP(A88, RailDefinition!E:E, RailDefinition!J:J),    checkE, XLOOKUP(A88, RailDefinition!E:E, RailDefinition!I:I),    IF(OR(        checkF="Borderless",        checkF="Borderless_L",        AND(checkF="Borderless_I", checkE="L90"),        AND(checkF="Borderless_O", checkE="R90")    ), "", "Side")))</f>
      </c>
      <c r="C88" s="5">
        <f>IF(A88="", "", LET(    checkF, XLOOKUP(A88, RailDefinition!E:E, RailDefinition!J:J),    checkE, XLOOKUP(A88, RailDefinition!E:E, RailDefinition!I:I),    IF(OR(        checkF="Borderless",        checkF="Borderless_R",        AND(checkF="Borderless_O", checkE="L90"),        AND(checkF="Borderless_I", checkE="R90")    ), "", "Side")))</f>
      </c>
      <c r="D88" s="5">
        <f>IF(A88="", "", LET(    valG, XLOOKUP(A88, RailDefinition!E:E, RailDefinition!K:K),    valD, XLOOKUP(A88, RailDefinition!E:E, RailDefinition!H:H),    valE, XLOOKUP(A88,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8">
        <f t="array" ref="E88:E88">XLOOKUP(1,(RailDefinition!$F:$F=$A88)*(RailDefinition!$M:$M=E$1),RailDefinition!$S:$S,"")</f>
      </c>
      <c r="F88">
        <f t="array" ref="F88:F88">XLOOKUP(1,(RailDefinition!$F:$F=$A88)*(RailDefinition!$M:$M=F$1),RailDefinition!$S:$S,"")</f>
      </c>
      <c r="G88">
        <f t="array" ref="G88:G88">XLOOKUP(1,(RailDefinition!$F:$F=$A88)*(RailDefinition!$M:$M=G$1),RailDefinition!$S:$S,"")</f>
      </c>
      <c r="H88">
        <f t="array" ref="H88:H88">XLOOKUP(1,(RailDefinition!$F:$F=$A88)*(RailDefinition!$M:$M=H$1),RailDefinition!$S:$S,"")</f>
      </c>
      <c r="I88">
        <f t="array" ref="I88:I88">XLOOKUP(1,(RailDefinition!$F:$F=$A88)*(RailDefinition!$M:$M=I$1),RailDefinition!$S:$S,"")</f>
      </c>
      <c r="J88">
        <f t="array" ref="J88:J88">XLOOKUP(1,(RailDefinition!$F:$F=$A88)*(RailDefinition!$M:$M=J$1),RailDefinition!$S:$S,"")</f>
      </c>
    </row>
    <row r="89">
      <c r="B89" s="5">
        <f>IF(A89="", "", LET(    checkF, XLOOKUP(A89, RailDefinition!E:E, RailDefinition!J:J),    checkE, XLOOKUP(A89, RailDefinition!E:E, RailDefinition!I:I),    IF(OR(        checkF="Borderless",        checkF="Borderless_L",        AND(checkF="Borderless_I", checkE="L90"),        AND(checkF="Borderless_O", checkE="R90")    ), "", "Side")))</f>
      </c>
      <c r="C89" s="5">
        <f>IF(A89="", "", LET(    checkF, XLOOKUP(A89, RailDefinition!E:E, RailDefinition!J:J),    checkE, XLOOKUP(A89, RailDefinition!E:E, RailDefinition!I:I),    IF(OR(        checkF="Borderless",        checkF="Borderless_R",        AND(checkF="Borderless_O", checkE="L90"),        AND(checkF="Borderless_I", checkE="R90")    ), "", "Side")))</f>
      </c>
      <c r="D89" s="5">
        <f>IF(A89="", "", LET(    valG, XLOOKUP(A89, RailDefinition!E:E, RailDefinition!K:K),    valD, XLOOKUP(A89, RailDefinition!E:E, RailDefinition!H:H),    valE, XLOOKUP(A89,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89">
        <f t="array" ref="E89:E89">XLOOKUP(1,(RailDefinition!$F:$F=$A89)*(RailDefinition!$M:$M=E$1),RailDefinition!$S:$S,"")</f>
      </c>
      <c r="F89">
        <f t="array" ref="F89:F89">XLOOKUP(1,(RailDefinition!$F:$F=$A89)*(RailDefinition!$M:$M=F$1),RailDefinition!$S:$S,"")</f>
      </c>
      <c r="G89">
        <f t="array" ref="G89:G89">XLOOKUP(1,(RailDefinition!$F:$F=$A89)*(RailDefinition!$M:$M=G$1),RailDefinition!$S:$S,"")</f>
      </c>
      <c r="H89">
        <f t="array" ref="H89:H89">XLOOKUP(1,(RailDefinition!$F:$F=$A89)*(RailDefinition!$M:$M=H$1),RailDefinition!$S:$S,"")</f>
      </c>
      <c r="I89">
        <f t="array" ref="I89:I89">XLOOKUP(1,(RailDefinition!$F:$F=$A89)*(RailDefinition!$M:$M=I$1),RailDefinition!$S:$S,"")</f>
      </c>
      <c r="J89">
        <f t="array" ref="J89:J89">XLOOKUP(1,(RailDefinition!$F:$F=$A89)*(RailDefinition!$M:$M=J$1),RailDefinition!$S:$S,"")</f>
      </c>
    </row>
    <row r="90">
      <c r="B90" s="5">
        <f>IF(A90="", "", LET(    checkF, XLOOKUP(A90, RailDefinition!E:E, RailDefinition!J:J),    checkE, XLOOKUP(A90, RailDefinition!E:E, RailDefinition!I:I),    IF(OR(        checkF="Borderless",        checkF="Borderless_L",        AND(checkF="Borderless_I", checkE="L90"),        AND(checkF="Borderless_O", checkE="R90")    ), "", "Side")))</f>
      </c>
      <c r="C90" s="5">
        <f>IF(A90="", "", LET(    checkF, XLOOKUP(A90, RailDefinition!E:E, RailDefinition!J:J),    checkE, XLOOKUP(A90, RailDefinition!E:E, RailDefinition!I:I),    IF(OR(        checkF="Borderless",        checkF="Borderless_R",        AND(checkF="Borderless_O", checkE="L90"),        AND(checkF="Borderless_I", checkE="R90")    ), "", "Side")))</f>
      </c>
      <c r="D90" s="5">
        <f>IF(A90="", "", LET(    valG, XLOOKUP(A90, RailDefinition!E:E, RailDefinition!K:K),    valD, XLOOKUP(A90, RailDefinition!E:E, RailDefinition!H:H),    valE, XLOOKUP(A90,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0">
        <f t="array" ref="E90:E90">XLOOKUP(1,(RailDefinition!$F:$F=$A90)*(RailDefinition!$M:$M=E$1),RailDefinition!$S:$S,"")</f>
      </c>
      <c r="F90">
        <f t="array" ref="F90:F90">XLOOKUP(1,(RailDefinition!$F:$F=$A90)*(RailDefinition!$M:$M=F$1),RailDefinition!$S:$S,"")</f>
      </c>
      <c r="G90">
        <f t="array" ref="G90:G90">XLOOKUP(1,(RailDefinition!$F:$F=$A90)*(RailDefinition!$M:$M=G$1),RailDefinition!$S:$S,"")</f>
      </c>
      <c r="H90">
        <f t="array" ref="H90:H90">XLOOKUP(1,(RailDefinition!$F:$F=$A90)*(RailDefinition!$M:$M=H$1),RailDefinition!$S:$S,"")</f>
      </c>
      <c r="I90">
        <f t="array" ref="I90:I90">XLOOKUP(1,(RailDefinition!$F:$F=$A90)*(RailDefinition!$M:$M=I$1),RailDefinition!$S:$S,"")</f>
      </c>
      <c r="J90">
        <f t="array" ref="J90:J90">XLOOKUP(1,(RailDefinition!$F:$F=$A90)*(RailDefinition!$M:$M=J$1),RailDefinition!$S:$S,"")</f>
      </c>
    </row>
    <row r="91">
      <c r="B91" s="5">
        <f>IF(A91="", "", LET(    checkF, XLOOKUP(A91, RailDefinition!E:E, RailDefinition!J:J),    checkE, XLOOKUP(A91, RailDefinition!E:E, RailDefinition!I:I),    IF(OR(        checkF="Borderless",        checkF="Borderless_L",        AND(checkF="Borderless_I", checkE="L90"),        AND(checkF="Borderless_O", checkE="R90")    ), "", "Side")))</f>
      </c>
      <c r="C91" s="5">
        <f>IF(A91="", "", LET(    checkF, XLOOKUP(A91, RailDefinition!E:E, RailDefinition!J:J),    checkE, XLOOKUP(A91, RailDefinition!E:E, RailDefinition!I:I),    IF(OR(        checkF="Borderless",        checkF="Borderless_R",        AND(checkF="Borderless_O", checkE="L90"),        AND(checkF="Borderless_I", checkE="R90")    ), "", "Side")))</f>
      </c>
      <c r="D91" s="5">
        <f>IF(A91="", "", LET(    valG, XLOOKUP(A91, RailDefinition!E:E, RailDefinition!K:K),    valD, XLOOKUP(A91, RailDefinition!E:E, RailDefinition!H:H),    valE, XLOOKUP(A91,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1">
        <f t="array" ref="E91:E91">XLOOKUP(1,(RailDefinition!$F:$F=$A91)*(RailDefinition!$M:$M=E$1),RailDefinition!$S:$S,"")</f>
      </c>
      <c r="F91">
        <f t="array" ref="F91:F91">XLOOKUP(1,(RailDefinition!$F:$F=$A91)*(RailDefinition!$M:$M=F$1),RailDefinition!$S:$S,"")</f>
      </c>
      <c r="G91">
        <f t="array" ref="G91:G91">XLOOKUP(1,(RailDefinition!$F:$F=$A91)*(RailDefinition!$M:$M=G$1),RailDefinition!$S:$S,"")</f>
      </c>
      <c r="H91">
        <f t="array" ref="H91:H91">XLOOKUP(1,(RailDefinition!$F:$F=$A91)*(RailDefinition!$M:$M=H$1),RailDefinition!$S:$S,"")</f>
      </c>
      <c r="I91">
        <f t="array" ref="I91:I91">XLOOKUP(1,(RailDefinition!$F:$F=$A91)*(RailDefinition!$M:$M=I$1),RailDefinition!$S:$S,"")</f>
      </c>
      <c r="J91">
        <f t="array" ref="J91:J91">XLOOKUP(1,(RailDefinition!$F:$F=$A91)*(RailDefinition!$M:$M=J$1),RailDefinition!$S:$S,"")</f>
      </c>
    </row>
    <row r="92">
      <c r="B92" s="5">
        <f>IF(A92="", "", LET(    checkF, XLOOKUP(A92, RailDefinition!E:E, RailDefinition!J:J),    checkE, XLOOKUP(A92, RailDefinition!E:E, RailDefinition!I:I),    IF(OR(        checkF="Borderless",        checkF="Borderless_L",        AND(checkF="Borderless_I", checkE="L90"),        AND(checkF="Borderless_O", checkE="R90")    ), "", "Side")))</f>
      </c>
      <c r="C92" s="5">
        <f>IF(A92="", "", LET(    checkF, XLOOKUP(A92, RailDefinition!E:E, RailDefinition!J:J),    checkE, XLOOKUP(A92, RailDefinition!E:E, RailDefinition!I:I),    IF(OR(        checkF="Borderless",        checkF="Borderless_R",        AND(checkF="Borderless_O", checkE="L90"),        AND(checkF="Borderless_I", checkE="R90")    ), "", "Side")))</f>
      </c>
      <c r="D92" s="5">
        <f>IF(A92="", "", LET(    valG, XLOOKUP(A92, RailDefinition!E:E, RailDefinition!K:K),    valD, XLOOKUP(A92, RailDefinition!E:E, RailDefinition!H:H),    valE, XLOOKUP(A92,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2">
        <f t="array" ref="E92:E92">XLOOKUP(1,(RailDefinition!$F:$F=$A92)*(RailDefinition!$M:$M=E$1),RailDefinition!$S:$S,"")</f>
      </c>
      <c r="F92">
        <f t="array" ref="F92:F92">XLOOKUP(1,(RailDefinition!$F:$F=$A92)*(RailDefinition!$M:$M=F$1),RailDefinition!$S:$S,"")</f>
      </c>
      <c r="G92">
        <f t="array" ref="G92:G92">XLOOKUP(1,(RailDefinition!$F:$F=$A92)*(RailDefinition!$M:$M=G$1),RailDefinition!$S:$S,"")</f>
      </c>
      <c r="H92">
        <f t="array" ref="H92:H92">XLOOKUP(1,(RailDefinition!$F:$F=$A92)*(RailDefinition!$M:$M=H$1),RailDefinition!$S:$S,"")</f>
      </c>
      <c r="I92">
        <f t="array" ref="I92:I92">XLOOKUP(1,(RailDefinition!$F:$F=$A92)*(RailDefinition!$M:$M=I$1),RailDefinition!$S:$S,"")</f>
      </c>
      <c r="J92">
        <f t="array" ref="J92:J92">XLOOKUP(1,(RailDefinition!$F:$F=$A92)*(RailDefinition!$M:$M=J$1),RailDefinition!$S:$S,"")</f>
      </c>
    </row>
    <row r="93">
      <c r="B93" s="5">
        <f>IF(A93="", "", LET(    checkF, XLOOKUP(A93, RailDefinition!E:E, RailDefinition!J:J),    checkE, XLOOKUP(A93, RailDefinition!E:E, RailDefinition!I:I),    IF(OR(        checkF="Borderless",        checkF="Borderless_L",        AND(checkF="Borderless_I", checkE="L90"),        AND(checkF="Borderless_O", checkE="R90")    ), "", "Side")))</f>
      </c>
      <c r="C93" s="5">
        <f>IF(A93="", "", LET(    checkF, XLOOKUP(A93, RailDefinition!E:E, RailDefinition!J:J),    checkE, XLOOKUP(A93, RailDefinition!E:E, RailDefinition!I:I),    IF(OR(        checkF="Borderless",        checkF="Borderless_R",        AND(checkF="Borderless_O", checkE="L90"),        AND(checkF="Borderless_I", checkE="R90")    ), "", "Side")))</f>
      </c>
      <c r="D93" s="5">
        <f>IF(A93="", "", LET(    valG, XLOOKUP(A93, RailDefinition!E:E, RailDefinition!K:K),    valD, XLOOKUP(A93, RailDefinition!E:E, RailDefinition!H:H),    valE, XLOOKUP(A93,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3">
        <f t="array" ref="E93:E93">XLOOKUP(1,(RailDefinition!$F:$F=$A93)*(RailDefinition!$M:$M=E$1),RailDefinition!$S:$S,"")</f>
      </c>
      <c r="F93">
        <f t="array" ref="F93:F93">XLOOKUP(1,(RailDefinition!$F:$F=$A93)*(RailDefinition!$M:$M=F$1),RailDefinition!$S:$S,"")</f>
      </c>
      <c r="G93">
        <f t="array" ref="G93:G93">XLOOKUP(1,(RailDefinition!$F:$F=$A93)*(RailDefinition!$M:$M=G$1),RailDefinition!$S:$S,"")</f>
      </c>
      <c r="H93">
        <f t="array" ref="H93:H93">XLOOKUP(1,(RailDefinition!$F:$F=$A93)*(RailDefinition!$M:$M=H$1),RailDefinition!$S:$S,"")</f>
      </c>
      <c r="I93">
        <f t="array" ref="I93:I93">XLOOKUP(1,(RailDefinition!$F:$F=$A93)*(RailDefinition!$M:$M=I$1),RailDefinition!$S:$S,"")</f>
      </c>
      <c r="J93">
        <f t="array" ref="J93:J93">XLOOKUP(1,(RailDefinition!$F:$F=$A93)*(RailDefinition!$M:$M=J$1),RailDefinition!$S:$S,"")</f>
      </c>
    </row>
    <row r="94">
      <c r="B94" s="5">
        <f>IF(A94="", "", LET(    checkF, XLOOKUP(A94, RailDefinition!E:E, RailDefinition!J:J),    checkE, XLOOKUP(A94, RailDefinition!E:E, RailDefinition!I:I),    IF(OR(        checkF="Borderless",        checkF="Borderless_L",        AND(checkF="Borderless_I", checkE="L90"),        AND(checkF="Borderless_O", checkE="R90")    ), "", "Side")))</f>
      </c>
      <c r="C94" s="5">
        <f>IF(A94="", "", LET(    checkF, XLOOKUP(A94, RailDefinition!E:E, RailDefinition!J:J),    checkE, XLOOKUP(A94, RailDefinition!E:E, RailDefinition!I:I),    IF(OR(        checkF="Borderless",        checkF="Borderless_R",        AND(checkF="Borderless_O", checkE="L90"),        AND(checkF="Borderless_I", checkE="R90")    ), "", "Side")))</f>
      </c>
      <c r="D94" s="5">
        <f>IF(A94="", "", LET(    valG, XLOOKUP(A94, RailDefinition!E:E, RailDefinition!K:K),    valD, XLOOKUP(A94, RailDefinition!E:E, RailDefinition!H:H),    valE, XLOOKUP(A94,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4">
        <f t="array" ref="E94:E94">XLOOKUP(1,(RailDefinition!$F:$F=$A94)*(RailDefinition!$M:$M=E$1),RailDefinition!$S:$S,"")</f>
      </c>
      <c r="F94">
        <f t="array" ref="F94:F94">XLOOKUP(1,(RailDefinition!$F:$F=$A94)*(RailDefinition!$M:$M=F$1),RailDefinition!$S:$S,"")</f>
      </c>
      <c r="G94">
        <f t="array" ref="G94:G94">XLOOKUP(1,(RailDefinition!$F:$F=$A94)*(RailDefinition!$M:$M=G$1),RailDefinition!$S:$S,"")</f>
      </c>
      <c r="H94">
        <f t="array" ref="H94:H94">XLOOKUP(1,(RailDefinition!$F:$F=$A94)*(RailDefinition!$M:$M=H$1),RailDefinition!$S:$S,"")</f>
      </c>
      <c r="I94">
        <f t="array" ref="I94:I94">XLOOKUP(1,(RailDefinition!$F:$F=$A94)*(RailDefinition!$M:$M=I$1),RailDefinition!$S:$S,"")</f>
      </c>
      <c r="J94">
        <f t="array" ref="J94:J94">XLOOKUP(1,(RailDefinition!$F:$F=$A94)*(RailDefinition!$M:$M=J$1),RailDefinition!$S:$S,"")</f>
      </c>
    </row>
    <row r="95">
      <c r="B95" s="5">
        <f>IF(A95="", "", LET(    checkF, XLOOKUP(A95, RailDefinition!E:E, RailDefinition!J:J),    checkE, XLOOKUP(A95, RailDefinition!E:E, RailDefinition!I:I),    IF(OR(        checkF="Borderless",        checkF="Borderless_L",        AND(checkF="Borderless_I", checkE="L90"),        AND(checkF="Borderless_O", checkE="R90")    ), "", "Side")))</f>
      </c>
      <c r="C95" s="5">
        <f>IF(A95="", "", LET(    checkF, XLOOKUP(A95, RailDefinition!E:E, RailDefinition!J:J),    checkE, XLOOKUP(A95, RailDefinition!E:E, RailDefinition!I:I),    IF(OR(        checkF="Borderless",        checkF="Borderless_R",        AND(checkF="Borderless_O", checkE="L90"),        AND(checkF="Borderless_I", checkE="R90")    ), "", "Side")))</f>
      </c>
      <c r="D95" s="5">
        <f>IF(A95="", "", LET(    valG, XLOOKUP(A95, RailDefinition!E:E, RailDefinition!K:K),    valD, XLOOKUP(A95, RailDefinition!E:E, RailDefinition!H:H),    valE, XLOOKUP(A95,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5">
        <f t="array" ref="E95:E95">XLOOKUP(1,(RailDefinition!$F:$F=$A95)*(RailDefinition!$M:$M=E$1),RailDefinition!$S:$S,"")</f>
      </c>
      <c r="F95">
        <f t="array" ref="F95:F95">XLOOKUP(1,(RailDefinition!$F:$F=$A95)*(RailDefinition!$M:$M=F$1),RailDefinition!$S:$S,"")</f>
      </c>
      <c r="G95">
        <f t="array" ref="G95:G95">XLOOKUP(1,(RailDefinition!$F:$F=$A95)*(RailDefinition!$M:$M=G$1),RailDefinition!$S:$S,"")</f>
      </c>
      <c r="H95">
        <f t="array" ref="H95:H95">XLOOKUP(1,(RailDefinition!$F:$F=$A95)*(RailDefinition!$M:$M=H$1),RailDefinition!$S:$S,"")</f>
      </c>
      <c r="I95">
        <f t="array" ref="I95:I95">XLOOKUP(1,(RailDefinition!$F:$F=$A95)*(RailDefinition!$M:$M=I$1),RailDefinition!$S:$S,"")</f>
      </c>
      <c r="J95">
        <f t="array" ref="J95:J95">XLOOKUP(1,(RailDefinition!$F:$F=$A95)*(RailDefinition!$M:$M=J$1),RailDefinition!$S:$S,"")</f>
      </c>
    </row>
    <row r="96">
      <c r="B96" s="5">
        <f>IF(A96="", "", LET(    checkF, XLOOKUP(A96, RailDefinition!E:E, RailDefinition!J:J),    checkE, XLOOKUP(A96, RailDefinition!E:E, RailDefinition!I:I),    IF(OR(        checkF="Borderless",        checkF="Borderless_L",        AND(checkF="Borderless_I", checkE="L90"),        AND(checkF="Borderless_O", checkE="R90")    ), "", "Side")))</f>
      </c>
      <c r="C96" s="5">
        <f>IF(A96="", "", LET(    checkF, XLOOKUP(A96, RailDefinition!E:E, RailDefinition!J:J),    checkE, XLOOKUP(A96, RailDefinition!E:E, RailDefinition!I:I),    IF(OR(        checkF="Borderless",        checkF="Borderless_R",        AND(checkF="Borderless_O", checkE="L90"),        AND(checkF="Borderless_I", checkE="R90")    ), "", "Side")))</f>
      </c>
      <c r="D96" s="5">
        <f>IF(A96="", "", LET(    valG, XLOOKUP(A96, RailDefinition!E:E, RailDefinition!K:K),    valD, XLOOKUP(A96, RailDefinition!E:E, RailDefinition!H:H),    valE, XLOOKUP(A96,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6">
        <f t="array" ref="E96:E96">XLOOKUP(1,(RailDefinition!$F:$F=$A96)*(RailDefinition!$M:$M=E$1),RailDefinition!$S:$S,"")</f>
      </c>
      <c r="F96">
        <f t="array" ref="F96:F96">XLOOKUP(1,(RailDefinition!$F:$F=$A96)*(RailDefinition!$M:$M=F$1),RailDefinition!$S:$S,"")</f>
      </c>
      <c r="G96">
        <f t="array" ref="G96:G96">XLOOKUP(1,(RailDefinition!$F:$F=$A96)*(RailDefinition!$M:$M=G$1),RailDefinition!$S:$S,"")</f>
      </c>
      <c r="H96">
        <f t="array" ref="H96:H96">XLOOKUP(1,(RailDefinition!$F:$F=$A96)*(RailDefinition!$M:$M=H$1),RailDefinition!$S:$S,"")</f>
      </c>
      <c r="I96">
        <f t="array" ref="I96:I96">XLOOKUP(1,(RailDefinition!$F:$F=$A96)*(RailDefinition!$M:$M=I$1),RailDefinition!$S:$S,"")</f>
      </c>
      <c r="J96">
        <f t="array" ref="J96:J96">XLOOKUP(1,(RailDefinition!$F:$F=$A96)*(RailDefinition!$M:$M=J$1),RailDefinition!$S:$S,"")</f>
      </c>
    </row>
    <row r="97">
      <c r="B97" s="5">
        <f>IF(A97="", "", LET(    checkF, XLOOKUP(A97, RailDefinition!E:E, RailDefinition!J:J),    checkE, XLOOKUP(A97, RailDefinition!E:E, RailDefinition!I:I),    IF(OR(        checkF="Borderless",        checkF="Borderless_L",        AND(checkF="Borderless_I", checkE="L90"),        AND(checkF="Borderless_O", checkE="R90")    ), "", "Side")))</f>
      </c>
      <c r="C97" s="5">
        <f>IF(A97="", "", LET(    checkF, XLOOKUP(A97, RailDefinition!E:E, RailDefinition!J:J),    checkE, XLOOKUP(A97, RailDefinition!E:E, RailDefinition!I:I),    IF(OR(        checkF="Borderless",        checkF="Borderless_R",        AND(checkF="Borderless_O", checkE="L90"),        AND(checkF="Borderless_I", checkE="R90")    ), "", "Side")))</f>
      </c>
      <c r="D97" s="5">
        <f>IF(A97="", "", LET(    valG, XLOOKUP(A97, RailDefinition!E:E, RailDefinition!K:K),    valD, XLOOKUP(A97, RailDefinition!E:E, RailDefinition!H:H),    valE, XLOOKUP(A97,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7">
        <f t="array" ref="E97:E97">XLOOKUP(1,(RailDefinition!$F:$F=$A97)*(RailDefinition!$M:$M=E$1),RailDefinition!$S:$S,"")</f>
      </c>
      <c r="F97">
        <f t="array" ref="F97:F97">XLOOKUP(1,(RailDefinition!$F:$F=$A97)*(RailDefinition!$M:$M=F$1),RailDefinition!$S:$S,"")</f>
      </c>
      <c r="G97">
        <f t="array" ref="G97:G97">XLOOKUP(1,(RailDefinition!$F:$F=$A97)*(RailDefinition!$M:$M=G$1),RailDefinition!$S:$S,"")</f>
      </c>
      <c r="H97">
        <f t="array" ref="H97:H97">XLOOKUP(1,(RailDefinition!$F:$F=$A97)*(RailDefinition!$M:$M=H$1),RailDefinition!$S:$S,"")</f>
      </c>
      <c r="I97">
        <f t="array" ref="I97:I97">XLOOKUP(1,(RailDefinition!$F:$F=$A97)*(RailDefinition!$M:$M=I$1),RailDefinition!$S:$S,"")</f>
      </c>
      <c r="J97">
        <f t="array" ref="J97:J97">XLOOKUP(1,(RailDefinition!$F:$F=$A97)*(RailDefinition!$M:$M=J$1),RailDefinition!$S:$S,"")</f>
      </c>
    </row>
    <row r="98">
      <c r="B98" s="5">
        <f>IF(A98="", "", LET(    checkF, XLOOKUP(A98, RailDefinition!E:E, RailDefinition!J:J),    checkE, XLOOKUP(A98, RailDefinition!E:E, RailDefinition!I:I),    IF(OR(        checkF="Borderless",        checkF="Borderless_L",        AND(checkF="Borderless_I", checkE="L90"),        AND(checkF="Borderless_O", checkE="R90")    ), "", "Side")))</f>
      </c>
      <c r="C98" s="5">
        <f>IF(A98="", "", LET(    checkF, XLOOKUP(A98, RailDefinition!E:E, RailDefinition!J:J),    checkE, XLOOKUP(A98, RailDefinition!E:E, RailDefinition!I:I),    IF(OR(        checkF="Borderless",        checkF="Borderless_R",        AND(checkF="Borderless_O", checkE="L90"),        AND(checkF="Borderless_I", checkE="R90")    ), "", "Side")))</f>
      </c>
      <c r="D98" s="5">
        <f>IF(A98="", "", LET(    valG, XLOOKUP(A98, RailDefinition!E:E, RailDefinition!K:K),    valD, XLOOKUP(A98, RailDefinition!E:E, RailDefinition!H:H),    valE, XLOOKUP(A98,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8">
        <f t="array" ref="E98:E98">XLOOKUP(1,(RailDefinition!$F:$F=$A98)*(RailDefinition!$M:$M=E$1),RailDefinition!$S:$S,"")</f>
      </c>
      <c r="F98">
        <f t="array" ref="F98:F98">XLOOKUP(1,(RailDefinition!$F:$F=$A98)*(RailDefinition!$M:$M=F$1),RailDefinition!$S:$S,"")</f>
      </c>
      <c r="G98">
        <f t="array" ref="G98:G98">XLOOKUP(1,(RailDefinition!$F:$F=$A98)*(RailDefinition!$M:$M=G$1),RailDefinition!$S:$S,"")</f>
      </c>
      <c r="H98">
        <f t="array" ref="H98:H98">XLOOKUP(1,(RailDefinition!$F:$F=$A98)*(RailDefinition!$M:$M=H$1),RailDefinition!$S:$S,"")</f>
      </c>
      <c r="I98">
        <f t="array" ref="I98:I98">XLOOKUP(1,(RailDefinition!$F:$F=$A98)*(RailDefinition!$M:$M=I$1),RailDefinition!$S:$S,"")</f>
      </c>
      <c r="J98">
        <f t="array" ref="J98:J98">XLOOKUP(1,(RailDefinition!$F:$F=$A98)*(RailDefinition!$M:$M=J$1),RailDefinition!$S:$S,"")</f>
      </c>
    </row>
    <row r="99">
      <c r="B99" s="5">
        <f>IF(A99="", "", LET(    checkF, XLOOKUP(A99, RailDefinition!E:E, RailDefinition!J:J),    checkE, XLOOKUP(A99, RailDefinition!E:E, RailDefinition!I:I),    IF(OR(        checkF="Borderless",        checkF="Borderless_L",        AND(checkF="Borderless_I", checkE="L90"),        AND(checkF="Borderless_O", checkE="R90")    ), "", "Side")))</f>
      </c>
      <c r="C99" s="5">
        <f>IF(A99="", "", LET(    checkF, XLOOKUP(A99, RailDefinition!E:E, RailDefinition!J:J),    checkE, XLOOKUP(A99, RailDefinition!E:E, RailDefinition!I:I),    IF(OR(        checkF="Borderless",        checkF="Borderless_R",        AND(checkF="Borderless_O", checkE="L90"),        AND(checkF="Borderless_I", checkE="R90")    ), "", "Side")))</f>
      </c>
      <c r="D99" s="5">
        <f>IF(A99="", "", LET(    valG, XLOOKUP(A99, RailDefinition!E:E, RailDefinition!K:K),    valD, XLOOKUP(A99, RailDefinition!E:E, RailDefinition!H:H),    valE, XLOOKUP(A99,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99">
        <f t="array" ref="E99:E99">XLOOKUP(1,(RailDefinition!$F:$F=$A99)*(RailDefinition!$M:$M=E$1),RailDefinition!$S:$S,"")</f>
      </c>
      <c r="F99">
        <f t="array" ref="F99:F99">XLOOKUP(1,(RailDefinition!$F:$F=$A99)*(RailDefinition!$M:$M=F$1),RailDefinition!$S:$S,"")</f>
      </c>
      <c r="G99">
        <f t="array" ref="G99:G99">XLOOKUP(1,(RailDefinition!$F:$F=$A99)*(RailDefinition!$M:$M=G$1),RailDefinition!$S:$S,"")</f>
      </c>
      <c r="H99">
        <f t="array" ref="H99:H99">XLOOKUP(1,(RailDefinition!$F:$F=$A99)*(RailDefinition!$M:$M=H$1),RailDefinition!$S:$S,"")</f>
      </c>
      <c r="I99">
        <f t="array" ref="I99:I99">XLOOKUP(1,(RailDefinition!$F:$F=$A99)*(RailDefinition!$M:$M=I$1),RailDefinition!$S:$S,"")</f>
      </c>
      <c r="J99">
        <f t="array" ref="J99:J99">XLOOKUP(1,(RailDefinition!$F:$F=$A99)*(RailDefinition!$M:$M=J$1),RailDefinition!$S:$S,"")</f>
      </c>
    </row>
    <row r="100">
      <c r="B100" s="5">
        <f>IF(A100="", "", LET(    checkF, XLOOKUP(A100, RailDefinition!E:E, RailDefinition!J:J),    checkE, XLOOKUP(A100, RailDefinition!E:E, RailDefinition!I:I),    IF(OR(        checkF="Borderless",        checkF="Borderless_L",        AND(checkF="Borderless_I", checkE="L90"),        AND(checkF="Borderless_O", checkE="R90")    ), "", "Side")))</f>
      </c>
      <c r="C100" s="5">
        <f>IF(A100="", "", LET(    checkF, XLOOKUP(A100, RailDefinition!E:E, RailDefinition!J:J),    checkE, XLOOKUP(A100, RailDefinition!E:E, RailDefinition!I:I),    IF(OR(        checkF="Borderless",        checkF="Borderless_R",        AND(checkF="Borderless_O", checkE="L90"),        AND(checkF="Borderless_I", checkE="R90")    ), "", "Side")))</f>
      </c>
      <c r="D100" s="5">
        <f>IF(A100="", "", LET(    valG, XLOOKUP(A100, RailDefinition!E:E, RailDefinition!K:K),    valD, XLOOKUP(A100, RailDefinition!E:E, RailDefinition!H:H),    valE, XLOOKUP(A100,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0">
        <f t="array" ref="E100:E100">XLOOKUP(1,(RailDefinition!$F:$F=$A100)*(RailDefinition!$M:$M=E$1),RailDefinition!$S:$S,"")</f>
      </c>
      <c r="F100">
        <f t="array" ref="F100:F100">XLOOKUP(1,(RailDefinition!$F:$F=$A100)*(RailDefinition!$M:$M=F$1),RailDefinition!$S:$S,"")</f>
      </c>
      <c r="G100">
        <f t="array" ref="G100:G100">XLOOKUP(1,(RailDefinition!$F:$F=$A100)*(RailDefinition!$M:$M=G$1),RailDefinition!$S:$S,"")</f>
      </c>
      <c r="H100">
        <f t="array" ref="H100:H100">XLOOKUP(1,(RailDefinition!$F:$F=$A100)*(RailDefinition!$M:$M=H$1),RailDefinition!$S:$S,"")</f>
      </c>
      <c r="I100">
        <f t="array" ref="I100:I100">XLOOKUP(1,(RailDefinition!$F:$F=$A100)*(RailDefinition!$M:$M=I$1),RailDefinition!$S:$S,"")</f>
      </c>
      <c r="J100">
        <f t="array" ref="J100:J100">XLOOKUP(1,(RailDefinition!$F:$F=$A100)*(RailDefinition!$M:$M=J$1),RailDefinition!$S:$S,"")</f>
      </c>
    </row>
    <row r="101">
      <c r="B101" s="5">
        <f>IF(A101="", "", LET(    checkF, XLOOKUP(A101, RailDefinition!E:E, RailDefinition!J:J),    checkE, XLOOKUP(A101, RailDefinition!E:E, RailDefinition!I:I),    IF(OR(        checkF="Borderless",        checkF="Borderless_L",        AND(checkF="Borderless_I", checkE="L90"),        AND(checkF="Borderless_O", checkE="R90")    ), "", "Side")))</f>
      </c>
      <c r="C101" s="5">
        <f>IF(A101="", "", LET(    checkF, XLOOKUP(A101, RailDefinition!E:E, RailDefinition!J:J),    checkE, XLOOKUP(A101, RailDefinition!E:E, RailDefinition!I:I),    IF(OR(        checkF="Borderless",        checkF="Borderless_R",        AND(checkF="Borderless_O", checkE="L90"),        AND(checkF="Borderless_I", checkE="R90")    ), "", "Side")))</f>
      </c>
      <c r="D101" s="5">
        <f>IF(A101="", "", LET(    valG, XLOOKUP(A101, RailDefinition!E:E, RailDefinition!K:K),    valD, XLOOKUP(A101, RailDefinition!E:E, RailDefinition!H:H),    valE, XLOOKUP(A101,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1">
        <f t="array" ref="E101:E101">XLOOKUP(1,(RailDefinition!$F:$F=$A101)*(RailDefinition!$M:$M=E$1),RailDefinition!$S:$S,"")</f>
      </c>
      <c r="F101">
        <f t="array" ref="F101:F101">XLOOKUP(1,(RailDefinition!$F:$F=$A101)*(RailDefinition!$M:$M=F$1),RailDefinition!$S:$S,"")</f>
      </c>
      <c r="G101">
        <f t="array" ref="G101:G101">XLOOKUP(1,(RailDefinition!$F:$F=$A101)*(RailDefinition!$M:$M=G$1),RailDefinition!$S:$S,"")</f>
      </c>
      <c r="H101">
        <f t="array" ref="H101:H101">XLOOKUP(1,(RailDefinition!$F:$F=$A101)*(RailDefinition!$M:$M=H$1),RailDefinition!$S:$S,"")</f>
      </c>
      <c r="I101">
        <f t="array" ref="I101:I101">XLOOKUP(1,(RailDefinition!$F:$F=$A101)*(RailDefinition!$M:$M=I$1),RailDefinition!$S:$S,"")</f>
      </c>
      <c r="J101">
        <f t="array" ref="J101:J101">XLOOKUP(1,(RailDefinition!$F:$F=$A101)*(RailDefinition!$M:$M=J$1),RailDefinition!$S:$S,"")</f>
      </c>
    </row>
    <row r="102">
      <c r="B102" s="5">
        <f>IF(A102="", "", LET(    checkF, XLOOKUP(A102, RailDefinition!E:E, RailDefinition!J:J),    checkE, XLOOKUP(A102, RailDefinition!E:E, RailDefinition!I:I),    IF(OR(        checkF="Borderless",        checkF="Borderless_L",        AND(checkF="Borderless_I", checkE="L90"),        AND(checkF="Borderless_O", checkE="R90")    ), "", "Side")))</f>
      </c>
      <c r="C102" s="5">
        <f>IF(A102="", "", LET(    checkF, XLOOKUP(A102, RailDefinition!E:E, RailDefinition!J:J),    checkE, XLOOKUP(A102, RailDefinition!E:E, RailDefinition!I:I),    IF(OR(        checkF="Borderless",        checkF="Borderless_R",        AND(checkF="Borderless_O", checkE="L90"),        AND(checkF="Borderless_I", checkE="R90")    ), "", "Side")))</f>
      </c>
      <c r="D102" s="5">
        <f>IF(A102="", "", LET(    valG, XLOOKUP(A102, RailDefinition!E:E, RailDefinition!K:K),    valD, XLOOKUP(A102, RailDefinition!E:E, RailDefinition!H:H),    valE, XLOOKUP(A102,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2">
        <f t="array" ref="E102:E102">XLOOKUP(1,(RailDefinition!$F:$F=$A102)*(RailDefinition!$M:$M=E$1),RailDefinition!$S:$S,"")</f>
      </c>
      <c r="F102">
        <f t="array" ref="F102:F102">XLOOKUP(1,(RailDefinition!$F:$F=$A102)*(RailDefinition!$M:$M=F$1),RailDefinition!$S:$S,"")</f>
      </c>
      <c r="G102">
        <f t="array" ref="G102:G102">XLOOKUP(1,(RailDefinition!$F:$F=$A102)*(RailDefinition!$M:$M=G$1),RailDefinition!$S:$S,"")</f>
      </c>
      <c r="H102">
        <f t="array" ref="H102:H102">XLOOKUP(1,(RailDefinition!$F:$F=$A102)*(RailDefinition!$M:$M=H$1),RailDefinition!$S:$S,"")</f>
      </c>
      <c r="I102">
        <f t="array" ref="I102:I102">XLOOKUP(1,(RailDefinition!$F:$F=$A102)*(RailDefinition!$M:$M=I$1),RailDefinition!$S:$S,"")</f>
      </c>
      <c r="J102">
        <f t="array" ref="J102:J102">XLOOKUP(1,(RailDefinition!$F:$F=$A102)*(RailDefinition!$M:$M=J$1),RailDefinition!$S:$S,"")</f>
      </c>
    </row>
    <row r="103">
      <c r="B103" s="5">
        <f>IF(A103="", "", LET(    checkF, XLOOKUP(A103, RailDefinition!E:E, RailDefinition!J:J),    checkE, XLOOKUP(A103, RailDefinition!E:E, RailDefinition!I:I),    IF(OR(        checkF="Borderless",        checkF="Borderless_L",        AND(checkF="Borderless_I", checkE="L90"),        AND(checkF="Borderless_O", checkE="R90")    ), "", "Side")))</f>
      </c>
      <c r="C103" s="5">
        <f>IF(A103="", "", LET(    checkF, XLOOKUP(A103, RailDefinition!E:E, RailDefinition!J:J),    checkE, XLOOKUP(A103, RailDefinition!E:E, RailDefinition!I:I),    IF(OR(        checkF="Borderless",        checkF="Borderless_R",        AND(checkF="Borderless_O", checkE="L90"),        AND(checkF="Borderless_I", checkE="R90")    ), "", "Side")))</f>
      </c>
      <c r="D103" s="5">
        <f>IF(A103="", "", LET(    valG, XLOOKUP(A103, RailDefinition!E:E, RailDefinition!K:K),    valD, XLOOKUP(A103, RailDefinition!E:E, RailDefinition!H:H),    valE, XLOOKUP(A103,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3">
        <f t="array" ref="E103:E103">XLOOKUP(1,(RailDefinition!$F:$F=$A103)*(RailDefinition!$M:$M=E$1),RailDefinition!$S:$S,"")</f>
      </c>
      <c r="F103">
        <f t="array" ref="F103:F103">XLOOKUP(1,(RailDefinition!$F:$F=$A103)*(RailDefinition!$M:$M=F$1),RailDefinition!$S:$S,"")</f>
      </c>
      <c r="G103">
        <f t="array" ref="G103:G103">XLOOKUP(1,(RailDefinition!$F:$F=$A103)*(RailDefinition!$M:$M=G$1),RailDefinition!$S:$S,"")</f>
      </c>
      <c r="H103">
        <f t="array" ref="H103:H103">XLOOKUP(1,(RailDefinition!$F:$F=$A103)*(RailDefinition!$M:$M=H$1),RailDefinition!$S:$S,"")</f>
      </c>
      <c r="I103">
        <f t="array" ref="I103:I103">XLOOKUP(1,(RailDefinition!$F:$F=$A103)*(RailDefinition!$M:$M=I$1),RailDefinition!$S:$S,"")</f>
      </c>
      <c r="J103">
        <f t="array" ref="J103:J103">XLOOKUP(1,(RailDefinition!$F:$F=$A103)*(RailDefinition!$M:$M=J$1),RailDefinition!$S:$S,"")</f>
      </c>
    </row>
    <row r="104">
      <c r="B104" s="5">
        <f>IF(A104="", "", LET(    checkF, XLOOKUP(A104, RailDefinition!E:E, RailDefinition!J:J),    checkE, XLOOKUP(A104, RailDefinition!E:E, RailDefinition!I:I),    IF(OR(        checkF="Borderless",        checkF="Borderless_L",        AND(checkF="Borderless_I", checkE="L90"),        AND(checkF="Borderless_O", checkE="R90")    ), "", "Side")))</f>
      </c>
      <c r="C104" s="5">
        <f>IF(A104="", "", LET(    checkF, XLOOKUP(A104, RailDefinition!E:E, RailDefinition!J:J),    checkE, XLOOKUP(A104, RailDefinition!E:E, RailDefinition!I:I),    IF(OR(        checkF="Borderless",        checkF="Borderless_R",        AND(checkF="Borderless_O", checkE="L90"),        AND(checkF="Borderless_I", checkE="R90")    ), "", "Side")))</f>
      </c>
      <c r="D104" s="5">
        <f>IF(A104="", "", LET(    valG, XLOOKUP(A104, RailDefinition!E:E, RailDefinition!K:K),    valD, XLOOKUP(A104, RailDefinition!E:E, RailDefinition!H:H),    valE, XLOOKUP(A104,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4">
        <f t="array" ref="E104:E104">XLOOKUP(1,(RailDefinition!$F:$F=$A104)*(RailDefinition!$M:$M=E$1),RailDefinition!$S:$S,"")</f>
      </c>
      <c r="F104">
        <f t="array" ref="F104:F104">XLOOKUP(1,(RailDefinition!$F:$F=$A104)*(RailDefinition!$M:$M=F$1),RailDefinition!$S:$S,"")</f>
      </c>
      <c r="G104">
        <f t="array" ref="G104:G104">XLOOKUP(1,(RailDefinition!$F:$F=$A104)*(RailDefinition!$M:$M=G$1),RailDefinition!$S:$S,"")</f>
      </c>
      <c r="H104">
        <f t="array" ref="H104:H104">XLOOKUP(1,(RailDefinition!$F:$F=$A104)*(RailDefinition!$M:$M=H$1),RailDefinition!$S:$S,"")</f>
      </c>
      <c r="I104">
        <f t="array" ref="I104:I104">XLOOKUP(1,(RailDefinition!$F:$F=$A104)*(RailDefinition!$M:$M=I$1),RailDefinition!$S:$S,"")</f>
      </c>
      <c r="J104">
        <f t="array" ref="J104:J104">XLOOKUP(1,(RailDefinition!$F:$F=$A104)*(RailDefinition!$M:$M=J$1),RailDefinition!$S:$S,"")</f>
      </c>
    </row>
    <row r="105">
      <c r="B105" s="5">
        <f>IF(A105="", "", LET(    checkF, XLOOKUP(A105, RailDefinition!E:E, RailDefinition!J:J),    checkE, XLOOKUP(A105, RailDefinition!E:E, RailDefinition!I:I),    IF(OR(        checkF="Borderless",        checkF="Borderless_L",        AND(checkF="Borderless_I", checkE="L90"),        AND(checkF="Borderless_O", checkE="R90")    ), "", "Side")))</f>
      </c>
      <c r="C105" s="5">
        <f>IF(A105="", "", LET(    checkF, XLOOKUP(A105, RailDefinition!E:E, RailDefinition!J:J),    checkE, XLOOKUP(A105, RailDefinition!E:E, RailDefinition!I:I),    IF(OR(        checkF="Borderless",        checkF="Borderless_R",        AND(checkF="Borderless_O", checkE="L90"),        AND(checkF="Borderless_I", checkE="R90")    ), "", "Side")))</f>
      </c>
      <c r="D105" s="5">
        <f>IF(A105="", "", LET(    valG, XLOOKUP(A105, RailDefinition!E:E, RailDefinition!K:K),    valD, XLOOKUP(A105, RailDefinition!E:E, RailDefinition!H:H),    valE, XLOOKUP(A105,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5">
        <f t="array" ref="E105:E105">XLOOKUP(1,(RailDefinition!$F:$F=$A105)*(RailDefinition!$M:$M=E$1),RailDefinition!$S:$S,"")</f>
      </c>
      <c r="F105">
        <f t="array" ref="F105:F105">XLOOKUP(1,(RailDefinition!$F:$F=$A105)*(RailDefinition!$M:$M=F$1),RailDefinition!$S:$S,"")</f>
      </c>
      <c r="G105">
        <f t="array" ref="G105:G105">XLOOKUP(1,(RailDefinition!$F:$F=$A105)*(RailDefinition!$M:$M=G$1),RailDefinition!$S:$S,"")</f>
      </c>
      <c r="H105">
        <f t="array" ref="H105:H105">XLOOKUP(1,(RailDefinition!$F:$F=$A105)*(RailDefinition!$M:$M=H$1),RailDefinition!$S:$S,"")</f>
      </c>
      <c r="I105">
        <f t="array" ref="I105:I105">XLOOKUP(1,(RailDefinition!$F:$F=$A105)*(RailDefinition!$M:$M=I$1),RailDefinition!$S:$S,"")</f>
      </c>
      <c r="J105">
        <f t="array" ref="J105:J105">XLOOKUP(1,(RailDefinition!$F:$F=$A105)*(RailDefinition!$M:$M=J$1),RailDefinition!$S:$S,"")</f>
      </c>
    </row>
    <row r="106">
      <c r="B106" s="5">
        <f>IF(A106="", "", LET(    checkF, XLOOKUP(A106, RailDefinition!E:E, RailDefinition!J:J),    checkE, XLOOKUP(A106, RailDefinition!E:E, RailDefinition!I:I),    IF(OR(        checkF="Borderless",        checkF="Borderless_L",        AND(checkF="Borderless_I", checkE="L90"),        AND(checkF="Borderless_O", checkE="R90")    ), "", "Side")))</f>
      </c>
      <c r="C106" s="5">
        <f>IF(A106="", "", LET(    checkF, XLOOKUP(A106, RailDefinition!E:E, RailDefinition!J:J),    checkE, XLOOKUP(A106, RailDefinition!E:E, RailDefinition!I:I),    IF(OR(        checkF="Borderless",        checkF="Borderless_R",        AND(checkF="Borderless_O", checkE="L90"),        AND(checkF="Borderless_I", checkE="R90")    ), "", "Side")))</f>
      </c>
      <c r="D106" s="5">
        <f>IF(A106="", "", LET(    valG, XLOOKUP(A106, RailDefinition!E:E, RailDefinition!K:K),    valD, XLOOKUP(A106, RailDefinition!E:E, RailDefinition!H:H),    valE, XLOOKUP(A106,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6">
        <f t="array" ref="E106:E106">XLOOKUP(1,(RailDefinition!$F:$F=$A106)*(RailDefinition!$M:$M=E$1),RailDefinition!$S:$S,"")</f>
      </c>
      <c r="F106">
        <f t="array" ref="F106:F106">XLOOKUP(1,(RailDefinition!$F:$F=$A106)*(RailDefinition!$M:$M=F$1),RailDefinition!$S:$S,"")</f>
      </c>
      <c r="G106">
        <f t="array" ref="G106:G106">XLOOKUP(1,(RailDefinition!$F:$F=$A106)*(RailDefinition!$M:$M=G$1),RailDefinition!$S:$S,"")</f>
      </c>
      <c r="H106">
        <f t="array" ref="H106:H106">XLOOKUP(1,(RailDefinition!$F:$F=$A106)*(RailDefinition!$M:$M=H$1),RailDefinition!$S:$S,"")</f>
      </c>
      <c r="I106">
        <f t="array" ref="I106:I106">XLOOKUP(1,(RailDefinition!$F:$F=$A106)*(RailDefinition!$M:$M=I$1),RailDefinition!$S:$S,"")</f>
      </c>
      <c r="J106">
        <f t="array" ref="J106:J106">XLOOKUP(1,(RailDefinition!$F:$F=$A106)*(RailDefinition!$M:$M=J$1),RailDefinition!$S:$S,"")</f>
      </c>
    </row>
    <row r="107">
      <c r="B107" s="5">
        <f>IF(A107="", "", LET(    checkF, XLOOKUP(A107, RailDefinition!E:E, RailDefinition!J:J),    checkE, XLOOKUP(A107, RailDefinition!E:E, RailDefinition!I:I),    IF(OR(        checkF="Borderless",        checkF="Borderless_L",        AND(checkF="Borderless_I", checkE="L90"),        AND(checkF="Borderless_O", checkE="R90")    ), "", "Side")))</f>
      </c>
      <c r="C107" s="5">
        <f>IF(A107="", "", LET(    checkF, XLOOKUP(A107, RailDefinition!E:E, RailDefinition!J:J),    checkE, XLOOKUP(A107, RailDefinition!E:E, RailDefinition!I:I),    IF(OR(        checkF="Borderless",        checkF="Borderless_R",        AND(checkF="Borderless_O", checkE="L90"),        AND(checkF="Borderless_I", checkE="R90")    ), "", "Side")))</f>
      </c>
      <c r="D107" s="5">
        <f>IF(A107="", "", LET(    valG, XLOOKUP(A107, RailDefinition!E:E, RailDefinition!K:K),    valD, XLOOKUP(A107, RailDefinition!E:E, RailDefinition!H:H),    valE, XLOOKUP(A107,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7">
        <f t="array" ref="E107:E107">XLOOKUP(1,(RailDefinition!$F:$F=$A107)*(RailDefinition!$M:$M=E$1),RailDefinition!$S:$S,"")</f>
      </c>
      <c r="F107">
        <f t="array" ref="F107:F107">XLOOKUP(1,(RailDefinition!$F:$F=$A107)*(RailDefinition!$M:$M=F$1),RailDefinition!$S:$S,"")</f>
      </c>
      <c r="G107">
        <f t="array" ref="G107:G107">XLOOKUP(1,(RailDefinition!$F:$F=$A107)*(RailDefinition!$M:$M=G$1),RailDefinition!$S:$S,"")</f>
      </c>
      <c r="H107">
        <f t="array" ref="H107:H107">XLOOKUP(1,(RailDefinition!$F:$F=$A107)*(RailDefinition!$M:$M=H$1),RailDefinition!$S:$S,"")</f>
      </c>
      <c r="I107">
        <f t="array" ref="I107:I107">XLOOKUP(1,(RailDefinition!$F:$F=$A107)*(RailDefinition!$M:$M=I$1),RailDefinition!$S:$S,"")</f>
      </c>
      <c r="J107">
        <f t="array" ref="J107:J107">XLOOKUP(1,(RailDefinition!$F:$F=$A107)*(RailDefinition!$M:$M=J$1),RailDefinition!$S:$S,"")</f>
      </c>
    </row>
    <row r="108">
      <c r="B108" s="5">
        <f>IF(A108="", "", LET(    checkF, XLOOKUP(A108, RailDefinition!E:E, RailDefinition!J:J),    checkE, XLOOKUP(A108, RailDefinition!E:E, RailDefinition!I:I),    IF(OR(        checkF="Borderless",        checkF="Borderless_L",        AND(checkF="Borderless_I", checkE="L90"),        AND(checkF="Borderless_O", checkE="R90")    ), "", "Side")))</f>
      </c>
      <c r="C108" s="5">
        <f>IF(A108="", "", LET(    checkF, XLOOKUP(A108, RailDefinition!E:E, RailDefinition!J:J),    checkE, XLOOKUP(A108, RailDefinition!E:E, RailDefinition!I:I),    IF(OR(        checkF="Borderless",        checkF="Borderless_R",        AND(checkF="Borderless_O", checkE="L90"),        AND(checkF="Borderless_I", checkE="R90")    ), "", "Side")))</f>
      </c>
      <c r="D108" s="5">
        <f>IF(A108="", "", LET(    valG, XLOOKUP(A108, RailDefinition!E:E, RailDefinition!K:K),    valD, XLOOKUP(A108, RailDefinition!E:E, RailDefinition!H:H),    valE, XLOOKUP(A108,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8">
        <f t="array" ref="E108:E108">XLOOKUP(1,(RailDefinition!$F:$F=$A108)*(RailDefinition!$M:$M=E$1),RailDefinition!$S:$S,"")</f>
      </c>
      <c r="F108">
        <f t="array" ref="F108:F108">XLOOKUP(1,(RailDefinition!$F:$F=$A108)*(RailDefinition!$M:$M=F$1),RailDefinition!$S:$S,"")</f>
      </c>
      <c r="G108">
        <f t="array" ref="G108:G108">XLOOKUP(1,(RailDefinition!$F:$F=$A108)*(RailDefinition!$M:$M=G$1),RailDefinition!$S:$S,"")</f>
      </c>
      <c r="H108">
        <f t="array" ref="H108:H108">XLOOKUP(1,(RailDefinition!$F:$F=$A108)*(RailDefinition!$M:$M=H$1),RailDefinition!$S:$S,"")</f>
      </c>
      <c r="I108">
        <f t="array" ref="I108:I108">XLOOKUP(1,(RailDefinition!$F:$F=$A108)*(RailDefinition!$M:$M=I$1),RailDefinition!$S:$S,"")</f>
      </c>
      <c r="J108">
        <f t="array" ref="J108:J108">XLOOKUP(1,(RailDefinition!$F:$F=$A108)*(RailDefinition!$M:$M=J$1),RailDefinition!$S:$S,"")</f>
      </c>
    </row>
    <row r="109">
      <c r="B109" s="5">
        <f>IF(A109="", "", LET(    checkF, XLOOKUP(A109, RailDefinition!E:E, RailDefinition!J:J),    checkE, XLOOKUP(A109, RailDefinition!E:E, RailDefinition!I:I),    IF(OR(        checkF="Borderless",        checkF="Borderless_L",        AND(checkF="Borderless_I", checkE="L90"),        AND(checkF="Borderless_O", checkE="R90")    ), "", "Side")))</f>
      </c>
      <c r="C109" s="5">
        <f>IF(A109="", "", LET(    checkF, XLOOKUP(A109, RailDefinition!E:E, RailDefinition!J:J),    checkE, XLOOKUP(A109, RailDefinition!E:E, RailDefinition!I:I),    IF(OR(        checkF="Borderless",        checkF="Borderless_R",        AND(checkF="Borderless_O", checkE="L90"),        AND(checkF="Borderless_I", checkE="R90")    ), "", "Side")))</f>
      </c>
      <c r="D109" s="5">
        <f>IF(A109="", "", LET(    valG, XLOOKUP(A109, RailDefinition!E:E, RailDefinition!K:K),    valD, XLOOKUP(A109, RailDefinition!E:E, RailDefinition!H:H),    valE, XLOOKUP(A109,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09">
        <f t="array" ref="E109:E109">XLOOKUP(1,(RailDefinition!$F:$F=$A109)*(RailDefinition!$M:$M=E$1),RailDefinition!$S:$S,"")</f>
      </c>
      <c r="F109">
        <f t="array" ref="F109:F109">XLOOKUP(1,(RailDefinition!$F:$F=$A109)*(RailDefinition!$M:$M=F$1),RailDefinition!$S:$S,"")</f>
      </c>
      <c r="G109">
        <f t="array" ref="G109:G109">XLOOKUP(1,(RailDefinition!$F:$F=$A109)*(RailDefinition!$M:$M=G$1),RailDefinition!$S:$S,"")</f>
      </c>
      <c r="H109">
        <f t="array" ref="H109:H109">XLOOKUP(1,(RailDefinition!$F:$F=$A109)*(RailDefinition!$M:$M=H$1),RailDefinition!$S:$S,"")</f>
      </c>
      <c r="I109">
        <f t="array" ref="I109:I109">XLOOKUP(1,(RailDefinition!$F:$F=$A109)*(RailDefinition!$M:$M=I$1),RailDefinition!$S:$S,"")</f>
      </c>
      <c r="J109">
        <f t="array" ref="J109:J109">XLOOKUP(1,(RailDefinition!$F:$F=$A109)*(RailDefinition!$M:$M=J$1),RailDefinition!$S:$S,"")</f>
      </c>
    </row>
    <row r="110">
      <c r="B110" s="5">
        <f>IF(A110="", "", LET(    checkF, XLOOKUP(A110, RailDefinition!E:E, RailDefinition!J:J),    checkE, XLOOKUP(A110, RailDefinition!E:E, RailDefinition!I:I),    IF(OR(        checkF="Borderless",        checkF="Borderless_L",        AND(checkF="Borderless_I", checkE="L90"),        AND(checkF="Borderless_O", checkE="R90")    ), "", "Side")))</f>
      </c>
      <c r="C110" s="5">
        <f>IF(A110="", "", LET(    checkF, XLOOKUP(A110, RailDefinition!E:E, RailDefinition!J:J),    checkE, XLOOKUP(A110, RailDefinition!E:E, RailDefinition!I:I),    IF(OR(        checkF="Borderless",        checkF="Borderless_R",        AND(checkF="Borderless_O", checkE="L90"),        AND(checkF="Borderless_I", checkE="R90")    ), "", "Side")))</f>
      </c>
      <c r="D110" s="5">
        <f>IF(A110="", "", LET(    valG, XLOOKUP(A110, RailDefinition!E:E, RailDefinition!K:K),    valD, XLOOKUP(A110, RailDefinition!E:E, RailDefinition!H:H),    valE, XLOOKUP(A110,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0">
        <f t="array" ref="E110:E110">XLOOKUP(1,(RailDefinition!$F:$F=$A110)*(RailDefinition!$M:$M=E$1),RailDefinition!$S:$S,"")</f>
      </c>
      <c r="F110">
        <f t="array" ref="F110:F110">XLOOKUP(1,(RailDefinition!$F:$F=$A110)*(RailDefinition!$M:$M=F$1),RailDefinition!$S:$S,"")</f>
      </c>
      <c r="G110">
        <f t="array" ref="G110:G110">XLOOKUP(1,(RailDefinition!$F:$F=$A110)*(RailDefinition!$M:$M=G$1),RailDefinition!$S:$S,"")</f>
      </c>
      <c r="H110">
        <f t="array" ref="H110:H110">XLOOKUP(1,(RailDefinition!$F:$F=$A110)*(RailDefinition!$M:$M=H$1),RailDefinition!$S:$S,"")</f>
      </c>
      <c r="I110">
        <f t="array" ref="I110:I110">XLOOKUP(1,(RailDefinition!$F:$F=$A110)*(RailDefinition!$M:$M=I$1),RailDefinition!$S:$S,"")</f>
      </c>
      <c r="J110">
        <f t="array" ref="J110:J110">XLOOKUP(1,(RailDefinition!$F:$F=$A110)*(RailDefinition!$M:$M=J$1),RailDefinition!$S:$S,"")</f>
      </c>
    </row>
    <row r="111">
      <c r="B111" s="5">
        <f>IF(A111="", "", LET(    checkF, XLOOKUP(A111, RailDefinition!E:E, RailDefinition!J:J),    checkE, XLOOKUP(A111, RailDefinition!E:E, RailDefinition!I:I),    IF(OR(        checkF="Borderless",        checkF="Borderless_L",        AND(checkF="Borderless_I", checkE="L90"),        AND(checkF="Borderless_O", checkE="R90")    ), "", "Side")))</f>
      </c>
      <c r="C111" s="5">
        <f>IF(A111="", "", LET(    checkF, XLOOKUP(A111, RailDefinition!E:E, RailDefinition!J:J),    checkE, XLOOKUP(A111, RailDefinition!E:E, RailDefinition!I:I),    IF(OR(        checkF="Borderless",        checkF="Borderless_R",        AND(checkF="Borderless_O", checkE="L90"),        AND(checkF="Borderless_I", checkE="R90")    ), "", "Side")))</f>
      </c>
      <c r="D111" s="5">
        <f>IF(A111="", "", LET(    valG, XLOOKUP(A111, RailDefinition!E:E, RailDefinition!K:K),    valD, XLOOKUP(A111, RailDefinition!E:E, RailDefinition!H:H),    valE, XLOOKUP(A111,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1">
        <f t="array" ref="E111:E111">XLOOKUP(1,(RailDefinition!$F:$F=$A111)*(RailDefinition!$M:$M=E$1),RailDefinition!$S:$S,"")</f>
      </c>
      <c r="F111">
        <f t="array" ref="F111:F111">XLOOKUP(1,(RailDefinition!$F:$F=$A111)*(RailDefinition!$M:$M=F$1),RailDefinition!$S:$S,"")</f>
      </c>
      <c r="G111">
        <f t="array" ref="G111:G111">XLOOKUP(1,(RailDefinition!$F:$F=$A111)*(RailDefinition!$M:$M=G$1),RailDefinition!$S:$S,"")</f>
      </c>
      <c r="H111">
        <f t="array" ref="H111:H111">XLOOKUP(1,(RailDefinition!$F:$F=$A111)*(RailDefinition!$M:$M=H$1),RailDefinition!$S:$S,"")</f>
      </c>
      <c r="I111">
        <f t="array" ref="I111:I111">XLOOKUP(1,(RailDefinition!$F:$F=$A111)*(RailDefinition!$M:$M=I$1),RailDefinition!$S:$S,"")</f>
      </c>
      <c r="J111">
        <f t="array" ref="J111:J111">XLOOKUP(1,(RailDefinition!$F:$F=$A111)*(RailDefinition!$M:$M=J$1),RailDefinition!$S:$S,"")</f>
      </c>
    </row>
    <row r="112">
      <c r="B112" s="5">
        <f>IF(A112="", "", LET(    checkF, XLOOKUP(A112, RailDefinition!E:E, RailDefinition!J:J),    checkE, XLOOKUP(A112, RailDefinition!E:E, RailDefinition!I:I),    IF(OR(        checkF="Borderless",        checkF="Borderless_L",        AND(checkF="Borderless_I", checkE="L90"),        AND(checkF="Borderless_O", checkE="R90")    ), "", "Side")))</f>
      </c>
      <c r="C112" s="5">
        <f>IF(A112="", "", LET(    checkF, XLOOKUP(A112, RailDefinition!E:E, RailDefinition!J:J),    checkE, XLOOKUP(A112, RailDefinition!E:E, RailDefinition!I:I),    IF(OR(        checkF="Borderless",        checkF="Borderless_R",        AND(checkF="Borderless_O", checkE="L90"),        AND(checkF="Borderless_I", checkE="R90")    ), "", "Side")))</f>
      </c>
      <c r="D112" s="5">
        <f>IF(A112="", "", LET(    valG, XLOOKUP(A112, RailDefinition!E:E, RailDefinition!K:K),    valD, XLOOKUP(A112, RailDefinition!E:E, RailDefinition!H:H),    valE, XLOOKUP(A112,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2">
        <f t="array" ref="E112:E112">XLOOKUP(1,(RailDefinition!$F:$F=$A112)*(RailDefinition!$M:$M=E$1),RailDefinition!$S:$S,"")</f>
      </c>
      <c r="F112">
        <f t="array" ref="F112:F112">XLOOKUP(1,(RailDefinition!$F:$F=$A112)*(RailDefinition!$M:$M=F$1),RailDefinition!$S:$S,"")</f>
      </c>
      <c r="G112">
        <f t="array" ref="G112:G112">XLOOKUP(1,(RailDefinition!$F:$F=$A112)*(RailDefinition!$M:$M=G$1),RailDefinition!$S:$S,"")</f>
      </c>
      <c r="H112">
        <f t="array" ref="H112:H112">XLOOKUP(1,(RailDefinition!$F:$F=$A112)*(RailDefinition!$M:$M=H$1),RailDefinition!$S:$S,"")</f>
      </c>
      <c r="I112">
        <f t="array" ref="I112:I112">XLOOKUP(1,(RailDefinition!$F:$F=$A112)*(RailDefinition!$M:$M=I$1),RailDefinition!$S:$S,"")</f>
      </c>
      <c r="J112">
        <f t="array" ref="J112:J112">XLOOKUP(1,(RailDefinition!$F:$F=$A112)*(RailDefinition!$M:$M=J$1),RailDefinition!$S:$S,"")</f>
      </c>
    </row>
    <row r="113">
      <c r="B113" s="5">
        <f>IF(A113="", "", LET(    checkF, XLOOKUP(A113, RailDefinition!E:E, RailDefinition!J:J),    checkE, XLOOKUP(A113, RailDefinition!E:E, RailDefinition!I:I),    IF(OR(        checkF="Borderless",        checkF="Borderless_L",        AND(checkF="Borderless_I", checkE="L90"),        AND(checkF="Borderless_O", checkE="R90")    ), "", "Side")))</f>
      </c>
      <c r="C113" s="5">
        <f>IF(A113="", "", LET(    checkF, XLOOKUP(A113, RailDefinition!E:E, RailDefinition!J:J),    checkE, XLOOKUP(A113, RailDefinition!E:E, RailDefinition!I:I),    IF(OR(        checkF="Borderless",        checkF="Borderless_R",        AND(checkF="Borderless_O", checkE="L90"),        AND(checkF="Borderless_I", checkE="R90")    ), "", "Side")))</f>
      </c>
      <c r="D113" s="5">
        <f>IF(A113="", "", LET(    valG, XLOOKUP(A113, RailDefinition!E:E, RailDefinition!K:K),    valD, XLOOKUP(A113, RailDefinition!E:E, RailDefinition!H:H),    valE, XLOOKUP(A113,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3">
        <f t="array" ref="E113:E113">XLOOKUP(1,(RailDefinition!$F:$F=$A113)*(RailDefinition!$M:$M=E$1),RailDefinition!$S:$S,"")</f>
      </c>
      <c r="F113">
        <f t="array" ref="F113:F113">XLOOKUP(1,(RailDefinition!$F:$F=$A113)*(RailDefinition!$M:$M=F$1),RailDefinition!$S:$S,"")</f>
      </c>
      <c r="G113">
        <f t="array" ref="G113:G113">XLOOKUP(1,(RailDefinition!$F:$F=$A113)*(RailDefinition!$M:$M=G$1),RailDefinition!$S:$S,"")</f>
      </c>
      <c r="H113">
        <f t="array" ref="H113:H113">XLOOKUP(1,(RailDefinition!$F:$F=$A113)*(RailDefinition!$M:$M=H$1),RailDefinition!$S:$S,"")</f>
      </c>
      <c r="I113">
        <f t="array" ref="I113:I113">XLOOKUP(1,(RailDefinition!$F:$F=$A113)*(RailDefinition!$M:$M=I$1),RailDefinition!$S:$S,"")</f>
      </c>
      <c r="J113">
        <f t="array" ref="J113:J113">XLOOKUP(1,(RailDefinition!$F:$F=$A113)*(RailDefinition!$M:$M=J$1),RailDefinition!$S:$S,"")</f>
      </c>
    </row>
    <row r="114">
      <c r="B114" s="5">
        <f>IF(A114="", "", LET(    checkF, XLOOKUP(A114, RailDefinition!E:E, RailDefinition!J:J),    checkE, XLOOKUP(A114, RailDefinition!E:E, RailDefinition!I:I),    IF(OR(        checkF="Borderless",        checkF="Borderless_L",        AND(checkF="Borderless_I", checkE="L90"),        AND(checkF="Borderless_O", checkE="R90")    ), "", "Side")))</f>
      </c>
      <c r="C114" s="5">
        <f>IF(A114="", "", LET(    checkF, XLOOKUP(A114, RailDefinition!E:E, RailDefinition!J:J),    checkE, XLOOKUP(A114, RailDefinition!E:E, RailDefinition!I:I),    IF(OR(        checkF="Borderless",        checkF="Borderless_R",        AND(checkF="Borderless_O", checkE="L90"),        AND(checkF="Borderless_I", checkE="R90")    ), "", "Side")))</f>
      </c>
      <c r="D114" s="5">
        <f>IF(A114="", "", LET(    valG, XLOOKUP(A114, RailDefinition!E:E, RailDefinition!K:K),    valD, XLOOKUP(A114, RailDefinition!E:E, RailDefinition!H:H),    valE, XLOOKUP(A114,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4">
        <f t="array" ref="E114:E114">XLOOKUP(1,(RailDefinition!$F:$F=$A114)*(RailDefinition!$M:$M=E$1),RailDefinition!$S:$S,"")</f>
      </c>
      <c r="F114">
        <f t="array" ref="F114:F114">XLOOKUP(1,(RailDefinition!$F:$F=$A114)*(RailDefinition!$M:$M=F$1),RailDefinition!$S:$S,"")</f>
      </c>
      <c r="G114">
        <f t="array" ref="G114:G114">XLOOKUP(1,(RailDefinition!$F:$F=$A114)*(RailDefinition!$M:$M=G$1),RailDefinition!$S:$S,"")</f>
      </c>
      <c r="H114">
        <f t="array" ref="H114:H114">XLOOKUP(1,(RailDefinition!$F:$F=$A114)*(RailDefinition!$M:$M=H$1),RailDefinition!$S:$S,"")</f>
      </c>
      <c r="I114">
        <f t="array" ref="I114:I114">XLOOKUP(1,(RailDefinition!$F:$F=$A114)*(RailDefinition!$M:$M=I$1),RailDefinition!$S:$S,"")</f>
      </c>
      <c r="J114">
        <f t="array" ref="J114:J114">XLOOKUP(1,(RailDefinition!$F:$F=$A114)*(RailDefinition!$M:$M=J$1),RailDefinition!$S:$S,"")</f>
      </c>
    </row>
    <row r="115">
      <c r="B115" s="5">
        <f>IF(A115="", "", LET(    checkF, XLOOKUP(A115, RailDefinition!E:E, RailDefinition!J:J),    checkE, XLOOKUP(A115, RailDefinition!E:E, RailDefinition!I:I),    IF(OR(        checkF="Borderless",        checkF="Borderless_L",        AND(checkF="Borderless_I", checkE="L90"),        AND(checkF="Borderless_O", checkE="R90")    ), "", "Side")))</f>
      </c>
      <c r="C115" s="5">
        <f>IF(A115="", "", LET(    checkF, XLOOKUP(A115, RailDefinition!E:E, RailDefinition!J:J),    checkE, XLOOKUP(A115, RailDefinition!E:E, RailDefinition!I:I),    IF(OR(        checkF="Borderless",        checkF="Borderless_R",        AND(checkF="Borderless_O", checkE="L90"),        AND(checkF="Borderless_I", checkE="R90")    ), "", "Side")))</f>
      </c>
      <c r="D115" s="5">
        <f>IF(A115="", "", LET(    valG, XLOOKUP(A115, RailDefinition!E:E, RailDefinition!K:K),    valD, XLOOKUP(A115, RailDefinition!E:E, RailDefinition!H:H),    valE, XLOOKUP(A115,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5">
        <f t="array" ref="E115:E115">XLOOKUP(1,(RailDefinition!$F:$F=$A115)*(RailDefinition!$M:$M=E$1),RailDefinition!$S:$S,"")</f>
      </c>
      <c r="F115">
        <f t="array" ref="F115:F115">XLOOKUP(1,(RailDefinition!$F:$F=$A115)*(RailDefinition!$M:$M=F$1),RailDefinition!$S:$S,"")</f>
      </c>
      <c r="G115">
        <f t="array" ref="G115:G115">XLOOKUP(1,(RailDefinition!$F:$F=$A115)*(RailDefinition!$M:$M=G$1),RailDefinition!$S:$S,"")</f>
      </c>
      <c r="H115">
        <f t="array" ref="H115:H115">XLOOKUP(1,(RailDefinition!$F:$F=$A115)*(RailDefinition!$M:$M=H$1),RailDefinition!$S:$S,"")</f>
      </c>
      <c r="I115">
        <f t="array" ref="I115:I115">XLOOKUP(1,(RailDefinition!$F:$F=$A115)*(RailDefinition!$M:$M=I$1),RailDefinition!$S:$S,"")</f>
      </c>
      <c r="J115">
        <f t="array" ref="J115:J115">XLOOKUP(1,(RailDefinition!$F:$F=$A115)*(RailDefinition!$M:$M=J$1),RailDefinition!$S:$S,"")</f>
      </c>
    </row>
    <row r="116">
      <c r="B116" s="5">
        <f>IF(A116="", "", LET(    checkF, XLOOKUP(A116, RailDefinition!E:E, RailDefinition!J:J),    checkE, XLOOKUP(A116, RailDefinition!E:E, RailDefinition!I:I),    IF(OR(        checkF="Borderless",        checkF="Borderless_L",        AND(checkF="Borderless_I", checkE="L90"),        AND(checkF="Borderless_O", checkE="R90")    ), "", "Side")))</f>
      </c>
      <c r="C116" s="5">
        <f>IF(A116="", "", LET(    checkF, XLOOKUP(A116, RailDefinition!E:E, RailDefinition!J:J),    checkE, XLOOKUP(A116, RailDefinition!E:E, RailDefinition!I:I),    IF(OR(        checkF="Borderless",        checkF="Borderless_R",        AND(checkF="Borderless_O", checkE="L90"),        AND(checkF="Borderless_I", checkE="R90")    ), "", "Side")))</f>
      </c>
      <c r="D116" s="5">
        <f>IF(A116="", "", LET(    valG, XLOOKUP(A116, RailDefinition!E:E, RailDefinition!K:K),    valD, XLOOKUP(A116, RailDefinition!E:E, RailDefinition!H:H),    valE, XLOOKUP(A116,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6">
        <f t="array" ref="E116:E116">XLOOKUP(1,(RailDefinition!$F:$F=$A116)*(RailDefinition!$M:$M=E$1),RailDefinition!$S:$S,"")</f>
      </c>
      <c r="F116">
        <f t="array" ref="F116:F116">XLOOKUP(1,(RailDefinition!$F:$F=$A116)*(RailDefinition!$M:$M=F$1),RailDefinition!$S:$S,"")</f>
      </c>
      <c r="G116">
        <f t="array" ref="G116:G116">XLOOKUP(1,(RailDefinition!$F:$F=$A116)*(RailDefinition!$M:$M=G$1),RailDefinition!$S:$S,"")</f>
      </c>
      <c r="H116">
        <f t="array" ref="H116:H116">XLOOKUP(1,(RailDefinition!$F:$F=$A116)*(RailDefinition!$M:$M=H$1),RailDefinition!$S:$S,"")</f>
      </c>
      <c r="I116">
        <f t="array" ref="I116:I116">XLOOKUP(1,(RailDefinition!$F:$F=$A116)*(RailDefinition!$M:$M=I$1),RailDefinition!$S:$S,"")</f>
      </c>
      <c r="J116">
        <f t="array" ref="J116:J116">XLOOKUP(1,(RailDefinition!$F:$F=$A116)*(RailDefinition!$M:$M=J$1),RailDefinition!$S:$S,"")</f>
      </c>
    </row>
    <row r="117">
      <c r="B117" s="5">
        <f>IF(A117="", "", LET(    checkF, XLOOKUP(A117, RailDefinition!E:E, RailDefinition!J:J),    checkE, XLOOKUP(A117, RailDefinition!E:E, RailDefinition!I:I),    IF(OR(        checkF="Borderless",        checkF="Borderless_L",        AND(checkF="Borderless_I", checkE="L90"),        AND(checkF="Borderless_O", checkE="R90")    ), "", "Side")))</f>
      </c>
      <c r="C117" s="5">
        <f>IF(A117="", "", LET(    checkF, XLOOKUP(A117, RailDefinition!E:E, RailDefinition!J:J),    checkE, XLOOKUP(A117, RailDefinition!E:E, RailDefinition!I:I),    IF(OR(        checkF="Borderless",        checkF="Borderless_R",        AND(checkF="Borderless_O", checkE="L90"),        AND(checkF="Borderless_I", checkE="R90")    ), "", "Side")))</f>
      </c>
      <c r="D117" s="5">
        <f>IF(A117="", "", LET(    valG, XLOOKUP(A117, RailDefinition!E:E, RailDefinition!K:K),    valD, XLOOKUP(A117, RailDefinition!E:E, RailDefinition!H:H),    valE, XLOOKUP(A117,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7">
        <f t="array" ref="E117:E117">XLOOKUP(1,(RailDefinition!$F:$F=$A117)*(RailDefinition!$M:$M=E$1),RailDefinition!$S:$S,"")</f>
      </c>
      <c r="F117">
        <f t="array" ref="F117:F117">XLOOKUP(1,(RailDefinition!$F:$F=$A117)*(RailDefinition!$M:$M=F$1),RailDefinition!$S:$S,"")</f>
      </c>
      <c r="G117">
        <f t="array" ref="G117:G117">XLOOKUP(1,(RailDefinition!$F:$F=$A117)*(RailDefinition!$M:$M=G$1),RailDefinition!$S:$S,"")</f>
      </c>
      <c r="H117">
        <f t="array" ref="H117:H117">XLOOKUP(1,(RailDefinition!$F:$F=$A117)*(RailDefinition!$M:$M=H$1),RailDefinition!$S:$S,"")</f>
      </c>
      <c r="I117">
        <f t="array" ref="I117:I117">XLOOKUP(1,(RailDefinition!$F:$F=$A117)*(RailDefinition!$M:$M=I$1),RailDefinition!$S:$S,"")</f>
      </c>
      <c r="J117">
        <f t="array" ref="J117:J117">XLOOKUP(1,(RailDefinition!$F:$F=$A117)*(RailDefinition!$M:$M=J$1),RailDefinition!$S:$S,"")</f>
      </c>
    </row>
    <row r="118">
      <c r="B118" s="5">
        <f>IF(A118="", "", LET(    checkF, XLOOKUP(A118, RailDefinition!E:E, RailDefinition!J:J),    checkE, XLOOKUP(A118, RailDefinition!E:E, RailDefinition!I:I),    IF(OR(        checkF="Borderless",        checkF="Borderless_L",        AND(checkF="Borderless_I", checkE="L90"),        AND(checkF="Borderless_O", checkE="R90")    ), "", "Side")))</f>
      </c>
      <c r="C118" s="5">
        <f>IF(A118="", "", LET(    checkF, XLOOKUP(A118, RailDefinition!E:E, RailDefinition!J:J),    checkE, XLOOKUP(A118, RailDefinition!E:E, RailDefinition!I:I),    IF(OR(        checkF="Borderless",        checkF="Borderless_R",        AND(checkF="Borderless_O", checkE="L90"),        AND(checkF="Borderless_I", checkE="R90")    ), "", "Side")))</f>
      </c>
      <c r="D118" s="5">
        <f>IF(A118="", "", LET(    valG, XLOOKUP(A118, RailDefinition!E:E, RailDefinition!K:K),    valD, XLOOKUP(A118, RailDefinition!E:E, RailDefinition!H:H),    valE, XLOOKUP(A118,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8">
        <f t="array" ref="E118:E118">XLOOKUP(1,(RailDefinition!$F:$F=$A118)*(RailDefinition!$M:$M=E$1),RailDefinition!$S:$S,"")</f>
      </c>
      <c r="F118">
        <f t="array" ref="F118:F118">XLOOKUP(1,(RailDefinition!$F:$F=$A118)*(RailDefinition!$M:$M=F$1),RailDefinition!$S:$S,"")</f>
      </c>
      <c r="G118">
        <f t="array" ref="G118:G118">XLOOKUP(1,(RailDefinition!$F:$F=$A118)*(RailDefinition!$M:$M=G$1),RailDefinition!$S:$S,"")</f>
      </c>
      <c r="H118">
        <f t="array" ref="H118:H118">XLOOKUP(1,(RailDefinition!$F:$F=$A118)*(RailDefinition!$M:$M=H$1),RailDefinition!$S:$S,"")</f>
      </c>
      <c r="I118">
        <f t="array" ref="I118:I118">XLOOKUP(1,(RailDefinition!$F:$F=$A118)*(RailDefinition!$M:$M=I$1),RailDefinition!$S:$S,"")</f>
      </c>
      <c r="J118">
        <f t="array" ref="J118:J118">XLOOKUP(1,(RailDefinition!$F:$F=$A118)*(RailDefinition!$M:$M=J$1),RailDefinition!$S:$S,"")</f>
      </c>
    </row>
    <row r="119">
      <c r="B119" s="5">
        <f>IF(A119="", "", LET(    checkF, XLOOKUP(A119, RailDefinition!E:E, RailDefinition!J:J),    checkE, XLOOKUP(A119, RailDefinition!E:E, RailDefinition!I:I),    IF(OR(        checkF="Borderless",        checkF="Borderless_L",        AND(checkF="Borderless_I", checkE="L90"),        AND(checkF="Borderless_O", checkE="R90")    ), "", "Side")))</f>
      </c>
      <c r="C119" s="5">
        <f>IF(A119="", "", LET(    checkF, XLOOKUP(A119, RailDefinition!E:E, RailDefinition!J:J),    checkE, XLOOKUP(A119, RailDefinition!E:E, RailDefinition!I:I),    IF(OR(        checkF="Borderless",        checkF="Borderless_R",        AND(checkF="Borderless_O", checkE="L90"),        AND(checkF="Borderless_I", checkE="R90")    ), "", "Side")))</f>
      </c>
      <c r="D119" s="5">
        <f>IF(A119="", "", LET(    valG, XLOOKUP(A119, RailDefinition!E:E, RailDefinition!K:K),    valD, XLOOKUP(A119, RailDefinition!E:E, RailDefinition!H:H),    valE, XLOOKUP(A119,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19">
        <f t="array" ref="E119:E119">XLOOKUP(1,(RailDefinition!$F:$F=$A119)*(RailDefinition!$M:$M=E$1),RailDefinition!$S:$S,"")</f>
      </c>
      <c r="F119">
        <f t="array" ref="F119:F119">XLOOKUP(1,(RailDefinition!$F:$F=$A119)*(RailDefinition!$M:$M=F$1),RailDefinition!$S:$S,"")</f>
      </c>
      <c r="G119">
        <f t="array" ref="G119:G119">XLOOKUP(1,(RailDefinition!$F:$F=$A119)*(RailDefinition!$M:$M=G$1),RailDefinition!$S:$S,"")</f>
      </c>
      <c r="H119">
        <f t="array" ref="H119:H119">XLOOKUP(1,(RailDefinition!$F:$F=$A119)*(RailDefinition!$M:$M=H$1),RailDefinition!$S:$S,"")</f>
      </c>
      <c r="I119">
        <f t="array" ref="I119:I119">XLOOKUP(1,(RailDefinition!$F:$F=$A119)*(RailDefinition!$M:$M=I$1),RailDefinition!$S:$S,"")</f>
      </c>
      <c r="J119">
        <f t="array" ref="J119:J119">XLOOKUP(1,(RailDefinition!$F:$F=$A119)*(RailDefinition!$M:$M=J$1),RailDefinition!$S:$S,"")</f>
      </c>
    </row>
    <row r="120">
      <c r="B120" s="5">
        <f>IF(A120="", "", LET(    checkF, XLOOKUP(A120, RailDefinition!E:E, RailDefinition!J:J),    checkE, XLOOKUP(A120, RailDefinition!E:E, RailDefinition!I:I),    IF(OR(        checkF="Borderless",        checkF="Borderless_L",        AND(checkF="Borderless_I", checkE="L90"),        AND(checkF="Borderless_O", checkE="R90")    ), "", "Side")))</f>
      </c>
      <c r="C120" s="5">
        <f>IF(A120="", "", LET(    checkF, XLOOKUP(A120, RailDefinition!E:E, RailDefinition!J:J),    checkE, XLOOKUP(A120, RailDefinition!E:E, RailDefinition!I:I),    IF(OR(        checkF="Borderless",        checkF="Borderless_R",        AND(checkF="Borderless_O", checkE="L90"),        AND(checkF="Borderless_I", checkE="R90")    ), "", "Side")))</f>
      </c>
      <c r="D120" s="5">
        <f>IF(A120="", "", LET(    valG, XLOOKUP(A120, RailDefinition!E:E, RailDefinition!K:K),    valD, XLOOKUP(A120, RailDefinition!E:E, RailDefinition!H:H),    valE, XLOOKUP(A120,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0">
        <f t="array" ref="E120:E120">XLOOKUP(1,(RailDefinition!$F:$F=$A120)*(RailDefinition!$M:$M=E$1),RailDefinition!$S:$S,"")</f>
      </c>
      <c r="F120">
        <f t="array" ref="F120:F120">XLOOKUP(1,(RailDefinition!$F:$F=$A120)*(RailDefinition!$M:$M=F$1),RailDefinition!$S:$S,"")</f>
      </c>
      <c r="G120">
        <f t="array" ref="G120:G120">XLOOKUP(1,(RailDefinition!$F:$F=$A120)*(RailDefinition!$M:$M=G$1),RailDefinition!$S:$S,"")</f>
      </c>
      <c r="H120">
        <f t="array" ref="H120:H120">XLOOKUP(1,(RailDefinition!$F:$F=$A120)*(RailDefinition!$M:$M=H$1),RailDefinition!$S:$S,"")</f>
      </c>
      <c r="I120">
        <f t="array" ref="I120:I120">XLOOKUP(1,(RailDefinition!$F:$F=$A120)*(RailDefinition!$M:$M=I$1),RailDefinition!$S:$S,"")</f>
      </c>
      <c r="J120">
        <f t="array" ref="J120:J120">XLOOKUP(1,(RailDefinition!$F:$F=$A120)*(RailDefinition!$M:$M=J$1),RailDefinition!$S:$S,"")</f>
      </c>
    </row>
    <row r="121">
      <c r="B121" s="5">
        <f>IF(A121="", "", LET(    checkF, XLOOKUP(A121, RailDefinition!E:E, RailDefinition!J:J),    checkE, XLOOKUP(A121, RailDefinition!E:E, RailDefinition!I:I),    IF(OR(        checkF="Borderless",        checkF="Borderless_L",        AND(checkF="Borderless_I", checkE="L90"),        AND(checkF="Borderless_O", checkE="R90")    ), "", "Side")))</f>
      </c>
      <c r="C121" s="5">
        <f>IF(A121="", "", LET(    checkF, XLOOKUP(A121, RailDefinition!E:E, RailDefinition!J:J),    checkE, XLOOKUP(A121, RailDefinition!E:E, RailDefinition!I:I),    IF(OR(        checkF="Borderless",        checkF="Borderless_R",        AND(checkF="Borderless_O", checkE="L90"),        AND(checkF="Borderless_I", checkE="R90")    ), "", "Side")))</f>
      </c>
      <c r="D121" s="5">
        <f>IF(A121="", "", LET(    valG, XLOOKUP(A121, RailDefinition!E:E, RailDefinition!K:K),    valD, XLOOKUP(A121, RailDefinition!E:E, RailDefinition!H:H),    valE, XLOOKUP(A121,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1">
        <f t="array" ref="E121:E121">XLOOKUP(1,(RailDefinition!$F:$F=$A121)*(RailDefinition!$M:$M=E$1),RailDefinition!$S:$S,"")</f>
      </c>
      <c r="F121">
        <f t="array" ref="F121:F121">XLOOKUP(1,(RailDefinition!$F:$F=$A121)*(RailDefinition!$M:$M=F$1),RailDefinition!$S:$S,"")</f>
      </c>
      <c r="G121">
        <f t="array" ref="G121:G121">XLOOKUP(1,(RailDefinition!$F:$F=$A121)*(RailDefinition!$M:$M=G$1),RailDefinition!$S:$S,"")</f>
      </c>
      <c r="H121">
        <f t="array" ref="H121:H121">XLOOKUP(1,(RailDefinition!$F:$F=$A121)*(RailDefinition!$M:$M=H$1),RailDefinition!$S:$S,"")</f>
      </c>
      <c r="I121">
        <f t="array" ref="I121:I121">XLOOKUP(1,(RailDefinition!$F:$F=$A121)*(RailDefinition!$M:$M=I$1),RailDefinition!$S:$S,"")</f>
      </c>
      <c r="J121">
        <f t="array" ref="J121:J121">XLOOKUP(1,(RailDefinition!$F:$F=$A121)*(RailDefinition!$M:$M=J$1),RailDefinition!$S:$S,"")</f>
      </c>
    </row>
    <row r="122">
      <c r="B122" s="5">
        <f>IF(A122="", "", LET(    checkF, XLOOKUP(A122, RailDefinition!E:E, RailDefinition!J:J),    checkE, XLOOKUP(A122, RailDefinition!E:E, RailDefinition!I:I),    IF(OR(        checkF="Borderless",        checkF="Borderless_L",        AND(checkF="Borderless_I", checkE="L90"),        AND(checkF="Borderless_O", checkE="R90")    ), "", "Side")))</f>
      </c>
      <c r="C122" s="5">
        <f>IF(A122="", "", LET(    checkF, XLOOKUP(A122, RailDefinition!E:E, RailDefinition!J:J),    checkE, XLOOKUP(A122, RailDefinition!E:E, RailDefinition!I:I),    IF(OR(        checkF="Borderless",        checkF="Borderless_R",        AND(checkF="Borderless_O", checkE="L90"),        AND(checkF="Borderless_I", checkE="R90")    ), "", "Side")))</f>
      </c>
      <c r="D122" s="5">
        <f>IF(A122="", "", LET(    valG, XLOOKUP(A122, RailDefinition!E:E, RailDefinition!K:K),    valD, XLOOKUP(A122, RailDefinition!E:E, RailDefinition!H:H),    valE, XLOOKUP(A122,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2">
        <f t="array" ref="E122:E122">XLOOKUP(1,(RailDefinition!$F:$F=$A122)*(RailDefinition!$M:$M=E$1),RailDefinition!$S:$S,"")</f>
      </c>
      <c r="F122">
        <f t="array" ref="F122:F122">XLOOKUP(1,(RailDefinition!$F:$F=$A122)*(RailDefinition!$M:$M=F$1),RailDefinition!$S:$S,"")</f>
      </c>
      <c r="G122">
        <f t="array" ref="G122:G122">XLOOKUP(1,(RailDefinition!$F:$F=$A122)*(RailDefinition!$M:$M=G$1),RailDefinition!$S:$S,"")</f>
      </c>
      <c r="H122">
        <f t="array" ref="H122:H122">XLOOKUP(1,(RailDefinition!$F:$F=$A122)*(RailDefinition!$M:$M=H$1),RailDefinition!$S:$S,"")</f>
      </c>
      <c r="I122">
        <f t="array" ref="I122:I122">XLOOKUP(1,(RailDefinition!$F:$F=$A122)*(RailDefinition!$M:$M=I$1),RailDefinition!$S:$S,"")</f>
      </c>
      <c r="J122">
        <f t="array" ref="J122:J122">XLOOKUP(1,(RailDefinition!$F:$F=$A122)*(RailDefinition!$M:$M=J$1),RailDefinition!$S:$S,"")</f>
      </c>
    </row>
    <row r="123">
      <c r="B123" s="5">
        <f>IF(A123="", "", LET(    checkF, XLOOKUP(A123, RailDefinition!E:E, RailDefinition!J:J),    checkE, XLOOKUP(A123, RailDefinition!E:E, RailDefinition!I:I),    IF(OR(        checkF="Borderless",        checkF="Borderless_L",        AND(checkF="Borderless_I", checkE="L90"),        AND(checkF="Borderless_O", checkE="R90")    ), "", "Side")))</f>
      </c>
      <c r="C123" s="5">
        <f>IF(A123="", "", LET(    checkF, XLOOKUP(A123, RailDefinition!E:E, RailDefinition!J:J),    checkE, XLOOKUP(A123, RailDefinition!E:E, RailDefinition!I:I),    IF(OR(        checkF="Borderless",        checkF="Borderless_R",        AND(checkF="Borderless_O", checkE="L90"),        AND(checkF="Borderless_I", checkE="R90")    ), "", "Side")))</f>
      </c>
      <c r="D123" s="5">
        <f>IF(A123="", "", LET(    valG, XLOOKUP(A123, RailDefinition!E:E, RailDefinition!K:K),    valD, XLOOKUP(A123, RailDefinition!E:E, RailDefinition!H:H),    valE, XLOOKUP(A123,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3">
        <f t="array" ref="E123:E123">XLOOKUP(1,(RailDefinition!$F:$F=$A123)*(RailDefinition!$M:$M=E$1),RailDefinition!$S:$S,"")</f>
      </c>
      <c r="F123">
        <f t="array" ref="F123:F123">XLOOKUP(1,(RailDefinition!$F:$F=$A123)*(RailDefinition!$M:$M=F$1),RailDefinition!$S:$S,"")</f>
      </c>
      <c r="G123">
        <f t="array" ref="G123:G123">XLOOKUP(1,(RailDefinition!$F:$F=$A123)*(RailDefinition!$M:$M=G$1),RailDefinition!$S:$S,"")</f>
      </c>
      <c r="H123">
        <f t="array" ref="H123:H123">XLOOKUP(1,(RailDefinition!$F:$F=$A123)*(RailDefinition!$M:$M=H$1),RailDefinition!$S:$S,"")</f>
      </c>
      <c r="I123">
        <f t="array" ref="I123:I123">XLOOKUP(1,(RailDefinition!$F:$F=$A123)*(RailDefinition!$M:$M=I$1),RailDefinition!$S:$S,"")</f>
      </c>
      <c r="J123">
        <f t="array" ref="J123:J123">XLOOKUP(1,(RailDefinition!$F:$F=$A123)*(RailDefinition!$M:$M=J$1),RailDefinition!$S:$S,"")</f>
      </c>
    </row>
    <row r="124">
      <c r="B124" s="5">
        <f>IF(A124="", "", LET(    checkF, XLOOKUP(A124, RailDefinition!E:E, RailDefinition!J:J),    checkE, XLOOKUP(A124, RailDefinition!E:E, RailDefinition!I:I),    IF(OR(        checkF="Borderless",        checkF="Borderless_L",        AND(checkF="Borderless_I", checkE="L90"),        AND(checkF="Borderless_O", checkE="R90")    ), "", "Side")))</f>
      </c>
      <c r="C124" s="5">
        <f>IF(A124="", "", LET(    checkF, XLOOKUP(A124, RailDefinition!E:E, RailDefinition!J:J),    checkE, XLOOKUP(A124, RailDefinition!E:E, RailDefinition!I:I),    IF(OR(        checkF="Borderless",        checkF="Borderless_R",        AND(checkF="Borderless_O", checkE="L90"),        AND(checkF="Borderless_I", checkE="R90")    ), "", "Side")))</f>
      </c>
      <c r="D124" s="5">
        <f>IF(A124="", "", LET(    valG, XLOOKUP(A124, RailDefinition!E:E, RailDefinition!K:K),    valD, XLOOKUP(A124, RailDefinition!E:E, RailDefinition!H:H),    valE, XLOOKUP(A124,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4">
        <f t="array" ref="E124:E124">XLOOKUP(1,(RailDefinition!$F:$F=$A124)*(RailDefinition!$M:$M=E$1),RailDefinition!$S:$S,"")</f>
      </c>
      <c r="F124">
        <f t="array" ref="F124:F124">XLOOKUP(1,(RailDefinition!$F:$F=$A124)*(RailDefinition!$M:$M=F$1),RailDefinition!$S:$S,"")</f>
      </c>
      <c r="G124">
        <f t="array" ref="G124:G124">XLOOKUP(1,(RailDefinition!$F:$F=$A124)*(RailDefinition!$M:$M=G$1),RailDefinition!$S:$S,"")</f>
      </c>
      <c r="H124">
        <f t="array" ref="H124:H124">XLOOKUP(1,(RailDefinition!$F:$F=$A124)*(RailDefinition!$M:$M=H$1),RailDefinition!$S:$S,"")</f>
      </c>
      <c r="I124">
        <f t="array" ref="I124:I124">XLOOKUP(1,(RailDefinition!$F:$F=$A124)*(RailDefinition!$M:$M=I$1),RailDefinition!$S:$S,"")</f>
      </c>
      <c r="J124">
        <f t="array" ref="J124:J124">XLOOKUP(1,(RailDefinition!$F:$F=$A124)*(RailDefinition!$M:$M=J$1),RailDefinition!$S:$S,"")</f>
      </c>
    </row>
    <row r="125">
      <c r="B125" s="5">
        <f>IF(A125="", "", LET(    checkF, XLOOKUP(A125, RailDefinition!E:E, RailDefinition!J:J),    checkE, XLOOKUP(A125, RailDefinition!E:E, RailDefinition!I:I),    IF(OR(        checkF="Borderless",        checkF="Borderless_L",        AND(checkF="Borderless_I", checkE="L90"),        AND(checkF="Borderless_O", checkE="R90")    ), "", "Side")))</f>
      </c>
      <c r="C125" s="5">
        <f>IF(A125="", "", LET(    checkF, XLOOKUP(A125, RailDefinition!E:E, RailDefinition!J:J),    checkE, XLOOKUP(A125, RailDefinition!E:E, RailDefinition!I:I),    IF(OR(        checkF="Borderless",        checkF="Borderless_R",        AND(checkF="Borderless_O", checkE="L90"),        AND(checkF="Borderless_I", checkE="R90")    ), "", "Side")))</f>
      </c>
      <c r="D125" s="5">
        <f>IF(A125="", "", LET(    valG, XLOOKUP(A125, RailDefinition!E:E, RailDefinition!K:K),    valD, XLOOKUP(A125, RailDefinition!E:E, RailDefinition!H:H),    valE, XLOOKUP(A125,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5">
        <f t="array" ref="E125:E125">XLOOKUP(1,(RailDefinition!$F:$F=$A125)*(RailDefinition!$M:$M=E$1),RailDefinition!$S:$S,"")</f>
      </c>
      <c r="F125">
        <f t="array" ref="F125:F125">XLOOKUP(1,(RailDefinition!$F:$F=$A125)*(RailDefinition!$M:$M=F$1),RailDefinition!$S:$S,"")</f>
      </c>
      <c r="G125">
        <f t="array" ref="G125:G125">XLOOKUP(1,(RailDefinition!$F:$F=$A125)*(RailDefinition!$M:$M=G$1),RailDefinition!$S:$S,"")</f>
      </c>
      <c r="H125">
        <f t="array" ref="H125:H125">XLOOKUP(1,(RailDefinition!$F:$F=$A125)*(RailDefinition!$M:$M=H$1),RailDefinition!$S:$S,"")</f>
      </c>
      <c r="I125">
        <f t="array" ref="I125:I125">XLOOKUP(1,(RailDefinition!$F:$F=$A125)*(RailDefinition!$M:$M=I$1),RailDefinition!$S:$S,"")</f>
      </c>
      <c r="J125">
        <f t="array" ref="J125:J125">XLOOKUP(1,(RailDefinition!$F:$F=$A125)*(RailDefinition!$M:$M=J$1),RailDefinition!$S:$S,"")</f>
      </c>
    </row>
    <row r="126">
      <c r="B126" s="5">
        <f>IF(A126="", "", LET(    checkF, XLOOKUP(A126, RailDefinition!E:E, RailDefinition!J:J),    checkE, XLOOKUP(A126, RailDefinition!E:E, RailDefinition!I:I),    IF(OR(        checkF="Borderless",        checkF="Borderless_L",        AND(checkF="Borderless_I", checkE="L90"),        AND(checkF="Borderless_O", checkE="R90")    ), "", "Side")))</f>
      </c>
      <c r="C126" s="5">
        <f>IF(A126="", "", LET(    checkF, XLOOKUP(A126, RailDefinition!E:E, RailDefinition!J:J),    checkE, XLOOKUP(A126, RailDefinition!E:E, RailDefinition!I:I),    IF(OR(        checkF="Borderless",        checkF="Borderless_R",        AND(checkF="Borderless_O", checkE="L90"),        AND(checkF="Borderless_I", checkE="R90")    ), "", "Side")))</f>
      </c>
      <c r="D126" s="5">
        <f>IF(A126="", "", LET(    valG, XLOOKUP(A126, RailDefinition!E:E, RailDefinition!K:K),    valD, XLOOKUP(A126, RailDefinition!E:E, RailDefinition!H:H),    valE, XLOOKUP(A126,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6">
        <f t="array" ref="E126:E126">XLOOKUP(1,(RailDefinition!$F:$F=$A126)*(RailDefinition!$M:$M=E$1),RailDefinition!$S:$S,"")</f>
      </c>
      <c r="F126">
        <f t="array" ref="F126:F126">XLOOKUP(1,(RailDefinition!$F:$F=$A126)*(RailDefinition!$M:$M=F$1),RailDefinition!$S:$S,"")</f>
      </c>
      <c r="G126">
        <f t="array" ref="G126:G126">XLOOKUP(1,(RailDefinition!$F:$F=$A126)*(RailDefinition!$M:$M=G$1),RailDefinition!$S:$S,"")</f>
      </c>
      <c r="H126">
        <f t="array" ref="H126:H126">XLOOKUP(1,(RailDefinition!$F:$F=$A126)*(RailDefinition!$M:$M=H$1),RailDefinition!$S:$S,"")</f>
      </c>
      <c r="I126">
        <f t="array" ref="I126:I126">XLOOKUP(1,(RailDefinition!$F:$F=$A126)*(RailDefinition!$M:$M=I$1),RailDefinition!$S:$S,"")</f>
      </c>
      <c r="J126">
        <f t="array" ref="J126:J126">XLOOKUP(1,(RailDefinition!$F:$F=$A126)*(RailDefinition!$M:$M=J$1),RailDefinition!$S:$S,"")</f>
      </c>
    </row>
    <row r="127">
      <c r="B127" s="5">
        <f>IF(A127="", "", LET(    checkF, XLOOKUP(A127, RailDefinition!E:E, RailDefinition!J:J),    checkE, XLOOKUP(A127, RailDefinition!E:E, RailDefinition!I:I),    IF(OR(        checkF="Borderless",        checkF="Borderless_L",        AND(checkF="Borderless_I", checkE="L90"),        AND(checkF="Borderless_O", checkE="R90")    ), "", "Side")))</f>
      </c>
      <c r="C127" s="5">
        <f>IF(A127="", "", LET(    checkF, XLOOKUP(A127, RailDefinition!E:E, RailDefinition!J:J),    checkE, XLOOKUP(A127, RailDefinition!E:E, RailDefinition!I:I),    IF(OR(        checkF="Borderless",        checkF="Borderless_R",        AND(checkF="Borderless_O", checkE="L90"),        AND(checkF="Borderless_I", checkE="R90")    ), "", "Side")))</f>
      </c>
      <c r="D127" s="5">
        <f>IF(A127="", "", LET(    valG, XLOOKUP(A127, RailDefinition!E:E, RailDefinition!K:K),    valD, XLOOKUP(A127, RailDefinition!E:E, RailDefinition!H:H),    valE, XLOOKUP(A127,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7">
        <f t="array" ref="E127:E127">XLOOKUP(1,(RailDefinition!$F:$F=$A127)*(RailDefinition!$M:$M=E$1),RailDefinition!$S:$S,"")</f>
      </c>
      <c r="F127">
        <f t="array" ref="F127:F127">XLOOKUP(1,(RailDefinition!$F:$F=$A127)*(RailDefinition!$M:$M=F$1),RailDefinition!$S:$S,"")</f>
      </c>
      <c r="G127">
        <f t="array" ref="G127:G127">XLOOKUP(1,(RailDefinition!$F:$F=$A127)*(RailDefinition!$M:$M=G$1),RailDefinition!$S:$S,"")</f>
      </c>
      <c r="H127">
        <f t="array" ref="H127:H127">XLOOKUP(1,(RailDefinition!$F:$F=$A127)*(RailDefinition!$M:$M=H$1),RailDefinition!$S:$S,"")</f>
      </c>
      <c r="I127">
        <f t="array" ref="I127:I127">XLOOKUP(1,(RailDefinition!$F:$F=$A127)*(RailDefinition!$M:$M=I$1),RailDefinition!$S:$S,"")</f>
      </c>
      <c r="J127">
        <f t="array" ref="J127:J127">XLOOKUP(1,(RailDefinition!$F:$F=$A127)*(RailDefinition!$M:$M=J$1),RailDefinition!$S:$S,"")</f>
      </c>
    </row>
    <row r="128">
      <c r="B128" s="5">
        <f>IF(A128="", "", LET(    checkF, XLOOKUP(A128, RailDefinition!E:E, RailDefinition!J:J),    checkE, XLOOKUP(A128, RailDefinition!E:E, RailDefinition!I:I),    IF(OR(        checkF="Borderless",        checkF="Borderless_L",        AND(checkF="Borderless_I", checkE="L90"),        AND(checkF="Borderless_O", checkE="R90")    ), "", "Side")))</f>
      </c>
      <c r="C128" s="5">
        <f>IF(A128="", "", LET(    checkF, XLOOKUP(A128, RailDefinition!E:E, RailDefinition!J:J),    checkE, XLOOKUP(A128, RailDefinition!E:E, RailDefinition!I:I),    IF(OR(        checkF="Borderless",        checkF="Borderless_R",        AND(checkF="Borderless_O", checkE="L90"),        AND(checkF="Borderless_I", checkE="R90")    ), "", "Side")))</f>
      </c>
      <c r="D128" s="5">
        <f>IF(A128="", "", LET(    valG, XLOOKUP(A128, RailDefinition!E:E, RailDefinition!K:K),    valD, XLOOKUP(A128, RailDefinition!E:E, RailDefinition!H:H),    valE, XLOOKUP(A128,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8">
        <f t="array" ref="E128:E128">XLOOKUP(1,(RailDefinition!$F:$F=$A128)*(RailDefinition!$M:$M=E$1),RailDefinition!$S:$S,"")</f>
      </c>
      <c r="F128">
        <f t="array" ref="F128:F128">XLOOKUP(1,(RailDefinition!$F:$F=$A128)*(RailDefinition!$M:$M=F$1),RailDefinition!$S:$S,"")</f>
      </c>
      <c r="G128">
        <f t="array" ref="G128:G128">XLOOKUP(1,(RailDefinition!$F:$F=$A128)*(RailDefinition!$M:$M=G$1),RailDefinition!$S:$S,"")</f>
      </c>
      <c r="H128">
        <f t="array" ref="H128:H128">XLOOKUP(1,(RailDefinition!$F:$F=$A128)*(RailDefinition!$M:$M=H$1),RailDefinition!$S:$S,"")</f>
      </c>
      <c r="I128">
        <f t="array" ref="I128:I128">XLOOKUP(1,(RailDefinition!$F:$F=$A128)*(RailDefinition!$M:$M=I$1),RailDefinition!$S:$S,"")</f>
      </c>
      <c r="J128">
        <f t="array" ref="J128:J128">XLOOKUP(1,(RailDefinition!$F:$F=$A128)*(RailDefinition!$M:$M=J$1),RailDefinition!$S:$S,"")</f>
      </c>
    </row>
    <row r="129">
      <c r="B129" s="5">
        <f>IF(A129="", "", LET(    checkF, XLOOKUP(A129, RailDefinition!E:E, RailDefinition!J:J),    checkE, XLOOKUP(A129, RailDefinition!E:E, RailDefinition!I:I),    IF(OR(        checkF="Borderless",        checkF="Borderless_L",        AND(checkF="Borderless_I", checkE="L90"),        AND(checkF="Borderless_O", checkE="R90")    ), "", "Side")))</f>
      </c>
      <c r="C129" s="5">
        <f>IF(A129="", "", LET(    checkF, XLOOKUP(A129, RailDefinition!E:E, RailDefinition!J:J),    checkE, XLOOKUP(A129, RailDefinition!E:E, RailDefinition!I:I),    IF(OR(        checkF="Borderless",        checkF="Borderless_R",        AND(checkF="Borderless_O", checkE="L90"),        AND(checkF="Borderless_I", checkE="R90")    ), "", "Side")))</f>
      </c>
      <c r="D129" s="5">
        <f>IF(A129="", "", LET(    valG, XLOOKUP(A129, RailDefinition!E:E, RailDefinition!K:K),    valD, XLOOKUP(A129, RailDefinition!E:E, RailDefinition!H:H),    valE, XLOOKUP(A129,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29">
        <f t="array" ref="E129:E129">XLOOKUP(1,(RailDefinition!$F:$F=$A129)*(RailDefinition!$M:$M=E$1),RailDefinition!$S:$S,"")</f>
      </c>
      <c r="F129">
        <f t="array" ref="F129:F129">XLOOKUP(1,(RailDefinition!$F:$F=$A129)*(RailDefinition!$M:$M=F$1),RailDefinition!$S:$S,"")</f>
      </c>
      <c r="G129">
        <f t="array" ref="G129:G129">XLOOKUP(1,(RailDefinition!$F:$F=$A129)*(RailDefinition!$M:$M=G$1),RailDefinition!$S:$S,"")</f>
      </c>
      <c r="H129">
        <f t="array" ref="H129:H129">XLOOKUP(1,(RailDefinition!$F:$F=$A129)*(RailDefinition!$M:$M=H$1),RailDefinition!$S:$S,"")</f>
      </c>
      <c r="I129">
        <f t="array" ref="I129:I129">XLOOKUP(1,(RailDefinition!$F:$F=$A129)*(RailDefinition!$M:$M=I$1),RailDefinition!$S:$S,"")</f>
      </c>
      <c r="J129">
        <f t="array" ref="J129:J129">XLOOKUP(1,(RailDefinition!$F:$F=$A129)*(RailDefinition!$M:$M=J$1),RailDefinition!$S:$S,"")</f>
      </c>
    </row>
    <row r="130">
      <c r="B130" s="5">
        <f>IF(A130="", "", LET(    checkF, XLOOKUP(A130, RailDefinition!E:E, RailDefinition!J:J),    checkE, XLOOKUP(A130, RailDefinition!E:E, RailDefinition!I:I),    IF(OR(        checkF="Borderless",        checkF="Borderless_L",        AND(checkF="Borderless_I", checkE="L90"),        AND(checkF="Borderless_O", checkE="R90")    ), "", "Side")))</f>
      </c>
      <c r="C130" s="5">
        <f>IF(A130="", "", LET(    checkF, XLOOKUP(A130, RailDefinition!E:E, RailDefinition!J:J),    checkE, XLOOKUP(A130, RailDefinition!E:E, RailDefinition!I:I),    IF(OR(        checkF="Borderless",        checkF="Borderless_R",        AND(checkF="Borderless_O", checkE="L90"),        AND(checkF="Borderless_I", checkE="R90")    ), "", "Side")))</f>
      </c>
      <c r="D130" s="5">
        <f>IF(A130="", "", LET(    valG, XLOOKUP(A130, RailDefinition!E:E, RailDefinition!K:K),    valD, XLOOKUP(A130, RailDefinition!E:E, RailDefinition!H:H),    valE, XLOOKUP(A130,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0">
        <f t="array" ref="E130:E130">XLOOKUP(1,(RailDefinition!$F:$F=$A130)*(RailDefinition!$M:$M=E$1),RailDefinition!$S:$S,"")</f>
      </c>
      <c r="F130">
        <f t="array" ref="F130:F130">XLOOKUP(1,(RailDefinition!$F:$F=$A130)*(RailDefinition!$M:$M=F$1),RailDefinition!$S:$S,"")</f>
      </c>
      <c r="G130">
        <f t="array" ref="G130:G130">XLOOKUP(1,(RailDefinition!$F:$F=$A130)*(RailDefinition!$M:$M=G$1),RailDefinition!$S:$S,"")</f>
      </c>
      <c r="H130">
        <f t="array" ref="H130:H130">XLOOKUP(1,(RailDefinition!$F:$F=$A130)*(RailDefinition!$M:$M=H$1),RailDefinition!$S:$S,"")</f>
      </c>
      <c r="I130">
        <f t="array" ref="I130:I130">XLOOKUP(1,(RailDefinition!$F:$F=$A130)*(RailDefinition!$M:$M=I$1),RailDefinition!$S:$S,"")</f>
      </c>
      <c r="J130">
        <f t="array" ref="J130:J130">XLOOKUP(1,(RailDefinition!$F:$F=$A130)*(RailDefinition!$M:$M=J$1),RailDefinition!$S:$S,"")</f>
      </c>
    </row>
    <row r="131">
      <c r="B131" s="5">
        <f>IF(A131="", "", LET(    checkF, XLOOKUP(A131, RailDefinition!E:E, RailDefinition!J:J),    checkE, XLOOKUP(A131, RailDefinition!E:E, RailDefinition!I:I),    IF(OR(        checkF="Borderless",        checkF="Borderless_L",        AND(checkF="Borderless_I", checkE="L90"),        AND(checkF="Borderless_O", checkE="R90")    ), "", "Side")))</f>
      </c>
      <c r="C131" s="5">
        <f>IF(A131="", "", LET(    checkF, XLOOKUP(A131, RailDefinition!E:E, RailDefinition!J:J),    checkE, XLOOKUP(A131, RailDefinition!E:E, RailDefinition!I:I),    IF(OR(        checkF="Borderless",        checkF="Borderless_R",        AND(checkF="Borderless_O", checkE="L90"),        AND(checkF="Borderless_I", checkE="R90")    ), "", "Side")))</f>
      </c>
      <c r="D131" s="5">
        <f>IF(A131="", "", LET(    valG, XLOOKUP(A131, RailDefinition!E:E, RailDefinition!K:K),    valD, XLOOKUP(A131, RailDefinition!E:E, RailDefinition!H:H),    valE, XLOOKUP(A131,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1">
        <f t="array" ref="E131:E131">XLOOKUP(1,(RailDefinition!$F:$F=$A131)*(RailDefinition!$M:$M=E$1),RailDefinition!$S:$S,"")</f>
      </c>
      <c r="F131">
        <f t="array" ref="F131:F131">XLOOKUP(1,(RailDefinition!$F:$F=$A131)*(RailDefinition!$M:$M=F$1),RailDefinition!$S:$S,"")</f>
      </c>
      <c r="G131">
        <f t="array" ref="G131:G131">XLOOKUP(1,(RailDefinition!$F:$F=$A131)*(RailDefinition!$M:$M=G$1),RailDefinition!$S:$S,"")</f>
      </c>
      <c r="H131">
        <f t="array" ref="H131:H131">XLOOKUP(1,(RailDefinition!$F:$F=$A131)*(RailDefinition!$M:$M=H$1),RailDefinition!$S:$S,"")</f>
      </c>
      <c r="I131">
        <f t="array" ref="I131:I131">XLOOKUP(1,(RailDefinition!$F:$F=$A131)*(RailDefinition!$M:$M=I$1),RailDefinition!$S:$S,"")</f>
      </c>
      <c r="J131">
        <f t="array" ref="J131:J131">XLOOKUP(1,(RailDefinition!$F:$F=$A131)*(RailDefinition!$M:$M=J$1),RailDefinition!$S:$S,"")</f>
      </c>
    </row>
    <row r="132">
      <c r="B132" s="5">
        <f>IF(A132="", "", LET(    checkF, XLOOKUP(A132, RailDefinition!E:E, RailDefinition!J:J),    checkE, XLOOKUP(A132, RailDefinition!E:E, RailDefinition!I:I),    IF(OR(        checkF="Borderless",        checkF="Borderless_L",        AND(checkF="Borderless_I", checkE="L90"),        AND(checkF="Borderless_O", checkE="R90")    ), "", "Side")))</f>
      </c>
      <c r="C132" s="5">
        <f>IF(A132="", "", LET(    checkF, XLOOKUP(A132, RailDefinition!E:E, RailDefinition!J:J),    checkE, XLOOKUP(A132, RailDefinition!E:E, RailDefinition!I:I),    IF(OR(        checkF="Borderless",        checkF="Borderless_R",        AND(checkF="Borderless_O", checkE="L90"),        AND(checkF="Borderless_I", checkE="R90")    ), "", "Side")))</f>
      </c>
      <c r="D132" s="5">
        <f>IF(A132="", "", LET(    valG, XLOOKUP(A132, RailDefinition!E:E, RailDefinition!K:K),    valD, XLOOKUP(A132, RailDefinition!E:E, RailDefinition!H:H),    valE, XLOOKUP(A132,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2">
        <f t="array" ref="E132:E132">XLOOKUP(1,(RailDefinition!$F:$F=$A132)*(RailDefinition!$M:$M=E$1),RailDefinition!$S:$S,"")</f>
      </c>
      <c r="F132">
        <f t="array" ref="F132:F132">XLOOKUP(1,(RailDefinition!$F:$F=$A132)*(RailDefinition!$M:$M=F$1),RailDefinition!$S:$S,"")</f>
      </c>
      <c r="G132">
        <f t="array" ref="G132:G132">XLOOKUP(1,(RailDefinition!$F:$F=$A132)*(RailDefinition!$M:$M=G$1),RailDefinition!$S:$S,"")</f>
      </c>
      <c r="H132">
        <f t="array" ref="H132:H132">XLOOKUP(1,(RailDefinition!$F:$F=$A132)*(RailDefinition!$M:$M=H$1),RailDefinition!$S:$S,"")</f>
      </c>
      <c r="I132">
        <f t="array" ref="I132:I132">XLOOKUP(1,(RailDefinition!$F:$F=$A132)*(RailDefinition!$M:$M=I$1),RailDefinition!$S:$S,"")</f>
      </c>
      <c r="J132">
        <f t="array" ref="J132:J132">XLOOKUP(1,(RailDefinition!$F:$F=$A132)*(RailDefinition!$M:$M=J$1),RailDefinition!$S:$S,"")</f>
      </c>
    </row>
    <row r="133">
      <c r="B133" s="5">
        <f>IF(A133="", "", LET(    checkF, XLOOKUP(A133, RailDefinition!E:E, RailDefinition!J:J),    checkE, XLOOKUP(A133, RailDefinition!E:E, RailDefinition!I:I),    IF(OR(        checkF="Borderless",        checkF="Borderless_L",        AND(checkF="Borderless_I", checkE="L90"),        AND(checkF="Borderless_O", checkE="R90")    ), "", "Side")))</f>
      </c>
      <c r="C133" s="5">
        <f>IF(A133="", "", LET(    checkF, XLOOKUP(A133, RailDefinition!E:E, RailDefinition!J:J),    checkE, XLOOKUP(A133, RailDefinition!E:E, RailDefinition!I:I),    IF(OR(        checkF="Borderless",        checkF="Borderless_R",        AND(checkF="Borderless_O", checkE="L90"),        AND(checkF="Borderless_I", checkE="R90")    ), "", "Side")))</f>
      </c>
      <c r="D133" s="5">
        <f>IF(A133="", "", LET(    valG, XLOOKUP(A133, RailDefinition!E:E, RailDefinition!K:K),    valD, XLOOKUP(A133, RailDefinition!E:E, RailDefinition!H:H),    valE, XLOOKUP(A133,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3">
        <f t="array" ref="E133:E133">XLOOKUP(1,(RailDefinition!$F:$F=$A133)*(RailDefinition!$M:$M=E$1),RailDefinition!$S:$S,"")</f>
      </c>
      <c r="F133">
        <f t="array" ref="F133:F133">XLOOKUP(1,(RailDefinition!$F:$F=$A133)*(RailDefinition!$M:$M=F$1),RailDefinition!$S:$S,"")</f>
      </c>
      <c r="G133">
        <f t="array" ref="G133:G133">XLOOKUP(1,(RailDefinition!$F:$F=$A133)*(RailDefinition!$M:$M=G$1),RailDefinition!$S:$S,"")</f>
      </c>
      <c r="H133">
        <f t="array" ref="H133:H133">XLOOKUP(1,(RailDefinition!$F:$F=$A133)*(RailDefinition!$M:$M=H$1),RailDefinition!$S:$S,"")</f>
      </c>
      <c r="I133">
        <f t="array" ref="I133:I133">XLOOKUP(1,(RailDefinition!$F:$F=$A133)*(RailDefinition!$M:$M=I$1),RailDefinition!$S:$S,"")</f>
      </c>
      <c r="J133">
        <f t="array" ref="J133:J133">XLOOKUP(1,(RailDefinition!$F:$F=$A133)*(RailDefinition!$M:$M=J$1),RailDefinition!$S:$S,"")</f>
      </c>
    </row>
    <row r="134">
      <c r="B134" s="5">
        <f>IF(A134="", "", LET(    checkF, XLOOKUP(A134, RailDefinition!E:E, RailDefinition!J:J),    checkE, XLOOKUP(A134, RailDefinition!E:E, RailDefinition!I:I),    IF(OR(        checkF="Borderless",        checkF="Borderless_L",        AND(checkF="Borderless_I", checkE="L90"),        AND(checkF="Borderless_O", checkE="R90")    ), "", "Side")))</f>
      </c>
      <c r="C134" s="5">
        <f>IF(A134="", "", LET(    checkF, XLOOKUP(A134, RailDefinition!E:E, RailDefinition!J:J),    checkE, XLOOKUP(A134, RailDefinition!E:E, RailDefinition!I:I),    IF(OR(        checkF="Borderless",        checkF="Borderless_R",        AND(checkF="Borderless_O", checkE="L90"),        AND(checkF="Borderless_I", checkE="R90")    ), "", "Side")))</f>
      </c>
      <c r="D134" s="5">
        <f>IF(A134="", "", LET(    valG, XLOOKUP(A134, RailDefinition!E:E, RailDefinition!K:K),    valD, XLOOKUP(A134, RailDefinition!E:E, RailDefinition!H:H),    valE, XLOOKUP(A134,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4">
        <f t="array" ref="E134:E134">XLOOKUP(1,(RailDefinition!$F:$F=$A134)*(RailDefinition!$M:$M=E$1),RailDefinition!$S:$S,"")</f>
      </c>
      <c r="F134">
        <f t="array" ref="F134:F134">XLOOKUP(1,(RailDefinition!$F:$F=$A134)*(RailDefinition!$M:$M=F$1),RailDefinition!$S:$S,"")</f>
      </c>
      <c r="G134">
        <f t="array" ref="G134:G134">XLOOKUP(1,(RailDefinition!$F:$F=$A134)*(RailDefinition!$M:$M=G$1),RailDefinition!$S:$S,"")</f>
      </c>
      <c r="H134">
        <f t="array" ref="H134:H134">XLOOKUP(1,(RailDefinition!$F:$F=$A134)*(RailDefinition!$M:$M=H$1),RailDefinition!$S:$S,"")</f>
      </c>
      <c r="I134">
        <f t="array" ref="I134:I134">XLOOKUP(1,(RailDefinition!$F:$F=$A134)*(RailDefinition!$M:$M=I$1),RailDefinition!$S:$S,"")</f>
      </c>
      <c r="J134">
        <f t="array" ref="J134:J134">XLOOKUP(1,(RailDefinition!$F:$F=$A134)*(RailDefinition!$M:$M=J$1),RailDefinition!$S:$S,"")</f>
      </c>
    </row>
    <row r="135">
      <c r="B135" s="5">
        <f>IF(A135="", "", LET(    checkF, XLOOKUP(A135, RailDefinition!E:E, RailDefinition!J:J),    checkE, XLOOKUP(A135, RailDefinition!E:E, RailDefinition!I:I),    IF(OR(        checkF="Borderless",        checkF="Borderless_L",        AND(checkF="Borderless_I", checkE="L90"),        AND(checkF="Borderless_O", checkE="R90")    ), "", "Side")))</f>
      </c>
      <c r="C135" s="5">
        <f>IF(A135="", "", LET(    checkF, XLOOKUP(A135, RailDefinition!E:E, RailDefinition!J:J),    checkE, XLOOKUP(A135, RailDefinition!E:E, RailDefinition!I:I),    IF(OR(        checkF="Borderless",        checkF="Borderless_R",        AND(checkF="Borderless_O", checkE="L90"),        AND(checkF="Borderless_I", checkE="R90")    ), "", "Side")))</f>
      </c>
      <c r="D135" s="5">
        <f>IF(A135="", "", LET(    valG, XLOOKUP(A135, RailDefinition!E:E, RailDefinition!K:K),    valD, XLOOKUP(A135, RailDefinition!E:E, RailDefinition!H:H),    valE, XLOOKUP(A135,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5">
        <f t="array" ref="E135:E135">XLOOKUP(1,(RailDefinition!$F:$F=$A135)*(RailDefinition!$M:$M=E$1),RailDefinition!$S:$S,"")</f>
      </c>
      <c r="F135">
        <f t="array" ref="F135:F135">XLOOKUP(1,(RailDefinition!$F:$F=$A135)*(RailDefinition!$M:$M=F$1),RailDefinition!$S:$S,"")</f>
      </c>
      <c r="G135">
        <f t="array" ref="G135:G135">XLOOKUP(1,(RailDefinition!$F:$F=$A135)*(RailDefinition!$M:$M=G$1),RailDefinition!$S:$S,"")</f>
      </c>
      <c r="H135">
        <f t="array" ref="H135:H135">XLOOKUP(1,(RailDefinition!$F:$F=$A135)*(RailDefinition!$M:$M=H$1),RailDefinition!$S:$S,"")</f>
      </c>
      <c r="I135">
        <f t="array" ref="I135:I135">XLOOKUP(1,(RailDefinition!$F:$F=$A135)*(RailDefinition!$M:$M=I$1),RailDefinition!$S:$S,"")</f>
      </c>
      <c r="J135">
        <f t="array" ref="J135:J135">XLOOKUP(1,(RailDefinition!$F:$F=$A135)*(RailDefinition!$M:$M=J$1),RailDefinition!$S:$S,"")</f>
      </c>
    </row>
    <row r="136">
      <c r="B136" s="5">
        <f>IF(A136="", "", LET(    checkF, XLOOKUP(A136, RailDefinition!E:E, RailDefinition!J:J),    checkE, XLOOKUP(A136, RailDefinition!E:E, RailDefinition!I:I),    IF(OR(        checkF="Borderless",        checkF="Borderless_L",        AND(checkF="Borderless_I", checkE="L90"),        AND(checkF="Borderless_O", checkE="R90")    ), "", "Side")))</f>
      </c>
      <c r="C136" s="5">
        <f>IF(A136="", "", LET(    checkF, XLOOKUP(A136, RailDefinition!E:E, RailDefinition!J:J),    checkE, XLOOKUP(A136, RailDefinition!E:E, RailDefinition!I:I),    IF(OR(        checkF="Borderless",        checkF="Borderless_R",        AND(checkF="Borderless_O", checkE="L90"),        AND(checkF="Borderless_I", checkE="R90")    ), "", "Side")))</f>
      </c>
      <c r="D136" s="5">
        <f>IF(A136="", "", LET(    valG, XLOOKUP(A136, RailDefinition!E:E, RailDefinition!K:K),    valD, XLOOKUP(A136, RailDefinition!E:E, RailDefinition!H:H),    valE, XLOOKUP(A136,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6">
        <f t="array" ref="E136:E136">XLOOKUP(1,(RailDefinition!$F:$F=$A136)*(RailDefinition!$M:$M=E$1),RailDefinition!$S:$S,"")</f>
      </c>
      <c r="F136">
        <f t="array" ref="F136:F136">XLOOKUP(1,(RailDefinition!$F:$F=$A136)*(RailDefinition!$M:$M=F$1),RailDefinition!$S:$S,"")</f>
      </c>
      <c r="G136">
        <f t="array" ref="G136:G136">XLOOKUP(1,(RailDefinition!$F:$F=$A136)*(RailDefinition!$M:$M=G$1),RailDefinition!$S:$S,"")</f>
      </c>
      <c r="H136">
        <f t="array" ref="H136:H136">XLOOKUP(1,(RailDefinition!$F:$F=$A136)*(RailDefinition!$M:$M=H$1),RailDefinition!$S:$S,"")</f>
      </c>
      <c r="I136">
        <f t="array" ref="I136:I136">XLOOKUP(1,(RailDefinition!$F:$F=$A136)*(RailDefinition!$M:$M=I$1),RailDefinition!$S:$S,"")</f>
      </c>
      <c r="J136">
        <f t="array" ref="J136:J136">XLOOKUP(1,(RailDefinition!$F:$F=$A136)*(RailDefinition!$M:$M=J$1),RailDefinition!$S:$S,"")</f>
      </c>
    </row>
    <row r="137">
      <c r="B137" s="5">
        <f>IF(A137="", "", LET(    checkF, XLOOKUP(A137, RailDefinition!E:E, RailDefinition!J:J),    checkE, XLOOKUP(A137, RailDefinition!E:E, RailDefinition!I:I),    IF(OR(        checkF="Borderless",        checkF="Borderless_L",        AND(checkF="Borderless_I", checkE="L90"),        AND(checkF="Borderless_O", checkE="R90")    ), "", "Side")))</f>
      </c>
      <c r="C137" s="5">
        <f>IF(A137="", "", LET(    checkF, XLOOKUP(A137, RailDefinition!E:E, RailDefinition!J:J),    checkE, XLOOKUP(A137, RailDefinition!E:E, RailDefinition!I:I),    IF(OR(        checkF="Borderless",        checkF="Borderless_R",        AND(checkF="Borderless_O", checkE="L90"),        AND(checkF="Borderless_I", checkE="R90")    ), "", "Side")))</f>
      </c>
      <c r="D137" s="5">
        <f>IF(A137="", "", LET(    valG, XLOOKUP(A137, RailDefinition!E:E, RailDefinition!K:K),    valD, XLOOKUP(A137, RailDefinition!E:E, RailDefinition!H:H),    valE, XLOOKUP(A137,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7">
        <f t="array" ref="E137:E137">XLOOKUP(1,(RailDefinition!$F:$F=$A137)*(RailDefinition!$M:$M=E$1),RailDefinition!$S:$S,"")</f>
      </c>
      <c r="F137">
        <f t="array" ref="F137:F137">XLOOKUP(1,(RailDefinition!$F:$F=$A137)*(RailDefinition!$M:$M=F$1),RailDefinition!$S:$S,"")</f>
      </c>
      <c r="G137">
        <f t="array" ref="G137:G137">XLOOKUP(1,(RailDefinition!$F:$F=$A137)*(RailDefinition!$M:$M=G$1),RailDefinition!$S:$S,"")</f>
      </c>
      <c r="H137">
        <f t="array" ref="H137:H137">XLOOKUP(1,(RailDefinition!$F:$F=$A137)*(RailDefinition!$M:$M=H$1),RailDefinition!$S:$S,"")</f>
      </c>
      <c r="I137">
        <f t="array" ref="I137:I137">XLOOKUP(1,(RailDefinition!$F:$F=$A137)*(RailDefinition!$M:$M=I$1),RailDefinition!$S:$S,"")</f>
      </c>
      <c r="J137">
        <f t="array" ref="J137:J137">XLOOKUP(1,(RailDefinition!$F:$F=$A137)*(RailDefinition!$M:$M=J$1),RailDefinition!$S:$S,"")</f>
      </c>
    </row>
    <row r="138">
      <c r="B138" s="5">
        <f>IF(A138="", "", LET(    checkF, XLOOKUP(A138, RailDefinition!E:E, RailDefinition!J:J),    checkE, XLOOKUP(A138, RailDefinition!E:E, RailDefinition!I:I),    IF(OR(        checkF="Borderless",        checkF="Borderless_L",        AND(checkF="Borderless_I", checkE="L90"),        AND(checkF="Borderless_O", checkE="R90")    ), "", "Side")))</f>
      </c>
      <c r="C138" s="5">
        <f>IF(A138="", "", LET(    checkF, XLOOKUP(A138, RailDefinition!E:E, RailDefinition!J:J),    checkE, XLOOKUP(A138, RailDefinition!E:E, RailDefinition!I:I),    IF(OR(        checkF="Borderless",        checkF="Borderless_R",        AND(checkF="Borderless_O", checkE="L90"),        AND(checkF="Borderless_I", checkE="R90")    ), "", "Side")))</f>
      </c>
      <c r="D138" s="5">
        <f>IF(A138="", "", LET(    valG, XLOOKUP(A138, RailDefinition!E:E, RailDefinition!K:K),    valD, XLOOKUP(A138, RailDefinition!E:E, RailDefinition!H:H),    valE, XLOOKUP(A138,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8">
        <f t="array" ref="E138:E138">XLOOKUP(1,(RailDefinition!$F:$F=$A138)*(RailDefinition!$M:$M=E$1),RailDefinition!$S:$S,"")</f>
      </c>
      <c r="F138">
        <f t="array" ref="F138:F138">XLOOKUP(1,(RailDefinition!$F:$F=$A138)*(RailDefinition!$M:$M=F$1),RailDefinition!$S:$S,"")</f>
      </c>
      <c r="G138">
        <f t="array" ref="G138:G138">XLOOKUP(1,(RailDefinition!$F:$F=$A138)*(RailDefinition!$M:$M=G$1),RailDefinition!$S:$S,"")</f>
      </c>
      <c r="H138">
        <f t="array" ref="H138:H138">XLOOKUP(1,(RailDefinition!$F:$F=$A138)*(RailDefinition!$M:$M=H$1),RailDefinition!$S:$S,"")</f>
      </c>
      <c r="I138">
        <f t="array" ref="I138:I138">XLOOKUP(1,(RailDefinition!$F:$F=$A138)*(RailDefinition!$M:$M=I$1),RailDefinition!$S:$S,"")</f>
      </c>
      <c r="J138">
        <f t="array" ref="J138:J138">XLOOKUP(1,(RailDefinition!$F:$F=$A138)*(RailDefinition!$M:$M=J$1),RailDefinition!$S:$S,"")</f>
      </c>
    </row>
    <row r="139">
      <c r="B139" s="5">
        <f>IF(A139="", "", LET(    checkF, XLOOKUP(A139, RailDefinition!E:E, RailDefinition!J:J),    checkE, XLOOKUP(A139, RailDefinition!E:E, RailDefinition!I:I),    IF(OR(        checkF="Borderless",        checkF="Borderless_L",        AND(checkF="Borderless_I", checkE="L90"),        AND(checkF="Borderless_O", checkE="R90")    ), "", "Side")))</f>
      </c>
      <c r="C139" s="5">
        <f>IF(A139="", "", LET(    checkF, XLOOKUP(A139, RailDefinition!E:E, RailDefinition!J:J),    checkE, XLOOKUP(A139, RailDefinition!E:E, RailDefinition!I:I),    IF(OR(        checkF="Borderless",        checkF="Borderless_R",        AND(checkF="Borderless_O", checkE="L90"),        AND(checkF="Borderless_I", checkE="R90")    ), "", "Side")))</f>
      </c>
      <c r="D139" s="5">
        <f>IF(A139="", "", LET(    valG, XLOOKUP(A139, RailDefinition!E:E, RailDefinition!K:K),    valD, XLOOKUP(A139, RailDefinition!E:E, RailDefinition!H:H),    valE, XLOOKUP(A139,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39">
        <f t="array" ref="E139:E139">XLOOKUP(1,(RailDefinition!$F:$F=$A139)*(RailDefinition!$M:$M=E$1),RailDefinition!$S:$S,"")</f>
      </c>
      <c r="F139">
        <f t="array" ref="F139:F139">XLOOKUP(1,(RailDefinition!$F:$F=$A139)*(RailDefinition!$M:$M=F$1),RailDefinition!$S:$S,"")</f>
      </c>
      <c r="G139">
        <f t="array" ref="G139:G139">XLOOKUP(1,(RailDefinition!$F:$F=$A139)*(RailDefinition!$M:$M=G$1),RailDefinition!$S:$S,"")</f>
      </c>
      <c r="H139">
        <f t="array" ref="H139:H139">XLOOKUP(1,(RailDefinition!$F:$F=$A139)*(RailDefinition!$M:$M=H$1),RailDefinition!$S:$S,"")</f>
      </c>
      <c r="I139">
        <f t="array" ref="I139:I139">XLOOKUP(1,(RailDefinition!$F:$F=$A139)*(RailDefinition!$M:$M=I$1),RailDefinition!$S:$S,"")</f>
      </c>
      <c r="J139">
        <f t="array" ref="J139:J139">XLOOKUP(1,(RailDefinition!$F:$F=$A139)*(RailDefinition!$M:$M=J$1),RailDefinition!$S:$S,"")</f>
      </c>
    </row>
    <row r="140">
      <c r="B140" s="5">
        <f>IF(A140="", "", LET(    checkF, XLOOKUP(A140, RailDefinition!E:E, RailDefinition!J:J),    checkE, XLOOKUP(A140, RailDefinition!E:E, RailDefinition!I:I),    IF(OR(        checkF="Borderless",        checkF="Borderless_L",        AND(checkF="Borderless_I", checkE="L90"),        AND(checkF="Borderless_O", checkE="R90")    ), "", "Side")))</f>
      </c>
      <c r="C140" s="5">
        <f>IF(A140="", "", LET(    checkF, XLOOKUP(A140, RailDefinition!E:E, RailDefinition!J:J),    checkE, XLOOKUP(A140, RailDefinition!E:E, RailDefinition!I:I),    IF(OR(        checkF="Borderless",        checkF="Borderless_R",        AND(checkF="Borderless_O", checkE="L90"),        AND(checkF="Borderless_I", checkE="R90")    ), "", "Side")))</f>
      </c>
      <c r="D140" s="5">
        <f>IF(A140="", "", LET(    valG, XLOOKUP(A140, RailDefinition!E:E, RailDefinition!K:K),    valD, XLOOKUP(A140, RailDefinition!E:E, RailDefinition!H:H),    valE, XLOOKUP(A140,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0">
        <f t="array" ref="E140:E140">XLOOKUP(1,(RailDefinition!$F:$F=$A140)*(RailDefinition!$M:$M=E$1),RailDefinition!$S:$S,"")</f>
      </c>
      <c r="F140">
        <f t="array" ref="F140:F140">XLOOKUP(1,(RailDefinition!$F:$F=$A140)*(RailDefinition!$M:$M=F$1),RailDefinition!$S:$S,"")</f>
      </c>
      <c r="G140">
        <f t="array" ref="G140:G140">XLOOKUP(1,(RailDefinition!$F:$F=$A140)*(RailDefinition!$M:$M=G$1),RailDefinition!$S:$S,"")</f>
      </c>
      <c r="H140">
        <f t="array" ref="H140:H140">XLOOKUP(1,(RailDefinition!$F:$F=$A140)*(RailDefinition!$M:$M=H$1),RailDefinition!$S:$S,"")</f>
      </c>
      <c r="I140">
        <f t="array" ref="I140:I140">XLOOKUP(1,(RailDefinition!$F:$F=$A140)*(RailDefinition!$M:$M=I$1),RailDefinition!$S:$S,"")</f>
      </c>
      <c r="J140">
        <f t="array" ref="J140:J140">XLOOKUP(1,(RailDefinition!$F:$F=$A140)*(RailDefinition!$M:$M=J$1),RailDefinition!$S:$S,"")</f>
      </c>
    </row>
    <row r="141">
      <c r="B141" s="5">
        <f>IF(A141="", "", LET(    checkF, XLOOKUP(A141, RailDefinition!E:E, RailDefinition!J:J),    checkE, XLOOKUP(A141, RailDefinition!E:E, RailDefinition!I:I),    IF(OR(        checkF="Borderless",        checkF="Borderless_L",        AND(checkF="Borderless_I", checkE="L90"),        AND(checkF="Borderless_O", checkE="R90")    ), "", "Side")))</f>
      </c>
      <c r="C141" s="5">
        <f>IF(A141="", "", LET(    checkF, XLOOKUP(A141, RailDefinition!E:E, RailDefinition!J:J),    checkE, XLOOKUP(A141, RailDefinition!E:E, RailDefinition!I:I),    IF(OR(        checkF="Borderless",        checkF="Borderless_R",        AND(checkF="Borderless_O", checkE="L90"),        AND(checkF="Borderless_I", checkE="R90")    ), "", "Side")))</f>
      </c>
      <c r="D141" s="5">
        <f>IF(A141="", "", LET(    valG, XLOOKUP(A141, RailDefinition!E:E, RailDefinition!K:K),    valD, XLOOKUP(A141, RailDefinition!E:E, RailDefinition!H:H),    valE, XLOOKUP(A141,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1">
        <f t="array" ref="E141:E141">XLOOKUP(1,(RailDefinition!$F:$F=$A141)*(RailDefinition!$M:$M=E$1),RailDefinition!$S:$S,"")</f>
      </c>
      <c r="F141">
        <f t="array" ref="F141:F141">XLOOKUP(1,(RailDefinition!$F:$F=$A141)*(RailDefinition!$M:$M=F$1),RailDefinition!$S:$S,"")</f>
      </c>
      <c r="G141">
        <f t="array" ref="G141:G141">XLOOKUP(1,(RailDefinition!$F:$F=$A141)*(RailDefinition!$M:$M=G$1),RailDefinition!$S:$S,"")</f>
      </c>
      <c r="H141">
        <f t="array" ref="H141:H141">XLOOKUP(1,(RailDefinition!$F:$F=$A141)*(RailDefinition!$M:$M=H$1),RailDefinition!$S:$S,"")</f>
      </c>
      <c r="I141">
        <f t="array" ref="I141:I141">XLOOKUP(1,(RailDefinition!$F:$F=$A141)*(RailDefinition!$M:$M=I$1),RailDefinition!$S:$S,"")</f>
      </c>
      <c r="J141">
        <f t="array" ref="J141:J141">XLOOKUP(1,(RailDefinition!$F:$F=$A141)*(RailDefinition!$M:$M=J$1),RailDefinition!$S:$S,"")</f>
      </c>
    </row>
    <row r="142">
      <c r="B142" s="5">
        <f>IF(A142="", "", LET(    checkF, XLOOKUP(A142, RailDefinition!E:E, RailDefinition!J:J),    checkE, XLOOKUP(A142, RailDefinition!E:E, RailDefinition!I:I),    IF(OR(        checkF="Borderless",        checkF="Borderless_L",        AND(checkF="Borderless_I", checkE="L90"),        AND(checkF="Borderless_O", checkE="R90")    ), "", "Side")))</f>
      </c>
      <c r="C142" s="5">
        <f>IF(A142="", "", LET(    checkF, XLOOKUP(A142, RailDefinition!E:E, RailDefinition!J:J),    checkE, XLOOKUP(A142, RailDefinition!E:E, RailDefinition!I:I),    IF(OR(        checkF="Borderless",        checkF="Borderless_R",        AND(checkF="Borderless_O", checkE="L90"),        AND(checkF="Borderless_I", checkE="R90")    ), "", "Side")))</f>
      </c>
      <c r="D142" s="5">
        <f>IF(A142="", "", LET(    valG, XLOOKUP(A142, RailDefinition!E:E, RailDefinition!K:K),    valD, XLOOKUP(A142, RailDefinition!E:E, RailDefinition!H:H),    valE, XLOOKUP(A142,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2">
        <f t="array" ref="E142:E142">XLOOKUP(1,(RailDefinition!$F:$F=$A142)*(RailDefinition!$M:$M=E$1),RailDefinition!$S:$S,"")</f>
      </c>
      <c r="F142">
        <f t="array" ref="F142:F142">XLOOKUP(1,(RailDefinition!$F:$F=$A142)*(RailDefinition!$M:$M=F$1),RailDefinition!$S:$S,"")</f>
      </c>
      <c r="G142">
        <f t="array" ref="G142:G142">XLOOKUP(1,(RailDefinition!$F:$F=$A142)*(RailDefinition!$M:$M=G$1),RailDefinition!$S:$S,"")</f>
      </c>
      <c r="H142">
        <f t="array" ref="H142:H142">XLOOKUP(1,(RailDefinition!$F:$F=$A142)*(RailDefinition!$M:$M=H$1),RailDefinition!$S:$S,"")</f>
      </c>
      <c r="I142">
        <f t="array" ref="I142:I142">XLOOKUP(1,(RailDefinition!$F:$F=$A142)*(RailDefinition!$M:$M=I$1),RailDefinition!$S:$S,"")</f>
      </c>
      <c r="J142">
        <f t="array" ref="J142:J142">XLOOKUP(1,(RailDefinition!$F:$F=$A142)*(RailDefinition!$M:$M=J$1),RailDefinition!$S:$S,"")</f>
      </c>
    </row>
    <row r="143">
      <c r="B143" s="5">
        <f>IF(A143="", "", LET(    checkF, XLOOKUP(A143, RailDefinition!E:E, RailDefinition!J:J),    checkE, XLOOKUP(A143, RailDefinition!E:E, RailDefinition!I:I),    IF(OR(        checkF="Borderless",        checkF="Borderless_L",        AND(checkF="Borderless_I", checkE="L90"),        AND(checkF="Borderless_O", checkE="R90")    ), "", "Side")))</f>
      </c>
      <c r="C143" s="5">
        <f>IF(A143="", "", LET(    checkF, XLOOKUP(A143, RailDefinition!E:E, RailDefinition!J:J),    checkE, XLOOKUP(A143, RailDefinition!E:E, RailDefinition!I:I),    IF(OR(        checkF="Borderless",        checkF="Borderless_R",        AND(checkF="Borderless_O", checkE="L90"),        AND(checkF="Borderless_I", checkE="R90")    ), "", "Side")))</f>
      </c>
      <c r="D143" s="5">
        <f>IF(A143="", "", LET(    valG, XLOOKUP(A143, RailDefinition!E:E, RailDefinition!K:K),    valD, XLOOKUP(A143, RailDefinition!E:E, RailDefinition!H:H),    valE, XLOOKUP(A143,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3">
        <f t="array" ref="E143:E143">XLOOKUP(1,(RailDefinition!$F:$F=$A143)*(RailDefinition!$M:$M=E$1),RailDefinition!$S:$S,"")</f>
      </c>
      <c r="F143">
        <f t="array" ref="F143:F143">XLOOKUP(1,(RailDefinition!$F:$F=$A143)*(RailDefinition!$M:$M=F$1),RailDefinition!$S:$S,"")</f>
      </c>
      <c r="G143">
        <f t="array" ref="G143:G143">XLOOKUP(1,(RailDefinition!$F:$F=$A143)*(RailDefinition!$M:$M=G$1),RailDefinition!$S:$S,"")</f>
      </c>
      <c r="H143">
        <f t="array" ref="H143:H143">XLOOKUP(1,(RailDefinition!$F:$F=$A143)*(RailDefinition!$M:$M=H$1),RailDefinition!$S:$S,"")</f>
      </c>
      <c r="I143">
        <f t="array" ref="I143:I143">XLOOKUP(1,(RailDefinition!$F:$F=$A143)*(RailDefinition!$M:$M=I$1),RailDefinition!$S:$S,"")</f>
      </c>
      <c r="J143">
        <f t="array" ref="J143:J143">XLOOKUP(1,(RailDefinition!$F:$F=$A143)*(RailDefinition!$M:$M=J$1),RailDefinition!$S:$S,"")</f>
      </c>
    </row>
    <row r="144">
      <c r="B144" s="5">
        <f>IF(A144="", "", LET(    checkF, XLOOKUP(A144, RailDefinition!E:E, RailDefinition!J:J),    checkE, XLOOKUP(A144, RailDefinition!E:E, RailDefinition!I:I),    IF(OR(        checkF="Borderless",        checkF="Borderless_L",        AND(checkF="Borderless_I", checkE="L90"),        AND(checkF="Borderless_O", checkE="R90")    ), "", "Side")))</f>
      </c>
      <c r="C144" s="5">
        <f>IF(A144="", "", LET(    checkF, XLOOKUP(A144, RailDefinition!E:E, RailDefinition!J:J),    checkE, XLOOKUP(A144, RailDefinition!E:E, RailDefinition!I:I),    IF(OR(        checkF="Borderless",        checkF="Borderless_R",        AND(checkF="Borderless_O", checkE="L90"),        AND(checkF="Borderless_I", checkE="R90")    ), "", "Side")))</f>
      </c>
      <c r="D144" s="5">
        <f>IF(A144="", "", LET(    valG, XLOOKUP(A144, RailDefinition!E:E, RailDefinition!K:K),    valD, XLOOKUP(A144, RailDefinition!E:E, RailDefinition!H:H),    valE, XLOOKUP(A144,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4">
        <f t="array" ref="E144:E144">XLOOKUP(1,(RailDefinition!$F:$F=$A144)*(RailDefinition!$M:$M=E$1),RailDefinition!$S:$S,"")</f>
      </c>
      <c r="F144">
        <f t="array" ref="F144:F144">XLOOKUP(1,(RailDefinition!$F:$F=$A144)*(RailDefinition!$M:$M=F$1),RailDefinition!$S:$S,"")</f>
      </c>
      <c r="G144">
        <f t="array" ref="G144:G144">XLOOKUP(1,(RailDefinition!$F:$F=$A144)*(RailDefinition!$M:$M=G$1),RailDefinition!$S:$S,"")</f>
      </c>
      <c r="H144">
        <f t="array" ref="H144:H144">XLOOKUP(1,(RailDefinition!$F:$F=$A144)*(RailDefinition!$M:$M=H$1),RailDefinition!$S:$S,"")</f>
      </c>
      <c r="I144">
        <f t="array" ref="I144:I144">XLOOKUP(1,(RailDefinition!$F:$F=$A144)*(RailDefinition!$M:$M=I$1),RailDefinition!$S:$S,"")</f>
      </c>
      <c r="J144">
        <f t="array" ref="J144:J144">XLOOKUP(1,(RailDefinition!$F:$F=$A144)*(RailDefinition!$M:$M=J$1),RailDefinition!$S:$S,"")</f>
      </c>
    </row>
    <row r="145">
      <c r="B145" s="5">
        <f>IF(A145="", "", LET(    checkF, XLOOKUP(A145, RailDefinition!E:E, RailDefinition!J:J),    checkE, XLOOKUP(A145, RailDefinition!E:E, RailDefinition!I:I),    IF(OR(        checkF="Borderless",        checkF="Borderless_L",        AND(checkF="Borderless_I", checkE="L90"),        AND(checkF="Borderless_O", checkE="R90")    ), "", "Side")))</f>
      </c>
      <c r="C145" s="5">
        <f>IF(A145="", "", LET(    checkF, XLOOKUP(A145, RailDefinition!E:E, RailDefinition!J:J),    checkE, XLOOKUP(A145, RailDefinition!E:E, RailDefinition!I:I),    IF(OR(        checkF="Borderless",        checkF="Borderless_R",        AND(checkF="Borderless_O", checkE="L90"),        AND(checkF="Borderless_I", checkE="R90")    ), "", "Side")))</f>
      </c>
      <c r="D145" s="5">
        <f>IF(A145="", "", LET(    valG, XLOOKUP(A145, RailDefinition!E:E, RailDefinition!K:K),    valD, XLOOKUP(A145, RailDefinition!E:E, RailDefinition!H:H),    valE, XLOOKUP(A145,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5">
        <f t="array" ref="E145:E145">XLOOKUP(1,(RailDefinition!$F:$F=$A145)*(RailDefinition!$M:$M=E$1),RailDefinition!$S:$S,"")</f>
      </c>
      <c r="F145">
        <f t="array" ref="F145:F145">XLOOKUP(1,(RailDefinition!$F:$F=$A145)*(RailDefinition!$M:$M=F$1),RailDefinition!$S:$S,"")</f>
      </c>
      <c r="G145">
        <f t="array" ref="G145:G145">XLOOKUP(1,(RailDefinition!$F:$F=$A145)*(RailDefinition!$M:$M=G$1),RailDefinition!$S:$S,"")</f>
      </c>
      <c r="H145">
        <f t="array" ref="H145:H145">XLOOKUP(1,(RailDefinition!$F:$F=$A145)*(RailDefinition!$M:$M=H$1),RailDefinition!$S:$S,"")</f>
      </c>
      <c r="I145">
        <f t="array" ref="I145:I145">XLOOKUP(1,(RailDefinition!$F:$F=$A145)*(RailDefinition!$M:$M=I$1),RailDefinition!$S:$S,"")</f>
      </c>
      <c r="J145">
        <f t="array" ref="J145:J145">XLOOKUP(1,(RailDefinition!$F:$F=$A145)*(RailDefinition!$M:$M=J$1),RailDefinition!$S:$S,"")</f>
      </c>
    </row>
    <row r="146">
      <c r="B146" s="5">
        <f>IF(A146="", "", LET(    checkF, XLOOKUP(A146, RailDefinition!E:E, RailDefinition!J:J),    checkE, XLOOKUP(A146, RailDefinition!E:E, RailDefinition!I:I),    IF(OR(        checkF="Borderless",        checkF="Borderless_L",        AND(checkF="Borderless_I", checkE="L90"),        AND(checkF="Borderless_O", checkE="R90")    ), "", "Side")))</f>
      </c>
      <c r="C146" s="5">
        <f>IF(A146="", "", LET(    checkF, XLOOKUP(A146, RailDefinition!E:E, RailDefinition!J:J),    checkE, XLOOKUP(A146, RailDefinition!E:E, RailDefinition!I:I),    IF(OR(        checkF="Borderless",        checkF="Borderless_R",        AND(checkF="Borderless_O", checkE="L90"),        AND(checkF="Borderless_I", checkE="R90")    ), "", "Side")))</f>
      </c>
      <c r="D146" s="5">
        <f>IF(A146="", "", LET(    valG, XLOOKUP(A146, RailDefinition!E:E, RailDefinition!K:K),    valD, XLOOKUP(A146, RailDefinition!E:E, RailDefinition!H:H),    valE, XLOOKUP(A146,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6">
        <f t="array" ref="E146:E146">XLOOKUP(1,(RailDefinition!$F:$F=$A146)*(RailDefinition!$M:$M=E$1),RailDefinition!$S:$S,"")</f>
      </c>
      <c r="F146">
        <f t="array" ref="F146:F146">XLOOKUP(1,(RailDefinition!$F:$F=$A146)*(RailDefinition!$M:$M=F$1),RailDefinition!$S:$S,"")</f>
      </c>
      <c r="G146">
        <f t="array" ref="G146:G146">XLOOKUP(1,(RailDefinition!$F:$F=$A146)*(RailDefinition!$M:$M=G$1),RailDefinition!$S:$S,"")</f>
      </c>
      <c r="H146">
        <f t="array" ref="H146:H146">XLOOKUP(1,(RailDefinition!$F:$F=$A146)*(RailDefinition!$M:$M=H$1),RailDefinition!$S:$S,"")</f>
      </c>
      <c r="I146">
        <f t="array" ref="I146:I146">XLOOKUP(1,(RailDefinition!$F:$F=$A146)*(RailDefinition!$M:$M=I$1),RailDefinition!$S:$S,"")</f>
      </c>
      <c r="J146">
        <f t="array" ref="J146:J146">XLOOKUP(1,(RailDefinition!$F:$F=$A146)*(RailDefinition!$M:$M=J$1),RailDefinition!$S:$S,"")</f>
      </c>
    </row>
    <row r="147">
      <c r="B147" s="5">
        <f>IF(A147="", "", LET(    checkF, XLOOKUP(A147, RailDefinition!E:E, RailDefinition!J:J),    checkE, XLOOKUP(A147, RailDefinition!E:E, RailDefinition!I:I),    IF(OR(        checkF="Borderless",        checkF="Borderless_L",        AND(checkF="Borderless_I", checkE="L90"),        AND(checkF="Borderless_O", checkE="R90")    ), "", "Side")))</f>
      </c>
      <c r="C147" s="5">
        <f>IF(A147="", "", LET(    checkF, XLOOKUP(A147, RailDefinition!E:E, RailDefinition!J:J),    checkE, XLOOKUP(A147, RailDefinition!E:E, RailDefinition!I:I),    IF(OR(        checkF="Borderless",        checkF="Borderless_R",        AND(checkF="Borderless_O", checkE="L90"),        AND(checkF="Borderless_I", checkE="R90")    ), "", "Side")))</f>
      </c>
      <c r="D147" s="5">
        <f>IF(A147="", "", LET(    valG, XLOOKUP(A147, RailDefinition!E:E, RailDefinition!K:K),    valD, XLOOKUP(A147, RailDefinition!E:E, RailDefinition!H:H),    valE, XLOOKUP(A147,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7">
        <f t="array" ref="E147:E147">XLOOKUP(1,(RailDefinition!$F:$F=$A147)*(RailDefinition!$M:$M=E$1),RailDefinition!$S:$S,"")</f>
      </c>
      <c r="F147">
        <f t="array" ref="F147:F147">XLOOKUP(1,(RailDefinition!$F:$F=$A147)*(RailDefinition!$M:$M=F$1),RailDefinition!$S:$S,"")</f>
      </c>
      <c r="G147">
        <f t="array" ref="G147:G147">XLOOKUP(1,(RailDefinition!$F:$F=$A147)*(RailDefinition!$M:$M=G$1),RailDefinition!$S:$S,"")</f>
      </c>
      <c r="H147">
        <f t="array" ref="H147:H147">XLOOKUP(1,(RailDefinition!$F:$F=$A147)*(RailDefinition!$M:$M=H$1),RailDefinition!$S:$S,"")</f>
      </c>
      <c r="I147">
        <f t="array" ref="I147:I147">XLOOKUP(1,(RailDefinition!$F:$F=$A147)*(RailDefinition!$M:$M=I$1),RailDefinition!$S:$S,"")</f>
      </c>
      <c r="J147">
        <f t="array" ref="J147:J147">XLOOKUP(1,(RailDefinition!$F:$F=$A147)*(RailDefinition!$M:$M=J$1),RailDefinition!$S:$S,"")</f>
      </c>
    </row>
    <row r="148">
      <c r="B148" s="5">
        <f>IF(A148="", "", LET(    checkF, XLOOKUP(A148, RailDefinition!E:E, RailDefinition!J:J),    checkE, XLOOKUP(A148, RailDefinition!E:E, RailDefinition!I:I),    IF(OR(        checkF="Borderless",        checkF="Borderless_L",        AND(checkF="Borderless_I", checkE="L90"),        AND(checkF="Borderless_O", checkE="R90")    ), "", "Side")))</f>
      </c>
      <c r="C148" s="5">
        <f>IF(A148="", "", LET(    checkF, XLOOKUP(A148, RailDefinition!E:E, RailDefinition!J:J),    checkE, XLOOKUP(A148, RailDefinition!E:E, RailDefinition!I:I),    IF(OR(        checkF="Borderless",        checkF="Borderless_R",        AND(checkF="Borderless_O", checkE="L90"),        AND(checkF="Borderless_I", checkE="R90")    ), "", "Side")))</f>
      </c>
      <c r="D148" s="5">
        <f>IF(A148="", "", LET(    valG, XLOOKUP(A148, RailDefinition!E:E, RailDefinition!K:K),    valD, XLOOKUP(A148, RailDefinition!E:E, RailDefinition!H:H),    valE, XLOOKUP(A148,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8">
        <f t="array" ref="E148:E148">XLOOKUP(1,(RailDefinition!$F:$F=$A148)*(RailDefinition!$M:$M=E$1),RailDefinition!$S:$S,"")</f>
      </c>
      <c r="F148">
        <f t="array" ref="F148:F148">XLOOKUP(1,(RailDefinition!$F:$F=$A148)*(RailDefinition!$M:$M=F$1),RailDefinition!$S:$S,"")</f>
      </c>
      <c r="G148">
        <f t="array" ref="G148:G148">XLOOKUP(1,(RailDefinition!$F:$F=$A148)*(RailDefinition!$M:$M=G$1),RailDefinition!$S:$S,"")</f>
      </c>
      <c r="H148">
        <f t="array" ref="H148:H148">XLOOKUP(1,(RailDefinition!$F:$F=$A148)*(RailDefinition!$M:$M=H$1),RailDefinition!$S:$S,"")</f>
      </c>
      <c r="I148">
        <f t="array" ref="I148:I148">XLOOKUP(1,(RailDefinition!$F:$F=$A148)*(RailDefinition!$M:$M=I$1),RailDefinition!$S:$S,"")</f>
      </c>
      <c r="J148">
        <f t="array" ref="J148:J148">XLOOKUP(1,(RailDefinition!$F:$F=$A148)*(RailDefinition!$M:$M=J$1),RailDefinition!$S:$S,"")</f>
      </c>
    </row>
    <row r="149">
      <c r="B149" s="5">
        <f>IF(A149="", "", LET(    checkF, XLOOKUP(A149, RailDefinition!E:E, RailDefinition!J:J),    checkE, XLOOKUP(A149, RailDefinition!E:E, RailDefinition!I:I),    IF(OR(        checkF="Borderless",        checkF="Borderless_L",        AND(checkF="Borderless_I", checkE="L90"),        AND(checkF="Borderless_O", checkE="R90")    ), "", "Side")))</f>
      </c>
      <c r="C149" s="5">
        <f>IF(A149="", "", LET(    checkF, XLOOKUP(A149, RailDefinition!E:E, RailDefinition!J:J),    checkE, XLOOKUP(A149, RailDefinition!E:E, RailDefinition!I:I),    IF(OR(        checkF="Borderless",        checkF="Borderless_R",        AND(checkF="Borderless_O", checkE="L90"),        AND(checkF="Borderless_I", checkE="R90")    ), "", "Side")))</f>
      </c>
      <c r="D149" s="5">
        <f>IF(A149="", "", LET(    valG, XLOOKUP(A149, RailDefinition!E:E, RailDefinition!K:K),    valD, XLOOKUP(A149, RailDefinition!E:E, RailDefinition!H:H),    valE, XLOOKUP(A149,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49">
        <f t="array" ref="E149:E149">XLOOKUP(1,(RailDefinition!$F:$F=$A149)*(RailDefinition!$M:$M=E$1),RailDefinition!$S:$S,"")</f>
      </c>
      <c r="F149">
        <f t="array" ref="F149:F149">XLOOKUP(1,(RailDefinition!$F:$F=$A149)*(RailDefinition!$M:$M=F$1),RailDefinition!$S:$S,"")</f>
      </c>
      <c r="G149">
        <f t="array" ref="G149:G149">XLOOKUP(1,(RailDefinition!$F:$F=$A149)*(RailDefinition!$M:$M=G$1),RailDefinition!$S:$S,"")</f>
      </c>
      <c r="H149">
        <f t="array" ref="H149:H149">XLOOKUP(1,(RailDefinition!$F:$F=$A149)*(RailDefinition!$M:$M=H$1),RailDefinition!$S:$S,"")</f>
      </c>
      <c r="I149">
        <f t="array" ref="I149:I149">XLOOKUP(1,(RailDefinition!$F:$F=$A149)*(RailDefinition!$M:$M=I$1),RailDefinition!$S:$S,"")</f>
      </c>
      <c r="J149">
        <f t="array" ref="J149:J149">XLOOKUP(1,(RailDefinition!$F:$F=$A149)*(RailDefinition!$M:$M=J$1),RailDefinition!$S:$S,"")</f>
      </c>
    </row>
    <row r="150">
      <c r="B150" s="5">
        <f>IF(A150="", "", LET(    checkF, XLOOKUP(A150, RailDefinition!E:E, RailDefinition!J:J),    checkE, XLOOKUP(A150, RailDefinition!E:E, RailDefinition!I:I),    IF(OR(        checkF="Borderless",        checkF="Borderless_L",        AND(checkF="Borderless_I", checkE="L90"),        AND(checkF="Borderless_O", checkE="R90")    ), "", "Side")))</f>
      </c>
      <c r="C150" s="5">
        <f>IF(A150="", "", LET(    checkF, XLOOKUP(A150, RailDefinition!E:E, RailDefinition!J:J),    checkE, XLOOKUP(A150, RailDefinition!E:E, RailDefinition!I:I),    IF(OR(        checkF="Borderless",        checkF="Borderless_R",        AND(checkF="Borderless_O", checkE="L90"),        AND(checkF="Borderless_I", checkE="R90")    ), "", "Side")))</f>
      </c>
      <c r="D150" s="5">
        <f>IF(A150="", "", LET(    valG, XLOOKUP(A150, RailDefinition!E:E, RailDefinition!K:K),    valD, XLOOKUP(A150, RailDefinition!E:E, RailDefinition!H:H),    valE, XLOOKUP(A150,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0">
        <f t="array" ref="E150:E150">XLOOKUP(1,(RailDefinition!$F:$F=$A150)*(RailDefinition!$M:$M=E$1),RailDefinition!$S:$S,"")</f>
      </c>
      <c r="F150">
        <f t="array" ref="F150:F150">XLOOKUP(1,(RailDefinition!$F:$F=$A150)*(RailDefinition!$M:$M=F$1),RailDefinition!$S:$S,"")</f>
      </c>
      <c r="G150">
        <f t="array" ref="G150:G150">XLOOKUP(1,(RailDefinition!$F:$F=$A150)*(RailDefinition!$M:$M=G$1),RailDefinition!$S:$S,"")</f>
      </c>
      <c r="H150">
        <f t="array" ref="H150:H150">XLOOKUP(1,(RailDefinition!$F:$F=$A150)*(RailDefinition!$M:$M=H$1),RailDefinition!$S:$S,"")</f>
      </c>
      <c r="I150">
        <f t="array" ref="I150:I150">XLOOKUP(1,(RailDefinition!$F:$F=$A150)*(RailDefinition!$M:$M=I$1),RailDefinition!$S:$S,"")</f>
      </c>
      <c r="J150">
        <f t="array" ref="J150:J150">XLOOKUP(1,(RailDefinition!$F:$F=$A150)*(RailDefinition!$M:$M=J$1),RailDefinition!$S:$S,"")</f>
      </c>
    </row>
    <row r="151">
      <c r="B151" s="5">
        <f>IF(A151="", "", LET(    checkF, XLOOKUP(A151, RailDefinition!E:E, RailDefinition!J:J),    checkE, XLOOKUP(A151, RailDefinition!E:E, RailDefinition!I:I),    IF(OR(        checkF="Borderless",        checkF="Borderless_L",        AND(checkF="Borderless_I", checkE="L90"),        AND(checkF="Borderless_O", checkE="R90")    ), "", "Side")))</f>
      </c>
      <c r="C151" s="5">
        <f>IF(A151="", "", LET(    checkF, XLOOKUP(A151, RailDefinition!E:E, RailDefinition!J:J),    checkE, XLOOKUP(A151, RailDefinition!E:E, RailDefinition!I:I),    IF(OR(        checkF="Borderless",        checkF="Borderless_R",        AND(checkF="Borderless_O", checkE="L90"),        AND(checkF="Borderless_I", checkE="R90")    ), "", "Side")))</f>
      </c>
      <c r="D151" s="5">
        <f>IF(A151="", "", LET(    valG, XLOOKUP(A151, RailDefinition!E:E, RailDefinition!K:K),    valD, XLOOKUP(A151, RailDefinition!E:E, RailDefinition!H:H),    valE, XLOOKUP(A151,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1">
        <f t="array" ref="E151:E151">XLOOKUP(1,(RailDefinition!$F:$F=$A151)*(RailDefinition!$M:$M=E$1),RailDefinition!$S:$S,"")</f>
      </c>
      <c r="F151">
        <f t="array" ref="F151:F151">XLOOKUP(1,(RailDefinition!$F:$F=$A151)*(RailDefinition!$M:$M=F$1),RailDefinition!$S:$S,"")</f>
      </c>
      <c r="G151">
        <f t="array" ref="G151:G151">XLOOKUP(1,(RailDefinition!$F:$F=$A151)*(RailDefinition!$M:$M=G$1),RailDefinition!$S:$S,"")</f>
      </c>
      <c r="H151">
        <f t="array" ref="H151:H151">XLOOKUP(1,(RailDefinition!$F:$F=$A151)*(RailDefinition!$M:$M=H$1),RailDefinition!$S:$S,"")</f>
      </c>
      <c r="I151">
        <f t="array" ref="I151:I151">XLOOKUP(1,(RailDefinition!$F:$F=$A151)*(RailDefinition!$M:$M=I$1),RailDefinition!$S:$S,"")</f>
      </c>
      <c r="J151">
        <f t="array" ref="J151:J151">XLOOKUP(1,(RailDefinition!$F:$F=$A151)*(RailDefinition!$M:$M=J$1),RailDefinition!$S:$S,"")</f>
      </c>
    </row>
    <row r="152">
      <c r="B152" s="5">
        <f>IF(A152="", "", LET(    checkF, XLOOKUP(A152, RailDefinition!E:E, RailDefinition!J:J),    checkE, XLOOKUP(A152, RailDefinition!E:E, RailDefinition!I:I),    IF(OR(        checkF="Borderless",        checkF="Borderless_L",        AND(checkF="Borderless_I", checkE="L90"),        AND(checkF="Borderless_O", checkE="R90")    ), "", "Side")))</f>
      </c>
      <c r="C152" s="5">
        <f>IF(A152="", "", LET(    checkF, XLOOKUP(A152, RailDefinition!E:E, RailDefinition!J:J),    checkE, XLOOKUP(A152, RailDefinition!E:E, RailDefinition!I:I),    IF(OR(        checkF="Borderless",        checkF="Borderless_R",        AND(checkF="Borderless_O", checkE="L90"),        AND(checkF="Borderless_I", checkE="R90")    ), "", "Side")))</f>
      </c>
      <c r="D152" s="5">
        <f>IF(A152="", "", LET(    valG, XLOOKUP(A152, RailDefinition!E:E, RailDefinition!K:K),    valD, XLOOKUP(A152, RailDefinition!E:E, RailDefinition!H:H),    valE, XLOOKUP(A152,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2">
        <f t="array" ref="E152:E152">XLOOKUP(1,(RailDefinition!$F:$F=$A152)*(RailDefinition!$M:$M=E$1),RailDefinition!$S:$S,"")</f>
      </c>
      <c r="F152">
        <f t="array" ref="F152:F152">XLOOKUP(1,(RailDefinition!$F:$F=$A152)*(RailDefinition!$M:$M=F$1),RailDefinition!$S:$S,"")</f>
      </c>
      <c r="G152">
        <f t="array" ref="G152:G152">XLOOKUP(1,(RailDefinition!$F:$F=$A152)*(RailDefinition!$M:$M=G$1),RailDefinition!$S:$S,"")</f>
      </c>
      <c r="H152">
        <f t="array" ref="H152:H152">XLOOKUP(1,(RailDefinition!$F:$F=$A152)*(RailDefinition!$M:$M=H$1),RailDefinition!$S:$S,"")</f>
      </c>
      <c r="I152">
        <f t="array" ref="I152:I152">XLOOKUP(1,(RailDefinition!$F:$F=$A152)*(RailDefinition!$M:$M=I$1),RailDefinition!$S:$S,"")</f>
      </c>
      <c r="J152">
        <f t="array" ref="J152:J152">XLOOKUP(1,(RailDefinition!$F:$F=$A152)*(RailDefinition!$M:$M=J$1),RailDefinition!$S:$S,"")</f>
      </c>
    </row>
    <row r="153">
      <c r="B153" s="5">
        <f>IF(A153="", "", LET(    checkF, XLOOKUP(A153, RailDefinition!E:E, RailDefinition!J:J),    checkE, XLOOKUP(A153, RailDefinition!E:E, RailDefinition!I:I),    IF(OR(        checkF="Borderless",        checkF="Borderless_L",        AND(checkF="Borderless_I", checkE="L90"),        AND(checkF="Borderless_O", checkE="R90")    ), "", "Side")))</f>
      </c>
      <c r="C153" s="5">
        <f>IF(A153="", "", LET(    checkF, XLOOKUP(A153, RailDefinition!E:E, RailDefinition!J:J),    checkE, XLOOKUP(A153, RailDefinition!E:E, RailDefinition!I:I),    IF(OR(        checkF="Borderless",        checkF="Borderless_R",        AND(checkF="Borderless_O", checkE="L90"),        AND(checkF="Borderless_I", checkE="R90")    ), "", "Side")))</f>
      </c>
      <c r="D153" s="5">
        <f>IF(A153="", "", LET(    valG, XLOOKUP(A153, RailDefinition!E:E, RailDefinition!K:K),    valD, XLOOKUP(A153, RailDefinition!E:E, RailDefinition!H:H),    valE, XLOOKUP(A153,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3">
        <f t="array" ref="E153:E153">XLOOKUP(1,(RailDefinition!$F:$F=$A153)*(RailDefinition!$M:$M=E$1),RailDefinition!$S:$S,"")</f>
      </c>
      <c r="F153">
        <f t="array" ref="F153:F153">XLOOKUP(1,(RailDefinition!$F:$F=$A153)*(RailDefinition!$M:$M=F$1),RailDefinition!$S:$S,"")</f>
      </c>
      <c r="G153">
        <f t="array" ref="G153:G153">XLOOKUP(1,(RailDefinition!$F:$F=$A153)*(RailDefinition!$M:$M=G$1),RailDefinition!$S:$S,"")</f>
      </c>
      <c r="H153">
        <f t="array" ref="H153:H153">XLOOKUP(1,(RailDefinition!$F:$F=$A153)*(RailDefinition!$M:$M=H$1),RailDefinition!$S:$S,"")</f>
      </c>
      <c r="I153">
        <f t="array" ref="I153:I153">XLOOKUP(1,(RailDefinition!$F:$F=$A153)*(RailDefinition!$M:$M=I$1),RailDefinition!$S:$S,"")</f>
      </c>
      <c r="J153">
        <f t="array" ref="J153:J153">XLOOKUP(1,(RailDefinition!$F:$F=$A153)*(RailDefinition!$M:$M=J$1),RailDefinition!$S:$S,"")</f>
      </c>
    </row>
    <row r="154">
      <c r="B154" s="5">
        <f>IF(A154="", "", LET(    checkF, XLOOKUP(A154, RailDefinition!E:E, RailDefinition!J:J),    checkE, XLOOKUP(A154, RailDefinition!E:E, RailDefinition!I:I),    IF(OR(        checkF="Borderless",        checkF="Borderless_L",        AND(checkF="Borderless_I", checkE="L90"),        AND(checkF="Borderless_O", checkE="R90")    ), "", "Side")))</f>
      </c>
      <c r="C154" s="5">
        <f>IF(A154="", "", LET(    checkF, XLOOKUP(A154, RailDefinition!E:E, RailDefinition!J:J),    checkE, XLOOKUP(A154, RailDefinition!E:E, RailDefinition!I:I),    IF(OR(        checkF="Borderless",        checkF="Borderless_R",        AND(checkF="Borderless_O", checkE="L90"),        AND(checkF="Borderless_I", checkE="R90")    ), "", "Side")))</f>
      </c>
      <c r="D154" s="5">
        <f>IF(A154="", "", LET(    valG, XLOOKUP(A154, RailDefinition!E:E, RailDefinition!K:K),    valD, XLOOKUP(A154, RailDefinition!E:E, RailDefinition!H:H),    valE, XLOOKUP(A154,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4">
        <f t="array" ref="E154:E154">XLOOKUP(1,(RailDefinition!$F:$F=$A154)*(RailDefinition!$M:$M=E$1),RailDefinition!$S:$S,"")</f>
      </c>
      <c r="F154">
        <f t="array" ref="F154:F154">XLOOKUP(1,(RailDefinition!$F:$F=$A154)*(RailDefinition!$M:$M=F$1),RailDefinition!$S:$S,"")</f>
      </c>
      <c r="G154">
        <f t="array" ref="G154:G154">XLOOKUP(1,(RailDefinition!$F:$F=$A154)*(RailDefinition!$M:$M=G$1),RailDefinition!$S:$S,"")</f>
      </c>
      <c r="H154">
        <f t="array" ref="H154:H154">XLOOKUP(1,(RailDefinition!$F:$F=$A154)*(RailDefinition!$M:$M=H$1),RailDefinition!$S:$S,"")</f>
      </c>
      <c r="I154">
        <f t="array" ref="I154:I154">XLOOKUP(1,(RailDefinition!$F:$F=$A154)*(RailDefinition!$M:$M=I$1),RailDefinition!$S:$S,"")</f>
      </c>
      <c r="J154">
        <f t="array" ref="J154:J154">XLOOKUP(1,(RailDefinition!$F:$F=$A154)*(RailDefinition!$M:$M=J$1),RailDefinition!$S:$S,"")</f>
      </c>
    </row>
    <row r="155">
      <c r="B155" s="5">
        <f>IF(A155="", "", LET(    checkF, XLOOKUP(A155, RailDefinition!E:E, RailDefinition!J:J),    checkE, XLOOKUP(A155, RailDefinition!E:E, RailDefinition!I:I),    IF(OR(        checkF="Borderless",        checkF="Borderless_L",        AND(checkF="Borderless_I", checkE="L90"),        AND(checkF="Borderless_O", checkE="R90")    ), "", "Side")))</f>
      </c>
      <c r="C155" s="5">
        <f>IF(A155="", "", LET(    checkF, XLOOKUP(A155, RailDefinition!E:E, RailDefinition!J:J),    checkE, XLOOKUP(A155, RailDefinition!E:E, RailDefinition!I:I),    IF(OR(        checkF="Borderless",        checkF="Borderless_R",        AND(checkF="Borderless_O", checkE="L90"),        AND(checkF="Borderless_I", checkE="R90")    ), "", "Side")))</f>
      </c>
      <c r="D155" s="5">
        <f>IF(A155="", "", LET(    valG, XLOOKUP(A155, RailDefinition!E:E, RailDefinition!K:K),    valD, XLOOKUP(A155, RailDefinition!E:E, RailDefinition!H:H),    valE, XLOOKUP(A155,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5">
        <f t="array" ref="E155:E155">XLOOKUP(1,(RailDefinition!$F:$F=$A155)*(RailDefinition!$M:$M=E$1),RailDefinition!$S:$S,"")</f>
      </c>
      <c r="F155">
        <f t="array" ref="F155:F155">XLOOKUP(1,(RailDefinition!$F:$F=$A155)*(RailDefinition!$M:$M=F$1),RailDefinition!$S:$S,"")</f>
      </c>
      <c r="G155">
        <f t="array" ref="G155:G155">XLOOKUP(1,(RailDefinition!$F:$F=$A155)*(RailDefinition!$M:$M=G$1),RailDefinition!$S:$S,"")</f>
      </c>
      <c r="H155">
        <f t="array" ref="H155:H155">XLOOKUP(1,(RailDefinition!$F:$F=$A155)*(RailDefinition!$M:$M=H$1),RailDefinition!$S:$S,"")</f>
      </c>
      <c r="I155">
        <f t="array" ref="I155:I155">XLOOKUP(1,(RailDefinition!$F:$F=$A155)*(RailDefinition!$M:$M=I$1),RailDefinition!$S:$S,"")</f>
      </c>
      <c r="J155">
        <f t="array" ref="J155:J155">XLOOKUP(1,(RailDefinition!$F:$F=$A155)*(RailDefinition!$M:$M=J$1),RailDefinition!$S:$S,"")</f>
      </c>
    </row>
    <row r="156">
      <c r="B156" s="5">
        <f>IF(A156="", "", LET(    checkF, XLOOKUP(A156, RailDefinition!E:E, RailDefinition!J:J),    checkE, XLOOKUP(A156, RailDefinition!E:E, RailDefinition!I:I),    IF(OR(        checkF="Borderless",        checkF="Borderless_L",        AND(checkF="Borderless_I", checkE="L90"),        AND(checkF="Borderless_O", checkE="R90")    ), "", "Side")))</f>
      </c>
      <c r="C156" s="5">
        <f>IF(A156="", "", LET(    checkF, XLOOKUP(A156, RailDefinition!E:E, RailDefinition!J:J),    checkE, XLOOKUP(A156, RailDefinition!E:E, RailDefinition!I:I),    IF(OR(        checkF="Borderless",        checkF="Borderless_R",        AND(checkF="Borderless_O", checkE="L90"),        AND(checkF="Borderless_I", checkE="R90")    ), "", "Side")))</f>
      </c>
      <c r="D156" s="5">
        <f>IF(A156="", "", LET(    valG, XLOOKUP(A156, RailDefinition!E:E, RailDefinition!K:K),    valD, XLOOKUP(A156, RailDefinition!E:E, RailDefinition!H:H),    valE, XLOOKUP(A156,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6">
        <f t="array" ref="E156:E156">XLOOKUP(1,(RailDefinition!$F:$F=$A156)*(RailDefinition!$M:$M=E$1),RailDefinition!$S:$S,"")</f>
      </c>
      <c r="F156">
        <f t="array" ref="F156:F156">XLOOKUP(1,(RailDefinition!$F:$F=$A156)*(RailDefinition!$M:$M=F$1),RailDefinition!$S:$S,"")</f>
      </c>
      <c r="G156">
        <f t="array" ref="G156:G156">XLOOKUP(1,(RailDefinition!$F:$F=$A156)*(RailDefinition!$M:$M=G$1),RailDefinition!$S:$S,"")</f>
      </c>
      <c r="H156">
        <f t="array" ref="H156:H156">XLOOKUP(1,(RailDefinition!$F:$F=$A156)*(RailDefinition!$M:$M=H$1),RailDefinition!$S:$S,"")</f>
      </c>
      <c r="I156">
        <f t="array" ref="I156:I156">XLOOKUP(1,(RailDefinition!$F:$F=$A156)*(RailDefinition!$M:$M=I$1),RailDefinition!$S:$S,"")</f>
      </c>
      <c r="J156">
        <f t="array" ref="J156:J156">XLOOKUP(1,(RailDefinition!$F:$F=$A156)*(RailDefinition!$M:$M=J$1),RailDefinition!$S:$S,"")</f>
      </c>
    </row>
    <row r="157">
      <c r="B157" s="5">
        <f>IF(A157="", "", LET(    checkF, XLOOKUP(A157, RailDefinition!E:E, RailDefinition!J:J),    checkE, XLOOKUP(A157, RailDefinition!E:E, RailDefinition!I:I),    IF(OR(        checkF="Borderless",        checkF="Borderless_L",        AND(checkF="Borderless_I", checkE="L90"),        AND(checkF="Borderless_O", checkE="R90")    ), "", "Side")))</f>
      </c>
      <c r="C157" s="5">
        <f>IF(A157="", "", LET(    checkF, XLOOKUP(A157, RailDefinition!E:E, RailDefinition!J:J),    checkE, XLOOKUP(A157, RailDefinition!E:E, RailDefinition!I:I),    IF(OR(        checkF="Borderless",        checkF="Borderless_R",        AND(checkF="Borderless_O", checkE="L90"),        AND(checkF="Borderless_I", checkE="R90")    ), "", "Side")))</f>
      </c>
      <c r="D157" s="5">
        <f>IF(A157="", "", LET(    valG, XLOOKUP(A157, RailDefinition!E:E, RailDefinition!K:K),    valD, XLOOKUP(A157, RailDefinition!E:E, RailDefinition!H:H),    valE, XLOOKUP(A157,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7">
        <f t="array" ref="E157:E157">XLOOKUP(1,(RailDefinition!$F:$F=$A157)*(RailDefinition!$M:$M=E$1),RailDefinition!$S:$S,"")</f>
      </c>
      <c r="F157">
        <f t="array" ref="F157:F157">XLOOKUP(1,(RailDefinition!$F:$F=$A157)*(RailDefinition!$M:$M=F$1),RailDefinition!$S:$S,"")</f>
      </c>
      <c r="G157">
        <f t="array" ref="G157:G157">XLOOKUP(1,(RailDefinition!$F:$F=$A157)*(RailDefinition!$M:$M=G$1),RailDefinition!$S:$S,"")</f>
      </c>
      <c r="H157">
        <f t="array" ref="H157:H157">XLOOKUP(1,(RailDefinition!$F:$F=$A157)*(RailDefinition!$M:$M=H$1),RailDefinition!$S:$S,"")</f>
      </c>
      <c r="I157">
        <f t="array" ref="I157:I157">XLOOKUP(1,(RailDefinition!$F:$F=$A157)*(RailDefinition!$M:$M=I$1),RailDefinition!$S:$S,"")</f>
      </c>
      <c r="J157">
        <f t="array" ref="J157:J157">XLOOKUP(1,(RailDefinition!$F:$F=$A157)*(RailDefinition!$M:$M=J$1),RailDefinition!$S:$S,"")</f>
      </c>
    </row>
    <row r="158">
      <c r="B158" s="5">
        <f>IF(A158="", "", LET(    checkF, XLOOKUP(A158, RailDefinition!E:E, RailDefinition!J:J),    checkE, XLOOKUP(A158, RailDefinition!E:E, RailDefinition!I:I),    IF(OR(        checkF="Borderless",        checkF="Borderless_L",        AND(checkF="Borderless_I", checkE="L90"),        AND(checkF="Borderless_O", checkE="R90")    ), "", "Side")))</f>
      </c>
      <c r="C158" s="5">
        <f>IF(A158="", "", LET(    checkF, XLOOKUP(A158, RailDefinition!E:E, RailDefinition!J:J),    checkE, XLOOKUP(A158, RailDefinition!E:E, RailDefinition!I:I),    IF(OR(        checkF="Borderless",        checkF="Borderless_R",        AND(checkF="Borderless_O", checkE="L90"),        AND(checkF="Borderless_I", checkE="R90")    ), "", "Side")))</f>
      </c>
      <c r="D158" s="5">
        <f>IF(A158="", "", LET(    valG, XLOOKUP(A158, RailDefinition!E:E, RailDefinition!K:K),    valD, XLOOKUP(A158, RailDefinition!E:E, RailDefinition!H:H),    valE, XLOOKUP(A158,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8">
        <f t="array" ref="E158:E158">XLOOKUP(1,(RailDefinition!$F:$F=$A158)*(RailDefinition!$M:$M=E$1),RailDefinition!$S:$S,"")</f>
      </c>
      <c r="F158">
        <f t="array" ref="F158:F158">XLOOKUP(1,(RailDefinition!$F:$F=$A158)*(RailDefinition!$M:$M=F$1),RailDefinition!$S:$S,"")</f>
      </c>
      <c r="G158">
        <f t="array" ref="G158:G158">XLOOKUP(1,(RailDefinition!$F:$F=$A158)*(RailDefinition!$M:$M=G$1),RailDefinition!$S:$S,"")</f>
      </c>
      <c r="H158">
        <f t="array" ref="H158:H158">XLOOKUP(1,(RailDefinition!$F:$F=$A158)*(RailDefinition!$M:$M=H$1),RailDefinition!$S:$S,"")</f>
      </c>
      <c r="I158">
        <f t="array" ref="I158:I158">XLOOKUP(1,(RailDefinition!$F:$F=$A158)*(RailDefinition!$M:$M=I$1),RailDefinition!$S:$S,"")</f>
      </c>
      <c r="J158">
        <f t="array" ref="J158:J158">XLOOKUP(1,(RailDefinition!$F:$F=$A158)*(RailDefinition!$M:$M=J$1),RailDefinition!$S:$S,"")</f>
      </c>
    </row>
    <row r="159">
      <c r="B159" s="5">
        <f>IF(A159="", "", LET(    checkF, XLOOKUP(A159, RailDefinition!E:E, RailDefinition!J:J),    checkE, XLOOKUP(A159, RailDefinition!E:E, RailDefinition!I:I),    IF(OR(        checkF="Borderless",        checkF="Borderless_L",        AND(checkF="Borderless_I", checkE="L90"),        AND(checkF="Borderless_O", checkE="R90")    ), "", "Side")))</f>
      </c>
      <c r="C159" s="5">
        <f>IF(A159="", "", LET(    checkF, XLOOKUP(A159, RailDefinition!E:E, RailDefinition!J:J),    checkE, XLOOKUP(A159, RailDefinition!E:E, RailDefinition!I:I),    IF(OR(        checkF="Borderless",        checkF="Borderless_R",        AND(checkF="Borderless_O", checkE="L90"),        AND(checkF="Borderless_I", checkE="R90")    ), "", "Side")))</f>
      </c>
      <c r="D159" s="5">
        <f>IF(A159="", "", LET(    valG, XLOOKUP(A159, RailDefinition!E:E, RailDefinition!K:K),    valD, XLOOKUP(A159, RailDefinition!E:E, RailDefinition!H:H),    valE, XLOOKUP(A159,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59">
        <f t="array" ref="E159:E159">XLOOKUP(1,(RailDefinition!$F:$F=$A159)*(RailDefinition!$M:$M=E$1),RailDefinition!$S:$S,"")</f>
      </c>
      <c r="F159">
        <f t="array" ref="F159:F159">XLOOKUP(1,(RailDefinition!$F:$F=$A159)*(RailDefinition!$M:$M=F$1),RailDefinition!$S:$S,"")</f>
      </c>
      <c r="G159">
        <f t="array" ref="G159:G159">XLOOKUP(1,(RailDefinition!$F:$F=$A159)*(RailDefinition!$M:$M=G$1),RailDefinition!$S:$S,"")</f>
      </c>
      <c r="H159">
        <f t="array" ref="H159:H159">XLOOKUP(1,(RailDefinition!$F:$F=$A159)*(RailDefinition!$M:$M=H$1),RailDefinition!$S:$S,"")</f>
      </c>
      <c r="I159">
        <f t="array" ref="I159:I159">XLOOKUP(1,(RailDefinition!$F:$F=$A159)*(RailDefinition!$M:$M=I$1),RailDefinition!$S:$S,"")</f>
      </c>
      <c r="J159">
        <f t="array" ref="J159:J159">XLOOKUP(1,(RailDefinition!$F:$F=$A159)*(RailDefinition!$M:$M=J$1),RailDefinition!$S:$S,"")</f>
      </c>
    </row>
    <row r="160">
      <c r="B160" s="5">
        <f>IF(A160="", "", LET(    checkF, XLOOKUP(A160, RailDefinition!E:E, RailDefinition!J:J),    checkE, XLOOKUP(A160, RailDefinition!E:E, RailDefinition!I:I),    IF(OR(        checkF="Borderless",        checkF="Borderless_L",        AND(checkF="Borderless_I", checkE="L90"),        AND(checkF="Borderless_O", checkE="R90")    ), "", "Side")))</f>
      </c>
      <c r="C160" s="5">
        <f>IF(A160="", "", LET(    checkF, XLOOKUP(A160, RailDefinition!E:E, RailDefinition!J:J),    checkE, XLOOKUP(A160, RailDefinition!E:E, RailDefinition!I:I),    IF(OR(        checkF="Borderless",        checkF="Borderless_R",        AND(checkF="Borderless_O", checkE="L90"),        AND(checkF="Borderless_I", checkE="R90")    ), "", "Side")))</f>
      </c>
      <c r="D160" s="5">
        <f>IF(A160="", "", LET(    valG, XLOOKUP(A160, RailDefinition!E:E, RailDefinition!K:K),    valD, XLOOKUP(A160, RailDefinition!E:E, RailDefinition!H:H),    valE, XLOOKUP(A160,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0">
        <f t="array" ref="E160:E160">XLOOKUP(1,(RailDefinition!$F:$F=$A160)*(RailDefinition!$M:$M=E$1),RailDefinition!$S:$S,"")</f>
      </c>
      <c r="F160">
        <f t="array" ref="F160:F160">XLOOKUP(1,(RailDefinition!$F:$F=$A160)*(RailDefinition!$M:$M=F$1),RailDefinition!$S:$S,"")</f>
      </c>
      <c r="G160">
        <f t="array" ref="G160:G160">XLOOKUP(1,(RailDefinition!$F:$F=$A160)*(RailDefinition!$M:$M=G$1),RailDefinition!$S:$S,"")</f>
      </c>
      <c r="H160">
        <f t="array" ref="H160:H160">XLOOKUP(1,(RailDefinition!$F:$F=$A160)*(RailDefinition!$M:$M=H$1),RailDefinition!$S:$S,"")</f>
      </c>
      <c r="I160">
        <f t="array" ref="I160:I160">XLOOKUP(1,(RailDefinition!$F:$F=$A160)*(RailDefinition!$M:$M=I$1),RailDefinition!$S:$S,"")</f>
      </c>
      <c r="J160">
        <f t="array" ref="J160:J160">XLOOKUP(1,(RailDefinition!$F:$F=$A160)*(RailDefinition!$M:$M=J$1),RailDefinition!$S:$S,"")</f>
      </c>
    </row>
    <row r="161">
      <c r="B161" s="5">
        <f>IF(A161="", "", LET(    checkF, XLOOKUP(A161, RailDefinition!E:E, RailDefinition!J:J),    checkE, XLOOKUP(A161, RailDefinition!E:E, RailDefinition!I:I),    IF(OR(        checkF="Borderless",        checkF="Borderless_L",        AND(checkF="Borderless_I", checkE="L90"),        AND(checkF="Borderless_O", checkE="R90")    ), "", "Side")))</f>
      </c>
      <c r="C161" s="5">
        <f>IF(A161="", "", LET(    checkF, XLOOKUP(A161, RailDefinition!E:E, RailDefinition!J:J),    checkE, XLOOKUP(A161, RailDefinition!E:E, RailDefinition!I:I),    IF(OR(        checkF="Borderless",        checkF="Borderless_R",        AND(checkF="Borderless_O", checkE="L90"),        AND(checkF="Borderless_I", checkE="R90")    ), "", "Side")))</f>
      </c>
      <c r="D161" s="5">
        <f>IF(A161="", "", LET(    valG, XLOOKUP(A161, RailDefinition!E:E, RailDefinition!K:K),    valD, XLOOKUP(A161, RailDefinition!E:E, RailDefinition!H:H),    valE, XLOOKUP(A161,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1">
        <f t="array" ref="E161:E161">XLOOKUP(1,(RailDefinition!$F:$F=$A161)*(RailDefinition!$M:$M=E$1),RailDefinition!$S:$S,"")</f>
      </c>
      <c r="F161">
        <f t="array" ref="F161:F161">XLOOKUP(1,(RailDefinition!$F:$F=$A161)*(RailDefinition!$M:$M=F$1),RailDefinition!$S:$S,"")</f>
      </c>
      <c r="G161">
        <f t="array" ref="G161:G161">XLOOKUP(1,(RailDefinition!$F:$F=$A161)*(RailDefinition!$M:$M=G$1),RailDefinition!$S:$S,"")</f>
      </c>
      <c r="H161">
        <f t="array" ref="H161:H161">XLOOKUP(1,(RailDefinition!$F:$F=$A161)*(RailDefinition!$M:$M=H$1),RailDefinition!$S:$S,"")</f>
      </c>
      <c r="I161">
        <f t="array" ref="I161:I161">XLOOKUP(1,(RailDefinition!$F:$F=$A161)*(RailDefinition!$M:$M=I$1),RailDefinition!$S:$S,"")</f>
      </c>
      <c r="J161">
        <f t="array" ref="J161:J161">XLOOKUP(1,(RailDefinition!$F:$F=$A161)*(RailDefinition!$M:$M=J$1),RailDefinition!$S:$S,"")</f>
      </c>
    </row>
    <row r="162">
      <c r="B162" s="5">
        <f>IF(A162="", "", LET(    checkF, XLOOKUP(A162, RailDefinition!E:E, RailDefinition!J:J),    checkE, XLOOKUP(A162, RailDefinition!E:E, RailDefinition!I:I),    IF(OR(        checkF="Borderless",        checkF="Borderless_L",        AND(checkF="Borderless_I", checkE="L90"),        AND(checkF="Borderless_O", checkE="R90")    ), "", "Side")))</f>
      </c>
      <c r="C162" s="5">
        <f>IF(A162="", "", LET(    checkF, XLOOKUP(A162, RailDefinition!E:E, RailDefinition!J:J),    checkE, XLOOKUP(A162, RailDefinition!E:E, RailDefinition!I:I),    IF(OR(        checkF="Borderless",        checkF="Borderless_R",        AND(checkF="Borderless_O", checkE="L90"),        AND(checkF="Borderless_I", checkE="R90")    ), "", "Side")))</f>
      </c>
      <c r="D162" s="5">
        <f>IF(A162="", "", LET(    valG, XLOOKUP(A162, RailDefinition!E:E, RailDefinition!K:K),    valD, XLOOKUP(A162, RailDefinition!E:E, RailDefinition!H:H),    valE, XLOOKUP(A162,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2">
        <f t="array" ref="E162:E162">XLOOKUP(1,(RailDefinition!$F:$F=$A162)*(RailDefinition!$M:$M=E$1),RailDefinition!$S:$S,"")</f>
      </c>
      <c r="F162">
        <f t="array" ref="F162:F162">XLOOKUP(1,(RailDefinition!$F:$F=$A162)*(RailDefinition!$M:$M=F$1),RailDefinition!$S:$S,"")</f>
      </c>
      <c r="G162">
        <f t="array" ref="G162:G162">XLOOKUP(1,(RailDefinition!$F:$F=$A162)*(RailDefinition!$M:$M=G$1),RailDefinition!$S:$S,"")</f>
      </c>
      <c r="H162">
        <f t="array" ref="H162:H162">XLOOKUP(1,(RailDefinition!$F:$F=$A162)*(RailDefinition!$M:$M=H$1),RailDefinition!$S:$S,"")</f>
      </c>
      <c r="I162">
        <f t="array" ref="I162:I162">XLOOKUP(1,(RailDefinition!$F:$F=$A162)*(RailDefinition!$M:$M=I$1),RailDefinition!$S:$S,"")</f>
      </c>
      <c r="J162">
        <f t="array" ref="J162:J162">XLOOKUP(1,(RailDefinition!$F:$F=$A162)*(RailDefinition!$M:$M=J$1),RailDefinition!$S:$S,"")</f>
      </c>
    </row>
    <row r="163">
      <c r="B163" s="5">
        <f>IF(A163="", "", LET(    checkF, XLOOKUP(A163, RailDefinition!E:E, RailDefinition!J:J),    checkE, XLOOKUP(A163, RailDefinition!E:E, RailDefinition!I:I),    IF(OR(        checkF="Borderless",        checkF="Borderless_L",        AND(checkF="Borderless_I", checkE="L90"),        AND(checkF="Borderless_O", checkE="R90")    ), "", "Side")))</f>
      </c>
      <c r="C163" s="5">
        <f>IF(A163="", "", LET(    checkF, XLOOKUP(A163, RailDefinition!E:E, RailDefinition!J:J),    checkE, XLOOKUP(A163, RailDefinition!E:E, RailDefinition!I:I),    IF(OR(        checkF="Borderless",        checkF="Borderless_R",        AND(checkF="Borderless_O", checkE="L90"),        AND(checkF="Borderless_I", checkE="R90")    ), "", "Side")))</f>
      </c>
      <c r="D163" s="5">
        <f>IF(A163="", "", LET(    valG, XLOOKUP(A163, RailDefinition!E:E, RailDefinition!K:K),    valD, XLOOKUP(A163, RailDefinition!E:E, RailDefinition!H:H),    valE, XLOOKUP(A163,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3">
        <f t="array" ref="E163:E163">XLOOKUP(1,(RailDefinition!$F:$F=$A163)*(RailDefinition!$M:$M=E$1),RailDefinition!$S:$S,"")</f>
      </c>
      <c r="F163">
        <f t="array" ref="F163:F163">XLOOKUP(1,(RailDefinition!$F:$F=$A163)*(RailDefinition!$M:$M=F$1),RailDefinition!$S:$S,"")</f>
      </c>
      <c r="G163">
        <f t="array" ref="G163:G163">XLOOKUP(1,(RailDefinition!$F:$F=$A163)*(RailDefinition!$M:$M=G$1),RailDefinition!$S:$S,"")</f>
      </c>
      <c r="H163">
        <f t="array" ref="H163:H163">XLOOKUP(1,(RailDefinition!$F:$F=$A163)*(RailDefinition!$M:$M=H$1),RailDefinition!$S:$S,"")</f>
      </c>
      <c r="I163">
        <f t="array" ref="I163:I163">XLOOKUP(1,(RailDefinition!$F:$F=$A163)*(RailDefinition!$M:$M=I$1),RailDefinition!$S:$S,"")</f>
      </c>
      <c r="J163">
        <f t="array" ref="J163:J163">XLOOKUP(1,(RailDefinition!$F:$F=$A163)*(RailDefinition!$M:$M=J$1),RailDefinition!$S:$S,"")</f>
      </c>
    </row>
    <row r="164">
      <c r="B164" s="5">
        <f>IF(A164="", "", LET(    checkF, XLOOKUP(A164, RailDefinition!E:E, RailDefinition!J:J),    checkE, XLOOKUP(A164, RailDefinition!E:E, RailDefinition!I:I),    IF(OR(        checkF="Borderless",        checkF="Borderless_L",        AND(checkF="Borderless_I", checkE="L90"),        AND(checkF="Borderless_O", checkE="R90")    ), "", "Side")))</f>
      </c>
      <c r="C164" s="5">
        <f>IF(A164="", "", LET(    checkF, XLOOKUP(A164, RailDefinition!E:E, RailDefinition!J:J),    checkE, XLOOKUP(A164, RailDefinition!E:E, RailDefinition!I:I),    IF(OR(        checkF="Borderless",        checkF="Borderless_R",        AND(checkF="Borderless_O", checkE="L90"),        AND(checkF="Borderless_I", checkE="R90")    ), "", "Side")))</f>
      </c>
      <c r="D164" s="5">
        <f>IF(A164="", "", LET(    valG, XLOOKUP(A164, RailDefinition!E:E, RailDefinition!K:K),    valD, XLOOKUP(A164, RailDefinition!E:E, RailDefinition!H:H),    valE, XLOOKUP(A164,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4">
        <f t="array" ref="E164:E164">XLOOKUP(1,(RailDefinition!$F:$F=$A164)*(RailDefinition!$M:$M=E$1),RailDefinition!$S:$S,"")</f>
      </c>
      <c r="F164">
        <f t="array" ref="F164:F164">XLOOKUP(1,(RailDefinition!$F:$F=$A164)*(RailDefinition!$M:$M=F$1),RailDefinition!$S:$S,"")</f>
      </c>
      <c r="G164">
        <f t="array" ref="G164:G164">XLOOKUP(1,(RailDefinition!$F:$F=$A164)*(RailDefinition!$M:$M=G$1),RailDefinition!$S:$S,"")</f>
      </c>
      <c r="H164">
        <f t="array" ref="H164:H164">XLOOKUP(1,(RailDefinition!$F:$F=$A164)*(RailDefinition!$M:$M=H$1),RailDefinition!$S:$S,"")</f>
      </c>
      <c r="I164">
        <f t="array" ref="I164:I164">XLOOKUP(1,(RailDefinition!$F:$F=$A164)*(RailDefinition!$M:$M=I$1),RailDefinition!$S:$S,"")</f>
      </c>
      <c r="J164">
        <f t="array" ref="J164:J164">XLOOKUP(1,(RailDefinition!$F:$F=$A164)*(RailDefinition!$M:$M=J$1),RailDefinition!$S:$S,"")</f>
      </c>
    </row>
    <row r="165">
      <c r="B165" s="5">
        <f>IF(A165="", "", LET(    checkF, XLOOKUP(A165, RailDefinition!E:E, RailDefinition!J:J),    checkE, XLOOKUP(A165, RailDefinition!E:E, RailDefinition!I:I),    IF(OR(        checkF="Borderless",        checkF="Borderless_L",        AND(checkF="Borderless_I", checkE="L90"),        AND(checkF="Borderless_O", checkE="R90")    ), "", "Side")))</f>
      </c>
      <c r="C165" s="5">
        <f>IF(A165="", "", LET(    checkF, XLOOKUP(A165, RailDefinition!E:E, RailDefinition!J:J),    checkE, XLOOKUP(A165, RailDefinition!E:E, RailDefinition!I:I),    IF(OR(        checkF="Borderless",        checkF="Borderless_R",        AND(checkF="Borderless_O", checkE="L90"),        AND(checkF="Borderless_I", checkE="R90")    ), "", "Side")))</f>
      </c>
      <c r="D165" s="5">
        <f>IF(A165="", "", LET(    valG, XLOOKUP(A165, RailDefinition!E:E, RailDefinition!K:K),    valD, XLOOKUP(A165, RailDefinition!E:E, RailDefinition!H:H),    valE, XLOOKUP(A165,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5">
        <f t="array" ref="E165:E165">XLOOKUP(1,(RailDefinition!$F:$F=$A165)*(RailDefinition!$M:$M=E$1),RailDefinition!$S:$S,"")</f>
      </c>
      <c r="F165">
        <f t="array" ref="F165:F165">XLOOKUP(1,(RailDefinition!$F:$F=$A165)*(RailDefinition!$M:$M=F$1),RailDefinition!$S:$S,"")</f>
      </c>
      <c r="G165">
        <f t="array" ref="G165:G165">XLOOKUP(1,(RailDefinition!$F:$F=$A165)*(RailDefinition!$M:$M=G$1),RailDefinition!$S:$S,"")</f>
      </c>
      <c r="H165">
        <f t="array" ref="H165:H165">XLOOKUP(1,(RailDefinition!$F:$F=$A165)*(RailDefinition!$M:$M=H$1),RailDefinition!$S:$S,"")</f>
      </c>
      <c r="I165">
        <f t="array" ref="I165:I165">XLOOKUP(1,(RailDefinition!$F:$F=$A165)*(RailDefinition!$M:$M=I$1),RailDefinition!$S:$S,"")</f>
      </c>
      <c r="J165">
        <f t="array" ref="J165:J165">XLOOKUP(1,(RailDefinition!$F:$F=$A165)*(RailDefinition!$M:$M=J$1),RailDefinition!$S:$S,"")</f>
      </c>
    </row>
    <row r="166">
      <c r="B166" s="5">
        <f>IF(A166="", "", LET(    checkF, XLOOKUP(A166, RailDefinition!E:E, RailDefinition!J:J),    checkE, XLOOKUP(A166, RailDefinition!E:E, RailDefinition!I:I),    IF(OR(        checkF="Borderless",        checkF="Borderless_L",        AND(checkF="Borderless_I", checkE="L90"),        AND(checkF="Borderless_O", checkE="R90")    ), "", "Side")))</f>
      </c>
      <c r="C166" s="5">
        <f>IF(A166="", "", LET(    checkF, XLOOKUP(A166, RailDefinition!E:E, RailDefinition!J:J),    checkE, XLOOKUP(A166, RailDefinition!E:E, RailDefinition!I:I),    IF(OR(        checkF="Borderless",        checkF="Borderless_R",        AND(checkF="Borderless_O", checkE="L90"),        AND(checkF="Borderless_I", checkE="R90")    ), "", "Side")))</f>
      </c>
      <c r="D166" s="5">
        <f>IF(A166="", "", LET(    valG, XLOOKUP(A166, RailDefinition!E:E, RailDefinition!K:K),    valD, XLOOKUP(A166, RailDefinition!E:E, RailDefinition!H:H),    valE, XLOOKUP(A166,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6">
        <f t="array" ref="E166:E166">XLOOKUP(1,(RailDefinition!$F:$F=$A166)*(RailDefinition!$M:$M=E$1),RailDefinition!$S:$S,"")</f>
      </c>
      <c r="F166">
        <f t="array" ref="F166:F166">XLOOKUP(1,(RailDefinition!$F:$F=$A166)*(RailDefinition!$M:$M=F$1),RailDefinition!$S:$S,"")</f>
      </c>
      <c r="G166">
        <f t="array" ref="G166:G166">XLOOKUP(1,(RailDefinition!$F:$F=$A166)*(RailDefinition!$M:$M=G$1),RailDefinition!$S:$S,"")</f>
      </c>
      <c r="H166">
        <f t="array" ref="H166:H166">XLOOKUP(1,(RailDefinition!$F:$F=$A166)*(RailDefinition!$M:$M=H$1),RailDefinition!$S:$S,"")</f>
      </c>
      <c r="I166">
        <f t="array" ref="I166:I166">XLOOKUP(1,(RailDefinition!$F:$F=$A166)*(RailDefinition!$M:$M=I$1),RailDefinition!$S:$S,"")</f>
      </c>
      <c r="J166">
        <f t="array" ref="J166:J166">XLOOKUP(1,(RailDefinition!$F:$F=$A166)*(RailDefinition!$M:$M=J$1),RailDefinition!$S:$S,"")</f>
      </c>
    </row>
    <row r="167">
      <c r="B167" s="5">
        <f>IF(A167="", "", LET(    checkF, XLOOKUP(A167, RailDefinition!E:E, RailDefinition!J:J),    checkE, XLOOKUP(A167, RailDefinition!E:E, RailDefinition!I:I),    IF(OR(        checkF="Borderless",        checkF="Borderless_L",        AND(checkF="Borderless_I", checkE="L90"),        AND(checkF="Borderless_O", checkE="R90")    ), "", "Side")))</f>
      </c>
      <c r="C167" s="5">
        <f>IF(A167="", "", LET(    checkF, XLOOKUP(A167, RailDefinition!E:E, RailDefinition!J:J),    checkE, XLOOKUP(A167, RailDefinition!E:E, RailDefinition!I:I),    IF(OR(        checkF="Borderless",        checkF="Borderless_R",        AND(checkF="Borderless_O", checkE="L90"),        AND(checkF="Borderless_I", checkE="R90")    ), "", "Side")))</f>
      </c>
      <c r="D167" s="5">
        <f>IF(A167="", "", LET(    valG, XLOOKUP(A167, RailDefinition!E:E, RailDefinition!K:K),    valD, XLOOKUP(A167, RailDefinition!E:E, RailDefinition!H:H),    valE, XLOOKUP(A167,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7">
        <f t="array" ref="E167:E167">XLOOKUP(1,(RailDefinition!$F:$F=$A167)*(RailDefinition!$M:$M=E$1),RailDefinition!$S:$S,"")</f>
      </c>
      <c r="F167">
        <f t="array" ref="F167:F167">XLOOKUP(1,(RailDefinition!$F:$F=$A167)*(RailDefinition!$M:$M=F$1),RailDefinition!$S:$S,"")</f>
      </c>
      <c r="G167">
        <f t="array" ref="G167:G167">XLOOKUP(1,(RailDefinition!$F:$F=$A167)*(RailDefinition!$M:$M=G$1),RailDefinition!$S:$S,"")</f>
      </c>
      <c r="H167">
        <f t="array" ref="H167:H167">XLOOKUP(1,(RailDefinition!$F:$F=$A167)*(RailDefinition!$M:$M=H$1),RailDefinition!$S:$S,"")</f>
      </c>
      <c r="I167">
        <f t="array" ref="I167:I167">XLOOKUP(1,(RailDefinition!$F:$F=$A167)*(RailDefinition!$M:$M=I$1),RailDefinition!$S:$S,"")</f>
      </c>
      <c r="J167">
        <f t="array" ref="J167:J167">XLOOKUP(1,(RailDefinition!$F:$F=$A167)*(RailDefinition!$M:$M=J$1),RailDefinition!$S:$S,"")</f>
      </c>
    </row>
    <row r="168">
      <c r="B168" s="5">
        <f>IF(A168="", "", LET(    checkF, XLOOKUP(A168, RailDefinition!E:E, RailDefinition!J:J),    checkE, XLOOKUP(A168, RailDefinition!E:E, RailDefinition!I:I),    IF(OR(        checkF="Borderless",        checkF="Borderless_L",        AND(checkF="Borderless_I", checkE="L90"),        AND(checkF="Borderless_O", checkE="R90")    ), "", "Side")))</f>
      </c>
      <c r="C168" s="5">
        <f>IF(A168="", "", LET(    checkF, XLOOKUP(A168, RailDefinition!E:E, RailDefinition!J:J),    checkE, XLOOKUP(A168, RailDefinition!E:E, RailDefinition!I:I),    IF(OR(        checkF="Borderless",        checkF="Borderless_R",        AND(checkF="Borderless_O", checkE="L90"),        AND(checkF="Borderless_I", checkE="R90")    ), "", "Side")))</f>
      </c>
      <c r="D168" s="5">
        <f>IF(A168="", "", LET(    valG, XLOOKUP(A168, RailDefinition!E:E, RailDefinition!K:K),    valD, XLOOKUP(A168, RailDefinition!E:E, RailDefinition!H:H),    valE, XLOOKUP(A168,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8">
        <f t="array" ref="E168:E168">XLOOKUP(1,(RailDefinition!$F:$F=$A168)*(RailDefinition!$M:$M=E$1),RailDefinition!$S:$S,"")</f>
      </c>
      <c r="F168">
        <f t="array" ref="F168:F168">XLOOKUP(1,(RailDefinition!$F:$F=$A168)*(RailDefinition!$M:$M=F$1),RailDefinition!$S:$S,"")</f>
      </c>
      <c r="G168">
        <f t="array" ref="G168:G168">XLOOKUP(1,(RailDefinition!$F:$F=$A168)*(RailDefinition!$M:$M=G$1),RailDefinition!$S:$S,"")</f>
      </c>
      <c r="H168">
        <f t="array" ref="H168:H168">XLOOKUP(1,(RailDefinition!$F:$F=$A168)*(RailDefinition!$M:$M=H$1),RailDefinition!$S:$S,"")</f>
      </c>
      <c r="I168">
        <f t="array" ref="I168:I168">XLOOKUP(1,(RailDefinition!$F:$F=$A168)*(RailDefinition!$M:$M=I$1),RailDefinition!$S:$S,"")</f>
      </c>
      <c r="J168">
        <f t="array" ref="J168:J168">XLOOKUP(1,(RailDefinition!$F:$F=$A168)*(RailDefinition!$M:$M=J$1),RailDefinition!$S:$S,"")</f>
      </c>
    </row>
    <row r="169">
      <c r="B169" s="5">
        <f>IF(A169="", "", LET(    checkF, XLOOKUP(A169, RailDefinition!E:E, RailDefinition!J:J),    checkE, XLOOKUP(A169, RailDefinition!E:E, RailDefinition!I:I),    IF(OR(        checkF="Borderless",        checkF="Borderless_L",        AND(checkF="Borderless_I", checkE="L90"),        AND(checkF="Borderless_O", checkE="R90")    ), "", "Side")))</f>
      </c>
      <c r="C169" s="5">
        <f>IF(A169="", "", LET(    checkF, XLOOKUP(A169, RailDefinition!E:E, RailDefinition!J:J),    checkE, XLOOKUP(A169, RailDefinition!E:E, RailDefinition!I:I),    IF(OR(        checkF="Borderless",        checkF="Borderless_R",        AND(checkF="Borderless_O", checkE="L90"),        AND(checkF="Borderless_I", checkE="R90")    ), "", "Side")))</f>
      </c>
      <c r="D169" s="5">
        <f>IF(A169="", "", LET(    valG, XLOOKUP(A169, RailDefinition!E:E, RailDefinition!K:K),    valD, XLOOKUP(A169, RailDefinition!E:E, RailDefinition!H:H),    valE, XLOOKUP(A169,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69">
        <f t="array" ref="E169:E169">XLOOKUP(1,(RailDefinition!$F:$F=$A169)*(RailDefinition!$M:$M=E$1),RailDefinition!$S:$S,"")</f>
      </c>
      <c r="F169">
        <f t="array" ref="F169:F169">XLOOKUP(1,(RailDefinition!$F:$F=$A169)*(RailDefinition!$M:$M=F$1),RailDefinition!$S:$S,"")</f>
      </c>
      <c r="G169">
        <f t="array" ref="G169:G169">XLOOKUP(1,(RailDefinition!$F:$F=$A169)*(RailDefinition!$M:$M=G$1),RailDefinition!$S:$S,"")</f>
      </c>
      <c r="H169">
        <f t="array" ref="H169:H169">XLOOKUP(1,(RailDefinition!$F:$F=$A169)*(RailDefinition!$M:$M=H$1),RailDefinition!$S:$S,"")</f>
      </c>
      <c r="I169">
        <f t="array" ref="I169:I169">XLOOKUP(1,(RailDefinition!$F:$F=$A169)*(RailDefinition!$M:$M=I$1),RailDefinition!$S:$S,"")</f>
      </c>
      <c r="J169">
        <f t="array" ref="J169:J169">XLOOKUP(1,(RailDefinition!$F:$F=$A169)*(RailDefinition!$M:$M=J$1),RailDefinition!$S:$S,"")</f>
      </c>
    </row>
    <row r="170">
      <c r="B170" s="5">
        <f>IF(A170="", "", LET(    checkF, XLOOKUP(A170, RailDefinition!E:E, RailDefinition!J:J),    checkE, XLOOKUP(A170, RailDefinition!E:E, RailDefinition!I:I),    IF(OR(        checkF="Borderless",        checkF="Borderless_L",        AND(checkF="Borderless_I", checkE="L90"),        AND(checkF="Borderless_O", checkE="R90")    ), "", "Side")))</f>
      </c>
      <c r="C170" s="5">
        <f>IF(A170="", "", LET(    checkF, XLOOKUP(A170, RailDefinition!E:E, RailDefinition!J:J),    checkE, XLOOKUP(A170, RailDefinition!E:E, RailDefinition!I:I),    IF(OR(        checkF="Borderless",        checkF="Borderless_R",        AND(checkF="Borderless_O", checkE="L90"),        AND(checkF="Borderless_I", checkE="R90")    ), "", "Side")))</f>
      </c>
      <c r="D170" s="5">
        <f>IF(A170="", "", LET(    valG, XLOOKUP(A170, RailDefinition!E:E, RailDefinition!K:K),    valD, XLOOKUP(A170, RailDefinition!E:E, RailDefinition!H:H),    valE, XLOOKUP(A170,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0">
        <f t="array" ref="E170:E170">XLOOKUP(1,(RailDefinition!$F:$F=$A170)*(RailDefinition!$M:$M=E$1),RailDefinition!$S:$S,"")</f>
      </c>
      <c r="F170">
        <f t="array" ref="F170:F170">XLOOKUP(1,(RailDefinition!$F:$F=$A170)*(RailDefinition!$M:$M=F$1),RailDefinition!$S:$S,"")</f>
      </c>
      <c r="G170">
        <f t="array" ref="G170:G170">XLOOKUP(1,(RailDefinition!$F:$F=$A170)*(RailDefinition!$M:$M=G$1),RailDefinition!$S:$S,"")</f>
      </c>
      <c r="H170">
        <f t="array" ref="H170:H170">XLOOKUP(1,(RailDefinition!$F:$F=$A170)*(RailDefinition!$M:$M=H$1),RailDefinition!$S:$S,"")</f>
      </c>
      <c r="I170">
        <f t="array" ref="I170:I170">XLOOKUP(1,(RailDefinition!$F:$F=$A170)*(RailDefinition!$M:$M=I$1),RailDefinition!$S:$S,"")</f>
      </c>
      <c r="J170">
        <f t="array" ref="J170:J170">XLOOKUP(1,(RailDefinition!$F:$F=$A170)*(RailDefinition!$M:$M=J$1),RailDefinition!$S:$S,"")</f>
      </c>
    </row>
    <row r="171">
      <c r="B171" s="5">
        <f>IF(A171="", "", LET(    checkF, XLOOKUP(A171, RailDefinition!E:E, RailDefinition!J:J),    checkE, XLOOKUP(A171, RailDefinition!E:E, RailDefinition!I:I),    IF(OR(        checkF="Borderless",        checkF="Borderless_L",        AND(checkF="Borderless_I", checkE="L90"),        AND(checkF="Borderless_O", checkE="R90")    ), "", "Side")))</f>
      </c>
      <c r="C171" s="5">
        <f>IF(A171="", "", LET(    checkF, XLOOKUP(A171, RailDefinition!E:E, RailDefinition!J:J),    checkE, XLOOKUP(A171, RailDefinition!E:E, RailDefinition!I:I),    IF(OR(        checkF="Borderless",        checkF="Borderless_R",        AND(checkF="Borderless_O", checkE="L90"),        AND(checkF="Borderless_I", checkE="R90")    ), "", "Side")))</f>
      </c>
      <c r="D171" s="5">
        <f>IF(A171="", "", LET(    valG, XLOOKUP(A171, RailDefinition!E:E, RailDefinition!K:K),    valD, XLOOKUP(A171, RailDefinition!E:E, RailDefinition!H:H),    valE, XLOOKUP(A171,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1">
        <f t="array" ref="E171:E171">XLOOKUP(1,(RailDefinition!$F:$F=$A171)*(RailDefinition!$M:$M=E$1),RailDefinition!$S:$S,"")</f>
      </c>
      <c r="F171">
        <f t="array" ref="F171:F171">XLOOKUP(1,(RailDefinition!$F:$F=$A171)*(RailDefinition!$M:$M=F$1),RailDefinition!$S:$S,"")</f>
      </c>
      <c r="G171">
        <f t="array" ref="G171:G171">XLOOKUP(1,(RailDefinition!$F:$F=$A171)*(RailDefinition!$M:$M=G$1),RailDefinition!$S:$S,"")</f>
      </c>
      <c r="H171">
        <f t="array" ref="H171:H171">XLOOKUP(1,(RailDefinition!$F:$F=$A171)*(RailDefinition!$M:$M=H$1),RailDefinition!$S:$S,"")</f>
      </c>
      <c r="I171">
        <f t="array" ref="I171:I171">XLOOKUP(1,(RailDefinition!$F:$F=$A171)*(RailDefinition!$M:$M=I$1),RailDefinition!$S:$S,"")</f>
      </c>
      <c r="J171">
        <f t="array" ref="J171:J171">XLOOKUP(1,(RailDefinition!$F:$F=$A171)*(RailDefinition!$M:$M=J$1),RailDefinition!$S:$S,"")</f>
      </c>
    </row>
    <row r="172">
      <c r="B172" s="5">
        <f>IF(A172="", "", LET(    checkF, XLOOKUP(A172, RailDefinition!E:E, RailDefinition!J:J),    checkE, XLOOKUP(A172, RailDefinition!E:E, RailDefinition!I:I),    IF(OR(        checkF="Borderless",        checkF="Borderless_L",        AND(checkF="Borderless_I", checkE="L90"),        AND(checkF="Borderless_O", checkE="R90")    ), "", "Side")))</f>
      </c>
      <c r="C172" s="5">
        <f>IF(A172="", "", LET(    checkF, XLOOKUP(A172, RailDefinition!E:E, RailDefinition!J:J),    checkE, XLOOKUP(A172, RailDefinition!E:E, RailDefinition!I:I),    IF(OR(        checkF="Borderless",        checkF="Borderless_R",        AND(checkF="Borderless_O", checkE="L90"),        AND(checkF="Borderless_I", checkE="R90")    ), "", "Side")))</f>
      </c>
      <c r="D172" s="5">
        <f>IF(A172="", "", LET(    valG, XLOOKUP(A172, RailDefinition!E:E, RailDefinition!K:K),    valD, XLOOKUP(A172, RailDefinition!E:E, RailDefinition!H:H),    valE, XLOOKUP(A172,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2">
        <f t="array" ref="E172:E172">XLOOKUP(1,(RailDefinition!$F:$F=$A172)*(RailDefinition!$M:$M=E$1),RailDefinition!$S:$S,"")</f>
      </c>
      <c r="F172">
        <f t="array" ref="F172:F172">XLOOKUP(1,(RailDefinition!$F:$F=$A172)*(RailDefinition!$M:$M=F$1),RailDefinition!$S:$S,"")</f>
      </c>
      <c r="G172">
        <f t="array" ref="G172:G172">XLOOKUP(1,(RailDefinition!$F:$F=$A172)*(RailDefinition!$M:$M=G$1),RailDefinition!$S:$S,"")</f>
      </c>
      <c r="H172">
        <f t="array" ref="H172:H172">XLOOKUP(1,(RailDefinition!$F:$F=$A172)*(RailDefinition!$M:$M=H$1),RailDefinition!$S:$S,"")</f>
      </c>
      <c r="I172">
        <f t="array" ref="I172:I172">XLOOKUP(1,(RailDefinition!$F:$F=$A172)*(RailDefinition!$M:$M=I$1),RailDefinition!$S:$S,"")</f>
      </c>
      <c r="J172">
        <f t="array" ref="J172:J172">XLOOKUP(1,(RailDefinition!$F:$F=$A172)*(RailDefinition!$M:$M=J$1),RailDefinition!$S:$S,"")</f>
      </c>
    </row>
    <row r="173">
      <c r="B173" s="5">
        <f>IF(A173="", "", LET(    checkF, XLOOKUP(A173, RailDefinition!E:E, RailDefinition!J:J),    checkE, XLOOKUP(A173, RailDefinition!E:E, RailDefinition!I:I),    IF(OR(        checkF="Borderless",        checkF="Borderless_L",        AND(checkF="Borderless_I", checkE="L90"),        AND(checkF="Borderless_O", checkE="R90")    ), "", "Side")))</f>
      </c>
      <c r="C173" s="5">
        <f>IF(A173="", "", LET(    checkF, XLOOKUP(A173, RailDefinition!E:E, RailDefinition!J:J),    checkE, XLOOKUP(A173, RailDefinition!E:E, RailDefinition!I:I),    IF(OR(        checkF="Borderless",        checkF="Borderless_R",        AND(checkF="Borderless_O", checkE="L90"),        AND(checkF="Borderless_I", checkE="R90")    ), "", "Side")))</f>
      </c>
      <c r="D173" s="5">
        <f>IF(A173="", "", LET(    valG, XLOOKUP(A173, RailDefinition!E:E, RailDefinition!K:K),    valD, XLOOKUP(A173, RailDefinition!E:E, RailDefinition!H:H),    valE, XLOOKUP(A173,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3">
        <f t="array" ref="E173:E173">XLOOKUP(1,(RailDefinition!$F:$F=$A173)*(RailDefinition!$M:$M=E$1),RailDefinition!$S:$S,"")</f>
      </c>
      <c r="F173">
        <f t="array" ref="F173:F173">XLOOKUP(1,(RailDefinition!$F:$F=$A173)*(RailDefinition!$M:$M=F$1),RailDefinition!$S:$S,"")</f>
      </c>
      <c r="G173">
        <f t="array" ref="G173:G173">XLOOKUP(1,(RailDefinition!$F:$F=$A173)*(RailDefinition!$M:$M=G$1),RailDefinition!$S:$S,"")</f>
      </c>
      <c r="H173">
        <f t="array" ref="H173:H173">XLOOKUP(1,(RailDefinition!$F:$F=$A173)*(RailDefinition!$M:$M=H$1),RailDefinition!$S:$S,"")</f>
      </c>
      <c r="I173">
        <f t="array" ref="I173:I173">XLOOKUP(1,(RailDefinition!$F:$F=$A173)*(RailDefinition!$M:$M=I$1),RailDefinition!$S:$S,"")</f>
      </c>
      <c r="J173">
        <f t="array" ref="J173:J173">XLOOKUP(1,(RailDefinition!$F:$F=$A173)*(RailDefinition!$M:$M=J$1),RailDefinition!$S:$S,"")</f>
      </c>
    </row>
    <row r="174">
      <c r="B174" s="5">
        <f>IF(A174="", "", LET(    checkF, XLOOKUP(A174, RailDefinition!E:E, RailDefinition!J:J),    checkE, XLOOKUP(A174, RailDefinition!E:E, RailDefinition!I:I),    IF(OR(        checkF="Borderless",        checkF="Borderless_L",        AND(checkF="Borderless_I", checkE="L90"),        AND(checkF="Borderless_O", checkE="R90")    ), "", "Side")))</f>
      </c>
      <c r="C174" s="5">
        <f>IF(A174="", "", LET(    checkF, XLOOKUP(A174, RailDefinition!E:E, RailDefinition!J:J),    checkE, XLOOKUP(A174, RailDefinition!E:E, RailDefinition!I:I),    IF(OR(        checkF="Borderless",        checkF="Borderless_R",        AND(checkF="Borderless_O", checkE="L90"),        AND(checkF="Borderless_I", checkE="R90")    ), "", "Side")))</f>
      </c>
      <c r="D174" s="5">
        <f>IF(A174="", "", LET(    valG, XLOOKUP(A174, RailDefinition!E:E, RailDefinition!K:K),    valD, XLOOKUP(A174, RailDefinition!E:E, RailDefinition!H:H),    valE, XLOOKUP(A174,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4">
        <f t="array" ref="E174:E174">XLOOKUP(1,(RailDefinition!$F:$F=$A174)*(RailDefinition!$M:$M=E$1),RailDefinition!$S:$S,"")</f>
      </c>
      <c r="F174">
        <f t="array" ref="F174:F174">XLOOKUP(1,(RailDefinition!$F:$F=$A174)*(RailDefinition!$M:$M=F$1),RailDefinition!$S:$S,"")</f>
      </c>
      <c r="G174">
        <f t="array" ref="G174:G174">XLOOKUP(1,(RailDefinition!$F:$F=$A174)*(RailDefinition!$M:$M=G$1),RailDefinition!$S:$S,"")</f>
      </c>
      <c r="H174">
        <f t="array" ref="H174:H174">XLOOKUP(1,(RailDefinition!$F:$F=$A174)*(RailDefinition!$M:$M=H$1),RailDefinition!$S:$S,"")</f>
      </c>
      <c r="I174">
        <f t="array" ref="I174:I174">XLOOKUP(1,(RailDefinition!$F:$F=$A174)*(RailDefinition!$M:$M=I$1),RailDefinition!$S:$S,"")</f>
      </c>
      <c r="J174">
        <f t="array" ref="J174:J174">XLOOKUP(1,(RailDefinition!$F:$F=$A174)*(RailDefinition!$M:$M=J$1),RailDefinition!$S:$S,"")</f>
      </c>
    </row>
    <row r="175">
      <c r="B175" s="5">
        <f>IF(A175="", "", LET(    checkF, XLOOKUP(A175, RailDefinition!E:E, RailDefinition!J:J),    checkE, XLOOKUP(A175, RailDefinition!E:E, RailDefinition!I:I),    IF(OR(        checkF="Borderless",        checkF="Borderless_L",        AND(checkF="Borderless_I", checkE="L90"),        AND(checkF="Borderless_O", checkE="R90")    ), "", "Side")))</f>
      </c>
      <c r="C175" s="5">
        <f>IF(A175="", "", LET(    checkF, XLOOKUP(A175, RailDefinition!E:E, RailDefinition!J:J),    checkE, XLOOKUP(A175, RailDefinition!E:E, RailDefinition!I:I),    IF(OR(        checkF="Borderless",        checkF="Borderless_R",        AND(checkF="Borderless_O", checkE="L90"),        AND(checkF="Borderless_I", checkE="R90")    ), "", "Side")))</f>
      </c>
      <c r="D175" s="5">
        <f>IF(A175="", "", LET(    valG, XLOOKUP(A175, RailDefinition!E:E, RailDefinition!K:K),    valD, XLOOKUP(A175, RailDefinition!E:E, RailDefinition!H:H),    valE, XLOOKUP(A175,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5">
        <f t="array" ref="E175:E175">XLOOKUP(1,(RailDefinition!$F:$F=$A175)*(RailDefinition!$M:$M=E$1),RailDefinition!$S:$S,"")</f>
      </c>
      <c r="F175">
        <f t="array" ref="F175:F175">XLOOKUP(1,(RailDefinition!$F:$F=$A175)*(RailDefinition!$M:$M=F$1),RailDefinition!$S:$S,"")</f>
      </c>
      <c r="G175">
        <f t="array" ref="G175:G175">XLOOKUP(1,(RailDefinition!$F:$F=$A175)*(RailDefinition!$M:$M=G$1),RailDefinition!$S:$S,"")</f>
      </c>
      <c r="H175">
        <f t="array" ref="H175:H175">XLOOKUP(1,(RailDefinition!$F:$F=$A175)*(RailDefinition!$M:$M=H$1),RailDefinition!$S:$S,"")</f>
      </c>
      <c r="I175">
        <f t="array" ref="I175:I175">XLOOKUP(1,(RailDefinition!$F:$F=$A175)*(RailDefinition!$M:$M=I$1),RailDefinition!$S:$S,"")</f>
      </c>
      <c r="J175">
        <f t="array" ref="J175:J175">XLOOKUP(1,(RailDefinition!$F:$F=$A175)*(RailDefinition!$M:$M=J$1),RailDefinition!$S:$S,"")</f>
      </c>
    </row>
    <row r="176">
      <c r="B176" s="5">
        <f>IF(A176="", "", LET(    checkF, XLOOKUP(A176, RailDefinition!E:E, RailDefinition!J:J),    checkE, XLOOKUP(A176, RailDefinition!E:E, RailDefinition!I:I),    IF(OR(        checkF="Borderless",        checkF="Borderless_L",        AND(checkF="Borderless_I", checkE="L90"),        AND(checkF="Borderless_O", checkE="R90")    ), "", "Side")))</f>
      </c>
      <c r="C176" s="5">
        <f>IF(A176="", "", LET(    checkF, XLOOKUP(A176, RailDefinition!E:E, RailDefinition!J:J),    checkE, XLOOKUP(A176, RailDefinition!E:E, RailDefinition!I:I),    IF(OR(        checkF="Borderless",        checkF="Borderless_R",        AND(checkF="Borderless_O", checkE="L90"),        AND(checkF="Borderless_I", checkE="R90")    ), "", "Side")))</f>
      </c>
      <c r="D176" s="5">
        <f>IF(A176="", "", LET(    valG, XLOOKUP(A176, RailDefinition!E:E, RailDefinition!K:K),    valD, XLOOKUP(A176, RailDefinition!E:E, RailDefinition!H:H),    valE, XLOOKUP(A176,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6">
        <f t="array" ref="E176:E176">XLOOKUP(1,(RailDefinition!$F:$F=$A176)*(RailDefinition!$M:$M=E$1),RailDefinition!$S:$S,"")</f>
      </c>
      <c r="F176">
        <f t="array" ref="F176:F176">XLOOKUP(1,(RailDefinition!$F:$F=$A176)*(RailDefinition!$M:$M=F$1),RailDefinition!$S:$S,"")</f>
      </c>
      <c r="G176">
        <f t="array" ref="G176:G176">XLOOKUP(1,(RailDefinition!$F:$F=$A176)*(RailDefinition!$M:$M=G$1),RailDefinition!$S:$S,"")</f>
      </c>
      <c r="H176">
        <f t="array" ref="H176:H176">XLOOKUP(1,(RailDefinition!$F:$F=$A176)*(RailDefinition!$M:$M=H$1),RailDefinition!$S:$S,"")</f>
      </c>
      <c r="I176">
        <f t="array" ref="I176:I176">XLOOKUP(1,(RailDefinition!$F:$F=$A176)*(RailDefinition!$M:$M=I$1),RailDefinition!$S:$S,"")</f>
      </c>
      <c r="J176">
        <f t="array" ref="J176:J176">XLOOKUP(1,(RailDefinition!$F:$F=$A176)*(RailDefinition!$M:$M=J$1),RailDefinition!$S:$S,"")</f>
      </c>
    </row>
    <row r="177">
      <c r="B177" s="5">
        <f>IF(A177="", "", LET(    checkF, XLOOKUP(A177, RailDefinition!E:E, RailDefinition!J:J),    checkE, XLOOKUP(A177, RailDefinition!E:E, RailDefinition!I:I),    IF(OR(        checkF="Borderless",        checkF="Borderless_L",        AND(checkF="Borderless_I", checkE="L90"),        AND(checkF="Borderless_O", checkE="R90")    ), "", "Side")))</f>
      </c>
      <c r="C177" s="5">
        <f>IF(A177="", "", LET(    checkF, XLOOKUP(A177, RailDefinition!E:E, RailDefinition!J:J),    checkE, XLOOKUP(A177, RailDefinition!E:E, RailDefinition!I:I),    IF(OR(        checkF="Borderless",        checkF="Borderless_R",        AND(checkF="Borderless_O", checkE="L90"),        AND(checkF="Borderless_I", checkE="R90")    ), "", "Side")))</f>
      </c>
      <c r="D177" s="5">
        <f>IF(A177="", "", LET(    valG, XLOOKUP(A177, RailDefinition!E:E, RailDefinition!K:K),    valD, XLOOKUP(A177, RailDefinition!E:E, RailDefinition!H:H),    valE, XLOOKUP(A177,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7">
        <f t="array" ref="E177:E177">XLOOKUP(1,(RailDefinition!$F:$F=$A177)*(RailDefinition!$M:$M=E$1),RailDefinition!$S:$S,"")</f>
      </c>
      <c r="F177">
        <f t="array" ref="F177:F177">XLOOKUP(1,(RailDefinition!$F:$F=$A177)*(RailDefinition!$M:$M=F$1),RailDefinition!$S:$S,"")</f>
      </c>
      <c r="G177">
        <f t="array" ref="G177:G177">XLOOKUP(1,(RailDefinition!$F:$F=$A177)*(RailDefinition!$M:$M=G$1),RailDefinition!$S:$S,"")</f>
      </c>
      <c r="H177">
        <f t="array" ref="H177:H177">XLOOKUP(1,(RailDefinition!$F:$F=$A177)*(RailDefinition!$M:$M=H$1),RailDefinition!$S:$S,"")</f>
      </c>
      <c r="I177">
        <f t="array" ref="I177:I177">XLOOKUP(1,(RailDefinition!$F:$F=$A177)*(RailDefinition!$M:$M=I$1),RailDefinition!$S:$S,"")</f>
      </c>
      <c r="J177">
        <f t="array" ref="J177:J177">XLOOKUP(1,(RailDefinition!$F:$F=$A177)*(RailDefinition!$M:$M=J$1),RailDefinition!$S:$S,"")</f>
      </c>
    </row>
    <row r="178">
      <c r="B178" s="5">
        <f>IF(A178="", "", LET(    checkF, XLOOKUP(A178, RailDefinition!E:E, RailDefinition!J:J),    checkE, XLOOKUP(A178, RailDefinition!E:E, RailDefinition!I:I),    IF(OR(        checkF="Borderless",        checkF="Borderless_L",        AND(checkF="Borderless_I", checkE="L90"),        AND(checkF="Borderless_O", checkE="R90")    ), "", "Side")))</f>
      </c>
      <c r="C178" s="5">
        <f>IF(A178="", "", LET(    checkF, XLOOKUP(A178, RailDefinition!E:E, RailDefinition!J:J),    checkE, XLOOKUP(A178, RailDefinition!E:E, RailDefinition!I:I),    IF(OR(        checkF="Borderless",        checkF="Borderless_R",        AND(checkF="Borderless_O", checkE="L90"),        AND(checkF="Borderless_I", checkE="R90")    ), "", "Side")))</f>
      </c>
      <c r="D178" s="5">
        <f>IF(A178="", "", LET(    valG, XLOOKUP(A178, RailDefinition!E:E, RailDefinition!K:K),    valD, XLOOKUP(A178, RailDefinition!E:E, RailDefinition!H:H),    valE, XLOOKUP(A178,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8">
        <f t="array" ref="E178:E178">XLOOKUP(1,(RailDefinition!$F:$F=$A178)*(RailDefinition!$M:$M=E$1),RailDefinition!$S:$S,"")</f>
      </c>
      <c r="F178">
        <f t="array" ref="F178:F178">XLOOKUP(1,(RailDefinition!$F:$F=$A178)*(RailDefinition!$M:$M=F$1),RailDefinition!$S:$S,"")</f>
      </c>
      <c r="G178">
        <f t="array" ref="G178:G178">XLOOKUP(1,(RailDefinition!$F:$F=$A178)*(RailDefinition!$M:$M=G$1),RailDefinition!$S:$S,"")</f>
      </c>
      <c r="H178">
        <f t="array" ref="H178:H178">XLOOKUP(1,(RailDefinition!$F:$F=$A178)*(RailDefinition!$M:$M=H$1),RailDefinition!$S:$S,"")</f>
      </c>
      <c r="I178">
        <f t="array" ref="I178:I178">XLOOKUP(1,(RailDefinition!$F:$F=$A178)*(RailDefinition!$M:$M=I$1),RailDefinition!$S:$S,"")</f>
      </c>
      <c r="J178">
        <f t="array" ref="J178:J178">XLOOKUP(1,(RailDefinition!$F:$F=$A178)*(RailDefinition!$M:$M=J$1),RailDefinition!$S:$S,"")</f>
      </c>
    </row>
    <row r="179">
      <c r="B179" s="5">
        <f>IF(A179="", "", LET(    checkF, XLOOKUP(A179, RailDefinition!E:E, RailDefinition!J:J),    checkE, XLOOKUP(A179, RailDefinition!E:E, RailDefinition!I:I),    IF(OR(        checkF="Borderless",        checkF="Borderless_L",        AND(checkF="Borderless_I", checkE="L90"),        AND(checkF="Borderless_O", checkE="R90")    ), "", "Side")))</f>
      </c>
      <c r="C179" s="5">
        <f>IF(A179="", "", LET(    checkF, XLOOKUP(A179, RailDefinition!E:E, RailDefinition!J:J),    checkE, XLOOKUP(A179, RailDefinition!E:E, RailDefinition!I:I),    IF(OR(        checkF="Borderless",        checkF="Borderless_R",        AND(checkF="Borderless_O", checkE="L90"),        AND(checkF="Borderless_I", checkE="R90")    ), "", "Side")))</f>
      </c>
      <c r="D179" s="5">
        <f>IF(A179="", "", LET(    valG, XLOOKUP(A179, RailDefinition!E:E, RailDefinition!K:K),    valD, XLOOKUP(A179, RailDefinition!E:E, RailDefinition!H:H),    valE, XLOOKUP(A179,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79">
        <f t="array" ref="E179:E179">XLOOKUP(1,(RailDefinition!$F:$F=$A179)*(RailDefinition!$M:$M=E$1),RailDefinition!$S:$S,"")</f>
      </c>
      <c r="F179">
        <f t="array" ref="F179:F179">XLOOKUP(1,(RailDefinition!$F:$F=$A179)*(RailDefinition!$M:$M=F$1),RailDefinition!$S:$S,"")</f>
      </c>
      <c r="G179">
        <f t="array" ref="G179:G179">XLOOKUP(1,(RailDefinition!$F:$F=$A179)*(RailDefinition!$M:$M=G$1),RailDefinition!$S:$S,"")</f>
      </c>
      <c r="H179">
        <f t="array" ref="H179:H179">XLOOKUP(1,(RailDefinition!$F:$F=$A179)*(RailDefinition!$M:$M=H$1),RailDefinition!$S:$S,"")</f>
      </c>
      <c r="I179">
        <f t="array" ref="I179:I179">XLOOKUP(1,(RailDefinition!$F:$F=$A179)*(RailDefinition!$M:$M=I$1),RailDefinition!$S:$S,"")</f>
      </c>
      <c r="J179">
        <f t="array" ref="J179:J179">XLOOKUP(1,(RailDefinition!$F:$F=$A179)*(RailDefinition!$M:$M=J$1),RailDefinition!$S:$S,"")</f>
      </c>
    </row>
    <row r="180">
      <c r="B180" s="5">
        <f>IF(A180="", "", LET(    checkF, XLOOKUP(A180, RailDefinition!E:E, RailDefinition!J:J),    checkE, XLOOKUP(A180, RailDefinition!E:E, RailDefinition!I:I),    IF(OR(        checkF="Borderless",        checkF="Borderless_L",        AND(checkF="Borderless_I", checkE="L90"),        AND(checkF="Borderless_O", checkE="R90")    ), "", "Side")))</f>
      </c>
      <c r="C180" s="5">
        <f>IF(A180="", "", LET(    checkF, XLOOKUP(A180, RailDefinition!E:E, RailDefinition!J:J),    checkE, XLOOKUP(A180, RailDefinition!E:E, RailDefinition!I:I),    IF(OR(        checkF="Borderless",        checkF="Borderless_R",        AND(checkF="Borderless_O", checkE="L90"),        AND(checkF="Borderless_I", checkE="R90")    ), "", "Side")))</f>
      </c>
      <c r="D180" s="5">
        <f>IF(A180="", "", LET(    valG, XLOOKUP(A180, RailDefinition!E:E, RailDefinition!K:K),    valD, XLOOKUP(A180, RailDefinition!E:E, RailDefinition!H:H),    valE, XLOOKUP(A180,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0">
        <f t="array" ref="E180:E180">XLOOKUP(1,(RailDefinition!$F:$F=$A180)*(RailDefinition!$M:$M=E$1),RailDefinition!$S:$S,"")</f>
      </c>
      <c r="F180">
        <f t="array" ref="F180:F180">XLOOKUP(1,(RailDefinition!$F:$F=$A180)*(RailDefinition!$M:$M=F$1),RailDefinition!$S:$S,"")</f>
      </c>
      <c r="G180">
        <f t="array" ref="G180:G180">XLOOKUP(1,(RailDefinition!$F:$F=$A180)*(RailDefinition!$M:$M=G$1),RailDefinition!$S:$S,"")</f>
      </c>
      <c r="H180">
        <f t="array" ref="H180:H180">XLOOKUP(1,(RailDefinition!$F:$F=$A180)*(RailDefinition!$M:$M=H$1),RailDefinition!$S:$S,"")</f>
      </c>
      <c r="I180">
        <f t="array" ref="I180:I180">XLOOKUP(1,(RailDefinition!$F:$F=$A180)*(RailDefinition!$M:$M=I$1),RailDefinition!$S:$S,"")</f>
      </c>
      <c r="J180">
        <f t="array" ref="J180:J180">XLOOKUP(1,(RailDefinition!$F:$F=$A180)*(RailDefinition!$M:$M=J$1),RailDefinition!$S:$S,"")</f>
      </c>
    </row>
    <row r="181">
      <c r="B181" s="5">
        <f>IF(A181="", "", LET(    checkF, XLOOKUP(A181, RailDefinition!E:E, RailDefinition!J:J),    checkE, XLOOKUP(A181, RailDefinition!E:E, RailDefinition!I:I),    IF(OR(        checkF="Borderless",        checkF="Borderless_L",        AND(checkF="Borderless_I", checkE="L90"),        AND(checkF="Borderless_O", checkE="R90")    ), "", "Side")))</f>
      </c>
      <c r="C181" s="5">
        <f>IF(A181="", "", LET(    checkF, XLOOKUP(A181, RailDefinition!E:E, RailDefinition!J:J),    checkE, XLOOKUP(A181, RailDefinition!E:E, RailDefinition!I:I),    IF(OR(        checkF="Borderless",        checkF="Borderless_R",        AND(checkF="Borderless_O", checkE="L90"),        AND(checkF="Borderless_I", checkE="R90")    ), "", "Side")))</f>
      </c>
      <c r="D181" s="5">
        <f>IF(A181="", "", LET(    valG, XLOOKUP(A181, RailDefinition!E:E, RailDefinition!K:K),    valD, XLOOKUP(A181, RailDefinition!E:E, RailDefinition!H:H),    valE, XLOOKUP(A181,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1">
        <f t="array" ref="E181:E181">XLOOKUP(1,(RailDefinition!$F:$F=$A181)*(RailDefinition!$M:$M=E$1),RailDefinition!$S:$S,"")</f>
      </c>
      <c r="F181">
        <f t="array" ref="F181:F181">XLOOKUP(1,(RailDefinition!$F:$F=$A181)*(RailDefinition!$M:$M=F$1),RailDefinition!$S:$S,"")</f>
      </c>
      <c r="G181">
        <f t="array" ref="G181:G181">XLOOKUP(1,(RailDefinition!$F:$F=$A181)*(RailDefinition!$M:$M=G$1),RailDefinition!$S:$S,"")</f>
      </c>
      <c r="H181">
        <f t="array" ref="H181:H181">XLOOKUP(1,(RailDefinition!$F:$F=$A181)*(RailDefinition!$M:$M=H$1),RailDefinition!$S:$S,"")</f>
      </c>
      <c r="I181">
        <f t="array" ref="I181:I181">XLOOKUP(1,(RailDefinition!$F:$F=$A181)*(RailDefinition!$M:$M=I$1),RailDefinition!$S:$S,"")</f>
      </c>
      <c r="J181">
        <f t="array" ref="J181:J181">XLOOKUP(1,(RailDefinition!$F:$F=$A181)*(RailDefinition!$M:$M=J$1),RailDefinition!$S:$S,"")</f>
      </c>
    </row>
    <row r="182">
      <c r="B182" s="5">
        <f>IF(A182="", "", LET(    checkF, XLOOKUP(A182, RailDefinition!E:E, RailDefinition!J:J),    checkE, XLOOKUP(A182, RailDefinition!E:E, RailDefinition!I:I),    IF(OR(        checkF="Borderless",        checkF="Borderless_L",        AND(checkF="Borderless_I", checkE="L90"),        AND(checkF="Borderless_O", checkE="R90")    ), "", "Side")))</f>
      </c>
      <c r="C182" s="5">
        <f>IF(A182="", "", LET(    checkF, XLOOKUP(A182, RailDefinition!E:E, RailDefinition!J:J),    checkE, XLOOKUP(A182, RailDefinition!E:E, RailDefinition!I:I),    IF(OR(        checkF="Borderless",        checkF="Borderless_R",        AND(checkF="Borderless_O", checkE="L90"),        AND(checkF="Borderless_I", checkE="R90")    ), "", "Side")))</f>
      </c>
      <c r="D182" s="5">
        <f>IF(A182="", "", LET(    valG, XLOOKUP(A182, RailDefinition!E:E, RailDefinition!K:K),    valD, XLOOKUP(A182, RailDefinition!E:E, RailDefinition!H:H),    valE, XLOOKUP(A182,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2">
        <f t="array" ref="E182:E182">XLOOKUP(1,(RailDefinition!$F:$F=$A182)*(RailDefinition!$M:$M=E$1),RailDefinition!$S:$S,"")</f>
      </c>
      <c r="F182">
        <f t="array" ref="F182:F182">XLOOKUP(1,(RailDefinition!$F:$F=$A182)*(RailDefinition!$M:$M=F$1),RailDefinition!$S:$S,"")</f>
      </c>
      <c r="G182">
        <f t="array" ref="G182:G182">XLOOKUP(1,(RailDefinition!$F:$F=$A182)*(RailDefinition!$M:$M=G$1),RailDefinition!$S:$S,"")</f>
      </c>
      <c r="H182">
        <f t="array" ref="H182:H182">XLOOKUP(1,(RailDefinition!$F:$F=$A182)*(RailDefinition!$M:$M=H$1),RailDefinition!$S:$S,"")</f>
      </c>
      <c r="I182">
        <f t="array" ref="I182:I182">XLOOKUP(1,(RailDefinition!$F:$F=$A182)*(RailDefinition!$M:$M=I$1),RailDefinition!$S:$S,"")</f>
      </c>
      <c r="J182">
        <f t="array" ref="J182:J182">XLOOKUP(1,(RailDefinition!$F:$F=$A182)*(RailDefinition!$M:$M=J$1),RailDefinition!$S:$S,"")</f>
      </c>
    </row>
    <row r="183">
      <c r="B183" s="5">
        <f>IF(A183="", "", LET(    checkF, XLOOKUP(A183, RailDefinition!E:E, RailDefinition!J:J),    checkE, XLOOKUP(A183, RailDefinition!E:E, RailDefinition!I:I),    IF(OR(        checkF="Borderless",        checkF="Borderless_L",        AND(checkF="Borderless_I", checkE="L90"),        AND(checkF="Borderless_O", checkE="R90")    ), "", "Side")))</f>
      </c>
      <c r="C183" s="5">
        <f>IF(A183="", "", LET(    checkF, XLOOKUP(A183, RailDefinition!E:E, RailDefinition!J:J),    checkE, XLOOKUP(A183, RailDefinition!E:E, RailDefinition!I:I),    IF(OR(        checkF="Borderless",        checkF="Borderless_R",        AND(checkF="Borderless_O", checkE="L90"),        AND(checkF="Borderless_I", checkE="R90")    ), "", "Side")))</f>
      </c>
      <c r="D183" s="5">
        <f>IF(A183="", "", LET(    valG, XLOOKUP(A183, RailDefinition!E:E, RailDefinition!K:K),    valD, XLOOKUP(A183, RailDefinition!E:E, RailDefinition!H:H),    valE, XLOOKUP(A183,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3">
        <f t="array" ref="E183:E183">XLOOKUP(1,(RailDefinition!$F:$F=$A183)*(RailDefinition!$M:$M=E$1),RailDefinition!$S:$S,"")</f>
      </c>
      <c r="F183">
        <f t="array" ref="F183:F183">XLOOKUP(1,(RailDefinition!$F:$F=$A183)*(RailDefinition!$M:$M=F$1),RailDefinition!$S:$S,"")</f>
      </c>
      <c r="G183">
        <f t="array" ref="G183:G183">XLOOKUP(1,(RailDefinition!$F:$F=$A183)*(RailDefinition!$M:$M=G$1),RailDefinition!$S:$S,"")</f>
      </c>
      <c r="H183">
        <f t="array" ref="H183:H183">XLOOKUP(1,(RailDefinition!$F:$F=$A183)*(RailDefinition!$M:$M=H$1),RailDefinition!$S:$S,"")</f>
      </c>
      <c r="I183">
        <f t="array" ref="I183:I183">XLOOKUP(1,(RailDefinition!$F:$F=$A183)*(RailDefinition!$M:$M=I$1),RailDefinition!$S:$S,"")</f>
      </c>
      <c r="J183">
        <f t="array" ref="J183:J183">XLOOKUP(1,(RailDefinition!$F:$F=$A183)*(RailDefinition!$M:$M=J$1),RailDefinition!$S:$S,"")</f>
      </c>
    </row>
    <row r="184">
      <c r="B184" s="5">
        <f>IF(A184="", "", LET(    checkF, XLOOKUP(A184, RailDefinition!E:E, RailDefinition!J:J),    checkE, XLOOKUP(A184, RailDefinition!E:E, RailDefinition!I:I),    IF(OR(        checkF="Borderless",        checkF="Borderless_L",        AND(checkF="Borderless_I", checkE="L90"),        AND(checkF="Borderless_O", checkE="R90")    ), "", "Side")))</f>
      </c>
      <c r="C184" s="5">
        <f>IF(A184="", "", LET(    checkF, XLOOKUP(A184, RailDefinition!E:E, RailDefinition!J:J),    checkE, XLOOKUP(A184, RailDefinition!E:E, RailDefinition!I:I),    IF(OR(        checkF="Borderless",        checkF="Borderless_R",        AND(checkF="Borderless_O", checkE="L90"),        AND(checkF="Borderless_I", checkE="R90")    ), "", "Side")))</f>
      </c>
      <c r="D184" s="5">
        <f>IF(A184="", "", LET(    valG, XLOOKUP(A184, RailDefinition!E:E, RailDefinition!K:K),    valD, XLOOKUP(A184, RailDefinition!E:E, RailDefinition!H:H),    valE, XLOOKUP(A184,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4">
        <f t="array" ref="E184:E184">XLOOKUP(1,(RailDefinition!$F:$F=$A184)*(RailDefinition!$M:$M=E$1),RailDefinition!$S:$S,"")</f>
      </c>
      <c r="F184">
        <f t="array" ref="F184:F184">XLOOKUP(1,(RailDefinition!$F:$F=$A184)*(RailDefinition!$M:$M=F$1),RailDefinition!$S:$S,"")</f>
      </c>
      <c r="G184">
        <f t="array" ref="G184:G184">XLOOKUP(1,(RailDefinition!$F:$F=$A184)*(RailDefinition!$M:$M=G$1),RailDefinition!$S:$S,"")</f>
      </c>
      <c r="H184">
        <f t="array" ref="H184:H184">XLOOKUP(1,(RailDefinition!$F:$F=$A184)*(RailDefinition!$M:$M=H$1),RailDefinition!$S:$S,"")</f>
      </c>
      <c r="I184">
        <f t="array" ref="I184:I184">XLOOKUP(1,(RailDefinition!$F:$F=$A184)*(RailDefinition!$M:$M=I$1),RailDefinition!$S:$S,"")</f>
      </c>
      <c r="J184">
        <f t="array" ref="J184:J184">XLOOKUP(1,(RailDefinition!$F:$F=$A184)*(RailDefinition!$M:$M=J$1),RailDefinition!$S:$S,"")</f>
      </c>
    </row>
    <row r="185">
      <c r="B185" s="5">
        <f>IF(A185="", "", LET(    checkF, XLOOKUP(A185, RailDefinition!E:E, RailDefinition!J:J),    checkE, XLOOKUP(A185, RailDefinition!E:E, RailDefinition!I:I),    IF(OR(        checkF="Borderless",        checkF="Borderless_L",        AND(checkF="Borderless_I", checkE="L90"),        AND(checkF="Borderless_O", checkE="R90")    ), "", "Side")))</f>
      </c>
      <c r="C185" s="5">
        <f>IF(A185="", "", LET(    checkF, XLOOKUP(A185, RailDefinition!E:E, RailDefinition!J:J),    checkE, XLOOKUP(A185, RailDefinition!E:E, RailDefinition!I:I),    IF(OR(        checkF="Borderless",        checkF="Borderless_R",        AND(checkF="Borderless_O", checkE="L90"),        AND(checkF="Borderless_I", checkE="R90")    ), "", "Side")))</f>
      </c>
      <c r="D185" s="5">
        <f>IF(A185="", "", LET(    valG, XLOOKUP(A185, RailDefinition!E:E, RailDefinition!K:K),    valD, XLOOKUP(A185, RailDefinition!E:E, RailDefinition!H:H),    valE, XLOOKUP(A185,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5">
        <f t="array" ref="E185:E185">XLOOKUP(1,(RailDefinition!$F:$F=$A185)*(RailDefinition!$M:$M=E$1),RailDefinition!$S:$S,"")</f>
      </c>
      <c r="F185">
        <f t="array" ref="F185:F185">XLOOKUP(1,(RailDefinition!$F:$F=$A185)*(RailDefinition!$M:$M=F$1),RailDefinition!$S:$S,"")</f>
      </c>
      <c r="G185">
        <f t="array" ref="G185:G185">XLOOKUP(1,(RailDefinition!$F:$F=$A185)*(RailDefinition!$M:$M=G$1),RailDefinition!$S:$S,"")</f>
      </c>
      <c r="H185">
        <f t="array" ref="H185:H185">XLOOKUP(1,(RailDefinition!$F:$F=$A185)*(RailDefinition!$M:$M=H$1),RailDefinition!$S:$S,"")</f>
      </c>
      <c r="I185">
        <f t="array" ref="I185:I185">XLOOKUP(1,(RailDefinition!$F:$F=$A185)*(RailDefinition!$M:$M=I$1),RailDefinition!$S:$S,"")</f>
      </c>
      <c r="J185">
        <f t="array" ref="J185:J185">XLOOKUP(1,(RailDefinition!$F:$F=$A185)*(RailDefinition!$M:$M=J$1),RailDefinition!$S:$S,"")</f>
      </c>
    </row>
    <row r="186">
      <c r="B186" s="5">
        <f>IF(A186="", "", LET(    checkF, XLOOKUP(A186, RailDefinition!E:E, RailDefinition!J:J),    checkE, XLOOKUP(A186, RailDefinition!E:E, RailDefinition!I:I),    IF(OR(        checkF="Borderless",        checkF="Borderless_L",        AND(checkF="Borderless_I", checkE="L90"),        AND(checkF="Borderless_O", checkE="R90")    ), "", "Side")))</f>
      </c>
      <c r="C186" s="5">
        <f>IF(A186="", "", LET(    checkF, XLOOKUP(A186, RailDefinition!E:E, RailDefinition!J:J),    checkE, XLOOKUP(A186, RailDefinition!E:E, RailDefinition!I:I),    IF(OR(        checkF="Borderless",        checkF="Borderless_R",        AND(checkF="Borderless_O", checkE="L90"),        AND(checkF="Borderless_I", checkE="R90")    ), "", "Side")))</f>
      </c>
      <c r="D186" s="5">
        <f>IF(A186="", "", LET(    valG, XLOOKUP(A186, RailDefinition!E:E, RailDefinition!K:K),    valD, XLOOKUP(A186, RailDefinition!E:E, RailDefinition!H:H),    valE, XLOOKUP(A186,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6">
        <f t="array" ref="E186:E186">XLOOKUP(1,(RailDefinition!$F:$F=$A186)*(RailDefinition!$M:$M=E$1),RailDefinition!$S:$S,"")</f>
      </c>
      <c r="F186">
        <f t="array" ref="F186:F186">XLOOKUP(1,(RailDefinition!$F:$F=$A186)*(RailDefinition!$M:$M=F$1),RailDefinition!$S:$S,"")</f>
      </c>
      <c r="G186">
        <f t="array" ref="G186:G186">XLOOKUP(1,(RailDefinition!$F:$F=$A186)*(RailDefinition!$M:$M=G$1),RailDefinition!$S:$S,"")</f>
      </c>
      <c r="H186">
        <f t="array" ref="H186:H186">XLOOKUP(1,(RailDefinition!$F:$F=$A186)*(RailDefinition!$M:$M=H$1),RailDefinition!$S:$S,"")</f>
      </c>
      <c r="I186">
        <f t="array" ref="I186:I186">XLOOKUP(1,(RailDefinition!$F:$F=$A186)*(RailDefinition!$M:$M=I$1),RailDefinition!$S:$S,"")</f>
      </c>
      <c r="J186">
        <f t="array" ref="J186:J186">XLOOKUP(1,(RailDefinition!$F:$F=$A186)*(RailDefinition!$M:$M=J$1),RailDefinition!$S:$S,"")</f>
      </c>
    </row>
    <row r="187">
      <c r="B187" s="5">
        <f>IF(A187="", "", LET(    checkF, XLOOKUP(A187, RailDefinition!E:E, RailDefinition!J:J),    checkE, XLOOKUP(A187, RailDefinition!E:E, RailDefinition!I:I),    IF(OR(        checkF="Borderless",        checkF="Borderless_L",        AND(checkF="Borderless_I", checkE="L90"),        AND(checkF="Borderless_O", checkE="R90")    ), "", "Side")))</f>
      </c>
      <c r="C187" s="5">
        <f>IF(A187="", "", LET(    checkF, XLOOKUP(A187, RailDefinition!E:E, RailDefinition!J:J),    checkE, XLOOKUP(A187, RailDefinition!E:E, RailDefinition!I:I),    IF(OR(        checkF="Borderless",        checkF="Borderless_R",        AND(checkF="Borderless_O", checkE="L90"),        AND(checkF="Borderless_I", checkE="R90")    ), "", "Side")))</f>
      </c>
      <c r="D187" s="5">
        <f>IF(A187="", "", LET(    valG, XLOOKUP(A187, RailDefinition!E:E, RailDefinition!K:K),    valD, XLOOKUP(A187, RailDefinition!E:E, RailDefinition!H:H),    valE, XLOOKUP(A187,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7">
        <f t="array" ref="E187:E187">XLOOKUP(1,(RailDefinition!$F:$F=$A187)*(RailDefinition!$M:$M=E$1),RailDefinition!$S:$S,"")</f>
      </c>
      <c r="F187">
        <f t="array" ref="F187:F187">XLOOKUP(1,(RailDefinition!$F:$F=$A187)*(RailDefinition!$M:$M=F$1),RailDefinition!$S:$S,"")</f>
      </c>
      <c r="G187">
        <f t="array" ref="G187:G187">XLOOKUP(1,(RailDefinition!$F:$F=$A187)*(RailDefinition!$M:$M=G$1),RailDefinition!$S:$S,"")</f>
      </c>
      <c r="H187">
        <f t="array" ref="H187:H187">XLOOKUP(1,(RailDefinition!$F:$F=$A187)*(RailDefinition!$M:$M=H$1),RailDefinition!$S:$S,"")</f>
      </c>
      <c r="I187">
        <f t="array" ref="I187:I187">XLOOKUP(1,(RailDefinition!$F:$F=$A187)*(RailDefinition!$M:$M=I$1),RailDefinition!$S:$S,"")</f>
      </c>
      <c r="J187">
        <f t="array" ref="J187:J187">XLOOKUP(1,(RailDefinition!$F:$F=$A187)*(RailDefinition!$M:$M=J$1),RailDefinition!$S:$S,"")</f>
      </c>
    </row>
    <row r="188">
      <c r="B188" s="5">
        <f>IF(A188="", "", LET(    checkF, XLOOKUP(A188, RailDefinition!E:E, RailDefinition!J:J),    checkE, XLOOKUP(A188, RailDefinition!E:E, RailDefinition!I:I),    IF(OR(        checkF="Borderless",        checkF="Borderless_L",        AND(checkF="Borderless_I", checkE="L90"),        AND(checkF="Borderless_O", checkE="R90")    ), "", "Side")))</f>
      </c>
      <c r="C188" s="5">
        <f>IF(A188="", "", LET(    checkF, XLOOKUP(A188, RailDefinition!E:E, RailDefinition!J:J),    checkE, XLOOKUP(A188, RailDefinition!E:E, RailDefinition!I:I),    IF(OR(        checkF="Borderless",        checkF="Borderless_R",        AND(checkF="Borderless_O", checkE="L90"),        AND(checkF="Borderless_I", checkE="R90")    ), "", "Side")))</f>
      </c>
      <c r="D188" s="5">
        <f>IF(A188="", "", LET(    valG, XLOOKUP(A188, RailDefinition!E:E, RailDefinition!K:K),    valD, XLOOKUP(A188, RailDefinition!E:E, RailDefinition!H:H),    valE, XLOOKUP(A188,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8">
        <f t="array" ref="E188:E188">XLOOKUP(1,(RailDefinition!$F:$F=$A188)*(RailDefinition!$M:$M=E$1),RailDefinition!$S:$S,"")</f>
      </c>
      <c r="F188">
        <f t="array" ref="F188:F188">XLOOKUP(1,(RailDefinition!$F:$F=$A188)*(RailDefinition!$M:$M=F$1),RailDefinition!$S:$S,"")</f>
      </c>
      <c r="G188">
        <f t="array" ref="G188:G188">XLOOKUP(1,(RailDefinition!$F:$F=$A188)*(RailDefinition!$M:$M=G$1),RailDefinition!$S:$S,"")</f>
      </c>
      <c r="H188">
        <f t="array" ref="H188:H188">XLOOKUP(1,(RailDefinition!$F:$F=$A188)*(RailDefinition!$M:$M=H$1),RailDefinition!$S:$S,"")</f>
      </c>
      <c r="I188">
        <f t="array" ref="I188:I188">XLOOKUP(1,(RailDefinition!$F:$F=$A188)*(RailDefinition!$M:$M=I$1),RailDefinition!$S:$S,"")</f>
      </c>
      <c r="J188">
        <f t="array" ref="J188:J188">XLOOKUP(1,(RailDefinition!$F:$F=$A188)*(RailDefinition!$M:$M=J$1),RailDefinition!$S:$S,"")</f>
      </c>
    </row>
    <row r="189">
      <c r="B189" s="5">
        <f>IF(A189="", "", LET(    checkF, XLOOKUP(A189, RailDefinition!E:E, RailDefinition!J:J),    checkE, XLOOKUP(A189, RailDefinition!E:E, RailDefinition!I:I),    IF(OR(        checkF="Borderless",        checkF="Borderless_L",        AND(checkF="Borderless_I", checkE="L90"),        AND(checkF="Borderless_O", checkE="R90")    ), "", "Side")))</f>
      </c>
      <c r="C189" s="5">
        <f>IF(A189="", "", LET(    checkF, XLOOKUP(A189, RailDefinition!E:E, RailDefinition!J:J),    checkE, XLOOKUP(A189, RailDefinition!E:E, RailDefinition!I:I),    IF(OR(        checkF="Borderless",        checkF="Borderless_R",        AND(checkF="Borderless_O", checkE="L90"),        AND(checkF="Borderless_I", checkE="R90")    ), "", "Side")))</f>
      </c>
      <c r="D189" s="5">
        <f>IF(A189="", "", LET(    valG, XLOOKUP(A189, RailDefinition!E:E, RailDefinition!K:K),    valD, XLOOKUP(A189, RailDefinition!E:E, RailDefinition!H:H),    valE, XLOOKUP(A189,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89">
        <f t="array" ref="E189:E189">XLOOKUP(1,(RailDefinition!$F:$F=$A189)*(RailDefinition!$M:$M=E$1),RailDefinition!$S:$S,"")</f>
      </c>
      <c r="F189">
        <f t="array" ref="F189:F189">XLOOKUP(1,(RailDefinition!$F:$F=$A189)*(RailDefinition!$M:$M=F$1),RailDefinition!$S:$S,"")</f>
      </c>
      <c r="G189">
        <f t="array" ref="G189:G189">XLOOKUP(1,(RailDefinition!$F:$F=$A189)*(RailDefinition!$M:$M=G$1),RailDefinition!$S:$S,"")</f>
      </c>
      <c r="H189">
        <f t="array" ref="H189:H189">XLOOKUP(1,(RailDefinition!$F:$F=$A189)*(RailDefinition!$M:$M=H$1),RailDefinition!$S:$S,"")</f>
      </c>
      <c r="I189">
        <f t="array" ref="I189:I189">XLOOKUP(1,(RailDefinition!$F:$F=$A189)*(RailDefinition!$M:$M=I$1),RailDefinition!$S:$S,"")</f>
      </c>
      <c r="J189">
        <f t="array" ref="J189:J189">XLOOKUP(1,(RailDefinition!$F:$F=$A189)*(RailDefinition!$M:$M=J$1),RailDefinition!$S:$S,"")</f>
      </c>
    </row>
    <row r="190">
      <c r="B190" s="5">
        <f>IF(A190="", "", LET(    checkF, XLOOKUP(A190, RailDefinition!E:E, RailDefinition!J:J),    checkE, XLOOKUP(A190, RailDefinition!E:E, RailDefinition!I:I),    IF(OR(        checkF="Borderless",        checkF="Borderless_L",        AND(checkF="Borderless_I", checkE="L90"),        AND(checkF="Borderless_O", checkE="R90")    ), "", "Side")))</f>
      </c>
      <c r="C190" s="5">
        <f>IF(A190="", "", LET(    checkF, XLOOKUP(A190, RailDefinition!E:E, RailDefinition!J:J),    checkE, XLOOKUP(A190, RailDefinition!E:E, RailDefinition!I:I),    IF(OR(        checkF="Borderless",        checkF="Borderless_R",        AND(checkF="Borderless_O", checkE="L90"),        AND(checkF="Borderless_I", checkE="R90")    ), "", "Side")))</f>
      </c>
      <c r="D190" s="5">
        <f>IF(A190="", "", LET(    valG, XLOOKUP(A190, RailDefinition!E:E, RailDefinition!K:K),    valD, XLOOKUP(A190, RailDefinition!E:E, RailDefinition!H:H),    valE, XLOOKUP(A190,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0">
        <f t="array" ref="E190:E190">XLOOKUP(1,(RailDefinition!$F:$F=$A190)*(RailDefinition!$M:$M=E$1),RailDefinition!$S:$S,"")</f>
      </c>
      <c r="F190">
        <f t="array" ref="F190:F190">XLOOKUP(1,(RailDefinition!$F:$F=$A190)*(RailDefinition!$M:$M=F$1),RailDefinition!$S:$S,"")</f>
      </c>
      <c r="G190">
        <f t="array" ref="G190:G190">XLOOKUP(1,(RailDefinition!$F:$F=$A190)*(RailDefinition!$M:$M=G$1),RailDefinition!$S:$S,"")</f>
      </c>
      <c r="H190">
        <f t="array" ref="H190:H190">XLOOKUP(1,(RailDefinition!$F:$F=$A190)*(RailDefinition!$M:$M=H$1),RailDefinition!$S:$S,"")</f>
      </c>
      <c r="I190">
        <f t="array" ref="I190:I190">XLOOKUP(1,(RailDefinition!$F:$F=$A190)*(RailDefinition!$M:$M=I$1),RailDefinition!$S:$S,"")</f>
      </c>
      <c r="J190">
        <f t="array" ref="J190:J190">XLOOKUP(1,(RailDefinition!$F:$F=$A190)*(RailDefinition!$M:$M=J$1),RailDefinition!$S:$S,"")</f>
      </c>
    </row>
    <row r="191">
      <c r="B191" s="5">
        <f>IF(A191="", "", LET(    checkF, XLOOKUP(A191, RailDefinition!E:E, RailDefinition!J:J),    checkE, XLOOKUP(A191, RailDefinition!E:E, RailDefinition!I:I),    IF(OR(        checkF="Borderless",        checkF="Borderless_L",        AND(checkF="Borderless_I", checkE="L90"),        AND(checkF="Borderless_O", checkE="R90")    ), "", "Side")))</f>
      </c>
      <c r="C191" s="5">
        <f>IF(A191="", "", LET(    checkF, XLOOKUP(A191, RailDefinition!E:E, RailDefinition!J:J),    checkE, XLOOKUP(A191, RailDefinition!E:E, RailDefinition!I:I),    IF(OR(        checkF="Borderless",        checkF="Borderless_R",        AND(checkF="Borderless_O", checkE="L90"),        AND(checkF="Borderless_I", checkE="R90")    ), "", "Side")))</f>
      </c>
      <c r="D191" s="5">
        <f>IF(A191="", "", LET(    valG, XLOOKUP(A191, RailDefinition!E:E, RailDefinition!K:K),    valD, XLOOKUP(A191, RailDefinition!E:E, RailDefinition!H:H),    valE, XLOOKUP(A191,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1">
        <f t="array" ref="E191:E191">XLOOKUP(1,(RailDefinition!$F:$F=$A191)*(RailDefinition!$M:$M=E$1),RailDefinition!$S:$S,"")</f>
      </c>
      <c r="F191">
        <f t="array" ref="F191:F191">XLOOKUP(1,(RailDefinition!$F:$F=$A191)*(RailDefinition!$M:$M=F$1),RailDefinition!$S:$S,"")</f>
      </c>
      <c r="G191">
        <f t="array" ref="G191:G191">XLOOKUP(1,(RailDefinition!$F:$F=$A191)*(RailDefinition!$M:$M=G$1),RailDefinition!$S:$S,"")</f>
      </c>
      <c r="H191">
        <f t="array" ref="H191:H191">XLOOKUP(1,(RailDefinition!$F:$F=$A191)*(RailDefinition!$M:$M=H$1),RailDefinition!$S:$S,"")</f>
      </c>
      <c r="I191">
        <f t="array" ref="I191:I191">XLOOKUP(1,(RailDefinition!$F:$F=$A191)*(RailDefinition!$M:$M=I$1),RailDefinition!$S:$S,"")</f>
      </c>
      <c r="J191">
        <f t="array" ref="J191:J191">XLOOKUP(1,(RailDefinition!$F:$F=$A191)*(RailDefinition!$M:$M=J$1),RailDefinition!$S:$S,"")</f>
      </c>
    </row>
    <row r="192">
      <c r="B192" s="5">
        <f>IF(A192="", "", LET(    checkF, XLOOKUP(A192, RailDefinition!E:E, RailDefinition!J:J),    checkE, XLOOKUP(A192, RailDefinition!E:E, RailDefinition!I:I),    IF(OR(        checkF="Borderless",        checkF="Borderless_L",        AND(checkF="Borderless_I", checkE="L90"),        AND(checkF="Borderless_O", checkE="R90")    ), "", "Side")))</f>
      </c>
      <c r="C192" s="5">
        <f>IF(A192="", "", LET(    checkF, XLOOKUP(A192, RailDefinition!E:E, RailDefinition!J:J),    checkE, XLOOKUP(A192, RailDefinition!E:E, RailDefinition!I:I),    IF(OR(        checkF="Borderless",        checkF="Borderless_R",        AND(checkF="Borderless_O", checkE="L90"),        AND(checkF="Borderless_I", checkE="R90")    ), "", "Side")))</f>
      </c>
      <c r="D192" s="5">
        <f>IF(A192="", "", LET(    valG, XLOOKUP(A192, RailDefinition!E:E, RailDefinition!K:K),    valD, XLOOKUP(A192, RailDefinition!E:E, RailDefinition!H:H),    valE, XLOOKUP(A192,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2">
        <f t="array" ref="E192:E192">XLOOKUP(1,(RailDefinition!$F:$F=$A192)*(RailDefinition!$M:$M=E$1),RailDefinition!$S:$S,"")</f>
      </c>
      <c r="F192">
        <f t="array" ref="F192:F192">XLOOKUP(1,(RailDefinition!$F:$F=$A192)*(RailDefinition!$M:$M=F$1),RailDefinition!$S:$S,"")</f>
      </c>
      <c r="G192">
        <f t="array" ref="G192:G192">XLOOKUP(1,(RailDefinition!$F:$F=$A192)*(RailDefinition!$M:$M=G$1),RailDefinition!$S:$S,"")</f>
      </c>
      <c r="H192">
        <f t="array" ref="H192:H192">XLOOKUP(1,(RailDefinition!$F:$F=$A192)*(RailDefinition!$M:$M=H$1),RailDefinition!$S:$S,"")</f>
      </c>
      <c r="I192">
        <f t="array" ref="I192:I192">XLOOKUP(1,(RailDefinition!$F:$F=$A192)*(RailDefinition!$M:$M=I$1),RailDefinition!$S:$S,"")</f>
      </c>
      <c r="J192">
        <f t="array" ref="J192:J192">XLOOKUP(1,(RailDefinition!$F:$F=$A192)*(RailDefinition!$M:$M=J$1),RailDefinition!$S:$S,"")</f>
      </c>
    </row>
    <row r="193">
      <c r="B193" s="5">
        <f>IF(A193="", "", LET(    checkF, XLOOKUP(A193, RailDefinition!E:E, RailDefinition!J:J),    checkE, XLOOKUP(A193, RailDefinition!E:E, RailDefinition!I:I),    IF(OR(        checkF="Borderless",        checkF="Borderless_L",        AND(checkF="Borderless_I", checkE="L90"),        AND(checkF="Borderless_O", checkE="R90")    ), "", "Side")))</f>
      </c>
      <c r="C193" s="5">
        <f>IF(A193="", "", LET(    checkF, XLOOKUP(A193, RailDefinition!E:E, RailDefinition!J:J),    checkE, XLOOKUP(A193, RailDefinition!E:E, RailDefinition!I:I),    IF(OR(        checkF="Borderless",        checkF="Borderless_R",        AND(checkF="Borderless_O", checkE="L90"),        AND(checkF="Borderless_I", checkE="R90")    ), "", "Side")))</f>
      </c>
      <c r="D193" s="5">
        <f>IF(A193="", "", LET(    valG, XLOOKUP(A193, RailDefinition!E:E, RailDefinition!K:K),    valD, XLOOKUP(A193, RailDefinition!E:E, RailDefinition!H:H),    valE, XLOOKUP(A193,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3">
        <f t="array" ref="E193:E193">XLOOKUP(1,(RailDefinition!$F:$F=$A193)*(RailDefinition!$M:$M=E$1),RailDefinition!$S:$S,"")</f>
      </c>
      <c r="F193">
        <f t="array" ref="F193:F193">XLOOKUP(1,(RailDefinition!$F:$F=$A193)*(RailDefinition!$M:$M=F$1),RailDefinition!$S:$S,"")</f>
      </c>
      <c r="G193">
        <f t="array" ref="G193:G193">XLOOKUP(1,(RailDefinition!$F:$F=$A193)*(RailDefinition!$M:$M=G$1),RailDefinition!$S:$S,"")</f>
      </c>
      <c r="H193">
        <f t="array" ref="H193:H193">XLOOKUP(1,(RailDefinition!$F:$F=$A193)*(RailDefinition!$M:$M=H$1),RailDefinition!$S:$S,"")</f>
      </c>
      <c r="I193">
        <f t="array" ref="I193:I193">XLOOKUP(1,(RailDefinition!$F:$F=$A193)*(RailDefinition!$M:$M=I$1),RailDefinition!$S:$S,"")</f>
      </c>
      <c r="J193">
        <f t="array" ref="J193:J193">XLOOKUP(1,(RailDefinition!$F:$F=$A193)*(RailDefinition!$M:$M=J$1),RailDefinition!$S:$S,"")</f>
      </c>
    </row>
    <row r="194">
      <c r="B194" s="5">
        <f>IF(A194="", "", LET(    checkF, XLOOKUP(A194, RailDefinition!E:E, RailDefinition!J:J),    checkE, XLOOKUP(A194, RailDefinition!E:E, RailDefinition!I:I),    IF(OR(        checkF="Borderless",        checkF="Borderless_L",        AND(checkF="Borderless_I", checkE="L90"),        AND(checkF="Borderless_O", checkE="R90")    ), "", "Side")))</f>
      </c>
      <c r="C194" s="5">
        <f>IF(A194="", "", LET(    checkF, XLOOKUP(A194, RailDefinition!E:E, RailDefinition!J:J),    checkE, XLOOKUP(A194, RailDefinition!E:E, RailDefinition!I:I),    IF(OR(        checkF="Borderless",        checkF="Borderless_R",        AND(checkF="Borderless_O", checkE="L90"),        AND(checkF="Borderless_I", checkE="R90")    ), "", "Side")))</f>
      </c>
      <c r="D194" s="5">
        <f>IF(A194="", "", LET(    valG, XLOOKUP(A194, RailDefinition!E:E, RailDefinition!K:K),    valD, XLOOKUP(A194, RailDefinition!E:E, RailDefinition!H:H),    valE, XLOOKUP(A194,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4">
        <f t="array" ref="E194:E194">XLOOKUP(1,(RailDefinition!$F:$F=$A194)*(RailDefinition!$M:$M=E$1),RailDefinition!$S:$S,"")</f>
      </c>
      <c r="F194">
        <f t="array" ref="F194:F194">XLOOKUP(1,(RailDefinition!$F:$F=$A194)*(RailDefinition!$M:$M=F$1),RailDefinition!$S:$S,"")</f>
      </c>
      <c r="G194">
        <f t="array" ref="G194:G194">XLOOKUP(1,(RailDefinition!$F:$F=$A194)*(RailDefinition!$M:$M=G$1),RailDefinition!$S:$S,"")</f>
      </c>
      <c r="H194">
        <f t="array" ref="H194:H194">XLOOKUP(1,(RailDefinition!$F:$F=$A194)*(RailDefinition!$M:$M=H$1),RailDefinition!$S:$S,"")</f>
      </c>
      <c r="I194">
        <f t="array" ref="I194:I194">XLOOKUP(1,(RailDefinition!$F:$F=$A194)*(RailDefinition!$M:$M=I$1),RailDefinition!$S:$S,"")</f>
      </c>
      <c r="J194">
        <f t="array" ref="J194:J194">XLOOKUP(1,(RailDefinition!$F:$F=$A194)*(RailDefinition!$M:$M=J$1),RailDefinition!$S:$S,"")</f>
      </c>
    </row>
    <row r="195">
      <c r="B195" s="5">
        <f>IF(A195="", "", LET(    checkF, XLOOKUP(A195, RailDefinition!E:E, RailDefinition!J:J),    checkE, XLOOKUP(A195, RailDefinition!E:E, RailDefinition!I:I),    IF(OR(        checkF="Borderless",        checkF="Borderless_L",        AND(checkF="Borderless_I", checkE="L90"),        AND(checkF="Borderless_O", checkE="R90")    ), "", "Side")))</f>
      </c>
      <c r="C195" s="5">
        <f>IF(A195="", "", LET(    checkF, XLOOKUP(A195, RailDefinition!E:E, RailDefinition!J:J),    checkE, XLOOKUP(A195, RailDefinition!E:E, RailDefinition!I:I),    IF(OR(        checkF="Borderless",        checkF="Borderless_R",        AND(checkF="Borderless_O", checkE="L90"),        AND(checkF="Borderless_I", checkE="R90")    ), "", "Side")))</f>
      </c>
      <c r="D195" s="5">
        <f>IF(A195="", "", LET(    valG, XLOOKUP(A195, RailDefinition!E:E, RailDefinition!K:K),    valD, XLOOKUP(A195, RailDefinition!E:E, RailDefinition!H:H),    valE, XLOOKUP(A195,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5">
        <f t="array" ref="E195:E195">XLOOKUP(1,(RailDefinition!$F:$F=$A195)*(RailDefinition!$M:$M=E$1),RailDefinition!$S:$S,"")</f>
      </c>
      <c r="F195">
        <f t="array" ref="F195:F195">XLOOKUP(1,(RailDefinition!$F:$F=$A195)*(RailDefinition!$M:$M=F$1),RailDefinition!$S:$S,"")</f>
      </c>
      <c r="G195">
        <f t="array" ref="G195:G195">XLOOKUP(1,(RailDefinition!$F:$F=$A195)*(RailDefinition!$M:$M=G$1),RailDefinition!$S:$S,"")</f>
      </c>
      <c r="H195">
        <f t="array" ref="H195:H195">XLOOKUP(1,(RailDefinition!$F:$F=$A195)*(RailDefinition!$M:$M=H$1),RailDefinition!$S:$S,"")</f>
      </c>
      <c r="I195">
        <f t="array" ref="I195:I195">XLOOKUP(1,(RailDefinition!$F:$F=$A195)*(RailDefinition!$M:$M=I$1),RailDefinition!$S:$S,"")</f>
      </c>
      <c r="J195">
        <f t="array" ref="J195:J195">XLOOKUP(1,(RailDefinition!$F:$F=$A195)*(RailDefinition!$M:$M=J$1),RailDefinition!$S:$S,"")</f>
      </c>
    </row>
    <row r="196">
      <c r="B196" s="5">
        <f>IF(A196="", "", LET(    checkF, XLOOKUP(A196, RailDefinition!E:E, RailDefinition!J:J),    checkE, XLOOKUP(A196, RailDefinition!E:E, RailDefinition!I:I),    IF(OR(        checkF="Borderless",        checkF="Borderless_L",        AND(checkF="Borderless_I", checkE="L90"),        AND(checkF="Borderless_O", checkE="R90")    ), "", "Side")))</f>
      </c>
      <c r="C196" s="5">
        <f>IF(A196="", "", LET(    checkF, XLOOKUP(A196, RailDefinition!E:E, RailDefinition!J:J),    checkE, XLOOKUP(A196, RailDefinition!E:E, RailDefinition!I:I),    IF(OR(        checkF="Borderless",        checkF="Borderless_R",        AND(checkF="Borderless_O", checkE="L90"),        AND(checkF="Borderless_I", checkE="R90")    ), "", "Side")))</f>
      </c>
      <c r="D196" s="5">
        <f>IF(A196="", "", LET(    valG, XLOOKUP(A196, RailDefinition!E:E, RailDefinition!K:K),    valD, XLOOKUP(A196, RailDefinition!E:E, RailDefinition!H:H),    valE, XLOOKUP(A196,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6">
        <f t="array" ref="E196:E196">XLOOKUP(1,(RailDefinition!$F:$F=$A196)*(RailDefinition!$M:$M=E$1),RailDefinition!$S:$S,"")</f>
      </c>
      <c r="F196">
        <f t="array" ref="F196:F196">XLOOKUP(1,(RailDefinition!$F:$F=$A196)*(RailDefinition!$M:$M=F$1),RailDefinition!$S:$S,"")</f>
      </c>
      <c r="G196">
        <f t="array" ref="G196:G196">XLOOKUP(1,(RailDefinition!$F:$F=$A196)*(RailDefinition!$M:$M=G$1),RailDefinition!$S:$S,"")</f>
      </c>
      <c r="H196">
        <f t="array" ref="H196:H196">XLOOKUP(1,(RailDefinition!$F:$F=$A196)*(RailDefinition!$M:$M=H$1),RailDefinition!$S:$S,"")</f>
      </c>
      <c r="I196">
        <f t="array" ref="I196:I196">XLOOKUP(1,(RailDefinition!$F:$F=$A196)*(RailDefinition!$M:$M=I$1),RailDefinition!$S:$S,"")</f>
      </c>
      <c r="J196">
        <f t="array" ref="J196:J196">XLOOKUP(1,(RailDefinition!$F:$F=$A196)*(RailDefinition!$M:$M=J$1),RailDefinition!$S:$S,"")</f>
      </c>
    </row>
    <row r="197">
      <c r="B197" s="5">
        <f>IF(A197="", "", LET(    checkF, XLOOKUP(A197, RailDefinition!E:E, RailDefinition!J:J),    checkE, XLOOKUP(A197, RailDefinition!E:E, RailDefinition!I:I),    IF(OR(        checkF="Borderless",        checkF="Borderless_L",        AND(checkF="Borderless_I", checkE="L90"),        AND(checkF="Borderless_O", checkE="R90")    ), "", "Side")))</f>
      </c>
      <c r="C197" s="5">
        <f>IF(A197="", "", LET(    checkF, XLOOKUP(A197, RailDefinition!E:E, RailDefinition!J:J),    checkE, XLOOKUP(A197, RailDefinition!E:E, RailDefinition!I:I),    IF(OR(        checkF="Borderless",        checkF="Borderless_R",        AND(checkF="Borderless_O", checkE="L90"),        AND(checkF="Borderless_I", checkE="R90")    ), "", "Side")))</f>
      </c>
      <c r="D197" s="5">
        <f>IF(A197="", "", LET(    valG, XLOOKUP(A197, RailDefinition!E:E, RailDefinition!K:K),    valD, XLOOKUP(A197, RailDefinition!E:E, RailDefinition!H:H),    valE, XLOOKUP(A197,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7">
        <f t="array" ref="E197:E197">XLOOKUP(1,(RailDefinition!$F:$F=$A197)*(RailDefinition!$M:$M=E$1),RailDefinition!$S:$S,"")</f>
      </c>
      <c r="F197">
        <f t="array" ref="F197:F197">XLOOKUP(1,(RailDefinition!$F:$F=$A197)*(RailDefinition!$M:$M=F$1),RailDefinition!$S:$S,"")</f>
      </c>
      <c r="G197">
        <f t="array" ref="G197:G197">XLOOKUP(1,(RailDefinition!$F:$F=$A197)*(RailDefinition!$M:$M=G$1),RailDefinition!$S:$S,"")</f>
      </c>
      <c r="H197">
        <f t="array" ref="H197:H197">XLOOKUP(1,(RailDefinition!$F:$F=$A197)*(RailDefinition!$M:$M=H$1),RailDefinition!$S:$S,"")</f>
      </c>
      <c r="I197">
        <f t="array" ref="I197:I197">XLOOKUP(1,(RailDefinition!$F:$F=$A197)*(RailDefinition!$M:$M=I$1),RailDefinition!$S:$S,"")</f>
      </c>
      <c r="J197">
        <f t="array" ref="J197:J197">XLOOKUP(1,(RailDefinition!$F:$F=$A197)*(RailDefinition!$M:$M=J$1),RailDefinition!$S:$S,"")</f>
      </c>
    </row>
    <row r="198">
      <c r="B198" s="5">
        <f>IF(A198="", "", LET(    checkF, XLOOKUP(A198, RailDefinition!E:E, RailDefinition!J:J),    checkE, XLOOKUP(A198, RailDefinition!E:E, RailDefinition!I:I),    IF(OR(        checkF="Borderless",        checkF="Borderless_L",        AND(checkF="Borderless_I", checkE="L90"),        AND(checkF="Borderless_O", checkE="R90")    ), "", "Side")))</f>
      </c>
      <c r="C198" s="5">
        <f>IF(A198="", "", LET(    checkF, XLOOKUP(A198, RailDefinition!E:E, RailDefinition!J:J),    checkE, XLOOKUP(A198, RailDefinition!E:E, RailDefinition!I:I),    IF(OR(        checkF="Borderless",        checkF="Borderless_R",        AND(checkF="Borderless_O", checkE="L90"),        AND(checkF="Borderless_I", checkE="R90")    ), "", "Side")))</f>
      </c>
      <c r="D198" s="5">
        <f>IF(A198="", "", LET(    valG, XLOOKUP(A198, RailDefinition!E:E, RailDefinition!K:K),    valD, XLOOKUP(A198, RailDefinition!E:E, RailDefinition!H:H),    valE, XLOOKUP(A198,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8">
        <f t="array" ref="E198:E198">XLOOKUP(1,(RailDefinition!$F:$F=$A198)*(RailDefinition!$M:$M=E$1),RailDefinition!$S:$S,"")</f>
      </c>
      <c r="F198">
        <f t="array" ref="F198:F198">XLOOKUP(1,(RailDefinition!$F:$F=$A198)*(RailDefinition!$M:$M=F$1),RailDefinition!$S:$S,"")</f>
      </c>
      <c r="G198">
        <f t="array" ref="G198:G198">XLOOKUP(1,(RailDefinition!$F:$F=$A198)*(RailDefinition!$M:$M=G$1),RailDefinition!$S:$S,"")</f>
      </c>
      <c r="H198">
        <f t="array" ref="H198:H198">XLOOKUP(1,(RailDefinition!$F:$F=$A198)*(RailDefinition!$M:$M=H$1),RailDefinition!$S:$S,"")</f>
      </c>
      <c r="I198">
        <f t="array" ref="I198:I198">XLOOKUP(1,(RailDefinition!$F:$F=$A198)*(RailDefinition!$M:$M=I$1),RailDefinition!$S:$S,"")</f>
      </c>
      <c r="J198">
        <f t="array" ref="J198:J198">XLOOKUP(1,(RailDefinition!$F:$F=$A198)*(RailDefinition!$M:$M=J$1),RailDefinition!$S:$S,"")</f>
      </c>
    </row>
    <row r="199">
      <c r="B199" s="5">
        <f>IF(A199="", "", LET(    checkF, XLOOKUP(A199, RailDefinition!E:E, RailDefinition!J:J),    checkE, XLOOKUP(A199, RailDefinition!E:E, RailDefinition!I:I),    IF(OR(        checkF="Borderless",        checkF="Borderless_L",        AND(checkF="Borderless_I", checkE="L90"),        AND(checkF="Borderless_O", checkE="R90")    ), "", "Side")))</f>
      </c>
      <c r="C199" s="5">
        <f>IF(A199="", "", LET(    checkF, XLOOKUP(A199, RailDefinition!E:E, RailDefinition!J:J),    checkE, XLOOKUP(A199, RailDefinition!E:E, RailDefinition!I:I),    IF(OR(        checkF="Borderless",        checkF="Borderless_R",        AND(checkF="Borderless_O", checkE="L90"),        AND(checkF="Borderless_I", checkE="R90")    ), "", "Side")))</f>
      </c>
      <c r="D199" s="5">
        <f>IF(A199="", "", LET(    valG, XLOOKUP(A199, RailDefinition!E:E, RailDefinition!K:K),    valD, XLOOKUP(A199, RailDefinition!E:E, RailDefinition!H:H),    valE, XLOOKUP(A199,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199">
        <f t="array" ref="E199:E199">XLOOKUP(1,(RailDefinition!$F:$F=$A199)*(RailDefinition!$M:$M=E$1),RailDefinition!$S:$S,"")</f>
      </c>
      <c r="F199">
        <f t="array" ref="F199:F199">XLOOKUP(1,(RailDefinition!$F:$F=$A199)*(RailDefinition!$M:$M=F$1),RailDefinition!$S:$S,"")</f>
      </c>
      <c r="G199">
        <f t="array" ref="G199:G199">XLOOKUP(1,(RailDefinition!$F:$F=$A199)*(RailDefinition!$M:$M=G$1),RailDefinition!$S:$S,"")</f>
      </c>
      <c r="H199">
        <f t="array" ref="H199:H199">XLOOKUP(1,(RailDefinition!$F:$F=$A199)*(RailDefinition!$M:$M=H$1),RailDefinition!$S:$S,"")</f>
      </c>
      <c r="I199">
        <f t="array" ref="I199:I199">XLOOKUP(1,(RailDefinition!$F:$F=$A199)*(RailDefinition!$M:$M=I$1),RailDefinition!$S:$S,"")</f>
      </c>
      <c r="J199">
        <f t="array" ref="J199:J199">XLOOKUP(1,(RailDefinition!$F:$F=$A199)*(RailDefinition!$M:$M=J$1),RailDefinition!$S:$S,"")</f>
      </c>
    </row>
    <row r="200">
      <c r="B200" s="5">
        <f>IF(A200="", "", LET(    checkF, XLOOKUP(A200, RailDefinition!E:E, RailDefinition!J:J),    checkE, XLOOKUP(A200, RailDefinition!E:E, RailDefinition!I:I),    IF(OR(        checkF="Borderless",        checkF="Borderless_L",        AND(checkF="Borderless_I", checkE="L90"),        AND(checkF="Borderless_O", checkE="R90")    ), "", "Side")))</f>
      </c>
      <c r="C200" s="5">
        <f>IF(A200="", "", LET(    checkF, XLOOKUP(A200, RailDefinition!E:E, RailDefinition!J:J),    checkE, XLOOKUP(A200, RailDefinition!E:E, RailDefinition!I:I),    IF(OR(        checkF="Borderless",        checkF="Borderless_R",        AND(checkF="Borderless_O", checkE="L90"),        AND(checkF="Borderless_I", checkE="R90")    ), "", "Side")))</f>
      </c>
      <c r="D200" s="5">
        <f>IF(A200="", "", LET(    valG, XLOOKUP(A200, RailDefinition!E:E, RailDefinition!K:K),    valD, XLOOKUP(A200, RailDefinition!E:E, RailDefinition!H:H),    valE, XLOOKUP(A200, RailDefinition!E:E, RailDefinition!I:I),    IFS(        valG="CAVED", "GroundLine_Caved",        valG="HoleInRail", "RailHole",        valD="Start", "StartHole",        valD="End", "EndHole",        valD="CheckPoint", "CheckHole",        valD="Straight", SWITCH(valE,            "L90", "GroundLine_LeftTurn",            "R90", "GroundLine_RightTurn",            "FR90", "GroundLine_ForwardRight",            "FL90", "GroundLine_ForwardLeft",            "T", "GroundLine_TCross",            "CR", "GroundLine_CrossRoad",            "GroundLine"        ),        TRUE, "GroundLine"    )))</f>
      </c>
      <c r="E200">
        <f t="array" ref="E200:E200">XLOOKUP(1,(RailDefinition!$F:$F=$A200)*(RailDefinition!$M:$M=E$1),RailDefinition!$S:$S,"")</f>
      </c>
      <c r="F200">
        <f t="array" ref="F200:F200">XLOOKUP(1,(RailDefinition!$F:$F=$A200)*(RailDefinition!$M:$M=F$1),RailDefinition!$S:$S,"")</f>
      </c>
      <c r="G200">
        <f t="array" ref="G200:G200">XLOOKUP(1,(RailDefinition!$F:$F=$A200)*(RailDefinition!$M:$M=G$1),RailDefinition!$S:$S,"")</f>
      </c>
      <c r="H200">
        <f t="array" ref="H200:H200">XLOOKUP(1,(RailDefinition!$F:$F=$A200)*(RailDefinition!$M:$M=H$1),RailDefinition!$S:$S,"")</f>
      </c>
      <c r="I200">
        <f t="array" ref="I200:I200">XLOOKUP(1,(RailDefinition!$F:$F=$A200)*(RailDefinition!$M:$M=I$1),RailDefinition!$S:$S,"")</f>
      </c>
      <c r="J200">
        <f t="array" ref="J200:J200">XLOOKUP(1,(RailDefinition!$F:$F=$A200)*(RailDefinition!$M:$M=J$1),RailDefinition!$S:$S,"")</f>
      </c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e1eaff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15"/>
    <col collapsed="false" customWidth="true" hidden="false" max="5" min="5" style="0" width="19"/>
    <col collapsed="false" customWidth="true" hidden="false" max="6" min="6" style="0" width="15"/>
    <col collapsed="false" customWidth="true" hidden="false" max="7" min="7" style="0" width="14"/>
    <col collapsed="false" customWidth="true" hidden="false" max="8" min="8" style="0" width="27"/>
    <col collapsed="false" customWidth="true" hidden="false" max="9" min="9" style="0" width="14"/>
    <col collapsed="false" customWidth="true" hidden="false" max="10" min="10" style="0" width="14"/>
  </cols>
  <sheetData>
    <row r="1">
      <c r="A1" s="11" t="str">
        <v>Row Name</v>
      </c>
      <c r="B1" s="11" t="str">
        <v>MapName</v>
      </c>
      <c r="C1" s="11" t="str">
        <v>SubLevelStreamName</v>
      </c>
      <c r="D1" s="11" t="str">
        <v>WorldName_CN</v>
      </c>
      <c r="E1" s="11" t="str">
        <v>WorldName_EN</v>
      </c>
      <c r="F1" s="17" t="str">
        <v>StartLevelIndex</v>
      </c>
      <c r="G1" s="17" t="str">
        <v>EndLevelIndex</v>
      </c>
      <c r="H1" s="17" t="str">
        <v>WorldIntroduce</v>
      </c>
      <c r="I1" s="17" t="str">
        <v>Star_Unlocked</v>
      </c>
      <c r="J1" s="17" t="str">
        <v>环境机制</v>
      </c>
      <c r="K1" s="17" t="str">
        <v>特殊轨道</v>
      </c>
    </row>
    <row r="2">
      <c r="A2" s="13" t="str">
        <v>1</v>
      </c>
      <c r="B2" s="5" t="str">
        <v>L_MazeLevel_W1</v>
      </c>
      <c r="C2" s="5" t="str">
        <v>L_Maze_</v>
      </c>
      <c r="D2" s="5" t="str">
        <v>都市</v>
      </c>
      <c r="E2" s="5" t="str">
        <v>The City</v>
      </c>
      <c r="F2" s="5">
        <v>1</v>
      </c>
      <c r="G2" s="5">
        <v>10</v>
      </c>
      <c r="H2" s="5" t="str">
        <v>在喧嚣的高楼之间，
一颗小球寻找遗忘的方向。
路途平静，却已埋下错误的种子。</v>
      </c>
      <c r="I2" s="5">
        <v>0</v>
      </c>
      <c r="J2" s="5" t="str">
        <v>无</v>
      </c>
      <c r="K2" s="5" t="str">
        <v>触发电梯
旋转电梯
轨道电梯</v>
      </c>
    </row>
    <row r="3">
      <c r="A3" s="13" t="str">
        <v>2</v>
      </c>
      <c r="B3" s="5" t="str">
        <v>L_MazeLevel_W2</v>
      </c>
      <c r="C3" s="5" t="str">
        <v>L_Maze_</v>
      </c>
      <c r="D3" s="5" t="str">
        <v>矿洞</v>
      </c>
      <c r="E3" s="5" t="str">
        <v>The Mine</v>
      </c>
      <c r="F3" s="5">
        <v>11</v>
      </c>
      <c r="G3" s="5">
        <v>20</v>
      </c>
      <c r="H3" s="5" t="str">
        <v>在炽热的矿火之下，
贪婪曾让大地千疮百孔。
只有小心走过，铁水才会平息。</v>
      </c>
      <c r="I3" s="5">
        <v>14</v>
      </c>
      <c r="J3" s="5" t="str">
        <v>铁水</v>
      </c>
      <c r="K3" s="5" t="str">
        <v>闸门
翻板门
矿车</v>
      </c>
    </row>
    <row r="4">
      <c r="A4" s="13" t="str">
        <v>3</v>
      </c>
      <c r="B4" s="5" t="str">
        <v>L_MazeLevel_W3</v>
      </c>
      <c r="C4" s="5" t="str">
        <v>L_Maze_</v>
      </c>
      <c r="D4" s="5" t="str">
        <v>海岛</v>
      </c>
      <c r="E4" s="5" t="str">
        <v>The Island</v>
      </c>
      <c r="F4" s="5">
        <v>21</v>
      </c>
      <c r="G4" s="5">
        <v>30</v>
      </c>
      <c r="H4" s="5" t="str">
        <v>温柔的海潮托起希望，
也将真相掩埋于深处。
喜悦与危险，总是并肩而行。</v>
      </c>
      <c r="I4" s="5">
        <v>32</v>
      </c>
      <c r="J4" s="5" t="str">
        <v>海</v>
      </c>
      <c r="K4" s="5" t="str">
        <v>泳池
蹦床
间歇泉</v>
      </c>
    </row>
    <row r="5">
      <c r="A5" s="13" t="str">
        <v>4</v>
      </c>
      <c r="B5" s="5" t="str">
        <v>L_MazeLevel_W4</v>
      </c>
      <c r="C5" s="5" t="str">
        <v>L_Maze_</v>
      </c>
      <c r="D5" s="5" t="str">
        <v>峡谷</v>
      </c>
      <c r="E5" s="5" t="str">
        <v>The Valley</v>
      </c>
      <c r="F5" s="5">
        <v>31</v>
      </c>
      <c r="G5" s="5">
        <v>40</v>
      </c>
      <c r="H5" s="5" t="str">
        <v>风声带走宁静，
山谷中传来遥远的回响。
每一次摆荡，都是对勇气的呼唤。</v>
      </c>
      <c r="I5" s="5">
        <v>54</v>
      </c>
      <c r="J5" s="5" t="str">
        <v>风</v>
      </c>
      <c r="K5" s="5" t="str">
        <v>旅行者
风床
</v>
      </c>
    </row>
    <row r="6">
      <c r="A6" s="13" t="str">
        <v>5</v>
      </c>
      <c r="B6" s="5" t="str">
        <v>L_MazeLevel_W5</v>
      </c>
      <c r="C6" s="5" t="str">
        <v>L_Maze_</v>
      </c>
      <c r="D6" s="5" t="str">
        <v>黑洞</v>
      </c>
      <c r="E6" s="5" t="str">
        <v>The Black Hole</v>
      </c>
      <c r="F6" s="5">
        <v>41</v>
      </c>
      <c r="G6" s="5">
        <v>50</v>
      </c>
      <c r="H6" s="5" t="str">
        <v>在无垠的虚空里，
引力吞噬一切声音与形体。
唯有直面深渊，方能看见真理。</v>
      </c>
      <c r="I6" s="5">
        <v>80</v>
      </c>
      <c r="J6" s="5" t="str">
        <v>黑洞</v>
      </c>
      <c r="K6" s="5" t="str">
        <v>反重力空间
磁力轨道</v>
      </c>
    </row>
    <row r="7">
      <c r="A7" s="13" t="str">
        <v>6</v>
      </c>
      <c r="B7" s="5" t="str">
        <v>L_MazeLevel_W6</v>
      </c>
      <c r="C7" s="5" t="str">
        <v>L_Maze_</v>
      </c>
      <c r="D7" s="5" t="str">
        <v>暗室</v>
      </c>
      <c r="E7" s="5" t="str">
        <v>The Dark Room</v>
      </c>
      <c r="F7" s="5">
        <v>51</v>
      </c>
      <c r="G7" s="5">
        <v>60</v>
      </c>
      <c r="H7" s="5" t="str">
        <v>光与影在此交锋，黑暗孕育敌影。
指引正确的方向，寻找解脱的路。</v>
      </c>
      <c r="I7" s="5">
        <v>110</v>
      </c>
      <c r="J7" s="5" t="str">
        <v>光</v>
      </c>
      <c r="K7" s="5" t="str">
        <v>光轨道
影轨道</v>
      </c>
    </row>
    <row r="8">
      <c r="A8" s="13" t="str">
        <v>7</v>
      </c>
      <c r="D8" s="5" t="str">
        <v>混乱都市</v>
      </c>
      <c r="E8" s="5" t="str">
        <v>The Chaotic City</v>
      </c>
      <c r="F8" s="5">
        <v>61</v>
      </c>
      <c r="G8" s="5"/>
    </row>
    <row r="9">
      <c r="A9" s="13" t="str">
        <v>8</v>
      </c>
      <c r="D9" s="5" t="str">
        <v>混乱矿洞</v>
      </c>
      <c r="E9" s="5" t="str">
        <v>The Chaotic Mine</v>
      </c>
      <c r="F9" s="5">
        <v>71</v>
      </c>
      <c r="G9" s="5"/>
    </row>
    <row r="10">
      <c r="A10" s="13" t="str">
        <v>9</v>
      </c>
      <c r="D10" s="5" t="str">
        <v>混乱海岛</v>
      </c>
      <c r="E10" s="5" t="str">
        <v>The Chaotic Island</v>
      </c>
      <c r="F10" s="5">
        <v>81</v>
      </c>
      <c r="G10" s="5"/>
    </row>
    <row r="11">
      <c r="A11" s="13" t="str">
        <v>10</v>
      </c>
      <c r="D11" s="5" t="str">
        <v>混乱峡谷</v>
      </c>
      <c r="E11" s="5" t="str">
        <v>The Chaotic Valley</v>
      </c>
      <c r="F11" s="5">
        <v>91</v>
      </c>
      <c r="G11" s="5"/>
    </row>
    <row r="12">
      <c r="A12" s="13" t="str">
        <v>11</v>
      </c>
      <c r="D12" s="5" t="str">
        <v>混乱黑洞</v>
      </c>
      <c r="E12" s="5" t="str">
        <v>The Chaotic Black Hole</v>
      </c>
      <c r="F12" s="5">
        <v>101</v>
      </c>
      <c r="G12" s="5"/>
    </row>
    <row r="13">
      <c r="A13" s="13" t="str">
        <v>12</v>
      </c>
      <c r="D13" s="5" t="str">
        <v>混乱暗室</v>
      </c>
      <c r="E13" s="5" t="str">
        <v>The Chaotic Dark Room</v>
      </c>
      <c r="F13" s="5">
        <v>111</v>
      </c>
      <c r="G13" s="5"/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e1eaff"/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4"/>
    <col collapsed="false" customWidth="true" hidden="false" max="3" min="3" style="0" width="26"/>
    <col collapsed="false" customWidth="true" hidden="false" max="4" min="4" style="0" width="14"/>
    <col collapsed="false" customWidth="true" hidden="false" max="5" min="5" style="0" width="11"/>
    <col collapsed="false" customWidth="true" hidden="false" max="6" min="6" style="0" width="11"/>
    <col collapsed="true" hidden="false" max="7" min="7" style="0" width="10"/>
    <col collapsed="false" customWidth="true" hidden="true" max="8" min="8" outlineLevel="1" style="0" width="10"/>
    <col collapsed="false" customWidth="true" hidden="true" max="9" min="9" outlineLevel="1" style="0" width="10"/>
    <col collapsed="false" customWidth="true" hidden="true" max="10" min="10" outlineLevel="1" style="0" width="8"/>
    <col collapsed="false" customWidth="true" hidden="true" max="11" min="11" outlineLevel="1" style="0" width="9"/>
    <col collapsed="false" customWidth="true" hidden="true" max="12" min="12" outlineLevel="1" style="0" width="9"/>
    <col collapsed="true" hidden="false" max="13" min="13" style="0" width="8"/>
    <col collapsed="false" customWidth="true" hidden="true" max="14" min="14" outlineLevel="1" style="0" width="8"/>
    <col collapsed="false" customWidth="true" hidden="false" max="15" min="15" style="0" width="7"/>
    <col collapsed="true" hidden="false" max="16" min="16" style="0" width="9"/>
    <col collapsed="false" customWidth="true" hidden="true" max="17" min="17" outlineLevel="1" style="0" width="9"/>
    <col collapsed="false" customWidth="true" hidden="true" max="18" min="18" outlineLevel="1" style="0" width="9"/>
    <col collapsed="false" customWidth="true" hidden="false" max="19" min="19" style="0" width="9"/>
    <col collapsed="false" customWidth="true" hidden="false" max="20" min="20" style="0" width="10"/>
    <col collapsed="false" customWidth="true" hidden="false" max="21" min="21" style="0" width="60"/>
    <col collapsed="false" customWidth="true" hidden="false" max="22" min="22" style="0" width="24"/>
    <col collapsed="false" customWidth="true" hidden="false" max="23" min="23" style="0" width="30"/>
    <col collapsed="false" customWidth="true" hidden="false" max="24" min="24" style="0" width="118"/>
  </cols>
  <sheetData>
    <row r="1">
      <c r="A1" s="11" t="str">
        <v>Row Name</v>
      </c>
      <c r="B1" s="11" t="str">
        <v>LevelName</v>
      </c>
      <c r="C1" s="11" t="str">
        <v>LevelIntroduce</v>
      </c>
      <c r="D1" s="186" t="str">
        <v>Star_Unlocked</v>
      </c>
      <c r="E1" s="11" t="str">
        <v>WorldIndex</v>
      </c>
      <c r="F1" s="11" t="str">
        <v>LevelIndex</v>
      </c>
      <c r="G1" s="185" t="str">
        <v>World</v>
      </c>
      <c r="H1" s="187" t="str">
        <v>Ratio_Min</v>
      </c>
      <c r="I1" s="187" t="str">
        <v>Ratio_Max</v>
      </c>
      <c r="J1" s="182" t="str">
        <v>Diff_Min</v>
      </c>
      <c r="K1" s="182" t="str">
        <v>Diff_Max</v>
      </c>
      <c r="L1" s="182" t="str">
        <v>Diff_Gap</v>
      </c>
      <c r="M1" s="184" t="str">
        <v>Diff_Tgt</v>
      </c>
      <c r="N1" s="166" t="str">
        <v>CP_Ref</v>
      </c>
      <c r="O1" s="183" t="str">
        <v>CP_Diff</v>
      </c>
      <c r="P1" s="184" t="str">
        <v>CP</v>
      </c>
      <c r="Q1" s="188" t="str">
        <v>Rail_Min</v>
      </c>
      <c r="R1" s="188" t="str">
        <v>Rail_Max</v>
      </c>
      <c r="S1" s="184" t="str">
        <v>Rail_Tgt</v>
      </c>
      <c r="T1" s="11">
        <f>"Stat "&amp;COUNTIF(T2:T61,"✅") &amp; "/" &amp; COUNTA(T2:T61)</f>
      </c>
      <c r="U1" s="11" t="str">
        <v>设计目的</v>
      </c>
      <c r="V1" s="189" t="str">
        <v>新内容</v>
      </c>
      <c r="W1" s="11" t="str">
        <v>问题</v>
      </c>
      <c r="X1" s="11"/>
      <c r="Y1" s="11"/>
      <c r="Z1" s="11"/>
      <c r="AA1" s="11"/>
      <c r="AB1" s="11"/>
    </row>
    <row r="2">
      <c r="A2" s="176">
        <f>E2&amp;"_"&amp;F2</f>
      </c>
      <c r="B2" s="5" t="str">
        <v>街角</v>
      </c>
      <c r="C2" s="5" t="str">
        <v>球滚动的回声，
唤醒沉睡的街区。</v>
      </c>
      <c r="D2" s="178">
        <f>INT((F2-1) * CHOOSE(MIN(ROUNDUP(F2/10,0), 6), 1.2, 1.4, 1.6, 1.8, 2, 2.2))</f>
      </c>
      <c r="E2" s="5">
        <v>1</v>
      </c>
      <c r="F2" s="5">
        <v>1</v>
      </c>
      <c r="G2" s="179" t="str">
        <v>TheCity</v>
      </c>
      <c r="H2" s="126">
        <v>1</v>
      </c>
      <c r="I2" s="126">
        <v>1</v>
      </c>
      <c r="J2" s="173">
        <v>5</v>
      </c>
      <c r="K2" s="173">
        <f>J2+(5*(I2))</f>
      </c>
      <c r="L2" s="173">
        <f>"K="&amp;ROUNDUP((M11-M2)/10,2)</f>
      </c>
      <c r="M2" s="177">
        <f>AVERAGE(J2,K2)</f>
      </c>
      <c r="N2" s="174">
        <f>AVERAGE(J2:J11)</f>
      </c>
      <c r="O2" s="180">
        <f>M2/(P2+1)</f>
      </c>
      <c r="P2" s="177">
        <f>ROUNDDOWN(AVERAGE(J2:K2)/N2,0)</f>
      </c>
      <c r="Q2" s="175">
        <f>J2/AVERAGE(RailDefinition!T:T)</f>
      </c>
      <c r="R2" s="181">
        <f>K2/AVERAGE(RailDefinition!T:T)</f>
      </c>
      <c r="S2" s="177">
        <f>AVERAGE(Q2,R2)</f>
      </c>
      <c r="T2" s="3" t="str">
        <v>✅</v>
      </c>
      <c r="U2" s="5" t="str">
        <v>新手引导：纯基础轨道，零风险，玩家熟悉操作</v>
      </c>
      <c r="V2" s="15" t="str">
        <v>起点,终点,直轨,弯轨</v>
      </c>
      <c r="W2" s="5"/>
    </row>
    <row r="3">
      <c r="A3" s="176">
        <f>E3&amp;"_"&amp;F3</f>
      </c>
      <c r="B3" s="5" t="str">
        <v>长台阶</v>
      </c>
      <c r="C3" s="5" t="str">
        <v>借另一种力量，
跨越落差。</v>
      </c>
      <c r="D3" s="178">
        <f>INT((F3-1) * CHOOSE(MIN(ROUNDUP(F3/10,0), 6), 1.2, 1.4, 1.6, 1.8, 2, 2.2))</f>
      </c>
      <c r="E3" s="5">
        <v>1</v>
      </c>
      <c r="F3" s="5">
        <v>2</v>
      </c>
      <c r="G3" s="179" t="str">
        <v>TheCity</v>
      </c>
      <c r="H3" s="126">
        <f>H2*0.8</f>
      </c>
      <c r="I3" s="126">
        <f>I2+0.5</f>
      </c>
      <c r="J3" s="173">
        <f>J2*(1+H3)</f>
      </c>
      <c r="K3" s="173">
        <f>J3+(5*(I3))</f>
      </c>
      <c r="L3" s="173">
        <f>M3-M2</f>
      </c>
      <c r="M3" s="177">
        <f>AVERAGE(J3,K3)</f>
      </c>
      <c r="N3" s="174">
        <f>N2</f>
      </c>
      <c r="O3" s="180">
        <f>M3/(P3+1)</f>
      </c>
      <c r="P3" s="177">
        <f>ROUNDDOWN(AVERAGE(J3:K3)/N3,0)</f>
      </c>
      <c r="Q3" s="175">
        <f>J3/AVERAGE(RailDefinition!T:T)</f>
      </c>
      <c r="R3" s="175">
        <f>K3/AVERAGE(RailDefinition!T:T)</f>
      </c>
      <c r="S3" s="177">
        <f>AVERAGE(Q3,R3)</f>
      </c>
      <c r="T3" s="3" t="str">
        <v>✅</v>
      </c>
      <c r="U3" s="5" t="str">
        <v>新机制：教学小球技能（必须使用才能跳过落差）</v>
      </c>
      <c r="V3" s="15" t="str">
        <v>空隙</v>
      </c>
      <c r="W3" s="5"/>
    </row>
    <row r="4">
      <c r="A4" s="176">
        <f>E4&amp;"_"&amp;F4</f>
      </c>
      <c r="B4" s="5" t="str">
        <v>老旧走廊</v>
      </c>
      <c r="C4" s="5" t="str">
        <v>石板松动，
边缘摇晃不定。</v>
      </c>
      <c r="D4" s="178">
        <f>INT((F4-1) * CHOOSE(MIN(ROUNDUP(F4/10,0), 6), 1.2, 1.4, 1.6, 1.8, 2, 2.2))</f>
      </c>
      <c r="E4" s="5">
        <v>1</v>
      </c>
      <c r="F4" s="5">
        <v>3</v>
      </c>
      <c r="G4" s="179" t="str">
        <v>TheCity</v>
      </c>
      <c r="H4" s="126">
        <f>H3*0.8</f>
      </c>
      <c r="I4" s="126">
        <f>I3+0.5</f>
      </c>
      <c r="J4" s="173">
        <f>J3*(1+H4)</f>
      </c>
      <c r="K4" s="173">
        <f>J4+(5*(I4))</f>
      </c>
      <c r="L4" s="173">
        <f>M4-M3</f>
      </c>
      <c r="M4" s="177">
        <f>AVERAGE(J4,K4)</f>
      </c>
      <c r="N4" s="174">
        <f>N3</f>
      </c>
      <c r="O4" s="180">
        <f>M4/(P4+1)</f>
      </c>
      <c r="P4" s="177">
        <f>ROUNDDOWN(AVERAGE(J4:K4)/N4,0)</f>
      </c>
      <c r="Q4" s="190">
        <f>J4/AVERAGE(RailDefinition!T:T)</f>
      </c>
      <c r="R4" s="190">
        <f>K4/AVERAGE(RailDefinition!T:T)</f>
      </c>
      <c r="S4" s="177">
        <f>AVERAGE(Q4,R4)</f>
      </c>
      <c r="T4" s="3" t="str">
        <v>✅</v>
      </c>
      <c r="U4" s="5" t="str">
        <v>新轨道：掉落边，让玩家体验风险；</v>
      </c>
      <c r="V4" s="15" t="str">
        <v>一侧边缺失</v>
      </c>
      <c r="W4" s="5"/>
    </row>
    <row r="5">
      <c r="A5" s="176">
        <f>E5&amp;"_"&amp;F5</f>
      </c>
      <c r="B5" s="5" t="str">
        <v>塔</v>
      </c>
      <c r="C5" s="5" t="str">
        <v>在节奏中旋转，
前路开启。</v>
      </c>
      <c r="D5" s="178">
        <f>INT((F5-1) * CHOOSE(MIN(ROUNDUP(F5/10,0), 6), 1.2, 1.4, 1.6, 1.8, 2, 2.2))</f>
      </c>
      <c r="E5" s="5">
        <v>1</v>
      </c>
      <c r="F5" s="5">
        <v>4</v>
      </c>
      <c r="G5" s="179" t="str">
        <v>TheCity</v>
      </c>
      <c r="H5" s="126">
        <f>H4*0.8</f>
      </c>
      <c r="I5" s="126">
        <f>I4+0.5</f>
      </c>
      <c r="J5" s="173">
        <f>J4*(1+H5)</f>
      </c>
      <c r="K5" s="173">
        <f>J5+(5*(I5))</f>
      </c>
      <c r="L5" s="173">
        <f>M5-M4</f>
      </c>
      <c r="M5" s="177">
        <f>AVERAGE(J5,K5)</f>
      </c>
      <c r="N5" s="174">
        <f>N4</f>
      </c>
      <c r="O5" s="180">
        <f>M5/(P5+1)</f>
      </c>
      <c r="P5" s="177">
        <f>ROUNDDOWN(AVERAGE(J5:K5)/N5,0)</f>
      </c>
      <c r="Q5" s="175">
        <f>J5/AVERAGE(RailDefinition!T:T)</f>
      </c>
      <c r="R5" s="175">
        <f>K5/AVERAGE(RailDefinition!T:T)</f>
      </c>
      <c r="S5" s="177">
        <f>AVERAGE(Q5,R5)</f>
      </c>
      <c r="T5" s="3" t="str">
        <v>✅</v>
      </c>
      <c r="U5" s="5" t="str">
        <v>新轨道</v>
      </c>
      <c r="V5" s="15" t="str">
        <v>空隙</v>
      </c>
      <c r="W5" s="5"/>
    </row>
    <row r="6">
      <c r="A6" s="176">
        <f>E6&amp;"_"&amp;F6</f>
      </c>
      <c r="B6" s="5" t="str">
        <v>阁楼</v>
      </c>
      <c r="C6" s="5" t="str">
        <v>升降之间，
留下短暂的通道。</v>
      </c>
      <c r="D6" s="178">
        <f>INT((F6-1) * CHOOSE(MIN(ROUNDUP(F6/10,0), 6), 1.2, 1.4, 1.6, 1.8, 2, 2.2))</f>
      </c>
      <c r="E6" s="5">
        <v>1</v>
      </c>
      <c r="F6" s="5">
        <v>5</v>
      </c>
      <c r="G6" s="179" t="str">
        <v>TheCity</v>
      </c>
      <c r="H6" s="126">
        <f>H5*0.8</f>
      </c>
      <c r="I6" s="126">
        <f>I5+0.5</f>
      </c>
      <c r="J6" s="173">
        <f>J5*(1+H6)</f>
      </c>
      <c r="K6" s="173">
        <f>J6+(5*(I6))</f>
      </c>
      <c r="L6" s="173">
        <f>M6-M5</f>
      </c>
      <c r="M6" s="177">
        <f>AVERAGE(J6,K6)</f>
      </c>
      <c r="N6" s="174">
        <f>N5</f>
      </c>
      <c r="O6" s="180">
        <f>M6/(P6+1)</f>
      </c>
      <c r="P6" s="177">
        <f>ROUNDDOWN(AVERAGE(J6:K6)/N6,0)</f>
      </c>
      <c r="Q6" s="175">
        <f>J6/AVERAGE(RailDefinition!T:T)</f>
      </c>
      <c r="R6" s="175">
        <f>K6/AVERAGE(RailDefinition!T:T)</f>
      </c>
      <c r="S6" s="177">
        <f>AVERAGE(Q6,R6)</f>
      </c>
      <c r="T6" s="3" t="str">
        <v>⭕</v>
      </c>
      <c r="U6" s="5" t="str">
        <v>新轨道</v>
      </c>
      <c r="V6" s="15" t="str">
        <v>触发电梯,轨道带洞</v>
      </c>
      <c r="W6" s="5" t="str">
        <v>电梯问题</v>
      </c>
    </row>
    <row r="7">
      <c r="A7" s="176">
        <f>E7&amp;"_"&amp;F7</f>
      </c>
      <c r="B7" s="5" t="str">
        <v>立交桥</v>
      </c>
      <c r="C7" s="5" t="str">
        <v>交错翻转，升降循环。
耐心会引向彼端。</v>
      </c>
      <c r="D7" s="178">
        <f>INT((F7-1) * CHOOSE(MIN(ROUNDUP(F7/10,0), 6), 1.2, 1.4, 1.6, 1.8, 2, 2.2))</f>
      </c>
      <c r="E7" s="5">
        <v>1</v>
      </c>
      <c r="F7" s="5">
        <v>6</v>
      </c>
      <c r="G7" s="179" t="str">
        <v>TheCity</v>
      </c>
      <c r="H7" s="126">
        <f>H6*0.8</f>
      </c>
      <c r="I7" s="126">
        <f>I6+0.5</f>
      </c>
      <c r="J7" s="173">
        <f>J6*(1+H7)</f>
      </c>
      <c r="K7" s="173">
        <f>J7+(5*(I7))</f>
      </c>
      <c r="L7" s="173">
        <f>M7-M6</f>
      </c>
      <c r="M7" s="177">
        <f>AVERAGE(J7,K7)</f>
      </c>
      <c r="N7" s="174">
        <f>N6</f>
      </c>
      <c r="O7" s="180">
        <f>M7/(P7+1)</f>
      </c>
      <c r="P7" s="177">
        <f>ROUNDDOWN(AVERAGE(J7:K7)/N7,0)</f>
      </c>
      <c r="Q7" s="175">
        <f>J7/AVERAGE(RailDefinition!T:T)</f>
      </c>
      <c r="R7" s="175">
        <f>K7/AVERAGE(RailDefinition!T:T)</f>
      </c>
      <c r="S7" s="177">
        <f>AVERAGE(Q7,R7)</f>
      </c>
      <c r="T7" s="3" t="str">
        <v>⭕</v>
      </c>
      <c r="U7" s="5" t="str">
        <v>新轨道</v>
      </c>
      <c r="V7" s="15" t="str">
        <v>颠簸,旋转电梯</v>
      </c>
      <c r="W7" s="5" t="str">
        <v>电梯问题</v>
      </c>
    </row>
    <row r="8">
      <c r="A8" s="176">
        <f>E8&amp;"_"&amp;F8</f>
      </c>
      <c r="B8" s="5" t="str">
        <v>天空</v>
      </c>
      <c r="C8" s="5" t="str">
        <v>节奏与重心交织。
顺势而下，或偏离正途。</v>
      </c>
      <c r="D8" s="178">
        <f>INT((F8-1) * CHOOSE(MIN(ROUNDUP(F8/10,0), 6), 1.2, 1.4, 1.6, 1.8, 2, 2.2))</f>
      </c>
      <c r="E8" s="5">
        <v>1</v>
      </c>
      <c r="F8" s="5">
        <v>7</v>
      </c>
      <c r="G8" s="179" t="str">
        <v>TheCity</v>
      </c>
      <c r="H8" s="126">
        <f>H7*0.8</f>
      </c>
      <c r="I8" s="126">
        <f>I7+0.5</f>
      </c>
      <c r="J8" s="173">
        <f>J7*(1+H8)</f>
      </c>
      <c r="K8" s="173">
        <f>J8+(5*(I8))</f>
      </c>
      <c r="L8" s="173">
        <f>M8-M7</f>
      </c>
      <c r="M8" s="177">
        <f>AVERAGE(J8,K8)</f>
      </c>
      <c r="N8" s="174">
        <f>N7</f>
      </c>
      <c r="O8" s="180">
        <f>M8/(P8+1)</f>
      </c>
      <c r="P8" s="177">
        <f>ROUNDDOWN(AVERAGE(J8:K8)/N8,0)</f>
      </c>
      <c r="Q8" s="175">
        <f>J8/AVERAGE(RailDefinition!T:T)</f>
      </c>
      <c r="R8" s="175">
        <f>K8/AVERAGE(RailDefinition!T:T)</f>
      </c>
      <c r="S8" s="177">
        <f>AVERAGE(Q8,R8)</f>
      </c>
      <c r="T8" s="3" t="str">
        <v>✅</v>
      </c>
      <c r="U8" s="5" t="str">
        <v>复习深化：跷跷板与闸门配合，测试玩家对平衡和节奏的理解</v>
      </c>
      <c r="V8" s="15"/>
      <c r="W8" s="5"/>
    </row>
    <row r="9">
      <c r="A9" s="176">
        <f>E9&amp;"_"&amp;F9</f>
      </c>
      <c r="B9" s="5" t="str">
        <v>螺旋交织</v>
      </c>
      <c r="C9" s="5" t="str">
        <v>无尽螺旋，回转交错。
唯有小心，得以通过。</v>
      </c>
      <c r="D9" s="178">
        <f>INT((F9-1) * CHOOSE(MIN(ROUNDUP(F9/10,0), 6), 1.2, 1.4, 1.6, 1.8, 2, 2.2))</f>
      </c>
      <c r="E9" s="5">
        <v>1</v>
      </c>
      <c r="F9" s="5">
        <v>8</v>
      </c>
      <c r="G9" s="179" t="str">
        <v>TheCity</v>
      </c>
      <c r="H9" s="126">
        <f>H8*0.8</f>
      </c>
      <c r="I9" s="126">
        <f>I8+0.5</f>
      </c>
      <c r="J9" s="173">
        <f>J8*(1+H9)</f>
      </c>
      <c r="K9" s="173">
        <f>J9+(5*(I9))</f>
      </c>
      <c r="L9" s="173">
        <f>M9-M8</f>
      </c>
      <c r="M9" s="177">
        <f>AVERAGE(J9,K9)</f>
      </c>
      <c r="N9" s="174">
        <f>N8</f>
      </c>
      <c r="O9" s="180">
        <f>M9/(P9+1)</f>
      </c>
      <c r="P9" s="177">
        <f>ROUNDDOWN(AVERAGE(J9:K9)/N9,0)</f>
      </c>
      <c r="Q9" s="175">
        <f>J9/AVERAGE(RailDefinition!T:T)</f>
      </c>
      <c r="R9" s="175">
        <f>K9/AVERAGE(RailDefinition!T:T)</f>
      </c>
      <c r="S9" s="177">
        <f>AVERAGE(Q9,R9)</f>
      </c>
      <c r="T9" s="3" t="str">
        <v>✅</v>
      </c>
      <c r="U9" s="5" t="str">
        <v>新机制：全边掉落风险（高压通道）；复习：翻板门+闸门</v>
      </c>
      <c r="V9" s="15"/>
      <c r="W9" s="5"/>
    </row>
    <row r="10">
      <c r="A10" s="176">
        <f>E10&amp;"_"&amp;F10</f>
      </c>
      <c r="B10" s="5" t="str">
        <v>等待悬桥</v>
      </c>
      <c r="C10" s="5" t="str">
        <v>悬桥往返，边缘摇晃。
穿行其中，不许犹豫。</v>
      </c>
      <c r="D10" s="178">
        <f>INT((F10-1) * CHOOSE(MIN(ROUNDUP(F10/10,0), 6), 1.2, 1.4, 1.6, 1.8, 2, 2.2))</f>
      </c>
      <c r="E10" s="5">
        <v>1</v>
      </c>
      <c r="F10" s="5">
        <v>9</v>
      </c>
      <c r="G10" s="179" t="str">
        <v>TheCity</v>
      </c>
      <c r="H10" s="126">
        <f>H9*0.8</f>
      </c>
      <c r="I10" s="126">
        <f>I9+0.5</f>
      </c>
      <c r="J10" s="173">
        <f>J9*(1+H10)</f>
      </c>
      <c r="K10" s="173">
        <f>J10+(5*(I10))</f>
      </c>
      <c r="L10" s="173">
        <f>M10-M9</f>
      </c>
      <c r="M10" s="177">
        <f>AVERAGE(J10,K10)</f>
      </c>
      <c r="N10" s="191">
        <f>N9</f>
      </c>
      <c r="O10" s="180">
        <f>M10/(P10+1)</f>
      </c>
      <c r="P10" s="177">
        <f>ROUNDDOWN(AVERAGE(J10:K10)/N10,0)</f>
      </c>
      <c r="Q10" s="175">
        <f>J10/AVERAGE(RailDefinition!T:T)</f>
      </c>
      <c r="R10" s="175">
        <f>K10/AVERAGE(RailDefinition!T:T)</f>
      </c>
      <c r="S10" s="177">
        <f>AVERAGE(Q10,R10)</f>
      </c>
      <c r="T10" s="3" t="str">
        <v>⭕</v>
      </c>
      <c r="U10" s="5" t="str">
        <v>复习整合：所有机关 + 掉落风险叠加，压力测试</v>
      </c>
      <c r="V10" s="15"/>
      <c r="W10" s="5" t="str">
        <v>电梯问题</v>
      </c>
    </row>
    <row r="11">
      <c r="A11" s="176">
        <f>E11&amp;"_"&amp;F11</f>
      </c>
      <c r="B11" s="5" t="str">
        <v>广场</v>
      </c>
      <c r="C11" s="5" t="str">
        <v>所有的声响汇聚于此，灯火交错。
唯有穿越混乱，街区方能重生。</v>
      </c>
      <c r="D11" s="178">
        <f>INT((F11-1) * CHOOSE(MIN(ROUNDUP(F11/10,0), 6), 1.2, 1.4, 1.6, 1.8, 2, 2.2))</f>
      </c>
      <c r="E11" s="5">
        <v>1</v>
      </c>
      <c r="F11" s="5">
        <v>10</v>
      </c>
      <c r="G11" s="179" t="str">
        <v>TheCity</v>
      </c>
      <c r="H11" s="126">
        <f>H10*0.8</f>
      </c>
      <c r="I11" s="126">
        <f>I10+0.5</f>
      </c>
      <c r="J11" s="173">
        <f>J10*(1+H11)</f>
      </c>
      <c r="K11" s="173">
        <f>J11+(5*(I11))</f>
      </c>
      <c r="L11" s="173">
        <f>M11-M10</f>
      </c>
      <c r="M11" s="177">
        <f>AVERAGE(J11,K11)</f>
      </c>
      <c r="N11" s="174">
        <f>N10</f>
      </c>
      <c r="O11" s="180">
        <f>M11/(P11+1)</f>
      </c>
      <c r="P11" s="177">
        <f>ROUNDDOWN(AVERAGE(J11:K11)/N11,0)</f>
      </c>
      <c r="Q11" s="175">
        <f>J11/AVERAGE(RailDefinition!T:T)</f>
      </c>
      <c r="R11" s="175">
        <f>K11/AVERAGE(RailDefinition!T:T)</f>
      </c>
      <c r="S11" s="177">
        <f>AVERAGE(Q11,R11)</f>
      </c>
      <c r="T11" s="3" t="str">
        <v>⭕</v>
      </c>
      <c r="U11" s="5" t="str">
        <v>综合考验：平衡+机关+掉落风险，整合前9关全部元素</v>
      </c>
      <c r="V11" s="15"/>
      <c r="W11" s="5"/>
    </row>
    <row r="12">
      <c r="A12" s="176">
        <f>E12&amp;"_"&amp;F12</f>
      </c>
      <c r="B12" s="172" t="str">
        <v>崩落</v>
      </c>
      <c r="C12" s="172" t="str">
        <v>旧日矿道脆弱无声，忽而震动。</v>
      </c>
      <c r="D12" s="178">
        <f>INT((F12-1) * CHOOSE(MIN(ROUNDUP(F12/10,0), 6), 1.2, 1.4, 1.6, 1.8, 2, 2.2))</f>
      </c>
      <c r="E12" s="172">
        <v>2</v>
      </c>
      <c r="F12" s="5">
        <v>11</v>
      </c>
      <c r="G12" s="179" t="str">
        <v>TheMine</v>
      </c>
      <c r="H12" s="126">
        <f>H3</f>
      </c>
      <c r="I12" s="126">
        <v>1</v>
      </c>
      <c r="J12" s="173">
        <f>J3</f>
      </c>
      <c r="K12" s="173">
        <f>J12+(5*(I12))</f>
      </c>
      <c r="L12" s="173">
        <f>"K="&amp;ROUNDUP((M21-M12)/10,2)</f>
      </c>
      <c r="M12" s="177">
        <f>AVERAGE(J12,K12)</f>
      </c>
      <c r="N12" s="174">
        <f>AVERAGE(J12:J21,J2:J11)</f>
      </c>
      <c r="O12" s="180">
        <f>M12/(P12+1)</f>
      </c>
      <c r="P12" s="177">
        <f>ROUNDDOWN(AVERAGE(J12:K12)/N12,0)</f>
      </c>
      <c r="Q12" s="175">
        <f>J12/AVERAGE(RailDefinition!T:T)</f>
      </c>
      <c r="R12" s="175">
        <f>K12/AVERAGE(RailDefinition!T:T)</f>
      </c>
      <c r="S12" s="177">
        <f>AVERAGE(Q12,R12)</f>
      </c>
      <c r="T12" s="3"/>
      <c r="U12" s="172" t="str">
        <v>新世界主题：矿洞摇晃 / 掉石引入</v>
      </c>
      <c r="V12" s="15"/>
    </row>
    <row r="13">
      <c r="A13" s="176">
        <f>E13&amp;"_"&amp;F13</f>
      </c>
      <c r="B13" s="172" t="str">
        <v>狭缝</v>
      </c>
      <c r="C13" s="172" t="str">
        <v>窄道贴壁而行，光线被吞没。</v>
      </c>
      <c r="D13" s="178">
        <f>INT((F13-1) * CHOOSE(MIN(ROUNDUP(F13/10,0), 6), 1.2, 1.4, 1.6, 1.8, 2, 2.2))</f>
      </c>
      <c r="E13" s="172">
        <v>2</v>
      </c>
      <c r="F13" s="5">
        <v>12</v>
      </c>
      <c r="G13" s="179" t="str">
        <v>TheMine</v>
      </c>
      <c r="H13" s="126">
        <f>H12*0.81</f>
      </c>
      <c r="I13" s="126">
        <f>I12+0.5</f>
      </c>
      <c r="J13" s="173">
        <f>J12*(1+H13)</f>
      </c>
      <c r="K13" s="173">
        <f>J13+(5*(I13))</f>
      </c>
      <c r="L13" s="173">
        <f>M13-M12</f>
      </c>
      <c r="M13" s="177">
        <f>AVERAGE(J13,K13)</f>
      </c>
      <c r="N13" s="174">
        <f>N12</f>
      </c>
      <c r="O13" s="180">
        <f>M13/(P13+1)</f>
      </c>
      <c r="P13" s="177">
        <f>ROUNDDOWN(AVERAGE(J13:K13)/N13,0)</f>
      </c>
      <c r="Q13" s="175">
        <f>J13/AVERAGE(RailDefinition!T:T)</f>
      </c>
      <c r="R13" s="175">
        <f>K13/AVERAGE(RailDefinition!T:T)</f>
      </c>
      <c r="S13" s="177">
        <f>AVERAGE(Q13,R13)</f>
      </c>
      <c r="T13" s="3"/>
      <c r="U13" s="172" t="str">
        <v>窄缝式贴边道：训练精度</v>
      </c>
      <c r="V13" s="15"/>
    </row>
    <row r="14">
      <c r="A14" s="176">
        <f>E14&amp;"_"&amp;F14</f>
      </c>
      <c r="B14" s="172" t="str">
        <v>滑轨矿车道</v>
      </c>
      <c r="C14" s="172" t="str">
        <v>废弃矿车轨道仍带着惯性。</v>
      </c>
      <c r="D14" s="178">
        <f>INT((F14-1) * CHOOSE(MIN(ROUNDUP(F14/10,0), 6), 1.2, 1.4, 1.6, 1.8, 2, 2.2))</f>
      </c>
      <c r="E14" s="172">
        <v>2</v>
      </c>
      <c r="F14" s="5">
        <v>13</v>
      </c>
      <c r="G14" s="179" t="str">
        <v>TheMine</v>
      </c>
      <c r="H14" s="126">
        <f>H13*0.81</f>
      </c>
      <c r="I14" s="126">
        <f>I13+0.5</f>
      </c>
      <c r="J14" s="173">
        <f>J13*(1+H14)</f>
      </c>
      <c r="K14" s="173">
        <f>J14+(5*(I14))</f>
      </c>
      <c r="L14" s="173">
        <f>M14-M13</f>
      </c>
      <c r="M14" s="177">
        <f>AVERAGE(J14,K14)</f>
      </c>
      <c r="N14" s="174">
        <f>N13</f>
      </c>
      <c r="O14" s="180">
        <f>M14/(P14+1)</f>
      </c>
      <c r="P14" s="177">
        <f>ROUNDDOWN(AVERAGE(J14:K14)/N14,0)</f>
      </c>
      <c r="Q14" s="175">
        <f>J14/AVERAGE(RailDefinition!T:T)</f>
      </c>
      <c r="R14" s="175">
        <f>K14/AVERAGE(RailDefinition!T:T)</f>
      </c>
      <c r="S14" s="177">
        <f>AVERAGE(Q14,R14)</f>
      </c>
      <c r="T14" s="3"/>
      <c r="U14" s="172" t="str">
        <v>新机制：滑轨自动滑行</v>
      </c>
      <c r="V14" s="15"/>
    </row>
    <row r="15">
      <c r="A15" s="176">
        <f>E15&amp;"_"&amp;F15</f>
      </c>
      <c r="B15" s="172" t="str">
        <v>坑口回声</v>
      </c>
      <c r="C15" s="172" t="str">
        <v>深坑回声回荡，仿佛在呼唤。</v>
      </c>
      <c r="D15" s="178">
        <f>INT((F15-1) * CHOOSE(MIN(ROUNDUP(F15/10,0), 6), 1.2, 1.4, 1.6, 1.8, 2, 2.2))</f>
      </c>
      <c r="E15" s="172">
        <v>2</v>
      </c>
      <c r="F15" s="5">
        <v>14</v>
      </c>
      <c r="G15" s="179" t="str">
        <v>TheMine</v>
      </c>
      <c r="H15" s="126">
        <f>H14*0.81</f>
      </c>
      <c r="I15" s="126">
        <f>I14+0.5</f>
      </c>
      <c r="J15" s="173">
        <f>J14*(1+H15)</f>
      </c>
      <c r="K15" s="173">
        <f>J15+(5*(I15))</f>
      </c>
      <c r="L15" s="173">
        <f>M15-M14</f>
      </c>
      <c r="M15" s="177">
        <f>AVERAGE(J15,K15)</f>
      </c>
      <c r="N15" s="191">
        <f>N14</f>
      </c>
      <c r="O15" s="180">
        <f>M15/(P15+1)</f>
      </c>
      <c r="P15" s="177">
        <f>ROUNDDOWN(AVERAGE(J15:K15)/N15,0)</f>
      </c>
      <c r="Q15" s="175">
        <f>J15/AVERAGE(RailDefinition!T:T)</f>
      </c>
      <c r="R15" s="175">
        <f>K15/AVERAGE(RailDefinition!T:T)</f>
      </c>
      <c r="S15" s="177">
        <f>AVERAGE(Q15,R15)</f>
      </c>
      <c r="T15" s="3"/>
      <c r="U15" s="172" t="str">
        <v>多层落差：节奏落差训练</v>
      </c>
      <c r="V15" s="15"/>
    </row>
    <row r="16">
      <c r="A16" s="176">
        <f>E16&amp;"_"&amp;F16</f>
      </c>
      <c r="B16" s="172" t="str">
        <v>支撑木桩</v>
      </c>
      <c r="C16" s="172" t="str">
        <v>木桩吱呀作响，承载着未知。</v>
      </c>
      <c r="D16" s="178">
        <f>INT((F16-1) * CHOOSE(MIN(ROUNDUP(F16/10,0), 6), 1.2, 1.4, 1.6, 1.8, 2, 2.2))</f>
      </c>
      <c r="E16" s="172">
        <v>2</v>
      </c>
      <c r="F16" s="5">
        <v>15</v>
      </c>
      <c r="G16" s="179" t="str">
        <v>TheMine</v>
      </c>
      <c r="H16" s="126">
        <f>H15*0.81</f>
      </c>
      <c r="I16" s="126">
        <f>I15+0.5</f>
      </c>
      <c r="J16" s="173">
        <f>J15*(1+H16)</f>
      </c>
      <c r="K16" s="173">
        <f>J16+(5*(I16))</f>
      </c>
      <c r="L16" s="173">
        <f>M16-M15</f>
      </c>
      <c r="M16" s="177">
        <f>AVERAGE(J16,K16)</f>
      </c>
      <c r="N16" s="174">
        <f>N15</f>
      </c>
      <c r="O16" s="180">
        <f>M16/(P16+1)</f>
      </c>
      <c r="P16" s="177">
        <f>ROUNDDOWN(AVERAGE(J16:K16)/N16,0)</f>
      </c>
      <c r="Q16" s="175">
        <f>J16/AVERAGE(RailDefinition!T:T)</f>
      </c>
      <c r="R16" s="175">
        <f>K16/AVERAGE(RailDefinition!T:T)</f>
      </c>
      <c r="S16" s="177">
        <f>AVERAGE(Q16,R16)</f>
      </c>
      <c r="T16" s="3"/>
      <c r="U16" s="172" t="str">
        <v>塌陷踏板（周期消失）</v>
      </c>
      <c r="V16" s="15"/>
    </row>
    <row r="17">
      <c r="A17" s="176">
        <f>E17&amp;"_"&amp;F17</f>
      </c>
      <c r="B17" s="172" t="str">
        <v>抽矿升降台</v>
      </c>
      <c r="C17" s="172" t="str">
        <v>升降节奏左右决定前路。</v>
      </c>
      <c r="D17" s="178">
        <f>INT((F17-1) * CHOOSE(MIN(ROUNDUP(F17/10,0), 6), 1.2, 1.4, 1.6, 1.8, 2, 2.2))</f>
      </c>
      <c r="E17" s="172">
        <v>2</v>
      </c>
      <c r="F17" s="5">
        <v>16</v>
      </c>
      <c r="G17" s="179" t="str">
        <v>TheMine</v>
      </c>
      <c r="H17" s="126">
        <f>H16*0.81</f>
      </c>
      <c r="I17" s="126">
        <f>I16+0.5</f>
      </c>
      <c r="J17" s="173">
        <f>J16*(1+H17)</f>
      </c>
      <c r="K17" s="173">
        <f>J17+(5*(I17))</f>
      </c>
      <c r="L17" s="173">
        <f>M17-M16</f>
      </c>
      <c r="M17" s="177">
        <f>AVERAGE(J17,K17)</f>
      </c>
      <c r="N17" s="174">
        <f>N16</f>
      </c>
      <c r="O17" s="180">
        <f>M17/(P17+1)</f>
      </c>
      <c r="P17" s="177">
        <f>ROUNDDOWN(AVERAGE(J17:K17)/N17,0)</f>
      </c>
      <c r="Q17" s="175">
        <f>J17/AVERAGE(RailDefinition!T:T)</f>
      </c>
      <c r="R17" s="175">
        <f>K17/AVERAGE(RailDefinition!T:T)</f>
      </c>
      <c r="S17" s="177">
        <f>AVERAGE(Q17,R17)</f>
      </c>
      <c r="T17" s="3"/>
      <c r="U17" s="172" t="str">
        <v>升降节奏门</v>
      </c>
      <c r="V17" s="15"/>
    </row>
    <row r="18">
      <c r="A18" s="176">
        <f>E18&amp;"_"&amp;F18</f>
      </c>
      <c r="B18" s="172" t="str">
        <v>异响通道</v>
      </c>
      <c r="C18" s="172" t="str">
        <v>每一次脉动，都让前路摇晃。</v>
      </c>
      <c r="D18" s="178">
        <f>INT((F18-1) * CHOOSE(MIN(ROUNDUP(F18/10,0), 6), 1.2, 1.4, 1.6, 1.8, 2, 2.2))</f>
      </c>
      <c r="E18" s="172">
        <v>2</v>
      </c>
      <c r="F18" s="5">
        <v>17</v>
      </c>
      <c r="G18" s="179" t="str">
        <v>TheMine</v>
      </c>
      <c r="H18" s="126">
        <f>H17*0.81</f>
      </c>
      <c r="I18" s="126">
        <f>I17+0.5</f>
      </c>
      <c r="J18" s="173">
        <f>J17*(1+H18)</f>
      </c>
      <c r="K18" s="173">
        <f>J18+(5*(I18))</f>
      </c>
      <c r="L18" s="173">
        <f>M18-M17</f>
      </c>
      <c r="M18" s="177">
        <f>AVERAGE(J18,K18)</f>
      </c>
      <c r="N18" s="174">
        <f>N17</f>
      </c>
      <c r="O18" s="180">
        <f>M18/(P18+1)</f>
      </c>
      <c r="P18" s="177">
        <f>ROUNDDOWN(AVERAGE(J18:K18)/N18,0)</f>
      </c>
      <c r="Q18" s="175">
        <f>J18/AVERAGE(RailDefinition!T:T)</f>
      </c>
      <c r="R18" s="175">
        <f>K18/AVERAGE(RailDefinition!T:T)</f>
      </c>
      <c r="S18" s="177">
        <f>AVERAGE(Q18,R18)</f>
      </c>
      <c r="T18" s="3"/>
      <c r="U18" s="172" t="str">
        <v>掉石＋节奏升降复合</v>
      </c>
      <c r="V18" s="15"/>
    </row>
    <row r="19">
      <c r="A19" s="176">
        <f>E19&amp;"_"&amp;F19</f>
      </c>
      <c r="B19" s="172" t="str">
        <v>断裂矿链</v>
      </c>
      <c r="C19" s="172" t="str">
        <v>链条张力不稳，晃动永不停息。</v>
      </c>
      <c r="D19" s="178">
        <f>INT((F19-1) * CHOOSE(MIN(ROUNDUP(F19/10,0), 6), 1.2, 1.4, 1.6, 1.8, 2, 2.2))</f>
      </c>
      <c r="E19" s="172">
        <v>2</v>
      </c>
      <c r="F19" s="5">
        <v>18</v>
      </c>
      <c r="G19" s="179" t="str">
        <v>TheMine</v>
      </c>
      <c r="H19" s="126">
        <f>H18*0.81</f>
      </c>
      <c r="I19" s="126">
        <f>I18+0.5</f>
      </c>
      <c r="J19" s="173">
        <f>J18*(1+H19)</f>
      </c>
      <c r="K19" s="173">
        <f>J19+(5*(I19))</f>
      </c>
      <c r="L19" s="173">
        <f>M19-M18</f>
      </c>
      <c r="M19" s="177">
        <f>AVERAGE(J19,K19)</f>
      </c>
      <c r="N19" s="174">
        <f>N18</f>
      </c>
      <c r="O19" s="180">
        <f>M19/(P19+1)</f>
      </c>
      <c r="P19" s="177">
        <f>ROUNDDOWN(AVERAGE(J19:K19)/N19,0)</f>
      </c>
      <c r="Q19" s="175">
        <f>J19/AVERAGE(RailDefinition!T:T)</f>
      </c>
      <c r="R19" s="175">
        <f>K19/AVERAGE(RailDefinition!T:T)</f>
      </c>
      <c r="S19" s="177">
        <f>AVERAGE(Q19,R19)</f>
      </c>
      <c r="T19" s="3"/>
      <c r="U19" s="172" t="str">
        <v>晃动吊桥</v>
      </c>
      <c r="V19" s="15"/>
    </row>
    <row r="20">
      <c r="A20" s="176">
        <f>E20&amp;"_"&amp;F20</f>
      </c>
      <c r="B20" s="172" t="str">
        <v>三叉矿洞</v>
      </c>
      <c r="C20" s="172" t="str">
        <v>矿脉分裂为三，
唯有判断能通行。</v>
      </c>
      <c r="D20" s="178">
        <f>INT((F20-1) * CHOOSE(MIN(ROUNDUP(F20/10,0), 6), 1.2, 1.4, 1.6, 1.8, 2, 2.2))</f>
      </c>
      <c r="E20" s="172">
        <v>2</v>
      </c>
      <c r="F20" s="5">
        <v>19</v>
      </c>
      <c r="G20" s="179" t="str">
        <v>TheMine</v>
      </c>
      <c r="H20" s="126">
        <f>H19*0.81</f>
      </c>
      <c r="I20" s="126">
        <f>I19+0.5</f>
      </c>
      <c r="J20" s="173">
        <f>J19*(1+H20)</f>
      </c>
      <c r="K20" s="173">
        <f>J20+(5*(I20))</f>
      </c>
      <c r="L20" s="173">
        <f>M20-M19</f>
      </c>
      <c r="M20" s="177">
        <f>AVERAGE(J20,K20)</f>
      </c>
      <c r="N20" s="174">
        <f>N19</f>
      </c>
      <c r="O20" s="180">
        <f>M20/(P20+1)</f>
      </c>
      <c r="P20" s="177">
        <f>ROUNDDOWN(AVERAGE(J20:K20)/N20,0)</f>
      </c>
      <c r="Q20" s="175">
        <f>J20/AVERAGE(RailDefinition!T:T)</f>
      </c>
      <c r="R20" s="175">
        <f>K20/AVERAGE(RailDefinition!T:T)</f>
      </c>
      <c r="S20" s="177">
        <f>AVERAGE(Q20,R20)</f>
      </c>
      <c r="T20" s="3"/>
      <c r="U20" s="172" t="str">
        <v>多分支选择</v>
      </c>
      <c r="V20" s="15"/>
    </row>
    <row r="21">
      <c r="A21" s="176">
        <f>E21&amp;"_"&amp;F21</f>
      </c>
      <c r="B21" s="172" t="str">
        <v>深井坠鸣</v>
      </c>
      <c r="C21" s="172" t="str">
        <v>井口回声震耳，
黑暗在下方张开。</v>
      </c>
      <c r="D21" s="178">
        <f>INT((F21-1) * CHOOSE(MIN(ROUNDUP(F21/10,0), 6), 1.2, 1.4, 1.6, 1.8, 2, 2.2))</f>
      </c>
      <c r="E21" s="172">
        <v>2</v>
      </c>
      <c r="F21" s="5">
        <v>20</v>
      </c>
      <c r="G21" s="179" t="str">
        <v>TheMine</v>
      </c>
      <c r="H21" s="126">
        <f>H20*0.81</f>
      </c>
      <c r="I21" s="126">
        <f>I20+0.5</f>
      </c>
      <c r="J21" s="173">
        <f>J20*(1+H21)</f>
      </c>
      <c r="K21" s="173">
        <f>J21+(5*(I21))</f>
      </c>
      <c r="L21" s="173">
        <f>M21-M20</f>
      </c>
      <c r="M21" s="177">
        <f>AVERAGE(J21,K21)</f>
      </c>
      <c r="N21" s="174">
        <f>N20</f>
      </c>
      <c r="O21" s="180">
        <f>M21/(P21+1)</f>
      </c>
      <c r="P21" s="177">
        <f>ROUNDDOWN(AVERAGE(J21:K21)/N21,0)</f>
      </c>
      <c r="Q21" s="175">
        <f>J21/AVERAGE(RailDefinition!T:T)</f>
      </c>
      <c r="R21" s="175">
        <f>K21/AVERAGE(RailDefinition!T:T)</f>
      </c>
      <c r="S21" s="177">
        <f>AVERAGE(Q21,R21)</f>
      </c>
      <c r="T21" s="3"/>
      <c r="U21" s="172" t="str">
        <v>Boss：整合所有矿洞机制</v>
      </c>
      <c r="V21" s="15"/>
    </row>
    <row r="22">
      <c r="A22" s="176">
        <f>E22&amp;"_"&amp;F22</f>
      </c>
      <c r="B22" s="172" t="str">
        <v>海风入口</v>
      </c>
      <c r="C22" s="172" t="str">
        <v>海风推搡着小球，路面湿滑。</v>
      </c>
      <c r="D22" s="178">
        <f>INT((F22-1) * CHOOSE(MIN(ROUNDUP(F22/10,0), 6), 1.2, 1.4, 1.6, 1.8, 2, 2.2))</f>
      </c>
      <c r="E22" s="172">
        <v>3</v>
      </c>
      <c r="F22" s="5">
        <v>21</v>
      </c>
      <c r="G22" s="179" t="str">
        <v>TheIsland</v>
      </c>
      <c r="H22" s="126">
        <f>H13</f>
      </c>
      <c r="I22" s="126">
        <v>1</v>
      </c>
      <c r="J22" s="173">
        <f>J13</f>
      </c>
      <c r="K22" s="173">
        <f>J22+(5*(I22))</f>
      </c>
      <c r="L22" s="173">
        <f>"K="&amp;ROUNDUP((M31-M22)/10,2)</f>
      </c>
      <c r="M22" s="177">
        <f>AVERAGE(J22,K22)</f>
      </c>
      <c r="N22" s="174">
        <f>AVERAGE(J22:J31,J12:J21,J2:J11)</f>
      </c>
      <c r="O22" s="180">
        <f>M22/(P22+1)</f>
      </c>
      <c r="P22" s="177">
        <f>ROUNDDOWN(AVERAGE(J22:K22)/N22,0)</f>
      </c>
      <c r="Q22" s="175">
        <f>J22/AVERAGE(RailDefinition!T:T)</f>
      </c>
      <c r="R22" s="175">
        <f>K22/AVERAGE(RailDefinition!T:T)</f>
      </c>
      <c r="S22" s="177">
        <f>AVERAGE(Q22,R22)</f>
      </c>
      <c r="T22" s="3"/>
      <c r="U22" s="172" t="str">
        <v>新主题：风力＋湿滑地面</v>
      </c>
      <c r="V22" s="15"/>
    </row>
    <row r="23">
      <c r="A23" s="176">
        <f>E23&amp;"_"&amp;F23</f>
      </c>
      <c r="B23" s="172" t="str">
        <v>浮桥</v>
      </c>
      <c r="C23" s="172" t="str">
        <v>浮桥随浪轻晃，需要跟随节奏。</v>
      </c>
      <c r="D23" s="178">
        <f>INT((F23-1) * CHOOSE(MIN(ROUNDUP(F23/10,0), 6), 1.2, 1.4, 1.6, 1.8, 2, 2.2))</f>
      </c>
      <c r="E23" s="172">
        <v>3</v>
      </c>
      <c r="F23" s="5">
        <v>22</v>
      </c>
      <c r="G23" s="179" t="str">
        <v>TheIsland</v>
      </c>
      <c r="H23" s="126">
        <f>H22*0.82</f>
      </c>
      <c r="I23" s="126">
        <f>I22+0.5</f>
      </c>
      <c r="J23" s="173">
        <f>J22*(1+H23)</f>
      </c>
      <c r="K23" s="173">
        <f>J23+(5*(I23))</f>
      </c>
      <c r="L23" s="173">
        <f>M23-M22</f>
      </c>
      <c r="M23" s="177">
        <f>AVERAGE(J23,K23)</f>
      </c>
      <c r="N23" s="174">
        <f>N22</f>
      </c>
      <c r="O23" s="180">
        <f>M23/(P23+1)</f>
      </c>
      <c r="P23" s="177">
        <f>ROUNDDOWN(AVERAGE(J23:K23)/N23,0)</f>
      </c>
      <c r="Q23" s="175">
        <f>J23/AVERAGE(RailDefinition!T:T)</f>
      </c>
      <c r="R23" s="175">
        <f>K23/AVERAGE(RailDefinition!T:T)</f>
      </c>
      <c r="S23" s="177">
        <f>AVERAGE(Q23,R23)</f>
      </c>
      <c r="T23" s="3"/>
      <c r="U23" s="172" t="str">
        <v>新机关：轻摆平台</v>
      </c>
      <c r="V23" s="15"/>
    </row>
    <row r="24">
      <c r="A24" s="176">
        <f>E24&amp;"_"&amp;F24</f>
      </c>
      <c r="B24" s="172" t="str">
        <v>湿石坡</v>
      </c>
      <c r="C24" s="172" t="str">
        <v>潮气爬满石坡，难以止滑。</v>
      </c>
      <c r="D24" s="178">
        <f>INT((F24-1) * CHOOSE(MIN(ROUNDUP(F24/10,0), 6), 1.2, 1.4, 1.6, 1.8, 2, 2.2))</f>
      </c>
      <c r="E24" s="172">
        <v>3</v>
      </c>
      <c r="F24" s="5">
        <v>23</v>
      </c>
      <c r="G24" s="179" t="str">
        <v>TheIsland</v>
      </c>
      <c r="H24" s="126">
        <f>H23*0.82</f>
      </c>
      <c r="I24" s="126">
        <f>I23+0.5</f>
      </c>
      <c r="J24" s="173">
        <f>J23*(1+H24)</f>
      </c>
      <c r="K24" s="173">
        <f>J24+(5*(I24))</f>
      </c>
      <c r="L24" s="173">
        <f>M24-M23</f>
      </c>
      <c r="M24" s="177">
        <f>AVERAGE(J24,K24)</f>
      </c>
      <c r="N24" s="174">
        <f>N23</f>
      </c>
      <c r="O24" s="180">
        <f>M24/(P24+1)</f>
      </c>
      <c r="P24" s="177">
        <f>ROUNDDOWN(AVERAGE(J24:K24)/N24,0)</f>
      </c>
      <c r="Q24" s="175">
        <f>J24/AVERAGE(RailDefinition!T:T)</f>
      </c>
      <c r="R24" s="175">
        <f>K24/AVERAGE(RailDefinition!T:T)</f>
      </c>
      <c r="S24" s="177">
        <f>AVERAGE(Q24,R24)</f>
      </c>
      <c r="T24" s="3"/>
      <c r="U24" s="172" t="str">
        <v>新机制：低摩擦坡面</v>
      </c>
      <c r="V24" s="15"/>
    </row>
    <row r="25">
      <c r="A25" s="176">
        <f>E25&amp;"_"&amp;F25</f>
      </c>
      <c r="B25" s="172" t="str">
        <v>风眼</v>
      </c>
      <c r="C25" s="172" t="str">
        <v>风在峡谷间加速，
推你偏离轨迹。</v>
      </c>
      <c r="D25" s="178">
        <f>INT((F25-1) * CHOOSE(MIN(ROUNDUP(F25/10,0), 6), 1.2, 1.4, 1.6, 1.8, 2, 2.2))</f>
      </c>
      <c r="E25" s="172">
        <v>3</v>
      </c>
      <c r="F25" s="5">
        <v>24</v>
      </c>
      <c r="G25" s="179" t="str">
        <v>TheIsland</v>
      </c>
      <c r="H25" s="126">
        <f>H24*0.82</f>
      </c>
      <c r="I25" s="126">
        <f>I24+0.5</f>
      </c>
      <c r="J25" s="173">
        <f>J24*(1+H25)</f>
      </c>
      <c r="K25" s="173">
        <f>J25+(5*(I25))</f>
      </c>
      <c r="L25" s="173">
        <f>M25-M24</f>
      </c>
      <c r="M25" s="177">
        <f>AVERAGE(J25,K25)</f>
      </c>
      <c r="N25" s="174">
        <f>N24</f>
      </c>
      <c r="O25" s="180">
        <f>M25/(P25+1)</f>
      </c>
      <c r="P25" s="177">
        <f>ROUNDDOWN(AVERAGE(J25:K25)/N25,0)</f>
      </c>
      <c r="Q25" s="175">
        <f>J25/AVERAGE(RailDefinition!T:T)</f>
      </c>
      <c r="R25" s="175">
        <f>K25/AVERAGE(RailDefinition!T:T)</f>
      </c>
      <c r="S25" s="177">
        <f>AVERAGE(Q25,R25)</f>
      </c>
      <c r="T25" s="3"/>
      <c r="U25" s="172" t="str">
        <v>横风控制训练</v>
      </c>
      <c r="V25" s="15"/>
    </row>
    <row r="26">
      <c r="A26" s="176">
        <f>E26&amp;"_"&amp;F26</f>
      </c>
      <c r="B26" s="172" t="str">
        <v>海蚀廊</v>
      </c>
      <c r="C26" s="172" t="str">
        <v>岩壁被海蚀掏空，错落回转。</v>
      </c>
      <c r="D26" s="178">
        <f>INT((F26-1) * CHOOSE(MIN(ROUNDUP(F26/10,0), 6), 1.2, 1.4, 1.6, 1.8, 2, 2.2))</f>
      </c>
      <c r="E26" s="172">
        <v>3</v>
      </c>
      <c r="F26" s="5">
        <v>25</v>
      </c>
      <c r="G26" s="179" t="str">
        <v>TheIsland</v>
      </c>
      <c r="H26" s="126">
        <f>H25*0.82</f>
      </c>
      <c r="I26" s="126">
        <f>I25+0.5</f>
      </c>
      <c r="J26" s="173">
        <f>J25*(1+H26)</f>
      </c>
      <c r="K26" s="173">
        <f>J26+(5*(I26))</f>
      </c>
      <c r="L26" s="173">
        <f>M26-M25</f>
      </c>
      <c r="M26" s="177">
        <f>AVERAGE(J26,K26)</f>
      </c>
      <c r="N26" s="174">
        <f>N25</f>
      </c>
      <c r="O26" s="180">
        <f>M26/(P26+1)</f>
      </c>
      <c r="P26" s="177">
        <f>ROUNDDOWN(AVERAGE(J26:K26)/N26,0)</f>
      </c>
      <c r="Q26" s="175">
        <f>J26/AVERAGE(RailDefinition!T:T)</f>
      </c>
      <c r="R26" s="175">
        <f>K26/AVERAGE(RailDefinition!T:T)</f>
      </c>
      <c r="S26" s="177">
        <f>AVERAGE(Q26,R26)</f>
      </c>
      <c r="T26" s="3"/>
      <c r="U26" s="172" t="str">
        <v>多层旋转通路</v>
      </c>
      <c r="V26" s="15"/>
    </row>
    <row r="27">
      <c r="A27" s="176">
        <f>E27&amp;"_"&amp;F27</f>
      </c>
      <c r="B27" s="172" t="str">
        <v>双风口</v>
      </c>
      <c r="C27" s="172" t="str">
        <v>两股风力交错，难以预判。</v>
      </c>
      <c r="D27" s="178">
        <f>INT((F27-1) * CHOOSE(MIN(ROUNDUP(F27/10,0), 6), 1.2, 1.4, 1.6, 1.8, 2, 2.2))</f>
      </c>
      <c r="E27" s="172">
        <v>3</v>
      </c>
      <c r="F27" s="5">
        <v>26</v>
      </c>
      <c r="G27" s="179" t="str">
        <v>TheIsland</v>
      </c>
      <c r="H27" s="126">
        <f>H26*0.82</f>
      </c>
      <c r="I27" s="126">
        <f>I26+0.5</f>
      </c>
      <c r="J27" s="173">
        <f>J26*(1+H27)</f>
      </c>
      <c r="K27" s="173">
        <f>J27+(5*(I27))</f>
      </c>
      <c r="L27" s="173">
        <f>M27-M26</f>
      </c>
      <c r="M27" s="177">
        <f>AVERAGE(J27,K27)</f>
      </c>
      <c r="N27" s="174">
        <f>N26</f>
      </c>
      <c r="O27" s="180">
        <f>M27/(P27+1)</f>
      </c>
      <c r="P27" s="177">
        <f>ROUNDDOWN(AVERAGE(J27:K27)/N27,0)</f>
      </c>
      <c r="Q27" s="175">
        <f>J27/AVERAGE(RailDefinition!T:T)</f>
      </c>
      <c r="R27" s="175">
        <f>K27/AVERAGE(RailDefinition!T:T)</f>
      </c>
      <c r="S27" s="177">
        <f>AVERAGE(Q27,R27)</f>
      </c>
      <c r="T27" s="3"/>
      <c r="U27" s="172" t="str">
        <v>风力 + 摆动平台融合</v>
      </c>
      <c r="V27" s="15"/>
    </row>
    <row r="28">
      <c r="A28" s="176">
        <f>E28&amp;"_"&amp;F28</f>
      </c>
      <c r="B28" s="172" t="str">
        <v>潮涨之路</v>
      </c>
      <c r="C28" s="172" t="str">
        <v>潮水逼近，通路时隐时现。</v>
      </c>
      <c r="D28" s="178">
        <f>INT((F28-1) * CHOOSE(MIN(ROUNDUP(F28/10,0), 6), 1.2, 1.4, 1.6, 1.8, 2, 2.2))</f>
      </c>
      <c r="E28" s="172">
        <v>3</v>
      </c>
      <c r="F28" s="5">
        <v>27</v>
      </c>
      <c r="G28" s="179" t="str">
        <v>TheIsland</v>
      </c>
      <c r="H28" s="126">
        <f>H27*0.82</f>
      </c>
      <c r="I28" s="126">
        <f>I27+0.5</f>
      </c>
      <c r="J28" s="173">
        <f>J27*(1+H28)</f>
      </c>
      <c r="K28" s="173">
        <f>J28+(5*(I28))</f>
      </c>
      <c r="L28" s="173">
        <f>M28-M27</f>
      </c>
      <c r="M28" s="177">
        <f>AVERAGE(J28,K28)</f>
      </c>
      <c r="N28" s="174">
        <f>N27</f>
      </c>
      <c r="O28" s="180">
        <f>M28/(P28+1)</f>
      </c>
      <c r="P28" s="177">
        <f>ROUNDDOWN(AVERAGE(J28:K28)/N28,0)</f>
      </c>
      <c r="Q28" s="175">
        <f>J28/AVERAGE(RailDefinition!T:T)</f>
      </c>
      <c r="R28" s="175">
        <f>K28/AVERAGE(RailDefinition!T:T)</f>
      </c>
      <c r="S28" s="177">
        <f>AVERAGE(Q28,R28)</f>
      </c>
      <c r="T28" s="3"/>
      <c r="U28" s="172" t="str">
        <v>水涨视野遮挡</v>
      </c>
      <c r="V28" s="15"/>
    </row>
    <row r="29">
      <c r="A29" s="176">
        <f>E29&amp;"_"&amp;F29</f>
      </c>
      <c r="B29" s="172" t="str">
        <v>海崖悬道</v>
      </c>
      <c r="C29" s="172" t="str">
        <v>碎石滚落，悬崖不断剥落。</v>
      </c>
      <c r="D29" s="178">
        <f>INT((F29-1) * CHOOSE(MIN(ROUNDUP(F29/10,0), 6), 1.2, 1.4, 1.6, 1.8, 2, 2.2))</f>
      </c>
      <c r="E29" s="172">
        <v>3</v>
      </c>
      <c r="F29" s="5">
        <v>28</v>
      </c>
      <c r="G29" s="179" t="str">
        <v>TheIsland</v>
      </c>
      <c r="H29" s="126">
        <f>H28*0.82</f>
      </c>
      <c r="I29" s="126">
        <f>I28+0.5</f>
      </c>
      <c r="J29" s="173">
        <f>J28*(1+H29)</f>
      </c>
      <c r="K29" s="173">
        <f>J29+(5*(I29))</f>
      </c>
      <c r="L29" s="173">
        <f>M29-M28</f>
      </c>
      <c r="M29" s="177">
        <f>AVERAGE(J29,K29)</f>
      </c>
      <c r="N29" s="174">
        <f>N28</f>
      </c>
      <c r="O29" s="180">
        <f>M29/(P29+1)</f>
      </c>
      <c r="P29" s="177">
        <f>ROUNDDOWN(AVERAGE(J29:K29)/N29,0)</f>
      </c>
      <c r="Q29" s="175">
        <f>J29/AVERAGE(RailDefinition!T:T)</f>
      </c>
      <c r="R29" s="175">
        <f>K29/AVERAGE(RailDefinition!T:T)</f>
      </c>
      <c r="S29" s="177">
        <f>AVERAGE(Q29,R29)</f>
      </c>
      <c r="T29" s="2"/>
      <c r="U29" s="172" t="str">
        <v>滚石 + 掉落边</v>
      </c>
      <c r="V29" s="15"/>
    </row>
    <row r="30">
      <c r="A30" s="176">
        <f>E30&amp;"_"&amp;F30</f>
      </c>
      <c r="B30" s="172" t="str">
        <v>风暴前线</v>
      </c>
      <c r="C30" s="172" t="str">
        <v>风暴涌动，平台剧烈摇摆。</v>
      </c>
      <c r="D30" s="178">
        <f>INT((F30-1) * CHOOSE(MIN(ROUNDUP(F30/10,0), 6), 1.2, 1.4, 1.6, 1.8, 2, 2.2))</f>
      </c>
      <c r="E30" s="172">
        <v>3</v>
      </c>
      <c r="F30" s="5">
        <v>29</v>
      </c>
      <c r="G30" s="179" t="str">
        <v>TheIsland</v>
      </c>
      <c r="H30" s="126">
        <f>H29*0.82</f>
      </c>
      <c r="I30" s="126">
        <f>I29+0.5</f>
      </c>
      <c r="J30" s="173">
        <f>J29*(1+H30)</f>
      </c>
      <c r="K30" s="173">
        <f>J30+(5*(I30))</f>
      </c>
      <c r="L30" s="173">
        <f>M30-M29</f>
      </c>
      <c r="M30" s="177">
        <f>AVERAGE(J30,K30)</f>
      </c>
      <c r="N30" s="174">
        <f>N29</f>
      </c>
      <c r="O30" s="180">
        <f>M30/(P30+1)</f>
      </c>
      <c r="P30" s="177">
        <f>ROUNDDOWN(AVERAGE(J30:K30)/N30,0)</f>
      </c>
      <c r="Q30" s="175">
        <f>J30/AVERAGE(RailDefinition!T:T)</f>
      </c>
      <c r="R30" s="175">
        <f>K30/AVERAGE(RailDefinition!T:T)</f>
      </c>
      <c r="S30" s="177">
        <f>AVERAGE(Q30,R30)</f>
      </c>
      <c r="T30" s="2"/>
      <c r="U30" s="172" t="str">
        <v>极端风场操作</v>
      </c>
      <c r="V30" s="15"/>
    </row>
    <row r="31">
      <c r="A31" s="176">
        <f>E31&amp;"_"&amp;F31</f>
      </c>
      <c r="B31" s="172" t="str">
        <v>孤岛之心</v>
      </c>
      <c r="C31" s="172" t="str">
        <v>风、潮、崩落齐鸣，海岛震颤。</v>
      </c>
      <c r="D31" s="178">
        <f>INT((F31-1) * CHOOSE(MIN(ROUNDUP(F31/10,0), 6), 1.2, 1.4, 1.6, 1.8, 2, 2.2))</f>
      </c>
      <c r="E31" s="172">
        <v>3</v>
      </c>
      <c r="F31" s="5">
        <v>30</v>
      </c>
      <c r="G31" s="179" t="str">
        <v>TheIsland</v>
      </c>
      <c r="H31" s="126">
        <f>H30*0.82</f>
      </c>
      <c r="I31" s="126">
        <f>I30+0.5</f>
      </c>
      <c r="J31" s="173">
        <f>J30*(1+H31)</f>
      </c>
      <c r="K31" s="173">
        <f>J31+(5*(I31))</f>
      </c>
      <c r="L31" s="173">
        <f>M31-M30</f>
      </c>
      <c r="M31" s="177">
        <f>AVERAGE(J31,K31)</f>
      </c>
      <c r="N31" s="174">
        <f>N30</f>
      </c>
      <c r="O31" s="180">
        <f>M31/(P31+1)</f>
      </c>
      <c r="P31" s="177">
        <f>ROUNDDOWN(AVERAGE(J31:K31)/N31,0)</f>
      </c>
      <c r="Q31" s="175">
        <f>J31/AVERAGE(RailDefinition!T:T)</f>
      </c>
      <c r="R31" s="175">
        <f>K31/AVERAGE(RailDefinition!T:T)</f>
      </c>
      <c r="S31" s="177">
        <f>AVERAGE(Q31,R31)</f>
      </c>
      <c r="T31" s="3"/>
      <c r="U31" s="172" t="str">
        <v>Boss：岛屿全机制融合</v>
      </c>
      <c r="V31" s="15"/>
    </row>
    <row r="32">
      <c r="A32" s="176">
        <f>E32&amp;"_"&amp;F32</f>
      </c>
      <c r="B32" s="172" t="str">
        <v>山脚裂缝</v>
      </c>
      <c r="C32" s="172" t="str">
        <v>地壳的颤动仍在延续。</v>
      </c>
      <c r="D32" s="178">
        <f>INT((F32-1) * CHOOSE(MIN(ROUNDUP(F32/10,0), 6), 1.2, 1.4, 1.6, 1.8, 2, 2.2))</f>
      </c>
      <c r="E32" s="172">
        <v>4</v>
      </c>
      <c r="F32" s="5">
        <v>31</v>
      </c>
      <c r="G32" s="179" t="str">
        <v>TheValley</v>
      </c>
      <c r="H32" s="126">
        <f>H23</f>
      </c>
      <c r="I32" s="126">
        <v>1</v>
      </c>
      <c r="J32" s="173">
        <f>J23</f>
      </c>
      <c r="K32" s="173">
        <f>J32+(5*(I32))</f>
      </c>
      <c r="L32" s="173">
        <f>"K="&amp;ROUNDUP((M41-M32)/10,2)</f>
      </c>
      <c r="M32" s="177">
        <f>AVERAGE(J32,K32)</f>
      </c>
      <c r="N32" s="174">
        <f>AVERAGE(J2:J41)</f>
      </c>
      <c r="O32" s="180">
        <f>M32/(P32+1)</f>
      </c>
      <c r="P32" s="177">
        <f>ROUNDDOWN(AVERAGE(J32:K32)/N32,0)</f>
      </c>
      <c r="Q32" s="175">
        <f>J32/AVERAGE(RailDefinition!T:T)</f>
      </c>
      <c r="R32" s="175">
        <f>K32/AVERAGE(RailDefinition!T:T)</f>
      </c>
      <c r="S32" s="177">
        <f>AVERAGE(Q32,R32)</f>
      </c>
      <c r="T32" s="3"/>
      <c r="U32" s="172" t="str">
        <v>新主题：地震/裂隙位移</v>
      </c>
      <c r="V32" s="15"/>
    </row>
    <row r="33">
      <c r="A33" s="176">
        <f>E33&amp;"_"&amp;F33</f>
      </c>
      <c r="B33" s="172" t="str">
        <v>松动山道</v>
      </c>
      <c r="C33" s="172" t="str">
        <v>石板微动，仿佛随时塌落。</v>
      </c>
      <c r="D33" s="178">
        <f>INT((F33-1) * CHOOSE(MIN(ROUNDUP(F33/10,0), 6), 1.2, 1.4, 1.6, 1.8, 2, 2.2))</f>
      </c>
      <c r="E33" s="172">
        <v>4</v>
      </c>
      <c r="F33" s="5">
        <v>32</v>
      </c>
      <c r="G33" s="179" t="str">
        <v>TheValley</v>
      </c>
      <c r="H33" s="126">
        <f>H32*0.83</f>
      </c>
      <c r="I33" s="126">
        <f>I32+0.5</f>
      </c>
      <c r="J33" s="173">
        <f>J32*(1+H33)</f>
      </c>
      <c r="K33" s="173">
        <f>J33+(5*(I33))</f>
      </c>
      <c r="L33" s="173">
        <f>M33-M32</f>
      </c>
      <c r="M33" s="177">
        <f>AVERAGE(J33,K33)</f>
      </c>
      <c r="N33" s="174">
        <f>N32</f>
      </c>
      <c r="O33" s="180">
        <f>M33/(P33+1)</f>
      </c>
      <c r="P33" s="177">
        <f>ROUNDDOWN(AVERAGE(J33:K33)/N33,0)</f>
      </c>
      <c r="Q33" s="175">
        <f>J33/AVERAGE(RailDefinition!T:T)</f>
      </c>
      <c r="R33" s="175">
        <f>K33/AVERAGE(RailDefinition!T:T)</f>
      </c>
      <c r="S33" s="177">
        <f>AVERAGE(Q33,R33)</f>
      </c>
      <c r="T33" s="3"/>
      <c r="U33" s="172" t="str">
        <v>位移地板</v>
      </c>
      <c r="V33" s="15"/>
    </row>
    <row r="34">
      <c r="A34" s="176">
        <f>E34&amp;"_"&amp;F34</f>
      </c>
      <c r="B34" s="172" t="str">
        <v>山脊风口</v>
      </c>
      <c r="C34" s="172" t="str">
        <v>风从山脊掠过，带走平衡。</v>
      </c>
      <c r="D34" s="178">
        <f>INT((F34-1) * CHOOSE(MIN(ROUNDUP(F34/10,0), 6), 1.2, 1.4, 1.6, 1.8, 2, 2.2))</f>
      </c>
      <c r="E34" s="172">
        <v>4</v>
      </c>
      <c r="F34" s="5">
        <v>33</v>
      </c>
      <c r="G34" s="179" t="str">
        <v>TheValley</v>
      </c>
      <c r="H34" s="126">
        <f>H33*0.83</f>
      </c>
      <c r="I34" s="126">
        <f>I33+0.5</f>
      </c>
      <c r="J34" s="173">
        <f>J33*(1+H34)</f>
      </c>
      <c r="K34" s="173">
        <f>J34+(5*(I34))</f>
      </c>
      <c r="L34" s="173">
        <f>M34-M33</f>
      </c>
      <c r="M34" s="177">
        <f>AVERAGE(J34,K34)</f>
      </c>
      <c r="N34" s="174">
        <f>N33</f>
      </c>
      <c r="O34" s="180">
        <f>M34/(P34+1)</f>
      </c>
      <c r="P34" s="177">
        <f>ROUNDDOWN(AVERAGE(J34:K34)/N34,0)</f>
      </c>
      <c r="Q34" s="175">
        <f>J34/AVERAGE(RailDefinition!T:T)</f>
      </c>
      <c r="R34" s="175">
        <f>K34/AVERAGE(RailDefinition!T:T)</f>
      </c>
      <c r="S34" s="177">
        <f>AVERAGE(Q34,R34)</f>
      </c>
      <c r="T34" s="3"/>
      <c r="U34" s="172" t="str">
        <v>风力 + 落差</v>
      </c>
      <c r="V34" s="15"/>
    </row>
    <row r="35">
      <c r="A35" s="176">
        <f>E35&amp;"_"&amp;F35</f>
      </c>
      <c r="B35" s="172" t="str">
        <v>断层阶梯</v>
      </c>
      <c r="C35" s="172" t="str">
        <v>山体错位，阶梯参差。</v>
      </c>
      <c r="D35" s="178">
        <f>INT((F35-1) * CHOOSE(MIN(ROUNDUP(F35/10,0), 6), 1.2, 1.4, 1.6, 1.8, 2, 2.2))</f>
      </c>
      <c r="E35" s="172">
        <v>4</v>
      </c>
      <c r="F35" s="5">
        <v>34</v>
      </c>
      <c r="G35" s="179" t="str">
        <v>TheValley</v>
      </c>
      <c r="H35" s="126">
        <f>H34*0.83</f>
      </c>
      <c r="I35" s="126">
        <f>I34+0.5</f>
      </c>
      <c r="J35" s="173">
        <f>J34*(1+H35)</f>
      </c>
      <c r="K35" s="173">
        <f>J35+(5*(I35))</f>
      </c>
      <c r="L35" s="173">
        <f>M35-M34</f>
      </c>
      <c r="M35" s="177">
        <f>AVERAGE(J35,K35)</f>
      </c>
      <c r="N35" s="174">
        <f>N34</f>
      </c>
      <c r="O35" s="180">
        <f>M35/(P35+1)</f>
      </c>
      <c r="P35" s="177">
        <f>ROUNDDOWN(AVERAGE(J35:K35)/N35,0)</f>
      </c>
      <c r="Q35" s="175">
        <f>J35/AVERAGE(RailDefinition!T:T)</f>
      </c>
      <c r="R35" s="175">
        <f>K35/AVERAGE(RailDefinition!T:T)</f>
      </c>
      <c r="S35" s="177">
        <f>AVERAGE(Q35,R35)</f>
      </c>
      <c r="T35" s="3"/>
      <c r="U35" s="172" t="str">
        <v>错层移动平台</v>
      </c>
      <c r="V35" s="15"/>
    </row>
    <row r="36">
      <c r="A36" s="176">
        <f>E36&amp;"_"&amp;F36</f>
      </c>
      <c r="B36" s="172" t="str">
        <v>升降崖壁</v>
      </c>
      <c r="C36" s="172" t="str">
        <v>崖壁随节奏升起、沉落。</v>
      </c>
      <c r="D36" s="178">
        <f>INT((F36-1) * CHOOSE(MIN(ROUNDUP(F36/10,0), 6), 1.2, 1.4, 1.6, 1.8, 2, 2.2))</f>
      </c>
      <c r="E36" s="172">
        <v>4</v>
      </c>
      <c r="F36" s="5">
        <v>35</v>
      </c>
      <c r="G36" s="179" t="str">
        <v>TheValley</v>
      </c>
      <c r="H36" s="126">
        <f>H35*0.83</f>
      </c>
      <c r="I36" s="126">
        <f>I35+0.5</f>
      </c>
      <c r="J36" s="173">
        <f>J35*(1+H36)</f>
      </c>
      <c r="K36" s="173">
        <f>J36+(5*(I36))</f>
      </c>
      <c r="L36" s="173">
        <f>M36-M35</f>
      </c>
      <c r="M36" s="177">
        <f>AVERAGE(J36,K36)</f>
      </c>
      <c r="N36" s="174">
        <f>N35</f>
      </c>
      <c r="O36" s="180">
        <f>M36/(P36+1)</f>
      </c>
      <c r="P36" s="177">
        <f>ROUNDDOWN(AVERAGE(J36:K36)/N36,0)</f>
      </c>
      <c r="Q36" s="175">
        <f>J36/AVERAGE(RailDefinition!T:T)</f>
      </c>
      <c r="R36" s="175">
        <f>K36/AVERAGE(RailDefinition!T:T)</f>
      </c>
      <c r="S36" s="177">
        <f>AVERAGE(Q36,R36)</f>
      </c>
      <c r="T36" s="3"/>
      <c r="U36" s="172" t="str">
        <v>节奏跳台</v>
      </c>
      <c r="V36" s="15"/>
    </row>
    <row r="37">
      <c r="A37" s="176">
        <f>E37&amp;"_"&amp;F37</f>
      </c>
      <c r="B37" s="172" t="str">
        <v>摇摆悬谷</v>
      </c>
      <c r="C37" s="172" t="str">
        <v>谷底风声让平台颤抖。</v>
      </c>
      <c r="D37" s="178">
        <f>INT((F37-1) * CHOOSE(MIN(ROUNDUP(F37/10,0), 6), 1.2, 1.4, 1.6, 1.8, 2, 2.2))</f>
      </c>
      <c r="E37" s="172">
        <v>4</v>
      </c>
      <c r="F37" s="5">
        <v>36</v>
      </c>
      <c r="G37" s="179" t="str">
        <v>TheValley</v>
      </c>
      <c r="H37" s="126">
        <f>H36*0.83</f>
      </c>
      <c r="I37" s="126">
        <f>I36+0.5</f>
      </c>
      <c r="J37" s="173">
        <f>J36*(1+H37)</f>
      </c>
      <c r="K37" s="173">
        <f>J37+(5*(I37))</f>
      </c>
      <c r="L37" s="173">
        <f>M37-M36</f>
      </c>
      <c r="M37" s="177">
        <f>AVERAGE(J37,K37)</f>
      </c>
      <c r="N37" s="174">
        <f>N36</f>
      </c>
      <c r="O37" s="180">
        <f>M37/(P37+1)</f>
      </c>
      <c r="P37" s="177">
        <f>ROUNDDOWN(AVERAGE(J37:K37)/N37,0)</f>
      </c>
      <c r="Q37" s="175">
        <f>J37/AVERAGE(RailDefinition!T:T)</f>
      </c>
      <c r="R37" s="175">
        <f>K37/AVERAGE(RailDefinition!T:T)</f>
      </c>
      <c r="S37" s="177">
        <f>AVERAGE(Q37,R37)</f>
      </c>
      <c r="T37" s="3"/>
      <c r="U37" s="172" t="str">
        <v>摇摆吊台 + 风</v>
      </c>
      <c r="V37" s="15"/>
    </row>
    <row r="38">
      <c r="A38" s="176">
        <f>E38&amp;"_"&amp;F38</f>
      </c>
      <c r="B38" s="172" t="str">
        <v>裂谷十字口</v>
      </c>
      <c r="C38" s="172" t="str">
        <v>四向裂缝交叠，路乱如织。</v>
      </c>
      <c r="D38" s="178">
        <f>INT((F38-1) * CHOOSE(MIN(ROUNDUP(F38/10,0), 6), 1.2, 1.4, 1.6, 1.8, 2, 2.2))</f>
      </c>
      <c r="E38" s="172">
        <v>4</v>
      </c>
      <c r="F38" s="5">
        <v>37</v>
      </c>
      <c r="G38" s="179" t="str">
        <v>TheValley</v>
      </c>
      <c r="H38" s="126">
        <f>H37*0.83</f>
      </c>
      <c r="I38" s="126">
        <f>I37+0.5</f>
      </c>
      <c r="J38" s="173">
        <f>J37*(1+H38)</f>
      </c>
      <c r="K38" s="173">
        <f>J38+(5*(I38))</f>
      </c>
      <c r="L38" s="173">
        <f>M38-M37</f>
      </c>
      <c r="M38" s="177">
        <f>AVERAGE(J38,K38)</f>
      </c>
      <c r="N38" s="174">
        <f>N37</f>
      </c>
      <c r="O38" s="180">
        <f>M38/(P38+1)</f>
      </c>
      <c r="P38" s="177">
        <f>ROUNDDOWN(AVERAGE(J38:K38)/N38,0)</f>
      </c>
      <c r="Q38" s="175">
        <f>J38/AVERAGE(RailDefinition!T:T)</f>
      </c>
      <c r="R38" s="175">
        <f>K38/AVERAGE(RailDefinition!T:T)</f>
      </c>
      <c r="S38" s="177">
        <f>AVERAGE(Q38,R38)</f>
      </c>
      <c r="T38" s="3"/>
      <c r="U38" s="172" t="str">
        <v>多路径 + 复合机关</v>
      </c>
      <c r="V38" s="15"/>
    </row>
    <row r="39">
      <c r="A39" s="176">
        <f>E39&amp;"_"&amp;F39</f>
      </c>
      <c r="B39" s="172" t="str">
        <v>巨岩坠鸣</v>
      </c>
      <c r="C39" s="172" t="str">
        <v>巨岩在远处沉闷落下。</v>
      </c>
      <c r="D39" s="178">
        <f>INT((F39-1) * CHOOSE(MIN(ROUNDUP(F39/10,0), 6), 1.2, 1.4, 1.6, 1.8, 2, 2.2))</f>
      </c>
      <c r="E39" s="172">
        <v>4</v>
      </c>
      <c r="F39" s="5">
        <v>38</v>
      </c>
      <c r="G39" s="179" t="str">
        <v>TheValley</v>
      </c>
      <c r="H39" s="126">
        <f>H38*0.83</f>
      </c>
      <c r="I39" s="126">
        <f>I38+0.5</f>
      </c>
      <c r="J39" s="173">
        <f>J38*(1+H39)</f>
      </c>
      <c r="K39" s="173">
        <f>J39+(5*(I39))</f>
      </c>
      <c r="L39" s="173">
        <f>M39-M38</f>
      </c>
      <c r="M39" s="177">
        <f>AVERAGE(J39,K39)</f>
      </c>
      <c r="N39" s="174">
        <f>N38</f>
      </c>
      <c r="O39" s="180">
        <f>M39/(P39+1)</f>
      </c>
      <c r="P39" s="177">
        <f>ROUNDDOWN(AVERAGE(J39:K39)/N39,0)</f>
      </c>
      <c r="Q39" s="175">
        <f>J39/AVERAGE(RailDefinition!T:T)</f>
      </c>
      <c r="R39" s="175">
        <f>K39/AVERAGE(RailDefinition!T:T)</f>
      </c>
      <c r="S39" s="177">
        <f>AVERAGE(Q39,R39)</f>
      </c>
      <c r="T39" s="3"/>
      <c r="U39" s="172" t="str">
        <v>滚石高压段</v>
      </c>
      <c r="V39" s="15"/>
    </row>
    <row r="40">
      <c r="A40" s="176">
        <f>E40&amp;"_"&amp;F40</f>
      </c>
      <c r="B40" s="172" t="str">
        <v>云端跃道</v>
      </c>
      <c r="C40" s="172" t="str">
        <v>云雾遮挡路径，不容迟疑。</v>
      </c>
      <c r="D40" s="178">
        <f>INT((F40-1) * CHOOSE(MIN(ROUNDUP(F40/10,0), 6), 1.2, 1.4, 1.6, 1.8, 2, 2.2))</f>
      </c>
      <c r="E40" s="172">
        <v>4</v>
      </c>
      <c r="F40" s="5">
        <v>39</v>
      </c>
      <c r="G40" s="179" t="str">
        <v>TheValley</v>
      </c>
      <c r="H40" s="126">
        <f>H39*0.83</f>
      </c>
      <c r="I40" s="126">
        <f>I39+0.5</f>
      </c>
      <c r="J40" s="173">
        <f>J39*(1+H40)</f>
      </c>
      <c r="K40" s="173">
        <f>J40+(5*(I40))</f>
      </c>
      <c r="L40" s="173">
        <f>M40-M39</f>
      </c>
      <c r="M40" s="177">
        <f>AVERAGE(J40,K40)</f>
      </c>
      <c r="N40" s="174">
        <f>N39</f>
      </c>
      <c r="O40" s="180">
        <f>M40/(P40+1)</f>
      </c>
      <c r="P40" s="177">
        <f>ROUNDDOWN(AVERAGE(J40:K40)/N40,0)</f>
      </c>
      <c r="Q40" s="175">
        <f>J40/AVERAGE(RailDefinition!T:T)</f>
      </c>
      <c r="R40" s="175">
        <f>K40/AVERAGE(RailDefinition!T:T)</f>
      </c>
      <c r="S40" s="177">
        <f>AVERAGE(Q40,R40)</f>
      </c>
      <c r="T40" s="3"/>
      <c r="U40" s="172" t="str">
        <v>低可视度 + 风</v>
      </c>
      <c r="V40" s="15"/>
    </row>
    <row r="41">
      <c r="A41" s="176">
        <f>E41&amp;"_"&amp;F41</f>
      </c>
      <c r="B41" s="172" t="str">
        <v>山脉回响</v>
      </c>
      <c r="C41" s="172" t="str">
        <v>山鸣谷应，所有节奏汇聚。</v>
      </c>
      <c r="D41" s="178">
        <f>INT((F41-1) * CHOOSE(MIN(ROUNDUP(F41/10,0), 6), 1.2, 1.4, 1.6, 1.8, 2, 2.2))</f>
      </c>
      <c r="E41" s="172">
        <v>4</v>
      </c>
      <c r="F41" s="5">
        <v>40</v>
      </c>
      <c r="G41" s="179" t="str">
        <v>TheValley</v>
      </c>
      <c r="H41" s="126">
        <f>H40*0.83</f>
      </c>
      <c r="I41" s="126">
        <f>I40+0.5</f>
      </c>
      <c r="J41" s="173">
        <f>J40*(1+H41)</f>
      </c>
      <c r="K41" s="173">
        <f>J41+(5*(I41))</f>
      </c>
      <c r="L41" s="173">
        <f>M41-M40</f>
      </c>
      <c r="M41" s="177">
        <f>AVERAGE(J41,K41)</f>
      </c>
      <c r="N41" s="174">
        <f>N40</f>
      </c>
      <c r="O41" s="180">
        <f>M41/(P41+1)</f>
      </c>
      <c r="P41" s="177">
        <f>ROUNDDOWN(AVERAGE(J41:K41)/N41,0)</f>
      </c>
      <c r="Q41" s="175">
        <f>J41/AVERAGE(RailDefinition!T:T)</f>
      </c>
      <c r="R41" s="175">
        <f>K41/AVERAGE(RailDefinition!T:T)</f>
      </c>
      <c r="S41" s="177">
        <f>AVERAGE(Q41,R41)</f>
      </c>
      <c r="T41" s="3"/>
      <c r="U41" s="172" t="str">
        <v>Boss：风/地震/悬谷/落差整合</v>
      </c>
      <c r="V41" s="15"/>
    </row>
    <row r="42">
      <c r="A42" s="176">
        <f>E42&amp;"_"&amp;F42</f>
      </c>
      <c r="B42" s="172" t="str">
        <v>入口弯折</v>
      </c>
      <c r="C42" s="172" t="str">
        <v>引力线条弯曲，路径随之改变。</v>
      </c>
      <c r="D42" s="178">
        <f>INT((F42-1) * CHOOSE(MIN(ROUNDUP(F42/10,0), 6), 1.2, 1.4, 1.6, 1.8, 2, 2.2))</f>
      </c>
      <c r="E42" s="172">
        <v>5</v>
      </c>
      <c r="F42" s="5">
        <v>41</v>
      </c>
      <c r="G42" s="179" t="str">
        <v>TheBlackHole</v>
      </c>
      <c r="H42" s="126">
        <f>H33</f>
      </c>
      <c r="I42" s="126">
        <v>1</v>
      </c>
      <c r="J42" s="173">
        <f>J33</f>
      </c>
      <c r="K42" s="173">
        <f>J42+(5*(I42))</f>
      </c>
      <c r="L42" s="173">
        <f>"K="&amp;ROUNDUP((K51-K42)/10,2)</f>
      </c>
      <c r="M42" s="177">
        <f>AVERAGE(J42,K42)</f>
      </c>
      <c r="N42" s="174">
        <f>AVERAGE(J2:J51)</f>
      </c>
      <c r="O42" s="180">
        <f>M42/(P42+1)</f>
      </c>
      <c r="P42" s="177">
        <f>ROUNDDOWN(AVERAGE(J42:K42)/N42,0)</f>
      </c>
      <c r="Q42" s="175">
        <f>J42/AVERAGE(RailDefinition!T:T)</f>
      </c>
      <c r="R42" s="175">
        <f>K42/AVERAGE(RailDefinition!T:T)</f>
      </c>
      <c r="S42" s="177">
        <f>AVERAGE(Q42,R42)</f>
      </c>
      <c r="T42" s="3"/>
      <c r="U42" s="172" t="str">
        <v>新主题：轻度引力扭曲</v>
      </c>
      <c r="V42" s="15"/>
    </row>
    <row r="43">
      <c r="A43" s="176">
        <f>E43&amp;"_"&amp;F43</f>
      </c>
      <c r="B43" s="172" t="str">
        <v>倾斜平面</v>
      </c>
      <c r="C43" s="172" t="str">
        <v>失衡感来自看不见的力量。</v>
      </c>
      <c r="D43" s="178">
        <f>INT((F43-1) * CHOOSE(MIN(ROUNDUP(F43/10,0), 6), 1.2, 1.4, 1.6, 1.8, 2, 2.2))</f>
      </c>
      <c r="E43" s="172">
        <v>5</v>
      </c>
      <c r="F43" s="5">
        <v>42</v>
      </c>
      <c r="G43" s="179" t="str">
        <v>TheBlackHole</v>
      </c>
      <c r="H43" s="126">
        <f>H42*0.84</f>
      </c>
      <c r="I43" s="126">
        <f>I42+0.5</f>
      </c>
      <c r="J43" s="173">
        <f>J42*(1+H43)</f>
      </c>
      <c r="K43" s="173">
        <f>J43+(5*(I43))</f>
      </c>
      <c r="L43" s="173">
        <f>M43-M42</f>
      </c>
      <c r="M43" s="177">
        <f>AVERAGE(J43,K43)</f>
      </c>
      <c r="N43" s="174">
        <f>N42</f>
      </c>
      <c r="O43" s="180">
        <f>M43/(P43+1)</f>
      </c>
      <c r="P43" s="177">
        <f>ROUNDDOWN(AVERAGE(J43:K43)/N43,0)</f>
      </c>
      <c r="Q43" s="175">
        <f>J43/AVERAGE(RailDefinition!T:T)</f>
      </c>
      <c r="R43" s="175">
        <f>K43/AVERAGE(RailDefinition!T:T)</f>
      </c>
      <c r="S43" s="177">
        <f>AVERAGE(Q43,R43)</f>
      </c>
      <c r="T43" s="3"/>
      <c r="U43" s="172" t="str">
        <v>恒定轻度斜力</v>
      </c>
      <c r="V43" s="15"/>
    </row>
    <row r="44">
      <c r="A44" s="176">
        <f>E44&amp;"_"&amp;F44</f>
      </c>
      <c r="B44" s="172" t="str">
        <v>引力陷区</v>
      </c>
      <c r="C44" s="172" t="str">
        <v>脚下的力忽强忽弱。</v>
      </c>
      <c r="D44" s="178">
        <f>INT((F44-1) * CHOOSE(MIN(ROUNDUP(F44/10,0), 6), 1.2, 1.4, 1.6, 1.8, 2, 2.2))</f>
      </c>
      <c r="E44" s="172">
        <v>5</v>
      </c>
      <c r="F44" s="5">
        <v>43</v>
      </c>
      <c r="G44" s="179" t="str">
        <v>TheBlackHole</v>
      </c>
      <c r="H44" s="126">
        <f>H43*0.84</f>
      </c>
      <c r="I44" s="126">
        <f>I43+0.5</f>
      </c>
      <c r="J44" s="173">
        <f>J43*(1+H44)</f>
      </c>
      <c r="K44" s="173">
        <f>J44+(5*(I44))</f>
      </c>
      <c r="L44" s="173">
        <f>M44-M43</f>
      </c>
      <c r="M44" s="177">
        <f>AVERAGE(J44,K44)</f>
      </c>
      <c r="N44" s="174">
        <f>N43</f>
      </c>
      <c r="O44" s="180">
        <f>M44/(P44+1)</f>
      </c>
      <c r="P44" s="177">
        <f>ROUNDDOWN(AVERAGE(J44:K44)/N44,0)</f>
      </c>
      <c r="Q44" s="175">
        <f>J44/AVERAGE(RailDefinition!T:T)</f>
      </c>
      <c r="R44" s="175">
        <f>K44/AVERAGE(RailDefinition!T:T)</f>
      </c>
      <c r="S44" s="177">
        <f>AVERAGE(Q44,R44)</f>
      </c>
      <c r="T44" s="3"/>
      <c r="U44" s="172" t="str">
        <v>局部引力增幅区</v>
      </c>
      <c r="V44" s="15"/>
    </row>
    <row r="45">
      <c r="A45" s="176">
        <f>E45&amp;"_"&amp;F45</f>
      </c>
      <c r="B45" s="172" t="str">
        <v>反向牵引</v>
      </c>
      <c r="C45" s="172" t="str">
        <v>力量似乎与直觉相反。</v>
      </c>
      <c r="D45" s="178">
        <f>INT((F45-1) * CHOOSE(MIN(ROUNDUP(F45/10,0), 6), 1.2, 1.4, 1.6, 1.8, 2, 2.2))</f>
      </c>
      <c r="E45" s="172">
        <v>5</v>
      </c>
      <c r="F45" s="5">
        <v>44</v>
      </c>
      <c r="G45" s="179" t="str">
        <v>TheBlackHole</v>
      </c>
      <c r="H45" s="126">
        <f>H44*0.84</f>
      </c>
      <c r="I45" s="126">
        <f>I44+0.5</f>
      </c>
      <c r="J45" s="173">
        <f>J44*(1+H45)</f>
      </c>
      <c r="K45" s="173">
        <f>J45+(5*(I45))</f>
      </c>
      <c r="L45" s="173">
        <f>M45-M44</f>
      </c>
      <c r="M45" s="177">
        <f>AVERAGE(J45,K45)</f>
      </c>
      <c r="N45" s="174">
        <f>N44</f>
      </c>
      <c r="O45" s="180">
        <f>M45/(P45+1)</f>
      </c>
      <c r="P45" s="177">
        <f>ROUNDDOWN(AVERAGE(J45:K45)/N45,0)</f>
      </c>
      <c r="Q45" s="175">
        <f>J45/AVERAGE(RailDefinition!T:T)</f>
      </c>
      <c r="R45" s="175">
        <f>K45/AVERAGE(RailDefinition!T:T)</f>
      </c>
      <c r="S45" s="177">
        <f>AVERAGE(Q45,R45)</f>
      </c>
      <c r="T45" s="3"/>
      <c r="U45" s="172" t="str">
        <v>反重力操作</v>
      </c>
      <c r="V45" s="15"/>
    </row>
    <row r="46">
      <c r="A46" s="176">
        <f>E46&amp;"_"&amp;F46</f>
      </c>
      <c r="B46" s="172" t="str">
        <v>扭曲环</v>
      </c>
      <c r="C46" s="172" t="str">
        <v>空间在自我折叠。</v>
      </c>
      <c r="D46" s="178">
        <f>INT((F46-1) * CHOOSE(MIN(ROUNDUP(F46/10,0), 6), 1.2, 1.4, 1.6, 1.8, 2, 2.2))</f>
      </c>
      <c r="E46" s="172">
        <v>5</v>
      </c>
      <c r="F46" s="5">
        <v>45</v>
      </c>
      <c r="G46" s="179" t="str">
        <v>TheBlackHole</v>
      </c>
      <c r="H46" s="126">
        <f>H45*0.84</f>
      </c>
      <c r="I46" s="126">
        <f>I45+0.5</f>
      </c>
      <c r="J46" s="173">
        <f>J45*(1+H46)</f>
      </c>
      <c r="K46" s="173">
        <f>J46+(5*(I46))</f>
      </c>
      <c r="L46" s="173">
        <f>M46-M45</f>
      </c>
      <c r="M46" s="177">
        <f>AVERAGE(J46,K46)</f>
      </c>
      <c r="N46" s="174">
        <f>N45</f>
      </c>
      <c r="O46" s="180">
        <f>M46/(P46+1)</f>
      </c>
      <c r="P46" s="177">
        <f>ROUNDDOWN(AVERAGE(J46:K46)/N46,0)</f>
      </c>
      <c r="Q46" s="175">
        <f>J46/AVERAGE(RailDefinition!T:T)</f>
      </c>
      <c r="R46" s="175">
        <f>K46/AVERAGE(RailDefinition!T:T)</f>
      </c>
      <c r="S46" s="177">
        <f>AVERAGE(Q46,R46)</f>
      </c>
      <c r="T46" s="3"/>
      <c r="U46" s="172" t="str">
        <v>引力 + 倾斜平台复合</v>
      </c>
      <c r="V46" s="15"/>
    </row>
    <row r="47">
      <c r="A47" s="176">
        <f>E47&amp;"_"&amp;F47</f>
      </c>
      <c r="B47" s="172" t="str">
        <v>波动带</v>
      </c>
      <c r="C47" s="172" t="str">
        <v>重力如潮，周期震荡。</v>
      </c>
      <c r="D47" s="178">
        <f>INT((F47-1) * CHOOSE(MIN(ROUNDUP(F47/10,0), 6), 1.2, 1.4, 1.6, 1.8, 2, 2.2))</f>
      </c>
      <c r="E47" s="172">
        <v>5</v>
      </c>
      <c r="F47" s="5">
        <v>46</v>
      </c>
      <c r="G47" s="179" t="str">
        <v>TheBlackHole</v>
      </c>
      <c r="H47" s="126">
        <f>H46*0.84</f>
      </c>
      <c r="I47" s="126">
        <f>I46+0.5</f>
      </c>
      <c r="J47" s="173">
        <f>J46*(1+H47)</f>
      </c>
      <c r="K47" s="173">
        <f>J47+(5*(I47))</f>
      </c>
      <c r="L47" s="173">
        <f>M47-M46</f>
      </c>
      <c r="M47" s="177">
        <f>AVERAGE(J47,K47)</f>
      </c>
      <c r="N47" s="174">
        <f>N46</f>
      </c>
      <c r="O47" s="180">
        <f>M47/(P47+1)</f>
      </c>
      <c r="P47" s="177">
        <f>ROUNDDOWN(AVERAGE(J47:K47)/N47,0)</f>
      </c>
      <c r="Q47" s="175">
        <f>J47/AVERAGE(RailDefinition!T:T)</f>
      </c>
      <c r="R47" s="175">
        <f>K47/AVERAGE(RailDefinition!T:T)</f>
      </c>
      <c r="S47" s="177">
        <f>AVERAGE(Q47,R47)</f>
      </c>
      <c r="T47" s="3"/>
      <c r="U47" s="172" t="str">
        <v>正/反引力节奏切换</v>
      </c>
      <c r="V47" s="15"/>
    </row>
    <row r="48">
      <c r="A48" s="176">
        <f>E48&amp;"_"&amp;F48</f>
      </c>
      <c r="B48" s="172" t="str">
        <v>失衡峡谷</v>
      </c>
      <c r="C48" s="172" t="str">
        <v>每一步都在与方向抗衡。</v>
      </c>
      <c r="D48" s="178">
        <f>INT((F48-1) * CHOOSE(MIN(ROUNDUP(F48/10,0), 6), 1.2, 1.4, 1.6, 1.8, 2, 2.2))</f>
      </c>
      <c r="E48" s="172">
        <v>5</v>
      </c>
      <c r="F48" s="5">
        <v>47</v>
      </c>
      <c r="G48" s="179" t="str">
        <v>TheBlackHole</v>
      </c>
      <c r="H48" s="126">
        <f>H47*0.84</f>
      </c>
      <c r="I48" s="126">
        <f>I47+0.5</f>
      </c>
      <c r="J48" s="173">
        <f>J47*(1+H48)</f>
      </c>
      <c r="K48" s="173">
        <f>J48+(5*(I48))</f>
      </c>
      <c r="L48" s="173">
        <f>M48-M47</f>
      </c>
      <c r="M48" s="177">
        <f>AVERAGE(J48,K48)</f>
      </c>
      <c r="N48" s="174">
        <f>N47</f>
      </c>
      <c r="O48" s="180">
        <f>M48/(P48+1)</f>
      </c>
      <c r="P48" s="177">
        <f>ROUNDDOWN(AVERAGE(J48:K48)/N48,0)</f>
      </c>
      <c r="Q48" s="175">
        <f>J48/AVERAGE(RailDefinition!T:T)</f>
      </c>
      <c r="R48" s="175">
        <f>K48/AVERAGE(RailDefinition!T:T)</f>
      </c>
      <c r="S48" s="177">
        <f>AVERAGE(Q48,R48)</f>
      </c>
      <c r="T48" s="2"/>
      <c r="U48" s="172" t="str">
        <v>强引力牵引</v>
      </c>
      <c r="V48" s="15"/>
    </row>
    <row r="49">
      <c r="A49" s="176">
        <f>E49&amp;"_"&amp;F49</f>
      </c>
      <c r="B49" s="172" t="str">
        <v>时空裂缝</v>
      </c>
      <c r="C49" s="172" t="str">
        <v>裂缝边缘不稳定，随时坍缩。</v>
      </c>
      <c r="D49" s="178">
        <f>INT((F49-1) * CHOOSE(MIN(ROUNDUP(F49/10,0), 6), 1.2, 1.4, 1.6, 1.8, 2, 2.2))</f>
      </c>
      <c r="E49" s="172">
        <v>5</v>
      </c>
      <c r="F49" s="5">
        <v>48</v>
      </c>
      <c r="G49" s="179" t="str">
        <v>TheBlackHole</v>
      </c>
      <c r="H49" s="126">
        <f>H48*0.84</f>
      </c>
      <c r="I49" s="126">
        <f>I48+0.5</f>
      </c>
      <c r="J49" s="173">
        <f>J48*(1+H49)</f>
      </c>
      <c r="K49" s="173">
        <f>J49+(5*(I49))</f>
      </c>
      <c r="L49" s="173">
        <f>M49-M48</f>
      </c>
      <c r="M49" s="177">
        <f>AVERAGE(J49,K49)</f>
      </c>
      <c r="N49" s="174">
        <f>N48</f>
      </c>
      <c r="O49" s="180">
        <f>M49/(P49+1)</f>
      </c>
      <c r="P49" s="177">
        <f>ROUNDDOWN(AVERAGE(J49:K49)/N49,0)</f>
      </c>
      <c r="Q49" s="175">
        <f>J49/AVERAGE(RailDefinition!T:T)</f>
      </c>
      <c r="R49" s="175">
        <f>K49/AVERAGE(RailDefinition!T:T)</f>
      </c>
      <c r="S49" s="177">
        <f>AVERAGE(Q49,R49)</f>
      </c>
      <c r="T49" s="2"/>
      <c r="U49" s="172" t="str">
        <v>扭曲平台（尺寸偏移）</v>
      </c>
      <c r="V49" s="15"/>
    </row>
    <row r="50">
      <c r="A50" s="176">
        <f>E50&amp;"_"&amp;F50</f>
      </c>
      <c r="B50" s="172" t="str">
        <v>黑洞喉道</v>
      </c>
      <c r="C50" s="172" t="str">
        <v>万物被拖向中心。</v>
      </c>
      <c r="D50" s="178">
        <f>INT((F50-1) * CHOOSE(MIN(ROUNDUP(F50/10,0), 6), 1.2, 1.4, 1.6, 1.8, 2, 2.2))</f>
      </c>
      <c r="E50" s="172">
        <v>5</v>
      </c>
      <c r="F50" s="5">
        <v>49</v>
      </c>
      <c r="G50" s="179" t="str">
        <v>TheBlackHole</v>
      </c>
      <c r="H50" s="126">
        <f>H49*0.84</f>
      </c>
      <c r="I50" s="126">
        <f>I49+0.5</f>
      </c>
      <c r="J50" s="173">
        <f>J49*(1+H50)</f>
      </c>
      <c r="K50" s="173">
        <f>J50+(5*(I50))</f>
      </c>
      <c r="L50" s="173">
        <f>M50-M49</f>
      </c>
      <c r="M50" s="177">
        <f>AVERAGE(J50,K50)</f>
      </c>
      <c r="N50" s="174">
        <f>N49</f>
      </c>
      <c r="O50" s="180">
        <f>M50/(P50+1)</f>
      </c>
      <c r="P50" s="177">
        <f>ROUNDDOWN(AVERAGE(J50:K50)/N50,0)</f>
      </c>
      <c r="Q50" s="175">
        <f>J50/AVERAGE(RailDefinition!T:T)</f>
      </c>
      <c r="R50" s="175">
        <f>K50/AVERAGE(RailDefinition!T:T)</f>
      </c>
      <c r="S50" s="177">
        <f>AVERAGE(Q50,R50)</f>
      </c>
      <c r="T50" s="2"/>
      <c r="U50" s="172" t="str">
        <v>引力中轴吸引；路线收缩</v>
      </c>
      <c r="V50" s="15"/>
    </row>
    <row r="51">
      <c r="A51" s="176">
        <f>E51&amp;"_"&amp;F51</f>
      </c>
      <c r="B51" s="172" t="str">
        <v>奇点</v>
      </c>
      <c r="C51" s="172" t="str">
        <v>在奇点前，一切规则都失效。</v>
      </c>
      <c r="D51" s="178">
        <f>INT((F51-1) * CHOOSE(MIN(ROUNDUP(F51/10,0), 6), 1.2, 1.4, 1.6, 1.8, 2, 2.2))</f>
      </c>
      <c r="E51" s="172">
        <v>5</v>
      </c>
      <c r="F51" s="5">
        <v>50</v>
      </c>
      <c r="G51" s="179" t="str">
        <v>TheBlackHole</v>
      </c>
      <c r="H51" s="126">
        <f>H50*0.84</f>
      </c>
      <c r="I51" s="126">
        <f>I50+0.5</f>
      </c>
      <c r="J51" s="173">
        <f>J50*(1+H51)</f>
      </c>
      <c r="K51" s="173">
        <f>J51+(5*(I51))</f>
      </c>
      <c r="L51" s="173">
        <f>M51-M50</f>
      </c>
      <c r="M51" s="177">
        <f>AVERAGE(J51,K51)</f>
      </c>
      <c r="N51" s="174">
        <f>N50</f>
      </c>
      <c r="O51" s="180">
        <f>M51/(P51+1)</f>
      </c>
      <c r="P51" s="177">
        <f>ROUNDDOWN(AVERAGE(J51:K51)/N51,0)</f>
      </c>
      <c r="Q51" s="175">
        <f>J51/AVERAGE(RailDefinition!T:T)</f>
      </c>
      <c r="R51" s="175">
        <f>K51/AVERAGE(RailDefinition!T:T)</f>
      </c>
      <c r="S51" s="177">
        <f>AVERAGE(Q51,R51)</f>
      </c>
      <c r="T51" s="2"/>
      <c r="U51" s="172" t="str">
        <v>Boss：全引力机制整合</v>
      </c>
      <c r="V51" s="15"/>
    </row>
    <row r="52">
      <c r="A52" s="176">
        <f>E52&amp;"_"&amp;F52</f>
      </c>
      <c r="B52" s="172" t="str">
        <v>暗室入口</v>
      </c>
      <c r="C52" s="172" t="str">
        <v>光线被完全封锁，
只剩安全灯的一丝余辉。</v>
      </c>
      <c r="D52" s="178">
        <f>INT((F52-1) * CHOOSE(MIN(ROUNDUP(F52/10,0), 6), 1.2, 1.4, 1.6, 1.8, 2, 2.2))</f>
      </c>
      <c r="E52" s="172">
        <v>6</v>
      </c>
      <c r="F52" s="5">
        <v>51</v>
      </c>
      <c r="G52" s="179" t="str">
        <v>TheDarkRoom</v>
      </c>
      <c r="H52" s="126">
        <f>H43</f>
      </c>
      <c r="I52" s="126">
        <v>1</v>
      </c>
      <c r="J52" s="173">
        <f>J43</f>
      </c>
      <c r="K52" s="173">
        <f>J52+(5*(I52))</f>
      </c>
      <c r="L52" s="173">
        <f>"K="&amp;ROUNDUP((K61-K52)/10,2)</f>
      </c>
      <c r="M52" s="177">
        <f>AVERAGE(J52,K52)</f>
      </c>
      <c r="N52" s="174">
        <f>AVERAGE(J2:J61)</f>
      </c>
      <c r="O52" s="180">
        <f>M52/(P52+1)</f>
      </c>
      <c r="P52" s="177">
        <f>ROUNDDOWN(AVERAGE(J52:K52)/N52,0)</f>
      </c>
      <c r="Q52" s="175">
        <f>J52/AVERAGE(RailDefinition!T:T)</f>
      </c>
      <c r="R52" s="175">
        <f>K52/AVERAGE(RailDefinition!T:T)</f>
      </c>
      <c r="S52" s="177">
        <f>AVERAGE(Q52,R52)</f>
      </c>
      <c r="T52" s="3"/>
      <c r="U52" s="172" t="str">
        <v>新主题：暗室概念；弱光导航</v>
      </c>
      <c r="V52" s="15"/>
    </row>
    <row r="53">
      <c r="A53" s="176">
        <f>E53&amp;"_"&amp;F53</f>
      </c>
      <c r="B53" s="172" t="str">
        <v>安全灯轨迹</v>
      </c>
      <c r="C53" s="172" t="str">
        <v>红色安全灯划出细薄轨迹，
成为唯一的方位感。</v>
      </c>
      <c r="D53" s="178">
        <f>INT((F53-1) * CHOOSE(MIN(ROUNDUP(F53/10,0), 6), 1.2, 1.4, 1.6, 1.8, 2, 2.2))</f>
      </c>
      <c r="E53" s="172">
        <v>6</v>
      </c>
      <c r="F53" s="5">
        <v>52</v>
      </c>
      <c r="G53" s="179" t="str">
        <v>TheDarkRoom</v>
      </c>
      <c r="H53" s="126">
        <f>H52*0.85</f>
      </c>
      <c r="I53" s="126">
        <f>I52+0.5</f>
      </c>
      <c r="J53" s="173">
        <f>J52*(1+H53)</f>
      </c>
      <c r="K53" s="173">
        <f>J53+(5*(I53))</f>
      </c>
      <c r="L53" s="173">
        <f>M53-M52</f>
      </c>
      <c r="M53" s="177">
        <f>AVERAGE(J53,K53)</f>
      </c>
      <c r="N53" s="174">
        <f>N52</f>
      </c>
      <c r="O53" s="180">
        <f>M53/(P53+1)</f>
      </c>
      <c r="P53" s="177">
        <f>ROUNDDOWN(AVERAGE(J53:K53)/N53,0)</f>
      </c>
      <c r="Q53" s="175">
        <f>J53/AVERAGE(RailDefinition!T:T)</f>
      </c>
      <c r="R53" s="175">
        <f>K53/AVERAGE(RailDefinition!T:T)</f>
      </c>
      <c r="S53" s="177">
        <f>AVERAGE(Q53,R53)</f>
      </c>
      <c r="T53" s="3"/>
      <c r="U53" s="172" t="str">
        <v>光束轨迹导航</v>
      </c>
      <c r="V53" s="15"/>
    </row>
    <row r="54">
      <c r="A54" s="176">
        <f>E54&amp;"_"&amp;F54</f>
      </c>
      <c r="B54" s="172" t="str">
        <v>显影槽回声</v>
      </c>
      <c r="C54" s="172" t="str">
        <v>显影液微微震动，
回声成为辨位线索。</v>
      </c>
      <c r="D54" s="178">
        <f>INT((F54-1) * CHOOSE(MIN(ROUNDUP(F54/10,0), 6), 1.2, 1.4, 1.6, 1.8, 2, 2.2))</f>
      </c>
      <c r="E54" s="172">
        <v>6</v>
      </c>
      <c r="F54" s="5">
        <v>53</v>
      </c>
      <c r="G54" s="179" t="str">
        <v>TheDarkRoom</v>
      </c>
      <c r="H54" s="126">
        <f>H53*0.85</f>
      </c>
      <c r="I54" s="126">
        <f>I53+0.5</f>
      </c>
      <c r="J54" s="173">
        <f>J53*(1+H54)</f>
      </c>
      <c r="K54" s="173">
        <f>J54+(5*(I54))</f>
      </c>
      <c r="L54" s="173">
        <f>M54-M53</f>
      </c>
      <c r="M54" s="177">
        <f>AVERAGE(J54,K54)</f>
      </c>
      <c r="N54" s="174">
        <f>N53</f>
      </c>
      <c r="O54" s="180">
        <f>M54/(P54+1)</f>
      </c>
      <c r="P54" s="177">
        <f>ROUNDDOWN(AVERAGE(J54:K54)/N54,0)</f>
      </c>
      <c r="Q54" s="175">
        <f>J54/AVERAGE(RailDefinition!T:T)</f>
      </c>
      <c r="R54" s="175">
        <f>K54/AVERAGE(RailDefinition!T:T)</f>
      </c>
      <c r="S54" s="177">
        <f>AVERAGE(Q54,R54)</f>
      </c>
      <c r="T54" s="3"/>
      <c r="U54" s="172" t="str">
        <v>声学导航（显影槽）</v>
      </c>
      <c r="V54" s="15"/>
    </row>
    <row r="55">
      <c r="A55" s="176">
        <f>E55&amp;"_"&amp;F55</f>
      </c>
      <c r="B55" s="172" t="str">
        <v>卫光阶</v>
      </c>
      <c r="C55" s="172" t="str">
        <v>遮光帘吞没光线，
阶梯只在余光中闪现。</v>
      </c>
      <c r="D55" s="178">
        <f>INT((F55-1) * CHOOSE(MIN(ROUNDUP(F55/10,0), 6), 1.2, 1.4, 1.6, 1.8, 2, 2.2))</f>
      </c>
      <c r="E55" s="172">
        <v>6</v>
      </c>
      <c r="F55" s="5">
        <v>54</v>
      </c>
      <c r="G55" s="179" t="str">
        <v>TheDarkRoom</v>
      </c>
      <c r="H55" s="126">
        <f>H54*0.85</f>
      </c>
      <c r="I55" s="126">
        <f>I54+0.5</f>
      </c>
      <c r="J55" s="173">
        <f>J54*(1+H55)</f>
      </c>
      <c r="K55" s="173">
        <f>J55+(5*(I55))</f>
      </c>
      <c r="L55" s="173">
        <f>M55-M54</f>
      </c>
      <c r="M55" s="177">
        <f>AVERAGE(J55,K55)</f>
      </c>
      <c r="N55" s="174">
        <f>N54</f>
      </c>
      <c r="O55" s="180">
        <f>M55/(P55+1)</f>
      </c>
      <c r="P55" s="177">
        <f>ROUNDDOWN(AVERAGE(J55:K55)/N55,0)</f>
      </c>
      <c r="Q55" s="175">
        <f>J55/AVERAGE(RailDefinition!T:T)</f>
      </c>
      <c r="R55" s="175">
        <f>K55/AVERAGE(RailDefinition!T:T)</f>
      </c>
      <c r="S55" s="177">
        <f>AVERAGE(Q55,R55)</f>
      </c>
      <c r="T55" s="3"/>
      <c r="U55" s="172" t="str">
        <v>遮光门／遮光帘</v>
      </c>
      <c r="V55" s="15"/>
    </row>
    <row r="56">
      <c r="A56" s="176">
        <f>E56&amp;"_"&amp;F56</f>
      </c>
      <c r="B56" s="172" t="str">
        <v>曝光之路</v>
      </c>
      <c r="C56" s="172" t="str">
        <v>一束曝光灯掠过，
让一切显得脆弱。</v>
      </c>
      <c r="D56" s="178">
        <f>INT((F56-1) * CHOOSE(MIN(ROUNDUP(F56/10,0), 6), 1.2, 1.4, 1.6, 1.8, 2, 2.2))</f>
      </c>
      <c r="E56" s="172">
        <v>6</v>
      </c>
      <c r="F56" s="5">
        <v>55</v>
      </c>
      <c r="G56" s="179" t="str">
        <v>TheDarkRoom</v>
      </c>
      <c r="H56" s="126">
        <f>H55*0.85</f>
      </c>
      <c r="I56" s="126">
        <f>I55+0.5</f>
      </c>
      <c r="J56" s="173">
        <f>J55*(1+H56)</f>
      </c>
      <c r="K56" s="173">
        <f>J56+(5*(I56))</f>
      </c>
      <c r="L56" s="173">
        <f>M56-M55</f>
      </c>
      <c r="M56" s="177">
        <f>AVERAGE(J56,K56)</f>
      </c>
      <c r="N56" s="174">
        <f>N55</f>
      </c>
      <c r="O56" s="180">
        <f>M56/(P56+1)</f>
      </c>
      <c r="P56" s="177">
        <f>ROUNDDOWN(AVERAGE(J56:K56)/N56,0)</f>
      </c>
      <c r="Q56" s="175">
        <f>J56/AVERAGE(RailDefinition!T:T)</f>
      </c>
      <c r="R56" s="175">
        <f>K56/AVERAGE(RailDefinition!T:T)</f>
      </c>
      <c r="S56" s="177">
        <f>AVERAGE(Q56,R56)</f>
      </c>
      <c r="T56" s="3"/>
      <c r="U56" s="172" t="str">
        <v>曝光＝失败的风险机制</v>
      </c>
      <c r="V56" s="15"/>
    </row>
    <row r="57">
      <c r="A57" s="176">
        <f>E57&amp;"_"&amp;F57</f>
      </c>
      <c r="B57" s="172" t="str">
        <v>光影显现</v>
      </c>
      <c r="C57" s="172" t="str">
        <v>影子在安全灯下拉长，
虚像与实像难以分辨。</v>
      </c>
      <c r="D57" s="178">
        <f>INT((F57-1) * CHOOSE(MIN(ROUNDUP(F57/10,0), 6), 1.2, 1.4, 1.6, 1.8, 2, 2.2))</f>
      </c>
      <c r="E57" s="172">
        <v>6</v>
      </c>
      <c r="F57" s="5">
        <v>56</v>
      </c>
      <c r="G57" s="179" t="str">
        <v>TheDarkRoom</v>
      </c>
      <c r="H57" s="126">
        <f>H56*0.85</f>
      </c>
      <c r="I57" s="126">
        <f>I56+0.5</f>
      </c>
      <c r="J57" s="173">
        <f>J56*(1+H57)</f>
      </c>
      <c r="K57" s="173">
        <f>J57+(5*(I57))</f>
      </c>
      <c r="L57" s="173">
        <f>M57-M56</f>
      </c>
      <c r="M57" s="177">
        <f>AVERAGE(J57,K57)</f>
      </c>
      <c r="N57" s="174">
        <f>N56</f>
      </c>
      <c r="O57" s="180">
        <f>M57/(P57+1)</f>
      </c>
      <c r="P57" s="177">
        <f>ROUNDDOWN(AVERAGE(J57:K57)/N57,0)</f>
      </c>
      <c r="Q57" s="175">
        <f>J57/AVERAGE(RailDefinition!T:T)</f>
      </c>
      <c r="R57" s="175">
        <f>K57/AVERAGE(RailDefinition!T:T)</f>
      </c>
      <c r="S57" s="177">
        <f>AVERAGE(Q57,R57)</f>
      </c>
      <c r="T57" s="3"/>
      <c r="U57" s="172" t="str">
        <v>影子误导路线</v>
      </c>
      <c r="V57" s="15"/>
    </row>
    <row r="58">
      <c r="A58" s="176">
        <f>E58&amp;"_"&amp;F58</f>
      </c>
      <c r="B58" s="172" t="str">
        <v>盲感走廊</v>
      </c>
      <c r="C58" s="172" t="str">
        <v>完全封光的走廊里，
只能凭微调前行。</v>
      </c>
      <c r="D58" s="178">
        <f>INT((F58-1) * CHOOSE(MIN(ROUNDUP(F58/10,0), 6), 1.2, 1.4, 1.6, 1.8, 2, 2.2))</f>
      </c>
      <c r="E58" s="172">
        <v>6</v>
      </c>
      <c r="F58" s="5">
        <v>57</v>
      </c>
      <c r="G58" s="179" t="str">
        <v>TheDarkRoom</v>
      </c>
      <c r="H58" s="126">
        <f>H57*0.85</f>
      </c>
      <c r="I58" s="126">
        <f>I57+0.5</f>
      </c>
      <c r="J58" s="173">
        <f>J57*(1+H58)</f>
      </c>
      <c r="K58" s="173">
        <f>J58+(5*(I58))</f>
      </c>
      <c r="L58" s="173">
        <f>M58-M57</f>
      </c>
      <c r="M58" s="177">
        <f>AVERAGE(J58,K58)</f>
      </c>
      <c r="N58" s="174">
        <f>N57</f>
      </c>
      <c r="O58" s="180">
        <f>M58/(P58+1)</f>
      </c>
      <c r="P58" s="177">
        <f>ROUNDDOWN(AVERAGE(J58:K58)/N58,0)</f>
      </c>
      <c r="Q58" s="175">
        <f>J58/AVERAGE(RailDefinition!T:T)</f>
      </c>
      <c r="R58" s="175">
        <f>K58/AVERAGE(RailDefinition!T:T)</f>
      </c>
      <c r="S58" s="177">
        <f>AVERAGE(Q58,R58)</f>
      </c>
      <c r="T58" s="3"/>
      <c r="U58" s="172" t="str">
        <v>全暗 + 声音提示</v>
      </c>
      <c r="V58" s="15"/>
    </row>
    <row r="59">
      <c r="A59" s="176">
        <f>E59&amp;"_"&amp;F59</f>
      </c>
      <c r="B59" s="172" t="str">
        <v>遮光门</v>
      </c>
      <c r="C59" s="172" t="str">
        <v>遮光门反复吞吐光线，
节奏成为唯一依据。</v>
      </c>
      <c r="D59" s="178">
        <f>INT((F59-1) * CHOOSE(MIN(ROUNDUP(F59/10,0), 6), 1.2, 1.4, 1.6, 1.8, 2, 2.2))</f>
      </c>
      <c r="E59" s="172">
        <v>6</v>
      </c>
      <c r="F59" s="5">
        <v>58</v>
      </c>
      <c r="G59" s="179" t="str">
        <v>TheDarkRoom</v>
      </c>
      <c r="H59" s="126">
        <f>H58*0.85</f>
      </c>
      <c r="I59" s="126">
        <f>I58+0.5</f>
      </c>
      <c r="J59" s="173">
        <f>J58*(1+H59)</f>
      </c>
      <c r="K59" s="173">
        <f>J59+(5*(I59))</f>
      </c>
      <c r="L59" s="173">
        <f>M59-M58</f>
      </c>
      <c r="M59" s="177">
        <f>AVERAGE(J59,K59)</f>
      </c>
      <c r="N59" s="174">
        <f>N58</f>
      </c>
      <c r="O59" s="180">
        <f>M59/(P59+1)</f>
      </c>
      <c r="P59" s="177">
        <f>ROUNDDOWN(AVERAGE(J59:K59)/N59,0)</f>
      </c>
      <c r="Q59" s="175">
        <f>J59/AVERAGE(RailDefinition!T:T)</f>
      </c>
      <c r="R59" s="175">
        <f>K59/AVERAGE(RailDefinition!T:T)</f>
      </c>
      <c r="S59" s="177">
        <f>AVERAGE(Q59,R59)</f>
      </c>
      <c r="T59" s="3"/>
      <c r="U59" s="172" t="str">
        <v>节奏切换</v>
      </c>
      <c r="V59" s="15"/>
    </row>
    <row r="60">
      <c r="A60" s="176">
        <f>E60&amp;"_"&amp;F60</f>
      </c>
      <c r="B60" s="172" t="str">
        <v>曝光返照</v>
      </c>
      <c r="C60" s="172" t="str">
        <v>曝光灯闪烁，
一瞬光足以改写路线。</v>
      </c>
      <c r="D60" s="178">
        <f>INT((F60-1) * CHOOSE(MIN(ROUNDUP(F60/10,0), 6), 1.2, 1.4, 1.6, 1.8, 2, 2.2))</f>
      </c>
      <c r="E60" s="172">
        <v>6</v>
      </c>
      <c r="F60" s="5">
        <v>59</v>
      </c>
      <c r="G60" s="179" t="str">
        <v>TheDarkRoom</v>
      </c>
      <c r="H60" s="126">
        <f>H59*0.85</f>
      </c>
      <c r="I60" s="126">
        <f>I59+0.5</f>
      </c>
      <c r="J60" s="173">
        <f>J59*(1+H60)</f>
      </c>
      <c r="K60" s="173">
        <f>J60+(5*(I60))</f>
      </c>
      <c r="L60" s="173">
        <f>M60-M59</f>
      </c>
      <c r="M60" s="177">
        <f>AVERAGE(J60,K60)</f>
      </c>
      <c r="N60" s="174">
        <f>N59</f>
      </c>
      <c r="O60" s="180">
        <f>M60/(P60+1)</f>
      </c>
      <c r="P60" s="177">
        <f>ROUNDDOWN(AVERAGE(J60:K60)/N60,0)</f>
      </c>
      <c r="Q60" s="175">
        <f>J60/AVERAGE(RailDefinition!T:T)</f>
      </c>
      <c r="R60" s="175">
        <f>K60/AVERAGE(RailDefinition!T:T)</f>
      </c>
      <c r="S60" s="177">
        <f>AVERAGE(Q60,R60)</f>
      </c>
      <c r="T60" s="3"/>
      <c r="U60" s="172" t="str">
        <v>闪烁光束决策</v>
      </c>
      <c r="V60" s="15"/>
    </row>
    <row r="61">
      <c r="A61" s="176">
        <f>E61&amp;"_"&amp;F61</f>
      </c>
      <c r="B61" s="172" t="str">
        <v>暗室之心</v>
      </c>
      <c r="C61" s="172" t="str">
        <v>在绝对的黑中，
影与光的界线最终消失。</v>
      </c>
      <c r="D61" s="178">
        <f>INT((F61-1) * CHOOSE(MIN(ROUNDUP(F61/10,0), 6), 1.2, 1.4, 1.6, 1.8, 2, 2.2))</f>
      </c>
      <c r="E61" s="172">
        <v>6</v>
      </c>
      <c r="F61" s="5">
        <v>60</v>
      </c>
      <c r="G61" s="179" t="str">
        <v>TheDarkRoom</v>
      </c>
      <c r="H61" s="126">
        <f>H60*0.85</f>
      </c>
      <c r="I61" s="126">
        <f>I60+0.5</f>
      </c>
      <c r="J61" s="173">
        <f>J60*(1+H61)</f>
      </c>
      <c r="K61" s="173">
        <f>J61+(5*(I61))</f>
      </c>
      <c r="L61" s="173">
        <f>M61-M60</f>
      </c>
      <c r="M61" s="177">
        <f>AVERAGE(J61,K61)</f>
      </c>
      <c r="N61" s="174">
        <f>N60</f>
      </c>
      <c r="O61" s="180">
        <f>M61/(P61+1)</f>
      </c>
      <c r="P61" s="177">
        <f>ROUNDDOWN(AVERAGE(J61:K61)/N61,0)</f>
      </c>
      <c r="Q61" s="175">
        <f>J61/AVERAGE(RailDefinition!T:T)</f>
      </c>
      <c r="R61" s="181">
        <f>K61/AVERAGE(RailDefinition!T:T)</f>
      </c>
      <c r="S61" s="177">
        <f>AVERAGE(Q61,R61)</f>
      </c>
      <c r="T61" s="3"/>
      <c r="U61" s="172" t="str">
        <v>Boss：暗室全部机制整合</v>
      </c>
      <c r="V61" s="15"/>
    </row>
    <row r="62">
      <c r="A62" s="176">
        <f>E62&amp;"_"&amp;F62</f>
      </c>
      <c r="D62" s="178">
        <f>INT((F62-1) * CHOOSE(MIN(ROUNDUP(F62/10,0), 6), 1.2, 1.4, 1.6, 1.8, 2, 2.2))</f>
      </c>
      <c r="E62" s="5">
        <v>7</v>
      </c>
      <c r="F62" s="5">
        <v>61</v>
      </c>
      <c r="H62" s="126">
        <f>H53</f>
      </c>
      <c r="I62" s="126">
        <v>1</v>
      </c>
      <c r="J62" s="173">
        <f>J53</f>
      </c>
      <c r="K62" s="173">
        <f>J62+(5*(I62))</f>
      </c>
      <c r="L62" s="173">
        <f>"K="&amp;ROUNDUP((K71-K62)/10,2)</f>
      </c>
      <c r="M62" s="177">
        <f>AVERAGE(J62,K62)</f>
      </c>
      <c r="N62" s="174">
        <f>AVERAGE(J12:J71)</f>
      </c>
      <c r="O62" s="180">
        <f>M62/(P62+1)</f>
      </c>
      <c r="P62" s="177">
        <f>ROUNDDOWN(AVERAGE(J62:K62)/N62,0)</f>
      </c>
      <c r="Q62" s="175">
        <f>J62/AVERAGE(RailDefinition!T:T)</f>
      </c>
      <c r="R62" s="175">
        <f>K62/AVERAGE(RailDefinition!T:T)</f>
      </c>
      <c r="S62" s="177">
        <f>AVERAGE(Q62,R62)</f>
      </c>
      <c r="T62" s="3"/>
      <c r="V62" s="15"/>
    </row>
    <row r="63">
      <c r="A63" s="176">
        <f>E63&amp;"_"&amp;F63</f>
      </c>
      <c r="D63" s="178">
        <f>INT((F63-1) * CHOOSE(MIN(ROUNDUP(F63/10,0), 6), 1.2, 1.4, 1.6, 1.8, 2, 2.2))</f>
      </c>
      <c r="E63" s="5">
        <v>7</v>
      </c>
      <c r="F63" s="5">
        <v>62</v>
      </c>
      <c r="H63" s="126">
        <f>H62*0.85</f>
      </c>
      <c r="I63" s="126">
        <f>I62+0.5</f>
      </c>
      <c r="J63" s="173">
        <f>J62*(1+H63)</f>
      </c>
      <c r="K63" s="173">
        <f>J63+(5*(I63))</f>
      </c>
      <c r="L63" s="173">
        <f>M63-M62</f>
      </c>
      <c r="M63" s="177">
        <f>AVERAGE(J63,K63)</f>
      </c>
      <c r="N63" s="174">
        <f>N62</f>
      </c>
      <c r="O63" s="180">
        <f>M63/(P63+1)</f>
      </c>
      <c r="P63" s="177">
        <f>ROUNDDOWN(AVERAGE(J63:K63)/N63,0)</f>
      </c>
      <c r="Q63" s="175">
        <f>J63/AVERAGE(RailDefinition!T:T)</f>
      </c>
      <c r="R63" s="181">
        <f>K63/AVERAGE(RailDefinition!T:T)</f>
      </c>
      <c r="S63" s="177">
        <f>AVERAGE(Q63,R63)</f>
      </c>
      <c r="T63" s="3"/>
      <c r="V63" s="15"/>
    </row>
    <row r="64">
      <c r="A64" s="176">
        <f>E64&amp;"_"&amp;F64</f>
      </c>
      <c r="D64" s="178">
        <f>INT((F64-1) * CHOOSE(MIN(ROUNDUP(F64/10,0), 6), 1.2, 1.4, 1.6, 1.8, 2, 2.2))</f>
      </c>
      <c r="E64" s="5">
        <v>7</v>
      </c>
      <c r="F64" s="5">
        <v>63</v>
      </c>
      <c r="H64" s="126">
        <f>H63*0.85</f>
      </c>
      <c r="I64" s="126">
        <f>I63+0.5</f>
      </c>
      <c r="J64" s="173">
        <f>J63*(1+H64)</f>
      </c>
      <c r="K64" s="173">
        <f>J64+(5*(I64))</f>
      </c>
      <c r="L64" s="173">
        <f>M64-M63</f>
      </c>
      <c r="M64" s="177">
        <f>AVERAGE(J64,K64)</f>
      </c>
      <c r="N64" s="174">
        <f>N63</f>
      </c>
      <c r="O64" s="180">
        <f>M64/(P64+1)</f>
      </c>
      <c r="P64" s="177">
        <f>ROUNDDOWN(AVERAGE(J64:K64)/N64,0)</f>
      </c>
      <c r="Q64" s="175">
        <f>J64/AVERAGE(RailDefinition!T:T)</f>
      </c>
      <c r="R64" s="181">
        <f>K64/AVERAGE(RailDefinition!T:T)</f>
      </c>
      <c r="S64" s="177">
        <f>AVERAGE(Q64,R64)</f>
      </c>
      <c r="T64" s="3"/>
      <c r="V64" s="15"/>
    </row>
    <row r="65">
      <c r="A65" s="176">
        <f>E65&amp;"_"&amp;F65</f>
      </c>
      <c r="D65" s="178">
        <f>INT((F65-1) * CHOOSE(MIN(ROUNDUP(F65/10,0), 6), 1.2, 1.4, 1.6, 1.8, 2, 2.2))</f>
      </c>
      <c r="E65" s="5">
        <v>7</v>
      </c>
      <c r="F65" s="5">
        <v>64</v>
      </c>
      <c r="H65" s="126">
        <f>H64*0.85</f>
      </c>
      <c r="I65" s="126">
        <f>I64+0.5</f>
      </c>
      <c r="J65" s="173">
        <f>J64*(1+H65)</f>
      </c>
      <c r="K65" s="173">
        <f>J65+(5*(I65))</f>
      </c>
      <c r="L65" s="173">
        <f>M65-M64</f>
      </c>
      <c r="M65" s="177">
        <f>AVERAGE(J65,K65)</f>
      </c>
      <c r="N65" s="174">
        <f>N64</f>
      </c>
      <c r="O65" s="180">
        <f>M65/(P65+1)</f>
      </c>
      <c r="P65" s="177">
        <f>ROUNDDOWN(AVERAGE(J65:K65)/N65,0)</f>
      </c>
      <c r="Q65" s="175">
        <f>J65/AVERAGE(RailDefinition!T:T)</f>
      </c>
      <c r="R65" s="181">
        <f>K65/AVERAGE(RailDefinition!T:T)</f>
      </c>
      <c r="S65" s="177">
        <f>AVERAGE(Q65,R65)</f>
      </c>
      <c r="T65" s="3"/>
      <c r="V65" s="15"/>
    </row>
    <row r="66">
      <c r="A66" s="176">
        <f>E66&amp;"_"&amp;F66</f>
      </c>
      <c r="D66" s="178">
        <f>INT((F66-1) * CHOOSE(MIN(ROUNDUP(F66/10,0), 6), 1.2, 1.4, 1.6, 1.8, 2, 2.2))</f>
      </c>
      <c r="E66" s="5">
        <v>7</v>
      </c>
      <c r="F66" s="5">
        <v>65</v>
      </c>
      <c r="H66" s="126">
        <f>H65*0.85</f>
      </c>
      <c r="I66" s="126">
        <f>I65+0.5</f>
      </c>
      <c r="J66" s="173">
        <f>J65*(1+H66)</f>
      </c>
      <c r="K66" s="173">
        <f>J66+(5*(I66))</f>
      </c>
      <c r="L66" s="173">
        <f>M66-M65</f>
      </c>
      <c r="M66" s="177">
        <f>AVERAGE(J66,K66)</f>
      </c>
      <c r="N66" s="174">
        <f>N65</f>
      </c>
      <c r="O66" s="180">
        <f>M66/(P66+1)</f>
      </c>
      <c r="P66" s="177">
        <f>ROUNDDOWN(AVERAGE(J66:K66)/N66,0)</f>
      </c>
      <c r="Q66" s="175">
        <f>J66/AVERAGE(RailDefinition!T:T)</f>
      </c>
      <c r="R66" s="181">
        <f>K66/AVERAGE(RailDefinition!T:T)</f>
      </c>
      <c r="S66" s="177">
        <f>AVERAGE(Q66,R66)</f>
      </c>
      <c r="T66" s="3"/>
      <c r="V66" s="15"/>
    </row>
    <row r="67">
      <c r="A67" s="176">
        <f>E67&amp;"_"&amp;F67</f>
      </c>
      <c r="D67" s="178">
        <f>INT((F67-1) * CHOOSE(MIN(ROUNDUP(F67/10,0), 6), 1.2, 1.4, 1.6, 1.8, 2, 2.2))</f>
      </c>
      <c r="E67" s="5">
        <v>7</v>
      </c>
      <c r="F67" s="5">
        <v>66</v>
      </c>
      <c r="H67" s="126">
        <f>H66*0.85</f>
      </c>
      <c r="I67" s="126">
        <f>I66+0.5</f>
      </c>
      <c r="J67" s="173">
        <f>J66*(1+H67)</f>
      </c>
      <c r="K67" s="173">
        <f>J67+(5*(I67))</f>
      </c>
      <c r="L67" s="173">
        <f>M67-M66</f>
      </c>
      <c r="M67" s="177">
        <f>AVERAGE(J67,K67)</f>
      </c>
      <c r="N67" s="174">
        <f>N66</f>
      </c>
      <c r="O67" s="180">
        <f>M67/(P67+1)</f>
      </c>
      <c r="P67" s="177">
        <f>ROUNDDOWN(AVERAGE(J67:K67)/N67,0)</f>
      </c>
      <c r="Q67" s="175">
        <f>J67/AVERAGE(RailDefinition!T:T)</f>
      </c>
      <c r="R67" s="181">
        <f>K67/AVERAGE(RailDefinition!T:T)</f>
      </c>
      <c r="S67" s="177">
        <f>AVERAGE(Q67,R67)</f>
      </c>
      <c r="T67" s="3"/>
      <c r="V67" s="15"/>
    </row>
    <row r="68">
      <c r="A68" s="176">
        <f>E68&amp;"_"&amp;F68</f>
      </c>
      <c r="D68" s="178">
        <f>INT((F68-1) * CHOOSE(MIN(ROUNDUP(F68/10,0), 6), 1.2, 1.4, 1.6, 1.8, 2, 2.2))</f>
      </c>
      <c r="E68" s="5">
        <v>7</v>
      </c>
      <c r="F68" s="5">
        <v>67</v>
      </c>
      <c r="H68" s="126">
        <f>H67*0.85</f>
      </c>
      <c r="I68" s="126">
        <f>I67+0.5</f>
      </c>
      <c r="J68" s="173">
        <f>J67*(1+H68)</f>
      </c>
      <c r="K68" s="173">
        <f>J68+(5*(I68))</f>
      </c>
      <c r="L68" s="173">
        <f>M68-M67</f>
      </c>
      <c r="M68" s="177">
        <f>AVERAGE(J68,K68)</f>
      </c>
      <c r="N68" s="174">
        <f>N67</f>
      </c>
      <c r="O68" s="180">
        <f>M68/(P68+1)</f>
      </c>
      <c r="P68" s="177">
        <f>ROUNDDOWN(AVERAGE(J68:K68)/N68,0)</f>
      </c>
      <c r="Q68" s="175">
        <f>J68/AVERAGE(RailDefinition!T:T)</f>
      </c>
      <c r="R68" s="181">
        <f>K68/AVERAGE(RailDefinition!T:T)</f>
      </c>
      <c r="S68" s="177">
        <f>AVERAGE(Q68,R68)</f>
      </c>
      <c r="T68" s="3"/>
      <c r="V68" s="15"/>
    </row>
    <row r="69">
      <c r="A69" s="176">
        <f>E69&amp;"_"&amp;F69</f>
      </c>
      <c r="D69" s="178">
        <f>INT((F69-1) * CHOOSE(MIN(ROUNDUP(F69/10,0), 6), 1.2, 1.4, 1.6, 1.8, 2, 2.2))</f>
      </c>
      <c r="E69" s="5">
        <v>7</v>
      </c>
      <c r="F69" s="5">
        <v>68</v>
      </c>
      <c r="H69" s="126">
        <f>H68*0.85</f>
      </c>
      <c r="I69" s="126">
        <f>I68+0.5</f>
      </c>
      <c r="J69" s="173">
        <f>J68*(1+H69)</f>
      </c>
      <c r="K69" s="173">
        <f>J69+(5*(I69))</f>
      </c>
      <c r="L69" s="173">
        <f>M69-M68</f>
      </c>
      <c r="M69" s="177">
        <f>AVERAGE(J69,K69)</f>
      </c>
      <c r="N69" s="174">
        <f>N68</f>
      </c>
      <c r="O69" s="180">
        <f>M69/(P69+1)</f>
      </c>
      <c r="P69" s="177">
        <f>ROUNDDOWN(AVERAGE(J69:K69)/N69,0)</f>
      </c>
      <c r="Q69" s="175">
        <f>J69/AVERAGE(RailDefinition!T:T)</f>
      </c>
      <c r="R69" s="181">
        <f>K69/AVERAGE(RailDefinition!T:T)</f>
      </c>
      <c r="S69" s="177">
        <f>AVERAGE(Q69,R69)</f>
      </c>
      <c r="T69" s="3"/>
      <c r="V69" s="15"/>
    </row>
    <row r="70">
      <c r="A70" s="176">
        <f>E70&amp;"_"&amp;F70</f>
      </c>
      <c r="D70" s="178">
        <f>INT((F70-1) * CHOOSE(MIN(ROUNDUP(F70/10,0), 6), 1.2, 1.4, 1.6, 1.8, 2, 2.2))</f>
      </c>
      <c r="E70" s="5">
        <v>7</v>
      </c>
      <c r="F70" s="5">
        <v>69</v>
      </c>
      <c r="H70" s="126">
        <f>H69*0.85</f>
      </c>
      <c r="I70" s="126">
        <f>I69+0.5</f>
      </c>
      <c r="J70" s="173">
        <f>J69*(1+H70)</f>
      </c>
      <c r="K70" s="173">
        <f>J70+(5*(I70))</f>
      </c>
      <c r="L70" s="173">
        <f>M70-M69</f>
      </c>
      <c r="M70" s="177">
        <f>AVERAGE(J70,K70)</f>
      </c>
      <c r="N70" s="174">
        <f>N69</f>
      </c>
      <c r="O70" s="180">
        <f>M70/(P70+1)</f>
      </c>
      <c r="P70" s="177">
        <f>ROUNDDOWN(AVERAGE(J70:K70)/N70,0)</f>
      </c>
      <c r="Q70" s="175">
        <f>J70/AVERAGE(RailDefinition!T:T)</f>
      </c>
      <c r="R70" s="181">
        <f>K70/AVERAGE(RailDefinition!T:T)</f>
      </c>
      <c r="S70" s="177">
        <f>AVERAGE(Q70,R70)</f>
      </c>
      <c r="T70" s="3"/>
      <c r="V70" s="15"/>
    </row>
    <row r="71">
      <c r="A71" s="176">
        <f>E71&amp;"_"&amp;F71</f>
      </c>
      <c r="D71" s="178">
        <f>INT((F71-1) * CHOOSE(MIN(ROUNDUP(F71/10,0), 6), 1.2, 1.4, 1.6, 1.8, 2, 2.2))</f>
      </c>
      <c r="E71" s="5">
        <v>7</v>
      </c>
      <c r="F71" s="5">
        <v>70</v>
      </c>
      <c r="H71" s="126">
        <f>H70*0.85</f>
      </c>
      <c r="I71" s="126">
        <f>I70+0.5</f>
      </c>
      <c r="J71" s="173">
        <f>J70*(1+H71)</f>
      </c>
      <c r="K71" s="173">
        <f>J71+(5*(I71))</f>
      </c>
      <c r="L71" s="173">
        <f>M71-M70</f>
      </c>
      <c r="M71" s="177">
        <f>AVERAGE(J71,K71)</f>
      </c>
      <c r="N71" s="174">
        <f>N70</f>
      </c>
      <c r="O71" s="180">
        <f>M71/(P71+1)</f>
      </c>
      <c r="P71" s="177">
        <f>ROUNDDOWN(AVERAGE(J71:K71)/N71,0)</f>
      </c>
      <c r="Q71" s="175">
        <f>J71/AVERAGE(RailDefinition!T:T)</f>
      </c>
      <c r="R71" s="181">
        <f>K71/AVERAGE(RailDefinition!T:T)</f>
      </c>
      <c r="S71" s="177">
        <f>AVERAGE(Q71,R71)</f>
      </c>
      <c r="T71" s="3"/>
      <c r="V71" s="15"/>
    </row>
    <row r="72">
      <c r="A72" s="176">
        <f>E72&amp;"_"&amp;F72</f>
      </c>
      <c r="D72" s="178">
        <f>INT((F72-1) * CHOOSE(MIN(ROUNDUP(F72/10,0), 6), 1.2, 1.4, 1.6, 1.8, 2, 2.2))</f>
      </c>
      <c r="E72" s="5">
        <v>8</v>
      </c>
      <c r="F72" s="5">
        <v>71</v>
      </c>
      <c r="H72" s="126">
        <f>H63</f>
      </c>
      <c r="I72" s="126">
        <v>1</v>
      </c>
      <c r="J72" s="173">
        <f>J63</f>
      </c>
      <c r="K72" s="173">
        <f>J72+(5*(I72))</f>
      </c>
      <c r="L72" s="173">
        <f>"K="&amp;ROUNDUP((K81-K72)/10,2)</f>
      </c>
      <c r="M72" s="177">
        <f>AVERAGE(J72,K72)</f>
      </c>
      <c r="N72" s="174">
        <f>AVERAGE(J22:J81)</f>
      </c>
      <c r="O72" s="180">
        <f>M72/(P72+1)</f>
      </c>
      <c r="P72" s="177">
        <f>ROUNDDOWN(AVERAGE(J72:K72)/N72,0)</f>
      </c>
      <c r="Q72" s="175">
        <f>J72/AVERAGE(RailDefinition!T:T)</f>
      </c>
      <c r="R72" s="175">
        <f>K72/AVERAGE(RailDefinition!T:T)</f>
      </c>
      <c r="S72" s="177">
        <f>AVERAGE(Q72,R72)</f>
      </c>
      <c r="T72" s="3"/>
      <c r="V72" s="15"/>
    </row>
    <row r="73">
      <c r="A73" s="176">
        <f>E73&amp;"_"&amp;F73</f>
      </c>
      <c r="D73" s="178">
        <f>INT((F73-1) * CHOOSE(MIN(ROUNDUP(F73/10,0), 6), 1.2, 1.4, 1.6, 1.8, 2, 2.2))</f>
      </c>
      <c r="E73" s="5">
        <v>8</v>
      </c>
      <c r="F73" s="5">
        <v>72</v>
      </c>
      <c r="H73" s="126">
        <f>H72*0.85</f>
      </c>
      <c r="I73" s="126">
        <f>I72+0.5</f>
      </c>
      <c r="J73" s="173">
        <f>J72*(1+H73)</f>
      </c>
      <c r="K73" s="173">
        <f>J73+(5*(I73))</f>
      </c>
      <c r="L73" s="173">
        <f>M73-M72</f>
      </c>
      <c r="M73" s="177">
        <f>AVERAGE(J73,K73)</f>
      </c>
      <c r="N73" s="174">
        <f>N72</f>
      </c>
      <c r="O73" s="180">
        <f>M73/(P73+1)</f>
      </c>
      <c r="P73" s="177">
        <f>ROUNDDOWN(AVERAGE(J73:K73)/N73,0)</f>
      </c>
      <c r="Q73" s="175">
        <f>J73/AVERAGE(RailDefinition!T:T)</f>
      </c>
      <c r="R73" s="181">
        <f>K73/AVERAGE(RailDefinition!T:T)</f>
      </c>
      <c r="S73" s="177">
        <f>AVERAGE(Q73,R73)</f>
      </c>
      <c r="T73" s="3"/>
      <c r="V73" s="15"/>
    </row>
    <row r="74">
      <c r="A74" s="176">
        <f>E74&amp;"_"&amp;F74</f>
      </c>
      <c r="D74" s="178">
        <f>INT((F74-1) * CHOOSE(MIN(ROUNDUP(F74/10,0), 6), 1.2, 1.4, 1.6, 1.8, 2, 2.2))</f>
      </c>
      <c r="E74" s="5">
        <v>8</v>
      </c>
      <c r="F74" s="5">
        <v>73</v>
      </c>
      <c r="H74" s="126">
        <f>H73*0.85</f>
      </c>
      <c r="I74" s="126">
        <f>I73+0.5</f>
      </c>
      <c r="J74" s="173">
        <f>J73*(1+H74)</f>
      </c>
      <c r="K74" s="173">
        <f>J74+(5*(I74))</f>
      </c>
      <c r="L74" s="173">
        <f>M74-M73</f>
      </c>
      <c r="M74" s="177">
        <f>AVERAGE(J74,K74)</f>
      </c>
      <c r="N74" s="174">
        <f>N73</f>
      </c>
      <c r="O74" s="180">
        <f>M74/(P74+1)</f>
      </c>
      <c r="P74" s="177">
        <f>ROUNDDOWN(AVERAGE(J74:K74)/N74,0)</f>
      </c>
      <c r="Q74" s="175">
        <f>J74/AVERAGE(RailDefinition!T:T)</f>
      </c>
      <c r="R74" s="181">
        <f>K74/AVERAGE(RailDefinition!T:T)</f>
      </c>
      <c r="S74" s="177">
        <f>AVERAGE(Q74,R74)</f>
      </c>
      <c r="T74" s="3"/>
      <c r="V74" s="15"/>
    </row>
    <row r="75">
      <c r="A75" s="176">
        <f>E75&amp;"_"&amp;F75</f>
      </c>
      <c r="D75" s="178">
        <f>INT((F75-1) * CHOOSE(MIN(ROUNDUP(F75/10,0), 6), 1.2, 1.4, 1.6, 1.8, 2, 2.2))</f>
      </c>
      <c r="E75" s="5">
        <v>8</v>
      </c>
      <c r="F75" s="5">
        <v>74</v>
      </c>
      <c r="H75" s="126">
        <f>H74*0.85</f>
      </c>
      <c r="I75" s="126">
        <f>I74+0.5</f>
      </c>
      <c r="J75" s="173">
        <f>J74*(1+H75)</f>
      </c>
      <c r="K75" s="173">
        <f>J75+(5*(I75))</f>
      </c>
      <c r="L75" s="173">
        <f>M75-M74</f>
      </c>
      <c r="M75" s="177">
        <f>AVERAGE(J75,K75)</f>
      </c>
      <c r="N75" s="174">
        <f>N74</f>
      </c>
      <c r="O75" s="180">
        <f>M75/(P75+1)</f>
      </c>
      <c r="P75" s="177">
        <f>ROUNDDOWN(AVERAGE(J75:K75)/N75,0)</f>
      </c>
      <c r="Q75" s="175">
        <f>J75/AVERAGE(RailDefinition!T:T)</f>
      </c>
      <c r="R75" s="181">
        <f>K75/AVERAGE(RailDefinition!T:T)</f>
      </c>
      <c r="S75" s="177">
        <f>AVERAGE(Q75,R75)</f>
      </c>
      <c r="T75" s="3"/>
      <c r="V75" s="15"/>
    </row>
    <row r="76">
      <c r="A76" s="176">
        <f>E76&amp;"_"&amp;F76</f>
      </c>
      <c r="D76" s="178">
        <f>INT((F76-1) * CHOOSE(MIN(ROUNDUP(F76/10,0), 6), 1.2, 1.4, 1.6, 1.8, 2, 2.2))</f>
      </c>
      <c r="E76" s="5">
        <v>8</v>
      </c>
      <c r="F76" s="5">
        <v>75</v>
      </c>
      <c r="H76" s="126">
        <f>H75*0.85</f>
      </c>
      <c r="I76" s="126">
        <f>I75+0.5</f>
      </c>
      <c r="J76" s="173">
        <f>J75*(1+H76)</f>
      </c>
      <c r="K76" s="173">
        <f>J76+(5*(I76))</f>
      </c>
      <c r="L76" s="173">
        <f>M76-M75</f>
      </c>
      <c r="M76" s="177">
        <f>AVERAGE(J76,K76)</f>
      </c>
      <c r="N76" s="174">
        <f>N75</f>
      </c>
      <c r="O76" s="180">
        <f>M76/(P76+1)</f>
      </c>
      <c r="P76" s="177">
        <f>ROUNDDOWN(AVERAGE(J76:K76)/N76,0)</f>
      </c>
      <c r="Q76" s="175">
        <f>J76/AVERAGE(RailDefinition!T:T)</f>
      </c>
      <c r="R76" s="181">
        <f>K76/AVERAGE(RailDefinition!T:T)</f>
      </c>
      <c r="S76" s="177">
        <f>AVERAGE(Q76,R76)</f>
      </c>
      <c r="T76" s="3"/>
      <c r="V76" s="15"/>
    </row>
    <row r="77">
      <c r="A77" s="176">
        <f>E77&amp;"_"&amp;F77</f>
      </c>
      <c r="D77" s="178">
        <f>INT((F77-1) * CHOOSE(MIN(ROUNDUP(F77/10,0), 6), 1.2, 1.4, 1.6, 1.8, 2, 2.2))</f>
      </c>
      <c r="E77" s="5">
        <v>8</v>
      </c>
      <c r="F77" s="5">
        <v>76</v>
      </c>
      <c r="H77" s="126">
        <f>H76*0.85</f>
      </c>
      <c r="I77" s="126">
        <f>I76+0.5</f>
      </c>
      <c r="J77" s="173">
        <f>J76*(1+H77)</f>
      </c>
      <c r="K77" s="173">
        <f>J77+(5*(I77))</f>
      </c>
      <c r="L77" s="173">
        <f>M77-M76</f>
      </c>
      <c r="M77" s="177">
        <f>AVERAGE(J77,K77)</f>
      </c>
      <c r="N77" s="174">
        <f>N76</f>
      </c>
      <c r="O77" s="180">
        <f>M77/(P77+1)</f>
      </c>
      <c r="P77" s="177">
        <f>ROUNDDOWN(AVERAGE(J77:K77)/N77,0)</f>
      </c>
      <c r="Q77" s="175">
        <f>J77/AVERAGE(RailDefinition!T:T)</f>
      </c>
      <c r="R77" s="181">
        <f>K77/AVERAGE(RailDefinition!T:T)</f>
      </c>
      <c r="S77" s="177">
        <f>AVERAGE(Q77,R77)</f>
      </c>
      <c r="T77" s="3"/>
      <c r="V77" s="15"/>
    </row>
    <row r="78">
      <c r="A78" s="176">
        <f>E78&amp;"_"&amp;F78</f>
      </c>
      <c r="D78" s="178">
        <f>INT((F78-1) * CHOOSE(MIN(ROUNDUP(F78/10,0), 6), 1.2, 1.4, 1.6, 1.8, 2, 2.2))</f>
      </c>
      <c r="E78" s="5">
        <v>8</v>
      </c>
      <c r="F78" s="5">
        <v>77</v>
      </c>
      <c r="H78" s="126">
        <f>H77*0.85</f>
      </c>
      <c r="I78" s="126">
        <f>I77+0.5</f>
      </c>
      <c r="J78" s="173">
        <f>J77*(1+H78)</f>
      </c>
      <c r="K78" s="173">
        <f>J78+(5*(I78))</f>
      </c>
      <c r="L78" s="173">
        <f>M78-M77</f>
      </c>
      <c r="M78" s="177">
        <f>AVERAGE(J78,K78)</f>
      </c>
      <c r="N78" s="174">
        <f>N77</f>
      </c>
      <c r="O78" s="180">
        <f>M78/(P78+1)</f>
      </c>
      <c r="P78" s="177">
        <f>ROUNDDOWN(AVERAGE(J78:K78)/N78,0)</f>
      </c>
      <c r="Q78" s="175">
        <f>J78/AVERAGE(RailDefinition!T:T)</f>
      </c>
      <c r="R78" s="181">
        <f>K78/AVERAGE(RailDefinition!T:T)</f>
      </c>
      <c r="S78" s="177">
        <f>AVERAGE(Q78,R78)</f>
      </c>
      <c r="T78" s="3"/>
      <c r="V78" s="15"/>
    </row>
    <row r="79">
      <c r="A79" s="176">
        <f>E79&amp;"_"&amp;F79</f>
      </c>
      <c r="D79" s="178">
        <f>INT((F79-1) * CHOOSE(MIN(ROUNDUP(F79/10,0), 6), 1.2, 1.4, 1.6, 1.8, 2, 2.2))</f>
      </c>
      <c r="E79" s="5">
        <v>8</v>
      </c>
      <c r="F79" s="5">
        <v>78</v>
      </c>
      <c r="H79" s="126">
        <f>H78*0.85</f>
      </c>
      <c r="I79" s="126">
        <f>I78+0.5</f>
      </c>
      <c r="J79" s="173">
        <f>J78*(1+H79)</f>
      </c>
      <c r="K79" s="173">
        <f>J79+(5*(I79))</f>
      </c>
      <c r="L79" s="173">
        <f>M79-M78</f>
      </c>
      <c r="M79" s="177">
        <f>AVERAGE(J79,K79)</f>
      </c>
      <c r="N79" s="174">
        <f>N78</f>
      </c>
      <c r="O79" s="180">
        <f>M79/(P79+1)</f>
      </c>
      <c r="P79" s="177">
        <f>ROUNDDOWN(AVERAGE(J79:K79)/N79,0)</f>
      </c>
      <c r="Q79" s="175">
        <f>J79/AVERAGE(RailDefinition!T:T)</f>
      </c>
      <c r="R79" s="181">
        <f>K79/AVERAGE(RailDefinition!T:T)</f>
      </c>
      <c r="S79" s="177">
        <f>AVERAGE(Q79,R79)</f>
      </c>
      <c r="T79" s="3"/>
      <c r="V79" s="15"/>
    </row>
    <row r="80">
      <c r="A80" s="176">
        <f>E80&amp;"_"&amp;F80</f>
      </c>
      <c r="D80" s="178">
        <f>INT((F80-1) * CHOOSE(MIN(ROUNDUP(F80/10,0), 6), 1.2, 1.4, 1.6, 1.8, 2, 2.2))</f>
      </c>
      <c r="E80" s="5">
        <v>8</v>
      </c>
      <c r="F80" s="5">
        <v>79</v>
      </c>
      <c r="H80" s="126">
        <f>H79*0.85</f>
      </c>
      <c r="I80" s="126">
        <f>I79+0.5</f>
      </c>
      <c r="J80" s="173">
        <f>J79*(1+H80)</f>
      </c>
      <c r="K80" s="173">
        <f>J80+(5*(I80))</f>
      </c>
      <c r="L80" s="173">
        <f>M80-M79</f>
      </c>
      <c r="M80" s="177">
        <f>AVERAGE(J80,K80)</f>
      </c>
      <c r="N80" s="174">
        <f>N79</f>
      </c>
      <c r="O80" s="180">
        <f>M80/(P80+1)</f>
      </c>
      <c r="P80" s="177">
        <f>ROUNDDOWN(AVERAGE(J80:K80)/N80,0)</f>
      </c>
      <c r="Q80" s="175">
        <f>J80/AVERAGE(RailDefinition!T:T)</f>
      </c>
      <c r="R80" s="181">
        <f>K80/AVERAGE(RailDefinition!T:T)</f>
      </c>
      <c r="S80" s="177">
        <f>AVERAGE(Q80,R80)</f>
      </c>
      <c r="T80" s="3"/>
      <c r="V80" s="15"/>
    </row>
    <row r="81">
      <c r="A81" s="176">
        <f>E81&amp;"_"&amp;F81</f>
      </c>
      <c r="D81" s="178">
        <f>INT((F81-1) * CHOOSE(MIN(ROUNDUP(F81/10,0), 6), 1.2, 1.4, 1.6, 1.8, 2, 2.2))</f>
      </c>
      <c r="E81" s="5">
        <v>8</v>
      </c>
      <c r="F81" s="5">
        <v>80</v>
      </c>
      <c r="H81" s="126">
        <f>H80*0.85</f>
      </c>
      <c r="I81" s="126">
        <f>I80+0.5</f>
      </c>
      <c r="J81" s="173">
        <f>J80*(1+H81)</f>
      </c>
      <c r="K81" s="173">
        <f>J81+(5*(I81))</f>
      </c>
      <c r="L81" s="173">
        <f>M81-M80</f>
      </c>
      <c r="M81" s="177">
        <f>AVERAGE(J81,K81)</f>
      </c>
      <c r="N81" s="174">
        <f>N80</f>
      </c>
      <c r="O81" s="180">
        <f>M81/(P81+1)</f>
      </c>
      <c r="P81" s="177">
        <f>ROUNDDOWN(AVERAGE(J81:K81)/N81,0)</f>
      </c>
      <c r="Q81" s="175">
        <f>J81/AVERAGE(RailDefinition!T:T)</f>
      </c>
      <c r="R81" s="181">
        <f>K81/AVERAGE(RailDefinition!T:T)</f>
      </c>
      <c r="S81" s="177">
        <f>AVERAGE(Q81,R81)</f>
      </c>
      <c r="T81" s="3"/>
      <c r="V81" s="15"/>
    </row>
    <row r="82">
      <c r="A82" s="176">
        <f>E82&amp;"_"&amp;F82</f>
      </c>
      <c r="D82" s="178">
        <f>INT((F82-1) * CHOOSE(MIN(ROUNDUP(F82/10,0), 6), 1.2, 1.4, 1.6, 1.8, 2, 2.2))</f>
      </c>
      <c r="E82" s="5">
        <v>9</v>
      </c>
      <c r="F82" s="5">
        <v>81</v>
      </c>
      <c r="H82" s="126">
        <f>H73</f>
      </c>
      <c r="I82" s="126">
        <v>1</v>
      </c>
      <c r="J82" s="173">
        <f>J73</f>
      </c>
      <c r="K82" s="173">
        <f>J82+(5*(I82))</f>
      </c>
      <c r="L82" s="173">
        <f>"K="&amp;ROUNDUP((K91-K82)/10,2)</f>
      </c>
      <c r="M82" s="177">
        <f>AVERAGE(J82,K82)</f>
      </c>
      <c r="N82" s="174">
        <f>AVERAGE(J32:J91)</f>
      </c>
      <c r="O82" s="180">
        <f>M82/(P82+1)</f>
      </c>
      <c r="P82" s="177">
        <f>ROUNDDOWN(AVERAGE(J82:K82)/N82,0)</f>
      </c>
      <c r="Q82" s="175">
        <f>J82/AVERAGE(RailDefinition!T:T)</f>
      </c>
      <c r="R82" s="175">
        <f>K82/AVERAGE(RailDefinition!T:T)</f>
      </c>
      <c r="S82" s="177">
        <f>AVERAGE(Q82,R82)</f>
      </c>
      <c r="T82" s="3"/>
      <c r="V82" s="15"/>
    </row>
    <row r="83">
      <c r="A83" s="176">
        <f>E83&amp;"_"&amp;F83</f>
      </c>
      <c r="D83" s="178">
        <f>INT((F83-1) * CHOOSE(MIN(ROUNDUP(F83/10,0), 6), 1.2, 1.4, 1.6, 1.8, 2, 2.2))</f>
      </c>
      <c r="E83" s="5">
        <v>9</v>
      </c>
      <c r="F83" s="5">
        <v>82</v>
      </c>
      <c r="H83" s="126">
        <f>H82*0.85</f>
      </c>
      <c r="I83" s="126">
        <f>I82+0.5</f>
      </c>
      <c r="J83" s="173">
        <f>J82*(1+H83)</f>
      </c>
      <c r="K83" s="173">
        <f>J83+(5*(I83))</f>
      </c>
      <c r="L83" s="173">
        <f>M83-M82</f>
      </c>
      <c r="M83" s="177">
        <f>AVERAGE(J83,K83)</f>
      </c>
      <c r="N83" s="174">
        <f>N82</f>
      </c>
      <c r="O83" s="180">
        <f>M83/(P83+1)</f>
      </c>
      <c r="P83" s="177">
        <f>ROUNDDOWN(AVERAGE(J83:K83)/N83,0)</f>
      </c>
      <c r="Q83" s="175">
        <f>J83/AVERAGE(RailDefinition!T:T)</f>
      </c>
      <c r="R83" s="181">
        <f>K83/AVERAGE(RailDefinition!T:T)</f>
      </c>
      <c r="S83" s="177">
        <f>AVERAGE(Q83,R83)</f>
      </c>
      <c r="T83" s="3"/>
      <c r="V83" s="15"/>
    </row>
    <row r="84">
      <c r="A84" s="176">
        <f>E84&amp;"_"&amp;F84</f>
      </c>
      <c r="D84" s="178">
        <f>INT((F84-1) * CHOOSE(MIN(ROUNDUP(F84/10,0), 6), 1.2, 1.4, 1.6, 1.8, 2, 2.2))</f>
      </c>
      <c r="E84" s="5">
        <v>9</v>
      </c>
      <c r="F84" s="5">
        <v>83</v>
      </c>
      <c r="H84" s="126">
        <f>H83*0.85</f>
      </c>
      <c r="I84" s="126">
        <f>I83+0.5</f>
      </c>
      <c r="J84" s="173">
        <f>J83*(1+H84)</f>
      </c>
      <c r="K84" s="173">
        <f>J84+(5*(I84))</f>
      </c>
      <c r="L84" s="173">
        <f>M84-M83</f>
      </c>
      <c r="M84" s="177">
        <f>AVERAGE(J84,K84)</f>
      </c>
      <c r="N84" s="174">
        <f>N83</f>
      </c>
      <c r="O84" s="180">
        <f>M84/(P84+1)</f>
      </c>
      <c r="P84" s="177">
        <f>ROUNDDOWN(AVERAGE(J84:K84)/N84,0)</f>
      </c>
      <c r="Q84" s="175">
        <f>J84/AVERAGE(RailDefinition!T:T)</f>
      </c>
      <c r="R84" s="181">
        <f>K84/AVERAGE(RailDefinition!T:T)</f>
      </c>
      <c r="S84" s="177">
        <f>AVERAGE(Q84,R84)</f>
      </c>
      <c r="T84" s="3"/>
      <c r="V84" s="15"/>
    </row>
    <row r="85">
      <c r="A85" s="176">
        <f>E85&amp;"_"&amp;F85</f>
      </c>
      <c r="D85" s="178">
        <f>INT((F85-1) * CHOOSE(MIN(ROUNDUP(F85/10,0), 6), 1.2, 1.4, 1.6, 1.8, 2, 2.2))</f>
      </c>
      <c r="E85" s="5">
        <v>9</v>
      </c>
      <c r="F85" s="5">
        <v>84</v>
      </c>
      <c r="H85" s="126">
        <f>H84*0.85</f>
      </c>
      <c r="I85" s="126">
        <f>I84+0.5</f>
      </c>
      <c r="J85" s="173">
        <f>J84*(1+H85)</f>
      </c>
      <c r="K85" s="173">
        <f>J85+(5*(I85))</f>
      </c>
      <c r="L85" s="173">
        <f>M85-M84</f>
      </c>
      <c r="M85" s="177">
        <f>AVERAGE(J85,K85)</f>
      </c>
      <c r="N85" s="174">
        <f>N84</f>
      </c>
      <c r="O85" s="180">
        <f>M85/(P85+1)</f>
      </c>
      <c r="P85" s="177">
        <f>ROUNDDOWN(AVERAGE(J85:K85)/N85,0)</f>
      </c>
      <c r="Q85" s="175">
        <f>J85/AVERAGE(RailDefinition!T:T)</f>
      </c>
      <c r="R85" s="181">
        <f>K85/AVERAGE(RailDefinition!T:T)</f>
      </c>
      <c r="S85" s="177">
        <f>AVERAGE(Q85,R85)</f>
      </c>
      <c r="T85" s="3"/>
      <c r="V85" s="15"/>
    </row>
    <row r="86">
      <c r="A86" s="176">
        <f>E86&amp;"_"&amp;F86</f>
      </c>
      <c r="D86" s="178">
        <f>INT((F86-1) * CHOOSE(MIN(ROUNDUP(F86/10,0), 6), 1.2, 1.4, 1.6, 1.8, 2, 2.2))</f>
      </c>
      <c r="E86" s="5">
        <v>9</v>
      </c>
      <c r="F86" s="5">
        <v>85</v>
      </c>
      <c r="H86" s="126">
        <f>H85*0.85</f>
      </c>
      <c r="I86" s="126">
        <f>I85+0.5</f>
      </c>
      <c r="J86" s="173">
        <f>J85*(1+H86)</f>
      </c>
      <c r="K86" s="173">
        <f>J86+(5*(I86))</f>
      </c>
      <c r="L86" s="173">
        <f>M86-M85</f>
      </c>
      <c r="M86" s="177">
        <f>AVERAGE(J86,K86)</f>
      </c>
      <c r="N86" s="174">
        <f>N85</f>
      </c>
      <c r="O86" s="180">
        <f>M86/(P86+1)</f>
      </c>
      <c r="P86" s="177">
        <f>ROUNDDOWN(AVERAGE(J86:K86)/N86,0)</f>
      </c>
      <c r="Q86" s="175">
        <f>J86/AVERAGE(RailDefinition!T:T)</f>
      </c>
      <c r="R86" s="181">
        <f>K86/AVERAGE(RailDefinition!T:T)</f>
      </c>
      <c r="S86" s="177">
        <f>AVERAGE(Q86,R86)</f>
      </c>
      <c r="T86" s="3"/>
      <c r="V86" s="15"/>
    </row>
    <row r="87">
      <c r="A87" s="176">
        <f>E87&amp;"_"&amp;F87</f>
      </c>
      <c r="D87" s="178">
        <f>INT((F87-1) * CHOOSE(MIN(ROUNDUP(F87/10,0), 6), 1.2, 1.4, 1.6, 1.8, 2, 2.2))</f>
      </c>
      <c r="E87" s="5">
        <v>9</v>
      </c>
      <c r="F87" s="5">
        <v>86</v>
      </c>
      <c r="H87" s="126">
        <f>H86*0.85</f>
      </c>
      <c r="I87" s="126">
        <f>I86+0.5</f>
      </c>
      <c r="J87" s="173">
        <f>J86*(1+H87)</f>
      </c>
      <c r="K87" s="173">
        <f>J87+(5*(I87))</f>
      </c>
      <c r="L87" s="173">
        <f>M87-M86</f>
      </c>
      <c r="M87" s="177">
        <f>AVERAGE(J87,K87)</f>
      </c>
      <c r="N87" s="174">
        <f>N86</f>
      </c>
      <c r="O87" s="180">
        <f>M87/(P87+1)</f>
      </c>
      <c r="P87" s="177">
        <f>ROUNDDOWN(AVERAGE(J87:K87)/N87,0)</f>
      </c>
      <c r="Q87" s="175">
        <f>J87/AVERAGE(RailDefinition!T:T)</f>
      </c>
      <c r="R87" s="181">
        <f>K87/AVERAGE(RailDefinition!T:T)</f>
      </c>
      <c r="S87" s="177">
        <f>AVERAGE(Q87,R87)</f>
      </c>
      <c r="T87" s="3"/>
      <c r="V87" s="15"/>
    </row>
    <row r="88">
      <c r="A88" s="176">
        <f>E88&amp;"_"&amp;F88</f>
      </c>
      <c r="D88" s="178">
        <f>INT((F88-1) * CHOOSE(MIN(ROUNDUP(F88/10,0), 6), 1.2, 1.4, 1.6, 1.8, 2, 2.2))</f>
      </c>
      <c r="E88" s="5">
        <v>9</v>
      </c>
      <c r="F88" s="5">
        <v>87</v>
      </c>
      <c r="H88" s="126">
        <f>H87*0.85</f>
      </c>
      <c r="I88" s="126">
        <f>I87+0.5</f>
      </c>
      <c r="J88" s="173">
        <f>J87*(1+H88)</f>
      </c>
      <c r="K88" s="173">
        <f>J88+(5*(I88))</f>
      </c>
      <c r="L88" s="173">
        <f>M88-M87</f>
      </c>
      <c r="M88" s="177">
        <f>AVERAGE(J88,K88)</f>
      </c>
      <c r="N88" s="174">
        <f>N87</f>
      </c>
      <c r="O88" s="180">
        <f>M88/(P88+1)</f>
      </c>
      <c r="P88" s="177">
        <f>ROUNDDOWN(AVERAGE(J88:K88)/N88,0)</f>
      </c>
      <c r="Q88" s="175">
        <f>J88/AVERAGE(RailDefinition!T:T)</f>
      </c>
      <c r="R88" s="181">
        <f>K88/AVERAGE(RailDefinition!T:T)</f>
      </c>
      <c r="S88" s="177">
        <f>AVERAGE(Q88,R88)</f>
      </c>
      <c r="T88" s="3"/>
      <c r="V88" s="15"/>
    </row>
    <row r="89">
      <c r="A89" s="176">
        <f>E89&amp;"_"&amp;F89</f>
      </c>
      <c r="D89" s="178">
        <f>INT((F89-1) * CHOOSE(MIN(ROUNDUP(F89/10,0), 6), 1.2, 1.4, 1.6, 1.8, 2, 2.2))</f>
      </c>
      <c r="E89" s="5">
        <v>9</v>
      </c>
      <c r="F89" s="5">
        <v>88</v>
      </c>
      <c r="H89" s="126">
        <f>H88*0.85</f>
      </c>
      <c r="I89" s="126">
        <f>I88+0.5</f>
      </c>
      <c r="J89" s="173">
        <f>J88*(1+H89)</f>
      </c>
      <c r="K89" s="173">
        <f>J89+(5*(I89))</f>
      </c>
      <c r="L89" s="173">
        <f>M89-M88</f>
      </c>
      <c r="M89" s="177">
        <f>AVERAGE(J89,K89)</f>
      </c>
      <c r="N89" s="174">
        <f>N88</f>
      </c>
      <c r="O89" s="180">
        <f>M89/(P89+1)</f>
      </c>
      <c r="P89" s="177">
        <f>ROUNDDOWN(AVERAGE(J89:K89)/N89,0)</f>
      </c>
      <c r="Q89" s="175">
        <f>J89/AVERAGE(RailDefinition!T:T)</f>
      </c>
      <c r="R89" s="181">
        <f>K89/AVERAGE(RailDefinition!T:T)</f>
      </c>
      <c r="S89" s="177">
        <f>AVERAGE(Q89,R89)</f>
      </c>
      <c r="T89" s="3"/>
      <c r="V89" s="15"/>
    </row>
    <row r="90">
      <c r="A90" s="176">
        <f>E90&amp;"_"&amp;F90</f>
      </c>
      <c r="D90" s="178">
        <f>INT((F90-1) * CHOOSE(MIN(ROUNDUP(F90/10,0), 6), 1.2, 1.4, 1.6, 1.8, 2, 2.2))</f>
      </c>
      <c r="E90" s="5">
        <v>9</v>
      </c>
      <c r="F90" s="5">
        <v>89</v>
      </c>
      <c r="H90" s="126">
        <f>H89*0.85</f>
      </c>
      <c r="I90" s="126">
        <f>I89+0.5</f>
      </c>
      <c r="J90" s="173">
        <f>J89*(1+H90)</f>
      </c>
      <c r="K90" s="173">
        <f>J90+(5*(I90))</f>
      </c>
      <c r="L90" s="173">
        <f>M90-M89</f>
      </c>
      <c r="M90" s="177">
        <f>AVERAGE(J90,K90)</f>
      </c>
      <c r="N90" s="174">
        <f>N89</f>
      </c>
      <c r="O90" s="180">
        <f>M90/(P90+1)</f>
      </c>
      <c r="P90" s="177">
        <f>ROUNDDOWN(AVERAGE(J90:K90)/N90,0)</f>
      </c>
      <c r="Q90" s="175">
        <f>J90/AVERAGE(RailDefinition!T:T)</f>
      </c>
      <c r="R90" s="181">
        <f>K90/AVERAGE(RailDefinition!T:T)</f>
      </c>
      <c r="S90" s="177">
        <f>AVERAGE(Q90,R90)</f>
      </c>
      <c r="T90" s="3"/>
      <c r="V90" s="15"/>
    </row>
    <row r="91">
      <c r="A91" s="176">
        <f>E91&amp;"_"&amp;F91</f>
      </c>
      <c r="D91" s="178">
        <f>INT((F91-1) * CHOOSE(MIN(ROUNDUP(F91/10,0), 6), 1.2, 1.4, 1.6, 1.8, 2, 2.2))</f>
      </c>
      <c r="E91" s="5">
        <v>9</v>
      </c>
      <c r="F91" s="5">
        <v>90</v>
      </c>
      <c r="H91" s="126">
        <f>H90*0.85</f>
      </c>
      <c r="I91" s="126">
        <f>I90+0.5</f>
      </c>
      <c r="J91" s="173">
        <f>J90*(1+H91)</f>
      </c>
      <c r="K91" s="173">
        <f>J91+(5*(I91))</f>
      </c>
      <c r="L91" s="173">
        <f>M91-M90</f>
      </c>
      <c r="M91" s="177">
        <f>AVERAGE(J91,K91)</f>
      </c>
      <c r="N91" s="174">
        <f>N90</f>
      </c>
      <c r="O91" s="180">
        <f>M91/(P91+1)</f>
      </c>
      <c r="P91" s="177">
        <f>ROUNDDOWN(AVERAGE(J91:K91)/N91,0)</f>
      </c>
      <c r="Q91" s="175">
        <f>J91/AVERAGE(RailDefinition!T:T)</f>
      </c>
      <c r="R91" s="181">
        <f>K91/AVERAGE(RailDefinition!T:T)</f>
      </c>
      <c r="S91" s="177">
        <f>AVERAGE(Q91,R91)</f>
      </c>
      <c r="T91" s="3"/>
      <c r="V91" s="15"/>
    </row>
    <row r="92">
      <c r="A92" s="176">
        <f>E92&amp;"_"&amp;F92</f>
      </c>
      <c r="D92" s="178">
        <f>INT((F92-1) * CHOOSE(MIN(ROUNDUP(F92/10,0), 6), 1.2, 1.4, 1.6, 1.8, 2, 2.2))</f>
      </c>
      <c r="E92" s="5">
        <v>10</v>
      </c>
      <c r="F92" s="5">
        <v>91</v>
      </c>
      <c r="H92" s="126">
        <f>H83</f>
      </c>
      <c r="I92" s="126">
        <v>1</v>
      </c>
      <c r="J92" s="173">
        <f>J83</f>
      </c>
      <c r="K92" s="173">
        <f>J92+(5*(I92))</f>
      </c>
      <c r="L92" s="173">
        <f>"K="&amp;ROUNDUP((K101-K92)/10,2)</f>
      </c>
      <c r="M92" s="177">
        <f>AVERAGE(J92,K92)</f>
      </c>
      <c r="N92" s="174">
        <f>AVERAGE(J42:J101)</f>
      </c>
      <c r="O92" s="180">
        <f>M92/(P92+1)</f>
      </c>
      <c r="P92" s="177">
        <f>ROUNDDOWN(AVERAGE(J92:K92)/N92,0)</f>
      </c>
      <c r="Q92" s="175">
        <f>J92/AVERAGE(RailDefinition!T:T)</f>
      </c>
      <c r="R92" s="175">
        <f>K92/AVERAGE(RailDefinition!T:T)</f>
      </c>
      <c r="S92" s="177">
        <f>AVERAGE(Q92,R92)</f>
      </c>
      <c r="T92" s="3"/>
      <c r="V92" s="15"/>
    </row>
    <row r="93">
      <c r="A93" s="176">
        <f>E93&amp;"_"&amp;F93</f>
      </c>
      <c r="D93" s="178">
        <f>INT((F93-1) * CHOOSE(MIN(ROUNDUP(F93/10,0), 6), 1.2, 1.4, 1.6, 1.8, 2, 2.2))</f>
      </c>
      <c r="E93" s="5">
        <v>10</v>
      </c>
      <c r="F93" s="5">
        <v>92</v>
      </c>
      <c r="H93" s="126">
        <f>H92*0.85</f>
      </c>
      <c r="I93" s="126">
        <f>I92+0.5</f>
      </c>
      <c r="J93" s="173">
        <f>J92*(1+H93)</f>
      </c>
      <c r="K93" s="173">
        <f>J93+(5*(I93))</f>
      </c>
      <c r="L93" s="173">
        <f>M93-M92</f>
      </c>
      <c r="M93" s="177">
        <f>AVERAGE(J93,K93)</f>
      </c>
      <c r="N93" s="174">
        <f>N92</f>
      </c>
      <c r="O93" s="180">
        <f>M93/(P93+1)</f>
      </c>
      <c r="P93" s="177">
        <f>ROUNDDOWN(AVERAGE(J93:K93)/N93,0)</f>
      </c>
      <c r="Q93" s="175">
        <f>J93/AVERAGE(RailDefinition!T:T)</f>
      </c>
      <c r="R93" s="181">
        <f>K93/AVERAGE(RailDefinition!T:T)</f>
      </c>
      <c r="S93" s="177">
        <f>AVERAGE(Q93,R93)</f>
      </c>
      <c r="T93" s="3"/>
      <c r="V93" s="15"/>
    </row>
    <row r="94">
      <c r="A94" s="176">
        <f>E94&amp;"_"&amp;F94</f>
      </c>
      <c r="D94" s="178">
        <f>INT((F94-1) * CHOOSE(MIN(ROUNDUP(F94/10,0), 6), 1.2, 1.4, 1.6, 1.8, 2, 2.2))</f>
      </c>
      <c r="E94" s="5">
        <v>10</v>
      </c>
      <c r="F94" s="5">
        <v>93</v>
      </c>
      <c r="H94" s="126">
        <f>H93*0.85</f>
      </c>
      <c r="I94" s="126">
        <f>I93+0.5</f>
      </c>
      <c r="J94" s="173">
        <f>J93*(1+H94)</f>
      </c>
      <c r="K94" s="173">
        <f>J94+(5*(I94))</f>
      </c>
      <c r="L94" s="173">
        <f>M94-M93</f>
      </c>
      <c r="M94" s="177">
        <f>AVERAGE(J94,K94)</f>
      </c>
      <c r="N94" s="174">
        <f>N93</f>
      </c>
      <c r="O94" s="180">
        <f>M94/(P94+1)</f>
      </c>
      <c r="P94" s="177">
        <f>ROUNDDOWN(AVERAGE(J94:K94)/N94,0)</f>
      </c>
      <c r="Q94" s="175">
        <f>J94/AVERAGE(RailDefinition!T:T)</f>
      </c>
      <c r="R94" s="181">
        <f>K94/AVERAGE(RailDefinition!T:T)</f>
      </c>
      <c r="S94" s="177">
        <f>AVERAGE(Q94,R94)</f>
      </c>
      <c r="T94" s="3"/>
      <c r="V94" s="15"/>
    </row>
    <row r="95">
      <c r="A95" s="176">
        <f>E95&amp;"_"&amp;F95</f>
      </c>
      <c r="D95" s="178">
        <f>INT((F95-1) * CHOOSE(MIN(ROUNDUP(F95/10,0), 6), 1.2, 1.4, 1.6, 1.8, 2, 2.2))</f>
      </c>
      <c r="E95" s="5">
        <v>10</v>
      </c>
      <c r="F95" s="5">
        <v>94</v>
      </c>
      <c r="H95" s="126">
        <f>H94*0.85</f>
      </c>
      <c r="I95" s="126">
        <f>I94+0.5</f>
      </c>
      <c r="J95" s="173">
        <f>J94*(1+H95)</f>
      </c>
      <c r="K95" s="173">
        <f>J95+(5*(I95))</f>
      </c>
      <c r="L95" s="173">
        <f>M95-M94</f>
      </c>
      <c r="M95" s="177">
        <f>AVERAGE(J95,K95)</f>
      </c>
      <c r="N95" s="174">
        <f>N94</f>
      </c>
      <c r="O95" s="180">
        <f>M95/(P95+1)</f>
      </c>
      <c r="P95" s="177">
        <f>ROUNDDOWN(AVERAGE(J95:K95)/N95,0)</f>
      </c>
      <c r="Q95" s="175">
        <f>J95/AVERAGE(RailDefinition!T:T)</f>
      </c>
      <c r="R95" s="181">
        <f>K95/AVERAGE(RailDefinition!T:T)</f>
      </c>
      <c r="S95" s="177">
        <f>AVERAGE(Q95,R95)</f>
      </c>
      <c r="T95" s="3"/>
      <c r="V95" s="15"/>
    </row>
    <row r="96">
      <c r="A96" s="176">
        <f>E96&amp;"_"&amp;F96</f>
      </c>
      <c r="D96" s="178">
        <f>INT((F96-1) * CHOOSE(MIN(ROUNDUP(F96/10,0), 6), 1.2, 1.4, 1.6, 1.8, 2, 2.2))</f>
      </c>
      <c r="E96" s="5">
        <v>10</v>
      </c>
      <c r="F96" s="5">
        <v>95</v>
      </c>
      <c r="H96" s="126">
        <f>H95*0.85</f>
      </c>
      <c r="I96" s="126">
        <f>I95+0.5</f>
      </c>
      <c r="J96" s="173">
        <f>J95*(1+H96)</f>
      </c>
      <c r="K96" s="173">
        <f>J96+(5*(I96))</f>
      </c>
      <c r="L96" s="173">
        <f>M96-M95</f>
      </c>
      <c r="M96" s="177">
        <f>AVERAGE(J96,K96)</f>
      </c>
      <c r="N96" s="174">
        <f>N95</f>
      </c>
      <c r="O96" s="180">
        <f>M96/(P96+1)</f>
      </c>
      <c r="P96" s="177">
        <f>ROUNDDOWN(AVERAGE(J96:K96)/N96,0)</f>
      </c>
      <c r="Q96" s="175">
        <f>J96/AVERAGE(RailDefinition!T:T)</f>
      </c>
      <c r="R96" s="181">
        <f>K96/AVERAGE(RailDefinition!T:T)</f>
      </c>
      <c r="S96" s="177">
        <f>AVERAGE(Q96,R96)</f>
      </c>
      <c r="T96" s="3"/>
      <c r="V96" s="15"/>
    </row>
    <row r="97">
      <c r="A97" s="176">
        <f>E97&amp;"_"&amp;F97</f>
      </c>
      <c r="D97" s="178">
        <f>INT((F97-1) * CHOOSE(MIN(ROUNDUP(F97/10,0), 6), 1.2, 1.4, 1.6, 1.8, 2, 2.2))</f>
      </c>
      <c r="E97" s="5">
        <v>10</v>
      </c>
      <c r="F97" s="5">
        <v>96</v>
      </c>
      <c r="H97" s="126">
        <f>H96*0.85</f>
      </c>
      <c r="I97" s="126">
        <f>I96+0.5</f>
      </c>
      <c r="J97" s="173">
        <f>J96*(1+H97)</f>
      </c>
      <c r="K97" s="173">
        <f>J97+(5*(I97))</f>
      </c>
      <c r="L97" s="173">
        <f>M97-M96</f>
      </c>
      <c r="M97" s="177">
        <f>AVERAGE(J97,K97)</f>
      </c>
      <c r="N97" s="174">
        <f>N96</f>
      </c>
      <c r="O97" s="180">
        <f>M97/(P97+1)</f>
      </c>
      <c r="P97" s="177">
        <f>ROUNDDOWN(AVERAGE(J97:K97)/N97,0)</f>
      </c>
      <c r="Q97" s="175">
        <f>J97/AVERAGE(RailDefinition!T:T)</f>
      </c>
      <c r="R97" s="181">
        <f>K97/AVERAGE(RailDefinition!T:T)</f>
      </c>
      <c r="S97" s="177">
        <f>AVERAGE(Q97,R97)</f>
      </c>
      <c r="T97" s="3"/>
      <c r="V97" s="15"/>
    </row>
    <row r="98">
      <c r="A98" s="176">
        <f>E98&amp;"_"&amp;F98</f>
      </c>
      <c r="D98" s="178">
        <f>INT((F98-1) * CHOOSE(MIN(ROUNDUP(F98/10,0), 6), 1.2, 1.4, 1.6, 1.8, 2, 2.2))</f>
      </c>
      <c r="E98" s="5">
        <v>10</v>
      </c>
      <c r="F98" s="5">
        <v>97</v>
      </c>
      <c r="H98" s="126">
        <f>H97*0.85</f>
      </c>
      <c r="I98" s="126">
        <f>I97+0.5</f>
      </c>
      <c r="J98" s="173">
        <f>J97*(1+H98)</f>
      </c>
      <c r="K98" s="173">
        <f>J98+(5*(I98))</f>
      </c>
      <c r="L98" s="173">
        <f>M98-M97</f>
      </c>
      <c r="M98" s="177">
        <f>AVERAGE(J98,K98)</f>
      </c>
      <c r="N98" s="174">
        <f>N97</f>
      </c>
      <c r="O98" s="180">
        <f>M98/(P98+1)</f>
      </c>
      <c r="P98" s="177">
        <f>ROUNDDOWN(AVERAGE(J98:K98)/N98,0)</f>
      </c>
      <c r="Q98" s="175">
        <f>J98/AVERAGE(RailDefinition!T:T)</f>
      </c>
      <c r="R98" s="181">
        <f>K98/AVERAGE(RailDefinition!T:T)</f>
      </c>
      <c r="S98" s="177">
        <f>AVERAGE(Q98,R98)</f>
      </c>
      <c r="T98" s="3"/>
      <c r="V98" s="15"/>
    </row>
    <row r="99">
      <c r="A99" s="176">
        <f>E99&amp;"_"&amp;F99</f>
      </c>
      <c r="D99" s="178">
        <f>INT((F99-1) * CHOOSE(MIN(ROUNDUP(F99/10,0), 6), 1.2, 1.4, 1.6, 1.8, 2, 2.2))</f>
      </c>
      <c r="E99" s="5">
        <v>10</v>
      </c>
      <c r="F99" s="5">
        <v>98</v>
      </c>
      <c r="H99" s="126">
        <f>H98*0.85</f>
      </c>
      <c r="I99" s="126">
        <f>I98+0.5</f>
      </c>
      <c r="J99" s="173">
        <f>J98*(1+H99)</f>
      </c>
      <c r="K99" s="173">
        <f>J99+(5*(I99))</f>
      </c>
      <c r="L99" s="173">
        <f>M99-M98</f>
      </c>
      <c r="M99" s="177">
        <f>AVERAGE(J99,K99)</f>
      </c>
      <c r="N99" s="174">
        <f>N98</f>
      </c>
      <c r="O99" s="180">
        <f>M99/(P99+1)</f>
      </c>
      <c r="P99" s="177">
        <f>ROUNDDOWN(AVERAGE(J99:K99)/N99,0)</f>
      </c>
      <c r="Q99" s="175">
        <f>J99/AVERAGE(RailDefinition!T:T)</f>
      </c>
      <c r="R99" s="181">
        <f>K99/AVERAGE(RailDefinition!T:T)</f>
      </c>
      <c r="S99" s="177">
        <f>AVERAGE(Q99,R99)</f>
      </c>
      <c r="T99" s="3"/>
      <c r="V99" s="15"/>
    </row>
    <row r="100">
      <c r="A100" s="176">
        <f>E100&amp;"_"&amp;F100</f>
      </c>
      <c r="D100" s="178">
        <f>INT((F100-1) * CHOOSE(MIN(ROUNDUP(F100/10,0), 6), 1.2, 1.4, 1.6, 1.8, 2, 2.2))</f>
      </c>
      <c r="E100" s="5">
        <v>10</v>
      </c>
      <c r="F100" s="5">
        <v>99</v>
      </c>
      <c r="H100" s="126">
        <f>H99*0.85</f>
      </c>
      <c r="I100" s="126">
        <f>I99+0.5</f>
      </c>
      <c r="J100" s="173">
        <f>J99*(1+H100)</f>
      </c>
      <c r="K100" s="173">
        <f>J100+(5*(I100))</f>
      </c>
      <c r="L100" s="173">
        <f>M100-M99</f>
      </c>
      <c r="M100" s="177">
        <f>AVERAGE(J100,K100)</f>
      </c>
      <c r="N100" s="174">
        <f>N99</f>
      </c>
      <c r="O100" s="180">
        <f>M100/(P100+1)</f>
      </c>
      <c r="P100" s="177">
        <f>ROUNDDOWN(AVERAGE(J100:K100)/N100,0)</f>
      </c>
      <c r="Q100" s="175">
        <f>J100/AVERAGE(RailDefinition!T:T)</f>
      </c>
      <c r="R100" s="181">
        <f>K100/AVERAGE(RailDefinition!T:T)</f>
      </c>
      <c r="S100" s="177">
        <f>AVERAGE(Q100,R100)</f>
      </c>
      <c r="T100" s="3"/>
      <c r="V100" s="15"/>
    </row>
    <row r="101">
      <c r="A101" s="176">
        <f>E101&amp;"_"&amp;F101</f>
      </c>
      <c r="D101" s="178">
        <f>INT((F101-1) * CHOOSE(MIN(ROUNDUP(F101/10,0), 6), 1.2, 1.4, 1.6, 1.8, 2, 2.2))</f>
      </c>
      <c r="E101" s="5">
        <v>11</v>
      </c>
      <c r="F101" s="5">
        <v>100</v>
      </c>
      <c r="H101" s="126">
        <f>H100*0.85</f>
      </c>
      <c r="I101" s="126">
        <f>I100+0.5</f>
      </c>
      <c r="J101" s="173">
        <f>J100*(1+H101)</f>
      </c>
      <c r="K101" s="173">
        <f>J101+(5*(I101))</f>
      </c>
      <c r="L101" s="173">
        <f>M101-M100</f>
      </c>
      <c r="M101" s="177">
        <f>AVERAGE(J101,K101)</f>
      </c>
      <c r="N101" s="174">
        <f>N100</f>
      </c>
      <c r="O101" s="180">
        <f>M101/(P101+1)</f>
      </c>
      <c r="P101" s="177">
        <f>ROUNDDOWN(AVERAGE(J101:K101)/N101,0)</f>
      </c>
      <c r="Q101" s="175">
        <f>J101/AVERAGE(RailDefinition!T:T)</f>
      </c>
      <c r="R101" s="181">
        <f>K101/AVERAGE(RailDefinition!T:T)</f>
      </c>
      <c r="S101" s="177">
        <f>AVERAGE(Q101,R101)</f>
      </c>
      <c r="T101" s="3"/>
      <c r="V101" s="15"/>
    </row>
    <row r="102">
      <c r="A102" s="176">
        <f>E102&amp;"_"&amp;F102</f>
      </c>
      <c r="D102" s="178">
        <f>INT((F102-1) * CHOOSE(MIN(ROUNDUP(F102/10,0), 6), 1.2, 1.4, 1.6, 1.8, 2, 2.2))</f>
      </c>
      <c r="E102" s="5">
        <v>11</v>
      </c>
      <c r="F102" s="5">
        <v>101</v>
      </c>
      <c r="H102" s="126">
        <f>H93</f>
      </c>
      <c r="I102" s="126">
        <v>1</v>
      </c>
      <c r="J102" s="173">
        <f>J93</f>
      </c>
      <c r="K102" s="173">
        <f>J102+(5*(I102))</f>
      </c>
      <c r="L102" s="173">
        <f>"K="&amp;ROUNDUP((K111-K102)/10,2)</f>
      </c>
      <c r="M102" s="177">
        <f>AVERAGE(J102,K102)</f>
      </c>
      <c r="N102" s="174">
        <f>AVERAGE(J52:J111)</f>
      </c>
      <c r="O102" s="180">
        <f>M102/(P102+1)</f>
      </c>
      <c r="P102" s="177">
        <f>ROUNDDOWN(AVERAGE(J102:K102)/N102,0)</f>
      </c>
      <c r="Q102" s="175">
        <f>J102/AVERAGE(RailDefinition!T:T)</f>
      </c>
      <c r="R102" s="175">
        <f>K102/AVERAGE(RailDefinition!T:T)</f>
      </c>
      <c r="S102" s="177">
        <f>AVERAGE(Q102,R102)</f>
      </c>
      <c r="T102" s="3"/>
      <c r="V102" s="15"/>
    </row>
    <row r="103">
      <c r="A103" s="176">
        <f>E103&amp;"_"&amp;F103</f>
      </c>
      <c r="D103" s="178">
        <f>INT((F103-1) * CHOOSE(MIN(ROUNDUP(F103/10,0), 6), 1.2, 1.4, 1.6, 1.8, 2, 2.2))</f>
      </c>
      <c r="E103" s="5">
        <v>11</v>
      </c>
      <c r="F103" s="5">
        <v>102</v>
      </c>
      <c r="H103" s="126">
        <f>H102*0.85</f>
      </c>
      <c r="I103" s="126">
        <f>I102+0.5</f>
      </c>
      <c r="J103" s="173">
        <f>J102*(1+H103)</f>
      </c>
      <c r="K103" s="173">
        <f>J103+(5*(I103))</f>
      </c>
      <c r="L103" s="173">
        <f>M103-M102</f>
      </c>
      <c r="M103" s="177">
        <f>AVERAGE(J103,K103)</f>
      </c>
      <c r="N103" s="174">
        <f>N102</f>
      </c>
      <c r="O103" s="180">
        <f>M103/(P103+1)</f>
      </c>
      <c r="P103" s="177">
        <f>ROUNDDOWN(AVERAGE(J103:K103)/N103,0)</f>
      </c>
      <c r="Q103" s="175">
        <f>J103/AVERAGE(RailDefinition!T:T)</f>
      </c>
      <c r="R103" s="181">
        <f>K103/AVERAGE(RailDefinition!T:T)</f>
      </c>
      <c r="S103" s="177">
        <f>AVERAGE(Q103,R103)</f>
      </c>
      <c r="T103" s="3"/>
      <c r="V103" s="15"/>
    </row>
    <row r="104">
      <c r="A104" s="176">
        <f>E104&amp;"_"&amp;F104</f>
      </c>
      <c r="D104" s="178">
        <f>INT((F104-1) * CHOOSE(MIN(ROUNDUP(F104/10,0), 6), 1.2, 1.4, 1.6, 1.8, 2, 2.2))</f>
      </c>
      <c r="E104" s="5">
        <v>11</v>
      </c>
      <c r="F104" s="5">
        <v>103</v>
      </c>
      <c r="H104" s="126">
        <f>H103*0.85</f>
      </c>
      <c r="I104" s="126">
        <f>I103+0.5</f>
      </c>
      <c r="J104" s="173">
        <f>J103*(1+H104)</f>
      </c>
      <c r="K104" s="173">
        <f>J104+(5*(I104))</f>
      </c>
      <c r="L104" s="173">
        <f>M104-M103</f>
      </c>
      <c r="M104" s="177">
        <f>AVERAGE(J104,K104)</f>
      </c>
      <c r="N104" s="174">
        <f>N103</f>
      </c>
      <c r="O104" s="180">
        <f>M104/(P104+1)</f>
      </c>
      <c r="P104" s="177">
        <f>ROUNDDOWN(AVERAGE(J104:K104)/N104,0)</f>
      </c>
      <c r="Q104" s="175">
        <f>J104/AVERAGE(RailDefinition!T:T)</f>
      </c>
      <c r="R104" s="181">
        <f>K104/AVERAGE(RailDefinition!T:T)</f>
      </c>
      <c r="S104" s="177">
        <f>AVERAGE(Q104,R104)</f>
      </c>
      <c r="T104" s="3"/>
      <c r="V104" s="15"/>
    </row>
    <row r="105">
      <c r="A105" s="176">
        <f>E105&amp;"_"&amp;F105</f>
      </c>
      <c r="D105" s="178">
        <f>INT((F105-1) * CHOOSE(MIN(ROUNDUP(F105/10,0), 6), 1.2, 1.4, 1.6, 1.8, 2, 2.2))</f>
      </c>
      <c r="E105" s="5">
        <v>11</v>
      </c>
      <c r="F105" s="5">
        <v>104</v>
      </c>
      <c r="H105" s="126">
        <f>H104*0.85</f>
      </c>
      <c r="I105" s="126">
        <f>I104+0.5</f>
      </c>
      <c r="J105" s="173">
        <f>J104*(1+H105)</f>
      </c>
      <c r="K105" s="173">
        <f>J105+(5*(I105))</f>
      </c>
      <c r="L105" s="173">
        <f>M105-M104</f>
      </c>
      <c r="M105" s="177">
        <f>AVERAGE(J105,K105)</f>
      </c>
      <c r="N105" s="174">
        <f>N104</f>
      </c>
      <c r="O105" s="180">
        <f>M105/(P105+1)</f>
      </c>
      <c r="P105" s="177">
        <f>ROUNDDOWN(AVERAGE(J105:K105)/N105,0)</f>
      </c>
      <c r="Q105" s="175">
        <f>J105/AVERAGE(RailDefinition!T:T)</f>
      </c>
      <c r="R105" s="181">
        <f>K105/AVERAGE(RailDefinition!T:T)</f>
      </c>
      <c r="S105" s="177">
        <f>AVERAGE(Q105,R105)</f>
      </c>
      <c r="T105" s="3"/>
      <c r="V105" s="15"/>
    </row>
    <row r="106">
      <c r="A106" s="176">
        <f>E106&amp;"_"&amp;F106</f>
      </c>
      <c r="D106" s="178">
        <f>INT((F106-1) * CHOOSE(MIN(ROUNDUP(F106/10,0), 6), 1.2, 1.4, 1.6, 1.8, 2, 2.2))</f>
      </c>
      <c r="E106" s="5">
        <v>11</v>
      </c>
      <c r="F106" s="5">
        <v>105</v>
      </c>
      <c r="H106" s="126">
        <f>H105*0.85</f>
      </c>
      <c r="I106" s="126">
        <f>I105+0.5</f>
      </c>
      <c r="J106" s="173">
        <f>J105*(1+H106)</f>
      </c>
      <c r="K106" s="173">
        <f>J106+(5*(I106))</f>
      </c>
      <c r="L106" s="173">
        <f>M106-M105</f>
      </c>
      <c r="M106" s="177">
        <f>AVERAGE(J106,K106)</f>
      </c>
      <c r="N106" s="174">
        <f>N105</f>
      </c>
      <c r="O106" s="180">
        <f>M106/(P106+1)</f>
      </c>
      <c r="P106" s="177">
        <f>ROUNDDOWN(AVERAGE(J106:K106)/N106,0)</f>
      </c>
      <c r="Q106" s="175">
        <f>J106/AVERAGE(RailDefinition!T:T)</f>
      </c>
      <c r="R106" s="181">
        <f>K106/AVERAGE(RailDefinition!T:T)</f>
      </c>
      <c r="S106" s="177">
        <f>AVERAGE(Q106,R106)</f>
      </c>
      <c r="T106" s="3"/>
      <c r="V106" s="15"/>
    </row>
    <row r="107">
      <c r="A107" s="176">
        <f>E107&amp;"_"&amp;F107</f>
      </c>
      <c r="D107" s="178">
        <f>INT((F107-1) * CHOOSE(MIN(ROUNDUP(F107/10,0), 6), 1.2, 1.4, 1.6, 1.8, 2, 2.2))</f>
      </c>
      <c r="E107" s="5">
        <v>11</v>
      </c>
      <c r="F107" s="5">
        <v>106</v>
      </c>
      <c r="H107" s="126">
        <f>H106*0.85</f>
      </c>
      <c r="I107" s="126">
        <f>I106+0.5</f>
      </c>
      <c r="J107" s="173">
        <f>J106*(1+H107)</f>
      </c>
      <c r="K107" s="173">
        <f>J107+(5*(I107))</f>
      </c>
      <c r="L107" s="173">
        <f>M107-M106</f>
      </c>
      <c r="M107" s="177">
        <f>AVERAGE(J107,K107)</f>
      </c>
      <c r="N107" s="174">
        <f>N106</f>
      </c>
      <c r="O107" s="180">
        <f>M107/(P107+1)</f>
      </c>
      <c r="P107" s="177">
        <f>ROUNDDOWN(AVERAGE(J107:K107)/N107,0)</f>
      </c>
      <c r="Q107" s="175">
        <f>J107/AVERAGE(RailDefinition!T:T)</f>
      </c>
      <c r="R107" s="181">
        <f>K107/AVERAGE(RailDefinition!T:T)</f>
      </c>
      <c r="S107" s="177">
        <f>AVERAGE(Q107,R107)</f>
      </c>
      <c r="T107" s="3"/>
      <c r="V107" s="15"/>
    </row>
    <row r="108">
      <c r="A108" s="176">
        <f>E108&amp;"_"&amp;F108</f>
      </c>
      <c r="D108" s="178">
        <f>INT((F108-1) * CHOOSE(MIN(ROUNDUP(F108/10,0), 6), 1.2, 1.4, 1.6, 1.8, 2, 2.2))</f>
      </c>
      <c r="E108" s="5">
        <v>11</v>
      </c>
      <c r="F108" s="5">
        <v>107</v>
      </c>
      <c r="H108" s="126">
        <f>H107*0.85</f>
      </c>
      <c r="I108" s="126">
        <f>I107+0.5</f>
      </c>
      <c r="J108" s="173">
        <f>J107*(1+H108)</f>
      </c>
      <c r="K108" s="173">
        <f>J108+(5*(I108))</f>
      </c>
      <c r="L108" s="173">
        <f>M108-M107</f>
      </c>
      <c r="M108" s="177">
        <f>AVERAGE(J108,K108)</f>
      </c>
      <c r="N108" s="174">
        <f>N107</f>
      </c>
      <c r="O108" s="180">
        <f>M108/(P108+1)</f>
      </c>
      <c r="P108" s="177">
        <f>ROUNDDOWN(AVERAGE(J108:K108)/N108,0)</f>
      </c>
      <c r="Q108" s="175">
        <f>J108/AVERAGE(RailDefinition!T:T)</f>
      </c>
      <c r="R108" s="181">
        <f>K108/AVERAGE(RailDefinition!T:T)</f>
      </c>
      <c r="S108" s="177">
        <f>AVERAGE(Q108,R108)</f>
      </c>
      <c r="T108" s="3"/>
      <c r="V108" s="15"/>
    </row>
    <row r="109">
      <c r="A109" s="176">
        <f>E109&amp;"_"&amp;F109</f>
      </c>
      <c r="D109" s="178">
        <f>INT((F109-1) * CHOOSE(MIN(ROUNDUP(F109/10,0), 6), 1.2, 1.4, 1.6, 1.8, 2, 2.2))</f>
      </c>
      <c r="E109" s="5">
        <v>11</v>
      </c>
      <c r="F109" s="5">
        <v>108</v>
      </c>
      <c r="H109" s="126">
        <f>H108*0.85</f>
      </c>
      <c r="I109" s="126">
        <f>I108+0.5</f>
      </c>
      <c r="J109" s="173">
        <f>J108*(1+H109)</f>
      </c>
      <c r="K109" s="173">
        <f>J109+(5*(I109))</f>
      </c>
      <c r="L109" s="173">
        <f>M109-M108</f>
      </c>
      <c r="M109" s="177">
        <f>AVERAGE(J109,K109)</f>
      </c>
      <c r="N109" s="174">
        <f>N108</f>
      </c>
      <c r="O109" s="180">
        <f>M109/(P109+1)</f>
      </c>
      <c r="P109" s="177">
        <f>ROUNDDOWN(AVERAGE(J109:K109)/N109,0)</f>
      </c>
      <c r="Q109" s="175">
        <f>J109/AVERAGE(RailDefinition!T:T)</f>
      </c>
      <c r="R109" s="181">
        <f>K109/AVERAGE(RailDefinition!T:T)</f>
      </c>
      <c r="S109" s="177">
        <f>AVERAGE(Q109,R109)</f>
      </c>
      <c r="T109" s="3"/>
      <c r="V109" s="15"/>
    </row>
    <row r="110">
      <c r="A110" s="176">
        <f>E110&amp;"_"&amp;F110</f>
      </c>
      <c r="D110" s="178">
        <f>INT((F110-1) * CHOOSE(MIN(ROUNDUP(F110/10,0), 6), 1.2, 1.4, 1.6, 1.8, 2, 2.2))</f>
      </c>
      <c r="E110" s="5">
        <v>11</v>
      </c>
      <c r="F110" s="5">
        <v>109</v>
      </c>
      <c r="H110" s="126">
        <f>H109*0.85</f>
      </c>
      <c r="I110" s="126">
        <f>I109+0.5</f>
      </c>
      <c r="J110" s="173">
        <f>J109*(1+H110)</f>
      </c>
      <c r="K110" s="173">
        <f>J110+(5*(I110))</f>
      </c>
      <c r="L110" s="173">
        <f>M110-M109</f>
      </c>
      <c r="M110" s="177">
        <f>AVERAGE(J110,K110)</f>
      </c>
      <c r="N110" s="174">
        <f>N109</f>
      </c>
      <c r="O110" s="180">
        <f>M110/(P110+1)</f>
      </c>
      <c r="P110" s="177">
        <f>ROUNDDOWN(AVERAGE(J110:K110)/N110,0)</f>
      </c>
      <c r="Q110" s="175">
        <f>J110/AVERAGE(RailDefinition!T:T)</f>
      </c>
      <c r="R110" s="181">
        <f>K110/AVERAGE(RailDefinition!T:T)</f>
      </c>
      <c r="S110" s="177">
        <f>AVERAGE(Q110,R110)</f>
      </c>
      <c r="T110" s="3"/>
      <c r="V110" s="15"/>
    </row>
    <row r="111">
      <c r="A111" s="176">
        <f>E111&amp;"_"&amp;F111</f>
      </c>
      <c r="D111" s="178">
        <f>INT((F111-1) * CHOOSE(MIN(ROUNDUP(F111/10,0), 6), 1.2, 1.4, 1.6, 1.8, 2, 2.2))</f>
      </c>
      <c r="E111" s="5">
        <v>11</v>
      </c>
      <c r="F111" s="5">
        <v>110</v>
      </c>
      <c r="H111" s="126">
        <f>H110*0.85</f>
      </c>
      <c r="I111" s="126">
        <f>I110+0.5</f>
      </c>
      <c r="J111" s="173">
        <f>J110*(1+H111)</f>
      </c>
      <c r="K111" s="173">
        <f>J111+(5*(I111))</f>
      </c>
      <c r="L111" s="173">
        <f>M111-M110</f>
      </c>
      <c r="M111" s="177">
        <f>AVERAGE(J111,K111)</f>
      </c>
      <c r="N111" s="174">
        <f>N110</f>
      </c>
      <c r="O111" s="180">
        <f>M111/(P111+1)</f>
      </c>
      <c r="P111" s="177">
        <f>ROUNDDOWN(AVERAGE(J111:K111)/N111,0)</f>
      </c>
      <c r="Q111" s="175">
        <f>J111/AVERAGE(RailDefinition!T:T)</f>
      </c>
      <c r="R111" s="181">
        <f>K111/AVERAGE(RailDefinition!T:T)</f>
      </c>
      <c r="S111" s="177">
        <f>AVERAGE(Q111,R111)</f>
      </c>
      <c r="T111" s="3"/>
      <c r="V111" s="15"/>
    </row>
    <row r="112">
      <c r="A112" s="176">
        <f>E112&amp;"_"&amp;F112</f>
      </c>
      <c r="D112" s="178">
        <f>INT((F112-1) * CHOOSE(MIN(ROUNDUP(F112/10,0), 6), 1.2, 1.4, 1.6, 1.8, 2, 2.2))</f>
      </c>
      <c r="E112" s="5">
        <v>12</v>
      </c>
      <c r="F112" s="5">
        <v>111</v>
      </c>
      <c r="H112" s="126">
        <f>H103</f>
      </c>
      <c r="I112" s="126">
        <v>1</v>
      </c>
      <c r="J112" s="173">
        <f>J103</f>
      </c>
      <c r="K112" s="173">
        <f>J112+(5*(I112))</f>
      </c>
      <c r="L112" s="173">
        <f>"K="&amp;ROUNDUP((K121-K112)/10,2)</f>
      </c>
      <c r="M112" s="177">
        <f>AVERAGE(J112,K112)</f>
      </c>
      <c r="N112" s="174">
        <f>AVERAGE(J62:J121)</f>
      </c>
      <c r="O112" s="180">
        <f>M112/(P112+1)</f>
      </c>
      <c r="P112" s="177">
        <f>ROUNDDOWN(AVERAGE(J112:K112)/N112,0)</f>
      </c>
      <c r="Q112" s="175">
        <f>J112/AVERAGE(RailDefinition!T:T)</f>
      </c>
      <c r="R112" s="175">
        <f>K112/AVERAGE(RailDefinition!T:T)</f>
      </c>
      <c r="S112" s="177">
        <f>AVERAGE(Q112,R112)</f>
      </c>
      <c r="T112" s="3"/>
      <c r="V112" s="15"/>
    </row>
    <row r="113">
      <c r="A113" s="176">
        <f>E113&amp;"_"&amp;F113</f>
      </c>
      <c r="D113" s="178">
        <f>INT((F113-1) * CHOOSE(MIN(ROUNDUP(F113/10,0), 6), 1.2, 1.4, 1.6, 1.8, 2, 2.2))</f>
      </c>
      <c r="E113" s="5">
        <v>12</v>
      </c>
      <c r="F113" s="5">
        <v>112</v>
      </c>
      <c r="H113" s="126">
        <f>H112*0.85</f>
      </c>
      <c r="I113" s="126">
        <f>I112+0.5</f>
      </c>
      <c r="J113" s="173">
        <f>J112*(1+H113)</f>
      </c>
      <c r="K113" s="173">
        <f>J113+(5*(I113))</f>
      </c>
      <c r="L113" s="173">
        <f>M113-M112</f>
      </c>
      <c r="M113" s="177">
        <f>AVERAGE(J113,K113)</f>
      </c>
      <c r="N113" s="174">
        <f>N112</f>
      </c>
      <c r="O113" s="180">
        <f>M113/(P113+1)</f>
      </c>
      <c r="P113" s="177">
        <f>ROUNDDOWN(AVERAGE(J113:K113)/N113,0)</f>
      </c>
      <c r="Q113" s="175">
        <f>J113/AVERAGE(RailDefinition!T:T)</f>
      </c>
      <c r="R113" s="181">
        <f>K113/AVERAGE(RailDefinition!T:T)</f>
      </c>
      <c r="S113" s="177">
        <f>AVERAGE(Q113,R113)</f>
      </c>
      <c r="T113" s="3"/>
      <c r="V113" s="15"/>
    </row>
    <row r="114">
      <c r="A114" s="176">
        <f>E114&amp;"_"&amp;F114</f>
      </c>
      <c r="D114" s="178">
        <f>INT((F114-1) * CHOOSE(MIN(ROUNDUP(F114/10,0), 6), 1.2, 1.4, 1.6, 1.8, 2, 2.2))</f>
      </c>
      <c r="E114" s="5">
        <v>12</v>
      </c>
      <c r="F114" s="5">
        <v>113</v>
      </c>
      <c r="H114" s="126">
        <f>H113*0.85</f>
      </c>
      <c r="I114" s="126">
        <f>I113+0.5</f>
      </c>
      <c r="J114" s="173">
        <f>J113*(1+H114)</f>
      </c>
      <c r="K114" s="173">
        <f>J114+(5*(I114))</f>
      </c>
      <c r="L114" s="173">
        <f>M114-M113</f>
      </c>
      <c r="M114" s="177">
        <f>AVERAGE(J114,K114)</f>
      </c>
      <c r="N114" s="174">
        <f>N113</f>
      </c>
      <c r="O114" s="180">
        <f>M114/(P114+1)</f>
      </c>
      <c r="P114" s="177">
        <f>ROUNDDOWN(AVERAGE(J114:K114)/N114,0)</f>
      </c>
      <c r="Q114" s="175">
        <f>J114/AVERAGE(RailDefinition!T:T)</f>
      </c>
      <c r="R114" s="181">
        <f>K114/AVERAGE(RailDefinition!T:T)</f>
      </c>
      <c r="S114" s="177">
        <f>AVERAGE(Q114,R114)</f>
      </c>
      <c r="T114" s="3"/>
      <c r="V114" s="15"/>
    </row>
    <row r="115">
      <c r="A115" s="176">
        <f>E115&amp;"_"&amp;F115</f>
      </c>
      <c r="D115" s="178">
        <f>INT((F115-1) * CHOOSE(MIN(ROUNDUP(F115/10,0), 6), 1.2, 1.4, 1.6, 1.8, 2, 2.2))</f>
      </c>
      <c r="E115" s="5">
        <v>12</v>
      </c>
      <c r="F115" s="5">
        <v>114</v>
      </c>
      <c r="H115" s="126">
        <f>H114*0.85</f>
      </c>
      <c r="I115" s="126">
        <f>I114+0.5</f>
      </c>
      <c r="J115" s="173">
        <f>J114*(1+H115)</f>
      </c>
      <c r="K115" s="173">
        <f>J115+(5*(I115))</f>
      </c>
      <c r="L115" s="173">
        <f>M115-M114</f>
      </c>
      <c r="M115" s="177">
        <f>AVERAGE(J115,K115)</f>
      </c>
      <c r="N115" s="174">
        <f>N114</f>
      </c>
      <c r="O115" s="180">
        <f>M115/(P115+1)</f>
      </c>
      <c r="P115" s="177">
        <f>ROUNDDOWN(AVERAGE(J115:K115)/N115,0)</f>
      </c>
      <c r="Q115" s="175">
        <f>J115/AVERAGE(RailDefinition!T:T)</f>
      </c>
      <c r="R115" s="181">
        <f>K115/AVERAGE(RailDefinition!T:T)</f>
      </c>
      <c r="S115" s="177">
        <f>AVERAGE(Q115,R115)</f>
      </c>
      <c r="T115" s="3"/>
      <c r="V115" s="15"/>
    </row>
    <row r="116">
      <c r="A116" s="176">
        <f>E116&amp;"_"&amp;F116</f>
      </c>
      <c r="D116" s="178">
        <f>INT((F116-1) * CHOOSE(MIN(ROUNDUP(F116/10,0), 6), 1.2, 1.4, 1.6, 1.8, 2, 2.2))</f>
      </c>
      <c r="E116" s="5">
        <v>12</v>
      </c>
      <c r="F116" s="5">
        <v>115</v>
      </c>
      <c r="H116" s="126">
        <f>H115*0.85</f>
      </c>
      <c r="I116" s="126">
        <f>I115+0.5</f>
      </c>
      <c r="J116" s="173">
        <f>J115*(1+H116)</f>
      </c>
      <c r="K116" s="173">
        <f>J116+(5*(I116))</f>
      </c>
      <c r="L116" s="173">
        <f>M116-M115</f>
      </c>
      <c r="M116" s="177">
        <f>AVERAGE(J116,K116)</f>
      </c>
      <c r="N116" s="174">
        <f>N115</f>
      </c>
      <c r="O116" s="180">
        <f>M116/(P116+1)</f>
      </c>
      <c r="P116" s="177">
        <f>ROUNDDOWN(AVERAGE(J116:K116)/N116,0)</f>
      </c>
      <c r="Q116" s="175">
        <f>J116/AVERAGE(RailDefinition!T:T)</f>
      </c>
      <c r="R116" s="181">
        <f>K116/AVERAGE(RailDefinition!T:T)</f>
      </c>
      <c r="S116" s="177">
        <f>AVERAGE(Q116,R116)</f>
      </c>
      <c r="T116" s="3"/>
      <c r="V116" s="15"/>
    </row>
    <row r="117">
      <c r="A117" s="176">
        <f>E117&amp;"_"&amp;F117</f>
      </c>
      <c r="D117" s="178">
        <f>INT((F117-1) * CHOOSE(MIN(ROUNDUP(F117/10,0), 6), 1.2, 1.4, 1.6, 1.8, 2, 2.2))</f>
      </c>
      <c r="E117" s="5">
        <v>12</v>
      </c>
      <c r="F117" s="5">
        <v>116</v>
      </c>
      <c r="H117" s="126">
        <f>H116*0.85</f>
      </c>
      <c r="I117" s="126">
        <f>I116+0.5</f>
      </c>
      <c r="J117" s="173">
        <f>J116*(1+H117)</f>
      </c>
      <c r="K117" s="173">
        <f>J117+(5*(I117))</f>
      </c>
      <c r="L117" s="173">
        <f>M117-M116</f>
      </c>
      <c r="M117" s="177">
        <f>AVERAGE(J117,K117)</f>
      </c>
      <c r="N117" s="174">
        <f>N116</f>
      </c>
      <c r="O117" s="180">
        <f>M117/(P117+1)</f>
      </c>
      <c r="P117" s="177">
        <f>ROUNDDOWN(AVERAGE(J117:K117)/N117,0)</f>
      </c>
      <c r="Q117" s="175">
        <f>J117/AVERAGE(RailDefinition!T:T)</f>
      </c>
      <c r="R117" s="181">
        <f>K117/AVERAGE(RailDefinition!T:T)</f>
      </c>
      <c r="S117" s="177">
        <f>AVERAGE(Q117,R117)</f>
      </c>
      <c r="T117" s="3"/>
      <c r="V117" s="15"/>
    </row>
    <row r="118">
      <c r="A118" s="176">
        <f>E118&amp;"_"&amp;F118</f>
      </c>
      <c r="D118" s="178">
        <f>INT((F118-1) * CHOOSE(MIN(ROUNDUP(F118/10,0), 6), 1.2, 1.4, 1.6, 1.8, 2, 2.2))</f>
      </c>
      <c r="E118" s="5">
        <v>12</v>
      </c>
      <c r="F118" s="5">
        <v>117</v>
      </c>
      <c r="H118" s="126">
        <f>H117*0.85</f>
      </c>
      <c r="I118" s="126">
        <f>I117+0.5</f>
      </c>
      <c r="J118" s="173">
        <f>J117*(1+H118)</f>
      </c>
      <c r="K118" s="173">
        <f>J118+(5*(I118))</f>
      </c>
      <c r="L118" s="173">
        <f>M118-M117</f>
      </c>
      <c r="M118" s="177">
        <f>AVERAGE(J118,K118)</f>
      </c>
      <c r="N118" s="174">
        <f>N117</f>
      </c>
      <c r="O118" s="180">
        <f>M118/(P118+1)</f>
      </c>
      <c r="P118" s="177">
        <f>ROUNDDOWN(AVERAGE(J118:K118)/N118,0)</f>
      </c>
      <c r="Q118" s="175">
        <f>J118/AVERAGE(RailDefinition!T:T)</f>
      </c>
      <c r="R118" s="181">
        <f>K118/AVERAGE(RailDefinition!T:T)</f>
      </c>
      <c r="S118" s="177">
        <f>AVERAGE(Q118,R118)</f>
      </c>
      <c r="T118" s="3"/>
      <c r="V118" s="15"/>
    </row>
    <row r="119">
      <c r="A119" s="176">
        <f>E119&amp;"_"&amp;F119</f>
      </c>
      <c r="D119" s="178">
        <f>INT((F119-1) * CHOOSE(MIN(ROUNDUP(F119/10,0), 6), 1.2, 1.4, 1.6, 1.8, 2, 2.2))</f>
      </c>
      <c r="E119" s="5">
        <v>12</v>
      </c>
      <c r="F119" s="5">
        <v>118</v>
      </c>
      <c r="H119" s="126">
        <f>H118*0.85</f>
      </c>
      <c r="I119" s="126">
        <f>I118+0.5</f>
      </c>
      <c r="J119" s="173">
        <f>J118*(1+H119)</f>
      </c>
      <c r="K119" s="173">
        <f>J119+(5*(I119))</f>
      </c>
      <c r="L119" s="173">
        <f>M119-M118</f>
      </c>
      <c r="M119" s="177">
        <f>AVERAGE(J119,K119)</f>
      </c>
      <c r="N119" s="174">
        <f>N118</f>
      </c>
      <c r="O119" s="180">
        <f>M119/(P119+1)</f>
      </c>
      <c r="P119" s="177">
        <f>ROUNDDOWN(AVERAGE(J119:K119)/N119,0)</f>
      </c>
      <c r="Q119" s="175">
        <f>J119/AVERAGE(RailDefinition!T:T)</f>
      </c>
      <c r="R119" s="181">
        <f>K119/AVERAGE(RailDefinition!T:T)</f>
      </c>
      <c r="S119" s="177">
        <f>AVERAGE(Q119,R119)</f>
      </c>
      <c r="T119" s="3"/>
      <c r="V119" s="15"/>
    </row>
    <row r="120">
      <c r="A120" s="176">
        <f>E120&amp;"_"&amp;F120</f>
      </c>
      <c r="D120" s="178">
        <f>INT((F120-1) * CHOOSE(MIN(ROUNDUP(F120/10,0), 6), 1.2, 1.4, 1.6, 1.8, 2, 2.2))</f>
      </c>
      <c r="E120" s="5">
        <v>12</v>
      </c>
      <c r="F120" s="5">
        <v>119</v>
      </c>
      <c r="H120" s="126">
        <f>H119*0.85</f>
      </c>
      <c r="I120" s="126">
        <f>I119+0.5</f>
      </c>
      <c r="J120" s="173">
        <f>J119*(1+H120)</f>
      </c>
      <c r="K120" s="173">
        <f>J120+(5*(I120))</f>
      </c>
      <c r="L120" s="173">
        <f>M120-M119</f>
      </c>
      <c r="M120" s="177">
        <f>AVERAGE(J120,K120)</f>
      </c>
      <c r="N120" s="174">
        <f>N119</f>
      </c>
      <c r="O120" s="180">
        <f>M120/(P120+1)</f>
      </c>
      <c r="P120" s="177">
        <f>ROUNDDOWN(AVERAGE(J120:K120)/N120,0)</f>
      </c>
      <c r="Q120" s="175">
        <f>J120/AVERAGE(RailDefinition!T:T)</f>
      </c>
      <c r="R120" s="181">
        <f>K120/AVERAGE(RailDefinition!T:T)</f>
      </c>
      <c r="S120" s="177">
        <f>AVERAGE(Q120,R120)</f>
      </c>
      <c r="T120" s="3"/>
      <c r="V120" s="15"/>
    </row>
    <row r="121">
      <c r="A121" s="176">
        <f>E121&amp;"_"&amp;F121</f>
      </c>
      <c r="D121" s="178">
        <f>INT((F121-1) * CHOOSE(MIN(ROUNDUP(F121/10,0), 6), 1.2, 1.4, 1.6, 1.8, 2, 2.2))</f>
      </c>
      <c r="E121" s="5">
        <v>12</v>
      </c>
      <c r="F121" s="5">
        <v>120</v>
      </c>
      <c r="H121" s="126">
        <f>H120*0.85</f>
      </c>
      <c r="I121" s="126">
        <f>I120+0.5</f>
      </c>
      <c r="J121" s="173">
        <f>J120*(1+H121)</f>
      </c>
      <c r="K121" s="173">
        <f>J121+(5*(I121))</f>
      </c>
      <c r="L121" s="173">
        <f>M121-M120</f>
      </c>
      <c r="M121" s="177">
        <f>AVERAGE(J121,K121)</f>
      </c>
      <c r="N121" s="174">
        <f>N120</f>
      </c>
      <c r="O121" s="180">
        <f>M121/(P121+1)</f>
      </c>
      <c r="P121" s="177">
        <f>ROUNDDOWN(AVERAGE(J121:K121)/N121,0)</f>
      </c>
      <c r="Q121" s="175">
        <f>J121/AVERAGE(RailDefinition!T:T)</f>
      </c>
      <c r="R121" s="181">
        <f>K121/AVERAGE(RailDefinition!T:T)</f>
      </c>
      <c r="S121" s="177">
        <f>AVERAGE(Q121,R121)</f>
      </c>
      <c r="T121" s="3"/>
      <c r="V121" s="15"/>
    </row>
  </sheetData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true" errorStyle="stop" showDropDown="true" showErrorMessage="true" xr:uid="{9D50486A-A70E-4A15-B3B1-ECFF8ED36059}">
          <x14:formula1>
            <xm:f>'引用列表'!$AJ$2:$AJ$20</xm:f>
          </x14:formula1>
          <xm:sqref>T2:T121</xm:sqref>
        </x14:dataValidation>
        <x14:dataValidation type="list" allowBlank="true" errorStyle="stop" showDropDown="true" showErrorMessage="true" xr:uid="{47AE62A8-18D4-4525-8748-3473B5C2E0C9}">
          <x14:formula1>
            <xm:f>'引用列表'!$Q$2:$Q$15</xm:f>
          </x14:formula1>
          <xm:sqref>G2:G61</xm:sqref>
        </x14:dataValidation>
        <x14:dataValidation type="list" allowBlank="true" errorStyle="stop" showDropDown="true" showErrorMessage="true" xr:uid="{A7EFDEFB-195F-4B91-B00A-9059B01BD49E}">
          <x14:formula1>
            <xm:f>'引用列表'!$B$2:$B$200</xm:f>
          </x14:formula1>
          <xm:sqref>V2:V121</xm:sqref>
        </x14:dataValidation>
      </x14:dataValidations>
    </ext>
  </extLst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e1eaff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2"/>
    <col collapsed="false" customWidth="true" hidden="false" max="4" min="4" style="0" width="10"/>
    <col collapsed="false" customWidth="true" hidden="false" max="5" min="5" style="0" width="3"/>
    <col collapsed="false" customWidth="true" hidden="false" max="6" min="6" style="0" width="3"/>
    <col collapsed="false" customWidth="true" hidden="false" max="7" min="7" style="0" width="4"/>
    <col collapsed="false" customWidth="true" hidden="false" max="8" min="8" style="0" width="1"/>
    <col collapsed="false" customWidth="true" hidden="false" max="9" min="9" style="0" width="36"/>
    <col collapsed="false" customWidth="true" hidden="false" max="10" min="10" style="0" width="3"/>
    <col collapsed="false" customWidth="true" hidden="false" max="11" min="11" style="0" width="10"/>
    <col collapsed="false" customWidth="true" hidden="false" max="12" min="12" style="0" width="3"/>
    <col collapsed="false" customWidth="true" hidden="false" max="13" min="13" style="0" width="4"/>
    <col collapsed="false" customWidth="true" hidden="false" max="14" min="14" style="0" width="4"/>
    <col collapsed="false" customWidth="true" hidden="false" max="15" min="15" style="0" width="1"/>
    <col collapsed="false" customWidth="true" hidden="false" max="16" min="16" style="0" width="36"/>
    <col collapsed="false" customWidth="true" hidden="false" max="17" min="17" style="0" width="3"/>
    <col collapsed="false" customWidth="true" hidden="false" max="18" min="18" style="0" width="10"/>
    <col collapsed="false" customWidth="true" hidden="false" max="19" min="19" style="0" width="3"/>
    <col collapsed="false" customWidth="true" hidden="false" max="20" min="20" style="0" width="3"/>
    <col collapsed="false" customWidth="true" hidden="false" max="21" min="21" style="0" width="4"/>
    <col collapsed="false" customWidth="true" hidden="false" max="22" min="22" style="0" width="1"/>
    <col collapsed="false" customWidth="true" hidden="false" max="23" min="23" style="0" width="44"/>
    <col collapsed="false" customWidth="true" hidden="false" max="24" min="24" style="0" width="3"/>
    <col collapsed="false" customWidth="true" hidden="false" max="25" min="25" style="0" width="10"/>
    <col collapsed="false" customWidth="true" hidden="false" max="26" min="26" style="0" width="3"/>
    <col collapsed="false" customWidth="true" hidden="false" max="27" min="27" style="0" width="4"/>
    <col collapsed="false" customWidth="true" hidden="false" max="28" min="28" style="0" width="4"/>
    <col collapsed="false" customWidth="true" hidden="false" max="29" min="29" style="0" width="1"/>
    <col collapsed="false" customWidth="true" hidden="false" max="30" min="30" style="0" width="44"/>
    <col collapsed="false" customWidth="true" hidden="false" max="31" min="31" style="0" width="3"/>
    <col collapsed="false" customWidth="true" hidden="false" max="32" min="32" style="0" width="10"/>
    <col collapsed="false" customWidth="true" hidden="false" max="33" min="33" style="0" width="3"/>
    <col collapsed="false" customWidth="true" hidden="false" max="34" min="34" style="0" width="4"/>
    <col collapsed="false" customWidth="true" hidden="false" max="35" min="35" style="0" width="4"/>
  </cols>
  <sheetData>
    <row r="1">
      <c r="A1" s="17"/>
      <c r="B1" s="17" t="str">
        <v>W01_L01</v>
      </c>
      <c r="C1" s="194"/>
      <c r="D1" s="194"/>
      <c r="E1" s="196"/>
      <c r="F1" s="195"/>
      <c r="G1" s="196"/>
      <c r="H1" s="17" t="str" xml:space="preserve">
        <v> </v>
      </c>
      <c r="I1" s="17" t="str">
        <v>W01_L02</v>
      </c>
      <c r="J1" s="194"/>
      <c r="K1" s="194"/>
      <c r="L1" s="196"/>
      <c r="M1" s="195"/>
      <c r="N1" s="196"/>
      <c r="O1" s="17" t="str" xml:space="preserve">
        <v> </v>
      </c>
      <c r="P1" s="17" t="str">
        <v>W01_L03</v>
      </c>
      <c r="Q1" s="194"/>
      <c r="R1" s="194"/>
      <c r="S1" s="196"/>
      <c r="T1" s="195"/>
      <c r="U1" s="196"/>
      <c r="V1" s="17" t="str" xml:space="preserve">
        <v> </v>
      </c>
      <c r="W1" s="17" t="str">
        <v>W01_L04</v>
      </c>
      <c r="X1" s="194"/>
      <c r="Y1" s="194"/>
      <c r="Z1" s="196"/>
      <c r="AA1" s="195"/>
      <c r="AB1" s="196"/>
      <c r="AC1" s="17" t="str" xml:space="preserve">
        <v> </v>
      </c>
      <c r="AD1" s="17" t="str">
        <v>W01_L05</v>
      </c>
      <c r="AE1" s="194"/>
      <c r="AF1" s="194"/>
      <c r="AG1" s="196"/>
      <c r="AH1" s="195"/>
      <c r="AI1" s="196"/>
    </row>
    <row customHeight="true" ht="19" r="2">
      <c r="B2" s="194" t="str">
        <v>非接触静态 =</v>
      </c>
      <c r="C2" s="17">
        <v>0</v>
      </c>
      <c r="D2" s="194" t="str">
        <v>难度系数 =</v>
      </c>
      <c r="E2" s="192"/>
      <c r="F2" s="195">
        <f>C2*0.1+C3*0.3+C4*0.5</f>
      </c>
      <c r="G2" s="192"/>
      <c r="H2" s="194"/>
      <c r="I2" s="194" t="str">
        <v>非接触静态 =</v>
      </c>
      <c r="J2" s="17">
        <v>0</v>
      </c>
      <c r="K2" s="194" t="str">
        <v>难度系数 =</v>
      </c>
      <c r="L2" s="192"/>
      <c r="M2" s="195">
        <f>J2*0.1+J3*0.3+J4*0.5</f>
      </c>
      <c r="N2" s="192"/>
      <c r="O2" s="194"/>
      <c r="P2" s="194" t="str">
        <v>非接触静态 =</v>
      </c>
      <c r="Q2" s="17">
        <v>0</v>
      </c>
      <c r="R2" s="194" t="str">
        <v>难度系数 =</v>
      </c>
      <c r="S2" s="192"/>
      <c r="T2" s="195">
        <f>Q2*0.1+Q3*0.3+Q4*0.5</f>
      </c>
      <c r="U2" s="192"/>
      <c r="W2" s="194" t="str">
        <v>非接触静态 =</v>
      </c>
      <c r="X2" s="17">
        <v>0</v>
      </c>
      <c r="Y2" s="194" t="str">
        <v>难度系数 =</v>
      </c>
      <c r="Z2" s="192"/>
      <c r="AA2" s="195">
        <f>X2*0.1+X3*0.3+X4*0.5</f>
      </c>
      <c r="AB2" s="192"/>
      <c r="AD2" s="194" t="str">
        <v>非接触静态 =</v>
      </c>
      <c r="AE2" s="17">
        <v>0</v>
      </c>
      <c r="AF2" s="194" t="str">
        <v>难度系数 =</v>
      </c>
      <c r="AG2" s="192"/>
      <c r="AH2" s="195">
        <f>AE2*0.1+AE3*0.3+AE4*0.5</f>
      </c>
      <c r="AI2" s="192"/>
    </row>
    <row customHeight="true" ht="19" r="3">
      <c r="B3" s="194" t="str">
        <v>非接触简单 =</v>
      </c>
      <c r="C3" s="17">
        <v>0</v>
      </c>
      <c r="D3" s="194" t="str">
        <v>迷宫难度 =</v>
      </c>
      <c r="E3" s="192">
        <f>VLOOKUP(B1,'迷宫关卡规划'!A:S,2,FALSE)</f>
      </c>
      <c r="F3" s="195">
        <f>SUM(F6:F202)*(1+F2)</f>
      </c>
      <c r="G3" s="192">
        <f>VLOOKUP(B1,'迷宫关卡规划'!A:S,3,FALSE)</f>
      </c>
      <c r="H3" s="194"/>
      <c r="I3" s="194" t="str">
        <v>非接触简单 =</v>
      </c>
      <c r="J3" s="17">
        <v>0</v>
      </c>
      <c r="K3" s="194" t="str">
        <v>迷宫难度 =</v>
      </c>
      <c r="L3" s="192">
        <f>VLOOKUP(I1,'迷宫关卡规划'!A:S,2,FALSE)</f>
      </c>
      <c r="M3" s="195">
        <f>SUM(M6:M202)*(1+M2)</f>
      </c>
      <c r="N3" s="192">
        <f>VLOOKUP(I1,'迷宫关卡规划'!A:S,3,FALSE)</f>
      </c>
      <c r="O3" s="194"/>
      <c r="P3" s="194" t="str">
        <v>非接触简单 =</v>
      </c>
      <c r="Q3" s="17">
        <v>3</v>
      </c>
      <c r="R3" s="194" t="str">
        <v>迷宫难度 =</v>
      </c>
      <c r="S3" s="192">
        <f>VLOOKUP(P1,'迷宫关卡规划'!A:S,2,FALSE)</f>
      </c>
      <c r="T3" s="195">
        <f>SUM(T6:T202)*(1+T2)</f>
      </c>
      <c r="U3" s="192">
        <f>VLOOKUP(P1,'迷宫关卡规划'!A:S,3,FALSE)</f>
      </c>
      <c r="W3" s="194" t="str">
        <v>非接触简单 =</v>
      </c>
      <c r="X3" s="17">
        <v>3</v>
      </c>
      <c r="Y3" s="194" t="str">
        <v>迷宫难度 =</v>
      </c>
      <c r="Z3" s="192">
        <f>VLOOKUP(W1,'迷宫关卡规划'!A:S,2,FALSE)</f>
      </c>
      <c r="AA3" s="195">
        <f>SUM(AA6:AA202)*(1+AA2)</f>
      </c>
      <c r="AB3" s="192">
        <f>VLOOKUP(W1,'迷宫关卡规划'!A:S,3,FALSE)</f>
      </c>
      <c r="AD3" s="194" t="str">
        <v>非接触简单 =</v>
      </c>
      <c r="AE3" s="17">
        <v>3</v>
      </c>
      <c r="AF3" s="194" t="str">
        <v>迷宫难度 =</v>
      </c>
      <c r="AG3" s="192">
        <f>VLOOKUP(AD1,'迷宫关卡规划'!B:AB,2,FALSE)</f>
      </c>
      <c r="AH3" s="195">
        <f>SUM(AH6:AH202)*(1+AH2)</f>
      </c>
      <c r="AI3" s="192">
        <f>VLOOKUP(AD1,'迷宫关卡规划'!B:AB,3,FALSE)</f>
      </c>
    </row>
    <row customHeight="true" ht="19" r="4">
      <c r="B4" s="194" t="str">
        <v>非接触复杂 =</v>
      </c>
      <c r="C4" s="17">
        <v>0</v>
      </c>
      <c r="D4" s="194" t="str">
        <v>检查点 =</v>
      </c>
      <c r="E4" s="192"/>
      <c r="F4" s="195">
        <f>COUNTIF(B6:B1001,"*checkpoint*")</f>
      </c>
      <c r="G4" s="192">
        <f>VLOOKUP(B1,'迷宫关卡规划'!A:S,9,FALSE)</f>
      </c>
      <c r="H4" s="194"/>
      <c r="I4" s="194" t="str">
        <v>非接触复杂 =</v>
      </c>
      <c r="J4" s="17">
        <v>0</v>
      </c>
      <c r="K4" s="194" t="str">
        <v>检查点 =</v>
      </c>
      <c r="L4" s="192"/>
      <c r="M4" s="195">
        <f>COUNTIF(I6:I1001,"*checkpoint*")</f>
      </c>
      <c r="N4" s="192">
        <f>VLOOKUP(I1,'迷宫关卡规划'!A:S,9,FALSE)</f>
      </c>
      <c r="O4" s="194"/>
      <c r="P4" s="194" t="str">
        <v>非接触复杂 =</v>
      </c>
      <c r="Q4" s="17">
        <v>0</v>
      </c>
      <c r="R4" s="194" t="str">
        <v>检查点 =</v>
      </c>
      <c r="S4" s="192"/>
      <c r="T4" s="195">
        <f>COUNTIF(P6:P1001,"*checkpoint*")</f>
      </c>
      <c r="U4" s="192">
        <f>VLOOKUP(P1,'迷宫关卡规划'!A:S,9,FALSE)</f>
      </c>
      <c r="W4" s="194" t="str">
        <v>非接触复杂 =</v>
      </c>
      <c r="X4" s="17">
        <v>0</v>
      </c>
      <c r="Y4" s="194" t="str">
        <v>检查点 =</v>
      </c>
      <c r="Z4" s="192"/>
      <c r="AA4" s="195">
        <f>COUNTIF(W6:W1001,"*checkpoint*")</f>
      </c>
      <c r="AB4" s="192">
        <f>VLOOKUP(W1,'迷宫关卡规划'!A:S,9,FALSE)</f>
      </c>
      <c r="AD4" s="194" t="str">
        <v>非接触复杂 =</v>
      </c>
      <c r="AE4" s="17">
        <v>0</v>
      </c>
      <c r="AF4" s="194" t="str">
        <v>检查点 =</v>
      </c>
      <c r="AG4" s="192"/>
      <c r="AH4" s="195">
        <f>COUNTIF(AD6:AD1001,"*checkpoint*")</f>
      </c>
      <c r="AI4" s="192">
        <f>VLOOKUP(AD1,'迷宫关卡规划'!B:AB,9,FALSE)</f>
      </c>
    </row>
    <row r="5">
      <c r="B5" s="194" t="str">
        <v>总计轨道 =</v>
      </c>
      <c r="C5" s="17">
        <f>COUNTA(B6:B1002)</f>
      </c>
      <c r="D5" s="194" t="str">
        <v>分段难度 =</v>
      </c>
      <c r="E5" s="192">
        <f>E3/(G4+1)</f>
      </c>
      <c r="F5" s="195">
        <f>F3/(F4+1)</f>
      </c>
      <c r="G5" s="192">
        <f>G3/(G4+1)</f>
      </c>
      <c r="H5" s="194"/>
      <c r="I5" s="194" t="str">
        <v>总计轨道 =</v>
      </c>
      <c r="J5" s="17">
        <f>COUNTA(I6:I1002)</f>
      </c>
      <c r="K5" s="194" t="str">
        <v>分段难度 =</v>
      </c>
      <c r="L5" s="192">
        <f>L3/(N4+1)</f>
      </c>
      <c r="M5" s="195">
        <f>M3/(M4+1)</f>
      </c>
      <c r="N5" s="192">
        <f>N3/(N4+1)</f>
      </c>
      <c r="O5" s="194"/>
      <c r="P5" s="194" t="str">
        <v>总计轨道 =</v>
      </c>
      <c r="Q5" s="17">
        <f>COUNTA(P6:P1002)</f>
      </c>
      <c r="R5" s="194" t="str">
        <v>分段难度 =</v>
      </c>
      <c r="S5" s="192">
        <f>S3/(U4+1)</f>
      </c>
      <c r="T5" s="195">
        <f>T3/(T4+1)</f>
      </c>
      <c r="U5" s="192">
        <f>U3/(U4+1)</f>
      </c>
      <c r="W5" s="194" t="str">
        <v>总计轨道 =</v>
      </c>
      <c r="X5" s="17">
        <f>COUNTA(W6:W1002)</f>
      </c>
      <c r="Y5" s="194" t="str">
        <v>分段难度 =</v>
      </c>
      <c r="Z5" s="192">
        <f>Z3/(AB4+1)</f>
      </c>
      <c r="AA5" s="195">
        <f>AA3/(AA4+1)</f>
      </c>
      <c r="AB5" s="192">
        <f>AB3/(AB4+1)</f>
      </c>
      <c r="AD5" s="194" t="str">
        <v>总计轨道 =</v>
      </c>
      <c r="AE5" s="17">
        <f>COUNTA(AD6:AD1002)</f>
      </c>
      <c r="AF5" s="194" t="str">
        <v>分段难度 =</v>
      </c>
      <c r="AG5" s="192">
        <f>AG3/(AI4+1)</f>
      </c>
      <c r="AH5" s="195">
        <f>AH3/(AH4+1)</f>
      </c>
      <c r="AI5" s="192">
        <f>AI3/(AI4+1)</f>
      </c>
    </row>
    <row r="6">
      <c r="A6" s="17" t="str">
        <v>轨道组件</v>
      </c>
      <c r="B6" t="str">
        <v>BP_Start_F_X1_Y1_Z1_Rail</v>
      </c>
      <c r="C6" s="194"/>
      <c r="D6" s="16"/>
      <c r="E6" s="192"/>
      <c r="F6" s="195">
        <f>IF(B6&lt;&gt;"", VLOOKUP(B6,RailDefinition!T:T,2,FALSE), "")</f>
      </c>
      <c r="G6" s="192"/>
      <c r="I6" t="str">
        <v>BP_Start_F_X1_Y1_Z1_Rail</v>
      </c>
      <c r="J6" s="194"/>
      <c r="K6" s="16"/>
      <c r="L6" s="192"/>
      <c r="M6" s="195">
        <f>IF(I6&lt;&gt;"", VLOOKUP(I6,RailDefinition!T:T,2,FALSE), "")</f>
      </c>
      <c r="N6" s="192"/>
      <c r="P6" t="str">
        <v>BP_Start_F_X1_Y1_Z1_Rail</v>
      </c>
      <c r="Q6" s="194"/>
      <c r="R6" s="16"/>
      <c r="S6" s="192"/>
      <c r="T6" s="193">
        <f>IF(P6&lt;&gt;"", VLOOKUP(P6,RailDefinition!T:T,2,FALSE), "")</f>
      </c>
      <c r="U6" s="192"/>
      <c r="W6" t="str">
        <v>BP_Start_F_X1_Y1_Z1_Rail</v>
      </c>
      <c r="X6" s="194"/>
      <c r="Y6" s="16"/>
      <c r="Z6" s="192"/>
      <c r="AA6" s="193">
        <f>IF(W6&lt;&gt;"", VLOOKUP(W6,RailDefinition!T:T,2,FALSE), "")</f>
      </c>
      <c r="AB6" s="192"/>
      <c r="AD6" t="str">
        <v>BP_Start_F_X1_Y1_Z1_Rail</v>
      </c>
      <c r="AE6" s="194"/>
      <c r="AF6" s="16"/>
      <c r="AG6" s="192"/>
      <c r="AH6" s="193">
        <f>IF(AD6&lt;&gt;"", VLOOKUP(AD6,RailDefinition!BJ:BL,2,FALSE), "")</f>
      </c>
      <c r="AI6" s="192"/>
    </row>
    <row r="7">
      <c r="B7" t="str">
        <v>BP_Straight_F_X1_Y1_Z1_Rail</v>
      </c>
      <c r="C7" s="194"/>
      <c r="D7" s="16"/>
      <c r="E7" s="192"/>
      <c r="F7" s="195">
        <f>IF(B7&lt;&gt;"", VLOOKUP(B7,RailDefinition!T:T,2,FALSE), "")*(1+0.1*F6)</f>
      </c>
      <c r="G7" s="192"/>
      <c r="I7" t="str">
        <v>BP_Straight_F_X1_Y1_Z1_Rail</v>
      </c>
      <c r="J7" s="194"/>
      <c r="K7" s="16"/>
      <c r="L7" s="192"/>
      <c r="M7" s="195">
        <f>IF(I7&lt;&gt;"", VLOOKUP(I7,RailDefinition!T:T,2,FALSE), "")*(1+0.1*M6)</f>
      </c>
      <c r="N7" s="192"/>
      <c r="P7" t="str">
        <v>BP_Straight_F_X1_Y1_Z1_Rail</v>
      </c>
      <c r="Q7" s="194"/>
      <c r="R7" s="16"/>
      <c r="S7" s="192"/>
      <c r="T7" s="193">
        <f>IF(P7&lt;&gt;"", VLOOKUP(P7,RailDefinition!T:T,2,FALSE), "")</f>
      </c>
      <c r="U7" s="192"/>
      <c r="W7" t="str">
        <v>BP_Straight_F_X1_Y1_Z1_Rail</v>
      </c>
      <c r="X7" s="194"/>
      <c r="Y7" s="16"/>
      <c r="Z7" s="192"/>
      <c r="AA7" s="193">
        <f>IF(W7&lt;&gt;"", VLOOKUP(W7,RailDefinition!T:T,2,FALSE), "")</f>
      </c>
      <c r="AB7" s="192"/>
      <c r="AD7" t="str">
        <v>BP_Straight_F_X1_Y1_Z1_Rail</v>
      </c>
      <c r="AE7" s="194"/>
      <c r="AF7" s="16"/>
      <c r="AG7" s="192"/>
      <c r="AH7" s="193">
        <f>IF(AD7&lt;&gt;"", VLOOKUP(AD7,RailDefinition!BJ:BL,2,FALSE), "")</f>
      </c>
      <c r="AI7" s="192"/>
    </row>
    <row r="8">
      <c r="B8" t="str">
        <v>BP_Straight_F_X1_Y1_Z1_Rail</v>
      </c>
      <c r="C8" s="194"/>
      <c r="D8" s="16"/>
      <c r="E8" s="192"/>
      <c r="F8" s="195">
        <f>IF(B8&lt;&gt;"", VLOOKUP(B8,RailDefinition!T:T,2,FALSE), "")*(1+0.1*F7)</f>
      </c>
      <c r="G8" s="192"/>
      <c r="I8" t="str">
        <v>BP_Straight_F_X1_Y1_Z1_Rail</v>
      </c>
      <c r="J8" s="194"/>
      <c r="K8" s="16"/>
      <c r="L8" s="192"/>
      <c r="M8" s="195">
        <f>IF(I8&lt;&gt;"", VLOOKUP(I8,RailDefinition!T:T,2,FALSE), "")*(1+0.1*M7)</f>
      </c>
      <c r="N8" s="192"/>
      <c r="P8" t="str">
        <v>BP_Straight_F_X1_Y1_Z1_Rail</v>
      </c>
      <c r="Q8" s="194"/>
      <c r="R8" s="16"/>
      <c r="S8" s="192"/>
      <c r="T8" s="193">
        <f>IF(P8&lt;&gt;"", VLOOKUP(P8,RailDefinition!T:T,2,FALSE), "")</f>
      </c>
      <c r="U8" s="192"/>
      <c r="W8" t="str">
        <v>BP_Curve_R90_X1_Y1_Z1_Rail</v>
      </c>
      <c r="X8" s="194"/>
      <c r="Y8" s="16"/>
      <c r="Z8" s="192"/>
      <c r="AA8" s="193">
        <f>IF(W8&lt;&gt;"", VLOOKUP(W8,RailDefinition!T:T,2,FALSE), "")</f>
      </c>
      <c r="AB8" s="192"/>
      <c r="AD8" t="str">
        <v>BP_Curve_R90_X1_Y1_Z1_Rail</v>
      </c>
      <c r="AE8" s="194"/>
      <c r="AF8" s="16"/>
      <c r="AG8" s="192"/>
      <c r="AH8" s="193">
        <f>IF(AD8&lt;&gt;"", VLOOKUP(AD8,RailDefinition!BJ:BL,2,FALSE), "")</f>
      </c>
      <c r="AI8" s="192"/>
    </row>
    <row r="9">
      <c r="B9" t="str">
        <v>BP_Curve_L90_X1_Y1_Z1_Rail</v>
      </c>
      <c r="C9" s="194"/>
      <c r="D9" s="16"/>
      <c r="E9" s="192"/>
      <c r="F9" s="195">
        <f>IF(B9&lt;&gt;"", VLOOKUP(B9,RailDefinition!T:T,2,FALSE), "")*(1+0.1*F8)</f>
      </c>
      <c r="G9" s="192"/>
      <c r="I9" t="str">
        <v>BP_Straight_F_X1_Y1_Z1_Rail</v>
      </c>
      <c r="J9" s="194"/>
      <c r="K9" s="16"/>
      <c r="L9" s="192"/>
      <c r="M9" s="195">
        <f>IF(I9&lt;&gt;"", VLOOKUP(I9,RailDefinition!T:T,2,FALSE), "")*(1+0.1*M8)</f>
      </c>
      <c r="N9" s="192"/>
      <c r="P9" t="str">
        <v>BP_Straight_F_X1_Y1_Z1_Rail</v>
      </c>
      <c r="Q9" s="194"/>
      <c r="R9" s="16"/>
      <c r="S9" s="192"/>
      <c r="T9" s="193">
        <f>IF(P9&lt;&gt;"", VLOOKUP(P9,RailDefinition!T:T,2,FALSE), "")</f>
      </c>
      <c r="U9" s="192"/>
      <c r="W9" t="str">
        <v>BP_Curve_L90_X1_Y1_Z1_Rail</v>
      </c>
      <c r="X9" s="194"/>
      <c r="Y9" s="16"/>
      <c r="Z9" s="192"/>
      <c r="AA9" s="193">
        <f>IF(W9&lt;&gt;"", VLOOKUP(W9,RailDefinition!T:T,2,FALSE), "")</f>
      </c>
      <c r="AB9" s="192"/>
      <c r="AD9" t="str">
        <v>BP_Curve_L90_X1_Y1_Z1_Rail</v>
      </c>
      <c r="AE9" s="194"/>
      <c r="AF9" s="16"/>
      <c r="AG9" s="192"/>
      <c r="AH9" s="193">
        <f>IF(AD9&lt;&gt;"", VLOOKUP(AD9,RailDefinition!BJ:BL,2,FALSE), "")</f>
      </c>
      <c r="AI9" s="192"/>
    </row>
    <row r="10">
      <c r="B10" t="str">
        <v>BP_Straight_F_X1_Y1_Z1_Rail</v>
      </c>
      <c r="C10" s="194"/>
      <c r="D10" s="16"/>
      <c r="E10" s="192"/>
      <c r="F10" s="195">
        <f>IF(B10&lt;&gt;"", VLOOKUP(B10,RailDefinition!T:T,2,FALSE), "")*(1+0.1*F9)</f>
      </c>
      <c r="G10" s="192"/>
      <c r="I10" t="str">
        <v>BP_Curve_L90_X1_Y1_Z1_Rail</v>
      </c>
      <c r="J10" s="194"/>
      <c r="K10" s="16"/>
      <c r="L10" s="192"/>
      <c r="M10" s="195">
        <f>IF(I10&lt;&gt;"", VLOOKUP(I10,RailDefinition!T:T,2,FALSE), "")*(1+0.1*M9)</f>
      </c>
      <c r="N10" s="192"/>
      <c r="P10" t="str">
        <v>BP_Straight_F_X1_Y1_Z1_Rail</v>
      </c>
      <c r="Q10" s="194"/>
      <c r="R10" s="16"/>
      <c r="S10" s="192"/>
      <c r="T10" s="193">
        <f>IF(P10&lt;&gt;"", VLOOKUP(P10,RailDefinition!T:T,2,FALSE), "")</f>
      </c>
      <c r="U10" s="192"/>
      <c r="W10" t="str">
        <v>BP_Curve_L90_X1_Y1_Z1_Rail</v>
      </c>
      <c r="X10" s="194"/>
      <c r="Y10" s="16"/>
      <c r="Z10" s="192"/>
      <c r="AA10" s="193">
        <f>IF(W10&lt;&gt;"", VLOOKUP(W10,RailDefinition!T:T,2,FALSE), "")</f>
      </c>
      <c r="AB10" s="192"/>
      <c r="AD10" t="str">
        <v>BP_Curve_L90_X1_Y1_Z1_Rail</v>
      </c>
      <c r="AE10" s="194"/>
      <c r="AF10" s="16"/>
      <c r="AG10" s="192"/>
      <c r="AH10" s="193">
        <f>IF(AD10&lt;&gt;"", VLOOKUP(AD10,RailDefinition!BJ:BL,2,FALSE), "")</f>
      </c>
      <c r="AI10" s="192"/>
    </row>
    <row r="11">
      <c r="B11" t="str">
        <v>BP_Straight_F_X1_Y1_Z1_Rail</v>
      </c>
      <c r="C11" s="194"/>
      <c r="D11" s="16"/>
      <c r="E11" s="192"/>
      <c r="F11" s="195">
        <f>IF(B11&lt;&gt;"", VLOOKUP(B11,RailDefinition!T:T,2,FALSE), "")*(1+0.1*F10)</f>
      </c>
      <c r="G11" s="192"/>
      <c r="I11" t="str">
        <v>BP_Curve_L90_X1_Y1_Z1_Rail</v>
      </c>
      <c r="J11" s="194"/>
      <c r="K11" s="16"/>
      <c r="L11" s="192"/>
      <c r="M11" s="195">
        <f>IF(I11&lt;&gt;"", VLOOKUP(I11,RailDefinition!T:T,2,FALSE), "")*(1+0.1*M10)</f>
      </c>
      <c r="N11" s="192"/>
      <c r="P11" t="str">
        <v>BP_Straight_U90_X1_Y1_Z1_Rail</v>
      </c>
      <c r="Q11" s="194"/>
      <c r="R11" s="16"/>
      <c r="S11" s="192"/>
      <c r="T11" s="193">
        <f>IF(P11&lt;&gt;"", VLOOKUP(P11,RailDefinition!T:T,2,FALSE), "")</f>
      </c>
      <c r="U11" s="192"/>
      <c r="W11" t="str">
        <v>BP_Curve_R90_X1_Y1_Z1_Rail</v>
      </c>
      <c r="X11" s="194"/>
      <c r="Y11" s="16"/>
      <c r="Z11" s="192"/>
      <c r="AA11" s="193">
        <f>IF(W11&lt;&gt;"", VLOOKUP(W11,RailDefinition!T:T,2,FALSE), "")</f>
      </c>
      <c r="AB11" s="192"/>
      <c r="AD11" t="str">
        <v>BP_Curve_R90_X1_Y1_Z1_Rail</v>
      </c>
      <c r="AE11" s="194"/>
      <c r="AF11" s="16"/>
      <c r="AG11" s="192"/>
      <c r="AH11" s="193">
        <f>IF(AD11&lt;&gt;"", VLOOKUP(AD11,RailDefinition!BJ:BL,2,FALSE), "")</f>
      </c>
      <c r="AI11" s="192"/>
    </row>
    <row r="12">
      <c r="B12" t="str">
        <v>BP_End_F_X1_Y1_Z1_Rail</v>
      </c>
      <c r="C12" s="194"/>
      <c r="D12" s="16"/>
      <c r="E12" s="192"/>
      <c r="F12" s="195">
        <f>IF(B12&lt;&gt;"", VLOOKUP(B12,RailDefinition!T:T,2,FALSE), "")*(1+0.1*F11)</f>
      </c>
      <c r="G12" s="192"/>
      <c r="I12" t="str">
        <v>BP_Curve_R90_Borderless_O_X1_Y1_Z1_Rail</v>
      </c>
      <c r="J12" s="194"/>
      <c r="K12" s="16"/>
      <c r="L12" s="192"/>
      <c r="M12" s="195">
        <f>IF(I12&lt;&gt;"", VLOOKUP(I12,RailDefinition!T:T,2,FALSE), "")*(1+0.1*M11)</f>
      </c>
      <c r="N12" s="192"/>
      <c r="P12" t="str">
        <v>BP_Straight_F_X1_Y1_Z1_Rail</v>
      </c>
      <c r="Q12" s="194"/>
      <c r="R12" s="16"/>
      <c r="S12" s="192"/>
      <c r="T12" s="193">
        <f>IF(P12&lt;&gt;"", VLOOKUP(P12,RailDefinition!T:T,2,FALSE), "")</f>
      </c>
      <c r="U12" s="192"/>
      <c r="W12" t="str">
        <v>BP_Straight_F_X1_Y1_Z1_Rail</v>
      </c>
      <c r="X12" s="194"/>
      <c r="Y12" s="16"/>
      <c r="Z12" s="192"/>
      <c r="AA12" s="193">
        <f>IF(W12&lt;&gt;"", VLOOKUP(W12,RailDefinition!T:T,2,FALSE), "")</f>
      </c>
      <c r="AB12" s="192"/>
      <c r="AD12" t="str">
        <v>BP_Straight_F_X1_Y1_Z1_Rail</v>
      </c>
      <c r="AE12" s="194"/>
      <c r="AF12" s="16"/>
      <c r="AG12" s="192"/>
      <c r="AH12" s="193">
        <f>IF(AD12&lt;&gt;"", VLOOKUP(AD12,RailDefinition!BJ:BL,2,FALSE), "")</f>
      </c>
      <c r="AI12" s="192"/>
    </row>
    <row r="13">
      <c r="C13" s="194"/>
      <c r="D13" s="16"/>
      <c r="E13" s="192"/>
      <c r="F13" s="195">
        <f>IF(B13&lt;&gt;"", VLOOKUP(B13,RailDefinition!T:T,2,FALSE), "")</f>
      </c>
      <c r="G13" s="192"/>
      <c r="I13" t="str">
        <v>BP_Straight_F_X1_Y1_Z1_Rail</v>
      </c>
      <c r="J13" s="194"/>
      <c r="K13" s="16"/>
      <c r="L13" s="192"/>
      <c r="M13" s="195">
        <f>IF(I13&lt;&gt;"", VLOOKUP(I13,RailDefinition!T:T,2,FALSE), "")*(1+0.1*M12)</f>
      </c>
      <c r="N13" s="192"/>
      <c r="P13" t="str">
        <v>BP_Straight_F_X1_Y1_Z1_Rail</v>
      </c>
      <c r="Q13" s="194"/>
      <c r="R13" s="16"/>
      <c r="S13" s="192"/>
      <c r="T13" s="193">
        <f>IF(P13&lt;&gt;"", VLOOKUP(P13,RailDefinition!T:T,2,FALSE), "")</f>
      </c>
      <c r="U13" s="192"/>
      <c r="W13" t="str">
        <v>BP_Curve_R90_Borderless_O_X1_Y1_Z1_Rail</v>
      </c>
      <c r="X13" s="194"/>
      <c r="Y13" s="16"/>
      <c r="Z13" s="192"/>
      <c r="AA13" s="193">
        <f>IF(W13&lt;&gt;"", VLOOKUP(W13,RailDefinition!T:T,2,FALSE), "")</f>
      </c>
      <c r="AB13" s="192"/>
      <c r="AD13" t="str">
        <v>BP_Straight_FR90_X1_Y1_Z1_Rail</v>
      </c>
      <c r="AE13" s="194"/>
      <c r="AF13" s="16"/>
      <c r="AG13" s="192"/>
      <c r="AH13" s="193">
        <f>IF(AD13&lt;&gt;"", VLOOKUP(AD13,RailDefinition!BJ:BL,2,FALSE), "")</f>
      </c>
      <c r="AI13" s="192"/>
    </row>
    <row r="14">
      <c r="C14" s="194"/>
      <c r="D14" s="16"/>
      <c r="E14" s="192"/>
      <c r="F14" s="195">
        <f>IF(B14&lt;&gt;"", VLOOKUP(B14,RailDefinition!T:T,2,FALSE), "")</f>
      </c>
      <c r="G14" s="192"/>
      <c r="I14" t="str">
        <v>BP_Straight_F_X1_Y1_Z1_Rail</v>
      </c>
      <c r="J14" s="194"/>
      <c r="K14" s="16"/>
      <c r="L14" s="192"/>
      <c r="M14" s="195">
        <f>IF(I14&lt;&gt;"", VLOOKUP(I14,RailDefinition!T:T,2,FALSE), "")*(1+0.1*M13)</f>
      </c>
      <c r="N14" s="192"/>
      <c r="P14" t="str">
        <v>BP_Straight_F_X1_Y1_Z1_Rail</v>
      </c>
      <c r="Q14" s="194"/>
      <c r="R14" s="16"/>
      <c r="S14" s="192"/>
      <c r="T14" s="193">
        <f>IF(P14&lt;&gt;"", VLOOKUP(P14,RailDefinition!T:T,2,FALSE), "")</f>
      </c>
      <c r="U14" s="192"/>
      <c r="W14" t="str">
        <v>BP_Straight_F_X1_Y1_Z1_Rail</v>
      </c>
      <c r="X14" s="194"/>
      <c r="Y14" s="16"/>
      <c r="Z14" s="192"/>
      <c r="AA14" s="193">
        <f>IF(W14&lt;&gt;"", VLOOKUP(W14,RailDefinition!T:T,2,FALSE), "")</f>
      </c>
      <c r="AB14" s="192"/>
      <c r="AD14" t="str">
        <v>BP_Straight_F_X1_Y1_Z1_Rail</v>
      </c>
      <c r="AE14" s="194"/>
      <c r="AF14" s="16"/>
      <c r="AG14" s="192"/>
      <c r="AH14" s="193">
        <f>IF(AD14&lt;&gt;"", VLOOKUP(AD14,RailDefinition!BJ:BL,2,FALSE), "")</f>
      </c>
      <c r="AI14" s="192"/>
    </row>
    <row r="15">
      <c r="C15" s="194"/>
      <c r="D15" s="16"/>
      <c r="E15" s="192"/>
      <c r="F15" s="195">
        <f>IF(B15&lt;&gt;"", VLOOKUP(B15,RailDefinition!T:T,2,FALSE), "")</f>
      </c>
      <c r="G15" s="192"/>
      <c r="I15" t="str">
        <v>BP_Curve_L90_Borderless_O_X1_Y1_Z1_Rail</v>
      </c>
      <c r="J15" s="194"/>
      <c r="K15" s="16"/>
      <c r="L15" s="192"/>
      <c r="M15" s="195">
        <f>IF(I15&lt;&gt;"", VLOOKUP(I15,RailDefinition!T:T,2,FALSE), "")*(1+0.1*M14)</f>
      </c>
      <c r="N15" s="192"/>
      <c r="P15" t="str">
        <v>BP_Straight_F_X1_Y1_Z1_Rail</v>
      </c>
      <c r="Q15" s="194"/>
      <c r="R15" s="16"/>
      <c r="S15" s="192"/>
      <c r="T15" s="193">
        <f>IF(P15&lt;&gt;"", VLOOKUP(P15,RailDefinition!T:T,2,FALSE), "")</f>
      </c>
      <c r="U15" s="192"/>
      <c r="W15" t="str">
        <v>BP_Curve_R90_X1_Y1_Z1_Rail</v>
      </c>
      <c r="X15" s="194"/>
      <c r="Y15" s="16"/>
      <c r="Z15" s="192"/>
      <c r="AA15" s="193">
        <f>IF(W15&lt;&gt;"", VLOOKUP(W15,RailDefinition!T:T,2,FALSE), "")</f>
      </c>
      <c r="AB15" s="192"/>
      <c r="AD15" t="str">
        <v>BP_Curve_R90_X1_Y1_Z1_Rail</v>
      </c>
      <c r="AE15" s="194"/>
      <c r="AF15" s="16"/>
      <c r="AG15" s="192"/>
      <c r="AH15" s="193">
        <f>IF(AD15&lt;&gt;"", VLOOKUP(AD15,RailDefinition!BJ:BL,2,FALSE), "")</f>
      </c>
      <c r="AI15" s="192"/>
    </row>
    <row r="16">
      <c r="C16" s="194"/>
      <c r="D16" s="16"/>
      <c r="E16" s="192"/>
      <c r="F16" s="195">
        <f>IF(B16&lt;&gt;"", VLOOKUP(B16,RailDefinition!T:T,2,FALSE), "")</f>
      </c>
      <c r="G16" s="192"/>
      <c r="I16" t="str">
        <v>BP_Curve_L90_Borderless_O_X1_Y1_Z1_Rail</v>
      </c>
      <c r="J16" s="194"/>
      <c r="K16" s="16"/>
      <c r="L16" s="192"/>
      <c r="M16" s="195">
        <f>IF(I16&lt;&gt;"", VLOOKUP(I16,RailDefinition!T:T,2,FALSE), "")*(1+0.1*M15)</f>
      </c>
      <c r="N16" s="192"/>
      <c r="P16" t="str">
        <v>BP_Straight_U90_X1_Y1_Z1_Rail</v>
      </c>
      <c r="Q16" s="194"/>
      <c r="R16" s="16"/>
      <c r="S16" s="192"/>
      <c r="T16" s="193">
        <f>IF(P16&lt;&gt;"", VLOOKUP(P16,RailDefinition!T:T,2,FALSE), "")</f>
      </c>
      <c r="U16" s="192"/>
      <c r="W16" t="str">
        <v>BP_Straight_F_Borderless_L_X1_Y1_Z1_Rail</v>
      </c>
      <c r="X16" s="194"/>
      <c r="Y16" s="16"/>
      <c r="Z16" s="192"/>
      <c r="AA16" s="193">
        <f>IF(W16&lt;&gt;"", VLOOKUP(W16,RailDefinition!T:T,2,FALSE), "")</f>
      </c>
      <c r="AB16" s="192"/>
      <c r="AD16" t="str">
        <v>BP_Straight_F_Borderless_L_X1_Y1_Z1_Rail</v>
      </c>
      <c r="AE16" s="194"/>
      <c r="AF16" s="16"/>
      <c r="AG16" s="192"/>
      <c r="AH16" s="193">
        <f>IF(AD16&lt;&gt;"", VLOOKUP(AD16,RailDefinition!BJ:BL,2,FALSE), "")</f>
      </c>
      <c r="AI16" s="192"/>
    </row>
    <row r="17">
      <c r="C17" s="194"/>
      <c r="D17" s="16"/>
      <c r="E17" s="192"/>
      <c r="F17" s="195">
        <f>IF(B17&lt;&gt;"", VLOOKUP(B17,RailDefinition!T:T,2,FALSE), "")</f>
      </c>
      <c r="G17" s="192"/>
      <c r="I17" t="str">
        <v>BP_Curve_R90_X1_Y1_Z1_Rail</v>
      </c>
      <c r="J17" s="194"/>
      <c r="K17" s="16"/>
      <c r="L17" s="192"/>
      <c r="M17" s="195">
        <f>IF(I17&lt;&gt;"", VLOOKUP(I17,RailDefinition!T:T,2,FALSE), "")*(1+0.1*M16)</f>
      </c>
      <c r="N17" s="192"/>
      <c r="P17" t="str">
        <v>BP_Straight_F_X1_Y1_Z1_Rail</v>
      </c>
      <c r="Q17" s="194"/>
      <c r="R17" s="16"/>
      <c r="S17" s="192"/>
      <c r="T17" s="193">
        <f>IF(P17&lt;&gt;"", VLOOKUP(P17,RailDefinition!T:T,2,FALSE), "")</f>
      </c>
      <c r="U17" s="192"/>
      <c r="W17" t="str">
        <v>BP_Curve_R90_Borderless_I_X1_Y1_Z1_Rail</v>
      </c>
      <c r="X17" s="194"/>
      <c r="Y17" s="16"/>
      <c r="Z17" s="192"/>
      <c r="AA17" s="193">
        <f>IF(W17&lt;&gt;"", VLOOKUP(W17,RailDefinition!T:T,2,FALSE), "")</f>
      </c>
      <c r="AB17" s="192"/>
      <c r="AD17" t="str">
        <v>BP_Curve_R90_Borderless_I_X1_Y1_Z1_Rail</v>
      </c>
      <c r="AE17" s="194"/>
      <c r="AF17" s="16"/>
      <c r="AG17" s="192"/>
      <c r="AH17" s="193">
        <f>IF(AD17&lt;&gt;"", VLOOKUP(AD17,RailDefinition!BJ:BL,2,FALSE), "")</f>
      </c>
      <c r="AI17" s="192"/>
    </row>
    <row r="18">
      <c r="C18" s="194"/>
      <c r="D18" s="16"/>
      <c r="E18" s="192"/>
      <c r="F18" s="195">
        <f>IF(B18&lt;&gt;"", VLOOKUP(B18,RailDefinition!T:T,2,FALSE), "")</f>
      </c>
      <c r="G18" s="192"/>
      <c r="I18" t="str">
        <v>BP_Straight_F_X1_Y1_Z1_Rail</v>
      </c>
      <c r="J18" s="194"/>
      <c r="K18" s="16"/>
      <c r="L18" s="192"/>
      <c r="M18" s="195">
        <f>IF(I18&lt;&gt;"", VLOOKUP(I18,RailDefinition!T:T,2,FALSE), "")*(1+0.1*M17)</f>
      </c>
      <c r="N18" s="192"/>
      <c r="P18" t="str">
        <v>BP_Straight_F_X1_Y1_Z1_Rail</v>
      </c>
      <c r="Q18" s="194"/>
      <c r="R18" s="16"/>
      <c r="S18" s="192"/>
      <c r="T18" s="193">
        <f>IF(P18&lt;&gt;"", VLOOKUP(P18,RailDefinition!T:T,2,FALSE), "")</f>
      </c>
      <c r="U18" s="192"/>
      <c r="W18" t="str">
        <v>BP_Straight_F_Borderless_R_X1_Y1_Z1_Rail</v>
      </c>
      <c r="X18" s="194"/>
      <c r="Y18" s="16"/>
      <c r="Z18" s="192"/>
      <c r="AA18" s="193">
        <f>IF(W18&lt;&gt;"", VLOOKUP(W18,RailDefinition!T:T,2,FALSE), "")</f>
      </c>
      <c r="AB18" s="192"/>
      <c r="AD18" t="str">
        <v>BP_Straight_F_Borderless_R_X1_Y1_Z1_Rail</v>
      </c>
      <c r="AE18" s="194"/>
      <c r="AF18" s="16"/>
      <c r="AG18" s="192"/>
      <c r="AH18" s="193">
        <f>IF(AD18&lt;&gt;"", VLOOKUP(AD18,RailDefinition!BJ:BL,2,FALSE), "")</f>
      </c>
      <c r="AI18" s="192"/>
    </row>
    <row r="19">
      <c r="C19" s="194"/>
      <c r="D19" s="16"/>
      <c r="E19" s="192"/>
      <c r="F19" s="195">
        <f>IF(B19&lt;&gt;"", VLOOKUP(B19,RailDefinition!T:T,2,FALSE), "")</f>
      </c>
      <c r="G19" s="192"/>
      <c r="I19" t="str">
        <v>BP_Curve_L90_X1_Y1_Z1_Rail</v>
      </c>
      <c r="J19" s="194"/>
      <c r="K19" s="16"/>
      <c r="L19" s="192"/>
      <c r="M19" s="195">
        <f>IF(I19&lt;&gt;"", VLOOKUP(I19,RailDefinition!T:T,2,FALSE), "")*(1+0.1*M18)</f>
      </c>
      <c r="N19" s="192"/>
      <c r="P19" t="str">
        <v>BP_Straight_F_X1_Y1_Z1_Rail</v>
      </c>
      <c r="Q19" s="194"/>
      <c r="R19" s="16"/>
      <c r="S19" s="192"/>
      <c r="T19" s="193">
        <f>IF(P19&lt;&gt;"", VLOOKUP(P19,RailDefinition!T:T,2,FALSE), "")</f>
      </c>
      <c r="U19" s="192"/>
      <c r="W19" t="str">
        <v>BP_Straight_F_Borderless_L_HoleInRail_X1_Y1_Z1_Rail</v>
      </c>
      <c r="X19" s="194"/>
      <c r="Y19" s="16"/>
      <c r="Z19" s="192"/>
      <c r="AA19" s="193">
        <f>IF(W19&lt;&gt;"", VLOOKUP(W19,RailDefinition!T:T,2,FALSE), "")</f>
      </c>
      <c r="AB19" s="192"/>
      <c r="AD19" t="str">
        <v>BP_Straight_F_Borderless_L_HoleInRail_X1_Y1_Z1_Rail</v>
      </c>
      <c r="AE19" s="194"/>
      <c r="AF19" s="16"/>
      <c r="AG19" s="192"/>
      <c r="AH19" s="193">
        <f>IF(AD19&lt;&gt;"", VLOOKUP(AD19,RailDefinition!BJ:BL,2,FALSE), "")</f>
      </c>
      <c r="AI19" s="192"/>
    </row>
    <row r="20">
      <c r="C20" s="194"/>
      <c r="D20" s="16"/>
      <c r="E20" s="192"/>
      <c r="F20" s="195">
        <f>IF(B20&lt;&gt;"", VLOOKUP(B20,RailDefinition!T:T,2,FALSE), "")</f>
      </c>
      <c r="G20" s="192"/>
      <c r="I20" t="str">
        <v>BP_Curve_L90_X1_Y1_Z1_Rail</v>
      </c>
      <c r="J20" s="194"/>
      <c r="K20" s="16"/>
      <c r="L20" s="192"/>
      <c r="M20" s="195">
        <f>IF(I20&lt;&gt;"", VLOOKUP(I20,RailDefinition!T:T,2,FALSE), "")*(1+0.1*M19)</f>
      </c>
      <c r="N20" s="192"/>
      <c r="P20" t="str">
        <v>BP_Straight_F_X1_Y1_Z1_Rail</v>
      </c>
      <c r="Q20" s="194"/>
      <c r="R20" s="16"/>
      <c r="S20" s="192"/>
      <c r="T20" s="193">
        <f>IF(P20&lt;&gt;"", VLOOKUP(P20,RailDefinition!T:T,2,FALSE), "")</f>
      </c>
      <c r="U20" s="192"/>
      <c r="W20" t="str">
        <v>BP_Curve_R90_Borderless_I_X1_Y1_Z1_Rail</v>
      </c>
      <c r="X20" s="194"/>
      <c r="Y20" s="16"/>
      <c r="Z20" s="192"/>
      <c r="AA20" s="193">
        <f>IF(W20&lt;&gt;"", VLOOKUP(W20,RailDefinition!T:T,2,FALSE), "")</f>
      </c>
      <c r="AB20" s="192"/>
      <c r="AD20" t="str">
        <v>BP_Curve_R90_Borderless_I_X1_Y1_Z1_Rail</v>
      </c>
      <c r="AE20" s="194"/>
      <c r="AF20" s="16"/>
      <c r="AG20" s="192"/>
      <c r="AH20" s="193">
        <f>IF(AD20&lt;&gt;"", VLOOKUP(AD20,RailDefinition!BJ:BL,2,FALSE), "")</f>
      </c>
      <c r="AI20" s="192"/>
    </row>
    <row r="21">
      <c r="C21" s="194"/>
      <c r="D21" s="16"/>
      <c r="E21" s="192"/>
      <c r="F21" s="195">
        <f>IF(B21&lt;&gt;"", VLOOKUP(B21,RailDefinition!T:T,2,FALSE), "")</f>
      </c>
      <c r="G21" s="192"/>
      <c r="I21" t="str">
        <v>BP_End_F_X1_Y1_Z1_Rail</v>
      </c>
      <c r="J21" s="194"/>
      <c r="K21" s="16"/>
      <c r="L21" s="192"/>
      <c r="M21" s="195">
        <f>IF(I21&lt;&gt;"", VLOOKUP(I21,RailDefinition!T:T,2,FALSE), "")*(1+0.1*M20)</f>
      </c>
      <c r="N21" s="192"/>
      <c r="P21" t="str">
        <v>BP_Straight_U90_X1_Y1_Z1_Rail</v>
      </c>
      <c r="Q21" s="194"/>
      <c r="R21" s="16"/>
      <c r="S21" s="192"/>
      <c r="T21" s="193">
        <f>IF(P21&lt;&gt;"", VLOOKUP(P21,RailDefinition!T:T,2,FALSE), "")</f>
      </c>
      <c r="U21" s="192"/>
      <c r="W21" t="str">
        <v>BP_Straight_F_Borderless_L_X1_Y1_Z1_Rail</v>
      </c>
      <c r="X21" s="194"/>
      <c r="Y21" s="16"/>
      <c r="Z21" s="192"/>
      <c r="AA21" s="193">
        <f>IF(W21&lt;&gt;"", VLOOKUP(W21,RailDefinition!T:T,2,FALSE), "")</f>
      </c>
      <c r="AB21" s="192"/>
      <c r="AD21" t="str">
        <v>BP_Straight_F_Borderless_L_X1_Y1_Z1_Rail</v>
      </c>
      <c r="AE21" s="194"/>
      <c r="AF21" s="16"/>
      <c r="AG21" s="192"/>
      <c r="AH21" s="193">
        <f>IF(AD21&lt;&gt;"", VLOOKUP(AD21,RailDefinition!BJ:BL,2,FALSE), "")</f>
      </c>
      <c r="AI21" s="192"/>
    </row>
    <row r="22">
      <c r="C22" s="194"/>
      <c r="D22" s="16"/>
      <c r="E22" s="192"/>
      <c r="F22" s="195">
        <f>IF(B22&lt;&gt;"", VLOOKUP(B22,RailDefinition!T:T,2,FALSE), "")</f>
      </c>
      <c r="G22" s="192"/>
      <c r="J22" s="194"/>
      <c r="K22" s="16"/>
      <c r="L22" s="192"/>
      <c r="M22" s="195">
        <f>IF(I22&lt;&gt;"", VLOOKUP(I22,RailDefinition!T:T,2,FALSE), "")</f>
      </c>
      <c r="N22" s="192"/>
      <c r="P22" t="str">
        <v>BP_Straight_F_X1_Y1_Z1_Rail</v>
      </c>
      <c r="Q22" s="194"/>
      <c r="R22" s="16"/>
      <c r="S22" s="192"/>
      <c r="T22" s="193">
        <f>IF(P22&lt;&gt;"", VLOOKUP(P22,RailDefinition!T:T,2,FALSE), "")</f>
      </c>
      <c r="U22" s="192"/>
      <c r="W22" t="str">
        <v>BP_Curve_L90_X2_Y2_Z1_Rail</v>
      </c>
      <c r="X22" s="194"/>
      <c r="Y22" s="16"/>
      <c r="Z22" s="192"/>
      <c r="AA22" s="193">
        <f>IF(W22&lt;&gt;"", VLOOKUP(W22,RailDefinition!T:T,2,FALSE), "")</f>
      </c>
      <c r="AB22" s="192"/>
      <c r="AD22" t="str">
        <v>BP_Curve_L90_Borderless_O_X2_Y2_Z1_Rail</v>
      </c>
      <c r="AE22" s="194"/>
      <c r="AF22" s="16"/>
      <c r="AG22" s="192"/>
      <c r="AH22" s="193">
        <f>IF(AD22&lt;&gt;"", VLOOKUP(AD22,RailDefinition!BJ:BL,2,FALSE), "")</f>
      </c>
      <c r="AI22" s="192"/>
    </row>
    <row r="23">
      <c r="C23" s="194"/>
      <c r="D23" s="16"/>
      <c r="E23" s="192"/>
      <c r="F23" s="195">
        <f>IF(B23&lt;&gt;"", VLOOKUP(B23,RailDefinition!T:T,2,FALSE), "")</f>
      </c>
      <c r="G23" s="192"/>
      <c r="J23" s="194"/>
      <c r="K23" s="16"/>
      <c r="L23" s="192"/>
      <c r="M23" s="195">
        <f>IF(I23&lt;&gt;"", VLOOKUP(I23,RailDefinition!T:T,2,FALSE), "")</f>
      </c>
      <c r="N23" s="192"/>
      <c r="P23" t="str">
        <v>BP_Straight_F_X1_Y1_Z1_Rail</v>
      </c>
      <c r="Q23" s="194"/>
      <c r="R23" s="16"/>
      <c r="S23" s="192"/>
      <c r="T23" s="193">
        <f>IF(P23&lt;&gt;"", VLOOKUP(P23,RailDefinition!T:T,2,FALSE), "")</f>
      </c>
      <c r="U23" s="192"/>
      <c r="W23" t="str">
        <v>BP_Curve_L90_X2_Y2_Z1_Rail</v>
      </c>
      <c r="X23" s="194"/>
      <c r="Y23" s="16"/>
      <c r="Z23" s="192"/>
      <c r="AA23" s="193">
        <f>IF(W23&lt;&gt;"", VLOOKUP(W23,RailDefinition!T:T,2,FALSE), "")</f>
      </c>
      <c r="AB23" s="192"/>
      <c r="AD23" t="str">
        <v>BP_Curve_L90_Borderless_O_X2_Y2_Z1_Rail</v>
      </c>
      <c r="AE23" s="194"/>
      <c r="AF23" s="16"/>
      <c r="AG23" s="192"/>
      <c r="AH23" s="193">
        <f>IF(AD23&lt;&gt;"", VLOOKUP(AD23,RailDefinition!BJ:BL,2,FALSE), "")</f>
      </c>
      <c r="AI23" s="192"/>
    </row>
    <row r="24">
      <c r="C24" s="194"/>
      <c r="D24" s="16"/>
      <c r="E24" s="192"/>
      <c r="F24" s="195">
        <f>IF(B24&lt;&gt;"", VLOOKUP(B24,RailDefinition!T:T,2,FALSE), "")</f>
      </c>
      <c r="G24" s="192"/>
      <c r="J24" s="194"/>
      <c r="K24" s="16"/>
      <c r="L24" s="192"/>
      <c r="M24" s="195">
        <f>IF(I24&lt;&gt;"", VLOOKUP(I24,RailDefinition!T:T,2,FALSE), "")</f>
      </c>
      <c r="N24" s="192"/>
      <c r="P24" t="str">
        <v>BP_End_F_X1_Y1_Z1_Rail</v>
      </c>
      <c r="Q24" s="194"/>
      <c r="R24" s="16"/>
      <c r="S24" s="192"/>
      <c r="T24" s="193">
        <f>IF(P24&lt;&gt;"", VLOOKUP(P24,RailDefinition!T:T,2,FALSE), "")</f>
      </c>
      <c r="U24" s="192"/>
      <c r="W24" t="str">
        <v>BP_Straight_F_X1_Y1_Z1_Rail</v>
      </c>
      <c r="X24" s="194"/>
      <c r="Y24" s="16"/>
      <c r="Z24" s="192"/>
      <c r="AA24" s="193">
        <f>IF(W24&lt;&gt;"", VLOOKUP(W24,RailDefinition!T:T,2,FALSE), "")</f>
      </c>
      <c r="AB24" s="192"/>
      <c r="AD24" t="str">
        <v>BP_Straight_F_X1_Y1_Z1_Rail</v>
      </c>
      <c r="AE24" s="194"/>
      <c r="AF24" s="16"/>
      <c r="AG24" s="192"/>
      <c r="AH24" s="193">
        <f>IF(AD24&lt;&gt;"", VLOOKUP(AD24,RailDefinition!BJ:BL,2,FALSE), "")</f>
      </c>
      <c r="AI24" s="192"/>
    </row>
    <row r="25">
      <c r="C25" s="194"/>
      <c r="D25" s="16"/>
      <c r="E25" s="192"/>
      <c r="F25" s="195">
        <f>IF(B25&lt;&gt;"", VLOOKUP(B25,RailDefinition!T:T,2,FALSE), "")</f>
      </c>
      <c r="G25" s="192"/>
      <c r="J25" s="194"/>
      <c r="K25" s="16"/>
      <c r="L25" s="192"/>
      <c r="M25" s="195">
        <f>IF(I25&lt;&gt;"", VLOOKUP(I25,RailDefinition!T:T,2,FALSE), "")</f>
      </c>
      <c r="N25" s="192"/>
      <c r="Q25" s="194"/>
      <c r="R25" s="16"/>
      <c r="S25" s="192"/>
      <c r="T25" s="193">
        <f>IF(P25&lt;&gt;"", VLOOKUP(P25,RailDefinition!T:T,2,FALSE), "")</f>
      </c>
      <c r="U25" s="192"/>
      <c r="W25" t="str">
        <v>BP_End_F_X1_Y1_Z1_Rail</v>
      </c>
      <c r="AA25" s="193">
        <f>IF(W25&lt;&gt;"", VLOOKUP(W25,RailDefinition!T:T,2,FALSE), "")</f>
      </c>
      <c r="AD25" t="str">
        <v>BP_End_F_X1_Y1_Z1_Rail</v>
      </c>
      <c r="AH25" s="193">
        <f>IF(AD25&lt;&gt;"", VLOOKUP(AD25,RailDefinition!BJ:BL,2,FALSE), "")</f>
      </c>
    </row>
    <row r="26">
      <c r="C26" s="194"/>
      <c r="D26" s="16"/>
      <c r="E26" s="192"/>
      <c r="F26" s="195">
        <f>IF(B26&lt;&gt;"", VLOOKUP(B26,RailDefinition!T:T,2,FALSE), "")</f>
      </c>
      <c r="G26" s="192"/>
      <c r="J26" s="194"/>
      <c r="K26" s="16"/>
      <c r="L26" s="192"/>
      <c r="M26" s="195">
        <f>IF(I26&lt;&gt;"", VLOOKUP(I26,RailDefinition!T:T,2,FALSE), "")</f>
      </c>
      <c r="N26" s="192"/>
      <c r="Q26" s="194"/>
      <c r="R26" s="16"/>
      <c r="S26" s="192"/>
      <c r="T26" s="193">
        <f>IF(P26&lt;&gt;"", VLOOKUP(P26,RailDefinition!T:T,2,FALSE), "")</f>
      </c>
      <c r="U26" s="192"/>
      <c r="AA26" s="193">
        <f>IF(W26&lt;&gt;"", VLOOKUP(W26,RailDefinition!T:T,2,FALSE), "")</f>
      </c>
      <c r="AH26" s="193">
        <f>IF(AD26&lt;&gt;"", VLOOKUP(AD26,RailDefinition!BJ:BL,2,FALSE), "")</f>
      </c>
    </row>
    <row r="27">
      <c r="C27" s="194"/>
      <c r="D27" s="16"/>
      <c r="E27" s="192"/>
      <c r="F27" s="195">
        <f>IF(B27&lt;&gt;"", VLOOKUP(B27,RailDefinition!T:T,2,FALSE), "")</f>
      </c>
      <c r="G27" s="192"/>
      <c r="J27" s="194"/>
      <c r="K27" s="16"/>
      <c r="L27" s="192"/>
      <c r="M27" s="195">
        <f>IF(I27&lt;&gt;"", VLOOKUP(I27,RailDefinition!T:T,2,FALSE), "")</f>
      </c>
      <c r="N27" s="192"/>
      <c r="Q27" s="194"/>
      <c r="R27" s="16"/>
      <c r="S27" s="192"/>
      <c r="T27" s="193">
        <f>IF(P27&lt;&gt;"", VLOOKUP(P27,RailDefinition!T:T,2,FALSE), "")</f>
      </c>
      <c r="U27" s="192"/>
      <c r="AA27" s="193">
        <f>IF(W27&lt;&gt;"", VLOOKUP(W27,RailDefinition!T:T,2,FALSE), "")</f>
      </c>
      <c r="AH27" s="193">
        <f>IF(AD27&lt;&gt;"", VLOOKUP(AD27,RailDefinition!BJ:BL,2,FALSE), "")</f>
      </c>
    </row>
    <row r="28">
      <c r="C28" s="194"/>
      <c r="D28" s="16"/>
      <c r="E28" s="192"/>
      <c r="F28" s="195">
        <f>IF(B28&lt;&gt;"", VLOOKUP(B28,RailDefinition!T:T,2,FALSE), "")</f>
      </c>
      <c r="G28" s="192"/>
      <c r="J28" s="194"/>
      <c r="K28" s="16"/>
      <c r="L28" s="192"/>
      <c r="M28" s="195">
        <f>IF(I28&lt;&gt;"", VLOOKUP(I28,RailDefinition!T:T,2,FALSE), "")</f>
      </c>
      <c r="N28" s="192"/>
      <c r="Q28" s="194"/>
      <c r="R28" s="16"/>
      <c r="S28" s="192"/>
      <c r="T28" s="193">
        <f>IF(P28&lt;&gt;"", VLOOKUP(P28,RailDefinition!T:T,2,FALSE), "")</f>
      </c>
      <c r="U28" s="192"/>
      <c r="AA28" s="193">
        <f>IF(W28&lt;&gt;"", VLOOKUP(W28,RailDefinition!T:T,2,FALSE), "")</f>
      </c>
      <c r="AH28" s="193">
        <f>IF(AD28&lt;&gt;"", VLOOKUP(AD28,RailDefinition!BJ:BL,2,FALSE), "")</f>
      </c>
    </row>
    <row r="29">
      <c r="C29" s="194"/>
      <c r="D29" s="16"/>
      <c r="E29" s="192"/>
      <c r="F29" s="195">
        <f>IF(B29&lt;&gt;"", VLOOKUP(B29,RailDefinition!T:T,2,FALSE), "")</f>
      </c>
      <c r="G29" s="192"/>
      <c r="J29" s="194"/>
      <c r="K29" s="16"/>
      <c r="L29" s="192"/>
      <c r="M29" s="195">
        <f>IF(I29&lt;&gt;"", VLOOKUP(I29,RailDefinition!T:T,2,FALSE), "")</f>
      </c>
      <c r="N29" s="192"/>
      <c r="Q29" s="194"/>
      <c r="R29" s="16"/>
      <c r="S29" s="192"/>
      <c r="T29" s="193">
        <f>IF(P29&lt;&gt;"", VLOOKUP(P29,RailDefinition!T:T,2,FALSE), "")</f>
      </c>
      <c r="U29" s="192"/>
      <c r="AA29" s="193">
        <f>IF(W29&lt;&gt;"", VLOOKUP(W29,RailDefinition!T:T,2,FALSE), "")</f>
      </c>
      <c r="AH29" s="193">
        <f>IF(AD29&lt;&gt;"", VLOOKUP(AD29,RailDefinition!BJ:BL,2,FALSE), "")</f>
      </c>
    </row>
    <row r="30">
      <c r="C30" s="194"/>
      <c r="D30" s="16"/>
      <c r="E30" s="192"/>
      <c r="F30" s="195">
        <f>IF(B30&lt;&gt;"", VLOOKUP(B30,RailDefinition!T:T,2,FALSE), "")</f>
      </c>
      <c r="G30" s="192"/>
      <c r="J30" s="194"/>
      <c r="K30" s="16"/>
      <c r="L30" s="192"/>
      <c r="M30" s="195">
        <f>IF(I30&lt;&gt;"", VLOOKUP(I30,RailDefinition!T:T,2,FALSE), "")</f>
      </c>
      <c r="N30" s="192"/>
      <c r="Q30" s="194"/>
      <c r="R30" s="16"/>
      <c r="S30" s="192"/>
      <c r="T30" s="193">
        <f>IF(P30&lt;&gt;"", VLOOKUP(P30,RailDefinition!T:T,2,FALSE), "")</f>
      </c>
      <c r="U30" s="192"/>
      <c r="AA30" s="193">
        <f>IF(W30&lt;&gt;"", VLOOKUP(W30,RailDefinition!T:T,2,FALSE), "")</f>
      </c>
      <c r="AH30" s="193">
        <f>IF(AD30&lt;&gt;"", VLOOKUP(AD30,RailDefinition!BJ:BL,2,FALSE), "")</f>
      </c>
    </row>
    <row r="31">
      <c r="C31" s="194"/>
      <c r="D31" s="16"/>
      <c r="E31" s="192"/>
      <c r="F31" s="195">
        <f>IF(B31&lt;&gt;"", VLOOKUP(B31,RailDefinition!T:T,2,FALSE), "")</f>
      </c>
      <c r="G31" s="192"/>
      <c r="J31" s="194"/>
      <c r="K31" s="16"/>
      <c r="L31" s="192"/>
      <c r="M31" s="195">
        <f>IF(I31&lt;&gt;"", VLOOKUP(I31,RailDefinition!T:T,2,FALSE), "")</f>
      </c>
      <c r="N31" s="192"/>
      <c r="Q31" s="194"/>
      <c r="R31" s="16"/>
      <c r="S31" s="192"/>
      <c r="T31" s="193">
        <f>IF(P31&lt;&gt;"", VLOOKUP(P31,RailDefinition!T:T,2,FALSE), "")</f>
      </c>
      <c r="U31" s="192"/>
      <c r="AA31" s="193">
        <f>IF(W31&lt;&gt;"", VLOOKUP(W31,RailDefinition!T:T,2,FALSE), "")</f>
      </c>
      <c r="AH31" s="193">
        <f>IF(AD31&lt;&gt;"", VLOOKUP(AD31,RailDefinition!BJ:BL,2,FALSE), "")</f>
      </c>
    </row>
    <row r="32">
      <c r="C32" s="194"/>
      <c r="D32" s="16"/>
      <c r="E32" s="192"/>
      <c r="F32" s="195">
        <f>IF(B32&lt;&gt;"", VLOOKUP(B32,RailDefinition!T:T,2,FALSE), "")</f>
      </c>
      <c r="G32" s="192"/>
      <c r="J32" s="194"/>
      <c r="K32" s="16"/>
      <c r="L32" s="192"/>
      <c r="M32" s="195">
        <f>IF(I32&lt;&gt;"", VLOOKUP(I32,RailDefinition!T:T,2,FALSE), "")</f>
      </c>
      <c r="N32" s="192"/>
      <c r="Q32" s="194"/>
      <c r="R32" s="16"/>
      <c r="S32" s="192"/>
      <c r="T32" s="193">
        <f>IF(P32&lt;&gt;"", VLOOKUP(P32,RailDefinition!T:T,2,FALSE), "")</f>
      </c>
      <c r="U32" s="192"/>
      <c r="AA32" s="193">
        <f>IF(W32&lt;&gt;"", VLOOKUP(W32,RailDefinition!T:T,2,FALSE), "")</f>
      </c>
      <c r="AH32" s="193">
        <f>IF(AD32&lt;&gt;"", VLOOKUP(AD32,RailDefinition!BJ:BL,2,FALSE), "")</f>
      </c>
    </row>
    <row r="33">
      <c r="C33" s="194"/>
      <c r="D33" s="16"/>
      <c r="E33" s="192"/>
      <c r="F33" s="195">
        <f>IF(B33&lt;&gt;"", VLOOKUP(B33,RailDefinition!T:T,2,FALSE), "")</f>
      </c>
      <c r="G33" s="192"/>
      <c r="J33" s="194"/>
      <c r="K33" s="16"/>
      <c r="L33" s="192"/>
      <c r="M33" s="195">
        <f>IF(I33&lt;&gt;"", VLOOKUP(I33,RailDefinition!T:T,2,FALSE), "")</f>
      </c>
      <c r="N33" s="192"/>
      <c r="Q33" s="194"/>
      <c r="R33" s="16"/>
      <c r="S33" s="192"/>
      <c r="T33" s="193">
        <f>IF(P33&lt;&gt;"", VLOOKUP(P33,RailDefinition!T:T,2,FALSE), "")</f>
      </c>
      <c r="U33" s="192"/>
      <c r="AA33" s="193">
        <f>IF(W33&lt;&gt;"", VLOOKUP(W33,RailDefinition!T:T,2,FALSE), "")</f>
      </c>
      <c r="AH33" s="193">
        <f>IF(AD33&lt;&gt;"", VLOOKUP(AD33,RailDefinition!BJ:BL,2,FALSE), "")</f>
      </c>
    </row>
    <row r="34">
      <c r="C34" s="194"/>
      <c r="D34" s="16"/>
      <c r="E34" s="192"/>
      <c r="F34" s="195">
        <f>IF(B34&lt;&gt;"", VLOOKUP(B34,RailDefinition!T:T,2,FALSE), "")</f>
      </c>
      <c r="G34" s="192"/>
      <c r="J34" s="194"/>
      <c r="K34" s="16"/>
      <c r="L34" s="192"/>
      <c r="M34" s="195">
        <f>IF(I34&lt;&gt;"", VLOOKUP(I34,RailDefinition!T:T,2,FALSE), "")</f>
      </c>
      <c r="N34" s="192"/>
      <c r="Q34" s="194"/>
      <c r="R34" s="16"/>
      <c r="S34" s="192"/>
      <c r="T34" s="193">
        <f>IF(P34&lt;&gt;"", VLOOKUP(P34,RailDefinition!T:T,2,FALSE), "")</f>
      </c>
      <c r="U34" s="192"/>
      <c r="AA34" s="193">
        <f>IF(W34&lt;&gt;"", VLOOKUP(W34,RailDefinition!T:T,2,FALSE), "")</f>
      </c>
      <c r="AH34" s="193">
        <f>IF(AD34&lt;&gt;"", VLOOKUP(AD34,RailDefinition!BJ:BL,2,FALSE), "")</f>
      </c>
    </row>
    <row r="35">
      <c r="C35" s="194"/>
      <c r="D35" s="16"/>
      <c r="E35" s="192"/>
      <c r="F35" s="195">
        <f>IF(B35&lt;&gt;"", VLOOKUP(B35,RailDefinition!T:T,2,FALSE), "")</f>
      </c>
      <c r="G35" s="192"/>
      <c r="J35" s="194"/>
      <c r="K35" s="16"/>
      <c r="L35" s="192"/>
      <c r="M35" s="195">
        <f>IF(I35&lt;&gt;"", VLOOKUP(I35,RailDefinition!T:T,2,FALSE), "")</f>
      </c>
      <c r="N35" s="192"/>
      <c r="Q35" s="194"/>
      <c r="R35" s="16"/>
      <c r="S35" s="192"/>
      <c r="T35" s="193">
        <f>IF(P35&lt;&gt;"", VLOOKUP(P35,RailDefinition!T:T,2,FALSE), "")</f>
      </c>
      <c r="U35" s="192"/>
      <c r="AA35" s="193">
        <f>IF(W35&lt;&gt;"", VLOOKUP(W35,RailDefinition!T:T,2,FALSE), "")</f>
      </c>
      <c r="AH35" s="193">
        <f>IF(AD35&lt;&gt;"", VLOOKUP(AD35,RailDefinition!BJ:BL,2,FALSE), "")</f>
      </c>
    </row>
    <row r="36">
      <c r="C36" s="194"/>
      <c r="D36" s="16"/>
      <c r="E36" s="192"/>
      <c r="F36" s="195">
        <f>IF(B36&lt;&gt;"", VLOOKUP(B36,RailDefinition!T:T,2,FALSE), "")</f>
      </c>
      <c r="G36" s="192"/>
      <c r="J36" s="194"/>
      <c r="K36" s="16"/>
      <c r="L36" s="192"/>
      <c r="M36" s="195">
        <f>IF(I36&lt;&gt;"", VLOOKUP(I36,RailDefinition!T:T,2,FALSE), "")</f>
      </c>
      <c r="N36" s="192"/>
      <c r="Q36" s="194"/>
      <c r="R36" s="16"/>
      <c r="S36" s="192"/>
      <c r="T36" s="193">
        <f>IF(P36&lt;&gt;"", VLOOKUP(P36,RailDefinition!T:T,2,FALSE), "")</f>
      </c>
      <c r="U36" s="192"/>
      <c r="AA36" s="193">
        <f>IF(W36&lt;&gt;"", VLOOKUP(W36,RailDefinition!T:T,2,FALSE), "")</f>
      </c>
      <c r="AH36" s="193">
        <f>IF(AD36&lt;&gt;"", VLOOKUP(AD36,RailDefinition!BJ:BL,2,FALSE), "")</f>
      </c>
    </row>
    <row r="37">
      <c r="C37" s="194"/>
      <c r="D37" s="16"/>
      <c r="E37" s="192"/>
      <c r="F37" s="195">
        <f>IF(B37&lt;&gt;"", VLOOKUP(B37,RailDefinition!T:T,2,FALSE), "")</f>
      </c>
      <c r="G37" s="192"/>
      <c r="J37" s="194"/>
      <c r="K37" s="16"/>
      <c r="L37" s="192"/>
      <c r="M37" s="195">
        <f>IF(I37&lt;&gt;"", VLOOKUP(I37,RailDefinition!T:T,2,FALSE), "")</f>
      </c>
      <c r="N37" s="192"/>
      <c r="Q37" s="194"/>
      <c r="R37" s="16"/>
      <c r="S37" s="192"/>
      <c r="T37" s="193">
        <f>IF(P37&lt;&gt;"", VLOOKUP(P37,RailDefinition!T:T,2,FALSE), "")</f>
      </c>
      <c r="U37" s="192"/>
      <c r="AA37" s="193">
        <f>IF(W37&lt;&gt;"", VLOOKUP(W37,RailDefinition!T:T,2,FALSE), "")</f>
      </c>
      <c r="AH37" s="193">
        <f>IF(AD37&lt;&gt;"", VLOOKUP(AD37,RailDefinition!BJ:BL,2,FALSE), "")</f>
      </c>
    </row>
    <row r="38">
      <c r="C38" s="194"/>
      <c r="D38" s="16"/>
      <c r="E38" s="192"/>
      <c r="F38" s="195">
        <f>IF(B38&lt;&gt;"", VLOOKUP(B38,RailDefinition!T:T,2,FALSE), "")</f>
      </c>
      <c r="G38" s="192"/>
      <c r="J38" s="194"/>
      <c r="K38" s="16"/>
      <c r="L38" s="192"/>
      <c r="M38" s="195">
        <f>IF(I38&lt;&gt;"", VLOOKUP(I38,RailDefinition!T:T,2,FALSE), "")</f>
      </c>
      <c r="N38" s="192"/>
      <c r="Q38" s="194"/>
      <c r="R38" s="16"/>
      <c r="S38" s="192"/>
      <c r="T38" s="193">
        <f>IF(P38&lt;&gt;"", VLOOKUP(P38,RailDefinition!T:T,2,FALSE), "")</f>
      </c>
      <c r="U38" s="192"/>
      <c r="AA38" s="193">
        <f>IF(W38&lt;&gt;"", VLOOKUP(W38,RailDefinition!T:T,2,FALSE), "")</f>
      </c>
      <c r="AH38" s="193">
        <f>IF(AD38&lt;&gt;"", VLOOKUP(AD38,RailDefinition!BJ:BL,2,FALSE), "")</f>
      </c>
    </row>
    <row r="39">
      <c r="C39" s="194"/>
      <c r="D39" s="16"/>
      <c r="E39" s="192"/>
      <c r="F39" s="195">
        <f>IF(B39&lt;&gt;"", VLOOKUP(B39,RailDefinition!T:T,2,FALSE), "")</f>
      </c>
      <c r="G39" s="192"/>
      <c r="J39" s="194"/>
      <c r="K39" s="16"/>
      <c r="L39" s="192"/>
      <c r="M39" s="195">
        <f>IF(I39&lt;&gt;"", VLOOKUP(I39,RailDefinition!T:T,2,FALSE), "")</f>
      </c>
      <c r="N39" s="192"/>
      <c r="Q39" s="194"/>
      <c r="R39" s="16"/>
      <c r="S39" s="192"/>
      <c r="T39" s="193">
        <f>IF(P39&lt;&gt;"", VLOOKUP(P39,RailDefinition!T:T,2,FALSE), "")</f>
      </c>
      <c r="U39" s="192"/>
      <c r="AA39" s="193">
        <f>IF(W39&lt;&gt;"", VLOOKUP(W39,RailDefinition!T:T,2,FALSE), "")</f>
      </c>
      <c r="AH39" s="193">
        <f>IF(AD39&lt;&gt;"", VLOOKUP(AD39,RailDefinition!BJ:BL,2,FALSE), "")</f>
      </c>
    </row>
    <row r="40">
      <c r="C40" s="194"/>
      <c r="D40" s="16"/>
      <c r="E40" s="192"/>
      <c r="F40" s="195">
        <f>IF(B40&lt;&gt;"", VLOOKUP(B40,RailDefinition!T:T,2,FALSE), "")</f>
      </c>
      <c r="G40" s="192"/>
      <c r="J40" s="194"/>
      <c r="K40" s="16"/>
      <c r="L40" s="192"/>
      <c r="M40" s="195">
        <f>IF(I40&lt;&gt;"", VLOOKUP(I40,RailDefinition!T:T,2,FALSE), "")</f>
      </c>
      <c r="N40" s="192"/>
      <c r="Q40" s="194"/>
      <c r="R40" s="16"/>
      <c r="S40" s="192"/>
      <c r="T40" s="193">
        <f>IF(P40&lt;&gt;"", VLOOKUP(P40,RailDefinition!T:T,2,FALSE), "")</f>
      </c>
      <c r="U40" s="192"/>
      <c r="AA40" s="193">
        <f>IF(W40&lt;&gt;"", VLOOKUP(W40,RailDefinition!T:T,2,FALSE), "")</f>
      </c>
      <c r="AH40" s="193">
        <f>IF(AD40&lt;&gt;"", VLOOKUP(AD40,RailDefinition!BJ:BL,2,FALSE), "")</f>
      </c>
    </row>
    <row r="41">
      <c r="C41" s="194"/>
      <c r="D41" s="16"/>
      <c r="E41" s="192"/>
      <c r="F41" s="195">
        <f>IF(B41&lt;&gt;"", VLOOKUP(B41,RailDefinition!T:T,2,FALSE), "")</f>
      </c>
      <c r="G41" s="192"/>
      <c r="J41" s="194"/>
      <c r="K41" s="16"/>
      <c r="L41" s="192"/>
      <c r="M41" s="195">
        <f>IF(I41&lt;&gt;"", VLOOKUP(I41,RailDefinition!T:T,2,FALSE), "")</f>
      </c>
      <c r="N41" s="192"/>
      <c r="Q41" s="194"/>
      <c r="R41" s="16"/>
      <c r="S41" s="192"/>
      <c r="T41" s="193">
        <f>IF(P41&lt;&gt;"", VLOOKUP(P41,RailDefinition!T:T,2,FALSE), "")</f>
      </c>
      <c r="U41" s="192"/>
      <c r="AA41" s="193">
        <f>IF(W41&lt;&gt;"", VLOOKUP(W41,RailDefinition!T:T,2,FALSE), "")</f>
      </c>
      <c r="AH41" s="193">
        <f>IF(AD41&lt;&gt;"", VLOOKUP(AD41,RailDefinition!BJ:BL,2,FALSE), "")</f>
      </c>
    </row>
    <row r="42">
      <c r="C42" s="194"/>
      <c r="D42" s="16"/>
      <c r="E42" s="192"/>
      <c r="F42" s="195">
        <f>IF(B42&lt;&gt;"", VLOOKUP(B42,RailDefinition!T:T,2,FALSE), "")</f>
      </c>
      <c r="G42" s="192"/>
      <c r="J42" s="194"/>
      <c r="K42" s="16"/>
      <c r="L42" s="192"/>
      <c r="M42" s="195">
        <f>IF(I42&lt;&gt;"", VLOOKUP(I42,RailDefinition!T:T,2,FALSE), "")</f>
      </c>
      <c r="N42" s="192"/>
      <c r="Q42" s="194"/>
      <c r="R42" s="16"/>
      <c r="S42" s="192"/>
      <c r="T42" s="193">
        <f>IF(P42&lt;&gt;"", VLOOKUP(P42,RailDefinition!T:T,2,FALSE), "")</f>
      </c>
      <c r="U42" s="192"/>
      <c r="AA42" s="193">
        <f>IF(W42&lt;&gt;"", VLOOKUP(W42,RailDefinition!T:T,2,FALSE), "")</f>
      </c>
      <c r="AH42" s="193">
        <f>IF(AD42&lt;&gt;"", VLOOKUP(AD42,RailDefinition!BJ:BL,2,FALSE), "")</f>
      </c>
    </row>
    <row r="43">
      <c r="C43" s="194"/>
      <c r="D43" s="16"/>
      <c r="E43" s="192"/>
      <c r="F43" s="195">
        <f>IF(B43&lt;&gt;"", VLOOKUP(B43,RailDefinition!T:T,2,FALSE), "")</f>
      </c>
      <c r="G43" s="192"/>
      <c r="J43" s="194"/>
      <c r="K43" s="16"/>
      <c r="L43" s="192"/>
      <c r="M43" s="195">
        <f>IF(I43&lt;&gt;"", VLOOKUP(I43,RailDefinition!T:T,2,FALSE), "")</f>
      </c>
      <c r="N43" s="192"/>
      <c r="Q43" s="194"/>
      <c r="R43" s="16"/>
      <c r="S43" s="192"/>
      <c r="T43" s="193">
        <f>IF(P43&lt;&gt;"", VLOOKUP(P43,RailDefinition!T:T,2,FALSE), "")</f>
      </c>
      <c r="U43" s="192"/>
      <c r="AA43" s="193">
        <f>IF(W43&lt;&gt;"", VLOOKUP(W43,RailDefinition!T:T,2,FALSE), "")</f>
      </c>
      <c r="AH43" s="193">
        <f>IF(AD43&lt;&gt;"", VLOOKUP(AD43,RailDefinition!BJ:BL,2,FALSE), "")</f>
      </c>
    </row>
    <row r="44">
      <c r="C44" s="194"/>
      <c r="D44" s="16"/>
      <c r="E44" s="192"/>
      <c r="F44" s="195">
        <f>IF(B44&lt;&gt;"", VLOOKUP(B44,RailDefinition!T:T,2,FALSE), "")</f>
      </c>
      <c r="G44" s="192"/>
      <c r="J44" s="194"/>
      <c r="K44" s="16"/>
      <c r="L44" s="192"/>
      <c r="M44" s="195">
        <f>IF(I44&lt;&gt;"", VLOOKUP(I44,RailDefinition!T:T,2,FALSE), "")</f>
      </c>
      <c r="N44" s="192"/>
      <c r="Q44" s="194"/>
      <c r="R44" s="16"/>
      <c r="S44" s="192"/>
      <c r="T44" s="193">
        <f>IF(P44&lt;&gt;"", VLOOKUP(P44,RailDefinition!T:T,2,FALSE), "")</f>
      </c>
      <c r="U44" s="192"/>
      <c r="AA44" s="193">
        <f>IF(W44&lt;&gt;"", VLOOKUP(W44,RailDefinition!T:T,2,FALSE), "")</f>
      </c>
      <c r="AH44" s="193">
        <f>IF(AD44&lt;&gt;"", VLOOKUP(AD44,RailDefinition!BJ:BL,2,FALSE), "")</f>
      </c>
    </row>
    <row r="45">
      <c r="C45" s="194"/>
      <c r="D45" s="16"/>
      <c r="E45" s="192"/>
      <c r="F45" s="195">
        <f>IF(B45&lt;&gt;"", VLOOKUP(B45,RailDefinition!T:T,2,FALSE), "")</f>
      </c>
      <c r="G45" s="192"/>
      <c r="J45" s="194"/>
      <c r="K45" s="16"/>
      <c r="L45" s="192"/>
      <c r="M45" s="195">
        <f>IF(I45&lt;&gt;"", VLOOKUP(I45,RailDefinition!T:T,2,FALSE), "")</f>
      </c>
      <c r="N45" s="192"/>
      <c r="Q45" s="194"/>
      <c r="R45" s="16"/>
      <c r="S45" s="192"/>
      <c r="T45" s="193">
        <f>IF(P45&lt;&gt;"", VLOOKUP(P45,RailDefinition!T:T,2,FALSE), "")</f>
      </c>
      <c r="U45" s="192"/>
      <c r="AA45" s="193">
        <f>IF(W45&lt;&gt;"", VLOOKUP(W45,RailDefinition!T:T,2,FALSE), "")</f>
      </c>
      <c r="AH45" s="193">
        <f>IF(AD45&lt;&gt;"", VLOOKUP(AD45,RailDefinition!BJ:BL,2,FALSE), "")</f>
      </c>
    </row>
    <row r="46">
      <c r="C46" s="194"/>
      <c r="D46" s="16"/>
      <c r="E46" s="192"/>
      <c r="F46" s="195">
        <f>IF(B46&lt;&gt;"", VLOOKUP(B46,RailDefinition!T:T,2,FALSE), "")</f>
      </c>
      <c r="G46" s="192"/>
      <c r="J46" s="194"/>
      <c r="K46" s="16"/>
      <c r="L46" s="192"/>
      <c r="M46" s="195">
        <f>IF(I46&lt;&gt;"", VLOOKUP(I46,RailDefinition!T:T,2,FALSE), "")</f>
      </c>
      <c r="N46" s="192"/>
      <c r="Q46" s="194"/>
      <c r="R46" s="16"/>
      <c r="S46" s="192"/>
      <c r="T46" s="193">
        <f>IF(P46&lt;&gt;"", VLOOKUP(P46,RailDefinition!T:T,2,FALSE), "")</f>
      </c>
      <c r="U46" s="192"/>
      <c r="AA46" s="193">
        <f>IF(W46&lt;&gt;"", VLOOKUP(W46,RailDefinition!T:T,2,FALSE), "")</f>
      </c>
      <c r="AH46" s="193">
        <f>IF(AD46&lt;&gt;"", VLOOKUP(AD46,RailDefinition!BJ:BL,2,FALSE), "")</f>
      </c>
    </row>
    <row r="47">
      <c r="C47" s="194"/>
      <c r="D47" s="16"/>
      <c r="E47" s="192"/>
      <c r="F47" s="195">
        <f>IF(B47&lt;&gt;"", VLOOKUP(B47,RailDefinition!T:T,2,FALSE), "")</f>
      </c>
      <c r="G47" s="192"/>
      <c r="J47" s="194"/>
      <c r="K47" s="16"/>
      <c r="L47" s="192"/>
      <c r="M47" s="195">
        <f>IF(I47&lt;&gt;"", VLOOKUP(I47,RailDefinition!T:T,2,FALSE), "")</f>
      </c>
      <c r="N47" s="192"/>
      <c r="Q47" s="194"/>
      <c r="R47" s="16"/>
      <c r="S47" s="192"/>
      <c r="T47" s="193">
        <f>IF(P47&lt;&gt;"", VLOOKUP(P47,RailDefinition!T:T,2,FALSE), "")</f>
      </c>
      <c r="U47" s="192"/>
      <c r="AA47" s="193">
        <f>IF(W47&lt;&gt;"", VLOOKUP(W47,RailDefinition!T:T,2,FALSE), "")</f>
      </c>
      <c r="AH47" s="193">
        <f>IF(AD47&lt;&gt;"", VLOOKUP(AD47,RailDefinition!BJ:BL,2,FALSE), "")</f>
      </c>
    </row>
    <row r="48">
      <c r="C48" s="194"/>
      <c r="D48" s="16"/>
      <c r="E48" s="192"/>
      <c r="F48" s="195">
        <f>IF(B48&lt;&gt;"", VLOOKUP(B48,RailDefinition!T:T,2,FALSE), "")</f>
      </c>
      <c r="G48" s="192"/>
      <c r="J48" s="194"/>
      <c r="K48" s="16"/>
      <c r="L48" s="192"/>
      <c r="M48" s="195">
        <f>IF(I48&lt;&gt;"", VLOOKUP(I48,RailDefinition!T:T,2,FALSE), "")</f>
      </c>
      <c r="N48" s="192"/>
      <c r="Q48" s="194"/>
      <c r="R48" s="16"/>
      <c r="S48" s="192"/>
      <c r="T48" s="193">
        <f>IF(P48&lt;&gt;"", VLOOKUP(P48,RailDefinition!T:T,2,FALSE), "")</f>
      </c>
      <c r="U48" s="192"/>
      <c r="AA48" s="193">
        <f>IF(W48&lt;&gt;"", VLOOKUP(W48,RailDefinition!T:T,2,FALSE), "")</f>
      </c>
      <c r="AH48" s="193">
        <f>IF(AD48&lt;&gt;"", VLOOKUP(AD48,RailDefinition!BJ:BL,2,FALSE), "")</f>
      </c>
    </row>
    <row r="49">
      <c r="C49" s="194"/>
      <c r="D49" s="16"/>
      <c r="E49" s="192"/>
      <c r="F49" s="195">
        <f>IF(B49&lt;&gt;"", VLOOKUP(B49,RailDefinition!T:T,2,FALSE), "")</f>
      </c>
      <c r="G49" s="192"/>
      <c r="J49" s="194"/>
      <c r="K49" s="16"/>
      <c r="L49" s="192"/>
      <c r="M49" s="195">
        <f>IF(I49&lt;&gt;"", VLOOKUP(I49,RailDefinition!T:T,2,FALSE), "")</f>
      </c>
      <c r="N49" s="192"/>
      <c r="Q49" s="194"/>
      <c r="R49" s="16"/>
      <c r="S49" s="192"/>
      <c r="T49" s="193">
        <f>IF(P49&lt;&gt;"", VLOOKUP(P49,RailDefinition!T:T,2,FALSE), "")</f>
      </c>
      <c r="U49" s="192"/>
      <c r="AA49" s="193">
        <f>IF(W49&lt;&gt;"", VLOOKUP(W49,RailDefinition!T:T,2,FALSE), "")</f>
      </c>
      <c r="AH49" s="193">
        <f>IF(AD49&lt;&gt;"", VLOOKUP(AD49,RailDefinition!BJ:BL,2,FALSE), "")</f>
      </c>
    </row>
    <row r="50">
      <c r="C50" s="194"/>
      <c r="D50" s="16"/>
      <c r="E50" s="192"/>
      <c r="F50" s="195">
        <f>IF(B50&lt;&gt;"", VLOOKUP(B50,RailDefinition!T:T,2,FALSE), "")</f>
      </c>
      <c r="G50" s="192"/>
      <c r="J50" s="194"/>
      <c r="K50" s="16"/>
      <c r="L50" s="192"/>
      <c r="M50" s="195">
        <f>IF(I50&lt;&gt;"", VLOOKUP(I50,RailDefinition!T:T,2,FALSE), "")</f>
      </c>
      <c r="N50" s="192"/>
      <c r="Q50" s="194"/>
      <c r="R50" s="16"/>
      <c r="S50" s="192"/>
      <c r="T50" s="193">
        <f>IF(P50&lt;&gt;"", VLOOKUP(P50,RailDefinition!T:T,2,FALSE), "")</f>
      </c>
      <c r="U50" s="192"/>
      <c r="AA50" s="193">
        <f>IF(W50&lt;&gt;"", VLOOKUP(W50,RailDefinition!T:T,2,FALSE), "")</f>
      </c>
      <c r="AH50" s="193">
        <f>IF(AD50&lt;&gt;"", VLOOKUP(AD50,RailDefinition!BJ:BL,2,FALSE), "")</f>
      </c>
    </row>
    <row r="51">
      <c r="C51" s="194"/>
      <c r="D51" s="16"/>
      <c r="E51" s="192"/>
      <c r="F51" s="195">
        <f>IF(B51&lt;&gt;"", VLOOKUP(B51,RailDefinition!T:T,2,FALSE), "")</f>
      </c>
      <c r="G51" s="192"/>
      <c r="J51" s="194"/>
      <c r="K51" s="16"/>
      <c r="L51" s="192"/>
      <c r="M51" s="195">
        <f>IF(I51&lt;&gt;"", VLOOKUP(I51,RailDefinition!T:T,2,FALSE), "")</f>
      </c>
      <c r="N51" s="192"/>
      <c r="Q51" s="194"/>
      <c r="R51" s="16"/>
      <c r="S51" s="192"/>
      <c r="T51" s="193">
        <f>IF(P51&lt;&gt;"", VLOOKUP(P51,RailDefinition!T:T,2,FALSE), "")</f>
      </c>
      <c r="U51" s="192"/>
      <c r="AA51" s="193">
        <f>IF(W51&lt;&gt;"", VLOOKUP(W51,RailDefinition!T:T,2,FALSE), "")</f>
      </c>
      <c r="AH51" s="193">
        <f>IF(AD51&lt;&gt;"", VLOOKUP(AD51,RailDefinition!BJ:BL,2,FALSE), "")</f>
      </c>
    </row>
    <row r="52">
      <c r="C52" s="194"/>
      <c r="D52" s="16"/>
      <c r="E52" s="192"/>
      <c r="F52" s="195">
        <f>IF(B52&lt;&gt;"", VLOOKUP(B52,RailDefinition!T:T,2,FALSE), "")</f>
      </c>
      <c r="G52" s="192"/>
      <c r="J52" s="194"/>
      <c r="K52" s="16"/>
      <c r="L52" s="192"/>
      <c r="M52" s="195">
        <f>IF(I52&lt;&gt;"", VLOOKUP(I52,RailDefinition!T:T,2,FALSE), "")</f>
      </c>
      <c r="N52" s="192"/>
      <c r="Q52" s="194"/>
      <c r="R52" s="16"/>
      <c r="S52" s="192"/>
      <c r="T52" s="193">
        <f>IF(P52&lt;&gt;"", VLOOKUP(P52,RailDefinition!T:T,2,FALSE), "")</f>
      </c>
      <c r="U52" s="192"/>
      <c r="AA52" s="193">
        <f>IF(W52&lt;&gt;"", VLOOKUP(W52,RailDefinition!T:T,2,FALSE), "")</f>
      </c>
      <c r="AH52" s="193">
        <f>IF(AD52&lt;&gt;"", VLOOKUP(AD52,RailDefinition!BJ:BL,2,FALSE), "")</f>
      </c>
    </row>
    <row r="53">
      <c r="C53" s="194"/>
      <c r="D53" s="16"/>
      <c r="E53" s="192"/>
      <c r="F53" s="195">
        <f>IF(B53&lt;&gt;"", VLOOKUP(B53,RailDefinition!T:T,2,FALSE), "")</f>
      </c>
      <c r="G53" s="192"/>
      <c r="J53" s="194"/>
      <c r="K53" s="16"/>
      <c r="L53" s="192"/>
      <c r="M53" s="195">
        <f>IF(I53&lt;&gt;"", VLOOKUP(I53,RailDefinition!T:T,2,FALSE), "")</f>
      </c>
      <c r="N53" s="192"/>
      <c r="Q53" s="194"/>
      <c r="R53" s="16"/>
      <c r="S53" s="192"/>
      <c r="T53" s="193">
        <f>IF(P53&lt;&gt;"", VLOOKUP(P53,RailDefinition!T:T,2,FALSE), "")</f>
      </c>
      <c r="U53" s="192"/>
      <c r="AA53" s="193">
        <f>IF(W53&lt;&gt;"", VLOOKUP(W53,RailDefinition!T:T,2,FALSE), "")</f>
      </c>
      <c r="AH53" s="193">
        <f>IF(AD53&lt;&gt;"", VLOOKUP(AD53,RailDefinition!BJ:BL,2,FALSE), "")</f>
      </c>
    </row>
    <row r="54">
      <c r="C54" s="194"/>
      <c r="D54" s="16"/>
      <c r="E54" s="192"/>
      <c r="F54" s="195">
        <f>IF(B54&lt;&gt;"", VLOOKUP(B54,RailDefinition!T:T,2,FALSE), "")</f>
      </c>
      <c r="G54" s="192"/>
      <c r="J54" s="194"/>
      <c r="K54" s="16"/>
      <c r="L54" s="192"/>
      <c r="M54" s="195">
        <f>IF(I54&lt;&gt;"", VLOOKUP(I54,RailDefinition!T:T,2,FALSE), "")</f>
      </c>
      <c r="N54" s="192"/>
      <c r="Q54" s="194"/>
      <c r="R54" s="16"/>
      <c r="S54" s="192"/>
      <c r="T54" s="193">
        <f>IF(P54&lt;&gt;"", VLOOKUP(P54,RailDefinition!T:T,2,FALSE), "")</f>
      </c>
      <c r="U54" s="192"/>
      <c r="AA54" s="193">
        <f>IF(W54&lt;&gt;"", VLOOKUP(W54,RailDefinition!T:T,2,FALSE), "")</f>
      </c>
      <c r="AH54" s="193">
        <f>IF(AD54&lt;&gt;"", VLOOKUP(AD54,RailDefinition!BJ:BL,2,FALSE), "")</f>
      </c>
    </row>
    <row r="55">
      <c r="C55" s="194"/>
      <c r="D55" s="16"/>
      <c r="E55" s="192"/>
      <c r="F55" s="195">
        <f>IF(B55&lt;&gt;"", VLOOKUP(B55,RailDefinition!T:T,2,FALSE), "")</f>
      </c>
      <c r="G55" s="192"/>
      <c r="J55" s="194"/>
      <c r="K55" s="16"/>
      <c r="L55" s="192"/>
      <c r="M55" s="195">
        <f>IF(I55&lt;&gt;"", VLOOKUP(I55,RailDefinition!T:T,2,FALSE), "")</f>
      </c>
      <c r="N55" s="192"/>
      <c r="Q55" s="194"/>
      <c r="R55" s="16"/>
      <c r="S55" s="192"/>
      <c r="T55" s="193">
        <f>IF(P55&lt;&gt;"", VLOOKUP(P55,RailDefinition!T:T,2,FALSE), "")</f>
      </c>
      <c r="U55" s="192"/>
      <c r="AA55" s="193">
        <f>IF(W55&lt;&gt;"", VLOOKUP(W55,RailDefinition!T:T,2,FALSE), "")</f>
      </c>
      <c r="AH55" s="193">
        <f>IF(AD55&lt;&gt;"", VLOOKUP(AD55,RailDefinition!BJ:BL,2,FALSE), "")</f>
      </c>
    </row>
    <row r="56">
      <c r="C56" s="194"/>
      <c r="D56" s="16"/>
      <c r="E56" s="192"/>
      <c r="F56" s="195">
        <f>IF(B56&lt;&gt;"", VLOOKUP(B56,RailDefinition!T:T,2,FALSE), "")</f>
      </c>
      <c r="G56" s="192"/>
      <c r="J56" s="194"/>
      <c r="K56" s="16"/>
      <c r="L56" s="192"/>
      <c r="M56" s="195">
        <f>IF(I56&lt;&gt;"", VLOOKUP(I56,RailDefinition!T:T,2,FALSE), "")</f>
      </c>
      <c r="N56" s="192"/>
      <c r="Q56" s="194"/>
      <c r="R56" s="16"/>
      <c r="S56" s="192"/>
      <c r="T56" s="193">
        <f>IF(P56&lt;&gt;"", VLOOKUP(P56,RailDefinition!T:T,2,FALSE), "")</f>
      </c>
      <c r="U56" s="192"/>
      <c r="AA56" s="193">
        <f>IF(W56&lt;&gt;"", VLOOKUP(W56,RailDefinition!T:T,2,FALSE), "")</f>
      </c>
      <c r="AH56" s="193">
        <f>IF(AD56&lt;&gt;"", VLOOKUP(AD56,RailDefinition!BJ:BL,2,FALSE), "")</f>
      </c>
    </row>
    <row r="57">
      <c r="C57" s="194"/>
      <c r="D57" s="16"/>
      <c r="E57" s="192"/>
      <c r="F57" s="195">
        <f>IF(B57&lt;&gt;"", VLOOKUP(B57,RailDefinition!T:T,2,FALSE), "")</f>
      </c>
      <c r="G57" s="192"/>
      <c r="J57" s="194"/>
      <c r="K57" s="16"/>
      <c r="L57" s="192"/>
      <c r="M57" s="195">
        <f>IF(I57&lt;&gt;"", VLOOKUP(I57,RailDefinition!T:T,2,FALSE), "")</f>
      </c>
      <c r="N57" s="192"/>
      <c r="Q57" s="194"/>
      <c r="R57" s="16"/>
      <c r="S57" s="192"/>
      <c r="T57" s="193">
        <f>IF(P57&lt;&gt;"", VLOOKUP(P57,RailDefinition!T:T,2,FALSE), "")</f>
      </c>
      <c r="U57" s="192"/>
      <c r="AA57" s="193">
        <f>IF(W57&lt;&gt;"", VLOOKUP(W57,RailDefinition!T:T,2,FALSE), "")</f>
      </c>
      <c r="AH57" s="193">
        <f>IF(AD57&lt;&gt;"", VLOOKUP(AD57,RailDefinition!BJ:BL,2,FALSE), "")</f>
      </c>
    </row>
    <row r="58">
      <c r="C58" s="194"/>
      <c r="D58" s="16"/>
      <c r="E58" s="192"/>
      <c r="F58" s="195">
        <f>IF(B58&lt;&gt;"", VLOOKUP(B58,RailDefinition!T:T,2,FALSE), "")</f>
      </c>
      <c r="G58" s="192"/>
      <c r="J58" s="194"/>
      <c r="K58" s="16"/>
      <c r="L58" s="192"/>
      <c r="M58" s="195">
        <f>IF(I58&lt;&gt;"", VLOOKUP(I58,RailDefinition!T:T,2,FALSE), "")</f>
      </c>
      <c r="N58" s="192"/>
      <c r="Q58" s="194"/>
      <c r="R58" s="16"/>
      <c r="S58" s="192"/>
      <c r="T58" s="193">
        <f>IF(P58&lt;&gt;"", VLOOKUP(P58,RailDefinition!T:T,2,FALSE), "")</f>
      </c>
      <c r="U58" s="192"/>
      <c r="AA58" s="193">
        <f>IF(W58&lt;&gt;"", VLOOKUP(W58,RailDefinition!T:T,2,FALSE), "")</f>
      </c>
      <c r="AH58" s="193">
        <f>IF(AD58&lt;&gt;"", VLOOKUP(AD58,RailDefinition!BJ:BL,2,FALSE), "")</f>
      </c>
    </row>
    <row r="59">
      <c r="C59" s="194"/>
      <c r="D59" s="16"/>
      <c r="E59" s="192"/>
      <c r="F59" s="195">
        <f>IF(B59&lt;&gt;"", VLOOKUP(B59,RailDefinition!T:T,2,FALSE), "")</f>
      </c>
      <c r="G59" s="192"/>
      <c r="J59" s="194"/>
      <c r="K59" s="16"/>
      <c r="L59" s="192"/>
      <c r="M59" s="195">
        <f>IF(I59&lt;&gt;"", VLOOKUP(I59,RailDefinition!T:T,2,FALSE), "")</f>
      </c>
      <c r="N59" s="192"/>
      <c r="Q59" s="194"/>
      <c r="R59" s="16"/>
      <c r="S59" s="192"/>
      <c r="T59" s="193">
        <f>IF(P59&lt;&gt;"", VLOOKUP(P59,RailDefinition!T:T,2,FALSE), "")</f>
      </c>
      <c r="U59" s="192"/>
      <c r="AA59" s="193">
        <f>IF(W59&lt;&gt;"", VLOOKUP(W59,RailDefinition!T:T,2,FALSE), "")</f>
      </c>
      <c r="AH59" s="193">
        <f>IF(AD59&lt;&gt;"", VLOOKUP(AD59,RailDefinition!BJ:BL,2,FALSE), "")</f>
      </c>
    </row>
    <row r="60">
      <c r="C60" s="194"/>
      <c r="D60" s="16"/>
      <c r="E60" s="192"/>
      <c r="F60" s="195">
        <f>IF(B60&lt;&gt;"", VLOOKUP(B60,RailDefinition!T:T,2,FALSE), "")</f>
      </c>
      <c r="G60" s="192"/>
      <c r="J60" s="194"/>
      <c r="K60" s="16"/>
      <c r="L60" s="192"/>
      <c r="M60" s="195">
        <f>IF(I60&lt;&gt;"", VLOOKUP(I60,RailDefinition!T:T,2,FALSE), "")</f>
      </c>
      <c r="N60" s="192"/>
      <c r="Q60" s="194"/>
      <c r="R60" s="16"/>
      <c r="S60" s="192"/>
      <c r="T60" s="193">
        <f>IF(P60&lt;&gt;"", VLOOKUP(P60,RailDefinition!T:T,2,FALSE), "")</f>
      </c>
      <c r="U60" s="192"/>
      <c r="AA60" s="193">
        <f>IF(W60&lt;&gt;"", VLOOKUP(W60,RailDefinition!T:T,2,FALSE), "")</f>
      </c>
      <c r="AH60" s="193">
        <f>IF(AD60&lt;&gt;"", VLOOKUP(AD60,RailDefinition!BJ:BL,2,FALSE), "")</f>
      </c>
    </row>
    <row r="61">
      <c r="C61" s="194"/>
      <c r="D61" s="16"/>
      <c r="E61" s="192"/>
      <c r="F61" s="195">
        <f>IF(B61&lt;&gt;"", VLOOKUP(B61,RailDefinition!T:T,2,FALSE), "")</f>
      </c>
      <c r="G61" s="192"/>
      <c r="J61" s="194"/>
      <c r="K61" s="16"/>
      <c r="L61" s="192"/>
      <c r="M61" s="195">
        <f>IF(I61&lt;&gt;"", VLOOKUP(I61,RailDefinition!T:T,2,FALSE), "")</f>
      </c>
      <c r="N61" s="192"/>
      <c r="Q61" s="194"/>
      <c r="R61" s="16"/>
      <c r="S61" s="192"/>
      <c r="T61" s="193">
        <f>IF(P61&lt;&gt;"", VLOOKUP(P61,RailDefinition!T:T,2,FALSE), "")</f>
      </c>
      <c r="U61" s="192"/>
      <c r="AA61" s="193">
        <f>IF(W61&lt;&gt;"", VLOOKUP(W61,RailDefinition!T:T,2,FALSE), "")</f>
      </c>
      <c r="AH61" s="193">
        <f>IF(AD61&lt;&gt;"", VLOOKUP(AD61,RailDefinition!BJ:BL,2,FALSE), "")</f>
      </c>
    </row>
    <row r="62">
      <c r="C62" s="194"/>
      <c r="D62" s="16"/>
      <c r="E62" s="192"/>
      <c r="F62" s="195">
        <f>IF(B62&lt;&gt;"", VLOOKUP(B62,RailDefinition!T:T,2,FALSE), "")</f>
      </c>
      <c r="G62" s="192"/>
      <c r="J62" s="194"/>
      <c r="K62" s="16"/>
      <c r="L62" s="192"/>
      <c r="M62" s="195">
        <f>IF(I62&lt;&gt;"", VLOOKUP(I62,RailDefinition!T:T,2,FALSE), "")</f>
      </c>
      <c r="N62" s="192"/>
      <c r="Q62" s="194"/>
      <c r="R62" s="16"/>
      <c r="S62" s="192"/>
      <c r="T62" s="193">
        <f>IF(P62&lt;&gt;"", VLOOKUP(P62,RailDefinition!T:T,2,FALSE), "")</f>
      </c>
      <c r="U62" s="192"/>
      <c r="AA62" s="193">
        <f>IF(W62&lt;&gt;"", VLOOKUP(W62,RailDefinition!T:T,2,FALSE), "")</f>
      </c>
      <c r="AH62" s="193">
        <f>IF(AD62&lt;&gt;"", VLOOKUP(AD62,RailDefinition!BJ:BL,2,FALSE), "")</f>
      </c>
    </row>
    <row r="63">
      <c r="C63" s="194"/>
      <c r="D63" s="16"/>
      <c r="E63" s="192"/>
      <c r="F63" s="195">
        <f>IF(B63&lt;&gt;"", VLOOKUP(B63,RailDefinition!T:T,2,FALSE), "")</f>
      </c>
      <c r="G63" s="192"/>
      <c r="J63" s="194"/>
      <c r="K63" s="16"/>
      <c r="L63" s="192"/>
      <c r="M63" s="195">
        <f>IF(I63&lt;&gt;"", VLOOKUP(I63,RailDefinition!T:T,2,FALSE), "")</f>
      </c>
      <c r="N63" s="192"/>
      <c r="Q63" s="194"/>
      <c r="R63" s="16"/>
      <c r="S63" s="192"/>
      <c r="T63" s="193">
        <f>IF(P63&lt;&gt;"", VLOOKUP(P63,RailDefinition!T:T,2,FALSE), "")</f>
      </c>
      <c r="U63" s="192"/>
      <c r="AA63" s="193">
        <f>IF(W63&lt;&gt;"", VLOOKUP(W63,RailDefinition!T:T,2,FALSE), "")</f>
      </c>
      <c r="AH63" s="193">
        <f>IF(AD63&lt;&gt;"", VLOOKUP(AD63,RailDefinition!BJ:BL,2,FALSE), "")</f>
      </c>
    </row>
    <row r="64">
      <c r="C64" s="194"/>
      <c r="D64" s="16"/>
      <c r="E64" s="192"/>
      <c r="F64" s="195">
        <f>IF(B64&lt;&gt;"", VLOOKUP(B64,RailDefinition!T:T,2,FALSE), "")</f>
      </c>
      <c r="G64" s="192"/>
      <c r="J64" s="194"/>
      <c r="K64" s="16"/>
      <c r="L64" s="192"/>
      <c r="M64" s="195">
        <f>IF(I64&lt;&gt;"", VLOOKUP(I64,RailDefinition!T:T,2,FALSE), "")</f>
      </c>
      <c r="N64" s="192"/>
      <c r="Q64" s="194"/>
      <c r="R64" s="16"/>
      <c r="S64" s="192"/>
      <c r="T64" s="193">
        <f>IF(P64&lt;&gt;"", VLOOKUP(P64,RailDefinition!T:T,2,FALSE), "")</f>
      </c>
      <c r="U64" s="192"/>
      <c r="AA64" s="193">
        <f>IF(W64&lt;&gt;"", VLOOKUP(W64,RailDefinition!T:T,2,FALSE), "")</f>
      </c>
      <c r="AH64" s="193">
        <f>IF(AD64&lt;&gt;"", VLOOKUP(AD64,RailDefinition!BJ:BL,2,FALSE), "")</f>
      </c>
    </row>
    <row r="65">
      <c r="C65" s="194"/>
      <c r="D65" s="16"/>
      <c r="E65" s="192"/>
      <c r="F65" s="195">
        <f>IF(B65&lt;&gt;"", VLOOKUP(B65,RailDefinition!T:T,2,FALSE), "")</f>
      </c>
      <c r="G65" s="192"/>
      <c r="J65" s="194"/>
      <c r="K65" s="16"/>
      <c r="L65" s="192"/>
      <c r="M65" s="195">
        <f>IF(I65&lt;&gt;"", VLOOKUP(I65,RailDefinition!T:T,2,FALSE), "")</f>
      </c>
      <c r="N65" s="192"/>
      <c r="Q65" s="194"/>
      <c r="R65" s="16"/>
      <c r="S65" s="192"/>
      <c r="T65" s="193">
        <f>IF(P65&lt;&gt;"", VLOOKUP(P65,RailDefinition!T:T,2,FALSE), "")</f>
      </c>
      <c r="U65" s="192"/>
      <c r="AA65" s="193">
        <f>IF(W65&lt;&gt;"", VLOOKUP(W65,RailDefinition!T:T,2,FALSE), "")</f>
      </c>
      <c r="AH65" s="193">
        <f>IF(AD65&lt;&gt;"", VLOOKUP(AD65,RailDefinition!BJ:BL,2,FALSE), "")</f>
      </c>
    </row>
    <row r="66">
      <c r="C66" s="194"/>
      <c r="D66" s="16"/>
      <c r="E66" s="192"/>
      <c r="F66" s="195">
        <f>IF(B66&lt;&gt;"", VLOOKUP(B66,RailDefinition!T:T,2,FALSE), "")</f>
      </c>
      <c r="G66" s="192"/>
      <c r="J66" s="194"/>
      <c r="K66" s="16"/>
      <c r="L66" s="192"/>
      <c r="M66" s="195">
        <f>IF(I66&lt;&gt;"", VLOOKUP(I66,RailDefinition!T:T,2,FALSE), "")</f>
      </c>
      <c r="N66" s="192"/>
      <c r="Q66" s="194"/>
      <c r="R66" s="16"/>
      <c r="S66" s="192"/>
      <c r="T66" s="193">
        <f>IF(P66&lt;&gt;"", VLOOKUP(P66,RailDefinition!T:T,2,FALSE), "")</f>
      </c>
      <c r="U66" s="192"/>
      <c r="AA66" s="193">
        <f>IF(W66&lt;&gt;"", VLOOKUP(W66,RailDefinition!T:T,2,FALSE), "")</f>
      </c>
      <c r="AH66" s="193">
        <f>IF(AD66&lt;&gt;"", VLOOKUP(AD66,RailDefinition!BJ:BL,2,FALSE), "")</f>
      </c>
    </row>
    <row r="67">
      <c r="C67" s="194"/>
      <c r="D67" s="16"/>
      <c r="E67" s="192"/>
      <c r="F67" s="195">
        <f>IF(B67&lt;&gt;"", VLOOKUP(B67,RailDefinition!T:T,2,FALSE), "")</f>
      </c>
      <c r="G67" s="192"/>
      <c r="J67" s="194"/>
      <c r="K67" s="16"/>
      <c r="L67" s="192"/>
      <c r="M67" s="195">
        <f>IF(I67&lt;&gt;"", VLOOKUP(I67,RailDefinition!T:T,2,FALSE), "")</f>
      </c>
      <c r="N67" s="192"/>
      <c r="Q67" s="194"/>
      <c r="R67" s="16"/>
      <c r="S67" s="192"/>
      <c r="T67" s="193">
        <f>IF(P67&lt;&gt;"", VLOOKUP(P67,RailDefinition!T:T,2,FALSE), "")</f>
      </c>
      <c r="U67" s="192"/>
      <c r="AA67" s="193">
        <f>IF(W67&lt;&gt;"", VLOOKUP(W67,RailDefinition!T:T,2,FALSE), "")</f>
      </c>
      <c r="AH67" s="193">
        <f>IF(AD67&lt;&gt;"", VLOOKUP(AD67,RailDefinition!BJ:BL,2,FALSE), "")</f>
      </c>
    </row>
    <row r="68">
      <c r="C68" s="194"/>
      <c r="D68" s="16"/>
      <c r="E68" s="192"/>
      <c r="F68" s="195">
        <f>IF(B68&lt;&gt;"", VLOOKUP(B68,RailDefinition!T:T,2,FALSE), "")</f>
      </c>
      <c r="G68" s="192"/>
      <c r="J68" s="194"/>
      <c r="K68" s="16"/>
      <c r="L68" s="192"/>
      <c r="M68" s="195">
        <f>IF(I68&lt;&gt;"", VLOOKUP(I68,RailDefinition!T:T,2,FALSE), "")</f>
      </c>
      <c r="N68" s="192"/>
      <c r="Q68" s="194"/>
      <c r="R68" s="16"/>
      <c r="S68" s="192"/>
      <c r="T68" s="193">
        <f>IF(P68&lt;&gt;"", VLOOKUP(P68,RailDefinition!T:T,2,FALSE), "")</f>
      </c>
      <c r="U68" s="192"/>
      <c r="AA68" s="193">
        <f>IF(W68&lt;&gt;"", VLOOKUP(W68,RailDefinition!T:T,2,FALSE), "")</f>
      </c>
      <c r="AH68" s="193">
        <f>IF(AD68&lt;&gt;"", VLOOKUP(AD68,RailDefinition!BJ:BL,2,FALSE), "")</f>
      </c>
    </row>
    <row r="69">
      <c r="C69" s="194"/>
      <c r="D69" s="16"/>
      <c r="E69" s="192"/>
      <c r="F69" s="195">
        <f>IF(B69&lt;&gt;"", VLOOKUP(B69,RailDefinition!T:T,2,FALSE), "")</f>
      </c>
      <c r="G69" s="192"/>
      <c r="J69" s="194"/>
      <c r="K69" s="16"/>
      <c r="L69" s="192"/>
      <c r="M69" s="195">
        <f>IF(I69&lt;&gt;"", VLOOKUP(I69,RailDefinition!T:T,2,FALSE), "")</f>
      </c>
      <c r="N69" s="192"/>
      <c r="Q69" s="194"/>
      <c r="R69" s="16"/>
      <c r="S69" s="192"/>
      <c r="T69" s="193">
        <f>IF(P69&lt;&gt;"", VLOOKUP(P69,RailDefinition!T:T,2,FALSE), "")</f>
      </c>
      <c r="U69" s="192"/>
      <c r="AA69" s="193">
        <f>IF(W69&lt;&gt;"", VLOOKUP(W69,RailDefinition!T:T,2,FALSE), "")</f>
      </c>
      <c r="AH69" s="193">
        <f>IF(AD69&lt;&gt;"", VLOOKUP(AD69,RailDefinition!BJ:BL,2,FALSE), "")</f>
      </c>
    </row>
    <row r="70">
      <c r="C70" s="194"/>
      <c r="D70" s="16"/>
      <c r="E70" s="192"/>
      <c r="F70" s="195">
        <f>IF(B70&lt;&gt;"", VLOOKUP(B70,RailDefinition!T:T,2,FALSE), "")</f>
      </c>
      <c r="G70" s="192"/>
      <c r="J70" s="194"/>
      <c r="K70" s="16"/>
      <c r="L70" s="192"/>
      <c r="M70" s="195">
        <f>IF(I70&lt;&gt;"", VLOOKUP(I70,RailDefinition!T:T,2,FALSE), "")</f>
      </c>
      <c r="N70" s="192"/>
      <c r="Q70" s="194"/>
      <c r="R70" s="16"/>
      <c r="S70" s="192"/>
      <c r="T70" s="193">
        <f>IF(P70&lt;&gt;"", VLOOKUP(P70,RailDefinition!T:T,2,FALSE), "")</f>
      </c>
      <c r="U70" s="192"/>
      <c r="AA70" s="193">
        <f>IF(W70&lt;&gt;"", VLOOKUP(W70,RailDefinition!T:T,2,FALSE), "")</f>
      </c>
      <c r="AH70" s="193">
        <f>IF(AD70&lt;&gt;"", VLOOKUP(AD70,RailDefinition!BJ:BL,2,FALSE), "")</f>
      </c>
    </row>
    <row r="71">
      <c r="C71" s="194"/>
      <c r="D71" s="16"/>
      <c r="E71" s="192"/>
      <c r="F71" s="195">
        <f>IF(B71&lt;&gt;"", VLOOKUP(B71,RailDefinition!T:T,2,FALSE), "")</f>
      </c>
      <c r="G71" s="192"/>
      <c r="J71" s="194"/>
      <c r="K71" s="16"/>
      <c r="L71" s="192"/>
      <c r="M71" s="195">
        <f>IF(I71&lt;&gt;"", VLOOKUP(I71,RailDefinition!T:T,2,FALSE), "")</f>
      </c>
      <c r="N71" s="192"/>
      <c r="Q71" s="194"/>
      <c r="R71" s="16"/>
      <c r="S71" s="192"/>
      <c r="T71" s="193">
        <f>IF(P71&lt;&gt;"", VLOOKUP(P71,RailDefinition!T:T,2,FALSE), "")</f>
      </c>
      <c r="U71" s="192"/>
      <c r="AA71" s="193">
        <f>IF(W71&lt;&gt;"", VLOOKUP(W71,RailDefinition!T:T,2,FALSE), "")</f>
      </c>
      <c r="AH71" s="193">
        <f>IF(AD71&lt;&gt;"", VLOOKUP(AD71,RailDefinition!BJ:BL,2,FALSE), "")</f>
      </c>
    </row>
    <row r="72">
      <c r="C72" s="194"/>
      <c r="D72" s="16"/>
      <c r="E72" s="192"/>
      <c r="F72" s="195">
        <f>IF(B72&lt;&gt;"", VLOOKUP(B72,RailDefinition!T:T,2,FALSE), "")</f>
      </c>
      <c r="G72" s="192"/>
      <c r="J72" s="194"/>
      <c r="K72" s="16"/>
      <c r="L72" s="192"/>
      <c r="M72" s="195">
        <f>IF(I72&lt;&gt;"", VLOOKUP(I72,RailDefinition!T:T,2,FALSE), "")</f>
      </c>
      <c r="N72" s="192"/>
      <c r="Q72" s="194"/>
      <c r="R72" s="16"/>
      <c r="S72" s="192"/>
      <c r="T72" s="193">
        <f>IF(P72&lt;&gt;"", VLOOKUP(P72,RailDefinition!T:T,2,FALSE), "")</f>
      </c>
      <c r="U72" s="192"/>
      <c r="AA72" s="193">
        <f>IF(W72&lt;&gt;"", VLOOKUP(W72,RailDefinition!T:T,2,FALSE), "")</f>
      </c>
      <c r="AH72" s="193">
        <f>IF(AD72&lt;&gt;"", VLOOKUP(AD72,RailDefinition!BJ:BL,2,FALSE), "")</f>
      </c>
    </row>
    <row r="73">
      <c r="C73" s="194"/>
      <c r="D73" s="16"/>
      <c r="E73" s="192"/>
      <c r="F73" s="195">
        <f>IF(B73&lt;&gt;"", VLOOKUP(B73,RailDefinition!T:T,2,FALSE), "")</f>
      </c>
      <c r="G73" s="192"/>
      <c r="J73" s="194"/>
      <c r="K73" s="16"/>
      <c r="L73" s="192"/>
      <c r="M73" s="195">
        <f>IF(I73&lt;&gt;"", VLOOKUP(I73,RailDefinition!T:T,2,FALSE), "")</f>
      </c>
      <c r="N73" s="192"/>
      <c r="Q73" s="194"/>
      <c r="R73" s="16"/>
      <c r="S73" s="192"/>
      <c r="T73" s="193">
        <f>IF(P73&lt;&gt;"", VLOOKUP(P73,RailDefinition!T:T,2,FALSE), "")</f>
      </c>
      <c r="U73" s="192"/>
      <c r="AA73" s="193">
        <f>IF(W73&lt;&gt;"", VLOOKUP(W73,RailDefinition!T:T,2,FALSE), "")</f>
      </c>
      <c r="AH73" s="193">
        <f>IF(AD73&lt;&gt;"", VLOOKUP(AD73,RailDefinition!BJ:BL,2,FALSE), "")</f>
      </c>
    </row>
    <row r="74">
      <c r="C74" s="194"/>
      <c r="D74" s="16"/>
      <c r="E74" s="192"/>
      <c r="F74" s="195">
        <f>IF(B74&lt;&gt;"", VLOOKUP(B74,RailDefinition!T:T,2,FALSE), "")</f>
      </c>
      <c r="G74" s="192"/>
      <c r="J74" s="194"/>
      <c r="K74" s="16"/>
      <c r="L74" s="192"/>
      <c r="M74" s="195">
        <f>IF(I74&lt;&gt;"", VLOOKUP(I74,RailDefinition!T:T,2,FALSE), "")</f>
      </c>
      <c r="N74" s="192"/>
      <c r="Q74" s="194"/>
      <c r="R74" s="16"/>
      <c r="S74" s="192"/>
      <c r="T74" s="193">
        <f>IF(P74&lt;&gt;"", VLOOKUP(P74,RailDefinition!T:T,2,FALSE), "")</f>
      </c>
      <c r="U74" s="192"/>
      <c r="AA74" s="193">
        <f>IF(W74&lt;&gt;"", VLOOKUP(W74,RailDefinition!T:T,2,FALSE), "")</f>
      </c>
      <c r="AH74" s="193">
        <f>IF(AD74&lt;&gt;"", VLOOKUP(AD74,RailDefinition!BJ:BL,2,FALSE), "")</f>
      </c>
    </row>
    <row r="75">
      <c r="C75" s="194"/>
      <c r="D75" s="16"/>
      <c r="E75" s="192"/>
      <c r="F75" s="195">
        <f>IF(B75&lt;&gt;"", VLOOKUP(B75,RailDefinition!T:T,2,FALSE), "")</f>
      </c>
      <c r="G75" s="192"/>
      <c r="J75" s="194"/>
      <c r="K75" s="16"/>
      <c r="L75" s="192"/>
      <c r="M75" s="195">
        <f>IF(I75&lt;&gt;"", VLOOKUP(I75,RailDefinition!T:T,2,FALSE), "")</f>
      </c>
      <c r="N75" s="192"/>
      <c r="Q75" s="194"/>
      <c r="R75" s="16"/>
      <c r="S75" s="192"/>
      <c r="T75" s="193">
        <f>IF(P75&lt;&gt;"", VLOOKUP(P75,RailDefinition!T:T,2,FALSE), "")</f>
      </c>
      <c r="U75" s="192"/>
      <c r="AA75" s="193">
        <f>IF(W75&lt;&gt;"", VLOOKUP(W75,RailDefinition!T:T,2,FALSE), "")</f>
      </c>
      <c r="AH75" s="193">
        <f>IF(AD75&lt;&gt;"", VLOOKUP(AD75,RailDefinition!BJ:BL,2,FALSE), "")</f>
      </c>
    </row>
    <row r="76">
      <c r="C76" s="194"/>
      <c r="D76" s="16"/>
      <c r="E76" s="192"/>
      <c r="F76" s="195">
        <f>IF(B76&lt;&gt;"", VLOOKUP(B76,RailDefinition!T:T,2,FALSE), "")</f>
      </c>
      <c r="G76" s="192"/>
      <c r="J76" s="194"/>
      <c r="K76" s="16"/>
      <c r="L76" s="192"/>
      <c r="M76" s="195">
        <f>IF(I76&lt;&gt;"", VLOOKUP(I76,RailDefinition!T:T,2,FALSE), "")</f>
      </c>
      <c r="N76" s="192"/>
      <c r="Q76" s="194"/>
      <c r="R76" s="16"/>
      <c r="S76" s="192"/>
      <c r="T76" s="193">
        <f>IF(P76&lt;&gt;"", VLOOKUP(P76,RailDefinition!T:T,2,FALSE), "")</f>
      </c>
      <c r="U76" s="192"/>
      <c r="AA76" s="193">
        <f>IF(W76&lt;&gt;"", VLOOKUP(W76,RailDefinition!T:T,2,FALSE), "")</f>
      </c>
      <c r="AH76" s="193">
        <f>IF(AD76&lt;&gt;"", VLOOKUP(AD76,RailDefinition!BJ:BL,2,FALSE), "")</f>
      </c>
    </row>
    <row r="77">
      <c r="C77" s="194"/>
      <c r="D77" s="16"/>
      <c r="E77" s="192"/>
      <c r="F77" s="195">
        <f>IF(B77&lt;&gt;"", VLOOKUP(B77,RailDefinition!T:T,2,FALSE), "")</f>
      </c>
      <c r="G77" s="192"/>
      <c r="J77" s="194"/>
      <c r="K77" s="16"/>
      <c r="L77" s="192"/>
      <c r="M77" s="195">
        <f>IF(I77&lt;&gt;"", VLOOKUP(I77,RailDefinition!T:T,2,FALSE), "")</f>
      </c>
      <c r="N77" s="192"/>
      <c r="Q77" s="194"/>
      <c r="R77" s="16"/>
      <c r="S77" s="192"/>
      <c r="T77" s="193">
        <f>IF(P77&lt;&gt;"", VLOOKUP(P77,RailDefinition!T:T,2,FALSE), "")</f>
      </c>
      <c r="U77" s="192"/>
      <c r="AA77" s="193">
        <f>IF(W77&lt;&gt;"", VLOOKUP(W77,RailDefinition!T:T,2,FALSE), "")</f>
      </c>
      <c r="AH77" s="193">
        <f>IF(AD77&lt;&gt;"", VLOOKUP(AD77,RailDefinition!BJ:BL,2,FALSE), "")</f>
      </c>
    </row>
    <row r="78">
      <c r="C78" s="194"/>
      <c r="D78" s="16"/>
      <c r="E78" s="192"/>
      <c r="F78" s="195">
        <f>IF(B78&lt;&gt;"", VLOOKUP(B78,RailDefinition!T:T,2,FALSE), "")</f>
      </c>
      <c r="G78" s="192"/>
      <c r="J78" s="194"/>
      <c r="K78" s="16"/>
      <c r="L78" s="192"/>
      <c r="M78" s="195">
        <f>IF(I78&lt;&gt;"", VLOOKUP(I78,RailDefinition!T:T,2,FALSE), "")</f>
      </c>
      <c r="N78" s="192"/>
      <c r="Q78" s="194"/>
      <c r="R78" s="16"/>
      <c r="S78" s="192"/>
      <c r="T78" s="193">
        <f>IF(P78&lt;&gt;"", VLOOKUP(P78,RailDefinition!T:T,2,FALSE), "")</f>
      </c>
      <c r="U78" s="192"/>
      <c r="AA78" s="193">
        <f>IF(W78&lt;&gt;"", VLOOKUP(W78,RailDefinition!T:T,2,FALSE), "")</f>
      </c>
      <c r="AH78" s="193">
        <f>IF(AD78&lt;&gt;"", VLOOKUP(AD78,RailDefinition!BJ:BL,2,FALSE), "")</f>
      </c>
    </row>
    <row r="79">
      <c r="C79" s="194"/>
      <c r="D79" s="16"/>
      <c r="E79" s="192"/>
      <c r="F79" s="195">
        <f>IF(B79&lt;&gt;"", VLOOKUP(B79,RailDefinition!T:T,2,FALSE), "")</f>
      </c>
      <c r="G79" s="192"/>
      <c r="J79" s="194"/>
      <c r="K79" s="16"/>
      <c r="L79" s="192"/>
      <c r="M79" s="195">
        <f>IF(I79&lt;&gt;"", VLOOKUP(I79,RailDefinition!T:T,2,FALSE), "")</f>
      </c>
      <c r="N79" s="192"/>
      <c r="Q79" s="194"/>
      <c r="R79" s="16"/>
      <c r="S79" s="192"/>
      <c r="T79" s="193">
        <f>IF(P79&lt;&gt;"", VLOOKUP(P79,RailDefinition!T:T,2,FALSE), "")</f>
      </c>
      <c r="U79" s="192"/>
      <c r="AA79" s="193">
        <f>IF(W79&lt;&gt;"", VLOOKUP(W79,RailDefinition!T:T,2,FALSE), "")</f>
      </c>
      <c r="AH79" s="193">
        <f>IF(AD79&lt;&gt;"", VLOOKUP(AD79,RailDefinition!BJ:BL,2,FALSE), "")</f>
      </c>
    </row>
    <row r="80">
      <c r="C80" s="194"/>
      <c r="D80" s="16"/>
      <c r="E80" s="192"/>
      <c r="F80" s="195">
        <f>IF(B80&lt;&gt;"", VLOOKUP(B80,RailDefinition!T:T,2,FALSE), "")</f>
      </c>
      <c r="G80" s="192"/>
      <c r="J80" s="194"/>
      <c r="K80" s="16"/>
      <c r="L80" s="192"/>
      <c r="M80" s="195">
        <f>IF(I80&lt;&gt;"", VLOOKUP(I80,RailDefinition!T:T,2,FALSE), "")</f>
      </c>
      <c r="N80" s="192"/>
      <c r="Q80" s="194"/>
      <c r="R80" s="16"/>
      <c r="S80" s="192"/>
      <c r="T80" s="193">
        <f>IF(P80&lt;&gt;"", VLOOKUP(P80,RailDefinition!T:T,2,FALSE), "")</f>
      </c>
      <c r="U80" s="192"/>
      <c r="AA80" s="193">
        <f>IF(W80&lt;&gt;"", VLOOKUP(W80,RailDefinition!T:T,2,FALSE), "")</f>
      </c>
      <c r="AH80" s="193">
        <f>IF(AD80&lt;&gt;"", VLOOKUP(AD80,RailDefinition!BJ:BL,2,FALSE), "")</f>
      </c>
    </row>
    <row r="81">
      <c r="C81" s="194"/>
      <c r="D81" s="16"/>
      <c r="E81" s="192"/>
      <c r="F81" s="195">
        <f>IF(B81&lt;&gt;"", VLOOKUP(B81,RailDefinition!T:T,2,FALSE), "")</f>
      </c>
      <c r="G81" s="192"/>
      <c r="J81" s="194"/>
      <c r="K81" s="16"/>
      <c r="L81" s="192"/>
      <c r="M81" s="195">
        <f>IF(I81&lt;&gt;"", VLOOKUP(I81,RailDefinition!T:T,2,FALSE), "")</f>
      </c>
      <c r="N81" s="192"/>
      <c r="Q81" s="194"/>
      <c r="R81" s="16"/>
      <c r="S81" s="192"/>
      <c r="T81" s="193">
        <f>IF(P81&lt;&gt;"", VLOOKUP(P81,RailDefinition!T:T,2,FALSE), "")</f>
      </c>
      <c r="U81" s="192"/>
      <c r="AA81" s="193">
        <f>IF(W81&lt;&gt;"", VLOOKUP(W81,RailDefinition!T:T,2,FALSE), "")</f>
      </c>
      <c r="AH81" s="193">
        <f>IF(AD81&lt;&gt;"", VLOOKUP(AD81,RailDefinition!BJ:BL,2,FALSE), "")</f>
      </c>
    </row>
    <row r="82">
      <c r="C82" s="194"/>
      <c r="D82" s="16"/>
      <c r="E82" s="192"/>
      <c r="F82" s="195">
        <f>IF(B82&lt;&gt;"", VLOOKUP(B82,RailDefinition!T:T,2,FALSE), "")</f>
      </c>
      <c r="G82" s="192"/>
      <c r="J82" s="194"/>
      <c r="K82" s="16"/>
      <c r="L82" s="192"/>
      <c r="M82" s="195">
        <f>IF(I82&lt;&gt;"", VLOOKUP(I82,RailDefinition!T:T,2,FALSE), "")</f>
      </c>
      <c r="N82" s="192"/>
      <c r="Q82" s="194"/>
      <c r="R82" s="16"/>
      <c r="S82" s="192"/>
      <c r="T82" s="193">
        <f>IF(P82&lt;&gt;"", VLOOKUP(P82,RailDefinition!T:T,2,FALSE), "")</f>
      </c>
      <c r="U82" s="192"/>
      <c r="AA82" s="193">
        <f>IF(W82&lt;&gt;"", VLOOKUP(W82,RailDefinition!T:T,2,FALSE), "")</f>
      </c>
      <c r="AH82" s="193">
        <f>IF(AD82&lt;&gt;"", VLOOKUP(AD82,RailDefinition!BJ:BL,2,FALSE), "")</f>
      </c>
    </row>
    <row r="83">
      <c r="C83" s="194"/>
      <c r="D83" s="16"/>
      <c r="E83" s="192"/>
      <c r="F83" s="195">
        <f>IF(B83&lt;&gt;"", VLOOKUP(B83,RailDefinition!T:T,2,FALSE), "")</f>
      </c>
      <c r="G83" s="192"/>
      <c r="J83" s="194"/>
      <c r="K83" s="16"/>
      <c r="L83" s="192"/>
      <c r="M83" s="195">
        <f>IF(I83&lt;&gt;"", VLOOKUP(I83,RailDefinition!T:T,2,FALSE), "")</f>
      </c>
      <c r="N83" s="192"/>
      <c r="Q83" s="194"/>
      <c r="R83" s="16"/>
      <c r="S83" s="192"/>
      <c r="T83" s="193">
        <f>IF(P83&lt;&gt;"", VLOOKUP(P83,RailDefinition!T:T,2,FALSE), "")</f>
      </c>
      <c r="U83" s="192"/>
      <c r="AA83" s="193">
        <f>IF(W83&lt;&gt;"", VLOOKUP(W83,RailDefinition!T:T,2,FALSE), "")</f>
      </c>
      <c r="AH83" s="193">
        <f>IF(AD83&lt;&gt;"", VLOOKUP(AD83,RailDefinition!BJ:BL,2,FALSE), "")</f>
      </c>
    </row>
    <row r="84">
      <c r="C84" s="194"/>
      <c r="D84" s="16"/>
      <c r="E84" s="192"/>
      <c r="F84" s="195">
        <f>IF(B84&lt;&gt;"", VLOOKUP(B84,RailDefinition!T:T,2,FALSE), "")</f>
      </c>
      <c r="G84" s="192"/>
      <c r="J84" s="194"/>
      <c r="K84" s="16"/>
      <c r="L84" s="192"/>
      <c r="M84" s="195">
        <f>IF(I84&lt;&gt;"", VLOOKUP(I84,RailDefinition!T:T,2,FALSE), "")</f>
      </c>
      <c r="N84" s="192"/>
      <c r="Q84" s="194"/>
      <c r="R84" s="16"/>
      <c r="S84" s="192"/>
      <c r="T84" s="193">
        <f>IF(P84&lt;&gt;"", VLOOKUP(P84,RailDefinition!T:T,2,FALSE), "")</f>
      </c>
      <c r="U84" s="192"/>
      <c r="AA84" s="193">
        <f>IF(W84&lt;&gt;"", VLOOKUP(W84,RailDefinition!T:T,2,FALSE), "")</f>
      </c>
      <c r="AH84" s="193">
        <f>IF(AD84&lt;&gt;"", VLOOKUP(AD84,RailDefinition!BJ:BL,2,FALSE), "")</f>
      </c>
    </row>
    <row r="85">
      <c r="C85" s="194"/>
      <c r="D85" s="16"/>
      <c r="E85" s="192"/>
      <c r="F85" s="195">
        <f>IF(B85&lt;&gt;"", VLOOKUP(B85,RailDefinition!T:T,2,FALSE), "")</f>
      </c>
      <c r="G85" s="192"/>
      <c r="J85" s="194"/>
      <c r="K85" s="16"/>
      <c r="L85" s="192"/>
      <c r="M85" s="195">
        <f>IF(I85&lt;&gt;"", VLOOKUP(I85,RailDefinition!T:T,2,FALSE), "")</f>
      </c>
      <c r="N85" s="192"/>
      <c r="Q85" s="194"/>
      <c r="R85" s="16"/>
      <c r="S85" s="192"/>
      <c r="T85" s="193">
        <f>IF(P85&lt;&gt;"", VLOOKUP(P85,RailDefinition!T:T,2,FALSE), "")</f>
      </c>
      <c r="U85" s="192"/>
      <c r="AA85" s="193">
        <f>IF(W85&lt;&gt;"", VLOOKUP(W85,RailDefinition!T:T,2,FALSE), "")</f>
      </c>
      <c r="AH85" s="193">
        <f>IF(AD85&lt;&gt;"", VLOOKUP(AD85,RailDefinition!BJ:BL,2,FALSE), "")</f>
      </c>
    </row>
    <row r="86">
      <c r="C86" s="194"/>
      <c r="D86" s="16"/>
      <c r="E86" s="192"/>
      <c r="F86" s="195">
        <f>IF(B86&lt;&gt;"", VLOOKUP(B86,RailDefinition!T:T,2,FALSE), "")</f>
      </c>
      <c r="G86" s="192"/>
      <c r="J86" s="194"/>
      <c r="K86" s="16"/>
      <c r="L86" s="192"/>
      <c r="M86" s="195">
        <f>IF(I86&lt;&gt;"", VLOOKUP(I86,RailDefinition!T:T,2,FALSE), "")</f>
      </c>
      <c r="N86" s="192"/>
      <c r="Q86" s="194"/>
      <c r="R86" s="16"/>
      <c r="S86" s="192"/>
      <c r="T86" s="193">
        <f>IF(P86&lt;&gt;"", VLOOKUP(P86,RailDefinition!T:T,2,FALSE), "")</f>
      </c>
      <c r="U86" s="192"/>
      <c r="AA86" s="193">
        <f>IF(W86&lt;&gt;"", VLOOKUP(W86,RailDefinition!T:T,2,FALSE), "")</f>
      </c>
      <c r="AH86" s="193">
        <f>IF(AD86&lt;&gt;"", VLOOKUP(AD86,RailDefinition!BJ:BL,2,FALSE), "")</f>
      </c>
    </row>
    <row r="87">
      <c r="C87" s="194"/>
      <c r="D87" s="16"/>
      <c r="E87" s="192"/>
      <c r="F87" s="195">
        <f>IF(B87&lt;&gt;"", VLOOKUP(B87,RailDefinition!T:T,2,FALSE), "")</f>
      </c>
      <c r="G87" s="192"/>
      <c r="J87" s="194"/>
      <c r="K87" s="16"/>
      <c r="L87" s="192"/>
      <c r="M87" s="195">
        <f>IF(I87&lt;&gt;"", VLOOKUP(I87,RailDefinition!T:T,2,FALSE), "")</f>
      </c>
      <c r="N87" s="192"/>
      <c r="Q87" s="194"/>
      <c r="R87" s="16"/>
      <c r="S87" s="192"/>
      <c r="T87" s="193">
        <f>IF(P87&lt;&gt;"", VLOOKUP(P87,RailDefinition!T:T,2,FALSE), "")</f>
      </c>
      <c r="U87" s="192"/>
      <c r="AA87" s="193">
        <f>IF(W87&lt;&gt;"", VLOOKUP(W87,RailDefinition!T:T,2,FALSE), "")</f>
      </c>
      <c r="AH87" s="193">
        <f>IF(AD87&lt;&gt;"", VLOOKUP(AD87,RailDefinition!BJ:BL,2,FALSE), "")</f>
      </c>
    </row>
    <row r="88">
      <c r="C88" s="194"/>
      <c r="D88" s="16"/>
      <c r="E88" s="192"/>
      <c r="F88" s="195">
        <f>IF(B88&lt;&gt;"", VLOOKUP(B88,RailDefinition!T:T,2,FALSE), "")</f>
      </c>
      <c r="G88" s="192"/>
      <c r="J88" s="194"/>
      <c r="K88" s="16"/>
      <c r="L88" s="192"/>
      <c r="M88" s="195">
        <f>IF(I88&lt;&gt;"", VLOOKUP(I88,RailDefinition!T:T,2,FALSE), "")</f>
      </c>
      <c r="N88" s="192"/>
      <c r="Q88" s="194"/>
      <c r="R88" s="16"/>
      <c r="S88" s="192"/>
      <c r="T88" s="193">
        <f>IF(P88&lt;&gt;"", VLOOKUP(P88,RailDefinition!T:T,2,FALSE), "")</f>
      </c>
      <c r="U88" s="192"/>
      <c r="AA88" s="193">
        <f>IF(W88&lt;&gt;"", VLOOKUP(W88,RailDefinition!T:T,2,FALSE), "")</f>
      </c>
      <c r="AH88" s="193">
        <f>IF(AD88&lt;&gt;"", VLOOKUP(AD88,RailDefinition!BJ:BL,2,FALSE), "")</f>
      </c>
    </row>
    <row r="89">
      <c r="C89" s="194"/>
      <c r="D89" s="16"/>
      <c r="E89" s="192"/>
      <c r="F89" s="195">
        <f>IF(B89&lt;&gt;"", VLOOKUP(B89,RailDefinition!T:T,2,FALSE), "")</f>
      </c>
      <c r="G89" s="192"/>
      <c r="J89" s="194"/>
      <c r="K89" s="16"/>
      <c r="L89" s="192"/>
      <c r="M89" s="195">
        <f>IF(I89&lt;&gt;"", VLOOKUP(I89,RailDefinition!T:T,2,FALSE), "")</f>
      </c>
      <c r="N89" s="192"/>
      <c r="Q89" s="194"/>
      <c r="R89" s="16"/>
      <c r="S89" s="192"/>
      <c r="T89" s="193">
        <f>IF(P89&lt;&gt;"", VLOOKUP(P89,RailDefinition!T:T,2,FALSE), "")</f>
      </c>
      <c r="U89" s="192"/>
      <c r="AA89" s="193">
        <f>IF(W89&lt;&gt;"", VLOOKUP(W89,RailDefinition!T:T,2,FALSE), "")</f>
      </c>
      <c r="AH89" s="193">
        <f>IF(AD89&lt;&gt;"", VLOOKUP(AD89,RailDefinition!BJ:BL,2,FALSE), "")</f>
      </c>
    </row>
    <row r="90">
      <c r="C90" s="194"/>
      <c r="D90" s="16"/>
      <c r="E90" s="192"/>
      <c r="F90" s="195">
        <f>IF(B90&lt;&gt;"", VLOOKUP(B90,RailDefinition!T:T,2,FALSE), "")</f>
      </c>
      <c r="G90" s="192"/>
      <c r="J90" s="194"/>
      <c r="K90" s="16"/>
      <c r="L90" s="192"/>
      <c r="M90" s="195">
        <f>IF(I90&lt;&gt;"", VLOOKUP(I90,RailDefinition!T:T,2,FALSE), "")</f>
      </c>
      <c r="N90" s="192"/>
      <c r="Q90" s="194"/>
      <c r="R90" s="16"/>
      <c r="S90" s="192"/>
      <c r="T90" s="193">
        <f>IF(P90&lt;&gt;"", VLOOKUP(P90,RailDefinition!T:T,2,FALSE), "")</f>
      </c>
      <c r="U90" s="192"/>
      <c r="AA90" s="193">
        <f>IF(W90&lt;&gt;"", VLOOKUP(W90,RailDefinition!T:T,2,FALSE), "")</f>
      </c>
      <c r="AH90" s="193">
        <f>IF(AD90&lt;&gt;"", VLOOKUP(AD90,RailDefinition!BJ:BL,2,FALSE), "")</f>
      </c>
    </row>
    <row r="91">
      <c r="C91" s="194"/>
      <c r="D91" s="16"/>
      <c r="E91" s="192"/>
      <c r="F91" s="195">
        <f>IF(B91&lt;&gt;"", VLOOKUP(B91,RailDefinition!T:T,2,FALSE), "")</f>
      </c>
      <c r="G91" s="192"/>
      <c r="J91" s="194"/>
      <c r="K91" s="16"/>
      <c r="L91" s="192"/>
      <c r="M91" s="195">
        <f>IF(I91&lt;&gt;"", VLOOKUP(I91,RailDefinition!T:T,2,FALSE), "")</f>
      </c>
      <c r="N91" s="192"/>
      <c r="Q91" s="194"/>
      <c r="R91" s="16"/>
      <c r="S91" s="192"/>
      <c r="T91" s="193">
        <f>IF(P91&lt;&gt;"", VLOOKUP(P91,RailDefinition!T:T,2,FALSE), "")</f>
      </c>
      <c r="U91" s="192"/>
      <c r="AA91" s="193">
        <f>IF(W91&lt;&gt;"", VLOOKUP(W91,RailDefinition!T:T,2,FALSE), "")</f>
      </c>
      <c r="AH91" s="193">
        <f>IF(AD91&lt;&gt;"", VLOOKUP(AD91,RailDefinition!BJ:BL,2,FALSE), "")</f>
      </c>
    </row>
    <row r="92">
      <c r="C92" s="194"/>
      <c r="D92" s="16"/>
      <c r="E92" s="192"/>
      <c r="F92" s="195">
        <f>IF(B92&lt;&gt;"", VLOOKUP(B92,RailDefinition!T:T,2,FALSE), "")</f>
      </c>
      <c r="G92" s="192"/>
      <c r="J92" s="194"/>
      <c r="K92" s="16"/>
      <c r="L92" s="192"/>
      <c r="M92" s="195">
        <f>IF(I92&lt;&gt;"", VLOOKUP(I92,RailDefinition!T:T,2,FALSE), "")</f>
      </c>
      <c r="N92" s="192"/>
      <c r="Q92" s="194"/>
      <c r="R92" s="16"/>
      <c r="S92" s="192"/>
      <c r="T92" s="193">
        <f>IF(P92&lt;&gt;"", VLOOKUP(P92,RailDefinition!T:T,2,FALSE), "")</f>
      </c>
      <c r="U92" s="192"/>
      <c r="AA92" s="193">
        <f>IF(W92&lt;&gt;"", VLOOKUP(W92,RailDefinition!T:T,2,FALSE), "")</f>
      </c>
      <c r="AH92" s="193">
        <f>IF(AD92&lt;&gt;"", VLOOKUP(AD92,RailDefinition!BJ:BL,2,FALSE), "")</f>
      </c>
    </row>
    <row r="93">
      <c r="C93" s="194"/>
      <c r="D93" s="16"/>
      <c r="E93" s="192"/>
      <c r="F93" s="195">
        <f>IF(B93&lt;&gt;"", VLOOKUP(B93,RailDefinition!T:T,2,FALSE), "")</f>
      </c>
      <c r="G93" s="192"/>
      <c r="J93" s="194"/>
      <c r="K93" s="16"/>
      <c r="L93" s="192"/>
      <c r="M93" s="195">
        <f>IF(I93&lt;&gt;"", VLOOKUP(I93,RailDefinition!T:T,2,FALSE), "")</f>
      </c>
      <c r="N93" s="192"/>
      <c r="Q93" s="194"/>
      <c r="R93" s="16"/>
      <c r="S93" s="192"/>
      <c r="T93" s="193">
        <f>IF(P93&lt;&gt;"", VLOOKUP(P93,RailDefinition!T:T,2,FALSE), "")</f>
      </c>
      <c r="U93" s="192"/>
      <c r="AA93" s="193">
        <f>IF(W93&lt;&gt;"", VLOOKUP(W93,RailDefinition!T:T,2,FALSE), "")</f>
      </c>
      <c r="AH93" s="193">
        <f>IF(AD93&lt;&gt;"", VLOOKUP(AD93,RailDefinition!BJ:BL,2,FALSE), "")</f>
      </c>
    </row>
    <row r="94">
      <c r="C94" s="194"/>
      <c r="D94" s="16"/>
      <c r="E94" s="192"/>
      <c r="F94" s="195">
        <f>IF(B94&lt;&gt;"", VLOOKUP(B94,RailDefinition!T:T,2,FALSE), "")</f>
      </c>
      <c r="G94" s="192"/>
      <c r="J94" s="194"/>
      <c r="K94" s="16"/>
      <c r="L94" s="192"/>
      <c r="M94" s="195">
        <f>IF(I94&lt;&gt;"", VLOOKUP(I94,RailDefinition!T:T,2,FALSE), "")</f>
      </c>
      <c r="N94" s="192"/>
      <c r="Q94" s="194"/>
      <c r="R94" s="16"/>
      <c r="S94" s="192"/>
      <c r="T94" s="193">
        <f>IF(P94&lt;&gt;"", VLOOKUP(P94,RailDefinition!T:T,2,FALSE), "")</f>
      </c>
      <c r="U94" s="192"/>
      <c r="AA94" s="193">
        <f>IF(W94&lt;&gt;"", VLOOKUP(W94,RailDefinition!T:T,2,FALSE), "")</f>
      </c>
      <c r="AH94" s="193">
        <f>IF(AD94&lt;&gt;"", VLOOKUP(AD94,RailDefinition!BJ:BL,2,FALSE), "")</f>
      </c>
    </row>
    <row r="95">
      <c r="C95" s="194"/>
      <c r="D95" s="16"/>
      <c r="E95" s="192"/>
      <c r="F95" s="195">
        <f>IF(B95&lt;&gt;"", VLOOKUP(B95,RailDefinition!T:T,2,FALSE), "")</f>
      </c>
      <c r="G95" s="192"/>
      <c r="J95" s="194"/>
      <c r="K95" s="16"/>
      <c r="L95" s="192"/>
      <c r="M95" s="195">
        <f>IF(I95&lt;&gt;"", VLOOKUP(I95,RailDefinition!T:T,2,FALSE), "")</f>
      </c>
      <c r="N95" s="192"/>
      <c r="Q95" s="194"/>
      <c r="R95" s="16"/>
      <c r="S95" s="192"/>
      <c r="T95" s="193">
        <f>IF(P95&lt;&gt;"", VLOOKUP(P95,RailDefinition!T:T,2,FALSE), "")</f>
      </c>
      <c r="U95" s="192"/>
      <c r="AA95" s="193">
        <f>IF(W95&lt;&gt;"", VLOOKUP(W95,RailDefinition!T:T,2,FALSE), "")</f>
      </c>
      <c r="AH95" s="193">
        <f>IF(AD95&lt;&gt;"", VLOOKUP(AD95,RailDefinition!BJ:BL,2,FALSE), "")</f>
      </c>
    </row>
    <row r="96">
      <c r="C96" s="194"/>
      <c r="D96" s="16"/>
      <c r="E96" s="192"/>
      <c r="F96" s="195">
        <f>IF(B96&lt;&gt;"", VLOOKUP(B96,RailDefinition!T:T,2,FALSE), "")</f>
      </c>
      <c r="G96" s="192"/>
      <c r="J96" s="194"/>
      <c r="K96" s="16"/>
      <c r="L96" s="192"/>
      <c r="M96" s="195">
        <f>IF(I96&lt;&gt;"", VLOOKUP(I96,RailDefinition!T:T,2,FALSE), "")</f>
      </c>
      <c r="N96" s="192"/>
      <c r="Q96" s="194"/>
      <c r="R96" s="16"/>
      <c r="S96" s="192"/>
      <c r="T96" s="193">
        <f>IF(P96&lt;&gt;"", VLOOKUP(P96,RailDefinition!T:T,2,FALSE), "")</f>
      </c>
      <c r="U96" s="192"/>
      <c r="AA96" s="193">
        <f>IF(W96&lt;&gt;"", VLOOKUP(W96,RailDefinition!T:T,2,FALSE), "")</f>
      </c>
      <c r="AH96" s="193">
        <f>IF(AD96&lt;&gt;"", VLOOKUP(AD96,RailDefinition!BJ:BL,2,FALSE), "")</f>
      </c>
    </row>
    <row r="97">
      <c r="C97" s="194"/>
      <c r="D97" s="16"/>
      <c r="E97" s="192"/>
      <c r="F97" s="195">
        <f>IF(B97&lt;&gt;"", VLOOKUP(B97,RailDefinition!T:T,2,FALSE), "")</f>
      </c>
      <c r="G97" s="192"/>
      <c r="J97" s="194"/>
      <c r="K97" s="16"/>
      <c r="L97" s="192"/>
      <c r="M97" s="195">
        <f>IF(I97&lt;&gt;"", VLOOKUP(I97,RailDefinition!T:T,2,FALSE), "")</f>
      </c>
      <c r="N97" s="192"/>
      <c r="Q97" s="194"/>
      <c r="R97" s="16"/>
      <c r="S97" s="192"/>
      <c r="T97" s="193">
        <f>IF(P97&lt;&gt;"", VLOOKUP(P97,RailDefinition!T:T,2,FALSE), "")</f>
      </c>
      <c r="U97" s="192"/>
      <c r="AA97" s="193">
        <f>IF(W97&lt;&gt;"", VLOOKUP(W97,RailDefinition!T:T,2,FALSE), "")</f>
      </c>
      <c r="AH97" s="193">
        <f>IF(AD97&lt;&gt;"", VLOOKUP(AD97,RailDefinition!BJ:BL,2,FALSE), "")</f>
      </c>
    </row>
    <row r="98">
      <c r="C98" s="194"/>
      <c r="D98" s="16"/>
      <c r="E98" s="192"/>
      <c r="F98" s="195">
        <f>IF(B98&lt;&gt;"", VLOOKUP(B98,RailDefinition!T:T,2,FALSE), "")</f>
      </c>
      <c r="G98" s="192"/>
      <c r="J98" s="194"/>
      <c r="K98" s="16"/>
      <c r="L98" s="192"/>
      <c r="M98" s="195">
        <f>IF(I98&lt;&gt;"", VLOOKUP(I98,RailDefinition!T:T,2,FALSE), "")</f>
      </c>
      <c r="N98" s="192"/>
      <c r="Q98" s="194"/>
      <c r="R98" s="16"/>
      <c r="S98" s="192"/>
      <c r="T98" s="193">
        <f>IF(P98&lt;&gt;"", VLOOKUP(P98,RailDefinition!T:T,2,FALSE), "")</f>
      </c>
      <c r="U98" s="192"/>
      <c r="AA98" s="193">
        <f>IF(W98&lt;&gt;"", VLOOKUP(W98,RailDefinition!T:T,2,FALSE), "")</f>
      </c>
      <c r="AH98" s="193">
        <f>IF(AD98&lt;&gt;"", VLOOKUP(AD98,RailDefinition!BJ:BL,2,FALSE), "")</f>
      </c>
    </row>
    <row r="99">
      <c r="C99" s="194"/>
      <c r="D99" s="16"/>
      <c r="E99" s="192"/>
      <c r="F99" s="195">
        <f>IF(B99&lt;&gt;"", VLOOKUP(B99,RailDefinition!T:T,2,FALSE), "")</f>
      </c>
      <c r="G99" s="192"/>
      <c r="J99" s="194"/>
      <c r="K99" s="16"/>
      <c r="L99" s="192"/>
      <c r="M99" s="195">
        <f>IF(I99&lt;&gt;"", VLOOKUP(I99,RailDefinition!T:T,2,FALSE), "")</f>
      </c>
      <c r="N99" s="192"/>
      <c r="Q99" s="194"/>
      <c r="R99" s="16"/>
      <c r="S99" s="192"/>
      <c r="T99" s="193">
        <f>IF(P99&lt;&gt;"", VLOOKUP(P99,RailDefinition!T:T,2,FALSE), "")</f>
      </c>
      <c r="U99" s="192"/>
      <c r="AA99" s="193">
        <f>IF(W99&lt;&gt;"", VLOOKUP(W99,RailDefinition!T:T,2,FALSE), "")</f>
      </c>
      <c r="AH99" s="193">
        <f>IF(AD99&lt;&gt;"", VLOOKUP(AD99,RailDefinition!BJ:BL,2,FALSE), "")</f>
      </c>
    </row>
    <row r="100">
      <c r="C100" s="194"/>
      <c r="D100" s="16"/>
      <c r="E100" s="192"/>
      <c r="F100" s="195">
        <f>IF(B100&lt;&gt;"", VLOOKUP(B100,RailDefinition!T:T,2,FALSE), "")</f>
      </c>
      <c r="G100" s="192"/>
      <c r="J100" s="194"/>
      <c r="K100" s="16"/>
      <c r="L100" s="192"/>
      <c r="M100" s="195">
        <f>IF(I100&lt;&gt;"", VLOOKUP(I100,RailDefinition!T:T,2,FALSE), "")</f>
      </c>
      <c r="N100" s="192"/>
      <c r="Q100" s="194"/>
      <c r="R100" s="16"/>
      <c r="S100" s="192"/>
      <c r="T100" s="193">
        <f>IF(P100&lt;&gt;"", VLOOKUP(P100,RailDefinition!T:T,2,FALSE), "")</f>
      </c>
      <c r="U100" s="192"/>
      <c r="AA100" s="193">
        <f>IF(W100&lt;&gt;"", VLOOKUP(W100,RailDefinition!T:T,2,FALSE), "")</f>
      </c>
      <c r="AH100" s="193">
        <f>IF(AD100&lt;&gt;"", VLOOKUP(AD100,RailDefinition!BJ:BL,2,FALSE), "")</f>
      </c>
    </row>
    <row r="101">
      <c r="C101" s="194"/>
      <c r="D101" s="16"/>
      <c r="E101" s="192"/>
      <c r="F101" s="195">
        <f>IF(B101&lt;&gt;"", VLOOKUP(B101,RailDefinition!T:T,2,FALSE), "")</f>
      </c>
      <c r="G101" s="192"/>
      <c r="J101" s="194"/>
      <c r="K101" s="16"/>
      <c r="L101" s="192"/>
      <c r="M101" s="195">
        <f>IF(I101&lt;&gt;"", VLOOKUP(I101,RailDefinition!T:T,2,FALSE), "")</f>
      </c>
      <c r="N101" s="192"/>
      <c r="Q101" s="194"/>
      <c r="R101" s="16"/>
      <c r="S101" s="192"/>
      <c r="T101" s="193">
        <f>IF(P101&lt;&gt;"", VLOOKUP(P101,RailDefinition!T:T,2,FALSE), "")</f>
      </c>
      <c r="U101" s="192"/>
      <c r="AA101" s="193">
        <f>IF(W101&lt;&gt;"", VLOOKUP(W101,RailDefinition!T:T,2,FALSE), "")</f>
      </c>
      <c r="AH101" s="193">
        <f>IF(AD101&lt;&gt;"", VLOOKUP(AD101,RailDefinition!BJ:BL,2,FALSE), "")</f>
      </c>
    </row>
    <row r="102">
      <c r="C102" s="194"/>
      <c r="D102" s="16"/>
      <c r="E102" s="192"/>
      <c r="F102" s="195">
        <f>IF(B102&lt;&gt;"", VLOOKUP(B102,RailDefinition!T:T,2,FALSE), "")</f>
      </c>
      <c r="G102" s="192"/>
      <c r="J102" s="194"/>
      <c r="K102" s="16"/>
      <c r="L102" s="192"/>
      <c r="M102" s="195">
        <f>IF(I102&lt;&gt;"", VLOOKUP(I102,RailDefinition!T:T,2,FALSE), "")</f>
      </c>
      <c r="N102" s="192"/>
      <c r="Q102" s="194"/>
      <c r="R102" s="16"/>
      <c r="S102" s="192"/>
      <c r="T102" s="193">
        <f>IF(P102&lt;&gt;"", VLOOKUP(P102,RailDefinition!T:T,2,FALSE), "")</f>
      </c>
      <c r="U102" s="192"/>
      <c r="AA102" s="193">
        <f>IF(W102&lt;&gt;"", VLOOKUP(W102,RailDefinition!T:T,2,FALSE), "")</f>
      </c>
      <c r="AH102" s="193">
        <f>IF(AD102&lt;&gt;"", VLOOKUP(AD102,RailDefinition!BJ:BL,2,FALSE), "")</f>
      </c>
    </row>
    <row r="103">
      <c r="C103" s="194"/>
      <c r="D103" s="16"/>
      <c r="E103" s="192"/>
      <c r="F103" s="195">
        <f>IF(B103&lt;&gt;"", VLOOKUP(B103,RailDefinition!T:T,2,FALSE), "")</f>
      </c>
      <c r="G103" s="192"/>
      <c r="J103" s="194"/>
      <c r="K103" s="16"/>
      <c r="L103" s="192"/>
      <c r="M103" s="195">
        <f>IF(I103&lt;&gt;"", VLOOKUP(I103,RailDefinition!T:T,2,FALSE), "")</f>
      </c>
      <c r="N103" s="192"/>
      <c r="Q103" s="194"/>
      <c r="R103" s="16"/>
      <c r="S103" s="192"/>
      <c r="T103" s="193">
        <f>IF(P103&lt;&gt;"", VLOOKUP(P103,RailDefinition!T:T,2,FALSE), "")</f>
      </c>
      <c r="U103" s="192"/>
      <c r="AA103" s="193">
        <f>IF(W103&lt;&gt;"", VLOOKUP(W103,RailDefinition!T:T,2,FALSE), "")</f>
      </c>
      <c r="AH103" s="193">
        <f>IF(AD103&lt;&gt;"", VLOOKUP(AD103,RailDefinition!BJ:BL,2,FALSE), "")</f>
      </c>
    </row>
    <row r="104">
      <c r="C104" s="194"/>
      <c r="D104" s="16"/>
      <c r="E104" s="192"/>
      <c r="F104" s="195">
        <f>IF(B104&lt;&gt;"", VLOOKUP(B104,RailDefinition!T:T,2,FALSE), "")</f>
      </c>
      <c r="G104" s="192"/>
      <c r="J104" s="194"/>
      <c r="K104" s="16"/>
      <c r="L104" s="192"/>
      <c r="M104" s="195">
        <f>IF(I104&lt;&gt;"", VLOOKUP(I104,RailDefinition!T:T,2,FALSE), "")</f>
      </c>
      <c r="N104" s="192"/>
      <c r="Q104" s="194"/>
      <c r="R104" s="16"/>
      <c r="S104" s="192"/>
      <c r="T104" s="193">
        <f>IF(P104&lt;&gt;"", VLOOKUP(P104,RailDefinition!T:T,2,FALSE), "")</f>
      </c>
      <c r="U104" s="192"/>
      <c r="AA104" s="193">
        <f>IF(W104&lt;&gt;"", VLOOKUP(W104,RailDefinition!T:T,2,FALSE), "")</f>
      </c>
      <c r="AH104" s="193">
        <f>IF(AD104&lt;&gt;"", VLOOKUP(AD104,RailDefinition!BJ:BL,2,FALSE), "")</f>
      </c>
    </row>
    <row r="105">
      <c r="C105" s="194"/>
      <c r="D105" s="16"/>
      <c r="E105" s="192"/>
      <c r="F105" s="195">
        <f>IF(B105&lt;&gt;"", VLOOKUP(B105,RailDefinition!T:T,2,FALSE), "")</f>
      </c>
      <c r="G105" s="192"/>
      <c r="J105" s="194"/>
      <c r="K105" s="16"/>
      <c r="L105" s="192"/>
      <c r="M105" s="195">
        <f>IF(I105&lt;&gt;"", VLOOKUP(I105,RailDefinition!T:T,2,FALSE), "")</f>
      </c>
      <c r="N105" s="192"/>
      <c r="Q105" s="194"/>
      <c r="R105" s="16"/>
      <c r="S105" s="192"/>
      <c r="T105" s="193">
        <f>IF(P105&lt;&gt;"", VLOOKUP(P105,RailDefinition!T:T,2,FALSE), "")</f>
      </c>
      <c r="U105" s="192"/>
      <c r="AA105" s="193">
        <f>IF(W105&lt;&gt;"", VLOOKUP(W105,RailDefinition!T:T,2,FALSE), "")</f>
      </c>
      <c r="AH105" s="193">
        <f>IF(AD105&lt;&gt;"", VLOOKUP(AD105,RailDefinition!BJ:BL,2,FALSE), "")</f>
      </c>
    </row>
    <row r="106">
      <c r="C106" s="194"/>
      <c r="D106" s="16"/>
      <c r="E106" s="192"/>
      <c r="F106" s="195">
        <f>IF(B106&lt;&gt;"", VLOOKUP(B106,RailDefinition!T:T,2,FALSE), "")</f>
      </c>
      <c r="G106" s="192"/>
      <c r="J106" s="194"/>
      <c r="K106" s="16"/>
      <c r="L106" s="192"/>
      <c r="M106" s="195">
        <f>IF(I106&lt;&gt;"", VLOOKUP(I106,RailDefinition!T:T,2,FALSE), "")</f>
      </c>
      <c r="N106" s="192"/>
      <c r="Q106" s="194"/>
      <c r="R106" s="16"/>
      <c r="S106" s="192"/>
      <c r="T106" s="193">
        <f>IF(P106&lt;&gt;"", VLOOKUP(P106,RailDefinition!T:T,2,FALSE), "")</f>
      </c>
      <c r="U106" s="192"/>
      <c r="AA106" s="193">
        <f>IF(W106&lt;&gt;"", VLOOKUP(W106,RailDefinition!T:T,2,FALSE), "")</f>
      </c>
      <c r="AH106" s="193">
        <f>IF(AD106&lt;&gt;"", VLOOKUP(AD106,RailDefinition!BJ:BL,2,FALSE), "")</f>
      </c>
    </row>
    <row r="107">
      <c r="C107" s="194"/>
      <c r="D107" s="16"/>
      <c r="E107" s="192"/>
      <c r="F107" s="195">
        <f>IF(B107&lt;&gt;"", VLOOKUP(B107,RailDefinition!T:T,2,FALSE), "")</f>
      </c>
      <c r="G107" s="192"/>
      <c r="J107" s="194"/>
      <c r="K107" s="16"/>
      <c r="L107" s="192"/>
      <c r="M107" s="195">
        <f>IF(I107&lt;&gt;"", VLOOKUP(I107,RailDefinition!T:T,2,FALSE), "")</f>
      </c>
      <c r="N107" s="192"/>
      <c r="Q107" s="194"/>
      <c r="R107" s="16"/>
      <c r="S107" s="192"/>
      <c r="T107" s="193">
        <f>IF(P107&lt;&gt;"", VLOOKUP(P107,RailDefinition!T:T,2,FALSE), "")</f>
      </c>
      <c r="U107" s="192"/>
      <c r="AA107" s="193">
        <f>IF(W107&lt;&gt;"", VLOOKUP(W107,RailDefinition!T:T,2,FALSE), "")</f>
      </c>
      <c r="AH107" s="193">
        <f>IF(AD107&lt;&gt;"", VLOOKUP(AD107,RailDefinition!BJ:BL,2,FALSE), "")</f>
      </c>
    </row>
    <row r="108">
      <c r="C108" s="194"/>
      <c r="D108" s="16"/>
      <c r="E108" s="192"/>
      <c r="F108" s="195">
        <f>IF(B108&lt;&gt;"", VLOOKUP(B108,RailDefinition!T:T,2,FALSE), "")</f>
      </c>
      <c r="G108" s="192"/>
      <c r="J108" s="194"/>
      <c r="K108" s="16"/>
      <c r="L108" s="192"/>
      <c r="M108" s="195">
        <f>IF(I108&lt;&gt;"", VLOOKUP(I108,RailDefinition!T:T,2,FALSE), "")</f>
      </c>
      <c r="N108" s="192"/>
      <c r="Q108" s="194"/>
      <c r="R108" s="16"/>
      <c r="S108" s="192"/>
      <c r="T108" s="193">
        <f>IF(P108&lt;&gt;"", VLOOKUP(P108,RailDefinition!T:T,2,FALSE), "")</f>
      </c>
      <c r="U108" s="192"/>
      <c r="AA108" s="193">
        <f>IF(W108&lt;&gt;"", VLOOKUP(W108,RailDefinition!T:T,2,FALSE), "")</f>
      </c>
      <c r="AH108" s="193">
        <f>IF(AD108&lt;&gt;"", VLOOKUP(AD108,RailDefinition!BJ:BL,2,FALSE), "")</f>
      </c>
    </row>
    <row r="109">
      <c r="C109" s="194"/>
      <c r="D109" s="16"/>
      <c r="E109" s="192"/>
      <c r="F109" s="195">
        <f>IF(B109&lt;&gt;"", VLOOKUP(B109,RailDefinition!T:T,2,FALSE), "")</f>
      </c>
      <c r="G109" s="192"/>
      <c r="J109" s="194"/>
      <c r="K109" s="16"/>
      <c r="L109" s="192"/>
      <c r="M109" s="195">
        <f>IF(I109&lt;&gt;"", VLOOKUP(I109,RailDefinition!T:T,2,FALSE), "")</f>
      </c>
      <c r="N109" s="192"/>
      <c r="Q109" s="194"/>
      <c r="R109" s="16"/>
      <c r="S109" s="192"/>
      <c r="T109" s="193">
        <f>IF(P109&lt;&gt;"", VLOOKUP(P109,RailDefinition!T:T,2,FALSE), "")</f>
      </c>
      <c r="U109" s="192"/>
      <c r="AA109" s="193">
        <f>IF(W109&lt;&gt;"", VLOOKUP(W109,RailDefinition!T:T,2,FALSE), "")</f>
      </c>
      <c r="AH109" s="193">
        <f>IF(AD109&lt;&gt;"", VLOOKUP(AD109,RailDefinition!BJ:BL,2,FALSE), "")</f>
      </c>
    </row>
    <row r="110">
      <c r="C110" s="194"/>
      <c r="D110" s="16"/>
      <c r="E110" s="192"/>
      <c r="F110" s="195">
        <f>IF(B110&lt;&gt;"", VLOOKUP(B110,RailDefinition!T:T,2,FALSE), "")</f>
      </c>
      <c r="G110" s="192"/>
      <c r="J110" s="194"/>
      <c r="K110" s="16"/>
      <c r="L110" s="192"/>
      <c r="M110" s="195">
        <f>IF(I110&lt;&gt;"", VLOOKUP(I110,RailDefinition!T:T,2,FALSE), "")</f>
      </c>
      <c r="N110" s="192"/>
      <c r="Q110" s="194"/>
      <c r="R110" s="16"/>
      <c r="S110" s="192"/>
      <c r="T110" s="193">
        <f>IF(P110&lt;&gt;"", VLOOKUP(P110,RailDefinition!T:T,2,FALSE), "")</f>
      </c>
      <c r="U110" s="192"/>
      <c r="AA110" s="193">
        <f>IF(W110&lt;&gt;"", VLOOKUP(W110,RailDefinition!T:T,2,FALSE), "")</f>
      </c>
      <c r="AH110" s="193">
        <f>IF(AD110&lt;&gt;"", VLOOKUP(AD110,RailDefinition!BJ:BL,2,FALSE), "")</f>
      </c>
    </row>
    <row r="111">
      <c r="C111" s="194"/>
      <c r="D111" s="16"/>
      <c r="E111" s="192"/>
      <c r="F111" s="195">
        <f>IF(B111&lt;&gt;"", VLOOKUP(B111,RailDefinition!T:T,2,FALSE), "")</f>
      </c>
      <c r="G111" s="192"/>
      <c r="J111" s="194"/>
      <c r="K111" s="16"/>
      <c r="L111" s="192"/>
      <c r="M111" s="195">
        <f>IF(I111&lt;&gt;"", VLOOKUP(I111,RailDefinition!T:T,2,FALSE), "")</f>
      </c>
      <c r="N111" s="192"/>
      <c r="Q111" s="194"/>
      <c r="R111" s="16"/>
      <c r="S111" s="192"/>
      <c r="T111" s="193">
        <f>IF(P111&lt;&gt;"", VLOOKUP(P111,RailDefinition!T:T,2,FALSE), "")</f>
      </c>
      <c r="U111" s="192"/>
      <c r="AA111" s="193">
        <f>IF(W111&lt;&gt;"", VLOOKUP(W111,RailDefinition!T:T,2,FALSE), "")</f>
      </c>
      <c r="AH111" s="193">
        <f>IF(AD111&lt;&gt;"", VLOOKUP(AD111,RailDefinition!BJ:BL,2,FALSE), "")</f>
      </c>
    </row>
    <row r="112">
      <c r="C112" s="194"/>
      <c r="D112" s="16"/>
      <c r="E112" s="192"/>
      <c r="F112" s="195">
        <f>IF(B112&lt;&gt;"", VLOOKUP(B112,RailDefinition!T:T,2,FALSE), "")</f>
      </c>
      <c r="G112" s="192"/>
      <c r="J112" s="194"/>
      <c r="K112" s="16"/>
      <c r="L112" s="192"/>
      <c r="M112" s="195">
        <f>IF(I112&lt;&gt;"", VLOOKUP(I112,RailDefinition!T:T,2,FALSE), "")</f>
      </c>
      <c r="N112" s="192"/>
      <c r="Q112" s="194"/>
      <c r="R112" s="16"/>
      <c r="S112" s="192"/>
      <c r="T112" s="193">
        <f>IF(P112&lt;&gt;"", VLOOKUP(P112,RailDefinition!T:T,2,FALSE), "")</f>
      </c>
      <c r="U112" s="192"/>
      <c r="AA112" s="193">
        <f>IF(W112&lt;&gt;"", VLOOKUP(W112,RailDefinition!T:T,2,FALSE), "")</f>
      </c>
      <c r="AH112" s="193">
        <f>IF(AD112&lt;&gt;"", VLOOKUP(AD112,RailDefinition!BJ:BL,2,FALSE), "")</f>
      </c>
    </row>
    <row r="113">
      <c r="C113" s="194"/>
      <c r="D113" s="16"/>
      <c r="E113" s="192"/>
      <c r="F113" s="195">
        <f>IF(B113&lt;&gt;"", VLOOKUP(B113,RailDefinition!T:T,2,FALSE), "")</f>
      </c>
      <c r="G113" s="192"/>
      <c r="J113" s="194"/>
      <c r="K113" s="16"/>
      <c r="L113" s="192"/>
      <c r="M113" s="195">
        <f>IF(I113&lt;&gt;"", VLOOKUP(I113,RailDefinition!T:T,2,FALSE), "")</f>
      </c>
      <c r="N113" s="192"/>
      <c r="Q113" s="194"/>
      <c r="R113" s="16"/>
      <c r="S113" s="192"/>
      <c r="T113" s="193">
        <f>IF(P113&lt;&gt;"", VLOOKUP(P113,RailDefinition!T:T,2,FALSE), "")</f>
      </c>
      <c r="U113" s="192"/>
      <c r="AA113" s="193">
        <f>IF(W113&lt;&gt;"", VLOOKUP(W113,RailDefinition!T:T,2,FALSE), "")</f>
      </c>
      <c r="AH113" s="193">
        <f>IF(AD113&lt;&gt;"", VLOOKUP(AD113,RailDefinition!BJ:BL,2,FALSE), "")</f>
      </c>
    </row>
    <row r="114">
      <c r="C114" s="194"/>
      <c r="D114" s="16"/>
      <c r="E114" s="192"/>
      <c r="F114" s="195">
        <f>IF(B114&lt;&gt;"", VLOOKUP(B114,RailDefinition!T:T,2,FALSE), "")</f>
      </c>
      <c r="G114" s="192"/>
      <c r="J114" s="194"/>
      <c r="K114" s="16"/>
      <c r="L114" s="192"/>
      <c r="M114" s="195">
        <f>IF(I114&lt;&gt;"", VLOOKUP(I114,RailDefinition!T:T,2,FALSE), "")</f>
      </c>
      <c r="N114" s="192"/>
      <c r="Q114" s="194"/>
      <c r="R114" s="16"/>
      <c r="S114" s="192"/>
      <c r="T114" s="193">
        <f>IF(P114&lt;&gt;"", VLOOKUP(P114,RailDefinition!T:T,2,FALSE), "")</f>
      </c>
      <c r="U114" s="192"/>
      <c r="AA114" s="193">
        <f>IF(W114&lt;&gt;"", VLOOKUP(W114,RailDefinition!T:T,2,FALSE), "")</f>
      </c>
      <c r="AH114" s="193">
        <f>IF(AD114&lt;&gt;"", VLOOKUP(AD114,RailDefinition!BJ:BL,2,FALSE), "")</f>
      </c>
    </row>
    <row r="115">
      <c r="C115" s="194"/>
      <c r="D115" s="16"/>
      <c r="E115" s="192"/>
      <c r="F115" s="195">
        <f>IF(B115&lt;&gt;"", VLOOKUP(B115,RailDefinition!T:T,2,FALSE), "")</f>
      </c>
      <c r="G115" s="192"/>
      <c r="J115" s="194"/>
      <c r="K115" s="16"/>
      <c r="L115" s="192"/>
      <c r="M115" s="195">
        <f>IF(I115&lt;&gt;"", VLOOKUP(I115,RailDefinition!T:T,2,FALSE), "")</f>
      </c>
      <c r="N115" s="192"/>
      <c r="Q115" s="194"/>
      <c r="R115" s="16"/>
      <c r="S115" s="192"/>
      <c r="T115" s="193">
        <f>IF(P115&lt;&gt;"", VLOOKUP(P115,RailDefinition!T:T,2,FALSE), "")</f>
      </c>
      <c r="U115" s="192"/>
      <c r="AA115" s="193">
        <f>IF(W115&lt;&gt;"", VLOOKUP(W115,RailDefinition!T:T,2,FALSE), "")</f>
      </c>
      <c r="AH115" s="193">
        <f>IF(AD115&lt;&gt;"", VLOOKUP(AD115,RailDefinition!BJ:BL,2,FALSE), "")</f>
      </c>
    </row>
    <row r="116">
      <c r="C116" s="194"/>
      <c r="D116" s="16"/>
      <c r="E116" s="192"/>
      <c r="F116" s="195">
        <f>IF(B116&lt;&gt;"", VLOOKUP(B116,RailDefinition!T:T,2,FALSE), "")</f>
      </c>
      <c r="G116" s="192"/>
      <c r="J116" s="194"/>
      <c r="K116" s="16"/>
      <c r="L116" s="192"/>
      <c r="M116" s="195">
        <f>IF(I116&lt;&gt;"", VLOOKUP(I116,RailDefinition!T:T,2,FALSE), "")</f>
      </c>
      <c r="N116" s="192"/>
      <c r="Q116" s="194"/>
      <c r="R116" s="16"/>
      <c r="S116" s="192"/>
      <c r="T116" s="193">
        <f>IF(P116&lt;&gt;"", VLOOKUP(P116,RailDefinition!T:T,2,FALSE), "")</f>
      </c>
      <c r="U116" s="192"/>
      <c r="AA116" s="193">
        <f>IF(W116&lt;&gt;"", VLOOKUP(W116,RailDefinition!T:T,2,FALSE), "")</f>
      </c>
      <c r="AH116" s="193">
        <f>IF(AD116&lt;&gt;"", VLOOKUP(AD116,RailDefinition!BJ:BL,2,FALSE), "")</f>
      </c>
    </row>
    <row r="117">
      <c r="C117" s="194"/>
      <c r="D117" s="16"/>
      <c r="E117" s="192"/>
      <c r="F117" s="195">
        <f>IF(B117&lt;&gt;"", VLOOKUP(B117,RailDefinition!T:T,2,FALSE), "")</f>
      </c>
      <c r="G117" s="192"/>
      <c r="J117" s="194"/>
      <c r="K117" s="16"/>
      <c r="L117" s="192"/>
      <c r="M117" s="195">
        <f>IF(I117&lt;&gt;"", VLOOKUP(I117,RailDefinition!T:T,2,FALSE), "")</f>
      </c>
      <c r="N117" s="192"/>
      <c r="Q117" s="194"/>
      <c r="R117" s="16"/>
      <c r="S117" s="192"/>
      <c r="T117" s="193">
        <f>IF(P117&lt;&gt;"", VLOOKUP(P117,RailDefinition!T:T,2,FALSE), "")</f>
      </c>
      <c r="U117" s="192"/>
      <c r="AA117" s="193">
        <f>IF(W117&lt;&gt;"", VLOOKUP(W117,RailDefinition!T:T,2,FALSE), "")</f>
      </c>
      <c r="AH117" s="193">
        <f>IF(AD117&lt;&gt;"", VLOOKUP(AD117,RailDefinition!BJ:BL,2,FALSE), "")</f>
      </c>
    </row>
    <row r="118">
      <c r="C118" s="194"/>
      <c r="D118" s="16"/>
      <c r="E118" s="192"/>
      <c r="F118" s="195">
        <f>IF(B118&lt;&gt;"", VLOOKUP(B118,RailDefinition!T:T,2,FALSE), "")</f>
      </c>
      <c r="G118" s="192"/>
      <c r="J118" s="194"/>
      <c r="K118" s="16"/>
      <c r="L118" s="192"/>
      <c r="M118" s="195">
        <f>IF(I118&lt;&gt;"", VLOOKUP(I118,RailDefinition!T:T,2,FALSE), "")</f>
      </c>
      <c r="N118" s="192"/>
      <c r="Q118" s="194"/>
      <c r="R118" s="16"/>
      <c r="S118" s="192"/>
      <c r="T118" s="193">
        <f>IF(P118&lt;&gt;"", VLOOKUP(P118,RailDefinition!T:T,2,FALSE), "")</f>
      </c>
      <c r="U118" s="192"/>
      <c r="AA118" s="193">
        <f>IF(W118&lt;&gt;"", VLOOKUP(W118,RailDefinition!T:T,2,FALSE), "")</f>
      </c>
      <c r="AH118" s="193">
        <f>IF(AD118&lt;&gt;"", VLOOKUP(AD118,RailDefinition!BJ:BL,2,FALSE), "")</f>
      </c>
    </row>
    <row r="119">
      <c r="C119" s="194"/>
      <c r="D119" s="16"/>
      <c r="E119" s="192"/>
      <c r="F119" s="195">
        <f>IF(B119&lt;&gt;"", VLOOKUP(B119,RailDefinition!T:T,2,FALSE), "")</f>
      </c>
      <c r="G119" s="192"/>
      <c r="J119" s="194"/>
      <c r="K119" s="16"/>
      <c r="L119" s="192"/>
      <c r="M119" s="195">
        <f>IF(I119&lt;&gt;"", VLOOKUP(I119,RailDefinition!T:T,2,FALSE), "")</f>
      </c>
      <c r="N119" s="192"/>
      <c r="Q119" s="194"/>
      <c r="R119" s="16"/>
      <c r="S119" s="192"/>
      <c r="T119" s="193">
        <f>IF(P119&lt;&gt;"", VLOOKUP(P119,RailDefinition!T:T,2,FALSE), "")</f>
      </c>
      <c r="U119" s="192"/>
      <c r="AA119" s="193">
        <f>IF(W119&lt;&gt;"", VLOOKUP(W119,RailDefinition!T:T,2,FALSE), "")</f>
      </c>
      <c r="AH119" s="193">
        <f>IF(AD119&lt;&gt;"", VLOOKUP(AD119,RailDefinition!BJ:BL,2,FALSE), "")</f>
      </c>
    </row>
    <row r="120">
      <c r="C120" s="194"/>
      <c r="D120" s="16"/>
      <c r="E120" s="192"/>
      <c r="F120" s="195">
        <f>IF(B120&lt;&gt;"", VLOOKUP(B120,RailDefinition!T:T,2,FALSE), "")</f>
      </c>
      <c r="G120" s="192"/>
      <c r="J120" s="194"/>
      <c r="K120" s="16"/>
      <c r="L120" s="192"/>
      <c r="M120" s="195">
        <f>IF(I120&lt;&gt;"", VLOOKUP(I120,RailDefinition!T:T,2,FALSE), "")</f>
      </c>
      <c r="N120" s="192"/>
      <c r="Q120" s="194"/>
      <c r="R120" s="16"/>
      <c r="S120" s="192"/>
      <c r="T120" s="193">
        <f>IF(P120&lt;&gt;"", VLOOKUP(P120,RailDefinition!T:T,2,FALSE), "")</f>
      </c>
      <c r="U120" s="192"/>
      <c r="AA120" s="193">
        <f>IF(W120&lt;&gt;"", VLOOKUP(W120,RailDefinition!T:T,2,FALSE), "")</f>
      </c>
      <c r="AH120" s="193">
        <f>IF(AD120&lt;&gt;"", VLOOKUP(AD120,RailDefinition!BJ:BL,2,FALSE), "")</f>
      </c>
    </row>
    <row r="121">
      <c r="C121" s="194"/>
      <c r="D121" s="16"/>
      <c r="E121" s="192"/>
      <c r="F121" s="195">
        <f>IF(B121&lt;&gt;"", VLOOKUP(B121,RailDefinition!T:T,2,FALSE), "")</f>
      </c>
      <c r="G121" s="192"/>
      <c r="J121" s="194"/>
      <c r="K121" s="16"/>
      <c r="L121" s="192"/>
      <c r="M121" s="195">
        <f>IF(I121&lt;&gt;"", VLOOKUP(I121,RailDefinition!T:T,2,FALSE), "")</f>
      </c>
      <c r="N121" s="192"/>
      <c r="Q121" s="194"/>
      <c r="R121" s="16"/>
      <c r="S121" s="192"/>
      <c r="T121" s="193">
        <f>IF(P121&lt;&gt;"", VLOOKUP(P121,RailDefinition!T:T,2,FALSE), "")</f>
      </c>
      <c r="U121" s="192"/>
      <c r="AA121" s="193">
        <f>IF(W121&lt;&gt;"", VLOOKUP(W121,RailDefinition!T:T,2,FALSE), "")</f>
      </c>
      <c r="AH121" s="193">
        <f>IF(AD121&lt;&gt;"", VLOOKUP(AD121,RailDefinition!BJ:BL,2,FALSE), "")</f>
      </c>
    </row>
    <row r="122">
      <c r="C122" s="194"/>
      <c r="D122" s="16"/>
      <c r="E122" s="192"/>
      <c r="F122" s="195">
        <f>IF(B122&lt;&gt;"", VLOOKUP(B122,RailDefinition!T:T,2,FALSE), "")</f>
      </c>
      <c r="G122" s="192"/>
      <c r="J122" s="194"/>
      <c r="K122" s="16"/>
      <c r="L122" s="192"/>
      <c r="M122" s="195">
        <f>IF(I122&lt;&gt;"", VLOOKUP(I122,RailDefinition!T:T,2,FALSE), "")</f>
      </c>
      <c r="N122" s="192"/>
      <c r="Q122" s="194"/>
      <c r="R122" s="16"/>
      <c r="S122" s="192"/>
      <c r="T122" s="193">
        <f>IF(P122&lt;&gt;"", VLOOKUP(P122,RailDefinition!T:T,2,FALSE), "")</f>
      </c>
      <c r="U122" s="192"/>
      <c r="AA122" s="193">
        <f>IF(W122&lt;&gt;"", VLOOKUP(W122,RailDefinition!T:T,2,FALSE), "")</f>
      </c>
      <c r="AH122" s="193">
        <f>IF(AD122&lt;&gt;"", VLOOKUP(AD122,RailDefinition!BJ:BL,2,FALSE), "")</f>
      </c>
    </row>
    <row r="123">
      <c r="C123" s="194"/>
      <c r="D123" s="16"/>
      <c r="E123" s="192"/>
      <c r="F123" s="195">
        <f>IF(B123&lt;&gt;"", VLOOKUP(B123,RailDefinition!T:T,2,FALSE), "")</f>
      </c>
      <c r="G123" s="192"/>
      <c r="J123" s="194"/>
      <c r="K123" s="16"/>
      <c r="L123" s="192"/>
      <c r="M123" s="195">
        <f>IF(I123&lt;&gt;"", VLOOKUP(I123,RailDefinition!T:T,2,FALSE), "")</f>
      </c>
      <c r="N123" s="192"/>
      <c r="Q123" s="194"/>
      <c r="R123" s="16"/>
      <c r="S123" s="192"/>
      <c r="T123" s="193">
        <f>IF(P123&lt;&gt;"", VLOOKUP(P123,RailDefinition!T:T,2,FALSE), "")</f>
      </c>
      <c r="U123" s="192"/>
      <c r="AA123" s="193">
        <f>IF(W123&lt;&gt;"", VLOOKUP(W123,RailDefinition!T:T,2,FALSE), "")</f>
      </c>
      <c r="AH123" s="193">
        <f>IF(AD123&lt;&gt;"", VLOOKUP(AD123,RailDefinition!BJ:BL,2,FALSE), "")</f>
      </c>
    </row>
    <row r="124">
      <c r="C124" s="194"/>
      <c r="D124" s="16"/>
      <c r="E124" s="192"/>
      <c r="F124" s="195">
        <f>IF(B124&lt;&gt;"", VLOOKUP(B124,RailDefinition!T:T,2,FALSE), "")</f>
      </c>
      <c r="G124" s="192"/>
      <c r="J124" s="194"/>
      <c r="K124" s="16"/>
      <c r="L124" s="192"/>
      <c r="M124" s="195">
        <f>IF(I124&lt;&gt;"", VLOOKUP(I124,RailDefinition!T:T,2,FALSE), "")</f>
      </c>
      <c r="N124" s="192"/>
      <c r="Q124" s="194"/>
      <c r="R124" s="16"/>
      <c r="S124" s="192"/>
      <c r="T124" s="193">
        <f>IF(P124&lt;&gt;"", VLOOKUP(P124,RailDefinition!T:T,2,FALSE), "")</f>
      </c>
      <c r="U124" s="192"/>
      <c r="AA124" s="193">
        <f>IF(W124&lt;&gt;"", VLOOKUP(W124,RailDefinition!T:T,2,FALSE), "")</f>
      </c>
      <c r="AH124" s="193">
        <f>IF(AD124&lt;&gt;"", VLOOKUP(AD124,RailDefinition!BJ:BL,2,FALSE), "")</f>
      </c>
    </row>
    <row r="125">
      <c r="C125" s="194"/>
      <c r="D125" s="16"/>
      <c r="E125" s="192"/>
      <c r="F125" s="195">
        <f>IF(B125&lt;&gt;"", VLOOKUP(B125,RailDefinition!T:T,2,FALSE), "")</f>
      </c>
      <c r="G125" s="192"/>
      <c r="J125" s="194"/>
      <c r="K125" s="16"/>
      <c r="L125" s="192"/>
      <c r="M125" s="195">
        <f>IF(I125&lt;&gt;"", VLOOKUP(I125,RailDefinition!T:T,2,FALSE), "")</f>
      </c>
      <c r="N125" s="192"/>
      <c r="Q125" s="194"/>
      <c r="R125" s="16"/>
      <c r="S125" s="192"/>
      <c r="T125" s="193">
        <f>IF(P125&lt;&gt;"", VLOOKUP(P125,RailDefinition!T:T,2,FALSE), "")</f>
      </c>
      <c r="U125" s="192"/>
      <c r="AA125" s="193">
        <f>IF(W125&lt;&gt;"", VLOOKUP(W125,RailDefinition!T:T,2,FALSE), "")</f>
      </c>
      <c r="AH125" s="193">
        <f>IF(AD125&lt;&gt;"", VLOOKUP(AD125,RailDefinition!BJ:BL,2,FALSE), "")</f>
      </c>
    </row>
    <row r="126">
      <c r="C126" s="194"/>
      <c r="D126" s="16"/>
      <c r="E126" s="192"/>
      <c r="F126" s="195">
        <f>IF(B126&lt;&gt;"", VLOOKUP(B126,RailDefinition!T:T,2,FALSE), "")</f>
      </c>
      <c r="G126" s="192"/>
      <c r="J126" s="194"/>
      <c r="K126" s="16"/>
      <c r="L126" s="192"/>
      <c r="M126" s="195">
        <f>IF(I126&lt;&gt;"", VLOOKUP(I126,RailDefinition!T:T,2,FALSE), "")</f>
      </c>
      <c r="N126" s="192"/>
      <c r="Q126" s="194"/>
      <c r="R126" s="16"/>
      <c r="S126" s="192"/>
      <c r="T126" s="193">
        <f>IF(P126&lt;&gt;"", VLOOKUP(P126,RailDefinition!T:T,2,FALSE), "")</f>
      </c>
      <c r="U126" s="192"/>
      <c r="AA126" s="193">
        <f>IF(W126&lt;&gt;"", VLOOKUP(W126,RailDefinition!T:T,2,FALSE), "")</f>
      </c>
      <c r="AH126" s="193">
        <f>IF(AD126&lt;&gt;"", VLOOKUP(AD126,RailDefinition!BJ:BL,2,FALSE), "")</f>
      </c>
    </row>
    <row r="127">
      <c r="C127" s="194"/>
      <c r="D127" s="16"/>
      <c r="E127" s="192"/>
      <c r="F127" s="195">
        <f>IF(B127&lt;&gt;"", VLOOKUP(B127,RailDefinition!T:T,2,FALSE), "")</f>
      </c>
      <c r="G127" s="192"/>
      <c r="J127" s="194"/>
      <c r="K127" s="16"/>
      <c r="L127" s="192"/>
      <c r="M127" s="195">
        <f>IF(I127&lt;&gt;"", VLOOKUP(I127,RailDefinition!T:T,2,FALSE), "")</f>
      </c>
      <c r="N127" s="192"/>
      <c r="Q127" s="194"/>
      <c r="R127" s="16"/>
      <c r="S127" s="192"/>
      <c r="T127" s="193">
        <f>IF(P127&lt;&gt;"", VLOOKUP(P127,RailDefinition!T:T,2,FALSE), "")</f>
      </c>
      <c r="U127" s="192"/>
      <c r="AA127" s="193">
        <f>IF(W127&lt;&gt;"", VLOOKUP(W127,RailDefinition!T:T,2,FALSE), "")</f>
      </c>
      <c r="AH127" s="193">
        <f>IF(AD127&lt;&gt;"", VLOOKUP(AD127,RailDefinition!BJ:BL,2,FALSE), "")</f>
      </c>
    </row>
    <row r="128">
      <c r="C128" s="194"/>
      <c r="D128" s="16"/>
      <c r="E128" s="192"/>
      <c r="F128" s="195">
        <f>IF(B128&lt;&gt;"", VLOOKUP(B128,RailDefinition!T:T,2,FALSE), "")</f>
      </c>
      <c r="G128" s="192"/>
      <c r="J128" s="194"/>
      <c r="K128" s="16"/>
      <c r="L128" s="192"/>
      <c r="M128" s="195">
        <f>IF(I128&lt;&gt;"", VLOOKUP(I128,RailDefinition!T:T,2,FALSE), "")</f>
      </c>
      <c r="N128" s="192"/>
      <c r="Q128" s="194"/>
      <c r="R128" s="16"/>
      <c r="S128" s="192"/>
      <c r="T128" s="193">
        <f>IF(P128&lt;&gt;"", VLOOKUP(P128,RailDefinition!T:T,2,FALSE), "")</f>
      </c>
      <c r="U128" s="192"/>
      <c r="AA128" s="193">
        <f>IF(W128&lt;&gt;"", VLOOKUP(W128,RailDefinition!T:T,2,FALSE), "")</f>
      </c>
      <c r="AH128" s="193">
        <f>IF(AD128&lt;&gt;"", VLOOKUP(AD128,RailDefinition!BJ:BL,2,FALSE), "")</f>
      </c>
    </row>
    <row r="129">
      <c r="C129" s="194"/>
      <c r="D129" s="16"/>
      <c r="E129" s="192"/>
      <c r="F129" s="195">
        <f>IF(B129&lt;&gt;"", VLOOKUP(B129,RailDefinition!T:T,2,FALSE), "")</f>
      </c>
      <c r="G129" s="192"/>
      <c r="J129" s="194"/>
      <c r="K129" s="16"/>
      <c r="L129" s="192"/>
      <c r="M129" s="195">
        <f>IF(I129&lt;&gt;"", VLOOKUP(I129,RailDefinition!T:T,2,FALSE), "")</f>
      </c>
      <c r="N129" s="192"/>
      <c r="Q129" s="194"/>
      <c r="R129" s="16"/>
      <c r="S129" s="192"/>
      <c r="T129" s="193">
        <f>IF(P129&lt;&gt;"", VLOOKUP(P129,RailDefinition!T:T,2,FALSE), "")</f>
      </c>
      <c r="U129" s="192"/>
      <c r="AA129" s="193">
        <f>IF(W129&lt;&gt;"", VLOOKUP(W129,RailDefinition!T:T,2,FALSE), "")</f>
      </c>
      <c r="AH129" s="193">
        <f>IF(AD129&lt;&gt;"", VLOOKUP(AD129,RailDefinition!BJ:BL,2,FALSE), "")</f>
      </c>
    </row>
    <row r="130">
      <c r="C130" s="194"/>
      <c r="D130" s="16"/>
      <c r="E130" s="192"/>
      <c r="F130" s="195">
        <f>IF(B130&lt;&gt;"", VLOOKUP(B130,RailDefinition!T:T,2,FALSE), "")</f>
      </c>
      <c r="G130" s="192"/>
      <c r="J130" s="194"/>
      <c r="K130" s="16"/>
      <c r="L130" s="192"/>
      <c r="M130" s="195">
        <f>IF(I130&lt;&gt;"", VLOOKUP(I130,RailDefinition!T:T,2,FALSE), "")</f>
      </c>
      <c r="N130" s="192"/>
      <c r="Q130" s="194"/>
      <c r="R130" s="16"/>
      <c r="S130" s="192"/>
      <c r="T130" s="193">
        <f>IF(P130&lt;&gt;"", VLOOKUP(P130,RailDefinition!T:T,2,FALSE), "")</f>
      </c>
      <c r="U130" s="192"/>
      <c r="AA130" s="193">
        <f>IF(W130&lt;&gt;"", VLOOKUP(W130,RailDefinition!T:T,2,FALSE), "")</f>
      </c>
      <c r="AH130" s="193">
        <f>IF(AD130&lt;&gt;"", VLOOKUP(AD130,RailDefinition!BJ:BL,2,FALSE), "")</f>
      </c>
    </row>
    <row r="131">
      <c r="C131" s="194"/>
      <c r="D131" s="16"/>
      <c r="E131" s="192"/>
      <c r="F131" s="195">
        <f>IF(B131&lt;&gt;"", VLOOKUP(B131,RailDefinition!T:T,2,FALSE), "")</f>
      </c>
      <c r="G131" s="192"/>
      <c r="J131" s="194"/>
      <c r="K131" s="16"/>
      <c r="L131" s="192"/>
      <c r="M131" s="195">
        <f>IF(I131&lt;&gt;"", VLOOKUP(I131,RailDefinition!T:T,2,FALSE), "")</f>
      </c>
      <c r="N131" s="192"/>
      <c r="Q131" s="194"/>
      <c r="R131" s="16"/>
      <c r="S131" s="192"/>
      <c r="T131" s="193">
        <f>IF(P131&lt;&gt;"", VLOOKUP(P131,RailDefinition!T:T,2,FALSE), "")</f>
      </c>
      <c r="U131" s="192"/>
      <c r="AA131" s="193">
        <f>IF(W131&lt;&gt;"", VLOOKUP(W131,RailDefinition!T:T,2,FALSE), "")</f>
      </c>
      <c r="AH131" s="193">
        <f>IF(AD131&lt;&gt;"", VLOOKUP(AD131,RailDefinition!BJ:BL,2,FALSE), "")</f>
      </c>
    </row>
    <row r="132">
      <c r="C132" s="194"/>
      <c r="D132" s="16"/>
      <c r="E132" s="192"/>
      <c r="F132" s="195">
        <f>IF(B132&lt;&gt;"", VLOOKUP(B132,RailDefinition!T:T,2,FALSE), "")</f>
      </c>
      <c r="G132" s="192"/>
      <c r="J132" s="194"/>
      <c r="K132" s="16"/>
      <c r="L132" s="192"/>
      <c r="M132" s="195">
        <f>IF(I132&lt;&gt;"", VLOOKUP(I132,RailDefinition!T:T,2,FALSE), "")</f>
      </c>
      <c r="N132" s="192"/>
      <c r="Q132" s="194"/>
      <c r="R132" s="16"/>
      <c r="S132" s="192"/>
      <c r="T132" s="193">
        <f>IF(P132&lt;&gt;"", VLOOKUP(P132,RailDefinition!T:T,2,FALSE), "")</f>
      </c>
      <c r="U132" s="192"/>
      <c r="AA132" s="193">
        <f>IF(W132&lt;&gt;"", VLOOKUP(W132,RailDefinition!T:T,2,FALSE), "")</f>
      </c>
      <c r="AH132" s="193">
        <f>IF(AD132&lt;&gt;"", VLOOKUP(AD132,RailDefinition!BJ:BL,2,FALSE), "")</f>
      </c>
    </row>
    <row r="133">
      <c r="C133" s="194"/>
      <c r="D133" s="16"/>
      <c r="E133" s="192"/>
      <c r="F133" s="195">
        <f>IF(B133&lt;&gt;"", VLOOKUP(B133,RailDefinition!T:T,2,FALSE), "")</f>
      </c>
      <c r="G133" s="192"/>
      <c r="J133" s="194"/>
      <c r="K133" s="16"/>
      <c r="L133" s="192"/>
      <c r="M133" s="195">
        <f>IF(I133&lt;&gt;"", VLOOKUP(I133,RailDefinition!T:T,2,FALSE), "")</f>
      </c>
      <c r="N133" s="192"/>
      <c r="Q133" s="194"/>
      <c r="R133" s="16"/>
      <c r="S133" s="192"/>
      <c r="T133" s="193">
        <f>IF(P133&lt;&gt;"", VLOOKUP(P133,RailDefinition!T:T,2,FALSE), "")</f>
      </c>
      <c r="U133" s="192"/>
      <c r="AA133" s="193">
        <f>IF(W133&lt;&gt;"", VLOOKUP(W133,RailDefinition!T:T,2,FALSE), "")</f>
      </c>
      <c r="AH133" s="193">
        <f>IF(AD133&lt;&gt;"", VLOOKUP(AD133,RailDefinition!BJ:BL,2,FALSE), "")</f>
      </c>
    </row>
    <row r="134">
      <c r="C134" s="194"/>
      <c r="D134" s="16"/>
      <c r="E134" s="192"/>
      <c r="F134" s="195">
        <f>IF(B134&lt;&gt;"", VLOOKUP(B134,RailDefinition!T:T,2,FALSE), "")</f>
      </c>
      <c r="G134" s="192"/>
      <c r="J134" s="194"/>
      <c r="K134" s="16"/>
      <c r="L134" s="192"/>
      <c r="M134" s="195">
        <f>IF(I134&lt;&gt;"", VLOOKUP(I134,RailDefinition!T:T,2,FALSE), "")</f>
      </c>
      <c r="N134" s="192"/>
      <c r="Q134" s="194"/>
      <c r="R134" s="16"/>
      <c r="S134" s="192"/>
      <c r="T134" s="193">
        <f>IF(P134&lt;&gt;"", VLOOKUP(P134,RailDefinition!T:T,2,FALSE), "")</f>
      </c>
      <c r="U134" s="192"/>
      <c r="AA134" s="193">
        <f>IF(W134&lt;&gt;"", VLOOKUP(W134,RailDefinition!T:T,2,FALSE), "")</f>
      </c>
      <c r="AH134" s="193">
        <f>IF(AD134&lt;&gt;"", VLOOKUP(AD134,RailDefinition!BJ:BL,2,FALSE), "")</f>
      </c>
    </row>
    <row r="135">
      <c r="C135" s="194"/>
      <c r="D135" s="16"/>
      <c r="E135" s="192"/>
      <c r="F135" s="195">
        <f>IF(B135&lt;&gt;"", VLOOKUP(B135,RailDefinition!T:T,2,FALSE), "")</f>
      </c>
      <c r="G135" s="192"/>
      <c r="J135" s="194"/>
      <c r="K135" s="16"/>
      <c r="L135" s="192"/>
      <c r="M135" s="195">
        <f>IF(I135&lt;&gt;"", VLOOKUP(I135,RailDefinition!T:T,2,FALSE), "")</f>
      </c>
      <c r="N135" s="192"/>
      <c r="Q135" s="194"/>
      <c r="R135" s="16"/>
      <c r="S135" s="192"/>
      <c r="T135" s="193">
        <f>IF(P135&lt;&gt;"", VLOOKUP(P135,RailDefinition!T:T,2,FALSE), "")</f>
      </c>
      <c r="U135" s="192"/>
      <c r="AA135" s="193">
        <f>IF(W135&lt;&gt;"", VLOOKUP(W135,RailDefinition!T:T,2,FALSE), "")</f>
      </c>
      <c r="AH135" s="193">
        <f>IF(AD135&lt;&gt;"", VLOOKUP(AD135,RailDefinition!BJ:BL,2,FALSE), "")</f>
      </c>
    </row>
    <row r="136">
      <c r="C136" s="194"/>
      <c r="D136" s="16"/>
      <c r="E136" s="192"/>
      <c r="F136" s="195">
        <f>IF(B136&lt;&gt;"", VLOOKUP(B136,RailDefinition!T:T,2,FALSE), "")</f>
      </c>
      <c r="G136" s="192"/>
      <c r="J136" s="194"/>
      <c r="K136" s="16"/>
      <c r="L136" s="192"/>
      <c r="M136" s="195">
        <f>IF(I136&lt;&gt;"", VLOOKUP(I136,RailDefinition!T:T,2,FALSE), "")</f>
      </c>
      <c r="N136" s="192"/>
      <c r="Q136" s="194"/>
      <c r="R136" s="16"/>
      <c r="S136" s="192"/>
      <c r="T136" s="193">
        <f>IF(P136&lt;&gt;"", VLOOKUP(P136,RailDefinition!T:T,2,FALSE), "")</f>
      </c>
      <c r="U136" s="192"/>
      <c r="AA136" s="193">
        <f>IF(W136&lt;&gt;"", VLOOKUP(W136,RailDefinition!T:T,2,FALSE), "")</f>
      </c>
      <c r="AH136" s="193">
        <f>IF(AD136&lt;&gt;"", VLOOKUP(AD136,RailDefinition!BJ:BL,2,FALSE), "")</f>
      </c>
    </row>
    <row r="137">
      <c r="C137" s="194"/>
      <c r="D137" s="16"/>
      <c r="E137" s="192"/>
      <c r="F137" s="195">
        <f>IF(B137&lt;&gt;"", VLOOKUP(B137,RailDefinition!T:T,2,FALSE), "")</f>
      </c>
      <c r="G137" s="192"/>
      <c r="J137" s="194"/>
      <c r="K137" s="16"/>
      <c r="L137" s="192"/>
      <c r="M137" s="195">
        <f>IF(I137&lt;&gt;"", VLOOKUP(I137,RailDefinition!T:T,2,FALSE), "")</f>
      </c>
      <c r="N137" s="192"/>
      <c r="Q137" s="194"/>
      <c r="R137" s="16"/>
      <c r="S137" s="192"/>
      <c r="T137" s="193">
        <f>IF(P137&lt;&gt;"", VLOOKUP(P137,RailDefinition!T:T,2,FALSE), "")</f>
      </c>
      <c r="U137" s="192"/>
      <c r="AA137" s="193">
        <f>IF(W137&lt;&gt;"", VLOOKUP(W137,RailDefinition!T:T,2,FALSE), "")</f>
      </c>
      <c r="AH137" s="193">
        <f>IF(AD137&lt;&gt;"", VLOOKUP(AD137,RailDefinition!BJ:BL,2,FALSE), "")</f>
      </c>
    </row>
    <row r="138">
      <c r="C138" s="194"/>
      <c r="D138" s="16"/>
      <c r="E138" s="192"/>
      <c r="F138" s="195">
        <f>IF(B138&lt;&gt;"", VLOOKUP(B138,RailDefinition!T:T,2,FALSE), "")</f>
      </c>
      <c r="G138" s="192"/>
      <c r="J138" s="194"/>
      <c r="K138" s="16"/>
      <c r="L138" s="192"/>
      <c r="M138" s="195">
        <f>IF(I138&lt;&gt;"", VLOOKUP(I138,RailDefinition!T:T,2,FALSE), "")</f>
      </c>
      <c r="N138" s="192"/>
      <c r="Q138" s="194"/>
      <c r="R138" s="16"/>
      <c r="S138" s="192"/>
      <c r="T138" s="193">
        <f>IF(P138&lt;&gt;"", VLOOKUP(P138,RailDefinition!T:T,2,FALSE), "")</f>
      </c>
      <c r="U138" s="192"/>
      <c r="AA138" s="193">
        <f>IF(W138&lt;&gt;"", VLOOKUP(W138,RailDefinition!T:T,2,FALSE), "")</f>
      </c>
      <c r="AH138" s="193">
        <f>IF(AD138&lt;&gt;"", VLOOKUP(AD138,RailDefinition!BJ:BL,2,FALSE), "")</f>
      </c>
    </row>
    <row r="139">
      <c r="C139" s="194"/>
      <c r="D139" s="16"/>
      <c r="E139" s="192"/>
      <c r="F139" s="195">
        <f>IF(B139&lt;&gt;"", VLOOKUP(B139,RailDefinition!T:T,2,FALSE), "")</f>
      </c>
      <c r="G139" s="192"/>
      <c r="J139" s="194"/>
      <c r="K139" s="16"/>
      <c r="L139" s="192"/>
      <c r="M139" s="195">
        <f>IF(I139&lt;&gt;"", VLOOKUP(I139,RailDefinition!T:T,2,FALSE), "")</f>
      </c>
      <c r="N139" s="192"/>
      <c r="Q139" s="194"/>
      <c r="R139" s="16"/>
      <c r="S139" s="192"/>
      <c r="T139" s="193">
        <f>IF(P139&lt;&gt;"", VLOOKUP(P139,RailDefinition!T:T,2,FALSE), "")</f>
      </c>
      <c r="U139" s="192"/>
      <c r="AA139" s="193">
        <f>IF(W139&lt;&gt;"", VLOOKUP(W139,RailDefinition!T:T,2,FALSE), "")</f>
      </c>
      <c r="AH139" s="193">
        <f>IF(AD139&lt;&gt;"", VLOOKUP(AD139,RailDefinition!BJ:BL,2,FALSE), "")</f>
      </c>
    </row>
    <row r="140">
      <c r="C140" s="194"/>
      <c r="D140" s="16"/>
      <c r="E140" s="192"/>
      <c r="F140" s="195">
        <f>IF(B140&lt;&gt;"", VLOOKUP(B140,RailDefinition!T:T,2,FALSE), "")</f>
      </c>
      <c r="G140" s="192"/>
      <c r="J140" s="194"/>
      <c r="K140" s="16"/>
      <c r="L140" s="192"/>
      <c r="M140" s="195">
        <f>IF(I140&lt;&gt;"", VLOOKUP(I140,RailDefinition!T:T,2,FALSE), "")</f>
      </c>
      <c r="N140" s="192"/>
      <c r="Q140" s="194"/>
      <c r="R140" s="16"/>
      <c r="S140" s="192"/>
      <c r="T140" s="193">
        <f>IF(P140&lt;&gt;"", VLOOKUP(P140,RailDefinition!T:T,2,FALSE), "")</f>
      </c>
      <c r="U140" s="192"/>
      <c r="AA140" s="193">
        <f>IF(W140&lt;&gt;"", VLOOKUP(W140,RailDefinition!T:T,2,FALSE), "")</f>
      </c>
      <c r="AH140" s="193">
        <f>IF(AD140&lt;&gt;"", VLOOKUP(AD140,RailDefinition!BJ:BL,2,FALSE), "")</f>
      </c>
    </row>
    <row r="141">
      <c r="C141" s="194"/>
      <c r="D141" s="16"/>
      <c r="E141" s="192"/>
      <c r="F141" s="195">
        <f>IF(B141&lt;&gt;"", VLOOKUP(B141,RailDefinition!T:T,2,FALSE), "")</f>
      </c>
      <c r="G141" s="192"/>
      <c r="J141" s="194"/>
      <c r="K141" s="16"/>
      <c r="L141" s="192"/>
      <c r="M141" s="195">
        <f>IF(I141&lt;&gt;"", VLOOKUP(I141,RailDefinition!T:T,2,FALSE), "")</f>
      </c>
      <c r="N141" s="192"/>
      <c r="Q141" s="194"/>
      <c r="R141" s="16"/>
      <c r="S141" s="192"/>
      <c r="T141" s="193">
        <f>IF(P141&lt;&gt;"", VLOOKUP(P141,RailDefinition!T:T,2,FALSE), "")</f>
      </c>
      <c r="U141" s="192"/>
      <c r="AA141" s="193">
        <f>IF(W141&lt;&gt;"", VLOOKUP(W141,RailDefinition!T:T,2,FALSE), "")</f>
      </c>
      <c r="AH141" s="193">
        <f>IF(AD141&lt;&gt;"", VLOOKUP(AD141,RailDefinition!BJ:BL,2,FALSE), "")</f>
      </c>
    </row>
    <row r="142">
      <c r="C142" s="194"/>
      <c r="D142" s="16"/>
      <c r="E142" s="192"/>
      <c r="F142" s="195">
        <f>IF(B142&lt;&gt;"", VLOOKUP(B142,RailDefinition!T:T,2,FALSE), "")</f>
      </c>
      <c r="G142" s="192"/>
      <c r="J142" s="194"/>
      <c r="K142" s="16"/>
      <c r="L142" s="192"/>
      <c r="M142" s="195">
        <f>IF(I142&lt;&gt;"", VLOOKUP(I142,RailDefinition!T:T,2,FALSE), "")</f>
      </c>
      <c r="N142" s="192"/>
      <c r="Q142" s="194"/>
      <c r="R142" s="16"/>
      <c r="S142" s="192"/>
      <c r="T142" s="193">
        <f>IF(P142&lt;&gt;"", VLOOKUP(P142,RailDefinition!T:T,2,FALSE), "")</f>
      </c>
      <c r="U142" s="192"/>
      <c r="AA142" s="193">
        <f>IF(W142&lt;&gt;"", VLOOKUP(W142,RailDefinition!T:T,2,FALSE), "")</f>
      </c>
      <c r="AH142" s="193">
        <f>IF(AD142&lt;&gt;"", VLOOKUP(AD142,RailDefinition!BJ:BL,2,FALSE), "")</f>
      </c>
    </row>
    <row r="143">
      <c r="C143" s="194"/>
      <c r="D143" s="16"/>
      <c r="E143" s="192"/>
      <c r="F143" s="195">
        <f>IF(B143&lt;&gt;"", VLOOKUP(B143,RailDefinition!T:T,2,FALSE), "")</f>
      </c>
      <c r="G143" s="192"/>
      <c r="J143" s="194"/>
      <c r="K143" s="16"/>
      <c r="L143" s="192"/>
      <c r="M143" s="195">
        <f>IF(I143&lt;&gt;"", VLOOKUP(I143,RailDefinition!T:T,2,FALSE), "")</f>
      </c>
      <c r="N143" s="192"/>
      <c r="Q143" s="194"/>
      <c r="R143" s="16"/>
      <c r="S143" s="192"/>
      <c r="T143" s="193">
        <f>IF(P143&lt;&gt;"", VLOOKUP(P143,RailDefinition!T:T,2,FALSE), "")</f>
      </c>
      <c r="U143" s="192"/>
      <c r="AA143" s="193">
        <f>IF(W143&lt;&gt;"", VLOOKUP(W143,RailDefinition!T:T,2,FALSE), "")</f>
      </c>
      <c r="AH143" s="193">
        <f>IF(AD143&lt;&gt;"", VLOOKUP(AD143,RailDefinition!BJ:BL,2,FALSE), "")</f>
      </c>
    </row>
    <row r="144">
      <c r="C144" s="194"/>
      <c r="D144" s="16"/>
      <c r="E144" s="192"/>
      <c r="F144" s="195">
        <f>IF(B144&lt;&gt;"", VLOOKUP(B144,RailDefinition!T:T,2,FALSE), "")</f>
      </c>
      <c r="G144" s="192"/>
      <c r="J144" s="194"/>
      <c r="K144" s="16"/>
      <c r="L144" s="192"/>
      <c r="M144" s="195">
        <f>IF(I144&lt;&gt;"", VLOOKUP(I144,RailDefinition!T:T,2,FALSE), "")</f>
      </c>
      <c r="N144" s="192"/>
      <c r="Q144" s="194"/>
      <c r="R144" s="16"/>
      <c r="S144" s="192"/>
      <c r="T144" s="193">
        <f>IF(P144&lt;&gt;"", VLOOKUP(P144,RailDefinition!T:T,2,FALSE), "")</f>
      </c>
      <c r="U144" s="192"/>
      <c r="AA144" s="193">
        <f>IF(W144&lt;&gt;"", VLOOKUP(W144,RailDefinition!T:T,2,FALSE), "")</f>
      </c>
      <c r="AH144" s="193">
        <f>IF(AD144&lt;&gt;"", VLOOKUP(AD144,RailDefinition!BJ:BL,2,FALSE), "")</f>
      </c>
    </row>
    <row r="145">
      <c r="C145" s="194"/>
      <c r="D145" s="16"/>
      <c r="E145" s="192"/>
      <c r="F145" s="195">
        <f>IF(B145&lt;&gt;"", VLOOKUP(B145,RailDefinition!T:T,2,FALSE), "")</f>
      </c>
      <c r="G145" s="192"/>
      <c r="J145" s="194"/>
      <c r="K145" s="16"/>
      <c r="L145" s="192"/>
      <c r="M145" s="195">
        <f>IF(I145&lt;&gt;"", VLOOKUP(I145,RailDefinition!T:T,2,FALSE), "")</f>
      </c>
      <c r="N145" s="192"/>
      <c r="Q145" s="194"/>
      <c r="R145" s="16"/>
      <c r="S145" s="192"/>
      <c r="T145" s="193">
        <f>IF(P145&lt;&gt;"", VLOOKUP(P145,RailDefinition!T:T,2,FALSE), "")</f>
      </c>
      <c r="U145" s="192"/>
      <c r="AA145" s="193">
        <f>IF(W145&lt;&gt;"", VLOOKUP(W145,RailDefinition!T:T,2,FALSE), "")</f>
      </c>
      <c r="AH145" s="193">
        <f>IF(AD145&lt;&gt;"", VLOOKUP(AD145,RailDefinition!BJ:BL,2,FALSE), "")</f>
      </c>
    </row>
    <row r="146">
      <c r="C146" s="194"/>
      <c r="D146" s="16"/>
      <c r="E146" s="192"/>
      <c r="F146" s="195">
        <f>IF(B146&lt;&gt;"", VLOOKUP(B146,RailDefinition!T:T,2,FALSE), "")</f>
      </c>
      <c r="G146" s="192"/>
      <c r="J146" s="194"/>
      <c r="K146" s="16"/>
      <c r="L146" s="192"/>
      <c r="M146" s="195">
        <f>IF(I146&lt;&gt;"", VLOOKUP(I146,RailDefinition!T:T,2,FALSE), "")</f>
      </c>
      <c r="N146" s="192"/>
      <c r="Q146" s="194"/>
      <c r="R146" s="16"/>
      <c r="S146" s="192"/>
      <c r="T146" s="193">
        <f>IF(P146&lt;&gt;"", VLOOKUP(P146,RailDefinition!T:T,2,FALSE), "")</f>
      </c>
      <c r="U146" s="192"/>
      <c r="AA146" s="193">
        <f>IF(W146&lt;&gt;"", VLOOKUP(W146,RailDefinition!T:T,2,FALSE), "")</f>
      </c>
      <c r="AH146" s="193">
        <f>IF(AD146&lt;&gt;"", VLOOKUP(AD146,RailDefinition!BJ:BL,2,FALSE), "")</f>
      </c>
    </row>
    <row r="147">
      <c r="C147" s="194"/>
      <c r="D147" s="16"/>
      <c r="E147" s="192"/>
      <c r="F147" s="195">
        <f>IF(B147&lt;&gt;"", VLOOKUP(B147,RailDefinition!T:T,2,FALSE), "")</f>
      </c>
      <c r="G147" s="192"/>
      <c r="J147" s="194"/>
      <c r="K147" s="16"/>
      <c r="L147" s="192"/>
      <c r="M147" s="195">
        <f>IF(I147&lt;&gt;"", VLOOKUP(I147,RailDefinition!T:T,2,FALSE), "")</f>
      </c>
      <c r="N147" s="192"/>
      <c r="Q147" s="194"/>
      <c r="R147" s="16"/>
      <c r="S147" s="192"/>
      <c r="T147" s="193">
        <f>IF(P147&lt;&gt;"", VLOOKUP(P147,RailDefinition!T:T,2,FALSE), "")</f>
      </c>
      <c r="U147" s="192"/>
      <c r="AA147" s="193">
        <f>IF(W147&lt;&gt;"", VLOOKUP(W147,RailDefinition!T:T,2,FALSE), "")</f>
      </c>
      <c r="AH147" s="193">
        <f>IF(AD147&lt;&gt;"", VLOOKUP(AD147,RailDefinition!BJ:BL,2,FALSE), "")</f>
      </c>
    </row>
    <row r="148">
      <c r="C148" s="194"/>
      <c r="D148" s="16"/>
      <c r="E148" s="192"/>
      <c r="F148" s="195">
        <f>IF(B148&lt;&gt;"", VLOOKUP(B148,RailDefinition!T:T,2,FALSE), "")</f>
      </c>
      <c r="G148" s="192"/>
      <c r="J148" s="194"/>
      <c r="K148" s="16"/>
      <c r="L148" s="192"/>
      <c r="M148" s="195">
        <f>IF(I148&lt;&gt;"", VLOOKUP(I148,RailDefinition!T:T,2,FALSE), "")</f>
      </c>
      <c r="N148" s="192"/>
      <c r="Q148" s="194"/>
      <c r="R148" s="16"/>
      <c r="S148" s="192"/>
      <c r="T148" s="193">
        <f>IF(P148&lt;&gt;"", VLOOKUP(P148,RailDefinition!T:T,2,FALSE), "")</f>
      </c>
      <c r="U148" s="192"/>
      <c r="AA148" s="193">
        <f>IF(W148&lt;&gt;"", VLOOKUP(W148,RailDefinition!T:T,2,FALSE), "")</f>
      </c>
      <c r="AH148" s="193">
        <f>IF(AD148&lt;&gt;"", VLOOKUP(AD148,RailDefinition!BJ:BL,2,FALSE), "")</f>
      </c>
    </row>
    <row r="149">
      <c r="C149" s="194"/>
      <c r="D149" s="16"/>
      <c r="E149" s="192"/>
      <c r="F149" s="195">
        <f>IF(B149&lt;&gt;"", VLOOKUP(B149,RailDefinition!T:T,2,FALSE), "")</f>
      </c>
      <c r="G149" s="192"/>
      <c r="J149" s="194"/>
      <c r="K149" s="16"/>
      <c r="L149" s="192"/>
      <c r="M149" s="195">
        <f>IF(I149&lt;&gt;"", VLOOKUP(I149,RailDefinition!T:T,2,FALSE), "")</f>
      </c>
      <c r="N149" s="192"/>
      <c r="Q149" s="194"/>
      <c r="R149" s="16"/>
      <c r="S149" s="192"/>
      <c r="T149" s="193">
        <f>IF(P149&lt;&gt;"", VLOOKUP(P149,RailDefinition!T:T,2,FALSE), "")</f>
      </c>
      <c r="U149" s="192"/>
      <c r="AA149" s="193">
        <f>IF(W149&lt;&gt;"", VLOOKUP(W149,RailDefinition!T:T,2,FALSE), "")</f>
      </c>
      <c r="AH149" s="193">
        <f>IF(AD149&lt;&gt;"", VLOOKUP(AD149,RailDefinition!BJ:BL,2,FALSE), "")</f>
      </c>
    </row>
    <row r="150">
      <c r="C150" s="194"/>
      <c r="D150" s="16"/>
      <c r="E150" s="192"/>
      <c r="F150" s="195">
        <f>IF(B150&lt;&gt;"", VLOOKUP(B150,RailDefinition!T:T,2,FALSE), "")</f>
      </c>
      <c r="G150" s="192"/>
      <c r="J150" s="194"/>
      <c r="K150" s="16"/>
      <c r="L150" s="192"/>
      <c r="M150" s="195">
        <f>IF(I150&lt;&gt;"", VLOOKUP(I150,RailDefinition!T:T,2,FALSE), "")</f>
      </c>
      <c r="N150" s="192"/>
      <c r="Q150" s="194"/>
      <c r="R150" s="16"/>
      <c r="S150" s="192"/>
      <c r="T150" s="193">
        <f>IF(P150&lt;&gt;"", VLOOKUP(P150,RailDefinition!T:T,2,FALSE), "")</f>
      </c>
      <c r="U150" s="192"/>
      <c r="AA150" s="193">
        <f>IF(W150&lt;&gt;"", VLOOKUP(W150,RailDefinition!T:T,2,FALSE), "")</f>
      </c>
      <c r="AH150" s="193">
        <f>IF(AD150&lt;&gt;"", VLOOKUP(AD150,RailDefinition!BJ:BL,2,FALSE), "")</f>
      </c>
    </row>
    <row r="151">
      <c r="C151" s="194"/>
      <c r="D151" s="16"/>
      <c r="E151" s="192"/>
      <c r="F151" s="195">
        <f>IF(B151&lt;&gt;"", VLOOKUP(B151,RailDefinition!T:T,2,FALSE), "")</f>
      </c>
      <c r="G151" s="192"/>
      <c r="J151" s="194"/>
      <c r="K151" s="16"/>
      <c r="L151" s="192"/>
      <c r="M151" s="195">
        <f>IF(I151&lt;&gt;"", VLOOKUP(I151,RailDefinition!T:T,2,FALSE), "")</f>
      </c>
      <c r="N151" s="192"/>
      <c r="Q151" s="194"/>
      <c r="R151" s="16"/>
      <c r="S151" s="192"/>
      <c r="T151" s="193">
        <f>IF(P151&lt;&gt;"", VLOOKUP(P151,RailDefinition!T:T,2,FALSE), "")</f>
      </c>
      <c r="U151" s="192"/>
      <c r="AA151" s="193">
        <f>IF(W151&lt;&gt;"", VLOOKUP(W151,RailDefinition!T:T,2,FALSE), "")</f>
      </c>
      <c r="AH151" s="193">
        <f>IF(AD151&lt;&gt;"", VLOOKUP(AD151,RailDefinition!BJ:BL,2,FALSE), "")</f>
      </c>
    </row>
    <row r="152">
      <c r="C152" s="194"/>
      <c r="D152" s="16"/>
      <c r="E152" s="192"/>
      <c r="F152" s="195">
        <f>IF(B152&lt;&gt;"", VLOOKUP(B152,RailDefinition!T:T,2,FALSE), "")</f>
      </c>
      <c r="G152" s="192"/>
      <c r="J152" s="194"/>
      <c r="K152" s="16"/>
      <c r="L152" s="192"/>
      <c r="M152" s="195">
        <f>IF(I152&lt;&gt;"", VLOOKUP(I152,RailDefinition!T:T,2,FALSE), "")</f>
      </c>
      <c r="N152" s="192"/>
      <c r="Q152" s="194"/>
      <c r="R152" s="16"/>
      <c r="S152" s="192"/>
      <c r="T152" s="193">
        <f>IF(P152&lt;&gt;"", VLOOKUP(P152,RailDefinition!T:T,2,FALSE), "")</f>
      </c>
      <c r="U152" s="192"/>
      <c r="AA152" s="193">
        <f>IF(W152&lt;&gt;"", VLOOKUP(W152,RailDefinition!T:T,2,FALSE), "")</f>
      </c>
      <c r="AH152" s="193">
        <f>IF(AD152&lt;&gt;"", VLOOKUP(AD152,RailDefinition!BJ:BL,2,FALSE), "")</f>
      </c>
    </row>
    <row r="153">
      <c r="C153" s="194"/>
      <c r="D153" s="16"/>
      <c r="E153" s="192"/>
      <c r="F153" s="195">
        <f>IF(B153&lt;&gt;"", VLOOKUP(B153,RailDefinition!T:T,2,FALSE), "")</f>
      </c>
      <c r="G153" s="192"/>
      <c r="J153" s="194"/>
      <c r="K153" s="16"/>
      <c r="L153" s="192"/>
      <c r="M153" s="195">
        <f>IF(I153&lt;&gt;"", VLOOKUP(I153,RailDefinition!T:T,2,FALSE), "")</f>
      </c>
      <c r="N153" s="192"/>
      <c r="Q153" s="194"/>
      <c r="R153" s="16"/>
      <c r="S153" s="192"/>
      <c r="T153" s="193">
        <f>IF(P153&lt;&gt;"", VLOOKUP(P153,RailDefinition!T:T,2,FALSE), "")</f>
      </c>
      <c r="U153" s="192"/>
      <c r="AA153" s="193">
        <f>IF(W153&lt;&gt;"", VLOOKUP(W153,RailDefinition!T:T,2,FALSE), "")</f>
      </c>
      <c r="AH153" s="193">
        <f>IF(AD153&lt;&gt;"", VLOOKUP(AD153,RailDefinition!BJ:BL,2,FALSE), "")</f>
      </c>
    </row>
    <row r="154">
      <c r="C154" s="194"/>
      <c r="D154" s="16"/>
      <c r="E154" s="192"/>
      <c r="F154" s="195">
        <f>IF(B154&lt;&gt;"", VLOOKUP(B154,RailDefinition!T:T,2,FALSE), "")</f>
      </c>
      <c r="G154" s="192"/>
      <c r="J154" s="194"/>
      <c r="K154" s="16"/>
      <c r="L154" s="192"/>
      <c r="M154" s="195">
        <f>IF(I154&lt;&gt;"", VLOOKUP(I154,RailDefinition!T:T,2,FALSE), "")</f>
      </c>
      <c r="N154" s="192"/>
      <c r="Q154" s="194"/>
      <c r="R154" s="16"/>
      <c r="S154" s="192"/>
      <c r="T154" s="193">
        <f>IF(P154&lt;&gt;"", VLOOKUP(P154,RailDefinition!T:T,2,FALSE), "")</f>
      </c>
      <c r="U154" s="192"/>
      <c r="AA154" s="193">
        <f>IF(W154&lt;&gt;"", VLOOKUP(W154,RailDefinition!T:T,2,FALSE), "")</f>
      </c>
      <c r="AH154" s="193">
        <f>IF(AD154&lt;&gt;"", VLOOKUP(AD154,RailDefinition!BJ:BL,2,FALSE), "")</f>
      </c>
    </row>
    <row r="155">
      <c r="C155" s="194"/>
      <c r="D155" s="16"/>
      <c r="E155" s="192"/>
      <c r="F155" s="195">
        <f>IF(B155&lt;&gt;"", VLOOKUP(B155,RailDefinition!T:T,2,FALSE), "")</f>
      </c>
      <c r="G155" s="192"/>
      <c r="J155" s="194"/>
      <c r="K155" s="16"/>
      <c r="L155" s="192"/>
      <c r="M155" s="195">
        <f>IF(I155&lt;&gt;"", VLOOKUP(I155,RailDefinition!T:T,2,FALSE), "")</f>
      </c>
      <c r="N155" s="192"/>
      <c r="Q155" s="194"/>
      <c r="R155" s="16"/>
      <c r="S155" s="192"/>
      <c r="T155" s="193">
        <f>IF(P155&lt;&gt;"", VLOOKUP(P155,RailDefinition!T:T,2,FALSE), "")</f>
      </c>
      <c r="U155" s="192"/>
      <c r="AA155" s="193">
        <f>IF(W155&lt;&gt;"", VLOOKUP(W155,RailDefinition!T:T,2,FALSE), "")</f>
      </c>
      <c r="AH155" s="193">
        <f>IF(AD155&lt;&gt;"", VLOOKUP(AD155,RailDefinition!BJ:BL,2,FALSE), "")</f>
      </c>
    </row>
    <row r="156">
      <c r="C156" s="194"/>
      <c r="D156" s="16"/>
      <c r="E156" s="192"/>
      <c r="F156" s="195">
        <f>IF(B156&lt;&gt;"", VLOOKUP(B156,RailDefinition!T:T,2,FALSE), "")</f>
      </c>
      <c r="G156" s="192"/>
      <c r="J156" s="194"/>
      <c r="K156" s="16"/>
      <c r="L156" s="192"/>
      <c r="M156" s="195">
        <f>IF(I156&lt;&gt;"", VLOOKUP(I156,RailDefinition!T:T,2,FALSE), "")</f>
      </c>
      <c r="N156" s="192"/>
      <c r="Q156" s="194"/>
      <c r="R156" s="16"/>
      <c r="S156" s="192"/>
      <c r="T156" s="193">
        <f>IF(P156&lt;&gt;"", VLOOKUP(P156,RailDefinition!T:T,2,FALSE), "")</f>
      </c>
      <c r="U156" s="192"/>
      <c r="AA156" s="193">
        <f>IF(W156&lt;&gt;"", VLOOKUP(W156,RailDefinition!T:T,2,FALSE), "")</f>
      </c>
      <c r="AH156" s="193">
        <f>IF(AD156&lt;&gt;"", VLOOKUP(AD156,RailDefinition!BJ:BL,2,FALSE), "")</f>
      </c>
    </row>
    <row r="157">
      <c r="C157" s="194"/>
      <c r="D157" s="16"/>
      <c r="E157" s="192"/>
      <c r="F157" s="195">
        <f>IF(B157&lt;&gt;"", VLOOKUP(B157,RailDefinition!T:T,2,FALSE), "")</f>
      </c>
      <c r="G157" s="192"/>
      <c r="J157" s="194"/>
      <c r="K157" s="16"/>
      <c r="L157" s="192"/>
      <c r="M157" s="195">
        <f>IF(I157&lt;&gt;"", VLOOKUP(I157,RailDefinition!T:T,2,FALSE), "")</f>
      </c>
      <c r="N157" s="192"/>
      <c r="Q157" s="194"/>
      <c r="R157" s="16"/>
      <c r="S157" s="192"/>
      <c r="T157" s="193">
        <f>IF(P157&lt;&gt;"", VLOOKUP(P157,RailDefinition!T:T,2,FALSE), "")</f>
      </c>
      <c r="U157" s="192"/>
      <c r="AA157" s="193">
        <f>IF(W157&lt;&gt;"", VLOOKUP(W157,RailDefinition!T:T,2,FALSE), "")</f>
      </c>
      <c r="AH157" s="193">
        <f>IF(AD157&lt;&gt;"", VLOOKUP(AD157,RailDefinition!BJ:BL,2,FALSE), "")</f>
      </c>
    </row>
    <row r="158">
      <c r="C158" s="194"/>
      <c r="D158" s="16"/>
      <c r="E158" s="192"/>
      <c r="F158" s="195">
        <f>IF(B158&lt;&gt;"", VLOOKUP(B158,RailDefinition!T:T,2,FALSE), "")</f>
      </c>
      <c r="G158" s="192"/>
      <c r="J158" s="194"/>
      <c r="K158" s="16"/>
      <c r="L158" s="192"/>
      <c r="M158" s="195">
        <f>IF(I158&lt;&gt;"", VLOOKUP(I158,RailDefinition!T:T,2,FALSE), "")</f>
      </c>
      <c r="N158" s="192"/>
      <c r="Q158" s="194"/>
      <c r="R158" s="16"/>
      <c r="S158" s="192"/>
      <c r="T158" s="193">
        <f>IF(P158&lt;&gt;"", VLOOKUP(P158,RailDefinition!T:T,2,FALSE), "")</f>
      </c>
      <c r="U158" s="192"/>
      <c r="AA158" s="193">
        <f>IF(W158&lt;&gt;"", VLOOKUP(W158,RailDefinition!T:T,2,FALSE), "")</f>
      </c>
      <c r="AH158" s="193">
        <f>IF(AD158&lt;&gt;"", VLOOKUP(AD158,RailDefinition!BJ:BL,2,FALSE), "")</f>
      </c>
    </row>
    <row r="159">
      <c r="C159" s="194"/>
      <c r="D159" s="16"/>
      <c r="E159" s="192"/>
      <c r="F159" s="195">
        <f>IF(B159&lt;&gt;"", VLOOKUP(B159,RailDefinition!T:T,2,FALSE), "")</f>
      </c>
      <c r="G159" s="192"/>
      <c r="J159" s="194"/>
      <c r="K159" s="16"/>
      <c r="L159" s="192"/>
      <c r="M159" s="195">
        <f>IF(I159&lt;&gt;"", VLOOKUP(I159,RailDefinition!T:T,2,FALSE), "")</f>
      </c>
      <c r="N159" s="192"/>
      <c r="Q159" s="194"/>
      <c r="R159" s="16"/>
      <c r="S159" s="192"/>
      <c r="T159" s="193">
        <f>IF(P159&lt;&gt;"", VLOOKUP(P159,RailDefinition!T:T,2,FALSE), "")</f>
      </c>
      <c r="U159" s="192"/>
      <c r="AA159" s="193">
        <f>IF(W159&lt;&gt;"", VLOOKUP(W159,RailDefinition!T:T,2,FALSE), "")</f>
      </c>
      <c r="AH159" s="193">
        <f>IF(AD159&lt;&gt;"", VLOOKUP(AD159,RailDefinition!BJ:BL,2,FALSE), "")</f>
      </c>
    </row>
    <row r="160">
      <c r="C160" s="194"/>
      <c r="D160" s="16"/>
      <c r="E160" s="192"/>
      <c r="F160" s="195">
        <f>IF(B160&lt;&gt;"", VLOOKUP(B160,RailDefinition!T:T,2,FALSE), "")</f>
      </c>
      <c r="G160" s="192"/>
      <c r="J160" s="194"/>
      <c r="K160" s="16"/>
      <c r="L160" s="192"/>
      <c r="M160" s="195">
        <f>IF(I160&lt;&gt;"", VLOOKUP(I160,RailDefinition!T:T,2,FALSE), "")</f>
      </c>
      <c r="N160" s="192"/>
      <c r="Q160" s="194"/>
      <c r="R160" s="16"/>
      <c r="S160" s="192"/>
      <c r="T160" s="193">
        <f>IF(P160&lt;&gt;"", VLOOKUP(P160,RailDefinition!T:T,2,FALSE), "")</f>
      </c>
      <c r="U160" s="192"/>
      <c r="AA160" s="193">
        <f>IF(W160&lt;&gt;"", VLOOKUP(W160,RailDefinition!T:T,2,FALSE), "")</f>
      </c>
      <c r="AH160" s="193">
        <f>IF(AD160&lt;&gt;"", VLOOKUP(AD160,RailDefinition!BJ:BL,2,FALSE), "")</f>
      </c>
    </row>
    <row r="161">
      <c r="C161" s="194"/>
      <c r="D161" s="16"/>
      <c r="E161" s="192"/>
      <c r="F161" s="195">
        <f>IF(B161&lt;&gt;"", VLOOKUP(B161,RailDefinition!T:T,2,FALSE), "")</f>
      </c>
      <c r="G161" s="192"/>
      <c r="J161" s="194"/>
      <c r="K161" s="16"/>
      <c r="L161" s="192"/>
      <c r="M161" s="195">
        <f>IF(I161&lt;&gt;"", VLOOKUP(I161,RailDefinition!T:T,2,FALSE), "")</f>
      </c>
      <c r="N161" s="192"/>
      <c r="Q161" s="194"/>
      <c r="R161" s="16"/>
      <c r="S161" s="192"/>
      <c r="T161" s="193">
        <f>IF(P161&lt;&gt;"", VLOOKUP(P161,RailDefinition!T:T,2,FALSE), "")</f>
      </c>
      <c r="U161" s="192"/>
      <c r="AA161" s="193">
        <f>IF(W161&lt;&gt;"", VLOOKUP(W161,RailDefinition!T:T,2,FALSE), "")</f>
      </c>
      <c r="AH161" s="193">
        <f>IF(AD161&lt;&gt;"", VLOOKUP(AD161,RailDefinition!BJ:BL,2,FALSE), "")</f>
      </c>
    </row>
    <row r="162">
      <c r="C162" s="194"/>
      <c r="D162" s="16"/>
      <c r="E162" s="192"/>
      <c r="F162" s="195">
        <f>IF(B162&lt;&gt;"", VLOOKUP(B162,RailDefinition!T:T,2,FALSE), "")</f>
      </c>
      <c r="G162" s="192"/>
      <c r="J162" s="194"/>
      <c r="K162" s="16"/>
      <c r="L162" s="192"/>
      <c r="M162" s="195">
        <f>IF(I162&lt;&gt;"", VLOOKUP(I162,RailDefinition!T:T,2,FALSE), "")</f>
      </c>
      <c r="N162" s="192"/>
      <c r="Q162" s="194"/>
      <c r="R162" s="16"/>
      <c r="S162" s="192"/>
      <c r="T162" s="193">
        <f>IF(P162&lt;&gt;"", VLOOKUP(P162,RailDefinition!T:T,2,FALSE), "")</f>
      </c>
      <c r="U162" s="192"/>
      <c r="AA162" s="193">
        <f>IF(W162&lt;&gt;"", VLOOKUP(W162,RailDefinition!T:T,2,FALSE), "")</f>
      </c>
      <c r="AH162" s="193">
        <f>IF(AD162&lt;&gt;"", VLOOKUP(AD162,RailDefinition!BJ:BL,2,FALSE), "")</f>
      </c>
    </row>
    <row r="163">
      <c r="C163" s="194"/>
      <c r="D163" s="16"/>
      <c r="E163" s="192"/>
      <c r="F163" s="195">
        <f>IF(B163&lt;&gt;"", VLOOKUP(B163,RailDefinition!T:T,2,FALSE), "")</f>
      </c>
      <c r="G163" s="192"/>
      <c r="J163" s="194"/>
      <c r="K163" s="16"/>
      <c r="L163" s="192"/>
      <c r="M163" s="195">
        <f>IF(I163&lt;&gt;"", VLOOKUP(I163,RailDefinition!T:T,2,FALSE), "")</f>
      </c>
      <c r="N163" s="192"/>
      <c r="Q163" s="194"/>
      <c r="R163" s="16"/>
      <c r="S163" s="192"/>
      <c r="T163" s="193">
        <f>IF(P163&lt;&gt;"", VLOOKUP(P163,RailDefinition!T:T,2,FALSE), "")</f>
      </c>
      <c r="U163" s="192"/>
      <c r="AA163" s="193">
        <f>IF(W163&lt;&gt;"", VLOOKUP(W163,RailDefinition!T:T,2,FALSE), "")</f>
      </c>
      <c r="AH163" s="193">
        <f>IF(AD163&lt;&gt;"", VLOOKUP(AD163,RailDefinition!BJ:BL,2,FALSE), "")</f>
      </c>
    </row>
    <row r="164">
      <c r="C164" s="194"/>
      <c r="D164" s="16"/>
      <c r="E164" s="192"/>
      <c r="F164" s="195">
        <f>IF(B164&lt;&gt;"", VLOOKUP(B164,RailDefinition!T:T,2,FALSE), "")</f>
      </c>
      <c r="G164" s="192"/>
      <c r="J164" s="194"/>
      <c r="K164" s="16"/>
      <c r="L164" s="192"/>
      <c r="M164" s="195">
        <f>IF(I164&lt;&gt;"", VLOOKUP(I164,RailDefinition!T:T,2,FALSE), "")</f>
      </c>
      <c r="N164" s="192"/>
      <c r="Q164" s="194"/>
      <c r="R164" s="16"/>
      <c r="S164" s="192"/>
      <c r="T164" s="193">
        <f>IF(P164&lt;&gt;"", VLOOKUP(P164,RailDefinition!T:T,2,FALSE), "")</f>
      </c>
      <c r="U164" s="192"/>
      <c r="AA164" s="193">
        <f>IF(W164&lt;&gt;"", VLOOKUP(W164,RailDefinition!T:T,2,FALSE), "")</f>
      </c>
      <c r="AH164" s="193">
        <f>IF(AD164&lt;&gt;"", VLOOKUP(AD164,RailDefinition!BJ:BL,2,FALSE), "")</f>
      </c>
    </row>
    <row r="165">
      <c r="C165" s="194"/>
      <c r="D165" s="16"/>
      <c r="E165" s="192"/>
      <c r="F165" s="195">
        <f>IF(B165&lt;&gt;"", VLOOKUP(B165,RailDefinition!T:T,2,FALSE), "")</f>
      </c>
      <c r="G165" s="192"/>
      <c r="J165" s="194"/>
      <c r="K165" s="16"/>
      <c r="L165" s="192"/>
      <c r="M165" s="195">
        <f>IF(I165&lt;&gt;"", VLOOKUP(I165,RailDefinition!T:T,2,FALSE), "")</f>
      </c>
      <c r="N165" s="192"/>
      <c r="Q165" s="194"/>
      <c r="R165" s="16"/>
      <c r="S165" s="192"/>
      <c r="T165" s="193">
        <f>IF(P165&lt;&gt;"", VLOOKUP(P165,RailDefinition!T:T,2,FALSE), "")</f>
      </c>
      <c r="U165" s="192"/>
      <c r="AA165" s="193">
        <f>IF(W165&lt;&gt;"", VLOOKUP(W165,RailDefinition!T:T,2,FALSE), "")</f>
      </c>
      <c r="AH165" s="193">
        <f>IF(AD165&lt;&gt;"", VLOOKUP(AD165,RailDefinition!BJ:BL,2,FALSE), "")</f>
      </c>
    </row>
    <row r="166">
      <c r="C166" s="194"/>
      <c r="D166" s="16"/>
      <c r="E166" s="192"/>
      <c r="F166" s="195">
        <f>IF(B166&lt;&gt;"", VLOOKUP(B166,RailDefinition!T:T,2,FALSE), "")</f>
      </c>
      <c r="G166" s="192"/>
      <c r="J166" s="194"/>
      <c r="K166" s="16"/>
      <c r="L166" s="192"/>
      <c r="M166" s="195">
        <f>IF(I166&lt;&gt;"", VLOOKUP(I166,RailDefinition!T:T,2,FALSE), "")</f>
      </c>
      <c r="N166" s="192"/>
      <c r="Q166" s="194"/>
      <c r="R166" s="16"/>
      <c r="S166" s="192"/>
      <c r="T166" s="193">
        <f>IF(P166&lt;&gt;"", VLOOKUP(P166,RailDefinition!T:T,2,FALSE), "")</f>
      </c>
      <c r="U166" s="192"/>
      <c r="AA166" s="193">
        <f>IF(W166&lt;&gt;"", VLOOKUP(W166,RailDefinition!T:T,2,FALSE), "")</f>
      </c>
      <c r="AH166" s="193">
        <f>IF(AD166&lt;&gt;"", VLOOKUP(AD166,RailDefinition!BJ:BL,2,FALSE), "")</f>
      </c>
    </row>
    <row r="167">
      <c r="C167" s="194"/>
      <c r="D167" s="16"/>
      <c r="E167" s="192"/>
      <c r="F167" s="195">
        <f>IF(B167&lt;&gt;"", VLOOKUP(B167,RailDefinition!T:T,2,FALSE), "")</f>
      </c>
      <c r="G167" s="192"/>
      <c r="J167" s="194"/>
      <c r="K167" s="16"/>
      <c r="L167" s="192"/>
      <c r="M167" s="195">
        <f>IF(I167&lt;&gt;"", VLOOKUP(I167,RailDefinition!T:T,2,FALSE), "")</f>
      </c>
      <c r="N167" s="192"/>
      <c r="Q167" s="194"/>
      <c r="R167" s="16"/>
      <c r="S167" s="192"/>
      <c r="T167" s="193">
        <f>IF(P167&lt;&gt;"", VLOOKUP(P167,RailDefinition!T:T,2,FALSE), "")</f>
      </c>
      <c r="U167" s="192"/>
      <c r="AA167" s="193">
        <f>IF(W167&lt;&gt;"", VLOOKUP(W167,RailDefinition!T:T,2,FALSE), "")</f>
      </c>
      <c r="AH167" s="193">
        <f>IF(AD167&lt;&gt;"", VLOOKUP(AD167,RailDefinition!BJ:BL,2,FALSE), "")</f>
      </c>
    </row>
    <row r="168">
      <c r="C168" s="194"/>
      <c r="D168" s="16"/>
      <c r="E168" s="192"/>
      <c r="F168" s="195">
        <f>IF(B168&lt;&gt;"", VLOOKUP(B168,RailDefinition!T:T,2,FALSE), "")</f>
      </c>
      <c r="G168" s="192"/>
      <c r="J168" s="194"/>
      <c r="K168" s="16"/>
      <c r="L168" s="192"/>
      <c r="M168" s="195">
        <f>IF(I168&lt;&gt;"", VLOOKUP(I168,RailDefinition!T:T,2,FALSE), "")</f>
      </c>
      <c r="N168" s="192"/>
      <c r="Q168" s="194"/>
      <c r="R168" s="16"/>
      <c r="S168" s="192"/>
      <c r="T168" s="193">
        <f>IF(P168&lt;&gt;"", VLOOKUP(P168,RailDefinition!T:T,2,FALSE), "")</f>
      </c>
      <c r="U168" s="192"/>
      <c r="AA168" s="193">
        <f>IF(W168&lt;&gt;"", VLOOKUP(W168,RailDefinition!T:T,2,FALSE), "")</f>
      </c>
      <c r="AH168" s="193">
        <f>IF(AD168&lt;&gt;"", VLOOKUP(AD168,RailDefinition!BJ:BL,2,FALSE), "")</f>
      </c>
    </row>
    <row r="169">
      <c r="C169" s="194"/>
      <c r="D169" s="16"/>
      <c r="E169" s="192"/>
      <c r="F169" s="195">
        <f>IF(B169&lt;&gt;"", VLOOKUP(B169,RailDefinition!T:T,2,FALSE), "")</f>
      </c>
      <c r="G169" s="192"/>
      <c r="J169" s="194"/>
      <c r="K169" s="16"/>
      <c r="L169" s="192"/>
      <c r="M169" s="195">
        <f>IF(I169&lt;&gt;"", VLOOKUP(I169,RailDefinition!T:T,2,FALSE), "")</f>
      </c>
      <c r="N169" s="192"/>
      <c r="Q169" s="194"/>
      <c r="R169" s="16"/>
      <c r="S169" s="192"/>
      <c r="T169" s="193">
        <f>IF(P169&lt;&gt;"", VLOOKUP(P169,RailDefinition!T:T,2,FALSE), "")</f>
      </c>
      <c r="U169" s="192"/>
      <c r="AA169" s="193">
        <f>IF(W169&lt;&gt;"", VLOOKUP(W169,RailDefinition!T:T,2,FALSE), "")</f>
      </c>
      <c r="AH169" s="193">
        <f>IF(AD169&lt;&gt;"", VLOOKUP(AD169,RailDefinition!BJ:BL,2,FALSE), "")</f>
      </c>
    </row>
    <row r="170">
      <c r="C170" s="194"/>
      <c r="D170" s="16"/>
      <c r="E170" s="192"/>
      <c r="F170" s="195">
        <f>IF(B170&lt;&gt;"", VLOOKUP(B170,RailDefinition!T:T,2,FALSE), "")</f>
      </c>
      <c r="G170" s="192"/>
      <c r="J170" s="194"/>
      <c r="K170" s="16"/>
      <c r="L170" s="192"/>
      <c r="M170" s="195">
        <f>IF(I170&lt;&gt;"", VLOOKUP(I170,RailDefinition!T:T,2,FALSE), "")</f>
      </c>
      <c r="N170" s="192"/>
      <c r="Q170" s="194"/>
      <c r="R170" s="16"/>
      <c r="S170" s="192"/>
      <c r="T170" s="193">
        <f>IF(P170&lt;&gt;"", VLOOKUP(P170,RailDefinition!T:T,2,FALSE), "")</f>
      </c>
      <c r="U170" s="192"/>
      <c r="AA170" s="193">
        <f>IF(W170&lt;&gt;"", VLOOKUP(W170,RailDefinition!T:T,2,FALSE), "")</f>
      </c>
      <c r="AH170" s="193">
        <f>IF(AD170&lt;&gt;"", VLOOKUP(AD170,RailDefinition!BJ:BL,2,FALSE), "")</f>
      </c>
    </row>
    <row r="171">
      <c r="C171" s="194"/>
      <c r="D171" s="16"/>
      <c r="E171" s="192"/>
      <c r="F171" s="195">
        <f>IF(B171&lt;&gt;"", VLOOKUP(B171,RailDefinition!T:T,2,FALSE), "")</f>
      </c>
      <c r="G171" s="192"/>
      <c r="J171" s="194"/>
      <c r="K171" s="16"/>
      <c r="L171" s="192"/>
      <c r="M171" s="195">
        <f>IF(I171&lt;&gt;"", VLOOKUP(I171,RailDefinition!T:T,2,FALSE), "")</f>
      </c>
      <c r="N171" s="192"/>
      <c r="Q171" s="194"/>
      <c r="R171" s="16"/>
      <c r="S171" s="192"/>
      <c r="T171" s="193">
        <f>IF(P171&lt;&gt;"", VLOOKUP(P171,RailDefinition!T:T,2,FALSE), "")</f>
      </c>
      <c r="U171" s="192"/>
      <c r="AA171" s="193">
        <f>IF(W171&lt;&gt;"", VLOOKUP(W171,RailDefinition!T:T,2,FALSE), "")</f>
      </c>
      <c r="AH171" s="193">
        <f>IF(AD171&lt;&gt;"", VLOOKUP(AD171,RailDefinition!BJ:BL,2,FALSE), "")</f>
      </c>
    </row>
    <row r="172">
      <c r="C172" s="194"/>
      <c r="D172" s="16"/>
      <c r="E172" s="192"/>
      <c r="F172" s="195">
        <f>IF(B172&lt;&gt;"", VLOOKUP(B172,RailDefinition!T:T,2,FALSE), "")</f>
      </c>
      <c r="G172" s="192"/>
      <c r="J172" s="194"/>
      <c r="K172" s="16"/>
      <c r="L172" s="192"/>
      <c r="M172" s="195">
        <f>IF(I172&lt;&gt;"", VLOOKUP(I172,RailDefinition!T:T,2,FALSE), "")</f>
      </c>
      <c r="N172" s="192"/>
      <c r="Q172" s="194"/>
      <c r="R172" s="16"/>
      <c r="S172" s="192"/>
      <c r="T172" s="193">
        <f>IF(P172&lt;&gt;"", VLOOKUP(P172,RailDefinition!T:T,2,FALSE), "")</f>
      </c>
      <c r="U172" s="192"/>
      <c r="AA172" s="193">
        <f>IF(W172&lt;&gt;"", VLOOKUP(W172,RailDefinition!T:T,2,FALSE), "")</f>
      </c>
      <c r="AH172" s="193">
        <f>IF(AD172&lt;&gt;"", VLOOKUP(AD172,RailDefinition!BJ:BL,2,FALSE), "")</f>
      </c>
    </row>
    <row r="173">
      <c r="C173" s="194"/>
      <c r="D173" s="16"/>
      <c r="E173" s="192"/>
      <c r="F173" s="195">
        <f>IF(B173&lt;&gt;"", VLOOKUP(B173,RailDefinition!T:T,2,FALSE), "")</f>
      </c>
      <c r="G173" s="192"/>
      <c r="J173" s="194"/>
      <c r="K173" s="16"/>
      <c r="L173" s="192"/>
      <c r="M173" s="195">
        <f>IF(I173&lt;&gt;"", VLOOKUP(I173,RailDefinition!T:T,2,FALSE), "")</f>
      </c>
      <c r="N173" s="192"/>
      <c r="Q173" s="194"/>
      <c r="R173" s="16"/>
      <c r="S173" s="192"/>
      <c r="T173" s="193">
        <f>IF(P173&lt;&gt;"", VLOOKUP(P173,RailDefinition!T:T,2,FALSE), "")</f>
      </c>
      <c r="U173" s="192"/>
      <c r="AA173" s="193">
        <f>IF(W173&lt;&gt;"", VLOOKUP(W173,RailDefinition!T:T,2,FALSE), "")</f>
      </c>
      <c r="AH173" s="193">
        <f>IF(AD173&lt;&gt;"", VLOOKUP(AD173,RailDefinition!BJ:BL,2,FALSE), "")</f>
      </c>
    </row>
    <row r="174">
      <c r="C174" s="194"/>
      <c r="D174" s="16"/>
      <c r="E174" s="192"/>
      <c r="F174" s="195">
        <f>IF(B174&lt;&gt;"", VLOOKUP(B174,RailDefinition!T:T,2,FALSE), "")</f>
      </c>
      <c r="G174" s="192"/>
      <c r="J174" s="194"/>
      <c r="K174" s="16"/>
      <c r="L174" s="192"/>
      <c r="M174" s="195">
        <f>IF(I174&lt;&gt;"", VLOOKUP(I174,RailDefinition!T:T,2,FALSE), "")</f>
      </c>
      <c r="N174" s="192"/>
      <c r="Q174" s="194"/>
      <c r="R174" s="16"/>
      <c r="S174" s="192"/>
      <c r="T174" s="193">
        <f>IF(P174&lt;&gt;"", VLOOKUP(P174,RailDefinition!T:T,2,FALSE), "")</f>
      </c>
      <c r="U174" s="192"/>
      <c r="AA174" s="193">
        <f>IF(W174&lt;&gt;"", VLOOKUP(W174,RailDefinition!T:T,2,FALSE), "")</f>
      </c>
      <c r="AH174" s="193">
        <f>IF(AD174&lt;&gt;"", VLOOKUP(AD174,RailDefinition!BJ:BL,2,FALSE), "")</f>
      </c>
    </row>
    <row r="175">
      <c r="C175" s="194"/>
      <c r="D175" s="16"/>
      <c r="E175" s="192"/>
      <c r="F175" s="195">
        <f>IF(B175&lt;&gt;"", VLOOKUP(B175,RailDefinition!T:T,2,FALSE), "")</f>
      </c>
      <c r="G175" s="192"/>
      <c r="J175" s="194"/>
      <c r="K175" s="16"/>
      <c r="L175" s="192"/>
      <c r="M175" s="195">
        <f>IF(I175&lt;&gt;"", VLOOKUP(I175,RailDefinition!T:T,2,FALSE), "")</f>
      </c>
      <c r="N175" s="192"/>
      <c r="Q175" s="194"/>
      <c r="R175" s="16"/>
      <c r="S175" s="192"/>
      <c r="T175" s="193">
        <f>IF(P175&lt;&gt;"", VLOOKUP(P175,RailDefinition!T:T,2,FALSE), "")</f>
      </c>
      <c r="U175" s="192"/>
      <c r="AA175" s="193">
        <f>IF(W175&lt;&gt;"", VLOOKUP(W175,RailDefinition!T:T,2,FALSE), "")</f>
      </c>
      <c r="AH175" s="193">
        <f>IF(AD175&lt;&gt;"", VLOOKUP(AD175,RailDefinition!BJ:BL,2,FALSE), "")</f>
      </c>
    </row>
    <row r="176">
      <c r="C176" s="194"/>
      <c r="D176" s="16"/>
      <c r="E176" s="192"/>
      <c r="F176" s="195">
        <f>IF(B176&lt;&gt;"", VLOOKUP(B176,RailDefinition!T:T,2,FALSE), "")</f>
      </c>
      <c r="G176" s="192"/>
      <c r="J176" s="194"/>
      <c r="K176" s="16"/>
      <c r="L176" s="192"/>
      <c r="M176" s="195">
        <f>IF(I176&lt;&gt;"", VLOOKUP(I176,RailDefinition!T:T,2,FALSE), "")</f>
      </c>
      <c r="N176" s="192"/>
      <c r="Q176" s="194"/>
      <c r="R176" s="16"/>
      <c r="S176" s="192"/>
      <c r="T176" s="193">
        <f>IF(P176&lt;&gt;"", VLOOKUP(P176,RailDefinition!T:T,2,FALSE), "")</f>
      </c>
      <c r="U176" s="192"/>
      <c r="AA176" s="193">
        <f>IF(W176&lt;&gt;"", VLOOKUP(W176,RailDefinition!T:T,2,FALSE), "")</f>
      </c>
      <c r="AH176" s="193">
        <f>IF(AD176&lt;&gt;"", VLOOKUP(AD176,RailDefinition!BJ:BL,2,FALSE), "")</f>
      </c>
    </row>
    <row r="177">
      <c r="C177" s="194"/>
      <c r="D177" s="16"/>
      <c r="E177" s="192"/>
      <c r="F177" s="195">
        <f>IF(B177&lt;&gt;"", VLOOKUP(B177,RailDefinition!T:T,2,FALSE), "")</f>
      </c>
      <c r="G177" s="192"/>
      <c r="J177" s="194"/>
      <c r="K177" s="16"/>
      <c r="L177" s="192"/>
      <c r="M177" s="195">
        <f>IF(I177&lt;&gt;"", VLOOKUP(I177,RailDefinition!T:T,2,FALSE), "")</f>
      </c>
      <c r="N177" s="192"/>
      <c r="Q177" s="194"/>
      <c r="R177" s="16"/>
      <c r="S177" s="192"/>
      <c r="T177" s="193">
        <f>IF(P177&lt;&gt;"", VLOOKUP(P177,RailDefinition!T:T,2,FALSE), "")</f>
      </c>
      <c r="U177" s="192"/>
      <c r="AA177" s="193">
        <f>IF(W177&lt;&gt;"", VLOOKUP(W177,RailDefinition!T:T,2,FALSE), "")</f>
      </c>
      <c r="AH177" s="193">
        <f>IF(AD177&lt;&gt;"", VLOOKUP(AD177,RailDefinition!BJ:BL,2,FALSE), "")</f>
      </c>
    </row>
    <row r="178">
      <c r="C178" s="194"/>
      <c r="D178" s="16"/>
      <c r="E178" s="192"/>
      <c r="F178" s="195">
        <f>IF(B178&lt;&gt;"", VLOOKUP(B178,RailDefinition!T:T,2,FALSE), "")</f>
      </c>
      <c r="G178" s="192"/>
      <c r="J178" s="194"/>
      <c r="K178" s="16"/>
      <c r="L178" s="192"/>
      <c r="M178" s="195">
        <f>IF(I178&lt;&gt;"", VLOOKUP(I178,RailDefinition!T:T,2,FALSE), "")</f>
      </c>
      <c r="N178" s="192"/>
      <c r="Q178" s="194"/>
      <c r="R178" s="16"/>
      <c r="S178" s="192"/>
      <c r="T178" s="193">
        <f>IF(P178&lt;&gt;"", VLOOKUP(P178,RailDefinition!T:T,2,FALSE), "")</f>
      </c>
      <c r="U178" s="192"/>
      <c r="AA178" s="193">
        <f>IF(W178&lt;&gt;"", VLOOKUP(W178,RailDefinition!T:T,2,FALSE), "")</f>
      </c>
      <c r="AH178" s="193">
        <f>IF(AD178&lt;&gt;"", VLOOKUP(AD178,RailDefinition!BJ:BL,2,FALSE), "")</f>
      </c>
    </row>
    <row r="179">
      <c r="C179" s="194"/>
      <c r="D179" s="16"/>
      <c r="E179" s="192"/>
      <c r="F179" s="195">
        <f>IF(B179&lt;&gt;"", VLOOKUP(B179,RailDefinition!T:T,2,FALSE), "")</f>
      </c>
      <c r="G179" s="192"/>
      <c r="J179" s="194"/>
      <c r="K179" s="16"/>
      <c r="L179" s="192"/>
      <c r="M179" s="195">
        <f>IF(I179&lt;&gt;"", VLOOKUP(I179,RailDefinition!T:T,2,FALSE), "")</f>
      </c>
      <c r="N179" s="192"/>
      <c r="Q179" s="194"/>
      <c r="R179" s="16"/>
      <c r="S179" s="192"/>
      <c r="T179" s="193">
        <f>IF(P179&lt;&gt;"", VLOOKUP(P179,RailDefinition!T:T,2,FALSE), "")</f>
      </c>
      <c r="U179" s="192"/>
      <c r="AA179" s="193">
        <f>IF(W179&lt;&gt;"", VLOOKUP(W179,RailDefinition!T:T,2,FALSE), "")</f>
      </c>
      <c r="AH179" s="193">
        <f>IF(AD179&lt;&gt;"", VLOOKUP(AD179,RailDefinition!BJ:BL,2,FALSE), "")</f>
      </c>
    </row>
    <row r="180">
      <c r="C180" s="194"/>
      <c r="D180" s="16"/>
      <c r="E180" s="192"/>
      <c r="F180" s="195">
        <f>IF(B180&lt;&gt;"", VLOOKUP(B180,RailDefinition!T:T,2,FALSE), "")</f>
      </c>
      <c r="G180" s="192"/>
      <c r="J180" s="194"/>
      <c r="K180" s="16"/>
      <c r="L180" s="192"/>
      <c r="M180" s="195">
        <f>IF(I180&lt;&gt;"", VLOOKUP(I180,RailDefinition!T:T,2,FALSE), "")</f>
      </c>
      <c r="N180" s="192"/>
      <c r="Q180" s="194"/>
      <c r="R180" s="16"/>
      <c r="S180" s="192"/>
      <c r="T180" s="193">
        <f>IF(P180&lt;&gt;"", VLOOKUP(P180,RailDefinition!T:T,2,FALSE), "")</f>
      </c>
      <c r="U180" s="192"/>
      <c r="AA180" s="193">
        <f>IF(W180&lt;&gt;"", VLOOKUP(W180,RailDefinition!T:T,2,FALSE), "")</f>
      </c>
      <c r="AH180" s="193">
        <f>IF(AD180&lt;&gt;"", VLOOKUP(AD180,RailDefinition!BJ:BL,2,FALSE), "")</f>
      </c>
    </row>
    <row r="181">
      <c r="C181" s="194"/>
      <c r="D181" s="16"/>
      <c r="E181" s="192"/>
      <c r="F181" s="195">
        <f>IF(B181&lt;&gt;"", VLOOKUP(B181,RailDefinition!T:T,2,FALSE), "")</f>
      </c>
      <c r="G181" s="192"/>
      <c r="J181" s="194"/>
      <c r="K181" s="16"/>
      <c r="L181" s="192"/>
      <c r="M181" s="195">
        <f>IF(I181&lt;&gt;"", VLOOKUP(I181,RailDefinition!T:T,2,FALSE), "")</f>
      </c>
      <c r="N181" s="192"/>
      <c r="Q181" s="194"/>
      <c r="R181" s="16"/>
      <c r="S181" s="192"/>
      <c r="T181" s="193">
        <f>IF(P181&lt;&gt;"", VLOOKUP(P181,RailDefinition!T:T,2,FALSE), "")</f>
      </c>
      <c r="U181" s="192"/>
      <c r="AA181" s="193">
        <f>IF(W181&lt;&gt;"", VLOOKUP(W181,RailDefinition!T:T,2,FALSE), "")</f>
      </c>
      <c r="AH181" s="193">
        <f>IF(AD181&lt;&gt;"", VLOOKUP(AD181,RailDefinition!BJ:BL,2,FALSE), "")</f>
      </c>
    </row>
    <row r="182">
      <c r="C182" s="194"/>
      <c r="D182" s="16"/>
      <c r="E182" s="192"/>
      <c r="F182" s="195">
        <f>IF(B182&lt;&gt;"", VLOOKUP(B182,RailDefinition!T:T,2,FALSE), "")</f>
      </c>
      <c r="G182" s="192"/>
      <c r="J182" s="194"/>
      <c r="K182" s="16"/>
      <c r="L182" s="192"/>
      <c r="M182" s="195">
        <f>IF(I182&lt;&gt;"", VLOOKUP(I182,RailDefinition!T:T,2,FALSE), "")</f>
      </c>
      <c r="N182" s="192"/>
      <c r="Q182" s="194"/>
      <c r="R182" s="16"/>
      <c r="S182" s="192"/>
      <c r="T182" s="193">
        <f>IF(P182&lt;&gt;"", VLOOKUP(P182,RailDefinition!T:T,2,FALSE), "")</f>
      </c>
      <c r="U182" s="192"/>
      <c r="AA182" s="193">
        <f>IF(W182&lt;&gt;"", VLOOKUP(W182,RailDefinition!T:T,2,FALSE), "")</f>
      </c>
      <c r="AH182" s="193">
        <f>IF(AD182&lt;&gt;"", VLOOKUP(AD182,RailDefinition!BJ:BL,2,FALSE), "")</f>
      </c>
    </row>
    <row r="183">
      <c r="C183" s="194"/>
      <c r="D183" s="16"/>
      <c r="E183" s="192"/>
      <c r="F183" s="195">
        <f>IF(B183&lt;&gt;"", VLOOKUP(B183,RailDefinition!T:T,2,FALSE), "")</f>
      </c>
      <c r="G183" s="192"/>
      <c r="J183" s="194"/>
      <c r="K183" s="16"/>
      <c r="L183" s="192"/>
      <c r="M183" s="195">
        <f>IF(I183&lt;&gt;"", VLOOKUP(I183,RailDefinition!T:T,2,FALSE), "")</f>
      </c>
      <c r="N183" s="192"/>
      <c r="Q183" s="194"/>
      <c r="R183" s="16"/>
      <c r="S183" s="192"/>
      <c r="T183" s="193">
        <f>IF(P183&lt;&gt;"", VLOOKUP(P183,RailDefinition!T:T,2,FALSE), "")</f>
      </c>
      <c r="U183" s="192"/>
      <c r="AA183" s="193">
        <f>IF(W183&lt;&gt;"", VLOOKUP(W183,RailDefinition!T:T,2,FALSE), "")</f>
      </c>
      <c r="AH183" s="193">
        <f>IF(AD183&lt;&gt;"", VLOOKUP(AD183,RailDefinition!BJ:BL,2,FALSE), "")</f>
      </c>
    </row>
    <row r="184">
      <c r="C184" s="194"/>
      <c r="D184" s="16"/>
      <c r="E184" s="192"/>
      <c r="F184" s="195">
        <f>IF(B184&lt;&gt;"", VLOOKUP(B184,RailDefinition!T:T,2,FALSE), "")</f>
      </c>
      <c r="G184" s="192"/>
      <c r="J184" s="194"/>
      <c r="K184" s="16"/>
      <c r="L184" s="192"/>
      <c r="M184" s="195">
        <f>IF(I184&lt;&gt;"", VLOOKUP(I184,RailDefinition!T:T,2,FALSE), "")</f>
      </c>
      <c r="N184" s="192"/>
      <c r="Q184" s="194"/>
      <c r="R184" s="16"/>
      <c r="S184" s="192"/>
      <c r="T184" s="193">
        <f>IF(P184&lt;&gt;"", VLOOKUP(P184,RailDefinition!T:T,2,FALSE), "")</f>
      </c>
      <c r="U184" s="192"/>
      <c r="AA184" s="193">
        <f>IF(W184&lt;&gt;"", VLOOKUP(W184,RailDefinition!T:T,2,FALSE), "")</f>
      </c>
      <c r="AH184" s="193">
        <f>IF(AD184&lt;&gt;"", VLOOKUP(AD184,RailDefinition!BJ:BL,2,FALSE), "")</f>
      </c>
    </row>
    <row r="185">
      <c r="C185" s="194"/>
      <c r="D185" s="16"/>
      <c r="E185" s="192"/>
      <c r="F185" s="195">
        <f>IF(B185&lt;&gt;"", VLOOKUP(B185,RailDefinition!T:T,2,FALSE), "")</f>
      </c>
      <c r="G185" s="192"/>
      <c r="J185" s="194"/>
      <c r="K185" s="16"/>
      <c r="L185" s="192"/>
      <c r="M185" s="195">
        <f>IF(I185&lt;&gt;"", VLOOKUP(I185,RailDefinition!T:T,2,FALSE), "")</f>
      </c>
      <c r="N185" s="192"/>
      <c r="Q185" s="194"/>
      <c r="R185" s="16"/>
      <c r="S185" s="192"/>
      <c r="T185" s="193">
        <f>IF(P185&lt;&gt;"", VLOOKUP(P185,RailDefinition!T:T,2,FALSE), "")</f>
      </c>
      <c r="U185" s="192"/>
      <c r="AA185" s="193">
        <f>IF(W185&lt;&gt;"", VLOOKUP(W185,RailDefinition!T:T,2,FALSE), "")</f>
      </c>
      <c r="AH185" s="193">
        <f>IF(AD185&lt;&gt;"", VLOOKUP(AD185,RailDefinition!BJ:BL,2,FALSE), "")</f>
      </c>
    </row>
    <row r="186">
      <c r="C186" s="194"/>
      <c r="D186" s="16"/>
      <c r="E186" s="192"/>
      <c r="F186" s="195">
        <f>IF(B186&lt;&gt;"", VLOOKUP(B186,RailDefinition!T:T,2,FALSE), "")</f>
      </c>
      <c r="G186" s="192"/>
      <c r="J186" s="194"/>
      <c r="K186" s="16"/>
      <c r="L186" s="192"/>
      <c r="M186" s="195">
        <f>IF(I186&lt;&gt;"", VLOOKUP(I186,RailDefinition!T:T,2,FALSE), "")</f>
      </c>
      <c r="N186" s="192"/>
      <c r="Q186" s="194"/>
      <c r="R186" s="16"/>
      <c r="S186" s="192"/>
      <c r="T186" s="193">
        <f>IF(P186&lt;&gt;"", VLOOKUP(P186,RailDefinition!T:T,2,FALSE), "")</f>
      </c>
      <c r="U186" s="192"/>
      <c r="AA186" s="193">
        <f>IF(W186&lt;&gt;"", VLOOKUP(W186,RailDefinition!T:T,2,FALSE), "")</f>
      </c>
      <c r="AH186" s="193">
        <f>IF(AD186&lt;&gt;"", VLOOKUP(AD186,RailDefinition!BJ:BL,2,FALSE), "")</f>
      </c>
    </row>
    <row r="187">
      <c r="C187" s="194"/>
      <c r="D187" s="16"/>
      <c r="E187" s="192"/>
      <c r="F187" s="195">
        <f>IF(B187&lt;&gt;"", VLOOKUP(B187,RailDefinition!T:T,2,FALSE), "")</f>
      </c>
      <c r="G187" s="192"/>
      <c r="J187" s="194"/>
      <c r="K187" s="16"/>
      <c r="L187" s="192"/>
      <c r="M187" s="195">
        <f>IF(I187&lt;&gt;"", VLOOKUP(I187,RailDefinition!T:T,2,FALSE), "")</f>
      </c>
      <c r="N187" s="192"/>
      <c r="Q187" s="194"/>
      <c r="R187" s="16"/>
      <c r="S187" s="192"/>
      <c r="T187" s="193">
        <f>IF(P187&lt;&gt;"", VLOOKUP(P187,RailDefinition!T:T,2,FALSE), "")</f>
      </c>
      <c r="U187" s="192"/>
      <c r="AA187" s="193">
        <f>IF(W187&lt;&gt;"", VLOOKUP(W187,RailDefinition!T:T,2,FALSE), "")</f>
      </c>
      <c r="AH187" s="193">
        <f>IF(AD187&lt;&gt;"", VLOOKUP(AD187,RailDefinition!BJ:BL,2,FALSE), "")</f>
      </c>
    </row>
    <row r="188">
      <c r="C188" s="194"/>
      <c r="D188" s="16"/>
      <c r="E188" s="192"/>
      <c r="F188" s="195">
        <f>IF(B188&lt;&gt;"", VLOOKUP(B188,RailDefinition!T:T,2,FALSE), "")</f>
      </c>
      <c r="G188" s="192"/>
      <c r="J188" s="194"/>
      <c r="K188" s="16"/>
      <c r="L188" s="192"/>
      <c r="M188" s="195">
        <f>IF(I188&lt;&gt;"", VLOOKUP(I188,RailDefinition!T:T,2,FALSE), "")</f>
      </c>
      <c r="N188" s="192"/>
      <c r="Q188" s="194"/>
      <c r="R188" s="16"/>
      <c r="S188" s="192"/>
      <c r="T188" s="193">
        <f>IF(P188&lt;&gt;"", VLOOKUP(P188,RailDefinition!T:T,2,FALSE), "")</f>
      </c>
      <c r="U188" s="192"/>
      <c r="AA188" s="193">
        <f>IF(W188&lt;&gt;"", VLOOKUP(W188,RailDefinition!T:T,2,FALSE), "")</f>
      </c>
      <c r="AH188" s="193">
        <f>IF(AD188&lt;&gt;"", VLOOKUP(AD188,RailDefinition!BJ:BL,2,FALSE), "")</f>
      </c>
    </row>
    <row r="189">
      <c r="C189" s="194"/>
      <c r="D189" s="16"/>
      <c r="E189" s="192"/>
      <c r="F189" s="195">
        <f>IF(B189&lt;&gt;"", VLOOKUP(B189,RailDefinition!T:T,2,FALSE), "")</f>
      </c>
      <c r="G189" s="192"/>
      <c r="J189" s="194"/>
      <c r="K189" s="16"/>
      <c r="L189" s="192"/>
      <c r="M189" s="195">
        <f>IF(I189&lt;&gt;"", VLOOKUP(I189,RailDefinition!T:T,2,FALSE), "")</f>
      </c>
      <c r="N189" s="192"/>
      <c r="Q189" s="194"/>
      <c r="R189" s="16"/>
      <c r="S189" s="192"/>
      <c r="T189" s="193">
        <f>IF(P189&lt;&gt;"", VLOOKUP(P189,RailDefinition!T:T,2,FALSE), "")</f>
      </c>
      <c r="U189" s="192"/>
      <c r="AA189" s="193">
        <f>IF(W189&lt;&gt;"", VLOOKUP(W189,RailDefinition!T:T,2,FALSE), "")</f>
      </c>
      <c r="AH189" s="193">
        <f>IF(AD189&lt;&gt;"", VLOOKUP(AD189,RailDefinition!BJ:BL,2,FALSE), "")</f>
      </c>
    </row>
    <row r="190">
      <c r="C190" s="194"/>
      <c r="D190" s="16"/>
      <c r="E190" s="192"/>
      <c r="F190" s="195">
        <f>IF(B190&lt;&gt;"", VLOOKUP(B190,RailDefinition!T:T,2,FALSE), "")</f>
      </c>
      <c r="G190" s="192"/>
      <c r="J190" s="194"/>
      <c r="K190" s="16"/>
      <c r="L190" s="192"/>
      <c r="M190" s="195">
        <f>IF(I190&lt;&gt;"", VLOOKUP(I190,RailDefinition!T:T,2,FALSE), "")</f>
      </c>
      <c r="N190" s="192"/>
      <c r="Q190" s="194"/>
      <c r="R190" s="16"/>
      <c r="S190" s="192"/>
      <c r="T190" s="193">
        <f>IF(P190&lt;&gt;"", VLOOKUP(P190,RailDefinition!T:T,2,FALSE), "")</f>
      </c>
      <c r="U190" s="192"/>
      <c r="AA190" s="193">
        <f>IF(W190&lt;&gt;"", VLOOKUP(W190,RailDefinition!T:T,2,FALSE), "")</f>
      </c>
      <c r="AH190" s="193">
        <f>IF(AD190&lt;&gt;"", VLOOKUP(AD190,RailDefinition!BJ:BL,2,FALSE), "")</f>
      </c>
    </row>
    <row r="191">
      <c r="C191" s="194"/>
      <c r="D191" s="16"/>
      <c r="E191" s="192"/>
      <c r="F191" s="195">
        <f>IF(B191&lt;&gt;"", VLOOKUP(B191,RailDefinition!T:T,2,FALSE), "")</f>
      </c>
      <c r="G191" s="192"/>
      <c r="J191" s="194"/>
      <c r="K191" s="16"/>
      <c r="L191" s="192"/>
      <c r="M191" s="195">
        <f>IF(I191&lt;&gt;"", VLOOKUP(I191,RailDefinition!T:T,2,FALSE), "")</f>
      </c>
      <c r="N191" s="192"/>
      <c r="Q191" s="194"/>
      <c r="R191" s="16"/>
      <c r="S191" s="192"/>
      <c r="T191" s="193">
        <f>IF(P191&lt;&gt;"", VLOOKUP(P191,RailDefinition!T:T,2,FALSE), "")</f>
      </c>
      <c r="U191" s="192"/>
      <c r="AA191" s="193">
        <f>IF(W191&lt;&gt;"", VLOOKUP(W191,RailDefinition!T:T,2,FALSE), "")</f>
      </c>
      <c r="AH191" s="193">
        <f>IF(AD191&lt;&gt;"", VLOOKUP(AD191,RailDefinition!BJ:BL,2,FALSE), "")</f>
      </c>
    </row>
    <row r="192">
      <c r="C192" s="194"/>
      <c r="D192" s="16"/>
      <c r="E192" s="192"/>
      <c r="F192" s="195">
        <f>IF(B192&lt;&gt;"", VLOOKUP(B192,RailDefinition!T:T,2,FALSE), "")</f>
      </c>
      <c r="G192" s="192"/>
      <c r="J192" s="194"/>
      <c r="K192" s="16"/>
      <c r="L192" s="192"/>
      <c r="M192" s="195">
        <f>IF(I192&lt;&gt;"", VLOOKUP(I192,RailDefinition!T:T,2,FALSE), "")</f>
      </c>
      <c r="N192" s="192"/>
      <c r="Q192" s="194"/>
      <c r="R192" s="16"/>
      <c r="S192" s="192"/>
      <c r="T192" s="193">
        <f>IF(P192&lt;&gt;"", VLOOKUP(P192,RailDefinition!T:T,2,FALSE), "")</f>
      </c>
      <c r="U192" s="192"/>
      <c r="AA192" s="193">
        <f>IF(W192&lt;&gt;"", VLOOKUP(W192,RailDefinition!T:T,2,FALSE), "")</f>
      </c>
      <c r="AH192" s="193">
        <f>IF(AD192&lt;&gt;"", VLOOKUP(AD192,RailDefinition!BJ:BL,2,FALSE), "")</f>
      </c>
    </row>
    <row r="193">
      <c r="C193" s="194"/>
      <c r="D193" s="16"/>
      <c r="E193" s="192"/>
      <c r="F193" s="195">
        <f>IF(B193&lt;&gt;"", VLOOKUP(B193,RailDefinition!T:T,2,FALSE), "")</f>
      </c>
      <c r="G193" s="192"/>
      <c r="J193" s="194"/>
      <c r="K193" s="16"/>
      <c r="L193" s="192"/>
      <c r="M193" s="195">
        <f>IF(I193&lt;&gt;"", VLOOKUP(I193,RailDefinition!T:T,2,FALSE), "")</f>
      </c>
      <c r="N193" s="192"/>
      <c r="Q193" s="194"/>
      <c r="R193" s="16"/>
      <c r="S193" s="192"/>
      <c r="T193" s="193">
        <f>IF(P193&lt;&gt;"", VLOOKUP(P193,RailDefinition!T:T,2,FALSE), "")</f>
      </c>
      <c r="U193" s="192"/>
      <c r="AA193" s="193">
        <f>IF(W193&lt;&gt;"", VLOOKUP(W193,RailDefinition!T:T,2,FALSE), "")</f>
      </c>
      <c r="AH193" s="193">
        <f>IF(AD193&lt;&gt;"", VLOOKUP(AD193,RailDefinition!BJ:BL,2,FALSE), "")</f>
      </c>
    </row>
    <row r="194">
      <c r="C194" s="194"/>
      <c r="D194" s="16"/>
      <c r="E194" s="192"/>
      <c r="F194" s="195">
        <f>IF(B194&lt;&gt;"", VLOOKUP(B194,RailDefinition!T:T,2,FALSE), "")</f>
      </c>
      <c r="G194" s="192"/>
      <c r="J194" s="194"/>
      <c r="K194" s="16"/>
      <c r="L194" s="192"/>
      <c r="M194" s="195">
        <f>IF(I194&lt;&gt;"", VLOOKUP(I194,RailDefinition!T:T,2,FALSE), "")</f>
      </c>
      <c r="N194" s="192"/>
      <c r="Q194" s="194"/>
      <c r="R194" s="16"/>
      <c r="S194" s="192"/>
      <c r="T194" s="193">
        <f>IF(P194&lt;&gt;"", VLOOKUP(P194,RailDefinition!T:T,2,FALSE), "")</f>
      </c>
      <c r="U194" s="192"/>
      <c r="AA194" s="193">
        <f>IF(W194&lt;&gt;"", VLOOKUP(W194,RailDefinition!T:T,2,FALSE), "")</f>
      </c>
      <c r="AH194" s="193">
        <f>IF(AD194&lt;&gt;"", VLOOKUP(AD194,RailDefinition!BJ:BL,2,FALSE), "")</f>
      </c>
    </row>
    <row r="195">
      <c r="C195" s="194"/>
      <c r="D195" s="16"/>
      <c r="E195" s="192"/>
      <c r="F195" s="195">
        <f>IF(B195&lt;&gt;"", VLOOKUP(B195,RailDefinition!T:T,2,FALSE), "")</f>
      </c>
      <c r="G195" s="192"/>
      <c r="J195" s="194"/>
      <c r="K195" s="16"/>
      <c r="L195" s="192"/>
      <c r="M195" s="195">
        <f>IF(I195&lt;&gt;"", VLOOKUP(I195,RailDefinition!T:T,2,FALSE), "")</f>
      </c>
      <c r="N195" s="192"/>
      <c r="Q195" s="194"/>
      <c r="R195" s="16"/>
      <c r="S195" s="192"/>
      <c r="T195" s="193">
        <f>IF(P195&lt;&gt;"", VLOOKUP(P195,RailDefinition!T:T,2,FALSE), "")</f>
      </c>
      <c r="U195" s="192"/>
      <c r="AA195" s="193">
        <f>IF(W195&lt;&gt;"", VLOOKUP(W195,RailDefinition!T:T,2,FALSE), "")</f>
      </c>
      <c r="AH195" s="193">
        <f>IF(AD195&lt;&gt;"", VLOOKUP(AD195,RailDefinition!BJ:BL,2,FALSE), "")</f>
      </c>
    </row>
    <row r="196">
      <c r="C196" s="194"/>
      <c r="D196" s="16"/>
      <c r="E196" s="192"/>
      <c r="F196" s="195">
        <f>IF(B196&lt;&gt;"", VLOOKUP(B196,RailDefinition!T:T,2,FALSE), "")</f>
      </c>
      <c r="G196" s="192"/>
      <c r="J196" s="194"/>
      <c r="K196" s="16"/>
      <c r="L196" s="192"/>
      <c r="M196" s="195">
        <f>IF(I196&lt;&gt;"", VLOOKUP(I196,RailDefinition!T:T,2,FALSE), "")</f>
      </c>
      <c r="N196" s="192"/>
      <c r="Q196" s="194"/>
      <c r="R196" s="16"/>
      <c r="S196" s="192"/>
      <c r="T196" s="193">
        <f>IF(P196&lt;&gt;"", VLOOKUP(P196,RailDefinition!T:T,2,FALSE), "")</f>
      </c>
      <c r="U196" s="192"/>
      <c r="AA196" s="193">
        <f>IF(W196&lt;&gt;"", VLOOKUP(W196,RailDefinition!T:T,2,FALSE), "")</f>
      </c>
      <c r="AH196" s="193">
        <f>IF(AD196&lt;&gt;"", VLOOKUP(AD196,RailDefinition!BJ:BL,2,FALSE), "")</f>
      </c>
    </row>
    <row r="197">
      <c r="C197" s="194"/>
      <c r="D197" s="16"/>
      <c r="E197" s="192"/>
      <c r="F197" s="195">
        <f>IF(B197&lt;&gt;"", VLOOKUP(B197,RailDefinition!T:T,2,FALSE), "")</f>
      </c>
      <c r="G197" s="192"/>
      <c r="J197" s="194"/>
      <c r="K197" s="16"/>
      <c r="L197" s="192"/>
      <c r="M197" s="195">
        <f>IF(I197&lt;&gt;"", VLOOKUP(I197,RailDefinition!T:T,2,FALSE), "")</f>
      </c>
      <c r="N197" s="192"/>
      <c r="Q197" s="194"/>
      <c r="R197" s="16"/>
      <c r="S197" s="192"/>
      <c r="T197" s="193">
        <f>IF(P197&lt;&gt;"", VLOOKUP(P197,RailDefinition!T:T,2,FALSE), "")</f>
      </c>
      <c r="U197" s="192"/>
      <c r="AA197" s="193">
        <f>IF(W197&lt;&gt;"", VLOOKUP(W197,RailDefinition!T:T,2,FALSE), "")</f>
      </c>
      <c r="AH197" s="193">
        <f>IF(AD197&lt;&gt;"", VLOOKUP(AD197,RailDefinition!BJ:BL,2,FALSE), "")</f>
      </c>
    </row>
    <row r="198">
      <c r="C198" s="194"/>
      <c r="D198" s="16"/>
      <c r="E198" s="192"/>
      <c r="F198" s="195">
        <f>IF(B198&lt;&gt;"", VLOOKUP(B198,RailDefinition!T:T,2,FALSE), "")</f>
      </c>
      <c r="G198" s="192"/>
      <c r="J198" s="194"/>
      <c r="K198" s="16"/>
      <c r="L198" s="192"/>
      <c r="M198" s="195">
        <f>IF(I198&lt;&gt;"", VLOOKUP(I198,RailDefinition!T:T,2,FALSE), "")</f>
      </c>
      <c r="N198" s="192"/>
      <c r="Q198" s="194"/>
      <c r="R198" s="16"/>
      <c r="S198" s="192"/>
      <c r="T198" s="193">
        <f>IF(P198&lt;&gt;"", VLOOKUP(P198,RailDefinition!T:T,2,FALSE), "")</f>
      </c>
      <c r="U198" s="192"/>
      <c r="AA198" s="193">
        <f>IF(W198&lt;&gt;"", VLOOKUP(W198,RailDefinition!T:T,2,FALSE), "")</f>
      </c>
      <c r="AH198" s="193">
        <f>IF(AD198&lt;&gt;"", VLOOKUP(AD198,RailDefinition!BJ:BL,2,FALSE), "")</f>
      </c>
    </row>
    <row r="199">
      <c r="C199" s="194"/>
      <c r="D199" s="16"/>
      <c r="E199" s="192"/>
      <c r="F199" s="195">
        <f>IF(B199&lt;&gt;"", VLOOKUP(B199,RailDefinition!T:T,2,FALSE), "")</f>
      </c>
      <c r="G199" s="192"/>
      <c r="J199" s="194"/>
      <c r="K199" s="16"/>
      <c r="L199" s="192"/>
      <c r="M199" s="195">
        <f>IF(I199&lt;&gt;"", VLOOKUP(I199,RailDefinition!T:T,2,FALSE), "")</f>
      </c>
      <c r="N199" s="192"/>
      <c r="Q199" s="194"/>
      <c r="R199" s="16"/>
      <c r="S199" s="192"/>
      <c r="T199" s="193">
        <f>IF(P199&lt;&gt;"", VLOOKUP(P199,RailDefinition!T:T,2,FALSE), "")</f>
      </c>
      <c r="U199" s="192"/>
      <c r="AA199" s="193">
        <f>IF(W199&lt;&gt;"", VLOOKUP(W199,RailDefinition!T:T,2,FALSE), "")</f>
      </c>
      <c r="AH199" s="193">
        <f>IF(AD199&lt;&gt;"", VLOOKUP(AD199,RailDefinition!BJ:BL,2,FALSE), "")</f>
      </c>
    </row>
    <row r="200">
      <c r="C200" s="194"/>
      <c r="D200" s="16"/>
      <c r="E200" s="192"/>
      <c r="F200" s="195">
        <f>IF(B200&lt;&gt;"", VLOOKUP(B200,RailDefinition!T:T,2,FALSE), "")</f>
      </c>
      <c r="G200" s="192"/>
      <c r="J200" s="194"/>
      <c r="K200" s="16"/>
      <c r="L200" s="192"/>
      <c r="M200" s="195">
        <f>IF(I200&lt;&gt;"", VLOOKUP(I200,RailDefinition!T:T,2,FALSE), "")</f>
      </c>
      <c r="N200" s="192"/>
      <c r="Q200" s="194"/>
      <c r="R200" s="16"/>
      <c r="S200" s="192"/>
      <c r="T200" s="193">
        <f>IF(P200&lt;&gt;"", VLOOKUP(P200,RailDefinition!T:T,2,FALSE), "")</f>
      </c>
      <c r="U200" s="192"/>
      <c r="AA200" s="193">
        <f>IF(W200&lt;&gt;"", VLOOKUP(W200,RailDefinition!T:T,2,FALSE), "")</f>
      </c>
      <c r="AH200" s="193">
        <f>IF(AD200&lt;&gt;"", VLOOKUP(AD200,RailDefinition!BJ:BL,2,FALSE), "")</f>
      </c>
    </row>
    <row r="201">
      <c r="C201" s="194"/>
      <c r="D201" s="16"/>
      <c r="E201" s="192"/>
      <c r="F201" s="195">
        <f>IF(B201&lt;&gt;"", VLOOKUP(B201,RailDefinition!T:T,2,FALSE), "")</f>
      </c>
      <c r="G201" s="192"/>
      <c r="J201" s="194"/>
      <c r="K201" s="16"/>
      <c r="L201" s="192"/>
      <c r="M201" s="195">
        <f>IF(I201&lt;&gt;"", VLOOKUP(I201,RailDefinition!T:T,2,FALSE), "")</f>
      </c>
      <c r="N201" s="192"/>
      <c r="Q201" s="194"/>
      <c r="R201" s="16"/>
      <c r="S201" s="192"/>
      <c r="T201" s="193">
        <f>IF(P201&lt;&gt;"", VLOOKUP(P201,RailDefinition!T:T,2,FALSE), "")</f>
      </c>
      <c r="U201" s="192"/>
      <c r="AA201" s="193">
        <f>IF(W201&lt;&gt;"", VLOOKUP(W201,RailDefinition!T:T,2,FALSE), "")</f>
      </c>
      <c r="AH201" s="193">
        <f>IF(AD201&lt;&gt;"", VLOOKUP(AD201,RailDefinition!BJ:BL,2,FALSE), "")</f>
      </c>
    </row>
    <row r="202">
      <c r="C202" s="194"/>
      <c r="D202" s="16"/>
      <c r="E202" s="192"/>
      <c r="F202" s="195">
        <f>IF(B202&lt;&gt;"", VLOOKUP(B202,RailDefinition!T:T,2,FALSE), "")</f>
      </c>
      <c r="G202" s="192"/>
      <c r="J202" s="194"/>
      <c r="K202" s="16"/>
      <c r="L202" s="192"/>
      <c r="M202" s="195">
        <f>IF(I202&lt;&gt;"", VLOOKUP(I202,RailDefinition!T:T,2,FALSE), "")</f>
      </c>
      <c r="N202" s="192"/>
      <c r="Q202" s="194"/>
      <c r="R202" s="16"/>
      <c r="S202" s="192"/>
      <c r="T202" s="193">
        <f>IF(P202&lt;&gt;"", VLOOKUP(P202,RailDefinition!T:T,2,FALSE), "")</f>
      </c>
      <c r="U202" s="192"/>
      <c r="AA202" s="193">
        <f>IF(W202&lt;&gt;"", VLOOKUP(W202,RailDefinition!T:T,2,FALSE), "")</f>
      </c>
      <c r="AH202" s="193">
        <f>IF(AD202&lt;&gt;"", VLOOKUP(AD202,RailDefinition!BJ:BL,2,FALSE), "")</f>
      </c>
    </row>
  </sheetData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DropDown="true" showErrorMessage="true" xr:uid="{3494CF6E-F5ED-4F81-B0DD-9A27242C7BDC}">
          <x14:formula1>
            <xm:f>'#REF'!</xm:f>
          </x14:formula1>
          <xm:sqref>P6:P202 W6:W25 B6:B202 I6:I202 AD6:AD25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