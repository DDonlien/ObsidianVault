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活动名称</t>
        </is>
      </c>
      <c r="B1" s="1" t="inlineStr">
        <is>
          <t>类型</t>
        </is>
      </c>
      <c r="C1" s="1" t="inlineStr">
        <is>
          <t>投稿日期</t>
        </is>
      </c>
      <c r="D1" s="1" t="inlineStr">
        <is>
          <t>截稿日期</t>
        </is>
      </c>
      <c r="E1" s="1" t="inlineStr">
        <is>
          <t>官网</t>
        </is>
      </c>
      <c r="F1" s="1" t="inlineStr">
        <is>
          <t>活动开始</t>
        </is>
      </c>
      <c r="G1" s="1" t="inlineStr">
        <is>
          <t>活动结束</t>
        </is>
      </c>
      <c r="H1" s="1" t="inlineStr">
        <is>
          <t>24年动向</t>
        </is>
      </c>
      <c r="I1" s="1" t="inlineStr">
        <is>
          <t>地点</t>
        </is>
      </c>
      <c r="J1" s="1" t="inlineStr">
        <is>
          <t>展位费</t>
        </is>
      </c>
      <c r="K1" s="1" t="inlineStr">
        <is>
          <t>介绍</t>
        </is>
      </c>
      <c r="L1" s="1" t="inlineStr">
        <is>
          <t>备注</t>
        </is>
      </c>
    </row>
    <row r="2" ht="25.5" customHeight="1">
      <c r="A2" t="inlineStr">
        <is>
          <t>Indie Play</t>
        </is>
      </c>
      <c r="B2" t="inlineStr">
        <is>
          <t>比赛</t>
        </is>
      </c>
      <c r="C2" s="2">
        <v>45413</v>
      </c>
      <c r="D2" s="2">
        <v>45490</v>
      </c>
      <c r="E2" s="3" t="str">
        <f>=HYPERLINK("https://www.ciga.me/indieplay", "indieplay独立游戏大赛 - CiGA中国独立游戏联盟")</f>
        <v>indieplay独立游戏大赛 - CiGA中国独立游戏联盟</v>
      </c>
      <c r="F2" s="2"/>
      <c r="G2" s="2"/>
      <c r="H2" t="inlineStr">
        <is>
          <t>已错过</t>
        </is>
      </c>
      <c r="I2" t="inlineStr">
        <is>
          <t>在线</t>
        </is>
      </c>
      <c r="J2"/>
      <c r="K2" t="inlineStr">
        <is>
          <t>24年十周年，获奖作品都很硬</t>
        </is>
      </c>
      <c r="L2"/>
    </row>
    <row r="3" ht="25.5" customHeight="1">
      <c r="A3" t="inlineStr">
        <is>
          <t>TIG</t>
        </is>
      </c>
      <c r="B3" t="inlineStr">
        <is>
          <t>比赛</t>
        </is>
      </c>
      <c r="C3" s="2">
        <v>45535</v>
      </c>
      <c r="D3" s="2">
        <v>45535</v>
      </c>
      <c r="E3" s="3" t="str">
        <f>=HYPERLINK("https://www.tig-indie.cn/", "TIG 独立游戏大赛 (tig-indie.cn)")</f>
        <v>TIG 独立游戏大赛 (tig-indie.cn)</v>
      </c>
      <c r="F3" s="2"/>
      <c r="G3" s="2"/>
      <c r="H3" t="inlineStr">
        <is>
          <t>已投稿</t>
        </is>
      </c>
      <c r="I3" t="inlineStr">
        <is>
          <t>在线</t>
        </is>
      </c>
      <c r="J3"/>
      <c r="K3" t="inlineStr">
        <is>
          <t>只看到小红书稿，google没消息，这是第一届</t>
        </is>
      </c>
      <c r="L3"/>
    </row>
    <row r="4" ht="25.5" customHeight="1">
      <c r="A4" t="inlineStr">
        <is>
          <t>核聚变</t>
        </is>
      </c>
      <c r="B4" t="inlineStr">
        <is>
          <t>展会</t>
        </is>
      </c>
      <c r="C4" s="2"/>
      <c r="D4" s="2"/>
      <c r="E4" s="3"/>
      <c r="F4" s="2"/>
      <c r="G4" s="2"/>
      <c r="H4"/>
      <c r="I4" t="inlineStr">
        <is>
          <t>北京、广州、重庆</t>
        </is>
      </c>
      <c r="J4"/>
      <c r="K4"/>
      <c r="L4"/>
    </row>
    <row r="5" ht="25.5" customHeight="1">
      <c r="A5" t="inlineStr">
        <is>
          <t>Indie Live Expo</t>
        </is>
      </c>
      <c r="B5" t="inlineStr">
        <is>
          <t>在线活动</t>
        </is>
      </c>
      <c r="C5" s="2"/>
      <c r="D5" s="2"/>
      <c r="E5" s="3" t="str">
        <f>=HYPERLINK("https://indie.live-expo.games/zh/", "INDIE Live Expo | 为独立游戏而生的资讯节目 (live-expo.games)")</f>
        <v>INDIE Live Expo | 为独立游戏而生的资讯节目 (live-expo.games)</v>
      </c>
      <c r="F5" s="2"/>
      <c r="G5" s="2"/>
      <c r="H5"/>
      <c r="I5" t="inlineStr">
        <is>
          <t>在线</t>
        </is>
      </c>
      <c r="J5"/>
      <c r="K5" t="inlineStr">
        <is>
          <t>是持续播出的独立游戏推广节目</t>
        </is>
      </c>
      <c r="L5"/>
    </row>
    <row r="6" ht="25.5" customHeight="1">
      <c r="A6" t="inlineStr">
        <is>
          <t>Steam新品节</t>
        </is>
      </c>
      <c r="B6" t="inlineStr">
        <is>
          <t>在线活动</t>
        </is>
      </c>
      <c r="C6" s="2"/>
      <c r="D6" s="2"/>
      <c r="E6" s="3"/>
      <c r="F6" s="2"/>
      <c r="G6" s="2"/>
      <c r="H6"/>
      <c r="I6" t="inlineStr">
        <is>
          <t>在线</t>
        </is>
      </c>
      <c r="J6"/>
      <c r="K6"/>
      <c r="L6"/>
    </row>
    <row r="7" ht="25.5" customHeight="1">
      <c r="A7" t="inlineStr">
        <is>
          <t>腾讯游戏创作大赛</t>
        </is>
      </c>
      <c r="B7" t="inlineStr">
        <is>
          <t>比赛</t>
        </is>
      </c>
      <c r="C7" s="2"/>
      <c r="D7" s="2"/>
      <c r="E7" s="3" t="str">
        <f>=HYPERLINK("https://gameinstitute.qq.com/", "腾讯游戏学堂 (qq.com)")</f>
        <v>腾讯游戏学堂 (qq.com)</v>
      </c>
      <c r="F7" s="2"/>
      <c r="G7" s="2"/>
      <c r="H7"/>
      <c r="I7" t="inlineStr">
        <is>
          <t>在线</t>
        </is>
      </c>
      <c r="J7"/>
      <c r="K7"/>
      <c r="L7"/>
    </row>
    <row r="8" ht="25.5" customHeight="1">
      <c r="A8" t="inlineStr">
        <is>
          <t>CCG Expo</t>
        </is>
      </c>
      <c r="B8" t="inlineStr">
        <is>
          <t>展会</t>
        </is>
      </c>
      <c r="C8" s="2"/>
      <c r="D8" s="2"/>
      <c r="E8" s="3" t="str">
        <f>=HYPERLINK("http://www.ccgexpo.cn/", "http://www.ccgexpo.cn/")</f>
        <v>http://www.ccgexpo.cn/</v>
      </c>
      <c r="F8" s="2">
        <v>45477</v>
      </c>
      <c r="G8" s="2">
        <v>45494</v>
      </c>
      <c r="H8"/>
      <c r="I8" t="inlineStr">
        <is>
          <t>上海</t>
        </is>
      </c>
      <c r="J8"/>
      <c r="K8"/>
      <c r="L8"/>
    </row>
    <row r="9" ht="25.5" customHeight="1">
      <c r="A9" t="inlineStr">
        <is>
          <t>China Joy</t>
        </is>
      </c>
      <c r="B9" t="inlineStr">
        <is>
          <t>展会</t>
        </is>
      </c>
      <c r="C9" s="2"/>
      <c r="D9" s="2"/>
      <c r="E9" s="3"/>
      <c r="F9" s="2"/>
      <c r="G9" s="2"/>
      <c r="H9"/>
      <c r="I9" t="inlineStr">
        <is>
          <t>上海</t>
        </is>
      </c>
      <c r="J9"/>
      <c r="K9"/>
      <c r="L9"/>
    </row>
    <row r="10" ht="25.5" customHeight="1">
      <c r="A10" t="inlineStr">
        <is>
          <t>Indie Nova</t>
        </is>
      </c>
      <c r="B10" t="inlineStr">
        <is>
          <t>社区</t>
        </is>
      </c>
      <c r="C10" s="2"/>
      <c r="D10" s="2"/>
      <c r="E10" s="3" t="str">
        <f>=HYPERLINK("https://indienova.com/", "独立精神 | indienova 独立游戏")</f>
        <v>独立精神 | indienova 独立游戏</v>
      </c>
      <c r="F10" s="2"/>
      <c r="G10" s="2"/>
      <c r="H10"/>
      <c r="I10" t="inlineStr">
        <is>
          <t>在线</t>
        </is>
      </c>
      <c r="J10"/>
      <c r="K10"/>
      <c r="L10"/>
    </row>
    <row r="11" ht="25.5" customHeight="1">
      <c r="A11" t="inlineStr">
        <is>
          <t>Epic MegaGiants</t>
        </is>
      </c>
      <c r="B11" t="inlineStr">
        <is>
          <t>赞助</t>
        </is>
      </c>
      <c r="C11" s="2"/>
      <c r="D11" s="2"/>
      <c r="E11" s="3" t="str">
        <f>=HYPERLINK("https://www.unrealengine.com/zh-CN/megagrants", "Epic MegaGrants | 为你的UE5和UEFN项目申请资金 - 虚幻引擎 - Unreal Engine")</f>
        <v>Epic MegaGrants | 为你的UE5和UEFN项目申请资金 - 虚幻引擎 - Unreal Engine</v>
      </c>
      <c r="F11" s="2"/>
      <c r="G11" s="2"/>
      <c r="H11"/>
      <c r="I11" t="inlineStr">
        <is>
          <t>在线</t>
        </is>
      </c>
      <c r="J11"/>
      <c r="K11" t="inlineStr">
        <is>
          <t>Epic对于UE引擎的给钱计划，主要是考验项目吸金程度</t>
        </is>
      </c>
      <c r="L11"/>
    </row>
    <row r="12" ht="25.5" customHeight="1">
      <c r="A12" t="inlineStr">
        <is>
          <t>厦门“国际游戏动漫节”</t>
        </is>
      </c>
      <c r="B12" t="inlineStr">
        <is>
          <t>比赛</t>
        </is>
      </c>
      <c r="C12" s="2">
        <v>45519</v>
      </c>
      <c r="D12" s="2">
        <v>45519</v>
      </c>
      <c r="E12" s="3" t="str">
        <f>=HYPERLINK("https://cybersousa.com.cn/index/web/index.html", "金海豚奖、金海豚、厦门国际动漫节 (cybersousa.com.cn)")</f>
        <v>金海豚奖、金海豚、厦门国际动漫节 (cybersousa.com.cn)</v>
      </c>
      <c r="F12" s="2"/>
      <c r="G12" s="2"/>
      <c r="H12" t="inlineStr">
        <is>
          <t>已投稿</t>
        </is>
      </c>
      <c r="I12" t="inlineStr">
        <is>
          <t>厦门/在线</t>
        </is>
      </c>
      <c r="J12"/>
      <c r="K12" t="inlineStr">
        <is>
          <t>厦门的一个游戏比赛，没有排他性协议，评委评审没有什么时间成本，就先用JAM版本投稿了。</t>
        </is>
      </c>
      <c r="L12" t="inlineStr">
        <is>
          <t>参赛编号：2024309732</t>
        </is>
      </c>
    </row>
    <row r="13" ht="25.5" customHeight="1">
      <c r="A13" t="inlineStr">
        <is>
          <t>武汉CGF动漫游戏节</t>
        </is>
      </c>
      <c r="B13" t="inlineStr">
        <is>
          <t>展会</t>
        </is>
      </c>
      <c r="C13" s="2">
        <v>45519</v>
      </c>
      <c r="D13" s="2">
        <v>45520</v>
      </c>
      <c r="E13" s="3" t="str">
        <f>=HYPERLINK("https://space.bilibili.com/323648059?spm_id_from=333.1369.opus.module_author_name.click", "武汉CGF动漫游戏节的个人空间-武汉CGF动漫游戏节个人主页-哔哩哔哩视频 (bilibili.com)")</f>
        <v>武汉CGF动漫游戏节的个人空间-武汉CGF动漫游戏节个人主页-哔哩哔哩视频 (bilibili.com)</v>
      </c>
      <c r="F13" s="2"/>
      <c r="G13" s="2"/>
      <c r="H13" t="inlineStr">
        <is>
          <t>已投稿</t>
        </is>
      </c>
      <c r="I13" t="inlineStr">
        <is>
          <t>武汉</t>
        </is>
      </c>
      <c r="J13"/>
      <c r="K13" t="inlineStr">
        <is>
          <t>武汉的一个游戏展，一报可以报2场，可以远程参展，投稿一下没成本</t>
        </is>
      </c>
      <c r="L13"/>
    </row>
    <row r="14" ht="25.5" customHeight="1">
      <c r="A14" t="inlineStr">
        <is>
          <t>BOOOM JAM</t>
        </is>
      </c>
      <c r="B14" t="inlineStr">
        <is>
          <t>比赛</t>
        </is>
      </c>
      <c r="C14" s="2">
        <v>45521</v>
      </c>
      <c r="D14" s="2">
        <v>45522</v>
      </c>
      <c r="E14" s="3" t="str">
        <f>=HYPERLINK("https://site.gcores.com/booomjamxporsche_games/", "BOOOM 试玩活动 (gcores.com)")</f>
        <v>BOOOM 试玩活动 (gcores.com)</v>
      </c>
      <c r="F14" s="2"/>
      <c r="G14" s="2"/>
      <c r="H14" t="inlineStr">
        <is>
          <t>已投稿</t>
        </is>
      </c>
      <c r="I14" t="inlineStr">
        <is>
          <t>在线</t>
        </is>
      </c>
      <c r="J14"/>
      <c r="K14" t="inlineStr">
        <is>
          <t>机核的JAM活动</t>
        </is>
      </c>
      <c r="L14"/>
    </row>
    <row r="15" ht="25.5" customHeight="1">
      <c r="A15" t="inlineStr">
        <is>
          <t>Indie Fund</t>
        </is>
      </c>
      <c r="B15" t="inlineStr">
        <is>
          <t>赞助</t>
        </is>
      </c>
      <c r="C15" s="2"/>
      <c r="D15" s="2"/>
      <c r="E15" s="3" t="str">
        <f>=HYPERLINK("http://indie-fund.com", "indie-fund.com")</f>
        <v>indie-fund.com</v>
      </c>
      <c r="F15" s="2"/>
      <c r="G15" s="2"/>
      <c r="H15" t="inlineStr">
        <is>
          <t>待投稿</t>
        </is>
      </c>
      <c r="I15" t="inlineStr">
        <is>
          <t>在线</t>
        </is>
      </c>
      <c r="J15"/>
      <c r="K15" t="inlineStr">
        <is>
          <t>一个独立游戏赞助项目，回报是200%的投资额或者25%的2年内revenue（取低者）。空洞骑士就用的这个项目发布。</t>
        </is>
      </c>
      <c r="L15" t="inlineStr">
        <is>
          <t>7 Ways to Fund Your Indie Game! [2019] (youtube.com)</t>
        </is>
      </c>
    </row>
  </sheetData>
  <dataValidations count="2">
    <dataValidation allowBlank="false" sqref="B2:B14" type="list">
      <formula1>"比赛,展会,在线活动,社区,赞助"</formula1>
    </dataValidation>
    <dataValidation allowBlank="false" sqref="H2:H14" type="list">
      <formula1>"已错过,已投稿,待投稿"</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