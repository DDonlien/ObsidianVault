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市场参考" sheetId="2" r:id="rId5"/>
    <sheet name="资源使用" sheetId="3" r:id="rId6"/>
    <sheet name="信息源列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<sst xmlns="http://schemas.openxmlformats.org/spreadsheetml/2006/main" count="4" uniqueCount="4">
  <si>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</si>
  <si>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u/>
        <sz val="9.75"/>
        <color theme="10"/>
        <rFont val="Calibri"/>
        <family val="2"/>
      </rPr>
      <t>https://github.com/NotYetGames/DlgSystem</t>
    </r>
  </si>
  <si>
    <t/>
    <r>
      <rPr>
        <u/>
        <sz val="9.75"/>
        <color theme="10"/>
        <rFont val="Calibri"/>
        <family val="2"/>
      </rPr>
      <t>freshli4.com</t>
    </r>
    <r>
      <t>域名</t>
    </r>
  </si>
  <si>
    <t/>
    <r>
      <rPr>
        <u/>
        <sz val="9.75"/>
        <color theme="10"/>
        <rFont val="Calibri"/>
        <family val="2"/>
      </rPr>
      <t>https://www.audiokinetic.com/zh/customers/projects/yuql7149/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</si>
</sst>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8">
    <numFmt numFmtId="164" formatCode="#,##0"/>
    <numFmt numFmtId="165" formatCode="0.00"/>
    <numFmt numFmtId="166" formatCode="0.00%"/>
    <numFmt numFmtId="167" formatCode="¥#,##0"/>
    <numFmt numFmtId="168" formatCode="0.00"/>
    <numFmt numFmtId="169" formatCode="yyyy/MM/dd"/>
    <numFmt numFmtId="170" formatCode="#,##0.0000"/>
    <numFmt numFmtId="171" formatCode="#,##0"/>
    <numFmt numFmtId="172" formatCode="¥#,##0.00"/>
    <numFmt numFmtId="173" formatCode="0.0"/>
    <numFmt numFmtId="174" formatCode="¥#,##0.00"/>
    <numFmt numFmtId="175" formatCode="#,##0"/>
    <numFmt numFmtId="176" formatCode="0.0"/>
    <numFmt numFmtId="177" formatCode="yyyy/MM/dd"/>
    <numFmt numFmtId="178" formatCode="#,##0"/>
    <numFmt numFmtId="179" formatCode="#,##0"/>
    <numFmt numFmtId="180" formatCode="#,##0.0000"/>
    <numFmt numFmtId="181" formatCode="¥#,##0.00"/>
    <numFmt numFmtId="182" formatCode="¥#,##0.00"/>
    <numFmt numFmtId="183" formatCode="#,##0"/>
    <numFmt numFmtId="184" formatCode="0.00%"/>
    <numFmt numFmtId="185" formatCode="¥#,##0;[Red](¥#,##0)"/>
    <numFmt numFmtId="186" formatCode="¥#,##0.00"/>
    <numFmt numFmtId="187" formatCode="0.00%"/>
    <numFmt numFmtId="188" formatCode="#,##0"/>
    <numFmt numFmtId="189" formatCode="#,##0.0000"/>
    <numFmt numFmtId="190" formatCode="¥#,##0.00"/>
    <numFmt numFmtId="191" formatCode="0.00"/>
    <numFmt numFmtId="192" formatCode="0.00"/>
    <numFmt numFmtId="193" formatCode="0.0"/>
    <numFmt numFmtId="194" formatCode="yyyy/MM/dd"/>
    <numFmt numFmtId="195" formatCode="#,##0"/>
    <numFmt numFmtId="196" formatCode="0.00"/>
    <numFmt numFmtId="197" formatCode="0.0"/>
    <numFmt numFmtId="198" formatCode="#,##0.0000"/>
    <numFmt numFmtId="199" formatCode="¥#,##0.00"/>
    <numFmt numFmtId="200" formatCode="0.00%"/>
    <numFmt numFmtId="201" formatCode="¥#,##0.00"/>
  </numFmts>
  <fonts count="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13343B"/>
      <name val="Calibri"/>
      <family val="2"/>
      <scheme val="minor"/>
    </font>
    <font>
      <i val="true"/>
      <sz val="9.75"/>
      <color rgb="FF000000"/>
      <name val="Calibri"/>
      <family val="2"/>
      <scheme val="minor"/>
    </font>
    <font>
      <b val="true"/>
      <i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BBFBC"/>
        <bgColor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right" vertical="center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5" fillId="0" fontId="1" numFmtId="166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false" applyFont="true" applyNumberFormat="true" applyProtection="false" borderId="7" fillId="0" fontId="1" numFmtId="167" xfId="0">
      <alignment vertical="center"/>
    </xf>
    <xf applyAlignment="true" applyBorder="false" applyFill="false" applyFont="true" applyNumberFormat="true" applyProtection="false" borderId="8" fillId="0" fontId="1" numFmtId="168" xfId="0">
      <alignment vertical="center"/>
    </xf>
    <xf applyAlignment="true" applyBorder="false" applyFill="false" applyFont="true" applyNumberFormat="true" applyProtection="false" borderId="9" fillId="0" fontId="2" numFmtId="169" xfId="0">
      <alignment horizontal="center" vertical="center" wrapText="true"/>
    </xf>
    <xf applyAlignment="true" applyBorder="false" applyFill="false" applyFont="true" applyNumberFormat="true" applyProtection="false" borderId="10" fillId="0" fontId="1" numFmtId="170" xfId="0">
      <alignment horizontal="center" vertical="center"/>
    </xf>
    <xf applyAlignment="true" applyBorder="false" applyFill="false" applyFont="true" applyNumberFormat="true" applyProtection="false" borderId="11" fillId="0" fontId="1" numFmtId="171" xfId="0">
      <alignment vertical="center"/>
    </xf>
    <xf applyAlignment="true" applyBorder="false" applyFill="false" applyFont="true" applyNumberFormat="true" applyProtection="false" borderId="12" fillId="0" fontId="1" numFmtId="172" xfId="0">
      <alignment horizontal="center" vertical="center"/>
    </xf>
    <xf applyAlignment="true" applyBorder="false" applyFill="false" applyFont="true" applyNumberFormat="true" applyProtection="false" borderId="13" fillId="0" fontId="1" numFmtId="173" xfId="0">
      <alignment horizontal="center" vertical="center"/>
    </xf>
    <xf applyAlignment="true" applyBorder="false" applyFill="false" applyFont="true" applyNumberFormat="true" applyProtection="false" borderId="14" fillId="0" fontId="1" numFmtId="174" xfId="0">
      <alignment horizontal="right" vertical="center"/>
    </xf>
    <xf applyAlignment="true" applyBorder="false" applyFill="false" applyFont="true" applyNumberFormat="false" applyProtection="false" borderId="15" fillId="0" fontId="1" numFmtId="0" xfId="0">
      <alignment vertical="center"/>
    </xf>
    <xf applyAlignment="true" applyBorder="false" applyFill="false" applyFont="true" applyNumberFormat="true" applyProtection="false" borderId="16" fillId="0" fontId="2" numFmtId="175" xfId="0">
      <alignment horizontal="left" vertical="center" wrapText="true"/>
    </xf>
    <xf applyAlignment="true" applyBorder="false" applyFill="false" applyFont="true" applyNumberFormat="true" applyProtection="false" borderId="17" fillId="0" fontId="2" numFmtId="176" xfId="0">
      <alignment horizontal="left" vertical="center" wrapText="true"/>
    </xf>
    <xf applyAlignment="true" applyBorder="false" applyFill="false" applyFont="true" applyNumberFormat="false" applyProtection="false" borderId="18" fillId="0" fontId="1" numFmtId="0" xfId="0">
      <alignment horizontal="left" vertical="center"/>
    </xf>
    <xf applyAlignment="true" applyBorder="false" applyFill="false" applyFont="true" applyNumberFormat="true" applyProtection="false" borderId="19" fillId="0" fontId="1" numFmtId="177" xfId="0">
      <alignment horizontal="center" vertical="center"/>
    </xf>
    <xf applyAlignment="true" applyBorder="false" applyFill="false" applyFont="true" applyNumberFormat="true" applyProtection="false" borderId="20" fillId="0" fontId="3" numFmtId="178" xfId="0">
      <alignment vertical="center"/>
    </xf>
    <xf applyAlignment="true" applyBorder="false" applyFill="false" applyFont="true" applyNumberFormat="true" applyProtection="false" borderId="21" fillId="0" fontId="4" numFmtId="179" xfId="0">
      <alignment vertical="center"/>
    </xf>
    <xf applyAlignment="true" applyBorder="false" applyFill="false" applyFont="true" applyNumberFormat="true" applyProtection="false" borderId="22" fillId="0" fontId="2" numFmtId="180" xfId="0">
      <alignment horizontal="center" vertical="center" wrapText="true"/>
    </xf>
    <xf applyAlignment="true" applyBorder="false" applyFill="false" applyFont="true" applyNumberFormat="true" applyProtection="false" borderId="23" fillId="0" fontId="2" numFmtId="181" xfId="0">
      <alignment horizontal="right" vertical="center" wrapText="true"/>
    </xf>
    <xf applyAlignment="true" applyBorder="false" applyFill="false" applyFont="true" applyNumberFormat="true" applyProtection="false" borderId="24" fillId="0" fontId="2" numFmtId="182" xfId="0">
      <alignment horizontal="center" vertical="center" wrapText="true"/>
    </xf>
    <xf applyAlignment="true" applyBorder="false" applyFill="false" applyFont="true" applyNumberFormat="true" applyProtection="false" borderId="25" fillId="0" fontId="2" numFmtId="183" xfId="0">
      <alignment horizontal="center" vertical="center" wrapText="true"/>
    </xf>
    <xf applyAlignment="true" applyBorder="false" applyFill="false" applyFont="true" applyNumberFormat="true" applyProtection="false" borderId="26" fillId="0" fontId="2" numFmtId="184" xfId="0">
      <alignment horizontal="center" vertical="center" wrapText="true"/>
    </xf>
    <xf applyAlignment="true" applyBorder="false" applyFill="false" applyFont="true" applyNumberFormat="true" applyProtection="false" borderId="27" fillId="0" fontId="2" numFmtId="185" xfId="0">
      <alignment horizontal="center" vertical="center" wrapText="true"/>
    </xf>
    <xf applyAlignment="true" applyBorder="false" applyFill="false" applyFont="true" applyNumberFormat="true" applyProtection="false" borderId="28" fillId="0" fontId="2" numFmtId="186" xfId="0">
      <alignment horizontal="right" vertical="bottom"/>
    </xf>
    <xf applyAlignment="true" applyBorder="false" applyFill="false" applyFont="true" applyNumberFormat="false" applyProtection="false" borderId="29" fillId="0" fontId="2" numFmtId="0" xfId="0">
      <alignment horizontal="center" vertical="bottom"/>
    </xf>
    <xf applyAlignment="true" applyBorder="false" applyFill="false" applyFont="true" applyNumberFormat="true" applyProtection="false" borderId="30" fillId="0" fontId="2" numFmtId="187" xfId="0">
      <alignment horizontal="center" vertical="bottom"/>
    </xf>
    <xf applyAlignment="true" applyBorder="false" applyFill="false" applyFont="true" applyNumberFormat="false" applyProtection="false" borderId="31" fillId="0" fontId="2" numFmtId="0" xfId="0">
      <alignment horizontal="left" vertical="bottom"/>
    </xf>
    <xf applyAlignment="true" applyBorder="false" applyFill="false" applyFont="true" applyNumberFormat="true" applyProtection="false" borderId="32" fillId="0" fontId="2" numFmtId="188" xfId="0">
      <alignment horizontal="center" vertical="bottom"/>
    </xf>
    <xf applyAlignment="true" applyBorder="false" applyFill="false" applyFont="true" applyNumberFormat="true" applyProtection="false" borderId="33" fillId="0" fontId="2" numFmtId="189" xfId="0">
      <alignment horizontal="center" vertical="bottom"/>
    </xf>
    <xf applyAlignment="true" applyBorder="false" applyFill="false" applyFont="true" applyNumberFormat="true" applyProtection="false" borderId="34" fillId="0" fontId="2" numFmtId="190" xfId="0">
      <alignment horizontal="center" vertical="bottom"/>
    </xf>
    <xf applyAlignment="true" applyBorder="false" applyFill="false" applyFont="true" applyNumberFormat="false" applyProtection="false" borderId="35" fillId="0" fontId="1" numFmtId="0" xfId="0">
      <alignment horizontal="right" vertical="center"/>
    </xf>
    <xf applyAlignment="true" applyBorder="false" applyFill="false" applyFont="true" applyNumberFormat="true" applyProtection="false" borderId="36" fillId="0" fontId="5" numFmtId="191" xfId="0">
      <alignment vertical="center"/>
    </xf>
    <xf applyAlignment="true" applyBorder="false" applyFill="false" applyFont="true" applyNumberFormat="true" applyProtection="false" borderId="37" fillId="0" fontId="1" numFmtId="192" xfId="0">
      <alignment horizontal="center" vertical="center"/>
    </xf>
    <xf applyAlignment="true" applyBorder="false" applyFill="false" applyFont="true" applyNumberFormat="true" applyProtection="false" borderId="38" fillId="0" fontId="2" numFmtId="193" xfId="0">
      <alignment horizontal="center" vertical="center" wrapText="true"/>
    </xf>
    <xf applyAlignment="true" applyBorder="false" applyFill="false" applyFont="true" applyNumberFormat="false" applyProtection="false" borderId="39" fillId="0" fontId="6" numFmtId="0" xfId="0">
      <alignment horizontal="right" vertical="center"/>
    </xf>
    <xf applyAlignment="true" applyBorder="false" applyFill="false" applyFont="true" applyNumberFormat="false" applyProtection="false" borderId="40" fillId="0" fontId="6" numFmtId="0" xfId="0">
      <alignment horizontal="center" vertical="center"/>
    </xf>
    <xf applyAlignment="true" applyBorder="false" applyFill="false" applyFont="true" applyNumberFormat="true" applyProtection="false" borderId="41" fillId="0" fontId="6" numFmtId="194" xfId="0">
      <alignment horizontal="center" vertical="center"/>
    </xf>
    <xf applyAlignment="true" applyBorder="false" applyFill="false" applyFont="true" applyNumberFormat="true" applyProtection="false" borderId="42" fillId="0" fontId="6" numFmtId="195" xfId="0">
      <alignment horizontal="center" vertical="center"/>
    </xf>
    <xf applyAlignment="true" applyBorder="false" applyFill="false" applyFont="true" applyNumberFormat="true" applyProtection="false" borderId="43" fillId="0" fontId="6" numFmtId="196" xfId="0">
      <alignment horizontal="right" vertical="center"/>
    </xf>
    <xf applyAlignment="true" applyBorder="false" applyFill="false" applyFont="true" applyNumberFormat="true" applyProtection="false" borderId="44" fillId="0" fontId="6" numFmtId="197" xfId="0">
      <alignment horizontal="center" vertical="center"/>
    </xf>
    <xf applyAlignment="true" applyBorder="false" applyFill="false" applyFont="true" applyNumberFormat="true" applyProtection="false" borderId="45" fillId="0" fontId="6" numFmtId="198" xfId="0">
      <alignment horizontal="center" vertical="center"/>
    </xf>
    <xf applyAlignment="true" applyBorder="false" applyFill="false" applyFont="true" applyNumberFormat="true" applyProtection="false" borderId="46" fillId="0" fontId="6" numFmtId="199" xfId="0">
      <alignment horizontal="center" vertical="center"/>
    </xf>
    <xf applyAlignment="true" applyBorder="false" applyFill="false" applyFont="true" applyNumberFormat="true" applyProtection="false" borderId="47" fillId="0" fontId="6" numFmtId="200" xfId="0">
      <alignment horizontal="center" vertical="center"/>
    </xf>
    <xf applyAlignment="false" applyBorder="false" applyFill="true" applyFont="false" applyNumberFormat="false" applyProtection="false" borderId="48" fillId="2" fontId="0" numFmtId="0" xfId="0">
      <alignment/>
    </xf>
    <xf applyAlignment="true" applyBorder="false" applyFill="false" applyFont="true" applyNumberFormat="true" applyProtection="false" borderId="49" fillId="0" fontId="6" numFmtId="201" xfId="0">
      <alignment horizontal="right" vertical="center"/>
    </xf>
  </cellXfs>
  <cellStyles count="1">
    <cellStyle builtinId="0" name="Normal" xfId="0"/>
  </cellStyles>
  <dxfs count="1">
    <dxf>
      <fill>
        <patternFill patternType="solid">
          <fgColor/>
          <bgColor rgb="FFFBBFBC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https://github.com/NotYetGames/DlgSystem" Type="http://schemas.openxmlformats.org/officeDocument/2006/relationships/hyperlink" TargetMode="External"></Relationship><Relationship Id="rId2" Target="http://freshli4.com" Type="http://schemas.openxmlformats.org/officeDocument/2006/relationships/hyperlink" TargetMode="External"></Relationship><Relationship Id="rId3" Target="https://www.audiokinetic.com/zh/customers/projects/yuql7149/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2" xSplit="3" ySplit="1"/>
    </sheetView>
  </sheetViews>
  <sheetFormatPr defaultColWidth="14" defaultRowHeight="19"/>
  <cols>
    <col collapsed="false" hidden="false" max="1" min="1" style="0" width="8"/>
    <col collapsed="false" customWidth="true" hidden="false" max="2" min="2" outlineLevel="1" style="0" width="8"/>
    <col collapsed="false" customWidth="true" hidden="false" max="3" min="3" outlineLevel="1" style="0" width="24"/>
    <col collapsed="false" customWidth="true" hidden="false" max="4" min="4" outlineLevel="1" style="0" width="10"/>
    <col collapsed="false" customWidth="true" hidden="false" max="5" min="5" outlineLevel="1" style="0" width="10"/>
    <col collapsed="false" customWidth="true" hidden="false" max="6" min="6" outlineLevel="1" style="0" width="23"/>
    <col collapsed="false" customWidth="true" hidden="false" max="7" min="7" outlineLevel="1" style="0" width="15"/>
    <col collapsed="false" customWidth="true" hidden="false" max="8" min="8" outlineLevel="1" style="0" width="8"/>
    <col collapsed="false" hidden="false" max="9" min="9" style="0" width="11"/>
    <col collapsed="false" customWidth="true" hidden="false" max="10" min="10" outlineLevel="1" style="0" width="11"/>
    <col collapsed="false" customWidth="true" hidden="false" max="11" min="11" outlineLevel="1" style="0" width="11"/>
    <col collapsed="false" customWidth="true" hidden="false" max="12" min="12" outlineLevel="1" style="0" width="11"/>
    <col collapsed="false" hidden="false" max="13" min="13" style="0" width="11"/>
    <col collapsed="false" customWidth="true" hidden="false" max="14" min="14" outlineLevel="1" style="0" width="11"/>
    <col collapsed="false" customWidth="true" hidden="false" max="15" min="15" outlineLevel="1" style="0" width="10"/>
    <col collapsed="false" customWidth="true" hidden="false" max="16" min="16" outlineLevel="1" style="0" width="11"/>
    <col collapsed="false" hidden="false" max="17" min="17" style="0" width="14"/>
    <col collapsed="false" customWidth="true" hidden="false" max="18" min="18" outlineLevel="1" style="0" width="14"/>
    <col collapsed="false" customWidth="true" hidden="false" max="19" min="19" outlineLevel="1" style="0" width="12"/>
    <col collapsed="false" customWidth="true" hidden="false" max="20" min="20" outlineLevel="1" style="0" width="12"/>
    <col collapsed="false" customWidth="true" hidden="false" max="21" min="21" outlineLevel="1" style="0" width="11"/>
    <col collapsed="false" customWidth="true" hidden="true" max="22" min="22" outlineLevel="1" style="0" width="9"/>
    <col collapsed="false" customWidth="true" hidden="true" max="23" min="23" outlineLevel="1" style="0" width="9"/>
    <col collapsed="false" hidden="false" max="24" min="24" style="0" width="8"/>
    <col collapsed="false" customWidth="true" hidden="false" max="25" min="25" outlineLevel="1" style="0" width="8"/>
    <col collapsed="false" customWidth="true" hidden="false" max="26" min="26" outlineLevel="1" style="0" width="9"/>
    <col collapsed="false" customWidth="true" hidden="false" max="27" min="27" outlineLevel="1" style="0" width="12"/>
    <col collapsed="false" customWidth="true" hidden="false" max="28" min="28" style="0" width="1"/>
    <col collapsed="false" customWidth="true" hidden="false" max="30" min="30" style="0" width="12"/>
    <col collapsed="false" customWidth="true" hidden="false" max="31" min="31" style="0" width="12"/>
    <col collapsed="false" customWidth="true" hidden="false" max="32" min="32" style="0" width="12"/>
    <col collapsed="false" customWidth="true" hidden="false" max="33" min="33" style="0" width="1"/>
    <col collapsed="false" customWidth="true" hidden="false" max="34" min="34" style="0" width="9"/>
    <col collapsed="false" customWidth="true" hidden="false" max="35" min="35" style="0" width="6"/>
    <col collapsed="false" customWidth="true" hidden="false" max="36" min="36" style="0" width="9"/>
    <col collapsed="false" customWidth="true" hidden="false" max="37" min="37" style="0" width="5"/>
    <col collapsed="false" customWidth="true" hidden="false" max="38" min="38" style="0" width="9"/>
    <col collapsed="false" customWidth="true" hidden="false" max="39" min="39" style="0" width="5"/>
    <col collapsed="false" customWidth="true" hidden="false" max="40" min="40" style="0" width="9"/>
    <col collapsed="false" customWidth="true" hidden="false" max="41" min="41" style="0" width="7"/>
  </cols>
  <sheetData>
    <row r="1">
      <c r="A1" s="40" t="str">
        <v>游戏名</v>
      </c>
      <c r="B1" s="40" t="str">
        <v>参考价值</v>
      </c>
      <c r="C1" s="40" t="str">
        <v>游戏名 (英语)</v>
      </c>
      <c r="D1" s="40" t="str">
        <v>开发组地区</v>
      </c>
      <c r="E1" s="41" t="str">
        <v>发行时间</v>
      </c>
      <c r="F1" s="40" t="str">
        <v>开发组</v>
      </c>
      <c r="G1" s="40" t="str">
        <v>发行商</v>
      </c>
      <c r="H1" s="40" t="str">
        <v>平均评分</v>
      </c>
      <c r="I1" s="40"/>
      <c r="J1" s="40" t="str">
        <v>MC用户评分</v>
      </c>
      <c r="K1" s="40" t="str">
        <v>MC媒体评分</v>
      </c>
      <c r="L1" s="40" t="str">
        <v>MC均分</v>
      </c>
      <c r="M1" s="40" t="str" xml:space="preserve">
        <v> </v>
      </c>
      <c r="N1" s="42" t="str">
        <v>小黑盒玩家数</v>
      </c>
      <c r="O1" s="44" t="str">
        <v>小黑盒评分</v>
      </c>
      <c r="P1" s="44" t="str">
        <v>平均游戏时间</v>
      </c>
      <c r="Q1" s="42" t="str" xml:space="preserve">
        <v> </v>
      </c>
      <c r="R1" s="42" t="str">
        <v>Steam评论数</v>
      </c>
      <c r="S1" s="42" t="str">
        <v>Steam好评数</v>
      </c>
      <c r="T1" s="47" t="str">
        <v>Steam好评率</v>
      </c>
      <c r="U1" s="42" t="str">
        <v>在线玩家峰值</v>
      </c>
      <c r="V1" s="45" t="str">
        <v>峰值/评论</v>
      </c>
      <c r="W1" s="45" t="str">
        <v>峰值/好评</v>
      </c>
      <c r="X1" s="46" t="str" xml:space="preserve">
        <v> </v>
      </c>
      <c r="Y1" s="46" t="str">
        <v>标准售价</v>
      </c>
      <c r="Z1" s="42" t="str">
        <v>累积销量</v>
      </c>
      <c r="AA1" s="40" t="str">
        <v>累计销售额</v>
      </c>
      <c r="AB1" s="40" t="str" xml:space="preserve">
        <v> </v>
      </c>
      <c r="AC1" s="40" t="str">
        <v>平台成本后营收</v>
      </c>
      <c r="AD1" s="40" t="str">
        <v>20%分成营收</v>
      </c>
      <c r="AE1" s="40" t="str">
        <v>50%分成营收</v>
      </c>
      <c r="AF1" s="40" t="str">
        <v>80%分成营收</v>
      </c>
      <c r="AG1" s="39" t="str" xml:space="preserve">
        <v> </v>
      </c>
      <c r="AH1" s="39" t="str">
        <v>销量/在线</v>
      </c>
      <c r="AI1" s="43">
        <f>AVERAGE(AI2:AI101)</f>
      </c>
      <c r="AJ1" s="39" t="str">
        <v>销量/评论</v>
      </c>
      <c r="AK1" s="43">
        <f>AVERAGE(AK2:AK101)</f>
      </c>
      <c r="AL1" s="39" t="str">
        <v>销量/好评</v>
      </c>
      <c r="AM1" s="43">
        <f>AVERAGE(AM2:AM101)</f>
      </c>
      <c r="AN1" s="43" t="str">
        <v>销量/玩家</v>
      </c>
      <c r="AO1" s="43">
        <f>AVERAGE(AO2:AO101)</f>
      </c>
      <c r="AP1" s="40"/>
      <c r="AQ1" s="40"/>
      <c r="AR1" s="40"/>
      <c r="AS1" s="40"/>
      <c r="AT1" s="40"/>
    </row>
    <row r="2">
      <c r="A2" s="15" t="str">
        <v>哈迪斯1</v>
      </c>
      <c r="B2" s="6">
        <v>5</v>
      </c>
      <c r="C2" s="3" t="str">
        <v>Hades</v>
      </c>
      <c r="D2" s="6" t="str">
        <v>美国</v>
      </c>
      <c r="E2" s="9">
        <v>44091</v>
      </c>
      <c r="F2" s="3" t="str">
        <v>Supergiant Games</v>
      </c>
      <c r="G2" s="3" t="str">
        <v>Supergiant Games</v>
      </c>
      <c r="H2" s="37">
        <f>AVERAGE(L2,O2*10,T2*100)</f>
      </c>
      <c r="J2" s="4">
        <v>9.1</v>
      </c>
      <c r="K2" s="4">
        <v>94</v>
      </c>
      <c r="L2" s="4">
        <f>AVERAGE(J2*10,K2)</f>
      </c>
      <c r="N2" s="11">
        <v>2239000</v>
      </c>
      <c r="O2" s="38">
        <v>9.5</v>
      </c>
      <c r="P2" s="38">
        <v>28.7</v>
      </c>
      <c r="Q2" s="25"/>
      <c r="R2" s="25">
        <v>261266</v>
      </c>
      <c r="S2" s="25">
        <v>256969</v>
      </c>
      <c r="T2" s="26">
        <f>S2/R2</f>
      </c>
      <c r="U2" s="25">
        <v>54240</v>
      </c>
      <c r="V2" s="22">
        <f>U2/R2</f>
      </c>
      <c r="W2" s="22">
        <f>U2/S2</f>
      </c>
      <c r="X2" s="24"/>
      <c r="Y2" s="23">
        <v>92</v>
      </c>
      <c r="Z2" s="11">
        <v>7000000</v>
      </c>
      <c r="AA2" s="7">
        <f>Z2*Y2</f>
      </c>
      <c r="AB2" s="7"/>
      <c r="AC2" s="7">
        <f>AA2*0.5</f>
      </c>
      <c r="AD2" s="7">
        <f>AC2*0.8</f>
      </c>
      <c r="AE2" s="7">
        <f>AC2*0.5</f>
      </c>
      <c r="AF2" s="7">
        <f>AC2*0.2</f>
      </c>
      <c r="AI2" s="2">
        <f>Z2/U2</f>
      </c>
      <c r="AK2" s="8">
        <f>Z2/R2</f>
      </c>
      <c r="AM2" s="8">
        <f>Z2/S2</f>
      </c>
      <c r="AN2" s="8"/>
      <c r="AO2" s="8">
        <f>Z2/N2</f>
      </c>
    </row>
    <row r="3">
      <c r="A3" s="15" t="str">
        <v>哈迪斯2</v>
      </c>
      <c r="B3" s="6">
        <v>5</v>
      </c>
      <c r="C3" s="3" t="str">
        <v>Hades 2</v>
      </c>
      <c r="D3" s="6" t="str">
        <v>美国</v>
      </c>
      <c r="E3" s="9"/>
      <c r="F3" s="3" t="str">
        <v>Supergiant Games</v>
      </c>
      <c r="G3" s="3" t="str">
        <v>Supergiant Games</v>
      </c>
      <c r="H3" s="37">
        <f>AVERAGE(L3,O3*10,T3*100)</f>
      </c>
      <c r="J3" s="4" t="str">
        <v>tbd</v>
      </c>
      <c r="K3" s="4" t="str">
        <v>tbd</v>
      </c>
      <c r="L3" s="4"/>
      <c r="N3" s="11"/>
      <c r="O3" s="13"/>
      <c r="P3" s="13"/>
      <c r="Q3" s="1"/>
      <c r="R3" s="1"/>
      <c r="T3" s="5"/>
      <c r="U3" s="1"/>
      <c r="V3" s="22"/>
      <c r="W3" s="22"/>
      <c r="X3" s="12"/>
      <c r="Y3" s="14"/>
      <c r="Z3" s="11"/>
      <c r="AC3" s="7">
        <f>AA3*0.5</f>
      </c>
      <c r="AE3" s="7">
        <f>AC3*0.5</f>
      </c>
      <c r="AI3" s="2"/>
      <c r="AK3" s="8"/>
      <c r="AM3" s="8"/>
      <c r="AN3" s="8"/>
    </row>
    <row r="4">
      <c r="A4" s="15" t="str">
        <v>暖雪</v>
      </c>
      <c r="B4" s="6">
        <v>5</v>
      </c>
      <c r="C4" s="3" t="str">
        <v>Warmsnow</v>
      </c>
      <c r="D4" s="6" t="str">
        <v>中国</v>
      </c>
      <c r="E4" s="9">
        <v>44580</v>
      </c>
      <c r="F4" s="3" t="str">
        <v>暖雪工作室</v>
      </c>
      <c r="G4" s="15" t="str">
        <v>bilibili</v>
      </c>
      <c r="H4" s="37">
        <f>AVERAGE(L4,O4*10,T4*100)</f>
      </c>
      <c r="J4" s="4" t="str">
        <v>tbd</v>
      </c>
      <c r="K4" s="4" t="str">
        <v>tbd</v>
      </c>
      <c r="L4" s="4"/>
      <c r="N4" s="11">
        <v>1062000</v>
      </c>
      <c r="O4" s="13">
        <v>9.3</v>
      </c>
      <c r="P4" s="13">
        <v>33.6</v>
      </c>
      <c r="Q4" s="1"/>
      <c r="R4" s="1">
        <v>34358</v>
      </c>
      <c r="S4" s="1">
        <v>31928</v>
      </c>
      <c r="T4" s="5">
        <f>S4/R4</f>
      </c>
      <c r="U4" s="1">
        <v>44702</v>
      </c>
      <c r="V4" s="22">
        <f>U4/R4</f>
      </c>
      <c r="W4" s="22">
        <f>U4/S4</f>
      </c>
      <c r="X4" s="12"/>
      <c r="Y4" s="14">
        <v>58</v>
      </c>
      <c r="Z4" s="11">
        <v>3000000</v>
      </c>
      <c r="AA4" s="7">
        <f>Z4*Y4</f>
      </c>
      <c r="AB4" s="7"/>
      <c r="AC4" s="7">
        <f>AA4*0.5</f>
      </c>
      <c r="AD4" s="7">
        <f>AC4*0.8</f>
      </c>
      <c r="AE4" s="7">
        <f>AC4*0.5</f>
      </c>
      <c r="AF4" s="7">
        <f>AC4*0.2</f>
      </c>
      <c r="AI4" s="2">
        <f>Z4/U4</f>
      </c>
      <c r="AK4" s="36">
        <f>Z4/R4</f>
      </c>
      <c r="AL4" s="21"/>
      <c r="AM4" s="8">
        <f>Z4/S4</f>
      </c>
      <c r="AN4" s="8"/>
      <c r="AO4" s="8">
        <f>Z4/N4</f>
      </c>
    </row>
    <row customHeight="true" ht="19" r="5">
      <c r="A5" s="3" t="str">
        <v>梦之形</v>
      </c>
      <c r="B5" s="6">
        <v>5</v>
      </c>
      <c r="C5" s="3"/>
      <c r="D5" s="27"/>
      <c r="E5" s="9"/>
      <c r="F5" s="3"/>
      <c r="G5" s="3"/>
      <c r="H5" s="6"/>
      <c r="I5" s="3"/>
      <c r="J5" s="6"/>
      <c r="K5" s="6"/>
      <c r="L5" s="6"/>
      <c r="M5" s="3"/>
      <c r="N5" s="16"/>
      <c r="O5" s="17"/>
      <c r="P5" s="17"/>
      <c r="Q5" s="16"/>
      <c r="R5" s="16"/>
      <c r="S5" s="25"/>
      <c r="T5" s="26"/>
      <c r="U5" s="25"/>
      <c r="V5" s="22"/>
      <c r="W5" s="22"/>
      <c r="X5" s="24"/>
      <c r="Y5" s="23"/>
      <c r="Z5" s="11"/>
      <c r="AI5" s="2"/>
      <c r="AK5" s="8"/>
      <c r="AM5" s="8"/>
      <c r="AN5" s="8"/>
    </row>
    <row customHeight="true" ht="19" r="6">
      <c r="A6" s="15" t="str">
        <v>上行战场</v>
      </c>
      <c r="B6" s="6">
        <v>4</v>
      </c>
      <c r="C6" s="3" t="str">
        <v>The Asecnt</v>
      </c>
      <c r="D6" s="6"/>
      <c r="E6" s="9"/>
      <c r="F6" s="3"/>
      <c r="H6" s="4"/>
      <c r="J6" s="4">
        <v>7.6</v>
      </c>
      <c r="K6" s="4">
        <v>74</v>
      </c>
      <c r="L6" s="4">
        <f>AVERAGE(J6*10,K6)</f>
      </c>
      <c r="N6" s="11">
        <v>160000</v>
      </c>
      <c r="O6" s="13">
        <v>7.3</v>
      </c>
      <c r="P6" s="13">
        <v>9</v>
      </c>
      <c r="Q6" s="1"/>
      <c r="R6" s="1"/>
      <c r="S6" s="1"/>
      <c r="T6" s="5"/>
      <c r="U6" s="1"/>
      <c r="V6" s="22"/>
      <c r="W6" s="22"/>
      <c r="X6" s="12"/>
      <c r="Y6" s="14">
        <v>148</v>
      </c>
      <c r="Z6" s="20">
        <f>AVERAGE(AH6+AJ6/V6+AL6/W6)</f>
      </c>
      <c r="AA6" s="7">
        <f>Z6*Y6</f>
      </c>
      <c r="AC6" s="7">
        <f>AA6*0.5</f>
      </c>
      <c r="AD6" s="7">
        <f>AC6*0.8</f>
      </c>
      <c r="AE6" s="7">
        <f>AC6*0.5</f>
      </c>
      <c r="AF6" s="7">
        <f>AC6*0.2</f>
      </c>
      <c r="AH6" s="21">
        <f>U6*AI2</f>
      </c>
      <c r="AI6" s="2"/>
      <c r="AK6" s="8"/>
      <c r="AM6" s="8"/>
      <c r="AN6" s="8"/>
    </row>
    <row r="7">
      <c r="A7" s="15" t="str">
        <v>清零计划2：天启派对</v>
      </c>
      <c r="B7" s="6">
        <v>4</v>
      </c>
      <c r="C7" s="3" t="str">
        <v>Project Zero 2: Apocalypse Party</v>
      </c>
      <c r="D7" s="6" t="str">
        <v>中国</v>
      </c>
      <c r="E7" s="9"/>
      <c r="F7" s="3" t="str">
        <v>Breaker Games</v>
      </c>
      <c r="G7" s="15" t="str">
        <v>Breaker Games</v>
      </c>
      <c r="H7" s="37">
        <f>AVERAGE(L7,O7*10,T7*100)</f>
      </c>
      <c r="J7" s="4" t="str">
        <v>tbd</v>
      </c>
      <c r="K7" s="4" t="str">
        <v>tbd</v>
      </c>
      <c r="L7" s="4"/>
      <c r="N7" s="11">
        <v>150000</v>
      </c>
      <c r="O7" s="13">
        <v>8.1</v>
      </c>
      <c r="P7" s="13">
        <v>21</v>
      </c>
      <c r="Q7" s="1"/>
      <c r="R7" s="1">
        <v>3897</v>
      </c>
      <c r="S7" s="1">
        <v>2658</v>
      </c>
      <c r="T7" s="5">
        <f>S7/R7</f>
      </c>
      <c r="U7" s="1">
        <v>12972</v>
      </c>
      <c r="V7" s="22">
        <f>U7/R7</f>
      </c>
      <c r="W7" s="22">
        <f>U7/S7</f>
      </c>
      <c r="X7" s="12"/>
      <c r="Y7" s="14">
        <v>42</v>
      </c>
      <c r="Z7" s="20">
        <f>AVERAGE(AH7,AJ7/V7,AL7/W7,AN7)</f>
      </c>
      <c r="AA7" s="7">
        <f>Z7*Y7</f>
      </c>
      <c r="AB7" s="7"/>
      <c r="AC7" s="7">
        <f>AA7*0.5</f>
      </c>
      <c r="AD7" s="7">
        <f>AC7*0.8</f>
      </c>
      <c r="AE7" s="7">
        <f>AC7*0.5</f>
      </c>
      <c r="AF7" s="7">
        <f>AC7*0.2</f>
      </c>
      <c r="AH7" s="21">
        <f>U7*AI2</f>
      </c>
      <c r="AI7" s="2"/>
      <c r="AJ7" s="21">
        <f>R7*AK2</f>
      </c>
      <c r="AK7" s="8"/>
      <c r="AL7" s="21">
        <f>R7*AM2</f>
      </c>
      <c r="AM7" s="8"/>
      <c r="AN7" s="21">
        <f>N7*AO2</f>
      </c>
    </row>
    <row r="8">
      <c r="A8" s="15" t="str">
        <v>以撒的结合</v>
      </c>
      <c r="B8" s="6">
        <v>4</v>
      </c>
      <c r="C8" s="3" t="str">
        <v>The Binding of Isaac</v>
      </c>
      <c r="D8" s="6" t="str">
        <v>美国</v>
      </c>
      <c r="E8" s="9"/>
      <c r="F8" s="3" t="str">
        <v>Edmund McMillen</v>
      </c>
      <c r="H8" s="4"/>
      <c r="J8" s="4"/>
      <c r="K8" s="4"/>
      <c r="L8" s="4">
        <f>AVERAGE(J8*10,K8)</f>
      </c>
      <c r="N8" s="11"/>
      <c r="O8" s="13"/>
      <c r="P8" s="13"/>
      <c r="Q8" s="1"/>
      <c r="R8" s="1"/>
      <c r="S8" s="1"/>
      <c r="T8" s="5"/>
      <c r="U8" s="1"/>
      <c r="V8" s="22"/>
      <c r="W8" s="22"/>
      <c r="X8" s="12"/>
      <c r="Y8" s="14"/>
      <c r="Z8" s="11"/>
      <c r="AC8" s="7">
        <f>AA8*0.5</f>
      </c>
      <c r="AE8" s="7">
        <f>AC8*0.5</f>
      </c>
      <c r="AI8" s="2"/>
      <c r="AK8" s="8"/>
      <c r="AM8" s="8"/>
      <c r="AN8" s="8"/>
    </row>
    <row r="9">
      <c r="A9" s="15" t="str">
        <v>挺进地牢</v>
      </c>
      <c r="B9" s="6">
        <v>4</v>
      </c>
      <c r="C9" s="3" t="str">
        <v>Enter the Gungeon</v>
      </c>
      <c r="D9" s="6" t="str">
        <v>中国</v>
      </c>
      <c r="E9" s="9"/>
      <c r="F9" s="3" t="str">
        <v>Dodge Roll</v>
      </c>
      <c r="H9" s="4"/>
      <c r="J9" s="4"/>
      <c r="K9" s="4"/>
      <c r="L9" s="4">
        <f>AVERAGE(J9*10,K9)</f>
      </c>
      <c r="N9" s="11">
        <v>750000</v>
      </c>
      <c r="O9" s="13">
        <v>9.6</v>
      </c>
      <c r="P9" s="13">
        <v>25.7</v>
      </c>
      <c r="Q9" s="1"/>
      <c r="R9" s="1">
        <v>79609</v>
      </c>
      <c r="S9" s="1">
        <v>76217</v>
      </c>
      <c r="T9" s="5">
        <f>S9/R9</f>
      </c>
      <c r="U9" s="1">
        <v>15792</v>
      </c>
      <c r="V9" s="22">
        <f>U9/R9</f>
      </c>
      <c r="W9" s="22">
        <f>U9/S9</f>
      </c>
      <c r="X9" s="12"/>
      <c r="Y9" s="14">
        <v>58</v>
      </c>
      <c r="Z9" s="11">
        <v>3000000</v>
      </c>
      <c r="AA9" s="7">
        <f>Z9*Y9</f>
      </c>
      <c r="AB9" s="7"/>
      <c r="AC9" s="7">
        <f>AA9*0.5</f>
      </c>
      <c r="AD9" s="7">
        <f>AC9*0.8</f>
      </c>
      <c r="AE9" s="7">
        <f>AC9*0.5</f>
      </c>
      <c r="AF9" s="7">
        <f>AC9*0.2</f>
      </c>
      <c r="AI9" s="2">
        <f>Z9/U9</f>
      </c>
      <c r="AK9" s="36">
        <f>Z9/R9</f>
      </c>
      <c r="AM9" s="8">
        <f>Z9/S9</f>
      </c>
      <c r="AN9" s="8"/>
      <c r="AO9" s="8">
        <f>Z9/N9</f>
      </c>
    </row>
    <row r="10">
      <c r="A10" s="15" t="str" xml:space="preserve">
        <v>吸血鬼幸存者 </v>
      </c>
      <c r="B10" s="6">
        <v>4</v>
      </c>
      <c r="C10" s="3" t="str">
        <v>Vampire Survivors</v>
      </c>
      <c r="D10" s="6" t="str">
        <v>英国</v>
      </c>
      <c r="E10" s="9"/>
      <c r="F10" s="3" t="str">
        <v>Luca Galante</v>
      </c>
      <c r="H10" s="4"/>
      <c r="J10" s="4"/>
      <c r="K10" s="4"/>
      <c r="L10" s="4"/>
      <c r="N10" s="11"/>
      <c r="O10" s="13"/>
      <c r="P10" s="13"/>
      <c r="Q10" s="1"/>
      <c r="R10" s="1"/>
      <c r="S10" s="1"/>
      <c r="T10" s="5"/>
      <c r="U10" s="1"/>
      <c r="V10" s="10"/>
      <c r="W10" s="10"/>
      <c r="X10" s="12"/>
      <c r="Y10" s="14"/>
      <c r="Z10" s="11"/>
      <c r="AC10" s="7">
        <f>AA10*0.5</f>
      </c>
      <c r="AE10" s="7">
        <f>AC10*0.5</f>
      </c>
      <c r="AI10" s="2"/>
      <c r="AK10" s="8"/>
      <c r="AM10" s="8"/>
      <c r="AN10" s="8"/>
    </row>
    <row r="11">
      <c r="A11" s="3" t="str">
        <v>火线迈阿密</v>
      </c>
      <c r="B11" s="6">
        <v>4</v>
      </c>
      <c r="C11" s="3"/>
      <c r="D11" s="27"/>
      <c r="E11" s="9"/>
      <c r="F11" s="3"/>
      <c r="G11" s="3"/>
      <c r="H11" s="6"/>
      <c r="I11" s="3"/>
      <c r="J11" s="6"/>
      <c r="K11" s="6"/>
      <c r="L11" s="6"/>
      <c r="M11" s="3"/>
      <c r="N11" s="16"/>
      <c r="O11" s="17"/>
      <c r="P11" s="17"/>
      <c r="Q11" s="16"/>
      <c r="R11" s="16"/>
      <c r="S11" s="25"/>
      <c r="T11" s="26"/>
      <c r="U11" s="25"/>
      <c r="V11" s="22"/>
      <c r="W11" s="22"/>
      <c r="X11" s="24"/>
      <c r="Y11" s="23"/>
      <c r="Z11" s="11"/>
      <c r="AI11" s="2"/>
      <c r="AK11" s="8"/>
      <c r="AM11" s="8"/>
      <c r="AN11" s="8"/>
    </row>
    <row r="12">
      <c r="A12" s="3" t="str">
        <v>恶意不息</v>
      </c>
      <c r="B12" s="6">
        <v>4</v>
      </c>
      <c r="C12" s="3"/>
      <c r="D12" s="27"/>
      <c r="E12" s="9"/>
      <c r="F12" s="3"/>
      <c r="G12" s="3"/>
      <c r="H12" s="6"/>
      <c r="I12" s="3"/>
      <c r="J12" s="6"/>
      <c r="K12" s="6"/>
      <c r="L12" s="6"/>
      <c r="M12" s="3"/>
      <c r="N12" s="16"/>
      <c r="O12" s="17"/>
      <c r="P12" s="17"/>
      <c r="Q12" s="16"/>
      <c r="R12" s="16"/>
      <c r="S12" s="25"/>
      <c r="T12" s="26"/>
      <c r="U12" s="25"/>
      <c r="V12" s="22"/>
      <c r="W12" s="22"/>
      <c r="X12" s="24"/>
      <c r="Y12" s="23"/>
      <c r="Z12" s="11"/>
      <c r="AI12" s="2"/>
      <c r="AK12" s="8"/>
      <c r="AM12" s="8"/>
      <c r="AN12" s="8"/>
    </row>
    <row r="13">
      <c r="A13" s="3" t="str">
        <v>地狱速递</v>
      </c>
      <c r="B13" s="6">
        <v>4</v>
      </c>
      <c r="C13" s="3"/>
      <c r="D13" s="6" t="str">
        <v>中国</v>
      </c>
      <c r="E13" s="9"/>
      <c r="F13" s="3" t="str">
        <v>全金属贝果</v>
      </c>
      <c r="G13" s="3"/>
      <c r="H13" s="6"/>
      <c r="I13" s="3"/>
      <c r="J13" s="6"/>
      <c r="K13" s="6"/>
      <c r="L13" s="6"/>
      <c r="M13" s="3"/>
      <c r="N13" s="16"/>
      <c r="O13" s="17"/>
      <c r="P13" s="17"/>
      <c r="Q13" s="16"/>
      <c r="R13" s="16"/>
      <c r="S13" s="25"/>
      <c r="T13" s="26"/>
      <c r="U13" s="25"/>
      <c r="V13" s="22"/>
      <c r="W13" s="22"/>
      <c r="X13" s="24"/>
      <c r="Y13" s="23"/>
      <c r="Z13" s="11"/>
      <c r="AI13" s="2"/>
      <c r="AK13" s="8"/>
      <c r="AM13" s="8"/>
      <c r="AN13" s="8"/>
    </row>
    <row r="14">
      <c r="A14" s="15" t="str">
        <v>死亡细胞</v>
      </c>
      <c r="B14" s="6">
        <v>3</v>
      </c>
      <c r="C14" s="3" t="str">
        <v>Dead Cells</v>
      </c>
      <c r="D14" s="6" t="str">
        <v>法国</v>
      </c>
      <c r="E14" s="9"/>
      <c r="F14" s="3" t="str">
        <v>Motion Twin</v>
      </c>
      <c r="H14" s="4"/>
      <c r="J14" s="4"/>
      <c r="K14" s="4"/>
      <c r="L14" s="4">
        <f>AVERAGE(J14*10,K14)</f>
      </c>
      <c r="N14" s="11"/>
      <c r="O14" s="13"/>
      <c r="P14" s="13"/>
      <c r="Q14" s="1"/>
      <c r="R14" s="1"/>
      <c r="S14" s="1"/>
      <c r="T14" s="5"/>
      <c r="U14" s="1"/>
      <c r="V14" s="22"/>
      <c r="W14" s="22"/>
      <c r="X14" s="12"/>
      <c r="Y14" s="14"/>
      <c r="Z14" s="11"/>
      <c r="AC14" s="7">
        <f>AA14*0.5</f>
      </c>
      <c r="AE14" s="7">
        <f>AC14*0.5</f>
      </c>
      <c r="AI14" s="2"/>
      <c r="AK14" s="8"/>
      <c r="AM14" s="8"/>
      <c r="AN14" s="8"/>
    </row>
    <row r="15">
      <c r="A15" s="15" t="str">
        <v>咩咩启示录</v>
      </c>
      <c r="B15" s="6">
        <v>3</v>
      </c>
      <c r="C15" s="3" t="str">
        <v>Cult of the Lamb</v>
      </c>
      <c r="D15" s="6" t="str">
        <v>英国</v>
      </c>
      <c r="E15" s="9"/>
      <c r="F15" s="3" t="str">
        <v>Massive Monster</v>
      </c>
      <c r="H15" s="4"/>
      <c r="J15" s="4"/>
      <c r="K15" s="4"/>
      <c r="L15" s="4">
        <f>AVERAGE(J15*10,K15)</f>
      </c>
      <c r="N15" s="11"/>
      <c r="O15" s="13"/>
      <c r="P15" s="13"/>
      <c r="V15" s="22"/>
      <c r="W15" s="22"/>
      <c r="Y15" s="35"/>
      <c r="Z15" s="15"/>
      <c r="AA15" s="7"/>
      <c r="AC15" s="7">
        <f>AA15*0.5</f>
      </c>
      <c r="AD15" s="7"/>
      <c r="AE15" s="7">
        <f>AC15*0.5</f>
      </c>
      <c r="AF15" s="7"/>
      <c r="AI15" s="2"/>
      <c r="AK15" s="8"/>
      <c r="AM15" s="8"/>
      <c r="AN15" s="8"/>
    </row>
    <row r="16">
      <c r="A16" s="3" t="str">
        <v>暗黑破坏神4</v>
      </c>
      <c r="B16" s="6">
        <v>3</v>
      </c>
      <c r="C16" s="3"/>
      <c r="D16" s="6"/>
      <c r="E16" s="9"/>
      <c r="F16" s="3"/>
      <c r="G16" s="3"/>
      <c r="H16" s="6"/>
      <c r="I16" s="3"/>
      <c r="J16" s="6"/>
      <c r="K16" s="6"/>
      <c r="L16" s="6"/>
      <c r="M16" s="3"/>
      <c r="N16" s="16"/>
      <c r="O16" s="17"/>
      <c r="P16" s="17"/>
      <c r="Q16" s="16"/>
      <c r="R16" s="16"/>
      <c r="S16" s="25"/>
      <c r="T16" s="26"/>
      <c r="U16" s="25"/>
      <c r="V16" s="22"/>
      <c r="W16" s="22"/>
      <c r="X16" s="24"/>
      <c r="Y16" s="23"/>
      <c r="Z16" s="11"/>
      <c r="AI16" s="2"/>
      <c r="AK16" s="8"/>
      <c r="AM16" s="8"/>
      <c r="AN16" s="8"/>
    </row>
    <row r="17">
      <c r="A17" s="3" t="str">
        <v>暗黑破坏神3</v>
      </c>
      <c r="B17" s="6">
        <v>3</v>
      </c>
      <c r="C17" s="3"/>
      <c r="D17" s="27"/>
      <c r="E17" s="9"/>
      <c r="F17" s="3"/>
      <c r="G17" s="3"/>
      <c r="H17" s="6"/>
      <c r="I17" s="3"/>
      <c r="J17" s="6"/>
      <c r="K17" s="6"/>
      <c r="L17" s="6"/>
      <c r="M17" s="3"/>
      <c r="N17" s="16"/>
      <c r="O17" s="17"/>
      <c r="P17" s="17"/>
      <c r="Q17" s="16"/>
      <c r="R17" s="16"/>
      <c r="S17" s="25"/>
      <c r="T17" s="26"/>
      <c r="U17" s="25"/>
      <c r="V17" s="22"/>
      <c r="W17" s="22"/>
      <c r="X17" s="24"/>
      <c r="Y17" s="23"/>
      <c r="Z17" s="11"/>
      <c r="AI17" s="2"/>
      <c r="AK17" s="8"/>
      <c r="AM17" s="8"/>
      <c r="AN17" s="8"/>
    </row>
    <row r="18">
      <c r="A18" s="3" t="str">
        <v>流放之路2</v>
      </c>
      <c r="B18" s="6">
        <v>3</v>
      </c>
      <c r="C18" s="3"/>
      <c r="D18" s="27"/>
      <c r="E18" s="9"/>
      <c r="F18" s="3"/>
      <c r="G18" s="3"/>
      <c r="H18" s="6"/>
      <c r="I18" s="3"/>
      <c r="J18" s="6"/>
      <c r="K18" s="6"/>
      <c r="L18" s="6"/>
      <c r="M18" s="3"/>
      <c r="N18" s="16"/>
      <c r="O18" s="17"/>
      <c r="P18" s="17"/>
      <c r="Q18" s="16"/>
      <c r="R18" s="16"/>
      <c r="S18" s="25"/>
      <c r="T18" s="26"/>
      <c r="U18" s="25"/>
      <c r="V18" s="22"/>
      <c r="W18" s="22"/>
      <c r="X18" s="24"/>
      <c r="Y18" s="23"/>
      <c r="Z18" s="11"/>
      <c r="AI18" s="2"/>
      <c r="AK18" s="8"/>
      <c r="AM18" s="8"/>
      <c r="AN18" s="8"/>
    </row>
    <row r="19">
      <c r="A19" s="3" t="str">
        <v>流放之路</v>
      </c>
      <c r="B19" s="6">
        <v>3</v>
      </c>
      <c r="C19" s="3"/>
      <c r="D19" s="27"/>
      <c r="E19" s="9"/>
      <c r="F19" s="3"/>
      <c r="G19" s="3"/>
      <c r="H19" s="6"/>
      <c r="I19" s="3"/>
      <c r="J19" s="6"/>
      <c r="K19" s="6"/>
      <c r="L19" s="6"/>
      <c r="M19" s="3"/>
      <c r="N19" s="16"/>
      <c r="O19" s="17"/>
      <c r="P19" s="17"/>
      <c r="Q19" s="16"/>
      <c r="R19" s="16"/>
      <c r="S19" s="25"/>
      <c r="T19" s="26"/>
      <c r="U19" s="25"/>
      <c r="V19" s="22"/>
      <c r="W19" s="22"/>
      <c r="X19" s="24"/>
      <c r="Y19" s="23"/>
      <c r="Z19" s="11"/>
      <c r="AI19" s="2"/>
      <c r="AK19" s="8"/>
      <c r="AM19" s="8"/>
      <c r="AN19" s="8"/>
    </row>
    <row r="20">
      <c r="A20" s="3" t="str">
        <v>逃离鸭科夫</v>
      </c>
      <c r="B20" s="6">
        <v>3</v>
      </c>
      <c r="C20" s="3"/>
      <c r="D20" s="27"/>
      <c r="E20" s="9"/>
      <c r="F20" s="3"/>
      <c r="G20" s="3"/>
      <c r="H20" s="6"/>
      <c r="I20" s="3"/>
      <c r="J20" s="6"/>
      <c r="K20" s="6"/>
      <c r="L20" s="6"/>
      <c r="M20" s="3"/>
      <c r="N20" s="16"/>
      <c r="O20" s="17"/>
      <c r="P20" s="17"/>
      <c r="Q20" s="16"/>
      <c r="R20" s="16"/>
      <c r="S20" s="25"/>
      <c r="T20" s="26"/>
      <c r="U20" s="25"/>
      <c r="V20" s="22"/>
      <c r="W20" s="22"/>
      <c r="X20" s="24"/>
      <c r="Y20" s="23"/>
      <c r="Z20" s="11"/>
      <c r="AI20" s="2"/>
      <c r="AK20" s="8"/>
      <c r="AM20" s="8"/>
      <c r="AN20" s="8"/>
    </row>
    <row r="21">
      <c r="A21" s="31" t="str">
        <v>诡野西部</v>
      </c>
      <c r="B21" s="29">
        <v>2</v>
      </c>
      <c r="C21" s="31"/>
      <c r="D21" s="29"/>
      <c r="E21" s="9"/>
      <c r="F21" s="3"/>
      <c r="G21" s="3"/>
      <c r="H21" s="6"/>
      <c r="I21" s="3"/>
      <c r="J21" s="6"/>
      <c r="K21" s="6"/>
      <c r="L21" s="6"/>
      <c r="M21" s="3"/>
      <c r="N21" s="16"/>
      <c r="O21" s="17"/>
      <c r="P21" s="17"/>
      <c r="Q21" s="16"/>
      <c r="R21" s="16"/>
      <c r="S21" s="32"/>
      <c r="T21" s="30"/>
      <c r="U21" s="32"/>
      <c r="V21" s="33"/>
      <c r="W21" s="33"/>
      <c r="X21" s="34"/>
      <c r="Y21" s="28"/>
      <c r="Z21" s="11"/>
      <c r="AI21" s="2"/>
      <c r="AK21" s="8"/>
      <c r="AM21" s="8"/>
      <c r="AN21" s="8"/>
    </row>
    <row r="22">
      <c r="A22" s="15" t="str">
        <v>元能失控</v>
      </c>
      <c r="B22" s="6"/>
      <c r="C22" s="3" t="str">
        <v>Metaverse Keeper</v>
      </c>
      <c r="D22" s="6" t="str">
        <v>中国</v>
      </c>
      <c r="E22" s="9"/>
      <c r="F22" s="3" t="str">
        <v>火花工作室</v>
      </c>
      <c r="H22" s="4"/>
      <c r="J22" s="4"/>
      <c r="K22" s="4"/>
      <c r="L22" s="4">
        <f>AVERAGE(J22*10,K22)</f>
      </c>
      <c r="N22" s="11"/>
      <c r="O22" s="13"/>
      <c r="P22" s="13"/>
      <c r="Q22" s="1"/>
      <c r="R22" s="1">
        <v>792</v>
      </c>
      <c r="S22" s="1">
        <v>619</v>
      </c>
      <c r="T22" s="5">
        <f>S22/R22</f>
      </c>
      <c r="U22" s="1">
        <v>490</v>
      </c>
      <c r="V22" s="22">
        <f>U22/R22</f>
      </c>
      <c r="W22" s="22">
        <f>U22/S22</f>
      </c>
      <c r="X22" s="12"/>
      <c r="Y22" s="14">
        <v>48</v>
      </c>
      <c r="Z22" s="20">
        <f>AVERAGE(AH22,AJ22/V22,AL22/W22,AN22)</f>
      </c>
      <c r="AA22" s="7">
        <f>Z22*Y22</f>
      </c>
      <c r="AB22" s="7"/>
      <c r="AC22" s="7">
        <f>AA22*0.5</f>
      </c>
      <c r="AD22" s="7">
        <f>AC22*0.8</f>
      </c>
      <c r="AE22" s="7">
        <f>AC22*0.5</f>
      </c>
      <c r="AF22" s="7">
        <f>AC22*0.2</f>
      </c>
      <c r="AH22" s="21">
        <f>U22*AI15</f>
      </c>
      <c r="AI22" s="2"/>
      <c r="AJ22" s="21">
        <f>R22*AK15</f>
      </c>
      <c r="AK22" s="8"/>
      <c r="AL22" s="21">
        <f>R22*AM15</f>
      </c>
      <c r="AM22" s="8"/>
      <c r="AN22" s="21">
        <f>N22*AO15</f>
      </c>
    </row>
    <row r="23">
      <c r="A23" s="15" t="str">
        <v>地牢之魂</v>
      </c>
      <c r="B23" s="6"/>
      <c r="C23" s="3" t="str">
        <v>Dungeon of the Endless</v>
      </c>
      <c r="D23" s="6" t="str">
        <v>法国</v>
      </c>
      <c r="E23" s="9"/>
      <c r="F23" s="3" t="str">
        <v>Amplitude Studios</v>
      </c>
      <c r="H23" s="4"/>
      <c r="J23" s="4"/>
      <c r="K23" s="4"/>
      <c r="L23" s="4">
        <f>AVERAGE(J23*10,K23)</f>
      </c>
      <c r="N23" s="11"/>
      <c r="O23" s="13"/>
      <c r="P23" s="13"/>
      <c r="Q23" s="1"/>
      <c r="R23" s="1">
        <f>S23+404</f>
      </c>
      <c r="S23" s="1">
        <v>1216</v>
      </c>
      <c r="T23" s="5"/>
      <c r="U23" s="1"/>
      <c r="V23" s="22">
        <f>U23/R23</f>
      </c>
      <c r="W23" s="22">
        <f>U23/S23</f>
      </c>
      <c r="X23" s="12"/>
      <c r="Y23" s="14"/>
      <c r="Z23" s="11"/>
      <c r="AC23" s="7">
        <f>AA23*0.5</f>
      </c>
      <c r="AE23" s="7">
        <f>AC23*0.5</f>
      </c>
      <c r="AI23" s="2"/>
      <c r="AK23" s="8"/>
      <c r="AM23" s="8"/>
      <c r="AN23" s="8"/>
    </row>
    <row r="24">
      <c r="A24" s="15" t="str">
        <v>异界之上</v>
      </c>
      <c r="B24" s="6"/>
      <c r="C24" s="3" t="str">
        <v>Across the Omelette</v>
      </c>
      <c r="D24" s="6" t="str">
        <v>中国</v>
      </c>
      <c r="E24" s="9"/>
      <c r="F24" s="3" t="str">
        <v>Hermit Games</v>
      </c>
      <c r="H24" s="4"/>
      <c r="J24" s="4"/>
      <c r="K24" s="4"/>
      <c r="L24" s="4">
        <f>AVERAGE(J24*10,K24)</f>
      </c>
      <c r="N24" s="11"/>
      <c r="O24" s="13"/>
      <c r="P24" s="13"/>
      <c r="Q24" s="1"/>
      <c r="R24" s="1"/>
      <c r="S24" s="1"/>
      <c r="T24" s="5"/>
      <c r="U24" s="1"/>
      <c r="V24" s="10"/>
      <c r="W24" s="10"/>
      <c r="X24" s="12"/>
      <c r="Y24" s="14"/>
      <c r="Z24" s="11"/>
      <c r="AC24" s="7">
        <f>AA24*0.5</f>
      </c>
      <c r="AE24" s="7">
        <f>AC24*0.5</f>
      </c>
      <c r="AI24" s="2"/>
      <c r="AK24" s="8"/>
      <c r="AM24" s="8"/>
      <c r="AN24" s="8"/>
    </row>
    <row r="25">
      <c r="A25" s="15" t="str">
        <v>失落之河</v>
      </c>
      <c r="B25" s="6"/>
      <c r="C25" s="3" t="str">
        <v>Lost River</v>
      </c>
      <c r="D25" s="6" t="str">
        <v>中国</v>
      </c>
      <c r="E25" s="9"/>
      <c r="F25" s="3" t="str">
        <v>3D猫头鹰工作室</v>
      </c>
      <c r="H25" s="4"/>
      <c r="J25" s="4"/>
      <c r="K25" s="4"/>
      <c r="L25" s="4">
        <f>AVERAGE(J25*10,K25)</f>
      </c>
      <c r="N25" s="11"/>
      <c r="O25" s="13"/>
      <c r="P25" s="13"/>
      <c r="Q25" s="1"/>
      <c r="R25" s="1"/>
      <c r="S25" s="1"/>
      <c r="T25" s="5"/>
      <c r="U25" s="1"/>
      <c r="V25" s="10"/>
      <c r="W25" s="10"/>
      <c r="X25" s="12"/>
      <c r="Y25" s="14"/>
      <c r="Z25" s="11"/>
      <c r="AC25" s="7">
        <f>AA25*0.5</f>
      </c>
      <c r="AE25" s="7">
        <f>AC25*0.5</f>
      </c>
      <c r="AI25" s="2"/>
      <c r="AK25" s="8"/>
      <c r="AM25" s="8"/>
      <c r="AN25" s="8"/>
    </row>
    <row r="26">
      <c r="A26" s="15" t="str">
        <v>冷鲜肉</v>
      </c>
      <c r="B26" s="6"/>
      <c r="C26" s="3" t="str">
        <v>Cult of the Lamb</v>
      </c>
      <c r="D26" s="6" t="str">
        <v>英国</v>
      </c>
      <c r="E26" s="9"/>
      <c r="F26" s="3" t="str">
        <v>Massive Monster</v>
      </c>
      <c r="H26" s="4"/>
      <c r="J26" s="4"/>
      <c r="K26" s="4"/>
      <c r="L26" s="4">
        <f>AVERAGE(J26*10,K26)</f>
      </c>
      <c r="N26" s="11"/>
      <c r="O26" s="13"/>
      <c r="P26" s="13"/>
      <c r="Q26" s="1"/>
      <c r="R26" s="1"/>
      <c r="S26" s="1"/>
      <c r="T26" s="5"/>
      <c r="U26" s="1"/>
      <c r="V26" s="10"/>
      <c r="W26" s="10"/>
      <c r="X26" s="12"/>
      <c r="Y26" s="14"/>
      <c r="Z26" s="11"/>
      <c r="AC26" s="7">
        <f>AA26*0.5</f>
      </c>
      <c r="AE26" s="7">
        <f>AC26*0.5</f>
      </c>
      <c r="AI26" s="2"/>
      <c r="AK26" s="8"/>
      <c r="AM26" s="8"/>
      <c r="AN26" s="8"/>
    </row>
    <row r="27">
      <c r="A27" s="15" t="str">
        <v>降至</v>
      </c>
      <c r="B27" s="6"/>
      <c r="C27" s="3" t="str">
        <v>Descenders</v>
      </c>
      <c r="D27" s="6" t="str">
        <v>英国</v>
      </c>
      <c r="E27" s="9"/>
      <c r="F27" s="3" t="str">
        <v>RageSquid</v>
      </c>
      <c r="H27" s="4"/>
      <c r="J27" s="4"/>
      <c r="K27" s="4"/>
      <c r="L27" s="4">
        <f>AVERAGE(J27*10,K27)</f>
      </c>
      <c r="N27" s="11"/>
      <c r="O27" s="13"/>
      <c r="P27" s="13"/>
      <c r="Q27" s="1"/>
      <c r="R27" s="1"/>
      <c r="S27" s="1"/>
      <c r="T27" s="5"/>
      <c r="U27" s="1"/>
      <c r="V27" s="10"/>
      <c r="W27" s="10"/>
      <c r="X27" s="12"/>
      <c r="Y27" s="14"/>
      <c r="Z27" s="11"/>
      <c r="AC27" s="7">
        <f>AA27*0.5</f>
      </c>
      <c r="AE27" s="7">
        <f>AC27*0.5</f>
      </c>
      <c r="AI27" s="2"/>
      <c r="AK27" s="8"/>
      <c r="AM27" s="8"/>
      <c r="AN27" s="8"/>
    </row>
    <row r="28">
      <c r="A28" s="15" t="str">
        <v>柯南砍砍砍</v>
      </c>
      <c r="B28" s="6"/>
      <c r="C28" s="3" t="str">
        <v>Conan Chop Chop</v>
      </c>
      <c r="D28" s="6" t="str">
        <v>丹麦</v>
      </c>
      <c r="E28" s="9"/>
      <c r="F28" s="3" t="str">
        <v>Funcom</v>
      </c>
      <c r="H28" s="4"/>
      <c r="J28" s="4"/>
      <c r="K28" s="4"/>
      <c r="L28" s="4"/>
      <c r="N28" s="11"/>
      <c r="O28" s="13"/>
      <c r="P28" s="13"/>
      <c r="Q28" s="1"/>
      <c r="R28" s="1"/>
      <c r="S28" s="1"/>
      <c r="T28" s="5"/>
      <c r="U28" s="1"/>
      <c r="V28" s="10"/>
      <c r="W28" s="10"/>
      <c r="X28" s="12"/>
      <c r="Y28" s="14"/>
      <c r="Z28" s="11"/>
      <c r="AC28" s="7">
        <f>AA28*0.5</f>
      </c>
      <c r="AE28" s="7">
        <f>AC28*0.5</f>
      </c>
      <c r="AI28" s="2"/>
      <c r="AK28" s="8"/>
      <c r="AM28" s="8"/>
      <c r="AN28" s="8"/>
    </row>
    <row r="29">
      <c r="A29" s="15" t="str">
        <v>卡牌艾斯</v>
      </c>
      <c r="B29" s="6"/>
      <c r="C29" s="3" t="str">
        <v>Card Hog</v>
      </c>
      <c r="D29" s="6" t="str">
        <v>加拿大</v>
      </c>
      <c r="E29" s="9"/>
      <c r="F29" s="3" t="str">
        <v>Rocketship Park</v>
      </c>
      <c r="H29" s="4"/>
      <c r="J29" s="4"/>
      <c r="K29" s="4"/>
      <c r="L29" s="4"/>
      <c r="N29" s="11"/>
      <c r="O29" s="13"/>
      <c r="P29" s="13"/>
      <c r="Q29" s="1"/>
      <c r="R29" s="1"/>
      <c r="S29" s="1"/>
      <c r="T29" s="5"/>
      <c r="U29" s="1"/>
      <c r="V29" s="10"/>
      <c r="W29" s="10"/>
      <c r="X29" s="12"/>
      <c r="Y29" s="14"/>
      <c r="Z29" s="11"/>
      <c r="AC29" s="7">
        <f>AA29*0.5</f>
      </c>
      <c r="AE29" s="7">
        <f>AC29*0.5</f>
      </c>
      <c r="AI29" s="2"/>
      <c r="AK29" s="8"/>
      <c r="AM29" s="8"/>
      <c r="AN29" s="8"/>
    </row>
    <row r="30">
      <c r="A30" s="15" t="str">
        <v>死亡西部</v>
      </c>
      <c r="B30" s="6"/>
      <c r="C30" s="3" t="str">
        <v>West of Dead</v>
      </c>
      <c r="D30" s="6" t="str">
        <v>英国</v>
      </c>
      <c r="E30" s="9"/>
      <c r="F30" s="3" t="str">
        <v>Upstream Arcade</v>
      </c>
      <c r="H30" s="4"/>
      <c r="J30" s="4"/>
      <c r="K30" s="4"/>
      <c r="L30" s="4"/>
      <c r="N30" s="11"/>
      <c r="O30" s="13"/>
      <c r="P30" s="13"/>
      <c r="Q30" s="1"/>
      <c r="R30" s="1"/>
      <c r="S30" s="1"/>
      <c r="T30" s="5"/>
      <c r="U30" s="1"/>
      <c r="V30" s="10"/>
      <c r="W30" s="10"/>
      <c r="X30" s="12"/>
      <c r="Y30" s="14"/>
      <c r="Z30" s="11"/>
      <c r="AC30" s="7">
        <f>AA30*0.5</f>
      </c>
      <c r="AE30" s="7">
        <f>AC30*0.5</f>
      </c>
      <c r="AI30" s="2"/>
      <c r="AK30" s="8"/>
      <c r="AM30" s="8"/>
      <c r="AN30" s="8"/>
    </row>
    <row r="31">
      <c r="A31" s="15" t="str">
        <v>恶果之地</v>
      </c>
      <c r="B31" s="6"/>
      <c r="C31" s="3" t="str">
        <v>Blightbound</v>
      </c>
      <c r="D31" s="6" t="str">
        <v>加拿大</v>
      </c>
      <c r="E31" s="9"/>
      <c r="F31" s="3" t="str">
        <v>Aweful Games</v>
      </c>
      <c r="H31" s="4"/>
      <c r="J31" s="4"/>
      <c r="K31" s="4"/>
      <c r="L31" s="4"/>
      <c r="N31" s="11"/>
      <c r="O31" s="13"/>
      <c r="P31" s="13"/>
      <c r="Q31" s="1"/>
      <c r="R31" s="1"/>
      <c r="S31" s="1"/>
      <c r="T31" s="5"/>
      <c r="U31" s="1"/>
      <c r="V31" s="10"/>
      <c r="W31" s="10"/>
      <c r="X31" s="12"/>
      <c r="Y31" s="14"/>
      <c r="Z31" s="11"/>
      <c r="AC31" s="7">
        <f>AA31*0.5</f>
      </c>
      <c r="AE31" s="7">
        <f>AC31*0.5</f>
      </c>
      <c r="AI31" s="2"/>
      <c r="AK31" s="8"/>
      <c r="AM31" s="8"/>
      <c r="AN31" s="8"/>
    </row>
    <row r="32">
      <c r="A32" s="15" t="str">
        <v>莫塔之子</v>
      </c>
      <c r="B32" s="6"/>
      <c r="C32" s="3" t="str">
        <v>Children of Morta</v>
      </c>
      <c r="D32" s="6" t="str">
        <v>美国</v>
      </c>
      <c r="E32" s="9"/>
      <c r="F32" s="3" t="str">
        <v>Dead Mage Inc.</v>
      </c>
      <c r="H32" s="4"/>
      <c r="J32" s="4"/>
      <c r="K32" s="4"/>
      <c r="L32" s="4"/>
      <c r="N32" s="11"/>
      <c r="O32" s="13"/>
      <c r="P32" s="13"/>
      <c r="Q32" s="1"/>
      <c r="R32" s="1"/>
      <c r="S32" s="1"/>
      <c r="T32" s="5"/>
      <c r="U32" s="1"/>
      <c r="V32" s="10"/>
      <c r="W32" s="10"/>
      <c r="X32" s="12"/>
      <c r="Y32" s="14"/>
      <c r="Z32" s="11"/>
      <c r="AC32" s="7">
        <f>AA32*0.5</f>
      </c>
      <c r="AE32" s="7">
        <f>AC32*0.5</f>
      </c>
      <c r="AI32" s="2"/>
      <c r="AK32" s="8"/>
      <c r="AM32" s="8"/>
      <c r="AN32" s="8"/>
    </row>
    <row r="33">
      <c r="A33" s="15" t="str">
        <v>东方夜光幻梦</v>
      </c>
      <c r="B33" s="6"/>
      <c r="C33" s="3" t="str">
        <v>Chezhenhao Pian</v>
      </c>
      <c r="D33" s="6" t="str">
        <v>中国</v>
      </c>
      <c r="E33" s="9"/>
      <c r="F33" s="3" t="str">
        <v>独立游戏工作室</v>
      </c>
      <c r="H33" s="4"/>
      <c r="J33" s="4"/>
      <c r="K33" s="4"/>
      <c r="L33" s="4"/>
      <c r="N33" s="11"/>
      <c r="O33" s="13"/>
      <c r="P33" s="13"/>
      <c r="Q33" s="1"/>
      <c r="R33" s="1"/>
      <c r="S33" s="1"/>
      <c r="T33" s="5"/>
      <c r="U33" s="1"/>
      <c r="V33" s="10"/>
      <c r="W33" s="10"/>
      <c r="X33" s="12"/>
      <c r="Y33" s="14"/>
      <c r="Z33" s="11"/>
      <c r="AC33" s="7">
        <f>AA33*0.5</f>
      </c>
      <c r="AE33" s="7">
        <f>AC33*0.5</f>
      </c>
      <c r="AI33" s="2"/>
      <c r="AK33" s="8"/>
      <c r="AM33" s="8"/>
      <c r="AN33" s="8"/>
    </row>
    <row r="34">
      <c r="A34" s="15" t="str">
        <v>几何竞技场</v>
      </c>
      <c r="B34" s="6"/>
      <c r="C34" s="3" t="str">
        <v>Wode Yanjing</v>
      </c>
      <c r="D34" s="6" t="str">
        <v>中国</v>
      </c>
      <c r="E34" s="9"/>
      <c r="F34" s="3" t="str">
        <v>独立游戏工作室</v>
      </c>
      <c r="H34" s="4"/>
      <c r="J34" s="4"/>
      <c r="K34" s="4"/>
      <c r="L34" s="4"/>
      <c r="N34" s="11"/>
      <c r="O34" s="13"/>
      <c r="P34" s="13"/>
      <c r="Q34" s="1"/>
      <c r="R34" s="1"/>
      <c r="S34" s="1"/>
      <c r="T34" s="5"/>
      <c r="U34" s="1"/>
      <c r="V34" s="10"/>
      <c r="W34" s="10"/>
      <c r="X34" s="12"/>
      <c r="Y34" s="14"/>
      <c r="Z34" s="11"/>
      <c r="AC34" s="7">
        <f>AA34*0.5</f>
      </c>
      <c r="AE34" s="7">
        <f>AC34*0.5</f>
      </c>
      <c r="AI34" s="2"/>
      <c r="AK34" s="8"/>
      <c r="AM34" s="8"/>
      <c r="AN34" s="8"/>
    </row>
    <row r="35">
      <c r="A35" s="15" t="str" xml:space="preserve">
        <v>层层梦境 </v>
      </c>
      <c r="B35" s="6"/>
      <c r="C35" s="3" t="str">
        <v>Dreamscaper</v>
      </c>
      <c r="D35" s="6" t="str">
        <v>加拿大</v>
      </c>
      <c r="E35" s="9"/>
      <c r="F35" s="3" t="str">
        <v>Afterworks</v>
      </c>
      <c r="H35" s="4"/>
      <c r="J35" s="4"/>
      <c r="K35" s="4"/>
      <c r="L35" s="4"/>
      <c r="N35" s="11"/>
      <c r="O35" s="13"/>
      <c r="P35" s="13"/>
      <c r="Q35" s="1"/>
      <c r="R35" s="1"/>
      <c r="S35" s="1"/>
      <c r="T35" s="5"/>
      <c r="U35" s="1"/>
      <c r="V35" s="10"/>
      <c r="W35" s="10"/>
      <c r="X35" s="12"/>
      <c r="Y35" s="14"/>
      <c r="Z35" s="11"/>
      <c r="AC35" s="7">
        <f>AA35*0.5</f>
      </c>
      <c r="AE35" s="7">
        <f>AC35*0.5</f>
      </c>
      <c r="AI35" s="2"/>
      <c r="AK35" s="8"/>
      <c r="AM35" s="8"/>
      <c r="AN35" s="8"/>
    </row>
    <row r="36">
      <c r="A36" s="15" t="str" xml:space="preserve">
        <v>神鸭特工 </v>
      </c>
      <c r="B36" s="6"/>
      <c r="C36" s="3" t="str">
        <v>Blazing Beaks</v>
      </c>
      <c r="D36" s="6" t="str">
        <v>新西兰</v>
      </c>
      <c r="E36" s="9"/>
      <c r="F36" s="3" t="str">
        <v>Frozenbyte</v>
      </c>
      <c r="H36" s="4"/>
      <c r="J36" s="4"/>
      <c r="K36" s="4"/>
      <c r="L36" s="4"/>
      <c r="N36" s="11"/>
      <c r="O36" s="13"/>
      <c r="P36" s="13"/>
      <c r="Q36" s="1"/>
      <c r="R36" s="1"/>
      <c r="S36" s="1"/>
      <c r="T36" s="5"/>
      <c r="U36" s="1"/>
      <c r="V36" s="10"/>
      <c r="W36" s="10"/>
      <c r="X36" s="12"/>
      <c r="Y36" s="14"/>
      <c r="Z36" s="11"/>
      <c r="AC36" s="7">
        <f>AA36*0.5</f>
      </c>
      <c r="AE36" s="7">
        <f>AC36*0.5</f>
      </c>
      <c r="AI36" s="2"/>
      <c r="AK36" s="8"/>
      <c r="AM36" s="8"/>
      <c r="AN36" s="8"/>
    </row>
    <row r="37">
      <c r="A37" s="15" t="str" xml:space="preserve">
        <v>烈焰破击 </v>
      </c>
      <c r="B37" s="6"/>
      <c r="C37" s="3" t="str">
        <v>Flamebreak</v>
      </c>
      <c r="D37" s="6" t="str">
        <v>美国</v>
      </c>
      <c r="E37" s="9"/>
      <c r="F37" s="3" t="str">
        <v>Potluck Games</v>
      </c>
      <c r="H37" s="4"/>
      <c r="J37" s="4"/>
      <c r="K37" s="4"/>
      <c r="L37" s="4"/>
      <c r="N37" s="11"/>
      <c r="O37" s="13"/>
      <c r="P37" s="13"/>
      <c r="Q37" s="1"/>
      <c r="R37" s="1"/>
      <c r="S37" s="1"/>
      <c r="T37" s="5"/>
      <c r="U37" s="1"/>
      <c r="V37" s="10"/>
      <c r="W37" s="10"/>
      <c r="X37" s="12"/>
      <c r="Y37" s="14"/>
      <c r="Z37" s="11"/>
      <c r="AC37" s="7">
        <f>AA37*0.5</f>
      </c>
      <c r="AE37" s="7">
        <f>AC37*0.5</f>
      </c>
      <c r="AI37" s="2"/>
      <c r="AK37" s="8"/>
      <c r="AM37" s="8"/>
      <c r="AN37" s="8"/>
    </row>
    <row r="38">
      <c r="A38" s="15" t="str" xml:space="preserve">
        <v>合金意志 </v>
      </c>
      <c r="B38" s="6"/>
      <c r="C38" s="3" t="str">
        <v>Metal Mind</v>
      </c>
      <c r="D38" s="6" t="str">
        <v>波兰</v>
      </c>
      <c r="E38" s="9"/>
      <c r="F38" s="3" t="str">
        <v>Metaphor Games</v>
      </c>
      <c r="H38" s="4"/>
      <c r="J38" s="4"/>
      <c r="K38" s="4"/>
      <c r="L38" s="4"/>
      <c r="N38" s="11"/>
      <c r="O38" s="13"/>
      <c r="P38" s="13"/>
      <c r="Q38" s="1"/>
      <c r="R38" s="1"/>
      <c r="S38" s="1"/>
      <c r="T38" s="5"/>
      <c r="U38" s="1"/>
      <c r="V38" s="10"/>
      <c r="W38" s="10"/>
      <c r="X38" s="12"/>
      <c r="Y38" s="14"/>
      <c r="Z38" s="11"/>
      <c r="AC38" s="7">
        <f>AA38*0.5</f>
      </c>
      <c r="AE38" s="7">
        <f>AC38*0.5</f>
      </c>
      <c r="AI38" s="2"/>
      <c r="AK38" s="8"/>
      <c r="AM38" s="8"/>
      <c r="AN38" s="8"/>
    </row>
    <row r="39">
      <c r="A39" s="15" t="str" xml:space="preserve">
        <v>侍神大乱战 </v>
      </c>
      <c r="B39" s="6"/>
      <c r="C39" s="3" t="str">
        <v>Samurai Bringer</v>
      </c>
      <c r="D39" s="6" t="str">
        <v>日本</v>
      </c>
      <c r="E39" s="9"/>
      <c r="F39" s="3" t="str">
        <v>Doseisanmillionsept</v>
      </c>
      <c r="H39" s="4"/>
      <c r="J39" s="4"/>
      <c r="K39" s="4"/>
      <c r="L39" s="4"/>
      <c r="N39" s="11"/>
      <c r="O39" s="13"/>
      <c r="P39" s="13"/>
      <c r="Q39" s="1"/>
      <c r="R39" s="1"/>
      <c r="S39" s="1"/>
      <c r="T39" s="5"/>
      <c r="U39" s="1"/>
      <c r="V39" s="10"/>
      <c r="W39" s="10"/>
      <c r="X39" s="12"/>
      <c r="Y39" s="14"/>
      <c r="Z39" s="11"/>
      <c r="AC39" s="7">
        <f>AA39*0.5</f>
      </c>
      <c r="AE39" s="7">
        <f>AC39*0.5</f>
      </c>
      <c r="AI39" s="2"/>
      <c r="AK39" s="8"/>
      <c r="AM39" s="8"/>
      <c r="AN39" s="8"/>
    </row>
    <row r="40">
      <c r="A40" s="15" t="str" xml:space="preserve">
        <v>金属之子 </v>
      </c>
      <c r="B40" s="6"/>
      <c r="C40" s="3" t="str">
        <v>Metallic Child</v>
      </c>
      <c r="D40" s="6" t="str">
        <v>中国</v>
      </c>
      <c r="E40" s="9"/>
      <c r="F40" s="3" t="str">
        <v>独立游戏工作室</v>
      </c>
      <c r="H40" s="4"/>
      <c r="J40" s="4"/>
      <c r="K40" s="4"/>
      <c r="L40" s="4"/>
      <c r="N40" s="11"/>
      <c r="O40" s="13"/>
      <c r="P40" s="13"/>
      <c r="Q40" s="1"/>
      <c r="R40" s="1"/>
      <c r="S40" s="1"/>
      <c r="T40" s="5"/>
      <c r="U40" s="1"/>
      <c r="V40" s="10"/>
      <c r="W40" s="10"/>
      <c r="X40" s="12"/>
      <c r="Y40" s="14"/>
      <c r="Z40" s="11"/>
      <c r="AC40" s="7">
        <f>AA40*0.5</f>
      </c>
      <c r="AE40" s="7">
        <f>AC40*0.5</f>
      </c>
      <c r="AI40" s="2"/>
      <c r="AK40" s="8"/>
      <c r="AM40" s="8"/>
      <c r="AN40" s="8"/>
    </row>
    <row r="41">
      <c r="A41" s="15" t="str" xml:space="preserve">
        <v>失落城堡 </v>
      </c>
      <c r="B41" s="6"/>
      <c r="C41" s="3" t="str">
        <v>Lost Castle</v>
      </c>
      <c r="D41" s="6" t="str">
        <v>加拿大</v>
      </c>
      <c r="E41" s="9"/>
      <c r="F41" s="3" t="str">
        <v>Rabbit &amp; Bear Studios</v>
      </c>
      <c r="H41" s="4"/>
      <c r="J41" s="4"/>
      <c r="K41" s="4"/>
      <c r="L41" s="4"/>
      <c r="N41" s="11"/>
      <c r="O41" s="13"/>
      <c r="P41" s="13"/>
      <c r="Q41" s="1"/>
      <c r="R41" s="1"/>
      <c r="S41" s="1"/>
      <c r="T41" s="5"/>
      <c r="U41" s="1"/>
      <c r="V41" s="10"/>
      <c r="W41" s="10"/>
      <c r="X41" s="12"/>
      <c r="Y41" s="14"/>
      <c r="Z41" s="11"/>
      <c r="AC41" s="7">
        <f>AA41*0.5</f>
      </c>
      <c r="AE41" s="7">
        <f>AC41*0.5</f>
      </c>
      <c r="AI41" s="2"/>
      <c r="AK41" s="8"/>
      <c r="AM41" s="8"/>
      <c r="AN41" s="8"/>
    </row>
    <row r="42">
      <c r="A42" s="15" t="str" xml:space="preserve">
        <v>余烬骑士 </v>
      </c>
      <c r="B42" s="6"/>
      <c r="C42" s="3" t="str">
        <v>Ember Knights</v>
      </c>
      <c r="D42" s="6" t="str">
        <v>美国</v>
      </c>
      <c r="E42" s="9"/>
      <c r="F42" s="3" t="str">
        <v>Reddragongames</v>
      </c>
      <c r="H42" s="4"/>
      <c r="J42" s="4"/>
      <c r="K42" s="4"/>
      <c r="L42" s="4"/>
      <c r="N42" s="11"/>
      <c r="O42" s="13"/>
      <c r="P42" s="13"/>
      <c r="Q42" s="1"/>
      <c r="R42" s="1"/>
      <c r="S42" s="1"/>
      <c r="T42" s="5"/>
      <c r="U42" s="1"/>
      <c r="V42" s="10"/>
      <c r="W42" s="10"/>
      <c r="X42" s="12"/>
      <c r="Y42" s="14"/>
      <c r="Z42" s="11"/>
      <c r="AC42" s="7">
        <f>AA42*0.5</f>
      </c>
      <c r="AE42" s="7">
        <f>AC42*0.5</f>
      </c>
      <c r="AI42" s="2"/>
      <c r="AK42" s="8"/>
      <c r="AM42" s="8"/>
      <c r="AN42" s="8"/>
    </row>
    <row r="43">
      <c r="A43" s="18" t="str">
        <v>Derlector</v>
      </c>
      <c r="B43" s="6"/>
      <c r="C43" s="3" t="str">
        <v>Derlector</v>
      </c>
      <c r="D43" s="6" t="str">
        <v>俄罗斯</v>
      </c>
      <c r="E43" s="9"/>
      <c r="F43" s="3" t="str">
        <v>Goblinz Studio</v>
      </c>
      <c r="H43" s="4"/>
      <c r="J43" s="4"/>
      <c r="K43" s="4"/>
      <c r="L43" s="4"/>
      <c r="N43" s="11"/>
      <c r="O43" s="13"/>
      <c r="P43" s="13"/>
      <c r="Q43" s="1"/>
      <c r="R43" s="1"/>
      <c r="S43" s="1"/>
      <c r="T43" s="5"/>
      <c r="U43" s="1"/>
      <c r="V43" s="10"/>
      <c r="W43" s="10"/>
      <c r="X43" s="12"/>
      <c r="Y43" s="14"/>
      <c r="Z43" s="11"/>
      <c r="AC43" s="7">
        <f>AA43*0.5</f>
      </c>
      <c r="AE43" s="7">
        <f>AC43*0.5</f>
      </c>
      <c r="AI43" s="2"/>
      <c r="AK43" s="8"/>
      <c r="AM43" s="8"/>
      <c r="AN43" s="8"/>
    </row>
    <row r="44">
      <c r="A44" s="15" t="str" xml:space="preserve">
        <v>柯尔特峡谷 </v>
      </c>
      <c r="B44" s="6"/>
      <c r="C44" s="3" t="str">
        <v>Colt Canyon</v>
      </c>
      <c r="D44" s="6" t="str">
        <v>瑞典</v>
      </c>
      <c r="E44" s="9"/>
      <c r="F44" s="3" t="str">
        <v>Gaugeprojekt</v>
      </c>
      <c r="H44" s="4"/>
      <c r="J44" s="4"/>
      <c r="K44" s="4"/>
      <c r="L44" s="4"/>
      <c r="N44" s="11"/>
      <c r="O44" s="13"/>
      <c r="P44" s="13"/>
      <c r="Q44" s="1"/>
      <c r="R44" s="1"/>
      <c r="S44" s="1"/>
      <c r="T44" s="5"/>
      <c r="U44" s="1"/>
      <c r="V44" s="10"/>
      <c r="W44" s="10"/>
      <c r="X44" s="12"/>
      <c r="Y44" s="14"/>
      <c r="Z44" s="11"/>
      <c r="AC44" s="7">
        <f>AA44*0.5</f>
      </c>
      <c r="AE44" s="7">
        <f>AC44*0.5</f>
      </c>
      <c r="AI44" s="2"/>
      <c r="AK44" s="8"/>
      <c r="AM44" s="8"/>
      <c r="AN44" s="8"/>
    </row>
    <row r="45">
      <c r="A45" s="15" t="str">
        <v>Voidigo</v>
      </c>
      <c r="B45" s="6"/>
      <c r="C45" s="3" t="str">
        <v>Voidigo</v>
      </c>
      <c r="D45" s="6" t="str">
        <v>波兰</v>
      </c>
      <c r="E45" s="9"/>
      <c r="F45" s="3" t="str">
        <v>Voidigo Games</v>
      </c>
      <c r="H45" s="4"/>
      <c r="J45" s="4"/>
      <c r="K45" s="4"/>
      <c r="L45" s="4"/>
      <c r="N45" s="11"/>
      <c r="O45" s="13"/>
      <c r="P45" s="13"/>
      <c r="Q45" s="1"/>
      <c r="R45" s="1"/>
      <c r="S45" s="1"/>
      <c r="T45" s="5"/>
      <c r="U45" s="1"/>
      <c r="V45" s="10"/>
      <c r="W45" s="10"/>
      <c r="X45" s="12"/>
      <c r="Y45" s="14"/>
      <c r="Z45" s="11"/>
      <c r="AC45" s="7">
        <f>AA45*0.5</f>
      </c>
      <c r="AE45" s="7">
        <f>AC45*0.5</f>
      </c>
      <c r="AI45" s="2"/>
      <c r="AK45" s="8"/>
      <c r="AM45" s="8"/>
      <c r="AN45" s="8"/>
    </row>
    <row r="46">
      <c r="A46" s="15" t="str" xml:space="preserve">
        <v>沉没的王国 </v>
      </c>
      <c r="B46" s="6"/>
      <c r="C46" s="3" t="str">
        <v>Dredgers</v>
      </c>
      <c r="D46" s="6" t="str">
        <v>加拿大</v>
      </c>
      <c r="E46" s="9"/>
      <c r="F46" s="3" t="str">
        <v>Black Salt Games</v>
      </c>
      <c r="H46" s="4"/>
      <c r="J46" s="4"/>
      <c r="K46" s="4"/>
      <c r="L46" s="4"/>
      <c r="N46" s="11"/>
      <c r="O46" s="13"/>
      <c r="P46" s="13"/>
      <c r="Q46" s="1"/>
      <c r="R46" s="1"/>
      <c r="S46" s="1"/>
      <c r="T46" s="5"/>
      <c r="U46" s="1"/>
      <c r="V46" s="10"/>
      <c r="W46" s="10"/>
      <c r="X46" s="12"/>
      <c r="Y46" s="14"/>
      <c r="Z46" s="11"/>
      <c r="AC46" s="7">
        <f>AA46*0.5</f>
      </c>
      <c r="AE46" s="7">
        <f>AC46*0.5</f>
      </c>
      <c r="AI46" s="2"/>
      <c r="AK46" s="8"/>
      <c r="AM46" s="8"/>
      <c r="AN46" s="8"/>
    </row>
    <row r="47">
      <c r="A47" s="15" t="str" xml:space="preserve">
        <v>合成人军团崛起 </v>
      </c>
      <c r="B47" s="6"/>
      <c r="C47" s="3" t="str">
        <v>SYNTHETIK</v>
      </c>
      <c r="D47" s="6" t="str">
        <v>美国</v>
      </c>
      <c r="E47" s="9"/>
      <c r="F47" s="3" t="str">
        <v>Developed by Metallic Child</v>
      </c>
      <c r="H47" s="4"/>
      <c r="J47" s="4"/>
      <c r="K47" s="4"/>
      <c r="L47" s="4"/>
      <c r="N47" s="11"/>
      <c r="O47" s="13"/>
      <c r="P47" s="13"/>
      <c r="Q47" s="1"/>
      <c r="R47" s="1"/>
      <c r="S47" s="1"/>
      <c r="T47" s="5"/>
      <c r="U47" s="1"/>
      <c r="V47" s="10"/>
      <c r="W47" s="10"/>
      <c r="X47" s="12"/>
      <c r="Y47" s="14"/>
      <c r="Z47" s="11"/>
      <c r="AC47" s="7">
        <f>AA47*0.5</f>
      </c>
      <c r="AE47" s="7">
        <f>AC47*0.5</f>
      </c>
      <c r="AI47" s="2"/>
      <c r="AK47" s="8"/>
      <c r="AM47" s="8"/>
      <c r="AN47" s="8"/>
    </row>
    <row r="48">
      <c r="A48" s="15" t="str" xml:space="preserve">
        <v>辐射谷物语 </v>
      </c>
      <c r="B48" s="6"/>
      <c r="C48" s="3" t="str">
        <v>Atomicrops</v>
      </c>
      <c r="D48" s="6" t="str">
        <v>美国</v>
      </c>
      <c r="E48" s="9"/>
      <c r="F48" s="3" t="str">
        <v>Bird Bath Games</v>
      </c>
      <c r="H48" s="4"/>
      <c r="J48" s="4"/>
      <c r="K48" s="4"/>
      <c r="L48" s="4"/>
      <c r="N48" s="11"/>
      <c r="O48" s="13"/>
      <c r="P48" s="13"/>
      <c r="Q48" s="1"/>
      <c r="R48" s="1"/>
      <c r="S48" s="1"/>
      <c r="T48" s="5"/>
      <c r="U48" s="1"/>
      <c r="V48" s="10"/>
      <c r="W48" s="10"/>
      <c r="X48" s="12"/>
      <c r="Y48" s="14"/>
      <c r="Z48" s="11"/>
      <c r="AC48" s="7">
        <f>AA48*0.5</f>
      </c>
      <c r="AE48" s="7">
        <f>AC48*0.5</f>
      </c>
      <c r="AI48" s="2"/>
      <c r="AK48" s="8"/>
      <c r="AM48" s="8"/>
      <c r="AN48" s="8"/>
    </row>
    <row r="49">
      <c r="A49" s="15" t="str">
        <v>Unexplored</v>
      </c>
      <c r="B49" s="6"/>
      <c r="C49" s="3" t="str">
        <v>Unexplored</v>
      </c>
      <c r="D49" s="6" t="str">
        <v>加拿大</v>
      </c>
      <c r="E49" s="9"/>
      <c r="F49" s="3" t="str">
        <v>Ludomotion</v>
      </c>
      <c r="H49" s="4"/>
      <c r="J49" s="4"/>
      <c r="K49" s="4"/>
      <c r="L49" s="4"/>
      <c r="N49" s="11"/>
      <c r="O49" s="13"/>
      <c r="P49" s="13"/>
      <c r="Q49" s="1"/>
      <c r="R49" s="1"/>
      <c r="S49" s="1"/>
      <c r="T49" s="5"/>
      <c r="U49" s="1"/>
      <c r="V49" s="10"/>
      <c r="W49" s="10"/>
      <c r="X49" s="12"/>
      <c r="Y49" s="14"/>
      <c r="Z49" s="11"/>
      <c r="AC49" s="7">
        <f>AA49*0.5</f>
      </c>
      <c r="AE49" s="7">
        <f>AC49*0.5</f>
      </c>
      <c r="AI49" s="2"/>
      <c r="AK49" s="8"/>
      <c r="AM49" s="8"/>
      <c r="AN49" s="8"/>
    </row>
    <row r="50">
      <c r="A50" s="15" t="str" xml:space="preserve">
        <v>斩妖 </v>
      </c>
      <c r="B50" s="6"/>
      <c r="C50" s="3" t="str">
        <v>Raksasi</v>
      </c>
      <c r="D50" s="6" t="str">
        <v>印度尼西亚</v>
      </c>
      <c r="E50" s="9"/>
      <c r="F50" s="3" t="str">
        <v>Uberdogs</v>
      </c>
      <c r="H50" s="4"/>
      <c r="J50" s="4"/>
      <c r="K50" s="4"/>
      <c r="L50" s="4"/>
      <c r="N50" s="11"/>
      <c r="O50" s="13"/>
      <c r="P50" s="13"/>
      <c r="Q50" s="1"/>
      <c r="R50" s="1"/>
      <c r="S50" s="1"/>
      <c r="T50" s="5"/>
      <c r="U50" s="1"/>
      <c r="V50" s="10"/>
      <c r="W50" s="10"/>
      <c r="X50" s="12"/>
      <c r="Y50" s="14"/>
      <c r="Z50" s="11"/>
      <c r="AC50" s="7">
        <f>AA50*0.5</f>
      </c>
      <c r="AE50" s="7">
        <f>AC50*0.5</f>
      </c>
      <c r="AI50" s="2"/>
      <c r="AK50" s="8"/>
      <c r="AM50" s="8"/>
      <c r="AN50" s="8"/>
    </row>
    <row r="51">
      <c r="A51" s="15" t="str" xml:space="preserve">
        <v>死亡庄园 </v>
      </c>
      <c r="B51" s="6"/>
      <c r="C51" s="3" t="str">
        <v>Dead Estate</v>
      </c>
      <c r="D51" s="6" t="str">
        <v>美国</v>
      </c>
      <c r="E51" s="9"/>
      <c r="F51" s="3" t="str">
        <v>Smokebear Studio</v>
      </c>
      <c r="H51" s="4"/>
      <c r="J51" s="4"/>
      <c r="K51" s="4"/>
      <c r="L51" s="4"/>
      <c r="N51" s="11"/>
      <c r="O51" s="13"/>
      <c r="P51" s="13"/>
      <c r="Q51" s="1"/>
      <c r="R51" s="1"/>
      <c r="S51" s="1"/>
      <c r="T51" s="5"/>
      <c r="U51" s="1"/>
      <c r="V51" s="10"/>
      <c r="W51" s="10"/>
      <c r="X51" s="12"/>
      <c r="Y51" s="14"/>
      <c r="Z51" s="11"/>
      <c r="AC51" s="7">
        <f>AA51*0.5</f>
      </c>
      <c r="AE51" s="7">
        <f>AC51*0.5</f>
      </c>
      <c r="AI51" s="2"/>
      <c r="AK51" s="8"/>
      <c r="AM51" s="8"/>
      <c r="AN51" s="8"/>
    </row>
    <row r="52">
      <c r="A52" s="18" t="str">
        <v>Cavity Busters</v>
      </c>
      <c r="B52" s="6"/>
      <c r="C52" s="3" t="str">
        <v>Cavity Busters</v>
      </c>
      <c r="D52" s="6" t="str">
        <v>美国</v>
      </c>
      <c r="E52" s="9"/>
      <c r="F52" s="3" t="str">
        <v>Owlchemy Labs</v>
      </c>
      <c r="H52" s="4"/>
      <c r="J52" s="4"/>
      <c r="K52" s="4"/>
      <c r="L52" s="4"/>
      <c r="N52" s="11"/>
      <c r="O52" s="13"/>
      <c r="P52" s="13"/>
      <c r="Q52" s="1"/>
      <c r="R52" s="1"/>
      <c r="S52" s="1"/>
      <c r="T52" s="5"/>
      <c r="U52" s="1"/>
      <c r="V52" s="10"/>
      <c r="W52" s="10"/>
      <c r="X52" s="12"/>
      <c r="Y52" s="14"/>
      <c r="Z52" s="11"/>
      <c r="AC52" s="7">
        <f>AA52*0.5</f>
      </c>
      <c r="AE52" s="7">
        <f>AC52*0.5</f>
      </c>
      <c r="AI52" s="2"/>
      <c r="AK52" s="8"/>
      <c r="AM52" s="8"/>
      <c r="AN52" s="8"/>
    </row>
    <row r="53">
      <c r="A53" s="15" t="str" xml:space="preserve">
        <v>矿坑之下 </v>
      </c>
      <c r="B53" s="6"/>
      <c r="C53" s="3" t="str">
        <v>Undermine</v>
      </c>
      <c r="D53" s="6" t="str">
        <v>美国</v>
      </c>
      <c r="E53" s="9"/>
      <c r="F53" s="3" t="str">
        <v>Thorium</v>
      </c>
      <c r="H53" s="4"/>
      <c r="J53" s="4"/>
      <c r="K53" s="4"/>
      <c r="L53" s="4"/>
      <c r="N53" s="11"/>
      <c r="O53" s="13"/>
      <c r="P53" s="13"/>
      <c r="Q53" s="1"/>
      <c r="R53" s="1"/>
      <c r="S53" s="1"/>
      <c r="T53" s="5"/>
      <c r="U53" s="1"/>
      <c r="V53" s="10"/>
      <c r="W53" s="10"/>
      <c r="X53" s="12"/>
      <c r="Y53" s="14"/>
      <c r="Z53" s="11"/>
      <c r="AC53" s="7">
        <f>AA53*0.5</f>
      </c>
      <c r="AE53" s="7">
        <f>AC53*0.5</f>
      </c>
      <c r="AI53" s="2"/>
      <c r="AK53" s="8"/>
      <c r="AM53" s="8"/>
      <c r="AN53" s="8"/>
    </row>
    <row r="54">
      <c r="A54" s="15" t="str" xml:space="preserve">
        <v>加拿大死亡之路 </v>
      </c>
      <c r="B54" s="6"/>
      <c r="C54" s="3" t="str">
        <v>Death Road to Canada</v>
      </c>
      <c r="D54" s="6" t="str">
        <v>美国</v>
      </c>
      <c r="E54" s="9"/>
      <c r="F54" s="3" t="str">
        <v>Rocketcat Games/Madgarden</v>
      </c>
      <c r="H54" s="4"/>
      <c r="J54" s="4"/>
      <c r="K54" s="4"/>
      <c r="L54" s="4"/>
      <c r="N54" s="11"/>
      <c r="O54" s="13"/>
      <c r="P54" s="13"/>
      <c r="Q54" s="1"/>
      <c r="R54" s="1"/>
      <c r="S54" s="1"/>
      <c r="T54" s="5"/>
      <c r="U54" s="1"/>
      <c r="V54" s="10"/>
      <c r="W54" s="10"/>
      <c r="X54" s="12"/>
      <c r="Y54" s="14"/>
      <c r="Z54" s="11"/>
      <c r="AC54" s="7">
        <f>AA54*0.5</f>
      </c>
      <c r="AE54" s="7">
        <f>AC54*0.5</f>
      </c>
      <c r="AI54" s="2"/>
      <c r="AK54" s="8"/>
      <c r="AM54" s="8"/>
      <c r="AN54" s="8"/>
    </row>
    <row r="55">
      <c r="A55" s="15" t="str" xml:space="preserve">
        <v>无间冥寺 </v>
      </c>
      <c r="B55" s="6"/>
      <c r="C55" s="3" t="str">
        <v>Curse of the Dead Gods</v>
      </c>
      <c r="D55" s="6" t="str">
        <v>法国</v>
      </c>
      <c r="E55" s="9"/>
      <c r="F55" s="3" t="str">
        <v>Passtech Games</v>
      </c>
      <c r="H55" s="4"/>
      <c r="J55" s="4"/>
      <c r="K55" s="4"/>
      <c r="L55" s="4"/>
      <c r="N55" s="11"/>
      <c r="O55" s="13"/>
      <c r="P55" s="13"/>
      <c r="Q55" s="1"/>
      <c r="R55" s="1"/>
      <c r="S55" s="1"/>
      <c r="T55" s="5"/>
      <c r="U55" s="1"/>
      <c r="V55" s="10"/>
      <c r="W55" s="10"/>
      <c r="X55" s="12"/>
      <c r="Y55" s="14"/>
      <c r="Z55" s="11"/>
      <c r="AC55" s="7">
        <f>AA55*0.5</f>
      </c>
      <c r="AE55" s="7">
        <f>AC55*0.5</f>
      </c>
      <c r="AI55" s="2"/>
      <c r="AK55" s="8"/>
      <c r="AM55" s="8"/>
      <c r="AN55" s="8"/>
    </row>
    <row r="56">
      <c r="A56" s="15" t="str" xml:space="preserve">
        <v>地痞街区 </v>
      </c>
      <c r="B56" s="6"/>
      <c r="C56" s="3" t="str">
        <v>Streets of Rogue</v>
      </c>
      <c r="D56" s="6" t="str">
        <v>英国</v>
      </c>
      <c r="E56" s="9"/>
      <c r="F56" s="3" t="str">
        <v>Matt Dabrowski</v>
      </c>
      <c r="H56" s="4"/>
      <c r="J56" s="4"/>
      <c r="K56" s="4"/>
      <c r="L56" s="4"/>
      <c r="N56" s="11"/>
      <c r="O56" s="13"/>
      <c r="P56" s="13"/>
      <c r="Q56" s="1"/>
      <c r="R56" s="1"/>
      <c r="S56" s="1"/>
      <c r="T56" s="5"/>
      <c r="U56" s="1"/>
      <c r="V56" s="10"/>
      <c r="W56" s="10"/>
      <c r="X56" s="12"/>
      <c r="Y56" s="14"/>
      <c r="Z56" s="11"/>
      <c r="AC56" s="7">
        <f>AA56*0.5</f>
      </c>
      <c r="AE56" s="7">
        <f>AC56*0.5</f>
      </c>
      <c r="AI56" s="2"/>
      <c r="AK56" s="8"/>
      <c r="AM56" s="8"/>
      <c r="AN56" s="8"/>
    </row>
    <row r="57">
      <c r="A57" s="15" t="str">
        <v>Monolith</v>
      </c>
      <c r="B57" s="6"/>
      <c r="C57" s="3" t="str">
        <v>Monolith</v>
      </c>
      <c r="D57" s="6" t="str">
        <v>土耳其</v>
      </c>
      <c r="E57" s="9"/>
      <c r="F57" s="3" t="str">
        <v>Developed by Metallic Child</v>
      </c>
      <c r="H57" s="4"/>
      <c r="J57" s="4"/>
      <c r="K57" s="4"/>
      <c r="L57" s="4"/>
      <c r="N57" s="11"/>
      <c r="O57" s="13"/>
      <c r="P57" s="13"/>
      <c r="Q57" s="1"/>
      <c r="R57" s="1"/>
      <c r="S57" s="1"/>
      <c r="T57" s="5"/>
      <c r="U57" s="1"/>
      <c r="V57" s="10"/>
      <c r="W57" s="10"/>
      <c r="X57" s="12"/>
      <c r="Y57" s="14"/>
      <c r="Z57" s="11"/>
      <c r="AC57" s="7">
        <f>AA57*0.5</f>
      </c>
      <c r="AE57" s="7">
        <f>AC57*0.5</f>
      </c>
      <c r="AI57" s="2"/>
      <c r="AK57" s="8"/>
      <c r="AM57" s="8"/>
      <c r="AN57" s="8"/>
    </row>
    <row r="58">
      <c r="A58" s="15" t="str" xml:space="preserve">
        <v>废土之王 </v>
      </c>
      <c r="B58" s="6"/>
      <c r="C58" s="3" t="str">
        <v>Nuclear Throne</v>
      </c>
      <c r="D58" s="6" t="str">
        <v>荷兰</v>
      </c>
      <c r="E58" s="9"/>
      <c r="F58" s="3" t="str">
        <v>Vlambeer</v>
      </c>
      <c r="H58" s="4"/>
      <c r="J58" s="4"/>
      <c r="K58" s="4"/>
      <c r="L58" s="4"/>
      <c r="N58" s="11"/>
      <c r="O58" s="13"/>
      <c r="P58" s="13"/>
      <c r="Q58" s="1"/>
      <c r="R58" s="1"/>
      <c r="S58" s="1"/>
      <c r="T58" s="5"/>
      <c r="U58" s="1"/>
      <c r="V58" s="10"/>
      <c r="W58" s="10"/>
      <c r="X58" s="12"/>
      <c r="Y58" s="14"/>
      <c r="Z58" s="11"/>
      <c r="AC58" s="7">
        <f>AA58*0.5</f>
      </c>
      <c r="AE58" s="7">
        <f>AC58*0.5</f>
      </c>
      <c r="AI58" s="2"/>
      <c r="AK58" s="8"/>
      <c r="AM58" s="8"/>
      <c r="AN58" s="8"/>
    </row>
    <row r="59">
      <c r="A59" s="15" t="str" xml:space="preserve">
        <v>新星漂移 </v>
      </c>
      <c r="B59" s="6"/>
      <c r="C59" s="3" t="str">
        <v>Nova Drift</v>
      </c>
      <c r="D59" s="6" t="str">
        <v>瑞典</v>
      </c>
      <c r="E59" s="9"/>
      <c r="F59" s="3" t="str">
        <v>Fenix Fire</v>
      </c>
      <c r="H59" s="4"/>
      <c r="J59" s="4"/>
      <c r="K59" s="4"/>
      <c r="L59" s="4"/>
      <c r="N59" s="11"/>
      <c r="O59" s="13"/>
      <c r="P59" s="13"/>
      <c r="Q59" s="1"/>
      <c r="R59" s="1"/>
      <c r="S59" s="1"/>
      <c r="T59" s="5"/>
      <c r="U59" s="1"/>
      <c r="V59" s="10"/>
      <c r="W59" s="10"/>
      <c r="X59" s="12"/>
      <c r="Y59" s="14"/>
      <c r="Z59" s="11"/>
      <c r="AC59" s="7">
        <f>AA59*0.5</f>
      </c>
      <c r="AE59" s="7">
        <f>AC59*0.5</f>
      </c>
      <c r="AI59" s="2"/>
      <c r="AK59" s="8"/>
      <c r="AM59" s="8"/>
      <c r="AN59" s="8"/>
    </row>
    <row r="60">
      <c r="A60" s="15" t="str">
        <v>暴虐骑士</v>
      </c>
      <c r="B60" s="6"/>
      <c r="C60" s="3" t="str">
        <v>Rampage Knights</v>
      </c>
      <c r="D60" s="6" t="str">
        <v>美国</v>
      </c>
      <c r="E60" s="9"/>
      <c r="F60" s="3" t="str">
        <v>Developed by Metallic Child</v>
      </c>
      <c r="H60" s="4"/>
      <c r="J60" s="4"/>
      <c r="K60" s="4"/>
      <c r="L60" s="4"/>
      <c r="N60" s="11"/>
      <c r="O60" s="13"/>
      <c r="P60" s="13"/>
      <c r="Q60" s="1"/>
      <c r="R60" s="1"/>
      <c r="S60" s="1"/>
      <c r="T60" s="5"/>
      <c r="U60" s="1"/>
      <c r="V60" s="10"/>
      <c r="W60" s="10"/>
      <c r="X60" s="12"/>
      <c r="Y60" s="14"/>
      <c r="Z60" s="11"/>
      <c r="AC60" s="7">
        <f>AA60*0.5</f>
      </c>
      <c r="AE60" s="7">
        <f>AC60*0.5</f>
      </c>
      <c r="AI60" s="2"/>
      <c r="AK60" s="8"/>
      <c r="AM60" s="8"/>
      <c r="AN60" s="8"/>
    </row>
    <row r="61">
      <c r="A61" s="15" t="str" xml:space="preserve">
        <v>节奏地牢 </v>
      </c>
      <c r="B61" s="6"/>
      <c r="C61" s="3" t="str">
        <v>Crypt of the NecroDancer</v>
      </c>
      <c r="D61" s="6" t="str">
        <v>加拿大</v>
      </c>
      <c r="E61" s="9"/>
      <c r="F61" s="3" t="str">
        <v>Brace Yourself Games</v>
      </c>
      <c r="H61" s="4"/>
      <c r="J61" s="4"/>
      <c r="K61" s="4"/>
      <c r="L61" s="4"/>
      <c r="N61" s="11"/>
      <c r="O61" s="13"/>
      <c r="P61" s="13"/>
      <c r="Q61" s="1"/>
      <c r="R61" s="1"/>
      <c r="S61" s="1"/>
      <c r="T61" s="5"/>
      <c r="U61" s="1">
        <v>1491</v>
      </c>
      <c r="V61" s="10"/>
      <c r="W61" s="10"/>
      <c r="X61" s="12"/>
      <c r="Y61" s="14"/>
      <c r="Z61" s="11"/>
      <c r="AC61" s="7">
        <f>AA61*0.5</f>
      </c>
      <c r="AE61" s="7">
        <f>AC61*0.5</f>
      </c>
      <c r="AI61" s="2"/>
      <c r="AK61" s="8"/>
      <c r="AM61" s="8"/>
      <c r="AN61" s="8"/>
    </row>
    <row r="62">
      <c r="A62" s="15" t="str">
        <v>地牢迷途</v>
      </c>
      <c r="B62" s="4"/>
      <c r="C62" s="18" t="str">
        <v>Never Return</v>
      </c>
      <c r="D62" s="4" t="str">
        <v>中国</v>
      </c>
      <c r="E62" s="19"/>
      <c r="G62" s="15" t="str">
        <v>Jump</v>
      </c>
      <c r="H62" s="4"/>
      <c r="J62" s="4"/>
      <c r="K62" s="4"/>
      <c r="L62" s="4"/>
      <c r="N62" s="11"/>
      <c r="O62" s="13"/>
      <c r="P62" s="13"/>
      <c r="Q62" s="1"/>
      <c r="R62" s="1"/>
      <c r="S62" s="1"/>
      <c r="T62" s="5"/>
      <c r="U62" s="1"/>
      <c r="V62" s="10"/>
      <c r="W62" s="10"/>
      <c r="X62" s="12"/>
      <c r="Y62" s="14"/>
      <c r="Z62" s="11"/>
      <c r="AC62" s="7">
        <f>AA62*0.5</f>
      </c>
      <c r="AE62" s="7">
        <f>AC62*0.5</f>
      </c>
      <c r="AI62" s="2"/>
      <c r="AK62" s="8"/>
      <c r="AM62" s="8"/>
      <c r="AN62" s="8"/>
    </row>
    <row r="63">
      <c r="A63">
        <f>C63</f>
      </c>
      <c r="B63" s="4"/>
      <c r="C63" s="18" t="str">
        <v>Section 13</v>
      </c>
      <c r="D63" s="4"/>
      <c r="E63" s="19">
        <v>45127</v>
      </c>
      <c r="F63" s="15" t="str">
        <v>Ocean Drive Studio</v>
      </c>
      <c r="G63" s="15" t="str">
        <v>Kakao Games</v>
      </c>
      <c r="H63" s="4"/>
      <c r="J63" s="4"/>
      <c r="K63" s="4"/>
      <c r="L63" s="4"/>
      <c r="N63" s="11"/>
      <c r="O63" s="13"/>
      <c r="P63" s="13"/>
      <c r="Q63" s="1"/>
      <c r="R63" s="1">
        <v>552</v>
      </c>
      <c r="S63" s="1">
        <f>R63*T63</f>
      </c>
      <c r="T63" s="5">
        <v>0.69</v>
      </c>
      <c r="U63" s="1"/>
      <c r="V63" s="10"/>
      <c r="W63" s="10"/>
      <c r="X63" s="12"/>
      <c r="Y63" s="14"/>
      <c r="Z63" s="11"/>
      <c r="AC63" s="7">
        <f>AA63*0.5</f>
      </c>
      <c r="AE63" s="7">
        <f>AC63*0.5</f>
      </c>
      <c r="AI63" s="2"/>
      <c r="AK63" s="8"/>
      <c r="AM63" s="8"/>
      <c r="AN63" s="8"/>
    </row>
    <row r="64">
      <c r="A64" s="3"/>
      <c r="B64" s="6"/>
      <c r="C64" s="3"/>
      <c r="D64" s="27"/>
      <c r="E64" s="9"/>
      <c r="F64" s="3"/>
      <c r="G64" s="3"/>
      <c r="H64" s="6"/>
      <c r="I64" s="3"/>
      <c r="J64" s="6"/>
      <c r="K64" s="6"/>
      <c r="L64" s="6"/>
      <c r="M64" s="3"/>
      <c r="N64" s="16"/>
      <c r="O64" s="17"/>
      <c r="P64" s="17"/>
      <c r="Q64" s="16"/>
      <c r="R64" s="16"/>
      <c r="S64" s="25"/>
      <c r="T64" s="26"/>
      <c r="U64" s="25"/>
      <c r="V64" s="22"/>
      <c r="W64" s="22"/>
      <c r="X64" s="24"/>
      <c r="Y64" s="23"/>
      <c r="Z64" s="11"/>
      <c r="AI64" s="2"/>
      <c r="AK64" s="8"/>
      <c r="AM64" s="8"/>
      <c r="AN64" s="8"/>
    </row>
    <row r="65">
      <c r="A65" s="3"/>
      <c r="B65" s="6"/>
      <c r="C65" s="3"/>
      <c r="D65" s="27"/>
      <c r="E65" s="9"/>
      <c r="F65" s="3"/>
      <c r="G65" s="3"/>
      <c r="H65" s="6"/>
      <c r="I65" s="3"/>
      <c r="J65" s="6"/>
      <c r="K65" s="6"/>
      <c r="L65" s="6"/>
      <c r="M65" s="3"/>
      <c r="N65" s="16"/>
      <c r="O65" s="17"/>
      <c r="P65" s="17"/>
      <c r="Q65" s="16"/>
      <c r="R65" s="16"/>
      <c r="S65" s="25"/>
      <c r="T65" s="26"/>
      <c r="U65" s="25"/>
      <c r="V65" s="22"/>
      <c r="W65" s="22"/>
      <c r="X65" s="24"/>
      <c r="Y65" s="23"/>
      <c r="Z65" s="11"/>
      <c r="AI65" s="2"/>
      <c r="AK65" s="8"/>
      <c r="AM65" s="8"/>
      <c r="AN65" s="8"/>
    </row>
    <row r="66">
      <c r="A66" s="3"/>
      <c r="B66" s="6"/>
      <c r="C66" s="3"/>
      <c r="D66" s="27"/>
      <c r="E66" s="9"/>
      <c r="F66" s="3"/>
      <c r="G66" s="3"/>
      <c r="H66" s="6"/>
      <c r="I66" s="3"/>
      <c r="J66" s="6"/>
      <c r="K66" s="6"/>
      <c r="L66" s="6"/>
      <c r="M66" s="3"/>
      <c r="N66" s="16"/>
      <c r="O66" s="17"/>
      <c r="P66" s="17"/>
      <c r="Q66" s="16"/>
      <c r="R66" s="16"/>
      <c r="S66" s="25"/>
      <c r="T66" s="26"/>
      <c r="U66" s="25"/>
      <c r="V66" s="22"/>
      <c r="W66" s="22"/>
      <c r="X66" s="24"/>
      <c r="Y66" s="23"/>
      <c r="Z66" s="11"/>
      <c r="AI66" s="2"/>
      <c r="AK66" s="8"/>
      <c r="AM66" s="8"/>
      <c r="AN66" s="8"/>
    </row>
    <row r="67">
      <c r="A67" s="3"/>
      <c r="B67" s="6"/>
      <c r="C67" s="3"/>
      <c r="D67" s="27"/>
      <c r="E67" s="9"/>
      <c r="F67" s="3"/>
      <c r="G67" s="3"/>
      <c r="H67" s="6"/>
      <c r="I67" s="3"/>
      <c r="J67" s="6"/>
      <c r="K67" s="6"/>
      <c r="L67" s="6"/>
      <c r="M67" s="3"/>
      <c r="N67" s="16"/>
      <c r="O67" s="17"/>
      <c r="P67" s="17"/>
      <c r="Q67" s="16"/>
      <c r="R67" s="16"/>
      <c r="S67" s="25"/>
      <c r="T67" s="26"/>
      <c r="U67" s="25"/>
      <c r="V67" s="22"/>
      <c r="W67" s="22"/>
      <c r="X67" s="24"/>
      <c r="Y67" s="23"/>
      <c r="Z67" s="11"/>
      <c r="AI67" s="2"/>
      <c r="AK67" s="8"/>
      <c r="AM67" s="8"/>
      <c r="AN67" s="8"/>
    </row>
    <row r="68">
      <c r="A68" s="3"/>
      <c r="B68" s="6"/>
      <c r="C68" s="3"/>
      <c r="D68" s="27"/>
      <c r="E68" s="9"/>
      <c r="F68" s="3"/>
      <c r="G68" s="3"/>
      <c r="H68" s="6"/>
      <c r="I68" s="3"/>
      <c r="J68" s="6"/>
      <c r="K68" s="6"/>
      <c r="L68" s="6"/>
      <c r="M68" s="3"/>
      <c r="N68" s="16"/>
      <c r="O68" s="17"/>
      <c r="P68" s="17"/>
      <c r="Q68" s="16"/>
      <c r="R68" s="16"/>
      <c r="S68" s="25"/>
      <c r="T68" s="26"/>
      <c r="U68" s="25"/>
      <c r="V68" s="22"/>
      <c r="W68" s="22"/>
      <c r="X68" s="24"/>
      <c r="Y68" s="23"/>
      <c r="Z68" s="11"/>
      <c r="AI68" s="2"/>
      <c r="AK68" s="8"/>
      <c r="AM68" s="8"/>
      <c r="AN68" s="8"/>
    </row>
    <row r="69">
      <c r="A69" s="3"/>
      <c r="B69" s="6"/>
      <c r="C69" s="3"/>
      <c r="D69" s="27"/>
      <c r="E69" s="9"/>
      <c r="F69" s="3"/>
      <c r="G69" s="3"/>
      <c r="H69" s="6"/>
      <c r="I69" s="3"/>
      <c r="J69" s="6"/>
      <c r="K69" s="6"/>
      <c r="L69" s="6"/>
      <c r="M69" s="3"/>
      <c r="N69" s="16"/>
      <c r="O69" s="17"/>
      <c r="P69" s="17"/>
      <c r="Q69" s="16"/>
      <c r="R69" s="16"/>
      <c r="S69" s="25"/>
      <c r="T69" s="26"/>
      <c r="U69" s="25"/>
      <c r="V69" s="22"/>
      <c r="W69" s="22"/>
      <c r="X69" s="24"/>
      <c r="Y69" s="23"/>
      <c r="Z69" s="11"/>
      <c r="AI69" s="2"/>
      <c r="AK69" s="8"/>
      <c r="AM69" s="8"/>
      <c r="AN69" s="8"/>
    </row>
    <row r="70">
      <c r="A70" s="3"/>
      <c r="B70" s="6"/>
      <c r="C70" s="3"/>
      <c r="D70" s="27"/>
      <c r="E70" s="9"/>
      <c r="F70" s="3"/>
      <c r="G70" s="3"/>
      <c r="H70" s="6"/>
      <c r="I70" s="3"/>
      <c r="J70" s="6"/>
      <c r="K70" s="6"/>
      <c r="L70" s="6"/>
      <c r="M70" s="3"/>
      <c r="N70" s="16"/>
      <c r="O70" s="17"/>
      <c r="P70" s="17"/>
      <c r="Q70" s="16"/>
      <c r="R70" s="16"/>
      <c r="S70" s="25"/>
      <c r="T70" s="26"/>
      <c r="U70" s="25"/>
      <c r="V70" s="22"/>
      <c r="W70" s="22"/>
      <c r="X70" s="24"/>
      <c r="Y70" s="23"/>
      <c r="Z70" s="11"/>
      <c r="AI70" s="2"/>
      <c r="AK70" s="8"/>
      <c r="AM70" s="8"/>
      <c r="AN70" s="8"/>
    </row>
    <row r="71">
      <c r="A71" s="3"/>
      <c r="B71" s="6"/>
      <c r="C71" s="3"/>
      <c r="D71" s="27"/>
      <c r="E71" s="9"/>
      <c r="F71" s="3"/>
      <c r="G71" s="3"/>
      <c r="H71" s="6"/>
      <c r="I71" s="3"/>
      <c r="J71" s="6"/>
      <c r="K71" s="6"/>
      <c r="L71" s="6"/>
      <c r="M71" s="3"/>
      <c r="N71" s="16"/>
      <c r="O71" s="17"/>
      <c r="P71" s="17"/>
      <c r="Q71" s="16"/>
      <c r="R71" s="16"/>
      <c r="S71" s="25"/>
      <c r="T71" s="26"/>
      <c r="U71" s="25"/>
      <c r="V71" s="22"/>
      <c r="W71" s="22"/>
      <c r="X71" s="24"/>
      <c r="Y71" s="23"/>
      <c r="Z71" s="11"/>
      <c r="AI71" s="2"/>
      <c r="AK71" s="8"/>
      <c r="AM71" s="8"/>
      <c r="AN71" s="8"/>
    </row>
    <row r="72">
      <c r="A72" s="3"/>
      <c r="B72" s="6"/>
      <c r="C72" s="3"/>
      <c r="D72" s="27"/>
      <c r="E72" s="9"/>
      <c r="F72" s="3"/>
      <c r="G72" s="3"/>
      <c r="H72" s="6"/>
      <c r="I72" s="3"/>
      <c r="J72" s="6"/>
      <c r="K72" s="6"/>
      <c r="L72" s="6"/>
      <c r="M72" s="3"/>
      <c r="N72" s="16"/>
      <c r="O72" s="17"/>
      <c r="P72" s="17"/>
      <c r="Q72" s="16"/>
      <c r="R72" s="16"/>
      <c r="S72" s="25"/>
      <c r="T72" s="26"/>
      <c r="U72" s="25"/>
      <c r="V72" s="22"/>
      <c r="W72" s="22"/>
      <c r="X72" s="24"/>
      <c r="Y72" s="23"/>
      <c r="Z72" s="11"/>
      <c r="AI72" s="2"/>
      <c r="AK72" s="8"/>
      <c r="AM72" s="8"/>
      <c r="AN72" s="8"/>
    </row>
    <row r="73">
      <c r="A73" s="3"/>
      <c r="B73" s="6"/>
      <c r="C73" s="3"/>
      <c r="D73" s="27"/>
      <c r="E73" s="9"/>
      <c r="F73" s="3"/>
      <c r="G73" s="3"/>
      <c r="H73" s="6"/>
      <c r="I73" s="3"/>
      <c r="J73" s="6"/>
      <c r="K73" s="6"/>
      <c r="L73" s="6"/>
      <c r="M73" s="3"/>
      <c r="N73" s="16"/>
      <c r="O73" s="17"/>
      <c r="P73" s="17"/>
      <c r="Q73" s="16"/>
      <c r="R73" s="16"/>
      <c r="S73" s="25"/>
      <c r="T73" s="26"/>
      <c r="U73" s="25"/>
      <c r="V73" s="22"/>
      <c r="W73" s="22"/>
      <c r="X73" s="24"/>
      <c r="Y73" s="23"/>
      <c r="Z73" s="11"/>
      <c r="AI73" s="2"/>
      <c r="AK73" s="8"/>
      <c r="AM73" s="8"/>
      <c r="AN73" s="8"/>
    </row>
    <row r="74">
      <c r="A74" s="3"/>
      <c r="B74" s="6"/>
      <c r="C74" s="3"/>
      <c r="D74" s="27"/>
      <c r="E74" s="9"/>
      <c r="F74" s="3"/>
      <c r="G74" s="3"/>
      <c r="H74" s="6"/>
      <c r="I74" s="3"/>
      <c r="J74" s="6"/>
      <c r="K74" s="6"/>
      <c r="L74" s="6"/>
      <c r="M74" s="3"/>
      <c r="N74" s="16"/>
      <c r="O74" s="17"/>
      <c r="P74" s="17"/>
      <c r="Q74" s="16"/>
      <c r="R74" s="16"/>
      <c r="S74" s="25"/>
      <c r="T74" s="26"/>
      <c r="U74" s="25"/>
      <c r="V74" s="22"/>
      <c r="W74" s="22"/>
      <c r="X74" s="24"/>
      <c r="Y74" s="23"/>
      <c r="Z74" s="11"/>
      <c r="AI74" s="2"/>
      <c r="AK74" s="8"/>
      <c r="AM74" s="8"/>
      <c r="AN74" s="8"/>
    </row>
    <row r="75">
      <c r="A75" s="3"/>
      <c r="B75" s="6"/>
      <c r="C75" s="3"/>
      <c r="D75" s="27"/>
      <c r="E75" s="9"/>
      <c r="F75" s="3"/>
      <c r="G75" s="3"/>
      <c r="H75" s="6"/>
      <c r="I75" s="3"/>
      <c r="J75" s="6"/>
      <c r="K75" s="6"/>
      <c r="L75" s="6"/>
      <c r="M75" s="3"/>
      <c r="N75" s="16"/>
      <c r="O75" s="17"/>
      <c r="P75" s="17"/>
      <c r="Q75" s="16"/>
      <c r="R75" s="16"/>
      <c r="S75" s="25"/>
      <c r="T75" s="26"/>
      <c r="U75" s="25"/>
      <c r="V75" s="22"/>
      <c r="W75" s="22"/>
      <c r="X75" s="24"/>
      <c r="Y75" s="23"/>
      <c r="Z75" s="11"/>
      <c r="AI75" s="2"/>
      <c r="AK75" s="8"/>
      <c r="AM75" s="8"/>
      <c r="AN75" s="8"/>
    </row>
    <row r="76">
      <c r="A76" s="3"/>
      <c r="B76" s="6"/>
      <c r="C76" s="3"/>
      <c r="D76" s="27"/>
      <c r="E76" s="9"/>
      <c r="F76" s="3"/>
      <c r="G76" s="3"/>
      <c r="H76" s="6"/>
      <c r="I76" s="3"/>
      <c r="J76" s="6"/>
      <c r="K76" s="6"/>
      <c r="L76" s="6"/>
      <c r="M76" s="3"/>
      <c r="N76" s="16"/>
      <c r="O76" s="17"/>
      <c r="P76" s="17"/>
      <c r="Q76" s="16"/>
      <c r="R76" s="16"/>
      <c r="S76" s="25"/>
      <c r="T76" s="26"/>
      <c r="U76" s="25"/>
      <c r="V76" s="22"/>
      <c r="W76" s="22"/>
      <c r="X76" s="24"/>
      <c r="Y76" s="23"/>
      <c r="Z76" s="11"/>
      <c r="AI76" s="2"/>
      <c r="AK76" s="8"/>
      <c r="AM76" s="8"/>
      <c r="AN76" s="8"/>
    </row>
    <row r="77">
      <c r="A77" s="3"/>
      <c r="B77" s="6"/>
      <c r="C77" s="3"/>
      <c r="D77" s="27"/>
      <c r="E77" s="9"/>
      <c r="F77" s="3"/>
      <c r="G77" s="3"/>
      <c r="H77" s="6"/>
      <c r="I77" s="3"/>
      <c r="J77" s="6"/>
      <c r="K77" s="6"/>
      <c r="L77" s="6"/>
      <c r="M77" s="3"/>
      <c r="N77" s="16"/>
      <c r="O77" s="17"/>
      <c r="P77" s="17"/>
      <c r="Q77" s="16"/>
      <c r="R77" s="16"/>
      <c r="S77" s="25"/>
      <c r="T77" s="26"/>
      <c r="U77" s="25"/>
      <c r="V77" s="22"/>
      <c r="W77" s="22"/>
      <c r="X77" s="24"/>
      <c r="Y77" s="23"/>
      <c r="Z77" s="11"/>
      <c r="AI77" s="2"/>
      <c r="AK77" s="8"/>
      <c r="AM77" s="8"/>
      <c r="AN77" s="8"/>
    </row>
    <row r="78">
      <c r="A78" s="3"/>
      <c r="B78" s="6"/>
      <c r="C78" s="3"/>
      <c r="D78" s="27"/>
      <c r="E78" s="9"/>
      <c r="F78" s="3"/>
      <c r="G78" s="3"/>
      <c r="H78" s="6"/>
      <c r="I78" s="3"/>
      <c r="J78" s="6"/>
      <c r="K78" s="6"/>
      <c r="L78" s="6"/>
      <c r="M78" s="3"/>
      <c r="N78" s="16"/>
      <c r="O78" s="17"/>
      <c r="P78" s="17"/>
      <c r="Q78" s="16"/>
      <c r="R78" s="16"/>
      <c r="S78" s="25"/>
      <c r="T78" s="26"/>
      <c r="U78" s="25"/>
      <c r="V78" s="22"/>
      <c r="W78" s="22"/>
      <c r="X78" s="24"/>
      <c r="Y78" s="23"/>
      <c r="Z78" s="11"/>
      <c r="AI78" s="2"/>
      <c r="AK78" s="8"/>
      <c r="AM78" s="8"/>
      <c r="AN78" s="8"/>
    </row>
    <row r="79">
      <c r="A79" s="3"/>
      <c r="B79" s="6"/>
      <c r="C79" s="3"/>
      <c r="D79" s="27"/>
      <c r="E79" s="9"/>
      <c r="F79" s="3"/>
      <c r="G79" s="3"/>
      <c r="H79" s="6"/>
      <c r="I79" s="3"/>
      <c r="J79" s="6"/>
      <c r="K79" s="6"/>
      <c r="L79" s="6"/>
      <c r="M79" s="3"/>
      <c r="N79" s="16"/>
      <c r="O79" s="17"/>
      <c r="P79" s="17"/>
      <c r="Q79" s="16"/>
      <c r="R79" s="16"/>
      <c r="S79" s="25"/>
      <c r="T79" s="26"/>
      <c r="U79" s="25"/>
      <c r="V79" s="22"/>
      <c r="W79" s="22"/>
      <c r="X79" s="24"/>
      <c r="Y79" s="23"/>
      <c r="Z79" s="11"/>
      <c r="AI79" s="2"/>
      <c r="AK79" s="8"/>
      <c r="AM79" s="8"/>
      <c r="AN79" s="8"/>
    </row>
    <row r="80">
      <c r="A80" s="3"/>
      <c r="B80" s="6"/>
      <c r="C80" s="3"/>
      <c r="D80" s="27"/>
      <c r="E80" s="9"/>
      <c r="F80" s="3"/>
      <c r="G80" s="3"/>
      <c r="H80" s="6"/>
      <c r="I80" s="3"/>
      <c r="J80" s="6"/>
      <c r="K80" s="6"/>
      <c r="L80" s="6"/>
      <c r="M80" s="3"/>
      <c r="N80" s="16"/>
      <c r="O80" s="17"/>
      <c r="P80" s="17"/>
      <c r="Q80" s="16"/>
      <c r="R80" s="16"/>
      <c r="S80" s="25"/>
      <c r="T80" s="26"/>
      <c r="U80" s="25"/>
      <c r="V80" s="22"/>
      <c r="W80" s="22"/>
      <c r="X80" s="24"/>
      <c r="Y80" s="23"/>
      <c r="Z80" s="11"/>
      <c r="AI80" s="2"/>
      <c r="AK80" s="8"/>
      <c r="AM80" s="8"/>
      <c r="AN80" s="8"/>
    </row>
    <row r="81">
      <c r="A81" s="3"/>
      <c r="B81" s="6"/>
      <c r="C81" s="3"/>
      <c r="D81" s="27"/>
      <c r="E81" s="9"/>
      <c r="F81" s="3"/>
      <c r="G81" s="3"/>
      <c r="H81" s="6"/>
      <c r="I81" s="3"/>
      <c r="J81" s="6"/>
      <c r="K81" s="6"/>
      <c r="L81" s="6"/>
      <c r="M81" s="3"/>
      <c r="N81" s="16"/>
      <c r="O81" s="17"/>
      <c r="P81" s="17"/>
      <c r="Q81" s="16"/>
      <c r="R81" s="16"/>
      <c r="S81" s="25"/>
      <c r="T81" s="26"/>
      <c r="U81" s="25"/>
      <c r="V81" s="22"/>
      <c r="W81" s="22"/>
      <c r="X81" s="24"/>
      <c r="Y81" s="23"/>
      <c r="Z81" s="11"/>
      <c r="AI81" s="2"/>
      <c r="AK81" s="8"/>
      <c r="AM81" s="8"/>
      <c r="AN81" s="8"/>
    </row>
    <row r="82">
      <c r="A82" s="3"/>
      <c r="B82" s="6"/>
      <c r="C82" s="3"/>
      <c r="D82" s="27"/>
      <c r="E82" s="9"/>
      <c r="F82" s="3"/>
      <c r="G82" s="3"/>
      <c r="H82" s="6"/>
      <c r="I82" s="3"/>
      <c r="J82" s="6"/>
      <c r="K82" s="6"/>
      <c r="L82" s="6"/>
      <c r="M82" s="3"/>
      <c r="N82" s="16"/>
      <c r="O82" s="17"/>
      <c r="P82" s="17"/>
      <c r="Q82" s="16"/>
      <c r="R82" s="16"/>
      <c r="S82" s="25"/>
      <c r="T82" s="26"/>
      <c r="U82" s="25"/>
      <c r="V82" s="22"/>
      <c r="W82" s="22"/>
      <c r="X82" s="24"/>
      <c r="Y82" s="23"/>
      <c r="Z82" s="11"/>
      <c r="AI82" s="2"/>
      <c r="AK82" s="8"/>
      <c r="AM82" s="8"/>
      <c r="AN82" s="8"/>
    </row>
    <row r="83">
      <c r="A83" s="3"/>
      <c r="B83" s="6"/>
      <c r="C83" s="3"/>
      <c r="D83" s="27"/>
      <c r="E83" s="9"/>
      <c r="F83" s="3"/>
      <c r="G83" s="3"/>
      <c r="H83" s="6"/>
      <c r="I83" s="3"/>
      <c r="J83" s="6"/>
      <c r="K83" s="6"/>
      <c r="L83" s="6"/>
      <c r="M83" s="3"/>
      <c r="N83" s="16"/>
      <c r="O83" s="17"/>
      <c r="P83" s="17"/>
      <c r="Q83" s="16"/>
      <c r="R83" s="16"/>
      <c r="S83" s="25"/>
      <c r="T83" s="26"/>
      <c r="U83" s="25"/>
      <c r="V83" s="22"/>
      <c r="W83" s="22"/>
      <c r="X83" s="24"/>
      <c r="Y83" s="23"/>
      <c r="Z83" s="11"/>
      <c r="AI83" s="2"/>
      <c r="AK83" s="8"/>
      <c r="AM83" s="8"/>
      <c r="AN83" s="8"/>
    </row>
    <row r="84">
      <c r="A84" s="3"/>
      <c r="B84" s="6"/>
      <c r="C84" s="3"/>
      <c r="D84" s="27"/>
      <c r="E84" s="9"/>
      <c r="F84" s="3"/>
      <c r="G84" s="3"/>
      <c r="H84" s="6"/>
      <c r="I84" s="3"/>
      <c r="J84" s="6"/>
      <c r="K84" s="6"/>
      <c r="L84" s="6"/>
      <c r="M84" s="3"/>
      <c r="N84" s="16"/>
      <c r="O84" s="17"/>
      <c r="P84" s="17"/>
      <c r="Q84" s="16"/>
      <c r="R84" s="16"/>
      <c r="S84" s="25"/>
      <c r="T84" s="26"/>
      <c r="U84" s="25"/>
      <c r="V84" s="22"/>
      <c r="W84" s="22"/>
      <c r="X84" s="24"/>
      <c r="Y84" s="23"/>
      <c r="Z84" s="11"/>
      <c r="AI84" s="2"/>
      <c r="AK84" s="8"/>
      <c r="AM84" s="8"/>
      <c r="AN84" s="8"/>
    </row>
    <row r="85">
      <c r="A85" s="3"/>
      <c r="B85" s="6"/>
      <c r="C85" s="3"/>
      <c r="D85" s="27"/>
      <c r="E85" s="9"/>
      <c r="F85" s="3"/>
      <c r="G85" s="3"/>
      <c r="H85" s="6"/>
      <c r="I85" s="3"/>
      <c r="J85" s="6"/>
      <c r="K85" s="6"/>
      <c r="L85" s="6"/>
      <c r="M85" s="3"/>
      <c r="N85" s="16"/>
      <c r="O85" s="17"/>
      <c r="P85" s="17"/>
      <c r="Q85" s="16"/>
      <c r="R85" s="16"/>
      <c r="S85" s="25"/>
      <c r="T85" s="26"/>
      <c r="U85" s="25"/>
      <c r="V85" s="22"/>
      <c r="W85" s="22"/>
      <c r="X85" s="24"/>
      <c r="Y85" s="23"/>
      <c r="Z85" s="11"/>
      <c r="AI85" s="2"/>
      <c r="AK85" s="8"/>
      <c r="AM85" s="8"/>
      <c r="AN85" s="8"/>
    </row>
    <row r="86">
      <c r="A86" s="3"/>
      <c r="B86" s="6"/>
      <c r="C86" s="3"/>
      <c r="D86" s="27"/>
      <c r="E86" s="9"/>
      <c r="F86" s="3"/>
      <c r="G86" s="3"/>
      <c r="H86" s="6"/>
      <c r="I86" s="3"/>
      <c r="J86" s="6"/>
      <c r="K86" s="6"/>
      <c r="L86" s="6"/>
      <c r="M86" s="3"/>
      <c r="N86" s="16"/>
      <c r="O86" s="17"/>
      <c r="P86" s="17"/>
      <c r="Q86" s="16"/>
      <c r="R86" s="16"/>
      <c r="S86" s="25"/>
      <c r="T86" s="26"/>
      <c r="U86" s="25"/>
      <c r="V86" s="22"/>
      <c r="W86" s="22"/>
      <c r="X86" s="24"/>
      <c r="Y86" s="23"/>
      <c r="Z86" s="11"/>
      <c r="AI86" s="2"/>
      <c r="AK86" s="8"/>
      <c r="AM86" s="8"/>
      <c r="AN86" s="8"/>
    </row>
    <row r="87">
      <c r="A87" s="3"/>
      <c r="B87" s="6"/>
      <c r="C87" s="3"/>
      <c r="D87" s="27"/>
      <c r="E87" s="9"/>
      <c r="F87" s="3"/>
      <c r="G87" s="3"/>
      <c r="H87" s="6"/>
      <c r="I87" s="3"/>
      <c r="J87" s="6"/>
      <c r="K87" s="6"/>
      <c r="L87" s="6"/>
      <c r="M87" s="3"/>
      <c r="N87" s="16"/>
      <c r="O87" s="17"/>
      <c r="P87" s="17"/>
      <c r="Q87" s="16"/>
      <c r="R87" s="16"/>
      <c r="S87" s="25"/>
      <c r="T87" s="26"/>
      <c r="U87" s="25"/>
      <c r="V87" s="22"/>
      <c r="W87" s="22"/>
      <c r="X87" s="24"/>
      <c r="Y87" s="23"/>
      <c r="Z87" s="11"/>
      <c r="AI87" s="2"/>
      <c r="AK87" s="8"/>
      <c r="AM87" s="8"/>
      <c r="AN87" s="8"/>
    </row>
    <row r="88">
      <c r="A88" s="3"/>
      <c r="B88" s="6"/>
      <c r="C88" s="3"/>
      <c r="D88" s="27"/>
      <c r="E88" s="9"/>
      <c r="F88" s="3"/>
      <c r="G88" s="3"/>
      <c r="H88" s="6"/>
      <c r="I88" s="3"/>
      <c r="J88" s="6"/>
      <c r="K88" s="6"/>
      <c r="L88" s="6"/>
      <c r="M88" s="3"/>
      <c r="N88" s="16"/>
      <c r="O88" s="17"/>
      <c r="P88" s="17"/>
      <c r="Q88" s="16"/>
      <c r="R88" s="16"/>
      <c r="S88" s="25"/>
      <c r="T88" s="26"/>
      <c r="U88" s="25"/>
      <c r="V88" s="22"/>
      <c r="W88" s="22"/>
      <c r="X88" s="24"/>
      <c r="Y88" s="23"/>
      <c r="Z88" s="11"/>
      <c r="AI88" s="2"/>
      <c r="AK88" s="8"/>
      <c r="AM88" s="8"/>
      <c r="AN88" s="8"/>
    </row>
    <row r="89">
      <c r="A89" s="3"/>
      <c r="B89" s="6"/>
      <c r="C89" s="3"/>
      <c r="D89" s="27"/>
      <c r="E89" s="9"/>
      <c r="F89" s="3"/>
      <c r="G89" s="3"/>
      <c r="H89" s="6"/>
      <c r="I89" s="3"/>
      <c r="J89" s="6"/>
      <c r="K89" s="6"/>
      <c r="L89" s="6"/>
      <c r="M89" s="3"/>
      <c r="N89" s="16"/>
      <c r="O89" s="17"/>
      <c r="P89" s="17"/>
      <c r="Q89" s="16"/>
      <c r="R89" s="16"/>
      <c r="S89" s="25"/>
      <c r="T89" s="26"/>
      <c r="U89" s="25"/>
      <c r="V89" s="22"/>
      <c r="W89" s="22"/>
      <c r="X89" s="24"/>
      <c r="Y89" s="23"/>
      <c r="Z89" s="11"/>
      <c r="AI89" s="2"/>
      <c r="AK89" s="8"/>
      <c r="AM89" s="8"/>
      <c r="AN89" s="8"/>
    </row>
    <row r="90">
      <c r="A90" s="3"/>
      <c r="B90" s="6"/>
      <c r="C90" s="3"/>
      <c r="D90" s="27"/>
      <c r="E90" s="9"/>
      <c r="F90" s="3"/>
      <c r="G90" s="3"/>
      <c r="H90" s="6"/>
      <c r="I90" s="3"/>
      <c r="J90" s="6"/>
      <c r="K90" s="6"/>
      <c r="L90" s="6"/>
      <c r="M90" s="3"/>
      <c r="N90" s="16"/>
      <c r="O90" s="17"/>
      <c r="P90" s="17"/>
      <c r="Q90" s="16"/>
      <c r="R90" s="16"/>
      <c r="S90" s="1"/>
      <c r="T90" s="5"/>
      <c r="U90" s="1"/>
      <c r="V90" s="10"/>
      <c r="W90" s="10"/>
      <c r="X90" s="12"/>
      <c r="Y90" s="14"/>
      <c r="Z90" s="11"/>
      <c r="AI90" s="2"/>
      <c r="AK90" s="8"/>
      <c r="AM90" s="8"/>
      <c r="AN90" s="8"/>
    </row>
    <row r="91">
      <c r="B91" s="4"/>
      <c r="C91" s="18"/>
      <c r="D91" s="4"/>
      <c r="E91" s="9"/>
      <c r="F91" s="3"/>
      <c r="G91" s="3"/>
      <c r="H91" s="6"/>
      <c r="I91" s="3"/>
      <c r="J91" s="6"/>
      <c r="K91" s="6"/>
      <c r="L91" s="6"/>
      <c r="M91" s="3"/>
      <c r="N91" s="16"/>
      <c r="O91" s="17"/>
      <c r="P91" s="17"/>
      <c r="Q91" s="16"/>
      <c r="R91" s="16"/>
      <c r="S91" s="1"/>
      <c r="T91" s="5"/>
      <c r="U91" s="1"/>
      <c r="V91" s="10"/>
      <c r="W91" s="10"/>
      <c r="X91" s="12"/>
      <c r="Y91" s="14"/>
      <c r="Z91" s="11"/>
      <c r="AI91" s="2"/>
      <c r="AK91" s="8"/>
      <c r="AM91" s="8"/>
      <c r="AN91" s="8"/>
    </row>
    <row r="92">
      <c r="B92" s="4"/>
      <c r="C92" s="18"/>
      <c r="D92" s="4"/>
      <c r="E92" s="9"/>
      <c r="F92" s="3"/>
      <c r="G92" s="3"/>
      <c r="H92" s="6"/>
      <c r="I92" s="3"/>
      <c r="J92" s="6"/>
      <c r="K92" s="6"/>
      <c r="L92" s="6"/>
      <c r="M92" s="3"/>
      <c r="N92" s="16"/>
      <c r="O92" s="17"/>
      <c r="P92" s="17"/>
      <c r="Q92" s="16"/>
      <c r="R92" s="16"/>
      <c r="S92" s="1"/>
      <c r="T92" s="5"/>
      <c r="U92" s="1"/>
      <c r="V92" s="10"/>
      <c r="W92" s="10"/>
      <c r="X92" s="12"/>
      <c r="Y92" s="14"/>
      <c r="Z92" s="11"/>
      <c r="AI92" s="2"/>
      <c r="AK92" s="8"/>
      <c r="AM92" s="8"/>
      <c r="AN92" s="8"/>
    </row>
    <row r="93">
      <c r="B93" s="4"/>
      <c r="C93" s="18"/>
      <c r="D93" s="4"/>
      <c r="E93" s="9"/>
      <c r="F93" s="3"/>
      <c r="G93" s="3"/>
      <c r="H93" s="6"/>
      <c r="I93" s="3"/>
      <c r="J93" s="6"/>
      <c r="K93" s="6"/>
      <c r="L93" s="6"/>
      <c r="M93" s="3"/>
      <c r="N93" s="16"/>
      <c r="O93" s="17"/>
      <c r="P93" s="17"/>
      <c r="Q93" s="16"/>
      <c r="R93" s="16"/>
      <c r="S93" s="1"/>
      <c r="T93" s="5"/>
      <c r="U93" s="1"/>
      <c r="V93" s="10"/>
      <c r="W93" s="10"/>
      <c r="X93" s="12"/>
      <c r="Y93" s="14"/>
      <c r="Z93" s="11"/>
      <c r="AI93" s="2"/>
      <c r="AK93" s="8"/>
      <c r="AM93" s="8"/>
      <c r="AN93" s="8"/>
    </row>
    <row r="94">
      <c r="B94" s="4"/>
      <c r="C94" s="18"/>
      <c r="D94" s="4"/>
      <c r="E94" s="9"/>
      <c r="F94" s="3"/>
      <c r="G94" s="3"/>
      <c r="H94" s="6"/>
      <c r="I94" s="3"/>
      <c r="J94" s="6"/>
      <c r="K94" s="6"/>
      <c r="L94" s="6"/>
      <c r="M94" s="3"/>
      <c r="N94" s="16"/>
      <c r="O94" s="17"/>
      <c r="P94" s="17"/>
      <c r="Q94" s="16"/>
      <c r="R94" s="16"/>
      <c r="S94" s="1"/>
      <c r="T94" s="5"/>
      <c r="U94" s="1"/>
      <c r="V94" s="10"/>
      <c r="W94" s="10"/>
      <c r="X94" s="12"/>
      <c r="Y94" s="14"/>
      <c r="Z94" s="11"/>
      <c r="AI94" s="2"/>
      <c r="AK94" s="8"/>
      <c r="AM94" s="8"/>
      <c r="AN94" s="8"/>
    </row>
    <row r="95">
      <c r="B95" s="4"/>
      <c r="C95" s="18"/>
      <c r="D95" s="4"/>
      <c r="E95" s="9"/>
      <c r="F95" s="3"/>
      <c r="G95" s="3"/>
      <c r="H95" s="6"/>
      <c r="I95" s="3"/>
      <c r="J95" s="6"/>
      <c r="K95" s="6"/>
      <c r="L95" s="6"/>
      <c r="M95" s="3"/>
      <c r="N95" s="16"/>
      <c r="O95" s="17"/>
      <c r="P95" s="17"/>
      <c r="Q95" s="16"/>
      <c r="R95" s="16"/>
      <c r="S95" s="1"/>
      <c r="T95" s="5"/>
      <c r="U95" s="1"/>
      <c r="V95" s="10"/>
      <c r="W95" s="10"/>
      <c r="X95" s="12"/>
      <c r="Y95" s="14"/>
      <c r="Z95" s="11"/>
      <c r="AI95" s="2"/>
      <c r="AK95" s="8"/>
      <c r="AM95" s="8"/>
      <c r="AN95" s="8"/>
    </row>
    <row r="96">
      <c r="B96" s="4"/>
      <c r="C96" s="18"/>
      <c r="D96" s="4"/>
      <c r="E96" s="9"/>
      <c r="F96" s="3"/>
      <c r="G96" s="3"/>
      <c r="H96" s="6"/>
      <c r="I96" s="3"/>
      <c r="J96" s="6"/>
      <c r="K96" s="6"/>
      <c r="L96" s="6"/>
      <c r="M96" s="3"/>
      <c r="N96" s="16"/>
      <c r="O96" s="17"/>
      <c r="P96" s="17"/>
      <c r="Q96" s="16"/>
      <c r="R96" s="16"/>
      <c r="S96" s="1"/>
      <c r="T96" s="5"/>
      <c r="U96" s="1"/>
      <c r="V96" s="10"/>
      <c r="W96" s="10"/>
      <c r="X96" s="12"/>
      <c r="Y96" s="14"/>
      <c r="Z96" s="11"/>
      <c r="AI96" s="2"/>
      <c r="AK96" s="8"/>
      <c r="AM96" s="8"/>
      <c r="AN96" s="8"/>
    </row>
    <row r="97">
      <c r="B97" s="4"/>
      <c r="C97" s="18"/>
      <c r="D97" s="4"/>
      <c r="E97" s="9"/>
      <c r="F97" s="3"/>
      <c r="G97" s="3"/>
      <c r="H97" s="6"/>
      <c r="I97" s="3"/>
      <c r="J97" s="6"/>
      <c r="K97" s="6"/>
      <c r="L97" s="6"/>
      <c r="M97" s="3"/>
      <c r="N97" s="16"/>
      <c r="O97" s="17"/>
      <c r="P97" s="17"/>
      <c r="Q97" s="16"/>
      <c r="R97" s="16"/>
      <c r="S97" s="1"/>
      <c r="T97" s="5"/>
      <c r="U97" s="1"/>
      <c r="V97" s="10"/>
      <c r="W97" s="10"/>
      <c r="X97" s="12"/>
      <c r="Y97" s="14"/>
      <c r="Z97" s="11"/>
      <c r="AI97" s="2"/>
      <c r="AK97" s="8"/>
      <c r="AM97" s="8"/>
      <c r="AN97" s="8"/>
    </row>
    <row r="98">
      <c r="B98" s="4"/>
      <c r="C98" s="18"/>
      <c r="D98" s="4"/>
      <c r="E98" s="9"/>
      <c r="F98" s="3"/>
      <c r="G98" s="3"/>
      <c r="H98" s="6"/>
      <c r="I98" s="3"/>
      <c r="J98" s="6"/>
      <c r="K98" s="6"/>
      <c r="L98" s="6"/>
      <c r="M98" s="3"/>
      <c r="N98" s="16"/>
      <c r="O98" s="17"/>
      <c r="P98" s="17"/>
      <c r="Q98" s="16"/>
      <c r="R98" s="16"/>
      <c r="S98" s="1"/>
      <c r="T98" s="5"/>
      <c r="U98" s="1"/>
      <c r="V98" s="10"/>
      <c r="W98" s="10"/>
      <c r="X98" s="12"/>
      <c r="Y98" s="14"/>
      <c r="Z98" s="11"/>
      <c r="AI98" s="2"/>
      <c r="AK98" s="8"/>
      <c r="AM98" s="8"/>
      <c r="AN98" s="8"/>
    </row>
    <row r="99">
      <c r="B99" s="4"/>
      <c r="C99" s="18"/>
      <c r="D99" s="4"/>
      <c r="E99" s="9"/>
      <c r="F99" s="3"/>
      <c r="G99" s="3"/>
      <c r="H99" s="6"/>
      <c r="I99" s="3"/>
      <c r="J99" s="6"/>
      <c r="K99" s="6"/>
      <c r="L99" s="6"/>
      <c r="M99" s="3"/>
      <c r="N99" s="16"/>
      <c r="O99" s="17"/>
      <c r="P99" s="17"/>
      <c r="Q99" s="16"/>
      <c r="R99" s="16"/>
      <c r="S99" s="1"/>
      <c r="T99" s="5"/>
      <c r="U99" s="1"/>
      <c r="V99" s="10"/>
      <c r="W99" s="10"/>
      <c r="X99" s="12"/>
      <c r="Y99" s="14"/>
      <c r="Z99" s="11"/>
      <c r="AI99" s="2"/>
      <c r="AK99" s="8"/>
      <c r="AM99" s="8"/>
      <c r="AN99" s="8"/>
    </row>
    <row r="100">
      <c r="B100" s="4"/>
      <c r="C100" s="18"/>
      <c r="D100" s="4"/>
      <c r="E100" s="9"/>
      <c r="F100" s="3"/>
      <c r="G100" s="3"/>
      <c r="H100" s="6"/>
      <c r="I100" s="3"/>
      <c r="J100" s="6"/>
      <c r="K100" s="6"/>
      <c r="L100" s="6"/>
      <c r="M100" s="3"/>
      <c r="N100" s="16"/>
      <c r="O100" s="17"/>
      <c r="P100" s="17"/>
      <c r="Q100" s="16"/>
      <c r="R100" s="16"/>
      <c r="S100" s="1"/>
      <c r="T100" s="5"/>
      <c r="U100" s="1"/>
      <c r="V100" s="10"/>
      <c r="W100" s="10"/>
      <c r="X100" s="12"/>
      <c r="Y100" s="14"/>
      <c r="Z100" s="11"/>
      <c r="AI100" s="2"/>
      <c r="AK100" s="8"/>
      <c r="AM100" s="8"/>
      <c r="AN100" s="8"/>
    </row>
    <row r="101">
      <c r="B101" s="4"/>
      <c r="C101" s="18"/>
      <c r="D101" s="4"/>
      <c r="E101" s="9"/>
      <c r="F101" s="3"/>
      <c r="G101" s="3"/>
      <c r="H101" s="6"/>
      <c r="I101" s="3"/>
      <c r="J101" s="6"/>
      <c r="K101" s="6"/>
      <c r="L101" s="6"/>
      <c r="M101" s="3"/>
      <c r="N101" s="16"/>
      <c r="O101" s="17"/>
      <c r="P101" s="17"/>
      <c r="Q101" s="16"/>
      <c r="R101" s="16"/>
      <c r="S101" s="1"/>
      <c r="T101" s="5"/>
      <c r="U101" s="1"/>
      <c r="V101" s="10"/>
      <c r="W101" s="10"/>
      <c r="X101" s="12"/>
      <c r="Y101" s="14"/>
      <c r="Z101" s="11"/>
      <c r="AI101" s="2"/>
      <c r="AK101" s="8"/>
      <c r="AM101" s="8"/>
      <c r="AN101" s="8"/>
    </row>
    <row r="102">
      <c r="B102" s="4"/>
      <c r="C102" s="18"/>
      <c r="D102" s="4"/>
      <c r="E102" s="9"/>
      <c r="F102" s="3"/>
      <c r="G102" s="3"/>
      <c r="H102" s="6"/>
      <c r="I102" s="3"/>
      <c r="J102" s="6"/>
      <c r="K102" s="6"/>
      <c r="L102" s="6"/>
      <c r="M102" s="3"/>
      <c r="N102" s="16"/>
      <c r="O102" s="17"/>
      <c r="P102" s="17"/>
      <c r="Q102" s="16"/>
      <c r="R102" s="16"/>
      <c r="S102" s="1"/>
      <c r="T102" s="5"/>
      <c r="U102" s="1"/>
      <c r="V102" s="10"/>
      <c r="W102" s="10"/>
      <c r="X102" s="12"/>
      <c r="Y102" s="14"/>
      <c r="Z102" s="11"/>
      <c r="AI102" s="2"/>
      <c r="AK102" s="8"/>
      <c r="AM102" s="8"/>
      <c r="AN102" s="8"/>
    </row>
    <row r="103">
      <c r="B103" s="4"/>
      <c r="C103" s="18"/>
      <c r="D103" s="4"/>
      <c r="E103" s="19"/>
      <c r="H103" s="4"/>
      <c r="J103" s="4"/>
      <c r="K103" s="4"/>
      <c r="L103" s="4"/>
      <c r="N103" s="11"/>
      <c r="O103" s="13"/>
      <c r="P103" s="13"/>
      <c r="Q103" s="1"/>
      <c r="R103" s="1"/>
      <c r="S103" s="1"/>
      <c r="T103" s="5"/>
      <c r="U103" s="1"/>
      <c r="V103" s="10"/>
      <c r="W103" s="10"/>
      <c r="X103" s="12"/>
      <c r="Y103" s="14"/>
      <c r="Z103" s="11"/>
      <c r="AI103" s="2"/>
      <c r="AK103" s="8"/>
      <c r="AM103" s="8"/>
      <c r="AN103" s="8"/>
    </row>
    <row r="104">
      <c r="B104" s="4"/>
      <c r="C104" s="18"/>
      <c r="D104" s="4"/>
      <c r="E104" s="19"/>
      <c r="H104" s="4"/>
      <c r="J104" s="4"/>
      <c r="K104" s="4"/>
      <c r="L104" s="4"/>
      <c r="N104" s="11"/>
      <c r="O104" s="13"/>
      <c r="P104" s="13"/>
      <c r="Q104" s="1"/>
      <c r="R104" s="1"/>
      <c r="S104" s="1"/>
      <c r="T104" s="5"/>
      <c r="U104" s="1"/>
      <c r="V104" s="10"/>
      <c r="W104" s="10"/>
      <c r="X104" s="12"/>
      <c r="Y104" s="14"/>
      <c r="Z104" s="11"/>
      <c r="AI104" s="2"/>
      <c r="AK104" s="8"/>
      <c r="AM104" s="8"/>
      <c r="AN104" s="8"/>
    </row>
    <row r="105">
      <c r="B105" s="4"/>
      <c r="C105" s="18"/>
      <c r="D105" s="4"/>
      <c r="E105" s="19"/>
      <c r="H105" s="4"/>
      <c r="J105" s="4"/>
      <c r="K105" s="4"/>
      <c r="L105" s="4"/>
      <c r="N105" s="11"/>
      <c r="O105" s="13"/>
      <c r="P105" s="13"/>
      <c r="Q105" s="1"/>
      <c r="R105" s="1"/>
      <c r="S105" s="1"/>
      <c r="T105" s="5"/>
      <c r="U105" s="1"/>
      <c r="V105" s="10"/>
      <c r="W105" s="10"/>
      <c r="X105" s="12"/>
      <c r="Y105" s="14"/>
      <c r="Z105" s="11"/>
      <c r="AI105" s="2"/>
      <c r="AK105" s="8"/>
      <c r="AM105" s="8"/>
      <c r="AN105" s="8"/>
    </row>
    <row r="106">
      <c r="B106" s="4"/>
      <c r="C106" s="18"/>
      <c r="D106" s="4"/>
      <c r="E106" s="19"/>
      <c r="H106" s="4"/>
      <c r="J106" s="4"/>
      <c r="K106" s="4"/>
      <c r="L106" s="4"/>
      <c r="N106" s="11"/>
      <c r="O106" s="13"/>
      <c r="P106" s="13"/>
      <c r="Q106" s="1"/>
      <c r="R106" s="1"/>
      <c r="S106" s="1"/>
      <c r="T106" s="5"/>
      <c r="U106" s="1"/>
      <c r="V106" s="10"/>
      <c r="W106" s="10"/>
      <c r="X106" s="12"/>
      <c r="Y106" s="14"/>
      <c r="Z106" s="11"/>
      <c r="AI106" s="2"/>
      <c r="AK106" s="8"/>
      <c r="AM106" s="8"/>
      <c r="AN106" s="8"/>
    </row>
    <row r="107">
      <c r="B107" s="4"/>
      <c r="C107" s="18"/>
      <c r="D107" s="4"/>
      <c r="E107" s="19"/>
      <c r="H107" s="4"/>
      <c r="J107" s="4"/>
      <c r="K107" s="4"/>
      <c r="L107" s="4"/>
      <c r="N107" s="11"/>
      <c r="O107" s="13"/>
      <c r="P107" s="13"/>
      <c r="Q107" s="1"/>
      <c r="R107" s="1"/>
      <c r="S107" s="1"/>
      <c r="T107" s="5"/>
      <c r="U107" s="1"/>
      <c r="V107" s="10"/>
      <c r="W107" s="10"/>
      <c r="X107" s="12"/>
      <c r="Y107" s="14"/>
      <c r="Z107" s="11"/>
      <c r="AI107" s="2"/>
      <c r="AK107" s="8"/>
      <c r="AM107" s="8"/>
      <c r="AN107" s="8"/>
    </row>
    <row r="108">
      <c r="B108" s="4"/>
      <c r="C108" s="18"/>
      <c r="D108" s="4"/>
      <c r="E108" s="19"/>
      <c r="H108" s="4"/>
      <c r="J108" s="4"/>
      <c r="K108" s="4"/>
      <c r="L108" s="4"/>
      <c r="N108" s="11"/>
      <c r="O108" s="13"/>
      <c r="P108" s="13"/>
      <c r="Q108" s="1"/>
      <c r="R108" s="1"/>
      <c r="S108" s="1"/>
      <c r="T108" s="5"/>
      <c r="U108" s="1"/>
      <c r="V108" s="10"/>
      <c r="W108" s="10"/>
      <c r="X108" s="12"/>
      <c r="Y108" s="14"/>
      <c r="Z108" s="11"/>
      <c r="AI108" s="2"/>
      <c r="AK108" s="8"/>
      <c r="AM108" s="8"/>
      <c r="AN108" s="8"/>
    </row>
    <row r="109">
      <c r="B109" s="4"/>
      <c r="C109" s="18"/>
      <c r="D109" s="4"/>
      <c r="E109" s="19"/>
      <c r="H109" s="4"/>
      <c r="J109" s="4"/>
      <c r="K109" s="4"/>
      <c r="L109" s="4"/>
      <c r="N109" s="11"/>
      <c r="O109" s="13"/>
      <c r="P109" s="13"/>
      <c r="Q109" s="1"/>
      <c r="R109" s="1"/>
      <c r="S109" s="1"/>
      <c r="T109" s="5"/>
      <c r="U109" s="1"/>
      <c r="V109" s="10"/>
      <c r="W109" s="10"/>
      <c r="X109" s="12"/>
      <c r="Y109" s="14"/>
      <c r="Z109" s="11"/>
      <c r="AI109" s="2"/>
      <c r="AK109" s="8"/>
      <c r="AM109" s="8"/>
      <c r="AN109" s="8"/>
    </row>
    <row r="110">
      <c r="B110" s="4"/>
      <c r="C110" s="18"/>
      <c r="D110" s="4"/>
      <c r="E110" s="19"/>
      <c r="H110" s="4"/>
      <c r="J110" s="4"/>
      <c r="K110" s="4"/>
      <c r="L110" s="4"/>
      <c r="N110" s="11"/>
      <c r="O110" s="13"/>
      <c r="P110" s="13"/>
      <c r="Q110" s="1"/>
      <c r="R110" s="1"/>
      <c r="S110" s="1"/>
      <c r="T110" s="5"/>
      <c r="U110" s="1"/>
      <c r="V110" s="10"/>
      <c r="W110" s="10"/>
      <c r="X110" s="12"/>
      <c r="Y110" s="14"/>
      <c r="Z110" s="11"/>
      <c r="AI110" s="2"/>
      <c r="AK110" s="8"/>
      <c r="AM110" s="8"/>
      <c r="AN110" s="8"/>
    </row>
    <row r="111">
      <c r="B111" s="4"/>
      <c r="C111" s="18"/>
      <c r="D111" s="4"/>
      <c r="E111" s="19"/>
      <c r="H111" s="4"/>
      <c r="J111" s="4"/>
      <c r="K111" s="4"/>
      <c r="L111" s="4"/>
      <c r="N111" s="11"/>
      <c r="O111" s="13"/>
      <c r="P111" s="13"/>
      <c r="Q111" s="1"/>
      <c r="R111" s="1"/>
      <c r="S111" s="1"/>
      <c r="T111" s="5"/>
      <c r="U111" s="1"/>
      <c r="V111" s="10"/>
      <c r="W111" s="10"/>
      <c r="X111" s="12"/>
      <c r="Y111" s="14"/>
      <c r="Z111" s="11"/>
      <c r="AI111" s="2"/>
      <c r="AK111" s="8"/>
      <c r="AM111" s="8"/>
      <c r="AN111" s="8"/>
    </row>
    <row r="112">
      <c r="B112" s="4"/>
      <c r="C112" s="18"/>
      <c r="D112" s="4"/>
      <c r="E112" s="19"/>
      <c r="H112" s="4"/>
      <c r="J112" s="4"/>
      <c r="K112" s="4"/>
      <c r="L112" s="4"/>
      <c r="N112" s="11"/>
      <c r="O112" s="13"/>
      <c r="P112" s="13"/>
      <c r="Q112" s="1"/>
      <c r="R112" s="1"/>
      <c r="S112" s="1"/>
      <c r="T112" s="5"/>
      <c r="U112" s="1"/>
      <c r="V112" s="10"/>
      <c r="W112" s="10"/>
      <c r="X112" s="12"/>
      <c r="Y112" s="14"/>
      <c r="Z112" s="11"/>
      <c r="AI112" s="2"/>
      <c r="AK112" s="8"/>
      <c r="AM112" s="8"/>
      <c r="AN112" s="8"/>
    </row>
    <row r="113">
      <c r="B113" s="4"/>
      <c r="C113" s="18"/>
      <c r="D113" s="4"/>
      <c r="E113" s="19"/>
      <c r="H113" s="4"/>
      <c r="J113" s="4"/>
      <c r="K113" s="4"/>
      <c r="L113" s="4"/>
      <c r="N113" s="11"/>
      <c r="O113" s="13"/>
      <c r="P113" s="13"/>
      <c r="Q113" s="1"/>
      <c r="R113" s="1"/>
      <c r="S113" s="1"/>
      <c r="T113" s="5"/>
      <c r="U113" s="1"/>
      <c r="V113" s="10"/>
      <c r="W113" s="10"/>
      <c r="X113" s="12"/>
      <c r="Y113" s="14"/>
      <c r="Z113" s="11"/>
      <c r="AI113" s="2"/>
      <c r="AK113" s="8"/>
      <c r="AM113" s="8"/>
      <c r="AN113" s="8"/>
    </row>
    <row r="114">
      <c r="B114" s="4"/>
      <c r="C114" s="18"/>
      <c r="D114" s="4"/>
      <c r="E114" s="19"/>
      <c r="H114" s="4"/>
      <c r="J114" s="4"/>
      <c r="K114" s="4"/>
      <c r="L114" s="4"/>
      <c r="N114" s="11"/>
      <c r="O114" s="13"/>
      <c r="P114" s="13"/>
      <c r="Q114" s="1"/>
      <c r="R114" s="1"/>
      <c r="S114" s="1"/>
      <c r="T114" s="5"/>
      <c r="U114" s="1"/>
      <c r="V114" s="10"/>
      <c r="W114" s="10"/>
      <c r="X114" s="12"/>
      <c r="Y114" s="14"/>
      <c r="Z114" s="11"/>
      <c r="AI114" s="2"/>
      <c r="AK114" s="8"/>
      <c r="AM114" s="8"/>
      <c r="AN114" s="8"/>
    </row>
    <row r="115">
      <c r="B115" s="4"/>
      <c r="C115" s="18"/>
      <c r="D115" s="4"/>
      <c r="E115" s="19"/>
      <c r="H115" s="4"/>
      <c r="J115" s="4"/>
      <c r="K115" s="4"/>
      <c r="L115" s="4"/>
      <c r="N115" s="11"/>
      <c r="O115" s="13"/>
      <c r="P115" s="13"/>
      <c r="Q115" s="1"/>
      <c r="R115" s="1"/>
      <c r="S115" s="1"/>
      <c r="T115" s="5"/>
      <c r="U115" s="1"/>
      <c r="V115" s="10"/>
      <c r="W115" s="10"/>
      <c r="X115" s="12"/>
      <c r="Y115" s="14"/>
      <c r="Z115" s="11"/>
      <c r="AI115" s="2"/>
      <c r="AK115" s="8"/>
      <c r="AM115" s="8"/>
      <c r="AN115" s="8"/>
    </row>
    <row r="116">
      <c r="B116" s="4"/>
      <c r="C116" s="18"/>
      <c r="D116" s="4"/>
      <c r="E116" s="19"/>
      <c r="H116" s="4"/>
      <c r="J116" s="4"/>
      <c r="K116" s="4"/>
      <c r="L116" s="4"/>
      <c r="N116" s="11"/>
      <c r="O116" s="13"/>
      <c r="P116" s="13"/>
      <c r="Q116" s="1"/>
      <c r="R116" s="1"/>
      <c r="S116" s="1"/>
      <c r="T116" s="5"/>
      <c r="U116" s="1"/>
      <c r="V116" s="10"/>
      <c r="W116" s="10"/>
      <c r="X116" s="12"/>
      <c r="Y116" s="14"/>
      <c r="Z116" s="11"/>
      <c r="AI116" s="2"/>
      <c r="AK116" s="8"/>
      <c r="AM116" s="8"/>
      <c r="AN116" s="8"/>
    </row>
    <row r="117">
      <c r="B117" s="4"/>
      <c r="C117" s="18"/>
      <c r="D117" s="4"/>
      <c r="E117" s="19"/>
      <c r="H117" s="4"/>
      <c r="J117" s="4"/>
      <c r="K117" s="4"/>
      <c r="L117" s="4"/>
      <c r="N117" s="11"/>
      <c r="O117" s="13"/>
      <c r="P117" s="13"/>
      <c r="Q117" s="1"/>
      <c r="R117" s="1"/>
      <c r="S117" s="1"/>
      <c r="T117" s="5"/>
      <c r="U117" s="1"/>
      <c r="V117" s="10"/>
      <c r="W117" s="10"/>
      <c r="X117" s="12"/>
      <c r="Y117" s="14"/>
      <c r="Z117" s="11"/>
      <c r="AI117" s="2"/>
      <c r="AK117" s="8"/>
      <c r="AM117" s="8"/>
      <c r="AN117" s="8"/>
    </row>
    <row r="118">
      <c r="B118" s="4"/>
      <c r="C118" s="18"/>
      <c r="D118" s="4"/>
      <c r="E118" s="19"/>
      <c r="H118" s="4"/>
      <c r="J118" s="4"/>
      <c r="K118" s="4"/>
      <c r="L118" s="4"/>
      <c r="N118" s="11"/>
      <c r="O118" s="13"/>
      <c r="P118" s="13"/>
      <c r="Q118" s="1"/>
      <c r="R118" s="1"/>
      <c r="S118" s="1"/>
      <c r="T118" s="5"/>
      <c r="U118" s="1"/>
      <c r="V118" s="10"/>
      <c r="W118" s="10"/>
      <c r="X118" s="12"/>
      <c r="Y118" s="14"/>
      <c r="Z118" s="11"/>
      <c r="AI118" s="2"/>
      <c r="AK118" s="8"/>
      <c r="AM118" s="8"/>
      <c r="AN118" s="8"/>
    </row>
    <row r="119">
      <c r="B119" s="4"/>
      <c r="C119" s="18"/>
      <c r="D119" s="4"/>
      <c r="E119" s="19"/>
      <c r="H119" s="4"/>
      <c r="J119" s="4"/>
      <c r="K119" s="4"/>
      <c r="L119" s="4"/>
      <c r="N119" s="11"/>
      <c r="O119" s="13"/>
      <c r="P119" s="13"/>
      <c r="Q119" s="1"/>
      <c r="R119" s="1"/>
      <c r="S119" s="1"/>
      <c r="T119" s="5"/>
      <c r="U119" s="1"/>
      <c r="V119" s="10"/>
      <c r="W119" s="10"/>
      <c r="X119" s="12"/>
      <c r="Y119" s="14"/>
      <c r="Z119" s="11"/>
      <c r="AI119" s="2"/>
      <c r="AK119" s="8"/>
      <c r="AM119" s="8"/>
      <c r="AN119" s="8"/>
    </row>
    <row r="120">
      <c r="B120" s="4"/>
      <c r="C120" s="18"/>
      <c r="D120" s="4"/>
      <c r="E120" s="19"/>
      <c r="H120" s="4"/>
      <c r="J120" s="4"/>
      <c r="K120" s="4"/>
      <c r="L120" s="4"/>
      <c r="N120" s="11"/>
      <c r="O120" s="13"/>
      <c r="P120" s="13"/>
      <c r="Q120" s="1"/>
      <c r="R120" s="1"/>
      <c r="S120" s="1"/>
      <c r="T120" s="5"/>
      <c r="U120" s="1"/>
      <c r="V120" s="10"/>
      <c r="W120" s="10"/>
      <c r="X120" s="12"/>
      <c r="Y120" s="14"/>
      <c r="Z120" s="11"/>
      <c r="AI120" s="2"/>
      <c r="AK120" s="8"/>
      <c r="AM120" s="8"/>
      <c r="AN120" s="8"/>
    </row>
    <row r="121">
      <c r="B121" s="4"/>
      <c r="C121" s="18"/>
      <c r="D121" s="4"/>
      <c r="E121" s="19"/>
      <c r="H121" s="4"/>
      <c r="J121" s="4"/>
      <c r="K121" s="4"/>
      <c r="L121" s="4"/>
      <c r="N121" s="11"/>
      <c r="O121" s="13"/>
      <c r="P121" s="13"/>
      <c r="Q121" s="1"/>
      <c r="R121" s="1"/>
      <c r="S121" s="1"/>
      <c r="T121" s="5"/>
      <c r="U121" s="1"/>
      <c r="V121" s="10"/>
      <c r="W121" s="10"/>
      <c r="X121" s="12"/>
      <c r="Y121" s="14"/>
      <c r="Z121" s="11"/>
      <c r="AI121" s="2"/>
      <c r="AK121" s="8"/>
      <c r="AM121" s="8"/>
      <c r="AN121" s="8"/>
    </row>
    <row r="122">
      <c r="B122" s="4"/>
      <c r="C122" s="18"/>
      <c r="D122" s="4"/>
      <c r="E122" s="19"/>
      <c r="H122" s="4"/>
      <c r="J122" s="4"/>
      <c r="K122" s="4"/>
      <c r="L122" s="4"/>
      <c r="N122" s="11"/>
      <c r="O122" s="13"/>
      <c r="P122" s="13"/>
      <c r="Q122" s="1"/>
      <c r="R122" s="1"/>
      <c r="S122" s="1"/>
      <c r="T122" s="5"/>
      <c r="U122" s="1"/>
      <c r="V122" s="10"/>
      <c r="W122" s="10"/>
      <c r="X122" s="12"/>
      <c r="Y122" s="14"/>
      <c r="Z122" s="11"/>
      <c r="AI122" s="2"/>
      <c r="AK122" s="8"/>
      <c r="AM122" s="8"/>
      <c r="AN122" s="8"/>
    </row>
    <row r="123">
      <c r="B123" s="4"/>
      <c r="C123" s="18"/>
      <c r="D123" s="4"/>
      <c r="E123" s="19"/>
      <c r="H123" s="4"/>
      <c r="J123" s="4"/>
      <c r="K123" s="4"/>
      <c r="L123" s="4"/>
      <c r="N123" s="11"/>
      <c r="O123" s="13"/>
      <c r="P123" s="13"/>
      <c r="Q123" s="1"/>
      <c r="R123" s="1"/>
      <c r="S123" s="1"/>
      <c r="T123" s="5"/>
      <c r="U123" s="1"/>
      <c r="V123" s="10"/>
      <c r="W123" s="10"/>
      <c r="X123" s="12"/>
      <c r="Y123" s="14"/>
      <c r="Z123" s="11"/>
      <c r="AI123" s="2"/>
      <c r="AK123" s="8"/>
      <c r="AM123" s="8"/>
      <c r="AN123" s="8"/>
    </row>
    <row r="124">
      <c r="B124" s="4"/>
      <c r="C124" s="18"/>
      <c r="D124" s="4"/>
      <c r="E124" s="19"/>
      <c r="H124" s="4"/>
      <c r="J124" s="4"/>
      <c r="K124" s="4"/>
      <c r="L124" s="4"/>
      <c r="N124" s="11"/>
      <c r="O124" s="13"/>
      <c r="P124" s="13"/>
      <c r="Q124" s="1"/>
      <c r="R124" s="1"/>
      <c r="S124" s="1"/>
      <c r="T124" s="5"/>
      <c r="U124" s="1"/>
      <c r="V124" s="10"/>
      <c r="W124" s="10"/>
      <c r="X124" s="12"/>
      <c r="Y124" s="14"/>
      <c r="Z124" s="11"/>
      <c r="AI124" s="2"/>
      <c r="AK124" s="8"/>
      <c r="AM124" s="8"/>
      <c r="AN124" s="8"/>
    </row>
    <row r="125">
      <c r="B125" s="4"/>
      <c r="C125" s="18"/>
      <c r="D125" s="4"/>
      <c r="E125" s="19"/>
      <c r="H125" s="4"/>
      <c r="J125" s="4"/>
      <c r="K125" s="4"/>
      <c r="L125" s="4"/>
      <c r="N125" s="11"/>
      <c r="O125" s="13"/>
      <c r="P125" s="13"/>
      <c r="Q125" s="1"/>
      <c r="R125" s="1"/>
      <c r="S125" s="1"/>
      <c r="T125" s="5"/>
      <c r="U125" s="1"/>
      <c r="V125" s="10"/>
      <c r="W125" s="10"/>
      <c r="X125" s="12"/>
      <c r="Y125" s="14"/>
      <c r="Z125" s="11"/>
      <c r="AI125" s="2"/>
      <c r="AK125" s="8"/>
      <c r="AM125" s="8"/>
      <c r="AN125" s="8"/>
    </row>
    <row r="126">
      <c r="B126" s="4"/>
      <c r="C126" s="18"/>
      <c r="D126" s="4"/>
      <c r="E126" s="19"/>
      <c r="H126" s="4"/>
      <c r="J126" s="4"/>
      <c r="K126" s="4"/>
      <c r="L126" s="4"/>
      <c r="N126" s="11"/>
      <c r="O126" s="13"/>
      <c r="P126" s="13"/>
      <c r="Q126" s="1"/>
      <c r="R126" s="1"/>
      <c r="S126" s="1"/>
      <c r="T126" s="5"/>
      <c r="U126" s="1"/>
      <c r="V126" s="10"/>
      <c r="W126" s="10"/>
      <c r="X126" s="12"/>
      <c r="Y126" s="14"/>
      <c r="Z126" s="11"/>
      <c r="AI126" s="2"/>
      <c r="AK126" s="8"/>
      <c r="AM126" s="8"/>
      <c r="AN126" s="8"/>
    </row>
    <row r="127">
      <c r="B127" s="4"/>
      <c r="C127" s="18"/>
      <c r="D127" s="4"/>
      <c r="E127" s="19"/>
      <c r="H127" s="4"/>
      <c r="J127" s="4"/>
      <c r="K127" s="4"/>
      <c r="L127" s="4"/>
      <c r="N127" s="11"/>
      <c r="O127" s="13"/>
      <c r="P127" s="13"/>
      <c r="Q127" s="1"/>
      <c r="R127" s="1"/>
      <c r="S127" s="1"/>
      <c r="T127" s="5"/>
      <c r="U127" s="1"/>
      <c r="V127" s="10"/>
      <c r="W127" s="10"/>
      <c r="X127" s="12"/>
      <c r="Y127" s="14"/>
      <c r="Z127" s="11"/>
      <c r="AI127" s="2"/>
      <c r="AK127" s="8"/>
      <c r="AM127" s="8"/>
      <c r="AN127" s="8"/>
    </row>
    <row r="128">
      <c r="B128" s="4"/>
      <c r="C128" s="18"/>
      <c r="D128" s="4"/>
      <c r="E128" s="19"/>
      <c r="H128" s="4"/>
      <c r="J128" s="4"/>
      <c r="K128" s="4"/>
      <c r="L128" s="4"/>
      <c r="N128" s="11"/>
      <c r="O128" s="13"/>
      <c r="P128" s="13"/>
      <c r="Q128" s="1"/>
      <c r="R128" s="1"/>
      <c r="S128" s="1"/>
      <c r="T128" s="5"/>
      <c r="U128" s="1"/>
      <c r="V128" s="10"/>
      <c r="W128" s="10"/>
      <c r="X128" s="12"/>
      <c r="Y128" s="14"/>
      <c r="Z128" s="11"/>
      <c r="AI128" s="2"/>
      <c r="AK128" s="8"/>
      <c r="AM128" s="8"/>
      <c r="AN128" s="8"/>
    </row>
    <row r="129">
      <c r="B129" s="4"/>
      <c r="C129" s="18"/>
      <c r="D129" s="4"/>
      <c r="E129" s="19"/>
      <c r="H129" s="4"/>
      <c r="J129" s="4"/>
      <c r="K129" s="4"/>
      <c r="L129" s="4"/>
      <c r="N129" s="11"/>
      <c r="O129" s="13"/>
      <c r="P129" s="13"/>
      <c r="Q129" s="1"/>
      <c r="R129" s="1"/>
      <c r="S129" s="1"/>
      <c r="T129" s="5"/>
      <c r="U129" s="1"/>
      <c r="V129" s="10"/>
      <c r="W129" s="10"/>
      <c r="X129" s="12"/>
      <c r="Y129" s="14"/>
      <c r="Z129" s="11"/>
      <c r="AI129" s="2"/>
      <c r="AK129" s="8"/>
      <c r="AM129" s="8"/>
      <c r="AN129" s="8"/>
    </row>
    <row r="130">
      <c r="B130" s="4"/>
      <c r="C130" s="18"/>
      <c r="D130" s="4"/>
      <c r="E130" s="19"/>
      <c r="H130" s="4"/>
      <c r="J130" s="4"/>
      <c r="K130" s="4"/>
      <c r="L130" s="4"/>
      <c r="N130" s="11"/>
      <c r="O130" s="13"/>
      <c r="P130" s="13"/>
      <c r="Q130" s="1"/>
      <c r="R130" s="1"/>
      <c r="S130" s="1"/>
      <c r="T130" s="5"/>
      <c r="U130" s="1"/>
      <c r="V130" s="10"/>
      <c r="W130" s="10"/>
      <c r="X130" s="12"/>
      <c r="Y130" s="14"/>
      <c r="Z130" s="11"/>
      <c r="AI130" s="2"/>
      <c r="AK130" s="8"/>
      <c r="AM130" s="8"/>
      <c r="AN130" s="8"/>
    </row>
    <row r="131">
      <c r="B131" s="4"/>
      <c r="C131" s="18"/>
      <c r="D131" s="4"/>
      <c r="E131" s="19"/>
      <c r="H131" s="4"/>
      <c r="J131" s="4"/>
      <c r="K131" s="4"/>
      <c r="L131" s="4"/>
      <c r="N131" s="11"/>
      <c r="O131" s="13"/>
      <c r="P131" s="13"/>
      <c r="Q131" s="1"/>
      <c r="R131" s="1"/>
      <c r="S131" s="1"/>
      <c r="T131" s="5"/>
      <c r="U131" s="1"/>
      <c r="V131" s="10"/>
      <c r="W131" s="10"/>
      <c r="X131" s="12"/>
      <c r="Y131" s="14"/>
      <c r="Z131" s="11"/>
      <c r="AI131" s="2"/>
      <c r="AK131" s="8"/>
      <c r="AM131" s="8"/>
      <c r="AN131" s="8"/>
    </row>
    <row r="132">
      <c r="B132" s="4"/>
      <c r="C132" s="18"/>
      <c r="D132" s="4"/>
      <c r="E132" s="19"/>
      <c r="H132" s="4"/>
      <c r="J132" s="4"/>
      <c r="K132" s="4"/>
      <c r="L132" s="4"/>
      <c r="N132" s="11"/>
      <c r="O132" s="13"/>
      <c r="P132" s="13"/>
      <c r="Q132" s="1"/>
      <c r="R132" s="1"/>
      <c r="S132" s="1"/>
      <c r="T132" s="5"/>
      <c r="U132" s="1"/>
      <c r="V132" s="10"/>
      <c r="W132" s="10"/>
      <c r="X132" s="12"/>
      <c r="Y132" s="14"/>
      <c r="Z132" s="11"/>
      <c r="AI132" s="2"/>
      <c r="AK132" s="8"/>
      <c r="AM132" s="8"/>
      <c r="AN132" s="8"/>
    </row>
    <row r="133">
      <c r="B133" s="4"/>
      <c r="C133" s="18"/>
      <c r="D133" s="4"/>
      <c r="E133" s="19"/>
      <c r="H133" s="4"/>
      <c r="J133" s="4"/>
      <c r="K133" s="4"/>
      <c r="L133" s="4"/>
      <c r="N133" s="11"/>
      <c r="O133" s="13"/>
      <c r="P133" s="13"/>
      <c r="Q133" s="1"/>
      <c r="R133" s="1"/>
      <c r="S133" s="1"/>
      <c r="T133" s="5"/>
      <c r="U133" s="1"/>
      <c r="V133" s="10"/>
      <c r="W133" s="10"/>
      <c r="X133" s="12"/>
      <c r="Y133" s="14"/>
      <c r="Z133" s="11"/>
      <c r="AI133" s="2"/>
      <c r="AK133" s="8"/>
      <c r="AM133" s="8"/>
      <c r="AN133" s="8"/>
    </row>
    <row r="134">
      <c r="B134" s="4"/>
      <c r="C134" s="18"/>
      <c r="D134" s="4"/>
      <c r="E134" s="19"/>
      <c r="H134" s="4"/>
      <c r="J134" s="4"/>
      <c r="K134" s="4"/>
      <c r="L134" s="4"/>
      <c r="N134" s="11"/>
      <c r="O134" s="13"/>
      <c r="P134" s="13"/>
      <c r="Q134" s="1"/>
      <c r="R134" s="1"/>
      <c r="S134" s="1"/>
      <c r="T134" s="5"/>
      <c r="U134" s="1"/>
      <c r="V134" s="10"/>
      <c r="W134" s="10"/>
      <c r="X134" s="12"/>
      <c r="Y134" s="14"/>
      <c r="Z134" s="11"/>
      <c r="AI134" s="2"/>
      <c r="AK134" s="8"/>
      <c r="AM134" s="8"/>
      <c r="AN134" s="8"/>
    </row>
    <row r="135">
      <c r="B135" s="4"/>
      <c r="C135" s="18"/>
      <c r="D135" s="4"/>
      <c r="E135" s="19"/>
      <c r="H135" s="4"/>
      <c r="J135" s="4"/>
      <c r="K135" s="4"/>
      <c r="L135" s="4"/>
      <c r="N135" s="11"/>
      <c r="O135" s="13"/>
      <c r="P135" s="13"/>
      <c r="Q135" s="1"/>
      <c r="R135" s="1"/>
      <c r="S135" s="1"/>
      <c r="T135" s="5"/>
      <c r="U135" s="1"/>
      <c r="V135" s="10"/>
      <c r="W135" s="10"/>
      <c r="X135" s="12"/>
      <c r="Y135" s="14"/>
      <c r="Z135" s="11"/>
      <c r="AI135" s="2"/>
      <c r="AK135" s="8"/>
      <c r="AM135" s="8"/>
      <c r="AN135" s="8"/>
    </row>
    <row r="136">
      <c r="B136" s="4"/>
      <c r="C136" s="18"/>
      <c r="D136" s="4"/>
      <c r="E136" s="19"/>
      <c r="H136" s="4"/>
      <c r="J136" s="4"/>
      <c r="K136" s="4"/>
      <c r="L136" s="4"/>
      <c r="N136" s="11"/>
      <c r="O136" s="13"/>
      <c r="P136" s="13"/>
      <c r="Q136" s="1"/>
      <c r="R136" s="1"/>
      <c r="S136" s="1"/>
      <c r="T136" s="5"/>
      <c r="U136" s="1"/>
      <c r="V136" s="10"/>
      <c r="W136" s="10"/>
      <c r="X136" s="12"/>
      <c r="Y136" s="14"/>
      <c r="Z136" s="11"/>
      <c r="AI136" s="2"/>
      <c r="AK136" s="8"/>
      <c r="AM136" s="8"/>
      <c r="AN136" s="8"/>
    </row>
    <row r="137">
      <c r="B137" s="4"/>
      <c r="C137" s="18"/>
      <c r="D137" s="4"/>
      <c r="E137" s="19"/>
      <c r="H137" s="4"/>
      <c r="J137" s="4"/>
      <c r="K137" s="4"/>
      <c r="L137" s="4"/>
      <c r="N137" s="11"/>
      <c r="O137" s="13"/>
      <c r="P137" s="13"/>
      <c r="Q137" s="1"/>
      <c r="R137" s="1"/>
      <c r="S137" s="1"/>
      <c r="T137" s="5"/>
      <c r="U137" s="1"/>
      <c r="V137" s="10"/>
      <c r="W137" s="10"/>
      <c r="X137" s="12"/>
      <c r="Y137" s="14"/>
      <c r="Z137" s="11"/>
      <c r="AI137" s="2"/>
      <c r="AK137" s="8"/>
      <c r="AM137" s="8"/>
      <c r="AN137" s="8"/>
    </row>
    <row r="138">
      <c r="B138" s="4"/>
      <c r="C138" s="18"/>
      <c r="D138" s="4"/>
      <c r="E138" s="19"/>
      <c r="H138" s="4"/>
      <c r="J138" s="4"/>
      <c r="K138" s="4"/>
      <c r="L138" s="4"/>
      <c r="N138" s="11"/>
      <c r="O138" s="13"/>
      <c r="P138" s="13"/>
      <c r="Q138" s="1"/>
      <c r="R138" s="1"/>
      <c r="S138" s="1"/>
      <c r="T138" s="5"/>
      <c r="U138" s="1"/>
      <c r="V138" s="10"/>
      <c r="W138" s="10"/>
      <c r="X138" s="12"/>
      <c r="Y138" s="14"/>
      <c r="Z138" s="11"/>
      <c r="AI138" s="2"/>
      <c r="AK138" s="8"/>
      <c r="AM138" s="8"/>
      <c r="AN138" s="8"/>
    </row>
    <row r="139">
      <c r="B139" s="4"/>
      <c r="C139" s="18"/>
      <c r="D139" s="4"/>
      <c r="E139" s="19"/>
      <c r="H139" s="4"/>
      <c r="J139" s="4"/>
      <c r="K139" s="4"/>
      <c r="L139" s="4"/>
      <c r="N139" s="11"/>
      <c r="O139" s="13"/>
      <c r="P139" s="13"/>
      <c r="Q139" s="1"/>
      <c r="R139" s="1"/>
      <c r="S139" s="1"/>
      <c r="T139" s="5"/>
      <c r="U139" s="1"/>
      <c r="V139" s="10"/>
      <c r="W139" s="10"/>
      <c r="X139" s="12"/>
      <c r="Y139" s="14"/>
      <c r="Z139" s="11"/>
      <c r="AI139" s="2"/>
      <c r="AK139" s="8"/>
      <c r="AM139" s="8"/>
      <c r="AN139" s="8"/>
    </row>
    <row r="140">
      <c r="B140" s="4"/>
      <c r="C140" s="18"/>
      <c r="D140" s="4"/>
      <c r="E140" s="19"/>
      <c r="H140" s="4"/>
      <c r="J140" s="4"/>
      <c r="K140" s="4"/>
      <c r="L140" s="4"/>
      <c r="N140" s="11"/>
      <c r="O140" s="13"/>
      <c r="P140" s="13"/>
      <c r="Q140" s="1"/>
      <c r="R140" s="1"/>
      <c r="S140" s="1"/>
      <c r="T140" s="5"/>
      <c r="U140" s="1"/>
      <c r="V140" s="10"/>
      <c r="W140" s="10"/>
      <c r="X140" s="12"/>
      <c r="Y140" s="14"/>
      <c r="Z140" s="11"/>
      <c r="AI140" s="2"/>
      <c r="AK140" s="8"/>
      <c r="AM140" s="8"/>
      <c r="AN140" s="8"/>
    </row>
    <row r="141">
      <c r="B141" s="4"/>
      <c r="C141" s="18"/>
      <c r="D141" s="4"/>
      <c r="E141" s="19"/>
      <c r="H141" s="4"/>
      <c r="J141" s="4"/>
      <c r="K141" s="4"/>
      <c r="L141" s="4"/>
      <c r="N141" s="11"/>
      <c r="O141" s="13"/>
      <c r="P141" s="13"/>
      <c r="Q141" s="1"/>
      <c r="R141" s="1"/>
      <c r="S141" s="1"/>
      <c r="T141" s="5"/>
      <c r="U141" s="1"/>
      <c r="V141" s="10"/>
      <c r="W141" s="10"/>
      <c r="X141" s="12"/>
      <c r="Y141" s="14"/>
      <c r="Z141" s="11"/>
      <c r="AI141" s="2"/>
      <c r="AK141" s="8"/>
      <c r="AM141" s="8"/>
      <c r="AN141" s="8"/>
    </row>
    <row r="142">
      <c r="B142" s="4"/>
      <c r="C142" s="18"/>
      <c r="D142" s="4"/>
      <c r="E142" s="19"/>
      <c r="H142" s="4"/>
      <c r="J142" s="4"/>
      <c r="K142" s="4"/>
      <c r="L142" s="4"/>
      <c r="N142" s="11"/>
      <c r="O142" s="13"/>
      <c r="P142" s="13"/>
      <c r="Q142" s="1"/>
      <c r="R142" s="1"/>
      <c r="S142" s="1"/>
      <c r="T142" s="5"/>
      <c r="U142" s="1"/>
      <c r="V142" s="10"/>
      <c r="W142" s="10"/>
      <c r="X142" s="12"/>
      <c r="Y142" s="14"/>
      <c r="Z142" s="11"/>
      <c r="AI142" s="2"/>
      <c r="AK142" s="8"/>
      <c r="AM142" s="8"/>
      <c r="AN142" s="8"/>
    </row>
    <row r="143">
      <c r="B143" s="4"/>
      <c r="C143" s="18"/>
      <c r="D143" s="4"/>
      <c r="E143" s="19"/>
      <c r="H143" s="4"/>
      <c r="J143" s="4"/>
      <c r="K143" s="4"/>
      <c r="L143" s="4"/>
      <c r="N143" s="11"/>
      <c r="O143" s="13"/>
      <c r="P143" s="13"/>
      <c r="Q143" s="1"/>
      <c r="R143" s="1"/>
      <c r="S143" s="1"/>
      <c r="T143" s="5"/>
      <c r="U143" s="1"/>
      <c r="V143" s="10"/>
      <c r="W143" s="10"/>
      <c r="X143" s="12"/>
      <c r="Y143" s="14"/>
      <c r="Z143" s="11"/>
      <c r="AI143" s="2"/>
      <c r="AK143" s="8"/>
      <c r="AM143" s="8"/>
      <c r="AN143" s="8"/>
    </row>
    <row r="144">
      <c r="B144" s="4"/>
      <c r="C144" s="18"/>
      <c r="D144" s="4"/>
      <c r="E144" s="19"/>
      <c r="H144" s="4"/>
      <c r="J144" s="4"/>
      <c r="K144" s="4"/>
      <c r="L144" s="4"/>
      <c r="N144" s="11"/>
      <c r="O144" s="13"/>
      <c r="P144" s="13"/>
      <c r="Q144" s="1"/>
      <c r="R144" s="1"/>
      <c r="S144" s="1"/>
      <c r="T144" s="5"/>
      <c r="U144" s="1"/>
      <c r="V144" s="10"/>
      <c r="W144" s="10"/>
      <c r="X144" s="12"/>
      <c r="Y144" s="14"/>
      <c r="Z144" s="11"/>
      <c r="AI144" s="2"/>
      <c r="AK144" s="8"/>
      <c r="AM144" s="8"/>
      <c r="AN144" s="8"/>
    </row>
    <row r="145">
      <c r="B145" s="4"/>
      <c r="C145" s="18"/>
      <c r="D145" s="4"/>
      <c r="E145" s="19"/>
      <c r="H145" s="4"/>
      <c r="J145" s="4"/>
      <c r="K145" s="4"/>
      <c r="L145" s="4"/>
      <c r="N145" s="11"/>
      <c r="O145" s="13"/>
      <c r="P145" s="13"/>
      <c r="Q145" s="1"/>
      <c r="R145" s="1"/>
      <c r="S145" s="1"/>
      <c r="T145" s="5"/>
      <c r="U145" s="1"/>
      <c r="V145" s="10"/>
      <c r="W145" s="10"/>
      <c r="X145" s="12"/>
      <c r="Y145" s="14"/>
      <c r="Z145" s="11"/>
      <c r="AI145" s="2"/>
      <c r="AK145" s="8"/>
      <c r="AM145" s="8"/>
      <c r="AN145" s="8"/>
    </row>
    <row r="146">
      <c r="B146" s="4"/>
      <c r="C146" s="18"/>
      <c r="D146" s="4"/>
      <c r="E146" s="19"/>
      <c r="H146" s="4"/>
      <c r="J146" s="4"/>
      <c r="K146" s="4"/>
      <c r="L146" s="4"/>
      <c r="N146" s="11"/>
      <c r="O146" s="13"/>
      <c r="P146" s="13"/>
      <c r="Q146" s="1"/>
      <c r="R146" s="1"/>
      <c r="S146" s="1"/>
      <c r="T146" s="5"/>
      <c r="U146" s="1"/>
      <c r="V146" s="10"/>
      <c r="W146" s="10"/>
      <c r="X146" s="12"/>
      <c r="Y146" s="14"/>
      <c r="Z146" s="11"/>
      <c r="AI146" s="2"/>
      <c r="AK146" s="8"/>
      <c r="AM146" s="8"/>
      <c r="AN146" s="8"/>
    </row>
    <row r="147">
      <c r="B147" s="4"/>
      <c r="C147" s="18"/>
      <c r="D147" s="4"/>
      <c r="E147" s="19"/>
      <c r="H147" s="4"/>
      <c r="J147" s="4"/>
      <c r="K147" s="4"/>
      <c r="L147" s="4"/>
      <c r="N147" s="11"/>
      <c r="O147" s="13"/>
      <c r="P147" s="13"/>
      <c r="Q147" s="1"/>
      <c r="R147" s="1"/>
      <c r="S147" s="1"/>
      <c r="T147" s="5"/>
      <c r="U147" s="1"/>
      <c r="V147" s="10"/>
      <c r="W147" s="10"/>
      <c r="X147" s="12"/>
      <c r="Y147" s="14"/>
      <c r="Z147" s="11"/>
      <c r="AI147" s="2"/>
      <c r="AK147" s="8"/>
      <c r="AM147" s="8"/>
      <c r="AN147" s="8"/>
    </row>
    <row r="148">
      <c r="B148" s="4"/>
      <c r="C148" s="18"/>
      <c r="D148" s="4"/>
      <c r="E148" s="19"/>
      <c r="H148" s="4"/>
      <c r="J148" s="4"/>
      <c r="K148" s="4"/>
      <c r="L148" s="4"/>
      <c r="N148" s="11"/>
      <c r="O148" s="13"/>
      <c r="P148" s="13"/>
      <c r="Q148" s="1"/>
      <c r="R148" s="1"/>
      <c r="S148" s="1"/>
      <c r="T148" s="5"/>
      <c r="U148" s="1"/>
      <c r="V148" s="10"/>
      <c r="W148" s="10"/>
      <c r="X148" s="12"/>
      <c r="Y148" s="14"/>
      <c r="Z148" s="11"/>
      <c r="AI148" s="2"/>
      <c r="AK148" s="8"/>
      <c r="AM148" s="8"/>
      <c r="AN148" s="8"/>
    </row>
    <row r="149">
      <c r="B149" s="4"/>
      <c r="C149" s="18"/>
      <c r="D149" s="4"/>
      <c r="E149" s="19"/>
      <c r="H149" s="4"/>
      <c r="J149" s="4"/>
      <c r="K149" s="4"/>
      <c r="L149" s="4"/>
      <c r="N149" s="11"/>
      <c r="O149" s="13"/>
      <c r="P149" s="13"/>
      <c r="Q149" s="1"/>
      <c r="R149" s="1"/>
      <c r="S149" s="1"/>
      <c r="T149" s="5"/>
      <c r="U149" s="1"/>
      <c r="V149" s="10"/>
      <c r="W149" s="10"/>
      <c r="X149" s="12"/>
      <c r="Y149" s="14"/>
      <c r="Z149" s="11"/>
      <c r="AI149" s="2"/>
      <c r="AK149" s="8"/>
      <c r="AM149" s="8"/>
      <c r="AN149" s="8"/>
    </row>
    <row r="150">
      <c r="B150" s="4"/>
      <c r="C150" s="18"/>
      <c r="D150" s="4"/>
      <c r="E150" s="19"/>
      <c r="H150" s="4"/>
      <c r="J150" s="4"/>
      <c r="K150" s="4"/>
      <c r="L150" s="4"/>
      <c r="N150" s="11"/>
      <c r="O150" s="13"/>
      <c r="P150" s="13"/>
      <c r="Q150" s="1"/>
      <c r="R150" s="1"/>
      <c r="S150" s="1"/>
      <c r="T150" s="5"/>
      <c r="U150" s="1"/>
      <c r="V150" s="10"/>
      <c r="W150" s="10"/>
      <c r="X150" s="12"/>
      <c r="Y150" s="14"/>
      <c r="Z150" s="11"/>
      <c r="AI150" s="2"/>
      <c r="AK150" s="8"/>
      <c r="AM150" s="8"/>
      <c r="AN150" s="8"/>
    </row>
    <row r="151">
      <c r="B151" s="4"/>
      <c r="C151" s="18"/>
      <c r="D151" s="4"/>
      <c r="E151" s="19"/>
      <c r="H151" s="4"/>
      <c r="J151" s="4"/>
      <c r="K151" s="4"/>
      <c r="L151" s="4"/>
      <c r="N151" s="11"/>
      <c r="O151" s="13"/>
      <c r="P151" s="13"/>
      <c r="Q151" s="1"/>
      <c r="R151" s="1"/>
      <c r="S151" s="1"/>
      <c r="T151" s="5"/>
      <c r="U151" s="1"/>
      <c r="V151" s="10"/>
      <c r="W151" s="10"/>
      <c r="X151" s="12"/>
      <c r="Y151" s="14"/>
      <c r="Z151" s="11"/>
      <c r="AI151" s="2"/>
      <c r="AK151" s="8"/>
      <c r="AM151" s="8"/>
      <c r="AN151" s="8"/>
    </row>
    <row r="152">
      <c r="B152" s="4"/>
      <c r="C152" s="18"/>
      <c r="D152" s="4"/>
      <c r="E152" s="19"/>
      <c r="H152" s="4"/>
      <c r="J152" s="4"/>
      <c r="K152" s="4"/>
      <c r="L152" s="4"/>
      <c r="N152" s="11"/>
      <c r="O152" s="13"/>
      <c r="P152" s="13"/>
      <c r="Q152" s="1"/>
      <c r="R152" s="1"/>
      <c r="S152" s="1"/>
      <c r="T152" s="5"/>
      <c r="U152" s="1"/>
      <c r="V152" s="10"/>
      <c r="W152" s="10"/>
      <c r="X152" s="12"/>
      <c r="Y152" s="14"/>
      <c r="Z152" s="11"/>
      <c r="AI152" s="2"/>
      <c r="AK152" s="8"/>
      <c r="AM152" s="8"/>
      <c r="AN152" s="8"/>
    </row>
    <row r="153">
      <c r="B153" s="4"/>
      <c r="C153" s="18"/>
      <c r="D153" s="4"/>
      <c r="E153" s="19"/>
      <c r="H153" s="4"/>
      <c r="J153" s="4"/>
      <c r="K153" s="4"/>
      <c r="L153" s="4"/>
      <c r="N153" s="11"/>
      <c r="O153" s="13"/>
      <c r="P153" s="13"/>
      <c r="Q153" s="1"/>
      <c r="R153" s="1"/>
      <c r="S153" s="1"/>
      <c r="T153" s="5"/>
      <c r="U153" s="1"/>
      <c r="V153" s="10"/>
      <c r="W153" s="10"/>
      <c r="X153" s="12"/>
      <c r="Y153" s="14"/>
      <c r="Z153" s="11"/>
      <c r="AI153" s="2"/>
      <c r="AK153" s="8"/>
      <c r="AM153" s="8"/>
      <c r="AN153" s="8"/>
    </row>
    <row r="154">
      <c r="B154" s="4"/>
      <c r="C154" s="18"/>
      <c r="D154" s="4"/>
      <c r="E154" s="19"/>
      <c r="H154" s="4"/>
      <c r="J154" s="4"/>
      <c r="K154" s="4"/>
      <c r="L154" s="4"/>
      <c r="N154" s="11"/>
      <c r="O154" s="13"/>
      <c r="P154" s="13"/>
      <c r="Q154" s="1"/>
      <c r="R154" s="1"/>
      <c r="S154" s="1"/>
      <c r="T154" s="5"/>
      <c r="U154" s="1"/>
      <c r="V154" s="10"/>
      <c r="W154" s="10"/>
      <c r="X154" s="12"/>
      <c r="Y154" s="14"/>
      <c r="Z154" s="11"/>
      <c r="AI154" s="2"/>
      <c r="AK154" s="8"/>
      <c r="AM154" s="8"/>
      <c r="AN154" s="8"/>
    </row>
    <row r="155">
      <c r="B155" s="4"/>
      <c r="C155" s="18"/>
      <c r="D155" s="4"/>
      <c r="E155" s="19"/>
      <c r="H155" s="4"/>
      <c r="J155" s="4"/>
      <c r="K155" s="4"/>
      <c r="L155" s="4"/>
      <c r="N155" s="11"/>
      <c r="O155" s="13"/>
      <c r="P155" s="13"/>
      <c r="Q155" s="1"/>
      <c r="R155" s="1"/>
      <c r="S155" s="1"/>
      <c r="T155" s="5"/>
      <c r="U155" s="1"/>
      <c r="V155" s="10"/>
      <c r="W155" s="10"/>
      <c r="X155" s="12"/>
      <c r="Y155" s="14"/>
      <c r="Z155" s="11"/>
      <c r="AI155" s="2"/>
      <c r="AK155" s="8"/>
      <c r="AM155" s="8"/>
      <c r="AN155" s="8"/>
    </row>
    <row r="156">
      <c r="B156" s="4"/>
      <c r="C156" s="18"/>
      <c r="D156" s="4"/>
      <c r="E156" s="19"/>
      <c r="H156" s="4"/>
      <c r="J156" s="4"/>
      <c r="K156" s="4"/>
      <c r="L156" s="4"/>
      <c r="N156" s="11"/>
      <c r="O156" s="13"/>
      <c r="P156" s="13"/>
      <c r="Q156" s="1"/>
      <c r="R156" s="1"/>
      <c r="S156" s="1"/>
      <c r="T156" s="5"/>
      <c r="U156" s="1"/>
      <c r="V156" s="10"/>
      <c r="W156" s="10"/>
      <c r="X156" s="12"/>
      <c r="Y156" s="14"/>
      <c r="Z156" s="11"/>
      <c r="AI156" s="2"/>
      <c r="AK156" s="8"/>
      <c r="AM156" s="8"/>
      <c r="AN156" s="8"/>
    </row>
    <row r="157">
      <c r="B157" s="4"/>
      <c r="C157" s="18"/>
      <c r="D157" s="4"/>
      <c r="E157" s="19"/>
      <c r="H157" s="4"/>
      <c r="J157" s="4"/>
      <c r="K157" s="4"/>
      <c r="L157" s="4"/>
      <c r="N157" s="11"/>
      <c r="O157" s="13"/>
      <c r="P157" s="13"/>
      <c r="Q157" s="1"/>
      <c r="R157" s="1"/>
      <c r="S157" s="1"/>
      <c r="T157" s="5"/>
      <c r="U157" s="1"/>
      <c r="V157" s="10"/>
      <c r="W157" s="10"/>
      <c r="X157" s="12"/>
      <c r="Y157" s="14"/>
      <c r="Z157" s="11"/>
      <c r="AI157" s="2"/>
      <c r="AK157" s="8"/>
      <c r="AM157" s="8"/>
      <c r="AN157" s="8"/>
    </row>
    <row r="158">
      <c r="B158" s="4"/>
      <c r="C158" s="18"/>
      <c r="D158" s="4"/>
      <c r="E158" s="19"/>
      <c r="H158" s="4"/>
      <c r="J158" s="4"/>
      <c r="K158" s="4"/>
      <c r="L158" s="4"/>
      <c r="N158" s="11"/>
      <c r="O158" s="13"/>
      <c r="P158" s="13"/>
      <c r="Q158" s="1"/>
      <c r="R158" s="1"/>
      <c r="S158" s="1"/>
      <c r="T158" s="5"/>
      <c r="U158" s="1"/>
      <c r="V158" s="10"/>
      <c r="W158" s="10"/>
      <c r="X158" s="12"/>
      <c r="Y158" s="14"/>
      <c r="Z158" s="11"/>
      <c r="AI158" s="2"/>
      <c r="AK158" s="8"/>
      <c r="AM158" s="8"/>
      <c r="AN158" s="8"/>
    </row>
    <row r="159">
      <c r="B159" s="4"/>
      <c r="C159" s="18"/>
      <c r="D159" s="4"/>
      <c r="E159" s="19"/>
      <c r="H159" s="4"/>
      <c r="J159" s="4"/>
      <c r="K159" s="4"/>
      <c r="L159" s="4"/>
      <c r="N159" s="11"/>
      <c r="O159" s="13"/>
      <c r="P159" s="13"/>
      <c r="Q159" s="1"/>
      <c r="R159" s="1"/>
      <c r="S159" s="1"/>
      <c r="T159" s="5"/>
      <c r="U159" s="1"/>
      <c r="V159" s="10"/>
      <c r="W159" s="10"/>
      <c r="X159" s="12"/>
      <c r="Y159" s="14"/>
      <c r="Z159" s="11"/>
      <c r="AI159" s="2"/>
      <c r="AK159" s="8"/>
      <c r="AM159" s="8"/>
      <c r="AN159" s="8"/>
    </row>
    <row r="160">
      <c r="B160" s="4"/>
      <c r="C160" s="18"/>
      <c r="D160" s="4"/>
      <c r="E160" s="19"/>
      <c r="H160" s="4"/>
      <c r="J160" s="4"/>
      <c r="K160" s="4"/>
      <c r="L160" s="4"/>
      <c r="N160" s="11"/>
      <c r="O160" s="13"/>
      <c r="P160" s="13"/>
      <c r="Q160" s="1"/>
      <c r="R160" s="1"/>
      <c r="S160" s="1"/>
      <c r="T160" s="5"/>
      <c r="U160" s="1"/>
      <c r="V160" s="10"/>
      <c r="W160" s="10"/>
      <c r="X160" s="12"/>
      <c r="Y160" s="14"/>
      <c r="Z160" s="11"/>
      <c r="AI160" s="2"/>
      <c r="AK160" s="8"/>
      <c r="AM160" s="8"/>
      <c r="AN160" s="8"/>
    </row>
    <row r="161">
      <c r="B161" s="4"/>
      <c r="C161" s="18"/>
      <c r="D161" s="4"/>
      <c r="E161" s="19"/>
      <c r="H161" s="4"/>
      <c r="J161" s="4"/>
      <c r="K161" s="4"/>
      <c r="L161" s="4"/>
      <c r="N161" s="11"/>
      <c r="O161" s="13"/>
      <c r="P161" s="13"/>
      <c r="Q161" s="1"/>
      <c r="R161" s="1"/>
      <c r="S161" s="1"/>
      <c r="T161" s="5"/>
      <c r="U161" s="1"/>
      <c r="V161" s="10"/>
      <c r="W161" s="10"/>
      <c r="X161" s="12"/>
      <c r="Y161" s="14"/>
      <c r="Z161" s="11"/>
      <c r="AI161" s="2"/>
      <c r="AK161" s="8"/>
      <c r="AM161" s="8"/>
      <c r="AN161" s="8"/>
    </row>
    <row r="162">
      <c r="B162" s="4"/>
      <c r="C162" s="18"/>
      <c r="D162" s="4"/>
      <c r="E162" s="19"/>
      <c r="H162" s="4"/>
      <c r="J162" s="4"/>
      <c r="K162" s="4"/>
      <c r="L162" s="4"/>
      <c r="N162" s="11"/>
      <c r="O162" s="13"/>
      <c r="P162" s="13"/>
      <c r="Q162" s="1"/>
      <c r="R162" s="1"/>
      <c r="S162" s="1"/>
      <c r="T162" s="5"/>
      <c r="U162" s="1"/>
      <c r="V162" s="10"/>
      <c r="W162" s="10"/>
      <c r="X162" s="12"/>
      <c r="Y162" s="14"/>
      <c r="Z162" s="11"/>
      <c r="AI162" s="2"/>
      <c r="AK162" s="8"/>
      <c r="AM162" s="8"/>
      <c r="AN162" s="8"/>
    </row>
    <row r="163">
      <c r="B163" s="4"/>
      <c r="C163" s="18"/>
      <c r="D163" s="4"/>
      <c r="E163" s="19"/>
      <c r="H163" s="4"/>
      <c r="J163" s="4"/>
      <c r="K163" s="4"/>
      <c r="L163" s="4"/>
      <c r="N163" s="11"/>
      <c r="O163" s="13"/>
      <c r="P163" s="13"/>
      <c r="Q163" s="1"/>
      <c r="R163" s="1"/>
      <c r="S163" s="1"/>
      <c r="T163" s="5"/>
      <c r="U163" s="1"/>
      <c r="V163" s="10"/>
      <c r="W163" s="10"/>
      <c r="X163" s="12"/>
      <c r="Y163" s="14"/>
      <c r="Z163" s="11"/>
      <c r="AI163" s="2"/>
      <c r="AK163" s="8"/>
      <c r="AM163" s="8"/>
      <c r="AN163" s="8"/>
    </row>
    <row r="164">
      <c r="B164" s="4"/>
      <c r="C164" s="18"/>
      <c r="D164" s="4"/>
      <c r="E164" s="19"/>
      <c r="H164" s="4"/>
      <c r="J164" s="4"/>
      <c r="K164" s="4"/>
      <c r="L164" s="4"/>
      <c r="N164" s="11"/>
      <c r="O164" s="13"/>
      <c r="P164" s="13"/>
      <c r="Q164" s="1"/>
      <c r="R164" s="1"/>
      <c r="S164" s="1"/>
      <c r="T164" s="5"/>
      <c r="U164" s="1"/>
      <c r="V164" s="10"/>
      <c r="W164" s="10"/>
      <c r="X164" s="12"/>
      <c r="Y164" s="14"/>
      <c r="Z164" s="11"/>
      <c r="AI164" s="2"/>
      <c r="AK164" s="8"/>
      <c r="AM164" s="8"/>
      <c r="AN164" s="8"/>
    </row>
    <row r="165">
      <c r="B165" s="4"/>
      <c r="C165" s="18"/>
      <c r="D165" s="4"/>
      <c r="E165" s="19"/>
      <c r="H165" s="4"/>
      <c r="J165" s="4"/>
      <c r="K165" s="4"/>
      <c r="L165" s="4"/>
      <c r="N165" s="11"/>
      <c r="O165" s="13"/>
      <c r="P165" s="13"/>
      <c r="Q165" s="1"/>
      <c r="R165" s="1"/>
      <c r="S165" s="1"/>
      <c r="T165" s="5"/>
      <c r="U165" s="1"/>
      <c r="V165" s="10"/>
      <c r="W165" s="10"/>
      <c r="X165" s="12"/>
      <c r="Y165" s="14"/>
      <c r="Z165" s="11"/>
      <c r="AI165" s="2"/>
      <c r="AK165" s="8"/>
      <c r="AM165" s="8"/>
      <c r="AN165" s="8"/>
    </row>
    <row r="166">
      <c r="B166" s="4"/>
      <c r="C166" s="18"/>
      <c r="D166" s="4"/>
      <c r="E166" s="19"/>
      <c r="H166" s="4"/>
      <c r="J166" s="4"/>
      <c r="K166" s="4"/>
      <c r="L166" s="4"/>
      <c r="N166" s="11"/>
      <c r="O166" s="13"/>
      <c r="P166" s="13"/>
      <c r="Q166" s="1"/>
      <c r="R166" s="1"/>
      <c r="S166" s="1"/>
      <c r="T166" s="5"/>
      <c r="U166" s="1"/>
      <c r="V166" s="10"/>
      <c r="W166" s="10"/>
      <c r="X166" s="12"/>
      <c r="Y166" s="14"/>
      <c r="Z166" s="11"/>
      <c r="AI166" s="2"/>
      <c r="AK166" s="8"/>
      <c r="AM166" s="8"/>
      <c r="AN166" s="8"/>
    </row>
    <row r="167">
      <c r="B167" s="4"/>
      <c r="C167" s="18"/>
      <c r="D167" s="4"/>
      <c r="E167" s="19"/>
      <c r="H167" s="4"/>
      <c r="J167" s="4"/>
      <c r="K167" s="4"/>
      <c r="L167" s="4"/>
      <c r="N167" s="11"/>
      <c r="O167" s="13"/>
      <c r="P167" s="13"/>
      <c r="Q167" s="1"/>
      <c r="R167" s="1"/>
      <c r="S167" s="1"/>
      <c r="T167" s="5"/>
      <c r="U167" s="1"/>
      <c r="V167" s="10"/>
      <c r="W167" s="10"/>
      <c r="X167" s="12"/>
      <c r="Y167" s="14"/>
      <c r="Z167" s="11"/>
      <c r="AI167" s="2"/>
      <c r="AK167" s="8"/>
      <c r="AM167" s="8"/>
      <c r="AN167" s="8"/>
    </row>
    <row r="168">
      <c r="B168" s="4"/>
      <c r="C168" s="18"/>
      <c r="D168" s="4"/>
      <c r="E168" s="19"/>
      <c r="H168" s="4"/>
      <c r="J168" s="4"/>
      <c r="K168" s="4"/>
      <c r="L168" s="4"/>
      <c r="N168" s="11"/>
      <c r="O168" s="13"/>
      <c r="P168" s="13"/>
      <c r="Q168" s="1"/>
      <c r="R168" s="1"/>
      <c r="S168" s="1"/>
      <c r="T168" s="5"/>
      <c r="U168" s="1"/>
      <c r="V168" s="10"/>
      <c r="W168" s="10"/>
      <c r="X168" s="12"/>
      <c r="Y168" s="14"/>
      <c r="Z168" s="11"/>
      <c r="AI168" s="2"/>
      <c r="AK168" s="8"/>
      <c r="AM168" s="8"/>
      <c r="AN168" s="8"/>
    </row>
    <row r="169">
      <c r="B169" s="4"/>
      <c r="C169" s="18"/>
      <c r="D169" s="4"/>
      <c r="E169" s="19"/>
      <c r="H169" s="4"/>
      <c r="J169" s="4"/>
      <c r="K169" s="4"/>
      <c r="L169" s="4"/>
      <c r="N169" s="11"/>
      <c r="O169" s="13"/>
      <c r="P169" s="13"/>
      <c r="Q169" s="1"/>
      <c r="R169" s="1"/>
      <c r="S169" s="1"/>
      <c r="T169" s="5"/>
      <c r="U169" s="1"/>
      <c r="V169" s="10"/>
      <c r="W169" s="10"/>
      <c r="X169" s="12"/>
      <c r="Y169" s="14"/>
      <c r="Z169" s="11"/>
      <c r="AI169" s="2"/>
      <c r="AK169" s="8"/>
      <c r="AM169" s="8"/>
      <c r="AN169" s="8"/>
    </row>
    <row r="170">
      <c r="B170" s="4"/>
      <c r="C170" s="18"/>
      <c r="D170" s="4"/>
      <c r="E170" s="19"/>
      <c r="H170" s="4"/>
      <c r="J170" s="4"/>
      <c r="K170" s="4"/>
      <c r="L170" s="4"/>
      <c r="N170" s="11"/>
      <c r="O170" s="13"/>
      <c r="P170" s="13"/>
      <c r="Q170" s="1"/>
      <c r="R170" s="1"/>
      <c r="S170" s="1"/>
      <c r="T170" s="5"/>
      <c r="U170" s="1"/>
      <c r="V170" s="10"/>
      <c r="W170" s="10"/>
      <c r="X170" s="12"/>
      <c r="Y170" s="14"/>
      <c r="Z170" s="11"/>
      <c r="AI170" s="2"/>
      <c r="AK170" s="8"/>
      <c r="AM170" s="8"/>
      <c r="AN170" s="8"/>
    </row>
    <row r="171">
      <c r="B171" s="4"/>
      <c r="C171" s="18"/>
      <c r="D171" s="4"/>
      <c r="E171" s="19"/>
      <c r="H171" s="4"/>
      <c r="J171" s="4"/>
      <c r="K171" s="4"/>
      <c r="L171" s="4"/>
      <c r="N171" s="11"/>
      <c r="O171" s="13"/>
      <c r="P171" s="13"/>
      <c r="Q171" s="1"/>
      <c r="R171" s="1"/>
      <c r="S171" s="1"/>
      <c r="T171" s="5"/>
      <c r="U171" s="1"/>
      <c r="V171" s="10"/>
      <c r="W171" s="10"/>
      <c r="X171" s="12"/>
      <c r="Y171" s="14"/>
      <c r="Z171" s="11"/>
      <c r="AI171" s="2"/>
      <c r="AK171" s="8"/>
      <c r="AM171" s="8"/>
      <c r="AN171" s="8"/>
    </row>
    <row r="172">
      <c r="B172" s="4"/>
      <c r="C172" s="18"/>
      <c r="D172" s="4"/>
      <c r="E172" s="19"/>
      <c r="H172" s="4"/>
      <c r="J172" s="4"/>
      <c r="K172" s="4"/>
      <c r="L172" s="4"/>
      <c r="N172" s="11"/>
      <c r="O172" s="13"/>
      <c r="P172" s="13"/>
      <c r="Q172" s="1"/>
      <c r="R172" s="1"/>
      <c r="S172" s="1"/>
      <c r="T172" s="5"/>
      <c r="U172" s="1"/>
      <c r="V172" s="10"/>
      <c r="W172" s="10"/>
      <c r="X172" s="12"/>
      <c r="Y172" s="14"/>
      <c r="Z172" s="11"/>
      <c r="AI172" s="2"/>
      <c r="AK172" s="8"/>
      <c r="AM172" s="8"/>
      <c r="AN172" s="8"/>
    </row>
    <row r="173">
      <c r="B173" s="4"/>
      <c r="C173" s="18"/>
      <c r="D173" s="4"/>
      <c r="E173" s="19"/>
      <c r="H173" s="4"/>
      <c r="J173" s="4"/>
      <c r="K173" s="4"/>
      <c r="L173" s="4"/>
      <c r="N173" s="11"/>
      <c r="O173" s="13"/>
      <c r="P173" s="13"/>
      <c r="Q173" s="1"/>
      <c r="R173" s="1"/>
      <c r="S173" s="1"/>
      <c r="T173" s="5"/>
      <c r="U173" s="1"/>
      <c r="V173" s="10"/>
      <c r="W173" s="10"/>
      <c r="X173" s="12"/>
      <c r="Y173" s="14"/>
      <c r="Z173" s="11"/>
      <c r="AI173" s="2"/>
      <c r="AK173" s="8"/>
      <c r="AM173" s="8"/>
      <c r="AN173" s="8"/>
    </row>
    <row r="174">
      <c r="B174" s="4"/>
      <c r="C174" s="18"/>
      <c r="D174" s="4"/>
      <c r="E174" s="19"/>
      <c r="H174" s="4"/>
      <c r="J174" s="4"/>
      <c r="K174" s="4"/>
      <c r="L174" s="4"/>
      <c r="N174" s="11"/>
      <c r="O174" s="13"/>
      <c r="P174" s="13"/>
      <c r="Q174" s="1"/>
      <c r="R174" s="1"/>
      <c r="S174" s="1"/>
      <c r="T174" s="5"/>
      <c r="U174" s="1"/>
      <c r="V174" s="10"/>
      <c r="W174" s="10"/>
      <c r="X174" s="12"/>
      <c r="Y174" s="14"/>
      <c r="Z174" s="11"/>
      <c r="AI174" s="2"/>
      <c r="AK174" s="8"/>
      <c r="AM174" s="8"/>
      <c r="AN174" s="8"/>
    </row>
    <row r="175">
      <c r="B175" s="4"/>
      <c r="C175" s="18"/>
      <c r="D175" s="4"/>
      <c r="E175" s="19"/>
      <c r="H175" s="4"/>
      <c r="J175" s="4"/>
      <c r="K175" s="4"/>
      <c r="L175" s="4"/>
      <c r="N175" s="11"/>
      <c r="O175" s="13"/>
      <c r="P175" s="13"/>
      <c r="Q175" s="1"/>
      <c r="R175" s="1"/>
      <c r="S175" s="1"/>
      <c r="T175" s="5"/>
      <c r="U175" s="1"/>
      <c r="V175" s="10"/>
      <c r="W175" s="10"/>
      <c r="X175" s="12"/>
      <c r="Y175" s="14"/>
      <c r="Z175" s="11"/>
      <c r="AI175" s="2"/>
      <c r="AK175" s="8"/>
      <c r="AM175" s="8"/>
      <c r="AN175" s="8"/>
    </row>
    <row r="176">
      <c r="B176" s="4"/>
      <c r="C176" s="18"/>
      <c r="D176" s="4"/>
      <c r="E176" s="19"/>
      <c r="H176" s="4"/>
      <c r="J176" s="4"/>
      <c r="K176" s="4"/>
      <c r="L176" s="4"/>
      <c r="N176" s="11"/>
      <c r="O176" s="13"/>
      <c r="P176" s="13"/>
      <c r="Q176" s="1"/>
      <c r="R176" s="1"/>
      <c r="S176" s="1"/>
      <c r="T176" s="5"/>
      <c r="U176" s="1"/>
      <c r="V176" s="10"/>
      <c r="W176" s="10"/>
      <c r="X176" s="12"/>
      <c r="Y176" s="14"/>
      <c r="Z176" s="11"/>
      <c r="AI176" s="2"/>
      <c r="AK176" s="8"/>
      <c r="AM176" s="8"/>
      <c r="AN176" s="8"/>
    </row>
    <row r="177">
      <c r="B177" s="4"/>
      <c r="C177" s="18"/>
      <c r="D177" s="4"/>
      <c r="E177" s="19"/>
      <c r="H177" s="4"/>
      <c r="J177" s="4"/>
      <c r="K177" s="4"/>
      <c r="L177" s="4"/>
      <c r="N177" s="11"/>
      <c r="O177" s="13"/>
      <c r="P177" s="13"/>
      <c r="Q177" s="1"/>
      <c r="R177" s="1"/>
      <c r="S177" s="1"/>
      <c r="T177" s="5"/>
      <c r="U177" s="1"/>
      <c r="V177" s="10"/>
      <c r="W177" s="10"/>
      <c r="X177" s="12"/>
      <c r="Y177" s="14"/>
      <c r="Z177" s="11"/>
      <c r="AI177" s="2"/>
      <c r="AK177" s="8"/>
      <c r="AM177" s="8"/>
      <c r="AN177" s="8"/>
    </row>
    <row r="178">
      <c r="B178" s="4"/>
      <c r="C178" s="18"/>
      <c r="D178" s="4"/>
      <c r="E178" s="19"/>
      <c r="H178" s="4"/>
      <c r="J178" s="4"/>
      <c r="K178" s="4"/>
      <c r="L178" s="4"/>
      <c r="N178" s="11"/>
      <c r="O178" s="13"/>
      <c r="P178" s="13"/>
      <c r="Q178" s="1"/>
      <c r="R178" s="1"/>
      <c r="S178" s="1"/>
      <c r="T178" s="5"/>
      <c r="U178" s="1"/>
      <c r="V178" s="10"/>
      <c r="W178" s="10"/>
      <c r="X178" s="12"/>
      <c r="Y178" s="14"/>
      <c r="Z178" s="11"/>
      <c r="AI178" s="2"/>
      <c r="AK178" s="8"/>
      <c r="AM178" s="8"/>
      <c r="AN178" s="8"/>
    </row>
    <row r="179">
      <c r="B179" s="4"/>
      <c r="C179" s="18"/>
      <c r="D179" s="4"/>
      <c r="E179" s="19"/>
      <c r="H179" s="4"/>
      <c r="J179" s="4"/>
      <c r="K179" s="4"/>
      <c r="L179" s="4"/>
      <c r="N179" s="11"/>
      <c r="O179" s="13"/>
      <c r="P179" s="13"/>
      <c r="Q179" s="1"/>
      <c r="R179" s="1"/>
      <c r="S179" s="1"/>
      <c r="T179" s="5"/>
      <c r="U179" s="1"/>
      <c r="V179" s="10"/>
      <c r="W179" s="10"/>
      <c r="X179" s="12"/>
      <c r="Y179" s="14"/>
      <c r="Z179" s="11"/>
      <c r="AI179" s="2"/>
      <c r="AK179" s="8"/>
      <c r="AM179" s="8"/>
      <c r="AN179" s="8"/>
    </row>
    <row r="180">
      <c r="B180" s="4"/>
      <c r="C180" s="18"/>
      <c r="D180" s="4"/>
      <c r="E180" s="19"/>
      <c r="H180" s="4"/>
      <c r="J180" s="4"/>
      <c r="K180" s="4"/>
      <c r="L180" s="4"/>
      <c r="N180" s="11"/>
      <c r="O180" s="13"/>
      <c r="P180" s="13"/>
      <c r="Q180" s="1"/>
      <c r="R180" s="1"/>
      <c r="S180" s="1"/>
      <c r="T180" s="5"/>
      <c r="U180" s="1"/>
      <c r="V180" s="10"/>
      <c r="W180" s="10"/>
      <c r="X180" s="12"/>
      <c r="Y180" s="14"/>
      <c r="Z180" s="11"/>
      <c r="AI180" s="2"/>
      <c r="AK180" s="8"/>
      <c r="AM180" s="8"/>
      <c r="AN180" s="8"/>
    </row>
    <row r="181">
      <c r="B181" s="4"/>
      <c r="C181" s="18"/>
      <c r="D181" s="4"/>
      <c r="E181" s="19"/>
      <c r="H181" s="4"/>
      <c r="J181" s="4"/>
      <c r="K181" s="4"/>
      <c r="L181" s="4"/>
      <c r="N181" s="11"/>
      <c r="O181" s="13"/>
      <c r="P181" s="13"/>
      <c r="Q181" s="1"/>
      <c r="R181" s="1"/>
      <c r="S181" s="1"/>
      <c r="T181" s="5"/>
      <c r="U181" s="1"/>
      <c r="V181" s="10"/>
      <c r="W181" s="10"/>
      <c r="X181" s="12"/>
      <c r="Y181" s="14"/>
      <c r="Z181" s="11"/>
      <c r="AI181" s="2"/>
      <c r="AK181" s="8"/>
      <c r="AM181" s="8"/>
      <c r="AN181" s="8"/>
    </row>
    <row r="182">
      <c r="B182" s="4"/>
      <c r="C182" s="18"/>
      <c r="D182" s="4"/>
      <c r="E182" s="19"/>
      <c r="H182" s="4"/>
      <c r="J182" s="4"/>
      <c r="K182" s="4"/>
      <c r="L182" s="4"/>
      <c r="N182" s="11"/>
      <c r="O182" s="13"/>
      <c r="P182" s="13"/>
      <c r="Q182" s="1"/>
      <c r="R182" s="1"/>
      <c r="S182" s="1"/>
      <c r="T182" s="5"/>
      <c r="U182" s="1"/>
      <c r="V182" s="10"/>
      <c r="W182" s="10"/>
      <c r="X182" s="12"/>
      <c r="Y182" s="14"/>
      <c r="Z182" s="11"/>
      <c r="AI182" s="2"/>
      <c r="AK182" s="8"/>
      <c r="AM182" s="8"/>
      <c r="AN182" s="8"/>
    </row>
    <row r="183">
      <c r="B183" s="4"/>
      <c r="C183" s="18"/>
      <c r="D183" s="4"/>
      <c r="E183" s="19"/>
      <c r="H183" s="4"/>
      <c r="J183" s="4"/>
      <c r="K183" s="4"/>
      <c r="L183" s="4"/>
      <c r="N183" s="11"/>
      <c r="O183" s="13"/>
      <c r="P183" s="13"/>
      <c r="Q183" s="1"/>
      <c r="R183" s="1"/>
      <c r="S183" s="1"/>
      <c r="T183" s="5"/>
      <c r="U183" s="1"/>
      <c r="V183" s="10"/>
      <c r="W183" s="10"/>
      <c r="X183" s="12"/>
      <c r="Y183" s="14"/>
      <c r="Z183" s="11"/>
      <c r="AI183" s="2"/>
      <c r="AK183" s="8"/>
      <c r="AM183" s="8"/>
      <c r="AN183" s="8"/>
    </row>
    <row r="184">
      <c r="B184" s="4"/>
      <c r="C184" s="18"/>
      <c r="D184" s="4"/>
      <c r="E184" s="19"/>
      <c r="H184" s="4"/>
      <c r="J184" s="4"/>
      <c r="K184" s="4"/>
      <c r="L184" s="4"/>
      <c r="N184" s="11"/>
      <c r="O184" s="13"/>
      <c r="P184" s="13"/>
      <c r="Q184" s="1"/>
      <c r="R184" s="1"/>
      <c r="S184" s="1"/>
      <c r="T184" s="5"/>
      <c r="U184" s="1"/>
      <c r="V184" s="10"/>
      <c r="W184" s="10"/>
      <c r="X184" s="12"/>
      <c r="Y184" s="14"/>
      <c r="Z184" s="11"/>
      <c r="AI184" s="2"/>
      <c r="AK184" s="8"/>
      <c r="AM184" s="8"/>
      <c r="AN184" s="8"/>
    </row>
    <row r="185">
      <c r="B185" s="4"/>
      <c r="C185" s="18"/>
      <c r="D185" s="4"/>
      <c r="E185" s="19"/>
      <c r="H185" s="4"/>
      <c r="J185" s="4"/>
      <c r="K185" s="4"/>
      <c r="L185" s="4"/>
      <c r="N185" s="11"/>
      <c r="O185" s="13"/>
      <c r="P185" s="13"/>
      <c r="Q185" s="1"/>
      <c r="R185" s="1"/>
      <c r="S185" s="1"/>
      <c r="T185" s="5"/>
      <c r="U185" s="1"/>
      <c r="V185" s="10"/>
      <c r="W185" s="10"/>
      <c r="X185" s="12"/>
      <c r="Y185" s="14"/>
      <c r="Z185" s="11"/>
      <c r="AI185" s="2"/>
      <c r="AK185" s="8"/>
      <c r="AM185" s="8"/>
      <c r="AN185" s="8"/>
    </row>
    <row r="186">
      <c r="B186" s="4"/>
      <c r="C186" s="18"/>
      <c r="D186" s="4"/>
      <c r="E186" s="19"/>
      <c r="H186" s="4"/>
      <c r="J186" s="4"/>
      <c r="K186" s="4"/>
      <c r="L186" s="4"/>
      <c r="N186" s="11"/>
      <c r="O186" s="13"/>
      <c r="P186" s="13"/>
      <c r="Q186" s="1"/>
      <c r="R186" s="1"/>
      <c r="S186" s="1"/>
      <c r="T186" s="5"/>
      <c r="U186" s="1"/>
      <c r="V186" s="10"/>
      <c r="W186" s="10"/>
      <c r="X186" s="12"/>
      <c r="Y186" s="14"/>
      <c r="Z186" s="11"/>
      <c r="AI186" s="2"/>
      <c r="AK186" s="8"/>
      <c r="AM186" s="8"/>
      <c r="AN186" s="8"/>
    </row>
    <row r="187">
      <c r="B187" s="4"/>
      <c r="C187" s="18"/>
      <c r="D187" s="4"/>
      <c r="E187" s="19"/>
      <c r="H187" s="4"/>
      <c r="J187" s="4"/>
      <c r="K187" s="4"/>
      <c r="L187" s="4"/>
      <c r="N187" s="11"/>
      <c r="O187" s="13"/>
      <c r="P187" s="13"/>
      <c r="Q187" s="1"/>
      <c r="R187" s="1"/>
      <c r="S187" s="1"/>
      <c r="T187" s="5"/>
      <c r="U187" s="1"/>
      <c r="V187" s="10"/>
      <c r="W187" s="10"/>
      <c r="X187" s="12"/>
      <c r="Y187" s="14"/>
      <c r="Z187" s="11"/>
      <c r="AI187" s="2"/>
      <c r="AK187" s="8"/>
      <c r="AM187" s="8"/>
      <c r="AN187" s="8"/>
    </row>
    <row r="188">
      <c r="B188" s="4"/>
      <c r="C188" s="18"/>
      <c r="D188" s="4"/>
      <c r="E188" s="19"/>
      <c r="H188" s="4"/>
      <c r="J188" s="4"/>
      <c r="K188" s="4"/>
      <c r="L188" s="4"/>
      <c r="N188" s="11"/>
      <c r="O188" s="13"/>
      <c r="P188" s="13"/>
      <c r="Q188" s="1"/>
      <c r="R188" s="1"/>
      <c r="S188" s="1"/>
      <c r="T188" s="5"/>
      <c r="U188" s="1"/>
      <c r="V188" s="10"/>
      <c r="W188" s="10"/>
      <c r="X188" s="12"/>
      <c r="Y188" s="14"/>
      <c r="Z188" s="11"/>
      <c r="AI188" s="2"/>
      <c r="AK188" s="8"/>
      <c r="AM188" s="8"/>
      <c r="AN188" s="8"/>
    </row>
    <row r="189">
      <c r="B189" s="4"/>
      <c r="C189" s="18"/>
      <c r="D189" s="4"/>
      <c r="E189" s="19"/>
      <c r="H189" s="4"/>
      <c r="J189" s="4"/>
      <c r="K189" s="4"/>
      <c r="L189" s="4"/>
      <c r="N189" s="11"/>
      <c r="O189" s="13"/>
      <c r="P189" s="13"/>
      <c r="Q189" s="1"/>
      <c r="R189" s="1"/>
      <c r="S189" s="1"/>
      <c r="T189" s="5"/>
      <c r="U189" s="1"/>
      <c r="V189" s="10"/>
      <c r="W189" s="10"/>
      <c r="X189" s="12"/>
      <c r="Y189" s="14"/>
      <c r="Z189" s="11"/>
      <c r="AI189" s="2"/>
      <c r="AK189" s="8"/>
      <c r="AM189" s="8"/>
      <c r="AN189" s="8"/>
    </row>
    <row r="190">
      <c r="B190" s="4"/>
      <c r="C190" s="18"/>
      <c r="D190" s="4"/>
      <c r="E190" s="19"/>
      <c r="H190" s="4"/>
      <c r="J190" s="4"/>
      <c r="K190" s="4"/>
      <c r="L190" s="4"/>
      <c r="N190" s="11"/>
      <c r="O190" s="13"/>
      <c r="P190" s="13"/>
      <c r="Q190" s="1"/>
      <c r="R190" s="1"/>
      <c r="S190" s="1"/>
      <c r="T190" s="5"/>
      <c r="U190" s="1"/>
      <c r="V190" s="10"/>
      <c r="W190" s="10"/>
      <c r="X190" s="12"/>
      <c r="Y190" s="14"/>
      <c r="Z190" s="11"/>
      <c r="AI190" s="2"/>
      <c r="AK190" s="8"/>
      <c r="AM190" s="8"/>
      <c r="AN190" s="8"/>
    </row>
    <row r="191">
      <c r="B191" s="4"/>
      <c r="C191" s="18"/>
      <c r="D191" s="4"/>
      <c r="E191" s="19"/>
      <c r="H191" s="4"/>
      <c r="J191" s="4"/>
      <c r="K191" s="4"/>
      <c r="L191" s="4"/>
      <c r="N191" s="11"/>
      <c r="O191" s="13"/>
      <c r="P191" s="13"/>
      <c r="Q191" s="1"/>
      <c r="R191" s="1"/>
      <c r="S191" s="1"/>
      <c r="T191" s="5"/>
      <c r="U191" s="1"/>
      <c r="V191" s="10"/>
      <c r="W191" s="10"/>
      <c r="X191" s="12"/>
      <c r="Y191" s="14"/>
      <c r="Z191" s="11"/>
      <c r="AI191" s="2"/>
      <c r="AK191" s="8"/>
      <c r="AM191" s="8"/>
      <c r="AN191" s="8"/>
    </row>
    <row r="192">
      <c r="B192" s="4"/>
      <c r="C192" s="18"/>
      <c r="D192" s="4"/>
      <c r="E192" s="19"/>
      <c r="H192" s="4"/>
      <c r="J192" s="4"/>
      <c r="K192" s="4"/>
      <c r="L192" s="4"/>
      <c r="N192" s="11"/>
      <c r="O192" s="13"/>
      <c r="P192" s="13"/>
      <c r="Q192" s="1"/>
      <c r="R192" s="1"/>
      <c r="S192" s="1"/>
      <c r="T192" s="5"/>
      <c r="U192" s="1"/>
      <c r="V192" s="10"/>
      <c r="W192" s="10"/>
      <c r="X192" s="12"/>
      <c r="Y192" s="14"/>
      <c r="Z192" s="11"/>
      <c r="AI192" s="2"/>
      <c r="AK192" s="8"/>
      <c r="AM192" s="8"/>
      <c r="AN192" s="8"/>
    </row>
    <row r="193">
      <c r="B193" s="4"/>
      <c r="C193" s="18"/>
      <c r="D193" s="4"/>
      <c r="E193" s="19"/>
      <c r="H193" s="4"/>
      <c r="J193" s="4"/>
      <c r="K193" s="4"/>
      <c r="L193" s="4"/>
      <c r="N193" s="11"/>
      <c r="O193" s="13"/>
      <c r="P193" s="13"/>
      <c r="Q193" s="1"/>
      <c r="R193" s="1"/>
      <c r="S193" s="1"/>
      <c r="T193" s="5"/>
      <c r="U193" s="1"/>
      <c r="V193" s="10"/>
      <c r="W193" s="10"/>
      <c r="X193" s="12"/>
      <c r="Y193" s="14"/>
      <c r="Z193" s="11"/>
      <c r="AI193" s="2"/>
      <c r="AK193" s="8"/>
      <c r="AM193" s="8"/>
      <c r="AN193" s="8"/>
    </row>
    <row r="194">
      <c r="B194" s="4"/>
      <c r="C194" s="18"/>
      <c r="D194" s="4"/>
      <c r="E194" s="19"/>
      <c r="H194" s="4"/>
      <c r="J194" s="4"/>
      <c r="K194" s="4"/>
      <c r="L194" s="4"/>
      <c r="N194" s="11"/>
      <c r="O194" s="13"/>
      <c r="P194" s="13"/>
      <c r="Q194" s="1"/>
      <c r="R194" s="1"/>
      <c r="S194" s="1"/>
      <c r="T194" s="5"/>
      <c r="U194" s="1"/>
      <c r="V194" s="10"/>
      <c r="W194" s="10"/>
      <c r="X194" s="12"/>
      <c r="Y194" s="14"/>
      <c r="Z194" s="11"/>
      <c r="AI194" s="2"/>
      <c r="AK194" s="8"/>
      <c r="AM194" s="8"/>
      <c r="AN194" s="8"/>
    </row>
    <row r="195">
      <c r="B195" s="4"/>
      <c r="C195" s="18"/>
      <c r="D195" s="4"/>
      <c r="E195" s="19"/>
      <c r="H195" s="4"/>
      <c r="J195" s="4"/>
      <c r="K195" s="4"/>
      <c r="L195" s="4"/>
      <c r="N195" s="11"/>
      <c r="O195" s="13"/>
      <c r="P195" s="13"/>
      <c r="Q195" s="1"/>
      <c r="R195" s="1"/>
      <c r="S195" s="1"/>
      <c r="T195" s="5"/>
      <c r="U195" s="1"/>
      <c r="V195" s="10"/>
      <c r="W195" s="10"/>
      <c r="X195" s="12"/>
      <c r="Y195" s="14"/>
      <c r="Z195" s="11"/>
      <c r="AI195" s="2"/>
      <c r="AK195" s="8"/>
      <c r="AM195" s="8"/>
      <c r="AN195" s="8"/>
    </row>
    <row r="196">
      <c r="B196" s="4"/>
      <c r="C196" s="18"/>
      <c r="D196" s="4"/>
      <c r="E196" s="19"/>
      <c r="H196" s="4"/>
      <c r="J196" s="4"/>
      <c r="K196" s="4"/>
      <c r="L196" s="4"/>
      <c r="N196" s="11"/>
      <c r="O196" s="13"/>
      <c r="P196" s="13"/>
      <c r="Q196" s="1"/>
      <c r="R196" s="1"/>
      <c r="S196" s="1"/>
      <c r="T196" s="5"/>
      <c r="U196" s="1"/>
      <c r="V196" s="10"/>
      <c r="W196" s="10"/>
      <c r="X196" s="12"/>
      <c r="Y196" s="14"/>
      <c r="Z196" s="11"/>
      <c r="AI196" s="2"/>
      <c r="AK196" s="8"/>
      <c r="AM196" s="8"/>
      <c r="AN196" s="8"/>
    </row>
    <row r="197">
      <c r="B197" s="4"/>
      <c r="C197" s="18"/>
      <c r="D197" s="4"/>
      <c r="E197" s="19"/>
      <c r="H197" s="4"/>
      <c r="J197" s="4"/>
      <c r="K197" s="4"/>
      <c r="L197" s="4"/>
      <c r="N197" s="11"/>
      <c r="O197" s="13"/>
      <c r="P197" s="13"/>
      <c r="Q197" s="1"/>
      <c r="R197" s="1"/>
      <c r="S197" s="1"/>
      <c r="T197" s="5"/>
      <c r="U197" s="1"/>
      <c r="V197" s="10"/>
      <c r="W197" s="10"/>
      <c r="X197" s="12"/>
      <c r="Y197" s="14"/>
      <c r="Z197" s="11"/>
      <c r="AI197" s="2"/>
      <c r="AK197" s="8"/>
      <c r="AM197" s="8"/>
      <c r="AN197" s="8"/>
    </row>
    <row r="198">
      <c r="B198" s="4"/>
      <c r="C198" s="18"/>
      <c r="D198" s="4"/>
      <c r="E198" s="19"/>
      <c r="H198" s="4"/>
      <c r="J198" s="4"/>
      <c r="K198" s="4"/>
      <c r="L198" s="4"/>
      <c r="N198" s="11"/>
      <c r="O198" s="13"/>
      <c r="P198" s="13"/>
      <c r="Q198" s="1"/>
      <c r="R198" s="1"/>
      <c r="S198" s="1"/>
      <c r="T198" s="5"/>
      <c r="U198" s="1"/>
      <c r="V198" s="10"/>
      <c r="W198" s="10"/>
      <c r="X198" s="12"/>
      <c r="Y198" s="14"/>
      <c r="Z198" s="11"/>
      <c r="AI198" s="2"/>
      <c r="AK198" s="8"/>
      <c r="AM198" s="8"/>
      <c r="AN198" s="8"/>
    </row>
    <row r="199">
      <c r="B199" s="4"/>
      <c r="C199" s="18"/>
      <c r="D199" s="4"/>
      <c r="E199" s="19"/>
      <c r="H199" s="4"/>
      <c r="J199" s="4"/>
      <c r="K199" s="4"/>
      <c r="L199" s="4"/>
      <c r="N199" s="11"/>
      <c r="O199" s="13"/>
      <c r="P199" s="13"/>
      <c r="Q199" s="1"/>
      <c r="R199" s="1"/>
      <c r="S199" s="1"/>
      <c r="T199" s="5"/>
      <c r="U199" s="1"/>
      <c r="V199" s="10"/>
      <c r="W199" s="10"/>
      <c r="X199" s="12"/>
      <c r="Y199" s="14"/>
      <c r="Z199" s="11"/>
      <c r="AI199" s="2"/>
      <c r="AK199" s="8"/>
      <c r="AM199" s="8"/>
      <c r="AN199" s="8"/>
    </row>
  </sheetData>
  <conditionalFormatting sqref="A1:A1048576">
    <cfRule dxfId="0" priority="2" stopIfTrue="true" type="duplicateValues"/>
  </conditionalFormatting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8"/>
    <col collapsed="false" customWidth="true" hidden="false" max="3" min="3" style="0" width="14"/>
    <col collapsed="false" customWidth="true" hidden="false" max="4" min="4" style="0" width="11"/>
    <col collapsed="false" customWidth="true" hidden="false" max="5" min="5" style="0" width="10"/>
    <col collapsed="false" customWidth="true" hidden="false" max="6" min="6" style="0" width="8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2"/>
    <col collapsed="false" customWidth="true" hidden="false" max="11" min="11" style="0" width="30"/>
    <col collapsed="false" customWidth="true" hidden="false" max="12" min="12" style="0" width="14"/>
  </cols>
  <sheetData>
    <row r="1">
      <c r="A1" s="40" t="str">
        <v>名称</v>
      </c>
      <c r="B1" s="40" t="str">
        <v>集成版本</v>
      </c>
      <c r="C1" s="40" t="str">
        <v>供应商</v>
      </c>
      <c r="D1" s="40" t="str">
        <v>类型</v>
      </c>
      <c r="E1" s="40" t="str">
        <v>使用情况</v>
      </c>
      <c r="F1" s="40" t="str">
        <v>引入时间</v>
      </c>
      <c r="G1" s="40" t="str">
        <v>付费模式</v>
      </c>
      <c r="H1" s="46" t="str">
        <v>原价 (单价)</v>
      </c>
      <c r="I1" s="46" t="str">
        <v>实付</v>
      </c>
      <c r="J1" s="40" t="str">
        <v>结算</v>
      </c>
      <c r="K1" s="40" t="str">
        <v>备注</v>
      </c>
      <c r="L1" s="40" t="str">
        <v>链接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customHeight="true" ht="22" r="2">
      <c r="A2" s="40"/>
      <c r="B2" s="40"/>
      <c r="C2" s="40"/>
      <c r="D2" s="40"/>
      <c r="E2" s="40"/>
      <c r="F2" s="40"/>
      <c r="G2" s="40"/>
      <c r="H2" s="49"/>
      <c r="I2" s="49">
        <f>SUM(I3:I100)</f>
      </c>
      <c r="J2" s="40"/>
      <c r="K2" s="40"/>
      <c r="L2" s="40"/>
    </row>
    <row r="3">
      <c r="A3" s="18" t="str">
        <v>Unreal Engine</v>
      </c>
      <c r="B3" s="4" t="str">
        <v>5.3.2</v>
      </c>
      <c r="C3" s="18" t="str">
        <v>Epic</v>
      </c>
      <c r="D3" s="18" t="str">
        <v>引擎</v>
      </c>
      <c r="E3" s="18" t="str">
        <v>使用中</v>
      </c>
      <c r="F3" s="18"/>
      <c r="G3" s="18" t="str">
        <v>分成</v>
      </c>
      <c r="H3" s="14">
        <v>0</v>
      </c>
      <c r="I3" s="14">
        <v>0</v>
      </c>
      <c r="J3" s="18" t="str">
        <v>Not Yet</v>
      </c>
      <c r="K3" s="15" t="str">
        <v>100w美元利润以上才分成</v>
      </c>
    </row>
    <row r="4">
      <c r="A4" s="18" t="str">
        <v>Wwise</v>
      </c>
      <c r="B4" s="4"/>
      <c r="C4" s="18" t="str">
        <v>Audiokinetic</v>
      </c>
      <c r="D4" s="18" t="str">
        <v>软件</v>
      </c>
      <c r="E4" s="18" t="str">
        <v>使用中</v>
      </c>
      <c r="F4" s="18"/>
      <c r="G4" s="18" t="str">
        <v>许可证</v>
      </c>
      <c r="H4" s="14">
        <v>0</v>
      </c>
      <c r="I4" s="14">
        <v>0</v>
      </c>
      <c r="J4" s="18" t="str">
        <v>No Need</v>
      </c>
      <c r="K4" s="15" t="str">
        <v>独立开发者有免费License，申请通过</v>
      </c>
      <c r="L4" s="15" t="s">
        <v>3</v>
      </c>
    </row>
    <row customHeight="true" ht="19" r="5">
      <c r="A5" s="18" t="str">
        <v>Perforce</v>
      </c>
      <c r="B5" s="4"/>
      <c r="C5" s="18"/>
      <c r="D5" s="18" t="str">
        <v>软件</v>
      </c>
      <c r="E5" s="18" t="str">
        <v>使用中</v>
      </c>
      <c r="F5" s="18"/>
      <c r="G5" s="18" t="str">
        <v>许可证</v>
      </c>
      <c r="H5" s="14">
        <v>0</v>
      </c>
      <c r="I5" s="14">
        <v>0</v>
      </c>
      <c r="J5" s="18" t="str">
        <v>Not Yet</v>
      </c>
      <c r="K5" s="15" t="str">
        <v>5个席位以下免费</v>
      </c>
    </row>
    <row customHeight="true" ht="19" r="6">
      <c r="A6" s="15" t="str">
        <v>代码存储服务器</v>
      </c>
      <c r="B6" s="4"/>
      <c r="C6" s="18" t="str">
        <v>阿里云</v>
      </c>
      <c r="D6" s="18" t="str">
        <v>云服务</v>
      </c>
      <c r="E6" s="18" t="str">
        <v>使用中</v>
      </c>
      <c r="F6" s="18"/>
      <c r="G6" s="18" t="str">
        <v>订阅</v>
      </c>
      <c r="H6" s="14"/>
      <c r="I6" s="14"/>
      <c r="J6" s="18" t="str">
        <v>Done</v>
      </c>
      <c r="K6" s="15" t="str">
        <v>持续付费</v>
      </c>
    </row>
    <row customHeight="true" ht="19" r="7">
      <c r="A7" s="15" t="s">
        <v>2</v>
      </c>
      <c r="B7" s="4"/>
      <c r="C7" s="18" t="str">
        <v>腾讯云</v>
      </c>
      <c r="D7" s="18" t="str">
        <v>云服务</v>
      </c>
      <c r="E7" s="18" t="str">
        <v>使用中</v>
      </c>
      <c r="F7" s="18"/>
      <c r="G7" s="18" t="str">
        <v>订阅</v>
      </c>
      <c r="H7" s="14"/>
      <c r="I7" s="14"/>
      <c r="J7" s="18" t="str">
        <v>Done</v>
      </c>
      <c r="K7" s="15" t="str">
        <v>持续付费</v>
      </c>
    </row>
    <row customHeight="true" ht="19" r="8">
      <c r="A8" s="18" t="str">
        <v>DlgSystem</v>
      </c>
      <c r="B8" s="4" t="str">
        <v>v16</v>
      </c>
      <c r="C8" s="18" t="str">
        <v>NotYetGames</v>
      </c>
      <c r="D8" s="18" t="str">
        <v>插件</v>
      </c>
      <c r="E8" s="18" t="str">
        <v>使用中</v>
      </c>
      <c r="F8" s="18"/>
      <c r="G8" s="18" t="str">
        <v>开源</v>
      </c>
      <c r="H8" s="14">
        <v>0</v>
      </c>
      <c r="I8" s="14">
        <v>0</v>
      </c>
      <c r="J8" s="18" t="str">
        <v>No Need</v>
      </c>
      <c r="L8" s="15" t="s">
        <v>1</v>
      </c>
    </row>
    <row r="9">
      <c r="A9" s="18" t="str">
        <v>Polygon Cyber City</v>
      </c>
      <c r="B9" s="4"/>
      <c r="C9" s="18" t="str">
        <v>Synty Studio</v>
      </c>
      <c r="D9" s="18" t="str">
        <v>模型</v>
      </c>
      <c r="E9" s="18" t="str">
        <v>使用中</v>
      </c>
      <c r="F9" s="18"/>
      <c r="G9" s="18" t="str">
        <v>买断</v>
      </c>
      <c r="H9" s="14"/>
      <c r="I9" s="14"/>
      <c r="J9" s="18" t="str">
        <v>Not Yet</v>
      </c>
    </row>
    <row r="10">
      <c r="A10" s="18" t="str">
        <v>Polygon Scifi City</v>
      </c>
      <c r="B10" s="4"/>
      <c r="C10" s="18" t="str">
        <v>Synty Studio</v>
      </c>
      <c r="D10" s="18" t="str">
        <v>模型</v>
      </c>
      <c r="E10" s="18" t="str">
        <v>使用中</v>
      </c>
      <c r="F10" s="18"/>
      <c r="G10" s="18" t="str">
        <v>买断</v>
      </c>
      <c r="H10" s="14">
        <v>362.7</v>
      </c>
      <c r="I10" s="14">
        <v>198.67</v>
      </c>
      <c r="J10" s="18" t="str">
        <v>Done</v>
      </c>
    </row>
    <row r="11">
      <c r="A11" s="18" t="str">
        <v>Polygon Scifi World</v>
      </c>
      <c r="B11" s="4"/>
      <c r="C11" s="18" t="str">
        <v>Synty Studio</v>
      </c>
      <c r="D11" s="18" t="str">
        <v>模型</v>
      </c>
      <c r="E11" s="18" t="str">
        <v>使用中</v>
      </c>
      <c r="F11" s="18"/>
      <c r="G11" s="18" t="str">
        <v>买断</v>
      </c>
      <c r="H11" s="14"/>
      <c r="I11" s="14"/>
      <c r="J11" s="18" t="str">
        <v>Not Yet</v>
      </c>
    </row>
    <row r="12">
      <c r="A12" s="18" t="str">
        <v>Polygon Scifi Space</v>
      </c>
      <c r="B12" s="4"/>
      <c r="C12" s="18" t="str">
        <v>Synty Studio</v>
      </c>
      <c r="D12" s="18" t="str">
        <v>模型</v>
      </c>
      <c r="E12" s="18" t="str">
        <v>使用中</v>
      </c>
      <c r="F12" s="18"/>
      <c r="G12" s="18" t="str">
        <v>买断</v>
      </c>
      <c r="H12" s="14">
        <v>1088.25</v>
      </c>
      <c r="I12" s="14">
        <v>358.34</v>
      </c>
      <c r="J12" s="18" t="str">
        <v>Done</v>
      </c>
    </row>
    <row r="13">
      <c r="A13" s="18" t="str">
        <v>Polygon Mech Pack</v>
      </c>
      <c r="B13" s="4"/>
      <c r="C13" s="18" t="str">
        <v>Synty Studio</v>
      </c>
      <c r="D13" s="18" t="str">
        <v>模型</v>
      </c>
      <c r="E13" s="18" t="str">
        <v>备选中</v>
      </c>
      <c r="F13" s="18"/>
      <c r="G13" s="18" t="str">
        <v>模型</v>
      </c>
      <c r="H13" s="14">
        <v>725.48</v>
      </c>
      <c r="I13" s="14"/>
      <c r="J13" s="18" t="str">
        <v>Not Yet</v>
      </c>
    </row>
    <row r="14">
      <c r="A14" s="18" t="str">
        <v>Polygon Prototype</v>
      </c>
      <c r="B14" s="4"/>
      <c r="C14" s="18" t="str">
        <v>Synty Studio</v>
      </c>
      <c r="D14" s="18" t="str">
        <v>模型</v>
      </c>
      <c r="E14" s="18" t="str">
        <v>使用中</v>
      </c>
      <c r="F14" s="18"/>
      <c r="G14" s="18" t="str">
        <v>模型</v>
      </c>
      <c r="H14" s="14">
        <v>72.48</v>
      </c>
      <c r="I14" s="14">
        <v>36.33</v>
      </c>
      <c r="J14" s="18" t="str">
        <v>Done</v>
      </c>
    </row>
    <row r="15">
      <c r="A15" s="18" t="str">
        <v>Rifle Shooter Pro</v>
      </c>
      <c r="B15" s="4"/>
      <c r="C15" s="18" t="str">
        <v>MoCap</v>
      </c>
      <c r="D15" s="18" t="str">
        <v>动画</v>
      </c>
      <c r="E15" s="18" t="str">
        <v>备选中</v>
      </c>
      <c r="F15" s="18"/>
      <c r="G15" s="18" t="str">
        <v>买断</v>
      </c>
      <c r="H15" s="14">
        <v>1076.65</v>
      </c>
      <c r="I15" s="14"/>
      <c r="J15" s="18" t="str">
        <v>Not Yet</v>
      </c>
    </row>
    <row r="16">
      <c r="A16" s="18" t="str">
        <v>Pisto Pro</v>
      </c>
      <c r="B16" s="4"/>
      <c r="C16" s="18" t="str">
        <v>MoCap</v>
      </c>
      <c r="D16" s="18" t="str">
        <v>动画</v>
      </c>
      <c r="E16" s="18" t="str">
        <v>备选中</v>
      </c>
      <c r="F16" s="18"/>
      <c r="G16" s="18" t="str">
        <v>买断</v>
      </c>
      <c r="H16" s="14">
        <v>1076.65</v>
      </c>
      <c r="I16" s="14"/>
      <c r="J16" s="18" t="str">
        <v>Not Yet</v>
      </c>
    </row>
    <row r="17">
      <c r="A17" s="18" t="str">
        <v>Essential Great Sword Animation Pack</v>
      </c>
      <c r="B17" s="4"/>
      <c r="C17" s="18" t="str">
        <v>space.bar.anim</v>
      </c>
      <c r="D17" s="18" t="str">
        <v>动画</v>
      </c>
      <c r="E17" s="18" t="str">
        <v>备选中</v>
      </c>
      <c r="F17" s="18"/>
      <c r="G17" s="18" t="str">
        <v>买断</v>
      </c>
      <c r="H17" s="14">
        <v>287.05</v>
      </c>
      <c r="I17" s="14"/>
      <c r="J17" s="18" t="str">
        <v>Not Yet</v>
      </c>
    </row>
    <row r="18">
      <c r="A18" s="18" t="str">
        <v>Essential Sword &amp; Shield Animation Pack</v>
      </c>
      <c r="B18" s="4"/>
      <c r="C18" s="18" t="str">
        <v>space.bar.anim</v>
      </c>
      <c r="D18" s="18" t="str">
        <v>动画</v>
      </c>
      <c r="E18" s="18" t="str">
        <v>备选中</v>
      </c>
      <c r="F18" s="18"/>
      <c r="G18" s="18" t="str">
        <v>买断</v>
      </c>
      <c r="H18" s="14">
        <v>251.16</v>
      </c>
      <c r="I18" s="14"/>
      <c r="J18" s="18" t="str">
        <v>Not Yet</v>
      </c>
    </row>
    <row r="19">
      <c r="A19" s="18" t="str">
        <v>2Handed Hammer AnimSet</v>
      </c>
      <c r="B19" s="4"/>
      <c r="C19" s="18" t="str">
        <v>wemakethegame</v>
      </c>
      <c r="D19" s="18" t="str">
        <v>动画</v>
      </c>
      <c r="E19" s="18" t="str">
        <v>备选中</v>
      </c>
      <c r="F19" s="18"/>
      <c r="G19" s="18" t="str">
        <v>买断</v>
      </c>
      <c r="H19" s="14"/>
      <c r="I19" s="14"/>
      <c r="J19" s="18"/>
    </row>
    <row r="20">
      <c r="A20" s="18" t="str">
        <v>GunFu Pistol Attacks</v>
      </c>
      <c r="B20" s="4"/>
      <c r="C20" s="18" t="str">
        <v>RamsterZ</v>
      </c>
      <c r="D20" s="18" t="str">
        <v>动画</v>
      </c>
      <c r="E20" s="18" t="str">
        <v>备选中</v>
      </c>
      <c r="F20" s="18"/>
      <c r="G20" s="18" t="str">
        <v>买断</v>
      </c>
      <c r="H20" s="14"/>
      <c r="I20" s="14"/>
      <c r="J20" s="18"/>
    </row>
    <row r="21">
      <c r="A21" s="18" t="str">
        <v>Heavy Weapons Actions Pack</v>
      </c>
      <c r="B21" s="4"/>
      <c r="C21" s="18" t="str">
        <v>AAA Motion</v>
      </c>
      <c r="D21" s="18" t="str">
        <v>动画</v>
      </c>
      <c r="E21" s="18" t="str">
        <v>备选中</v>
      </c>
      <c r="F21" s="18"/>
      <c r="G21" s="18" t="str">
        <v>买断</v>
      </c>
      <c r="H21" s="14"/>
      <c r="I21" s="14"/>
      <c r="J21" s="18"/>
    </row>
    <row r="22">
      <c r="A22" s="18"/>
      <c r="B22" s="4"/>
      <c r="C22" s="18"/>
      <c r="D22" s="18"/>
      <c r="E22" s="18"/>
      <c r="F22" s="18"/>
      <c r="G22" s="18"/>
      <c r="H22" s="14"/>
      <c r="I22" s="14"/>
      <c r="J22" s="18"/>
    </row>
    <row r="23">
      <c r="A23" s="18"/>
      <c r="B23" s="4"/>
      <c r="C23" s="18"/>
      <c r="D23" s="18"/>
      <c r="E23" s="18"/>
      <c r="F23" s="18"/>
      <c r="G23" s="18"/>
      <c r="H23" s="14"/>
      <c r="I23" s="14"/>
      <c r="J23" s="18"/>
    </row>
    <row r="24">
      <c r="A24" s="18"/>
      <c r="B24" s="4"/>
      <c r="C24" s="18"/>
      <c r="D24" s="18"/>
      <c r="E24" s="18"/>
      <c r="F24" s="18"/>
      <c r="G24" s="18"/>
      <c r="H24" s="14"/>
      <c r="I24" s="14"/>
      <c r="J24" s="18"/>
    </row>
    <row r="25">
      <c r="A25" s="18"/>
      <c r="B25" s="4"/>
      <c r="C25" s="18"/>
      <c r="D25" s="18"/>
      <c r="E25" s="18"/>
      <c r="F25" s="18"/>
      <c r="G25" s="18"/>
      <c r="H25" s="14"/>
      <c r="I25" s="14"/>
      <c r="J25" s="18"/>
    </row>
    <row r="26">
      <c r="A26" s="18"/>
      <c r="B26" s="4"/>
      <c r="C26" s="18"/>
      <c r="D26" s="18"/>
      <c r="E26" s="18"/>
      <c r="F26" s="18"/>
      <c r="G26" s="18"/>
      <c r="H26" s="14"/>
      <c r="I26" s="14"/>
      <c r="J26" s="18"/>
    </row>
    <row r="27">
      <c r="A27" s="18"/>
      <c r="B27" s="4"/>
      <c r="C27" s="18"/>
      <c r="D27" s="18"/>
      <c r="E27" s="18"/>
      <c r="F27" s="18"/>
      <c r="G27" s="18"/>
      <c r="H27" s="14"/>
      <c r="I27" s="14"/>
      <c r="J27" s="18"/>
    </row>
    <row r="28">
      <c r="A28" s="18"/>
      <c r="B28" s="4"/>
      <c r="C28" s="18"/>
      <c r="D28" s="18"/>
      <c r="E28" s="18"/>
      <c r="F28" s="18"/>
      <c r="G28" s="18"/>
      <c r="H28" s="14"/>
      <c r="I28" s="14"/>
      <c r="J28" s="18"/>
    </row>
    <row r="29">
      <c r="A29" s="18"/>
      <c r="B29" s="4"/>
      <c r="C29" s="18"/>
      <c r="D29" s="18"/>
      <c r="E29" s="18"/>
      <c r="F29" s="18"/>
      <c r="G29" s="18"/>
      <c r="H29" s="14"/>
      <c r="I29" s="14"/>
      <c r="J29" s="18"/>
    </row>
    <row r="30">
      <c r="A30" s="18"/>
      <c r="B30" s="4"/>
      <c r="C30" s="18"/>
      <c r="D30" s="18"/>
      <c r="E30" s="18"/>
      <c r="F30" s="18"/>
      <c r="G30" s="18"/>
      <c r="H30" s="14"/>
      <c r="I30" s="14"/>
      <c r="J30" s="18"/>
    </row>
    <row r="31">
      <c r="A31" s="18"/>
      <c r="B31" s="4"/>
      <c r="C31" s="18"/>
      <c r="D31" s="18"/>
      <c r="E31" s="18"/>
      <c r="F31" s="18"/>
      <c r="G31" s="18"/>
      <c r="H31" s="14"/>
      <c r="I31" s="14"/>
      <c r="J31" s="18"/>
    </row>
    <row r="32">
      <c r="A32" s="18"/>
      <c r="B32" s="4"/>
      <c r="C32" s="18"/>
      <c r="D32" s="18"/>
      <c r="E32" s="18"/>
      <c r="F32" s="18"/>
      <c r="G32" s="18"/>
      <c r="H32" s="14"/>
      <c r="I32" s="14"/>
      <c r="J32" s="18"/>
    </row>
    <row r="33">
      <c r="A33" s="18"/>
      <c r="B33" s="4"/>
      <c r="C33" s="18"/>
      <c r="D33" s="18"/>
      <c r="E33" s="18"/>
      <c r="F33" s="18"/>
      <c r="G33" s="18"/>
      <c r="H33" s="14"/>
      <c r="I33" s="14"/>
      <c r="J33" s="18"/>
    </row>
    <row r="34">
      <c r="A34" s="18"/>
      <c r="B34" s="4"/>
      <c r="C34" s="18"/>
      <c r="D34" s="18"/>
      <c r="E34" s="18"/>
      <c r="F34" s="18"/>
      <c r="G34" s="18"/>
      <c r="H34" s="14"/>
      <c r="I34" s="14"/>
      <c r="J34" s="18"/>
    </row>
    <row r="35">
      <c r="A35" s="18"/>
      <c r="B35" s="4"/>
      <c r="C35" s="18"/>
      <c r="D35" s="18"/>
      <c r="E35" s="18"/>
      <c r="F35" s="18"/>
      <c r="G35" s="18"/>
      <c r="H35" s="14"/>
      <c r="I35" s="14"/>
      <c r="J35" s="18"/>
    </row>
    <row r="36">
      <c r="A36" s="18"/>
      <c r="B36" s="4"/>
      <c r="C36" s="18"/>
      <c r="D36" s="18"/>
      <c r="E36" s="18"/>
      <c r="F36" s="18"/>
      <c r="G36" s="18"/>
      <c r="H36" s="14"/>
      <c r="I36" s="14"/>
      <c r="J36" s="18"/>
    </row>
    <row r="37">
      <c r="A37" s="18"/>
      <c r="B37" s="4"/>
      <c r="C37" s="18"/>
      <c r="D37" s="18"/>
      <c r="E37" s="18"/>
      <c r="F37" s="18"/>
      <c r="G37" s="18"/>
      <c r="H37" s="14"/>
      <c r="I37" s="14"/>
      <c r="J37" s="18"/>
    </row>
    <row r="38">
      <c r="A38" s="18"/>
      <c r="B38" s="4"/>
      <c r="C38" s="18"/>
      <c r="D38" s="18"/>
      <c r="E38" s="18"/>
      <c r="F38" s="18"/>
      <c r="G38" s="18"/>
      <c r="H38" s="14"/>
      <c r="I38" s="14"/>
      <c r="J38" s="18"/>
    </row>
    <row r="39">
      <c r="A39" s="18"/>
      <c r="B39" s="4"/>
      <c r="C39" s="18"/>
      <c r="D39" s="18"/>
      <c r="E39" s="18"/>
      <c r="F39" s="18"/>
      <c r="G39" s="18"/>
      <c r="H39" s="14"/>
      <c r="I39" s="14"/>
      <c r="J39" s="18"/>
    </row>
    <row r="40">
      <c r="A40" s="18"/>
      <c r="B40" s="4"/>
      <c r="C40" s="18"/>
      <c r="D40" s="18"/>
      <c r="E40" s="18"/>
      <c r="F40" s="18"/>
      <c r="G40" s="18"/>
      <c r="H40" s="14"/>
      <c r="I40" s="14"/>
      <c r="J40" s="18"/>
    </row>
    <row r="41">
      <c r="A41" s="18"/>
      <c r="B41" s="4"/>
      <c r="C41" s="18"/>
      <c r="D41" s="18"/>
      <c r="E41" s="18"/>
      <c r="F41" s="18"/>
      <c r="G41" s="18"/>
      <c r="H41" s="14"/>
      <c r="I41" s="14"/>
      <c r="J41" s="18"/>
    </row>
    <row r="42">
      <c r="A42" s="18"/>
      <c r="B42" s="4"/>
      <c r="C42" s="18"/>
      <c r="D42" s="18"/>
      <c r="E42" s="18"/>
      <c r="F42" s="18"/>
      <c r="G42" s="18"/>
      <c r="H42" s="14"/>
      <c r="I42" s="14"/>
      <c r="J42" s="18"/>
    </row>
    <row r="43">
      <c r="A43" s="18"/>
      <c r="B43" s="4"/>
      <c r="C43" s="18"/>
      <c r="D43" s="18"/>
      <c r="E43" s="18"/>
      <c r="F43" s="18"/>
      <c r="G43" s="18"/>
      <c r="H43" s="14"/>
      <c r="I43" s="14"/>
      <c r="J43" s="18"/>
    </row>
    <row r="44">
      <c r="A44" s="18"/>
      <c r="B44" s="4"/>
      <c r="C44" s="18"/>
      <c r="D44" s="18"/>
      <c r="E44" s="18"/>
      <c r="F44" s="18"/>
      <c r="G44" s="18"/>
      <c r="H44" s="14"/>
      <c r="I44" s="14"/>
      <c r="J44" s="18"/>
    </row>
    <row r="45">
      <c r="A45" s="18"/>
      <c r="B45" s="4"/>
      <c r="C45" s="18"/>
      <c r="D45" s="18"/>
      <c r="E45" s="18"/>
      <c r="F45" s="18"/>
      <c r="G45" s="18"/>
      <c r="H45" s="14"/>
      <c r="I45" s="14"/>
      <c r="J45" s="18"/>
    </row>
    <row r="46">
      <c r="A46" s="18"/>
      <c r="B46" s="4"/>
      <c r="C46" s="18"/>
      <c r="D46" s="18"/>
      <c r="E46" s="18"/>
      <c r="F46" s="18"/>
      <c r="G46" s="18"/>
      <c r="H46" s="14"/>
      <c r="I46" s="14"/>
      <c r="J46" s="18"/>
    </row>
    <row r="47">
      <c r="A47" s="18"/>
      <c r="B47" s="4"/>
      <c r="C47" s="18"/>
      <c r="D47" s="18"/>
      <c r="E47" s="18"/>
      <c r="F47" s="18"/>
      <c r="G47" s="18"/>
      <c r="H47" s="14"/>
      <c r="I47" s="14"/>
      <c r="J47" s="18"/>
    </row>
    <row r="48">
      <c r="A48" s="18"/>
      <c r="B48" s="4"/>
      <c r="C48" s="18"/>
      <c r="D48" s="18"/>
      <c r="E48" s="18"/>
      <c r="F48" s="18"/>
      <c r="G48" s="18"/>
      <c r="H48" s="14"/>
      <c r="I48" s="14"/>
      <c r="J48" s="18"/>
    </row>
    <row r="49">
      <c r="A49" s="18"/>
      <c r="B49" s="4"/>
      <c r="C49" s="18"/>
      <c r="D49" s="18"/>
      <c r="E49" s="18"/>
      <c r="F49" s="18"/>
      <c r="G49" s="18"/>
      <c r="H49" s="14"/>
      <c r="I49" s="14"/>
      <c r="J49" s="18"/>
    </row>
    <row r="50">
      <c r="A50" s="18"/>
      <c r="B50" s="4"/>
      <c r="C50" s="18"/>
      <c r="D50" s="18"/>
      <c r="E50" s="18"/>
      <c r="F50" s="18"/>
      <c r="G50" s="18"/>
      <c r="H50" s="14"/>
      <c r="I50" s="14"/>
      <c r="J50" s="18"/>
    </row>
    <row r="51">
      <c r="A51" s="18"/>
      <c r="B51" s="4"/>
      <c r="C51" s="18"/>
      <c r="D51" s="18"/>
      <c r="E51" s="18"/>
      <c r="F51" s="18"/>
      <c r="G51" s="18"/>
      <c r="H51" s="14"/>
      <c r="I51" s="14"/>
      <c r="J51" s="18"/>
    </row>
    <row r="52">
      <c r="A52" s="18"/>
      <c r="B52" s="4"/>
      <c r="C52" s="18"/>
      <c r="D52" s="18"/>
      <c r="E52" s="18"/>
      <c r="F52" s="18"/>
      <c r="G52" s="18"/>
      <c r="H52" s="14"/>
      <c r="I52" s="14"/>
      <c r="J52" s="18"/>
    </row>
    <row r="53">
      <c r="A53" s="18"/>
      <c r="B53" s="4"/>
      <c r="C53" s="18"/>
      <c r="D53" s="18"/>
      <c r="E53" s="18"/>
      <c r="F53" s="18"/>
      <c r="G53" s="18"/>
      <c r="H53" s="14"/>
      <c r="I53" s="14"/>
      <c r="J53" s="18"/>
    </row>
    <row r="54">
      <c r="A54" s="18"/>
      <c r="B54" s="4"/>
      <c r="C54" s="18"/>
      <c r="D54" s="18"/>
      <c r="E54" s="18"/>
      <c r="F54" s="18"/>
      <c r="G54" s="18"/>
      <c r="H54" s="14"/>
      <c r="I54" s="14"/>
      <c r="J54" s="18"/>
    </row>
    <row r="55">
      <c r="A55" s="18"/>
      <c r="B55" s="4"/>
      <c r="C55" s="18"/>
      <c r="D55" s="18"/>
      <c r="E55" s="18"/>
      <c r="F55" s="18"/>
      <c r="G55" s="18"/>
      <c r="H55" s="14"/>
      <c r="I55" s="14"/>
      <c r="J55" s="18"/>
    </row>
    <row r="56">
      <c r="A56" s="18"/>
      <c r="B56" s="4"/>
      <c r="C56" s="18"/>
      <c r="D56" s="18"/>
      <c r="E56" s="18"/>
      <c r="F56" s="18"/>
      <c r="G56" s="18"/>
      <c r="H56" s="14"/>
      <c r="I56" s="14"/>
      <c r="J56" s="18"/>
    </row>
    <row r="57">
      <c r="A57" s="18"/>
      <c r="B57" s="4"/>
      <c r="C57" s="18"/>
      <c r="D57" s="18"/>
      <c r="E57" s="18"/>
      <c r="F57" s="18"/>
      <c r="G57" s="18"/>
      <c r="H57" s="14"/>
      <c r="I57" s="14"/>
      <c r="J57" s="18"/>
    </row>
    <row r="58">
      <c r="A58" s="18"/>
      <c r="B58" s="4"/>
      <c r="C58" s="18"/>
      <c r="D58" s="18"/>
      <c r="E58" s="18"/>
      <c r="F58" s="18"/>
      <c r="G58" s="18"/>
      <c r="H58" s="14"/>
      <c r="I58" s="14"/>
      <c r="J58" s="18"/>
    </row>
    <row r="59">
      <c r="A59" s="18"/>
      <c r="B59" s="4"/>
      <c r="C59" s="18"/>
      <c r="D59" s="18"/>
      <c r="E59" s="18"/>
      <c r="F59" s="18"/>
      <c r="G59" s="18"/>
      <c r="H59" s="14"/>
      <c r="I59" s="14"/>
      <c r="J59" s="18"/>
    </row>
    <row r="60">
      <c r="A60" s="18"/>
      <c r="B60" s="4"/>
      <c r="C60" s="18"/>
      <c r="D60" s="18"/>
      <c r="E60" s="18"/>
      <c r="F60" s="18"/>
      <c r="G60" s="18"/>
      <c r="H60" s="14"/>
      <c r="I60" s="14"/>
      <c r="J60" s="18"/>
    </row>
    <row r="61">
      <c r="A61" s="18"/>
      <c r="B61" s="4"/>
      <c r="C61" s="18"/>
      <c r="D61" s="18"/>
      <c r="E61" s="18"/>
      <c r="F61" s="18"/>
      <c r="G61" s="18"/>
      <c r="H61" s="14"/>
      <c r="I61" s="14"/>
      <c r="J61" s="18"/>
    </row>
    <row r="62">
      <c r="A62" s="18"/>
      <c r="B62" s="4"/>
      <c r="C62" s="18"/>
      <c r="D62" s="18"/>
      <c r="E62" s="18"/>
      <c r="F62" s="18"/>
      <c r="G62" s="18"/>
      <c r="H62" s="14"/>
      <c r="I62" s="14"/>
      <c r="J62" s="18"/>
    </row>
    <row r="63">
      <c r="A63" s="18"/>
      <c r="B63" s="4"/>
      <c r="C63" s="18"/>
      <c r="D63" s="18"/>
      <c r="E63" s="18"/>
      <c r="F63" s="18"/>
      <c r="G63" s="18"/>
      <c r="H63" s="14"/>
      <c r="I63" s="14"/>
      <c r="J63" s="18"/>
    </row>
    <row r="64">
      <c r="A64" s="18"/>
      <c r="B64" s="4"/>
      <c r="C64" s="18"/>
      <c r="D64" s="18"/>
      <c r="E64" s="18"/>
      <c r="F64" s="18"/>
      <c r="G64" s="18"/>
      <c r="H64" s="14"/>
      <c r="I64" s="14"/>
      <c r="J64" s="18"/>
    </row>
    <row r="65">
      <c r="A65" s="18"/>
      <c r="B65" s="4"/>
      <c r="C65" s="18"/>
      <c r="D65" s="18"/>
      <c r="E65" s="18"/>
      <c r="F65" s="18"/>
      <c r="G65" s="18"/>
      <c r="H65" s="14"/>
      <c r="I65" s="14"/>
      <c r="J65" s="18"/>
    </row>
    <row r="66">
      <c r="A66" s="18"/>
      <c r="B66" s="4"/>
      <c r="C66" s="18"/>
      <c r="D66" s="18"/>
      <c r="E66" s="18"/>
      <c r="F66" s="18"/>
      <c r="G66" s="18"/>
      <c r="H66" s="14"/>
      <c r="I66" s="14"/>
      <c r="J66" s="18"/>
    </row>
    <row r="67">
      <c r="A67" s="18"/>
      <c r="B67" s="4"/>
      <c r="C67" s="18"/>
      <c r="D67" s="18"/>
      <c r="E67" s="18"/>
      <c r="F67" s="18"/>
      <c r="G67" s="18"/>
      <c r="H67" s="14"/>
      <c r="I67" s="14"/>
      <c r="J67" s="18"/>
    </row>
    <row r="68">
      <c r="A68" s="18"/>
      <c r="B68" s="4"/>
      <c r="C68" s="18"/>
      <c r="D68" s="18"/>
      <c r="E68" s="18"/>
      <c r="F68" s="18"/>
      <c r="G68" s="18"/>
      <c r="H68" s="14"/>
      <c r="I68" s="14"/>
      <c r="J68" s="18"/>
    </row>
    <row r="69">
      <c r="A69" s="18"/>
      <c r="B69" s="4"/>
      <c r="C69" s="18"/>
      <c r="D69" s="18"/>
      <c r="E69" s="18"/>
      <c r="F69" s="18"/>
      <c r="G69" s="18"/>
      <c r="H69" s="14"/>
      <c r="I69" s="14"/>
      <c r="J69" s="18"/>
    </row>
    <row r="70">
      <c r="A70" s="18"/>
      <c r="B70" s="4"/>
      <c r="C70" s="18"/>
      <c r="D70" s="18"/>
      <c r="E70" s="18"/>
      <c r="F70" s="18"/>
      <c r="G70" s="18"/>
      <c r="H70" s="14"/>
      <c r="I70" s="14"/>
      <c r="J70" s="18"/>
    </row>
    <row r="71">
      <c r="A71" s="18"/>
      <c r="B71" s="4"/>
      <c r="C71" s="18"/>
      <c r="D71" s="18"/>
      <c r="E71" s="18"/>
      <c r="F71" s="18"/>
      <c r="G71" s="18"/>
      <c r="H71" s="14"/>
      <c r="I71" s="14"/>
      <c r="J71" s="18"/>
    </row>
    <row r="72">
      <c r="A72" s="18"/>
      <c r="B72" s="4"/>
      <c r="C72" s="18"/>
      <c r="D72" s="18"/>
      <c r="E72" s="18"/>
      <c r="F72" s="18"/>
      <c r="G72" s="18"/>
      <c r="H72" s="14"/>
      <c r="I72" s="14"/>
      <c r="J72" s="18"/>
    </row>
    <row r="73">
      <c r="A73" s="18"/>
      <c r="B73" s="4"/>
      <c r="C73" s="18"/>
      <c r="D73" s="18"/>
      <c r="E73" s="18"/>
      <c r="F73" s="18"/>
      <c r="G73" s="18"/>
      <c r="H73" s="14"/>
      <c r="I73" s="14"/>
      <c r="J73" s="18"/>
    </row>
    <row r="74">
      <c r="A74" s="18"/>
      <c r="B74" s="4"/>
      <c r="C74" s="18"/>
      <c r="D74" s="18"/>
      <c r="E74" s="18"/>
      <c r="F74" s="18"/>
      <c r="G74" s="18"/>
      <c r="H74" s="14"/>
      <c r="I74" s="14"/>
      <c r="J74" s="18"/>
    </row>
    <row r="75">
      <c r="A75" s="18"/>
      <c r="B75" s="4"/>
      <c r="C75" s="18"/>
      <c r="D75" s="18"/>
      <c r="E75" s="18"/>
      <c r="F75" s="18"/>
      <c r="G75" s="18"/>
      <c r="H75" s="14"/>
      <c r="I75" s="14"/>
      <c r="J75" s="18"/>
    </row>
    <row r="76">
      <c r="A76" s="18"/>
      <c r="B76" s="4"/>
      <c r="C76" s="18"/>
      <c r="D76" s="18"/>
      <c r="E76" s="18"/>
      <c r="F76" s="18"/>
      <c r="G76" s="18"/>
      <c r="H76" s="14"/>
      <c r="I76" s="14"/>
      <c r="J76" s="18"/>
    </row>
    <row r="77">
      <c r="A77" s="18"/>
      <c r="B77" s="4"/>
      <c r="C77" s="18"/>
      <c r="D77" s="18"/>
      <c r="E77" s="18"/>
      <c r="F77" s="18"/>
      <c r="G77" s="18"/>
      <c r="H77" s="14"/>
      <c r="I77" s="14"/>
      <c r="J77" s="18"/>
    </row>
    <row r="78">
      <c r="A78" s="18"/>
      <c r="B78" s="4"/>
      <c r="C78" s="18"/>
      <c r="D78" s="18"/>
      <c r="E78" s="18"/>
      <c r="F78" s="18"/>
      <c r="G78" s="18"/>
      <c r="H78" s="14"/>
      <c r="I78" s="14"/>
      <c r="J78" s="18"/>
    </row>
    <row r="79">
      <c r="A79" s="18"/>
      <c r="B79" s="4"/>
      <c r="C79" s="18"/>
      <c r="D79" s="18"/>
      <c r="E79" s="18"/>
      <c r="F79" s="18"/>
      <c r="G79" s="18"/>
      <c r="H79" s="14"/>
      <c r="I79" s="14"/>
      <c r="J79" s="18"/>
    </row>
    <row r="80">
      <c r="A80" s="18"/>
      <c r="B80" s="4"/>
      <c r="C80" s="18"/>
      <c r="D80" s="18"/>
      <c r="E80" s="18"/>
      <c r="F80" s="18"/>
      <c r="G80" s="18"/>
      <c r="H80" s="14"/>
      <c r="I80" s="14"/>
      <c r="J80" s="18"/>
    </row>
    <row r="81">
      <c r="A81" s="18"/>
      <c r="B81" s="4"/>
      <c r="C81" s="18"/>
      <c r="D81" s="18"/>
      <c r="E81" s="18"/>
      <c r="F81" s="18"/>
      <c r="G81" s="18"/>
      <c r="H81" s="14"/>
      <c r="I81" s="14"/>
      <c r="J81" s="18"/>
    </row>
    <row r="82">
      <c r="A82" s="18"/>
      <c r="B82" s="4"/>
      <c r="C82" s="18"/>
      <c r="D82" s="18"/>
      <c r="E82" s="18"/>
      <c r="F82" s="18"/>
      <c r="G82" s="18"/>
      <c r="H82" s="14"/>
      <c r="I82" s="14"/>
      <c r="J82" s="18"/>
    </row>
    <row r="83">
      <c r="A83" s="18"/>
      <c r="B83" s="4"/>
      <c r="C83" s="18"/>
      <c r="D83" s="18"/>
      <c r="E83" s="18"/>
      <c r="F83" s="18"/>
      <c r="G83" s="18"/>
      <c r="H83" s="14"/>
      <c r="I83" s="14"/>
      <c r="J83" s="18"/>
    </row>
    <row r="84">
      <c r="A84" s="18"/>
      <c r="B84" s="4"/>
      <c r="C84" s="18"/>
      <c r="D84" s="18"/>
      <c r="E84" s="18"/>
      <c r="F84" s="18"/>
      <c r="G84" s="18"/>
      <c r="H84" s="14"/>
      <c r="I84" s="14"/>
      <c r="J84" s="18"/>
    </row>
    <row r="85">
      <c r="A85" s="18"/>
      <c r="B85" s="4"/>
      <c r="C85" s="18"/>
      <c r="D85" s="18"/>
      <c r="E85" s="18"/>
      <c r="F85" s="18"/>
      <c r="G85" s="18"/>
      <c r="H85" s="14"/>
      <c r="I85" s="14"/>
      <c r="J85" s="18"/>
    </row>
    <row r="86">
      <c r="A86" s="18"/>
      <c r="B86" s="4"/>
      <c r="C86" s="18"/>
      <c r="D86" s="18"/>
      <c r="E86" s="18"/>
      <c r="F86" s="18"/>
      <c r="G86" s="18"/>
      <c r="H86" s="14"/>
      <c r="I86" s="14"/>
      <c r="J86" s="18"/>
    </row>
    <row r="87">
      <c r="A87" s="18"/>
      <c r="B87" s="4"/>
      <c r="C87" s="18"/>
      <c r="D87" s="18"/>
      <c r="E87" s="18"/>
      <c r="F87" s="18"/>
      <c r="G87" s="18"/>
      <c r="H87" s="14"/>
      <c r="I87" s="14"/>
      <c r="J87" s="18"/>
    </row>
    <row r="88">
      <c r="A88" s="18"/>
      <c r="B88" s="4"/>
      <c r="C88" s="18"/>
      <c r="D88" s="18"/>
      <c r="E88" s="18"/>
      <c r="F88" s="18"/>
      <c r="G88" s="18"/>
      <c r="H88" s="14"/>
      <c r="I88" s="14"/>
      <c r="J88" s="18"/>
    </row>
    <row r="89">
      <c r="A89" s="18"/>
      <c r="B89" s="4"/>
      <c r="C89" s="18"/>
      <c r="D89" s="18"/>
      <c r="E89" s="18"/>
      <c r="F89" s="18"/>
      <c r="G89" s="18"/>
      <c r="H89" s="14"/>
      <c r="I89" s="14"/>
      <c r="J89" s="18"/>
    </row>
    <row r="90">
      <c r="A90" s="18"/>
      <c r="B90" s="4"/>
      <c r="C90" s="18"/>
      <c r="D90" s="18"/>
      <c r="E90" s="18"/>
      <c r="F90" s="18"/>
      <c r="G90" s="18"/>
      <c r="H90" s="14"/>
      <c r="I90" s="14"/>
      <c r="J90" s="18"/>
    </row>
    <row r="91">
      <c r="A91" s="18"/>
      <c r="B91" s="4"/>
      <c r="C91" s="18"/>
      <c r="D91" s="18"/>
      <c r="E91" s="18"/>
      <c r="F91" s="18"/>
      <c r="G91" s="18"/>
      <c r="H91" s="14"/>
      <c r="I91" s="14"/>
      <c r="J91" s="18"/>
    </row>
    <row r="92">
      <c r="A92" s="18"/>
      <c r="B92" s="4"/>
      <c r="C92" s="18"/>
      <c r="D92" s="18"/>
      <c r="E92" s="18"/>
      <c r="F92" s="18"/>
      <c r="G92" s="18"/>
      <c r="H92" s="14"/>
      <c r="I92" s="14"/>
      <c r="J92" s="18"/>
    </row>
    <row r="93">
      <c r="A93" s="18"/>
      <c r="B93" s="4"/>
      <c r="C93" s="18"/>
      <c r="D93" s="18"/>
      <c r="E93" s="18"/>
      <c r="F93" s="18"/>
      <c r="G93" s="18"/>
      <c r="H93" s="14"/>
      <c r="I93" s="14"/>
      <c r="J93" s="18"/>
    </row>
    <row r="94">
      <c r="A94" s="18"/>
      <c r="B94" s="4"/>
      <c r="C94" s="18"/>
      <c r="D94" s="18"/>
      <c r="E94" s="18"/>
      <c r="F94" s="18"/>
      <c r="G94" s="18"/>
      <c r="H94" s="14"/>
      <c r="I94" s="14"/>
      <c r="J94" s="18"/>
    </row>
    <row r="95">
      <c r="A95" s="18"/>
      <c r="B95" s="4"/>
      <c r="C95" s="18"/>
      <c r="D95" s="18"/>
      <c r="E95" s="18"/>
      <c r="F95" s="18"/>
      <c r="G95" s="18"/>
      <c r="H95" s="14"/>
      <c r="I95" s="14"/>
      <c r="J95" s="18"/>
    </row>
    <row r="96">
      <c r="A96" s="18"/>
      <c r="B96" s="4"/>
      <c r="C96" s="18"/>
      <c r="D96" s="18"/>
      <c r="E96" s="18"/>
      <c r="F96" s="18"/>
      <c r="G96" s="18"/>
      <c r="H96" s="14"/>
      <c r="I96" s="14"/>
      <c r="J96" s="18"/>
    </row>
    <row r="97">
      <c r="A97" s="18"/>
      <c r="B97" s="4"/>
      <c r="C97" s="18"/>
      <c r="D97" s="18"/>
      <c r="E97" s="18"/>
      <c r="F97" s="18"/>
      <c r="G97" s="18"/>
      <c r="H97" s="14"/>
      <c r="I97" s="14"/>
      <c r="J97" s="18"/>
    </row>
    <row r="98">
      <c r="A98" s="18"/>
      <c r="B98" s="4"/>
      <c r="C98" s="18"/>
      <c r="D98" s="18"/>
      <c r="E98" s="18"/>
      <c r="F98" s="18"/>
      <c r="G98" s="18"/>
      <c r="H98" s="14"/>
      <c r="I98" s="14"/>
      <c r="J98" s="18"/>
    </row>
    <row r="99">
      <c r="A99" s="18"/>
      <c r="B99" s="4"/>
      <c r="C99" s="18"/>
      <c r="D99" s="18"/>
      <c r="E99" s="18"/>
      <c r="F99" s="18"/>
      <c r="G99" s="18"/>
      <c r="H99" s="14"/>
      <c r="I99" s="14"/>
      <c r="J99" s="18"/>
    </row>
    <row r="100">
      <c r="A100" s="18"/>
      <c r="B100" s="4"/>
      <c r="C100" s="18"/>
      <c r="D100" s="18"/>
      <c r="E100" s="18"/>
      <c r="F100" s="18"/>
      <c r="G100" s="18"/>
      <c r="H100" s="14"/>
      <c r="I100" s="14"/>
      <c r="J100" s="18"/>
    </row>
    <row r="101">
      <c r="A101" s="18"/>
      <c r="B101" s="4"/>
      <c r="C101" s="18"/>
      <c r="D101" s="18"/>
      <c r="E101" s="18"/>
      <c r="F101" s="18"/>
      <c r="G101" s="18"/>
      <c r="H101" s="14"/>
      <c r="I101" s="14"/>
      <c r="J101" s="18"/>
    </row>
    <row r="102">
      <c r="A102" s="18"/>
      <c r="B102" s="4"/>
      <c r="C102" s="18"/>
      <c r="D102" s="18"/>
      <c r="E102" s="18"/>
      <c r="F102" s="18"/>
      <c r="G102" s="18"/>
      <c r="H102" s="14"/>
      <c r="I102" s="14"/>
      <c r="J102" s="18"/>
    </row>
    <row r="103">
      <c r="A103" s="18"/>
      <c r="B103" s="4"/>
      <c r="C103" s="18"/>
      <c r="D103" s="18"/>
      <c r="E103" s="18"/>
      <c r="F103" s="18"/>
      <c r="G103" s="18"/>
      <c r="H103" s="14"/>
      <c r="I103" s="14"/>
      <c r="J103" s="18"/>
    </row>
    <row r="104">
      <c r="A104" s="18"/>
      <c r="B104" s="4"/>
      <c r="C104" s="18"/>
      <c r="D104" s="18"/>
      <c r="E104" s="18"/>
      <c r="F104" s="18"/>
      <c r="G104" s="18"/>
      <c r="H104" s="14"/>
      <c r="I104" s="14"/>
      <c r="J104" s="18"/>
    </row>
    <row r="105">
      <c r="A105" s="18"/>
      <c r="B105" s="4"/>
      <c r="C105" s="18"/>
      <c r="D105" s="18"/>
      <c r="E105" s="18"/>
      <c r="F105" s="18"/>
      <c r="G105" s="18"/>
      <c r="H105" s="14"/>
      <c r="I105" s="14"/>
      <c r="J105" s="18"/>
    </row>
    <row r="106">
      <c r="A106" s="18"/>
      <c r="B106" s="4"/>
      <c r="C106" s="18"/>
      <c r="D106" s="18"/>
      <c r="E106" s="18"/>
      <c r="F106" s="18"/>
      <c r="G106" s="18"/>
      <c r="H106" s="14"/>
      <c r="I106" s="14"/>
      <c r="J106" s="18"/>
    </row>
    <row r="107">
      <c r="A107" s="18"/>
      <c r="B107" s="4"/>
      <c r="C107" s="18"/>
      <c r="D107" s="18"/>
      <c r="E107" s="18"/>
      <c r="F107" s="18"/>
      <c r="G107" s="18"/>
      <c r="H107" s="14"/>
      <c r="I107" s="14"/>
      <c r="J107" s="18"/>
    </row>
    <row r="108">
      <c r="A108" s="18"/>
      <c r="B108" s="4"/>
      <c r="C108" s="18"/>
      <c r="D108" s="18"/>
      <c r="E108" s="18"/>
      <c r="F108" s="18"/>
      <c r="G108" s="18"/>
      <c r="H108" s="14"/>
      <c r="I108" s="14"/>
      <c r="J108" s="18"/>
    </row>
    <row r="109">
      <c r="A109" s="18"/>
      <c r="B109" s="4"/>
      <c r="C109" s="18"/>
      <c r="D109" s="18"/>
      <c r="E109" s="18"/>
      <c r="F109" s="18"/>
      <c r="G109" s="18"/>
      <c r="H109" s="14"/>
      <c r="I109" s="14"/>
      <c r="J109" s="18"/>
    </row>
    <row r="110">
      <c r="A110" s="18"/>
      <c r="B110" s="4"/>
      <c r="C110" s="18"/>
      <c r="D110" s="18"/>
      <c r="E110" s="18"/>
      <c r="F110" s="18"/>
      <c r="G110" s="18"/>
      <c r="H110" s="14"/>
      <c r="I110" s="14"/>
      <c r="J110" s="18"/>
    </row>
    <row r="111">
      <c r="A111" s="18"/>
      <c r="B111" s="4"/>
      <c r="C111" s="18"/>
      <c r="D111" s="18"/>
      <c r="E111" s="18"/>
      <c r="F111" s="18"/>
      <c r="G111" s="18"/>
      <c r="H111" s="14"/>
      <c r="I111" s="14"/>
      <c r="J111" s="18"/>
    </row>
    <row r="112">
      <c r="A112" s="18"/>
      <c r="B112" s="4"/>
      <c r="C112" s="18"/>
      <c r="D112" s="18"/>
      <c r="E112" s="18"/>
      <c r="F112" s="18"/>
      <c r="G112" s="18"/>
      <c r="H112" s="14"/>
      <c r="I112" s="14"/>
      <c r="J112" s="18"/>
    </row>
    <row r="113">
      <c r="A113" s="18"/>
      <c r="B113" s="4"/>
      <c r="C113" s="18"/>
      <c r="D113" s="18"/>
      <c r="E113" s="18"/>
      <c r="F113" s="18"/>
      <c r="G113" s="18"/>
      <c r="H113" s="14"/>
      <c r="I113" s="14"/>
      <c r="J113" s="18"/>
    </row>
    <row r="114">
      <c r="A114" s="18"/>
      <c r="B114" s="4"/>
      <c r="C114" s="18"/>
      <c r="D114" s="18"/>
      <c r="E114" s="18"/>
      <c r="F114" s="18"/>
      <c r="G114" s="18"/>
      <c r="H114" s="14"/>
      <c r="I114" s="14"/>
      <c r="J114" s="18"/>
    </row>
    <row r="115">
      <c r="A115" s="18"/>
      <c r="B115" s="4"/>
      <c r="C115" s="18"/>
      <c r="D115" s="18"/>
      <c r="E115" s="18"/>
      <c r="F115" s="18"/>
      <c r="G115" s="18"/>
      <c r="H115" s="14"/>
      <c r="I115" s="14"/>
      <c r="J115" s="18"/>
    </row>
    <row r="116">
      <c r="A116" s="18"/>
      <c r="B116" s="4"/>
      <c r="C116" s="18"/>
      <c r="D116" s="18"/>
      <c r="E116" s="18"/>
      <c r="F116" s="18"/>
      <c r="G116" s="18"/>
      <c r="H116" s="14"/>
      <c r="I116" s="14"/>
      <c r="J116" s="18"/>
    </row>
    <row r="117">
      <c r="A117" s="18"/>
      <c r="B117" s="4"/>
      <c r="C117" s="18"/>
      <c r="D117" s="18"/>
      <c r="E117" s="18"/>
      <c r="F117" s="18"/>
      <c r="G117" s="18"/>
      <c r="H117" s="14"/>
      <c r="I117" s="14"/>
      <c r="J117" s="18"/>
    </row>
    <row r="118">
      <c r="A118" s="18"/>
      <c r="B118" s="4"/>
      <c r="C118" s="18"/>
      <c r="D118" s="18"/>
      <c r="E118" s="18"/>
      <c r="F118" s="18"/>
      <c r="G118" s="18"/>
      <c r="H118" s="14"/>
      <c r="I118" s="14"/>
      <c r="J118" s="18"/>
    </row>
    <row r="119">
      <c r="A119" s="18"/>
      <c r="B119" s="4"/>
      <c r="C119" s="18"/>
      <c r="D119" s="18"/>
      <c r="E119" s="18"/>
      <c r="F119" s="18"/>
      <c r="G119" s="18"/>
      <c r="H119" s="14"/>
      <c r="I119" s="14"/>
      <c r="J119" s="18"/>
    </row>
    <row r="120">
      <c r="A120" s="18"/>
      <c r="B120" s="4"/>
      <c r="C120" s="18"/>
      <c r="D120" s="18"/>
      <c r="E120" s="18"/>
      <c r="F120" s="18"/>
      <c r="G120" s="18"/>
      <c r="H120" s="14"/>
      <c r="I120" s="14"/>
      <c r="J120" s="18"/>
    </row>
    <row r="121">
      <c r="A121" s="18"/>
      <c r="B121" s="4"/>
      <c r="C121" s="18"/>
      <c r="D121" s="18"/>
      <c r="E121" s="18"/>
      <c r="F121" s="18"/>
      <c r="G121" s="18"/>
      <c r="H121" s="14"/>
      <c r="I121" s="14"/>
      <c r="J121" s="18"/>
    </row>
    <row r="122">
      <c r="A122" s="18"/>
      <c r="B122" s="4"/>
      <c r="C122" s="18"/>
      <c r="D122" s="18"/>
      <c r="E122" s="18"/>
      <c r="F122" s="18"/>
      <c r="G122" s="18"/>
      <c r="H122" s="14"/>
      <c r="I122" s="14"/>
      <c r="J122" s="18"/>
    </row>
    <row r="123">
      <c r="A123" s="18"/>
      <c r="B123" s="4"/>
      <c r="C123" s="18"/>
      <c r="D123" s="18"/>
      <c r="E123" s="18"/>
      <c r="F123" s="18"/>
      <c r="G123" s="18"/>
      <c r="H123" s="14"/>
      <c r="I123" s="14"/>
      <c r="J123" s="18"/>
    </row>
    <row r="124">
      <c r="A124" s="18"/>
      <c r="B124" s="4"/>
      <c r="C124" s="18"/>
      <c r="D124" s="18"/>
      <c r="E124" s="18"/>
      <c r="F124" s="18"/>
      <c r="G124" s="18"/>
      <c r="H124" s="14"/>
      <c r="I124" s="14"/>
      <c r="J124" s="18"/>
    </row>
    <row r="125">
      <c r="A125" s="18"/>
      <c r="B125" s="4"/>
      <c r="C125" s="18"/>
      <c r="D125" s="18"/>
      <c r="E125" s="18"/>
      <c r="F125" s="18"/>
      <c r="G125" s="18"/>
      <c r="H125" s="14"/>
      <c r="I125" s="14"/>
      <c r="J125" s="18"/>
    </row>
    <row r="126">
      <c r="A126" s="18"/>
      <c r="B126" s="4"/>
      <c r="C126" s="18"/>
      <c r="D126" s="18"/>
      <c r="E126" s="18"/>
      <c r="F126" s="18"/>
      <c r="G126" s="18"/>
      <c r="H126" s="14"/>
      <c r="I126" s="14"/>
      <c r="J126" s="18"/>
    </row>
    <row r="127">
      <c r="A127" s="18"/>
      <c r="B127" s="4"/>
      <c r="C127" s="18"/>
      <c r="D127" s="18"/>
      <c r="E127" s="18"/>
      <c r="F127" s="18"/>
      <c r="G127" s="18"/>
      <c r="H127" s="14"/>
      <c r="I127" s="14"/>
      <c r="J127" s="18"/>
    </row>
    <row r="128">
      <c r="A128" s="18"/>
      <c r="B128" s="4"/>
      <c r="C128" s="18"/>
      <c r="D128" s="18"/>
      <c r="E128" s="18"/>
      <c r="F128" s="18"/>
      <c r="G128" s="18"/>
      <c r="H128" s="14"/>
      <c r="I128" s="14"/>
      <c r="J128" s="18"/>
    </row>
    <row r="129">
      <c r="A129" s="18"/>
      <c r="B129" s="4"/>
      <c r="C129" s="18"/>
      <c r="D129" s="18"/>
      <c r="E129" s="18"/>
      <c r="F129" s="18"/>
      <c r="G129" s="18"/>
      <c r="H129" s="14"/>
      <c r="I129" s="14"/>
      <c r="J129" s="18"/>
    </row>
    <row r="130">
      <c r="A130" s="18"/>
      <c r="B130" s="4"/>
      <c r="C130" s="18"/>
      <c r="D130" s="18"/>
      <c r="E130" s="18"/>
      <c r="F130" s="18"/>
      <c r="G130" s="18"/>
      <c r="H130" s="14"/>
      <c r="I130" s="14"/>
      <c r="J130" s="18"/>
    </row>
    <row r="131">
      <c r="A131" s="18"/>
      <c r="B131" s="4"/>
      <c r="C131" s="18"/>
      <c r="D131" s="18"/>
      <c r="E131" s="18"/>
      <c r="F131" s="18"/>
      <c r="G131" s="18"/>
      <c r="H131" s="14"/>
      <c r="I131" s="14"/>
      <c r="J131" s="18"/>
    </row>
    <row r="132">
      <c r="A132" s="18"/>
      <c r="B132" s="4"/>
      <c r="C132" s="18"/>
      <c r="D132" s="18"/>
      <c r="E132" s="18"/>
      <c r="F132" s="18"/>
      <c r="G132" s="18"/>
      <c r="H132" s="14"/>
      <c r="I132" s="14"/>
      <c r="J132" s="18"/>
    </row>
    <row r="133">
      <c r="A133" s="18"/>
      <c r="B133" s="4"/>
      <c r="C133" s="18"/>
      <c r="D133" s="18"/>
      <c r="E133" s="18"/>
      <c r="F133" s="18"/>
      <c r="G133" s="18"/>
      <c r="H133" s="14"/>
      <c r="I133" s="14"/>
      <c r="J133" s="18"/>
    </row>
    <row r="134">
      <c r="A134" s="18"/>
      <c r="B134" s="4"/>
      <c r="C134" s="18"/>
      <c r="D134" s="18"/>
      <c r="E134" s="18"/>
      <c r="F134" s="18"/>
      <c r="G134" s="18"/>
      <c r="H134" s="14"/>
      <c r="I134" s="14"/>
      <c r="J134" s="18"/>
    </row>
    <row r="135">
      <c r="A135" s="18"/>
      <c r="B135" s="4"/>
      <c r="C135" s="18"/>
      <c r="D135" s="18"/>
      <c r="E135" s="18"/>
      <c r="F135" s="18"/>
      <c r="G135" s="18"/>
      <c r="H135" s="14"/>
      <c r="I135" s="14"/>
      <c r="J135" s="18"/>
    </row>
    <row r="136">
      <c r="A136" s="18"/>
      <c r="B136" s="4"/>
      <c r="C136" s="18"/>
      <c r="D136" s="18"/>
      <c r="E136" s="18"/>
      <c r="F136" s="18"/>
      <c r="G136" s="18"/>
      <c r="H136" s="14"/>
      <c r="I136" s="14"/>
      <c r="J136" s="18"/>
    </row>
    <row r="137">
      <c r="A137" s="18"/>
      <c r="B137" s="4"/>
      <c r="C137" s="18"/>
      <c r="D137" s="18"/>
      <c r="E137" s="18"/>
      <c r="F137" s="18"/>
      <c r="G137" s="18"/>
      <c r="H137" s="14"/>
      <c r="I137" s="14"/>
      <c r="J137" s="18"/>
    </row>
    <row r="138">
      <c r="A138" s="18"/>
      <c r="B138" s="4"/>
      <c r="C138" s="18"/>
      <c r="D138" s="18"/>
      <c r="E138" s="18"/>
      <c r="F138" s="18"/>
      <c r="G138" s="18"/>
      <c r="H138" s="14"/>
      <c r="I138" s="14"/>
      <c r="J138" s="18"/>
    </row>
    <row r="139">
      <c r="A139" s="18"/>
      <c r="B139" s="4"/>
      <c r="C139" s="18"/>
      <c r="D139" s="18"/>
      <c r="E139" s="18"/>
      <c r="F139" s="18"/>
      <c r="G139" s="18"/>
      <c r="H139" s="14"/>
      <c r="I139" s="14"/>
      <c r="J139" s="18"/>
    </row>
    <row r="140">
      <c r="A140" s="18"/>
      <c r="B140" s="4"/>
      <c r="C140" s="18"/>
      <c r="D140" s="18"/>
      <c r="E140" s="18"/>
      <c r="F140" s="18"/>
      <c r="G140" s="18"/>
      <c r="H140" s="14"/>
      <c r="I140" s="14"/>
      <c r="J140" s="18"/>
    </row>
    <row r="141">
      <c r="A141" s="18"/>
      <c r="B141" s="4"/>
      <c r="C141" s="18"/>
      <c r="D141" s="18"/>
      <c r="E141" s="18"/>
      <c r="F141" s="18"/>
      <c r="G141" s="18"/>
      <c r="H141" s="14"/>
      <c r="I141" s="14"/>
      <c r="J141" s="18"/>
    </row>
    <row r="142">
      <c r="A142" s="18"/>
      <c r="B142" s="4"/>
      <c r="C142" s="18"/>
      <c r="D142" s="18"/>
      <c r="E142" s="18"/>
      <c r="F142" s="18"/>
      <c r="G142" s="18"/>
      <c r="H142" s="14"/>
      <c r="I142" s="14"/>
      <c r="J142" s="18"/>
    </row>
    <row r="143">
      <c r="A143" s="18"/>
      <c r="B143" s="4"/>
      <c r="C143" s="18"/>
      <c r="D143" s="18"/>
      <c r="E143" s="18"/>
      <c r="F143" s="18"/>
      <c r="G143" s="18"/>
      <c r="H143" s="14"/>
      <c r="I143" s="14"/>
      <c r="J143" s="18"/>
    </row>
    <row r="144">
      <c r="A144" s="18"/>
      <c r="B144" s="4"/>
      <c r="C144" s="18"/>
      <c r="D144" s="18"/>
      <c r="E144" s="18"/>
      <c r="F144" s="18"/>
      <c r="G144" s="18"/>
      <c r="H144" s="14"/>
      <c r="I144" s="14"/>
      <c r="J144" s="18"/>
    </row>
    <row r="145">
      <c r="A145" s="18"/>
      <c r="B145" s="4"/>
      <c r="C145" s="18"/>
      <c r="D145" s="18"/>
      <c r="E145" s="18"/>
      <c r="F145" s="18"/>
      <c r="G145" s="18"/>
      <c r="H145" s="14"/>
      <c r="I145" s="14"/>
      <c r="J145" s="18"/>
    </row>
    <row r="146">
      <c r="A146" s="18"/>
      <c r="B146" s="4"/>
      <c r="C146" s="18"/>
      <c r="D146" s="18"/>
      <c r="E146" s="18"/>
      <c r="F146" s="18"/>
      <c r="G146" s="18"/>
      <c r="H146" s="14"/>
      <c r="I146" s="14"/>
      <c r="J146" s="18"/>
    </row>
    <row r="147">
      <c r="A147" s="18"/>
      <c r="B147" s="4"/>
      <c r="C147" s="18"/>
      <c r="D147" s="18"/>
      <c r="E147" s="18"/>
      <c r="F147" s="18"/>
      <c r="G147" s="18"/>
      <c r="H147" s="14"/>
      <c r="I147" s="14"/>
      <c r="J147" s="18"/>
    </row>
    <row r="148">
      <c r="A148" s="18"/>
      <c r="B148" s="4"/>
      <c r="C148" s="18"/>
      <c r="D148" s="18"/>
      <c r="E148" s="18"/>
      <c r="F148" s="18"/>
      <c r="G148" s="18"/>
      <c r="H148" s="14"/>
      <c r="I148" s="14"/>
      <c r="J148" s="18"/>
    </row>
    <row r="149">
      <c r="A149" s="18"/>
      <c r="B149" s="4"/>
      <c r="C149" s="18"/>
      <c r="D149" s="18"/>
      <c r="E149" s="18"/>
      <c r="F149" s="18"/>
      <c r="G149" s="18"/>
      <c r="H149" s="14"/>
      <c r="I149" s="14"/>
      <c r="J149" s="18"/>
    </row>
    <row r="150">
      <c r="A150" s="18"/>
      <c r="B150" s="4"/>
      <c r="C150" s="18"/>
      <c r="D150" s="18"/>
      <c r="E150" s="18"/>
      <c r="F150" s="18"/>
      <c r="G150" s="18"/>
      <c r="H150" s="14"/>
      <c r="I150" s="14"/>
      <c r="J150" s="18"/>
    </row>
    <row r="151">
      <c r="A151" s="18"/>
      <c r="B151" s="4"/>
      <c r="C151" s="18"/>
      <c r="D151" s="18"/>
      <c r="E151" s="18"/>
      <c r="F151" s="18"/>
      <c r="G151" s="18"/>
      <c r="H151" s="14"/>
      <c r="I151" s="14"/>
      <c r="J151" s="18"/>
    </row>
    <row r="152">
      <c r="A152" s="18"/>
      <c r="B152" s="4"/>
      <c r="C152" s="18"/>
      <c r="D152" s="18"/>
      <c r="E152" s="18"/>
      <c r="F152" s="18"/>
      <c r="G152" s="18"/>
      <c r="H152" s="14"/>
      <c r="I152" s="14"/>
      <c r="J152" s="18"/>
    </row>
    <row r="153">
      <c r="A153" s="18"/>
      <c r="B153" s="4"/>
      <c r="C153" s="18"/>
      <c r="D153" s="18"/>
      <c r="E153" s="18"/>
      <c r="F153" s="18"/>
      <c r="G153" s="18"/>
      <c r="H153" s="14"/>
      <c r="I153" s="14"/>
      <c r="J153" s="18"/>
    </row>
    <row r="154">
      <c r="A154" s="18"/>
      <c r="B154" s="4"/>
      <c r="C154" s="18"/>
      <c r="D154" s="18"/>
      <c r="E154" s="18"/>
      <c r="F154" s="18"/>
      <c r="G154" s="18"/>
      <c r="H154" s="14"/>
      <c r="I154" s="14"/>
      <c r="J154" s="18"/>
    </row>
    <row r="155">
      <c r="A155" s="18"/>
      <c r="B155" s="4"/>
      <c r="C155" s="18"/>
      <c r="D155" s="18"/>
      <c r="E155" s="18"/>
      <c r="F155" s="18"/>
      <c r="G155" s="18"/>
      <c r="H155" s="14"/>
      <c r="I155" s="14"/>
      <c r="J155" s="18"/>
    </row>
    <row r="156">
      <c r="A156" s="18"/>
      <c r="B156" s="4"/>
      <c r="C156" s="18"/>
      <c r="D156" s="18"/>
      <c r="E156" s="18"/>
      <c r="F156" s="18"/>
      <c r="G156" s="18"/>
      <c r="H156" s="14"/>
      <c r="I156" s="14"/>
      <c r="J156" s="18"/>
    </row>
    <row r="157">
      <c r="A157" s="18"/>
      <c r="B157" s="4"/>
      <c r="C157" s="18"/>
      <c r="D157" s="18"/>
      <c r="E157" s="18"/>
      <c r="F157" s="18"/>
      <c r="G157" s="18"/>
      <c r="H157" s="14"/>
      <c r="I157" s="14"/>
      <c r="J157" s="18"/>
    </row>
    <row r="158">
      <c r="A158" s="18"/>
      <c r="B158" s="4"/>
      <c r="C158" s="18"/>
      <c r="D158" s="18"/>
      <c r="E158" s="18"/>
      <c r="F158" s="18"/>
      <c r="G158" s="18"/>
      <c r="H158" s="14"/>
      <c r="I158" s="14"/>
      <c r="J158" s="18"/>
    </row>
    <row r="159">
      <c r="A159" s="18"/>
      <c r="B159" s="4"/>
      <c r="C159" s="18"/>
      <c r="D159" s="18"/>
      <c r="E159" s="18"/>
      <c r="F159" s="18"/>
      <c r="G159" s="18"/>
      <c r="H159" s="14"/>
      <c r="I159" s="14"/>
      <c r="J159" s="18"/>
    </row>
    <row r="160">
      <c r="A160" s="18"/>
      <c r="B160" s="4"/>
      <c r="C160" s="18"/>
      <c r="D160" s="18"/>
      <c r="E160" s="18"/>
      <c r="F160" s="18"/>
      <c r="G160" s="18"/>
      <c r="H160" s="14"/>
      <c r="I160" s="14"/>
      <c r="J160" s="18"/>
    </row>
    <row r="161">
      <c r="A161" s="18"/>
      <c r="B161" s="4"/>
      <c r="C161" s="18"/>
      <c r="D161" s="18"/>
      <c r="E161" s="18"/>
      <c r="F161" s="18"/>
      <c r="G161" s="18"/>
      <c r="H161" s="14"/>
      <c r="I161" s="14"/>
      <c r="J161" s="18"/>
    </row>
    <row r="162">
      <c r="A162" s="18"/>
      <c r="B162" s="4"/>
      <c r="C162" s="18"/>
      <c r="D162" s="18"/>
      <c r="E162" s="18"/>
      <c r="F162" s="18"/>
      <c r="G162" s="18"/>
      <c r="H162" s="14"/>
      <c r="I162" s="14"/>
      <c r="J162" s="18"/>
    </row>
    <row r="163">
      <c r="A163" s="18"/>
      <c r="B163" s="4"/>
      <c r="C163" s="18"/>
      <c r="D163" s="18"/>
      <c r="E163" s="18"/>
      <c r="F163" s="18"/>
      <c r="G163" s="18"/>
      <c r="H163" s="14"/>
      <c r="I163" s="14"/>
      <c r="J163" s="18"/>
    </row>
    <row r="164">
      <c r="A164" s="18"/>
      <c r="B164" s="4"/>
      <c r="C164" s="18"/>
      <c r="D164" s="18"/>
      <c r="E164" s="18"/>
      <c r="F164" s="18"/>
      <c r="G164" s="18"/>
      <c r="H164" s="14"/>
      <c r="I164" s="14"/>
      <c r="J164" s="18"/>
    </row>
    <row r="165">
      <c r="A165" s="18"/>
      <c r="B165" s="4"/>
      <c r="C165" s="18"/>
      <c r="D165" s="18"/>
      <c r="E165" s="18"/>
      <c r="F165" s="18"/>
      <c r="G165" s="18"/>
      <c r="H165" s="14"/>
      <c r="I165" s="14"/>
      <c r="J165" s="18"/>
    </row>
    <row r="166">
      <c r="A166" s="18"/>
      <c r="B166" s="4"/>
      <c r="C166" s="18"/>
      <c r="D166" s="18"/>
      <c r="E166" s="18"/>
      <c r="F166" s="18"/>
      <c r="G166" s="18"/>
      <c r="H166" s="14"/>
      <c r="I166" s="14"/>
      <c r="J166" s="18"/>
    </row>
    <row r="167">
      <c r="A167" s="18"/>
      <c r="B167" s="4"/>
      <c r="C167" s="18"/>
      <c r="D167" s="18"/>
      <c r="E167" s="18"/>
      <c r="F167" s="18"/>
      <c r="G167" s="18"/>
      <c r="H167" s="14"/>
      <c r="I167" s="14"/>
      <c r="J167" s="18"/>
    </row>
    <row r="168">
      <c r="A168" s="18"/>
      <c r="B168" s="4"/>
      <c r="C168" s="18"/>
      <c r="D168" s="18"/>
      <c r="E168" s="18"/>
      <c r="F168" s="18"/>
      <c r="G168" s="18"/>
      <c r="H168" s="14"/>
      <c r="I168" s="14"/>
      <c r="J168" s="18"/>
    </row>
    <row r="169">
      <c r="A169" s="18"/>
      <c r="B169" s="4"/>
      <c r="C169" s="18"/>
      <c r="D169" s="18"/>
      <c r="E169" s="18"/>
      <c r="F169" s="18"/>
      <c r="G169" s="18"/>
      <c r="H169" s="14"/>
      <c r="I169" s="14"/>
      <c r="J169" s="18"/>
    </row>
    <row r="170">
      <c r="A170" s="18"/>
      <c r="B170" s="4"/>
      <c r="C170" s="18"/>
      <c r="D170" s="18"/>
      <c r="E170" s="18"/>
      <c r="F170" s="18"/>
      <c r="G170" s="18"/>
      <c r="H170" s="14"/>
      <c r="I170" s="14"/>
      <c r="J170" s="18"/>
    </row>
    <row r="171">
      <c r="A171" s="18"/>
      <c r="B171" s="4"/>
      <c r="C171" s="18"/>
      <c r="D171" s="18"/>
      <c r="E171" s="18"/>
      <c r="F171" s="18"/>
      <c r="G171" s="18"/>
      <c r="H171" s="14"/>
      <c r="I171" s="14"/>
      <c r="J171" s="18"/>
    </row>
    <row r="172">
      <c r="A172" s="18"/>
      <c r="B172" s="4"/>
      <c r="C172" s="18"/>
      <c r="D172" s="18"/>
      <c r="E172" s="18"/>
      <c r="F172" s="18"/>
      <c r="G172" s="18"/>
      <c r="H172" s="14"/>
      <c r="I172" s="14"/>
      <c r="J172" s="18"/>
    </row>
    <row r="173">
      <c r="A173" s="18"/>
      <c r="B173" s="4"/>
      <c r="C173" s="18"/>
      <c r="D173" s="18"/>
      <c r="E173" s="18"/>
      <c r="F173" s="18"/>
      <c r="G173" s="18"/>
      <c r="H173" s="14"/>
      <c r="I173" s="14"/>
      <c r="J173" s="18"/>
    </row>
    <row r="174">
      <c r="A174" s="18"/>
      <c r="B174" s="4"/>
      <c r="C174" s="18"/>
      <c r="D174" s="18"/>
      <c r="E174" s="18"/>
      <c r="F174" s="18"/>
      <c r="G174" s="18"/>
      <c r="H174" s="14"/>
      <c r="I174" s="14"/>
      <c r="J174" s="18"/>
    </row>
    <row r="175">
      <c r="A175" s="18"/>
      <c r="B175" s="4"/>
      <c r="C175" s="18"/>
      <c r="D175" s="18"/>
      <c r="E175" s="18"/>
      <c r="F175" s="18"/>
      <c r="G175" s="18"/>
      <c r="H175" s="14"/>
      <c r="I175" s="14"/>
      <c r="J175" s="18"/>
    </row>
    <row r="176">
      <c r="A176" s="18"/>
      <c r="B176" s="4"/>
      <c r="C176" s="18"/>
      <c r="D176" s="18"/>
      <c r="E176" s="18"/>
      <c r="F176" s="18"/>
      <c r="G176" s="18"/>
      <c r="H176" s="14"/>
      <c r="I176" s="14"/>
      <c r="J176" s="18"/>
    </row>
    <row r="177">
      <c r="A177" s="18"/>
      <c r="B177" s="4"/>
      <c r="C177" s="18"/>
      <c r="D177" s="18"/>
      <c r="E177" s="18"/>
      <c r="F177" s="18"/>
      <c r="G177" s="18"/>
      <c r="H177" s="14"/>
      <c r="I177" s="14"/>
      <c r="J177" s="18"/>
    </row>
    <row r="178">
      <c r="A178" s="18"/>
      <c r="B178" s="4"/>
      <c r="C178" s="18"/>
      <c r="D178" s="18"/>
      <c r="E178" s="18"/>
      <c r="F178" s="18"/>
      <c r="G178" s="18"/>
      <c r="H178" s="14"/>
      <c r="I178" s="14"/>
      <c r="J178" s="18"/>
    </row>
    <row r="179">
      <c r="A179" s="18"/>
      <c r="B179" s="4"/>
      <c r="C179" s="18"/>
      <c r="D179" s="18"/>
      <c r="E179" s="18"/>
      <c r="F179" s="18"/>
      <c r="G179" s="18"/>
      <c r="H179" s="14"/>
      <c r="I179" s="14"/>
      <c r="J179" s="18"/>
    </row>
    <row r="180">
      <c r="A180" s="18"/>
      <c r="B180" s="4"/>
      <c r="C180" s="18"/>
      <c r="D180" s="18"/>
      <c r="E180" s="18"/>
      <c r="F180" s="18"/>
      <c r="G180" s="18"/>
      <c r="H180" s="14"/>
      <c r="I180" s="14"/>
      <c r="J180" s="18"/>
    </row>
    <row r="181">
      <c r="A181" s="18"/>
      <c r="B181" s="4"/>
      <c r="C181" s="18"/>
      <c r="D181" s="18"/>
      <c r="E181" s="18"/>
      <c r="F181" s="18"/>
      <c r="G181" s="18"/>
      <c r="H181" s="14"/>
      <c r="I181" s="14"/>
      <c r="J181" s="18"/>
    </row>
    <row r="182">
      <c r="A182" s="18"/>
      <c r="B182" s="4"/>
      <c r="C182" s="18"/>
      <c r="D182" s="18"/>
      <c r="E182" s="18"/>
      <c r="F182" s="18"/>
      <c r="G182" s="18"/>
      <c r="H182" s="14"/>
      <c r="I182" s="14"/>
      <c r="J182" s="18"/>
    </row>
    <row r="183">
      <c r="A183" s="18"/>
      <c r="B183" s="4"/>
      <c r="C183" s="18"/>
      <c r="D183" s="18"/>
      <c r="E183" s="18"/>
      <c r="F183" s="18"/>
      <c r="G183" s="18"/>
      <c r="H183" s="14"/>
      <c r="I183" s="14"/>
      <c r="J183" s="18"/>
    </row>
    <row r="184">
      <c r="A184" s="18"/>
      <c r="B184" s="4"/>
      <c r="C184" s="18"/>
      <c r="D184" s="18"/>
      <c r="E184" s="18"/>
      <c r="F184" s="18"/>
      <c r="G184" s="18"/>
      <c r="H184" s="14"/>
      <c r="I184" s="14"/>
      <c r="J184" s="18"/>
    </row>
    <row r="185">
      <c r="A185" s="18"/>
      <c r="B185" s="4"/>
      <c r="C185" s="18"/>
      <c r="D185" s="18"/>
      <c r="E185" s="18"/>
      <c r="F185" s="18"/>
      <c r="G185" s="18"/>
      <c r="H185" s="14"/>
      <c r="I185" s="14"/>
      <c r="J185" s="18"/>
    </row>
    <row r="186">
      <c r="A186" s="18"/>
      <c r="B186" s="4"/>
      <c r="C186" s="18"/>
      <c r="D186" s="18"/>
      <c r="E186" s="18"/>
      <c r="F186" s="18"/>
      <c r="G186" s="18"/>
      <c r="H186" s="14"/>
      <c r="I186" s="14"/>
      <c r="J186" s="18"/>
    </row>
    <row r="187">
      <c r="A187" s="18"/>
      <c r="B187" s="4"/>
      <c r="C187" s="18"/>
      <c r="D187" s="18"/>
      <c r="E187" s="18"/>
      <c r="F187" s="18"/>
      <c r="G187" s="18"/>
      <c r="H187" s="14"/>
      <c r="I187" s="14"/>
      <c r="J187" s="18"/>
    </row>
    <row r="188">
      <c r="A188" s="18"/>
      <c r="B188" s="4"/>
      <c r="C188" s="18"/>
      <c r="D188" s="18"/>
      <c r="E188" s="18"/>
      <c r="F188" s="18"/>
      <c r="G188" s="18"/>
      <c r="H188" s="14"/>
      <c r="I188" s="14"/>
      <c r="J188" s="18"/>
    </row>
    <row r="189">
      <c r="A189" s="18"/>
      <c r="B189" s="4"/>
      <c r="C189" s="18"/>
      <c r="D189" s="18"/>
      <c r="E189" s="18"/>
      <c r="F189" s="18"/>
      <c r="G189" s="18"/>
      <c r="H189" s="14"/>
      <c r="I189" s="14"/>
      <c r="J189" s="18"/>
    </row>
    <row r="190">
      <c r="A190" s="18"/>
      <c r="B190" s="4"/>
      <c r="C190" s="18"/>
      <c r="D190" s="18"/>
      <c r="E190" s="18"/>
      <c r="F190" s="18"/>
      <c r="G190" s="18"/>
      <c r="H190" s="14"/>
      <c r="I190" s="14"/>
      <c r="J190" s="18"/>
    </row>
    <row r="191">
      <c r="A191" s="18"/>
      <c r="B191" s="4"/>
      <c r="C191" s="18"/>
      <c r="D191" s="18"/>
      <c r="E191" s="18"/>
      <c r="F191" s="18"/>
      <c r="G191" s="18"/>
      <c r="H191" s="14"/>
      <c r="I191" s="14"/>
      <c r="J191" s="18"/>
    </row>
    <row r="192">
      <c r="A192" s="18"/>
      <c r="B192" s="4"/>
      <c r="C192" s="18"/>
      <c r="D192" s="18"/>
      <c r="E192" s="18"/>
      <c r="F192" s="18"/>
      <c r="G192" s="18"/>
      <c r="H192" s="14"/>
      <c r="I192" s="14"/>
      <c r="J192" s="18"/>
    </row>
    <row r="193">
      <c r="A193" s="18"/>
      <c r="B193" s="4"/>
      <c r="C193" s="18"/>
      <c r="D193" s="18"/>
      <c r="E193" s="18"/>
      <c r="F193" s="18"/>
      <c r="G193" s="18"/>
      <c r="H193" s="14"/>
      <c r="I193" s="14"/>
      <c r="J193" s="18"/>
    </row>
    <row r="194">
      <c r="A194" s="18"/>
      <c r="B194" s="4"/>
      <c r="C194" s="18"/>
      <c r="D194" s="18"/>
      <c r="E194" s="18"/>
      <c r="F194" s="18"/>
      <c r="G194" s="18"/>
      <c r="H194" s="14"/>
      <c r="I194" s="14"/>
      <c r="J194" s="18"/>
    </row>
    <row r="195">
      <c r="A195" s="18"/>
      <c r="B195" s="4"/>
      <c r="C195" s="18"/>
      <c r="D195" s="18"/>
      <c r="E195" s="18"/>
      <c r="F195" s="18"/>
      <c r="G195" s="18"/>
      <c r="H195" s="14"/>
      <c r="I195" s="14"/>
      <c r="J195" s="18"/>
    </row>
    <row r="196">
      <c r="A196" s="18"/>
      <c r="B196" s="4"/>
      <c r="C196" s="18"/>
      <c r="D196" s="18"/>
      <c r="E196" s="18"/>
      <c r="F196" s="18"/>
      <c r="G196" s="18"/>
      <c r="H196" s="14"/>
      <c r="I196" s="14"/>
      <c r="J196" s="18"/>
    </row>
    <row r="197">
      <c r="A197" s="18"/>
      <c r="B197" s="4"/>
      <c r="C197" s="18"/>
      <c r="D197" s="18"/>
      <c r="E197" s="18"/>
      <c r="F197" s="18"/>
      <c r="G197" s="18"/>
      <c r="H197" s="14"/>
      <c r="I197" s="14"/>
      <c r="J197" s="18"/>
    </row>
    <row r="198">
      <c r="A198" s="18"/>
      <c r="B198" s="4"/>
      <c r="C198" s="18"/>
      <c r="D198" s="18"/>
      <c r="E198" s="18"/>
      <c r="F198" s="18"/>
      <c r="G198" s="18"/>
      <c r="H198" s="14"/>
      <c r="I198" s="14"/>
      <c r="J198" s="18"/>
    </row>
    <row r="199">
      <c r="A199" s="18"/>
      <c r="B199" s="4"/>
      <c r="C199" s="18"/>
      <c r="D199" s="18"/>
      <c r="E199" s="18"/>
      <c r="F199" s="18"/>
      <c r="G199" s="18"/>
      <c r="H199" s="14"/>
      <c r="I199" s="14"/>
      <c r="J199" s="18"/>
    </row>
    <row r="200">
      <c r="A200" s="18"/>
      <c r="B200" s="4"/>
      <c r="C200" s="18"/>
      <c r="D200" s="18"/>
      <c r="E200" s="18"/>
      <c r="F200" s="18"/>
      <c r="G200" s="18"/>
      <c r="H200" s="14"/>
      <c r="I200" s="14"/>
      <c r="J200" s="18"/>
    </row>
    <row r="201">
      <c r="A201" s="18"/>
      <c r="B201" s="4"/>
      <c r="C201" s="18"/>
      <c r="D201" s="18"/>
      <c r="E201" s="18"/>
      <c r="F201" s="18"/>
      <c r="G201" s="18"/>
      <c r="H201" s="14"/>
      <c r="I201" s="14"/>
      <c r="J201" s="18"/>
    </row>
    <row r="202">
      <c r="A202" s="18"/>
      <c r="B202" s="4"/>
      <c r="C202" s="18"/>
      <c r="D202" s="18"/>
      <c r="E202" s="18"/>
      <c r="F202" s="18"/>
      <c r="G202" s="18"/>
      <c r="H202" s="14"/>
      <c r="I202" s="14"/>
      <c r="J202" s="18"/>
    </row>
    <row r="203">
      <c r="A203" s="18"/>
      <c r="B203" s="4"/>
      <c r="C203" s="18"/>
      <c r="D203" s="18"/>
      <c r="E203" s="18"/>
      <c r="F203" s="18"/>
      <c r="G203" s="18"/>
      <c r="H203" s="14"/>
      <c r="I203" s="14"/>
      <c r="J203" s="18"/>
    </row>
    <row r="204">
      <c r="A204" s="18"/>
      <c r="B204" s="4"/>
      <c r="C204" s="18"/>
      <c r="D204" s="18"/>
      <c r="E204" s="18"/>
      <c r="F204" s="18"/>
      <c r="G204" s="18"/>
      <c r="H204" s="14"/>
      <c r="I204" s="14"/>
      <c r="J204" s="18"/>
    </row>
    <row r="205">
      <c r="A205" s="18"/>
      <c r="B205" s="4"/>
      <c r="C205" s="18"/>
      <c r="D205" s="18"/>
      <c r="E205" s="18"/>
      <c r="F205" s="18"/>
      <c r="G205" s="18"/>
      <c r="H205" s="14"/>
      <c r="I205" s="14"/>
      <c r="J205" s="18"/>
    </row>
  </sheetData>
  <dataValidations count="4">
    <dataValidation allowBlank="true" errorStyle="stop" showErrorMessage="true" sqref="E3:E205" type="list">
      <formula1>"未使用,使用中,备选中"</formula1>
    </dataValidation>
    <dataValidation allowBlank="true" errorStyle="stop" showErrorMessage="true" sqref="G3:G12 G15:G205" type="list">
      <formula1>"分成,许可证,订阅,开源,买断"</formula1>
    </dataValidation>
    <dataValidation allowBlank="true" errorStyle="stop" showErrorMessage="true" sqref="G13:G14 D3:D205" type="list">
      <formula1>"引擎,软件,插件,云服务,模型,动画"</formula1>
    </dataValidation>
    <dataValidation allowBlank="true" errorStyle="stop" showErrorMessage="true" sqref="J3:J205" type="list">
      <formula1>"Done,Not Yet,No Need"</formula1>
    </dataValidation>
  </dataValidations>
  <hyperlinks>
    <hyperlink ref="L8" display="https://github.com/NotYetGames/DlgSystem" r:id="rId1"/>
    <hyperlink ref="A7" display="freshli4.com" r:id="rId2"/>
    <hyperlink ref="L4" display="https://www.audiokinetic.com/zh/customers/projects/yuql7149/" r:id="rId3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4"/>
  </cols>
  <sheetData>
    <row r="1">
      <c r="A1" s="40" t="str">
        <v>国家</v>
      </c>
      <c r="B1" s="40" t="str">
        <v>开发组</v>
      </c>
      <c r="C1" s="40" t="str">
        <v>所属国家</v>
      </c>
      <c r="D1" s="40" t="str">
        <v>发行商</v>
      </c>
      <c r="E1" s="40" t="str">
        <v>所属国家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</sheetData>
  <dataValidations count="1">
    <dataValidation allowBlank="true" errorStyle="stop" showDropDown="true" showErrorMessage="true" sqref="A2:A200" type="list">
      <formula1>"中国,美国,日本,韩国,新加坡,英国,法国,德国"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