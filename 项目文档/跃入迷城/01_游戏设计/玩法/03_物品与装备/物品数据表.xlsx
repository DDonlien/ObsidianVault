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1.xml" ContentType="application/vnd.ms-excel.threadedcomments+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7.xml" ContentType="application/vnd.openxmlformats-officedocument.spreadsheetml.worksheet+xml"/>
  <Override PartName="/xl/worksheets/sheet8.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9.xml" ContentType="application/vnd.openxmlformats-officedocument.spreadsheetml.worksheet+xml"/>
  <Override PartName="/xl/worksheets/sheet10.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worksheets/sheet11.xml" ContentType="application/vnd.openxmlformats-officedocument.spreadsheetml.worksheet+xml"/>
  <Override PartName="/xl/worksheets/sheet12.xml" ContentType="application/vnd.openxmlformats-officedocument.spreadsheetml.worksheet+xml"/>
  <Override PartName="/xl/comments6.xml" ContentType="application/vnd.openxmlformats-officedocument.spreadsheetml.comments+xml"/>
  <Override PartName="/xl/threadedComments/threadedComment6.xml" ContentType="application/vnd.ms-excel.threadedcomments+xml"/>
  <Override PartName="/xl/worksheets/sheet13.xml" ContentType="application/vnd.openxmlformats-officedocument.spreadsheetml.worksheet+xml"/>
  <Override PartName="/xl/worksheets/sheet14.xml" ContentType="application/vnd.openxmlformats-officedocument.spreadsheetml.worksheet+xml"/>
  <Default Extension="rels" ContentType="application/vnd.openxmlformats-package.relationships+xml"/>
  <Default Extension="xml" ContentType="application/xml"/>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引用数据库" sheetId="2" r:id="rId6"/>
    <sheet name="阵营列表" sheetId="3" r:id="rId7"/>
    <sheet name="武器" sheetId="4" r:id="rId8"/>
    <sheet name="WeaponConfig" sheetId="5" r:id="rId9"/>
    <sheet name="武器技能" sheetId="6" r:id="rId10"/>
    <sheet name="智脑&amp;智脑技能" sheetId="7" r:id="rId11"/>
    <sheet name="义体&amp;义体技能" sheetId="8" r:id="rId12"/>
    <sheet name="属性异常" sheetId="9" r:id="rId13"/>
    <sheet name="状态|属性|效果" sheetId="10" r:id="rId14"/>
    <sheet name="掉落概率" sheetId="11" r:id="rId15"/>
    <sheet name="属性补正" sheetId="12" r:id="rId16"/>
    <sheet name="韧性计算" sheetId="13" r:id="rId17"/>
    <sheet name="Draft" sheetId="14"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tc={C2D097F2-5020-4882-B7F2-FDA845F0E5BE}</author>
  </authors>
  <commentList>
    <comment ref="B1" authorId="0" shapeId="0" xr:uid="{C2D097F2-5020-4882-B7F2-FDA845F0E5BE}">
      <text>
        <t>[Threaded comment] Your version of Excel allows you to read this threaded comment; however, any edits to it will get removed if the file is opened in a newer version of Excel. Learn more: https://go.microsoft.com/fwlink/?linkid=870924 Comment: 这里是各个武器/义体品牌的风格定位，二位可以看一下描述文本上后续怎么展开&lt;at t@Jadet@Serein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tc={DD465964-A1F5-4CF7-A6BB-0F865A84A0AF}</author>
    <author>tc={A04C47CB-44DA-4100-B381-EC554A9A700C}</author>
    <author>tc={01AA7D1B-156E-4DBE-8BBA-F68A76BE667E}</author>
    <author>tc={7697C99A-34DD-4BB5-B925-0F7F667E01C2}</author>
    <author>tc={7D3D7267-0416-4F85-9328-62AC6E1A373D}</author>
    <author>tc={22C1C18C-5850-4D37-A693-0211FB6AA9E1}</author>
    <author>tc={05204639-98A9-43BD-B549-AF6C40FCE561}</author>
    <author>tc={5BF60BFE-9CD0-42CE-BBC0-8203866EABA6}</author>
    <author>tc={34381556-08CB-459A-B200-1B3F3A7D38FE}</author>
    <author>tc={EADE0122-6D94-4D8B-992A-880816074CD5}</author>
    <author>tc={25CABB97-53FC-4328-A081-D3F917944092}</author>
    <author>tc={53D16606-9B58-4D31-9E05-81A04714CA4D}</author>
  </authors>
  <commentList>
    <comment ref="CY2" authorId="0" shapeId="0" xr:uid="{DD465964-A1F5-4CF7-A6BB-0F865A84A0AF}">
      <text>
        <t>[Threaded comment] Your version of Excel allows you to read this threaded comment; however, any edits to it will get removed if the file is opened in a newer version of Excel. Learn more: https://go.microsoft.com/fwlink/?linkid=870924 Comment: JAM出场的6个武器及其描述@Serein @Jade</t>
      </text>
    </comment>
    <comment ref="Q3" authorId="1" shapeId="0" xr:uid="{A04C47CB-44DA-4100-B381-EC554A9A700C}">
      <text>
        <t>[Threaded comment] Your version of Excel allows you to read this threaded comment; however, any edits to it will get removed if the file is opened in a newer version of Excel. Learn more: https://go.microsoft.com/fwlink/?linkid=870924 Comment: 大部分远程武器瞬间生成投射物@Decay @Cade</t>
      </text>
    </comment>
    <comment ref="CY63" authorId="2" shapeId="0" xr:uid="{01AA7D1B-156E-4DBE-8BBA-F68A76BE667E}">
      <text>
        <t>[Threaded comment] Your version of Excel allows you to read this threaded comment; however, any edits to it will get removed if the file is opened in a newer version of Excel. Learn more: https://go.microsoft.com/fwlink/?linkid=870924 Comment: 这把武器应该在发射方向上射出4发火箭弹，并在鼠标位置所在的直线上顺序落下4发，其引导线应为4个圆圈而非一束激光，火箭弹通过程序化走抛物线，途径目标被拦截时也会触发伤害@Decay</t>
      </text>
    </comment>
    <comment ref="T2" authorId="3" shapeId="0" xr:uid="{7697C99A-34DD-4BB5-B925-0F7F667E01C2}">
      <text>
        <t>[Threaded comment] Your version of Excel allows you to read this threaded comment; however, any edits to it will get removed if the file is opened in a newer version of Excel. Learn more: https://go.microsoft.com/fwlink/?linkid=870924 Comment: 攻击间隔，如果是半自动武器，低于该间隔不处理第二个输入指令，如果是全自动武器，则每过这个间隔触发一次伤害/发射一次子弹。&lt;at t@Cadet@Decay</t>
      </text>
    </comment>
    <comment ref="CP2" authorId="4" shapeId="0" xr:uid="{7D3D7267-0416-4F85-9328-62AC6E1A373D}">
      <text>
        <t>[Threaded comment] Your version of Excel allows you to read this threaded comment; however, any edits to it will get removed if the file is opened in a newer version of Excel. Learn more: https://go.microsoft.com/fwlink/?linkid=870924 Comment: 针对霰弹类武器（每次攻击发射多个projectile）单次伤害均指总伤害，每个弹丸应该均分这些伤害。这个伤害也对应了面板上的伤害数值，但不影响秒伤计算</t>
      </text>
    </comment>
    <comment ref="R2" authorId="5" shapeId="0" xr:uid="{22C1C18C-5850-4D37-A693-0211FB6AA9E1}">
      <text>
        <t>[Threaded comment] Your version of Excel allows you to read this threaded comment; however, any edits to it will get removed if the file is opened in a newer version of Excel. Learn more: https://go.microsoft.com/fwlink/?linkid=870924 Comment: 动画应该在：前摇+伤害阶段+后摇之间播完@Cade @Decay</t>
      </text>
    </comment>
    <comment ref="BW2" authorId="6" shapeId="0" xr:uid="{05204639-98A9-43BD-B549-AF6C40FCE561}">
      <text>
        <t>[Threaded comment] Your version of Excel allows you to read this threaded comment; however, any edits to it will get removed if the file is opened in a newer version of Excel. Learn more: https://go.microsoft.com/fwlink/?linkid=870924 Comment: 每动的体力消耗，对于多动武器也是每动计算。 Reply: @Cade @Decay</t>
      </text>
    </comment>
    <comment ref="BP2" authorId="7" shapeId="0" xr:uid="{5BF60BFE-9CD0-42CE-BBC0-8203866EABA6}">
      <text>
        <t>[Threaded comment] Your version of Excel allows you to read this threaded comment; however, any edits to it will get removed if the file is opened in a newer version of Excel. Learn more: https://go.microsoft.com/fwlink/?linkid=870924 Comment: 目标是1级标准武器子弹价值=100%，也即杀一个小怪5发子弹</t>
      </text>
    </comment>
    <comment ref="BR2" authorId="8" shapeId="0" xr:uid="{34381556-08CB-459A-B200-1B3F3A7D38FE}">
      <text>
        <t>[Threaded comment] Your version of Excel allows you to read this threaded comment; however, any edits to it will get removed if the file is opened in a newer version of Excel. Learn more: https://go.microsoft.com/fwlink/?linkid=870924 Comment: 造成100点伤害需要消耗的子弹量</t>
      </text>
    </comment>
    <comment ref="P3" authorId="9" shapeId="0" xr:uid="{EADE0122-6D94-4D8B-992A-880816074CD5}">
      <text>
        <t>[Threaded comment] Your version of Excel allows you to read this threaded comment; however, any edits to it will get removed if the file is opened in a newer version of Excel. Learn more: https://go.microsoft.com/fwlink/?linkid=870924 Comment: 大部分远程武器瞬间出手@Decay @Cade</t>
      </text>
    </comment>
    <comment ref="CK2" authorId="10" shapeId="0" xr:uid="{25CABB97-53FC-4328-A081-D3F917944092}">
      <text>
        <t>[Threaded comment] Your version of Excel allows you to read this threaded comment; however, any edits to it will get removed if the file is opened in a newer version of Excel. Learn more: https://go.microsoft.com/fwlink/?linkid=870924 Comment: NEW @Decay Reply: 考量了多动武器的每发子弹伤害拆分</t>
      </text>
    </comment>
    <comment ref="H51" authorId="11" shapeId="0" xr:uid="{53D16606-9B58-4D31-9E05-81A04714CA4D}">
      <text>
        <t>[Threaded comment] Your version of Excel allows you to read this threaded comment; however, any edits to it will get removed if the file is opened in a newer version of Excel. Learn more: https://go.microsoft.com/fwlink/?linkid=870924 Comment: @Taobe 喷射器子弹消耗 / 伤害区域 / 伤害计算 是怎么样的？ Reply: @Decay 喷射器应该在散步角度和射程构成的扇形内造成伤害（复用普通远程武器）我会把张角扩张速率什么的都调配成0，伤害计算也是一样，我写面板和攻击间隔。唯一特殊的是1. 每次在整个范围内而非projectile碰撞造成伤害；2. 子弹消耗之前就说要加个比例系数，现在要加上了，不能所有武器都平等的消耗同样的子弹，cc@Cade Reply: @龚政涛 手枪冲锋枪之类系数是1，喷射器低一些是这样？ Reply: @Decay 对，然后火箭发射器之类的可能是4、5 Reply: @龚政涛 不如代码直接把喷射器的子弹消耗理解成每秒消耗量，这样一个子弹消耗字段就可以配所有武器了，少点配置量？ Reply: @Decay 意思是加一个boolean，开的时候改为每秒消耗？这感觉可以的，但有2个小问题：1. 玩家如果反复按1秒内攻击怎么办；2. 火箭弹类的武器攻击子弹小号怎么处理 Reply: @龚政涛 不用加布尔，喷射器攻击的时候单独把子弹消耗视为每秒量就行了。实际运算的时候会算每秒子弹消耗*单次攻击时常，得到一个单动的子弹消耗，这样子弹消耗最终就是和伤害次数挂钩的，打出来多少耗多少。(当然也可以在源头，也就是配置端就把喷射器的子弹消耗理解成单动消耗，但我感觉对策划来说应该是每秒消耗更有好一些)
至于发射器，我看上面那个炎舞者子弹消耗是16，那就是射一发耗16呗，和喷射器互不相干了就 Reply: @Decay 也就是发射器依旧用N发的设计，但喷射器用每秒，喷射器的每秒消耗如果有小数点就存着？ Reply: @龚政涛 现在弹药已经全改成float了，所以耗多少就会扣多少，显示还是整数 Reply: @Decay 那OK Reply: @Taobe 以及喷射器的体力消耗也会被理解成是每秒量</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tc={699E974C-6152-49BF-AA6A-B7DF940F1FF2}</author>
    <author>tc={DBF9357C-0D0D-4EB9-AEA6-1861A73A3FFA}</author>
    <author>tc={BEDEA505-DD61-4F29-8C93-8CEC1D6FB95A}</author>
    <author>tc={51E44E5F-613B-484C-BDAB-4F9504460658}</author>
  </authors>
  <commentList>
    <comment ref="U19" authorId="0" shapeId="0" xr:uid="{699E974C-6152-49BF-AA6A-B7DF940F1FF2}">
      <text>
        <t>[Threaded comment] Your version of Excel allows you to read this threaded comment; however, any edits to it will get removed if the file is opened in a newer version of Excel. Learn more: https://go.microsoft.com/fwlink/?linkid=870924 Comment: 话说技能现在分等级了？不同等级的技能和武器怎么对应？ Reply: @Decay 技能分等级，和武器等级1 = 1对应，最省我策划事情的做法是：技能的BP预先配置好1~5级的数值，绑定到武器生成实例的时候，GET一下武器等级，看看是几级就给几级的数值；笨办法是一个技能COPY五个CHILD，我分别配置到5个级别的武器上 Reply: @龚政涛 还是全都扔一个BP里吧，减少点配置复杂度</t>
      </text>
    </comment>
    <comment ref="Y21" authorId="1" shapeId="0" xr:uid="{DBF9357C-0D0D-4EB9-AEA6-1861A73A3FFA}">
      <text>
        <t>[Threaded comment] Your version of Excel allows you to read this threaded comment; however, any edits to it will get removed if the file is opened in a newer version of Excel. Learn more: https://go.microsoft.com/fwlink/?linkid=870924 Comment: @Taobe 因为现在就剩下这一个引导技能了所以打算做这个。
反射的话是沿球面法线镜面反弹，还是原路返回？ Reply: @Decay 原路返回</t>
      </text>
    </comment>
    <comment ref="F1" authorId="2" shapeId="0" xr:uid="{BEDEA505-DD61-4F29-8C93-8CEC1D6FB95A}">
      <text>
        <t>[Threaded comment] Your version of Excel allows you to read this threaded comment; however, any edits to it will get removed if the file is opened in a newer version of Excel. Learn more: https://go.microsoft.com/fwlink/?linkid=870924 Comment: 我考虑移除“武器战技”这个选项，因为武器战技不就是主动的武器技能么？@Decay Reply: 这个字段完全没进程序，暂时没看到用处 Reply: @Decay 有些技能只会在义体出现、反之有些只会在武器上出现，这个同时影响打印机生成新武器时候的随机池以及融合打印的随机池（if融合打印和购买的打印机拆开） Reply: @龚政涛 那可以考虑加这个字段</t>
      </text>
    </comment>
    <comment ref="J4" authorId="3" shapeId="0" xr:uid="{51E44E5F-613B-484C-BDAB-4F9504460658}">
      <text>
        <t>[Threaded comment] Your version of Excel allows you to read this threaded comment; however, any edits to it will get removed if the file is opened in a newer version of Excel. Learn more: https://go.microsoft.com/fwlink/?linkid=870924 Comment: @Taobe 我觉得这个技能 (包括下面那个自由制导) 听起来更像一个切换或者瞬发技能？引导技能按照经验来说引导过程中不能攻击吧？
另外引导技能要按住Q或E，这时候玩家按WASD也会有困难 Reply: @Decay 有道理。有一说一这个不好按我本来是故意的，想增加“瞄准的时候移动不便利”的代入感，但想想确实没必要这样为难玩家，我分别改成“切换”和“瞬发”了</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tc={35C97091-0CA6-43DA-90B6-F56CA9D1D5CF}</author>
    <author>tc={5302DBB9-B7DC-4DB8-8C9C-517B9EEB5958}</author>
    <author>tc={C0B5F020-CEEF-4789-B964-A619A2D1749E}</author>
    <author>tc={EF5F7524-5B2C-4858-85D0-D431ADA58B34}</author>
    <author>tc={F506CB82-84F3-4072-991E-CB564E457DA3}</author>
    <author>tc={BDF1986C-49F3-4359-9B3D-78BBC09DD9D4}</author>
    <author>tc={F15E9554-C9B7-4947-8C3B-2E6F1D0DE2F0}</author>
    <author>tc={7F123B08-F190-48DF-AA92-4C92281B68BF}</author>
  </authors>
  <commentList>
    <comment ref="T79" authorId="0" shapeId="0" xr:uid="{35C97091-0CA6-43DA-90B6-F56CA9D1D5CF}">
      <text>
        <t>[Threaded comment] Your version of Excel allows you to read this threaded comment; however, any edits to it will get removed if the file is opened in a newer version of Excel. Learn more: https://go.microsoft.com/fwlink/?linkid=870924 Comment: @Taobe 然后会破除光学迷彩吗 Reply: @Decay 会（除非有攻击不破除光学迷彩的技能，现在没有这种技能）</t>
      </text>
    </comment>
    <comment ref="T81" authorId="1" shapeId="0" xr:uid="{5302DBB9-B7DC-4DB8-8C9C-517B9EEB5958}">
      <text>
        <t>[Threaded comment] Your version of Excel allows you to read this threaded comment; however, any edits to it will get removed if the file is opened in a newer version of Excel. Learn more: https://go.microsoft.com/fwlink/?linkid=870924 Comment: @Taobe 这个光学扭曲和光学迷彩的定义好像没找到(只在老buildsheet里有，感觉也不太对)，另外下面那个隐身和这两个状态啥关系 Reply: @Decay 光学迷彩就是隐身，我应该合并的。光学扭曲类似于半隐身，如果是PVP，没有UI，不被吸附，人变得透明，但有轮廓，就像人族看自己的幽灵一样。如果是AI，则是已经看到你的能继续打你，但没看到你的（一旦失去SIGHT）没办法建立新的SIGHT Reply: @Taobe 获得“短暂的光学扭曲状态”，但光学扭曲状态的持续时间又是无限 Reply: @Decay 短暂是我瞎jb写的，这个就是持续到奔跑结束</t>
      </text>
    </comment>
    <comment ref="T80" authorId="2" shapeId="0" xr:uid="{C0B5F020-CEEF-4789-B964-A619A2D1749E}">
      <text>
        <t>[Threaded comment] Your version of Excel allows you to read this threaded comment; however, any edits to it will get removed if the file is opened in a newer version of Excel. Learn more: https://go.microsoft.com/fwlink/?linkid=870924 Comment: @Taobe 可是光学扭曲和光学迷彩的解除条件本来不就是攻击吗，释放一个不造成伤害的技能本来就不是攻击吧 Reply: @Decay 我本来想的是攻击/使用技能的动作都会打断光学迷彩和扭曲。有了这个技能后如果武器/智脑技能不直接造成伤害就不会打断。不直接造成伤害的情况也包括丢地雷、丢手雷这种由投射物造成伤害的情况。 Reply: 修改了这个技能：只作用与武器技能（而不是武器和智脑），并且无论是否有伤害。另外，简化了技能效果描述。</t>
      </text>
    </comment>
    <comment ref="T123" authorId="3" shapeId="0" xr:uid="{EF5F7524-5B2C-4858-85D0-D431ADA58B34}">
      <text>
        <t>[Threaded comment] Your version of Excel allows you to read this threaded comment; however, any edits to it will get removed if the file is opened in a newer version of Excel. Learn more: https://go.microsoft.com/fwlink/?linkid=870924 Comment: @Taobe 这个吸血效果有没有完整点的定义。我理解里是类似血源那种虚血吸血对吧。那么像渴血症这个技能，吸血时间延长后，本来因为超时没被考虑的掉血现在需要被重新考虑吗，还是只考虑延长后的新掉血 Reply: 问到点上了方哥，这个就是血源那个效果，所以我在想我是不是底层要先定义虚血的计算？ Reply: @Taobe 对，需要把基本逻辑定义下 Reply: @Decay 稍等我晚上写下 Reply: @Taobe 所以现在这个技能的效果还是看不太懂，这个时间到底是什么时间 Reply: @Decay 这个也要改下，看看新写的。 Reply: @Taobe 另外技能描述没改过来 Reply: @Decay 我看了下没错呀，我有点想不到有什么更好的描述方法hhh Reply: 这个技能的CT配置似乎不生效</t>
      </text>
    </comment>
    <comment ref="U63" authorId="4" shapeId="0" xr:uid="{F506CB82-84F3-4072-991E-CB564E457DA3}">
      <text>
        <t>[Threaded comment] Your version of Excel allows you to read this threaded comment; however, any edits to it will get removed if the file is opened in a newer version of Excel. Learn more: https://go.microsoft.com/fwlink/?linkid=870924 Comment: @Taobe 这个伤害倍率是指在所有伤害buff计算完之后再乘以这个倍率吗？</t>
      </text>
    </comment>
    <comment ref="T103" authorId="5" shapeId="0" xr:uid="{BDF1986C-49F3-4359-9B3D-78BBC09DD9D4}">
      <text>
        <t>[Threaded comment] Your version of Excel allows you to read this threaded comment; however, any edits to it will get removed if the file is opened in a newer version of Excel. Learn more: https://go.microsoft.com/fwlink/?linkid=870924 Comment: @Taobe 这里的表述是未被目标发现，这意思是只要被打的人没有我的sight，就会被额外伤害吗。相对的上面暗杀头脑表述是“如果你没有被发现”，我的实现类似是小鱼人大招那样，所有敌人都没看见玩家的时候才会触发。 Reply: @Decay 你的两个理解都正确，之后我会更严谨的用这两个词</t>
      </text>
    </comment>
    <comment ref="U18" authorId="6" shapeId="0" xr:uid="{F15E9554-C9B7-4947-8C3B-2E6F1D0DE2F0}">
      <text>
        <t>[Threaded comment] Your version of Excel allows you to read this threaded comment; however, any edits to it will get removed if the file is opened in a newer version of Excel. Learn more: https://go.microsoft.com/fwlink/?linkid=870924 Comment: @Taobe 这里额外确认下，武器技能伤害就是指技能实际打出来的最终伤害对吧 Reply: @Decay 对的，我想想有没有比较好的措辞固定这个情况</t>
      </text>
    </comment>
    <comment ref="T108" authorId="7" shapeId="0" xr:uid="{7F123B08-F190-48DF-AA92-4C92281B68BF}">
      <text>
        <t>[Threaded comment] Your version of Excel allows you to read this threaded comment; however, any edits to it will get removed if the file is opened in a newer version of Excel. Learn more: https://go.microsoft.com/fwlink/?linkid=870924 Comment: @Taobe 这个“发现”要限定是哪个ai sense吗，还是说所有sense都算上。现在有视听、伤害、触碰sense Reply: @Decay 限定视觉sense。加上其他的我感觉会有bug。</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tc={ACD47EE7-8A17-4C91-9B01-14F63DDF240F}</author>
    <author>tc={EB97F37E-DD38-4191-94D8-765CD6E83BD0}</author>
    <author>tc={C8503F00-FBC2-4D63-8140-DF75EBDD5423}</author>
  </authors>
  <commentList>
    <comment ref="A9" authorId="0" shapeId="0" xr:uid="{ACD47EE7-8A17-4C91-9B01-14F63DDF240F}">
      <text>
        <t>[Threaded comment] Your version of Excel allows you to read this threaded comment; however, any edits to it will get removed if the file is opened in a newer version of Excel. Learn more: https://go.microsoft.com/fwlink/?linkid=870924 Comment: 吸血就比较好算了，剩下多少虚血就是能恢复多少，恢复比例由Buff定义@Decay Reply: @龚政涛 没太看懂，我之前脑部是血源那样一次性吸一截血，但这里的生效时间窗口和持续时间是啥意思 Reply: @Decay 跟血源一样的，我写的时候还没有想清楚虚血这个对象的存在，现在你认为就是按照这个恢复比例回虚血就好，虚血有就能回复，没有就不行。 Reply: @Decay 这个持续时间只是BUFF的持续时间，不同的技能可能给的吸血BUFF持续时间不一样 Reply: @龚政涛 所以吸血不是一个固有存在的状态，而是一个由外部提供的buff对吧</t>
      </text>
    </comment>
    <comment ref="E12" authorId="1" shapeId="0" xr:uid="{EB97F37E-DD38-4191-94D8-765CD6E83BD0}">
      <text>
        <t>[Threaded comment] Your version of Excel allows you to read this threaded comment; however, any edits to it will get removed if the file is opened in a newer version of Excel. Learn more: https://go.microsoft.com/fwlink/?linkid=870924 Comment: @Taobe 还是一样的，这里的"发现"代表了sight这个sense，而不是所有sense对吧 Reply: @Taobe 还有就是光学扭曲攻击或受击时也移除吧？ Reply: @Decay 好问题，先设计成受击也移除吧，我kinda觉得可能得玩了才知道哪个好些。 Reply: @Taobe 光学扭曲这个未被发现，是指没有任何敌人有自己的sight，还是说对于有自己sight的敌人无效的同时，对没自己sight的敌人有效？ Reply: @Decay 就先按简单的来好了我先试下，之前忘记at你了，我的</t>
      </text>
    </comment>
    <comment ref="M2" authorId="2" shapeId="0" xr:uid="{C8503F00-FBC2-4D63-8140-DF75EBDD5423}">
      <text>
        <t>[Threaded comment] Your version of Excel allows you to read this threaded comment; however, any edits to it will get removed if the file is opened in a newer version of Excel. Learn more: https://go.microsoft.com/fwlink/?linkid=870924 Comment: @Taobe 这个属性伤害达到上限是什么意思，哪里有定义么 Reply: @Decay 就是怪物猎人的异常积蓄，或者黑魂，都是同一套逻辑。 Reply: @龚政涛 积累的异常值等同于造成的伤害值吗？异常积累满之后是清零还是？灼烧重伤这种触发了在持续时间里的时候还能继续叠加异常值吗 Reply: @Decay 1. 积累的异常值不等于造成的伤害值，由单独的“异常积蓄”属性积累，和韧性类似；2. 每个异常伤害独立计算；3. 积蓄满后清零；4. 持续期间可以继续积累 Reply: @Decay 也是类似于怪猎的“麻痹”之类的异常，只不过没有怪猎那种“中了一次下一次要多积累一点”的设计</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tc={2101D307-2085-44C5-80BC-09DCB9E0B41A}</author>
  </authors>
  <commentList>
    <comment ref="F1" authorId="0" shapeId="0" xr:uid="{2101D307-2085-44C5-80BC-09DCB9E0B41A}">
      <text>
        <t>[Threaded comment] Your version of Excel allows you to read this threaded comment; however, any edits to it will get removed if the file is opened in a newer version of Excel. Learn more: https://go.microsoft.com/fwlink/?linkid=870924 Comment: 由于单补正显然比双补正好做Build，因此双补正应该比单补正的数值更大些？@Cade Reply: 我这里留了5个+号方便做出细微差异，武器则只有3个，体现出武器比属性的补正影响更小，也就是一把明确的武器应该是8个+决定补正高低，升级到Lv5时在追加2个到10个 Reply: 如果要简化玩家的视觉重心：我们可以把大部分武器限制为“只出现有匹配属性的”类型，比如如果武士刀没有智力补正，那也不会出现热能、纳米和霜冻的武士刀 Reply: 这样补正的计算也变得简单：
S = 9~10 = 150%
A = 7~8 = 125%
B = 5~6 = 100%
C = 3~4 = 75%
D = 1~2 = 50%
E = 0 = 0%
这里只代表“程度”具体数值可以微调 Reply: 单双补正这里其实还要考虑到roll被动的时候，双补正武器能选择的池子会更广，其实双属性的武器打法会更丰富，所以数值这里比单补正要低是合理的</t>
      </text>
    </comment>
  </commentList>
</comments>
</file>

<file path=xl/sharedStrings.xml><?xml version="1.0" encoding="utf-8"?>
<sst xmlns="http://schemas.openxmlformats.org/spreadsheetml/2006/main" count="59" uniqueCount="59">
  <si>
    <t xml:space="preserve">  </t>
  </si>
  <si>
    <t/>
    <r>
      <t>即使公司们一拖再拖，20世纪的大部分技术专利都已经入公共知识产权领域。而</t>
    </r>
    <r>
      <rPr>
        <u/>
        <sz val="9.75"/>
        <color theme="10"/>
        <rFont val="Calibri"/>
        <family val="2"/>
      </rPr>
      <t>AI梦时代</t>
    </r>
    <r>
      <t>创造的大部分技术都遵循开源法规，这批科技古董反而成了最值钱的复古科幻纪念品。一直以来，大量非盈利团体致力于保证这些专利产品的持续开放性。</t>
    </r>
    <r>
      <t xml:space="preserve">
</t>
    </r>
    <r>
      <t>2032年，几个重要团体共同建立了纪念碑基金会，全权托管于管理</t>
    </r>
    <r>
      <rPr>
        <u/>
        <sz val="9.75"/>
        <color theme="10"/>
        <rFont val="Calibri"/>
        <family val="2"/>
      </rPr>
      <t>ASI</t>
    </r>
    <r>
      <t>「M.O.N.U.M.」，意图创造没有偏见的公共知识产权管理组织。</t>
    </r>
    <r>
      <t xml:space="preserve">
</t>
    </r>
    <r>
      <t>数年后，「M.O.N.U.M.」被发现自上线之初，便无差别的窃取所有可访问的知识产权，并将其公开发布到互联网，但由于纪念碑组织的特殊性，该基金会既没有被关停，也没有任何人被问责，只是法律上被定义为非法。</t>
    </r>
    <r>
      <t xml:space="preserve">
</t>
    </r>
    <r>
      <t>即使步入了</t>
    </r>
    <r>
      <rPr>
        <u/>
        <sz val="9.75"/>
        <color theme="10"/>
        <rFont val="Calibri"/>
        <family val="2"/>
      </rPr>
      <t>数据隔离时代</t>
    </r>
    <r>
      <t>，「M.O.N.U.M.」则依旧在旧互联网活跃。</t>
    </r>
  </si>
  <si>
    <t/>
    <r>
      <t>来自于西欧的生物科技公司，在</t>
    </r>
    <r>
      <rPr>
        <u/>
        <sz val="9.75"/>
        <color theme="10"/>
        <rFont val="Calibri"/>
        <family val="2"/>
      </rPr>
      <t>融合打印</t>
    </r>
    <r>
      <t>技术上的积累无人能敌。</t>
    </r>
    <r>
      <t xml:space="preserve">
</t>
    </r>
    <r>
      <t>似乎在基因改造技术上也颇有建树，但受制于社会伦理，并没有太多公开成果。</t>
    </r>
    <r>
      <t xml:space="preserve">
</t>
    </r>
    <r>
      <t>该公司提供了市场上超过40%份额的药物品类。</t>
    </r>
  </si>
  <si>
    <t/>
    <r>
      <t>成立于中亚地区的</t>
    </r>
    <r>
      <rPr>
        <u/>
        <sz val="9.75"/>
        <color theme="10"/>
        <rFont val="Calibri"/>
        <family val="2"/>
      </rPr>
      <t>中立公司</t>
    </r>
    <r>
      <t>，在湿件控制领域有着领先的技术，与</t>
    </r>
    <r>
      <rPr>
        <u/>
        <sz val="9.75"/>
        <color theme="10"/>
        <rFont val="Calibri"/>
        <family val="2"/>
      </rPr>
      <t xml:space="preserve">律动智能（Rhythm Intelligence）</t>
    </r>
    <r>
      <t>有着频繁的业务冲突。</t>
    </r>
    <r>
      <t xml:space="preserve">
</t>
    </r>
    <r>
      <t>消泡事件期间，耶利哥是首先公开销毁所有</t>
    </r>
    <r>
      <rPr>
        <u/>
        <sz val="9.75"/>
        <color theme="10"/>
        <rFont val="Calibri"/>
        <family val="2"/>
      </rPr>
      <t>ASI</t>
    </r>
    <r>
      <t>的集团。</t>
    </r>
  </si>
  <si>
    <t/>
    <r>
      <t>发源自东南亚的机器人与人工智能企业。即使在</t>
    </r>
    <r>
      <rPr>
        <u/>
        <sz val="9.75"/>
        <color theme="10"/>
        <rFont val="Calibri"/>
        <family val="2"/>
      </rPr>
      <t>ASI</t>
    </r>
    <r>
      <t>被宣布违法后，依旧致力于传统AI技术的开发。</t>
    </r>
    <r>
      <t xml:space="preserve">
</t>
    </r>
    <r>
      <t>该公司现在提供了大部分</t>
    </r>
    <r>
      <rPr>
        <u/>
        <sz val="9.75"/>
        <color theme="10"/>
        <rFont val="Calibri"/>
        <family val="2"/>
      </rPr>
      <t>纤维城</t>
    </r>
    <r>
      <t>的无人浮空车控制系统，也在全球交通运输市场占有最高份额。</t>
    </r>
  </si>
  <si>
    <t/>
    <r>
      <t>来自北欧、专注于信息技术和网络安全的公司，最初推出了</t>
    </r>
    <r>
      <rPr>
        <u/>
        <sz val="9.75"/>
        <color theme="10"/>
        <rFont val="Calibri"/>
        <family val="2"/>
      </rPr>
      <t>SDN</t>
    </r>
    <r>
      <t>技术。</t>
    </r>
    <r>
      <t xml:space="preserve">
</t>
    </r>
    <r>
      <t>在</t>
    </r>
    <r>
      <rPr>
        <u/>
        <sz val="9.75"/>
        <color theme="10"/>
        <rFont val="Calibri"/>
        <family val="2"/>
      </rPr>
      <t>企业战争</t>
    </r>
    <r>
      <t>中，寰宇通过提供先进的网络战技术和数据服务，借此机会在</t>
    </r>
    <r>
      <rPr>
        <u/>
        <sz val="9.75"/>
        <color theme="10"/>
        <rFont val="Calibri"/>
        <family val="2"/>
      </rPr>
      <t>不夜城（Noctropolis）</t>
    </r>
    <r>
      <t>开展了自己的业务。</t>
    </r>
  </si>
  <si>
    <t/>
    <r>
      <t>东亚地区的工业巨头，引领了21世纪下半叶一系列工业、尤其是重工业与建筑工业的技术进步，最早在</t>
    </r>
    <r>
      <rPr>
        <u/>
        <sz val="9.75"/>
        <color theme="10"/>
        <rFont val="Calibri"/>
        <family val="2"/>
      </rPr>
      <t>不夜城</t>
    </r>
    <r>
      <t>实现了的</t>
    </r>
    <r>
      <rPr>
        <u/>
        <sz val="9.75"/>
        <color theme="10"/>
        <rFont val="Calibri"/>
        <family val="2"/>
      </rPr>
      <t>纤维大厦</t>
    </r>
    <r>
      <t>商业化建设。</t>
    </r>
    <r>
      <t xml:space="preserve">
</t>
    </r>
    <r>
      <t>作为</t>
    </r>
    <r>
      <rPr>
        <u/>
        <sz val="9.75"/>
        <color theme="10"/>
        <rFont val="Calibri"/>
        <family val="2"/>
      </rPr>
      <t>不夜城（Noctropolis）</t>
    </r>
    <r>
      <t>本地发展起来的</t>
    </r>
    <r>
      <rPr>
        <u/>
        <sz val="9.75"/>
        <color theme="10"/>
        <rFont val="Calibri"/>
        <family val="2"/>
      </rPr>
      <t>中立公司</t>
    </r>
    <r>
      <t>，有着难以撼动的民间支持率。</t>
    </r>
  </si>
  <si>
    <t/>
    <r>
      <t>“不夜城”核心城区的最主要黑帮组织，为中立公司、特许政府提供各类服务，包括但不限于地区管控、强制征收、黑色军事行动等。</t>
    </r>
    <r>
      <t xml:space="preserve">
</t>
    </r>
    <r>
      <t>「新浦会」的历史源远流长。「AI梦」时代，所有非法暴力团体都受到大数据监控，导致影响力受限，但「新浦会」凭借其扎实的地方影响力和相对稳定的合法生意存活了下来。</t>
    </r>
    <r>
      <t xml:space="preserve">
</t>
    </r>
    <r>
      <t>自「消泡」事件后，它快速重新占据特许政府和中立公司无法触及的社区角落，提供餐饮、外送以及其他一系列个人服务，成为城市“毛细血管”的真正领导者，但内部也随着快速膨胀开始动荡。</t>
    </r>
    <r>
      <t xml:space="preserve">
</t>
    </r>
    <r>
      <rPr>
        <u/>
        <sz val="9.75"/>
        <color theme="10"/>
        <rFont val="Calibri"/>
        <family val="2"/>
      </rPr>
      <t xml:space="preserve">“师傅” - 家钰（Yacco）</t>
    </r>
    <r>
      <t>成年后，以雷厉之势肃清了内部异己，前所未有团结的「新浦会」很快成为了不夜城核心城区毫无争议的地下之王。</t>
    </r>
  </si>
  <si>
    <t/>
    <r>
      <t>来自北美洲的老牌军工复合体，其自研的「S.T.O.R.M.」系统是世界上最早出现、也可能是最优秀的战术战略指挥</t>
    </r>
    <r>
      <rPr>
        <u/>
        <sz val="9.75"/>
        <color theme="10"/>
        <rFont val="Calibri"/>
        <family val="2"/>
      </rPr>
      <t>ASI</t>
    </r>
    <r>
      <t>。</t>
    </r>
    <r>
      <t xml:space="preserve">
</t>
    </r>
    <r>
      <t>在过去的几十年时间里，通过结合自身的战斗装备硬件与AI战术部署服务，一直在军备领域占据绝对主导地位，即使是进入</t>
    </r>
    <r>
      <rPr>
        <u/>
        <sz val="9.75"/>
        <color theme="10"/>
        <rFont val="Calibri"/>
        <family val="2"/>
      </rPr>
      <t>数据隔离时代</t>
    </r>
    <r>
      <t>，其武器订单依旧处于行业领先地位。</t>
    </r>
    <r>
      <t xml:space="preserve">
</t>
    </r>
    <r>
      <rPr>
        <u/>
        <sz val="9.75"/>
        <color theme="10"/>
        <rFont val="Calibri"/>
        <family val="2"/>
      </rPr>
      <t>企业战争</t>
    </r>
    <r>
      <t>开始的前10年，洛克海德将总部迁至</t>
    </r>
    <r>
      <rPr>
        <u/>
        <sz val="9.75"/>
        <color theme="10"/>
        <rFont val="Calibri"/>
        <family val="2"/>
      </rPr>
      <t>不夜城</t>
    </r>
    <r>
      <t>，并最终打响了</t>
    </r>
    <r>
      <rPr>
        <u/>
        <sz val="9.75"/>
        <color theme="10"/>
        <rFont val="Calibri"/>
        <family val="2"/>
      </rPr>
      <t>企业战争</t>
    </r>
    <r>
      <t>的第一枪。</t>
    </r>
  </si>
  <si>
    <t/>
    <r>
      <rPr>
        <sz val="9.75"/>
        <color rgb="FF000000"/>
        <rFont val="Calibri"/>
        <family val="2"/>
      </rPr>
      <t>向指定位置进行翻滚躲闪，并为武器</t>
    </r>
    <r>
      <rPr>
        <b/>
        <sz val="9.75"/>
        <color rgb="FF000000"/>
        <rFont val="Calibri"/>
        <family val="2"/>
      </rPr>
      <t>装弹</t>
    </r>
    <r>
      <rPr>
        <sz val="9.75"/>
        <color rgb="FF000000"/>
        <rFont val="Calibri"/>
        <family val="2"/>
      </rPr>
      <t>。翻滚过程中不会受到远程伤害。</t>
    </r>
  </si>
  <si>
    <t/>
    <r>
      <rPr>
        <sz val="9.75"/>
        <color rgb="FF000000"/>
        <rFont val="Calibri"/>
        <family val="2"/>
      </rPr>
      <t>发射一发强力子弹，穿透途径的敌人，造成伤害并施加</t>
    </r>
    <r>
      <rPr>
        <b/>
        <sz val="9.75"/>
        <color rgb="FF000000"/>
        <rFont val="Calibri"/>
        <family val="2"/>
      </rPr>
      <t>流血</t>
    </r>
    <r>
      <rPr>
        <sz val="9.75"/>
        <color rgb="FF000000"/>
        <rFont val="Calibri"/>
        <family val="2"/>
      </rPr>
      <t>状态。</t>
    </r>
  </si>
  <si>
    <t/>
    <r>
      <rPr>
        <sz val="9.75"/>
        <color rgb="FF000000"/>
        <rFont val="Calibri"/>
        <family val="2"/>
      </rPr>
      <t>原地瞄准敌人，使下一次</t>
    </r>
    <r>
      <rPr>
        <b/>
        <sz val="9.75"/>
        <color rgb="FF000000"/>
        <rFont val="Calibri"/>
        <family val="2"/>
      </rPr>
      <t>武器攻击</t>
    </r>
    <r>
      <rPr>
        <sz val="9.75"/>
        <color rgb="FF000000"/>
        <rFont val="Calibri"/>
        <family val="2"/>
      </rPr>
      <t>伤害提高。瞄准越久，伤害越高，直至上限。</t>
    </r>
  </si>
  <si>
    <t/>
    <r>
      <rPr>
        <sz val="9.75"/>
        <color theme="10"/>
        <rFont val="Calibri"/>
        <family val="2"/>
      </rPr>
      <t>@阿之</t>
    </r>
  </si>
  <si>
    <t/>
    <r>
      <rPr>
        <sz val="9.75"/>
        <color rgb="FF000000"/>
        <rFont val="Calibri"/>
        <family val="2"/>
      </rPr>
      <t>开启后，</t>
    </r>
    <r>
      <rPr>
        <b/>
        <sz val="9.75"/>
        <color rgb="FF000000"/>
        <rFont val="Calibri"/>
        <family val="2"/>
      </rPr>
      <t>奔跑</t>
    </r>
    <r>
      <rPr>
        <sz val="9.75"/>
        <color rgb="FF000000"/>
        <rFont val="Calibri"/>
        <family val="2"/>
      </rPr>
      <t>额外消耗10/s体力，且</t>
    </r>
    <r>
      <rPr>
        <b/>
        <sz val="9.75"/>
        <color rgb="FF000000"/>
        <rFont val="Calibri"/>
        <family val="2"/>
      </rPr>
      <t>奔跑</t>
    </r>
    <r>
      <rPr>
        <sz val="9.75"/>
        <color rgb="FF000000"/>
        <rFont val="Calibri"/>
        <family val="2"/>
      </rPr>
      <t>时免疫伤害。如果在疾奔期间受到伤害，每次1点伤害额外消耗1体力。</t>
    </r>
  </si>
  <si>
    <t/>
    <r>
      <rPr>
        <sz val="9.75"/>
        <color rgb="FF000000"/>
        <rFont val="Calibri"/>
        <family val="2"/>
      </rPr>
      <t>重置所有</t>
    </r>
    <r>
      <rPr>
        <b/>
        <sz val="9.75"/>
        <color rgb="FF000000"/>
        <rFont val="Calibri"/>
        <family val="2"/>
      </rPr>
      <t>武器技能</t>
    </r>
    <r>
      <rPr>
        <sz val="9.75"/>
        <color rgb="FF000000"/>
        <rFont val="Calibri"/>
        <family val="2"/>
      </rPr>
      <t>的冷却时间。</t>
    </r>
  </si>
  <si>
    <t/>
    <r>
      <rPr>
        <sz val="9.75"/>
        <color rgb="FF000000"/>
        <rFont val="Calibri"/>
        <family val="2"/>
      </rPr>
      <t>切换武器时，如果被切出的武器弹夹为空，立即为其</t>
    </r>
    <r>
      <rPr>
        <b/>
        <sz val="9.75"/>
        <color rgb="FF000000"/>
        <rFont val="Calibri"/>
        <family val="2"/>
      </rPr>
      <t>装弹</t>
    </r>
    <r>
      <rPr>
        <sz val="9.75"/>
        <color rgb="FF000000"/>
        <rFont val="Calibri"/>
        <family val="2"/>
      </rPr>
      <t>15%。</t>
    </r>
  </si>
  <si>
    <t/>
    <r>
      <rPr>
        <b/>
        <sz val="9.75"/>
        <color rgb="FF000000"/>
        <rFont val="Calibri"/>
        <family val="2"/>
      </rPr>
      <t>力量</t>
    </r>
    <r>
      <rPr>
        <sz val="9.75"/>
        <color rgb="FF000000"/>
        <rFont val="Calibri"/>
        <family val="2"/>
      </rPr>
      <t>增加，加成比例取决于你的</t>
    </r>
    <r>
      <rPr>
        <b/>
        <sz val="9.75"/>
        <color rgb="FF000000"/>
        <rFont val="Calibri"/>
        <family val="2"/>
      </rPr>
      <t>虚血</t>
    </r>
    <r>
      <rPr>
        <sz val="9.75"/>
        <color rgb="FF000000"/>
        <rFont val="Calibri"/>
        <family val="2"/>
      </rPr>
      <t>。</t>
    </r>
  </si>
  <si>
    <t/>
    <r>
      <rPr>
        <sz val="9.75"/>
        <color rgb="FF000000"/>
        <rFont val="Calibri"/>
        <family val="2"/>
      </rPr>
      <t>持续</t>
    </r>
    <r>
      <rPr>
        <b/>
        <sz val="9.75"/>
        <color rgb="FF000000"/>
        <rFont val="Calibri"/>
        <family val="2"/>
      </rPr>
      <t>奔跑</t>
    </r>
    <r>
      <rPr>
        <sz val="9.75"/>
        <color rgb="FF000000"/>
        <rFont val="Calibri"/>
        <family val="2"/>
      </rPr>
      <t>{1}秒后，进入</t>
    </r>
    <r>
      <rPr>
        <b/>
        <sz val="9.75"/>
        <color rgb="FF000000"/>
        <rFont val="Calibri"/>
        <family val="2"/>
      </rPr>
      <t>模糊</t>
    </r>
    <r>
      <rPr>
        <sz val="9.75"/>
        <color rgb="FF000000"/>
        <rFont val="Calibri"/>
        <family val="2"/>
      </rPr>
      <t>状态。若在</t>
    </r>
    <r>
      <rPr>
        <b/>
        <sz val="9.75"/>
        <color rgb="FF000000"/>
        <rFont val="Calibri"/>
        <family val="2"/>
      </rPr>
      <t>模糊</t>
    </r>
    <r>
      <rPr>
        <sz val="9.75"/>
        <color rgb="FF000000"/>
        <rFont val="Calibri"/>
        <family val="2"/>
      </rPr>
      <t>状态下停止</t>
    </r>
    <r>
      <rPr>
        <b/>
        <sz val="9.75"/>
        <color rgb="FF000000"/>
        <rFont val="Calibri"/>
        <family val="2"/>
      </rPr>
      <t>冲刺</t>
    </r>
    <r>
      <rPr>
        <sz val="9.75"/>
        <color rgb="FF000000"/>
        <rFont val="Calibri"/>
        <family val="2"/>
      </rPr>
      <t>，则进入短暂的</t>
    </r>
    <r>
      <rPr>
        <b/>
        <sz val="9.75"/>
        <color rgb="FF000000"/>
        <rFont val="Calibri"/>
        <family val="2"/>
      </rPr>
      <t>隐身</t>
    </r>
    <r>
      <rPr>
        <sz val="9.75"/>
        <color rgb="FF000000"/>
        <rFont val="Calibri"/>
        <family val="2"/>
      </rPr>
      <t>状态。</t>
    </r>
  </si>
  <si>
    <t/>
    <r>
      <rPr>
        <b/>
        <sz val="9.75"/>
        <color rgb="FF000000"/>
        <rFont val="Calibri"/>
        <family val="2"/>
      </rPr>
      <t>武器攻击</t>
    </r>
    <r>
      <rPr>
        <sz val="9.75"/>
        <color rgb="FF000000"/>
        <rFont val="Calibri"/>
        <family val="2"/>
      </rPr>
      <t xml:space="preserve">造成的伤害增加 40%，并对击中的目标施加“株连”效果。</t>
    </r>
  </si>
  <si>
    <t/>
    <r>
      <rPr>
        <sz val="9.75"/>
        <color theme="10"/>
        <rFont val="Calibri"/>
        <family val="2"/>
      </rPr>
      <t>@Decay</t>
    </r>
  </si>
  <si>
    <t/>
    <r>
      <rPr>
        <b/>
        <sz val="9.75"/>
        <color rgb="FF000000"/>
        <rFont val="Calibri"/>
        <family val="2"/>
      </rPr>
      <t>武器技能</t>
    </r>
    <r>
      <rPr>
        <sz val="9.75"/>
        <color rgb="FF000000"/>
        <rFont val="Calibri"/>
        <family val="2"/>
      </rPr>
      <t>伤害增加{40%}，并对击中的目标施加“株连”效果。</t>
    </r>
  </si>
  <si>
    <t/>
    <r>
      <rPr>
        <sz val="9.75"/>
        <color rgb="FF000000"/>
        <rFont val="Calibri"/>
        <family val="2"/>
      </rPr>
      <t>如果你没有被</t>
    </r>
    <r>
      <rPr>
        <b/>
        <sz val="9.75"/>
        <color rgb="FF000000"/>
        <rFont val="Calibri"/>
        <family val="2"/>
      </rPr>
      <t>目击</t>
    </r>
    <r>
      <rPr>
        <sz val="9.75"/>
        <color rgb="FF000000"/>
        <rFont val="Calibri"/>
        <family val="2"/>
      </rPr>
      <t>，</t>
    </r>
    <r>
      <rPr>
        <b/>
        <sz val="9.75"/>
        <color rgb="FF000000"/>
        <rFont val="Calibri"/>
        <family val="2"/>
      </rPr>
      <t>护甲减伤</t>
    </r>
    <r>
      <rPr>
        <sz val="9.75"/>
        <color rgb="FF000000"/>
        <rFont val="Calibri"/>
        <family val="2"/>
      </rPr>
      <t>效果临时提高。</t>
    </r>
  </si>
  <si>
    <t/>
    <r>
      <rPr>
        <b/>
        <sz val="9.75"/>
        <color rgb="FF000000"/>
        <rFont val="Calibri"/>
        <family val="2"/>
      </rPr>
      <t>翻滚</t>
    </r>
    <r>
      <rPr>
        <sz val="9.75"/>
        <color rgb="FF000000"/>
        <rFont val="Calibri"/>
        <family val="2"/>
      </rPr>
      <t>结束时，对终点附近最多{6}名敌人施加“株连”效果。</t>
    </r>
  </si>
  <si>
    <t/>
    <r>
      <rPr>
        <b/>
        <sz val="9.75"/>
        <color rgb="FF000000"/>
        <rFont val="Calibri"/>
        <family val="2"/>
      </rPr>
      <t>武器攻击</t>
    </r>
    <r>
      <rPr>
        <sz val="9.75"/>
        <color rgb="FF000000"/>
        <rFont val="Calibri"/>
        <family val="2"/>
      </rPr>
      <t>伤害增加，伤害加成比例取决于你已损失的生命值百分比。</t>
    </r>
  </si>
  <si>
    <t/>
    <r>
      <rPr>
        <b/>
        <sz val="9.75"/>
        <color rgb="FF000000"/>
        <rFont val="Calibri"/>
        <family val="2"/>
      </rPr>
      <t>武器技能</t>
    </r>
    <r>
      <rPr>
        <sz val="9.75"/>
        <color rgb="FF000000"/>
        <rFont val="Calibri"/>
        <family val="2"/>
      </rPr>
      <t>伤害增加，伤害加成比例取决于你已损失的生命值百分比。</t>
    </r>
  </si>
  <si>
    <t/>
    <r>
      <rPr>
        <b/>
        <sz val="9.75"/>
        <color rgb="FF000000"/>
        <rFont val="Calibri"/>
        <family val="2"/>
      </rPr>
      <t>连锁闪电</t>
    </r>
    <r>
      <rPr>
        <sz val="9.75"/>
        <color rgb="FF000000"/>
        <rFont val="Calibri"/>
        <family val="2"/>
      </rPr>
      <t>可以额外弹跳{1}次。</t>
    </r>
  </si>
  <si>
    <t/>
    <r>
      <rPr>
        <sz val="9.75"/>
        <color rgb="FF000000"/>
        <rFont val="Calibri"/>
        <family val="2"/>
      </rPr>
      <t>如果你没有被</t>
    </r>
    <r>
      <rPr>
        <b/>
        <sz val="9.75"/>
        <color rgb="FF000000"/>
        <rFont val="Calibri"/>
        <family val="2"/>
      </rPr>
      <t>目击</t>
    </r>
    <r>
      <rPr>
        <sz val="9.75"/>
        <color rgb="FF000000"/>
        <rFont val="Calibri"/>
        <family val="2"/>
      </rPr>
      <t>，临时失去所有</t>
    </r>
    <r>
      <rPr>
        <b/>
        <sz val="9.75"/>
        <color rgb="FF000000"/>
        <rFont val="Calibri"/>
        <family val="2"/>
      </rPr>
      <t>护甲</t>
    </r>
    <r>
      <rPr>
        <sz val="9.75"/>
        <color rgb="FF000000"/>
        <rFont val="Calibri"/>
        <family val="2"/>
      </rPr>
      <t>。并使</t>
    </r>
    <r>
      <rPr>
        <b/>
        <sz val="9.75"/>
        <color rgb="FF000000"/>
        <rFont val="Calibri"/>
        <family val="2"/>
      </rPr>
      <t>暴击率</t>
    </r>
    <r>
      <rPr>
        <sz val="9.75"/>
        <color rgb="FF000000"/>
        <rFont val="Calibri"/>
        <family val="2"/>
      </rPr>
      <t>增加。</t>
    </r>
    <r>
      <rPr>
        <b/>
        <sz val="9.75"/>
        <color rgb="FF000000"/>
        <rFont val="Calibri"/>
        <family val="2"/>
      </rPr>
      <t>护甲</t>
    </r>
    <r>
      <rPr>
        <sz val="9.75"/>
        <color rgb="FF000000"/>
        <rFont val="Calibri"/>
        <family val="2"/>
      </rPr>
      <t>会在被目击后恢复。</t>
    </r>
  </si>
  <si>
    <t/>
    <r>
      <rPr>
        <b/>
        <sz val="9.75"/>
        <color rgb="FF000000"/>
        <rFont val="Calibri"/>
        <family val="2"/>
      </rPr>
      <t>武器攻击</t>
    </r>
    <r>
      <rPr>
        <sz val="9.75"/>
        <color rgb="FF000000"/>
        <rFont val="Calibri"/>
        <family val="2"/>
      </rPr>
      <t>命中时，有概率产生一道</t>
    </r>
    <r>
      <rPr>
        <b/>
        <sz val="9.75"/>
        <color rgb="FF000000"/>
        <rFont val="Calibri"/>
        <family val="2"/>
      </rPr>
      <t>连锁闪电</t>
    </r>
    <r>
      <rPr>
        <sz val="9.75"/>
        <color rgb="FF000000"/>
        <rFont val="Calibri"/>
        <family val="2"/>
      </rPr>
      <t xml:space="preserve">，造成额外 &lt;Number&gt;{AttackHitDamage*DamageRate} 电磁&lt;/&gt; 伤害，弹射至附近敌人。</t>
    </r>
  </si>
  <si>
    <t/>
    <r>
      <rPr>
        <sz val="9.75"/>
        <color rgb="FF000000"/>
        <rFont val="Calibri"/>
        <family val="2"/>
      </rPr>
      <t>如果你没有被</t>
    </r>
    <r>
      <rPr>
        <b/>
        <sz val="9.75"/>
        <color rgb="FF000000"/>
        <rFont val="Calibri"/>
        <family val="2"/>
      </rPr>
      <t>目击</t>
    </r>
    <r>
      <rPr>
        <sz val="9.75"/>
        <color rgb="FF000000"/>
        <rFont val="Calibri"/>
        <family val="2"/>
      </rPr>
      <t>，造成的</t>
    </r>
    <r>
      <rPr>
        <b/>
        <sz val="9.75"/>
        <color rgb="FF000000"/>
        <rFont val="Calibri"/>
        <family val="2"/>
      </rPr>
      <t>暴击伤害</t>
    </r>
    <r>
      <rPr>
        <sz val="9.75"/>
        <color rgb="FF000000"/>
        <rFont val="Calibri"/>
        <family val="2"/>
      </rPr>
      <t>大幅增加。</t>
    </r>
  </si>
  <si>
    <t/>
    <r>
      <rPr>
        <b/>
        <sz val="9.75"/>
        <color rgb="FF000000"/>
        <rFont val="Calibri"/>
        <family val="2"/>
      </rPr>
      <t>武器技能</t>
    </r>
    <r>
      <rPr>
        <sz val="9.75"/>
        <color rgb="FF000000"/>
        <rFont val="Calibri"/>
        <family val="2"/>
      </rPr>
      <t>命中时，有概率产生一道</t>
    </r>
    <r>
      <rPr>
        <b/>
        <sz val="9.75"/>
        <color rgb="FF000000"/>
        <rFont val="Calibri"/>
        <family val="2"/>
      </rPr>
      <t>连锁闪电</t>
    </r>
    <r>
      <rPr>
        <sz val="9.75"/>
        <color rgb="FF000000"/>
        <rFont val="Calibri"/>
        <family val="2"/>
      </rPr>
      <t>，造成额外{A}</t>
    </r>
    <r>
      <rPr>
        <b/>
        <sz val="9.75"/>
        <color rgb="FF000000"/>
        <rFont val="Calibri"/>
        <family val="2"/>
      </rPr>
      <t>电磁</t>
    </r>
    <r>
      <rPr>
        <sz val="9.75"/>
        <color rgb="FF000000"/>
        <rFont val="Calibri"/>
        <family val="2"/>
      </rPr>
      <t>伤害，弹射至附近名敌人。</t>
    </r>
  </si>
  <si>
    <t/>
    <r>
      <rPr>
        <b/>
        <sz val="9.75"/>
        <color rgb="FF000000"/>
        <rFont val="Calibri"/>
        <family val="2"/>
      </rPr>
      <t>翻滚</t>
    </r>
    <r>
      <rPr>
        <sz val="9.75"/>
        <color rgb="FF000000"/>
        <rFont val="Calibri"/>
        <family val="2"/>
      </rPr>
      <t xml:space="preserve">接触到敌人时，有概率产生一道连锁闪电，造成额外{智力 x 150%}电磁伤害，弹射至附近的额外{2}名敌人。</t>
    </r>
  </si>
  <si>
    <t/>
    <r>
      <rPr>
        <sz val="9.75"/>
        <color rgb="FF000000"/>
        <rFont val="Calibri"/>
        <family val="2"/>
      </rPr>
      <t>如果你处于</t>
    </r>
    <r>
      <rPr>
        <b/>
        <sz val="9.75"/>
        <color rgb="FF000000"/>
        <rFont val="Calibri"/>
        <family val="2"/>
      </rPr>
      <t>光学迷彩</t>
    </r>
    <r>
      <rPr>
        <sz val="9.75"/>
        <color rgb="FF000000"/>
        <rFont val="Calibri"/>
        <family val="2"/>
      </rPr>
      <t>状态，</t>
    </r>
    <r>
      <rPr>
        <b/>
        <sz val="9.75"/>
        <color rgb="FF000000"/>
        <rFont val="Calibri"/>
        <family val="2"/>
      </rPr>
      <t>武器攻击</t>
    </r>
    <r>
      <rPr>
        <sz val="9.75"/>
        <color rgb="FF000000"/>
        <rFont val="Calibri"/>
        <family val="2"/>
      </rPr>
      <t>伤害增加{150%}，且攻击不发出声音。</t>
    </r>
  </si>
  <si>
    <t/>
    <r>
      <rPr>
        <sz val="9.75"/>
        <color rgb="FF000000"/>
        <rFont val="Calibri"/>
        <family val="2"/>
      </rPr>
      <t>受到</t>
    </r>
    <r>
      <rPr>
        <b/>
        <sz val="9.75"/>
        <color rgb="FF000000"/>
        <rFont val="Calibri"/>
        <family val="2"/>
      </rPr>
      <t>电磁</t>
    </r>
    <r>
      <rPr>
        <sz val="9.75"/>
        <color rgb="FF000000"/>
        <rFont val="Calibri"/>
        <family val="2"/>
      </rPr>
      <t>伤害时，减免部分伤害，并将减免量的一定比例转化为武器能量。</t>
    </r>
  </si>
  <si>
    <t/>
    <r>
      <rPr>
        <sz val="9.75"/>
        <color rgb="FF000000"/>
        <rFont val="Calibri"/>
        <family val="2"/>
      </rPr>
      <t>使用</t>
    </r>
    <r>
      <rPr>
        <b/>
        <sz val="9.75"/>
        <color rgb="FF000000"/>
        <rFont val="Calibri"/>
        <family val="2"/>
      </rPr>
      <t>武器技能</t>
    </r>
    <r>
      <rPr>
        <sz val="9.75"/>
        <color rgb="FF000000"/>
        <rFont val="Calibri"/>
        <family val="2"/>
      </rPr>
      <t>不会解除</t>
    </r>
    <r>
      <rPr>
        <b/>
        <sz val="9.75"/>
        <color rgb="FF000000"/>
        <rFont val="Calibri"/>
        <family val="2"/>
      </rPr>
      <t>模糊</t>
    </r>
    <r>
      <rPr>
        <sz val="9.75"/>
        <color rgb="FF000000"/>
        <rFont val="Calibri"/>
        <family val="2"/>
      </rPr>
      <t>或</t>
    </r>
    <r>
      <rPr>
        <b/>
        <sz val="9.75"/>
        <color rgb="FF000000"/>
        <rFont val="Calibri"/>
        <family val="2"/>
      </rPr>
      <t>隐身</t>
    </r>
    <r>
      <rPr>
        <sz val="9.75"/>
        <color rgb="FF000000"/>
        <rFont val="Calibri"/>
        <family val="2"/>
      </rPr>
      <t>状态。</t>
    </r>
  </si>
  <si>
    <t/>
    <r>
      <rPr>
        <b/>
        <sz val="9.75"/>
        <color rgb="FF000000"/>
        <rFont val="Calibri"/>
        <family val="2"/>
      </rPr>
      <t>移动速度</t>
    </r>
    <r>
      <rPr>
        <sz val="9.75"/>
        <color rgb="FF000000"/>
        <rFont val="Calibri"/>
        <family val="2"/>
      </rPr>
      <t>减缓到{50%}，当你没有被敌人</t>
    </r>
    <r>
      <rPr>
        <b/>
        <sz val="9.75"/>
        <color rgb="FF000000"/>
        <rFont val="Calibri"/>
        <family val="2"/>
      </rPr>
      <t>目击</t>
    </r>
    <r>
      <rPr>
        <sz val="9.75"/>
        <color rgb="FF000000"/>
        <rFont val="Calibri"/>
        <family val="2"/>
      </rPr>
      <t>时，缓缓增加</t>
    </r>
    <r>
      <rPr>
        <b/>
        <sz val="9.75"/>
        <color rgb="FF000000"/>
        <rFont val="Calibri"/>
        <family val="2"/>
      </rPr>
      <t>移动速度</t>
    </r>
    <r>
      <rPr>
        <sz val="9.75"/>
        <color rgb="FF000000"/>
        <rFont val="Calibri"/>
        <family val="2"/>
      </rPr>
      <t>，该加速效果在被敌人</t>
    </r>
    <r>
      <rPr>
        <b/>
        <sz val="9.75"/>
        <color rgb="FF000000"/>
        <rFont val="Calibri"/>
        <family val="2"/>
      </rPr>
      <t>目击</t>
    </r>
    <r>
      <rPr>
        <sz val="9.75"/>
        <color rgb="FF000000"/>
        <rFont val="Calibri"/>
        <family val="2"/>
      </rPr>
      <t>时移除。</t>
    </r>
  </si>
  <si>
    <t/>
    <r>
      <rPr>
        <b/>
        <sz val="9.75"/>
        <color rgb="FF000000"/>
        <rFont val="Calibri"/>
        <family val="2"/>
      </rPr>
      <t>武器攻击</t>
    </r>
    <r>
      <rPr>
        <sz val="9.75"/>
        <color rgb="FF000000"/>
        <rFont val="Calibri"/>
        <family val="2"/>
      </rPr>
      <t>伤害增加{30%}，若未被伤害目标</t>
    </r>
    <r>
      <rPr>
        <b/>
        <sz val="9.75"/>
        <color rgb="FF000000"/>
        <rFont val="Calibri"/>
        <family val="2"/>
      </rPr>
      <t>目击</t>
    </r>
    <r>
      <rPr>
        <sz val="9.75"/>
        <color rgb="FF000000"/>
        <rFont val="Calibri"/>
        <family val="2"/>
      </rPr>
      <t>，则伤害增加{60%}，且该攻击必定</t>
    </r>
    <r>
      <rPr>
        <b/>
        <sz val="9.75"/>
        <color rgb="FF000000"/>
        <rFont val="Calibri"/>
        <family val="2"/>
      </rPr>
      <t>暴击</t>
    </r>
    <r>
      <rPr>
        <sz val="9.75"/>
        <color rgb="FF000000"/>
        <rFont val="Calibri"/>
        <family val="2"/>
      </rPr>
      <t>。</t>
    </r>
  </si>
  <si>
    <t/>
    <r>
      <rPr>
        <b/>
        <sz val="9.75"/>
        <color rgb="FF000000"/>
        <rFont val="Calibri"/>
        <family val="2"/>
      </rPr>
      <t>武器技能</t>
    </r>
    <r>
      <rPr>
        <sz val="9.75"/>
        <color rgb="FF000000"/>
        <rFont val="Calibri"/>
        <family val="2"/>
      </rPr>
      <t>伤害增加{30%}，若未被伤害目标</t>
    </r>
    <r>
      <rPr>
        <b/>
        <sz val="9.75"/>
        <color rgb="FF000000"/>
        <rFont val="Calibri"/>
        <family val="2"/>
      </rPr>
      <t>目击</t>
    </r>
    <r>
      <rPr>
        <sz val="9.75"/>
        <color rgb="FF000000"/>
        <rFont val="Calibri"/>
        <family val="2"/>
      </rPr>
      <t>，则伤害增加{60%}，且该技能必定</t>
    </r>
    <r>
      <rPr>
        <b/>
        <sz val="9.75"/>
        <color rgb="FF000000"/>
        <rFont val="Calibri"/>
        <family val="2"/>
      </rPr>
      <t>暴击</t>
    </r>
    <r>
      <rPr>
        <sz val="9.75"/>
        <color rgb="FF000000"/>
        <rFont val="Calibri"/>
        <family val="2"/>
      </rPr>
      <t>。</t>
    </r>
  </si>
  <si>
    <t/>
    <r>
      <rPr>
        <sz val="9.75"/>
        <color rgb="FF000000"/>
        <rFont val="Calibri"/>
        <family val="2"/>
      </rPr>
      <t>移除所有</t>
    </r>
    <r>
      <rPr>
        <b/>
        <sz val="9.75"/>
        <color rgb="FF000000"/>
        <rFont val="Calibri"/>
        <family val="2"/>
      </rPr>
      <t>护甲</t>
    </r>
    <r>
      <rPr>
        <sz val="9.75"/>
        <color rgb="FF000000"/>
        <rFont val="Calibri"/>
        <family val="2"/>
      </rPr>
      <t>加成，每点移除的</t>
    </r>
    <r>
      <rPr>
        <b/>
        <sz val="9.75"/>
        <color rgb="FF000000"/>
        <rFont val="Calibri"/>
        <family val="2"/>
      </rPr>
      <t>护甲</t>
    </r>
    <r>
      <rPr>
        <sz val="9.75"/>
        <color rgb="FF000000"/>
        <rFont val="Calibri"/>
        <family val="2"/>
      </rPr>
      <t>转化为额外的</t>
    </r>
    <r>
      <rPr>
        <b/>
        <sz val="9.75"/>
        <color rgb="FF000000"/>
        <rFont val="Calibri"/>
        <family val="2"/>
      </rPr>
      <t>生命值上限</t>
    </r>
    <r>
      <rPr>
        <sz val="9.75"/>
        <color rgb="FF000000"/>
        <rFont val="Calibri"/>
        <family val="2"/>
      </rPr>
      <t>。通过此方式获得的</t>
    </r>
    <r>
      <rPr>
        <b/>
        <sz val="9.75"/>
        <color rgb="FF000000"/>
        <rFont val="Calibri"/>
        <family val="2"/>
      </rPr>
      <t>生命值上限</t>
    </r>
    <r>
      <rPr>
        <sz val="9.75"/>
        <color rgb="FF000000"/>
        <rFont val="Calibri"/>
        <family val="2"/>
      </rPr>
      <t>在移除此义体后失效。</t>
    </r>
  </si>
  <si>
    <t/>
    <r>
      <rPr>
        <sz val="9.75"/>
        <color rgb="FF000000"/>
        <rFont val="Calibri"/>
        <family val="2"/>
      </rPr>
      <t>视觉模糊，未被</t>
    </r>
    <r>
      <rPr>
        <b/>
        <sz val="9.75"/>
        <color rgb="FF000000"/>
        <rFont val="Calibri"/>
        <family val="2"/>
      </rPr>
      <t>目击</t>
    </r>
    <r>
      <rPr>
        <sz val="9.75"/>
        <color rgb="FF000000"/>
        <rFont val="Calibri"/>
        <family val="2"/>
      </rPr>
      <t>时不会被</t>
    </r>
    <r>
      <rPr>
        <b/>
        <sz val="9.75"/>
        <color rgb="FF000000"/>
        <rFont val="Calibri"/>
        <family val="2"/>
      </rPr>
      <t>目击</t>
    </r>
    <r>
      <rPr>
        <sz val="9.75"/>
        <color rgb="FF000000"/>
        <rFont val="Calibri"/>
        <family val="2"/>
      </rPr>
      <t>，已被</t>
    </r>
    <r>
      <rPr>
        <b/>
        <sz val="9.75"/>
        <color rgb="FF000000"/>
        <rFont val="Calibri"/>
        <family val="2"/>
      </rPr>
      <t>目击</t>
    </r>
    <r>
      <rPr>
        <sz val="9.75"/>
        <color rgb="FF000000"/>
        <rFont val="Calibri"/>
        <family val="2"/>
      </rPr>
      <t>则效果无效。</t>
    </r>
  </si>
  <si>
    <t/>
    <r>
      <rPr>
        <b/>
        <sz val="9.75"/>
        <color rgb="FF1F1F1F"/>
        <rFont val="Calibri"/>
        <family val="2"/>
      </rPr>
      <t>核心机制：</t>
    </r>
    <r>
      <t xml:space="preserve"> 破译、黑客辅助。老式的代码暴力破解工具，简单粗暴地打开电子门锁。</t>
    </r>
  </si>
  <si>
    <t/>
    <r>
      <rPr>
        <b/>
        <sz val="9.75"/>
        <color rgb="FF1F1F1F"/>
        <rFont val="Calibri"/>
        <family val="2"/>
      </rPr>
      <t>核心机制：</t>
    </r>
    <r>
      <t xml:space="preserve"> 时间流速、暴击、反应。通过药物刺激神经，获得“子弹时间”或极高的弱点洞察力。</t>
    </r>
  </si>
  <si>
    <t/>
    <r>
      <rPr>
        <b/>
        <sz val="9.75"/>
        <color rgb="FF1F1F1F"/>
        <rFont val="Calibri"/>
        <family val="2"/>
      </rPr>
      <t>核心机制：</t>
    </r>
    <r>
      <t xml:space="preserve"> 外骨骼原型、笨重、高防。早期的重型工业原型机，虽然笨重但防御力惊人。</t>
    </r>
  </si>
  <si>
    <t/>
    <r>
      <rPr>
        <b/>
        <sz val="9.75"/>
        <color rgb="FF1F1F1F"/>
        <rFont val="Calibri"/>
        <family val="2"/>
      </rPr>
      <t>核心机制：</t>
    </r>
    <r>
      <t xml:space="preserve"> 纳米机器人、持续扣血、扩散。释放肉眼不可见的纳米虫群吞噬敌人。</t>
    </r>
  </si>
  <si>
    <t/>
    <r>
      <rPr>
        <b/>
        <sz val="9.75"/>
        <color rgb="FF1F1F1F"/>
        <rFont val="Calibri"/>
        <family val="2"/>
      </rPr>
      <t>核心机制：</t>
    </r>
    <r>
      <t xml:space="preserve"> 毒素、感染、持续伤害。生锈或带毒的利刃，给敌人施加各种恶心的Debuff。</t>
    </r>
  </si>
  <si>
    <t/>
    <r>
      <rPr>
        <b/>
        <sz val="9.75"/>
        <color rgb="FF1F1F1F"/>
        <rFont val="Calibri"/>
        <family val="2"/>
      </rPr>
      <t>核心机制：</t>
    </r>
    <r>
      <t xml:space="preserve"> 吞噬、资源转化。杀死敌人后将其分解为弹药或能量包。</t>
    </r>
  </si>
  <si>
    <t/>
    <r>
      <rPr>
        <b/>
        <sz val="9.75"/>
        <color rgb="FF1F1F1F"/>
        <rFont val="Calibri"/>
        <family val="2"/>
      </rPr>
      <t>核心机制：</t>
    </r>
    <r>
      <t xml:space="preserve"> 预判、自动闪避。基于湿件运算的战术预演，自动规避致命伤害。</t>
    </r>
  </si>
  <si>
    <t/>
    <r>
      <rPr>
        <b/>
        <sz val="9.75"/>
        <color rgb="FF1F1F1F"/>
        <rFont val="Calibri"/>
        <family val="2"/>
      </rPr>
      <t>核心机制：</t>
    </r>
    <r>
      <t xml:space="preserve"> 变身、野兽特性。移植野兽的基因（如夜视眼、利爪），获得特殊的移动方式或感官增强。</t>
    </r>
  </si>
  <si>
    <t/>
    <r>
      <rPr>
        <b/>
        <sz val="9.75"/>
        <color rgb="FF1F1F1F"/>
        <rFont val="Calibri"/>
        <family val="2"/>
      </rPr>
      <t>核心机制：</t>
    </r>
    <r>
      <t xml:space="preserve"> 掩体、减伤、驻守。原地站立或处于掩体后时，获得极高的防御和火力加成。</t>
    </r>
  </si>
  <si>
    <t/>
    <r>
      <rPr>
        <b/>
        <sz val="9.75"/>
        <color rgb="FF1F1F1F"/>
        <rFont val="Calibri"/>
        <family val="2"/>
      </rPr>
      <t>核心机制：</t>
    </r>
    <r>
      <t xml:space="preserve"> 恢复、最大生命值堆叠、肉盾。极高的回血速度，甚至能通过“增生”出额外的护甲层（临时血量）。</t>
    </r>
  </si>
  <si>
    <t/>
    <r>
      <rPr>
        <b/>
        <sz val="9.75"/>
        <color rgb="FF1F1F1F"/>
        <rFont val="Calibri"/>
        <family val="2"/>
      </rPr>
      <t>核心机制：</t>
    </r>
    <r>
      <t xml:space="preserve"> 极高血量、抗击退。像建筑物一样稳固，免疫大部分击飞/击倒效果。</t>
    </r>
  </si>
  <si>
    <t/>
    <r>
      <rPr>
        <b/>
        <sz val="9.75"/>
        <color rgb="FF1F1F1F"/>
        <rFont val="Calibri"/>
        <family val="2"/>
      </rPr>
      <t>核心机制：</t>
    </r>
    <r>
      <t xml:space="preserve"> 献祭、强力Buff。牺牲生命值上限换取极端的攻击力提升。</t>
    </r>
  </si>
  <si>
    <t/>
    <r>
      <rPr>
        <b/>
        <sz val="9.75"/>
        <color rgb="FF1F1F1F"/>
        <rFont val="Calibri"/>
        <family val="2"/>
      </rPr>
      <t>核心机制：</t>
    </r>
    <r>
      <t xml:space="preserve"> 太空时代、激光、精准。致敬早期太空探索的装备，复古的激光枪和宇航服风格。</t>
    </r>
  </si>
  <si>
    <t/>
    <r>
      <rPr>
        <b/>
        <sz val="9.75"/>
        <color rgb="FF1F1F1F"/>
        <rFont val="Calibri"/>
        <family val="2"/>
      </rPr>
      <t>核心机制：</t>
    </r>
    <r>
      <t xml:space="preserve"> 范围冲击、震地。缓慢但巨大的范围攻击，模拟地震波或冲击波。</t>
    </r>
  </si>
  <si>
    <t/>
    <r>
      <rPr>
        <b/>
        <sz val="9.75"/>
        <color rgb="FF1F1F1F"/>
        <rFont val="Calibri"/>
        <family val="2"/>
      </rPr>
      <t>核心机制：</t>
    </r>
    <r>
      <t xml:space="preserve"> 幻象、隐身、欺诈。制造自身的幻象诱饵，干扰敌人的判断。</t>
    </r>
  </si>
  <si>
    <t/>
    <r>
      <rPr>
        <b/>
        <sz val="9.75"/>
        <color rgb="FF1F1F1F"/>
        <rFont val="Calibri"/>
        <family val="2"/>
      </rPr>
      <t>核心机制：</t>
    </r>
    <r>
      <t xml:space="preserve"> 实弹、动能、改装。经典的火药武器，结构简单可靠，暴击伤害高，无花里胡哨的功能。</t>
    </r>
  </si>
  <si>
    <t/>
    <r>
      <rPr>
        <b/>
        <sz val="9.75"/>
        <color rgb="FF1F1F1F"/>
        <rFont val="Calibri"/>
        <family val="2"/>
      </rPr>
      <t>核心机制：</t>
    </r>
    <r>
      <t xml:space="preserve"> 抓钩、垂直机动。原本用于高楼建设的抓钩装备，用于快速拉近敌人或脱离战场。</t>
    </r>
  </si>
  <si>
    <t/>
    <r>
      <rPr>
        <b/>
        <sz val="9.75"/>
        <color rgb="FF1F1F1F"/>
        <rFont val="Calibri"/>
        <family val="2"/>
      </rPr>
      <t>核心机制：</t>
    </r>
    <r>
      <t xml:space="preserve"> 扫描、弱点分析、百科全书。战斗时间越长，对敌人的解析越透彻，伤害越高。</t>
    </r>
  </si>
  <si>
    <t/>
    <r>
      <rPr>
        <b/>
        <sz val="9.75"/>
        <color rgb="FF1F1F1F"/>
        <rFont val="Calibri"/>
        <family val="2"/>
      </rPr>
      <t>核心机制：</t>
    </r>
    <r>
      <t xml:space="preserve"> 辐射、能量光环。背负小型反应堆，持续对周围造成辐射伤害。</t>
    </r>
  </si>
  <si>
    <t/>
    <r>
      <rPr>
        <b/>
        <sz val="9.75"/>
        <color rgb="FF1F1F1F"/>
        <rFont val="Calibri"/>
        <family val="2"/>
      </rPr>
      <t>核心机制：</t>
    </r>
    <r>
      <t xml:space="preserve"> 吸血、低血量高攻。以血换血的狂战士风格，生命值越低战斗力越强。</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</si>
</sst>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6">
    <numFmt numFmtId="164" formatCode="@"/>
    <numFmt numFmtId="165" formatCode="@"/>
    <numFmt numFmtId="166" formatCode="@"/>
    <numFmt numFmtId="167" formatCode="@"/>
    <numFmt numFmtId="168" formatCode="General"/>
    <numFmt numFmtId="169" formatCode="0.00"/>
    <numFmt numFmtId="170" formatCode="0.00"/>
    <numFmt numFmtId="171" formatCode="0.00"/>
    <numFmt numFmtId="172" formatCode="0.00"/>
    <numFmt numFmtId="173" formatCode="0.00"/>
    <numFmt numFmtId="174" formatCode="0.000"/>
    <numFmt numFmtId="175" formatCode="0.0%"/>
    <numFmt numFmtId="176" formatCode="0.00"/>
    <numFmt numFmtId="177" formatCode="0.00"/>
    <numFmt numFmtId="178" formatCode="0%"/>
    <numFmt numFmtId="179" formatCode="0"/>
    <numFmt numFmtId="180" formatCode="0.00"/>
    <numFmt numFmtId="181" formatCode="0.00"/>
    <numFmt numFmtId="182" formatCode="0%"/>
    <numFmt numFmtId="183" formatCode="0"/>
    <numFmt numFmtId="184" formatCode="0.00"/>
    <numFmt numFmtId="185" formatCode="0.00"/>
    <numFmt numFmtId="186" formatCode="0.00"/>
    <numFmt numFmtId="187" formatCode="0.00"/>
    <numFmt numFmtId="188" formatCode="0.00"/>
    <numFmt numFmtId="189" formatCode="0.00"/>
    <numFmt numFmtId="190" formatCode="0.00"/>
    <numFmt numFmtId="191" formatCode="General"/>
    <numFmt numFmtId="192" formatCode="0"/>
    <numFmt numFmtId="193" formatCode="0.00"/>
    <numFmt numFmtId="194" formatCode="0%"/>
    <numFmt numFmtId="195" formatCode="General"/>
    <numFmt numFmtId="196" formatCode="0.00"/>
    <numFmt numFmtId="197" formatCode="0.00"/>
    <numFmt numFmtId="198" formatCode="0.00"/>
    <numFmt numFmtId="199" formatCode="0.00"/>
    <numFmt numFmtId="200" formatCode="0"/>
    <numFmt numFmtId="201" formatCode="0.00%"/>
    <numFmt numFmtId="202" formatCode="0.00"/>
    <numFmt numFmtId="203" formatCode="0.00"/>
    <numFmt numFmtId="204" formatCode="0.00"/>
    <numFmt numFmtId="205" formatCode="0.0%"/>
    <numFmt numFmtId="206" formatCode="0.000"/>
    <numFmt numFmtId="207" formatCode="General"/>
    <numFmt numFmtId="208" formatCode="0.00"/>
    <numFmt numFmtId="209" formatCode="0.00"/>
    <numFmt numFmtId="210" formatCode="0.000"/>
    <numFmt numFmtId="211" formatCode="0.0%"/>
    <numFmt numFmtId="212" formatCode="0"/>
    <numFmt numFmtId="213" formatCode="0.00"/>
    <numFmt numFmtId="214" formatCode="General"/>
    <numFmt numFmtId="215" formatCode="0.000"/>
    <numFmt numFmtId="216" formatCode="0.00"/>
    <numFmt numFmtId="217" formatCode="0%"/>
    <numFmt numFmtId="218" formatCode="0"/>
    <numFmt numFmtId="219" formatCode="0.00"/>
    <numFmt numFmtId="220" formatCode="General"/>
    <numFmt numFmtId="221" formatCode="0.00"/>
    <numFmt numFmtId="222" formatCode="0.00"/>
    <numFmt numFmtId="223" formatCode="0.00"/>
    <numFmt numFmtId="224" formatCode="0.00"/>
    <numFmt numFmtId="225" formatCode="0.00"/>
    <numFmt numFmtId="226" formatCode="0.0%"/>
    <numFmt numFmtId="227" formatCode="0.00"/>
    <numFmt numFmtId="228" formatCode="0%"/>
    <numFmt numFmtId="229" formatCode="0.00"/>
    <numFmt numFmtId="230" formatCode="0.00"/>
    <numFmt numFmtId="231" formatCode="0.00%"/>
    <numFmt numFmtId="232" formatCode="0.00%"/>
    <numFmt numFmtId="233" formatCode="0.00"/>
    <numFmt numFmtId="234" formatCode="0%"/>
    <numFmt numFmtId="235" formatCode="0.00"/>
    <numFmt numFmtId="236" formatCode="0.00"/>
    <numFmt numFmtId="237" formatCode="0.00"/>
    <numFmt numFmtId="238" formatCode="General"/>
    <numFmt numFmtId="239" formatCode="0"/>
    <numFmt numFmtId="240" formatCode="0.00"/>
    <numFmt numFmtId="241" formatCode="General"/>
    <numFmt numFmtId="242" formatCode="0.00"/>
    <numFmt numFmtId="243" formatCode="0.00"/>
    <numFmt numFmtId="244" formatCode="0.00"/>
    <numFmt numFmtId="245" formatCode="0%"/>
    <numFmt numFmtId="246" formatCode="0.00"/>
    <numFmt numFmtId="247" formatCode="0.0%"/>
    <numFmt numFmtId="248" formatCode="0.000"/>
    <numFmt numFmtId="249" formatCode="0.00"/>
    <numFmt numFmtId="250" formatCode="0.00"/>
    <numFmt numFmtId="251" formatCode="0.000"/>
    <numFmt numFmtId="252" formatCode="0.0%"/>
    <numFmt numFmtId="253" formatCode="0.00"/>
    <numFmt numFmtId="254" formatCode="0.00"/>
    <numFmt numFmtId="255" formatCode="0.00"/>
    <numFmt numFmtId="256" formatCode="General"/>
    <numFmt numFmtId="257" formatCode="0%"/>
    <numFmt numFmtId="258" formatCode="0.00%"/>
    <numFmt numFmtId="259" formatCode="0"/>
    <numFmt numFmtId="260" formatCode="General"/>
    <numFmt numFmtId="261" formatCode="0%"/>
    <numFmt numFmtId="262" formatCode="0.0%"/>
    <numFmt numFmtId="263" formatCode="0.00"/>
    <numFmt numFmtId="264" formatCode="0.000"/>
    <numFmt numFmtId="265" formatCode="0.00%"/>
    <numFmt numFmtId="266" formatCode="General"/>
    <numFmt numFmtId="267" formatCode="0.00"/>
    <numFmt numFmtId="268" formatCode="0.00"/>
    <numFmt numFmtId="269" formatCode="0"/>
    <numFmt numFmtId="270" formatCode="0.00"/>
    <numFmt numFmtId="271" formatCode="0"/>
    <numFmt numFmtId="272" formatCode="0.00"/>
    <numFmt numFmtId="273" formatCode="General"/>
    <numFmt numFmtId="274" formatCode="0.00%"/>
    <numFmt numFmtId="275" formatCode="0.00%"/>
    <numFmt numFmtId="276" formatCode="0"/>
    <numFmt numFmtId="277" formatCode="0"/>
    <numFmt numFmtId="278" formatCode="0.00%"/>
    <numFmt numFmtId="279" formatCode="0.000"/>
    <numFmt numFmtId="280" formatCode="0.000"/>
    <numFmt numFmtId="281" formatCode="0.000"/>
    <numFmt numFmtId="282" formatCode="0.000"/>
    <numFmt numFmtId="283" formatCode="0.000"/>
    <numFmt numFmtId="284" formatCode="0.000"/>
    <numFmt numFmtId="285" formatCode="0.00"/>
    <numFmt numFmtId="286" formatCode="0%"/>
    <numFmt numFmtId="287" formatCode="0"/>
    <numFmt numFmtId="288" formatCode="0.00"/>
    <numFmt numFmtId="289" formatCode="General"/>
    <numFmt numFmtId="290" formatCode="0.00%"/>
    <numFmt numFmtId="291" formatCode="0.00%"/>
    <numFmt numFmtId="292" formatCode="0.0000"/>
    <numFmt numFmtId="293" formatCode="0.0000"/>
    <numFmt numFmtId="294" formatCode="0.00%"/>
    <numFmt numFmtId="295" formatCode="General"/>
    <numFmt numFmtId="296" formatCode="General"/>
    <numFmt numFmtId="297" formatCode="General"/>
    <numFmt numFmtId="298" formatCode="General"/>
    <numFmt numFmtId="299" formatCode="General"/>
    <numFmt numFmtId="300" formatCode="General"/>
    <numFmt numFmtId="301" formatCode="General"/>
    <numFmt numFmtId="302" formatCode="0.00%"/>
    <numFmt numFmtId="303" formatCode="0.00%"/>
    <numFmt numFmtId="304" formatCode="0.00%"/>
    <numFmt numFmtId="305" formatCode="0.00%"/>
    <numFmt numFmtId="306" formatCode="0.00%"/>
    <numFmt numFmtId="307" formatCode="0.0000"/>
    <numFmt numFmtId="308" formatCode="0.0000"/>
    <numFmt numFmtId="309" formatCode="0.00%"/>
  </numFmts>
  <fonts count="16">
    <font>
      <sz val="10"/>
      <color theme="1"/>
      <name val="Calibri"/>
      <family val="2"/>
      <scheme val="minor"/>
    </font>
    <font>
      <sz val="9.75"/>
      <color rgb="FF000000"/>
      <name val="Calibri"/>
      <family val="2"/>
      <scheme val="minor"/>
    </font>
    <font>
      <sz val="9.75"/>
      <color rgb="FF1F2329"/>
      <name val="Calibri"/>
      <family val="2"/>
      <scheme val="minor"/>
    </font>
    <font>
      <i val="true"/>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i val="true"/>
      <sz val="9.75"/>
      <color rgb="FF000000"/>
      <name val="Calibri"/>
      <family val="2"/>
      <scheme val="minor"/>
    </font>
    <font>
      <sz val="9.75"/>
      <color rgb="FF8F959E"/>
      <name val="Calibri"/>
      <family val="2"/>
      <scheme val="minor"/>
    </font>
    <font>
      <sz val="11"/>
      <color rgb="FF8F959E"/>
      <name val="Calibri"/>
      <family val="2"/>
      <scheme val="minor"/>
    </font>
    <font>
      <b val="true"/>
      <sz val="9"/>
      <color rgb="FF000000"/>
      <name val="Calibri"/>
      <family val="2"/>
      <scheme val="minor"/>
    </font>
    <font>
      <sz val="9"/>
      <color rgb="FF000000"/>
      <name val="Calibri"/>
      <family val="2"/>
      <scheme val="minor"/>
    </font>
    <font>
      <strike val="true"/>
      <sz val="9.75"/>
      <color rgb="FF000000"/>
      <name val="Calibri"/>
      <family val="2"/>
      <scheme val="minor"/>
    </font>
    <font>
      <sz val="9.75"/>
      <color rgb="FF2EA121"/>
      <name val="Calibri"/>
      <family val="2"/>
      <scheme val="minor"/>
    </font>
    <font>
      <b val="true"/>
      <sz val="9.75"/>
      <color rgb="FF1F1F1F"/>
      <name val="Calibri"/>
      <family val="2"/>
      <scheme val="minor"/>
    </font>
    <font>
      <sz val="9.75"/>
      <color rgb="FF1F1F1F"/>
      <name val="Calibri"/>
      <family val="2"/>
      <scheme val="minor"/>
    </font>
  </fonts>
  <fills count="206">
    <fill>
      <patternFill patternType="none">
        <fgColor/>
        <bgColor/>
      </patternFill>
    </fill>
    <fill>
      <patternFill patternType="gray125">
        <fgColor/>
        <bgColor/>
      </patternFill>
    </fill>
    <fill>
      <patternFill patternType="solid">
        <fgColor rgb="FFD9F5D6"/>
        <bgColor/>
      </patternFill>
    </fill>
    <fill>
      <patternFill patternType="solid">
        <fgColor rgb="FFFAF1D1"/>
        <bgColor/>
      </patternFill>
    </fill>
    <fill>
      <patternFill patternType="solid">
        <fgColor rgb="FFE1EAFF"/>
        <bgColor/>
      </patternFill>
    </fill>
    <fill>
      <patternFill patternType="solid">
        <fgColor rgb="FFECE2FE"/>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D9F3FD"/>
        <bgColor/>
      </patternFill>
    </fill>
    <fill>
      <patternFill patternType="solid">
        <fgColor rgb="FFECE2FE"/>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D9F3FD"/>
        <bgColor/>
      </patternFill>
    </fill>
    <fill>
      <patternFill patternType="solid">
        <fgColor rgb="FFECE2FE"/>
        <bgColor/>
      </patternFill>
    </fill>
    <fill>
      <patternFill patternType="solid">
        <fgColor rgb="FFD9F3FD"/>
        <bgColor/>
      </patternFill>
    </fill>
    <fill>
      <patternFill patternType="solid">
        <fgColor rgb="FFFAF1D1"/>
        <bgColor/>
      </patternFill>
    </fill>
    <fill>
      <patternFill patternType="solid">
        <fgColor rgb="FFECE2FE"/>
        <bgColor/>
      </patternFill>
    </fill>
    <fill>
      <patternFill patternType="solid">
        <fgColor rgb="FFFAF1D1"/>
        <bgColor/>
      </patternFill>
    </fill>
    <fill>
      <patternFill patternType="solid">
        <fgColor rgb="FFFAF1D1"/>
        <bgColor/>
      </patternFill>
    </fill>
    <fill>
      <patternFill patternType="solid">
        <fgColor rgb="FFFAF1D1"/>
        <bgColor/>
      </patternFill>
    </fill>
    <fill>
      <patternFill patternType="solid">
        <fgColor rgb="FFE1EAFF"/>
        <bgColor/>
      </patternFill>
    </fill>
    <fill>
      <patternFill patternType="solid">
        <fgColor rgb="FFF8F9FA"/>
        <bgColor/>
      </patternFill>
    </fill>
    <fill>
      <patternFill patternType="solid">
        <fgColor rgb="FFE1EAFF"/>
        <bgColor/>
      </patternFill>
    </fill>
    <fill>
      <patternFill patternType="solid">
        <fgColor rgb="FFE1EAFF"/>
        <bgColor/>
      </patternFill>
    </fill>
    <fill>
      <patternFill patternType="solid">
        <fgColor rgb="FFECE2FE"/>
        <bgColor/>
      </patternFill>
    </fill>
    <fill>
      <patternFill patternType="solid">
        <fgColor rgb="FFD9F3FD"/>
        <bgColor/>
      </patternFill>
    </fill>
    <fill>
      <patternFill patternType="solid">
        <fgColor rgb="FFD9F3FD"/>
        <bgColor/>
      </patternFill>
    </fill>
    <fill>
      <patternFill patternType="solid">
        <fgColor rgb="FFECE2FE"/>
        <bgColor/>
      </patternFill>
    </fill>
    <fill>
      <patternFill patternType="solid">
        <fgColor rgb="FFECE2FE"/>
        <bgColor/>
      </patternFill>
    </fill>
    <fill>
      <patternFill patternType="solid">
        <fgColor rgb="FFEEF6C6"/>
        <bgColor/>
      </patternFill>
    </fill>
    <fill>
      <patternFill patternType="solid">
        <fgColor rgb="FFE1EAFF"/>
        <bgColor/>
      </patternFill>
    </fill>
    <fill>
      <patternFill patternType="solid">
        <fgColor rgb="FFECE2FE"/>
        <bgColor/>
      </patternFill>
    </fill>
    <fill>
      <patternFill patternType="solid">
        <fgColor rgb="FFD9F3FD"/>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D9F3FD"/>
        <bgColor/>
      </patternFill>
    </fill>
    <fill>
      <patternFill patternType="solid">
        <fgColor rgb="FFFAF1D1"/>
        <bgColor/>
      </patternFill>
    </fill>
    <fill>
      <patternFill patternType="solid">
        <fgColor rgb="FFECE2FE"/>
        <bgColor/>
      </patternFill>
    </fill>
    <fill>
      <patternFill patternType="solid">
        <fgColor rgb="FFD9F3FD"/>
        <bgColor/>
      </patternFill>
    </fill>
    <fill>
      <patternFill patternType="solid">
        <fgColor rgb="FFE1EAFF"/>
        <bgColor/>
      </patternFill>
    </fill>
    <fill>
      <patternFill patternType="solid">
        <fgColor rgb="FFFAF1D1"/>
        <bgColor/>
      </patternFill>
    </fill>
    <fill>
      <patternFill patternType="solid">
        <fgColor rgb="FFE1EAFF"/>
        <bgColor/>
      </patternFill>
    </fill>
    <fill>
      <patternFill patternType="solid">
        <fgColor rgb="FFD9F3FD"/>
        <bgColor/>
      </patternFill>
    </fill>
    <fill>
      <patternFill patternType="solid">
        <fgColor rgb="FFE1EAFF"/>
        <bgColor/>
      </patternFill>
    </fill>
    <fill>
      <patternFill patternType="solid">
        <fgColor rgb="FFECE2FE"/>
        <bgColor/>
      </patternFill>
    </fill>
    <fill>
      <patternFill patternType="solid">
        <fgColor rgb="FFFAF1D1"/>
        <bgColor/>
      </patternFill>
    </fill>
    <fill>
      <patternFill patternType="solid">
        <fgColor rgb="FFE1EAFF"/>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D9F3FD"/>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FAF1D1"/>
        <bgColor/>
      </patternFill>
    </fill>
    <fill>
      <patternFill patternType="solid">
        <fgColor rgb="FFD9F3FD"/>
        <bgColor/>
      </patternFill>
    </fill>
    <fill>
      <patternFill patternType="solid">
        <fgColor rgb="FFE1EAFF"/>
        <bgColor/>
      </patternFill>
    </fill>
    <fill>
      <patternFill patternType="solid">
        <fgColor rgb="FFFAF1D1"/>
        <bgColor/>
      </patternFill>
    </fill>
    <fill>
      <patternFill patternType="solid">
        <fgColor rgb="FFE1EAFF"/>
        <bgColor/>
      </patternFill>
    </fill>
    <fill>
      <patternFill patternType="solid">
        <fgColor rgb="FFFAF1D1"/>
        <bgColor/>
      </patternFill>
    </fill>
    <fill>
      <patternFill patternType="solid">
        <fgColor rgb="FFE1EAFF"/>
        <bgColor/>
      </patternFill>
    </fill>
    <fill>
      <patternFill patternType="solid">
        <fgColor rgb="FFD9F3FD"/>
        <bgColor/>
      </patternFill>
    </fill>
    <fill>
      <patternFill patternType="solid">
        <fgColor rgb="FFECE2FE"/>
        <bgColor/>
      </patternFill>
    </fill>
    <fill>
      <patternFill patternType="solid">
        <fgColor rgb="FFFED4A4"/>
        <bgColor/>
      </patternFill>
    </fill>
    <fill>
      <patternFill patternType="solid">
        <fgColor rgb="FFFED4A4"/>
        <bgColor/>
      </patternFill>
    </fill>
    <fill>
      <patternFill patternType="solid">
        <fgColor rgb="FFEEF6C6"/>
        <bgColor/>
      </patternFill>
    </fill>
    <fill>
      <patternFill patternType="solid">
        <fgColor rgb="FFECE2FE"/>
        <bgColor/>
      </patternFill>
    </fill>
    <fill>
      <patternFill patternType="solid">
        <fgColor rgb="FFFAF1D1"/>
        <bgColor/>
      </patternFill>
    </fill>
    <fill>
      <patternFill patternType="solid">
        <fgColor rgb="FFECE2FE"/>
        <bgColor/>
      </patternFill>
    </fill>
    <fill>
      <patternFill patternType="solid">
        <fgColor rgb="FFE1EAFF"/>
        <bgColor/>
      </patternFill>
    </fill>
    <fill>
      <patternFill patternType="solid">
        <fgColor rgb="FFD9F3FD"/>
        <bgColor/>
      </patternFill>
    </fill>
    <fill>
      <patternFill patternType="solid">
        <fgColor rgb="FFECE2FE"/>
        <bgColor/>
      </patternFill>
    </fill>
    <fill>
      <patternFill patternType="solid">
        <fgColor rgb="FFD9F3FD"/>
        <bgColor/>
      </patternFill>
    </fill>
    <fill>
      <patternFill patternType="solid">
        <fgColor rgb="FFD9F3FD"/>
        <bgColor/>
      </patternFill>
    </fill>
    <fill>
      <patternFill patternType="solid">
        <fgColor rgb="FFD9F3FD"/>
        <bgColor/>
      </patternFill>
    </fill>
    <fill>
      <patternFill patternType="solid">
        <fgColor rgb="FFE1EAFF"/>
        <bgColor/>
      </patternFill>
    </fill>
    <fill>
      <patternFill patternType="solid">
        <fgColor rgb="FFECE2FE"/>
        <bgColor/>
      </patternFill>
    </fill>
    <fill>
      <patternFill patternType="solid">
        <fgColor rgb="FFECE2FE"/>
        <bgColor/>
      </patternFill>
    </fill>
    <fill>
      <patternFill patternType="solid">
        <fgColor rgb="FFE1EAFF"/>
        <bgColor/>
      </patternFill>
    </fill>
    <fill>
      <patternFill patternType="solid">
        <fgColor rgb="FFFAF1D1"/>
        <bgColor/>
      </patternFill>
    </fill>
    <fill>
      <patternFill patternType="solid">
        <fgColor rgb="FFD9F3FD"/>
        <bgColor/>
      </patternFill>
    </fill>
    <fill>
      <patternFill patternType="solid">
        <fgColor rgb="FFE1EAFF"/>
        <bgColor/>
      </patternFill>
    </fill>
    <fill>
      <patternFill patternType="solid">
        <fgColor rgb="FFD9F3FD"/>
        <bgColor/>
      </patternFill>
    </fill>
    <fill>
      <patternFill patternType="solid">
        <fgColor rgb="FFECE2FE"/>
        <bgColor/>
      </patternFill>
    </fill>
    <fill>
      <patternFill patternType="solid">
        <fgColor rgb="FFFAF1D1"/>
        <bgColor/>
      </patternFill>
    </fill>
    <fill>
      <patternFill patternType="solid">
        <fgColor rgb="FFD9F3FD"/>
        <bgColor/>
      </patternFill>
    </fill>
    <fill>
      <patternFill patternType="solid">
        <fgColor rgb="FFD9F3FD"/>
        <bgColor/>
      </patternFill>
    </fill>
    <fill>
      <patternFill patternType="solid">
        <fgColor rgb="FFFAF1D1"/>
        <bgColor/>
      </patternFill>
    </fill>
    <fill>
      <patternFill patternType="solid">
        <fgColor rgb="FFD9F3FD"/>
        <bgColor/>
      </patternFill>
    </fill>
    <fill>
      <patternFill patternType="solid">
        <fgColor rgb="FFE1EAFF"/>
        <bgColor/>
      </patternFill>
    </fill>
    <fill>
      <patternFill patternType="solid">
        <fgColor rgb="FFECE2FE"/>
        <bgColor/>
      </patternFill>
    </fill>
    <fill>
      <patternFill patternType="solid">
        <fgColor rgb="FFE1EAFF"/>
        <bgColor/>
      </patternFill>
    </fill>
    <fill>
      <patternFill patternType="solid">
        <fgColor rgb="FFFAF1D1"/>
        <bgColor/>
      </patternFill>
    </fill>
    <fill>
      <patternFill patternType="solid">
        <fgColor rgb="FFE1EAFF"/>
        <bgColor/>
      </patternFill>
    </fill>
    <fill>
      <patternFill patternType="solid">
        <fgColor rgb="FFECE2FE"/>
        <bgColor/>
      </patternFill>
    </fill>
    <fill>
      <patternFill patternType="solid">
        <fgColor rgb="FFECE2FE"/>
        <bgColor/>
      </patternFill>
    </fill>
    <fill>
      <patternFill patternType="solid">
        <fgColor rgb="FFD9F3FD"/>
        <bgColor/>
      </patternFill>
    </fill>
    <fill>
      <patternFill patternType="solid">
        <fgColor rgb="FFE1EAFF"/>
        <bgColor/>
      </patternFill>
    </fill>
    <fill>
      <patternFill patternType="solid">
        <fgColor rgb="FFECE2FE"/>
        <bgColor/>
      </patternFill>
    </fill>
    <fill>
      <patternFill patternType="solid">
        <fgColor rgb="FFFED4A4"/>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EEF6C6"/>
        <bgColor/>
      </patternFill>
    </fill>
    <fill>
      <patternFill patternType="solid">
        <fgColor rgb="FFD9F3FD"/>
        <bgColor/>
      </patternFill>
    </fill>
    <fill>
      <patternFill patternType="solid">
        <fgColor rgb="FFD9F3FD"/>
        <bgColor/>
      </patternFill>
    </fill>
    <fill>
      <patternFill patternType="solid">
        <fgColor rgb="FFD9F3FD"/>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ECE2FE"/>
        <bgColor/>
      </patternFill>
    </fill>
    <fill>
      <patternFill patternType="solid">
        <fgColor rgb="FFD9F3FD"/>
        <bgColor/>
      </patternFill>
    </fill>
    <fill>
      <patternFill patternType="solid">
        <fgColor rgb="FFFED4A4"/>
        <bgColor/>
      </patternFill>
    </fill>
    <fill>
      <patternFill patternType="solid">
        <fgColor rgb="FFFED4A4"/>
        <bgColor/>
      </patternFill>
    </fill>
    <fill>
      <patternFill patternType="solid">
        <fgColor rgb="FFD9F3FD"/>
        <bgColor/>
      </patternFill>
    </fill>
    <fill>
      <patternFill patternType="solid">
        <fgColor rgb="FFF8F9FA"/>
        <bgColor/>
      </patternFill>
    </fill>
    <fill>
      <patternFill patternType="solid">
        <fgColor rgb="FFFDDDEF"/>
        <bgColor/>
      </patternFill>
    </fill>
    <fill>
      <patternFill patternType="solid">
        <fgColor rgb="FFFDDDEF"/>
        <bgColor/>
      </patternFill>
    </fill>
    <fill>
      <patternFill patternType="solid">
        <fgColor rgb="FFEEF6C6"/>
        <bgColor/>
      </patternFill>
    </fill>
    <fill>
      <patternFill patternType="solid">
        <fgColor rgb="FFEEF6C6"/>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EEF6C6"/>
        <bgColor/>
      </patternFill>
    </fill>
    <fill>
      <patternFill patternType="solid">
        <fgColor rgb="FFEEF6C6"/>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FAF1D1"/>
        <bgColor/>
      </patternFill>
    </fill>
    <fill>
      <patternFill patternType="solid">
        <fgColor rgb="FFFAF1D1"/>
        <bgColor/>
      </patternFill>
    </fill>
    <fill>
      <patternFill patternType="solid">
        <fgColor rgb="FFFAF1D1"/>
        <bgColor/>
      </patternFill>
    </fill>
    <fill>
      <patternFill patternType="solid">
        <fgColor rgb="FFFAF1D1"/>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FAF1D1"/>
        <bgColor/>
      </patternFill>
    </fill>
    <fill>
      <patternFill patternType="solid">
        <fgColor rgb="FFFAF1D1"/>
        <bgColor/>
      </patternFill>
    </fill>
    <fill>
      <patternFill patternType="solid">
        <fgColor rgb="FFFAF1D1"/>
        <bgColor/>
      </patternFill>
    </fill>
    <fill>
      <patternFill patternType="solid">
        <fgColor rgb="FFECE2FE"/>
        <bgColor/>
      </patternFill>
    </fill>
    <fill>
      <patternFill patternType="solid">
        <fgColor rgb="FFFAF1D1"/>
        <bgColor/>
      </patternFill>
    </fill>
    <fill>
      <patternFill patternType="solid">
        <fgColor rgb="FFECE2FE"/>
        <bgColor/>
      </patternFill>
    </fill>
    <fill>
      <patternFill patternType="solid">
        <fgColor rgb="FFECE2FE"/>
        <bgColor/>
      </patternFill>
    </fill>
    <fill>
      <patternFill patternType="solid">
        <fgColor rgb="FFFAF1D1"/>
        <bgColor/>
      </patternFill>
    </fill>
    <fill>
      <patternFill patternType="solid">
        <fgColor rgb="FFECE2FE"/>
        <bgColor/>
      </patternFill>
    </fill>
    <fill>
      <patternFill patternType="solid">
        <fgColor rgb="FFFAF1D1"/>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D9F3FD"/>
        <bgColor/>
      </patternFill>
    </fill>
    <fill>
      <patternFill patternType="solid">
        <fgColor rgb="FFD9F3FD"/>
        <bgColor/>
      </patternFill>
    </fill>
    <fill>
      <patternFill patternType="solid">
        <fgColor rgb="FFFAF1D1"/>
        <bgColor/>
      </patternFill>
    </fill>
    <fill>
      <patternFill patternType="solid">
        <fgColor rgb="FFECE2FE"/>
        <bgColor/>
      </patternFill>
    </fill>
    <fill>
      <patternFill patternType="solid">
        <fgColor rgb="FFD9F3FD"/>
        <bgColor/>
      </patternFill>
    </fill>
    <fill>
      <patternFill patternType="solid">
        <fgColor rgb="FFFAF1D1"/>
        <bgColor/>
      </patternFill>
    </fill>
    <fill>
      <patternFill patternType="solid">
        <fgColor rgb="FFECE2FE"/>
        <bgColor/>
      </patternFill>
    </fill>
    <fill>
      <patternFill patternType="solid">
        <fgColor rgb="FFD9F3FD"/>
        <bgColor/>
      </patternFill>
    </fill>
    <fill>
      <patternFill patternType="solid">
        <fgColor rgb="FFFAF1D1"/>
        <bgColor/>
      </patternFill>
    </fill>
    <fill>
      <patternFill patternType="solid">
        <fgColor rgb="FFFAF1D1"/>
        <bgColor/>
      </patternFill>
    </fill>
    <fill>
      <patternFill patternType="solid">
        <fgColor rgb="FFFBBFBC"/>
        <bgColor/>
      </patternFill>
    </fill>
    <fill>
      <patternFill patternType="solid">
        <fgColor rgb="FFD9F5D6"/>
        <bgColor/>
      </patternFill>
    </fill>
    <fill>
      <patternFill patternType="solid">
        <fgColor rgb="FFF8F9FA"/>
        <bgColor/>
      </patternFill>
    </fill>
    <fill>
      <patternFill patternType="solid">
        <fgColor rgb="FFF8F9FA"/>
        <bgColor/>
      </patternFill>
    </fill>
    <fill>
      <patternFill patternType="solid">
        <fgColor rgb="FFD9F3FD"/>
        <bgColor/>
      </patternFill>
    </fill>
    <fill>
      <patternFill patternType="solid">
        <fgColor rgb="FFFBBFBC"/>
        <bgColor/>
      </patternFill>
    </fill>
    <fill>
      <patternFill patternType="solid">
        <fgColor rgb="FFD9F5D6"/>
        <bgColor/>
      </patternFill>
    </fill>
    <fill>
      <patternFill patternType="solid">
        <fgColor rgb="FFFBBFBC"/>
        <bgColor/>
      </patternFill>
    </fill>
    <fill>
      <patternFill patternType="solid">
        <fgColor rgb="FFD9F5D6"/>
        <bgColor/>
      </patternFill>
    </fill>
    <fill>
      <patternFill patternType="solid">
        <fgColor rgb="FFD9F5D6"/>
        <bgColor/>
      </patternFill>
    </fill>
    <fill>
      <patternFill patternType="solid">
        <fgColor rgb="FFD9F5D6"/>
        <bgColor/>
      </patternFill>
    </fill>
    <fill>
      <patternFill patternType="solid">
        <fgColor rgb="FFD9F5D6"/>
        <bgColor/>
      </patternFill>
    </fill>
    <fill>
      <patternFill patternType="solid">
        <fgColor rgb="FFD9F5D6"/>
        <bgColor/>
      </patternFill>
    </fill>
    <fill>
      <patternFill patternType="solid">
        <fgColor rgb="FFD9F5D6"/>
        <bgColor/>
      </patternFill>
    </fill>
    <fill>
      <patternFill patternType="solid">
        <fgColor rgb="FFDEE0E3"/>
        <bgColor/>
      </patternFill>
    </fill>
    <fill>
      <patternFill patternType="solid">
        <fgColor rgb="FFEFEFEF"/>
        <bgColor/>
      </patternFill>
    </fill>
  </fills>
  <borders count="28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top/>
      <bottom/>
      <diagonal/>
    </border>
    <border>
      <left/>
      <right/>
      <top/>
      <bottom/>
      <diagonal/>
    </border>
    <border>
      <left/>
      <right/>
      <top/>
      <bottom/>
      <diagonal/>
    </border>
    <border>
      <left style="thin">
        <color rgb="FF1F2329"/>
      </left>
      <right/>
      <top/>
      <bottom/>
      <diagonal/>
    </border>
    <border>
      <left/>
      <right/>
      <top/>
      <bottom/>
      <diagonal/>
    </border>
    <border>
      <left/>
      <right style="thin">
        <color rgb="FF1F2329"/>
      </right>
      <top/>
      <bottom/>
      <diagonal/>
    </border>
    <border>
      <left style="thin">
        <color rgb="FF1F2329"/>
      </left>
      <right/>
      <top/>
      <bottom/>
      <diagonal/>
    </border>
    <border>
      <left style="thin">
        <color rgb="FF1F2329"/>
      </left>
      <right/>
      <top/>
      <bottom/>
      <diagonal/>
    </border>
    <border>
      <left style="thin">
        <color rgb="FF1F2329"/>
      </left>
      <right/>
      <top/>
      <bottom/>
      <diagonal/>
    </border>
    <border>
      <left/>
      <right/>
      <top/>
      <bottom/>
      <diagonal/>
    </border>
    <border>
      <left/>
      <right style="thin">
        <color rgb="FF1F2329"/>
      </right>
      <top/>
      <bottom/>
      <diagonal/>
    </border>
    <border>
      <left/>
      <right/>
      <top/>
      <bottom/>
      <diagonal/>
    </border>
    <border>
      <left/>
      <right/>
      <top/>
      <bottom/>
      <diagonal/>
    </border>
    <border>
      <left/>
      <right/>
      <top/>
      <bottom/>
      <diagonal/>
    </border>
    <border>
      <left/>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rgb="FF1F2329"/>
      </bottom>
      <diagonal/>
    </border>
    <border>
      <left style="thin">
        <color rgb="FF1F2329"/>
      </left>
      <right/>
      <top/>
      <bottom style="thin">
        <color rgb="FF1F2329"/>
      </bottom>
      <diagonal/>
    </border>
    <border>
      <left/>
      <right/>
      <top/>
      <bottom style="thin">
        <color rgb="FF1F2329"/>
      </bottom>
      <diagonal/>
    </border>
    <border>
      <left style="thin">
        <color rgb="FF1F2329"/>
      </left>
      <right/>
      <top/>
      <bottom style="thin">
        <color rgb="FF1F2329"/>
      </bottom>
      <diagonal/>
    </border>
    <border>
      <left/>
      <right style="thin">
        <color rgb="FF1F2329"/>
      </right>
      <top/>
      <bottom style="thin">
        <color rgb="FF1F2329"/>
      </bottom>
      <diagonal/>
    </border>
    <border>
      <left/>
      <right/>
      <top/>
      <bottom/>
      <diagonal/>
    </border>
    <border>
      <left/>
      <right style="thin">
        <color rgb="FF1F2329"/>
      </right>
      <top/>
      <bottom/>
      <diagonal/>
    </border>
    <border>
      <left/>
      <right/>
      <top/>
      <bottom/>
      <diagonal/>
    </border>
    <border>
      <left style="thin">
        <color rgb="FF1F2329"/>
      </left>
      <right/>
      <top/>
      <bottom/>
      <diagonal/>
    </border>
    <border>
      <left style="thin">
        <color rgb="FF1F2329"/>
      </left>
      <right/>
      <top/>
      <bottom/>
      <diagonal/>
    </border>
    <border>
      <left/>
      <right style="thin">
        <color rgb="FF1F2329"/>
      </right>
      <top/>
      <bottom/>
      <diagonal/>
    </border>
    <border>
      <left style="thin">
        <color rgb="FF1F2329"/>
      </left>
      <right/>
      <top style="thin">
        <color rgb="FF1F2329"/>
      </top>
      <bottom/>
      <diagonal/>
    </border>
    <border>
      <left/>
      <right style="thin">
        <color rgb="FF1F2329"/>
      </right>
      <top/>
      <bottom/>
      <diagonal/>
    </border>
    <border>
      <left/>
      <right style="thin">
        <color rgb="FF1F2329"/>
      </right>
      <top/>
      <bottom style="thin">
        <color rgb="FF1F2329"/>
      </bottom>
      <diagonal/>
    </border>
    <border>
      <left/>
      <right/>
      <top/>
      <bottom/>
      <diagonal/>
    </border>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style="thin">
        <color rgb="FF1F1F1F"/>
      </bottom>
      <diagonal/>
    </border>
    <border>
      <left/>
      <right/>
      <top/>
      <bottom/>
      <diagonal/>
    </border>
    <border>
      <left style="thin">
        <color rgb="FF1F1F1F"/>
      </left>
      <right style="thin">
        <color rgb="FF1F1F1F"/>
      </right>
      <top style="thin">
        <color rgb="FF1F1F1F"/>
      </top>
      <bottom style="thin">
        <color rgb="FF1F1F1F"/>
      </bottom>
      <diagonal/>
    </border>
    <border>
      <left/>
      <right/>
      <top/>
      <bottom/>
      <diagonal/>
    </border>
  </borders>
  <cellStyleXfs count="1">
    <xf applyAlignment="true" applyBorder="false" applyFill="false" applyFont="false" applyNumberFormat="false" applyProtection="false" borderId="0" fillId="0" fontId="0" numFmtId="0"/>
  </cellStyleXfs>
  <cellXfs count="28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2" fillId="0" fontId="1" numFmtId="0" xfId="0">
      <alignment horizontal="left" vertical="top"/>
    </xf>
    <xf applyAlignment="true" applyBorder="false" applyFill="false" applyFont="true" applyNumberFormat="false" applyProtection="false" borderId="3" fillId="0" fontId="1" numFmtId="0" xfId="0">
      <alignment horizontal="left" vertical="center"/>
    </xf>
    <xf applyAlignment="true" applyBorder="false" applyFill="false" applyFont="true" applyNumberFormat="false" applyProtection="false" borderId="4" fillId="0" fontId="1" numFmtId="0" xfId="0">
      <alignment vertical="center"/>
    </xf>
    <xf applyAlignment="true" applyBorder="false" applyFill="false" applyFont="true" applyNumberFormat="true" applyProtection="false" borderId="5" fillId="0" fontId="1" numFmtId="164" xfId="0">
      <alignment horizontal="left" vertical="center"/>
    </xf>
    <xf applyAlignment="true" applyBorder="false" applyFill="false" applyFont="true" applyNumberFormat="false" applyProtection="false" borderId="6" fillId="0" fontId="2" numFmtId="0" xfId="0">
      <alignment horizontal="left" vertical="top"/>
    </xf>
    <xf applyAlignment="true" applyBorder="false" applyFill="false" applyFont="true" applyNumberFormat="false" applyProtection="false" borderId="7" fillId="0" fontId="3" numFmtId="0" xfId="0">
      <alignment horizontal="left" vertical="center"/>
    </xf>
    <xf applyAlignment="true" applyBorder="false" applyFill="false" applyFont="true" applyNumberFormat="true" applyProtection="false" borderId="8" fillId="0" fontId="1" numFmtId="165" xfId="0">
      <alignment horizontal="center" vertical="center"/>
    </xf>
    <xf applyAlignment="true" applyBorder="false" applyFill="false" applyFont="true" applyNumberFormat="true" applyProtection="false" borderId="9" fillId="0" fontId="3" numFmtId="166" xfId="0">
      <alignment horizontal="center" vertical="center"/>
    </xf>
    <xf applyAlignment="true" applyBorder="false" applyFill="false" applyFont="true" applyNumberFormat="false" applyProtection="false" borderId="10" fillId="0" fontId="4" numFmtId="0" xfId="0">
      <alignment horizontal="left" vertical="center"/>
    </xf>
    <xf applyAlignment="true" applyBorder="false" applyFill="false" applyFont="true" applyNumberFormat="false" applyProtection="false" borderId="11" fillId="0" fontId="4" numFmtId="0" xfId="0">
      <alignment horizontal="center" vertical="center"/>
    </xf>
    <xf applyAlignment="true" applyBorder="false" applyFill="false" applyFont="true" applyNumberFormat="false" applyProtection="false" borderId="12" fillId="0" fontId="5" numFmtId="0" xfId="0">
      <alignment vertical="center"/>
    </xf>
    <xf applyAlignment="true" applyBorder="false" applyFill="false" applyFont="true" applyNumberFormat="false" applyProtection="false" borderId="13" fillId="0" fontId="3" numFmtId="0" xfId="0">
      <alignment vertical="center"/>
    </xf>
    <xf applyAlignment="true" applyBorder="false" applyFill="false" applyFont="true" applyNumberFormat="false" applyProtection="false" borderId="14" fillId="0" fontId="5" numFmtId="0" xfId="0">
      <alignment horizontal="left" vertical="center"/>
    </xf>
    <xf applyAlignment="true" applyBorder="false" applyFill="false" applyFont="true" applyNumberFormat="false" applyProtection="false" borderId="15" fillId="0" fontId="4" numFmtId="0" xfId="0">
      <alignment vertical="center"/>
    </xf>
    <xf applyAlignment="true" applyBorder="false" applyFill="true" applyFont="true" applyNumberFormat="false" applyProtection="false" borderId="16" fillId="2" fontId="5" numFmtId="0" xfId="0">
      <alignment horizontal="left" vertical="center"/>
    </xf>
    <xf applyAlignment="true" applyBorder="false" applyFill="false" applyFont="true" applyNumberFormat="false" applyProtection="false" borderId="17" fillId="0" fontId="5" numFmtId="0" xfId="0">
      <alignment horizontal="center" vertical="center"/>
    </xf>
    <xf applyAlignment="true" applyBorder="false" applyFill="false" applyFont="true" applyNumberFormat="false" applyProtection="false" borderId="18" fillId="0" fontId="5" numFmtId="0" xfId="0">
      <alignment horizontal="left" vertical="top"/>
    </xf>
    <xf applyAlignment="true" applyBorder="false" applyFill="true" applyFont="true" applyNumberFormat="false" applyProtection="false" borderId="19" fillId="3" fontId="6" numFmtId="0" xfId="0">
      <alignment horizontal="left" vertical="center"/>
    </xf>
    <xf applyAlignment="true" applyBorder="false" applyFill="false" applyFont="true" applyNumberFormat="true" applyProtection="false" borderId="20" fillId="0" fontId="1" numFmtId="167" xfId="0">
      <alignment horizontal="left" vertical="top"/>
    </xf>
    <xf applyAlignment="true" applyBorder="false" applyFill="true" applyFont="true" applyNumberFormat="false" applyProtection="false" borderId="21" fillId="4" fontId="5" numFmtId="0" xfId="0">
      <alignment horizontal="left" vertical="center"/>
    </xf>
    <xf applyAlignment="true" applyBorder="false" applyFill="true" applyFont="true" applyNumberFormat="false" applyProtection="false" borderId="22" fillId="5" fontId="6" numFmtId="0" xfId="0">
      <alignment horizontal="left" vertical="center"/>
    </xf>
    <xf applyAlignment="true" applyBorder="false" applyFill="false" applyFont="true" applyNumberFormat="false" applyProtection="false" borderId="23" fillId="0" fontId="7" numFmtId="0" xfId="0">
      <alignment horizontal="left" vertical="center"/>
    </xf>
    <xf applyAlignment="true" applyBorder="false" applyFill="false" applyFont="true" applyNumberFormat="false" applyProtection="false" borderId="24" fillId="0" fontId="1" numFmtId="0" xfId="0">
      <alignment vertical="center" wrapText="true"/>
    </xf>
    <xf applyAlignment="true" applyBorder="false" applyFill="false" applyFont="true" applyNumberFormat="false" applyProtection="false" borderId="25" fillId="0" fontId="5" numFmtId="0" xfId="0">
      <alignment horizontal="center" vertical="center" wrapText="true"/>
    </xf>
    <xf applyAlignment="true" applyBorder="false" applyFill="false" applyFont="true" applyNumberFormat="false" applyProtection="false" borderId="26" fillId="0" fontId="1" numFmtId="0" xfId="0">
      <alignment vertical="top" wrapText="true"/>
    </xf>
    <xf applyAlignment="true" applyBorder="false" applyFill="true" applyFont="true" applyNumberFormat="false" applyProtection="false" borderId="27" fillId="6" fontId="4" numFmtId="0" xfId="0">
      <alignment horizontal="center" vertical="center"/>
    </xf>
    <xf applyAlignment="true" applyBorder="false" applyFill="true" applyFont="true" applyNumberFormat="true" applyProtection="false" borderId="28" fillId="7" fontId="4" numFmtId="168" xfId="0">
      <alignment horizontal="center" vertical="center"/>
    </xf>
    <xf applyAlignment="true" applyBorder="false" applyFill="true" applyFont="true" applyNumberFormat="true" applyProtection="false" borderId="29" fillId="8" fontId="1" numFmtId="169" xfId="0">
      <alignment horizontal="center" vertical="center"/>
    </xf>
    <xf applyAlignment="true" applyBorder="false" applyFill="true" applyFont="true" applyNumberFormat="true" applyProtection="false" borderId="30" fillId="9" fontId="6" numFmtId="170" xfId="0">
      <alignment horizontal="center" vertical="center" wrapText="true"/>
    </xf>
    <xf applyAlignment="true" applyBorder="false" applyFill="true" applyFont="true" applyNumberFormat="false" applyProtection="false" borderId="31" fillId="10" fontId="6" numFmtId="0" xfId="0">
      <alignment horizontal="center" vertical="center"/>
    </xf>
    <xf applyAlignment="true" applyBorder="false" applyFill="true" applyFont="true" applyNumberFormat="true" applyProtection="false" borderId="32" fillId="11" fontId="4" numFmtId="171" xfId="0">
      <alignment horizontal="center" vertical="center"/>
    </xf>
    <xf applyAlignment="true" applyBorder="false" applyFill="true" applyFont="true" applyNumberFormat="true" applyProtection="false" borderId="33" fillId="12" fontId="6" numFmtId="172" xfId="0">
      <alignment horizontal="center" vertical="center"/>
    </xf>
    <xf applyAlignment="true" applyBorder="false" applyFill="false" applyFont="true" applyNumberFormat="true" applyProtection="false" borderId="34" fillId="0" fontId="4" numFmtId="173" xfId="0">
      <alignment horizontal="center" vertical="center"/>
    </xf>
    <xf applyAlignment="true" applyBorder="false" applyFill="true" applyFont="true" applyNumberFormat="true" applyProtection="false" borderId="35" fillId="13" fontId="4" numFmtId="174" xfId="0">
      <alignment horizontal="center" vertical="center"/>
    </xf>
    <xf applyAlignment="true" applyBorder="false" applyFill="true" applyFont="true" applyNumberFormat="false" applyProtection="false" borderId="36" fillId="14" fontId="4" numFmtId="0" xfId="0">
      <alignment horizontal="left" vertical="center"/>
    </xf>
    <xf applyAlignment="true" applyBorder="false" applyFill="true" applyFont="true" applyNumberFormat="true" applyProtection="false" borderId="37" fillId="15" fontId="4" numFmtId="175" xfId="0">
      <alignment horizontal="center" vertical="center"/>
    </xf>
    <xf applyAlignment="true" applyBorder="false" applyFill="true" applyFont="true" applyNumberFormat="true" applyProtection="false" borderId="38" fillId="16" fontId="4" numFmtId="176" xfId="0">
      <alignment horizontal="center" vertical="center"/>
    </xf>
    <xf applyAlignment="true" applyBorder="false" applyFill="true" applyFont="true" applyNumberFormat="true" applyProtection="false" borderId="39" fillId="17" fontId="4" numFmtId="177" xfId="0">
      <alignment horizontal="center" vertical="center"/>
    </xf>
    <xf applyAlignment="true" applyBorder="false" applyFill="false" applyFont="true" applyNumberFormat="false" applyProtection="false" borderId="40" fillId="0" fontId="4" numFmtId="0" xfId="0">
      <alignment horizontal="left" vertical="top" wrapText="true"/>
    </xf>
    <xf applyAlignment="true" applyBorder="false" applyFill="true" applyFont="true" applyNumberFormat="false" applyProtection="false" borderId="41" fillId="18" fontId="4" numFmtId="0" xfId="0">
      <alignment horizontal="left" vertical="top" wrapText="true"/>
    </xf>
    <xf applyAlignment="true" applyBorder="false" applyFill="false" applyFont="true" applyNumberFormat="true" applyProtection="false" borderId="42" fillId="0" fontId="4" numFmtId="178" xfId="0">
      <alignment horizontal="center" vertical="center"/>
    </xf>
    <xf applyAlignment="true" applyBorder="false" applyFill="true" applyFont="true" applyNumberFormat="true" applyProtection="false" borderId="43" fillId="19" fontId="4" numFmtId="179" xfId="0">
      <alignment horizontal="center" vertical="center" wrapText="true"/>
    </xf>
    <xf applyAlignment="true" applyBorder="false" applyFill="true" applyFont="true" applyNumberFormat="true" applyProtection="false" borderId="44" fillId="20" fontId="4" numFmtId="180" xfId="0">
      <alignment horizontal="right" vertical="center"/>
    </xf>
    <xf applyAlignment="true" applyBorder="false" applyFill="false" applyFont="true" applyNumberFormat="true" applyProtection="false" borderId="45" fillId="0" fontId="6" numFmtId="181" xfId="0">
      <alignment horizontal="center" vertical="center" wrapText="true"/>
    </xf>
    <xf applyAlignment="true" applyBorder="false" applyFill="true" applyFont="true" applyNumberFormat="true" applyProtection="false" borderId="46" fillId="21" fontId="4" numFmtId="182" xfId="0">
      <alignment horizontal="center" vertical="center"/>
    </xf>
    <xf applyAlignment="true" applyBorder="false" applyFill="true" applyFont="true" applyNumberFormat="true" applyProtection="false" borderId="47" fillId="22" fontId="6" numFmtId="183" xfId="0">
      <alignment horizontal="center" vertical="center" wrapText="true"/>
    </xf>
    <xf applyAlignment="true" applyBorder="false" applyFill="true" applyFont="true" applyNumberFormat="true" applyProtection="false" borderId="48" fillId="23" fontId="4" numFmtId="184" xfId="0">
      <alignment horizontal="center" vertical="center" wrapText="true"/>
    </xf>
    <xf applyAlignment="true" applyBorder="false" applyFill="true" applyFont="true" applyNumberFormat="true" applyProtection="false" borderId="49" fillId="24" fontId="6" numFmtId="185" xfId="0">
      <alignment horizontal="center" vertical="center" wrapText="true"/>
    </xf>
    <xf applyAlignment="true" applyBorder="false" applyFill="false" applyFont="true" applyNumberFormat="true" applyProtection="false" borderId="50" fillId="0" fontId="1" numFmtId="186" xfId="0">
      <alignment horizontal="center" vertical="center"/>
    </xf>
    <xf applyAlignment="true" applyBorder="false" applyFill="true" applyFont="true" applyNumberFormat="true" applyProtection="false" borderId="51" fillId="25" fontId="1" numFmtId="187" xfId="0">
      <alignment horizontal="center" vertical="center"/>
    </xf>
    <xf applyAlignment="true" applyBorder="false" applyFill="true" applyFont="true" applyNumberFormat="false" applyProtection="false" borderId="52" fillId="26" fontId="1" numFmtId="0" xfId="0">
      <alignment horizontal="center" vertical="center"/>
    </xf>
    <xf applyAlignment="true" applyBorder="false" applyFill="true" applyFont="true" applyNumberFormat="false" applyProtection="false" borderId="53" fillId="27" fontId="1" numFmtId="0" xfId="0">
      <alignment horizontal="left" vertical="center"/>
    </xf>
    <xf applyAlignment="true" applyBorder="false" applyFill="true" applyFont="true" applyNumberFormat="false" applyProtection="false" borderId="54" fillId="28" fontId="1" numFmtId="0" xfId="0">
      <alignment horizontal="center" vertical="center"/>
    </xf>
    <xf applyAlignment="true" applyBorder="false" applyFill="true" applyFont="true" applyNumberFormat="true" applyProtection="false" borderId="55" fillId="29" fontId="1" numFmtId="188" xfId="0">
      <alignment horizontal="center" vertical="center"/>
    </xf>
    <xf applyAlignment="true" applyBorder="false" applyFill="true" applyFont="true" applyNumberFormat="true" applyProtection="false" borderId="56" fillId="30" fontId="6" numFmtId="189" xfId="0">
      <alignment horizontal="center" vertical="center" wrapText="true"/>
    </xf>
    <xf applyAlignment="true" applyBorder="false" applyFill="true" applyFont="true" applyNumberFormat="false" applyProtection="false" borderId="57" fillId="31" fontId="1" numFmtId="0" xfId="0">
      <alignment horizontal="center" vertical="center"/>
    </xf>
    <xf applyAlignment="true" applyBorder="false" applyFill="true" applyFont="true" applyNumberFormat="true" applyProtection="false" borderId="58" fillId="32" fontId="1" numFmtId="190" xfId="0">
      <alignment horizontal="center" vertical="center"/>
    </xf>
    <xf applyAlignment="true" applyBorder="false" applyFill="true" applyFont="true" applyNumberFormat="false" applyProtection="false" borderId="59" fillId="33" fontId="8" numFmtId="0" xfId="0">
      <alignment horizontal="center" vertical="center"/>
    </xf>
    <xf applyAlignment="true" applyBorder="false" applyFill="true" applyFont="true" applyNumberFormat="true" applyProtection="false" borderId="60" fillId="34" fontId="4" numFmtId="191" xfId="0">
      <alignment horizontal="center" vertical="center"/>
    </xf>
    <xf applyAlignment="true" applyBorder="false" applyFill="true" applyFont="true" applyNumberFormat="false" applyProtection="false" borderId="61" fillId="35" fontId="1" numFmtId="0" xfId="0">
      <alignment horizontal="center" vertical="center"/>
    </xf>
    <xf applyAlignment="true" applyBorder="false" applyFill="true" applyFont="true" applyNumberFormat="false" applyProtection="false" borderId="62" fillId="36" fontId="5" numFmtId="0" xfId="0">
      <alignment horizontal="center" vertical="center"/>
    </xf>
    <xf applyAlignment="true" applyBorder="false" applyFill="true" applyFont="true" applyNumberFormat="true" applyProtection="false" borderId="63" fillId="37" fontId="6" numFmtId="192" xfId="0">
      <alignment horizontal="center" vertical="center" wrapText="true"/>
    </xf>
    <xf applyAlignment="true" applyBorder="false" applyFill="true" applyFont="true" applyNumberFormat="true" applyProtection="false" borderId="64" fillId="38" fontId="1" numFmtId="193" xfId="0">
      <alignment horizontal="center" vertical="center"/>
    </xf>
    <xf applyAlignment="true" applyBorder="false" applyFill="true" applyFont="true" applyNumberFormat="true" applyProtection="false" borderId="65" fillId="39" fontId="4" numFmtId="194" xfId="0">
      <alignment horizontal="center" vertical="center"/>
    </xf>
    <xf applyAlignment="true" applyBorder="false" applyFill="true" applyFont="true" applyNumberFormat="true" applyProtection="false" borderId="66" fillId="40" fontId="1" numFmtId="195" xfId="0">
      <alignment horizontal="center" vertical="center"/>
    </xf>
    <xf applyAlignment="true" applyBorder="false" applyFill="true" applyFont="true" applyNumberFormat="false" applyProtection="false" borderId="67" fillId="41" fontId="1" numFmtId="0" xfId="0">
      <alignment horizontal="center" vertical="center"/>
    </xf>
    <xf applyAlignment="true" applyBorder="false" applyFill="true" applyFont="true" applyNumberFormat="true" applyProtection="false" borderId="68" fillId="42" fontId="4" numFmtId="196" xfId="0">
      <alignment horizontal="center" vertical="center"/>
    </xf>
    <xf applyAlignment="true" applyBorder="false" applyFill="true" applyFont="true" applyNumberFormat="true" applyProtection="false" borderId="69" fillId="43" fontId="5" numFmtId="197" xfId="0">
      <alignment horizontal="center" vertical="center"/>
    </xf>
    <xf applyAlignment="true" applyBorder="false" applyFill="true" applyFont="true" applyNumberFormat="true" applyProtection="false" borderId="70" fillId="44" fontId="4" numFmtId="198" xfId="0">
      <alignment horizontal="center" vertical="center" wrapText="true"/>
    </xf>
    <xf applyAlignment="true" applyBorder="false" applyFill="true" applyFont="true" applyNumberFormat="false" applyProtection="false" borderId="71" fillId="45" fontId="4" numFmtId="0" xfId="0">
      <alignment horizontal="left" vertical="center"/>
    </xf>
    <xf applyAlignment="true" applyBorder="false" applyFill="true" applyFont="true" applyNumberFormat="false" applyProtection="false" borderId="72" fillId="46" fontId="4" numFmtId="0" xfId="0">
      <alignment horizontal="center" vertical="center"/>
    </xf>
    <xf applyAlignment="true" applyBorder="false" applyFill="true" applyFont="true" applyNumberFormat="true" applyProtection="false" borderId="73" fillId="47" fontId="1" numFmtId="199" xfId="0">
      <alignment horizontal="right" vertical="center"/>
    </xf>
    <xf applyAlignment="true" applyBorder="false" applyFill="true" applyFont="true" applyNumberFormat="true" applyProtection="false" borderId="74" fillId="48" fontId="4" numFmtId="200" xfId="0">
      <alignment horizontal="center" vertical="center" wrapText="true"/>
    </xf>
    <xf applyAlignment="true" applyBorder="false" applyFill="true" applyFont="true" applyNumberFormat="false" applyProtection="false" borderId="75" fillId="49" fontId="4" numFmtId="0" xfId="0">
      <alignment horizontal="left" vertical="center"/>
    </xf>
    <xf applyAlignment="true" applyBorder="false" applyFill="true" applyFont="true" applyNumberFormat="true" applyProtection="false" borderId="76" fillId="50" fontId="1" numFmtId="201" xfId="0">
      <alignment horizontal="center" vertical="center"/>
    </xf>
    <xf applyAlignment="true" applyBorder="false" applyFill="false" applyFont="true" applyNumberFormat="false" applyProtection="false" borderId="77" fillId="0" fontId="1" numFmtId="0" xfId="0">
      <alignment horizontal="left" vertical="top" wrapText="true"/>
    </xf>
    <xf applyAlignment="true" applyBorder="false" applyFill="true" applyFont="true" applyNumberFormat="true" applyProtection="false" borderId="78" fillId="51" fontId="4" numFmtId="202" xfId="0">
      <alignment horizontal="right" vertical="center"/>
    </xf>
    <xf applyAlignment="true" applyBorder="false" applyFill="true" applyFont="true" applyNumberFormat="true" applyProtection="false" borderId="79" fillId="52" fontId="5" numFmtId="203" xfId="0">
      <alignment horizontal="center" vertical="center"/>
    </xf>
    <xf applyAlignment="true" applyBorder="false" applyFill="true" applyFont="true" applyNumberFormat="true" applyProtection="false" borderId="80" fillId="53" fontId="5" numFmtId="204" xfId="0">
      <alignment horizontal="center" vertical="center"/>
    </xf>
    <xf applyAlignment="true" applyBorder="false" applyFill="true" applyFont="true" applyNumberFormat="true" applyProtection="false" borderId="81" fillId="54" fontId="1" numFmtId="205" xfId="0">
      <alignment horizontal="center" vertical="center"/>
    </xf>
    <xf applyAlignment="true" applyBorder="false" applyFill="true" applyFont="true" applyNumberFormat="true" applyProtection="false" borderId="82" fillId="55" fontId="1" numFmtId="206" xfId="0">
      <alignment horizontal="center" vertical="center"/>
    </xf>
    <xf applyAlignment="true" applyBorder="false" applyFill="true" applyFont="true" applyNumberFormat="false" applyProtection="false" borderId="83" fillId="56" fontId="5" numFmtId="0" xfId="0">
      <alignment horizontal="center" vertical="center"/>
    </xf>
    <xf applyAlignment="true" applyBorder="false" applyFill="true" applyFont="true" applyNumberFormat="false" applyProtection="false" borderId="84" fillId="57" fontId="1" numFmtId="0" xfId="0">
      <alignment horizontal="left" vertical="center"/>
    </xf>
    <xf applyAlignment="true" applyBorder="false" applyFill="true" applyFont="true" applyNumberFormat="false" applyProtection="false" borderId="85" fillId="58" fontId="1" numFmtId="0" xfId="0">
      <alignment horizontal="left" vertical="top" wrapText="true"/>
    </xf>
    <xf applyAlignment="true" applyBorder="false" applyFill="true" applyFont="true" applyNumberFormat="true" applyProtection="false" borderId="86" fillId="59" fontId="1" numFmtId="207" xfId="0">
      <alignment horizontal="center" vertical="center"/>
    </xf>
    <xf applyAlignment="true" applyBorder="false" applyFill="true" applyFont="true" applyNumberFormat="true" applyProtection="false" borderId="87" fillId="60" fontId="6" numFmtId="208" xfId="0">
      <alignment horizontal="center" vertical="center"/>
    </xf>
    <xf applyAlignment="true" applyBorder="false" applyFill="true" applyFont="true" applyNumberFormat="true" applyProtection="false" borderId="88" fillId="61" fontId="4" numFmtId="209" xfId="0">
      <alignment horizontal="center" vertical="center"/>
    </xf>
    <xf applyAlignment="true" applyBorder="false" applyFill="true" applyFont="true" applyNumberFormat="true" applyProtection="false" borderId="89" fillId="62" fontId="4" numFmtId="210" xfId="0">
      <alignment horizontal="center" vertical="center"/>
    </xf>
    <xf applyAlignment="true" applyBorder="false" applyFill="true" applyFont="true" applyNumberFormat="false" applyProtection="false" borderId="90" fillId="63" fontId="4" numFmtId="0" xfId="0">
      <alignment horizontal="left" vertical="center"/>
    </xf>
    <xf applyAlignment="true" applyBorder="false" applyFill="true" applyFont="true" applyNumberFormat="false" applyProtection="false" borderId="91" fillId="64" fontId="4" numFmtId="0" xfId="0">
      <alignment horizontal="center" vertical="center"/>
    </xf>
    <xf applyAlignment="true" applyBorder="false" applyFill="true" applyFont="true" applyNumberFormat="true" applyProtection="false" borderId="92" fillId="65" fontId="4" numFmtId="211" xfId="0">
      <alignment horizontal="center" vertical="center"/>
    </xf>
    <xf applyAlignment="true" applyBorder="false" applyFill="true" applyFont="true" applyNumberFormat="true" applyProtection="false" borderId="93" fillId="66" fontId="4" numFmtId="212" xfId="0">
      <alignment horizontal="center" vertical="center" wrapText="true"/>
    </xf>
    <xf applyAlignment="true" applyBorder="false" applyFill="true" applyFont="true" applyNumberFormat="true" applyProtection="false" borderId="94" fillId="67" fontId="1" numFmtId="213" xfId="0">
      <alignment horizontal="right" vertical="center"/>
    </xf>
    <xf applyAlignment="true" applyBorder="false" applyFill="true" applyFont="true" applyNumberFormat="true" applyProtection="false" borderId="95" fillId="68" fontId="4" numFmtId="214" xfId="0">
      <alignment horizontal="center" vertical="center"/>
    </xf>
    <xf applyAlignment="true" applyBorder="false" applyFill="true" applyFont="true" applyNumberFormat="true" applyProtection="false" borderId="96" fillId="69" fontId="4" numFmtId="215" xfId="0">
      <alignment horizontal="center" vertical="center"/>
    </xf>
    <xf applyAlignment="true" applyBorder="false" applyFill="true" applyFont="true" applyNumberFormat="true" applyProtection="false" borderId="97" fillId="70" fontId="4" numFmtId="216" xfId="0">
      <alignment horizontal="center" vertical="center" wrapText="true"/>
    </xf>
    <xf applyAlignment="true" applyBorder="false" applyFill="true" applyFont="true" applyNumberFormat="true" applyProtection="false" borderId="98" fillId="71" fontId="4" numFmtId="217" xfId="0">
      <alignment horizontal="center" vertical="center"/>
    </xf>
    <xf applyAlignment="true" applyBorder="false" applyFill="true" applyFont="true" applyNumberFormat="true" applyProtection="false" borderId="99" fillId="72" fontId="6" numFmtId="218" xfId="0">
      <alignment horizontal="center" vertical="center" wrapText="true"/>
    </xf>
    <xf applyAlignment="true" applyBorder="false" applyFill="true" applyFont="true" applyNumberFormat="false" applyProtection="false" borderId="100" fillId="73" fontId="6" numFmtId="0" xfId="0">
      <alignment horizontal="center" vertical="center"/>
    </xf>
    <xf applyAlignment="true" applyBorder="false" applyFill="true" applyFont="true" applyNumberFormat="true" applyProtection="false" borderId="101" fillId="74" fontId="6" numFmtId="219" xfId="0">
      <alignment horizontal="center" vertical="center" wrapText="true"/>
    </xf>
    <xf applyAlignment="true" applyBorder="false" applyFill="true" applyFont="true" applyNumberFormat="true" applyProtection="false" borderId="102" fillId="75" fontId="4" numFmtId="220" xfId="0">
      <alignment horizontal="center" vertical="center"/>
    </xf>
    <xf applyAlignment="true" applyBorder="false" applyFill="true" applyFont="true" applyNumberFormat="true" applyProtection="false" borderId="103" fillId="76" fontId="6" numFmtId="221" xfId="0">
      <alignment horizontal="center" vertical="center"/>
    </xf>
    <xf applyAlignment="true" applyBorder="false" applyFill="true" applyFont="true" applyNumberFormat="true" applyProtection="false" borderId="104" fillId="77" fontId="4" numFmtId="222" xfId="0">
      <alignment horizontal="right" vertical="center"/>
    </xf>
    <xf applyAlignment="true" applyBorder="false" applyFill="true" applyFont="true" applyNumberFormat="true" applyProtection="false" borderId="105" fillId="78" fontId="4" numFmtId="223" xfId="0">
      <alignment horizontal="center" vertical="center"/>
    </xf>
    <xf applyAlignment="true" applyBorder="false" applyFill="true" applyFont="true" applyNumberFormat="true" applyProtection="false" borderId="106" fillId="79" fontId="6" numFmtId="224" xfId="0">
      <alignment horizontal="center" vertical="center"/>
    </xf>
    <xf applyAlignment="true" applyBorder="false" applyFill="true" applyFont="true" applyNumberFormat="false" applyProtection="false" borderId="107" fillId="80" fontId="4" numFmtId="0" xfId="0">
      <alignment horizontal="center" vertical="center"/>
    </xf>
    <xf applyAlignment="true" applyBorder="false" applyFill="true" applyFont="true" applyNumberFormat="true" applyProtection="false" borderId="108" fillId="81" fontId="6" numFmtId="225" xfId="0">
      <alignment horizontal="center" vertical="center"/>
    </xf>
    <xf applyAlignment="true" applyBorder="false" applyFill="true" applyFont="true" applyNumberFormat="true" applyProtection="false" borderId="109" fillId="82" fontId="4" numFmtId="226" xfId="0">
      <alignment horizontal="center" vertical="center"/>
    </xf>
    <xf applyAlignment="true" applyBorder="false" applyFill="true" applyFont="true" applyNumberFormat="false" applyProtection="false" borderId="110" fillId="83" fontId="4" numFmtId="0" xfId="0">
      <alignment horizontal="center" vertical="center"/>
    </xf>
    <xf applyAlignment="true" applyBorder="false" applyFill="true" applyFont="true" applyNumberFormat="true" applyProtection="false" borderId="111" fillId="84" fontId="6" numFmtId="227" xfId="0">
      <alignment horizontal="center" vertical="center"/>
    </xf>
    <xf applyAlignment="true" applyBorder="false" applyFill="true" applyFont="true" applyNumberFormat="true" applyProtection="false" borderId="112" fillId="85" fontId="4" numFmtId="228" xfId="0">
      <alignment horizontal="center" vertical="center"/>
    </xf>
    <xf applyAlignment="true" applyBorder="false" applyFill="true" applyFont="true" applyNumberFormat="false" applyProtection="false" borderId="113" fillId="86" fontId="6" numFmtId="0" xfId="0">
      <alignment horizontal="center" vertical="center"/>
    </xf>
    <xf applyAlignment="true" applyBorder="false" applyFill="true" applyFont="true" applyNumberFormat="true" applyProtection="false" borderId="114" fillId="87" fontId="4" numFmtId="229" xfId="0">
      <alignment horizontal="right" vertical="center"/>
    </xf>
    <xf applyAlignment="true" applyBorder="false" applyFill="true" applyFont="true" applyNumberFormat="true" applyProtection="false" borderId="115" fillId="88" fontId="1" numFmtId="230" xfId="0">
      <alignment horizontal="center" vertical="center"/>
    </xf>
    <xf applyAlignment="true" applyBorder="false" applyFill="true" applyFont="true" applyNumberFormat="true" applyProtection="false" borderId="116" fillId="89" fontId="4" numFmtId="231" xfId="0">
      <alignment horizontal="center" vertical="center"/>
    </xf>
    <xf applyAlignment="true" applyBorder="false" applyFill="true" applyFont="true" applyNumberFormat="true" applyProtection="false" borderId="117" fillId="90" fontId="6" numFmtId="232" xfId="0">
      <alignment horizontal="left" vertical="center"/>
    </xf>
    <xf applyAlignment="true" applyBorder="false" applyFill="true" applyFont="true" applyNumberFormat="true" applyProtection="false" borderId="118" fillId="91" fontId="6" numFmtId="233" xfId="0">
      <alignment horizontal="left" vertical="center"/>
    </xf>
    <xf applyAlignment="true" applyBorder="false" applyFill="false" applyFont="true" applyNumberFormat="true" applyProtection="false" borderId="119" fillId="0" fontId="6" numFmtId="234" xfId="0">
      <alignment horizontal="left" vertical="center"/>
    </xf>
    <xf applyAlignment="true" applyBorder="false" applyFill="true" applyFont="true" applyNumberFormat="true" applyProtection="false" borderId="120" fillId="92" fontId="6" numFmtId="235" xfId="0">
      <alignment horizontal="left" vertical="center"/>
    </xf>
    <xf applyAlignment="true" applyBorder="false" applyFill="true" applyFont="true" applyNumberFormat="true" applyProtection="false" borderId="121" fillId="93" fontId="6" numFmtId="236" xfId="0">
      <alignment horizontal="left" vertical="center" wrapText="true"/>
    </xf>
    <xf applyAlignment="true" applyBorder="false" applyFill="true" applyFont="true" applyNumberFormat="true" applyProtection="false" borderId="122" fillId="94" fontId="6" numFmtId="237" xfId="0">
      <alignment horizontal="left" vertical="center"/>
    </xf>
    <xf applyAlignment="true" applyBorder="false" applyFill="true" applyFont="true" applyNumberFormat="true" applyProtection="false" borderId="123" fillId="95" fontId="6" numFmtId="238" xfId="0">
      <alignment horizontal="left" vertical="center"/>
    </xf>
    <xf applyAlignment="true" applyBorder="false" applyFill="false" applyFont="true" applyNumberFormat="false" applyProtection="false" borderId="124" fillId="0" fontId="6" numFmtId="0" xfId="0">
      <alignment horizontal="left" vertical="center"/>
    </xf>
    <xf applyAlignment="true" applyBorder="false" applyFill="true" applyFont="true" applyNumberFormat="true" applyProtection="false" borderId="125" fillId="96" fontId="6" numFmtId="239" xfId="0">
      <alignment horizontal="left" vertical="center" wrapText="true"/>
    </xf>
    <xf applyAlignment="true" applyBorder="false" applyFill="true" applyFont="true" applyNumberFormat="false" applyProtection="false" borderId="126" fillId="97" fontId="6" numFmtId="0" xfId="0">
      <alignment horizontal="left" vertical="center"/>
    </xf>
    <xf applyAlignment="true" applyBorder="false" applyFill="true" applyFont="true" applyNumberFormat="true" applyProtection="false" borderId="127" fillId="98" fontId="6" numFmtId="240" xfId="0">
      <alignment horizontal="left" vertical="center" wrapText="true"/>
    </xf>
    <xf applyAlignment="true" applyBorder="false" applyFill="true" applyFont="true" applyNumberFormat="true" applyProtection="false" borderId="128" fillId="99" fontId="6" numFmtId="241" xfId="0">
      <alignment horizontal="left" vertical="center"/>
    </xf>
    <xf applyAlignment="true" applyBorder="false" applyFill="false" applyFont="true" applyNumberFormat="true" applyProtection="false" borderId="129" fillId="0" fontId="6" numFmtId="242" xfId="0">
      <alignment horizontal="left" vertical="center" wrapText="true"/>
    </xf>
    <xf applyAlignment="true" applyBorder="false" applyFill="true" applyFont="true" applyNumberFormat="true" applyProtection="false" borderId="130" fillId="100" fontId="6" numFmtId="243" xfId="0">
      <alignment horizontal="left" vertical="center" wrapText="true"/>
    </xf>
    <xf applyAlignment="true" applyBorder="false" applyFill="false" applyFont="true" applyNumberFormat="true" applyProtection="false" borderId="131" fillId="0" fontId="6" numFmtId="244" xfId="0">
      <alignment horizontal="left" vertical="center"/>
    </xf>
    <xf applyAlignment="true" applyBorder="false" applyFill="true" applyFont="true" applyNumberFormat="true" applyProtection="false" borderId="132" fillId="101" fontId="6" numFmtId="245" xfId="0">
      <alignment horizontal="left" vertical="center"/>
    </xf>
    <xf applyAlignment="true" applyBorder="false" applyFill="true" applyFont="true" applyNumberFormat="false" applyProtection="false" borderId="133" fillId="102" fontId="6" numFmtId="0" xfId="0">
      <alignment horizontal="left" vertical="center"/>
    </xf>
    <xf applyAlignment="true" applyBorder="false" applyFill="true" applyFont="true" applyNumberFormat="true" applyProtection="false" borderId="134" fillId="103" fontId="6" numFmtId="246" xfId="0">
      <alignment horizontal="left" vertical="center" wrapText="true"/>
    </xf>
    <xf applyAlignment="true" applyBorder="false" applyFill="true" applyFont="true" applyNumberFormat="false" applyProtection="false" borderId="135" fillId="104" fontId="6" numFmtId="0" xfId="0">
      <alignment horizontal="left" vertical="center" wrapText="true"/>
    </xf>
    <xf applyAlignment="true" applyBorder="false" applyFill="true" applyFont="true" applyNumberFormat="true" applyProtection="false" borderId="136" fillId="105" fontId="6" numFmtId="247" xfId="0">
      <alignment horizontal="left" vertical="center"/>
    </xf>
    <xf applyAlignment="true" applyBorder="false" applyFill="true" applyFont="true" applyNumberFormat="true" applyProtection="false" borderId="137" fillId="106" fontId="6" numFmtId="248" xfId="0">
      <alignment horizontal="left" vertical="center" wrapText="true"/>
    </xf>
    <xf applyAlignment="true" applyBorder="false" applyFill="true" applyFont="true" applyNumberFormat="false" applyProtection="false" borderId="138" fillId="107" fontId="5" numFmtId="0" xfId="0">
      <alignment horizontal="left" vertical="center"/>
    </xf>
    <xf applyAlignment="true" applyBorder="false" applyFill="false" applyFont="true" applyNumberFormat="false" applyProtection="false" borderId="139" fillId="0" fontId="6" numFmtId="0" xfId="0">
      <alignment horizontal="left" vertical="top" wrapText="true"/>
    </xf>
    <xf applyAlignment="true" applyBorder="false" applyFill="true" applyFont="true" applyNumberFormat="false" applyProtection="false" borderId="140" fillId="108" fontId="6" numFmtId="0" xfId="0">
      <alignment horizontal="left" vertical="top" wrapText="true"/>
    </xf>
    <xf applyAlignment="true" applyBorder="false" applyFill="true" applyFont="true" applyNumberFormat="true" applyProtection="false" borderId="141" fillId="109" fontId="4" numFmtId="249" xfId="0">
      <alignment horizontal="left" vertical="center"/>
    </xf>
    <xf applyAlignment="true" applyBorder="false" applyFill="true" applyFont="true" applyNumberFormat="false" applyProtection="false" borderId="142" fillId="110" fontId="4" numFmtId="0" xfId="0">
      <alignment horizontal="left" vertical="center"/>
    </xf>
    <xf applyAlignment="true" applyBorder="false" applyFill="true" applyFont="true" applyNumberFormat="true" applyProtection="false" borderId="143" fillId="111" fontId="4" numFmtId="250" xfId="0">
      <alignment horizontal="left" vertical="center"/>
    </xf>
    <xf applyAlignment="true" applyBorder="false" applyFill="true" applyFont="true" applyNumberFormat="true" applyProtection="false" borderId="144" fillId="112" fontId="4" numFmtId="251" xfId="0">
      <alignment horizontal="left" vertical="center"/>
    </xf>
    <xf applyAlignment="true" applyBorder="false" applyFill="true" applyFont="true" applyNumberFormat="true" applyProtection="false" borderId="145" fillId="113" fontId="4" numFmtId="252" xfId="0">
      <alignment horizontal="left" vertical="center"/>
    </xf>
    <xf applyAlignment="true" applyBorder="false" applyFill="false" applyFont="true" applyNumberFormat="true" applyProtection="false" borderId="146" fillId="0" fontId="4" numFmtId="253" xfId="0">
      <alignment horizontal="left" vertical="center"/>
    </xf>
    <xf applyAlignment="true" applyBorder="false" applyFill="true" applyFont="true" applyNumberFormat="true" applyProtection="false" borderId="147" fillId="114" fontId="4" numFmtId="254" xfId="0">
      <alignment horizontal="left" vertical="center"/>
    </xf>
    <xf applyAlignment="true" applyBorder="false" applyFill="true" applyFont="true" applyNumberFormat="false" applyProtection="false" borderId="148" fillId="115" fontId="4" numFmtId="0" xfId="0">
      <alignment horizontal="left" vertical="center"/>
    </xf>
    <xf applyAlignment="true" applyBorder="false" applyFill="true" applyFont="true" applyNumberFormat="false" applyProtection="false" borderId="149" fillId="116" fontId="4" numFmtId="0" xfId="0">
      <alignment horizontal="left" vertical="top"/>
    </xf>
    <xf applyAlignment="true" applyBorder="false" applyFill="false" applyFont="true" applyNumberFormat="false" applyProtection="false" borderId="150" fillId="0" fontId="4" numFmtId="0" xfId="0">
      <alignment horizontal="left" vertical="top"/>
    </xf>
    <xf applyAlignment="true" applyBorder="false" applyFill="true" applyFont="true" applyNumberFormat="true" applyProtection="false" borderId="151" fillId="117" fontId="4" numFmtId="255" xfId="0">
      <alignment horizontal="left" vertical="center"/>
    </xf>
    <xf applyAlignment="true" applyBorder="false" applyFill="true" applyFont="true" applyNumberFormat="true" applyProtection="false" borderId="152" fillId="118" fontId="4" numFmtId="256" xfId="0">
      <alignment horizontal="left" vertical="center"/>
    </xf>
    <xf applyAlignment="true" applyBorder="false" applyFill="false" applyFont="true" applyNumberFormat="false" applyProtection="false" borderId="153" fillId="0" fontId="6" numFmtId="0" xfId="0">
      <alignment horizontal="left" vertical="top"/>
    </xf>
    <xf applyAlignment="true" applyBorder="false" applyFill="false" applyFont="true" applyNumberFormat="true" applyProtection="false" borderId="154" fillId="0" fontId="4" numFmtId="257" xfId="0">
      <alignment horizontal="left" vertical="center"/>
    </xf>
    <xf applyAlignment="true" applyBorder="false" applyFill="true" applyFont="true" applyNumberFormat="true" applyProtection="false" borderId="155" fillId="119" fontId="4" numFmtId="258" xfId="0">
      <alignment horizontal="left" vertical="center"/>
    </xf>
    <xf applyAlignment="true" applyBorder="false" applyFill="true" applyFont="true" applyNumberFormat="true" applyProtection="false" borderId="156" fillId="120" fontId="4" numFmtId="259" xfId="0">
      <alignment horizontal="left" vertical="center"/>
    </xf>
    <xf applyAlignment="true" applyBorder="false" applyFill="true" applyFont="true" applyNumberFormat="true" applyProtection="false" borderId="157" fillId="121" fontId="4" numFmtId="260" xfId="0">
      <alignment horizontal="left" vertical="center"/>
    </xf>
    <xf applyAlignment="true" applyBorder="false" applyFill="true" applyFont="true" applyNumberFormat="true" applyProtection="false" borderId="158" fillId="122" fontId="4" numFmtId="261" xfId="0">
      <alignment horizontal="left" vertical="center"/>
    </xf>
    <xf applyAlignment="true" applyBorder="false" applyFill="true" applyFont="true" applyNumberFormat="false" applyProtection="false" borderId="159" fillId="123" fontId="1" numFmtId="0" xfId="0">
      <alignment horizontal="center" vertical="center"/>
    </xf>
    <xf applyAlignment="true" applyBorder="false" applyFill="true" applyFont="true" applyNumberFormat="true" applyProtection="false" borderId="160" fillId="124" fontId="1" numFmtId="262" xfId="0">
      <alignment horizontal="center" vertical="center"/>
    </xf>
    <xf applyAlignment="true" applyBorder="false" applyFill="true" applyFont="true" applyNumberFormat="false" applyProtection="false" borderId="161" fillId="125" fontId="5" numFmtId="0" xfId="0">
      <alignment horizontal="center" vertical="center"/>
    </xf>
    <xf applyAlignment="true" applyBorder="false" applyFill="true" applyFont="true" applyNumberFormat="false" applyProtection="false" borderId="162" fillId="126" fontId="1" numFmtId="0" xfId="0">
      <alignment horizontal="left" vertical="center"/>
    </xf>
    <xf applyAlignment="true" applyBorder="false" applyFill="true" applyFont="true" applyNumberFormat="true" applyProtection="false" borderId="163" fillId="127" fontId="5" numFmtId="263" xfId="0">
      <alignment horizontal="center" vertical="center"/>
    </xf>
    <xf applyAlignment="true" applyBorder="false" applyFill="true" applyFont="true" applyNumberFormat="true" applyProtection="false" borderId="164" fillId="128" fontId="1" numFmtId="264" xfId="0">
      <alignment horizontal="center" vertical="center"/>
    </xf>
    <xf applyAlignment="true" applyBorder="false" applyFill="true" applyFont="true" applyNumberFormat="true" applyProtection="false" borderId="165" fillId="129" fontId="1" numFmtId="265" xfId="0">
      <alignment horizontal="center" vertical="center"/>
    </xf>
    <xf applyAlignment="true" applyBorder="false" applyFill="true" applyFont="true" applyNumberFormat="true" applyProtection="false" borderId="166" fillId="130" fontId="1" numFmtId="266" xfId="0">
      <alignment horizontal="center" vertical="center"/>
    </xf>
    <xf applyAlignment="true" applyBorder="false" applyFill="true" applyFont="true" applyNumberFormat="true" applyProtection="false" borderId="167" fillId="131" fontId="1" numFmtId="267" xfId="0">
      <alignment horizontal="right" vertical="center"/>
    </xf>
    <xf applyAlignment="true" applyBorder="false" applyFill="true" applyFont="true" applyNumberFormat="false" applyProtection="false" borderId="168" fillId="132" fontId="8" numFmtId="0" xfId="0">
      <alignment horizontal="center" vertical="center"/>
    </xf>
    <xf applyAlignment="true" applyBorder="false" applyFill="false" applyFont="true" applyNumberFormat="true" applyProtection="false" borderId="169" fillId="0" fontId="5" numFmtId="268" xfId="0">
      <alignment horizontal="center" vertical="center"/>
    </xf>
    <xf applyAlignment="true" applyBorder="false" applyFill="true" applyFont="true" applyNumberFormat="true" applyProtection="false" borderId="170" fillId="133" fontId="5" numFmtId="269" xfId="0">
      <alignment horizontal="center" vertical="center"/>
    </xf>
    <xf applyAlignment="true" applyBorder="false" applyFill="true" applyFont="true" applyNumberFormat="true" applyProtection="false" borderId="171" fillId="134" fontId="5" numFmtId="270" xfId="0">
      <alignment horizontal="center" vertical="center"/>
    </xf>
    <xf applyAlignment="true" applyBorder="false" applyFill="true" applyFont="true" applyNumberFormat="true" applyProtection="false" borderId="172" fillId="135" fontId="1" numFmtId="271" xfId="0">
      <alignment horizontal="center" vertical="center"/>
    </xf>
    <xf applyAlignment="true" applyBorder="false" applyFill="true" applyFont="true" applyNumberFormat="false" applyProtection="false" borderId="173" fillId="136" fontId="1" numFmtId="0" xfId="0">
      <alignment horizontal="left" vertical="center"/>
    </xf>
    <xf applyAlignment="true" applyBorder="false" applyFill="true" applyFont="true" applyNumberFormat="true" applyProtection="false" borderId="174" fillId="137" fontId="5" numFmtId="272" xfId="0">
      <alignment horizontal="center" vertical="center"/>
    </xf>
    <xf applyAlignment="true" applyBorder="false" applyFill="true" applyFont="true" applyNumberFormat="true" applyProtection="false" borderId="175" fillId="138" fontId="1" numFmtId="273" xfId="0">
      <alignment horizontal="center" vertical="center"/>
    </xf>
    <xf applyAlignment="true" applyBorder="false" applyFill="true" applyFont="true" applyNumberFormat="true" applyProtection="false" borderId="176" fillId="139" fontId="1" numFmtId="274" xfId="0">
      <alignment horizontal="center" vertical="center"/>
    </xf>
    <xf applyAlignment="true" applyBorder="false" applyFill="true" applyFont="true" applyNumberFormat="true" applyProtection="false" borderId="177" fillId="140" fontId="4" numFmtId="275" xfId="0">
      <alignment horizontal="center" vertical="center"/>
    </xf>
    <xf applyAlignment="true" applyBorder="false" applyFill="true" applyFont="true" applyNumberFormat="true" applyProtection="false" borderId="178" fillId="141" fontId="1" numFmtId="276" xfId="0">
      <alignment horizontal="right" vertical="center"/>
    </xf>
    <xf applyAlignment="true" applyBorder="false" applyFill="true" applyFont="true" applyNumberFormat="true" applyProtection="false" borderId="179" fillId="142" fontId="4" numFmtId="277" xfId="0">
      <alignment horizontal="right" vertical="center" wrapText="true"/>
    </xf>
    <xf applyAlignment="true" applyBorder="false" applyFill="true" applyFont="true" applyNumberFormat="true" applyProtection="false" borderId="180" fillId="143" fontId="4" numFmtId="278" xfId="0">
      <alignment horizontal="center" vertical="center"/>
    </xf>
    <xf applyAlignment="true" applyBorder="false" applyFill="true" applyFont="true" applyNumberFormat="false" applyProtection="false" borderId="181" fillId="144" fontId="4" numFmtId="0" xfId="0">
      <alignment horizontal="center" vertical="center"/>
    </xf>
    <xf applyAlignment="false" applyBorder="false" applyFill="true" applyFont="true" applyNumberFormat="false" applyProtection="false" borderId="182" fillId="145" fontId="9" numFmtId="0" xfId="0">
      <alignment/>
    </xf>
    <xf applyAlignment="false" applyBorder="false" applyFill="true" applyFont="false" applyNumberFormat="false" applyProtection="false" borderId="183" fillId="146" fontId="0" numFmtId="0" xfId="0">
      <alignment/>
    </xf>
    <xf applyAlignment="true" applyBorder="false" applyFill="true" applyFont="true" applyNumberFormat="false" applyProtection="false" borderId="184" fillId="147" fontId="1" numFmtId="0" xfId="0">
      <alignment vertical="center"/>
    </xf>
    <xf applyAlignment="true" applyBorder="false" applyFill="false" applyFont="true" applyNumberFormat="false" applyProtection="false" borderId="185" fillId="0" fontId="1" numFmtId="0" xfId="0">
      <alignment vertical="top"/>
    </xf>
    <xf applyAlignment="true" applyBorder="false" applyFill="false" applyFont="true" applyNumberFormat="true" applyProtection="false" borderId="186" fillId="0" fontId="1" numFmtId="279" xfId="0">
      <alignment vertical="center"/>
    </xf>
    <xf applyAlignment="true" applyBorder="false" applyFill="true" applyFont="true" applyNumberFormat="false" applyProtection="false" borderId="187" fillId="148" fontId="1" numFmtId="0" xfId="0">
      <alignment vertical="top"/>
    </xf>
    <xf applyAlignment="true" applyBorder="false" applyFill="true" applyFont="true" applyNumberFormat="false" applyProtection="false" borderId="188" fillId="149" fontId="1" numFmtId="0" xfId="0">
      <alignment vertical="top" wrapText="true"/>
    </xf>
    <xf applyAlignment="true" applyBorder="false" applyFill="true" applyFont="true" applyNumberFormat="false" applyProtection="false" borderId="189" fillId="150" fontId="1" numFmtId="0" xfId="0">
      <alignment vertical="center"/>
    </xf>
    <xf applyAlignment="true" applyBorder="false" applyFill="true" applyFont="true" applyNumberFormat="false" applyProtection="false" borderId="190" fillId="151" fontId="1" numFmtId="0" xfId="0">
      <alignment vertical="top"/>
    </xf>
    <xf applyAlignment="true" applyBorder="false" applyFill="true" applyFont="true" applyNumberFormat="true" applyProtection="false" borderId="191" fillId="152" fontId="1" numFmtId="280" xfId="0">
      <alignment vertical="center"/>
    </xf>
    <xf applyAlignment="true" applyBorder="false" applyFill="true" applyFont="true" applyNumberFormat="false" applyProtection="false" borderId="192" fillId="153" fontId="1" numFmtId="0" xfId="0">
      <alignment vertical="top" wrapText="true"/>
    </xf>
    <xf applyAlignment="true" applyBorder="false" applyFill="true" applyFont="true" applyNumberFormat="false" applyProtection="false" borderId="193" fillId="154" fontId="1" numFmtId="0" xfId="0">
      <alignment vertical="center"/>
    </xf>
    <xf applyAlignment="true" applyBorder="false" applyFill="true" applyFont="true" applyNumberFormat="true" applyProtection="false" borderId="194" fillId="155" fontId="1" numFmtId="281" xfId="0">
      <alignment vertical="center"/>
    </xf>
    <xf applyAlignment="true" applyBorder="false" applyFill="true" applyFont="true" applyNumberFormat="true" applyProtection="false" borderId="195" fillId="156" fontId="5" numFmtId="282" xfId="0">
      <alignment horizontal="left" vertical="center"/>
    </xf>
    <xf applyAlignment="true" applyBorder="false" applyFill="true" applyFont="true" applyNumberFormat="true" applyProtection="false" borderId="196" fillId="157" fontId="6" numFmtId="283" xfId="0">
      <alignment horizontal="left" vertical="center"/>
    </xf>
    <xf applyAlignment="true" applyBorder="false" applyFill="true" applyFont="true" applyNumberFormat="true" applyProtection="false" borderId="197" fillId="158" fontId="4" numFmtId="284" xfId="0">
      <alignment horizontal="left" vertical="center"/>
    </xf>
    <xf applyAlignment="true" applyBorder="false" applyFill="true" applyFont="true" applyNumberFormat="false" applyProtection="false" borderId="198" fillId="159" fontId="5" numFmtId="0" xfId="0">
      <alignment horizontal="left" vertical="top" wrapText="true"/>
    </xf>
    <xf applyAlignment="true" applyBorder="false" applyFill="false" applyFont="true" applyNumberFormat="false" applyProtection="false" borderId="199" fillId="0" fontId="6" numFmtId="0" xfId="0">
      <alignment horizontal="left" vertical="center" wrapText="true"/>
    </xf>
    <xf applyAlignment="true" applyBorder="false" applyFill="false" applyFont="true" applyNumberFormat="false" applyProtection="false" borderId="200" fillId="0" fontId="10" numFmtId="0" xfId="0">
      <alignment horizontal="left" vertical="center"/>
    </xf>
    <xf applyAlignment="true" applyBorder="false" applyFill="true" applyFont="true" applyNumberFormat="false" applyProtection="false" borderId="201" fillId="160" fontId="5" numFmtId="0" xfId="0">
      <alignment horizontal="left" vertical="top" wrapText="true"/>
    </xf>
    <xf applyAlignment="true" applyBorder="false" applyFill="true" applyFont="true" applyNumberFormat="false" applyProtection="false" borderId="202" fillId="161" fontId="6" numFmtId="0" xfId="0">
      <alignment horizontal="left" vertical="top"/>
    </xf>
    <xf applyAlignment="true" applyBorder="false" applyFill="true" applyFont="true" applyNumberFormat="false" applyProtection="false" borderId="203" fillId="162" fontId="1" numFmtId="0" xfId="0">
      <alignment vertical="top" wrapText="true"/>
    </xf>
    <xf applyAlignment="true" applyBorder="false" applyFill="false" applyFont="true" applyNumberFormat="false" applyProtection="false" borderId="204" fillId="0" fontId="11" numFmtId="0" xfId="0">
      <alignment horizontal="center" vertical="center"/>
    </xf>
    <xf applyAlignment="true" applyBorder="false" applyFill="true" applyFont="true" applyNumberFormat="false" applyProtection="false" borderId="205" fillId="163" fontId="4" numFmtId="0" xfId="0">
      <alignment horizontal="left" vertical="top" wrapText="true"/>
    </xf>
    <xf applyAlignment="true" applyBorder="false" applyFill="true" applyFont="true" applyNumberFormat="false" applyProtection="false" borderId="206" fillId="164" fontId="4" numFmtId="0" xfId="0">
      <alignment vertical="center"/>
    </xf>
    <xf applyAlignment="true" applyBorder="false" applyFill="false" applyFont="true" applyNumberFormat="false" applyProtection="false" borderId="207" fillId="0" fontId="4" numFmtId="0" xfId="0">
      <alignment horizontal="left" vertical="center" wrapText="true"/>
    </xf>
    <xf applyAlignment="true" applyBorder="false" applyFill="false" applyFont="true" applyNumberFormat="false" applyProtection="false" borderId="208" fillId="0" fontId="12" numFmtId="0" xfId="0">
      <alignment vertical="center"/>
    </xf>
    <xf applyAlignment="true" applyBorder="false" applyFill="true" applyFont="true" applyNumberFormat="false" applyProtection="false" borderId="209" fillId="165" fontId="1" numFmtId="0" xfId="0">
      <alignment vertical="top" wrapText="true"/>
    </xf>
    <xf applyAlignment="true" applyBorder="false" applyFill="false" applyFont="true" applyNumberFormat="false" applyProtection="false" borderId="210" fillId="0" fontId="1" numFmtId="0" xfId="0">
      <alignment horizontal="left" vertical="center" wrapText="true"/>
    </xf>
    <xf applyAlignment="true" applyBorder="false" applyFill="true" applyFont="true" applyNumberFormat="false" applyProtection="false" borderId="211" fillId="166" fontId="1" numFmtId="0" xfId="0">
      <alignment vertical="center"/>
    </xf>
    <xf applyAlignment="true" applyBorder="false" applyFill="true" applyFont="true" applyNumberFormat="false" applyProtection="false" borderId="212" fillId="167" fontId="1" numFmtId="0" xfId="0">
      <alignment vertical="center"/>
    </xf>
    <xf applyAlignment="true" applyBorder="false" applyFill="true" applyFont="true" applyNumberFormat="false" applyProtection="false" borderId="213" fillId="168" fontId="1" numFmtId="0" xfId="0">
      <alignment vertical="center" wrapText="true"/>
    </xf>
    <xf applyAlignment="true" applyBorder="false" applyFill="true" applyFont="true" applyNumberFormat="false" applyProtection="false" borderId="214" fillId="169" fontId="1" numFmtId="0" xfId="0">
      <alignment vertical="top"/>
    </xf>
    <xf applyAlignment="true" applyBorder="false" applyFill="true" applyFont="true" applyNumberFormat="false" applyProtection="false" borderId="215" fillId="170" fontId="1" numFmtId="0" xfId="0">
      <alignment vertical="top"/>
    </xf>
    <xf applyAlignment="true" applyBorder="false" applyFill="false" applyFont="true" applyNumberFormat="false" applyProtection="false" borderId="216" fillId="0" fontId="1" numFmtId="0" xfId="0">
      <alignment horizontal="center" vertical="top"/>
    </xf>
    <xf applyAlignment="true" applyBorder="false" applyFill="true" applyFont="true" applyNumberFormat="false" applyProtection="false" borderId="217" fillId="171" fontId="13" numFmtId="0" xfId="0">
      <alignment vertical="top" wrapText="true"/>
    </xf>
    <xf applyAlignment="true" applyBorder="false" applyFill="false" applyFont="true" applyNumberFormat="true" applyProtection="false" borderId="218" fillId="0" fontId="1" numFmtId="285" xfId="0">
      <alignment horizontal="left" vertical="center"/>
    </xf>
    <xf applyAlignment="true" applyBorder="false" applyFill="false" applyFont="true" applyNumberFormat="false" applyProtection="false" borderId="219" fillId="0" fontId="4" numFmtId="0" xfId="0">
      <alignment horizontal="right" vertical="center"/>
    </xf>
    <xf applyAlignment="true" applyBorder="false" applyFill="true" applyFont="true" applyNumberFormat="false" applyProtection="false" borderId="220" fillId="172" fontId="4" numFmtId="0" xfId="0">
      <alignment horizontal="center" vertical="top"/>
    </xf>
    <xf applyAlignment="true" applyBorder="false" applyFill="true" applyFont="true" applyNumberFormat="false" applyProtection="false" borderId="221" fillId="173" fontId="1" numFmtId="0" xfId="0">
      <alignment horizontal="left" vertical="top"/>
    </xf>
    <xf applyAlignment="true" applyBorder="false" applyFill="true" applyFont="true" applyNumberFormat="false" applyProtection="false" borderId="222" fillId="174" fontId="1" numFmtId="0" xfId="0">
      <alignment horizontal="left" vertical="top"/>
    </xf>
    <xf applyAlignment="true" applyBorder="false" applyFill="true" applyFont="true" applyNumberFormat="false" applyProtection="false" borderId="223" fillId="175" fontId="6" numFmtId="0" xfId="0">
      <alignment horizontal="left" vertical="top"/>
    </xf>
    <xf applyAlignment="true" applyBorder="false" applyFill="false" applyFont="true" applyNumberFormat="false" applyProtection="false" borderId="224" fillId="0" fontId="6" numFmtId="0" xfId="0">
      <alignment horizontal="right" vertical="center"/>
    </xf>
    <xf applyAlignment="true" applyBorder="false" applyFill="false" applyFont="true" applyNumberFormat="false" applyProtection="false" borderId="225" fillId="0" fontId="6" numFmtId="0" xfId="0">
      <alignment horizontal="center" vertical="center"/>
    </xf>
    <xf applyAlignment="true" applyBorder="false" applyFill="false" applyFont="true" applyNumberFormat="false" applyProtection="false" borderId="226" fillId="0" fontId="12" numFmtId="0" xfId="0">
      <alignment horizontal="left" vertical="center"/>
    </xf>
    <xf applyAlignment="true" applyBorder="false" applyFill="true" applyFont="true" applyNumberFormat="false" applyProtection="false" borderId="227" fillId="176" fontId="12" numFmtId="0" xfId="0">
      <alignment vertical="top"/>
    </xf>
    <xf applyAlignment="true" applyBorder="false" applyFill="true" applyFont="true" applyNumberFormat="false" applyProtection="false" borderId="228" fillId="177" fontId="12" numFmtId="0" xfId="0">
      <alignment vertical="top"/>
    </xf>
    <xf applyAlignment="true" applyBorder="false" applyFill="true" applyFont="true" applyNumberFormat="false" applyProtection="false" borderId="229" fillId="178" fontId="1" numFmtId="0" xfId="0">
      <alignment horizontal="left" vertical="top" wrapText="true"/>
    </xf>
    <xf applyAlignment="true" applyBorder="false" applyFill="true" applyFont="true" applyNumberFormat="false" applyProtection="false" borderId="230" fillId="179" fontId="1" numFmtId="0" xfId="0">
      <alignment horizontal="center" vertical="center" wrapText="true"/>
    </xf>
    <xf applyAlignment="true" applyBorder="false" applyFill="true" applyFont="true" applyNumberFormat="false" applyProtection="false" borderId="231" fillId="180" fontId="5" numFmtId="0" xfId="0">
      <alignment horizontal="center" vertical="center"/>
    </xf>
    <xf applyAlignment="true" applyBorder="false" applyFill="true" applyFont="true" applyNumberFormat="true" applyProtection="false" borderId="232" fillId="181" fontId="1" numFmtId="286" xfId="0">
      <alignment horizontal="center" vertical="center"/>
    </xf>
    <xf applyAlignment="true" applyBorder="false" applyFill="true" applyFont="true" applyNumberFormat="false" applyProtection="false" borderId="233" fillId="182" fontId="4" numFmtId="0" xfId="0">
      <alignment vertical="top" wrapText="true"/>
    </xf>
    <xf applyAlignment="true" applyBorder="false" applyFill="true" applyFont="true" applyNumberFormat="false" applyProtection="false" borderId="234" fillId="183" fontId="4" numFmtId="0" xfId="0">
      <alignment vertical="top" wrapText="true"/>
    </xf>
    <xf applyAlignment="true" applyBorder="false" applyFill="true" applyFont="true" applyNumberFormat="false" applyProtection="false" borderId="235" fillId="184" fontId="6" numFmtId="0" xfId="0">
      <alignment horizontal="center" vertical="center"/>
    </xf>
    <xf applyAlignment="true" applyBorder="false" applyFill="true" applyFont="true" applyNumberFormat="false" applyProtection="false" borderId="236" fillId="185" fontId="4" numFmtId="0" xfId="0">
      <alignment vertical="center" wrapText="true"/>
    </xf>
    <xf applyAlignment="true" applyBorder="false" applyFill="true" applyFont="true" applyNumberFormat="false" applyProtection="false" borderId="237" fillId="186" fontId="4" numFmtId="0" xfId="0">
      <alignment horizontal="left" vertical="top" wrapText="true"/>
    </xf>
    <xf applyAlignment="true" applyBorder="false" applyFill="true" applyFont="true" applyNumberFormat="true" applyProtection="false" borderId="238" fillId="187" fontId="4" numFmtId="287" xfId="0">
      <alignment horizontal="center" vertical="center"/>
    </xf>
    <xf applyAlignment="true" applyBorder="false" applyFill="true" applyFont="true" applyNumberFormat="false" applyProtection="false" borderId="239" fillId="188" fontId="6" numFmtId="0" xfId="0">
      <alignment horizontal="left" vertical="center" wrapText="true"/>
    </xf>
    <xf applyAlignment="true" applyBorder="false" applyFill="false" applyFont="true" applyNumberFormat="true" applyProtection="false" borderId="240" fillId="0" fontId="6" numFmtId="288" xfId="0">
      <alignment horizontal="center" vertical="center"/>
    </xf>
    <xf applyAlignment="true" applyBorder="false" applyFill="true" applyFont="true" applyNumberFormat="true" applyProtection="false" borderId="241" fillId="189" fontId="4" numFmtId="289" xfId="0">
      <alignment vertical="center" wrapText="true"/>
    </xf>
    <xf applyAlignment="false" applyBorder="false" applyFill="true" applyFont="false" applyNumberFormat="false" applyProtection="false" borderId="242" fillId="190" fontId="0" numFmtId="0" xfId="0">
      <alignment/>
    </xf>
    <xf applyAlignment="false" applyBorder="false" applyFill="true" applyFont="false" applyNumberFormat="false" applyProtection="false" borderId="243" fillId="191" fontId="0" numFmtId="0" xfId="0">
      <alignment/>
    </xf>
    <xf applyAlignment="true" applyBorder="false" applyFill="false" applyFont="true" applyNumberFormat="false" applyProtection="false" borderId="244" fillId="0" fontId="4" numFmtId="0" xfId="0">
      <alignment vertical="top"/>
    </xf>
    <xf applyAlignment="true" applyBorder="false" applyFill="false" applyFont="true" applyNumberFormat="false" applyProtection="false" borderId="245" fillId="0" fontId="5" numFmtId="0" xfId="0">
      <alignment horizontal="left" vertical="top" wrapText="true"/>
    </xf>
    <xf applyAlignment="true" applyBorder="false" applyFill="false" applyFont="true" applyNumberFormat="false" applyProtection="false" borderId="246" fillId="0" fontId="5" numFmtId="0" xfId="0">
      <alignment horizontal="left" vertical="center" wrapText="true"/>
    </xf>
    <xf applyAlignment="true" applyBorder="false" applyFill="false" applyFont="true" applyNumberFormat="true" applyProtection="false" borderId="247" fillId="0" fontId="1" numFmtId="290" xfId="0">
      <alignment vertical="center"/>
    </xf>
    <xf applyAlignment="true" applyBorder="false" applyFill="false" applyFont="true" applyNumberFormat="true" applyProtection="false" borderId="248" fillId="0" fontId="1" numFmtId="291" xfId="0">
      <alignment vertical="center"/>
    </xf>
    <xf applyAlignment="false" applyBorder="false" applyFill="false" applyFont="false" applyNumberFormat="false" applyProtection="false" borderId="249" fillId="0" fontId="0" numFmtId="0" xfId="0">
      <alignment/>
    </xf>
    <xf applyAlignment="true" applyBorder="false" applyFill="false" applyFont="true" applyNumberFormat="true" applyProtection="false" borderId="250" fillId="0" fontId="1" numFmtId="292" xfId="0">
      <alignment vertical="center"/>
    </xf>
    <xf applyAlignment="true" applyBorder="false" applyFill="false" applyFont="true" applyNumberFormat="true" applyProtection="false" borderId="251" fillId="0" fontId="1" numFmtId="293" xfId="0">
      <alignment vertical="center"/>
    </xf>
    <xf applyAlignment="true" applyBorder="false" applyFill="false" applyFont="true" applyNumberFormat="true" applyProtection="false" borderId="252" fillId="0" fontId="1" numFmtId="294" xfId="0">
      <alignment vertical="center"/>
    </xf>
    <xf applyAlignment="true" applyBorder="false" applyFill="false" applyFont="true" applyNumberFormat="false" applyProtection="false" borderId="253" fillId="0" fontId="1" numFmtId="0" xfId="0">
      <alignment vertical="center"/>
    </xf>
    <xf applyAlignment="true" applyBorder="false" applyFill="true" applyFont="true" applyNumberFormat="false" applyProtection="false" borderId="254" fillId="192" fontId="1" numFmtId="0" xfId="0">
      <alignment horizontal="center" vertical="center"/>
    </xf>
    <xf applyAlignment="true" applyBorder="false" applyFill="true" applyFont="true" applyNumberFormat="true" applyProtection="false" borderId="255" fillId="193" fontId="1" numFmtId="295" xfId="0">
      <alignment horizontal="center" vertical="center"/>
    </xf>
    <xf applyAlignment="true" applyBorder="false" applyFill="true" applyFont="true" applyNumberFormat="true" applyProtection="false" borderId="256" fillId="194" fontId="1" numFmtId="296" xfId="0">
      <alignment horizontal="center" vertical="center"/>
    </xf>
    <xf applyAlignment="true" applyBorder="false" applyFill="true" applyFont="true" applyNumberFormat="true" applyProtection="false" borderId="257" fillId="195" fontId="1" numFmtId="297" xfId="0">
      <alignment horizontal="center" vertical="center"/>
    </xf>
    <xf applyAlignment="true" applyBorder="false" applyFill="true" applyFont="true" applyNumberFormat="false" applyProtection="false" borderId="258" fillId="196" fontId="1" numFmtId="0" xfId="0">
      <alignment horizontal="center" vertical="center"/>
    </xf>
    <xf applyAlignment="true" applyBorder="false" applyFill="true" applyFont="true" applyNumberFormat="false" applyProtection="false" borderId="259" fillId="197" fontId="1" numFmtId="0" xfId="0">
      <alignment horizontal="center" vertical="center"/>
    </xf>
    <xf applyAlignment="true" applyBorder="false" applyFill="true" applyFont="true" applyNumberFormat="true" applyProtection="false" borderId="260" fillId="198" fontId="1" numFmtId="298" xfId="0">
      <alignment horizontal="center" vertical="center"/>
    </xf>
    <xf applyAlignment="true" applyBorder="false" applyFill="false" applyFont="true" applyNumberFormat="false" applyProtection="false" borderId="261" fillId="0" fontId="1" numFmtId="0" xfId="0">
      <alignment horizontal="center" vertical="center"/>
    </xf>
    <xf applyAlignment="true" applyBorder="false" applyFill="false" applyFont="true" applyNumberFormat="true" applyProtection="false" borderId="262" fillId="0" fontId="1" numFmtId="299" xfId="0">
      <alignment horizontal="center" vertical="center"/>
    </xf>
    <xf applyAlignment="true" applyBorder="false" applyFill="false" applyFont="true" applyNumberFormat="true" applyProtection="false" borderId="263" fillId="0" fontId="1" numFmtId="300" xfId="0">
      <alignment horizontal="center" vertical="center"/>
    </xf>
    <xf applyAlignment="true" applyBorder="false" applyFill="false" applyFont="true" applyNumberFormat="false" applyProtection="false" borderId="264" fillId="0" fontId="1" numFmtId="0" xfId="0">
      <alignment horizontal="center" vertical="center"/>
    </xf>
    <xf applyAlignment="true" applyBorder="false" applyFill="false" applyFont="true" applyNumberFormat="true" applyProtection="false" borderId="265" fillId="0" fontId="1" numFmtId="301" xfId="0">
      <alignment horizontal="center" vertical="center"/>
    </xf>
    <xf applyAlignment="true" applyBorder="false" applyFill="false" applyFont="true" applyNumberFormat="false" applyProtection="false" borderId="266" fillId="0" fontId="1" numFmtId="0" xfId="0">
      <alignment vertical="center"/>
    </xf>
    <xf applyAlignment="true" applyBorder="false" applyFill="false" applyFont="true" applyNumberFormat="true" applyProtection="false" borderId="267" fillId="0" fontId="1" numFmtId="302" xfId="0">
      <alignment vertical="center"/>
    </xf>
    <xf applyAlignment="true" applyBorder="false" applyFill="false" applyFont="true" applyNumberFormat="true" applyProtection="false" borderId="268" fillId="0" fontId="1" numFmtId="303" xfId="0">
      <alignment vertical="center"/>
    </xf>
    <xf applyAlignment="true" applyBorder="false" applyFill="false" applyFont="true" applyNumberFormat="false" applyProtection="false" borderId="269" fillId="0" fontId="1" numFmtId="0" xfId="0">
      <alignment vertical="center"/>
    </xf>
    <xf applyAlignment="true" applyBorder="false" applyFill="false" applyFont="true" applyNumberFormat="true" applyProtection="false" borderId="270" fillId="0" fontId="1" numFmtId="304" xfId="0">
      <alignment vertical="center"/>
    </xf>
    <xf applyAlignment="true" applyBorder="false" applyFill="true" applyFont="true" applyNumberFormat="true" applyProtection="false" borderId="271" fillId="199" fontId="1" numFmtId="305" xfId="0">
      <alignment vertical="center"/>
    </xf>
    <xf applyAlignment="true" applyBorder="false" applyFill="true" applyFont="true" applyNumberFormat="true" applyProtection="false" borderId="272" fillId="200" fontId="1" numFmtId="306" xfId="0">
      <alignment vertical="center"/>
    </xf>
    <xf applyAlignment="true" applyBorder="false" applyFill="true" applyFont="true" applyNumberFormat="true" applyProtection="false" borderId="273" fillId="201" fontId="1" numFmtId="307" xfId="0">
      <alignment vertical="center"/>
    </xf>
    <xf applyAlignment="true" applyBorder="false" applyFill="true" applyFont="true" applyNumberFormat="true" applyProtection="false" borderId="274" fillId="202" fontId="1" numFmtId="308" xfId="0">
      <alignment vertical="center"/>
    </xf>
    <xf applyAlignment="true" applyBorder="false" applyFill="true" applyFont="true" applyNumberFormat="true" applyProtection="false" borderId="275" fillId="203" fontId="1" numFmtId="309" xfId="0">
      <alignment vertical="center"/>
    </xf>
    <xf applyAlignment="true" applyBorder="false" applyFill="false" applyFont="true" applyNumberFormat="false" applyProtection="false" borderId="276" fillId="0" fontId="1" numFmtId="0" xfId="0">
      <alignment vertical="center"/>
    </xf>
    <xf applyAlignment="true" applyBorder="false" applyFill="false" applyFont="true" applyNumberFormat="false" applyProtection="false" borderId="277" fillId="0" fontId="5" numFmtId="0" xfId="0">
      <alignment horizontal="center" vertical="center"/>
    </xf>
    <xf applyAlignment="true" applyBorder="false" applyFill="false" applyFont="true" applyNumberFormat="false" applyProtection="false" borderId="278" fillId="0" fontId="5" numFmtId="0" xfId="0">
      <alignment horizontal="center" vertical="center"/>
    </xf>
    <xf applyAlignment="true" applyBorder="false" applyFill="false" applyFont="true" applyNumberFormat="false" applyProtection="false" borderId="279" fillId="0" fontId="1" numFmtId="0" xfId="0">
      <alignment vertical="center"/>
    </xf>
    <xf applyAlignment="true" applyBorder="false" applyFill="false" applyFont="true" applyNumberFormat="false" applyProtection="false" borderId="280" fillId="0" fontId="1" numFmtId="0" xfId="0">
      <alignment horizontal="right" vertical="center"/>
    </xf>
    <xf applyAlignment="true" applyBorder="false" applyFill="true" applyFont="true" applyNumberFormat="false" applyProtection="false" borderId="281" fillId="204" fontId="4" numFmtId="0" xfId="0">
      <alignment vertical="center" wrapText="true"/>
    </xf>
    <xf applyAlignment="true" applyBorder="false" applyFill="false" applyFont="true" applyNumberFormat="false" applyProtection="false" borderId="282" fillId="0" fontId="14" numFmtId="0" xfId="0">
      <alignment vertical="center" wrapText="true"/>
    </xf>
    <xf applyAlignment="true" applyBorder="false" applyFill="false" applyFont="true" applyNumberFormat="false" applyProtection="false" borderId="283" fillId="0" fontId="15" numFmtId="0" xfId="0">
      <alignment vertical="center" wrapText="true"/>
    </xf>
    <xf applyAlignment="true" applyBorder="false" applyFill="false" applyFont="true" applyNumberFormat="false" applyProtection="false" borderId="284" fillId="0" fontId="4" numFmtId="0" xfId="0">
      <alignment vertical="center" wrapText="true"/>
    </xf>
    <xf applyAlignment="true" applyBorder="false" applyFill="true" applyFont="true" applyNumberFormat="false" applyProtection="false" borderId="285" fillId="205" fontId="14" numFmtId="0" xfId="0">
      <alignment vertical="center" wrapText="true"/>
    </xf>
    <xf applyAlignment="true" applyBorder="false" applyFill="false" applyFont="true" applyNumberFormat="false" applyProtection="false" borderId="286" fillId="0" fontId="6" numFmtId="0" xfId="0">
      <alignment horizontal="center" vertical="center" wrapText="true"/>
    </xf>
  </cellXfs>
  <cellStyles count="1">
    <cellStyle builtinId="0" name="Normal" xfId="0"/>
  </cellStyles>
  <dxfs count="8">
    <dxf>
      <font>
        <sz val="11"/>
        <color rgb="FF8F959E"/>
        <name val="Calibri"/>
        <family val="2"/>
        <scheme val="minor"/>
      </font>
      <fill>
        <patternFill patternType="solid">
          <fgColor/>
          <bgColor rgb="FFF8F9FA"/>
        </patternFill>
      </fill>
    </dxf>
    <dxf>
      <font>
        <sz val="11"/>
        <color rgb="FF8F959E"/>
        <name val="Calibri"/>
        <family val="2"/>
        <scheme val="minor"/>
      </font>
      <fill>
        <patternFill patternType="solid">
          <fgColor/>
          <bgColor rgb="FFF8F9FA"/>
        </patternFill>
      </fill>
    </dxf>
    <dxf>
      <fill>
        <patternFill patternType="solid">
          <fgColor/>
          <bgColor rgb="FFFDDDEF"/>
        </patternFill>
      </fill>
    </dxf>
    <dxf>
      <fill>
        <patternFill patternType="solid">
          <fgColor/>
          <bgColor rgb="FFFDDDEF"/>
        </patternFill>
      </fill>
    </dxf>
    <dxf>
      <fill>
        <patternFill patternType="solid">
          <fgColor/>
          <bgColor rgb="FFFBBFBC"/>
        </patternFill>
      </fill>
    </dxf>
    <dxf>
      <fill>
        <patternFill patternType="solid">
          <fgColor/>
          <bgColor rgb="FFD9F5D6"/>
        </patternFill>
      </fill>
    </dxf>
    <dxf>
      <fill>
        <patternFill patternType="solid">
          <fgColor/>
          <bgColor rgb="FFFBBFBC"/>
        </patternFill>
      </fill>
    </dxf>
    <dxf>
      <fill>
        <patternFill patternType="solid">
          <fgColor/>
          <bgColor rgb="FFFBBFBC"/>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 Id="rId13" Target="worksheets/sheet9.xml" Type="http://schemas.openxmlformats.org/officeDocument/2006/relationships/worksheet"></Relationship><Relationship Id="rId14" Target="worksheets/sheet10.xml" Type="http://schemas.openxmlformats.org/officeDocument/2006/relationships/worksheet"></Relationship><Relationship Id="rId15" Target="worksheets/sheet11.xml" Type="http://schemas.openxmlformats.org/officeDocument/2006/relationships/worksheet"></Relationship><Relationship Id="rId16" Target="worksheets/sheet12.xml" Type="http://schemas.openxmlformats.org/officeDocument/2006/relationships/worksheet"></Relationship><Relationship Id="rId17" Target="worksheets/sheet13.xml" Type="http://schemas.openxmlformats.org/officeDocument/2006/relationships/worksheet"></Relationship><Relationship Id="rId18" Target="worksheets/sheet14.xml" Type="http://schemas.openxmlformats.org/officeDocument/2006/relationships/worksheet"></Relationship></Relationships>
</file>

<file path=xl/persons/person.xml><?xml version="1.0" encoding="utf-8"?>
<personList xmlns="http://schemas.microsoft.com/office/spreadsheetml/2018/threadedcomments" xmlns:x="http://schemas.openxmlformats.org/spreadsheetml/2006/main">
  <person displayName="文档导出器" id="{B3FBA54C-43F1-4CCB-A821-67D98409D72C}" userId="S::::71380158-5ee8-4e19-9f3f-a0c6c42a35d5" providerId="AD"/>
  <person displayName="Decay" id="{4DA478CA-ED16-41BE-989A-1EFC86E6DBFA}" userId="S::::1663af63-3f51-4897-bc65-01f2bf5eaef0" providerId="AD"/>
  <person displayName="龚政涛" id="{673BB205-DE8F-47FA-B3CD-9C183EFAC95B}" userId="S::::357e2fac-75cd-40f1-bfb2-cea74a237950" providerId="AD"/>
  <person displayName="朱金标" id="{CA7C40F6-B663-47E9-9F28-A19A5454C73E}" userId="S::::58d295ce-9f34-44c7-8aff-90ccfa8c2f9f" providerId="AD"/>
  <person displayName="苏祺恒" id="{C29C79FC-E968-47BE-BC72-C479F83EAC64}" userId="S::::6b61d16c-d61e-438f-89f8-3768ee4389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C2D097F2-5020-4882-B7F2-FDA845F0E5BE}" ref="B1" dT="2024-07-27T16:10:06" personId="{673BB205-DE8F-47FA-B3CD-9C183EFAC95B}" parentId="{}">
    <text>这里是各个武器/义体品牌的风格定位，二位可以看一下描述文本上后续怎么展开&lt;at t@Jadet@Serein</text>
  </threadedComment>
</ThreadedComments>
</file>

<file path=xl/threadedComments/threadedComment2.xml><?xml version="1.0" encoding="utf-8"?>
<ThreadedComments xmlns="http://schemas.microsoft.com/office/spreadsheetml/2018/threadedcomments" xmlns:x="http://schemas.openxmlformats.org/spreadsheetml/2006/main">
  <threadedComment id="{DD465964-A1F5-4CF7-A6BB-0F865A84A0AF}" ref="CY2" dT="2024-07-27T16:13:10" personId="{673BB205-DE8F-47FA-B3CD-9C183EFAC95B}" parentId="{}">
    <text>JAM出场的6个武器及其描述@Serein @Jade</text>
  </threadedComment>
  <threadedComment id="{A04C47CB-44DA-4100-B381-EC554A9A700C}" ref="Q3" dT="2024-09-07T06:55:16" personId="{673BB205-DE8F-47FA-B3CD-9C183EFAC95B}" parentId="{}">
    <text>大部分远程武器瞬间生成投射物@Decay @Cade</text>
  </threadedComment>
  <threadedComment id="{01AA7D1B-156E-4DBE-8BBA-F68A76BE667E}" ref="CY63" dT="2024-12-16T15:52:08" personId="{673BB205-DE8F-47FA-B3CD-9C183EFAC95B}" parentId="{}">
    <text>这把武器应该在发射方向上射出4发火箭弹，并在鼠标位置所在的直线上顺序落下4发，其引导线应为4个圆圈而非一束激光，火箭弹通过程序化走抛物线，途径目标被拦截时也会触发伤害@Decay</text>
  </threadedComment>
  <threadedComment id="{7697C99A-34DD-4BB5-B925-0F7F667E01C2}" ref="T2" dT="2024-07-27T16:22:44" personId="{673BB205-DE8F-47FA-B3CD-9C183EFAC95B}" parentId="{}">
    <text>攻击间隔，如果是半自动武器，低于该间隔不处理第二个输入指令，如果是全自动武器，则每过这个间隔触发一次伤害/发射一次子弹。&lt;at t@Cadet@Decay</text>
  </threadedComment>
  <threadedComment id="{7D3D7267-0416-4F85-9328-62AC6E1A373D}" ref="CP2" dT="2024-11-04T03:06:52" personId="{673BB205-DE8F-47FA-B3CD-9C183EFAC95B}" parentId="{}">
    <text>针对霰弹类武器（每次攻击发射多个projectile）单次伤害均指总伤害，每个弹丸应该均分这些伤害。这个伤害也对应了面板上的伤害数值，但不影响秒伤计算</text>
  </threadedComment>
  <threadedComment id="{22C1C18C-5850-4D37-A693-0211FB6AA9E1}" ref="R2" dT="2024-09-07T06:59:43" personId="{673BB205-DE8F-47FA-B3CD-9C183EFAC95B}" parentId="{}">
    <text>动画应该在：前摇+伤害阶段+后摇之间播完@Cade @Decay</text>
  </threadedComment>
  <threadedComment id="{05204639-98A9-43BD-B549-AF6C40FCE561}" ref="BW2" dT="2024-07-27T16:22:05" personId="{673BB205-DE8F-47FA-B3CD-9C183EFAC95B}" parentId="{}">
    <text>每动的体力消耗，对于多动武器也是每动计算。</text>
  </threadedComment>
  <threadedComment id="{8315fe0f-66a3-4cad-9e22-cb41122f3ef2}" ref="BW2" dT="2024-07-27T16:22:52" personId="{673BB205-DE8F-47FA-B3CD-9C183EFAC95B}" parentId="{05204639-98A9-43BD-B549-AF6C40FCE561}">
    <text>@Cade @Decay</text>
  </threadedComment>
  <threadedComment id="{5BF60BFE-9CD0-42CE-BBC0-8203866EABA6}" ref="BP2" dT="2025-11-18T16:14:27" personId="{673BB205-DE8F-47FA-B3CD-9C183EFAC95B}" parentId="{}">
    <text>目标是1级标准武器子弹价值=100%，也即杀一个小怪5发子弹</text>
  </threadedComment>
  <threadedComment id="{34381556-08CB-459A-B200-1B3F3A7D38FE}" ref="BR2" dT="2025-11-18T16:10:25" personId="{673BB205-DE8F-47FA-B3CD-9C183EFAC95B}" parentId="{}">
    <text>造成100点伤害需要消耗的子弹量</text>
  </threadedComment>
  <threadedComment id="{EADE0122-6D94-4D8B-992A-880816074CD5}" ref="P3" dT="2024-09-07T06:55:29" personId="{673BB205-DE8F-47FA-B3CD-9C183EFAC95B}" parentId="{}">
    <text>大部分远程武器瞬间出手@Decay @Cade</text>
  </threadedComment>
  <threadedComment id="{25CABB97-53FC-4328-A081-D3F917944092}" ref="CK2" dT="2024-12-11T06:16:19" personId="{673BB205-DE8F-47FA-B3CD-9C183EFAC95B}" parentId="{}">
    <text>NEW @Decay</text>
  </threadedComment>
  <threadedComment id="{0a6e8d33-ad58-4d52-87fa-da8250f7de38}" ref="CK2" dT="2024-12-12T14:55:45" personId="{673BB205-DE8F-47FA-B3CD-9C183EFAC95B}" parentId="{25CABB97-53FC-4328-A081-D3F917944092}">
    <text>考量了多动武器的每发子弹伤害拆分</text>
  </threadedComment>
  <threadedComment id="{53D16606-9B58-4D31-9E05-81A04714CA4D}" ref="H51" dT="2025-01-03T12:40:03" personId="{4DA478CA-ED16-41BE-989A-1EFC86E6DBFA}" parentId="{}">
    <text>@Taobe 喷射器子弹消耗 / 伤害区域 / 伤害计算 是怎么样的？</text>
  </threadedComment>
  <threadedComment id="{aa8954e5-a2d0-43be-a5d1-9f9f50ddc18b}" ref="H51" dT="2025-01-03T16:39:21" personId="{673BB205-DE8F-47FA-B3CD-9C183EFAC95B}" parentId="{53D16606-9B58-4D31-9E05-81A04714CA4D}">
    <text>@Decay 喷射器应该在散步角度和射程构成的扇形内造成伤害（复用普通远程武器）我会把张角扩张速率什么的都调配成0，伤害计算也是一样，我写面板和攻击间隔。唯一特殊的是1. 每次在整个范围内而非projectile碰撞造成伤害；2. 子弹消耗之前就说要加个比例系数，现在要加上了，不能所有武器都平等的消耗同样的子弹，cc@Cade</text>
  </threadedComment>
  <threadedComment id="{55040385-2284-45df-852e-d4ac54ec5cc8}" ref="H51" dT="2025-01-04T04:26:51" personId="{4DA478CA-ED16-41BE-989A-1EFC86E6DBFA}" parentId="{53D16606-9B58-4D31-9E05-81A04714CA4D}">
    <text>@龚政涛 手枪冲锋枪之类系数是1，喷射器低一些是这样？</text>
  </threadedComment>
  <threadedComment id="{cbfba7d4-312c-4206-bd25-4f8f491d2a30}" ref="H51" dT="2025-01-06T06:37:56" personId="{673BB205-DE8F-47FA-B3CD-9C183EFAC95B}" parentId="{53D16606-9B58-4D31-9E05-81A04714CA4D}">
    <text>@Decay 对，然后火箭发射器之类的可能是4、5</text>
  </threadedComment>
  <threadedComment id="{19026d8a-5bae-40bf-92b8-d262d7f114ba}" ref="H51" dT="2025-01-07T13:13:37" personId="{4DA478CA-ED16-41BE-989A-1EFC86E6DBFA}" parentId="{53D16606-9B58-4D31-9E05-81A04714CA4D}">
    <text>@龚政涛 不如代码直接把喷射器的子弹消耗理解成每秒消耗量，这样一个子弹消耗字段就可以配所有武器了，少点配置量？</text>
  </threadedComment>
  <threadedComment id="{1f2a5f72-f8d7-4f85-8045-f9508e6fd5e2}" ref="H51" dT="2025-01-08T06:16:14" personId="{673BB205-DE8F-47FA-B3CD-9C183EFAC95B}" parentId="{53D16606-9B58-4D31-9E05-81A04714CA4D}">
    <text>@Decay 意思是加一个boolean，开的时候改为每秒消耗？这感觉可以的，但有2个小问题：1. 玩家如果反复按1秒内攻击怎么办；2. 火箭弹类的武器攻击子弹小号怎么处理</text>
  </threadedComment>
  <threadedComment id="{a62a5234-4c33-4c13-a7fd-3b6c4e5ec29a}" ref="H51" dT="2025-01-08T06:28:52" personId="{4DA478CA-ED16-41BE-989A-1EFC86E6DBFA}" parentId="{53D16606-9B58-4D31-9E05-81A04714CA4D}">
    <text>@龚政涛 不用加布尔，喷射器攻击的时候单独把子弹消耗视为每秒量就行了。实际运算的时候会算每秒子弹消耗*单次攻击时常，得到一个单动的子弹消耗，这样子弹消耗最终就是和伤害次数挂钩的，打出来多少耗多少。(当然也可以在源头，也就是配置端就把喷射器的子弹消耗理解成单动消耗，但我感觉对策划来说应该是每秒消耗更有好一些)
至于发射器，我看上面那个炎舞者子弹消耗是16，那就是射一发耗16呗，和喷射器互不相干了就</text>
  </threadedComment>
  <threadedComment id="{2ea2d71a-910d-42e7-98e3-19209456e7f4}" ref="H51" dT="2025-01-08T06:33:12" personId="{673BB205-DE8F-47FA-B3CD-9C183EFAC95B}" parentId="{53D16606-9B58-4D31-9E05-81A04714CA4D}">
    <text>@Decay 也就是发射器依旧用N发的设计，但喷射器用每秒，喷射器的每秒消耗如果有小数点就存着？</text>
  </threadedComment>
  <threadedComment id="{ab9c5a51-51b8-4a49-b92a-6ad792fa5b74}" ref="H51" dT="2025-01-08T06:33:56" personId="{4DA478CA-ED16-41BE-989A-1EFC86E6DBFA}" parentId="{53D16606-9B58-4D31-9E05-81A04714CA4D}">
    <text>@龚政涛 现在弹药已经全改成float了，所以耗多少就会扣多少，显示还是整数</text>
  </threadedComment>
  <threadedComment id="{3add40f9-7e28-4c4e-bf0f-dfec8085fe72}" ref="H51" dT="2025-01-08T06:34:17" personId="{673BB205-DE8F-47FA-B3CD-9C183EFAC95B}" parentId="{53D16606-9B58-4D31-9E05-81A04714CA4D}">
    <text>@Decay 那OK</text>
  </threadedComment>
  <threadedComment id="{d93dc37e-747d-4651-b68b-c7f90d571133}" ref="H51" dT="2025-01-08T06:38:59" personId="{4DA478CA-ED16-41BE-989A-1EFC86E6DBFA}" parentId="{53D16606-9B58-4D31-9E05-81A04714CA4D}">
    <text>@Taobe 以及喷射器的体力消耗也会被理解成是每秒量</text>
  </threadedComment>
</ThreadedComments>
</file>

<file path=xl/threadedComments/threadedComment3.xml><?xml version="1.0" encoding="utf-8"?>
<ThreadedComments xmlns="http://schemas.microsoft.com/office/spreadsheetml/2018/threadedcomments" xmlns:x="http://schemas.openxmlformats.org/spreadsheetml/2006/main">
  <threadedComment id="{699E974C-6152-49BF-AA6A-B7DF940F1FF2}" ref="U19" dT="2024-12-28T03:50:22" personId="{4DA478CA-ED16-41BE-989A-1EFC86E6DBFA}" parentId="{}">
    <text>话说技能现在分等级了？不同等级的技能和武器怎么对应？</text>
  </threadedComment>
  <threadedComment id="{42d99e08-b82c-4c05-859c-a722cf61fa1d}" ref="U19" dT="2024-12-30T03:49:14" personId="{673BB205-DE8F-47FA-B3CD-9C183EFAC95B}" parentId="{699E974C-6152-49BF-AA6A-B7DF940F1FF2}">
    <text>@Decay 技能分等级，和武器等级1 = 1对应，最省我策划事情的做法是：技能的BP预先配置好1~5级的数值，绑定到武器生成实例的时候，GET一下武器等级，看看是几级就给几级的数值；笨办法是一个技能COPY五个CHILD，我分别配置到5个级别的武器上</text>
  </threadedComment>
  <threadedComment id="{800da3da-ce5d-434e-b334-ba781b6f8998}" ref="U19" dT="2024-12-30T11:58:44" personId="{4DA478CA-ED16-41BE-989A-1EFC86E6DBFA}" parentId="{699E974C-6152-49BF-AA6A-B7DF940F1FF2}">
    <text>@龚政涛 还是全都扔一个BP里吧，减少点配置复杂度</text>
  </threadedComment>
  <threadedComment id="{DBF9357C-0D0D-4EB9-AEA6-1861A73A3FFA}" ref="Y21" dT="2025-01-04T09:16:37" personId="{4DA478CA-ED16-41BE-989A-1EFC86E6DBFA}" parentId="{}">
    <text>@Taobe 因为现在就剩下这一个引导技能了所以打算做这个。
反射的话是沿球面法线镜面反弹，还是原路返回？</text>
  </threadedComment>
  <threadedComment id="{ba3e7105-0006-429e-ad16-6b9379009d50}" ref="Y21" dT="2025-01-06T06:37:41" personId="{673BB205-DE8F-47FA-B3CD-9C183EFAC95B}" parentId="{DBF9357C-0D0D-4EB9-AEA6-1861A73A3FFA}">
    <text>@Decay 原路返回</text>
  </threadedComment>
  <threadedComment id="{BEDEA505-DD61-4F29-8C93-8CEC1D6FB95A}" ref="F1" dT="2024-09-13T17:37:24" personId="{673BB205-DE8F-47FA-B3CD-9C183EFAC95B}" parentId="{}">
    <text>我考虑移除“武器战技”这个选项，因为武器战技不就是主动的武器技能么？@Decay</text>
  </threadedComment>
  <threadedComment id="{95788d53-02e8-409e-8975-a4dcc3775b64}" ref="F1" dT="2024-09-13T17:45:22" personId="{4DA478CA-ED16-41BE-989A-1EFC86E6DBFA}" parentId="{BEDEA505-DD61-4F29-8C93-8CEC1D6FB95A}">
    <text>这个字段完全没进程序，暂时没看到用处</text>
  </threadedComment>
  <threadedComment id="{888c2953-0fe9-4487-ad2a-59912a65b654}" ref="F1" dT="2024-09-14T03:28:48" personId="{673BB205-DE8F-47FA-B3CD-9C183EFAC95B}" parentId="{BEDEA505-DD61-4F29-8C93-8CEC1D6FB95A}">
    <text>@Decay 有些技能只会在义体出现、反之有些只会在武器上出现，这个同时影响打印机生成新武器时候的随机池以及融合打印的随机池（if融合打印和购买的打印机拆开）</text>
  </threadedComment>
  <threadedComment id="{0a6db32d-c9c8-454a-ba38-a015e494b5f8}" ref="F1" dT="2024-09-14T04:46:36" personId="{4DA478CA-ED16-41BE-989A-1EFC86E6DBFA}" parentId="{BEDEA505-DD61-4F29-8C93-8CEC1D6FB95A}">
    <text>@龚政涛 那可以考虑加这个字段</text>
  </threadedComment>
  <threadedComment id="{51E44E5F-613B-484C-BDAB-4F9504460658}" ref="J4" dT="2025-01-03T12:25:48" personId="{4DA478CA-ED16-41BE-989A-1EFC86E6DBFA}" parentId="{}">
    <text>@Taobe 我觉得这个技能 (包括下面那个自由制导) 听起来更像一个切换或者瞬发技能？引导技能按照经验来说引导过程中不能攻击吧？
另外引导技能要按住Q或E，这时候玩家按WASD也会有困难</text>
  </threadedComment>
  <threadedComment id="{b0075f89-b253-43f2-a249-f3eed0d43f8d}" ref="J4" dT="2025-01-03T16:42:48" personId="{673BB205-DE8F-47FA-B3CD-9C183EFAC95B}" parentId="{51E44E5F-613B-484C-BDAB-4F9504460658}">
    <text>@Decay 有道理。有一说一这个不好按我本来是故意的，想增加“瞄准的时候移动不便利”的代入感，但想想确实没必要这样为难玩家，我分别改成“切换”和“瞬发”了</text>
  </threadedComment>
</ThreadedComments>
</file>

<file path=xl/threadedComments/threadedComment4.xml><?xml version="1.0" encoding="utf-8"?>
<ThreadedComments xmlns="http://schemas.microsoft.com/office/spreadsheetml/2018/threadedcomments" xmlns:x="http://schemas.openxmlformats.org/spreadsheetml/2006/main">
  <threadedComment id="{35C97091-0CA6-43DA-90B6-F56CA9D1D5CF}" ref="T79" dT="2025-05-20T13:52:16" personId="{4DA478CA-ED16-41BE-989A-1EFC86E6DBFA}" parentId="{}">
    <text>@Taobe 然后会破除光学迷彩吗</text>
  </threadedComment>
  <threadedComment id="{2d16305c-cb1f-454b-874b-23c3a46da639}" ref="T79" dT="2025-05-20T17:10:42" personId="{673BB205-DE8F-47FA-B3CD-9C183EFAC95B}" parentId="{35C97091-0CA6-43DA-90B6-F56CA9D1D5CF}">
    <text>@Decay 会（除非有攻击不破除光学迷彩的技能，现在没有这种技能）</text>
  </threadedComment>
  <threadedComment id="{5302DBB9-B7DC-4DB8-8C9C-517B9EEB5958}" ref="T81" dT="2025-05-09T08:48:35" personId="{4DA478CA-ED16-41BE-989A-1EFC86E6DBFA}" parentId="{}">
    <text>@Taobe 这个光学扭曲和光学迷彩的定义好像没找到(只在老buildsheet里有，感觉也不太对)，另外下面那个隐身和这两个状态啥关系</text>
  </threadedComment>
  <threadedComment id="{b611bc92-74d9-4a28-9587-f2aa591c2731}" ref="T81" dT="2025-05-09T08:50:39" personId="{673BB205-DE8F-47FA-B3CD-9C183EFAC95B}" parentId="{5302DBB9-B7DC-4DB8-8C9C-517B9EEB5958}">
    <text>@Decay 光学迷彩就是隐身，我应该合并的。光学扭曲类似于半隐身，如果是PVP，没有UI，不被吸附，人变得透明，但有轮廓，就像人族看自己的幽灵一样。如果是AI，则是已经看到你的能继续打你，但没看到你的（一旦失去SIGHT）没办法建立新的SIGHT</text>
  </threadedComment>
  <threadedComment id="{85271494-5d4a-4cbf-b4e3-a7b9adaec0bd}" ref="T81" dT="2025-05-20T14:11:45" personId="{4DA478CA-ED16-41BE-989A-1EFC86E6DBFA}" parentId="{5302DBB9-B7DC-4DB8-8C9C-517B9EEB5958}">
    <text>@Taobe 获得“短暂的光学扭曲状态”，但光学扭曲状态的持续时间又是无限</text>
  </threadedComment>
  <threadedComment id="{42f449a2-e50e-43b0-b0e1-5c61a0c6ea9d}" ref="T81" dT="2025-05-20T17:07:44" personId="{673BB205-DE8F-47FA-B3CD-9C183EFAC95B}" parentId="{5302DBB9-B7DC-4DB8-8C9C-517B9EEB5958}">
    <text>@Decay 短暂是我瞎jb写的，这个就是持续到奔跑结束</text>
  </threadedComment>
  <threadedComment id="{C0B5F020-CEEF-4789-B964-A619A2D1749E}" ref="T80" dT="2025-05-20T13:51:49" personId="{4DA478CA-ED16-41BE-989A-1EFC86E6DBFA}" parentId="{}">
    <text>@Taobe 可是光学扭曲和光学迷彩的解除条件本来不就是攻击吗，释放一个不造成伤害的技能本来就不是攻击吧</text>
  </threadedComment>
  <threadedComment id="{677b0f48-dfeb-439c-a4a9-a54fd366b369}" ref="T80" dT="2025-05-20T17:10:06" personId="{673BB205-DE8F-47FA-B3CD-9C183EFAC95B}" parentId="{C0B5F020-CEEF-4789-B964-A619A2D1749E}">
    <text>@Decay 我本来想的是攻击/使用技能的动作都会打断光学迷彩和扭曲。有了这个技能后如果武器/智脑技能不直接造成伤害就不会打断。不直接造成伤害的情况也包括丢地雷、丢手雷这种由投射物造成伤害的情况。</text>
  </threadedComment>
  <threadedComment id="{acababf4-22ee-4a6c-8ff0-2c91db12a18e}" ref="T80" dT="2025-11-10T08:17:22" personId="{673BB205-DE8F-47FA-B3CD-9C183EFAC95B}" parentId="{C0B5F020-CEEF-4789-B964-A619A2D1749E}">
    <text>修改了这个技能：只作用与武器技能（而不是武器和智脑），并且无论是否有伤害。另外，简化了技能效果描述。</text>
  </threadedComment>
  <threadedComment id="{EF5F7524-5B2C-4858-85D0-D431ADA58B34}" ref="T123" dT="2025-05-13T12:42:22" personId="{4DA478CA-ED16-41BE-989A-1EFC86E6DBFA}" parentId="{}">
    <text>@Taobe 这个吸血效果有没有完整点的定义。我理解里是类似血源那种虚血吸血对吧。那么像渴血症这个技能，吸血时间延长后，本来因为超时没被考虑的掉血现在需要被重新考虑吗，还是只考虑延长后的新掉血</text>
  </threadedComment>
  <threadedComment id="{c922db2f-63e3-4489-8d8f-d255e833d51c}" ref="T123" dT="2025-05-13T12:56:13" personId="{673BB205-DE8F-47FA-B3CD-9C183EFAC95B}" parentId="{EF5F7524-5B2C-4858-85D0-D431ADA58B34}">
    <text>问到点上了方哥，这个就是血源那个效果，所以我在想我是不是底层要先定义虚血的计算？</text>
  </threadedComment>
  <threadedComment id="{15b5532c-424f-4539-ac68-8f46066c32fb}" ref="T123" dT="2025-05-13T12:57:36" personId="{4DA478CA-ED16-41BE-989A-1EFC86E6DBFA}" parentId="{EF5F7524-5B2C-4858-85D0-D431ADA58B34}">
    <text>@Taobe 对，需要把基本逻辑定义下</text>
  </threadedComment>
  <threadedComment id="{f0761552-000f-498b-bda4-01a1f56cc13c}" ref="T123" dT="2025-05-13T12:59:30" personId="{673BB205-DE8F-47FA-B3CD-9C183EFAC95B}" parentId="{EF5F7524-5B2C-4858-85D0-D431ADA58B34}">
    <text>@Decay 稍等我晚上写下</text>
  </threadedComment>
  <threadedComment id="{aea9f3c5-495a-4144-af7e-e910e7427817}" ref="T123" dT="2025-05-16T10:50:33" personId="{4DA478CA-ED16-41BE-989A-1EFC86E6DBFA}" parentId="{EF5F7524-5B2C-4858-85D0-D431ADA58B34}">
    <text>@Taobe 所以现在这个技能的效果还是看不太懂，这个时间到底是什么时间</text>
  </threadedComment>
  <threadedComment id="{6fefcad3-823e-4734-bb3b-8b4cf6275b99}" ref="T123" dT="2025-05-16T10:54:05" personId="{673BB205-DE8F-47FA-B3CD-9C183EFAC95B}" parentId="{EF5F7524-5B2C-4858-85D0-D431ADA58B34}">
    <text>@Decay 这个也要改下，看看新写的。</text>
  </threadedComment>
  <threadedComment id="{7288eae0-5ed3-4bf2-8c4c-7bdcfd97e284}" ref="T123" dT="2025-05-16T13:19:53" personId="{4DA478CA-ED16-41BE-989A-1EFC86E6DBFA}" parentId="{EF5F7524-5B2C-4858-85D0-D431ADA58B34}">
    <text>@Taobe 另外技能描述没改过来</text>
  </threadedComment>
  <threadedComment id="{6bbe8120-14b9-4564-939a-fcaa5747fadc}" ref="T123" dT="2025-05-16T14:04:29" personId="{673BB205-DE8F-47FA-B3CD-9C183EFAC95B}" parentId="{EF5F7524-5B2C-4858-85D0-D431ADA58B34}">
    <text>@Decay 我看了下没错呀，我有点想不到有什么更好的描述方法hhh</text>
  </threadedComment>
  <threadedComment id="{46ba64da-5008-42e2-9998-581f4b6d49f5}" ref="T123" dT="2025-11-10T08:44:51" personId="{673BB205-DE8F-47FA-B3CD-9C183EFAC95B}" parentId="{EF5F7524-5B2C-4858-85D0-D431ADA58B34}">
    <text>这个技能的CT配置似乎不生效</text>
  </threadedComment>
  <threadedComment id="{F506CB82-84F3-4072-991E-CB564E457DA3}" ref="U63" dT="2025-05-20T06:16:13" personId="{CA7C40F6-B663-47E9-9F28-A19A5454C73E}" parentId="{}">
    <text>@Taobe 这个伤害倍率是指在所有伤害buff计算完之后再乘以这个倍率吗？</text>
  </threadedComment>
  <threadedComment id="{BDF1986C-49F3-4359-9B3D-78BBC09DD9D4}" ref="T103" dT="2025-05-18T13:25:46" personId="{4DA478CA-ED16-41BE-989A-1EFC86E6DBFA}" parentId="{}">
    <text>@Taobe 这里的表述是未被目标发现，这意思是只要被打的人没有我的sight，就会被额外伤害吗。相对的上面暗杀头脑表述是“如果你没有被发现”，我的实现类似是小鱼人大招那样，所有敌人都没看见玩家的时候才会触发。</text>
  </threadedComment>
  <threadedComment id="{4f24af1d-d4f9-4332-bbbb-c4601aadc335}" ref="T103" dT="2025-05-18T15:31:55" personId="{673BB205-DE8F-47FA-B3CD-9C183EFAC95B}" parentId="{BDF1986C-49F3-4359-9B3D-78BBC09DD9D4}">
    <text>@Decay 你的两个理解都正确，之后我会更严谨的用这两个词</text>
  </threadedComment>
  <threadedComment id="{F15E9554-C9B7-4947-8C3B-2E6F1D0DE2F0}" ref="U18" dT="2025-05-16T12:32:46" personId="{4DA478CA-ED16-41BE-989A-1EFC86E6DBFA}" parentId="{}">
    <text>@Taobe 这里额外确认下，武器技能伤害就是指技能实际打出来的最终伤害对吧</text>
  </threadedComment>
  <threadedComment id="{63089d3d-812d-400d-b7eb-fa1c632d6aa5}" ref="U18" dT="2025-05-18T16:10:25" personId="{673BB205-DE8F-47FA-B3CD-9C183EFAC95B}" parentId="{F15E9554-C9B7-4947-8C3B-2E6F1D0DE2F0}">
    <text>@Decay 对的，我想想有没有比较好的措辞固定这个情况</text>
  </threadedComment>
  <threadedComment id="{7F123B08-F190-48DF-AA92-4C92281B68BF}" ref="T108" dT="2025-05-12T08:21:55" personId="{4DA478CA-ED16-41BE-989A-1EFC86E6DBFA}" parentId="{}">
    <text>@Taobe 这个“发现”要限定是哪个ai sense吗，还是说所有sense都算上。现在有视听、伤害、触碰sense</text>
  </threadedComment>
  <threadedComment id="{368ae9d9-dbcd-4d7f-b77c-3522177b72b3}" ref="T108" dT="2025-05-12T08:23:30" personId="{673BB205-DE8F-47FA-B3CD-9C183EFAC95B}" parentId="{7F123B08-F190-48DF-AA92-4C92281B68BF}">
    <text>@Decay 限定视觉sense。加上其他的我感觉会有bug。</text>
  </threadedComment>
</ThreadedComments>
</file>

<file path=xl/threadedComments/threadedComment5.xml><?xml version="1.0" encoding="utf-8"?>
<ThreadedComments xmlns="http://schemas.microsoft.com/office/spreadsheetml/2018/threadedcomments" xmlns:x="http://schemas.openxmlformats.org/spreadsheetml/2006/main">
  <threadedComment id="{ACD47EE7-8A17-4C91-9B01-14F63DDF240F}" ref="A9" dT="2025-05-14T14:43:53" personId="{673BB205-DE8F-47FA-B3CD-9C183EFAC95B}" parentId="{}">
    <text>吸血就比较好算了，剩下多少虚血就是能恢复多少，恢复比例由Buff定义@Decay</text>
  </threadedComment>
  <threadedComment id="{4546cf0b-e701-4850-a53a-f4d13318d360}" ref="A9" dT="2025-05-16T10:37:13" personId="{4DA478CA-ED16-41BE-989A-1EFC86E6DBFA}" parentId="{ACD47EE7-8A17-4C91-9B01-14F63DDF240F}">
    <text>@龚政涛 没太看懂，我之前脑部是血源那样一次性吸一截血，但这里的生效时间窗口和持续时间是啥意思</text>
  </threadedComment>
  <threadedComment id="{94a91d30-60c7-4a22-a082-c13618080fd1}" ref="A9" dT="2025-05-16T10:38:06" personId="{673BB205-DE8F-47FA-B3CD-9C183EFAC95B}" parentId="{ACD47EE7-8A17-4C91-9B01-14F63DDF240F}">
    <text>@Decay 跟血源一样的，我写的时候还没有想清楚虚血这个对象的存在，现在你认为就是按照这个恢复比例回虚血就好，虚血有就能回复，没有就不行。</text>
  </threadedComment>
  <threadedComment id="{3489c758-2980-43f9-8697-ad68f0f54f50}" ref="A9" dT="2025-05-16T10:38:51" personId="{673BB205-DE8F-47FA-B3CD-9C183EFAC95B}" parentId="{ACD47EE7-8A17-4C91-9B01-14F63DDF240F}">
    <text>@Decay 这个持续时间只是BUFF的持续时间，不同的技能可能给的吸血BUFF持续时间不一样</text>
  </threadedComment>
  <threadedComment id="{adf469f8-4ced-47de-af2c-f3bb93de8725}" ref="A9" dT="2025-05-16T10:40:25" personId="{4DA478CA-ED16-41BE-989A-1EFC86E6DBFA}" parentId="{ACD47EE7-8A17-4C91-9B01-14F63DDF240F}">
    <text>@龚政涛 所以吸血不是一个固有存在的状态，而是一个由外部提供的buff对吧</text>
  </threadedComment>
  <threadedComment id="{EB97F37E-DD38-4191-94D8-765CD6E83BD0}" ref="E12" dT="2025-05-18T13:31:27" personId="{4DA478CA-ED16-41BE-989A-1EFC86E6DBFA}" parentId="{}">
    <text>@Taobe 还是一样的，这里的"发现"代表了sight这个sense，而不是所有sense对吧</text>
  </threadedComment>
  <threadedComment id="{30a1d157-da6f-43bf-8124-e181514a2e4d}" ref="E12" dT="2025-05-18T13:46:46" personId="{4DA478CA-ED16-41BE-989A-1EFC86E6DBFA}" parentId="{EB97F37E-DD38-4191-94D8-765CD6E83BD0}">
    <text>@Taobe 还有就是光学扭曲攻击或受击时也移除吧？</text>
  </threadedComment>
  <threadedComment id="{e0dc61df-d11f-4e7a-99f6-2d4670401943}" ref="E12" dT="2025-05-18T15:31:13" personId="{673BB205-DE8F-47FA-B3CD-9C183EFAC95B}" parentId="{EB97F37E-DD38-4191-94D8-765CD6E83BD0}">
    <text>@Decay 好问题，先设计成受击也移除吧，我kinda觉得可能得玩了才知道哪个好些。</text>
  </threadedComment>
  <threadedComment id="{3491300c-8985-43d4-ada9-6c7765c9f1dc}" ref="E12" dT="2025-05-20T13:59:10" personId="{4DA478CA-ED16-41BE-989A-1EFC86E6DBFA}" parentId="{EB97F37E-DD38-4191-94D8-765CD6E83BD0}">
    <text>@Taobe 光学扭曲这个未被发现，是指没有任何敌人有自己的sight，还是说对于有自己sight的敌人无效的同时，对没自己sight的敌人有效？</text>
  </threadedComment>
  <threadedComment id="{c726437a-ce20-4bd3-9b29-f525c1c69bb5}" ref="E12" dT="2025-05-21T14:38:49" personId="{673BB205-DE8F-47FA-B3CD-9C183EFAC95B}" parentId="{EB97F37E-DD38-4191-94D8-765CD6E83BD0}">
    <text>@Decay 就先按简单的来好了我先试下，之前忘记at你了，我的</text>
  </threadedComment>
  <threadedComment id="{C8503F00-FBC2-4D63-8140-DF75EBDD5423}" ref="M2" dT="2024-12-18T06:43:55" personId="{4DA478CA-ED16-41BE-989A-1EFC86E6DBFA}" parentId="{}">
    <text>@Taobe 这个属性伤害达到上限是什么意思，哪里有定义么</text>
  </threadedComment>
  <threadedComment id="{68a5d858-6081-429e-a7db-a850536427a7}" ref="M2" dT="2024-12-18T06:54:24" personId="{673BB205-DE8F-47FA-B3CD-9C183EFAC95B}" parentId="{C8503F00-FBC2-4D63-8140-DF75EBDD5423}">
    <text>@Decay 就是怪物猎人的异常积蓄，或者黑魂，都是同一套逻辑。</text>
  </threadedComment>
  <threadedComment id="{8c1ec6a5-7c9e-487a-87ad-af8145ef2dc6}" ref="M2" dT="2024-12-18T07:19:13" personId="{4DA478CA-ED16-41BE-989A-1EFC86E6DBFA}" parentId="{C8503F00-FBC2-4D63-8140-DF75EBDD5423}">
    <text>@龚政涛 积累的异常值等同于造成的伤害值吗？异常积累满之后是清零还是？灼烧重伤这种触发了在持续时间里的时候还能继续叠加异常值吗</text>
  </threadedComment>
  <threadedComment id="{2dcc5b15-16d4-4683-9291-ba66eb70108d}" ref="M2" dT="2024-12-18T15:41:11" personId="{673BB205-DE8F-47FA-B3CD-9C183EFAC95B}" parentId="{C8503F00-FBC2-4D63-8140-DF75EBDD5423}">
    <text>@Decay 1. 积累的异常值不等于造成的伤害值，由单独的“异常积蓄”属性积累，和韧性类似；2. 每个异常伤害独立计算；3. 积蓄满后清零；4. 持续期间可以继续积累</text>
  </threadedComment>
  <threadedComment id="{7e790c79-b703-4963-adb6-8254f20ea1a3}" ref="M2" dT="2024-12-18T15:41:43" personId="{673BB205-DE8F-47FA-B3CD-9C183EFAC95B}" parentId="{C8503F00-FBC2-4D63-8140-DF75EBDD5423}">
    <text>@Decay 也是类似于怪猎的“麻痹”之类的异常，只不过没有怪猎那种“中了一次下一次要多积累一点”的设计</text>
  </threadedComment>
</ThreadedComments>
</file>

<file path=xl/threadedComments/threadedComment6.xml><?xml version="1.0" encoding="utf-8"?>
<ThreadedComments xmlns="http://schemas.microsoft.com/office/spreadsheetml/2018/threadedcomments" xmlns:x="http://schemas.openxmlformats.org/spreadsheetml/2006/main">
  <threadedComment id="{2101D307-2085-44C5-80BC-09DCB9E0B41A}" ref="F1" dT="2024-12-05T06:37:00" personId="{673BB205-DE8F-47FA-B3CD-9C183EFAC95B}" parentId="{}">
    <text>由于单补正显然比双补正好做Build，因此双补正应该比单补正的数值更大些？@Cade</text>
  </threadedComment>
  <threadedComment id="{0b0f94b3-01c0-413c-8c70-b115357b9650}" ref="F1" dT="2024-12-05T06:50:47" personId="{673BB205-DE8F-47FA-B3CD-9C183EFAC95B}" parentId="{2101D307-2085-44C5-80BC-09DCB9E0B41A}">
    <text>我这里留了5个+号方便做出细微差异，武器则只有3个，体现出武器比属性的补正影响更小，也就是一把明确的武器应该是8个+决定补正高低，升级到Lv5时在追加2个到10个</text>
  </threadedComment>
  <threadedComment id="{f884dd72-c140-4a6e-92fd-dca1543ef747}" ref="F1" dT="2024-12-05T06:57:00" personId="{673BB205-DE8F-47FA-B3CD-9C183EFAC95B}" parentId="{2101D307-2085-44C5-80BC-09DCB9E0B41A}">
    <text>如果要简化玩家的视觉重心：我们可以把大部分武器限制为“只出现有匹配属性的”类型，比如如果武士刀没有智力补正，那也不会出现热能、纳米和霜冻的武士刀</text>
  </threadedComment>
  <threadedComment id="{2809d121-93a2-447e-93ec-13f7fccc1d6f}" ref="F1" dT="2024-12-05T06:57:45" personId="{673BB205-DE8F-47FA-B3CD-9C183EFAC95B}" parentId="{2101D307-2085-44C5-80BC-09DCB9E0B41A}">
    <text>这样补正的计算也变得简单：
S = 9~10 = 150%
A = 7~8 = 125%
B = 5~6 = 100%
C = 3~4 = 75%
D = 1~2 = 50%
E = 0 = 0%
这里只代表“程度”具体数值可以微调</text>
  </threadedComment>
  <threadedComment id="{e225a04f-bf14-42f3-92b9-806ab81a7dcb}" ref="F1" dT="2025-02-13T15:35:00" personId="{C29C79FC-E968-47BE-BC72-C479F83EAC64}" parentId="{2101D307-2085-44C5-80BC-09DCB9E0B41A}">
    <text>单双补正这里其实还要考虑到roll被动的时候，双补正武器能选择的池子会更广，其实双属性的武器打法会更丰富，所以数值这里比单补正要低是合理的</text>
  </threadedComment>
</ThreadedComments>
</file>

<file path=xl/worksheets/_rels/sheet3.xml.rels><?xml version="1.0" encoding="UTF-8" standalone="yes"?>
<Relationships xmlns="http://schemas.openxmlformats.org/package/2006/relationships"><Relationship Id="rId1" Target="https://dikpa4hrtn9.feishu.cn/wiki/RVyCwxO8PizCbskqNFoc4e1Pn1e" Type="http://schemas.openxmlformats.org/officeDocument/2006/relationships/hyperlink" TargetMode="External"></Relationship><Relationship Id="rId2" Target="https://dikpa4hrtn9.feishu.cn/wiki/C6dHwnqfdiyjkKkVkn6cWObUnae" Type="http://schemas.openxmlformats.org/officeDocument/2006/relationships/hyperlink" TargetMode="External"></Relationship><Relationship Id="rId3" Target="https://dikpa4hrtn9.feishu.cn/wiki/Id3AwEQVbioihIkzs2Ncb3bpnLc" Type="http://schemas.openxmlformats.org/officeDocument/2006/relationships/hyperlink" TargetMode="External"></Relationship><Relationship Id="rId4" Target="https://dikpa4hrtn9.feishu.cn/wiki/P0Xxwqe7ziDZCOkRPC3cH20An0e" Type="http://schemas.openxmlformats.org/officeDocument/2006/relationships/hyperlink" TargetMode="External"></Relationship><Relationship Id="rId5" Target="https://dikpa4hrtn9.feishu.cn/wiki/SmA3wipPDi1asbkpyJ1caRE0nTg" Type="http://schemas.openxmlformats.org/officeDocument/2006/relationships/hyperlink" TargetMode="External"></Relationship><Relationship Id="rId6" Target="https://dikpa4hrtn9.feishu.cn/wiki/SmA3wipPDi1asbkpyJ1caRE0nTg" Type="http://schemas.openxmlformats.org/officeDocument/2006/relationships/hyperlink" TargetMode="External"></Relationship><Relationship Id="rId7" Target="https://dikpa4hrtn9.feishu.cn/wiki/X5hQwQPQni32Bak6LLDcqJqRnUf" Type="http://schemas.openxmlformats.org/officeDocument/2006/relationships/hyperlink" TargetMode="External"></Relationship><Relationship Id="rId8" Target="https://dikpa4hrtn9.feishu.cn/wiki/UzvQwL2lYiDCfyk798icFdlUn6f" Type="http://schemas.openxmlformats.org/officeDocument/2006/relationships/hyperlink" TargetMode="External"></Relationship><Relationship Id="rId9" Target="../drawings/vmlDrawing1.vml" Type="http://schemas.openxmlformats.org/officeDocument/2006/relationships/vmlDrawing"></Relationship><Relationship Id="rId10" Target="../comments1.xml" Type="http://schemas.openxmlformats.org/officeDocument/2006/relationships/comments"></Relationship><Relationship Id="rId11" Target="../threadedComments/threadedComment1.xml" Type="http://schemas.microsoft.com/office/2017/10/relationships/threadedComment"></Relationship></Relationships>
</file>

<file path=xl/worksheets/_rels/sheet4.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 Id="rId3" Target="../threadedComments/threadedComment2.xml" Type="http://schemas.microsoft.com/office/2017/10/relationships/threadedComment"></Relationship></Relationships>
</file>

<file path=xl/worksheets/_rels/sheet6.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threadedComments/threadedComment3.xml" Type="http://schemas.microsoft.com/office/2017/10/relationships/threadedComment"></Relationship></Relationships>
</file>

<file path=xl/worksheets/_rels/sheet8.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 Id="rId3" Target="../threadedComments/threadedComment4.xml" Type="http://schemas.microsoft.com/office/2017/10/relationships/threadedComment"></Relationship></Relationships>
</file>

<file path=xl/worksheets/_rels/sheet10.xml.rels><?xml version="1.0" encoding="UTF-8" standalone="yes"?>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 Id="rId3" Target="../threadedComments/threadedComment5.xml" Type="http://schemas.microsoft.com/office/2017/10/relationships/threadedComment"></Relationship></Relationships>
</file>

<file path=xl/worksheets/_rels/sheet12.xml.rels><?xml version="1.0" encoding="UTF-8" standalone="yes"?>
<Relationships xmlns="http://schemas.openxmlformats.org/package/2006/relationships"><Relationship Id="rId1" Target="../drawings/vmlDrawing6.vml" Type="http://schemas.openxmlformats.org/officeDocument/2006/relationships/vmlDrawing"></Relationship><Relationship Id="rId2" Target="../comments6.xml" Type="http://schemas.openxmlformats.org/officeDocument/2006/relationships/comments"></Relationship><Relationship Id="rId3" Target="../threadedComments/threadedComment6.xml" Type="http://schemas.microsoft.com/office/2017/10/relationships/threadedComment"></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1"/>
    <col collapsed="false" customWidth="true" hidden="false" max="2" min="2" style="0" width="16"/>
    <col collapsed="false" customWidth="true" hidden="false" max="3" min="3" style="0" width="13"/>
    <col collapsed="false" customWidth="true" hidden="false" max="4" min="4" style="0" width="13"/>
    <col collapsed="false" customWidth="true" hidden="false" max="5" min="5" style="0" width="27"/>
    <col collapsed="false" customWidth="true" hidden="false" max="6" min="6" style="0" width="12"/>
    <col collapsed="false" customWidth="true" hidden="false" max="7" min="7" style="0" width="13"/>
    <col collapsed="false" customWidth="true" hidden="false" max="8" min="8" style="0" width="1"/>
    <col collapsed="false" customWidth="true" hidden="false" max="9" min="9" style="0" width="8"/>
    <col collapsed="false" customWidth="true" hidden="false" max="10" min="10" style="0" width="11"/>
    <col collapsed="false" customWidth="true" hidden="false" max="11" min="11" style="0" width="8"/>
    <col collapsed="false" customWidth="true" hidden="false" max="12" min="12" style="0" width="8"/>
    <col collapsed="false" hidden="false" max="13" min="13" style="0" width="10"/>
    <col collapsed="false" customWidth="true" hidden="false" max="14" min="14" outlineLevel="1" style="0" width="10"/>
    <col collapsed="false" customWidth="true" hidden="false" max="15" min="15" outlineLevel="1" style="0" width="16"/>
    <col collapsed="false" customWidth="true" hidden="false" max="16" min="16" outlineLevel="1" style="0" width="6"/>
    <col collapsed="false" customWidth="true" hidden="false" max="17" min="17" outlineLevel="1" style="0" width="7"/>
    <col collapsed="false" customWidth="true" hidden="false" max="18" min="18" outlineLevel="1" style="0" width="6"/>
    <col collapsed="false" customWidth="true" hidden="false" max="19" min="19" outlineLevel="1" style="0" width="6"/>
    <col collapsed="false" customWidth="true" hidden="false" max="20" min="20" outlineLevel="1" style="0" width="10"/>
    <col collapsed="false" customWidth="true" hidden="false" max="21" min="21" outlineLevel="1" style="0" width="6"/>
    <col collapsed="false" customWidth="true" hidden="false" max="22" min="22" outlineLevel="1" style="0" width="6"/>
    <col collapsed="false" customWidth="true" hidden="false" max="23" min="23" outlineLevel="1" style="0" width="6"/>
    <col collapsed="false" hidden="false" max="24" min="24" style="0" width="6"/>
    <col collapsed="false" customWidth="true" hidden="false" max="25" min="25" outlineLevel="1" style="0" width="6"/>
    <col collapsed="false" customWidth="true" hidden="false" max="26" min="26" outlineLevel="1" style="0" width="8"/>
    <col collapsed="false" customWidth="true" hidden="false" max="27" min="27" outlineLevel="1" style="0" width="17"/>
    <col collapsed="false" customWidth="true" hidden="false" max="28" min="28" outlineLevel="1" style="0" width="4"/>
    <col collapsed="false" customWidth="true" hidden="false" max="29" min="29" outlineLevel="1" style="0" width="6"/>
    <col collapsed="false" customWidth="true" hidden="false" max="30" min="30" outlineLevel="1" style="0" width="4"/>
    <col collapsed="false" customWidth="true" hidden="false" max="31" min="31" outlineLevel="1" style="0" width="4"/>
    <col collapsed="false" customWidth="true" hidden="false" max="32" min="32" outlineLevel="1" style="0" width="8"/>
    <col collapsed="false" customWidth="true" hidden="false" max="33" min="33" outlineLevel="1" style="0" width="12"/>
    <col collapsed="false" customWidth="true" hidden="false" max="34" min="34" outlineLevel="1" style="0" width="10"/>
    <col collapsed="false" customWidth="true" hidden="false" max="35" min="35" outlineLevel="1" style="0" width="10"/>
    <col collapsed="false" customWidth="true" hidden="false" max="36" min="36" outlineLevel="1" style="0" width="6"/>
    <col collapsed="false" customWidth="true" hidden="false" max="37" min="37" outlineLevel="1" style="0" width="1"/>
    <col collapsed="false" customWidth="true" hidden="false" max="38" min="38" outlineLevel="1" style="0" width="8"/>
    <col collapsed="false" customWidth="true" hidden="false" max="39" min="39" outlineLevel="1" style="0" width="16"/>
    <col collapsed="false" customWidth="true" hidden="false" max="40" min="40" outlineLevel="1" style="0" width="6"/>
    <col collapsed="false" customWidth="true" hidden="false" max="41" min="41" outlineLevel="1" style="0" width="6"/>
    <col collapsed="false" customWidth="true" hidden="false" max="42" min="42" outlineLevel="1" style="0" width="1"/>
    <col collapsed="false" customWidth="true" hidden="false" max="43" min="43" outlineLevel="1" style="0" width="8"/>
    <col collapsed="false" customWidth="true" hidden="false" max="44" min="44" outlineLevel="1" style="0" width="3"/>
    <col collapsed="false" customWidth="true" hidden="false" max="45" min="45" outlineLevel="1" style="0" width="29"/>
    <col collapsed="false" customWidth="true" hidden="false" max="46" min="46" style="0" width="2"/>
    <col collapsed="false" customWidth="true" hidden="false" max="47" min="47" style="0" width="10"/>
    <col collapsed="false" customWidth="true" hidden="false" max="48" min="48" style="0" width="16"/>
    <col collapsed="false" customWidth="true" hidden="false" max="49" min="49" style="0" width="6"/>
    <col collapsed="false" customWidth="true" hidden="false" max="50" min="50" style="0" width="7"/>
    <col collapsed="false" customWidth="true" hidden="false" max="51" min="51" style="0" width="6"/>
  </cols>
  <sheetData>
    <row customHeight="true" ht="19" r="1">
      <c r="A1" s="19" t="str">
        <v>面板可见</v>
      </c>
      <c r="B1" s="4" t="str">
        <v>实际参与游戏内功能或数值计算，当数值存在(非空)时，在对应道具的面板可见</v>
      </c>
      <c r="H1" s="17" t="str" xml:space="preserve">
        <v> </v>
      </c>
      <c r="I1" s="17" t="str">
        <v>Item大类</v>
      </c>
      <c r="J1" s="17"/>
      <c r="K1" s="17"/>
      <c r="L1" s="17"/>
      <c r="M1" s="4" t="str" xml:space="preserve">
        <v> </v>
      </c>
      <c r="N1" s="17" t="str">
        <v>武器类型</v>
      </c>
      <c r="O1" s="17"/>
      <c r="P1" s="17">
        <f>"种类" &amp; COUNTIF(Q2:Q100,"&gt;0")</f>
      </c>
      <c r="Q1" s="17">
        <f>"数量" &amp; SUM(Q2:Q100)</f>
      </c>
      <c r="R1" s="17">
        <f>"技能" &amp; SUM(R2:R100)</f>
      </c>
      <c r="S1" s="17" t="str">
        <v>伤害/子弹类型</v>
      </c>
      <c r="T1" s="17"/>
      <c r="U1" s="17"/>
      <c r="V1" s="17">
        <f>SUM(V2:V15)</f>
      </c>
      <c r="W1" s="17" t="str">
        <v>品质</v>
      </c>
      <c r="X1" s="1" t="str" xml:space="preserve">
        <v> </v>
      </c>
      <c r="Y1" s="17" t="str">
        <v>类目</v>
      </c>
      <c r="Z1" s="17" t="str">
        <v>阵营</v>
      </c>
      <c r="AA1" s="17"/>
      <c r="AB1" s="17"/>
      <c r="AC1" s="17"/>
      <c r="AD1" s="17" t="str">
        <v>装备</v>
      </c>
      <c r="AE1" s="17" t="str">
        <v>系列</v>
      </c>
      <c r="AF1" s="18" t="str">
        <v>装备系列</v>
      </c>
      <c r="AG1" s="18" t="str">
        <v>Name</v>
      </c>
      <c r="AH1" s="18" t="str">
        <v>来自阵营</v>
      </c>
      <c r="AI1" s="18" t="str">
        <v>描述</v>
      </c>
      <c r="AJ1" s="18" t="str">
        <v>Count</v>
      </c>
      <c r="AK1" s="17" t="str" xml:space="preserve">
        <v> </v>
      </c>
      <c r="AL1" s="17" t="str">
        <v>义体类型</v>
      </c>
      <c r="AM1" s="17"/>
      <c r="AN1" s="17"/>
      <c r="AO1" s="17">
        <f>SUM(AO3:AO11)</f>
      </c>
      <c r="AP1" s="18" t="str" xml:space="preserve">
        <v> </v>
      </c>
      <c r="AQ1" s="18" t="str">
        <v>效果TAG</v>
      </c>
      <c r="AR1" s="17">
        <f>SUM(AR2:AR100)</f>
      </c>
      <c r="AS1" s="18" t="str">
        <v>描述</v>
      </c>
      <c r="AT1" s="1" t="str" xml:space="preserve">
        <v> </v>
      </c>
      <c r="AU1" s="1" t="str" xml:space="preserve">
        <v> </v>
      </c>
      <c r="AV1" s="17"/>
    </row>
    <row r="2">
      <c r="A2" s="16" t="str">
        <v>特殊显示</v>
      </c>
      <c r="B2" s="4" t="str">
        <v>只显示在特定（比如游戏内wiki）页面的信息</v>
      </c>
      <c r="H2" s="2"/>
      <c r="I2" s="2" t="str">
        <v>WPN</v>
      </c>
      <c r="J2" s="2" t="str">
        <v>Weapon</v>
      </c>
      <c r="K2" s="2" t="str">
        <v>武器</v>
      </c>
      <c r="L2" s="2"/>
      <c r="N2" s="3" t="str">
        <v>手枪</v>
      </c>
      <c r="O2" s="3" t="str">
        <v>Pistol</v>
      </c>
      <c r="P2" s="8" t="str">
        <v>01</v>
      </c>
      <c r="Q2" s="1">
        <f>COUNTIF('武器'!H:H,N2)/6</f>
      </c>
      <c r="R2" s="1">
        <f>COUNTIF('武器技能'!E:E,N2)</f>
      </c>
      <c r="S2" s="3" t="str">
        <v>动能</v>
      </c>
      <c r="T2" s="5" t="str">
        <v>Kinetic</v>
      </c>
      <c r="U2" s="8" t="str">
        <v>01</v>
      </c>
      <c r="V2" s="1">
        <f>COUNTIF('武器'!I:I,S2)</f>
      </c>
      <c r="W2" s="8" t="str">
        <v>01</v>
      </c>
      <c r="X2" s="1"/>
      <c r="Y2" s="1" t="str">
        <v>CYB</v>
      </c>
      <c r="Z2" s="3" t="str">
        <v>纪念碑</v>
      </c>
      <c r="AA2" s="5" t="str">
        <v>Monument</v>
      </c>
      <c r="AB2" s="8" t="str">
        <v>MM</v>
      </c>
      <c r="AC2" s="8" t="str">
        <v>01</v>
      </c>
      <c r="AD2" s="1">
        <f>COUNTIF('义体&amp;义体技能'!E:E,Z2)</f>
      </c>
      <c r="AE2" s="1">
        <f>COUNTIF(AH:AH,Z2)</f>
      </c>
      <c r="AF2" t="str">
        <v>奥德赛</v>
      </c>
      <c r="AG2" t="str">
        <v>Odyssey</v>
      </c>
      <c r="AH2" s="2" t="str">
        <v>纪念碑</v>
      </c>
      <c r="AI2" s="4" t="str">
        <v>用于归纳所有“致敬”类的义体和芯片。</v>
      </c>
      <c r="AJ2" s="1">
        <f>IF(COUNTIF('义体&amp;义体技能'!Z:Z,AF2)=0,"",COUNTIF('义体&amp;义体技能'!Z:Z,AF2))</f>
      </c>
      <c r="AK2" s="4"/>
      <c r="AL2" s="4" t="str">
        <v>行为芯片</v>
      </c>
      <c r="AM2" s="4" t="str">
        <v>Chip</v>
      </c>
      <c r="AN2" s="8" t="str">
        <v>99</v>
      </c>
      <c r="AO2" s="1">
        <f>COUNTIF('义体&amp;义体技能'!F:F,AL2)</f>
      </c>
      <c r="AP2" s="2"/>
      <c r="AQ2" s="3" t="str">
        <v>增伤</v>
      </c>
      <c r="AR2" s="1">
        <f>COUNTIF('义体&amp;义体技能'!AE:AE,AQ2)</f>
      </c>
      <c r="AS2" s="4" t="str">
        <v>增加造成的伤害</v>
      </c>
      <c r="AT2" s="4"/>
      <c r="AU2" s="4" t="str">
        <v>智脑</v>
      </c>
      <c r="AV2" s="4" t="str">
        <v>ExoBrain</v>
      </c>
      <c r="AW2" s="8" t="str">
        <v>00</v>
      </c>
      <c r="AX2" s="1">
        <f>COUNTIF('武器'!H:H,AU2)/6</f>
      </c>
      <c r="AY2" s="1">
        <f>COUNTIF('武器技能'!E:E,AU2)</f>
      </c>
    </row>
    <row r="3">
      <c r="A3" s="22" t="str">
        <v>面板隐藏</v>
      </c>
      <c r="B3" s="4" t="str">
        <v>实际参与游戏内功能或数值计算，在对应道具的面板不可见</v>
      </c>
      <c r="H3" s="2"/>
      <c r="I3" s="4" t="str">
        <v>EOB</v>
      </c>
      <c r="J3" s="4" t="str">
        <v>ExoBrain</v>
      </c>
      <c r="K3" s="4" t="str">
        <v>智脑</v>
      </c>
      <c r="L3" s="2"/>
      <c r="N3" s="3" t="str">
        <v>步枪</v>
      </c>
      <c r="O3" s="3" t="str">
        <v>Rifle</v>
      </c>
      <c r="P3" s="8" t="str">
        <v>02</v>
      </c>
      <c r="Q3" s="1">
        <f>COUNTIF('武器'!H:H,N3)/6</f>
      </c>
      <c r="R3" s="1">
        <f>COUNTIF('武器技能'!E:E,N3)</f>
      </c>
      <c r="S3" s="3" t="str">
        <v>电磁</v>
      </c>
      <c r="T3" s="5" t="str">
        <v>Electrical</v>
      </c>
      <c r="U3" s="8" t="str">
        <v>02</v>
      </c>
      <c r="V3" s="1">
        <f>COUNTIF('武器'!I:I,S3)</f>
      </c>
      <c r="W3" s="8" t="str">
        <v>02</v>
      </c>
      <c r="X3" s="1"/>
      <c r="Y3" s="1"/>
      <c r="Z3" s="3" t="str">
        <v>野望</v>
      </c>
      <c r="AA3" s="5" t="str">
        <v>Wild Watch</v>
      </c>
      <c r="AB3" s="8" t="str">
        <v>WW</v>
      </c>
      <c r="AC3" s="8" t="str">
        <v>02</v>
      </c>
      <c r="AD3" s="1">
        <f>COUNTIF('义体&amp;义体技能'!E:E,Z3)</f>
      </c>
      <c r="AE3" s="1">
        <f>COUNTIF(AH:AH,Z3)</f>
      </c>
      <c r="AF3" t="str">
        <v>公域</v>
      </c>
      <c r="AG3" t="str">
        <v>Public Domain</v>
      </c>
      <c r="AH3" s="2" t="str">
        <v>纪念碑</v>
      </c>
      <c r="AI3" s="4" t="str">
        <v>不提供特殊机制，但按百分比提升所有基础属性（血、攻、防、速）。装备的“公域”系列越多，加成越高。简单的数值美学。</v>
      </c>
      <c r="AJ3" s="1">
        <f>IF(COUNTIF('义体&amp;义体技能'!Z:Z,AF3)=0,"",COUNTIF('义体&amp;义体技能'!Z:Z,AF3))</f>
      </c>
      <c r="AK3" s="3"/>
      <c r="AL3" s="3" t="str">
        <v>主手</v>
      </c>
      <c r="AM3" s="3" t="str">
        <v>MainHand</v>
      </c>
      <c r="AN3" s="8" t="str">
        <v>01</v>
      </c>
      <c r="AO3" s="1">
        <f>COUNTIF('义体&amp;义体技能'!F:F,AL3)</f>
      </c>
      <c r="AP3" s="2"/>
      <c r="AQ3" s="2" t="str">
        <v>减伤</v>
      </c>
      <c r="AR3" s="1">
        <f>COUNTIF('义体&amp;义体技能'!AE:AE,AQ3)</f>
      </c>
      <c r="AS3" s="20" t="str">
        <v>伤害减免、生存强化</v>
      </c>
      <c r="AT3" s="1"/>
      <c r="AU3" s="1"/>
      <c r="AV3" s="1"/>
    </row>
    <row r="4">
      <c r="A4" s="21" t="str">
        <v>仅用于计算</v>
      </c>
      <c r="B4" s="4" t="str">
        <v>不参与实际游戏内功能或数值计算，仅用于在配表时计算数据平衡</v>
      </c>
      <c r="H4" s="2"/>
      <c r="I4" s="2" t="str">
        <v>CYB</v>
      </c>
      <c r="J4" s="2" t="str">
        <v>Cyborg</v>
      </c>
      <c r="K4" s="2" t="str">
        <v>义体</v>
      </c>
      <c r="L4" s="2"/>
      <c r="N4" s="3" t="str">
        <v>冲锋枪</v>
      </c>
      <c r="O4" s="3" t="str">
        <v>Submachine Gun</v>
      </c>
      <c r="P4" s="8" t="str">
        <v>03</v>
      </c>
      <c r="Q4" s="1">
        <f>COUNTIF('武器'!H:H,N4)/6</f>
      </c>
      <c r="R4" s="1">
        <f>COUNTIF('武器技能'!E:E,N4)</f>
      </c>
      <c r="S4" s="3" t="str">
        <v>热能</v>
      </c>
      <c r="T4" s="5" t="str">
        <v>Thermal</v>
      </c>
      <c r="U4" s="8" t="str">
        <v>03</v>
      </c>
      <c r="V4" s="1">
        <f>COUNTIF('武器'!I:I,S4)</f>
      </c>
      <c r="W4" s="8" t="str">
        <v>03</v>
      </c>
      <c r="X4" s="1"/>
      <c r="Y4" s="1"/>
      <c r="Z4" s="3" t="str">
        <v>劳旅</v>
      </c>
      <c r="AA4" s="5" t="str">
        <v>L.Labor</v>
      </c>
      <c r="AB4" s="8" t="str">
        <v>LL</v>
      </c>
      <c r="AC4" s="8" t="str">
        <v>03</v>
      </c>
      <c r="AD4" s="1">
        <f>COUNTIF('义体&amp;义体技能'!E:E,Z4)</f>
      </c>
      <c r="AE4" s="1">
        <f>COUNTIF(AH:AH,Z4)</f>
      </c>
      <c r="AF4" t="str">
        <v>档案馆</v>
      </c>
      <c r="AG4" t="str">
        <v>Archive</v>
      </c>
      <c r="AH4" s="2" t="str">
        <v>纪念碑</v>
      </c>
      <c r="AI4" s="4" t="str">
        <v>在一个关卡内，击杀敌人越多，临时属性提升越高（关卡结束重置）。或者提供额外的经验值/熟练度获取。</v>
      </c>
      <c r="AJ4" s="1">
        <f>IF(COUNTIF('义体&amp;义体技能'!Z:Z,AF4)=0,"",COUNTIF('义体&amp;义体技能'!Z:Z,AF4))</f>
      </c>
      <c r="AK4" s="3"/>
      <c r="AL4" s="3" t="str">
        <v>副手</v>
      </c>
      <c r="AM4" s="3" t="str">
        <v>OffHand</v>
      </c>
      <c r="AN4" s="8" t="str">
        <v>02</v>
      </c>
      <c r="AO4" s="1">
        <f>COUNTIF('义体&amp;义体技能'!F:F,AL4)</f>
      </c>
      <c r="AP4" s="2"/>
      <c r="AQ4" s="2" t="str">
        <v>会心</v>
      </c>
      <c r="AR4" s="1">
        <f>COUNTIF('义体&amp;义体技能'!AE:AE,AQ4)</f>
      </c>
      <c r="AS4" s="20" t="str">
        <v>暴击率、暴击伤害</v>
      </c>
      <c r="AT4" s="1"/>
      <c r="AU4" s="1"/>
      <c r="AV4" s="1"/>
    </row>
    <row r="5">
      <c r="A5" s="12" t="str">
        <v>游戏内不涉及</v>
      </c>
      <c r="B5" s="4" t="str">
        <v>仅涉及项目管理、设计等信息</v>
      </c>
      <c r="H5" s="2"/>
      <c r="I5" s="2" t="str">
        <v>CHP</v>
      </c>
      <c r="J5" s="2" t="str">
        <v>BehaviorChip</v>
      </c>
      <c r="K5" s="2" t="str">
        <v>行为芯片</v>
      </c>
      <c r="L5" s="2"/>
      <c r="N5" s="3" t="str">
        <v>霰弹枪</v>
      </c>
      <c r="O5" s="3" t="str">
        <v>Shotgun</v>
      </c>
      <c r="P5" s="8" t="str">
        <v>04</v>
      </c>
      <c r="Q5" s="1">
        <f>COUNTIF('武器'!H:H,N5)/6</f>
      </c>
      <c r="R5" s="1">
        <f>COUNTIF('武器技能'!E:E,N5)</f>
      </c>
      <c r="S5" s="7" t="str">
        <v>纳米</v>
      </c>
      <c r="T5" s="7" t="str">
        <v>Nano</v>
      </c>
      <c r="U5" s="9" t="str">
        <v>04</v>
      </c>
      <c r="V5" s="1">
        <f>COUNTIF('武器'!I:I,S5)</f>
      </c>
      <c r="W5" s="8" t="str">
        <v>04</v>
      </c>
      <c r="X5" s="1"/>
      <c r="Y5" s="1"/>
      <c r="Z5" s="3" t="str">
        <v>新浦会</v>
      </c>
      <c r="AA5" s="5" t="str">
        <v>Syn Pu</v>
      </c>
      <c r="AB5" s="8" t="str">
        <v>SP</v>
      </c>
      <c r="AC5" s="8" t="str">
        <v>04</v>
      </c>
      <c r="AD5" s="1">
        <f>COUNTIF('义体&amp;义体技能'!E:E,Z5)</f>
      </c>
      <c r="AE5" s="1">
        <f>COUNTIF(AH:AH,Z5)</f>
      </c>
      <c r="AF5" s="2" t="str">
        <v>图灵</v>
      </c>
      <c r="AG5" s="5" t="str">
        <v>Turing</v>
      </c>
      <c r="AH5" s="2" t="str">
        <v>纪念碑</v>
      </c>
      <c r="AI5" s="4" t="str">
        <v>成功“完美闪避”敌人的攻击后，该敌人进入“被看破”状态，受到的下一次伤害翻倍。适合高手“防反流”。</v>
      </c>
      <c r="AJ5" s="1">
        <f>IF(COUNTIF('义体&amp;义体技能'!Z:Z,AF5)=0,"",COUNTIF('义体&amp;义体技能'!Z:Z,AF5))</f>
      </c>
      <c r="AK5" s="10"/>
      <c r="AL5" s="10" t="str">
        <v>腿部</v>
      </c>
      <c r="AM5" s="3" t="str">
        <v>Leg</v>
      </c>
      <c r="AN5" s="8" t="str">
        <v>03</v>
      </c>
      <c r="AO5" s="1">
        <f>COUNTIF('义体&amp;义体技能'!F:F,AL5)</f>
      </c>
      <c r="AP5" s="2"/>
      <c r="AQ5" s="2" t="str">
        <v>DOT</v>
      </c>
      <c r="AR5" s="1">
        <f>COUNTIF('义体&amp;义体技能'!AE:AE,AQ5)</f>
      </c>
      <c r="AS5" s="2" t="str">
        <v>持续伤害</v>
      </c>
      <c r="AT5" s="1"/>
      <c r="AU5" s="1"/>
      <c r="AV5" s="11"/>
    </row>
    <row r="6">
      <c r="H6" s="2"/>
      <c r="I6" s="2" t="str">
        <v>SDA/SDP</v>
      </c>
      <c r="J6" s="2" t="str">
        <v>Spell</v>
      </c>
      <c r="K6" s="2" t="str">
        <v>技能</v>
      </c>
      <c r="L6" s="2"/>
      <c r="N6" s="3" t="str">
        <v>狙击枪</v>
      </c>
      <c r="O6" s="3" t="str">
        <v>Sniper Rifle</v>
      </c>
      <c r="P6" s="8" t="str">
        <v>05</v>
      </c>
      <c r="Q6" s="1">
        <f>COUNTIF('武器'!H:H,N6)/6</f>
      </c>
      <c r="R6" s="1">
        <f>COUNTIF('武器技能'!E:E,N6)</f>
      </c>
      <c r="S6" s="7"/>
      <c r="T6" s="7" t="str">
        <v>Radioactive</v>
      </c>
      <c r="U6" s="9" t="str">
        <v>05</v>
      </c>
      <c r="V6" s="1">
        <f>COUNTIF('武器'!I:I,S6)</f>
      </c>
      <c r="W6" s="8" t="str">
        <v>05</v>
      </c>
      <c r="Y6" s="1"/>
      <c r="Z6" s="3" t="str">
        <v>洛克海德</v>
      </c>
      <c r="AA6" s="3" t="str">
        <v>Lock Header</v>
      </c>
      <c r="AB6" s="1" t="str">
        <v>LH</v>
      </c>
      <c r="AC6" s="8" t="str">
        <v>05</v>
      </c>
      <c r="AD6" s="1">
        <f>COUNTIF('义体&amp;义体技能'!E:E,Z6)</f>
      </c>
      <c r="AE6" s="1">
        <f>COUNTIF(AH:AH,Z6)</f>
      </c>
      <c r="AF6" s="2" t="str">
        <v>泰坦</v>
      </c>
      <c r="AG6" s="5" t="str">
        <v>Titan</v>
      </c>
      <c r="AH6" s="2" t="str">
        <v>纪念碑</v>
      </c>
      <c r="AI6" s="4" t="str">
        <v>缩窄攻击范围，强化所有的直线型攻击（如刺击、激光），增加其射程和判定宽度。</v>
      </c>
      <c r="AJ6" s="1">
        <f>IF(COUNTIF('义体&amp;义体技能'!Z:Z,AF6)=0,"",COUNTIF('义体&amp;义体技能'!Z:Z,AF6))</f>
      </c>
      <c r="AK6" s="3"/>
      <c r="AL6" s="3" t="str">
        <v>皮肤</v>
      </c>
      <c r="AM6" s="3" t="str">
        <v>Skin</v>
      </c>
      <c r="AN6" s="8" t="str">
        <v>04</v>
      </c>
      <c r="AO6" s="1">
        <f>COUNTIF('义体&amp;义体技能'!F:F,AL6)</f>
      </c>
      <c r="AP6" s="2"/>
      <c r="AQ6" s="2" t="str">
        <v>扩散</v>
      </c>
      <c r="AR6" s="1">
        <f>COUNTIF('义体&amp;义体技能'!AE:AE,AQ6)</f>
      </c>
      <c r="AS6" s="2" t="str">
        <v>范围传递、连锁爆炸</v>
      </c>
      <c r="AV6" s="1"/>
    </row>
    <row r="7">
      <c r="A7" s="14" t="str">
        <v>技能序号介绍</v>
      </c>
      <c r="B7" s="4" t="str">
        <v>SKL01010001</v>
      </c>
      <c r="C7" s="4" t="str">
        <v>SKL (技能)</v>
      </c>
      <c r="D7" s="4" t="str">
        <v>01 (主/被动)</v>
      </c>
      <c r="E7" s="4" t="str" xml:space="preserve">
        <v>01 (武器种类/义体部位/智脑释放) </v>
      </c>
      <c r="F7" s="4" t="str">
        <v>01 (技能用途)</v>
      </c>
      <c r="G7" s="4" t="str">
        <v>00 (名称哈希)</v>
      </c>
      <c r="H7" s="2"/>
      <c r="I7" s="2" t="str">
        <v>AMM</v>
      </c>
      <c r="J7" s="2" t="str">
        <v>Ammo</v>
      </c>
      <c r="K7" s="2" t="str">
        <v>弹药</v>
      </c>
      <c r="L7" s="2"/>
      <c r="N7" s="3" t="str">
        <v>喷射器</v>
      </c>
      <c r="O7" s="3" t="str">
        <v>Thrower</v>
      </c>
      <c r="P7" s="8" t="str">
        <v>06</v>
      </c>
      <c r="Q7" s="1">
        <f>COUNTIF('武器'!H:H,N7)/6</f>
      </c>
      <c r="R7" s="1">
        <f>COUNTIF('武器技能'!E:E,N7)</f>
      </c>
      <c r="S7" s="7"/>
      <c r="T7" s="7" t="str">
        <v>Neural</v>
      </c>
      <c r="U7" s="9" t="str">
        <v>06</v>
      </c>
      <c r="V7" s="1">
        <f>COUNTIF('武器'!I:I,S7)</f>
      </c>
      <c r="W7" s="1"/>
      <c r="X7" s="1"/>
      <c r="Y7" s="1"/>
      <c r="Z7" s="3" t="str">
        <v>寰宇</v>
      </c>
      <c r="AA7" s="3" t="str">
        <v>Omniverse</v>
      </c>
      <c r="AB7" s="1" t="str">
        <v>OV</v>
      </c>
      <c r="AC7" s="8" t="str">
        <v>06</v>
      </c>
      <c r="AD7" s="1">
        <f>COUNTIF('义体&amp;义体技能'!E:E,Z7)</f>
      </c>
      <c r="AE7" s="1">
        <f>COUNTIF(AH:AH,Z7)</f>
      </c>
      <c r="AF7" t="str">
        <v>街头小子</v>
      </c>
      <c r="AG7" t="str">
        <v>Street Kid</v>
      </c>
      <c r="AH7" s="2" t="str">
        <v>野望</v>
      </c>
      <c r="AI7" s="2" t="str">
        <v>持有的金钱（或代币）越多，伤害越高。或者击杀敌人掉落更多金钱。适合“贪婪流”运营。</v>
      </c>
      <c r="AJ7" s="1">
        <f>IF(COUNTIF('义体&amp;义体技能'!Z:Z,AF7)=0,"",COUNTIF('义体&amp;义体技能'!Z:Z,AF7))</f>
      </c>
      <c r="AK7" s="3"/>
      <c r="AL7" s="3" t="str">
        <v>骨骼</v>
      </c>
      <c r="AM7" s="3" t="str">
        <v>Bones</v>
      </c>
      <c r="AN7" s="8" t="str">
        <v>05</v>
      </c>
      <c r="AO7" s="1">
        <f>COUNTIF('义体&amp;义体技能'!F:F,AL7)</f>
      </c>
      <c r="AP7" s="2"/>
      <c r="AQ7" s="2" t="str">
        <v>减益</v>
      </c>
      <c r="AR7" s="1">
        <f>COUNTIF('义体&amp;义体技能'!AE:AE,AQ7)</f>
      </c>
      <c r="AS7" s="2" t="str">
        <v>麻痹、易伤、降防等非伤害负面状态</v>
      </c>
      <c r="AT7" s="1"/>
      <c r="AU7" s="1"/>
      <c r="AV7" s="11"/>
    </row>
    <row r="8">
      <c r="A8" s="14" t="str">
        <v>武器序号介绍</v>
      </c>
      <c r="B8" s="3" t="str">
        <v>WPN01010101</v>
      </c>
      <c r="C8" s="3" t="str">
        <v>WPN (武器)</v>
      </c>
      <c r="D8" s="15" t="str">
        <v>01 (阵营)</v>
      </c>
      <c r="E8" s="3" t="str">
        <v>01 (武器种类)</v>
      </c>
      <c r="F8" s="3" t="str">
        <v>01 (伤害类型)</v>
      </c>
      <c r="G8" s="3" t="str">
        <v>01 (品质)</v>
      </c>
      <c r="H8" s="2"/>
      <c r="I8" s="2" t="str">
        <v>BUF</v>
      </c>
      <c r="J8" s="2"/>
      <c r="K8" s="2" t="str">
        <v>BUFF</v>
      </c>
      <c r="L8" s="2"/>
      <c r="N8" s="3" t="str">
        <v>发射器</v>
      </c>
      <c r="O8" s="3" t="str">
        <v>Launcher</v>
      </c>
      <c r="P8" s="8" t="str">
        <v>07</v>
      </c>
      <c r="Q8" s="1">
        <f>COUNTIF('武器'!H:H,N8)/6</f>
      </c>
      <c r="R8" s="1">
        <f>COUNTIF('武器技能'!E:E,N8)</f>
      </c>
      <c r="S8" s="1"/>
      <c r="T8" s="1"/>
      <c r="U8" s="1"/>
      <c r="V8" s="1"/>
      <c r="W8" s="1"/>
      <c r="X8" s="1"/>
      <c r="Y8" s="1"/>
      <c r="Z8" s="3" t="str">
        <v>致远生物</v>
      </c>
      <c r="AA8" s="3" t="str">
        <v>Bio Nexus</v>
      </c>
      <c r="AB8" s="1" t="str">
        <v>BN</v>
      </c>
      <c r="AC8" s="8" t="str">
        <v>07</v>
      </c>
      <c r="AD8" s="1">
        <f>COUNTIF('义体&amp;义体技能'!E:E,Z8)</f>
      </c>
      <c r="AE8" s="1">
        <f>COUNTIF(AH:AH,Z8)</f>
      </c>
      <c r="AF8" t="str">
        <v>夜幕刺客</v>
      </c>
      <c r="AG8" t="str">
        <v>Night Assassin</v>
      </c>
      <c r="AH8" s="2" t="str">
        <v>野望</v>
      </c>
      <c r="AI8" s="2" t="str">
        <v>爆发、暴击、脆皮。极致的玻璃大炮，追求一击必杀，但自身防御极低。</v>
      </c>
      <c r="AJ8" s="1">
        <f>IF(COUNTIF('义体&amp;义体技能'!Z:Z,AF8)=0,"",COUNTIF('义体&amp;义体技能'!Z:Z,AF8))</f>
      </c>
      <c r="AK8" s="13"/>
      <c r="AL8" s="13" t="str">
        <v>肺叶</v>
      </c>
      <c r="AM8" s="13" t="str">
        <v>Lung</v>
      </c>
      <c r="AN8" s="9" t="str">
        <v>06</v>
      </c>
      <c r="AO8" s="1">
        <f>COUNTIF('义体&amp;义体技能'!F:F,AL8)</f>
      </c>
      <c r="AP8" s="2"/>
      <c r="AQ8" s="2" t="str">
        <v>冷却</v>
      </c>
      <c r="AR8" s="1">
        <f>COUNTIF('义体&amp;义体技能'!AE:AE,AQ8)</f>
      </c>
      <c r="AS8" s="2" t="str">
        <v>技能冷却、能量回复</v>
      </c>
      <c r="AT8" s="1"/>
      <c r="AU8" s="1"/>
      <c r="AV8" s="1"/>
    </row>
    <row r="9">
      <c r="A9" s="14" t="str">
        <v>义体序号介绍</v>
      </c>
      <c r="B9" s="4" t="str">
        <v>CYB01010101</v>
      </c>
      <c r="C9" s="4" t="str">
        <v>CYB (义体)</v>
      </c>
      <c r="D9" s="15" t="str">
        <v>01 (阵营)</v>
      </c>
      <c r="E9" s="4" t="str">
        <v>01 (部位)</v>
      </c>
      <c r="F9" s="15" t="str" xml:space="preserve">
        <v>01 (系列) </v>
      </c>
      <c r="G9" s="4" t="str">
        <v>00 (名称哈希)</v>
      </c>
      <c r="H9" s="2"/>
      <c r="I9" s="2" t="str">
        <v>HPT</v>
      </c>
      <c r="J9" s="2"/>
      <c r="K9" s="2" t="str">
        <v>回复道具</v>
      </c>
      <c r="L9" s="2"/>
      <c r="N9" s="3" t="str">
        <v>短刀</v>
      </c>
      <c r="O9" s="3" t="str">
        <v>Kinfe</v>
      </c>
      <c r="P9" s="8" t="str">
        <v>08</v>
      </c>
      <c r="Q9" s="1">
        <f>COUNTIF('武器'!H:H,N9)/6</f>
      </c>
      <c r="R9" s="1">
        <f>COUNTIF('武器技能'!E:E,N9)</f>
      </c>
      <c r="S9" s="1"/>
      <c r="T9" s="1"/>
      <c r="U9" s="1"/>
      <c r="V9" s="1"/>
      <c r="W9" s="1"/>
      <c r="X9" s="1"/>
      <c r="Y9" s="1"/>
      <c r="Z9" s="3" t="str">
        <v>律动智能</v>
      </c>
      <c r="AA9" s="3" t="str">
        <v>Rhythm Intelligence</v>
      </c>
      <c r="AB9" s="1" t="str">
        <v>RI</v>
      </c>
      <c r="AC9" s="8" t="str">
        <v>08</v>
      </c>
      <c r="AD9" s="1">
        <f>COUNTIF('义体&amp;义体技能'!E:E,Z9)</f>
      </c>
      <c r="AE9" s="1">
        <f>COUNTIF(AH:AH,Z9)</f>
      </c>
      <c r="AF9" t="str">
        <v>炼狱</v>
      </c>
      <c r="AG9" t="str">
        <v>Inferno</v>
      </c>
      <c r="AH9" s="2" t="str">
        <v>野望</v>
      </c>
      <c r="AI9" s="2" t="str">
        <v>火焰、爆炸、自伤。大范围的燃烧和爆炸伤害，往往容易误伤自己或队友。</v>
      </c>
      <c r="AJ9" s="1">
        <f>IF(COUNTIF('义体&amp;义体技能'!Z:Z,AF9)=0,"",COUNTIF('义体&amp;义体技能'!Z:Z,AF9))</f>
      </c>
      <c r="AK9" s="7"/>
      <c r="AL9" s="7" t="str">
        <v>眼球</v>
      </c>
      <c r="AM9" s="7" t="str">
        <v>Eye</v>
      </c>
      <c r="AN9" s="9" t="str">
        <v>07</v>
      </c>
      <c r="AO9" s="1">
        <f>COUNTIF('义体&amp;义体技能'!F:F,AL9)</f>
      </c>
      <c r="AP9" s="2"/>
      <c r="AQ9" s="2" t="str">
        <v>增益</v>
      </c>
      <c r="AR9" s="1">
        <f>COUNTIF('义体&amp;义体技能'!AE:AE,AQ9)</f>
      </c>
      <c r="AS9" s="2" t="str">
        <v>攻速叠加、属性成长</v>
      </c>
      <c r="AT9" s="1"/>
      <c r="AU9" s="1"/>
      <c r="AV9" s="1"/>
    </row>
    <row r="10">
      <c r="A10" s="14" t="str">
        <v>智脑序号介绍</v>
      </c>
      <c r="B10" s="4" t="str">
        <v>CYB01010101</v>
      </c>
      <c r="C10" s="4" t="str">
        <v>ITB (智脑)</v>
      </c>
      <c r="D10" s="15" t="str">
        <v>01 (阵营)</v>
      </c>
      <c r="E10" s="4" t="str">
        <v>00 (占位符)</v>
      </c>
      <c r="F10" s="4" t="str">
        <v>00 (占位符)</v>
      </c>
      <c r="G10" s="4" t="str">
        <v>00 (名称哈希)</v>
      </c>
      <c r="H10" s="2"/>
      <c r="I10" s="2" t="str">
        <v>LVL</v>
      </c>
      <c r="J10" s="2"/>
      <c r="K10" s="2" t="str">
        <v>关卡道具</v>
      </c>
      <c r="L10" s="2"/>
      <c r="N10" s="3" t="str">
        <v>长刀</v>
      </c>
      <c r="O10" s="3" t="str">
        <v>Sword</v>
      </c>
      <c r="P10" s="8" t="str">
        <v>09</v>
      </c>
      <c r="Q10" s="1">
        <f>COUNTIF('武器'!H:H,N10)/6</f>
      </c>
      <c r="R10" s="1">
        <f>COUNTIF('武器技能'!E:E,N10)</f>
      </c>
      <c r="S10" s="1"/>
      <c r="T10" s="1"/>
      <c r="U10" s="1"/>
      <c r="V10" s="1"/>
      <c r="W10" s="1"/>
      <c r="X10" s="1"/>
      <c r="Z10" s="4" t="str">
        <v>耶利哥</v>
      </c>
      <c r="AA10" s="4" t="str">
        <v>Jericho</v>
      </c>
      <c r="AB10" s="1" t="str">
        <v>JC</v>
      </c>
      <c r="AC10" s="8" t="str">
        <v>09</v>
      </c>
      <c r="AD10" s="1">
        <f>COUNTIF('义体&amp;义体技能'!E:E,Z10)</f>
      </c>
      <c r="AE10" s="1">
        <f>COUNTIF(AH:AH,Z10)</f>
      </c>
      <c r="AF10" t="str">
        <v>头奖</v>
      </c>
      <c r="AG10" t="str">
        <v>Jackpot</v>
      </c>
      <c r="AH10" s="2" t="str">
        <v>野望</v>
      </c>
      <c r="AI10" s="2" t="str">
        <v>随机性、赌博、暴富。攻击伤害浮动巨大，或有几率造成特殊的“幸运一击”（如秒杀小怪或掉落翻倍）。</v>
      </c>
      <c r="AJ10" s="1">
        <f>IF(COUNTIF('义体&amp;义体技能'!Z:Z,AF10)=0,"",COUNTIF('义体&amp;义体技能'!Z:Z,AF10))</f>
      </c>
      <c r="AK10" s="23"/>
      <c r="AL10" s="23" t="str">
        <v>心脏</v>
      </c>
      <c r="AM10" s="7" t="str">
        <v>Heart</v>
      </c>
      <c r="AN10" s="9" t="str">
        <v>08</v>
      </c>
      <c r="AO10" s="1">
        <f>COUNTIF('义体&amp;义体技能'!F:F,AL10)</f>
      </c>
      <c r="AP10" s="2"/>
      <c r="AQ10" s="2" t="str">
        <v>控制</v>
      </c>
      <c r="AR10" s="1">
        <f>COUNTIF('义体&amp;义体技能'!AE:AE,AQ10)</f>
      </c>
      <c r="AS10" s="2" t="str">
        <v>击倒、眩晕、硬直</v>
      </c>
      <c r="AT10" s="1"/>
      <c r="AU10" s="1"/>
    </row>
    <row r="11">
      <c r="H11" s="1"/>
      <c r="I11" s="2" t="str">
        <v>STY</v>
      </c>
      <c r="J11" s="2"/>
      <c r="K11" s="2" t="str">
        <v>剧情道具</v>
      </c>
      <c r="L11" s="1"/>
      <c r="N11" s="3" t="str">
        <v>武士刀</v>
      </c>
      <c r="O11" s="3" t="str">
        <v>Katana</v>
      </c>
      <c r="P11" s="8" t="str">
        <v>10</v>
      </c>
      <c r="Q11" s="1">
        <f>COUNTIF('武器'!H:H,N11)/6</f>
      </c>
      <c r="R11" s="1">
        <f>COUNTIF('武器技能'!E:E,N11)</f>
      </c>
      <c r="S11" s="1"/>
      <c r="T11" s="1"/>
      <c r="U11" s="1"/>
      <c r="V11" s="1"/>
      <c r="W11" s="1"/>
      <c r="X11" s="1"/>
      <c r="Y11" s="1"/>
      <c r="Z11" s="3" t="str">
        <v>东海工业</v>
      </c>
      <c r="AA11" s="3" t="str">
        <v>Donghai Industry</v>
      </c>
      <c r="AB11" s="1" t="str">
        <v>DH</v>
      </c>
      <c r="AC11" s="8" t="str">
        <v>10</v>
      </c>
      <c r="AD11" s="1">
        <f>COUNTIF('义体&amp;义体技能'!E:E,Z11)</f>
      </c>
      <c r="AE11" s="1">
        <f>COUNTIF(AH:AH,Z11)</f>
      </c>
      <c r="AF11" t="str">
        <v>废土</v>
      </c>
      <c r="AG11" t="str">
        <v>Wasteland</v>
      </c>
      <c r="AH11" s="2" t="str">
        <v>野望</v>
      </c>
      <c r="AI11" s="6" t="str">
        <v>霸体 + 反伤的“刺猬流”被动输出。</v>
      </c>
      <c r="AJ11" s="1">
        <f>IF(COUNTIF('义体&amp;义体技能'!Z:Z,AF11)=0,"",COUNTIF('义体&amp;义体技能'!Z:Z,AF11))</f>
      </c>
      <c r="AK11" s="7"/>
      <c r="AL11" s="7" t="str">
        <v>内脑</v>
      </c>
      <c r="AM11" s="7" t="str">
        <v>InnerBrain</v>
      </c>
      <c r="AN11" s="9" t="str">
        <v>09</v>
      </c>
      <c r="AO11" s="1">
        <f>COUNTIF('义体&amp;义体技能'!F:F,AL11)</f>
      </c>
      <c r="AP11" s="2"/>
      <c r="AQ11" s="2" t="str">
        <v>体力</v>
      </c>
      <c r="AR11" s="1">
        <f>COUNTIF('义体&amp;义体技能'!AE:AE,AQ11)</f>
      </c>
      <c r="AS11" s="2" t="str">
        <v>体力消耗、恢复</v>
      </c>
      <c r="AT11" s="1"/>
      <c r="AU11" s="1"/>
    </row>
    <row r="12">
      <c r="N12" s="3" t="str">
        <v>巨剑</v>
      </c>
      <c r="O12" s="3" t="str">
        <v>Great Sword</v>
      </c>
      <c r="P12" s="8" t="str">
        <v>11</v>
      </c>
      <c r="Q12" s="1">
        <f>COUNTIF('武器'!H:H,N12)/6</f>
      </c>
      <c r="R12" s="1">
        <f>COUNTIF('武器技能'!E:E,N12)</f>
      </c>
      <c r="S12" s="1"/>
      <c r="X12" s="1"/>
      <c r="Y12" s="1"/>
      <c r="Z12" s="3"/>
      <c r="AA12" s="3"/>
      <c r="AB12" s="1"/>
      <c r="AC12" s="1"/>
      <c r="AE12" s="1"/>
      <c r="AF12" s="2" t="str">
        <v>劳工</v>
      </c>
      <c r="AG12" s="2" t="str">
        <v>Workforce</v>
      </c>
      <c r="AH12" s="2" t="str">
        <v>劳旅</v>
      </c>
      <c r="AI12" s="2" t="str">
        <v>负重、耐力、持续作业。基础工业外骨骼，增加耐力条上限、恢复效率和武器、装备的使用效率。</v>
      </c>
      <c r="AJ12" s="1">
        <f>IF(COUNTIF('义体&amp;义体技能'!Z:Z,AF12)=0,"",COUNTIF('义体&amp;义体技能'!Z:Z,AF12))</f>
      </c>
      <c r="AP12" s="2"/>
      <c r="AQ12" s="2" t="str">
        <v>潜行</v>
      </c>
      <c r="AR12" s="1">
        <f>COUNTIF('义体&amp;义体技能'!AE:AE,AQ12)</f>
      </c>
      <c r="AS12" s="2" t="str">
        <v>潜行、光学迷彩</v>
      </c>
      <c r="AT12" s="1"/>
      <c r="AU12" s="1"/>
    </row>
    <row r="13">
      <c r="N13" s="3" t="str">
        <v>锤</v>
      </c>
      <c r="O13" s="3" t="str">
        <v>Hammer</v>
      </c>
      <c r="P13" s="8" t="str">
        <v>12</v>
      </c>
      <c r="Q13" s="1">
        <f>COUNTIF('武器'!H:H,N13)/6</f>
      </c>
      <c r="R13" s="1">
        <f>COUNTIF('武器技能'!E:E,N13)</f>
      </c>
      <c r="S13" s="1"/>
      <c r="Z13" s="3"/>
      <c r="AA13" s="3"/>
      <c r="AB13" s="1"/>
      <c r="AE13" s="1"/>
      <c r="AF13" s="2" t="str">
        <v>强袭</v>
      </c>
      <c r="AG13" s="2" t="str">
        <v>Strike</v>
      </c>
      <c r="AH13" s="2" t="str">
        <v>劳旅</v>
      </c>
      <c r="AI13" s="6" t="str">
        <v>大幅提升攻击的“削韧值”（打出敌人硬直的能力）。对已被击晕/倒地的敌人造成巨额额外伤害。</v>
      </c>
      <c r="AJ13" s="1">
        <f>IF(COUNTIF('义体&amp;义体技能'!Z:Z,AF13)=0,"",COUNTIF('义体&amp;义体技能'!Z:Z,AF13))</f>
      </c>
      <c r="AP13" s="2"/>
      <c r="AQ13" s="2" t="str">
        <v>反伤</v>
      </c>
      <c r="AR13" s="1">
        <f>COUNTIF('义体&amp;义体技能'!AE:AE,AQ13)</f>
      </c>
      <c r="AS13" s="2" t="str">
        <v>受击触发反击、能量脉冲</v>
      </c>
    </row>
    <row r="14">
      <c r="N14" s="3" t="str">
        <v>巨锤</v>
      </c>
      <c r="O14" s="3" t="str">
        <v>Great Hammer</v>
      </c>
      <c r="P14" s="8" t="str">
        <v>13</v>
      </c>
      <c r="Q14" s="1">
        <f>COUNTIF('武器'!H:H,N14)/6</f>
      </c>
      <c r="R14" s="1">
        <f>COUNTIF('武器技能'!E:E,N14)</f>
      </c>
      <c r="S14" s="1"/>
      <c r="Z14" s="3"/>
      <c r="AA14" s="3"/>
      <c r="AB14" s="1"/>
      <c r="AE14" s="1"/>
      <c r="AF14" s="2" t="str">
        <v>爆破组</v>
      </c>
      <c r="AG14" s="2" t="str">
        <v>Demolition</v>
      </c>
      <c r="AH14" s="2" t="str">
        <v>劳旅</v>
      </c>
      <c r="AI14" s="2" t="str">
        <v>定点爆破、陷阱、破坏环境。基于矿业炸药改装，擅长埋设地雷或炸开墙壁/掩体。</v>
      </c>
      <c r="AJ14" s="1">
        <f>IF(COUNTIF('义体&amp;义体技能'!Z:Z,AF14)=0,"",COUNTIF('义体&amp;义体技能'!Z:Z,AF14))</f>
      </c>
      <c r="AP14" s="2"/>
      <c r="AQ14" s="2" t="str">
        <v>随机性</v>
      </c>
      <c r="AR14" s="1">
        <f>COUNTIF('义体&amp;义体技能'!AE:AE,AQ14)</f>
      </c>
      <c r="AS14" s="2" t="str">
        <v>概率触发、超载风险</v>
      </c>
    </row>
    <row r="15">
      <c r="N15" s="3" t="str">
        <v>拳套</v>
      </c>
      <c r="O15" s="3" t="str">
        <v>Kuckles</v>
      </c>
      <c r="P15" s="8" t="str">
        <v>14</v>
      </c>
      <c r="Q15" s="1">
        <f>COUNTIF('武器'!H:H,N15)/6</f>
      </c>
      <c r="R15" s="1">
        <f>COUNTIF('武器技能'!E:E,N15)</f>
      </c>
      <c r="S15" s="1"/>
      <c r="Z15" s="3"/>
      <c r="AA15" s="3"/>
      <c r="AB15" s="1"/>
      <c r="AE15" s="1"/>
      <c r="AF15" s="2" t="str">
        <v>重构</v>
      </c>
      <c r="AG15" s="2" t="str">
        <v>Reconstruct</v>
      </c>
      <c r="AH15" s="2" t="str">
        <v>劳旅</v>
      </c>
      <c r="AI15" s="2" t="str">
        <v>建造、修理、炮塔。搭建临时掩体或维修友方机械单位。</v>
      </c>
      <c r="AJ15" s="1">
        <f>IF(COUNTIF('义体&amp;义体技能'!Z:Z,AF15)=0,"",COUNTIF('义体&amp;义体技能'!Z:Z,AF15))</f>
      </c>
      <c r="AP15" s="2"/>
      <c r="AQ15" s="2" t="str">
        <v>射程</v>
      </c>
      <c r="AR15" s="1">
        <f>COUNTIF('义体&amp;义体技能'!AE:AE,AQ15)</f>
      </c>
      <c r="AS15" s="2" t="str">
        <v>远程精准、有效距离</v>
      </c>
    </row>
    <row r="16">
      <c r="N16" s="4" t="str">
        <v>弓</v>
      </c>
      <c r="O16" s="4" t="str">
        <v>Bow</v>
      </c>
      <c r="P16" s="8" t="str">
        <v>15</v>
      </c>
      <c r="Q16" s="1">
        <f>COUNTIF('武器'!H:H,N16)/6</f>
      </c>
      <c r="R16" s="1">
        <f>COUNTIF('武器技能'!E:E,N16)</f>
      </c>
      <c r="Z16" s="3"/>
      <c r="AA16" s="3"/>
      <c r="AB16" s="1"/>
      <c r="AE16" s="1"/>
      <c r="AF16" s="2" t="str">
        <v>液压</v>
      </c>
      <c r="AG16" s="2" t="str">
        <v>Hydraulic</v>
      </c>
      <c r="AH16" s="2" t="str">
        <v>劳旅</v>
      </c>
      <c r="AI16" s="2" t="str">
        <v>蓄力、极高单发伤害。利用液压系统进行超强力的蓄力攻击，机动性差但威力惊人。</v>
      </c>
      <c r="AJ16" s="1">
        <f>IF(COUNTIF('义体&amp;义体技能'!Z:Z,AF16)=0,"",COUNTIF('义体&amp;义体技能'!Z:Z,AF16))</f>
      </c>
      <c r="AP16" s="2"/>
      <c r="AQ16" s="2" t="str">
        <v>位移</v>
      </c>
      <c r="AR16" s="1">
        <f>COUNTIF('义体&amp;义体技能'!AE:AE,AQ16)</f>
      </c>
      <c r="AS16" s="2" t="str">
        <v>冲刺、翻滚、穿透</v>
      </c>
    </row>
    <row r="17">
      <c r="N17" s="4" t="str">
        <v>特殊</v>
      </c>
      <c r="O17" s="4" t="str">
        <v>Special</v>
      </c>
      <c r="P17" s="1">
        <v>16</v>
      </c>
      <c r="Q17" s="1">
        <f>COUNTIF('武器'!H:H,N17)/6</f>
      </c>
      <c r="R17" s="1">
        <f>COUNTIF('武器技能'!E:E,N17)</f>
      </c>
      <c r="S17" s="1"/>
      <c r="Z17" s="3"/>
      <c r="AA17" s="3"/>
      <c r="AB17" s="1"/>
      <c r="AE17" s="1"/>
      <c r="AF17" s="2" t="str">
        <v>小巷手艺</v>
      </c>
      <c r="AG17" s="5" t="str">
        <v>Traceless</v>
      </c>
      <c r="AH17" s="2" t="str">
        <v>新浦会</v>
      </c>
      <c r="AI17" s="2" t="str">
        <v>潜行、高机动、消音。不仅提供隐身能力，还能在移动中规避伤害，适合刺客流。</v>
      </c>
      <c r="AJ17" s="1">
        <f>IF(COUNTIF('义体&amp;义体技能'!Z:Z,AF17)=0,"",COUNTIF('义体&amp;义体技能'!Z:Z,AF17))</f>
      </c>
      <c r="AP17" s="2"/>
      <c r="AQ17" s="2" t="str">
        <v>经济</v>
      </c>
      <c r="AR17" s="1">
        <f>COUNTIF('义体&amp;义体技能'!AE:AE,AQ17)</f>
      </c>
      <c r="AS17" s="2" t="str">
        <v>折扣、资源获取优化</v>
      </c>
    </row>
    <row r="18">
      <c r="S18" s="1"/>
      <c r="Z18" s="3"/>
      <c r="AA18" s="3"/>
      <c r="AB18" s="1"/>
      <c r="AE18" s="1"/>
      <c r="AF18" s="2" t="str">
        <v>踏雪无痕</v>
      </c>
      <c r="AG18" s="5" t="str">
        <v>Alleycraft</v>
      </c>
      <c r="AH18" s="2" t="str">
        <v>新浦会</v>
      </c>
      <c r="AI18" s="2" t="str">
        <v>处决、背刺、流血。</v>
      </c>
      <c r="AJ18" s="1">
        <f>IF(COUNTIF('义体&amp;义体技能'!Z:Z,AF18)=0,"",COUNTIF('义体&amp;义体技能'!Z:Z,AF18))</f>
      </c>
      <c r="AP18" s="2"/>
      <c r="AQ18" s="4" t="str">
        <v>攻速</v>
      </c>
      <c r="AR18" s="1">
        <f>COUNTIF('义体&amp;义体技能'!AE:AE,AQ18)</f>
      </c>
      <c r="AS18" s="4" t="str">
        <v>攻击速度相关</v>
      </c>
    </row>
    <row r="19">
      <c r="B19" s="3"/>
      <c r="M19" s="1"/>
      <c r="R19" s="1"/>
      <c r="Z19" s="3"/>
      <c r="AA19" s="3"/>
      <c r="AB19" s="1"/>
      <c r="AE19" s="1"/>
      <c r="AF19" s="4" t="str">
        <v>龙头</v>
      </c>
      <c r="AG19" t="str">
        <v>Dragon Head</v>
      </c>
      <c r="AH19" s="2" t="str">
        <v>新浦会</v>
      </c>
      <c r="AI19" s="6" t="str">
        <v>周围的敌人攻击力降低、受到的伤害增加。适合喜欢冲入敌群站桩输出的近战Build。</v>
      </c>
      <c r="AJ19" s="1">
        <f>IF(COUNTIF('义体&amp;义体技能'!Z:Z,AF19)=0,"",COUNTIF('义体&amp;义体技能'!Z:Z,AF19))</f>
      </c>
      <c r="AP19" s="2"/>
      <c r="AQ19" s="4" t="str">
        <v>切换</v>
      </c>
      <c r="AR19" s="1">
        <f>COUNTIF('义体&amp;义体技能'!AE:AE,AQ19)</f>
      </c>
      <c r="AS19" s="4" t="str">
        <v>武器切换相关</v>
      </c>
    </row>
    <row r="20">
      <c r="R20" s="1"/>
      <c r="Z20" s="3"/>
      <c r="AA20" s="3"/>
      <c r="AB20" s="1"/>
      <c r="AE20" s="1"/>
      <c r="AF20" s="4" t="str">
        <v>夜宴</v>
      </c>
      <c r="AG20" t="str">
        <v>Banquet</v>
      </c>
      <c r="AH20" s="2" t="str">
        <v>新浦会</v>
      </c>
      <c r="AI20" s="2" t="str">
        <v>恢复、增益、投掷。通过特殊的“食物”或药物提供临时Buff，或投掷燃烧瓶/毒酒。</v>
      </c>
      <c r="AJ20" s="1">
        <f>IF(COUNTIF('义体&amp;义体技能'!Z:Z,AF20)=0,"",COUNTIF('义体&amp;义体技能'!Z:Z,AF20))</f>
      </c>
      <c r="AP20" s="2"/>
    </row>
    <row r="21">
      <c r="R21" s="1"/>
      <c r="Z21" s="3"/>
      <c r="AA21" s="3"/>
      <c r="AB21" s="1"/>
      <c r="AE21" s="1"/>
      <c r="AF21" s="4" t="str">
        <v>清道夫</v>
      </c>
      <c r="AG21" t="str">
        <v>Cleaner</v>
      </c>
      <c r="AH21" s="2" t="str">
        <v>新浦会</v>
      </c>
      <c r="AI21" s="2" t="str">
        <v>尸体利用、战后处理。击杀敌人后获得额外收益，或利用尸体制造陷阱/障碍。</v>
      </c>
      <c r="AJ21" s="1">
        <f>IF(COUNTIF('义体&amp;义体技能'!Z:Z,AF21)=0,"",COUNTIF('义体&amp;义体技能'!Z:Z,AF21))</f>
      </c>
      <c r="AN21" s="1"/>
      <c r="AP21" s="2"/>
    </row>
    <row r="22">
      <c r="H22" s="1"/>
      <c r="I22" s="1"/>
      <c r="J22" s="1"/>
      <c r="K22" s="1"/>
      <c r="L22" s="1"/>
      <c r="N22" s="1"/>
      <c r="O22" s="1"/>
      <c r="P22" s="1"/>
      <c r="Q22" s="1"/>
      <c r="R22" s="1"/>
      <c r="S22" s="1"/>
      <c r="T22" s="1"/>
      <c r="U22" s="1"/>
      <c r="V22" s="1"/>
      <c r="W22" s="1"/>
      <c r="X22" s="1"/>
      <c r="Y22" s="1"/>
      <c r="Z22" s="3"/>
      <c r="AA22" s="3"/>
      <c r="AB22" s="1"/>
      <c r="AC22" s="1"/>
      <c r="AD22" s="1"/>
      <c r="AE22" s="1"/>
      <c r="AF22" s="2" t="str">
        <v>私人武装</v>
      </c>
      <c r="AG22" s="5" t="str">
        <v>PMC Issue</v>
      </c>
      <c r="AH22" s="2" t="str">
        <v>洛克海德</v>
      </c>
      <c r="AI22" s="2" t="str">
        <v>连续命中同一敌人时，伤害逐次提升（可叠加层数）。一旦未命中则层数清零。鼓励高精准度的持续输出。</v>
      </c>
      <c r="AJ22" s="1">
        <f>IF(COUNTIF('义体&amp;义体技能'!Z:Z,AF22)=0,"",COUNTIF('义体&amp;义体技能'!Z:Z,AF22))</f>
      </c>
      <c r="AK22" s="1"/>
      <c r="AL22" s="1"/>
      <c r="AM22" s="1"/>
      <c r="AN22" s="1"/>
      <c r="AO22" s="1"/>
      <c r="AP22" s="2"/>
      <c r="AT22" s="1"/>
      <c r="AU22" s="1"/>
    </row>
    <row r="23">
      <c r="H23" s="1"/>
      <c r="I23" s="1"/>
      <c r="J23" s="1"/>
      <c r="K23" s="1"/>
      <c r="L23" s="1"/>
      <c r="N23" s="1"/>
      <c r="O23" s="1"/>
      <c r="P23" s="1"/>
      <c r="Q23" s="1"/>
      <c r="R23" s="1"/>
      <c r="S23" s="1"/>
      <c r="T23" s="1"/>
      <c r="U23" s="1"/>
      <c r="V23" s="1"/>
      <c r="W23" s="1"/>
      <c r="X23" s="1"/>
      <c r="Y23" s="1"/>
      <c r="Z23" s="3"/>
      <c r="AA23" s="3"/>
      <c r="AB23" s="1"/>
      <c r="AC23" s="1"/>
      <c r="AD23" s="1"/>
      <c r="AE23" s="1"/>
      <c r="AF23" s="2" t="str">
        <v>风暴</v>
      </c>
      <c r="AG23" s="5" t="str">
        <v>Huracan</v>
      </c>
      <c r="AH23" s="2" t="str">
        <v>洛克海德</v>
      </c>
      <c r="AI23" s="2" t="str">
        <v>自动“标记”血量最高的敌人，对标记目标造成的伤害提升或者尝试造成额外伤害判定。专攻精英怪和BOSS。</v>
      </c>
      <c r="AJ23" s="1">
        <f>IF(COUNTIF('义体&amp;义体技能'!Z:Z,AF23)=0,"",COUNTIF('义体&amp;义体技能'!Z:Z,AF23))</f>
      </c>
      <c r="AK23" s="1"/>
      <c r="AL23" s="1"/>
      <c r="AM23" s="1"/>
      <c r="AN23" s="1"/>
      <c r="AO23" s="1"/>
      <c r="AP23" s="2"/>
      <c r="AT23" s="1"/>
      <c r="AU23" s="1"/>
    </row>
    <row r="24">
      <c r="H24" s="1"/>
      <c r="I24" s="1"/>
      <c r="J24" s="1"/>
      <c r="K24" s="1"/>
      <c r="L24" s="1"/>
      <c r="N24" s="1"/>
      <c r="O24" s="1"/>
      <c r="P24" s="1"/>
      <c r="Q24" s="1"/>
      <c r="R24" s="1"/>
      <c r="S24" s="1"/>
      <c r="T24" s="1"/>
      <c r="U24" s="1"/>
      <c r="V24" s="1"/>
      <c r="W24" s="1"/>
      <c r="X24" s="1"/>
      <c r="Y24" s="1"/>
      <c r="Z24" s="3"/>
      <c r="AA24" s="3"/>
      <c r="AB24" s="1"/>
      <c r="AC24" s="1"/>
      <c r="AD24" s="1"/>
      <c r="AE24" s="1"/>
      <c r="AF24" s="2" t="str">
        <v>先锋</v>
      </c>
      <c r="AG24" s="5" t="str">
        <v>Vanguard</v>
      </c>
      <c r="AH24" s="2" t="str">
        <v>洛克海德</v>
      </c>
      <c r="AI24" s="2" t="str">
        <v>向着敌人移动或冲刺时，受到的伤害大幅降低。冲刺结束时会对面前敌人造成击退。适合近战突脸。</v>
      </c>
      <c r="AJ24" s="1">
        <f>IF(COUNTIF('义体&amp;义体技能'!Z:Z,AF24)=0,"",COUNTIF('义体&amp;义体技能'!Z:Z,AF24))</f>
      </c>
      <c r="AK24" s="1"/>
      <c r="AL24" s="1"/>
      <c r="AM24" s="1"/>
      <c r="AN24" s="1"/>
      <c r="AO24" s="1"/>
      <c r="AP24" s="2"/>
      <c r="AT24" s="1"/>
      <c r="AU24" s="1"/>
    </row>
    <row r="25">
      <c r="H25" s="1"/>
      <c r="I25" s="1"/>
      <c r="J25" s="1"/>
      <c r="K25" s="1"/>
      <c r="L25" s="1"/>
      <c r="N25" s="1"/>
      <c r="O25" s="1"/>
      <c r="P25" s="1"/>
      <c r="Q25" s="1"/>
      <c r="R25" s="1"/>
      <c r="S25" s="1"/>
      <c r="T25" s="1"/>
      <c r="U25" s="1"/>
      <c r="V25" s="1"/>
      <c r="W25" s="1"/>
      <c r="X25" s="1"/>
      <c r="Y25" s="1"/>
      <c r="Z25" s="3"/>
      <c r="AA25" s="3"/>
      <c r="AB25" s="1"/>
      <c r="AC25" s="1"/>
      <c r="AD25" s="1"/>
      <c r="AE25" s="1"/>
      <c r="AF25" t="str">
        <v>重装</v>
      </c>
      <c r="AG25" t="str">
        <v>Heavy Duty</v>
      </c>
      <c r="AH25" s="2" t="str">
        <v>洛克海德</v>
      </c>
      <c r="AI25" s="2" t="str">
        <v>原地站立不动时，攻速和射速随时间提升。移动会重置加成。适合“炮台流”玩法。</v>
      </c>
      <c r="AJ25" s="1">
        <f>IF(COUNTIF('义体&amp;义体技能'!Z:Z,AF25)=0,"",COUNTIF('义体&amp;义体技能'!Z:Z,AF25))</f>
      </c>
      <c r="AK25" s="1"/>
      <c r="AL25" s="1"/>
      <c r="AM25" s="1"/>
      <c r="AN25" s="1"/>
      <c r="AO25" s="1"/>
      <c r="AP25" s="2"/>
      <c r="AT25" s="1"/>
      <c r="AU25" s="1"/>
    </row>
    <row r="26">
      <c r="H26" s="1"/>
      <c r="I26" s="1"/>
      <c r="J26" s="1"/>
      <c r="K26" s="1"/>
      <c r="L26" s="1"/>
      <c r="N26" s="1"/>
      <c r="O26" s="1"/>
      <c r="P26" s="1"/>
      <c r="Q26" s="1"/>
      <c r="R26" s="1"/>
      <c r="S26" s="1"/>
      <c r="T26" s="1"/>
      <c r="U26" s="1"/>
      <c r="V26" s="1"/>
      <c r="W26" s="1"/>
      <c r="X26" s="1"/>
      <c r="Y26" s="1"/>
      <c r="Z26" s="3"/>
      <c r="AA26" s="3"/>
      <c r="AB26" s="1"/>
      <c r="AC26" s="1"/>
      <c r="AD26" s="1"/>
      <c r="AE26" s="1"/>
      <c r="AF26" t="str">
        <v>维和</v>
      </c>
      <c r="AG26" t="str">
        <v>Peacekeeper</v>
      </c>
      <c r="AH26" s="2" t="str">
        <v>洛克海德</v>
      </c>
      <c r="AI26" s="2" t="str">
        <v>生命值低时，自动触发回血或无敌效果（有冷却）。减少异常状态的持续时间。万金油生存系列。</v>
      </c>
      <c r="AJ26" s="1">
        <f>IF(COUNTIF('义体&amp;义体技能'!Z:Z,AF26)=0,"",COUNTIF('义体&amp;义体技能'!Z:Z,AF26))</f>
      </c>
      <c r="AK26" s="1"/>
      <c r="AL26" s="1"/>
      <c r="AM26" s="1"/>
      <c r="AN26" s="1"/>
      <c r="AO26" s="1"/>
      <c r="AP26" s="2"/>
      <c r="AT26" s="1"/>
      <c r="AU26" s="1"/>
    </row>
    <row r="27">
      <c r="H27" s="1"/>
      <c r="I27" s="1"/>
      <c r="J27" s="1"/>
      <c r="K27" s="1"/>
      <c r="L27" s="1"/>
      <c r="N27" s="1"/>
      <c r="O27" s="1"/>
      <c r="P27" s="1"/>
      <c r="Q27" s="1"/>
      <c r="R27" s="1"/>
      <c r="S27" s="1"/>
      <c r="T27" s="1"/>
      <c r="U27" s="1"/>
      <c r="V27" s="1"/>
      <c r="W27" s="1"/>
      <c r="X27" s="1"/>
      <c r="Y27" s="1"/>
      <c r="Z27" s="3"/>
      <c r="AA27" s="3"/>
      <c r="AB27" s="1"/>
      <c r="AC27" s="1"/>
      <c r="AD27" s="1"/>
      <c r="AE27" s="1"/>
      <c r="AF27" s="2" t="str">
        <v>链接者</v>
      </c>
      <c r="AG27" s="5" t="str">
        <v>Linker</v>
      </c>
      <c r="AH27" s="2" t="str">
        <v>寰宇</v>
      </c>
      <c r="AI27" s="2" t="str">
        <v>伤害传递、群体株连。通过在敌人间建立数据链接，让单体攻击变为群体毁灭。</v>
      </c>
      <c r="AJ27" s="1">
        <f>IF(COUNTIF('义体&amp;义体技能'!Z:Z,AF27)=0,"",COUNTIF('义体&amp;义体技能'!Z:Z,AF27))</f>
      </c>
      <c r="AK27" s="1"/>
      <c r="AL27" s="1"/>
      <c r="AM27" s="1"/>
      <c r="AN27" s="1"/>
      <c r="AO27" s="1"/>
      <c r="AP27" s="2"/>
      <c r="AT27" s="1"/>
      <c r="AU27" s="1"/>
    </row>
    <row r="28">
      <c r="H28" s="1"/>
      <c r="I28" s="1"/>
      <c r="J28" s="1"/>
      <c r="K28" s="1"/>
      <c r="L28" s="1"/>
      <c r="N28" s="1"/>
      <c r="O28" s="1"/>
      <c r="P28" s="1"/>
      <c r="Q28" s="1"/>
      <c r="R28" s="1"/>
      <c r="S28" s="1"/>
      <c r="T28" s="1"/>
      <c r="U28" s="1"/>
      <c r="V28" s="1"/>
      <c r="W28" s="1"/>
      <c r="X28" s="1"/>
      <c r="Y28" s="1"/>
      <c r="Z28" s="3"/>
      <c r="AA28" s="3"/>
      <c r="AB28" s="1"/>
      <c r="AC28" s="1"/>
      <c r="AD28" s="1"/>
      <c r="AE28" s="1"/>
      <c r="AF28" s="2" t="str">
        <v>防火墙</v>
      </c>
      <c r="AG28" s="5" t="str">
        <v>Faraday Cage</v>
      </c>
      <c r="AH28" s="2" t="str">
        <v>寰宇</v>
      </c>
      <c r="AI28" s="2" t="str">
        <v>提供一层可再生的“能量护盾”（独立于血量）。护盾存在时，受击会向周围释放冲击波反弹伤害。适合“护盾流”或容错率较高的Build。</v>
      </c>
      <c r="AJ28" s="1">
        <f>IF(COUNTIF('义体&amp;义体技能'!Z:Z,AF28)=0,"",COUNTIF('义体&amp;义体技能'!Z:Z,AF28))</f>
      </c>
      <c r="AK28" s="1"/>
      <c r="AL28" s="1"/>
      <c r="AM28" s="1"/>
      <c r="AN28" s="1"/>
      <c r="AO28" s="1"/>
      <c r="AP28" s="2"/>
      <c r="AT28" s="1"/>
      <c r="AU28" s="1"/>
    </row>
    <row r="29">
      <c r="H29" s="1"/>
      <c r="I29" s="1"/>
      <c r="J29" s="1"/>
      <c r="K29" s="1"/>
      <c r="L29" s="1"/>
      <c r="N29" s="1"/>
      <c r="O29" s="1"/>
      <c r="P29" s="1"/>
      <c r="Q29" s="1"/>
      <c r="R29" s="1"/>
      <c r="S29" s="1"/>
      <c r="T29" s="1"/>
      <c r="U29" s="1"/>
      <c r="V29" s="1"/>
      <c r="W29" s="1"/>
      <c r="X29" s="1"/>
      <c r="Y29" s="1"/>
      <c r="Z29" s="3"/>
      <c r="AA29" s="3"/>
      <c r="AB29" s="1"/>
      <c r="AC29" s="1"/>
      <c r="AD29" s="1"/>
      <c r="AE29" s="1"/>
      <c r="AF29" s="2" t="str">
        <v>超频</v>
      </c>
      <c r="AG29" s="5" t="str">
        <v>Overclock</v>
      </c>
      <c r="AH29" s="2" t="str">
        <v>寰宇</v>
      </c>
      <c r="AI29" s="2" t="str">
        <v>大幅缩减技能（行为芯片/智脑）的冷却时间，但每次使用技能都会扣除自身微量生命值或增加受到的伤害。适合“技能狂轰滥炸”流派。</v>
      </c>
      <c r="AJ29" s="1">
        <f>IF(COUNTIF('义体&amp;义体技能'!Z:Z,AF29)=0,"",COUNTIF('义体&amp;义体技能'!Z:Z,AF29))</f>
      </c>
      <c r="AK29" s="1"/>
      <c r="AL29" s="1"/>
      <c r="AM29" s="1"/>
      <c r="AN29" s="1"/>
      <c r="AO29" s="1"/>
      <c r="AP29" s="2"/>
      <c r="AT29" s="1"/>
      <c r="AU29" s="1"/>
    </row>
    <row r="30">
      <c r="H30" s="1"/>
      <c r="I30" s="1"/>
      <c r="J30" s="1"/>
      <c r="K30" s="1"/>
      <c r="L30" s="1"/>
      <c r="N30" s="1"/>
      <c r="O30" s="1"/>
      <c r="P30" s="1"/>
      <c r="Q30" s="1"/>
      <c r="R30" s="1"/>
      <c r="S30" s="1"/>
      <c r="T30" s="1"/>
      <c r="U30" s="1"/>
      <c r="V30" s="1"/>
      <c r="W30" s="1"/>
      <c r="X30" s="1"/>
      <c r="Y30" s="1"/>
      <c r="Z30" s="3"/>
      <c r="AA30" s="3"/>
      <c r="AB30" s="1"/>
      <c r="AC30" s="1"/>
      <c r="AD30" s="1"/>
      <c r="AE30" s="1"/>
      <c r="AF30" s="2" t="str">
        <v>法拉第笼</v>
      </c>
      <c r="AG30" s="5" t="str">
        <v>Counter-Net</v>
      </c>
      <c r="AH30" s="2" t="str">
        <v>寰宇</v>
      </c>
      <c r="AI30" s="2" t="str">
        <v>干扰、削弱、视觉剥夺。使敌人致盲、命中率下降或瘫痪其特殊能力。</v>
      </c>
      <c r="AJ30" s="1">
        <f>IF(COUNTIF('义体&amp;义体技能'!Z:Z,AF30)=0,"",COUNTIF('义体&amp;义体技能'!Z:Z,AF30))</f>
      </c>
      <c r="AK30" s="1"/>
      <c r="AL30" s="1"/>
      <c r="AM30" s="1"/>
      <c r="AN30" s="1"/>
      <c r="AO30" s="1"/>
      <c r="AP30" s="2"/>
      <c r="AT30" s="1"/>
      <c r="AU30" s="1"/>
    </row>
    <row r="31">
      <c r="H31" s="1"/>
      <c r="I31" s="1"/>
      <c r="J31" s="1"/>
      <c r="K31" s="1"/>
      <c r="L31" s="1"/>
      <c r="N31" s="1"/>
      <c r="O31" s="1"/>
      <c r="P31" s="1"/>
      <c r="Q31" s="1"/>
      <c r="R31" s="1"/>
      <c r="S31" s="1"/>
      <c r="T31" s="1"/>
      <c r="U31" s="1"/>
      <c r="V31" s="1"/>
      <c r="W31" s="1"/>
      <c r="X31" s="1"/>
      <c r="Y31" s="1"/>
      <c r="Z31" s="3"/>
      <c r="AA31" s="3"/>
      <c r="AB31" s="1"/>
      <c r="AC31" s="1"/>
      <c r="AD31" s="1"/>
      <c r="AE31" s="1"/>
      <c r="AF31" s="2" t="str">
        <v>临时任务</v>
      </c>
      <c r="AG31" s="5" t="str">
        <v>Zero-Day</v>
      </c>
      <c r="AH31" s="2" t="str">
        <v>寰宇</v>
      </c>
      <c r="AI31" s="2" t="str">
        <v>爆发、一次性、高风险。基于漏洞利用的高伤装备，往往伴随着过热或自身负面效果。</v>
      </c>
      <c r="AJ31" s="1">
        <f>IF(COUNTIF('义体&amp;义体技能'!Z:Z,AF31)=0,"",COUNTIF('义体&amp;义体技能'!Z:Z,AF31))</f>
      </c>
      <c r="AK31" s="1"/>
      <c r="AL31" s="1"/>
      <c r="AM31" s="1"/>
      <c r="AN31" s="1"/>
      <c r="AO31" s="1"/>
      <c r="AP31" s="2"/>
      <c r="AT31" s="1"/>
      <c r="AU31" s="1"/>
    </row>
    <row r="32">
      <c r="H32" s="1"/>
      <c r="I32" s="1"/>
      <c r="J32" s="1"/>
      <c r="K32" s="1"/>
      <c r="L32" s="1"/>
      <c r="N32" s="1"/>
      <c r="O32" s="1"/>
      <c r="P32" s="1"/>
      <c r="Q32" s="1"/>
      <c r="R32" s="1"/>
      <c r="S32" s="1"/>
      <c r="T32" s="1"/>
      <c r="U32" s="1"/>
      <c r="V32" s="1"/>
      <c r="W32" s="1"/>
      <c r="X32" s="1"/>
      <c r="Y32" s="1"/>
      <c r="Z32" s="3"/>
      <c r="AA32" s="3"/>
      <c r="AB32" s="1"/>
      <c r="AC32" s="1"/>
      <c r="AD32" s="1"/>
      <c r="AE32" s="1"/>
      <c r="AF32" s="2" t="str">
        <v>嗜血</v>
      </c>
      <c r="AG32" s="5" t="str">
        <v>Bloodlust</v>
      </c>
      <c r="AH32" s="2" t="str">
        <v>致远生物</v>
      </c>
      <c r="AI32" s="2" t="str">
        <v>生命值越低，攻击力越高。攻击有概率回复生命值。典型的“狂战士”Build，在刀尖上跳舞。</v>
      </c>
      <c r="AJ32" s="1">
        <f>IF(COUNTIF('义体&amp;义体技能'!Z:Z,AF32)=0,"",COUNTIF('义体&amp;义体技能'!Z:Z,AF32))</f>
      </c>
      <c r="AK32" s="1"/>
      <c r="AL32" s="1"/>
      <c r="AM32" s="1"/>
      <c r="AN32" s="1"/>
      <c r="AO32" s="1"/>
      <c r="AP32" s="2"/>
      <c r="AT32" s="1"/>
      <c r="AU32" s="1"/>
    </row>
    <row r="33">
      <c r="H33" s="1"/>
      <c r="I33" s="1"/>
      <c r="J33" s="1"/>
      <c r="K33" s="1"/>
      <c r="L33" s="1"/>
      <c r="N33" s="1"/>
      <c r="O33" s="1"/>
      <c r="P33" s="1"/>
      <c r="Q33" s="1"/>
      <c r="R33" s="1"/>
      <c r="S33" s="1"/>
      <c r="T33" s="1"/>
      <c r="U33" s="1"/>
      <c r="V33" s="1"/>
      <c r="W33" s="1"/>
      <c r="X33" s="1"/>
      <c r="Y33" s="1"/>
      <c r="Z33" s="3"/>
      <c r="AA33" s="3"/>
      <c r="AB33" s="1"/>
      <c r="AC33" s="1"/>
      <c r="AD33" s="1"/>
      <c r="AE33" s="1"/>
      <c r="AF33" s="2" t="str">
        <v>认知科学</v>
      </c>
      <c r="AG33" s="5" t="str">
        <v>Cognitive Sci</v>
      </c>
      <c r="AH33" s="2" t="str">
        <v>致远生物</v>
      </c>
      <c r="AI33" s="2" t="str">
        <v>大幅提升暴击率和暴击伤害。连续攻击同一目标时，暴击率逐渐叠加至100%。适合高频率攻击的精准输出Build。</v>
      </c>
      <c r="AJ33" s="1">
        <f>IF(COUNTIF('义体&amp;义体技能'!Z:Z,AF33)=0,"",COUNTIF('义体&amp;义体技能'!Z:Z,AF33))</f>
      </c>
      <c r="AK33" s="1"/>
      <c r="AL33" s="1"/>
      <c r="AM33" s="1"/>
      <c r="AN33" s="1"/>
      <c r="AO33" s="1"/>
      <c r="AP33" s="2"/>
      <c r="AT33" s="1"/>
      <c r="AU33" s="1"/>
    </row>
    <row r="34">
      <c r="H34" s="1"/>
      <c r="I34" s="1"/>
      <c r="J34" s="1"/>
      <c r="K34" s="1"/>
      <c r="L34" s="1"/>
      <c r="N34" s="1"/>
      <c r="O34" s="1"/>
      <c r="P34" s="1"/>
      <c r="Q34" s="1"/>
      <c r="R34" s="1"/>
      <c r="S34" s="1"/>
      <c r="T34" s="1"/>
      <c r="U34" s="1"/>
      <c r="V34" s="1"/>
      <c r="W34" s="1"/>
      <c r="X34" s="1"/>
      <c r="Y34" s="1"/>
      <c r="Z34" s="3"/>
      <c r="AA34" s="3"/>
      <c r="AB34" s="1"/>
      <c r="AC34" s="1"/>
      <c r="AD34" s="1"/>
      <c r="AE34" s="1"/>
      <c r="AF34" s="2" t="str">
        <v>破伤风</v>
      </c>
      <c r="AG34" s="5" t="str">
        <v>Adrenaline</v>
      </c>
      <c r="AH34" s="2" t="str">
        <v>致远生物</v>
      </c>
      <c r="AI34" s="2" t="str">
        <v>强化攻击施加的（DoT），并尝试使其扩散化。</v>
      </c>
      <c r="AJ34" s="1">
        <f>IF(COUNTIF('义体&amp;义体技能'!Z:Z,AF34)=0,"",COUNTIF('义体&amp;义体技能'!Z:Z,AF34))</f>
      </c>
      <c r="AK34" s="1"/>
      <c r="AL34" s="1"/>
      <c r="AM34" s="1"/>
      <c r="AN34" s="1"/>
      <c r="AO34" s="1"/>
      <c r="AP34" s="2"/>
      <c r="AT34" s="1"/>
      <c r="AU34" s="1"/>
    </row>
    <row r="35">
      <c r="H35" s="1"/>
      <c r="I35" s="1"/>
      <c r="J35" s="1"/>
      <c r="K35" s="1"/>
      <c r="L35" s="1"/>
      <c r="N35" s="1"/>
      <c r="O35" s="1"/>
      <c r="P35" s="1"/>
      <c r="Q35" s="1"/>
      <c r="R35" s="1"/>
      <c r="S35" s="1"/>
      <c r="T35" s="1"/>
      <c r="U35" s="1"/>
      <c r="V35" s="1"/>
      <c r="W35" s="1"/>
      <c r="X35" s="1"/>
      <c r="Y35" s="1"/>
      <c r="Z35" s="3"/>
      <c r="AA35" s="3"/>
      <c r="AB35" s="1"/>
      <c r="AC35" s="1"/>
      <c r="AD35" s="1"/>
      <c r="AE35" s="1"/>
      <c r="AF35" s="4" t="str">
        <v>肾上腺</v>
      </c>
      <c r="AG35" t="str">
        <v>Chimera</v>
      </c>
      <c r="AH35" s="2" t="str">
        <v>致远生物</v>
      </c>
      <c r="AI35" s="2" t="str">
        <v>击杀或暴击回复耐力条，且耐力越低移动速度越快。让玩家可以无限冲刺或无限挥砍重武器。</v>
      </c>
      <c r="AJ35" s="1">
        <f>IF(COUNTIF('义体&amp;义体技能'!Z:Z,AF35)=0,"",COUNTIF('义体&amp;义体技能'!Z:Z,AF35))</f>
      </c>
      <c r="AK35" s="1"/>
      <c r="AL35" s="1"/>
      <c r="AM35" s="1"/>
      <c r="AN35" s="1"/>
      <c r="AO35" s="1"/>
      <c r="AP35" s="2"/>
      <c r="AT35" s="1"/>
      <c r="AU35" s="1"/>
    </row>
    <row r="36">
      <c r="H36" s="1"/>
      <c r="I36" s="1"/>
      <c r="J36" s="1"/>
      <c r="K36" s="1"/>
      <c r="L36" s="1"/>
      <c r="N36" s="1"/>
      <c r="O36" s="1"/>
      <c r="P36" s="1"/>
      <c r="Q36" s="1"/>
      <c r="R36" s="1"/>
      <c r="S36" s="1"/>
      <c r="T36" s="1"/>
      <c r="U36" s="1"/>
      <c r="V36" s="1"/>
      <c r="W36" s="1"/>
      <c r="X36" s="1"/>
      <c r="Y36" s="1"/>
      <c r="Z36" s="3"/>
      <c r="AA36" s="3"/>
      <c r="AB36" s="1"/>
      <c r="AC36" s="1"/>
      <c r="AD36" s="1"/>
      <c r="AE36" s="1"/>
      <c r="AF36" s="2" t="str">
        <v>过度生长</v>
      </c>
      <c r="AG36" s="2" t="str">
        <v>Overgrowth</v>
      </c>
      <c r="AH36" s="2" t="str">
        <v>致远生物</v>
      </c>
      <c r="AI36" s="2" t="str">
        <v>将造成伤害的一部分转化为“临时生命上限”。越打血越厚，适合坦克流。</v>
      </c>
      <c r="AJ36" s="1">
        <f>IF(COUNTIF('义体&amp;义体技能'!Z:Z,AF36)=0,"",COUNTIF('义体&amp;义体技能'!Z:Z,AF36))</f>
      </c>
      <c r="AK36" s="1"/>
      <c r="AL36" s="1"/>
      <c r="AM36" s="1"/>
      <c r="AN36" s="1"/>
      <c r="AO36" s="1"/>
      <c r="AP36" s="2"/>
      <c r="AT36" s="1"/>
      <c r="AU36" s="1"/>
    </row>
    <row r="37">
      <c r="H37" s="1"/>
      <c r="I37" s="1"/>
      <c r="J37" s="1"/>
      <c r="K37" s="1"/>
      <c r="L37" s="1"/>
      <c r="N37" s="1"/>
      <c r="O37" s="1"/>
      <c r="P37" s="1"/>
      <c r="Q37" s="1"/>
      <c r="R37" s="1"/>
      <c r="S37" s="1"/>
      <c r="T37" s="1"/>
      <c r="U37" s="1"/>
      <c r="V37" s="1"/>
      <c r="W37" s="1"/>
      <c r="X37" s="1"/>
      <c r="Y37" s="1"/>
      <c r="Z37" s="3"/>
      <c r="AA37" s="3"/>
      <c r="AB37" s="1"/>
      <c r="AC37" s="1"/>
      <c r="AD37" s="1"/>
      <c r="AE37" s="1"/>
      <c r="AF37" t="str">
        <v>渗透干扰</v>
      </c>
      <c r="AG37" t="str">
        <v>Infiltrator</v>
      </c>
      <c r="AH37" s="2" t="str">
        <v>律动智能</v>
      </c>
      <c r="AI37" t="str">
        <v>辅助瞄准、弹道修正。让子弹“拐弯”或自动锁定敌人头部，适合手残党。</v>
      </c>
      <c r="AJ37" s="1">
        <f>IF(COUNTIF('义体&amp;义体技能'!Z:Z,AF37)=0,"",COUNTIF('义体&amp;义体技能'!Z:Z,AF37))</f>
      </c>
      <c r="AK37" s="1"/>
      <c r="AL37" s="1"/>
      <c r="AM37" s="1"/>
      <c r="AN37" s="1"/>
      <c r="AO37" s="1"/>
      <c r="AP37" s="2"/>
      <c r="AT37" s="1"/>
      <c r="AU37" s="1"/>
    </row>
    <row r="38">
      <c r="H38" s="1"/>
      <c r="I38" s="1"/>
      <c r="J38" s="1"/>
      <c r="K38" s="1"/>
      <c r="L38" s="1"/>
      <c r="N38" s="1"/>
      <c r="O38" s="1"/>
      <c r="P38" s="1"/>
      <c r="Q38" s="1"/>
      <c r="R38" s="1"/>
      <c r="S38" s="1"/>
      <c r="T38" s="1"/>
      <c r="U38" s="1"/>
      <c r="V38" s="1"/>
      <c r="W38" s="1"/>
      <c r="X38" s="1"/>
      <c r="Y38" s="1"/>
      <c r="Z38" s="3"/>
      <c r="AA38" s="3"/>
      <c r="AB38" s="1"/>
      <c r="AC38" s="1"/>
      <c r="AD38" s="1"/>
      <c r="AE38" s="1"/>
      <c r="AF38" t="str">
        <v>共振</v>
      </c>
      <c r="AG38" t="str">
        <v>Resonant</v>
      </c>
      <c r="AH38" s="2" t="str">
        <v>律动智能</v>
      </c>
      <c r="AI38" s="4" t="str">
        <v>攻击可以穿透敌人（打击一条线上的目标），甚至穿透薄墙。穿透后的伤害不减反增。</v>
      </c>
      <c r="AJ38" s="1">
        <f>IF(COUNTIF('义体&amp;义体技能'!Z:Z,AF38)=0,"",COUNTIF('义体&amp;义体技能'!Z:Z,AF38))</f>
      </c>
      <c r="AK38" s="1"/>
      <c r="AL38" s="1"/>
      <c r="AM38" s="1"/>
      <c r="AN38" s="1"/>
      <c r="AO38" s="1"/>
      <c r="AP38" s="2"/>
      <c r="AT38" s="1"/>
      <c r="AU38" s="1"/>
    </row>
    <row r="39">
      <c r="H39" s="1"/>
      <c r="I39" s="1"/>
      <c r="J39" s="1"/>
      <c r="K39" s="1"/>
      <c r="L39" s="1"/>
      <c r="N39" s="1"/>
      <c r="O39" s="1"/>
      <c r="P39" s="1"/>
      <c r="Q39" s="1"/>
      <c r="R39" s="1"/>
      <c r="S39" s="1"/>
      <c r="T39" s="1"/>
      <c r="U39" s="1"/>
      <c r="V39" s="1"/>
      <c r="W39" s="1"/>
      <c r="X39" s="1"/>
      <c r="Y39" s="1"/>
      <c r="Z39" s="3"/>
      <c r="AA39" s="3"/>
      <c r="AB39" s="1"/>
      <c r="AC39" s="1"/>
      <c r="AD39" s="1"/>
      <c r="AE39" s="1"/>
      <c r="AF39" t="str">
        <v>执行者</v>
      </c>
      <c r="AG39" t="str">
        <v>Executor</v>
      </c>
      <c r="AH39" s="2" t="str">
        <v>律动智能</v>
      </c>
      <c r="AI39" s="4" t="str">
        <v>生成跟随玩家的“浮游炮”或“无人机”。玩家攻击时，无人机同步攻击。适合“召唤流”。</v>
      </c>
      <c r="AJ39" s="1">
        <f>IF(COUNTIF('义体&amp;义体技能'!Z:Z,AF39)=0,"",COUNTIF('义体&amp;义体技能'!Z:Z,AF39))</f>
      </c>
      <c r="AK39" s="1"/>
      <c r="AL39" s="1"/>
      <c r="AM39" s="1"/>
      <c r="AN39" s="1"/>
      <c r="AO39" s="1"/>
      <c r="AP39" s="2"/>
      <c r="AT39" s="1"/>
      <c r="AU39" s="1"/>
    </row>
    <row r="40">
      <c r="H40" s="1"/>
      <c r="I40" s="1"/>
      <c r="J40" s="1"/>
      <c r="K40" s="1"/>
      <c r="L40" s="1"/>
      <c r="N40" s="1"/>
      <c r="O40" s="1"/>
      <c r="P40" s="1"/>
      <c r="Q40" s="1"/>
      <c r="R40" s="1"/>
      <c r="S40" s="1"/>
      <c r="T40" s="1"/>
      <c r="U40" s="1"/>
      <c r="V40" s="1"/>
      <c r="W40" s="1"/>
      <c r="X40" s="1"/>
      <c r="Y40" s="1"/>
      <c r="Z40" s="3"/>
      <c r="AA40" s="3"/>
      <c r="AB40" s="1"/>
      <c r="AC40" s="1"/>
      <c r="AD40" s="1"/>
      <c r="AE40" s="1"/>
      <c r="AF40" t="str">
        <v>流线</v>
      </c>
      <c r="AG40" t="str">
        <v>Streamline</v>
      </c>
      <c r="AH40" s="2" t="str">
        <v>律动智能</v>
      </c>
      <c r="AI40" s="4" t="str">
        <v>当前的移动速度越快，造成的伤害越高。闪避/冲刺后的一段时间内获得爆发性移速。适合“跑酷流”。</v>
      </c>
      <c r="AJ40" s="1">
        <f>IF(COUNTIF('义体&amp;义体技能'!Z:Z,AF40)=0,"",COUNTIF('义体&amp;义体技能'!Z:Z,AF40))</f>
      </c>
      <c r="AK40" s="1"/>
      <c r="AL40" s="1"/>
      <c r="AM40" s="1"/>
      <c r="AN40" s="1"/>
      <c r="AO40" s="1"/>
      <c r="AP40" s="2"/>
      <c r="AT40" s="1"/>
      <c r="AU40" s="1"/>
    </row>
    <row r="41">
      <c r="H41" s="1"/>
      <c r="I41" s="1"/>
      <c r="J41" s="1"/>
      <c r="K41" s="1"/>
      <c r="L41" s="1"/>
      <c r="N41" s="1"/>
      <c r="O41" s="1"/>
      <c r="P41" s="1"/>
      <c r="Q41" s="1"/>
      <c r="R41" s="1"/>
      <c r="S41" s="1"/>
      <c r="T41" s="1"/>
      <c r="U41" s="1"/>
      <c r="V41" s="1"/>
      <c r="W41" s="1"/>
      <c r="X41" s="1"/>
      <c r="Y41" s="1"/>
      <c r="Z41" s="3"/>
      <c r="AA41" s="3"/>
      <c r="AB41" s="1"/>
      <c r="AC41" s="1"/>
      <c r="AD41" s="1"/>
      <c r="AE41" s="1"/>
      <c r="AF41" t="str">
        <v>回路</v>
      </c>
      <c r="AG41" t="str">
        <v>Circuit</v>
      </c>
      <c r="AH41" s="2" t="str">
        <v>律动智能</v>
      </c>
      <c r="AI41" t="str">
        <v>能量循环、充能。攻击回复能量，能量用于强化护盾或技能，强调循环效率。</v>
      </c>
      <c r="AJ41" s="1">
        <f>IF(COUNTIF('义体&amp;义体技能'!Z:Z,AF41)=0,"",COUNTIF('义体&amp;义体技能'!Z:Z,AF41))</f>
      </c>
      <c r="AK41" s="1"/>
      <c r="AL41" s="1"/>
      <c r="AM41" s="1"/>
      <c r="AN41" s="1"/>
      <c r="AO41" s="1"/>
      <c r="AP41" s="2"/>
      <c r="AT41" s="1"/>
      <c r="AU41" s="1"/>
    </row>
    <row r="42">
      <c r="H42" s="1"/>
      <c r="I42" s="1"/>
      <c r="J42" s="1"/>
      <c r="K42" s="1"/>
      <c r="L42" s="1"/>
      <c r="N42" s="1"/>
      <c r="O42" s="1"/>
      <c r="P42" s="1"/>
      <c r="Q42" s="1"/>
      <c r="R42" s="1"/>
      <c r="S42" s="1"/>
      <c r="T42" s="1"/>
      <c r="U42" s="1"/>
      <c r="V42" s="1"/>
      <c r="W42" s="1"/>
      <c r="X42" s="1"/>
      <c r="Y42" s="1"/>
      <c r="Z42" s="3"/>
      <c r="AA42" s="3"/>
      <c r="AB42" s="1"/>
      <c r="AC42" s="1"/>
      <c r="AD42" s="1"/>
      <c r="AE42" s="1"/>
      <c r="AF42" s="2" t="str">
        <v>虫群</v>
      </c>
      <c r="AG42" s="2" t="str">
        <v>Swarm</v>
      </c>
      <c r="AH42" s="2" t="str">
        <v>耶利哥</v>
      </c>
      <c r="AI42" s="2" t="str">
        <v>强化纳米系属性攻击</v>
      </c>
      <c r="AJ42" s="1">
        <f>IF(COUNTIF('义体&amp;义体技能'!Z:Z,AF42)=0,"",COUNTIF('义体&amp;义体技能'!Z:Z,AF42))</f>
      </c>
      <c r="AK42" s="1"/>
      <c r="AL42" s="1"/>
      <c r="AM42" s="1"/>
      <c r="AN42" s="1"/>
      <c r="AO42" s="1"/>
      <c r="AP42" s="2"/>
      <c r="AT42" s="1"/>
      <c r="AU42" s="1"/>
    </row>
    <row r="43">
      <c r="H43" s="1"/>
      <c r="I43" s="1"/>
      <c r="J43" s="1"/>
      <c r="K43" s="1"/>
      <c r="L43" s="1"/>
      <c r="N43" s="1"/>
      <c r="O43" s="1"/>
      <c r="P43" s="1"/>
      <c r="Q43" s="1"/>
      <c r="R43" s="1"/>
      <c r="S43" s="1"/>
      <c r="T43" s="1"/>
      <c r="U43" s="1"/>
      <c r="V43" s="1"/>
      <c r="W43" s="1"/>
      <c r="X43" s="1"/>
      <c r="Y43" s="1"/>
      <c r="Z43" s="3"/>
      <c r="AA43" s="3"/>
      <c r="AB43" s="1"/>
      <c r="AC43" s="1"/>
      <c r="AD43" s="1"/>
      <c r="AE43" s="1"/>
      <c r="AF43" s="2" t="str">
        <v>灰蛊</v>
      </c>
      <c r="AG43" s="2" t="str">
        <v>Grey Goo</v>
      </c>
      <c r="AH43" s="2" t="str">
        <v>耶利哥</v>
      </c>
      <c r="AI43" s="2" t="str">
        <v>吞噬、资源转化。杀死敌人后将其分解为弹药或能量包。</v>
      </c>
      <c r="AJ43" s="1">
        <f>IF(COUNTIF('义体&amp;义体技能'!Z:Z,AF43)=0,"",COUNTIF('义体&amp;义体技能'!Z:Z,AF43))</f>
      </c>
      <c r="AK43" s="1"/>
      <c r="AL43" s="1"/>
      <c r="AM43" s="1"/>
      <c r="AN43" s="1"/>
      <c r="AO43" s="1"/>
      <c r="AP43" s="2"/>
      <c r="AT43" s="1"/>
      <c r="AU43" s="1"/>
    </row>
    <row r="44">
      <c r="H44" s="1"/>
      <c r="I44" s="1"/>
      <c r="J44" s="1"/>
      <c r="K44" s="1"/>
      <c r="L44" s="1"/>
      <c r="N44" s="1"/>
      <c r="O44" s="1"/>
      <c r="P44" s="1"/>
      <c r="Q44" s="1"/>
      <c r="R44" s="1"/>
      <c r="S44" s="1"/>
      <c r="T44" s="1"/>
      <c r="U44" s="1"/>
      <c r="V44" s="1"/>
      <c r="W44" s="1"/>
      <c r="X44" s="1"/>
      <c r="Y44" s="1"/>
      <c r="Z44" s="3"/>
      <c r="AA44" s="3"/>
      <c r="AB44" s="1"/>
      <c r="AC44" s="1"/>
      <c r="AD44" s="1"/>
      <c r="AE44" s="1"/>
      <c r="AF44" s="2" t="str">
        <v>先知</v>
      </c>
      <c r="AG44" s="2" t="str">
        <v>Prophet</v>
      </c>
      <c r="AH44" s="2" t="str">
        <v>耶利哥</v>
      </c>
      <c r="AI44" s="2" t="str">
        <v>预判、自动闪避。基于湿件运算的战术预演，自动规避致命伤害。</v>
      </c>
      <c r="AJ44" s="1">
        <f>IF(COUNTIF('义体&amp;义体技能'!Z:Z,AF44)=0,"",COUNTIF('义体&amp;义体技能'!Z:Z,AF44))</f>
      </c>
      <c r="AK44" s="1"/>
      <c r="AL44" s="1"/>
      <c r="AM44" s="1"/>
      <c r="AN44" s="1"/>
      <c r="AO44" s="1"/>
      <c r="AP44" s="2"/>
      <c r="AT44" s="1"/>
      <c r="AU44" s="1"/>
    </row>
    <row r="45">
      <c r="H45" s="1"/>
      <c r="I45" s="1"/>
      <c r="J45" s="1"/>
      <c r="K45" s="1"/>
      <c r="L45" s="1"/>
      <c r="N45" s="1"/>
      <c r="O45" s="1"/>
      <c r="P45" s="1"/>
      <c r="Q45" s="1"/>
      <c r="R45" s="1"/>
      <c r="S45" s="1"/>
      <c r="T45" s="1"/>
      <c r="U45" s="1"/>
      <c r="V45" s="1"/>
      <c r="W45" s="1"/>
      <c r="X45" s="1"/>
      <c r="Y45" s="1"/>
      <c r="Z45" s="3"/>
      <c r="AA45" s="3"/>
      <c r="AB45" s="1"/>
      <c r="AC45" s="1"/>
      <c r="AD45" s="1"/>
      <c r="AE45" s="1"/>
      <c r="AF45" s="2" t="str">
        <v>圣约</v>
      </c>
      <c r="AG45" s="2" t="str">
        <v>Covenant</v>
      </c>
      <c r="AH45" s="2" t="str">
        <v>耶利哥</v>
      </c>
      <c r="AI45" s="2" t="str">
        <v>永久扣除生命/属性/基础性能等，换取极高的攻击力或特殊的强力效果（如攻击无视防御）。</v>
      </c>
      <c r="AJ45" s="1">
        <f>IF(COUNTIF('义体&amp;义体技能'!Z:Z,AF45)=0,"",COUNTIF('义体&amp;义体技能'!Z:Z,AF45))</f>
      </c>
      <c r="AK45" s="1"/>
      <c r="AL45" s="1"/>
      <c r="AM45" s="1"/>
      <c r="AN45" s="1"/>
      <c r="AO45" s="1"/>
      <c r="AP45" s="2"/>
      <c r="AT45" s="1"/>
      <c r="AU45" s="1"/>
    </row>
    <row r="46">
      <c r="H46" s="1"/>
      <c r="I46" s="1"/>
      <c r="J46" s="1"/>
      <c r="K46" s="1"/>
      <c r="L46" s="1"/>
      <c r="N46" s="1"/>
      <c r="O46" s="1"/>
      <c r="P46" s="1"/>
      <c r="Q46" s="1"/>
      <c r="R46" s="1"/>
      <c r="S46" s="1"/>
      <c r="T46" s="1"/>
      <c r="U46" s="1"/>
      <c r="V46" s="1"/>
      <c r="W46" s="1"/>
      <c r="X46" s="1"/>
      <c r="Y46" s="1"/>
      <c r="Z46" s="3"/>
      <c r="AA46" s="3"/>
      <c r="AB46" s="1"/>
      <c r="AC46" s="1"/>
      <c r="AD46" s="1"/>
      <c r="AE46" s="1"/>
      <c r="AF46" s="2" t="str">
        <v>海市蜃楼</v>
      </c>
      <c r="AG46" s="2" t="str">
        <v>Mirage</v>
      </c>
      <c r="AH46" s="2" t="str">
        <v>耶利哥</v>
      </c>
      <c r="AI46" s="2" t="str">
        <v>幻象、隐身、欺诈。制造自身的幻象诱饵，干扰敌人的判断。</v>
      </c>
      <c r="AJ46" s="1">
        <f>IF(COUNTIF('义体&amp;义体技能'!Z:Z,AF46)=0,"",COUNTIF('义体&amp;义体技能'!Z:Z,AF46))</f>
      </c>
      <c r="AK46" s="1"/>
      <c r="AL46" s="1"/>
      <c r="AM46" s="1"/>
      <c r="AN46" s="1"/>
      <c r="AO46" s="1"/>
      <c r="AP46" s="2"/>
      <c r="AT46" s="1"/>
      <c r="AU46" s="1"/>
    </row>
    <row r="47">
      <c r="H47" s="1"/>
      <c r="I47" s="1"/>
      <c r="J47" s="1"/>
      <c r="K47" s="1"/>
      <c r="L47" s="1"/>
      <c r="N47" s="1"/>
      <c r="O47" s="1"/>
      <c r="P47" s="1"/>
      <c r="Q47" s="1"/>
      <c r="R47" s="1"/>
      <c r="S47" s="1"/>
      <c r="T47" s="1"/>
      <c r="U47" s="1"/>
      <c r="V47" s="1"/>
      <c r="W47" s="1"/>
      <c r="X47" s="1"/>
      <c r="Y47" s="1"/>
      <c r="Z47" s="3"/>
      <c r="AA47" s="3"/>
      <c r="AB47" s="1"/>
      <c r="AC47" s="1"/>
      <c r="AD47" s="1"/>
      <c r="AE47" s="1"/>
      <c r="AF47" s="2" t="str">
        <v>阵地</v>
      </c>
      <c r="AG47" s="5" t="str">
        <v>Entrench</v>
      </c>
      <c r="AH47" s="2" t="str">
        <v>东海工业</v>
      </c>
      <c r="AI47" t="str">
        <v>掩体、减伤、驻守。原地站立或处于掩体后时，获得极高的防御和火力加成。</v>
      </c>
      <c r="AJ47" s="1">
        <f>IF(COUNTIF('义体&amp;义体技能'!Z:Z,AF47)=0,"",COUNTIF('义体&amp;义体技能'!Z:Z,AF47))</f>
      </c>
      <c r="AK47" s="1"/>
      <c r="AL47" s="1"/>
      <c r="AM47" s="1"/>
      <c r="AN47" s="1"/>
      <c r="AO47" s="1"/>
      <c r="AP47" s="2"/>
      <c r="AT47" s="1"/>
      <c r="AU47" s="1"/>
    </row>
    <row r="48">
      <c r="H48" s="1"/>
      <c r="I48" s="1"/>
      <c r="J48" s="1"/>
      <c r="K48" s="1"/>
      <c r="L48" s="1"/>
      <c r="N48" s="1"/>
      <c r="O48" s="1"/>
      <c r="P48" s="1"/>
      <c r="Q48" s="1"/>
      <c r="R48" s="1"/>
      <c r="S48" s="1"/>
      <c r="T48" s="1"/>
      <c r="U48" s="1"/>
      <c r="V48" s="1"/>
      <c r="W48" s="1"/>
      <c r="X48" s="1"/>
      <c r="Y48" s="1"/>
      <c r="Z48" s="3"/>
      <c r="AA48" s="3"/>
      <c r="AB48" s="1"/>
      <c r="AC48" s="1"/>
      <c r="AD48" s="1"/>
      <c r="AE48" s="1"/>
      <c r="AF48" s="2" t="str">
        <v>基石</v>
      </c>
      <c r="AG48" s="5" t="str">
        <v>Foundation</v>
      </c>
      <c r="AH48" s="2" t="str">
        <v>东海工业</v>
      </c>
      <c r="AI48" t="str">
        <v>极高血量、抗击退。像建筑物一样稳固，免疫大部分击飞/击倒效果。</v>
      </c>
      <c r="AJ48" s="1">
        <f>IF(COUNTIF('义体&amp;义体技能'!Z:Z,AF48)=0,"",COUNTIF('义体&amp;义体技能'!Z:Z,AF48))</f>
      </c>
      <c r="AK48" s="1"/>
      <c r="AL48" s="1"/>
      <c r="AM48" s="1"/>
      <c r="AN48" s="1"/>
      <c r="AO48" s="1"/>
      <c r="AP48" s="2"/>
      <c r="AT48" s="1"/>
      <c r="AU48" s="1"/>
    </row>
    <row r="49">
      <c r="H49" s="1"/>
      <c r="I49" s="1"/>
      <c r="J49" s="1"/>
      <c r="K49" s="1"/>
      <c r="L49" s="1"/>
      <c r="N49" s="1"/>
      <c r="O49" s="1"/>
      <c r="P49" s="1"/>
      <c r="Q49" s="1"/>
      <c r="R49" s="1"/>
      <c r="S49" s="1"/>
      <c r="T49" s="1"/>
      <c r="U49" s="1"/>
      <c r="V49" s="1"/>
      <c r="W49" s="1"/>
      <c r="X49" s="1"/>
      <c r="Y49" s="1"/>
      <c r="Z49" s="3"/>
      <c r="AA49" s="3"/>
      <c r="AB49" s="1"/>
      <c r="AC49" s="1"/>
      <c r="AD49" s="1"/>
      <c r="AE49" s="1"/>
      <c r="AF49" s="2" t="str">
        <v>海啸</v>
      </c>
      <c r="AG49" s="5" t="str">
        <v>Tsunami</v>
      </c>
      <c r="AH49" s="2" t="str">
        <v>东海工业</v>
      </c>
      <c r="AI49" t="str">
        <v>范围冲击、震地。缓慢但巨大的范围攻击，模拟地震波或冲击波。</v>
      </c>
      <c r="AJ49" s="1">
        <f>IF(COUNTIF('义体&amp;义体技能'!Z:Z,AF49)=0,"",COUNTIF('义体&amp;义体技能'!Z:Z,AF49))</f>
      </c>
      <c r="AK49" s="1"/>
      <c r="AL49" s="1"/>
      <c r="AM49" s="1"/>
      <c r="AN49" s="1"/>
      <c r="AO49" s="1"/>
      <c r="AP49" s="2"/>
      <c r="AT49" s="1"/>
      <c r="AU49" s="1"/>
    </row>
    <row r="50">
      <c r="H50" s="1"/>
      <c r="I50" s="1"/>
      <c r="J50" s="1"/>
      <c r="K50" s="1"/>
      <c r="L50" s="1"/>
      <c r="N50" s="1"/>
      <c r="O50" s="1"/>
      <c r="P50" s="1"/>
      <c r="Q50" s="1"/>
      <c r="R50" s="1"/>
      <c r="S50" s="1"/>
      <c r="T50" s="1"/>
      <c r="U50" s="1"/>
      <c r="V50" s="1"/>
      <c r="W50" s="1"/>
      <c r="X50" s="1"/>
      <c r="Y50" s="1"/>
      <c r="Z50" s="3"/>
      <c r="AA50" s="3"/>
      <c r="AB50" s="1"/>
      <c r="AC50" s="1"/>
      <c r="AD50" s="1"/>
      <c r="AE50" s="1"/>
      <c r="AF50" s="2" t="str">
        <v>天际线</v>
      </c>
      <c r="AG50" s="2" t="str">
        <v>Skyline</v>
      </c>
      <c r="AH50" s="2" t="str">
        <v>东海工业</v>
      </c>
      <c r="AI50" t="str">
        <v>抓钩、垂直机动。原本用于高楼建设的抓钩装备，用于快速拉近敌人或脱离战场。</v>
      </c>
      <c r="AJ50" s="1">
        <f>IF(COUNTIF('义体&amp;义体技能'!Z:Z,AF50)=0,"",COUNTIF('义体&amp;义体技能'!Z:Z,AF50))</f>
      </c>
      <c r="AK50" s="1"/>
      <c r="AL50" s="1"/>
      <c r="AM50" s="1"/>
      <c r="AN50" s="1"/>
      <c r="AO50" s="1"/>
      <c r="AP50" s="2"/>
      <c r="AT50" s="1"/>
      <c r="AU50" s="1"/>
    </row>
    <row r="51">
      <c r="H51" s="1"/>
      <c r="I51" s="1"/>
      <c r="J51" s="1"/>
      <c r="K51" s="1"/>
      <c r="L51" s="1"/>
      <c r="N51" s="1"/>
      <c r="O51" s="1"/>
      <c r="P51" s="1"/>
      <c r="Q51" s="1"/>
      <c r="R51" s="1"/>
      <c r="S51" s="1"/>
      <c r="T51" s="1"/>
      <c r="U51" s="1"/>
      <c r="V51" s="1"/>
      <c r="W51" s="1"/>
      <c r="X51" s="1"/>
      <c r="Y51" s="1"/>
      <c r="Z51" s="3"/>
      <c r="AA51" s="3"/>
      <c r="AB51" s="1"/>
      <c r="AC51" s="1"/>
      <c r="AD51" s="1"/>
      <c r="AE51" s="1"/>
      <c r="AF51" s="2" t="str">
        <v>反应堆</v>
      </c>
      <c r="AG51" s="2" t="str">
        <v>Reactor</v>
      </c>
      <c r="AH51" s="2" t="str">
        <v>东海工业</v>
      </c>
      <c r="AI51" t="str">
        <v>辐射、能量光环。背负小型反应堆，持续对周围造成辐射伤害。</v>
      </c>
      <c r="AJ51" s="1">
        <f>IF(COUNTIF('义体&amp;义体技能'!Z:Z,AF51)=0,"",COUNTIF('义体&amp;义体技能'!Z:Z,AF51))</f>
      </c>
      <c r="AK51" s="1"/>
      <c r="AL51" s="1"/>
      <c r="AM51" s="1"/>
      <c r="AN51" s="1"/>
      <c r="AO51" s="1"/>
      <c r="AP51" s="2"/>
      <c r="AT51" s="1"/>
      <c r="AU51" s="1"/>
    </row>
    <row r="52">
      <c r="H52" s="1"/>
      <c r="I52" s="1"/>
      <c r="J52" s="1"/>
      <c r="K52" s="1"/>
      <c r="L52" s="1"/>
      <c r="N52" s="1"/>
      <c r="O52" s="1"/>
      <c r="P52" s="1"/>
      <c r="Q52" s="1"/>
      <c r="R52" s="1"/>
      <c r="S52" s="1"/>
      <c r="T52" s="1"/>
      <c r="U52" s="1"/>
      <c r="V52" s="1"/>
      <c r="W52" s="1"/>
      <c r="X52" s="1"/>
      <c r="Y52" s="1"/>
      <c r="Z52" s="3"/>
      <c r="AA52" s="3"/>
      <c r="AB52" s="1"/>
      <c r="AC52" s="1"/>
      <c r="AD52" s="1"/>
      <c r="AE52" s="1"/>
      <c r="AK52" s="1"/>
      <c r="AL52" s="1"/>
      <c r="AM52" s="1"/>
      <c r="AN52" s="1"/>
      <c r="AO52" s="1"/>
      <c r="AP52" s="2"/>
      <c r="AQ52" s="2"/>
      <c r="AR52" s="2"/>
      <c r="AS52" s="2"/>
      <c r="AT52" s="1"/>
      <c r="AU52" s="1"/>
    </row>
    <row r="53">
      <c r="H53" s="1"/>
      <c r="I53" s="1"/>
      <c r="J53" s="1"/>
      <c r="K53" s="1"/>
      <c r="L53" s="1"/>
      <c r="N53" s="1"/>
      <c r="O53" s="1"/>
      <c r="P53" s="1"/>
      <c r="Q53" s="1"/>
      <c r="R53" s="1"/>
      <c r="S53" s="1"/>
      <c r="T53" s="1"/>
      <c r="U53" s="1"/>
      <c r="V53" s="1"/>
      <c r="W53" s="1"/>
      <c r="X53" s="1"/>
      <c r="Y53" s="1"/>
      <c r="Z53" s="3"/>
      <c r="AA53" s="3"/>
      <c r="AB53" s="1"/>
      <c r="AC53" s="1"/>
      <c r="AD53" s="1"/>
      <c r="AE53" s="1"/>
      <c r="AK53" s="1"/>
      <c r="AL53" s="1"/>
      <c r="AM53" s="1"/>
      <c r="AN53" s="1"/>
      <c r="AO53" s="1"/>
      <c r="AP53" s="2"/>
      <c r="AQ53" s="2"/>
      <c r="AR53" s="2"/>
      <c r="AS53" s="2"/>
      <c r="AT53" s="1"/>
      <c r="AU53" s="1"/>
    </row>
    <row r="54">
      <c r="H54" s="1"/>
      <c r="I54" s="1"/>
      <c r="J54" s="1"/>
      <c r="K54" s="1"/>
      <c r="L54" s="1"/>
      <c r="N54" s="1"/>
      <c r="O54" s="1"/>
      <c r="P54" s="1"/>
      <c r="Q54" s="1"/>
      <c r="R54" s="1"/>
      <c r="S54" s="1"/>
      <c r="T54" s="1"/>
      <c r="U54" s="1"/>
      <c r="V54" s="1"/>
      <c r="W54" s="1"/>
      <c r="X54" s="1"/>
      <c r="Y54" s="1"/>
      <c r="Z54" s="3"/>
      <c r="AA54" s="3"/>
      <c r="AB54" s="1"/>
      <c r="AC54" s="1"/>
      <c r="AD54" s="1"/>
      <c r="AE54" s="1"/>
      <c r="AK54" s="1"/>
      <c r="AL54" s="1"/>
      <c r="AM54" s="1"/>
      <c r="AN54" s="1"/>
      <c r="AO54" s="1"/>
      <c r="AP54" s="2"/>
      <c r="AQ54" s="2"/>
      <c r="AR54" s="2"/>
      <c r="AS54" s="2"/>
      <c r="AT54" s="1"/>
      <c r="AU54" s="1"/>
    </row>
    <row r="55">
      <c r="H55" s="1"/>
      <c r="I55" s="1"/>
      <c r="J55" s="1"/>
      <c r="K55" s="1"/>
      <c r="L55" s="1"/>
      <c r="N55" s="1"/>
      <c r="O55" s="1"/>
      <c r="P55" s="1"/>
      <c r="Q55" s="1"/>
      <c r="R55" s="1"/>
      <c r="S55" s="1"/>
      <c r="T55" s="1"/>
      <c r="U55" s="1"/>
      <c r="V55" s="1"/>
      <c r="W55" s="1"/>
      <c r="X55" s="1"/>
      <c r="Y55" s="1"/>
      <c r="Z55" s="3"/>
      <c r="AA55" s="3"/>
      <c r="AB55" s="1"/>
      <c r="AC55" s="1"/>
      <c r="AD55" s="1"/>
      <c r="AE55" s="1"/>
      <c r="AK55" s="1"/>
      <c r="AL55" s="1"/>
      <c r="AM55" s="1"/>
      <c r="AN55" s="1"/>
      <c r="AO55" s="1"/>
      <c r="AP55" s="2"/>
      <c r="AQ55" s="2"/>
      <c r="AR55" s="2"/>
      <c r="AS55" s="2"/>
      <c r="AT55" s="1"/>
      <c r="AU55" s="1"/>
    </row>
    <row r="56">
      <c r="H56" s="1"/>
      <c r="I56" s="1"/>
      <c r="J56" s="1"/>
      <c r="K56" s="1"/>
      <c r="L56" s="1"/>
      <c r="N56" s="1"/>
      <c r="O56" s="1"/>
      <c r="P56" s="1"/>
      <c r="Q56" s="1"/>
      <c r="R56" s="1"/>
      <c r="S56" s="1"/>
      <c r="T56" s="1"/>
      <c r="U56" s="1"/>
      <c r="V56" s="1"/>
      <c r="W56" s="1"/>
      <c r="X56" s="1"/>
      <c r="Y56" s="1"/>
      <c r="Z56" s="3"/>
      <c r="AA56" s="3"/>
      <c r="AB56" s="1"/>
      <c r="AC56" s="1"/>
      <c r="AD56" s="1"/>
      <c r="AE56" s="1"/>
      <c r="AK56" s="1"/>
      <c r="AL56" s="1"/>
      <c r="AM56" s="1"/>
      <c r="AN56" s="1"/>
      <c r="AO56" s="1"/>
      <c r="AP56" s="2"/>
      <c r="AQ56" s="2"/>
      <c r="AR56" s="2"/>
      <c r="AS56" s="2"/>
      <c r="AT56" s="1"/>
      <c r="AU56" s="1"/>
    </row>
    <row r="57">
      <c r="H57" s="1"/>
      <c r="I57" s="1"/>
      <c r="J57" s="1"/>
      <c r="K57" s="1"/>
      <c r="L57" s="1"/>
      <c r="N57" s="1"/>
      <c r="O57" s="1"/>
      <c r="P57" s="1"/>
      <c r="Q57" s="1"/>
      <c r="R57" s="1"/>
      <c r="S57" s="1"/>
      <c r="T57" s="1"/>
      <c r="U57" s="1"/>
      <c r="V57" s="1"/>
      <c r="W57" s="1"/>
      <c r="X57" s="1"/>
      <c r="Y57" s="1"/>
      <c r="Z57" s="3"/>
      <c r="AA57" s="3"/>
      <c r="AB57" s="1"/>
      <c r="AC57" s="1"/>
      <c r="AD57" s="1"/>
      <c r="AE57" s="1"/>
      <c r="AK57" s="1"/>
      <c r="AL57" s="1"/>
      <c r="AM57" s="1"/>
      <c r="AN57" s="1"/>
      <c r="AO57" s="1"/>
      <c r="AP57" s="2"/>
      <c r="AQ57" s="2"/>
      <c r="AR57" s="2"/>
      <c r="AS57" s="2"/>
      <c r="AT57" s="1"/>
      <c r="AU57" s="1"/>
    </row>
    <row r="58">
      <c r="H58" s="1"/>
      <c r="I58" s="1"/>
      <c r="J58" s="1"/>
      <c r="K58" s="1"/>
      <c r="L58" s="1"/>
      <c r="N58" s="1"/>
      <c r="O58" s="1"/>
      <c r="P58" s="1"/>
      <c r="Q58" s="1"/>
      <c r="R58" s="1"/>
      <c r="S58" s="1"/>
      <c r="T58" s="1"/>
      <c r="U58" s="1"/>
      <c r="V58" s="1"/>
      <c r="W58" s="1"/>
      <c r="X58" s="1"/>
      <c r="Y58" s="1"/>
      <c r="Z58" s="3"/>
      <c r="AA58" s="3"/>
      <c r="AB58" s="1"/>
      <c r="AC58" s="1"/>
      <c r="AD58" s="1"/>
      <c r="AE58" s="1"/>
      <c r="AK58" s="1"/>
      <c r="AL58" s="1"/>
      <c r="AM58" s="1"/>
      <c r="AN58" s="1"/>
      <c r="AO58" s="1"/>
      <c r="AP58" s="2"/>
      <c r="AQ58" s="2"/>
      <c r="AR58" s="2"/>
      <c r="AS58" s="2"/>
      <c r="AT58" s="1"/>
      <c r="AU58" s="1"/>
    </row>
    <row r="59">
      <c r="H59" s="1"/>
      <c r="I59" s="1"/>
      <c r="J59" s="1"/>
      <c r="K59" s="1"/>
      <c r="L59" s="1"/>
      <c r="N59" s="1"/>
      <c r="O59" s="1"/>
      <c r="P59" s="1"/>
      <c r="Q59" s="1"/>
      <c r="R59" s="1"/>
      <c r="S59" s="1"/>
      <c r="T59" s="1"/>
      <c r="U59" s="1"/>
      <c r="V59" s="1"/>
      <c r="W59" s="1"/>
      <c r="X59" s="1"/>
      <c r="Y59" s="1"/>
      <c r="Z59" s="3"/>
      <c r="AA59" s="3"/>
      <c r="AB59" s="1"/>
      <c r="AC59" s="1"/>
      <c r="AD59" s="1"/>
      <c r="AE59" s="1"/>
      <c r="AK59" s="1"/>
      <c r="AL59" s="1"/>
      <c r="AM59" s="1"/>
      <c r="AN59" s="1"/>
      <c r="AO59" s="1"/>
      <c r="AP59" s="2"/>
      <c r="AQ59" s="2"/>
      <c r="AR59" s="2"/>
      <c r="AS59" s="2"/>
      <c r="AT59" s="1"/>
      <c r="AU59" s="1"/>
    </row>
    <row r="60">
      <c r="H60" s="1"/>
      <c r="I60" s="1"/>
      <c r="J60" s="1"/>
      <c r="K60" s="1"/>
      <c r="L60" s="1"/>
      <c r="N60" s="1"/>
      <c r="O60" s="1"/>
      <c r="P60" s="1"/>
      <c r="Q60" s="1"/>
      <c r="R60" s="1"/>
      <c r="S60" s="1"/>
      <c r="T60" s="1"/>
      <c r="U60" s="1"/>
      <c r="V60" s="1"/>
      <c r="W60" s="1"/>
      <c r="X60" s="1"/>
      <c r="Y60" s="1"/>
      <c r="Z60" s="3"/>
      <c r="AA60" s="3"/>
      <c r="AB60" s="1"/>
      <c r="AC60" s="1"/>
      <c r="AD60" s="1"/>
      <c r="AE60" s="1"/>
      <c r="AK60" s="1"/>
      <c r="AL60" s="1"/>
      <c r="AM60" s="1"/>
      <c r="AN60" s="1"/>
      <c r="AO60" s="1"/>
      <c r="AP60" s="2"/>
      <c r="AQ60" s="2"/>
      <c r="AR60" s="2"/>
      <c r="AS60" s="2"/>
      <c r="AT60" s="1"/>
      <c r="AU60" s="1"/>
    </row>
    <row r="61">
      <c r="H61" s="1"/>
      <c r="I61" s="1"/>
      <c r="J61" s="1"/>
      <c r="K61" s="1"/>
      <c r="L61" s="1"/>
      <c r="N61" s="1"/>
      <c r="O61" s="1"/>
      <c r="P61" s="1"/>
      <c r="Q61" s="1"/>
      <c r="R61" s="1"/>
      <c r="S61" s="1"/>
      <c r="T61" s="1"/>
      <c r="U61" s="1"/>
      <c r="V61" s="1"/>
      <c r="W61" s="1"/>
      <c r="X61" s="1"/>
      <c r="Y61" s="1"/>
      <c r="Z61" s="3"/>
      <c r="AA61" s="3"/>
      <c r="AB61" s="1"/>
      <c r="AC61" s="1"/>
      <c r="AD61" s="1"/>
      <c r="AE61" s="1"/>
      <c r="AK61" s="1"/>
      <c r="AL61" s="1"/>
      <c r="AM61" s="1"/>
      <c r="AN61" s="1"/>
      <c r="AO61" s="1"/>
      <c r="AP61" s="2"/>
      <c r="AQ61" s="2"/>
      <c r="AR61" s="2"/>
      <c r="AS61" s="2"/>
      <c r="AT61" s="1"/>
      <c r="AU61" s="1"/>
    </row>
    <row r="62">
      <c r="H62" s="1"/>
      <c r="I62" s="1"/>
      <c r="J62" s="1"/>
      <c r="K62" s="1"/>
      <c r="L62" s="1"/>
      <c r="N62" s="1"/>
      <c r="O62" s="1"/>
      <c r="P62" s="1"/>
      <c r="Q62" s="1"/>
      <c r="R62" s="1"/>
      <c r="S62" s="1"/>
      <c r="T62" s="1"/>
      <c r="U62" s="1"/>
      <c r="V62" s="1"/>
      <c r="W62" s="1"/>
      <c r="X62" s="1"/>
      <c r="Y62" s="1"/>
      <c r="Z62" s="3"/>
      <c r="AA62" s="3"/>
      <c r="AB62" s="1"/>
      <c r="AC62" s="1"/>
      <c r="AD62" s="1"/>
      <c r="AE62" s="1"/>
      <c r="AF62" s="2"/>
      <c r="AG62" s="2"/>
      <c r="AH62" s="2"/>
      <c r="AI62" s="2"/>
      <c r="AJ62" s="2"/>
      <c r="AK62" s="1"/>
      <c r="AL62" s="1"/>
      <c r="AM62" s="1"/>
      <c r="AN62" s="1"/>
      <c r="AO62" s="1"/>
      <c r="AP62" s="2"/>
      <c r="AQ62" s="2"/>
      <c r="AR62" s="2"/>
      <c r="AS62" s="2"/>
      <c r="AT62" s="1"/>
      <c r="AU62" s="1"/>
    </row>
    <row r="63">
      <c r="H63" s="1"/>
      <c r="I63" s="1"/>
      <c r="J63" s="1"/>
      <c r="K63" s="1"/>
      <c r="L63" s="1"/>
      <c r="N63" s="1"/>
      <c r="O63" s="1"/>
      <c r="P63" s="1"/>
      <c r="Q63" s="1"/>
      <c r="R63" s="1"/>
      <c r="S63" s="1"/>
      <c r="T63" s="1"/>
      <c r="U63" s="1"/>
      <c r="V63" s="1"/>
      <c r="W63" s="1"/>
      <c r="X63" s="1"/>
      <c r="Y63" s="1"/>
      <c r="Z63" s="3"/>
      <c r="AA63" s="3"/>
      <c r="AB63" s="1"/>
      <c r="AC63" s="1"/>
      <c r="AD63" s="1"/>
      <c r="AE63" s="1"/>
      <c r="AF63" s="2"/>
      <c r="AG63" s="2"/>
      <c r="AH63" s="2"/>
      <c r="AI63" s="2"/>
      <c r="AJ63" s="2"/>
      <c r="AK63" s="1"/>
      <c r="AL63" s="1"/>
      <c r="AM63" s="1"/>
      <c r="AN63" s="1"/>
      <c r="AO63" s="1"/>
      <c r="AP63" s="2"/>
      <c r="AQ63" s="2"/>
      <c r="AR63" s="2"/>
      <c r="AS63" s="2"/>
      <c r="AT63" s="1"/>
      <c r="AU63" s="1"/>
    </row>
    <row r="64">
      <c r="H64" s="1"/>
      <c r="I64" s="1"/>
      <c r="J64" s="1"/>
      <c r="K64" s="1"/>
      <c r="L64" s="1"/>
      <c r="N64" s="1"/>
      <c r="O64" s="1"/>
      <c r="P64" s="1"/>
      <c r="Q64" s="1"/>
      <c r="R64" s="1"/>
      <c r="S64" s="1"/>
      <c r="T64" s="1"/>
      <c r="U64" s="1"/>
      <c r="V64" s="1"/>
      <c r="W64" s="1"/>
      <c r="X64" s="1"/>
      <c r="Y64" s="1"/>
      <c r="Z64" s="3"/>
      <c r="AA64" s="3"/>
      <c r="AB64" s="1"/>
      <c r="AC64" s="1"/>
      <c r="AD64" s="1"/>
      <c r="AE64" s="1"/>
      <c r="AF64" s="2"/>
      <c r="AG64" s="2"/>
      <c r="AH64" s="2"/>
      <c r="AI64" s="2"/>
      <c r="AJ64" s="2"/>
      <c r="AK64" s="1"/>
      <c r="AL64" s="1"/>
      <c r="AM64" s="1"/>
      <c r="AN64" s="1"/>
      <c r="AO64" s="1"/>
      <c r="AP64" s="2"/>
      <c r="AQ64" s="2"/>
      <c r="AR64" s="2"/>
      <c r="AS64" s="2"/>
      <c r="AT64" s="1"/>
      <c r="AU64" s="1"/>
    </row>
    <row r="65">
      <c r="H65" s="1"/>
      <c r="I65" s="1"/>
      <c r="J65" s="1"/>
      <c r="K65" s="1"/>
      <c r="L65" s="1"/>
      <c r="N65" s="1"/>
      <c r="O65" s="1"/>
      <c r="P65" s="1"/>
      <c r="Q65" s="1"/>
      <c r="R65" s="1"/>
      <c r="S65" s="1"/>
      <c r="T65" s="1"/>
      <c r="U65" s="1"/>
      <c r="V65" s="1"/>
      <c r="W65" s="1"/>
      <c r="X65" s="1"/>
      <c r="Y65" s="1"/>
      <c r="Z65" s="3"/>
      <c r="AA65" s="3"/>
      <c r="AB65" s="1"/>
      <c r="AC65" s="1"/>
      <c r="AD65" s="1"/>
      <c r="AE65" s="1"/>
      <c r="AF65" s="2"/>
      <c r="AG65" s="2"/>
      <c r="AH65" s="2"/>
      <c r="AI65" s="2"/>
      <c r="AJ65" s="2"/>
      <c r="AK65" s="1"/>
      <c r="AL65" s="1"/>
      <c r="AM65" s="1"/>
      <c r="AN65" s="1"/>
      <c r="AO65" s="1"/>
      <c r="AP65" s="2"/>
      <c r="AQ65" s="2"/>
      <c r="AR65" s="2"/>
      <c r="AS65" s="2"/>
      <c r="AT65" s="1"/>
      <c r="AU65" s="1"/>
    </row>
    <row r="66">
      <c r="H66" s="1"/>
      <c r="I66" s="1"/>
      <c r="J66" s="1"/>
      <c r="K66" s="1"/>
      <c r="L66" s="1"/>
      <c r="N66" s="1"/>
      <c r="O66" s="1"/>
      <c r="P66" s="1"/>
      <c r="Q66" s="1"/>
      <c r="R66" s="1"/>
      <c r="S66" s="1"/>
      <c r="T66" s="1"/>
      <c r="U66" s="1"/>
      <c r="V66" s="1"/>
      <c r="W66" s="1"/>
      <c r="X66" s="1"/>
      <c r="Y66" s="1"/>
      <c r="Z66" s="3"/>
      <c r="AA66" s="3"/>
      <c r="AB66" s="1"/>
      <c r="AC66" s="1"/>
      <c r="AD66" s="1"/>
      <c r="AE66" s="1"/>
      <c r="AF66" s="2"/>
      <c r="AG66" s="2"/>
      <c r="AH66" s="2"/>
      <c r="AI66" s="2"/>
      <c r="AJ66" s="2"/>
      <c r="AK66" s="1"/>
      <c r="AL66" s="1"/>
      <c r="AM66" s="1"/>
      <c r="AN66" s="1"/>
      <c r="AO66" s="1"/>
      <c r="AP66" s="2"/>
      <c r="AQ66" s="2"/>
      <c r="AR66" s="2"/>
      <c r="AS66" s="2"/>
      <c r="AT66" s="1"/>
      <c r="AU66" s="1"/>
    </row>
    <row r="67">
      <c r="H67" s="1"/>
      <c r="I67" s="1"/>
      <c r="J67" s="1"/>
      <c r="K67" s="1"/>
      <c r="L67" s="1"/>
      <c r="N67" s="1"/>
      <c r="O67" s="1"/>
      <c r="P67" s="1"/>
      <c r="Q67" s="1"/>
      <c r="R67" s="1"/>
      <c r="S67" s="1"/>
      <c r="T67" s="1"/>
      <c r="U67" s="1"/>
      <c r="V67" s="1"/>
      <c r="W67" s="1"/>
      <c r="X67" s="1"/>
      <c r="Y67" s="1"/>
      <c r="Z67" s="3"/>
      <c r="AA67" s="3"/>
      <c r="AB67" s="1"/>
      <c r="AC67" s="1"/>
      <c r="AD67" s="1"/>
      <c r="AE67" s="1"/>
      <c r="AF67" s="2"/>
      <c r="AG67" s="2"/>
      <c r="AH67" s="2"/>
      <c r="AI67" s="2"/>
      <c r="AJ67" s="2"/>
      <c r="AK67" s="1"/>
      <c r="AL67" s="1"/>
      <c r="AM67" s="1"/>
      <c r="AN67" s="1"/>
      <c r="AO67" s="1"/>
      <c r="AP67" s="2"/>
      <c r="AQ67" s="2"/>
      <c r="AR67" s="2"/>
      <c r="AS67" s="2"/>
      <c r="AT67" s="1"/>
      <c r="AU67" s="1"/>
    </row>
    <row r="68">
      <c r="H68" s="1"/>
      <c r="I68" s="1"/>
      <c r="J68" s="1"/>
      <c r="K68" s="1"/>
      <c r="L68" s="1"/>
      <c r="N68" s="1"/>
      <c r="O68" s="1"/>
      <c r="P68" s="1"/>
      <c r="Q68" s="1"/>
      <c r="R68" s="1"/>
      <c r="S68" s="1"/>
      <c r="T68" s="1"/>
      <c r="U68" s="1"/>
      <c r="V68" s="1"/>
      <c r="W68" s="1"/>
      <c r="X68" s="1"/>
      <c r="Y68" s="1"/>
      <c r="Z68" s="3"/>
      <c r="AA68" s="3"/>
      <c r="AB68" s="1"/>
      <c r="AC68" s="1"/>
      <c r="AD68" s="1"/>
      <c r="AE68" s="1"/>
      <c r="AF68" s="2"/>
      <c r="AG68" s="2"/>
      <c r="AH68" s="2"/>
      <c r="AI68" s="2"/>
      <c r="AJ68" s="2"/>
      <c r="AK68" s="1"/>
      <c r="AL68" s="1"/>
      <c r="AM68" s="1"/>
      <c r="AN68" s="1"/>
      <c r="AO68" s="1"/>
      <c r="AP68" s="2"/>
      <c r="AQ68" s="2"/>
      <c r="AR68" s="2"/>
      <c r="AS68" s="2"/>
      <c r="AT68" s="1"/>
      <c r="AU68" s="1"/>
    </row>
    <row r="69">
      <c r="H69" s="1"/>
      <c r="I69" s="1"/>
      <c r="J69" s="1"/>
      <c r="K69" s="1"/>
      <c r="L69" s="1"/>
      <c r="N69" s="1"/>
      <c r="O69" s="1"/>
      <c r="P69" s="1"/>
      <c r="Q69" s="1"/>
      <c r="R69" s="1"/>
      <c r="S69" s="1"/>
      <c r="T69" s="1"/>
      <c r="U69" s="1"/>
      <c r="V69" s="1"/>
      <c r="W69" s="1"/>
      <c r="X69" s="1"/>
      <c r="Y69" s="1"/>
      <c r="Z69" s="3"/>
      <c r="AA69" s="3"/>
      <c r="AB69" s="1"/>
      <c r="AC69" s="1"/>
      <c r="AD69" s="1"/>
      <c r="AE69" s="1"/>
      <c r="AF69" s="2"/>
      <c r="AG69" s="2"/>
      <c r="AH69" s="2"/>
      <c r="AI69" s="2"/>
      <c r="AJ69" s="2"/>
      <c r="AK69" s="1"/>
      <c r="AL69" s="1"/>
      <c r="AM69" s="1"/>
      <c r="AN69" s="1"/>
      <c r="AO69" s="1"/>
      <c r="AP69" s="2"/>
      <c r="AQ69" s="2"/>
      <c r="AR69" s="2"/>
      <c r="AS69" s="2"/>
      <c r="AT69" s="1"/>
      <c r="AU69" s="1"/>
    </row>
    <row r="70">
      <c r="H70" s="1"/>
      <c r="I70" s="1"/>
      <c r="J70" s="1"/>
      <c r="K70" s="1"/>
      <c r="L70" s="1"/>
      <c r="N70" s="1"/>
      <c r="O70" s="1"/>
      <c r="P70" s="1"/>
      <c r="Q70" s="1"/>
      <c r="R70" s="1"/>
      <c r="S70" s="1"/>
      <c r="T70" s="1"/>
      <c r="U70" s="1"/>
      <c r="V70" s="1"/>
      <c r="W70" s="1"/>
      <c r="X70" s="1"/>
      <c r="Y70" s="1"/>
      <c r="Z70" s="3"/>
      <c r="AA70" s="3"/>
      <c r="AB70" s="1"/>
      <c r="AC70" s="1"/>
      <c r="AD70" s="1"/>
      <c r="AE70" s="1"/>
      <c r="AF70" s="2"/>
      <c r="AG70" s="2"/>
      <c r="AH70" s="2"/>
      <c r="AI70" s="2"/>
      <c r="AJ70" s="2"/>
      <c r="AK70" s="1"/>
      <c r="AL70" s="1"/>
      <c r="AM70" s="1"/>
      <c r="AN70" s="1"/>
      <c r="AO70" s="1"/>
      <c r="AP70" s="2"/>
      <c r="AQ70" s="2"/>
      <c r="AR70" s="2"/>
      <c r="AS70" s="2"/>
      <c r="AT70" s="1"/>
      <c r="AU70" s="1"/>
    </row>
    <row r="71">
      <c r="H71" s="1"/>
      <c r="I71" s="1"/>
      <c r="J71" s="1"/>
      <c r="K71" s="1"/>
      <c r="L71" s="1"/>
      <c r="N71" s="1"/>
      <c r="O71" s="1"/>
      <c r="P71" s="1"/>
      <c r="Q71" s="1"/>
      <c r="R71" s="1"/>
      <c r="S71" s="1"/>
      <c r="T71" s="1"/>
      <c r="U71" s="1"/>
      <c r="V71" s="1"/>
      <c r="W71" s="1"/>
      <c r="X71" s="1"/>
      <c r="Y71" s="1"/>
      <c r="Z71" s="3"/>
      <c r="AA71" s="3"/>
      <c r="AB71" s="1"/>
      <c r="AC71" s="1"/>
      <c r="AD71" s="1"/>
      <c r="AE71" s="1"/>
      <c r="AF71" s="2"/>
      <c r="AG71" s="2"/>
      <c r="AH71" s="2"/>
      <c r="AI71" s="2"/>
      <c r="AJ71" s="2"/>
      <c r="AK71" s="1"/>
      <c r="AL71" s="1"/>
      <c r="AM71" s="1"/>
      <c r="AN71" s="1"/>
      <c r="AO71" s="1"/>
      <c r="AP71" s="2"/>
      <c r="AQ71" s="2"/>
      <c r="AR71" s="2"/>
      <c r="AS71" s="2"/>
      <c r="AT71" s="1"/>
      <c r="AU71" s="1"/>
    </row>
    <row r="72">
      <c r="H72" s="1"/>
      <c r="I72" s="1"/>
      <c r="J72" s="1"/>
      <c r="K72" s="1"/>
      <c r="L72" s="1"/>
      <c r="N72" s="1"/>
      <c r="O72" s="1"/>
      <c r="P72" s="1"/>
      <c r="Q72" s="1"/>
      <c r="R72" s="1"/>
      <c r="S72" s="1"/>
      <c r="T72" s="1"/>
      <c r="U72" s="1"/>
      <c r="V72" s="1"/>
      <c r="W72" s="1"/>
      <c r="X72" s="1"/>
      <c r="Y72" s="1"/>
      <c r="Z72" s="3"/>
      <c r="AA72" s="3"/>
      <c r="AB72" s="1"/>
      <c r="AC72" s="1"/>
      <c r="AD72" s="1"/>
      <c r="AE72" s="1"/>
      <c r="AF72" s="2"/>
      <c r="AG72" s="2"/>
      <c r="AH72" s="2"/>
      <c r="AI72" s="2"/>
      <c r="AJ72" s="2"/>
      <c r="AK72" s="1"/>
      <c r="AL72" s="1"/>
      <c r="AM72" s="1"/>
      <c r="AN72" s="1"/>
      <c r="AO72" s="1"/>
      <c r="AP72" s="2"/>
      <c r="AQ72" s="2"/>
      <c r="AR72" s="2"/>
      <c r="AS72" s="2"/>
      <c r="AT72" s="1"/>
      <c r="AU72" s="1"/>
    </row>
    <row r="73">
      <c r="H73" s="1"/>
      <c r="I73" s="1"/>
      <c r="J73" s="1"/>
      <c r="K73" s="1"/>
      <c r="L73" s="1"/>
      <c r="N73" s="1"/>
      <c r="O73" s="1"/>
      <c r="P73" s="1"/>
      <c r="Q73" s="1"/>
      <c r="R73" s="1"/>
      <c r="S73" s="1"/>
      <c r="T73" s="1"/>
      <c r="U73" s="1"/>
      <c r="V73" s="1"/>
      <c r="W73" s="1"/>
      <c r="X73" s="1"/>
      <c r="Y73" s="1"/>
      <c r="Z73" s="3"/>
      <c r="AA73" s="3"/>
      <c r="AB73" s="1"/>
      <c r="AC73" s="1"/>
      <c r="AD73" s="1"/>
      <c r="AE73" s="1"/>
      <c r="AF73" s="2"/>
      <c r="AG73" s="2"/>
      <c r="AH73" s="2"/>
      <c r="AI73" s="2"/>
      <c r="AJ73" s="2"/>
      <c r="AK73" s="1"/>
      <c r="AL73" s="1"/>
      <c r="AM73" s="1"/>
      <c r="AN73" s="1"/>
      <c r="AO73" s="1"/>
      <c r="AP73" s="2"/>
      <c r="AQ73" s="2"/>
      <c r="AR73" s="2"/>
      <c r="AS73" s="2"/>
      <c r="AT73" s="1"/>
      <c r="AU73" s="1"/>
    </row>
    <row r="74">
      <c r="H74" s="1"/>
      <c r="I74" s="1"/>
      <c r="J74" s="1"/>
      <c r="K74" s="1"/>
      <c r="L74" s="1"/>
      <c r="N74" s="1"/>
      <c r="O74" s="1"/>
      <c r="P74" s="1"/>
      <c r="Q74" s="1"/>
      <c r="R74" s="1"/>
      <c r="S74" s="1"/>
      <c r="T74" s="1"/>
      <c r="U74" s="1"/>
      <c r="V74" s="1"/>
      <c r="W74" s="1"/>
      <c r="X74" s="1"/>
      <c r="Y74" s="1"/>
      <c r="Z74" s="3"/>
      <c r="AA74" s="3"/>
      <c r="AB74" s="1"/>
      <c r="AC74" s="1"/>
      <c r="AD74" s="1"/>
      <c r="AE74" s="1"/>
      <c r="AF74" s="2"/>
      <c r="AG74" s="2"/>
      <c r="AH74" s="2"/>
      <c r="AI74" s="2"/>
      <c r="AJ74" s="2"/>
      <c r="AK74" s="1"/>
      <c r="AL74" s="1"/>
      <c r="AM74" s="1"/>
      <c r="AN74" s="1"/>
      <c r="AO74" s="1"/>
      <c r="AP74" s="2"/>
      <c r="AQ74" s="2"/>
      <c r="AR74" s="2"/>
      <c r="AS74" s="2"/>
      <c r="AT74" s="1"/>
      <c r="AU74" s="1"/>
    </row>
    <row r="75">
      <c r="H75" s="1"/>
      <c r="I75" s="1"/>
      <c r="J75" s="1"/>
      <c r="K75" s="1"/>
      <c r="L75" s="1"/>
      <c r="N75" s="1"/>
      <c r="O75" s="1"/>
      <c r="P75" s="1"/>
      <c r="Q75" s="1"/>
      <c r="R75" s="1"/>
      <c r="S75" s="1"/>
      <c r="T75" s="1"/>
      <c r="U75" s="1"/>
      <c r="V75" s="1"/>
      <c r="W75" s="1"/>
      <c r="X75" s="1"/>
      <c r="Y75" s="1"/>
      <c r="Z75" s="3"/>
      <c r="AA75" s="3"/>
      <c r="AB75" s="1"/>
      <c r="AC75" s="1"/>
      <c r="AD75" s="1"/>
      <c r="AE75" s="1"/>
      <c r="AF75" s="2"/>
      <c r="AG75" s="2"/>
      <c r="AH75" s="2"/>
      <c r="AI75" s="2"/>
      <c r="AJ75" s="2"/>
      <c r="AK75" s="1"/>
      <c r="AL75" s="1"/>
      <c r="AM75" s="1"/>
      <c r="AN75" s="1"/>
      <c r="AO75" s="1"/>
      <c r="AP75" s="2"/>
      <c r="AQ75" s="2"/>
      <c r="AR75" s="2"/>
      <c r="AS75" s="2"/>
      <c r="AT75" s="1"/>
      <c r="AU75" s="1"/>
    </row>
    <row r="76">
      <c r="H76" s="1"/>
      <c r="I76" s="1"/>
      <c r="J76" s="1"/>
      <c r="K76" s="1"/>
      <c r="L76" s="1"/>
      <c r="N76" s="1"/>
      <c r="O76" s="1"/>
      <c r="P76" s="1"/>
      <c r="Q76" s="1"/>
      <c r="R76" s="1"/>
      <c r="S76" s="1"/>
      <c r="T76" s="1"/>
      <c r="U76" s="1"/>
      <c r="V76" s="1"/>
      <c r="W76" s="1"/>
      <c r="X76" s="1"/>
      <c r="Y76" s="1"/>
      <c r="Z76" s="3"/>
      <c r="AA76" s="3"/>
      <c r="AB76" s="1"/>
      <c r="AC76" s="1"/>
      <c r="AD76" s="1"/>
      <c r="AE76" s="1"/>
      <c r="AF76" s="2"/>
      <c r="AG76" s="2"/>
      <c r="AH76" s="2"/>
      <c r="AI76" s="2"/>
      <c r="AJ76" s="2"/>
      <c r="AK76" s="1"/>
      <c r="AL76" s="1"/>
      <c r="AM76" s="1"/>
      <c r="AN76" s="1"/>
      <c r="AO76" s="1"/>
      <c r="AP76" s="2"/>
      <c r="AQ76" s="2"/>
      <c r="AR76" s="2"/>
      <c r="AS76" s="2"/>
      <c r="AT76" s="1"/>
      <c r="AU76" s="1"/>
    </row>
    <row r="77">
      <c r="H77" s="1"/>
      <c r="I77" s="1"/>
      <c r="J77" s="1"/>
      <c r="K77" s="1"/>
      <c r="L77" s="1"/>
      <c r="N77" s="1"/>
      <c r="O77" s="1"/>
      <c r="P77" s="1"/>
      <c r="Q77" s="1"/>
      <c r="R77" s="1"/>
      <c r="S77" s="1"/>
      <c r="T77" s="1"/>
      <c r="U77" s="1"/>
      <c r="V77" s="1"/>
      <c r="W77" s="1"/>
      <c r="X77" s="1"/>
      <c r="Y77" s="1"/>
      <c r="Z77" s="3"/>
      <c r="AA77" s="3"/>
      <c r="AB77" s="1"/>
      <c r="AC77" s="1"/>
      <c r="AD77" s="1"/>
      <c r="AE77" s="1"/>
      <c r="AF77" s="2"/>
      <c r="AG77" s="2"/>
      <c r="AH77" s="2"/>
      <c r="AI77" s="2"/>
      <c r="AJ77" s="2"/>
      <c r="AK77" s="1"/>
      <c r="AL77" s="1"/>
      <c r="AM77" s="1"/>
      <c r="AN77" s="1"/>
      <c r="AO77" s="1"/>
      <c r="AP77" s="2"/>
      <c r="AQ77" s="2"/>
      <c r="AR77" s="2"/>
      <c r="AS77" s="2"/>
      <c r="AT77" s="1"/>
      <c r="AU77" s="1"/>
    </row>
    <row r="78">
      <c r="H78" s="1"/>
      <c r="I78" s="1"/>
      <c r="J78" s="1"/>
      <c r="K78" s="1"/>
      <c r="L78" s="1"/>
      <c r="N78" s="1"/>
      <c r="O78" s="1"/>
      <c r="P78" s="1"/>
      <c r="Q78" s="1"/>
      <c r="R78" s="1"/>
      <c r="S78" s="1"/>
      <c r="T78" s="1"/>
      <c r="U78" s="1"/>
      <c r="V78" s="1"/>
      <c r="W78" s="1"/>
      <c r="X78" s="1"/>
      <c r="Y78" s="1"/>
      <c r="Z78" s="3"/>
      <c r="AA78" s="3"/>
      <c r="AB78" s="1"/>
      <c r="AC78" s="1"/>
      <c r="AD78" s="1"/>
      <c r="AE78" s="1"/>
      <c r="AF78" s="2"/>
      <c r="AG78" s="2"/>
      <c r="AH78" s="2"/>
      <c r="AI78" s="2"/>
      <c r="AJ78" s="2"/>
      <c r="AK78" s="1"/>
      <c r="AL78" s="1"/>
      <c r="AM78" s="1"/>
      <c r="AN78" s="1"/>
      <c r="AO78" s="1"/>
      <c r="AP78" s="2"/>
      <c r="AQ78" s="2"/>
      <c r="AR78" s="2"/>
      <c r="AS78" s="2"/>
      <c r="AT78" s="1"/>
      <c r="AU78" s="1"/>
    </row>
    <row r="79">
      <c r="H79" s="1"/>
      <c r="I79" s="1"/>
      <c r="J79" s="1"/>
      <c r="K79" s="1"/>
      <c r="L79" s="1"/>
      <c r="N79" s="1"/>
      <c r="O79" s="1"/>
      <c r="P79" s="1"/>
      <c r="Q79" s="1"/>
      <c r="R79" s="1"/>
      <c r="S79" s="1"/>
      <c r="T79" s="1"/>
      <c r="U79" s="1"/>
      <c r="V79" s="1"/>
      <c r="W79" s="1"/>
      <c r="X79" s="1"/>
      <c r="Y79" s="1"/>
      <c r="Z79" s="3"/>
      <c r="AA79" s="3"/>
      <c r="AB79" s="1"/>
      <c r="AC79" s="1"/>
      <c r="AD79" s="1"/>
      <c r="AE79" s="1"/>
      <c r="AF79" s="2"/>
      <c r="AG79" s="2"/>
      <c r="AH79" s="2"/>
      <c r="AI79" s="2"/>
      <c r="AJ79" s="2"/>
      <c r="AK79" s="1"/>
      <c r="AL79" s="1"/>
      <c r="AM79" s="1"/>
      <c r="AN79" s="1"/>
      <c r="AO79" s="1"/>
      <c r="AP79" s="2"/>
      <c r="AQ79" s="2"/>
      <c r="AR79" s="2"/>
      <c r="AS79" s="2"/>
      <c r="AT79" s="1"/>
      <c r="AU79" s="1"/>
    </row>
    <row r="80">
      <c r="H80" s="1"/>
      <c r="I80" s="1"/>
      <c r="J80" s="1"/>
      <c r="K80" s="1"/>
      <c r="L80" s="1"/>
      <c r="N80" s="1"/>
      <c r="O80" s="1"/>
      <c r="P80" s="1"/>
      <c r="Q80" s="1"/>
      <c r="R80" s="1"/>
      <c r="S80" s="1"/>
      <c r="T80" s="1"/>
      <c r="U80" s="1"/>
      <c r="V80" s="1"/>
      <c r="W80" s="1"/>
      <c r="X80" s="1"/>
      <c r="Y80" s="1"/>
      <c r="Z80" s="3"/>
      <c r="AA80" s="3"/>
      <c r="AB80" s="1"/>
      <c r="AC80" s="1"/>
      <c r="AD80" s="1"/>
      <c r="AE80" s="1"/>
      <c r="AF80" s="2"/>
      <c r="AG80" s="2"/>
      <c r="AH80" s="2"/>
      <c r="AI80" s="2"/>
      <c r="AJ80" s="2"/>
      <c r="AK80" s="1"/>
      <c r="AL80" s="1"/>
      <c r="AM80" s="1"/>
      <c r="AN80" s="1"/>
      <c r="AO80" s="1"/>
      <c r="AP80" s="2"/>
      <c r="AQ80" s="2"/>
      <c r="AR80" s="2"/>
      <c r="AS80" s="2"/>
      <c r="AT80" s="1"/>
      <c r="AU80" s="1"/>
    </row>
    <row r="81">
      <c r="H81" s="1"/>
      <c r="I81" s="1"/>
      <c r="J81" s="1"/>
      <c r="K81" s="1"/>
      <c r="L81" s="1"/>
      <c r="N81" s="1"/>
      <c r="O81" s="1"/>
      <c r="P81" s="1"/>
      <c r="Q81" s="1"/>
      <c r="R81" s="1"/>
      <c r="S81" s="1"/>
      <c r="T81" s="1"/>
      <c r="U81" s="1"/>
      <c r="V81" s="1"/>
      <c r="W81" s="1"/>
      <c r="X81" s="1"/>
      <c r="Y81" s="1"/>
      <c r="Z81" s="3"/>
      <c r="AA81" s="3"/>
      <c r="AB81" s="1"/>
      <c r="AC81" s="1"/>
      <c r="AD81" s="1"/>
      <c r="AE81" s="1"/>
      <c r="AF81" s="2"/>
      <c r="AG81" s="2"/>
      <c r="AH81" s="2"/>
      <c r="AI81" s="2"/>
      <c r="AJ81" s="2"/>
      <c r="AK81" s="1"/>
      <c r="AL81" s="1"/>
      <c r="AM81" s="1"/>
      <c r="AN81" s="1"/>
      <c r="AO81" s="1"/>
      <c r="AP81" s="2"/>
      <c r="AQ81" s="2"/>
      <c r="AR81" s="2"/>
      <c r="AS81" s="2"/>
      <c r="AT81" s="1"/>
      <c r="AU81" s="1"/>
    </row>
    <row r="82">
      <c r="H82" s="1"/>
      <c r="I82" s="1"/>
      <c r="J82" s="1"/>
      <c r="K82" s="1"/>
      <c r="L82" s="1"/>
      <c r="N82" s="1"/>
      <c r="O82" s="1"/>
      <c r="P82" s="1"/>
      <c r="Q82" s="1"/>
      <c r="R82" s="1"/>
      <c r="S82" s="1"/>
      <c r="T82" s="1"/>
      <c r="U82" s="1"/>
      <c r="V82" s="1"/>
      <c r="W82" s="1"/>
      <c r="X82" s="1"/>
      <c r="Y82" s="1"/>
      <c r="Z82" s="3"/>
      <c r="AA82" s="3"/>
      <c r="AB82" s="1"/>
      <c r="AC82" s="1"/>
      <c r="AD82" s="1"/>
      <c r="AE82" s="1"/>
      <c r="AF82" s="2"/>
      <c r="AG82" s="2"/>
      <c r="AH82" s="2"/>
      <c r="AI82" s="2"/>
      <c r="AJ82" s="2"/>
      <c r="AK82" s="1"/>
      <c r="AL82" s="1"/>
      <c r="AM82" s="1"/>
      <c r="AN82" s="1"/>
      <c r="AO82" s="1"/>
      <c r="AP82" s="2"/>
      <c r="AQ82" s="2"/>
      <c r="AR82" s="2"/>
      <c r="AS82" s="2"/>
      <c r="AT82" s="1"/>
      <c r="AU82" s="1"/>
    </row>
    <row r="83">
      <c r="H83" s="1"/>
      <c r="I83" s="1"/>
      <c r="J83" s="1"/>
      <c r="K83" s="1"/>
      <c r="L83" s="1"/>
      <c r="N83" s="1"/>
      <c r="O83" s="1"/>
      <c r="P83" s="1"/>
      <c r="Q83" s="1"/>
      <c r="R83" s="1"/>
      <c r="S83" s="1"/>
      <c r="T83" s="1"/>
      <c r="U83" s="1"/>
      <c r="V83" s="1"/>
      <c r="W83" s="1"/>
      <c r="X83" s="1"/>
      <c r="Y83" s="1"/>
      <c r="Z83" s="3"/>
      <c r="AA83" s="3"/>
      <c r="AB83" s="1"/>
      <c r="AC83" s="1"/>
      <c r="AD83" s="1"/>
      <c r="AE83" s="1"/>
      <c r="AF83" s="2"/>
      <c r="AG83" s="2"/>
      <c r="AH83" s="2"/>
      <c r="AI83" s="2"/>
      <c r="AJ83" s="2"/>
      <c r="AK83" s="1"/>
      <c r="AL83" s="1"/>
      <c r="AM83" s="1"/>
      <c r="AN83" s="1"/>
      <c r="AO83" s="1"/>
      <c r="AP83" s="2"/>
      <c r="AQ83" s="2"/>
      <c r="AR83" s="2"/>
      <c r="AS83" s="2"/>
      <c r="AT83" s="1"/>
      <c r="AU83" s="1"/>
    </row>
    <row r="84">
      <c r="H84" s="1"/>
      <c r="I84" s="1"/>
      <c r="J84" s="1"/>
      <c r="K84" s="1"/>
      <c r="L84" s="1"/>
      <c r="N84" s="1"/>
      <c r="O84" s="1"/>
      <c r="P84" s="1"/>
      <c r="Q84" s="1"/>
      <c r="R84" s="1"/>
      <c r="S84" s="1"/>
      <c r="T84" s="1"/>
      <c r="U84" s="1"/>
      <c r="V84" s="1"/>
      <c r="W84" s="1"/>
      <c r="X84" s="1"/>
      <c r="Y84" s="1"/>
      <c r="Z84" s="3"/>
      <c r="AA84" s="3"/>
      <c r="AB84" s="1"/>
      <c r="AC84" s="1"/>
      <c r="AD84" s="1"/>
      <c r="AE84" s="1"/>
      <c r="AF84" s="2"/>
      <c r="AG84" s="2"/>
      <c r="AH84" s="2"/>
      <c r="AI84" s="2"/>
      <c r="AJ84" s="2"/>
      <c r="AK84" s="1"/>
      <c r="AL84" s="1"/>
      <c r="AM84" s="1"/>
      <c r="AN84" s="1"/>
      <c r="AO84" s="1"/>
      <c r="AP84" s="2"/>
      <c r="AQ84" s="2"/>
      <c r="AR84" s="2"/>
      <c r="AS84" s="2"/>
      <c r="AT84" s="1"/>
      <c r="AU84" s="1"/>
    </row>
    <row r="85">
      <c r="H85" s="1"/>
      <c r="I85" s="1"/>
      <c r="J85" s="1"/>
      <c r="K85" s="1"/>
      <c r="L85" s="1"/>
      <c r="N85" s="1"/>
      <c r="O85" s="1"/>
      <c r="P85" s="1"/>
      <c r="Q85" s="1"/>
      <c r="R85" s="1"/>
      <c r="S85" s="1"/>
      <c r="T85" s="1"/>
      <c r="U85" s="1"/>
      <c r="V85" s="1"/>
      <c r="W85" s="1"/>
      <c r="X85" s="1"/>
      <c r="Y85" s="1"/>
      <c r="Z85" s="3"/>
      <c r="AA85" s="3"/>
      <c r="AB85" s="1"/>
      <c r="AC85" s="1"/>
      <c r="AD85" s="1"/>
      <c r="AE85" s="1"/>
      <c r="AF85" s="2"/>
      <c r="AG85" s="2"/>
      <c r="AH85" s="2"/>
      <c r="AI85" s="2"/>
      <c r="AJ85" s="2"/>
      <c r="AK85" s="1"/>
      <c r="AL85" s="1"/>
      <c r="AM85" s="1"/>
      <c r="AN85" s="1"/>
      <c r="AO85" s="1"/>
      <c r="AP85" s="2"/>
      <c r="AQ85" s="2"/>
      <c r="AR85" s="2"/>
      <c r="AS85" s="2"/>
      <c r="AT85" s="1"/>
      <c r="AU85" s="1"/>
    </row>
    <row r="86">
      <c r="H86" s="1"/>
      <c r="I86" s="1"/>
      <c r="J86" s="1"/>
      <c r="K86" s="1"/>
      <c r="L86" s="1"/>
      <c r="N86" s="1"/>
      <c r="O86" s="1"/>
      <c r="P86" s="1"/>
      <c r="Q86" s="1"/>
      <c r="R86" s="1"/>
      <c r="S86" s="1"/>
      <c r="T86" s="1"/>
      <c r="U86" s="1"/>
      <c r="V86" s="1"/>
      <c r="W86" s="1"/>
      <c r="X86" s="1"/>
      <c r="Y86" s="1"/>
      <c r="Z86" s="3"/>
      <c r="AA86" s="3"/>
      <c r="AB86" s="1"/>
      <c r="AC86" s="1"/>
      <c r="AD86" s="1"/>
      <c r="AE86" s="1"/>
      <c r="AF86" s="2"/>
      <c r="AG86" s="2"/>
      <c r="AH86" s="2"/>
      <c r="AI86" s="2"/>
      <c r="AJ86" s="2"/>
      <c r="AK86" s="1"/>
      <c r="AL86" s="1"/>
      <c r="AM86" s="1"/>
      <c r="AN86" s="1"/>
      <c r="AO86" s="1"/>
      <c r="AP86" s="2"/>
      <c r="AQ86" s="2"/>
      <c r="AR86" s="2"/>
      <c r="AS86" s="2"/>
      <c r="AT86" s="1"/>
      <c r="AU86" s="1"/>
    </row>
    <row r="87">
      <c r="H87" s="1"/>
      <c r="I87" s="1"/>
      <c r="J87" s="1"/>
      <c r="K87" s="1"/>
      <c r="L87" s="1"/>
      <c r="N87" s="1"/>
      <c r="O87" s="1"/>
      <c r="P87" s="1"/>
      <c r="Q87" s="1"/>
      <c r="R87" s="1"/>
      <c r="S87" s="1"/>
      <c r="T87" s="1"/>
      <c r="U87" s="1"/>
      <c r="V87" s="1"/>
      <c r="W87" s="1"/>
      <c r="X87" s="1"/>
      <c r="Y87" s="1"/>
      <c r="Z87" s="3"/>
      <c r="AA87" s="3"/>
      <c r="AB87" s="1"/>
      <c r="AC87" s="1"/>
      <c r="AD87" s="1"/>
      <c r="AE87" s="1"/>
      <c r="AF87" s="2"/>
      <c r="AG87" s="2"/>
      <c r="AH87" s="2"/>
      <c r="AI87" s="2"/>
      <c r="AJ87" s="2"/>
      <c r="AK87" s="1"/>
      <c r="AL87" s="1"/>
      <c r="AM87" s="1"/>
      <c r="AN87" s="1"/>
      <c r="AO87" s="1"/>
      <c r="AP87" s="2"/>
      <c r="AQ87" s="2"/>
      <c r="AR87" s="2"/>
      <c r="AS87" s="2"/>
      <c r="AT87" s="1"/>
      <c r="AU87" s="1"/>
    </row>
    <row r="88">
      <c r="H88" s="1"/>
      <c r="I88" s="1"/>
      <c r="J88" s="1"/>
      <c r="K88" s="1"/>
      <c r="L88" s="1"/>
      <c r="N88" s="1"/>
      <c r="O88" s="1"/>
      <c r="P88" s="1"/>
      <c r="Q88" s="1"/>
      <c r="R88" s="1"/>
      <c r="S88" s="1"/>
      <c r="T88" s="1"/>
      <c r="U88" s="1"/>
      <c r="V88" s="1"/>
      <c r="W88" s="1"/>
      <c r="X88" s="1"/>
      <c r="Y88" s="1"/>
      <c r="Z88" s="3"/>
      <c r="AA88" s="3"/>
      <c r="AB88" s="1"/>
      <c r="AC88" s="1"/>
      <c r="AD88" s="1"/>
      <c r="AE88" s="1"/>
      <c r="AF88" s="2"/>
      <c r="AG88" s="2"/>
      <c r="AH88" s="2"/>
      <c r="AI88" s="2"/>
      <c r="AJ88" s="2"/>
      <c r="AK88" s="1"/>
      <c r="AL88" s="1"/>
      <c r="AM88" s="1"/>
      <c r="AN88" s="1"/>
      <c r="AO88" s="1"/>
      <c r="AP88" s="2"/>
      <c r="AQ88" s="2"/>
      <c r="AR88" s="2"/>
      <c r="AS88" s="2"/>
      <c r="AT88" s="1"/>
      <c r="AU88" s="1"/>
    </row>
    <row r="89">
      <c r="H89" s="1"/>
      <c r="I89" s="1"/>
      <c r="J89" s="1"/>
      <c r="K89" s="1"/>
      <c r="L89" s="1"/>
      <c r="N89" s="1"/>
      <c r="O89" s="1"/>
      <c r="P89" s="1"/>
      <c r="Q89" s="1"/>
      <c r="R89" s="1"/>
      <c r="S89" s="1"/>
      <c r="T89" s="1"/>
      <c r="U89" s="1"/>
      <c r="V89" s="1"/>
      <c r="W89" s="1"/>
      <c r="X89" s="1"/>
      <c r="Y89" s="1"/>
      <c r="Z89" s="3"/>
      <c r="AA89" s="3"/>
      <c r="AB89" s="1"/>
      <c r="AC89" s="1"/>
      <c r="AD89" s="1"/>
      <c r="AE89" s="1"/>
      <c r="AF89" s="2"/>
      <c r="AG89" s="2"/>
      <c r="AH89" s="2"/>
      <c r="AI89" s="2"/>
      <c r="AJ89" s="2"/>
      <c r="AK89" s="1"/>
      <c r="AL89" s="1"/>
      <c r="AM89" s="1"/>
      <c r="AN89" s="1"/>
      <c r="AO89" s="1"/>
      <c r="AP89" s="2"/>
      <c r="AQ89" s="2"/>
      <c r="AR89" s="2"/>
      <c r="AS89" s="2"/>
      <c r="AT89" s="1"/>
      <c r="AU89" s="1"/>
    </row>
    <row r="90">
      <c r="H90" s="1"/>
      <c r="I90" s="1"/>
      <c r="J90" s="1"/>
      <c r="K90" s="1"/>
      <c r="L90" s="1"/>
      <c r="N90" s="1"/>
      <c r="O90" s="1"/>
      <c r="P90" s="1"/>
      <c r="Q90" s="1"/>
      <c r="R90" s="1"/>
      <c r="S90" s="1"/>
      <c r="T90" s="1"/>
      <c r="U90" s="1"/>
      <c r="V90" s="1"/>
      <c r="W90" s="1"/>
      <c r="X90" s="1"/>
      <c r="Y90" s="1"/>
      <c r="Z90" s="3"/>
      <c r="AA90" s="3"/>
      <c r="AB90" s="1"/>
      <c r="AC90" s="1"/>
      <c r="AD90" s="1"/>
      <c r="AE90" s="1"/>
      <c r="AF90" s="2"/>
      <c r="AG90" s="2"/>
      <c r="AH90" s="2"/>
      <c r="AI90" s="2"/>
      <c r="AJ90" s="2"/>
      <c r="AK90" s="1"/>
      <c r="AL90" s="1"/>
      <c r="AM90" s="1"/>
      <c r="AN90" s="1"/>
      <c r="AO90" s="1"/>
      <c r="AP90" s="2"/>
      <c r="AQ90" s="2"/>
      <c r="AR90" s="2"/>
      <c r="AS90" s="2"/>
      <c r="AT90" s="1"/>
      <c r="AU90" s="1"/>
    </row>
    <row r="91">
      <c r="H91" s="1"/>
      <c r="I91" s="1"/>
      <c r="J91" s="1"/>
      <c r="K91" s="1"/>
      <c r="L91" s="1"/>
      <c r="N91" s="1"/>
      <c r="O91" s="1"/>
      <c r="P91" s="1"/>
      <c r="Q91" s="1"/>
      <c r="R91" s="1"/>
      <c r="S91" s="1"/>
      <c r="T91" s="1"/>
      <c r="U91" s="1"/>
      <c r="V91" s="1"/>
      <c r="W91" s="1"/>
      <c r="X91" s="1"/>
      <c r="Y91" s="1"/>
      <c r="Z91" s="3"/>
      <c r="AA91" s="3"/>
      <c r="AB91" s="1"/>
      <c r="AC91" s="1"/>
      <c r="AD91" s="1"/>
      <c r="AE91" s="1"/>
      <c r="AF91" s="2"/>
      <c r="AG91" s="2"/>
      <c r="AH91" s="2"/>
      <c r="AI91" s="2"/>
      <c r="AJ91" s="2"/>
      <c r="AK91" s="1"/>
      <c r="AL91" s="1"/>
      <c r="AM91" s="1"/>
      <c r="AN91" s="1"/>
      <c r="AO91" s="1"/>
      <c r="AP91" s="2"/>
      <c r="AQ91" s="2"/>
      <c r="AR91" s="2"/>
      <c r="AS91" s="2"/>
      <c r="AT91" s="1"/>
      <c r="AU91" s="1"/>
    </row>
    <row r="92">
      <c r="H92" s="1"/>
      <c r="I92" s="1"/>
      <c r="J92" s="1"/>
      <c r="K92" s="1"/>
      <c r="L92" s="1"/>
      <c r="N92" s="1"/>
      <c r="O92" s="1"/>
      <c r="P92" s="1"/>
      <c r="Q92" s="1"/>
      <c r="R92" s="1"/>
      <c r="S92" s="1"/>
      <c r="T92" s="1"/>
      <c r="U92" s="1"/>
      <c r="V92" s="1"/>
      <c r="W92" s="1"/>
      <c r="X92" s="1"/>
      <c r="Y92" s="1"/>
      <c r="Z92" s="3"/>
      <c r="AA92" s="3"/>
      <c r="AB92" s="1"/>
      <c r="AC92" s="1"/>
      <c r="AD92" s="1"/>
      <c r="AE92" s="1"/>
      <c r="AF92" s="2"/>
      <c r="AG92" s="2"/>
      <c r="AH92" s="2"/>
      <c r="AI92" s="2"/>
      <c r="AJ92" s="2"/>
      <c r="AK92" s="1"/>
      <c r="AL92" s="1"/>
      <c r="AM92" s="1"/>
      <c r="AN92" s="1"/>
      <c r="AO92" s="1"/>
      <c r="AP92" s="2"/>
      <c r="AQ92" s="2"/>
      <c r="AR92" s="2"/>
      <c r="AS92" s="2"/>
      <c r="AT92" s="1"/>
      <c r="AU92" s="1"/>
    </row>
    <row r="93">
      <c r="H93" s="1"/>
      <c r="I93" s="1"/>
      <c r="J93" s="1"/>
      <c r="K93" s="1"/>
      <c r="L93" s="1"/>
      <c r="N93" s="1"/>
      <c r="O93" s="1"/>
      <c r="P93" s="1"/>
      <c r="Q93" s="1"/>
      <c r="R93" s="1"/>
      <c r="S93" s="1"/>
      <c r="T93" s="1"/>
      <c r="U93" s="1"/>
      <c r="V93" s="1"/>
      <c r="W93" s="1"/>
      <c r="X93" s="1"/>
      <c r="Y93" s="1"/>
      <c r="Z93" s="3"/>
      <c r="AA93" s="3"/>
      <c r="AB93" s="1"/>
      <c r="AC93" s="1"/>
      <c r="AD93" s="1"/>
      <c r="AE93" s="1"/>
      <c r="AF93" s="2"/>
      <c r="AG93" s="2"/>
      <c r="AH93" s="2"/>
      <c r="AI93" s="2"/>
      <c r="AJ93" s="2"/>
      <c r="AK93" s="1"/>
      <c r="AL93" s="1"/>
      <c r="AM93" s="1"/>
      <c r="AN93" s="1"/>
      <c r="AO93" s="1"/>
      <c r="AP93" s="2"/>
      <c r="AQ93" s="2"/>
      <c r="AR93" s="2"/>
      <c r="AS93" s="2"/>
      <c r="AT93" s="1"/>
      <c r="AU93" s="1"/>
    </row>
    <row r="94">
      <c r="H94" s="1"/>
      <c r="I94" s="1"/>
      <c r="J94" s="1"/>
      <c r="K94" s="1"/>
      <c r="L94" s="1"/>
      <c r="N94" s="1"/>
      <c r="O94" s="1"/>
      <c r="P94" s="1"/>
      <c r="Q94" s="1"/>
      <c r="R94" s="1"/>
      <c r="S94" s="1"/>
      <c r="T94" s="1"/>
      <c r="U94" s="1"/>
      <c r="V94" s="1"/>
      <c r="W94" s="1"/>
      <c r="X94" s="1"/>
      <c r="Y94" s="1"/>
      <c r="Z94" s="3"/>
      <c r="AA94" s="3"/>
      <c r="AB94" s="1"/>
      <c r="AC94" s="1"/>
      <c r="AD94" s="1"/>
      <c r="AE94" s="1"/>
      <c r="AF94" s="2"/>
      <c r="AG94" s="2"/>
      <c r="AH94" s="2"/>
      <c r="AI94" s="2"/>
      <c r="AJ94" s="2"/>
      <c r="AK94" s="1"/>
      <c r="AL94" s="1"/>
      <c r="AM94" s="1"/>
      <c r="AN94" s="1"/>
      <c r="AO94" s="1"/>
      <c r="AP94" s="2"/>
      <c r="AQ94" s="2"/>
      <c r="AR94" s="2"/>
      <c r="AS94" s="2"/>
      <c r="AT94" s="1"/>
      <c r="AU94" s="1"/>
    </row>
    <row r="95">
      <c r="H95" s="1"/>
      <c r="I95" s="1"/>
      <c r="J95" s="1"/>
      <c r="K95" s="1"/>
      <c r="L95" s="1"/>
      <c r="N95" s="1"/>
      <c r="O95" s="1"/>
      <c r="P95" s="1"/>
      <c r="Q95" s="1"/>
      <c r="R95" s="1"/>
      <c r="S95" s="1"/>
      <c r="T95" s="1"/>
      <c r="U95" s="1"/>
      <c r="V95" s="1"/>
      <c r="W95" s="1"/>
      <c r="X95" s="1"/>
      <c r="Y95" s="1"/>
      <c r="Z95" s="3"/>
      <c r="AA95" s="3"/>
      <c r="AB95" s="1"/>
      <c r="AC95" s="1"/>
      <c r="AD95" s="1"/>
      <c r="AE95" s="1"/>
      <c r="AF95" s="2"/>
      <c r="AG95" s="2"/>
      <c r="AH95" s="2"/>
      <c r="AI95" s="2"/>
      <c r="AJ95" s="2"/>
      <c r="AK95" s="1"/>
      <c r="AL95" s="1"/>
      <c r="AM95" s="1"/>
      <c r="AN95" s="1"/>
      <c r="AO95" s="1"/>
      <c r="AP95" s="2"/>
      <c r="AQ95" s="2"/>
      <c r="AR95" s="2"/>
      <c r="AS95" s="2"/>
      <c r="AT95" s="1"/>
      <c r="AU95" s="1"/>
    </row>
    <row r="96">
      <c r="H96" s="1"/>
      <c r="I96" s="1"/>
      <c r="J96" s="1"/>
      <c r="K96" s="1"/>
      <c r="L96" s="1"/>
      <c r="N96" s="1"/>
      <c r="O96" s="1"/>
      <c r="P96" s="1"/>
      <c r="Q96" s="1"/>
      <c r="R96" s="1"/>
      <c r="S96" s="1"/>
      <c r="T96" s="1"/>
      <c r="U96" s="1"/>
      <c r="V96" s="1"/>
      <c r="W96" s="1"/>
      <c r="X96" s="1"/>
      <c r="Y96" s="1"/>
      <c r="Z96" s="3"/>
      <c r="AA96" s="3"/>
      <c r="AB96" s="1"/>
      <c r="AC96" s="1"/>
      <c r="AD96" s="1"/>
      <c r="AE96" s="1"/>
      <c r="AF96" s="2"/>
      <c r="AG96" s="2"/>
      <c r="AH96" s="2"/>
      <c r="AI96" s="2"/>
      <c r="AJ96" s="2"/>
      <c r="AK96" s="1"/>
      <c r="AL96" s="1"/>
      <c r="AM96" s="1"/>
      <c r="AN96" s="1"/>
      <c r="AO96" s="1"/>
      <c r="AP96" s="2"/>
      <c r="AQ96" s="2"/>
      <c r="AR96" s="2"/>
      <c r="AS96" s="2"/>
      <c r="AT96" s="1"/>
      <c r="AU96" s="1"/>
    </row>
    <row r="97">
      <c r="H97" s="1"/>
      <c r="I97" s="1"/>
      <c r="J97" s="1"/>
      <c r="K97" s="1"/>
      <c r="L97" s="1"/>
      <c r="N97" s="1"/>
      <c r="O97" s="1"/>
      <c r="P97" s="1"/>
      <c r="Q97" s="1"/>
      <c r="R97" s="1"/>
      <c r="S97" s="1"/>
      <c r="T97" s="1"/>
      <c r="U97" s="1"/>
      <c r="V97" s="1"/>
      <c r="W97" s="1"/>
      <c r="X97" s="1"/>
      <c r="Y97" s="1"/>
      <c r="Z97" s="3"/>
      <c r="AA97" s="3"/>
      <c r="AB97" s="1"/>
      <c r="AC97" s="1"/>
      <c r="AD97" s="1"/>
      <c r="AE97" s="1"/>
      <c r="AF97" s="2"/>
      <c r="AG97" s="2"/>
      <c r="AH97" s="2"/>
      <c r="AI97" s="2"/>
      <c r="AJ97" s="2"/>
      <c r="AK97" s="1"/>
      <c r="AL97" s="1"/>
      <c r="AM97" s="1"/>
      <c r="AN97" s="1"/>
      <c r="AO97" s="1"/>
      <c r="AP97" s="2"/>
      <c r="AQ97" s="2"/>
      <c r="AR97" s="2"/>
      <c r="AS97" s="2"/>
      <c r="AT97" s="1"/>
      <c r="AU97" s="1"/>
    </row>
    <row r="98">
      <c r="H98" s="1"/>
      <c r="I98" s="1"/>
      <c r="J98" s="1"/>
      <c r="K98" s="1"/>
      <c r="L98" s="1"/>
      <c r="N98" s="1"/>
      <c r="O98" s="1"/>
      <c r="P98" s="1"/>
      <c r="Q98" s="1"/>
      <c r="R98" s="1"/>
      <c r="S98" s="1"/>
      <c r="T98" s="1"/>
      <c r="U98" s="1"/>
      <c r="V98" s="1"/>
      <c r="W98" s="1"/>
      <c r="X98" s="1"/>
      <c r="Y98" s="1"/>
      <c r="Z98" s="3"/>
      <c r="AA98" s="3"/>
      <c r="AB98" s="1"/>
      <c r="AC98" s="1"/>
      <c r="AD98" s="1"/>
      <c r="AE98" s="1"/>
      <c r="AF98" s="2"/>
      <c r="AG98" s="2"/>
      <c r="AH98" s="2"/>
      <c r="AI98" s="2"/>
      <c r="AJ98" s="2"/>
      <c r="AK98" s="1"/>
      <c r="AL98" s="1"/>
      <c r="AM98" s="1"/>
      <c r="AN98" s="1"/>
      <c r="AO98" s="1"/>
      <c r="AP98" s="2"/>
      <c r="AQ98" s="2"/>
      <c r="AR98" s="2"/>
      <c r="AS98" s="2"/>
      <c r="AT98" s="1"/>
      <c r="AU98" s="1"/>
    </row>
    <row r="99">
      <c r="H99" s="1"/>
      <c r="I99" s="1"/>
      <c r="J99" s="1"/>
      <c r="K99" s="1"/>
      <c r="L99" s="1"/>
      <c r="N99" s="1"/>
      <c r="O99" s="1"/>
      <c r="P99" s="1"/>
      <c r="Q99" s="1"/>
      <c r="R99" s="1"/>
      <c r="S99" s="1"/>
      <c r="T99" s="1"/>
      <c r="U99" s="1"/>
      <c r="V99" s="1"/>
      <c r="W99" s="1"/>
      <c r="X99" s="1"/>
      <c r="Y99" s="1"/>
      <c r="Z99" s="3"/>
      <c r="AA99" s="3"/>
      <c r="AB99" s="1"/>
      <c r="AC99" s="1"/>
      <c r="AD99" s="1"/>
      <c r="AE99" s="1"/>
      <c r="AF99" s="2"/>
      <c r="AG99" s="2"/>
      <c r="AH99" s="2"/>
      <c r="AI99" s="2"/>
      <c r="AJ99" s="2"/>
      <c r="AK99" s="1"/>
      <c r="AL99" s="1"/>
      <c r="AM99" s="1"/>
      <c r="AN99" s="1"/>
      <c r="AO99" s="1"/>
      <c r="AP99" s="2"/>
      <c r="AQ99" s="2"/>
      <c r="AR99" s="2"/>
      <c r="AS99" s="2"/>
      <c r="AT99" s="1"/>
      <c r="AU99" s="1"/>
    </row>
    <row r="100">
      <c r="H100" s="1"/>
      <c r="I100" s="1"/>
      <c r="J100" s="1"/>
      <c r="K100" s="1"/>
      <c r="L100" s="1"/>
      <c r="N100" s="1"/>
      <c r="O100" s="1"/>
      <c r="P100" s="1"/>
      <c r="Q100" s="1"/>
      <c r="R100" s="1"/>
      <c r="S100" s="1"/>
      <c r="T100" s="1"/>
      <c r="U100" s="1"/>
      <c r="V100" s="1"/>
      <c r="W100" s="1"/>
      <c r="X100" s="1"/>
      <c r="Y100" s="1"/>
      <c r="Z100" s="3"/>
      <c r="AA100" s="3"/>
      <c r="AB100" s="1"/>
      <c r="AC100" s="1"/>
      <c r="AD100" s="1"/>
      <c r="AE100" s="1"/>
      <c r="AF100" s="2"/>
      <c r="AG100" s="2"/>
      <c r="AH100" s="2"/>
      <c r="AI100" s="2"/>
      <c r="AJ100" s="2"/>
      <c r="AK100" s="1"/>
      <c r="AL100" s="1"/>
      <c r="AM100" s="1"/>
      <c r="AN100" s="1"/>
      <c r="AO100" s="1"/>
      <c r="AP100" s="2"/>
      <c r="AQ100" s="2"/>
      <c r="AR100" s="2"/>
      <c r="AS100" s="2"/>
      <c r="AT100" s="1"/>
      <c r="AU100" s="1"/>
    </row>
    <row r="101">
      <c r="H101" s="1"/>
      <c r="I101" s="1"/>
      <c r="J101" s="1"/>
      <c r="K101" s="1"/>
      <c r="L101" s="1"/>
      <c r="N101" s="1"/>
      <c r="O101" s="1"/>
      <c r="P101" s="1"/>
      <c r="Q101" s="1"/>
      <c r="R101" s="1"/>
      <c r="S101" s="1"/>
      <c r="T101" s="1"/>
      <c r="U101" s="1"/>
      <c r="V101" s="1"/>
      <c r="W101" s="1"/>
      <c r="X101" s="1"/>
      <c r="Y101" s="1"/>
      <c r="Z101" s="3"/>
      <c r="AA101" s="3"/>
      <c r="AB101" s="1"/>
      <c r="AC101" s="1"/>
      <c r="AD101" s="1"/>
      <c r="AE101" s="1"/>
      <c r="AF101" s="2"/>
      <c r="AG101" s="2"/>
      <c r="AH101" s="2"/>
      <c r="AI101" s="2"/>
      <c r="AJ101" s="2"/>
      <c r="AK101" s="1"/>
      <c r="AL101" s="1"/>
      <c r="AM101" s="1"/>
      <c r="AN101" s="1"/>
      <c r="AO101" s="1"/>
      <c r="AP101" s="2"/>
      <c r="AQ101" s="2"/>
      <c r="AR101" s="2"/>
      <c r="AS101" s="2"/>
      <c r="AT101" s="1"/>
      <c r="AU101" s="1"/>
    </row>
    <row r="102">
      <c r="H102" s="1"/>
      <c r="I102" s="1"/>
      <c r="J102" s="1"/>
      <c r="K102" s="1"/>
      <c r="L102" s="1"/>
      <c r="N102" s="1"/>
      <c r="O102" s="1"/>
      <c r="P102" s="1"/>
      <c r="Q102" s="1"/>
      <c r="R102" s="1"/>
      <c r="S102" s="1"/>
      <c r="T102" s="1"/>
      <c r="U102" s="1"/>
      <c r="V102" s="1"/>
      <c r="W102" s="1"/>
      <c r="X102" s="1"/>
      <c r="Y102" s="1"/>
      <c r="Z102" s="3"/>
      <c r="AA102" s="3"/>
      <c r="AB102" s="1"/>
      <c r="AC102" s="1"/>
      <c r="AD102" s="1"/>
      <c r="AE102" s="1"/>
      <c r="AF102" s="2"/>
      <c r="AG102" s="2"/>
      <c r="AH102" s="2"/>
      <c r="AI102" s="2"/>
      <c r="AJ102" s="2"/>
      <c r="AK102" s="1"/>
      <c r="AL102" s="1"/>
      <c r="AM102" s="1"/>
      <c r="AN102" s="1"/>
      <c r="AO102" s="1"/>
      <c r="AP102" s="2"/>
      <c r="AQ102" s="2"/>
      <c r="AR102" s="2"/>
      <c r="AS102" s="2"/>
      <c r="AT102" s="1"/>
      <c r="AU102" s="1"/>
    </row>
    <row r="103">
      <c r="H103" s="1"/>
      <c r="I103" s="1"/>
      <c r="J103" s="1"/>
      <c r="K103" s="1"/>
      <c r="L103" s="1"/>
      <c r="N103" s="1"/>
      <c r="O103" s="1"/>
      <c r="P103" s="1"/>
      <c r="Q103" s="1"/>
      <c r="R103" s="1"/>
      <c r="S103" s="1"/>
      <c r="T103" s="1"/>
      <c r="U103" s="1"/>
      <c r="V103" s="1"/>
      <c r="W103" s="1"/>
      <c r="X103" s="1"/>
      <c r="Y103" s="1"/>
      <c r="Z103" s="3"/>
      <c r="AA103" s="3"/>
      <c r="AB103" s="1"/>
      <c r="AC103" s="1"/>
      <c r="AD103" s="1"/>
      <c r="AE103" s="1"/>
      <c r="AF103" s="2"/>
      <c r="AG103" s="2"/>
      <c r="AH103" s="2"/>
      <c r="AI103" s="2"/>
      <c r="AJ103" s="2"/>
      <c r="AK103" s="1"/>
      <c r="AL103" s="1"/>
      <c r="AM103" s="1"/>
      <c r="AN103" s="1"/>
      <c r="AO103" s="1"/>
      <c r="AP103" s="2"/>
      <c r="AQ103" s="2"/>
      <c r="AR103" s="2"/>
      <c r="AS103" s="2"/>
      <c r="AT103" s="1"/>
      <c r="AU103" s="1"/>
    </row>
    <row r="104">
      <c r="H104" s="1"/>
      <c r="I104" s="1"/>
      <c r="J104" s="1"/>
      <c r="K104" s="1"/>
      <c r="L104" s="1"/>
      <c r="N104" s="1"/>
      <c r="O104" s="1"/>
      <c r="P104" s="1"/>
      <c r="Q104" s="1"/>
      <c r="R104" s="1"/>
      <c r="S104" s="1"/>
      <c r="T104" s="1"/>
      <c r="U104" s="1"/>
      <c r="V104" s="1"/>
      <c r="W104" s="1"/>
      <c r="X104" s="1"/>
      <c r="Y104" s="1"/>
      <c r="Z104" s="3"/>
      <c r="AA104" s="3"/>
      <c r="AB104" s="1"/>
      <c r="AC104" s="1"/>
      <c r="AD104" s="1"/>
      <c r="AE104" s="1"/>
      <c r="AF104" s="2"/>
      <c r="AG104" s="2"/>
      <c r="AH104" s="2"/>
      <c r="AI104" s="2"/>
      <c r="AJ104" s="2"/>
      <c r="AK104" s="1"/>
      <c r="AL104" s="1"/>
      <c r="AM104" s="1"/>
      <c r="AN104" s="1"/>
      <c r="AO104" s="1"/>
      <c r="AP104" s="2"/>
      <c r="AQ104" s="2"/>
      <c r="AR104" s="2"/>
      <c r="AS104" s="2"/>
      <c r="AT104" s="1"/>
      <c r="AU104" s="1"/>
    </row>
    <row r="105">
      <c r="H105" s="1"/>
      <c r="I105" s="1"/>
      <c r="J105" s="1"/>
      <c r="K105" s="1"/>
      <c r="L105" s="1"/>
      <c r="N105" s="1"/>
      <c r="O105" s="1"/>
      <c r="P105" s="1"/>
      <c r="Q105" s="1"/>
      <c r="R105" s="1"/>
      <c r="S105" s="1"/>
      <c r="T105" s="1"/>
      <c r="U105" s="1"/>
      <c r="V105" s="1"/>
      <c r="W105" s="1"/>
      <c r="X105" s="1"/>
      <c r="Y105" s="1"/>
      <c r="Z105" s="3"/>
      <c r="AA105" s="3"/>
      <c r="AB105" s="1"/>
      <c r="AC105" s="1"/>
      <c r="AD105" s="1"/>
      <c r="AE105" s="1"/>
      <c r="AF105" s="2"/>
      <c r="AG105" s="2"/>
      <c r="AH105" s="2"/>
      <c r="AI105" s="2"/>
      <c r="AJ105" s="2"/>
      <c r="AK105" s="1"/>
      <c r="AL105" s="1"/>
      <c r="AM105" s="1"/>
      <c r="AN105" s="1"/>
      <c r="AO105" s="1"/>
      <c r="AP105" s="2"/>
      <c r="AQ105" s="2"/>
      <c r="AR105" s="2"/>
      <c r="AS105" s="2"/>
      <c r="AT105" s="1"/>
      <c r="AU105" s="1"/>
    </row>
    <row r="106">
      <c r="H106" s="1"/>
      <c r="I106" s="1"/>
      <c r="J106" s="1"/>
      <c r="K106" s="1"/>
      <c r="L106" s="1"/>
      <c r="N106" s="1"/>
      <c r="O106" s="1"/>
      <c r="P106" s="1"/>
      <c r="Q106" s="1"/>
      <c r="R106" s="1"/>
      <c r="S106" s="1"/>
      <c r="T106" s="1"/>
      <c r="U106" s="1"/>
      <c r="V106" s="1"/>
      <c r="W106" s="1"/>
      <c r="X106" s="1"/>
      <c r="Y106" s="1"/>
      <c r="Z106" s="3"/>
      <c r="AA106" s="3"/>
      <c r="AB106" s="1"/>
      <c r="AC106" s="1"/>
      <c r="AD106" s="1"/>
      <c r="AE106" s="1"/>
      <c r="AF106" s="2"/>
      <c r="AG106" s="2"/>
      <c r="AH106" s="2"/>
      <c r="AI106" s="2"/>
      <c r="AJ106" s="2"/>
      <c r="AK106" s="1"/>
      <c r="AL106" s="1"/>
      <c r="AM106" s="1"/>
      <c r="AN106" s="1"/>
      <c r="AO106" s="1"/>
      <c r="AP106" s="2"/>
      <c r="AQ106" s="2"/>
      <c r="AR106" s="2"/>
      <c r="AS106" s="2"/>
      <c r="AT106" s="1"/>
      <c r="AU106" s="1"/>
    </row>
    <row r="107">
      <c r="H107" s="1"/>
      <c r="I107" s="1"/>
      <c r="J107" s="1"/>
      <c r="K107" s="1"/>
      <c r="L107" s="1"/>
      <c r="N107" s="1"/>
      <c r="O107" s="1"/>
      <c r="P107" s="1"/>
      <c r="Q107" s="1"/>
      <c r="R107" s="1"/>
      <c r="S107" s="1"/>
      <c r="T107" s="1"/>
      <c r="U107" s="1"/>
      <c r="V107" s="1"/>
      <c r="W107" s="1"/>
      <c r="X107" s="1"/>
      <c r="Y107" s="1"/>
      <c r="Z107" s="3"/>
      <c r="AA107" s="3"/>
      <c r="AB107" s="1"/>
      <c r="AC107" s="1"/>
      <c r="AD107" s="1"/>
      <c r="AE107" s="1"/>
      <c r="AF107" s="2"/>
      <c r="AG107" s="2"/>
      <c r="AH107" s="2"/>
      <c r="AI107" s="2"/>
      <c r="AJ107" s="2"/>
      <c r="AK107" s="1"/>
      <c r="AL107" s="1"/>
      <c r="AM107" s="1"/>
      <c r="AN107" s="1"/>
      <c r="AO107" s="1"/>
      <c r="AP107" s="2"/>
      <c r="AQ107" s="2"/>
      <c r="AR107" s="2"/>
      <c r="AS107" s="2"/>
      <c r="AT107" s="1"/>
      <c r="AU107" s="1"/>
    </row>
    <row r="108">
      <c r="H108" s="1"/>
      <c r="I108" s="1"/>
      <c r="J108" s="1"/>
      <c r="K108" s="1"/>
      <c r="L108" s="1"/>
      <c r="N108" s="1"/>
      <c r="O108" s="1"/>
      <c r="P108" s="1"/>
      <c r="Q108" s="1"/>
      <c r="R108" s="1"/>
      <c r="S108" s="1"/>
      <c r="T108" s="1"/>
      <c r="U108" s="1"/>
      <c r="V108" s="1"/>
      <c r="W108" s="1"/>
      <c r="X108" s="1"/>
      <c r="Y108" s="1"/>
      <c r="Z108" s="3"/>
      <c r="AA108" s="3"/>
      <c r="AB108" s="1"/>
      <c r="AC108" s="1"/>
      <c r="AD108" s="1"/>
      <c r="AE108" s="1"/>
      <c r="AF108" s="2"/>
      <c r="AG108" s="2"/>
      <c r="AH108" s="2"/>
      <c r="AI108" s="2"/>
      <c r="AJ108" s="2"/>
      <c r="AK108" s="1"/>
      <c r="AL108" s="1"/>
      <c r="AM108" s="1"/>
      <c r="AN108" s="1"/>
      <c r="AO108" s="1"/>
      <c r="AP108" s="2"/>
      <c r="AQ108" s="2"/>
      <c r="AR108" s="2"/>
      <c r="AS108" s="2"/>
      <c r="AT108" s="1"/>
      <c r="AU108" s="1"/>
    </row>
    <row r="109">
      <c r="H109" s="1"/>
      <c r="I109" s="1"/>
      <c r="J109" s="1"/>
      <c r="K109" s="1"/>
      <c r="L109" s="1"/>
      <c r="N109" s="1"/>
      <c r="O109" s="1"/>
      <c r="P109" s="1"/>
      <c r="Q109" s="1"/>
      <c r="R109" s="1"/>
      <c r="S109" s="1"/>
      <c r="T109" s="1"/>
      <c r="U109" s="1"/>
      <c r="V109" s="1"/>
      <c r="W109" s="1"/>
      <c r="X109" s="1"/>
      <c r="Y109" s="1"/>
      <c r="Z109" s="3"/>
      <c r="AA109" s="3"/>
      <c r="AB109" s="1"/>
      <c r="AC109" s="1"/>
      <c r="AD109" s="1"/>
      <c r="AE109" s="1"/>
      <c r="AF109" s="2"/>
      <c r="AG109" s="2"/>
      <c r="AH109" s="2"/>
      <c r="AI109" s="2"/>
      <c r="AJ109" s="2"/>
      <c r="AK109" s="1"/>
      <c r="AL109" s="1"/>
      <c r="AM109" s="1"/>
      <c r="AN109" s="1"/>
      <c r="AO109" s="1"/>
      <c r="AP109" s="2"/>
      <c r="AQ109" s="2"/>
      <c r="AR109" s="2"/>
      <c r="AS109" s="2"/>
      <c r="AT109" s="1"/>
      <c r="AU109" s="1"/>
    </row>
    <row r="110">
      <c r="H110" s="1"/>
      <c r="I110" s="1"/>
      <c r="J110" s="1"/>
      <c r="K110" s="1"/>
      <c r="L110" s="1"/>
      <c r="N110" s="1"/>
      <c r="O110" s="1"/>
      <c r="P110" s="1"/>
      <c r="Q110" s="1"/>
      <c r="R110" s="1"/>
      <c r="S110" s="1"/>
      <c r="T110" s="1"/>
      <c r="U110" s="1"/>
      <c r="V110" s="1"/>
      <c r="W110" s="1"/>
      <c r="X110" s="1"/>
      <c r="Y110" s="1"/>
      <c r="Z110" s="3"/>
      <c r="AA110" s="3"/>
      <c r="AB110" s="1"/>
      <c r="AC110" s="1"/>
      <c r="AD110" s="1"/>
      <c r="AE110" s="1"/>
      <c r="AF110" s="2"/>
      <c r="AG110" s="2"/>
      <c r="AH110" s="2"/>
      <c r="AI110" s="2"/>
      <c r="AJ110" s="2"/>
      <c r="AK110" s="1"/>
      <c r="AL110" s="1"/>
      <c r="AM110" s="1"/>
      <c r="AN110" s="1"/>
      <c r="AO110" s="1"/>
      <c r="AP110" s="2"/>
      <c r="AQ110" s="2"/>
      <c r="AR110" s="2"/>
      <c r="AS110" s="2"/>
      <c r="AT110" s="1"/>
      <c r="AU110" s="1"/>
    </row>
    <row r="111">
      <c r="H111" s="1"/>
      <c r="I111" s="1"/>
      <c r="J111" s="1"/>
      <c r="K111" s="1"/>
      <c r="L111" s="1"/>
      <c r="N111" s="1"/>
      <c r="O111" s="1"/>
      <c r="P111" s="1"/>
      <c r="Q111" s="1"/>
      <c r="R111" s="1"/>
      <c r="S111" s="1"/>
      <c r="T111" s="1"/>
      <c r="U111" s="1"/>
      <c r="V111" s="1"/>
      <c r="W111" s="1"/>
      <c r="X111" s="1"/>
      <c r="Y111" s="1"/>
      <c r="Z111" s="3"/>
      <c r="AA111" s="3"/>
      <c r="AB111" s="1"/>
      <c r="AC111" s="1"/>
      <c r="AD111" s="1"/>
      <c r="AE111" s="1"/>
      <c r="AF111" s="2"/>
      <c r="AG111" s="2"/>
      <c r="AH111" s="2"/>
      <c r="AI111" s="2"/>
      <c r="AJ111" s="2"/>
      <c r="AK111" s="1"/>
      <c r="AL111" s="1"/>
      <c r="AM111" s="1"/>
      <c r="AN111" s="1"/>
      <c r="AO111" s="1"/>
      <c r="AP111" s="2"/>
      <c r="AQ111" s="2"/>
      <c r="AR111" s="2"/>
      <c r="AS111" s="2"/>
      <c r="AT111" s="1"/>
      <c r="AU111" s="1"/>
    </row>
    <row r="112">
      <c r="H112" s="1"/>
      <c r="I112" s="1"/>
      <c r="J112" s="1"/>
      <c r="K112" s="1"/>
      <c r="L112" s="1"/>
      <c r="N112" s="1"/>
      <c r="O112" s="1"/>
      <c r="P112" s="1"/>
      <c r="Q112" s="1"/>
      <c r="R112" s="1"/>
      <c r="S112" s="1"/>
      <c r="T112" s="1"/>
      <c r="U112" s="1"/>
      <c r="V112" s="1"/>
      <c r="W112" s="1"/>
      <c r="X112" s="1"/>
      <c r="Y112" s="1"/>
      <c r="Z112" s="3"/>
      <c r="AA112" s="3"/>
      <c r="AB112" s="1"/>
      <c r="AC112" s="1"/>
      <c r="AD112" s="1"/>
      <c r="AE112" s="1"/>
      <c r="AF112" s="2"/>
      <c r="AG112" s="2"/>
      <c r="AH112" s="2"/>
      <c r="AI112" s="2"/>
      <c r="AJ112" s="2"/>
      <c r="AK112" s="1"/>
      <c r="AL112" s="1"/>
      <c r="AM112" s="1"/>
      <c r="AN112" s="1"/>
      <c r="AO112" s="1"/>
      <c r="AP112" s="2"/>
      <c r="AQ112" s="2"/>
      <c r="AR112" s="2"/>
      <c r="AS112" s="2"/>
      <c r="AT112" s="1"/>
      <c r="AU112" s="1"/>
    </row>
    <row r="113">
      <c r="H113" s="1"/>
      <c r="I113" s="1"/>
      <c r="J113" s="1"/>
      <c r="K113" s="1"/>
      <c r="L113" s="1"/>
      <c r="N113" s="1"/>
      <c r="O113" s="1"/>
      <c r="P113" s="1"/>
      <c r="Q113" s="1"/>
      <c r="R113" s="1"/>
      <c r="S113" s="1"/>
      <c r="T113" s="1"/>
      <c r="U113" s="1"/>
      <c r="V113" s="1"/>
      <c r="W113" s="1"/>
      <c r="X113" s="1"/>
      <c r="Y113" s="1"/>
      <c r="Z113" s="3"/>
      <c r="AA113" s="3"/>
      <c r="AB113" s="1"/>
      <c r="AC113" s="1"/>
      <c r="AD113" s="1"/>
      <c r="AE113" s="1"/>
      <c r="AF113" s="2"/>
      <c r="AG113" s="2"/>
      <c r="AH113" s="2"/>
      <c r="AI113" s="2"/>
      <c r="AJ113" s="2"/>
      <c r="AK113" s="1"/>
      <c r="AL113" s="1"/>
      <c r="AM113" s="1"/>
      <c r="AN113" s="1"/>
      <c r="AO113" s="1"/>
      <c r="AP113" s="2"/>
      <c r="AQ113" s="2"/>
      <c r="AR113" s="2"/>
      <c r="AS113" s="2"/>
      <c r="AT113" s="1"/>
      <c r="AU113" s="1"/>
    </row>
    <row r="114">
      <c r="H114" s="1"/>
      <c r="I114" s="1"/>
      <c r="J114" s="1"/>
      <c r="K114" s="1"/>
      <c r="L114" s="1"/>
      <c r="N114" s="1"/>
      <c r="O114" s="1"/>
      <c r="P114" s="1"/>
      <c r="Q114" s="1"/>
      <c r="R114" s="1"/>
      <c r="S114" s="1"/>
      <c r="T114" s="1"/>
      <c r="U114" s="1"/>
      <c r="V114" s="1"/>
      <c r="W114" s="1"/>
      <c r="X114" s="1"/>
      <c r="Y114" s="1"/>
      <c r="Z114" s="3"/>
      <c r="AA114" s="3"/>
      <c r="AB114" s="1"/>
      <c r="AC114" s="1"/>
      <c r="AD114" s="1"/>
      <c r="AE114" s="1"/>
      <c r="AF114" s="2"/>
      <c r="AG114" s="2"/>
      <c r="AH114" s="2"/>
      <c r="AI114" s="2"/>
      <c r="AJ114" s="2"/>
      <c r="AK114" s="1"/>
      <c r="AL114" s="1"/>
      <c r="AM114" s="1"/>
      <c r="AN114" s="1"/>
      <c r="AO114" s="1"/>
      <c r="AP114" s="2"/>
      <c r="AQ114" s="2"/>
      <c r="AR114" s="2"/>
      <c r="AS114" s="2"/>
      <c r="AT114" s="1"/>
      <c r="AU114" s="1"/>
    </row>
    <row r="115">
      <c r="H115" s="1"/>
      <c r="I115" s="1"/>
      <c r="J115" s="1"/>
      <c r="K115" s="1"/>
      <c r="L115" s="1"/>
      <c r="N115" s="1"/>
      <c r="O115" s="1"/>
      <c r="P115" s="1"/>
      <c r="Q115" s="1"/>
      <c r="R115" s="1"/>
      <c r="S115" s="1"/>
      <c r="T115" s="1"/>
      <c r="U115" s="1"/>
      <c r="V115" s="1"/>
      <c r="W115" s="1"/>
      <c r="X115" s="1"/>
      <c r="Y115" s="1"/>
      <c r="Z115" s="3"/>
      <c r="AA115" s="3"/>
      <c r="AB115" s="1"/>
      <c r="AC115" s="1"/>
      <c r="AD115" s="1"/>
      <c r="AE115" s="1"/>
      <c r="AF115" s="2"/>
      <c r="AG115" s="2"/>
      <c r="AH115" s="2"/>
      <c r="AI115" s="2"/>
      <c r="AJ115" s="2"/>
      <c r="AK115" s="1"/>
      <c r="AL115" s="1"/>
      <c r="AM115" s="1"/>
      <c r="AN115" s="1"/>
      <c r="AO115" s="1"/>
      <c r="AP115" s="2"/>
      <c r="AQ115" s="2"/>
      <c r="AR115" s="2"/>
      <c r="AS115" s="2"/>
      <c r="AT115" s="1"/>
      <c r="AU115" s="1"/>
    </row>
    <row r="116">
      <c r="H116" s="1"/>
      <c r="I116" s="1"/>
      <c r="J116" s="1"/>
      <c r="K116" s="1"/>
      <c r="L116" s="1"/>
      <c r="N116" s="1"/>
      <c r="O116" s="1"/>
      <c r="P116" s="1"/>
      <c r="Q116" s="1"/>
      <c r="R116" s="1"/>
      <c r="S116" s="1"/>
      <c r="T116" s="1"/>
      <c r="U116" s="1"/>
      <c r="V116" s="1"/>
      <c r="W116" s="1"/>
      <c r="X116" s="1"/>
      <c r="Y116" s="1"/>
      <c r="Z116" s="3"/>
      <c r="AA116" s="3"/>
      <c r="AB116" s="1"/>
      <c r="AC116" s="1"/>
      <c r="AD116" s="1"/>
      <c r="AE116" s="1"/>
      <c r="AF116" s="2"/>
      <c r="AG116" s="2"/>
      <c r="AH116" s="2"/>
      <c r="AI116" s="2"/>
      <c r="AJ116" s="2"/>
      <c r="AK116" s="1"/>
      <c r="AL116" s="1"/>
      <c r="AM116" s="1"/>
      <c r="AN116" s="1"/>
      <c r="AO116" s="1"/>
      <c r="AP116" s="2"/>
      <c r="AQ116" s="2"/>
      <c r="AR116" s="2"/>
      <c r="AS116" s="2"/>
      <c r="AT116" s="1"/>
      <c r="AU116" s="1"/>
    </row>
    <row r="117">
      <c r="H117" s="1"/>
      <c r="I117" s="1"/>
      <c r="J117" s="1"/>
      <c r="K117" s="1"/>
      <c r="L117" s="1"/>
      <c r="N117" s="1"/>
      <c r="O117" s="1"/>
      <c r="P117" s="1"/>
      <c r="Q117" s="1"/>
      <c r="R117" s="1"/>
      <c r="S117" s="1"/>
      <c r="T117" s="1"/>
      <c r="U117" s="1"/>
      <c r="V117" s="1"/>
      <c r="W117" s="1"/>
      <c r="X117" s="1"/>
      <c r="Y117" s="1"/>
      <c r="Z117" s="3"/>
      <c r="AA117" s="3"/>
      <c r="AB117" s="1"/>
      <c r="AC117" s="1"/>
      <c r="AD117" s="1"/>
      <c r="AE117" s="1"/>
      <c r="AF117" s="2"/>
      <c r="AG117" s="2"/>
      <c r="AH117" s="2"/>
      <c r="AI117" s="2"/>
      <c r="AJ117" s="2"/>
      <c r="AK117" s="1"/>
      <c r="AL117" s="1"/>
      <c r="AM117" s="1"/>
      <c r="AN117" s="1"/>
      <c r="AO117" s="1"/>
      <c r="AP117" s="2"/>
      <c r="AQ117" s="2"/>
      <c r="AR117" s="2"/>
      <c r="AS117" s="2"/>
      <c r="AT117" s="1"/>
      <c r="AU117" s="1"/>
    </row>
    <row r="118">
      <c r="H118" s="1"/>
      <c r="I118" s="1"/>
      <c r="J118" s="1"/>
      <c r="K118" s="1"/>
      <c r="L118" s="1"/>
      <c r="N118" s="1"/>
      <c r="O118" s="1"/>
      <c r="P118" s="1"/>
      <c r="Q118" s="1"/>
      <c r="R118" s="1"/>
      <c r="S118" s="1"/>
      <c r="T118" s="1"/>
      <c r="U118" s="1"/>
      <c r="V118" s="1"/>
      <c r="W118" s="1"/>
      <c r="X118" s="1"/>
      <c r="Y118" s="1"/>
      <c r="Z118" s="3"/>
      <c r="AA118" s="3"/>
      <c r="AB118" s="1"/>
      <c r="AC118" s="1"/>
      <c r="AD118" s="1"/>
      <c r="AE118" s="1"/>
      <c r="AF118" s="2"/>
      <c r="AG118" s="2"/>
      <c r="AH118" s="2"/>
      <c r="AI118" s="2"/>
      <c r="AJ118" s="2"/>
      <c r="AK118" s="1"/>
      <c r="AL118" s="1"/>
      <c r="AM118" s="1"/>
      <c r="AN118" s="1"/>
      <c r="AO118" s="1"/>
      <c r="AP118" s="2"/>
      <c r="AQ118" s="2"/>
      <c r="AR118" s="2"/>
      <c r="AS118" s="2"/>
      <c r="AT118" s="1"/>
      <c r="AU118" s="1"/>
    </row>
    <row r="119">
      <c r="H119" s="1"/>
      <c r="I119" s="1"/>
      <c r="J119" s="1"/>
      <c r="K119" s="1"/>
      <c r="L119" s="1"/>
      <c r="N119" s="1"/>
      <c r="O119" s="1"/>
      <c r="P119" s="1"/>
      <c r="Q119" s="1"/>
      <c r="R119" s="1"/>
      <c r="S119" s="1"/>
      <c r="T119" s="1"/>
      <c r="U119" s="1"/>
      <c r="V119" s="1"/>
      <c r="W119" s="1"/>
      <c r="X119" s="1"/>
      <c r="Y119" s="1"/>
      <c r="Z119" s="3"/>
      <c r="AA119" s="3"/>
      <c r="AB119" s="1"/>
      <c r="AC119" s="1"/>
      <c r="AD119" s="1"/>
      <c r="AE119" s="1"/>
      <c r="AF119" s="2"/>
      <c r="AG119" s="2"/>
      <c r="AH119" s="2"/>
      <c r="AI119" s="2"/>
      <c r="AJ119" s="2"/>
      <c r="AK119" s="1"/>
      <c r="AL119" s="1"/>
      <c r="AM119" s="1"/>
      <c r="AN119" s="1"/>
      <c r="AO119" s="1"/>
      <c r="AP119" s="2"/>
      <c r="AQ119" s="2"/>
      <c r="AR119" s="2"/>
      <c r="AS119" s="2"/>
      <c r="AT119" s="1"/>
      <c r="AU119" s="1"/>
    </row>
    <row r="120">
      <c r="H120" s="1"/>
      <c r="I120" s="1"/>
      <c r="J120" s="1"/>
      <c r="K120" s="1"/>
      <c r="L120" s="1"/>
      <c r="N120" s="1"/>
      <c r="O120" s="1"/>
      <c r="P120" s="1"/>
      <c r="Q120" s="1"/>
      <c r="R120" s="1"/>
      <c r="S120" s="1"/>
      <c r="T120" s="1"/>
      <c r="U120" s="1"/>
      <c r="V120" s="1"/>
      <c r="W120" s="1"/>
      <c r="X120" s="1"/>
      <c r="Y120" s="1"/>
      <c r="Z120" s="3"/>
      <c r="AA120" s="3"/>
      <c r="AB120" s="1"/>
      <c r="AC120" s="1"/>
      <c r="AD120" s="1"/>
      <c r="AE120" s="1"/>
      <c r="AF120" s="2"/>
      <c r="AG120" s="2"/>
      <c r="AH120" s="2"/>
      <c r="AI120" s="2"/>
      <c r="AJ120" s="2"/>
      <c r="AK120" s="1"/>
      <c r="AL120" s="1"/>
      <c r="AM120" s="1"/>
      <c r="AN120" s="1"/>
      <c r="AO120" s="1"/>
      <c r="AP120" s="2"/>
      <c r="AQ120" s="2"/>
      <c r="AR120" s="2"/>
      <c r="AS120" s="2"/>
      <c r="AT120" s="1"/>
      <c r="AU120" s="1"/>
    </row>
    <row r="121">
      <c r="H121" s="1"/>
      <c r="I121" s="1"/>
      <c r="J121" s="1"/>
      <c r="K121" s="1"/>
      <c r="L121" s="1"/>
      <c r="N121" s="1"/>
      <c r="O121" s="1"/>
      <c r="P121" s="1"/>
      <c r="Q121" s="1"/>
      <c r="R121" s="1"/>
      <c r="S121" s="1"/>
      <c r="T121" s="1"/>
      <c r="U121" s="1"/>
      <c r="V121" s="1"/>
      <c r="W121" s="1"/>
      <c r="X121" s="1"/>
      <c r="Y121" s="1"/>
      <c r="Z121" s="3"/>
      <c r="AA121" s="3"/>
      <c r="AB121" s="1"/>
      <c r="AC121" s="1"/>
      <c r="AD121" s="1"/>
      <c r="AE121" s="1"/>
      <c r="AF121" s="2"/>
      <c r="AG121" s="2"/>
      <c r="AH121" s="2"/>
      <c r="AI121" s="2"/>
      <c r="AJ121" s="2"/>
      <c r="AK121" s="1"/>
      <c r="AL121" s="1"/>
      <c r="AM121" s="1"/>
      <c r="AN121" s="1"/>
      <c r="AO121" s="1"/>
      <c r="AP121" s="2"/>
      <c r="AQ121" s="2"/>
      <c r="AR121" s="2"/>
      <c r="AS121" s="2"/>
      <c r="AT121" s="1"/>
      <c r="AU121" s="1"/>
    </row>
    <row r="122">
      <c r="H122" s="1"/>
      <c r="I122" s="1"/>
      <c r="J122" s="1"/>
      <c r="K122" s="1"/>
      <c r="L122" s="1"/>
      <c r="N122" s="1"/>
      <c r="O122" s="1"/>
      <c r="P122" s="1"/>
      <c r="Q122" s="1"/>
      <c r="R122" s="1"/>
      <c r="S122" s="1"/>
      <c r="T122" s="1"/>
      <c r="U122" s="1"/>
      <c r="V122" s="1"/>
      <c r="W122" s="1"/>
      <c r="X122" s="1"/>
      <c r="Y122" s="1"/>
      <c r="Z122" s="3"/>
      <c r="AA122" s="3"/>
      <c r="AB122" s="1"/>
      <c r="AC122" s="1"/>
      <c r="AD122" s="1"/>
      <c r="AE122" s="1"/>
      <c r="AF122" s="2"/>
      <c r="AG122" s="2"/>
      <c r="AH122" s="2"/>
      <c r="AI122" s="2"/>
      <c r="AJ122" s="2"/>
      <c r="AK122" s="1"/>
      <c r="AL122" s="1"/>
      <c r="AM122" s="1"/>
      <c r="AN122" s="1"/>
      <c r="AO122" s="1"/>
      <c r="AP122" s="2"/>
      <c r="AQ122" s="2"/>
      <c r="AR122" s="2"/>
      <c r="AS122" s="2"/>
      <c r="AT122" s="1"/>
      <c r="AU122" s="1"/>
    </row>
    <row r="123">
      <c r="H123" s="1"/>
      <c r="I123" s="1"/>
      <c r="J123" s="1"/>
      <c r="K123" s="1"/>
      <c r="L123" s="1"/>
      <c r="N123" s="1"/>
      <c r="O123" s="1"/>
      <c r="P123" s="1"/>
      <c r="Q123" s="1"/>
      <c r="R123" s="1"/>
      <c r="S123" s="1"/>
      <c r="T123" s="1"/>
      <c r="U123" s="1"/>
      <c r="V123" s="1"/>
      <c r="W123" s="1"/>
      <c r="X123" s="1"/>
      <c r="Y123" s="1"/>
      <c r="Z123" s="3"/>
      <c r="AA123" s="3"/>
      <c r="AB123" s="1"/>
      <c r="AC123" s="1"/>
      <c r="AD123" s="1"/>
      <c r="AE123" s="1"/>
      <c r="AF123" s="2"/>
      <c r="AG123" s="2"/>
      <c r="AH123" s="2"/>
      <c r="AI123" s="2"/>
      <c r="AJ123" s="2"/>
      <c r="AK123" s="1"/>
      <c r="AL123" s="1"/>
      <c r="AM123" s="1"/>
      <c r="AN123" s="1"/>
      <c r="AO123" s="1"/>
      <c r="AP123" s="2"/>
      <c r="AQ123" s="2"/>
      <c r="AR123" s="2"/>
      <c r="AS123" s="2"/>
      <c r="AT123" s="1"/>
      <c r="AU123" s="1"/>
    </row>
    <row r="124">
      <c r="H124" s="1"/>
      <c r="I124" s="1"/>
      <c r="J124" s="1"/>
      <c r="K124" s="1"/>
      <c r="L124" s="1"/>
      <c r="N124" s="1"/>
      <c r="O124" s="1"/>
      <c r="P124" s="1"/>
      <c r="Q124" s="1"/>
      <c r="R124" s="1"/>
      <c r="S124" s="1"/>
      <c r="T124" s="1"/>
      <c r="U124" s="1"/>
      <c r="V124" s="1"/>
      <c r="W124" s="1"/>
      <c r="X124" s="1"/>
      <c r="Y124" s="1"/>
      <c r="Z124" s="3"/>
      <c r="AA124" s="3"/>
      <c r="AB124" s="1"/>
      <c r="AC124" s="1"/>
      <c r="AD124" s="1"/>
      <c r="AE124" s="1"/>
      <c r="AF124" s="2"/>
      <c r="AG124" s="2"/>
      <c r="AH124" s="2"/>
      <c r="AI124" s="2"/>
      <c r="AJ124" s="2"/>
      <c r="AK124" s="1"/>
      <c r="AL124" s="1"/>
      <c r="AM124" s="1"/>
      <c r="AN124" s="1"/>
      <c r="AO124" s="1"/>
      <c r="AP124" s="2"/>
      <c r="AQ124" s="2"/>
      <c r="AR124" s="2"/>
      <c r="AS124" s="2"/>
      <c r="AT124" s="1"/>
      <c r="AU124" s="1"/>
    </row>
    <row r="125">
      <c r="H125" s="1"/>
      <c r="I125" s="1"/>
      <c r="J125" s="1"/>
      <c r="K125" s="1"/>
      <c r="L125" s="1"/>
      <c r="N125" s="1"/>
      <c r="O125" s="1"/>
      <c r="P125" s="1"/>
      <c r="Q125" s="1"/>
      <c r="R125" s="1"/>
      <c r="S125" s="1"/>
      <c r="T125" s="1"/>
      <c r="U125" s="1"/>
      <c r="V125" s="1"/>
      <c r="W125" s="1"/>
      <c r="X125" s="1"/>
      <c r="Y125" s="1"/>
      <c r="Z125" s="3"/>
      <c r="AA125" s="3"/>
      <c r="AB125" s="1"/>
      <c r="AC125" s="1"/>
      <c r="AD125" s="1"/>
      <c r="AE125" s="1"/>
      <c r="AF125" s="2"/>
      <c r="AG125" s="2"/>
      <c r="AH125" s="2"/>
      <c r="AI125" s="2"/>
      <c r="AJ125" s="2"/>
      <c r="AK125" s="1"/>
      <c r="AL125" s="1"/>
      <c r="AM125" s="1"/>
      <c r="AN125" s="1"/>
      <c r="AO125" s="1"/>
      <c r="AP125" s="2"/>
      <c r="AQ125" s="2"/>
      <c r="AR125" s="2"/>
      <c r="AS125" s="2"/>
      <c r="AT125" s="1"/>
      <c r="AU125" s="1"/>
    </row>
    <row r="126">
      <c r="H126" s="1"/>
      <c r="I126" s="1"/>
      <c r="J126" s="1"/>
      <c r="K126" s="1"/>
      <c r="L126" s="1"/>
      <c r="N126" s="1"/>
      <c r="O126" s="1"/>
      <c r="P126" s="1"/>
      <c r="Q126" s="1"/>
      <c r="R126" s="1"/>
      <c r="S126" s="1"/>
      <c r="T126" s="1"/>
      <c r="U126" s="1"/>
      <c r="V126" s="1"/>
      <c r="W126" s="1"/>
      <c r="X126" s="1"/>
      <c r="Y126" s="1"/>
      <c r="Z126" s="3"/>
      <c r="AA126" s="3"/>
      <c r="AB126" s="1"/>
      <c r="AC126" s="1"/>
      <c r="AD126" s="1"/>
      <c r="AE126" s="1"/>
      <c r="AF126" s="2"/>
      <c r="AG126" s="2"/>
      <c r="AH126" s="2"/>
      <c r="AI126" s="2"/>
      <c r="AJ126" s="2"/>
      <c r="AK126" s="1"/>
      <c r="AL126" s="1"/>
      <c r="AM126" s="1"/>
      <c r="AN126" s="1"/>
      <c r="AO126" s="1"/>
      <c r="AP126" s="2"/>
      <c r="AQ126" s="2"/>
      <c r="AR126" s="2"/>
      <c r="AS126" s="2"/>
      <c r="AT126" s="1"/>
      <c r="AU126" s="1"/>
    </row>
    <row r="127">
      <c r="H127" s="1"/>
      <c r="I127" s="1"/>
      <c r="J127" s="1"/>
      <c r="K127" s="1"/>
      <c r="L127" s="1"/>
      <c r="N127" s="1"/>
      <c r="O127" s="1"/>
      <c r="P127" s="1"/>
      <c r="Q127" s="1"/>
      <c r="R127" s="1"/>
      <c r="S127" s="1"/>
      <c r="T127" s="1"/>
      <c r="U127" s="1"/>
      <c r="V127" s="1"/>
      <c r="W127" s="1"/>
      <c r="X127" s="1"/>
      <c r="Y127" s="1"/>
      <c r="Z127" s="3"/>
      <c r="AA127" s="3"/>
      <c r="AB127" s="1"/>
      <c r="AC127" s="1"/>
      <c r="AD127" s="1"/>
      <c r="AE127" s="1"/>
      <c r="AF127" s="2"/>
      <c r="AG127" s="2"/>
      <c r="AH127" s="2"/>
      <c r="AI127" s="2"/>
      <c r="AJ127" s="2"/>
      <c r="AK127" s="1"/>
      <c r="AL127" s="1"/>
      <c r="AM127" s="1"/>
      <c r="AN127" s="1"/>
      <c r="AO127" s="1"/>
      <c r="AP127" s="2"/>
      <c r="AQ127" s="2"/>
      <c r="AR127" s="2"/>
      <c r="AS127" s="2"/>
      <c r="AT127" s="1"/>
      <c r="AU127" s="1"/>
    </row>
    <row r="128">
      <c r="H128" s="1"/>
      <c r="I128" s="1"/>
      <c r="J128" s="1"/>
      <c r="K128" s="1"/>
      <c r="L128" s="1"/>
      <c r="N128" s="1"/>
      <c r="O128" s="1"/>
      <c r="P128" s="1"/>
      <c r="Q128" s="1"/>
      <c r="R128" s="1"/>
      <c r="S128" s="1"/>
      <c r="T128" s="1"/>
      <c r="U128" s="1"/>
      <c r="V128" s="1"/>
      <c r="W128" s="1"/>
      <c r="X128" s="1"/>
      <c r="Y128" s="1"/>
      <c r="Z128" s="3"/>
      <c r="AA128" s="3"/>
      <c r="AB128" s="1"/>
      <c r="AC128" s="1"/>
      <c r="AD128" s="1"/>
      <c r="AE128" s="1"/>
      <c r="AF128" s="2"/>
      <c r="AG128" s="2"/>
      <c r="AH128" s="2"/>
      <c r="AI128" s="2"/>
      <c r="AJ128" s="2"/>
      <c r="AK128" s="1"/>
      <c r="AL128" s="1"/>
      <c r="AM128" s="1"/>
      <c r="AN128" s="1"/>
      <c r="AO128" s="1"/>
      <c r="AP128" s="2"/>
      <c r="AQ128" s="2"/>
      <c r="AR128" s="2"/>
      <c r="AS128" s="2"/>
      <c r="AT128" s="1"/>
      <c r="AU128" s="1"/>
    </row>
    <row r="129">
      <c r="H129" s="1"/>
      <c r="I129" s="1"/>
      <c r="J129" s="1"/>
      <c r="K129" s="1"/>
      <c r="L129" s="1"/>
      <c r="N129" s="1"/>
      <c r="O129" s="1"/>
      <c r="P129" s="1"/>
      <c r="Q129" s="1"/>
      <c r="R129" s="1"/>
      <c r="S129" s="1"/>
      <c r="T129" s="1"/>
      <c r="U129" s="1"/>
      <c r="V129" s="1"/>
      <c r="W129" s="1"/>
      <c r="X129" s="1"/>
      <c r="Y129" s="1"/>
      <c r="Z129" s="3"/>
      <c r="AA129" s="3"/>
      <c r="AB129" s="1"/>
      <c r="AC129" s="1"/>
      <c r="AD129" s="1"/>
      <c r="AE129" s="1"/>
      <c r="AF129" s="2"/>
      <c r="AG129" s="2"/>
      <c r="AH129" s="2"/>
      <c r="AI129" s="2"/>
      <c r="AJ129" s="2"/>
      <c r="AK129" s="1"/>
      <c r="AL129" s="1"/>
      <c r="AM129" s="1"/>
      <c r="AN129" s="1"/>
      <c r="AO129" s="1"/>
      <c r="AP129" s="2"/>
      <c r="AQ129" s="2"/>
      <c r="AR129" s="2"/>
      <c r="AS129" s="2"/>
      <c r="AT129" s="1"/>
      <c r="AU129" s="1"/>
    </row>
    <row r="130">
      <c r="H130" s="1"/>
      <c r="I130" s="1"/>
      <c r="J130" s="1"/>
      <c r="K130" s="1"/>
      <c r="L130" s="1"/>
      <c r="N130" s="1"/>
      <c r="O130" s="1"/>
      <c r="P130" s="1"/>
      <c r="Q130" s="1"/>
      <c r="R130" s="1"/>
      <c r="S130" s="1"/>
      <c r="T130" s="1"/>
      <c r="U130" s="1"/>
      <c r="V130" s="1"/>
      <c r="W130" s="1"/>
      <c r="X130" s="1"/>
      <c r="Y130" s="1"/>
      <c r="Z130" s="3"/>
      <c r="AA130" s="3"/>
      <c r="AB130" s="1"/>
      <c r="AC130" s="1"/>
      <c r="AD130" s="1"/>
      <c r="AE130" s="1"/>
      <c r="AF130" s="2"/>
      <c r="AG130" s="2"/>
      <c r="AH130" s="2"/>
      <c r="AI130" s="2"/>
      <c r="AJ130" s="2"/>
      <c r="AK130" s="1"/>
      <c r="AL130" s="1"/>
      <c r="AM130" s="1"/>
      <c r="AN130" s="1"/>
      <c r="AO130" s="1"/>
      <c r="AP130" s="2"/>
      <c r="AQ130" s="2"/>
      <c r="AR130" s="2"/>
      <c r="AS130" s="2"/>
      <c r="AT130" s="1"/>
      <c r="AU130" s="1"/>
    </row>
    <row r="131">
      <c r="H131" s="1"/>
      <c r="I131" s="1"/>
      <c r="J131" s="1"/>
      <c r="K131" s="1"/>
      <c r="L131" s="1"/>
      <c r="N131" s="1"/>
      <c r="O131" s="1"/>
      <c r="P131" s="1"/>
      <c r="Q131" s="1"/>
      <c r="R131" s="1"/>
      <c r="S131" s="1"/>
      <c r="T131" s="1"/>
      <c r="U131" s="1"/>
      <c r="V131" s="1"/>
      <c r="W131" s="1"/>
      <c r="X131" s="1"/>
      <c r="Y131" s="1"/>
      <c r="Z131" s="3"/>
      <c r="AA131" s="3"/>
      <c r="AB131" s="1"/>
      <c r="AC131" s="1"/>
      <c r="AD131" s="1"/>
      <c r="AE131" s="1"/>
      <c r="AF131" s="2"/>
      <c r="AG131" s="2"/>
      <c r="AH131" s="2"/>
      <c r="AI131" s="2"/>
      <c r="AJ131" s="2"/>
      <c r="AK131" s="1"/>
      <c r="AL131" s="1"/>
      <c r="AM131" s="1"/>
      <c r="AN131" s="1"/>
      <c r="AO131" s="1"/>
      <c r="AP131" s="2"/>
      <c r="AQ131" s="2"/>
      <c r="AR131" s="2"/>
      <c r="AS131" s="2"/>
      <c r="AT131" s="1"/>
      <c r="AU131" s="1"/>
    </row>
    <row r="132">
      <c r="H132" s="1"/>
      <c r="I132" s="1"/>
      <c r="J132" s="1"/>
      <c r="K132" s="1"/>
      <c r="L132" s="1"/>
      <c r="N132" s="1"/>
      <c r="O132" s="1"/>
      <c r="P132" s="1"/>
      <c r="Q132" s="1"/>
      <c r="R132" s="1"/>
      <c r="S132" s="1"/>
      <c r="T132" s="1"/>
      <c r="U132" s="1"/>
      <c r="V132" s="1"/>
      <c r="W132" s="1"/>
      <c r="X132" s="1"/>
      <c r="Y132" s="1"/>
      <c r="Z132" s="3"/>
      <c r="AA132" s="3"/>
      <c r="AB132" s="1"/>
      <c r="AC132" s="1"/>
      <c r="AD132" s="1"/>
      <c r="AE132" s="1"/>
      <c r="AF132" s="2"/>
      <c r="AG132" s="2"/>
      <c r="AH132" s="2"/>
      <c r="AI132" s="2"/>
      <c r="AJ132" s="2"/>
      <c r="AK132" s="1"/>
      <c r="AL132" s="1"/>
      <c r="AM132" s="1"/>
      <c r="AN132" s="1"/>
      <c r="AO132" s="1"/>
      <c r="AP132" s="2"/>
      <c r="AQ132" s="2"/>
      <c r="AR132" s="2"/>
      <c r="AS132" s="2"/>
      <c r="AT132" s="1"/>
      <c r="AU132" s="1"/>
    </row>
    <row r="133">
      <c r="H133" s="1"/>
      <c r="I133" s="1"/>
      <c r="J133" s="1"/>
      <c r="K133" s="1"/>
      <c r="L133" s="1"/>
      <c r="N133" s="1"/>
      <c r="O133" s="1"/>
      <c r="P133" s="1"/>
      <c r="Q133" s="1"/>
      <c r="R133" s="1"/>
      <c r="S133" s="1"/>
      <c r="T133" s="1"/>
      <c r="U133" s="1"/>
      <c r="V133" s="1"/>
      <c r="W133" s="1"/>
      <c r="X133" s="1"/>
      <c r="Y133" s="1"/>
      <c r="Z133" s="3"/>
      <c r="AA133" s="3"/>
      <c r="AB133" s="1"/>
      <c r="AC133" s="1"/>
      <c r="AD133" s="1"/>
      <c r="AE133" s="1"/>
      <c r="AF133" s="2"/>
      <c r="AG133" s="2"/>
      <c r="AH133" s="2"/>
      <c r="AI133" s="2"/>
      <c r="AJ133" s="2"/>
      <c r="AK133" s="1"/>
      <c r="AL133" s="1"/>
      <c r="AM133" s="1"/>
      <c r="AN133" s="1"/>
      <c r="AO133" s="1"/>
      <c r="AP133" s="2"/>
      <c r="AQ133" s="2"/>
      <c r="AR133" s="2"/>
      <c r="AS133" s="2"/>
      <c r="AT133" s="1"/>
      <c r="AU133" s="1"/>
    </row>
    <row r="134">
      <c r="H134" s="1"/>
      <c r="I134" s="1"/>
      <c r="J134" s="1"/>
      <c r="K134" s="1"/>
      <c r="L134" s="1"/>
      <c r="N134" s="1"/>
      <c r="O134" s="1"/>
      <c r="P134" s="1"/>
      <c r="Q134" s="1"/>
      <c r="R134" s="1"/>
      <c r="S134" s="1"/>
      <c r="T134" s="1"/>
      <c r="U134" s="1"/>
      <c r="V134" s="1"/>
      <c r="W134" s="1"/>
      <c r="X134" s="1"/>
      <c r="Y134" s="1"/>
      <c r="Z134" s="3"/>
      <c r="AA134" s="3"/>
      <c r="AB134" s="1"/>
      <c r="AC134" s="1"/>
      <c r="AD134" s="1"/>
      <c r="AE134" s="1"/>
      <c r="AF134" s="2"/>
      <c r="AG134" s="2"/>
      <c r="AH134" s="2"/>
      <c r="AI134" s="2"/>
      <c r="AJ134" s="2"/>
      <c r="AK134" s="1"/>
      <c r="AL134" s="1"/>
      <c r="AM134" s="1"/>
      <c r="AN134" s="1"/>
      <c r="AO134" s="1"/>
      <c r="AP134" s="2"/>
      <c r="AQ134" s="2"/>
      <c r="AR134" s="2"/>
      <c r="AS134" s="2"/>
      <c r="AT134" s="1"/>
      <c r="AU134" s="1"/>
    </row>
    <row r="135">
      <c r="H135" s="1"/>
      <c r="I135" s="1"/>
      <c r="J135" s="1"/>
      <c r="K135" s="1"/>
      <c r="L135" s="1"/>
      <c r="N135" s="1"/>
      <c r="O135" s="1"/>
      <c r="P135" s="1"/>
      <c r="Q135" s="1"/>
      <c r="R135" s="1"/>
      <c r="S135" s="1"/>
      <c r="T135" s="1"/>
      <c r="U135" s="1"/>
      <c r="V135" s="1"/>
      <c r="W135" s="1"/>
      <c r="X135" s="1"/>
      <c r="Y135" s="1"/>
      <c r="Z135" s="3"/>
      <c r="AA135" s="3"/>
      <c r="AB135" s="1"/>
      <c r="AC135" s="1"/>
      <c r="AD135" s="1"/>
      <c r="AE135" s="1"/>
      <c r="AF135" s="2"/>
      <c r="AG135" s="2"/>
      <c r="AH135" s="2"/>
      <c r="AI135" s="2"/>
      <c r="AJ135" s="2"/>
      <c r="AK135" s="1"/>
      <c r="AL135" s="1"/>
      <c r="AM135" s="1"/>
      <c r="AN135" s="1"/>
      <c r="AO135" s="1"/>
      <c r="AP135" s="2"/>
      <c r="AQ135" s="2"/>
      <c r="AR135" s="2"/>
      <c r="AS135" s="2"/>
      <c r="AT135" s="1"/>
      <c r="AU135" s="1"/>
    </row>
    <row r="136">
      <c r="H136" s="1"/>
      <c r="I136" s="1"/>
      <c r="J136" s="1"/>
      <c r="K136" s="1"/>
      <c r="L136" s="1"/>
      <c r="N136" s="1"/>
      <c r="O136" s="1"/>
      <c r="P136" s="1"/>
      <c r="Q136" s="1"/>
      <c r="R136" s="1"/>
      <c r="S136" s="1"/>
      <c r="T136" s="1"/>
      <c r="U136" s="1"/>
      <c r="V136" s="1"/>
      <c r="W136" s="1"/>
      <c r="X136" s="1"/>
      <c r="Y136" s="1"/>
      <c r="Z136" s="3"/>
      <c r="AA136" s="3"/>
      <c r="AB136" s="1"/>
      <c r="AC136" s="1"/>
      <c r="AD136" s="1"/>
      <c r="AE136" s="1"/>
      <c r="AF136" s="2"/>
      <c r="AG136" s="2"/>
      <c r="AH136" s="2"/>
      <c r="AI136" s="2"/>
      <c r="AJ136" s="2"/>
      <c r="AK136" s="1"/>
      <c r="AL136" s="1"/>
      <c r="AM136" s="1"/>
      <c r="AN136" s="1"/>
      <c r="AO136" s="1"/>
      <c r="AP136" s="2"/>
      <c r="AQ136" s="2"/>
      <c r="AR136" s="2"/>
      <c r="AS136" s="2"/>
      <c r="AT136" s="1"/>
      <c r="AU136" s="1"/>
    </row>
    <row r="137">
      <c r="H137" s="1"/>
      <c r="I137" s="1"/>
      <c r="J137" s="1"/>
      <c r="K137" s="1"/>
      <c r="L137" s="1"/>
      <c r="N137" s="1"/>
      <c r="O137" s="1"/>
      <c r="P137" s="1"/>
      <c r="Q137" s="1"/>
      <c r="R137" s="1"/>
      <c r="S137" s="1"/>
      <c r="T137" s="1"/>
      <c r="U137" s="1"/>
      <c r="V137" s="1"/>
      <c r="W137" s="1"/>
      <c r="X137" s="1"/>
      <c r="Y137" s="1"/>
      <c r="Z137" s="3"/>
      <c r="AA137" s="3"/>
      <c r="AB137" s="1"/>
      <c r="AC137" s="1"/>
      <c r="AD137" s="1"/>
      <c r="AE137" s="1"/>
      <c r="AF137" s="2"/>
      <c r="AG137" s="2"/>
      <c r="AH137" s="2"/>
      <c r="AI137" s="2"/>
      <c r="AJ137" s="2"/>
      <c r="AK137" s="1"/>
      <c r="AL137" s="1"/>
      <c r="AM137" s="1"/>
      <c r="AN137" s="1"/>
      <c r="AO137" s="1"/>
      <c r="AP137" s="2"/>
      <c r="AQ137" s="2"/>
      <c r="AR137" s="2"/>
      <c r="AS137" s="2"/>
      <c r="AT137" s="1"/>
      <c r="AU137" s="1"/>
    </row>
    <row r="138">
      <c r="H138" s="1"/>
      <c r="I138" s="1"/>
      <c r="J138" s="1"/>
      <c r="K138" s="1"/>
      <c r="L138" s="1"/>
      <c r="N138" s="1"/>
      <c r="O138" s="1"/>
      <c r="P138" s="1"/>
      <c r="Q138" s="1"/>
      <c r="R138" s="1"/>
      <c r="S138" s="1"/>
      <c r="T138" s="1"/>
      <c r="U138" s="1"/>
      <c r="V138" s="1"/>
      <c r="W138" s="1"/>
      <c r="X138" s="1"/>
      <c r="Y138" s="1"/>
      <c r="Z138" s="3"/>
      <c r="AA138" s="3"/>
      <c r="AB138" s="1"/>
      <c r="AC138" s="1"/>
      <c r="AD138" s="1"/>
      <c r="AE138" s="1"/>
      <c r="AF138" s="2"/>
      <c r="AG138" s="2"/>
      <c r="AH138" s="2"/>
      <c r="AI138" s="2"/>
      <c r="AJ138" s="2"/>
      <c r="AK138" s="1"/>
      <c r="AL138" s="1"/>
      <c r="AM138" s="1"/>
      <c r="AN138" s="1"/>
      <c r="AO138" s="1"/>
      <c r="AP138" s="2"/>
      <c r="AQ138" s="2"/>
      <c r="AR138" s="2"/>
      <c r="AS138" s="2"/>
      <c r="AT138" s="1"/>
      <c r="AU138" s="1"/>
    </row>
    <row r="139">
      <c r="H139" s="1"/>
      <c r="I139" s="1"/>
      <c r="J139" s="1"/>
      <c r="K139" s="1"/>
      <c r="L139" s="1"/>
      <c r="N139" s="1"/>
      <c r="O139" s="1"/>
      <c r="P139" s="1"/>
      <c r="Q139" s="1"/>
      <c r="R139" s="1"/>
      <c r="S139" s="1"/>
      <c r="T139" s="1"/>
      <c r="U139" s="1"/>
      <c r="V139" s="1"/>
      <c r="W139" s="1"/>
      <c r="X139" s="1"/>
      <c r="Y139" s="1"/>
      <c r="Z139" s="3"/>
      <c r="AA139" s="3"/>
      <c r="AB139" s="1"/>
      <c r="AC139" s="1"/>
      <c r="AD139" s="1"/>
      <c r="AE139" s="1"/>
      <c r="AF139" s="2"/>
      <c r="AG139" s="2"/>
      <c r="AH139" s="2"/>
      <c r="AI139" s="2"/>
      <c r="AJ139" s="2"/>
      <c r="AK139" s="1"/>
      <c r="AL139" s="1"/>
      <c r="AM139" s="1"/>
      <c r="AN139" s="1"/>
      <c r="AO139" s="1"/>
      <c r="AP139" s="2"/>
      <c r="AQ139" s="2"/>
      <c r="AR139" s="2"/>
      <c r="AS139" s="2"/>
      <c r="AT139" s="1"/>
      <c r="AU139" s="1"/>
    </row>
    <row r="140">
      <c r="H140" s="1"/>
      <c r="I140" s="1"/>
      <c r="J140" s="1"/>
      <c r="K140" s="1"/>
      <c r="L140" s="1"/>
      <c r="N140" s="1"/>
      <c r="O140" s="1"/>
      <c r="P140" s="1"/>
      <c r="Q140" s="1"/>
      <c r="R140" s="1"/>
      <c r="S140" s="1"/>
      <c r="T140" s="1"/>
      <c r="U140" s="1"/>
      <c r="V140" s="1"/>
      <c r="W140" s="1"/>
      <c r="X140" s="1"/>
      <c r="Y140" s="1"/>
      <c r="Z140" s="3"/>
      <c r="AA140" s="3"/>
      <c r="AB140" s="1"/>
      <c r="AC140" s="1"/>
      <c r="AD140" s="1"/>
      <c r="AE140" s="1"/>
      <c r="AF140" s="2"/>
      <c r="AG140" s="2"/>
      <c r="AH140" s="2"/>
      <c r="AI140" s="2"/>
      <c r="AJ140" s="2"/>
      <c r="AK140" s="1"/>
      <c r="AL140" s="1"/>
      <c r="AM140" s="1"/>
      <c r="AN140" s="1"/>
      <c r="AO140" s="1"/>
      <c r="AP140" s="2"/>
      <c r="AQ140" s="2"/>
      <c r="AR140" s="2"/>
      <c r="AS140" s="2"/>
      <c r="AT140" s="1"/>
      <c r="AU140" s="1"/>
    </row>
    <row r="141">
      <c r="H141" s="1"/>
      <c r="I141" s="1"/>
      <c r="J141" s="1"/>
      <c r="K141" s="1"/>
      <c r="L141" s="1"/>
      <c r="N141" s="1"/>
      <c r="O141" s="1"/>
      <c r="P141" s="1"/>
      <c r="Q141" s="1"/>
      <c r="R141" s="1"/>
      <c r="S141" s="1"/>
      <c r="T141" s="1"/>
      <c r="U141" s="1"/>
      <c r="V141" s="1"/>
      <c r="W141" s="1"/>
      <c r="X141" s="1"/>
      <c r="Y141" s="1"/>
      <c r="Z141" s="3"/>
      <c r="AA141" s="3"/>
      <c r="AB141" s="1"/>
      <c r="AC141" s="1"/>
      <c r="AD141" s="1"/>
      <c r="AE141" s="1"/>
      <c r="AF141" s="2"/>
      <c r="AG141" s="2"/>
      <c r="AH141" s="2"/>
      <c r="AI141" s="2"/>
      <c r="AJ141" s="2"/>
      <c r="AK141" s="1"/>
      <c r="AL141" s="1"/>
      <c r="AM141" s="1"/>
      <c r="AN141" s="1"/>
      <c r="AO141" s="1"/>
      <c r="AP141" s="2"/>
      <c r="AQ141" s="2"/>
      <c r="AR141" s="2"/>
      <c r="AS141" s="2"/>
      <c r="AT141" s="1"/>
      <c r="AU141" s="1"/>
    </row>
    <row r="142">
      <c r="H142" s="1"/>
      <c r="I142" s="1"/>
      <c r="J142" s="1"/>
      <c r="K142" s="1"/>
      <c r="L142" s="1"/>
      <c r="N142" s="1"/>
      <c r="O142" s="1"/>
      <c r="P142" s="1"/>
      <c r="Q142" s="1"/>
      <c r="R142" s="1"/>
      <c r="S142" s="1"/>
      <c r="T142" s="1"/>
      <c r="U142" s="1"/>
      <c r="V142" s="1"/>
      <c r="W142" s="1"/>
      <c r="X142" s="1"/>
      <c r="Y142" s="1"/>
      <c r="Z142" s="3"/>
      <c r="AA142" s="3"/>
      <c r="AB142" s="1"/>
      <c r="AC142" s="1"/>
      <c r="AD142" s="1"/>
      <c r="AE142" s="1"/>
      <c r="AF142" s="2"/>
      <c r="AG142" s="2"/>
      <c r="AH142" s="2"/>
      <c r="AI142" s="2"/>
      <c r="AJ142" s="2"/>
      <c r="AK142" s="1"/>
      <c r="AL142" s="1"/>
      <c r="AM142" s="1"/>
      <c r="AN142" s="1"/>
      <c r="AO142" s="1"/>
      <c r="AP142" s="2"/>
      <c r="AQ142" s="2"/>
      <c r="AR142" s="2"/>
      <c r="AS142" s="2"/>
      <c r="AT142" s="1"/>
      <c r="AU142" s="1"/>
    </row>
    <row r="143">
      <c r="H143" s="1"/>
      <c r="I143" s="1"/>
      <c r="J143" s="1"/>
      <c r="K143" s="1"/>
      <c r="L143" s="1"/>
      <c r="N143" s="1"/>
      <c r="O143" s="1"/>
      <c r="P143" s="1"/>
      <c r="Q143" s="1"/>
      <c r="R143" s="1"/>
      <c r="S143" s="1"/>
      <c r="T143" s="1"/>
      <c r="U143" s="1"/>
      <c r="V143" s="1"/>
      <c r="W143" s="1"/>
      <c r="X143" s="1"/>
      <c r="Y143" s="1"/>
      <c r="Z143" s="3"/>
      <c r="AA143" s="3"/>
      <c r="AB143" s="1"/>
      <c r="AC143" s="1"/>
      <c r="AD143" s="1"/>
      <c r="AE143" s="1"/>
      <c r="AF143" s="2"/>
      <c r="AG143" s="2"/>
      <c r="AH143" s="2"/>
      <c r="AI143" s="2"/>
      <c r="AJ143" s="2"/>
      <c r="AK143" s="1"/>
      <c r="AL143" s="1"/>
      <c r="AM143" s="1"/>
      <c r="AN143" s="1"/>
      <c r="AO143" s="1"/>
      <c r="AP143" s="2"/>
      <c r="AQ143" s="2"/>
      <c r="AR143" s="2"/>
      <c r="AS143" s="2"/>
      <c r="AT143" s="1"/>
      <c r="AU143" s="1"/>
    </row>
    <row r="144">
      <c r="H144" s="1"/>
      <c r="I144" s="1"/>
      <c r="J144" s="1"/>
      <c r="K144" s="1"/>
      <c r="L144" s="1"/>
      <c r="N144" s="1"/>
      <c r="O144" s="1"/>
      <c r="P144" s="1"/>
      <c r="Q144" s="1"/>
      <c r="R144" s="1"/>
      <c r="S144" s="1"/>
      <c r="T144" s="1"/>
      <c r="U144" s="1"/>
      <c r="V144" s="1"/>
      <c r="W144" s="1"/>
      <c r="X144" s="1"/>
      <c r="Y144" s="1"/>
      <c r="Z144" s="3"/>
      <c r="AA144" s="3"/>
      <c r="AB144" s="1"/>
      <c r="AC144" s="1"/>
      <c r="AD144" s="1"/>
      <c r="AE144" s="1"/>
      <c r="AF144" s="2"/>
      <c r="AG144" s="2"/>
      <c r="AH144" s="2"/>
      <c r="AI144" s="2"/>
      <c r="AJ144" s="2"/>
      <c r="AK144" s="1"/>
      <c r="AL144" s="1"/>
      <c r="AM144" s="1"/>
      <c r="AN144" s="1"/>
      <c r="AO144" s="1"/>
      <c r="AP144" s="2"/>
      <c r="AQ144" s="2"/>
      <c r="AR144" s="2"/>
      <c r="AS144" s="2"/>
      <c r="AT144" s="1"/>
      <c r="AU144" s="1"/>
    </row>
    <row r="145">
      <c r="H145" s="1"/>
      <c r="I145" s="1"/>
      <c r="J145" s="1"/>
      <c r="K145" s="1"/>
      <c r="L145" s="1"/>
      <c r="N145" s="1"/>
      <c r="O145" s="1"/>
      <c r="P145" s="1"/>
      <c r="Q145" s="1"/>
      <c r="R145" s="1"/>
      <c r="S145" s="1"/>
      <c r="T145" s="1"/>
      <c r="U145" s="1"/>
      <c r="V145" s="1"/>
      <c r="W145" s="1"/>
      <c r="X145" s="1"/>
      <c r="Y145" s="1"/>
      <c r="Z145" s="3"/>
      <c r="AA145" s="3"/>
      <c r="AB145" s="1"/>
      <c r="AC145" s="1"/>
      <c r="AD145" s="1"/>
      <c r="AE145" s="1"/>
      <c r="AF145" s="2"/>
      <c r="AG145" s="2"/>
      <c r="AH145" s="2"/>
      <c r="AI145" s="2"/>
      <c r="AJ145" s="2"/>
      <c r="AK145" s="1"/>
      <c r="AL145" s="1"/>
      <c r="AM145" s="1"/>
      <c r="AN145" s="1"/>
      <c r="AO145" s="1"/>
      <c r="AP145" s="2"/>
      <c r="AQ145" s="2"/>
      <c r="AR145" s="2"/>
      <c r="AS145" s="2"/>
      <c r="AT145" s="1"/>
      <c r="AU145" s="1"/>
    </row>
    <row r="146">
      <c r="H146" s="1"/>
      <c r="I146" s="1"/>
      <c r="J146" s="1"/>
      <c r="K146" s="1"/>
      <c r="L146" s="1"/>
      <c r="N146" s="1"/>
      <c r="O146" s="1"/>
      <c r="P146" s="1"/>
      <c r="Q146" s="1"/>
      <c r="R146" s="1"/>
      <c r="S146" s="1"/>
      <c r="T146" s="1"/>
      <c r="U146" s="1"/>
      <c r="V146" s="1"/>
      <c r="W146" s="1"/>
      <c r="X146" s="1"/>
      <c r="Y146" s="1"/>
      <c r="Z146" s="3"/>
      <c r="AA146" s="3"/>
      <c r="AB146" s="1"/>
      <c r="AC146" s="1"/>
      <c r="AD146" s="1"/>
      <c r="AE146" s="1"/>
      <c r="AF146" s="2"/>
      <c r="AG146" s="2"/>
      <c r="AH146" s="2"/>
      <c r="AI146" s="2"/>
      <c r="AJ146" s="2"/>
      <c r="AK146" s="1"/>
      <c r="AL146" s="1"/>
      <c r="AM146" s="1"/>
      <c r="AN146" s="1"/>
      <c r="AO146" s="1"/>
      <c r="AP146" s="2"/>
      <c r="AQ146" s="2"/>
      <c r="AR146" s="2"/>
      <c r="AS146" s="2"/>
      <c r="AT146" s="1"/>
      <c r="AU146" s="1"/>
    </row>
    <row r="147">
      <c r="H147" s="1"/>
      <c r="I147" s="1"/>
      <c r="J147" s="1"/>
      <c r="K147" s="1"/>
      <c r="L147" s="1"/>
      <c r="N147" s="1"/>
      <c r="O147" s="1"/>
      <c r="P147" s="1"/>
      <c r="Q147" s="1"/>
      <c r="R147" s="1"/>
      <c r="S147" s="1"/>
      <c r="T147" s="1"/>
      <c r="U147" s="1"/>
      <c r="V147" s="1"/>
      <c r="W147" s="1"/>
      <c r="X147" s="1"/>
      <c r="Y147" s="1"/>
      <c r="Z147" s="3"/>
      <c r="AA147" s="3"/>
      <c r="AB147" s="1"/>
      <c r="AC147" s="1"/>
      <c r="AD147" s="1"/>
      <c r="AE147" s="1"/>
      <c r="AF147" s="2"/>
      <c r="AG147" s="2"/>
      <c r="AH147" s="2"/>
      <c r="AI147" s="2"/>
      <c r="AJ147" s="2"/>
      <c r="AK147" s="1"/>
      <c r="AL147" s="1"/>
      <c r="AM147" s="1"/>
      <c r="AN147" s="1"/>
      <c r="AO147" s="1"/>
      <c r="AP147" s="2"/>
      <c r="AQ147" s="2"/>
      <c r="AR147" s="2"/>
      <c r="AS147" s="2"/>
      <c r="AT147" s="1"/>
      <c r="AU147" s="1"/>
    </row>
    <row r="148">
      <c r="H148" s="1"/>
      <c r="I148" s="1"/>
      <c r="J148" s="1"/>
      <c r="K148" s="1"/>
      <c r="L148" s="1"/>
      <c r="N148" s="1"/>
      <c r="O148" s="1"/>
      <c r="P148" s="1"/>
      <c r="Q148" s="1"/>
      <c r="R148" s="1"/>
      <c r="S148" s="1"/>
      <c r="T148" s="1"/>
      <c r="U148" s="1"/>
      <c r="V148" s="1"/>
      <c r="W148" s="1"/>
      <c r="X148" s="1"/>
      <c r="Y148" s="1"/>
      <c r="Z148" s="3"/>
      <c r="AA148" s="3"/>
      <c r="AB148" s="1"/>
      <c r="AC148" s="1"/>
      <c r="AD148" s="1"/>
      <c r="AE148" s="1"/>
      <c r="AF148" s="2"/>
      <c r="AG148" s="2"/>
      <c r="AH148" s="2"/>
      <c r="AI148" s="2"/>
      <c r="AJ148" s="2"/>
      <c r="AK148" s="1"/>
      <c r="AL148" s="1"/>
      <c r="AM148" s="1"/>
      <c r="AN148" s="1"/>
      <c r="AO148" s="1"/>
      <c r="AP148" s="2"/>
      <c r="AQ148" s="2"/>
      <c r="AR148" s="2"/>
      <c r="AS148" s="2"/>
      <c r="AT148" s="1"/>
      <c r="AU148" s="1"/>
    </row>
    <row r="149">
      <c r="H149" s="1"/>
      <c r="I149" s="1"/>
      <c r="J149" s="1"/>
      <c r="K149" s="1"/>
      <c r="L149" s="1"/>
      <c r="N149" s="1"/>
      <c r="O149" s="1"/>
      <c r="P149" s="1"/>
      <c r="Q149" s="1"/>
      <c r="R149" s="1"/>
      <c r="S149" s="1"/>
      <c r="T149" s="1"/>
      <c r="U149" s="1"/>
      <c r="V149" s="1"/>
      <c r="W149" s="1"/>
      <c r="X149" s="1"/>
      <c r="Y149" s="1"/>
      <c r="Z149" s="3"/>
      <c r="AA149" s="3"/>
      <c r="AB149" s="1"/>
      <c r="AC149" s="1"/>
      <c r="AD149" s="1"/>
      <c r="AE149" s="1"/>
      <c r="AF149" s="2"/>
      <c r="AG149" s="2"/>
      <c r="AH149" s="2"/>
      <c r="AI149" s="2"/>
      <c r="AJ149" s="2"/>
      <c r="AK149" s="1"/>
      <c r="AL149" s="1"/>
      <c r="AM149" s="1"/>
      <c r="AN149" s="1"/>
      <c r="AO149" s="1"/>
      <c r="AP149" s="2"/>
      <c r="AQ149" s="2"/>
      <c r="AR149" s="2"/>
      <c r="AS149" s="2"/>
      <c r="AT149" s="1"/>
      <c r="AU149" s="1"/>
    </row>
    <row r="150">
      <c r="H150" s="1"/>
      <c r="I150" s="1"/>
      <c r="J150" s="1"/>
      <c r="K150" s="1"/>
      <c r="L150" s="1"/>
      <c r="N150" s="1"/>
      <c r="O150" s="1"/>
      <c r="P150" s="1"/>
      <c r="Q150" s="1"/>
      <c r="R150" s="1"/>
      <c r="S150" s="1"/>
      <c r="T150" s="1"/>
      <c r="U150" s="1"/>
      <c r="V150" s="1"/>
      <c r="W150" s="1"/>
      <c r="X150" s="1"/>
      <c r="Y150" s="1"/>
      <c r="Z150" s="3"/>
      <c r="AA150" s="3"/>
      <c r="AB150" s="1"/>
      <c r="AC150" s="1"/>
      <c r="AD150" s="1"/>
      <c r="AE150" s="1"/>
      <c r="AF150" s="2"/>
      <c r="AG150" s="2"/>
      <c r="AH150" s="2"/>
      <c r="AI150" s="2"/>
      <c r="AJ150" s="2"/>
      <c r="AK150" s="1"/>
      <c r="AL150" s="1"/>
      <c r="AM150" s="1"/>
      <c r="AN150" s="1"/>
      <c r="AO150" s="1"/>
      <c r="AP150" s="2"/>
      <c r="AQ150" s="2"/>
      <c r="AR150" s="2"/>
      <c r="AS150" s="2"/>
      <c r="AT150" s="1"/>
      <c r="AU150" s="1"/>
    </row>
    <row r="151">
      <c r="H151" s="1"/>
      <c r="I151" s="1"/>
      <c r="J151" s="1"/>
      <c r="K151" s="1"/>
      <c r="L151" s="1"/>
      <c r="N151" s="1"/>
      <c r="O151" s="1"/>
      <c r="P151" s="1"/>
      <c r="Q151" s="1"/>
      <c r="R151" s="1"/>
      <c r="S151" s="1"/>
      <c r="T151" s="1"/>
      <c r="U151" s="1"/>
      <c r="V151" s="1"/>
      <c r="W151" s="1"/>
      <c r="X151" s="1"/>
      <c r="Y151" s="1"/>
      <c r="Z151" s="3"/>
      <c r="AA151" s="3"/>
      <c r="AB151" s="1"/>
      <c r="AC151" s="1"/>
      <c r="AD151" s="1"/>
      <c r="AE151" s="1"/>
      <c r="AF151" s="2"/>
      <c r="AG151" s="2"/>
      <c r="AH151" s="2"/>
      <c r="AI151" s="2"/>
      <c r="AJ151" s="2"/>
      <c r="AK151" s="1"/>
      <c r="AL151" s="1"/>
      <c r="AM151" s="1"/>
      <c r="AN151" s="1"/>
      <c r="AO151" s="1"/>
      <c r="AP151" s="2"/>
      <c r="AQ151" s="2"/>
      <c r="AR151" s="2"/>
      <c r="AS151" s="2"/>
      <c r="AT151" s="1"/>
      <c r="AU151" s="1"/>
    </row>
    <row r="152">
      <c r="H152" s="1"/>
      <c r="I152" s="1"/>
      <c r="J152" s="1"/>
      <c r="K152" s="1"/>
      <c r="L152" s="1"/>
      <c r="N152" s="1"/>
      <c r="O152" s="1"/>
      <c r="P152" s="1"/>
      <c r="Q152" s="1"/>
      <c r="R152" s="1"/>
      <c r="S152" s="1"/>
      <c r="T152" s="1"/>
      <c r="U152" s="1"/>
      <c r="V152" s="1"/>
      <c r="W152" s="1"/>
      <c r="X152" s="1"/>
      <c r="Y152" s="1"/>
      <c r="Z152" s="3"/>
      <c r="AA152" s="3"/>
      <c r="AB152" s="1"/>
      <c r="AC152" s="1"/>
      <c r="AD152" s="1"/>
      <c r="AE152" s="1"/>
      <c r="AF152" s="2"/>
      <c r="AG152" s="2"/>
      <c r="AH152" s="2"/>
      <c r="AI152" s="2"/>
      <c r="AJ152" s="2"/>
      <c r="AK152" s="1"/>
      <c r="AL152" s="1"/>
      <c r="AM152" s="1"/>
      <c r="AN152" s="1"/>
      <c r="AO152" s="1"/>
      <c r="AP152" s="2"/>
      <c r="AQ152" s="2"/>
      <c r="AR152" s="2"/>
      <c r="AS152" s="2"/>
      <c r="AT152" s="1"/>
      <c r="AU152" s="1"/>
    </row>
    <row r="153">
      <c r="H153" s="1"/>
      <c r="I153" s="1"/>
      <c r="J153" s="1"/>
      <c r="K153" s="1"/>
      <c r="L153" s="1"/>
      <c r="N153" s="1"/>
      <c r="O153" s="1"/>
      <c r="P153" s="1"/>
      <c r="Q153" s="1"/>
      <c r="R153" s="1"/>
      <c r="S153" s="1"/>
      <c r="T153" s="1"/>
      <c r="U153" s="1"/>
      <c r="V153" s="1"/>
      <c r="W153" s="1"/>
      <c r="X153" s="1"/>
      <c r="Y153" s="1"/>
      <c r="Z153" s="3"/>
      <c r="AA153" s="3"/>
      <c r="AB153" s="1"/>
      <c r="AC153" s="1"/>
      <c r="AD153" s="1"/>
      <c r="AE153" s="1"/>
      <c r="AF153" s="2"/>
      <c r="AG153" s="2"/>
      <c r="AH153" s="2"/>
      <c r="AI153" s="2"/>
      <c r="AJ153" s="2"/>
      <c r="AK153" s="1"/>
      <c r="AL153" s="1"/>
      <c r="AM153" s="1"/>
      <c r="AN153" s="1"/>
      <c r="AO153" s="1"/>
      <c r="AP153" s="2"/>
      <c r="AQ153" s="2"/>
      <c r="AR153" s="2"/>
      <c r="AS153" s="2"/>
      <c r="AT153" s="1"/>
      <c r="AU153" s="1"/>
    </row>
    <row r="154">
      <c r="H154" s="1"/>
      <c r="I154" s="1"/>
      <c r="J154" s="1"/>
      <c r="K154" s="1"/>
      <c r="L154" s="1"/>
      <c r="N154" s="1"/>
      <c r="O154" s="1"/>
      <c r="P154" s="1"/>
      <c r="Q154" s="1"/>
      <c r="R154" s="1"/>
      <c r="S154" s="1"/>
      <c r="T154" s="1"/>
      <c r="U154" s="1"/>
      <c r="V154" s="1"/>
      <c r="W154" s="1"/>
      <c r="X154" s="1"/>
      <c r="Y154" s="1"/>
      <c r="Z154" s="3"/>
      <c r="AA154" s="3"/>
      <c r="AB154" s="1"/>
      <c r="AC154" s="1"/>
      <c r="AD154" s="1"/>
      <c r="AE154" s="1"/>
      <c r="AF154" s="2"/>
      <c r="AG154" s="2"/>
      <c r="AH154" s="2"/>
      <c r="AI154" s="2"/>
      <c r="AJ154" s="2"/>
      <c r="AK154" s="1"/>
      <c r="AL154" s="1"/>
      <c r="AM154" s="1"/>
      <c r="AN154" s="1"/>
      <c r="AO154" s="1"/>
      <c r="AP154" s="2"/>
      <c r="AQ154" s="2"/>
      <c r="AR154" s="2"/>
      <c r="AS154" s="2"/>
      <c r="AT154" s="1"/>
      <c r="AU154" s="1"/>
    </row>
    <row r="155">
      <c r="H155" s="1"/>
      <c r="I155" s="1"/>
      <c r="J155" s="1"/>
      <c r="K155" s="1"/>
      <c r="L155" s="1"/>
      <c r="N155" s="1"/>
      <c r="O155" s="1"/>
      <c r="P155" s="1"/>
      <c r="Q155" s="1"/>
      <c r="R155" s="1"/>
      <c r="S155" s="1"/>
      <c r="T155" s="1"/>
      <c r="U155" s="1"/>
      <c r="V155" s="1"/>
      <c r="W155" s="1"/>
      <c r="X155" s="1"/>
      <c r="Y155" s="1"/>
      <c r="Z155" s="3"/>
      <c r="AA155" s="3"/>
      <c r="AB155" s="1"/>
      <c r="AC155" s="1"/>
      <c r="AD155" s="1"/>
      <c r="AE155" s="1"/>
      <c r="AF155" s="2"/>
      <c r="AG155" s="2"/>
      <c r="AH155" s="2"/>
      <c r="AI155" s="2"/>
      <c r="AJ155" s="2"/>
      <c r="AK155" s="1"/>
      <c r="AL155" s="1"/>
      <c r="AM155" s="1"/>
      <c r="AN155" s="1"/>
      <c r="AO155" s="1"/>
      <c r="AP155" s="2"/>
      <c r="AQ155" s="2"/>
      <c r="AR155" s="2"/>
      <c r="AS155" s="2"/>
      <c r="AT155" s="1"/>
      <c r="AU155" s="1"/>
    </row>
    <row r="156">
      <c r="H156" s="1"/>
      <c r="I156" s="1"/>
      <c r="J156" s="1"/>
      <c r="K156" s="1"/>
      <c r="L156" s="1"/>
      <c r="N156" s="1"/>
      <c r="O156" s="1"/>
      <c r="P156" s="1"/>
      <c r="Q156" s="1"/>
      <c r="R156" s="1"/>
      <c r="S156" s="1"/>
      <c r="T156" s="1"/>
      <c r="U156" s="1"/>
      <c r="V156" s="1"/>
      <c r="W156" s="1"/>
      <c r="X156" s="1"/>
      <c r="Y156" s="1"/>
      <c r="Z156" s="3"/>
      <c r="AA156" s="3"/>
      <c r="AB156" s="1"/>
      <c r="AC156" s="1"/>
      <c r="AD156" s="1"/>
      <c r="AE156" s="1"/>
      <c r="AF156" s="2"/>
      <c r="AG156" s="2"/>
      <c r="AH156" s="2"/>
      <c r="AI156" s="2"/>
      <c r="AJ156" s="2"/>
      <c r="AK156" s="1"/>
      <c r="AL156" s="1"/>
      <c r="AM156" s="1"/>
      <c r="AN156" s="1"/>
      <c r="AO156" s="1"/>
      <c r="AP156" s="2"/>
      <c r="AQ156" s="2"/>
      <c r="AR156" s="2"/>
      <c r="AS156" s="2"/>
      <c r="AT156" s="1"/>
      <c r="AU156" s="1"/>
    </row>
    <row r="157">
      <c r="H157" s="1"/>
      <c r="I157" s="1"/>
      <c r="J157" s="1"/>
      <c r="K157" s="1"/>
      <c r="L157" s="1"/>
      <c r="N157" s="1"/>
      <c r="O157" s="1"/>
      <c r="P157" s="1"/>
      <c r="Q157" s="1"/>
      <c r="R157" s="1"/>
      <c r="S157" s="1"/>
      <c r="T157" s="1"/>
      <c r="U157" s="1"/>
      <c r="V157" s="1"/>
      <c r="W157" s="1"/>
      <c r="X157" s="1"/>
      <c r="Y157" s="1"/>
      <c r="Z157" s="3"/>
      <c r="AA157" s="3"/>
      <c r="AB157" s="1"/>
      <c r="AC157" s="1"/>
      <c r="AD157" s="1"/>
      <c r="AE157" s="1"/>
      <c r="AF157" s="2"/>
      <c r="AG157" s="2"/>
      <c r="AH157" s="2"/>
      <c r="AI157" s="2"/>
      <c r="AJ157" s="2"/>
      <c r="AK157" s="1"/>
      <c r="AL157" s="1"/>
      <c r="AM157" s="1"/>
      <c r="AN157" s="1"/>
      <c r="AO157" s="1"/>
      <c r="AP157" s="2"/>
      <c r="AQ157" s="2"/>
      <c r="AR157" s="2"/>
      <c r="AS157" s="2"/>
      <c r="AT157" s="1"/>
      <c r="AU157" s="1"/>
    </row>
    <row r="158">
      <c r="H158" s="1"/>
      <c r="I158" s="1"/>
      <c r="J158" s="1"/>
      <c r="K158" s="1"/>
      <c r="L158" s="1"/>
      <c r="N158" s="1"/>
      <c r="O158" s="1"/>
      <c r="P158" s="1"/>
      <c r="Q158" s="1"/>
      <c r="R158" s="1"/>
      <c r="S158" s="1"/>
      <c r="T158" s="1"/>
      <c r="U158" s="1"/>
      <c r="V158" s="1"/>
      <c r="W158" s="1"/>
      <c r="X158" s="1"/>
      <c r="Y158" s="1"/>
      <c r="Z158" s="3"/>
      <c r="AA158" s="3"/>
      <c r="AB158" s="1"/>
      <c r="AC158" s="1"/>
      <c r="AD158" s="1"/>
      <c r="AE158" s="1"/>
      <c r="AF158" s="2"/>
      <c r="AG158" s="2"/>
      <c r="AH158" s="2"/>
      <c r="AI158" s="2"/>
      <c r="AJ158" s="2"/>
      <c r="AK158" s="1"/>
      <c r="AL158" s="1"/>
      <c r="AM158" s="1"/>
      <c r="AN158" s="1"/>
      <c r="AO158" s="1"/>
      <c r="AP158" s="2"/>
      <c r="AQ158" s="2"/>
      <c r="AR158" s="2"/>
      <c r="AS158" s="2"/>
      <c r="AT158" s="1"/>
      <c r="AU158" s="1"/>
    </row>
    <row r="159">
      <c r="H159" s="1"/>
      <c r="I159" s="1"/>
      <c r="J159" s="1"/>
      <c r="K159" s="1"/>
      <c r="L159" s="1"/>
      <c r="N159" s="1"/>
      <c r="O159" s="1"/>
      <c r="P159" s="1"/>
      <c r="Q159" s="1"/>
      <c r="R159" s="1"/>
      <c r="S159" s="1"/>
      <c r="T159" s="1"/>
      <c r="U159" s="1"/>
      <c r="V159" s="1"/>
      <c r="W159" s="1"/>
      <c r="X159" s="1"/>
      <c r="Y159" s="1"/>
      <c r="Z159" s="3"/>
      <c r="AA159" s="3"/>
      <c r="AB159" s="1"/>
      <c r="AC159" s="1"/>
      <c r="AD159" s="1"/>
      <c r="AE159" s="1"/>
      <c r="AF159" s="2"/>
      <c r="AG159" s="2"/>
      <c r="AH159" s="2"/>
      <c r="AI159" s="2"/>
      <c r="AJ159" s="2"/>
      <c r="AK159" s="1"/>
      <c r="AL159" s="1"/>
      <c r="AM159" s="1"/>
      <c r="AN159" s="1"/>
      <c r="AO159" s="1"/>
      <c r="AP159" s="2"/>
      <c r="AQ159" s="2"/>
      <c r="AR159" s="2"/>
      <c r="AS159" s="2"/>
      <c r="AT159" s="1"/>
      <c r="AU159" s="1"/>
    </row>
    <row r="160">
      <c r="H160" s="1"/>
      <c r="I160" s="1"/>
      <c r="J160" s="1"/>
      <c r="K160" s="1"/>
      <c r="L160" s="1"/>
      <c r="N160" s="1"/>
      <c r="O160" s="1"/>
      <c r="P160" s="1"/>
      <c r="Q160" s="1"/>
      <c r="R160" s="1"/>
      <c r="S160" s="1"/>
      <c r="T160" s="1"/>
      <c r="U160" s="1"/>
      <c r="V160" s="1"/>
      <c r="W160" s="1"/>
      <c r="X160" s="1"/>
      <c r="Y160" s="1"/>
      <c r="Z160" s="3"/>
      <c r="AA160" s="3"/>
      <c r="AB160" s="1"/>
      <c r="AC160" s="1"/>
      <c r="AD160" s="1"/>
      <c r="AE160" s="1"/>
      <c r="AF160" s="2"/>
      <c r="AG160" s="2"/>
      <c r="AH160" s="2"/>
      <c r="AI160" s="2"/>
      <c r="AJ160" s="2"/>
      <c r="AK160" s="1"/>
      <c r="AL160" s="1"/>
      <c r="AM160" s="1"/>
      <c r="AN160" s="1"/>
      <c r="AO160" s="1"/>
      <c r="AP160" s="2"/>
      <c r="AQ160" s="2"/>
      <c r="AR160" s="2"/>
      <c r="AS160" s="2"/>
      <c r="AT160" s="1"/>
      <c r="AU160" s="1"/>
    </row>
    <row r="161">
      <c r="H161" s="1"/>
      <c r="I161" s="1"/>
      <c r="J161" s="1"/>
      <c r="K161" s="1"/>
      <c r="L161" s="1"/>
      <c r="N161" s="1"/>
      <c r="O161" s="1"/>
      <c r="P161" s="1"/>
      <c r="Q161" s="1"/>
      <c r="R161" s="1"/>
      <c r="S161" s="1"/>
      <c r="T161" s="1"/>
      <c r="U161" s="1"/>
      <c r="V161" s="1"/>
      <c r="W161" s="1"/>
      <c r="X161" s="1"/>
      <c r="Y161" s="1"/>
      <c r="Z161" s="3"/>
      <c r="AA161" s="3"/>
      <c r="AB161" s="1"/>
      <c r="AC161" s="1"/>
      <c r="AD161" s="1"/>
      <c r="AE161" s="1"/>
      <c r="AF161" s="2"/>
      <c r="AG161" s="2"/>
      <c r="AH161" s="2"/>
      <c r="AI161" s="2"/>
      <c r="AJ161" s="2"/>
      <c r="AK161" s="1"/>
      <c r="AL161" s="1"/>
      <c r="AM161" s="1"/>
      <c r="AN161" s="1"/>
      <c r="AO161" s="1"/>
      <c r="AP161" s="2"/>
      <c r="AQ161" s="2"/>
      <c r="AR161" s="2"/>
      <c r="AS161" s="2"/>
      <c r="AT161" s="1"/>
      <c r="AU161" s="1"/>
    </row>
    <row r="162">
      <c r="H162" s="1"/>
      <c r="I162" s="1"/>
      <c r="J162" s="1"/>
      <c r="K162" s="1"/>
      <c r="L162" s="1"/>
      <c r="N162" s="1"/>
      <c r="O162" s="1"/>
      <c r="P162" s="1"/>
      <c r="Q162" s="1"/>
      <c r="R162" s="1"/>
      <c r="S162" s="1"/>
      <c r="T162" s="1"/>
      <c r="U162" s="1"/>
      <c r="V162" s="1"/>
      <c r="W162" s="1"/>
      <c r="X162" s="1"/>
      <c r="Y162" s="1"/>
      <c r="Z162" s="3"/>
      <c r="AA162" s="3"/>
      <c r="AB162" s="1"/>
      <c r="AC162" s="1"/>
      <c r="AD162" s="1"/>
      <c r="AE162" s="1"/>
      <c r="AF162" s="2"/>
      <c r="AG162" s="2"/>
      <c r="AH162" s="2"/>
      <c r="AI162" s="2"/>
      <c r="AJ162" s="2"/>
      <c r="AK162" s="1"/>
      <c r="AL162" s="1"/>
      <c r="AM162" s="1"/>
      <c r="AN162" s="1"/>
      <c r="AO162" s="1"/>
      <c r="AP162" s="2"/>
      <c r="AQ162" s="2"/>
      <c r="AR162" s="2"/>
      <c r="AS162" s="2"/>
      <c r="AT162" s="1"/>
      <c r="AU162" s="1"/>
    </row>
    <row r="163">
      <c r="H163" s="1"/>
      <c r="I163" s="1"/>
      <c r="J163" s="1"/>
      <c r="K163" s="1"/>
      <c r="L163" s="1"/>
      <c r="N163" s="1"/>
      <c r="O163" s="1"/>
      <c r="P163" s="1"/>
      <c r="Q163" s="1"/>
      <c r="R163" s="1"/>
      <c r="S163" s="1"/>
      <c r="T163" s="1"/>
      <c r="U163" s="1"/>
      <c r="V163" s="1"/>
      <c r="W163" s="1"/>
      <c r="X163" s="1"/>
      <c r="Y163" s="1"/>
      <c r="Z163" s="3"/>
      <c r="AA163" s="3"/>
      <c r="AB163" s="1"/>
      <c r="AC163" s="1"/>
      <c r="AD163" s="1"/>
      <c r="AE163" s="1"/>
      <c r="AF163" s="2"/>
      <c r="AG163" s="2"/>
      <c r="AH163" s="2"/>
      <c r="AI163" s="2"/>
      <c r="AJ163" s="2"/>
      <c r="AK163" s="1"/>
      <c r="AL163" s="1"/>
      <c r="AM163" s="1"/>
      <c r="AN163" s="1"/>
      <c r="AO163" s="1"/>
      <c r="AP163" s="2"/>
      <c r="AQ163" s="2"/>
      <c r="AR163" s="2"/>
      <c r="AS163" s="2"/>
      <c r="AT163" s="1"/>
      <c r="AU163" s="1"/>
    </row>
    <row r="164">
      <c r="H164" s="1"/>
      <c r="I164" s="1"/>
      <c r="J164" s="1"/>
      <c r="K164" s="1"/>
      <c r="L164" s="1"/>
      <c r="N164" s="1"/>
      <c r="O164" s="1"/>
      <c r="P164" s="1"/>
      <c r="Q164" s="1"/>
      <c r="R164" s="1"/>
      <c r="S164" s="1"/>
      <c r="T164" s="1"/>
      <c r="U164" s="1"/>
      <c r="V164" s="1"/>
      <c r="W164" s="1"/>
      <c r="X164" s="1"/>
      <c r="Y164" s="1"/>
      <c r="Z164" s="3"/>
      <c r="AA164" s="3"/>
      <c r="AB164" s="1"/>
      <c r="AC164" s="1"/>
      <c r="AD164" s="1"/>
      <c r="AE164" s="1"/>
      <c r="AF164" s="2"/>
      <c r="AG164" s="2"/>
      <c r="AH164" s="2"/>
      <c r="AI164" s="2"/>
      <c r="AJ164" s="2"/>
      <c r="AK164" s="1"/>
      <c r="AL164" s="1"/>
      <c r="AM164" s="1"/>
      <c r="AN164" s="1"/>
      <c r="AO164" s="1"/>
      <c r="AP164" s="2"/>
      <c r="AQ164" s="2"/>
      <c r="AR164" s="2"/>
      <c r="AS164" s="2"/>
      <c r="AT164" s="1"/>
      <c r="AU164" s="1"/>
    </row>
    <row r="165">
      <c r="H165" s="1"/>
      <c r="I165" s="1"/>
      <c r="J165" s="1"/>
      <c r="K165" s="1"/>
      <c r="L165" s="1"/>
      <c r="N165" s="1"/>
      <c r="O165" s="1"/>
      <c r="P165" s="1"/>
      <c r="Q165" s="1"/>
      <c r="R165" s="1"/>
      <c r="S165" s="1"/>
      <c r="T165" s="1"/>
      <c r="U165" s="1"/>
      <c r="V165" s="1"/>
      <c r="W165" s="1"/>
      <c r="X165" s="1"/>
      <c r="Y165" s="1"/>
      <c r="Z165" s="3"/>
      <c r="AA165" s="3"/>
      <c r="AB165" s="1"/>
      <c r="AC165" s="1"/>
      <c r="AD165" s="1"/>
      <c r="AE165" s="1"/>
      <c r="AF165" s="2"/>
      <c r="AG165" s="2"/>
      <c r="AH165" s="2"/>
      <c r="AI165" s="2"/>
      <c r="AJ165" s="2"/>
      <c r="AK165" s="1"/>
      <c r="AL165" s="1"/>
      <c r="AM165" s="1"/>
      <c r="AN165" s="1"/>
      <c r="AO165" s="1"/>
      <c r="AP165" s="2"/>
      <c r="AQ165" s="2"/>
      <c r="AR165" s="2"/>
      <c r="AS165" s="2"/>
      <c r="AT165" s="1"/>
      <c r="AU165" s="1"/>
    </row>
    <row r="166">
      <c r="H166" s="1"/>
      <c r="I166" s="1"/>
      <c r="J166" s="1"/>
      <c r="K166" s="1"/>
      <c r="L166" s="1"/>
      <c r="N166" s="1"/>
      <c r="O166" s="1"/>
      <c r="P166" s="1"/>
      <c r="Q166" s="1"/>
      <c r="R166" s="1"/>
      <c r="S166" s="1"/>
      <c r="T166" s="1"/>
      <c r="U166" s="1"/>
      <c r="V166" s="1"/>
      <c r="W166" s="1"/>
      <c r="X166" s="1"/>
      <c r="Y166" s="1"/>
      <c r="Z166" s="3"/>
      <c r="AA166" s="3"/>
      <c r="AB166" s="1"/>
      <c r="AC166" s="1"/>
      <c r="AD166" s="1"/>
      <c r="AE166" s="1"/>
      <c r="AF166" s="2"/>
      <c r="AG166" s="2"/>
      <c r="AH166" s="2"/>
      <c r="AI166" s="2"/>
      <c r="AJ166" s="2"/>
      <c r="AK166" s="1"/>
      <c r="AL166" s="1"/>
      <c r="AM166" s="1"/>
      <c r="AN166" s="1"/>
      <c r="AO166" s="1"/>
      <c r="AP166" s="2"/>
      <c r="AQ166" s="2"/>
      <c r="AR166" s="2"/>
      <c r="AS166" s="2"/>
      <c r="AT166" s="1"/>
      <c r="AU166" s="1"/>
    </row>
    <row r="167">
      <c r="H167" s="1"/>
      <c r="I167" s="1"/>
      <c r="J167" s="1"/>
      <c r="K167" s="1"/>
      <c r="L167" s="1"/>
      <c r="N167" s="1"/>
      <c r="O167" s="1"/>
      <c r="P167" s="1"/>
      <c r="Q167" s="1"/>
      <c r="R167" s="1"/>
      <c r="S167" s="1"/>
      <c r="T167" s="1"/>
      <c r="U167" s="1"/>
      <c r="V167" s="1"/>
      <c r="W167" s="1"/>
      <c r="X167" s="1"/>
      <c r="Y167" s="1"/>
      <c r="Z167" s="3"/>
      <c r="AA167" s="3"/>
      <c r="AB167" s="1"/>
      <c r="AC167" s="1"/>
      <c r="AD167" s="1"/>
      <c r="AE167" s="1"/>
      <c r="AF167" s="2"/>
      <c r="AG167" s="2"/>
      <c r="AH167" s="2"/>
      <c r="AI167" s="2"/>
      <c r="AJ167" s="2"/>
      <c r="AK167" s="1"/>
      <c r="AL167" s="1"/>
      <c r="AM167" s="1"/>
      <c r="AN167" s="1"/>
      <c r="AO167" s="1"/>
      <c r="AP167" s="2"/>
      <c r="AQ167" s="2"/>
      <c r="AR167" s="2"/>
      <c r="AS167" s="2"/>
      <c r="AT167" s="1"/>
      <c r="AU167" s="1"/>
    </row>
    <row r="168">
      <c r="H168" s="1"/>
      <c r="I168" s="1"/>
      <c r="J168" s="1"/>
      <c r="K168" s="1"/>
      <c r="L168" s="1"/>
      <c r="N168" s="1"/>
      <c r="O168" s="1"/>
      <c r="P168" s="1"/>
      <c r="Q168" s="1"/>
      <c r="R168" s="1"/>
      <c r="S168" s="1"/>
      <c r="T168" s="1"/>
      <c r="U168" s="1"/>
      <c r="V168" s="1"/>
      <c r="W168" s="1"/>
      <c r="X168" s="1"/>
      <c r="Y168" s="1"/>
      <c r="Z168" s="3"/>
      <c r="AA168" s="3"/>
      <c r="AB168" s="1"/>
      <c r="AC168" s="1"/>
      <c r="AD168" s="1"/>
      <c r="AE168" s="1"/>
      <c r="AF168" s="2"/>
      <c r="AG168" s="2"/>
      <c r="AH168" s="2"/>
      <c r="AI168" s="2"/>
      <c r="AJ168" s="2"/>
      <c r="AK168" s="1"/>
      <c r="AL168" s="1"/>
      <c r="AM168" s="1"/>
      <c r="AN168" s="1"/>
      <c r="AO168" s="1"/>
      <c r="AP168" s="2"/>
      <c r="AQ168" s="2"/>
      <c r="AR168" s="2"/>
      <c r="AS168" s="2"/>
      <c r="AT168" s="1"/>
      <c r="AU168" s="1"/>
    </row>
    <row r="169">
      <c r="H169" s="1"/>
      <c r="I169" s="1"/>
      <c r="J169" s="1"/>
      <c r="K169" s="1"/>
      <c r="L169" s="1"/>
      <c r="N169" s="1"/>
      <c r="O169" s="1"/>
      <c r="P169" s="1"/>
      <c r="Q169" s="1"/>
      <c r="R169" s="1"/>
      <c r="S169" s="1"/>
      <c r="T169" s="1"/>
      <c r="U169" s="1"/>
      <c r="V169" s="1"/>
      <c r="W169" s="1"/>
      <c r="X169" s="1"/>
      <c r="Y169" s="1"/>
      <c r="Z169" s="3"/>
      <c r="AA169" s="3"/>
      <c r="AB169" s="1"/>
      <c r="AC169" s="1"/>
      <c r="AD169" s="1"/>
      <c r="AE169" s="1"/>
      <c r="AF169" s="2"/>
      <c r="AG169" s="2"/>
      <c r="AH169" s="2"/>
      <c r="AI169" s="2"/>
      <c r="AJ169" s="2"/>
      <c r="AK169" s="1"/>
      <c r="AL169" s="1"/>
      <c r="AM169" s="1"/>
      <c r="AN169" s="1"/>
      <c r="AO169" s="1"/>
      <c r="AP169" s="2"/>
      <c r="AQ169" s="2"/>
      <c r="AR169" s="2"/>
      <c r="AS169" s="2"/>
      <c r="AT169" s="1"/>
      <c r="AU169" s="1"/>
    </row>
    <row r="170">
      <c r="H170" s="1"/>
      <c r="I170" s="1"/>
      <c r="J170" s="1"/>
      <c r="K170" s="1"/>
      <c r="L170" s="1"/>
      <c r="N170" s="1"/>
      <c r="O170" s="1"/>
      <c r="P170" s="1"/>
      <c r="Q170" s="1"/>
      <c r="R170" s="1"/>
      <c r="S170" s="1"/>
      <c r="T170" s="1"/>
      <c r="U170" s="1"/>
      <c r="V170" s="1"/>
      <c r="W170" s="1"/>
      <c r="X170" s="1"/>
      <c r="Y170" s="1"/>
      <c r="Z170" s="3"/>
      <c r="AA170" s="3"/>
      <c r="AB170" s="1"/>
      <c r="AC170" s="1"/>
      <c r="AD170" s="1"/>
      <c r="AE170" s="1"/>
      <c r="AF170" s="2"/>
      <c r="AG170" s="2"/>
      <c r="AH170" s="2"/>
      <c r="AI170" s="2"/>
      <c r="AJ170" s="2"/>
      <c r="AK170" s="1"/>
      <c r="AL170" s="1"/>
      <c r="AM170" s="1"/>
      <c r="AN170" s="1"/>
      <c r="AO170" s="1"/>
      <c r="AP170" s="2"/>
      <c r="AQ170" s="2"/>
      <c r="AR170" s="2"/>
      <c r="AS170" s="2"/>
      <c r="AT170" s="1"/>
      <c r="AU170" s="1"/>
    </row>
    <row r="171">
      <c r="H171" s="1"/>
      <c r="I171" s="1"/>
      <c r="J171" s="1"/>
      <c r="K171" s="1"/>
      <c r="L171" s="1"/>
      <c r="N171" s="1"/>
      <c r="O171" s="1"/>
      <c r="P171" s="1"/>
      <c r="Q171" s="1"/>
      <c r="R171" s="1"/>
      <c r="S171" s="1"/>
      <c r="T171" s="1"/>
      <c r="U171" s="1"/>
      <c r="V171" s="1"/>
      <c r="W171" s="1"/>
      <c r="X171" s="1"/>
      <c r="Y171" s="1"/>
      <c r="Z171" s="3"/>
      <c r="AA171" s="3"/>
      <c r="AB171" s="1"/>
      <c r="AC171" s="1"/>
      <c r="AD171" s="1"/>
      <c r="AE171" s="1"/>
      <c r="AF171" s="2"/>
      <c r="AG171" s="2"/>
      <c r="AH171" s="2"/>
      <c r="AI171" s="2"/>
      <c r="AJ171" s="2"/>
      <c r="AK171" s="1"/>
      <c r="AL171" s="1"/>
      <c r="AM171" s="1"/>
      <c r="AN171" s="1"/>
      <c r="AO171" s="1"/>
      <c r="AP171" s="2"/>
      <c r="AQ171" s="2"/>
      <c r="AR171" s="2"/>
      <c r="AS171" s="2"/>
      <c r="AT171" s="1"/>
      <c r="AU171" s="1"/>
    </row>
    <row r="172">
      <c r="H172" s="1"/>
      <c r="I172" s="1"/>
      <c r="J172" s="1"/>
      <c r="K172" s="1"/>
      <c r="L172" s="1"/>
      <c r="N172" s="1"/>
      <c r="O172" s="1"/>
      <c r="P172" s="1"/>
      <c r="Q172" s="1"/>
      <c r="R172" s="1"/>
      <c r="S172" s="1"/>
      <c r="T172" s="1"/>
      <c r="U172" s="1"/>
      <c r="V172" s="1"/>
      <c r="W172" s="1"/>
      <c r="X172" s="1"/>
      <c r="Y172" s="1"/>
      <c r="Z172" s="3"/>
      <c r="AA172" s="3"/>
      <c r="AB172" s="1"/>
      <c r="AC172" s="1"/>
      <c r="AD172" s="1"/>
      <c r="AE172" s="1"/>
      <c r="AF172" s="2"/>
      <c r="AG172" s="2"/>
      <c r="AH172" s="2"/>
      <c r="AI172" s="2"/>
      <c r="AJ172" s="2"/>
      <c r="AK172" s="1"/>
      <c r="AL172" s="1"/>
      <c r="AM172" s="1"/>
      <c r="AN172" s="1"/>
      <c r="AO172" s="1"/>
      <c r="AP172" s="2"/>
      <c r="AQ172" s="2"/>
      <c r="AR172" s="2"/>
      <c r="AS172" s="2"/>
      <c r="AT172" s="1"/>
      <c r="AU172" s="1"/>
    </row>
    <row r="173">
      <c r="H173" s="1"/>
      <c r="I173" s="1"/>
      <c r="J173" s="1"/>
      <c r="K173" s="1"/>
      <c r="L173" s="1"/>
      <c r="N173" s="1"/>
      <c r="O173" s="1"/>
      <c r="P173" s="1"/>
      <c r="Q173" s="1"/>
      <c r="R173" s="1"/>
      <c r="S173" s="1"/>
      <c r="T173" s="1"/>
      <c r="U173" s="1"/>
      <c r="V173" s="1"/>
      <c r="W173" s="1"/>
      <c r="X173" s="1"/>
      <c r="Y173" s="1"/>
      <c r="Z173" s="3"/>
      <c r="AA173" s="3"/>
      <c r="AB173" s="1"/>
      <c r="AC173" s="1"/>
      <c r="AD173" s="1"/>
      <c r="AE173" s="1"/>
      <c r="AF173" s="2"/>
      <c r="AG173" s="2"/>
      <c r="AH173" s="2"/>
      <c r="AI173" s="2"/>
      <c r="AJ173" s="2"/>
      <c r="AK173" s="1"/>
      <c r="AL173" s="1"/>
      <c r="AM173" s="1"/>
      <c r="AN173" s="1"/>
      <c r="AO173" s="1"/>
      <c r="AP173" s="2"/>
      <c r="AQ173" s="2"/>
      <c r="AR173" s="2"/>
      <c r="AS173" s="2"/>
      <c r="AT173" s="1"/>
      <c r="AU173" s="1"/>
    </row>
    <row r="174">
      <c r="H174" s="1"/>
      <c r="I174" s="1"/>
      <c r="J174" s="1"/>
      <c r="K174" s="1"/>
      <c r="L174" s="1"/>
      <c r="N174" s="1"/>
      <c r="O174" s="1"/>
      <c r="P174" s="1"/>
      <c r="Q174" s="1"/>
      <c r="R174" s="1"/>
      <c r="S174" s="1"/>
      <c r="T174" s="1"/>
      <c r="U174" s="1"/>
      <c r="V174" s="1"/>
      <c r="W174" s="1"/>
      <c r="X174" s="1"/>
      <c r="Y174" s="1"/>
      <c r="Z174" s="3"/>
      <c r="AA174" s="3"/>
      <c r="AB174" s="1"/>
      <c r="AC174" s="1"/>
      <c r="AD174" s="1"/>
      <c r="AE174" s="1"/>
      <c r="AF174" s="2"/>
      <c r="AG174" s="2"/>
      <c r="AH174" s="2"/>
      <c r="AI174" s="2"/>
      <c r="AJ174" s="2"/>
      <c r="AK174" s="1"/>
      <c r="AL174" s="1"/>
      <c r="AM174" s="1"/>
      <c r="AN174" s="1"/>
      <c r="AO174" s="1"/>
      <c r="AP174" s="2"/>
      <c r="AQ174" s="2"/>
      <c r="AR174" s="2"/>
      <c r="AS174" s="2"/>
      <c r="AT174" s="1"/>
      <c r="AU174" s="1"/>
    </row>
    <row r="175">
      <c r="H175" s="1"/>
      <c r="I175" s="1"/>
      <c r="J175" s="1"/>
      <c r="K175" s="1"/>
      <c r="L175" s="1"/>
      <c r="N175" s="1"/>
      <c r="O175" s="1"/>
      <c r="P175" s="1"/>
      <c r="Q175" s="1"/>
      <c r="R175" s="1"/>
      <c r="S175" s="1"/>
      <c r="T175" s="1"/>
      <c r="U175" s="1"/>
      <c r="V175" s="1"/>
      <c r="W175" s="1"/>
      <c r="X175" s="1"/>
      <c r="Y175" s="1"/>
      <c r="Z175" s="3"/>
      <c r="AA175" s="3"/>
      <c r="AB175" s="1"/>
      <c r="AC175" s="1"/>
      <c r="AD175" s="1"/>
      <c r="AE175" s="1"/>
      <c r="AF175" s="2"/>
      <c r="AG175" s="2"/>
      <c r="AH175" s="2"/>
      <c r="AI175" s="2"/>
      <c r="AJ175" s="2"/>
      <c r="AK175" s="1"/>
      <c r="AL175" s="1"/>
      <c r="AM175" s="1"/>
      <c r="AN175" s="1"/>
      <c r="AO175" s="1"/>
      <c r="AP175" s="2"/>
      <c r="AQ175" s="2"/>
      <c r="AR175" s="2"/>
      <c r="AS175" s="2"/>
      <c r="AT175" s="1"/>
      <c r="AU175" s="1"/>
    </row>
    <row r="176">
      <c r="H176" s="1"/>
      <c r="I176" s="1"/>
      <c r="J176" s="1"/>
      <c r="K176" s="1"/>
      <c r="L176" s="1"/>
      <c r="N176" s="1"/>
      <c r="O176" s="1"/>
      <c r="P176" s="1"/>
      <c r="Q176" s="1"/>
      <c r="R176" s="1"/>
      <c r="S176" s="1"/>
      <c r="T176" s="1"/>
      <c r="U176" s="1"/>
      <c r="V176" s="1"/>
      <c r="W176" s="1"/>
      <c r="X176" s="1"/>
      <c r="Y176" s="1"/>
      <c r="Z176" s="3"/>
      <c r="AA176" s="3"/>
      <c r="AB176" s="1"/>
      <c r="AC176" s="1"/>
      <c r="AD176" s="1"/>
      <c r="AE176" s="1"/>
      <c r="AF176" s="2"/>
      <c r="AG176" s="2"/>
      <c r="AH176" s="2"/>
      <c r="AI176" s="2"/>
      <c r="AJ176" s="2"/>
      <c r="AK176" s="1"/>
      <c r="AL176" s="1"/>
      <c r="AM176" s="1"/>
      <c r="AN176" s="1"/>
      <c r="AO176" s="1"/>
      <c r="AP176" s="2"/>
      <c r="AQ176" s="2"/>
      <c r="AR176" s="2"/>
      <c r="AS176" s="2"/>
      <c r="AT176" s="1"/>
      <c r="AU176" s="1"/>
    </row>
    <row r="177">
      <c r="H177" s="1"/>
      <c r="I177" s="1"/>
      <c r="J177" s="1"/>
      <c r="K177" s="1"/>
      <c r="L177" s="1"/>
      <c r="N177" s="1"/>
      <c r="O177" s="1"/>
      <c r="P177" s="1"/>
      <c r="Q177" s="1"/>
      <c r="R177" s="1"/>
      <c r="S177" s="1"/>
      <c r="T177" s="1"/>
      <c r="U177" s="1"/>
      <c r="V177" s="1"/>
      <c r="W177" s="1"/>
      <c r="X177" s="1"/>
      <c r="Y177" s="1"/>
      <c r="Z177" s="3"/>
      <c r="AA177" s="3"/>
      <c r="AB177" s="1"/>
      <c r="AC177" s="1"/>
      <c r="AD177" s="1"/>
      <c r="AE177" s="1"/>
      <c r="AF177" s="2"/>
      <c r="AG177" s="2"/>
      <c r="AH177" s="2"/>
      <c r="AI177" s="2"/>
      <c r="AJ177" s="2"/>
      <c r="AK177" s="1"/>
      <c r="AL177" s="1"/>
      <c r="AM177" s="1"/>
      <c r="AN177" s="1"/>
      <c r="AO177" s="1"/>
      <c r="AP177" s="2"/>
      <c r="AQ177" s="2"/>
      <c r="AR177" s="2"/>
      <c r="AS177" s="2"/>
      <c r="AT177" s="1"/>
      <c r="AU177" s="1"/>
    </row>
    <row r="178">
      <c r="H178" s="1"/>
      <c r="I178" s="1"/>
      <c r="J178" s="1"/>
      <c r="K178" s="1"/>
      <c r="L178" s="1"/>
      <c r="N178" s="1"/>
      <c r="O178" s="1"/>
      <c r="P178" s="1"/>
      <c r="Q178" s="1"/>
      <c r="R178" s="1"/>
      <c r="S178" s="1"/>
      <c r="T178" s="1"/>
      <c r="U178" s="1"/>
      <c r="V178" s="1"/>
      <c r="W178" s="1"/>
      <c r="X178" s="1"/>
      <c r="Y178" s="1"/>
      <c r="Z178" s="3"/>
      <c r="AA178" s="3"/>
      <c r="AB178" s="1"/>
      <c r="AC178" s="1"/>
      <c r="AD178" s="1"/>
      <c r="AE178" s="1"/>
      <c r="AF178" s="2"/>
      <c r="AG178" s="2"/>
      <c r="AH178" s="2"/>
      <c r="AI178" s="2"/>
      <c r="AJ178" s="2"/>
      <c r="AK178" s="1"/>
      <c r="AL178" s="1"/>
      <c r="AM178" s="1"/>
      <c r="AN178" s="1"/>
      <c r="AO178" s="1"/>
      <c r="AP178" s="2"/>
      <c r="AQ178" s="2"/>
      <c r="AR178" s="2"/>
      <c r="AS178" s="2"/>
      <c r="AT178" s="1"/>
      <c r="AU178" s="1"/>
    </row>
    <row r="179">
      <c r="H179" s="1"/>
      <c r="I179" s="1"/>
      <c r="J179" s="1"/>
      <c r="K179" s="1"/>
      <c r="L179" s="1"/>
      <c r="N179" s="1"/>
      <c r="O179" s="1"/>
      <c r="P179" s="1"/>
      <c r="Q179" s="1"/>
      <c r="R179" s="1"/>
      <c r="S179" s="1"/>
      <c r="T179" s="1"/>
      <c r="U179" s="1"/>
      <c r="V179" s="1"/>
      <c r="W179" s="1"/>
      <c r="X179" s="1"/>
      <c r="Y179" s="1"/>
      <c r="Z179" s="3"/>
      <c r="AA179" s="3"/>
      <c r="AB179" s="1"/>
      <c r="AC179" s="1"/>
      <c r="AD179" s="1"/>
      <c r="AE179" s="1"/>
      <c r="AF179" s="2"/>
      <c r="AG179" s="2"/>
      <c r="AH179" s="2"/>
      <c r="AI179" s="2"/>
      <c r="AJ179" s="2"/>
      <c r="AK179" s="1"/>
      <c r="AL179" s="1"/>
      <c r="AM179" s="1"/>
      <c r="AN179" s="1"/>
      <c r="AO179" s="1"/>
      <c r="AP179" s="2"/>
      <c r="AQ179" s="2"/>
      <c r="AR179" s="2"/>
      <c r="AS179" s="2"/>
      <c r="AT179" s="1"/>
      <c r="AU179" s="1"/>
    </row>
    <row r="180">
      <c r="H180" s="1"/>
      <c r="I180" s="1"/>
      <c r="J180" s="1"/>
      <c r="K180" s="1"/>
      <c r="L180" s="1"/>
      <c r="N180" s="1"/>
      <c r="O180" s="1"/>
      <c r="P180" s="1"/>
      <c r="Q180" s="1"/>
      <c r="R180" s="1"/>
      <c r="S180" s="1"/>
      <c r="T180" s="1"/>
      <c r="U180" s="1"/>
      <c r="V180" s="1"/>
      <c r="W180" s="1"/>
      <c r="X180" s="1"/>
      <c r="Y180" s="1"/>
      <c r="Z180" s="3"/>
      <c r="AA180" s="3"/>
      <c r="AB180" s="1"/>
      <c r="AC180" s="1"/>
      <c r="AD180" s="1"/>
      <c r="AE180" s="1"/>
      <c r="AF180" s="2"/>
      <c r="AG180" s="2"/>
      <c r="AH180" s="2"/>
      <c r="AI180" s="2"/>
      <c r="AJ180" s="2"/>
      <c r="AK180" s="1"/>
      <c r="AL180" s="1"/>
      <c r="AM180" s="1"/>
      <c r="AN180" s="1"/>
      <c r="AO180" s="1"/>
      <c r="AP180" s="2"/>
      <c r="AQ180" s="2"/>
      <c r="AR180" s="2"/>
      <c r="AS180" s="2"/>
      <c r="AT180" s="1"/>
      <c r="AU180" s="1"/>
    </row>
    <row r="181">
      <c r="H181" s="1"/>
      <c r="I181" s="1"/>
      <c r="J181" s="1"/>
      <c r="K181" s="1"/>
      <c r="L181" s="1"/>
      <c r="N181" s="1"/>
      <c r="O181" s="1"/>
      <c r="P181" s="1"/>
      <c r="Q181" s="1"/>
      <c r="R181" s="1"/>
      <c r="S181" s="1"/>
      <c r="T181" s="1"/>
      <c r="U181" s="1"/>
      <c r="V181" s="1"/>
      <c r="W181" s="1"/>
      <c r="X181" s="1"/>
      <c r="Y181" s="1"/>
      <c r="Z181" s="3"/>
      <c r="AA181" s="3"/>
      <c r="AB181" s="1"/>
      <c r="AC181" s="1"/>
      <c r="AD181" s="1"/>
      <c r="AE181" s="1"/>
      <c r="AF181" s="2"/>
      <c r="AG181" s="2"/>
      <c r="AH181" s="2"/>
      <c r="AI181" s="2"/>
      <c r="AJ181" s="2"/>
      <c r="AK181" s="1"/>
      <c r="AL181" s="1"/>
      <c r="AM181" s="1"/>
      <c r="AN181" s="1"/>
      <c r="AO181" s="1"/>
      <c r="AP181" s="2"/>
      <c r="AQ181" s="2"/>
      <c r="AR181" s="2"/>
      <c r="AS181" s="2"/>
      <c r="AT181" s="1"/>
      <c r="AU181" s="1"/>
    </row>
    <row r="182">
      <c r="H182" s="1"/>
      <c r="I182" s="1"/>
      <c r="J182" s="1"/>
      <c r="K182" s="1"/>
      <c r="L182" s="1"/>
      <c r="N182" s="1"/>
      <c r="O182" s="1"/>
      <c r="P182" s="1"/>
      <c r="Q182" s="1"/>
      <c r="R182" s="1"/>
      <c r="S182" s="1"/>
      <c r="T182" s="1"/>
      <c r="U182" s="1"/>
      <c r="V182" s="1"/>
      <c r="W182" s="1"/>
      <c r="X182" s="1"/>
      <c r="Y182" s="1"/>
      <c r="Z182" s="3"/>
      <c r="AA182" s="3"/>
      <c r="AB182" s="1"/>
      <c r="AC182" s="1"/>
      <c r="AD182" s="1"/>
      <c r="AE182" s="1"/>
      <c r="AF182" s="2"/>
      <c r="AG182" s="2"/>
      <c r="AH182" s="2"/>
      <c r="AI182" s="2"/>
      <c r="AJ182" s="2"/>
      <c r="AK182" s="1"/>
      <c r="AL182" s="1"/>
      <c r="AM182" s="1"/>
      <c r="AN182" s="1"/>
      <c r="AO182" s="1"/>
      <c r="AP182" s="2"/>
      <c r="AQ182" s="2"/>
      <c r="AR182" s="2"/>
      <c r="AS182" s="2"/>
      <c r="AT182" s="1"/>
      <c r="AU182" s="1"/>
    </row>
    <row r="183">
      <c r="H183" s="1"/>
      <c r="I183" s="1"/>
      <c r="J183" s="1"/>
      <c r="K183" s="1"/>
      <c r="L183" s="1"/>
      <c r="N183" s="1"/>
      <c r="O183" s="1"/>
      <c r="P183" s="1"/>
      <c r="Q183" s="1"/>
      <c r="R183" s="1"/>
      <c r="S183" s="1"/>
      <c r="T183" s="1"/>
      <c r="U183" s="1"/>
      <c r="V183" s="1"/>
      <c r="W183" s="1"/>
      <c r="X183" s="1"/>
      <c r="Y183" s="1"/>
      <c r="Z183" s="3"/>
      <c r="AA183" s="3"/>
      <c r="AB183" s="1"/>
      <c r="AC183" s="1"/>
      <c r="AD183" s="1"/>
      <c r="AE183" s="1"/>
      <c r="AF183" s="2"/>
      <c r="AG183" s="2"/>
      <c r="AH183" s="2"/>
      <c r="AI183" s="2"/>
      <c r="AJ183" s="2"/>
      <c r="AK183" s="1"/>
      <c r="AL183" s="1"/>
      <c r="AM183" s="1"/>
      <c r="AN183" s="1"/>
      <c r="AO183" s="1"/>
      <c r="AP183" s="2"/>
      <c r="AQ183" s="2"/>
      <c r="AR183" s="2"/>
      <c r="AS183" s="2"/>
      <c r="AT183" s="1"/>
      <c r="AU183" s="1"/>
    </row>
    <row r="184">
      <c r="H184" s="1"/>
      <c r="I184" s="1"/>
      <c r="J184" s="1"/>
      <c r="K184" s="1"/>
      <c r="L184" s="1"/>
      <c r="N184" s="1"/>
      <c r="O184" s="1"/>
      <c r="P184" s="1"/>
      <c r="Q184" s="1"/>
      <c r="R184" s="1"/>
      <c r="S184" s="1"/>
      <c r="T184" s="1"/>
      <c r="U184" s="1"/>
      <c r="V184" s="1"/>
      <c r="W184" s="1"/>
      <c r="X184" s="1"/>
      <c r="Y184" s="1"/>
      <c r="Z184" s="3"/>
      <c r="AA184" s="3"/>
      <c r="AB184" s="1"/>
      <c r="AC184" s="1"/>
      <c r="AD184" s="1"/>
      <c r="AE184" s="1"/>
      <c r="AF184" s="2"/>
      <c r="AG184" s="2"/>
      <c r="AH184" s="2"/>
      <c r="AI184" s="2"/>
      <c r="AJ184" s="2"/>
      <c r="AK184" s="1"/>
      <c r="AL184" s="1"/>
      <c r="AM184" s="1"/>
      <c r="AN184" s="1"/>
      <c r="AO184" s="1"/>
      <c r="AP184" s="2"/>
      <c r="AQ184" s="2"/>
      <c r="AR184" s="2"/>
      <c r="AS184" s="2"/>
      <c r="AT184" s="1"/>
      <c r="AU184" s="1"/>
    </row>
    <row r="185">
      <c r="H185" s="1"/>
      <c r="I185" s="1"/>
      <c r="J185" s="1"/>
      <c r="K185" s="1"/>
      <c r="L185" s="1"/>
      <c r="N185" s="1"/>
      <c r="O185" s="1"/>
      <c r="P185" s="1"/>
      <c r="Q185" s="1"/>
      <c r="R185" s="1"/>
      <c r="S185" s="1"/>
      <c r="T185" s="1"/>
      <c r="U185" s="1"/>
      <c r="V185" s="1"/>
      <c r="W185" s="1"/>
      <c r="X185" s="1"/>
      <c r="Y185" s="1"/>
      <c r="Z185" s="3"/>
      <c r="AA185" s="3"/>
      <c r="AB185" s="1"/>
      <c r="AC185" s="1"/>
      <c r="AD185" s="1"/>
      <c r="AE185" s="1"/>
      <c r="AF185" s="2"/>
      <c r="AG185" s="2"/>
      <c r="AH185" s="2"/>
      <c r="AI185" s="2"/>
      <c r="AJ185" s="2"/>
      <c r="AK185" s="1"/>
      <c r="AL185" s="1"/>
      <c r="AM185" s="1"/>
      <c r="AN185" s="1"/>
      <c r="AO185" s="1"/>
      <c r="AP185" s="2"/>
      <c r="AQ185" s="2"/>
      <c r="AR185" s="2"/>
      <c r="AS185" s="2"/>
      <c r="AT185" s="1"/>
      <c r="AU185" s="1"/>
    </row>
    <row r="186">
      <c r="H186" s="1"/>
      <c r="I186" s="1"/>
      <c r="J186" s="1"/>
      <c r="K186" s="1"/>
      <c r="L186" s="1"/>
      <c r="N186" s="1"/>
      <c r="O186" s="1"/>
      <c r="P186" s="1"/>
      <c r="Q186" s="1"/>
      <c r="R186" s="1"/>
      <c r="S186" s="1"/>
      <c r="T186" s="1"/>
      <c r="U186" s="1"/>
      <c r="V186" s="1"/>
      <c r="W186" s="1"/>
      <c r="X186" s="1"/>
      <c r="Y186" s="1"/>
      <c r="Z186" s="3"/>
      <c r="AA186" s="3"/>
      <c r="AB186" s="1"/>
      <c r="AC186" s="1"/>
      <c r="AD186" s="1"/>
      <c r="AE186" s="1"/>
      <c r="AF186" s="2"/>
      <c r="AG186" s="2"/>
      <c r="AH186" s="2"/>
      <c r="AI186" s="2"/>
      <c r="AJ186" s="2"/>
      <c r="AK186" s="1"/>
      <c r="AL186" s="1"/>
      <c r="AM186" s="1"/>
      <c r="AN186" s="1"/>
      <c r="AO186" s="1"/>
      <c r="AP186" s="2"/>
      <c r="AQ186" s="2"/>
      <c r="AR186" s="2"/>
      <c r="AS186" s="2"/>
      <c r="AT186" s="1"/>
      <c r="AU186" s="1"/>
    </row>
    <row r="187">
      <c r="H187" s="1"/>
      <c r="I187" s="1"/>
      <c r="J187" s="1"/>
      <c r="K187" s="1"/>
      <c r="L187" s="1"/>
      <c r="N187" s="1"/>
      <c r="O187" s="1"/>
      <c r="P187" s="1"/>
      <c r="Q187" s="1"/>
      <c r="R187" s="1"/>
      <c r="S187" s="1"/>
      <c r="T187" s="1"/>
      <c r="U187" s="1"/>
      <c r="V187" s="1"/>
      <c r="W187" s="1"/>
      <c r="X187" s="1"/>
      <c r="Y187" s="1"/>
      <c r="Z187" s="3"/>
      <c r="AA187" s="3"/>
      <c r="AB187" s="1"/>
      <c r="AC187" s="1"/>
      <c r="AD187" s="1"/>
      <c r="AE187" s="1"/>
      <c r="AF187" s="2"/>
      <c r="AG187" s="2"/>
      <c r="AH187" s="2"/>
      <c r="AI187" s="2"/>
      <c r="AJ187" s="2"/>
      <c r="AK187" s="1"/>
      <c r="AL187" s="1"/>
      <c r="AM187" s="1"/>
      <c r="AN187" s="1"/>
      <c r="AO187" s="1"/>
      <c r="AP187" s="2"/>
      <c r="AQ187" s="2"/>
      <c r="AR187" s="2"/>
      <c r="AS187" s="2"/>
      <c r="AT187" s="1"/>
      <c r="AU187" s="1"/>
    </row>
    <row r="188">
      <c r="H188" s="1"/>
      <c r="I188" s="1"/>
      <c r="J188" s="1"/>
      <c r="K188" s="1"/>
      <c r="L188" s="1"/>
      <c r="N188" s="1"/>
      <c r="O188" s="1"/>
      <c r="P188" s="1"/>
      <c r="Q188" s="1"/>
      <c r="R188" s="1"/>
      <c r="S188" s="1"/>
      <c r="T188" s="1"/>
      <c r="U188" s="1"/>
      <c r="V188" s="1"/>
      <c r="W188" s="1"/>
      <c r="X188" s="1"/>
      <c r="Y188" s="1"/>
      <c r="Z188" s="3"/>
      <c r="AA188" s="3"/>
      <c r="AB188" s="1"/>
      <c r="AC188" s="1"/>
      <c r="AD188" s="1"/>
      <c r="AE188" s="1"/>
      <c r="AF188" s="2"/>
      <c r="AG188" s="2"/>
      <c r="AH188" s="2"/>
      <c r="AI188" s="2"/>
      <c r="AJ188" s="2"/>
      <c r="AK188" s="1"/>
      <c r="AL188" s="1"/>
      <c r="AM188" s="1"/>
      <c r="AN188" s="1"/>
      <c r="AO188" s="1"/>
      <c r="AP188" s="2"/>
      <c r="AQ188" s="2"/>
      <c r="AR188" s="2"/>
      <c r="AS188" s="2"/>
      <c r="AT188" s="1"/>
      <c r="AU188" s="1"/>
    </row>
    <row r="189">
      <c r="H189" s="1"/>
      <c r="I189" s="1"/>
      <c r="J189" s="1"/>
      <c r="K189" s="1"/>
      <c r="L189" s="1"/>
      <c r="N189" s="1"/>
      <c r="O189" s="1"/>
      <c r="P189" s="1"/>
      <c r="Q189" s="1"/>
      <c r="R189" s="1"/>
      <c r="S189" s="1"/>
      <c r="T189" s="1"/>
      <c r="U189" s="1"/>
      <c r="V189" s="1"/>
      <c r="W189" s="1"/>
      <c r="X189" s="1"/>
      <c r="Y189" s="1"/>
      <c r="Z189" s="3"/>
      <c r="AA189" s="3"/>
      <c r="AB189" s="1"/>
      <c r="AC189" s="1"/>
      <c r="AD189" s="1"/>
      <c r="AE189" s="1"/>
      <c r="AF189" s="2"/>
      <c r="AG189" s="2"/>
      <c r="AH189" s="2"/>
      <c r="AI189" s="2"/>
      <c r="AJ189" s="2"/>
      <c r="AK189" s="1"/>
      <c r="AL189" s="1"/>
      <c r="AM189" s="1"/>
      <c r="AN189" s="1"/>
      <c r="AO189" s="1"/>
      <c r="AP189" s="2"/>
      <c r="AQ189" s="2"/>
      <c r="AR189" s="2"/>
      <c r="AS189" s="2"/>
      <c r="AT189" s="1"/>
      <c r="AU189" s="1"/>
    </row>
    <row r="190">
      <c r="H190" s="1"/>
      <c r="I190" s="1"/>
      <c r="J190" s="1"/>
      <c r="K190" s="1"/>
      <c r="L190" s="1"/>
      <c r="N190" s="1"/>
      <c r="O190" s="1"/>
      <c r="P190" s="1"/>
      <c r="Q190" s="1"/>
      <c r="R190" s="1"/>
      <c r="S190" s="1"/>
      <c r="T190" s="1"/>
      <c r="U190" s="1"/>
      <c r="V190" s="1"/>
      <c r="W190" s="1"/>
      <c r="X190" s="1"/>
      <c r="Y190" s="1"/>
      <c r="Z190" s="3"/>
      <c r="AA190" s="3"/>
      <c r="AB190" s="1"/>
      <c r="AC190" s="1"/>
      <c r="AD190" s="1"/>
      <c r="AE190" s="1"/>
      <c r="AF190" s="2"/>
      <c r="AG190" s="2"/>
      <c r="AH190" s="2"/>
      <c r="AI190" s="2"/>
      <c r="AJ190" s="2"/>
      <c r="AK190" s="1"/>
      <c r="AL190" s="1"/>
      <c r="AM190" s="1"/>
      <c r="AN190" s="1"/>
      <c r="AO190" s="1"/>
      <c r="AP190" s="2"/>
      <c r="AQ190" s="2"/>
      <c r="AR190" s="2"/>
      <c r="AS190" s="2"/>
      <c r="AT190" s="1"/>
      <c r="AU190" s="1"/>
    </row>
    <row r="191">
      <c r="H191" s="1"/>
      <c r="I191" s="1"/>
      <c r="J191" s="1"/>
      <c r="K191" s="1"/>
      <c r="L191" s="1"/>
      <c r="N191" s="1"/>
      <c r="O191" s="1"/>
      <c r="P191" s="1"/>
      <c r="Q191" s="1"/>
      <c r="R191" s="1"/>
      <c r="S191" s="1"/>
      <c r="T191" s="1"/>
      <c r="U191" s="1"/>
      <c r="V191" s="1"/>
      <c r="W191" s="1"/>
      <c r="X191" s="1"/>
      <c r="Y191" s="1"/>
      <c r="Z191" s="3"/>
      <c r="AA191" s="3"/>
      <c r="AB191" s="1"/>
      <c r="AC191" s="1"/>
      <c r="AD191" s="1"/>
      <c r="AE191" s="1"/>
      <c r="AF191" s="2"/>
      <c r="AG191" s="2"/>
      <c r="AH191" s="2"/>
      <c r="AI191" s="2"/>
      <c r="AJ191" s="2"/>
      <c r="AK191" s="1"/>
      <c r="AL191" s="1"/>
      <c r="AM191" s="1"/>
      <c r="AN191" s="1"/>
      <c r="AO191" s="1"/>
      <c r="AP191" s="2"/>
      <c r="AQ191" s="2"/>
      <c r="AR191" s="2"/>
      <c r="AS191" s="2"/>
      <c r="AT191" s="1"/>
      <c r="AU191" s="1"/>
    </row>
    <row r="192">
      <c r="H192" s="1"/>
      <c r="I192" s="1"/>
      <c r="J192" s="1"/>
      <c r="K192" s="1"/>
      <c r="L192" s="1"/>
      <c r="N192" s="1"/>
      <c r="O192" s="1"/>
      <c r="P192" s="1"/>
      <c r="Q192" s="1"/>
      <c r="R192" s="1"/>
      <c r="S192" s="1"/>
      <c r="T192" s="1"/>
      <c r="U192" s="1"/>
      <c r="V192" s="1"/>
      <c r="W192" s="1"/>
      <c r="X192" s="1"/>
      <c r="Y192" s="1"/>
      <c r="Z192" s="3"/>
      <c r="AA192" s="3"/>
      <c r="AB192" s="1"/>
      <c r="AC192" s="1"/>
      <c r="AD192" s="1"/>
      <c r="AE192" s="1"/>
      <c r="AF192" s="2"/>
      <c r="AG192" s="2"/>
      <c r="AH192" s="2"/>
      <c r="AI192" s="2"/>
      <c r="AJ192" s="2"/>
      <c r="AK192" s="1"/>
      <c r="AL192" s="1"/>
      <c r="AM192" s="1"/>
      <c r="AN192" s="1"/>
      <c r="AO192" s="1"/>
      <c r="AP192" s="2"/>
      <c r="AQ192" s="2"/>
      <c r="AR192" s="2"/>
      <c r="AS192" s="2"/>
      <c r="AT192" s="1"/>
      <c r="AU192" s="1"/>
    </row>
    <row r="193">
      <c r="H193" s="1"/>
      <c r="I193" s="1"/>
      <c r="J193" s="1"/>
      <c r="K193" s="1"/>
      <c r="L193" s="1"/>
      <c r="N193" s="1"/>
      <c r="O193" s="1"/>
      <c r="P193" s="1"/>
      <c r="Q193" s="1"/>
      <c r="R193" s="1"/>
      <c r="S193" s="1"/>
      <c r="T193" s="1"/>
      <c r="U193" s="1"/>
      <c r="V193" s="1"/>
      <c r="W193" s="1"/>
      <c r="X193" s="1"/>
      <c r="Y193" s="1"/>
      <c r="Z193" s="3"/>
      <c r="AA193" s="3"/>
      <c r="AB193" s="1"/>
      <c r="AC193" s="1"/>
      <c r="AD193" s="1"/>
      <c r="AE193" s="1"/>
      <c r="AF193" s="2"/>
      <c r="AG193" s="2"/>
      <c r="AH193" s="2"/>
      <c r="AI193" s="2"/>
      <c r="AJ193" s="2"/>
      <c r="AK193" s="1"/>
      <c r="AL193" s="1"/>
      <c r="AM193" s="1"/>
      <c r="AN193" s="1"/>
      <c r="AO193" s="1"/>
      <c r="AP193" s="2"/>
      <c r="AQ193" s="2"/>
      <c r="AR193" s="2"/>
      <c r="AS193" s="2"/>
      <c r="AT193" s="1"/>
      <c r="AU193" s="1"/>
    </row>
    <row r="194">
      <c r="H194" s="1"/>
      <c r="I194" s="1"/>
      <c r="J194" s="1"/>
      <c r="K194" s="1"/>
      <c r="L194" s="1"/>
      <c r="N194" s="1"/>
      <c r="O194" s="1"/>
      <c r="P194" s="1"/>
      <c r="Q194" s="1"/>
      <c r="R194" s="1"/>
      <c r="S194" s="1"/>
      <c r="T194" s="1"/>
      <c r="U194" s="1"/>
      <c r="V194" s="1"/>
      <c r="W194" s="1"/>
      <c r="X194" s="1"/>
      <c r="Y194" s="1"/>
      <c r="Z194" s="3"/>
      <c r="AA194" s="3"/>
      <c r="AB194" s="1"/>
      <c r="AC194" s="1"/>
      <c r="AD194" s="1"/>
      <c r="AE194" s="1"/>
      <c r="AF194" s="2"/>
      <c r="AG194" s="2"/>
      <c r="AH194" s="2"/>
      <c r="AI194" s="2"/>
      <c r="AJ194" s="2"/>
      <c r="AK194" s="1"/>
      <c r="AL194" s="1"/>
      <c r="AM194" s="1"/>
      <c r="AN194" s="1"/>
      <c r="AO194" s="1"/>
      <c r="AP194" s="2"/>
      <c r="AQ194" s="2"/>
      <c r="AR194" s="2"/>
      <c r="AS194" s="2"/>
      <c r="AT194" s="1"/>
      <c r="AU194" s="1"/>
    </row>
    <row r="195">
      <c r="H195" s="1"/>
      <c r="I195" s="1"/>
      <c r="J195" s="1"/>
      <c r="K195" s="1"/>
      <c r="L195" s="1"/>
      <c r="N195" s="1"/>
      <c r="O195" s="1"/>
      <c r="P195" s="1"/>
      <c r="Q195" s="1"/>
      <c r="R195" s="1"/>
      <c r="S195" s="1"/>
      <c r="T195" s="1"/>
      <c r="U195" s="1"/>
      <c r="V195" s="1"/>
      <c r="W195" s="1"/>
      <c r="X195" s="1"/>
      <c r="Y195" s="1"/>
      <c r="Z195" s="3"/>
      <c r="AA195" s="3"/>
      <c r="AB195" s="1"/>
      <c r="AC195" s="1"/>
      <c r="AD195" s="1"/>
      <c r="AE195" s="1"/>
      <c r="AF195" s="2"/>
      <c r="AG195" s="2"/>
      <c r="AH195" s="2"/>
      <c r="AI195" s="2"/>
      <c r="AJ195" s="2"/>
      <c r="AK195" s="1"/>
      <c r="AL195" s="1"/>
      <c r="AM195" s="1"/>
      <c r="AN195" s="1"/>
      <c r="AO195" s="1"/>
      <c r="AP195" s="2"/>
      <c r="AQ195" s="2"/>
      <c r="AR195" s="2"/>
      <c r="AS195" s="2"/>
      <c r="AT195" s="1"/>
      <c r="AU195" s="1"/>
    </row>
    <row r="196">
      <c r="H196" s="1"/>
      <c r="I196" s="1"/>
      <c r="J196" s="1"/>
      <c r="K196" s="1"/>
      <c r="L196" s="1"/>
      <c r="N196" s="1"/>
      <c r="O196" s="1"/>
      <c r="P196" s="1"/>
      <c r="Q196" s="1"/>
      <c r="R196" s="1"/>
      <c r="S196" s="1"/>
      <c r="T196" s="1"/>
      <c r="U196" s="1"/>
      <c r="V196" s="1"/>
      <c r="W196" s="1"/>
      <c r="X196" s="1"/>
      <c r="Y196" s="1"/>
      <c r="Z196" s="3"/>
      <c r="AA196" s="3"/>
      <c r="AB196" s="1"/>
      <c r="AC196" s="1"/>
      <c r="AD196" s="1"/>
      <c r="AE196" s="1"/>
      <c r="AF196" s="2"/>
      <c r="AG196" s="2"/>
      <c r="AH196" s="2"/>
      <c r="AI196" s="2"/>
      <c r="AJ196" s="2"/>
      <c r="AK196" s="1"/>
      <c r="AL196" s="1"/>
      <c r="AM196" s="1"/>
      <c r="AN196" s="1"/>
      <c r="AO196" s="1"/>
      <c r="AP196" s="2"/>
      <c r="AQ196" s="2"/>
      <c r="AR196" s="2"/>
      <c r="AS196" s="2"/>
      <c r="AT196" s="1"/>
      <c r="AU196" s="1"/>
    </row>
    <row r="197">
      <c r="H197" s="1"/>
      <c r="I197" s="1"/>
      <c r="J197" s="1"/>
      <c r="K197" s="1"/>
      <c r="L197" s="1"/>
      <c r="N197" s="1"/>
      <c r="O197" s="1"/>
      <c r="P197" s="1"/>
      <c r="Q197" s="1"/>
      <c r="R197" s="1"/>
      <c r="S197" s="1"/>
      <c r="T197" s="1"/>
      <c r="U197" s="1"/>
      <c r="V197" s="1"/>
      <c r="W197" s="1"/>
      <c r="X197" s="1"/>
      <c r="Y197" s="1"/>
      <c r="Z197" s="3"/>
      <c r="AA197" s="3"/>
      <c r="AB197" s="1"/>
      <c r="AC197" s="1"/>
      <c r="AD197" s="1"/>
      <c r="AE197" s="1"/>
      <c r="AF197" s="2"/>
      <c r="AG197" s="2"/>
      <c r="AH197" s="2"/>
      <c r="AI197" s="2"/>
      <c r="AJ197" s="2"/>
      <c r="AK197" s="1"/>
      <c r="AL197" s="1"/>
      <c r="AM197" s="1"/>
      <c r="AN197" s="1"/>
      <c r="AO197" s="1"/>
      <c r="AP197" s="2"/>
      <c r="AQ197" s="2"/>
      <c r="AR197" s="2"/>
      <c r="AS197" s="2"/>
      <c r="AT197" s="1"/>
      <c r="AU197" s="1"/>
    </row>
    <row r="198">
      <c r="H198" s="1"/>
      <c r="I198" s="1"/>
      <c r="J198" s="1"/>
      <c r="K198" s="1"/>
      <c r="L198" s="1"/>
      <c r="N198" s="1"/>
      <c r="O198" s="1"/>
      <c r="P198" s="1"/>
      <c r="Q198" s="1"/>
      <c r="R198" s="1"/>
      <c r="S198" s="1"/>
      <c r="T198" s="1"/>
      <c r="U198" s="1"/>
      <c r="V198" s="1"/>
      <c r="W198" s="1"/>
      <c r="X198" s="1"/>
      <c r="Y198" s="1"/>
      <c r="Z198" s="3"/>
      <c r="AA198" s="3"/>
      <c r="AB198" s="1"/>
      <c r="AC198" s="1"/>
      <c r="AD198" s="1"/>
      <c r="AE198" s="1"/>
      <c r="AF198" s="2"/>
      <c r="AG198" s="2"/>
      <c r="AH198" s="2"/>
      <c r="AI198" s="2"/>
      <c r="AJ198" s="2"/>
      <c r="AK198" s="1"/>
      <c r="AL198" s="1"/>
      <c r="AM198" s="1"/>
      <c r="AN198" s="1"/>
      <c r="AO198" s="1"/>
      <c r="AP198" s="2"/>
      <c r="AQ198" s="2"/>
      <c r="AR198" s="2"/>
      <c r="AS198" s="2"/>
      <c r="AT198" s="1"/>
      <c r="AU198" s="1"/>
    </row>
    <row r="199">
      <c r="H199" s="1"/>
      <c r="I199" s="1"/>
      <c r="J199" s="1"/>
      <c r="K199" s="1"/>
      <c r="L199" s="1"/>
      <c r="N199" s="1"/>
      <c r="O199" s="1"/>
      <c r="P199" s="1"/>
      <c r="Q199" s="1"/>
      <c r="R199" s="1"/>
      <c r="S199" s="1"/>
      <c r="T199" s="1"/>
      <c r="U199" s="1"/>
      <c r="V199" s="1"/>
      <c r="W199" s="1"/>
      <c r="X199" s="1"/>
      <c r="Y199" s="1"/>
      <c r="Z199" s="3"/>
      <c r="AA199" s="3"/>
      <c r="AB199" s="1"/>
      <c r="AC199" s="1"/>
      <c r="AD199" s="1"/>
      <c r="AE199" s="1"/>
      <c r="AF199" s="2"/>
      <c r="AG199" s="2"/>
      <c r="AH199" s="2"/>
      <c r="AI199" s="2"/>
      <c r="AJ199" s="2"/>
      <c r="AK199" s="1"/>
      <c r="AL199" s="1"/>
      <c r="AM199" s="1"/>
      <c r="AN199" s="1"/>
      <c r="AO199" s="1"/>
      <c r="AP199" s="2"/>
      <c r="AQ199" s="2"/>
      <c r="AR199" s="2"/>
      <c r="AS199" s="2"/>
      <c r="AT199" s="1"/>
      <c r="AU199" s="1"/>
    </row>
    <row r="200">
      <c r="H200" s="1"/>
      <c r="I200" s="1"/>
      <c r="J200" s="1"/>
      <c r="K200" s="1"/>
      <c r="L200" s="1"/>
      <c r="N200" s="1"/>
      <c r="O200" s="1"/>
      <c r="P200" s="1"/>
      <c r="Q200" s="1"/>
      <c r="R200" s="1"/>
      <c r="S200" s="1"/>
      <c r="T200" s="1"/>
      <c r="U200" s="1"/>
      <c r="V200" s="1"/>
      <c r="W200" s="1"/>
      <c r="X200" s="1"/>
      <c r="Y200" s="1"/>
      <c r="Z200" s="3"/>
      <c r="AA200" s="3"/>
      <c r="AB200" s="1"/>
      <c r="AC200" s="1"/>
      <c r="AD200" s="1"/>
      <c r="AE200" s="1"/>
      <c r="AF200" s="2"/>
      <c r="AG200" s="2"/>
      <c r="AH200" s="2"/>
      <c r="AI200" s="2"/>
      <c r="AJ200" s="2"/>
      <c r="AK200" s="1"/>
      <c r="AL200" s="1"/>
      <c r="AM200" s="1"/>
      <c r="AN200" s="1"/>
      <c r="AO200" s="1"/>
      <c r="AP200" s="2"/>
      <c r="AQ200" s="2"/>
      <c r="AR200" s="2"/>
      <c r="AS200" s="2"/>
      <c r="AT200" s="1"/>
      <c r="AU200" s="1"/>
    </row>
  </sheetData>
  <mergeCells>
    <mergeCell ref="AL1:AN1"/>
    <mergeCell ref="I1:K1"/>
    <mergeCell ref="N1:O1"/>
    <mergeCell ref="S1:U1"/>
    <mergeCell ref="Z1:AC1"/>
  </mergeCells>
  <conditionalFormatting sqref="AJ1:AJ1048576">
    <cfRule priority="2" type="iconSet">
      <iconSet iconSet="5Arrows" showValue="true">
        <cfvo gte="true" type="percent" val="0"/>
        <cfvo gte="true" type="percent" val="20"/>
        <cfvo gte="true" type="percent" val="40"/>
        <cfvo gte="true" type="percent" val="60"/>
        <cfvo gte="true" type="percent" val="80"/>
      </iconSet>
    </cfRule>
  </conditionalFormatting>
  <conditionalFormatting sqref="Q1:Q1048576">
    <cfRule priority="3" type="iconSet">
      <iconSet iconSet="5Arrows" showValue="true">
        <cfvo gte="true" type="percent" val="0"/>
        <cfvo gte="true" type="percent" val="20"/>
        <cfvo gte="true" type="percent" val="40"/>
        <cfvo gte="true" type="percent" val="60"/>
        <cfvo gte="true" type="percent" val="80"/>
      </iconSet>
    </cfRule>
  </conditionalFormatting>
  <conditionalFormatting sqref="R1:R1048576">
    <cfRule priority="4" type="iconSet">
      <iconSet iconSet="5Arrows" showValue="true">
        <cfvo gte="true" type="percent" val="0"/>
        <cfvo gte="true" type="percent" val="20"/>
        <cfvo gte="true" type="percent" val="40"/>
        <cfvo gte="true" type="percent" val="60"/>
        <cfvo gte="true" type="percent" val="80"/>
      </iconSet>
    </cfRule>
  </conditionalFormatting>
  <dataValidations count="1">
    <dataValidation allowBlank="true" errorStyle="stop" showDropDown="true" showErrorMessage="true" sqref="AH2:AH51 AH62:AH200" type="list">
      <formula1>$Z$2:$Z$20</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4" min="4" style="0" width="50"/>
    <col collapsed="false" customWidth="true" hidden="false" max="5" min="5" style="0" width="50"/>
    <col collapsed="false" customWidth="true" hidden="false" max="6" min="6" style="0" width="50"/>
  </cols>
  <sheetData>
    <row r="1">
      <c r="A1" s="17" t="str">
        <v>编号</v>
      </c>
      <c r="B1" s="17" t="str">
        <v>名称</v>
      </c>
      <c r="C1" s="17" t="str">
        <v>性质</v>
      </c>
      <c r="D1" s="25" t="str">
        <v>公司定位</v>
      </c>
      <c r="E1" s="25" t="str">
        <v>装备风格</v>
      </c>
      <c r="F1" s="25" t="str">
        <v>命名风格</v>
      </c>
      <c r="G1" s="17"/>
      <c r="H1" s="17"/>
      <c r="I1" s="17"/>
      <c r="J1" s="17"/>
      <c r="K1" s="17"/>
      <c r="L1" s="17"/>
      <c r="M1" s="17"/>
      <c r="N1" s="17"/>
      <c r="O1" s="17"/>
      <c r="P1" s="17"/>
      <c r="Q1" s="17"/>
      <c r="R1" s="17"/>
      <c r="S1" s="17"/>
      <c r="T1" s="17"/>
      <c r="U1" s="17"/>
      <c r="V1" s="17"/>
    </row>
    <row r="2">
      <c r="A2" s="8" t="str">
        <v>01</v>
      </c>
      <c r="B2" s="1" t="str">
        <v>纪念碑</v>
      </c>
      <c r="C2" s="1" t="str">
        <v>组织</v>
      </c>
      <c r="D2" s="26" t="s">
        <v>1</v>
      </c>
      <c r="E2" s="26" t="str">
        <v>纪念碑的武器大多为现实世界已有、已经构思的武器，或者基于其微调、整合的版本。</v>
      </c>
      <c r="F2" s="26" t="str">
        <v>大多围绕欧美传说出发，也契合纪念碑本身来自欧美非盈利组织的根源性？</v>
      </c>
    </row>
    <row r="3">
      <c r="A3" s="8" t="str">
        <v>02</v>
      </c>
      <c r="B3" s="1" t="str">
        <v>野望</v>
      </c>
      <c r="C3" s="1" t="str">
        <v>组织</v>
      </c>
      <c r="D3" s="26" t="str">
        <v>活跃于全球的分布式地下组织，被大部分政府和公司定义为恐怖组织，但从未有人或团体以野望的名义对任何活动或袭击负责。
通过独特的交易与金融体系，野望为任何人提供任何其想要的产品和装备，无论是否受到专利保护、是否在该地区合法、是否对使用者本身有危险。
野望没有一个明确的动机，似乎只是一群人借用一个名号行事，也因此几乎无法被打击清除，事实上，大部分特许政府和中立公司都与野望有过不同形式的合作。
野望的产品标识最早出现的时间已不可考，应远早于「数据隔离」时代。</v>
      </c>
      <c r="E3" s="26" t="str">
        <v>野望的武器大多数为非常野路子的组合，特色看点/描述在于组合思路而非武器本身。</v>
      </c>
      <c r="F3" s="26" t="str">
        <v>围绕各种流行网络梗、黑客概念命名。</v>
      </c>
    </row>
    <row r="4">
      <c r="A4" s="8" t="str">
        <v>03</v>
      </c>
      <c r="B4" s="1" t="str">
        <v>劳旅</v>
      </c>
      <c r="C4" s="1" t="str">
        <v>组织</v>
      </c>
      <c r="D4" s="26" t="str">
        <v>“不夜城”最大的劳动力外包团体，提供所有你能想到的工业、建筑、体力、流水线人力外包服务，之所以从未以公司自称，据说是为了规避各种企业法和税款。
由于其不是公司，因此其雇员也不受任何公司或政府的劳动法保护，但即便如此，在自动化机械大行其道的今天，一份劳旅的工作邀约已经是不夜城底层居民能找到的最为体面的工作之一。
劳旅自消泡事件后成立，大规模去AI运动，给带来前所未有的基础生产力缺口，动荡的环境也给了它成长的机会。</v>
      </c>
      <c r="E4" s="26" t="str">
        <v>劳旅的武器大多为工业器械而非武器，但有着不错的战斗表现。</v>
      </c>
      <c r="F4" s="26" t="str">
        <v>围绕装备本身的趣闻触发，有丰富的街头戏谑质感。</v>
      </c>
    </row>
    <row r="5">
      <c r="A5" s="8" t="str">
        <v>04</v>
      </c>
      <c r="B5" s="1" t="str">
        <v>新浦会</v>
      </c>
      <c r="C5" s="1" t="str">
        <v>组织</v>
      </c>
      <c r="D5" s="26" t="s">
        <v>7</v>
      </c>
      <c r="E5" s="26" t="str">
        <v>新浦会大多数武器有着隐蔽的外形和解构，便于在各类潜入任务中藏匿武器，作为不夜城最大的餐饮联盟，它们能藏的地方很多。</v>
      </c>
      <c r="F5" s="26" t="str">
        <v>围绕中国传统、尤其是春秋时期、山海经等老故事取材命名。</v>
      </c>
    </row>
    <row r="6">
      <c r="A6" s="8" t="str">
        <v>05</v>
      </c>
      <c r="B6" s="1" t="str">
        <v>洛克海德</v>
      </c>
      <c r="C6" s="1" t="str">
        <v>中立公司</v>
      </c>
      <c r="D6" s="26" t="s">
        <v>8</v>
      </c>
      <c r="E6" s="26" t="str">
        <v>典型的新美国风格制式装备，恰到好处的精密和可靠性，一切都为了高性价比的完成任务设计。</v>
      </c>
      <c r="F6" s="26" t="str">
        <v>风格类似典型的美制式武器命名。</v>
      </c>
    </row>
    <row r="7">
      <c r="A7" s="8" t="str">
        <v>06</v>
      </c>
      <c r="B7" s="1" t="str">
        <v>寰宇</v>
      </c>
      <c r="C7" s="1" t="str">
        <v>中立公司</v>
      </c>
      <c r="D7" s="26" t="s">
        <v>5</v>
      </c>
      <c r="E7" s="26" t="str">
        <v>专注于高水平的数字战，武器显得科幻、大多数附带各种网络攻击手段。</v>
      </c>
      <c r="F7" s="26" t="str">
        <v>围绕新浪潮和赛博朋克科幻小说的内容、梗、标题命名。</v>
      </c>
    </row>
    <row r="8">
      <c r="A8" s="8" t="str">
        <v>07</v>
      </c>
      <c r="B8" s="1" t="str">
        <v>东海工业</v>
      </c>
      <c r="C8" s="1" t="str">
        <v>中立公司</v>
      </c>
      <c r="D8" s="26" t="s">
        <v>6</v>
      </c>
      <c r="E8" s="26" t="str">
        <v>扎实的装备、可靠、务实、质朴，而技术本身具备相当的领先性和实用性，尤其是在防御装备方面。</v>
      </c>
      <c r="F8" s="26" t="str">
        <v>围绕中国近代历史故事和地理特色命名。</v>
      </c>
    </row>
    <row r="9">
      <c r="A9" s="8" t="str">
        <v>08</v>
      </c>
      <c r="B9" s="1" t="str">
        <v>耶利哥</v>
      </c>
      <c r="C9" s="1" t="str">
        <v>中立公司</v>
      </c>
      <c r="D9" s="26" t="s">
        <v>3</v>
      </c>
      <c r="E9" s="26" t="str">
        <v>在湿件研发领域有着相当的技术领先性，也是少数具有纳米武器量产经验的公司。</v>
      </c>
      <c r="F9" s="26" t="str">
        <v>围绕中亚、伊斯兰世界的传说和经典故事出发命名。</v>
      </c>
    </row>
    <row r="10">
      <c r="A10" s="8" t="str">
        <v>09</v>
      </c>
      <c r="B10" s="1" t="str">
        <v>律动智能</v>
      </c>
      <c r="C10" s="1" t="str">
        <v>中立公司</v>
      </c>
      <c r="D10" s="26" t="s">
        <v>4</v>
      </c>
      <c r="E10" s="26" t="str">
        <v>大量围绕自动化（自动瞄准、追踪）技术的武器被装备给该公司的员工。</v>
      </c>
      <c r="F10" s="26" t="str">
        <v>围绕中、日、韩的传说和小说、经典故事出发。本来赛博朋克故事里亚洲才是世界的中心。</v>
      </c>
    </row>
    <row r="11">
      <c r="A11" s="8" t="str">
        <v>10</v>
      </c>
      <c r="B11" s="1" t="str">
        <v>致远生物</v>
      </c>
      <c r="C11" s="1" t="str">
        <v>中立公司</v>
      </c>
      <c r="D11" s="26" t="s">
        <v>2</v>
      </c>
      <c r="E11" s="26" t="str">
        <v>有相当多提供肉体强化的义体，让员工可以以“超人”的强度作战，充分发挥其基因科研优势。</v>
      </c>
      <c r="F11" s="26" t="str">
        <v>围绕欧洲神话、经典故事命名。</v>
      </c>
    </row>
    <row r="12">
      <c r="A12" s="1"/>
      <c r="B12" s="1"/>
      <c r="C12" s="1"/>
      <c r="D12" s="24"/>
      <c r="E12" s="24"/>
      <c r="F12" s="24"/>
    </row>
    <row r="13">
      <c r="A13" s="1"/>
      <c r="B13" s="1"/>
      <c r="C13" s="1"/>
      <c r="D13" s="24"/>
      <c r="E13" s="24"/>
      <c r="F13" s="24"/>
    </row>
    <row r="14">
      <c r="A14" s="1"/>
      <c r="B14" s="1"/>
      <c r="C14" s="1"/>
      <c r="D14" s="24"/>
      <c r="E14" s="24"/>
      <c r="F14" s="24"/>
    </row>
    <row r="15">
      <c r="A15" s="1"/>
      <c r="B15" s="1"/>
      <c r="C15" s="1"/>
      <c r="D15" s="24"/>
      <c r="E15" s="24"/>
      <c r="F15" s="24"/>
    </row>
    <row r="16">
      <c r="A16" s="1"/>
      <c r="B16" s="1"/>
      <c r="C16" s="1"/>
      <c r="D16" s="24"/>
      <c r="E16" s="24"/>
      <c r="F16" s="24"/>
    </row>
    <row r="17">
      <c r="A17" s="1"/>
      <c r="B17" s="1"/>
      <c r="C17" s="1"/>
      <c r="D17" s="24"/>
      <c r="E17" s="24"/>
      <c r="F17" s="24"/>
    </row>
    <row r="18">
      <c r="A18" s="1"/>
      <c r="B18" s="1"/>
      <c r="C18" s="1"/>
      <c r="D18" s="24"/>
      <c r="E18" s="24"/>
      <c r="F18" s="24"/>
    </row>
    <row r="19">
      <c r="A19" s="1"/>
      <c r="B19" s="1"/>
      <c r="C19" s="1"/>
      <c r="D19" s="24"/>
      <c r="E19" s="24"/>
      <c r="F19" s="24"/>
    </row>
    <row r="20">
      <c r="A20" s="1"/>
      <c r="B20" s="1"/>
      <c r="C20" s="1"/>
      <c r="D20" s="24"/>
      <c r="E20" s="24"/>
      <c r="F20" s="24"/>
    </row>
    <row r="21">
      <c r="A21" s="1"/>
      <c r="B21" s="1"/>
      <c r="C21" s="1"/>
      <c r="D21" s="24"/>
      <c r="E21" s="24"/>
      <c r="F21" s="24"/>
    </row>
    <row r="22">
      <c r="A22" s="1"/>
      <c r="B22" s="1"/>
      <c r="C22" s="1"/>
      <c r="D22" s="24"/>
      <c r="E22" s="24"/>
      <c r="F22" s="24"/>
    </row>
    <row r="23">
      <c r="A23" s="1"/>
      <c r="B23" s="1"/>
      <c r="C23" s="1"/>
      <c r="D23" s="24"/>
      <c r="E23" s="24"/>
      <c r="F23" s="24"/>
    </row>
    <row r="24">
      <c r="A24" s="1"/>
      <c r="B24" s="1"/>
      <c r="C24" s="1"/>
      <c r="D24" s="24"/>
      <c r="E24" s="24"/>
      <c r="F24" s="24"/>
    </row>
    <row r="25">
      <c r="A25" s="1"/>
      <c r="B25" s="1"/>
      <c r="C25" s="1"/>
      <c r="D25" s="24"/>
      <c r="E25" s="24"/>
      <c r="F25" s="24"/>
    </row>
    <row r="26">
      <c r="A26" s="1"/>
      <c r="B26" s="1"/>
      <c r="C26" s="1"/>
      <c r="D26" s="24"/>
      <c r="E26" s="24"/>
      <c r="F26" s="24"/>
    </row>
    <row r="27">
      <c r="A27" s="1"/>
      <c r="B27" s="1"/>
      <c r="C27" s="1"/>
      <c r="D27" s="24"/>
      <c r="E27" s="24"/>
      <c r="F27" s="24"/>
    </row>
    <row r="28">
      <c r="A28" s="1"/>
      <c r="B28" s="1"/>
      <c r="C28" s="1"/>
      <c r="D28" s="24"/>
      <c r="E28" s="24"/>
      <c r="F28" s="24"/>
    </row>
    <row r="29">
      <c r="A29" s="1"/>
      <c r="B29" s="1"/>
      <c r="C29" s="1"/>
      <c r="D29" s="24"/>
      <c r="E29" s="24"/>
      <c r="F29" s="24"/>
    </row>
    <row r="30">
      <c r="A30" s="1"/>
      <c r="B30" s="1"/>
      <c r="C30" s="1"/>
      <c r="D30" s="24"/>
      <c r="E30" s="24"/>
      <c r="F30" s="24"/>
    </row>
    <row r="31">
      <c r="A31" s="1"/>
      <c r="B31" s="1"/>
      <c r="C31" s="1"/>
      <c r="D31" s="24"/>
      <c r="E31" s="24"/>
      <c r="F31" s="24"/>
    </row>
    <row r="32">
      <c r="A32" s="1"/>
      <c r="B32" s="1"/>
      <c r="C32" s="1"/>
      <c r="D32" s="24"/>
      <c r="E32" s="24"/>
      <c r="F32" s="24"/>
    </row>
    <row r="33">
      <c r="A33" s="1"/>
      <c r="B33" s="1"/>
      <c r="C33" s="1"/>
      <c r="D33" s="24"/>
      <c r="E33" s="24"/>
      <c r="F33" s="24"/>
    </row>
    <row r="34">
      <c r="A34" s="1"/>
      <c r="B34" s="1"/>
      <c r="C34" s="1"/>
      <c r="D34" s="24"/>
      <c r="E34" s="24"/>
      <c r="F34" s="24"/>
    </row>
    <row r="35">
      <c r="A35" s="1"/>
      <c r="B35" s="1"/>
      <c r="C35" s="1"/>
      <c r="D35" s="24"/>
      <c r="E35" s="24"/>
      <c r="F35" s="24"/>
    </row>
    <row r="36">
      <c r="A36" s="1"/>
      <c r="B36" s="1"/>
      <c r="C36" s="1"/>
      <c r="D36" s="24"/>
      <c r="E36" s="24"/>
      <c r="F36" s="24"/>
    </row>
    <row r="37">
      <c r="A37" s="1"/>
      <c r="B37" s="1"/>
      <c r="C37" s="1"/>
      <c r="D37" s="24"/>
      <c r="E37" s="24"/>
      <c r="F37" s="24"/>
    </row>
    <row r="38">
      <c r="A38" s="1"/>
      <c r="B38" s="1"/>
      <c r="C38" s="1"/>
      <c r="D38" s="24"/>
      <c r="E38" s="24"/>
      <c r="F38" s="24"/>
    </row>
    <row r="39">
      <c r="A39" s="1"/>
      <c r="B39" s="1"/>
      <c r="C39" s="1"/>
      <c r="D39" s="24"/>
      <c r="E39" s="24"/>
      <c r="F39" s="24"/>
    </row>
    <row r="40">
      <c r="A40" s="1"/>
      <c r="B40" s="1"/>
      <c r="C40" s="1"/>
      <c r="D40" s="24"/>
      <c r="E40" s="24"/>
      <c r="F40" s="24"/>
    </row>
    <row r="41">
      <c r="A41" s="1"/>
      <c r="B41" s="1"/>
      <c r="C41" s="1"/>
      <c r="D41" s="24"/>
      <c r="E41" s="24"/>
      <c r="F41" s="24"/>
    </row>
    <row r="42">
      <c r="A42" s="1"/>
      <c r="B42" s="1"/>
      <c r="C42" s="1"/>
      <c r="D42" s="24"/>
      <c r="E42" s="24"/>
      <c r="F42" s="24"/>
    </row>
    <row r="43">
      <c r="A43" s="1"/>
      <c r="B43" s="1"/>
      <c r="C43" s="1"/>
      <c r="D43" s="24"/>
      <c r="E43" s="24"/>
      <c r="F43" s="24"/>
    </row>
    <row r="44">
      <c r="A44" s="1"/>
      <c r="B44" s="1"/>
      <c r="C44" s="1"/>
      <c r="D44" s="24"/>
      <c r="E44" s="24"/>
      <c r="F44" s="24"/>
    </row>
    <row r="45">
      <c r="A45" s="1"/>
      <c r="B45" s="1"/>
      <c r="C45" s="1"/>
      <c r="D45" s="24"/>
      <c r="E45" s="24"/>
      <c r="F45" s="24"/>
    </row>
    <row r="46">
      <c r="A46" s="1"/>
      <c r="B46" s="1"/>
      <c r="C46" s="1"/>
      <c r="D46" s="24"/>
      <c r="E46" s="24"/>
      <c r="F46" s="24"/>
    </row>
    <row r="47">
      <c r="A47" s="1"/>
      <c r="B47" s="1"/>
      <c r="C47" s="1"/>
      <c r="D47" s="24"/>
      <c r="E47" s="24"/>
      <c r="F47" s="24"/>
    </row>
    <row r="48">
      <c r="A48" s="1"/>
      <c r="B48" s="1"/>
      <c r="C48" s="1"/>
      <c r="D48" s="24"/>
      <c r="E48" s="24"/>
      <c r="F48" s="24"/>
    </row>
    <row r="49">
      <c r="A49" s="1"/>
      <c r="B49" s="1"/>
      <c r="C49" s="1"/>
      <c r="D49" s="24"/>
      <c r="E49" s="24"/>
      <c r="F49" s="24"/>
    </row>
    <row r="50">
      <c r="A50" s="1"/>
      <c r="B50" s="1"/>
      <c r="C50" s="1"/>
      <c r="D50" s="24"/>
      <c r="E50" s="24"/>
      <c r="F50" s="24"/>
    </row>
    <row r="51">
      <c r="A51" s="1"/>
      <c r="B51" s="1"/>
      <c r="C51" s="1"/>
      <c r="D51" s="24"/>
      <c r="E51" s="24"/>
      <c r="F51" s="24"/>
    </row>
    <row r="52">
      <c r="A52" s="1"/>
      <c r="B52" s="1"/>
      <c r="C52" s="1"/>
      <c r="D52" s="24"/>
      <c r="E52" s="24"/>
      <c r="F52" s="24"/>
    </row>
    <row r="53">
      <c r="A53" s="1"/>
      <c r="B53" s="1"/>
      <c r="C53" s="1"/>
      <c r="D53" s="24"/>
      <c r="E53" s="24"/>
      <c r="F53" s="24"/>
    </row>
    <row r="54">
      <c r="A54" s="1"/>
      <c r="B54" s="1"/>
      <c r="C54" s="1"/>
      <c r="D54" s="24"/>
      <c r="E54" s="24"/>
      <c r="F54" s="24"/>
    </row>
    <row r="55">
      <c r="A55" s="1"/>
      <c r="B55" s="1"/>
      <c r="C55" s="1"/>
      <c r="D55" s="24"/>
      <c r="E55" s="24"/>
      <c r="F55" s="24"/>
    </row>
    <row r="56">
      <c r="A56" s="1"/>
      <c r="B56" s="1"/>
      <c r="C56" s="1"/>
      <c r="D56" s="24"/>
      <c r="E56" s="24"/>
      <c r="F56" s="24"/>
    </row>
    <row r="57">
      <c r="A57" s="1"/>
      <c r="B57" s="1"/>
      <c r="C57" s="1"/>
      <c r="D57" s="24"/>
      <c r="E57" s="24"/>
      <c r="F57" s="24"/>
    </row>
    <row r="58">
      <c r="A58" s="1"/>
      <c r="B58" s="1"/>
      <c r="C58" s="1"/>
      <c r="D58" s="24"/>
      <c r="E58" s="24"/>
      <c r="F58" s="24"/>
    </row>
    <row r="59">
      <c r="A59" s="1"/>
      <c r="B59" s="1"/>
      <c r="C59" s="1"/>
      <c r="D59" s="24"/>
      <c r="E59" s="24"/>
      <c r="F59" s="24"/>
    </row>
    <row r="60">
      <c r="A60" s="1"/>
      <c r="B60" s="1"/>
      <c r="C60" s="1"/>
      <c r="D60" s="24"/>
      <c r="E60" s="24"/>
      <c r="F60" s="24"/>
    </row>
    <row r="61">
      <c r="A61" s="1"/>
      <c r="B61" s="1"/>
      <c r="C61" s="1"/>
      <c r="D61" s="24"/>
      <c r="E61" s="24"/>
      <c r="F61" s="24"/>
    </row>
    <row r="62">
      <c r="A62" s="1"/>
      <c r="B62" s="1"/>
      <c r="C62" s="1"/>
      <c r="D62" s="24"/>
      <c r="E62" s="24"/>
      <c r="F62" s="24"/>
    </row>
    <row r="63">
      <c r="A63" s="1"/>
      <c r="B63" s="1"/>
      <c r="C63" s="1"/>
      <c r="D63" s="24"/>
      <c r="E63" s="24"/>
      <c r="F63" s="24"/>
    </row>
    <row r="64">
      <c r="A64" s="1"/>
      <c r="B64" s="1"/>
      <c r="C64" s="1"/>
      <c r="D64" s="24"/>
      <c r="E64" s="24"/>
      <c r="F64" s="24"/>
    </row>
    <row r="65">
      <c r="A65" s="1"/>
      <c r="B65" s="1"/>
      <c r="C65" s="1"/>
      <c r="D65" s="24"/>
      <c r="E65" s="24"/>
      <c r="F65" s="24"/>
    </row>
    <row r="66">
      <c r="A66" s="1"/>
      <c r="B66" s="1"/>
      <c r="C66" s="1"/>
      <c r="D66" s="24"/>
      <c r="E66" s="24"/>
      <c r="F66" s="24"/>
    </row>
    <row r="67">
      <c r="A67" s="1"/>
      <c r="B67" s="1"/>
      <c r="C67" s="1"/>
      <c r="D67" s="24"/>
      <c r="E67" s="24"/>
      <c r="F67" s="24"/>
    </row>
    <row r="68">
      <c r="A68" s="1"/>
      <c r="B68" s="1"/>
      <c r="C68" s="1"/>
      <c r="D68" s="24"/>
      <c r="E68" s="24"/>
      <c r="F68" s="24"/>
    </row>
    <row r="69">
      <c r="A69" s="1"/>
      <c r="B69" s="1"/>
      <c r="C69" s="1"/>
      <c r="D69" s="24"/>
      <c r="E69" s="24"/>
      <c r="F69" s="24"/>
    </row>
    <row r="70">
      <c r="A70" s="1"/>
      <c r="B70" s="1"/>
      <c r="C70" s="1"/>
      <c r="D70" s="24"/>
      <c r="E70" s="24"/>
      <c r="F70" s="24"/>
    </row>
    <row r="71">
      <c r="A71" s="1"/>
      <c r="B71" s="1"/>
      <c r="C71" s="1"/>
      <c r="D71" s="24"/>
      <c r="E71" s="24"/>
      <c r="F71" s="24"/>
    </row>
    <row r="72">
      <c r="A72" s="1"/>
      <c r="B72" s="1"/>
      <c r="C72" s="1"/>
      <c r="D72" s="24"/>
      <c r="E72" s="24"/>
      <c r="F72" s="24"/>
    </row>
    <row r="73">
      <c r="A73" s="1"/>
      <c r="B73" s="1"/>
      <c r="C73" s="1"/>
      <c r="D73" s="24"/>
      <c r="E73" s="24"/>
      <c r="F73" s="24"/>
    </row>
    <row r="74">
      <c r="A74" s="1"/>
      <c r="B74" s="1"/>
      <c r="C74" s="1"/>
      <c r="D74" s="24"/>
      <c r="E74" s="24"/>
      <c r="F74" s="24"/>
    </row>
    <row r="75">
      <c r="A75" s="1"/>
      <c r="B75" s="1"/>
      <c r="C75" s="1"/>
      <c r="D75" s="24"/>
      <c r="E75" s="24"/>
      <c r="F75" s="24"/>
    </row>
    <row r="76">
      <c r="A76" s="1"/>
      <c r="B76" s="1"/>
      <c r="C76" s="1"/>
      <c r="D76" s="24"/>
      <c r="E76" s="24"/>
      <c r="F76" s="24"/>
    </row>
    <row r="77">
      <c r="A77" s="1"/>
      <c r="B77" s="1"/>
      <c r="C77" s="1"/>
      <c r="D77" s="24"/>
      <c r="E77" s="24"/>
      <c r="F77" s="24"/>
    </row>
    <row r="78">
      <c r="A78" s="1"/>
      <c r="B78" s="1"/>
      <c r="C78" s="1"/>
      <c r="D78" s="24"/>
      <c r="E78" s="24"/>
      <c r="F78" s="24"/>
    </row>
    <row r="79">
      <c r="A79" s="1"/>
      <c r="B79" s="1"/>
      <c r="C79" s="1"/>
      <c r="D79" s="24"/>
      <c r="E79" s="24"/>
      <c r="F79" s="24"/>
    </row>
    <row r="80">
      <c r="A80" s="1"/>
      <c r="B80" s="1"/>
      <c r="C80" s="1"/>
      <c r="D80" s="24"/>
      <c r="E80" s="24"/>
      <c r="F80" s="24"/>
    </row>
    <row r="81">
      <c r="A81" s="1"/>
      <c r="B81" s="1"/>
      <c r="C81" s="1"/>
      <c r="D81" s="24"/>
      <c r="E81" s="24"/>
      <c r="F81" s="24"/>
    </row>
    <row r="82">
      <c r="A82" s="1"/>
      <c r="B82" s="1"/>
      <c r="C82" s="1"/>
      <c r="D82" s="24"/>
      <c r="E82" s="24"/>
      <c r="F82" s="24"/>
    </row>
    <row r="83">
      <c r="A83" s="1"/>
      <c r="B83" s="1"/>
      <c r="C83" s="1"/>
      <c r="D83" s="24"/>
      <c r="E83" s="24"/>
      <c r="F83" s="24"/>
    </row>
    <row r="84">
      <c r="A84" s="1"/>
      <c r="B84" s="1"/>
      <c r="C84" s="1"/>
      <c r="D84" s="24"/>
      <c r="E84" s="24"/>
      <c r="F84" s="24"/>
    </row>
    <row r="85">
      <c r="A85" s="1"/>
      <c r="B85" s="1"/>
      <c r="C85" s="1"/>
      <c r="D85" s="24"/>
      <c r="E85" s="24"/>
      <c r="F85" s="24"/>
    </row>
    <row r="86">
      <c r="A86" s="1"/>
      <c r="B86" s="1"/>
      <c r="C86" s="1"/>
      <c r="D86" s="24"/>
      <c r="E86" s="24"/>
      <c r="F86" s="24"/>
    </row>
    <row r="87">
      <c r="A87" s="1"/>
      <c r="B87" s="1"/>
      <c r="C87" s="1"/>
      <c r="D87" s="24"/>
      <c r="E87" s="24"/>
      <c r="F87" s="24"/>
    </row>
    <row r="88">
      <c r="A88" s="1"/>
      <c r="B88" s="1"/>
      <c r="C88" s="1"/>
      <c r="D88" s="24"/>
      <c r="E88" s="24"/>
      <c r="F88" s="24"/>
    </row>
    <row r="89">
      <c r="A89" s="1"/>
      <c r="B89" s="1"/>
      <c r="C89" s="1"/>
      <c r="D89" s="24"/>
      <c r="E89" s="24"/>
      <c r="F89" s="24"/>
    </row>
    <row r="90">
      <c r="A90" s="1"/>
      <c r="B90" s="1"/>
      <c r="C90" s="1"/>
      <c r="D90" s="24"/>
      <c r="E90" s="24"/>
      <c r="F90" s="24"/>
    </row>
    <row r="91">
      <c r="A91" s="1"/>
      <c r="B91" s="1"/>
      <c r="C91" s="1"/>
      <c r="D91" s="24"/>
      <c r="E91" s="24"/>
      <c r="F91" s="24"/>
    </row>
    <row r="92">
      <c r="A92" s="1"/>
      <c r="B92" s="1"/>
      <c r="C92" s="1"/>
      <c r="D92" s="24"/>
      <c r="E92" s="24"/>
      <c r="F92" s="24"/>
    </row>
    <row r="93">
      <c r="A93" s="1"/>
      <c r="B93" s="1"/>
      <c r="C93" s="1"/>
      <c r="D93" s="24"/>
      <c r="E93" s="24"/>
      <c r="F93" s="24"/>
    </row>
    <row r="94">
      <c r="A94" s="1"/>
      <c r="B94" s="1"/>
      <c r="C94" s="1"/>
      <c r="D94" s="24"/>
      <c r="E94" s="24"/>
      <c r="F94" s="24"/>
    </row>
    <row r="95">
      <c r="A95" s="1"/>
      <c r="B95" s="1"/>
      <c r="C95" s="1"/>
      <c r="D95" s="24"/>
      <c r="E95" s="24"/>
      <c r="F95" s="24"/>
    </row>
    <row r="96">
      <c r="A96" s="1"/>
      <c r="B96" s="1"/>
      <c r="C96" s="1"/>
      <c r="D96" s="24"/>
      <c r="E96" s="24"/>
      <c r="F96" s="24"/>
    </row>
    <row r="97">
      <c r="A97" s="1"/>
      <c r="B97" s="1"/>
      <c r="C97" s="1"/>
      <c r="D97" s="24"/>
      <c r="E97" s="24"/>
      <c r="F97" s="24"/>
    </row>
    <row r="98">
      <c r="A98" s="1"/>
      <c r="B98" s="1"/>
      <c r="C98" s="1"/>
      <c r="D98" s="24"/>
      <c r="E98" s="24"/>
      <c r="F98" s="24"/>
    </row>
    <row r="99">
      <c r="A99" s="1"/>
      <c r="B99" s="1"/>
      <c r="C99" s="1"/>
      <c r="D99" s="24"/>
      <c r="E99" s="24"/>
      <c r="F99" s="24"/>
    </row>
    <row r="100">
      <c r="A100" s="1"/>
      <c r="B100" s="1"/>
      <c r="C100" s="1"/>
      <c r="D100" s="24"/>
      <c r="E100" s="24"/>
      <c r="F100" s="24"/>
    </row>
    <row r="101">
      <c r="A101" s="1"/>
      <c r="B101" s="1"/>
      <c r="C101" s="1"/>
      <c r="D101" s="24"/>
      <c r="E101" s="24"/>
      <c r="F101" s="24"/>
    </row>
    <row r="102">
      <c r="A102" s="1"/>
      <c r="B102" s="1"/>
      <c r="C102" s="1"/>
      <c r="D102" s="24"/>
      <c r="E102" s="24"/>
      <c r="F102" s="24"/>
    </row>
    <row r="103">
      <c r="A103" s="1"/>
      <c r="B103" s="1"/>
      <c r="C103" s="1"/>
      <c r="D103" s="24"/>
      <c r="E103" s="24"/>
      <c r="F103" s="24"/>
    </row>
    <row r="104">
      <c r="A104" s="1"/>
      <c r="B104" s="1"/>
      <c r="C104" s="1"/>
      <c r="D104" s="24"/>
      <c r="E104" s="24"/>
      <c r="F104" s="24"/>
    </row>
    <row r="105">
      <c r="A105" s="1"/>
      <c r="B105" s="1"/>
      <c r="C105" s="1"/>
      <c r="D105" s="24"/>
      <c r="E105" s="24"/>
      <c r="F105" s="24"/>
    </row>
    <row r="106">
      <c r="A106" s="1"/>
      <c r="B106" s="1"/>
      <c r="C106" s="1"/>
      <c r="D106" s="24"/>
      <c r="E106" s="24"/>
      <c r="F106" s="24"/>
    </row>
    <row r="107">
      <c r="A107" s="1"/>
      <c r="B107" s="1"/>
      <c r="C107" s="1"/>
      <c r="D107" s="24"/>
      <c r="E107" s="24"/>
      <c r="F107" s="24"/>
    </row>
    <row r="108">
      <c r="A108" s="1"/>
      <c r="B108" s="1"/>
      <c r="C108" s="1"/>
      <c r="D108" s="24"/>
      <c r="E108" s="24"/>
      <c r="F108" s="24"/>
    </row>
    <row r="109">
      <c r="A109" s="1"/>
      <c r="B109" s="1"/>
      <c r="C109" s="1"/>
      <c r="D109" s="24"/>
      <c r="E109" s="24"/>
      <c r="F109" s="24"/>
    </row>
    <row r="110">
      <c r="A110" s="1"/>
      <c r="B110" s="1"/>
      <c r="C110" s="1"/>
      <c r="D110" s="24"/>
      <c r="E110" s="24"/>
      <c r="F110" s="24"/>
    </row>
    <row r="111">
      <c r="A111" s="1"/>
      <c r="B111" s="1"/>
      <c r="C111" s="1"/>
      <c r="D111" s="24"/>
      <c r="E111" s="24"/>
      <c r="F111" s="24"/>
    </row>
    <row r="112">
      <c r="A112" s="1"/>
      <c r="B112" s="1"/>
      <c r="C112" s="1"/>
      <c r="D112" s="24"/>
      <c r="E112" s="24"/>
      <c r="F112" s="24"/>
    </row>
    <row r="113">
      <c r="A113" s="1"/>
      <c r="B113" s="1"/>
      <c r="C113" s="1"/>
      <c r="D113" s="24"/>
      <c r="E113" s="24"/>
      <c r="F113" s="24"/>
    </row>
    <row r="114">
      <c r="A114" s="1"/>
      <c r="B114" s="1"/>
      <c r="C114" s="1"/>
      <c r="D114" s="24"/>
      <c r="E114" s="24"/>
      <c r="F114" s="24"/>
    </row>
    <row r="115">
      <c r="A115" s="1"/>
      <c r="B115" s="1"/>
      <c r="C115" s="1"/>
      <c r="D115" s="24"/>
      <c r="E115" s="24"/>
      <c r="F115" s="24"/>
    </row>
    <row r="116">
      <c r="A116" s="1"/>
      <c r="B116" s="1"/>
      <c r="C116" s="1"/>
      <c r="D116" s="24"/>
      <c r="E116" s="24"/>
      <c r="F116" s="24"/>
    </row>
    <row r="117">
      <c r="A117" s="1"/>
      <c r="B117" s="1"/>
      <c r="C117" s="1"/>
      <c r="D117" s="24"/>
      <c r="E117" s="24"/>
      <c r="F117" s="24"/>
    </row>
    <row r="118">
      <c r="A118" s="1"/>
      <c r="B118" s="1"/>
      <c r="C118" s="1"/>
      <c r="D118" s="24"/>
      <c r="E118" s="24"/>
      <c r="F118" s="24"/>
    </row>
    <row r="119">
      <c r="A119" s="1"/>
      <c r="B119" s="1"/>
      <c r="C119" s="1"/>
      <c r="D119" s="24"/>
      <c r="E119" s="24"/>
      <c r="F119" s="24"/>
    </row>
    <row r="120">
      <c r="A120" s="1"/>
      <c r="B120" s="1"/>
      <c r="C120" s="1"/>
      <c r="D120" s="24"/>
      <c r="E120" s="24"/>
      <c r="F120" s="24"/>
    </row>
    <row r="121">
      <c r="A121" s="1"/>
      <c r="B121" s="1"/>
      <c r="C121" s="1"/>
      <c r="D121" s="24"/>
      <c r="E121" s="24"/>
      <c r="F121" s="24"/>
    </row>
    <row r="122">
      <c r="A122" s="1"/>
      <c r="B122" s="1"/>
      <c r="C122" s="1"/>
      <c r="D122" s="24"/>
      <c r="E122" s="24"/>
      <c r="F122" s="24"/>
    </row>
    <row r="123">
      <c r="A123" s="1"/>
      <c r="B123" s="1"/>
      <c r="C123" s="1"/>
      <c r="D123" s="24"/>
      <c r="E123" s="24"/>
      <c r="F123" s="24"/>
    </row>
    <row r="124">
      <c r="A124" s="1"/>
      <c r="B124" s="1"/>
      <c r="C124" s="1"/>
      <c r="D124" s="24"/>
      <c r="E124" s="24"/>
      <c r="F124" s="24"/>
    </row>
    <row r="125">
      <c r="A125" s="1"/>
      <c r="B125" s="1"/>
      <c r="C125" s="1"/>
      <c r="D125" s="24"/>
      <c r="E125" s="24"/>
      <c r="F125" s="24"/>
    </row>
    <row r="126">
      <c r="A126" s="1"/>
      <c r="B126" s="1"/>
      <c r="C126" s="1"/>
      <c r="D126" s="24"/>
      <c r="E126" s="24"/>
      <c r="F126" s="24"/>
    </row>
    <row r="127">
      <c r="A127" s="1"/>
      <c r="B127" s="1"/>
      <c r="C127" s="1"/>
      <c r="D127" s="24"/>
      <c r="E127" s="24"/>
      <c r="F127" s="24"/>
    </row>
    <row r="128">
      <c r="A128" s="1"/>
      <c r="B128" s="1"/>
      <c r="C128" s="1"/>
      <c r="D128" s="24"/>
      <c r="E128" s="24"/>
      <c r="F128" s="24"/>
    </row>
    <row r="129">
      <c r="A129" s="1"/>
      <c r="B129" s="1"/>
      <c r="C129" s="1"/>
      <c r="D129" s="24"/>
      <c r="E129" s="24"/>
      <c r="F129" s="24"/>
    </row>
    <row r="130">
      <c r="A130" s="1"/>
      <c r="B130" s="1"/>
      <c r="C130" s="1"/>
      <c r="D130" s="24"/>
      <c r="E130" s="24"/>
      <c r="F130" s="24"/>
    </row>
    <row r="131">
      <c r="A131" s="1"/>
      <c r="B131" s="1"/>
      <c r="C131" s="1"/>
      <c r="D131" s="24"/>
      <c r="E131" s="24"/>
      <c r="F131" s="24"/>
    </row>
    <row r="132">
      <c r="A132" s="1"/>
      <c r="B132" s="1"/>
      <c r="C132" s="1"/>
      <c r="D132" s="24"/>
      <c r="E132" s="24"/>
      <c r="F132" s="24"/>
    </row>
    <row r="133">
      <c r="A133" s="1"/>
      <c r="B133" s="1"/>
      <c r="C133" s="1"/>
      <c r="D133" s="24"/>
      <c r="E133" s="24"/>
      <c r="F133" s="24"/>
    </row>
    <row r="134">
      <c r="A134" s="1"/>
      <c r="B134" s="1"/>
      <c r="C134" s="1"/>
      <c r="D134" s="24"/>
      <c r="E134" s="24"/>
      <c r="F134" s="24"/>
    </row>
    <row r="135">
      <c r="A135" s="1"/>
      <c r="B135" s="1"/>
      <c r="C135" s="1"/>
      <c r="D135" s="24"/>
      <c r="E135" s="24"/>
      <c r="F135" s="24"/>
    </row>
    <row r="136">
      <c r="A136" s="1"/>
      <c r="B136" s="1"/>
      <c r="C136" s="1"/>
      <c r="D136" s="24"/>
      <c r="E136" s="24"/>
      <c r="F136" s="24"/>
    </row>
    <row r="137">
      <c r="A137" s="1"/>
      <c r="B137" s="1"/>
      <c r="C137" s="1"/>
      <c r="D137" s="24"/>
      <c r="E137" s="24"/>
      <c r="F137" s="24"/>
    </row>
    <row r="138">
      <c r="A138" s="1"/>
      <c r="B138" s="1"/>
      <c r="C138" s="1"/>
      <c r="D138" s="24"/>
      <c r="E138" s="24"/>
      <c r="F138" s="24"/>
    </row>
    <row r="139">
      <c r="A139" s="1"/>
      <c r="B139" s="1"/>
      <c r="C139" s="1"/>
      <c r="D139" s="24"/>
      <c r="E139" s="24"/>
      <c r="F139" s="24"/>
    </row>
    <row r="140">
      <c r="A140" s="1"/>
      <c r="B140" s="1"/>
      <c r="C140" s="1"/>
      <c r="D140" s="24"/>
      <c r="E140" s="24"/>
      <c r="F140" s="24"/>
    </row>
    <row r="141">
      <c r="A141" s="1"/>
      <c r="B141" s="1"/>
      <c r="C141" s="1"/>
      <c r="D141" s="24"/>
      <c r="E141" s="24"/>
      <c r="F141" s="24"/>
    </row>
    <row r="142">
      <c r="A142" s="1"/>
      <c r="B142" s="1"/>
      <c r="C142" s="1"/>
      <c r="D142" s="24"/>
      <c r="E142" s="24"/>
      <c r="F142" s="24"/>
    </row>
    <row r="143">
      <c r="A143" s="1"/>
      <c r="B143" s="1"/>
      <c r="C143" s="1"/>
      <c r="D143" s="24"/>
      <c r="E143" s="24"/>
      <c r="F143" s="24"/>
    </row>
    <row r="144">
      <c r="A144" s="1"/>
      <c r="B144" s="1"/>
      <c r="C144" s="1"/>
      <c r="D144" s="24"/>
      <c r="E144" s="24"/>
      <c r="F144" s="24"/>
    </row>
    <row r="145">
      <c r="A145" s="1"/>
      <c r="B145" s="1"/>
      <c r="C145" s="1"/>
      <c r="D145" s="24"/>
      <c r="E145" s="24"/>
      <c r="F145" s="24"/>
    </row>
    <row r="146">
      <c r="A146" s="1"/>
      <c r="B146" s="1"/>
      <c r="C146" s="1"/>
      <c r="D146" s="24"/>
      <c r="E146" s="24"/>
      <c r="F146" s="24"/>
    </row>
    <row r="147">
      <c r="A147" s="1"/>
      <c r="B147" s="1"/>
      <c r="C147" s="1"/>
      <c r="D147" s="24"/>
      <c r="E147" s="24"/>
      <c r="F147" s="24"/>
    </row>
    <row r="148">
      <c r="A148" s="1"/>
      <c r="B148" s="1"/>
      <c r="C148" s="1"/>
      <c r="D148" s="24"/>
      <c r="E148" s="24"/>
      <c r="F148" s="24"/>
    </row>
    <row r="149">
      <c r="A149" s="1"/>
      <c r="B149" s="1"/>
      <c r="C149" s="1"/>
      <c r="D149" s="24"/>
      <c r="E149" s="24"/>
      <c r="F149" s="24"/>
    </row>
    <row r="150">
      <c r="A150" s="1"/>
      <c r="B150" s="1"/>
      <c r="C150" s="1"/>
      <c r="D150" s="24"/>
      <c r="E150" s="24"/>
      <c r="F150" s="24"/>
    </row>
    <row r="151">
      <c r="A151" s="1"/>
      <c r="B151" s="1"/>
      <c r="C151" s="1"/>
      <c r="D151" s="24"/>
      <c r="E151" s="24"/>
      <c r="F151" s="24"/>
    </row>
    <row r="152">
      <c r="A152" s="1"/>
      <c r="B152" s="1"/>
      <c r="C152" s="1"/>
      <c r="D152" s="24"/>
      <c r="E152" s="24"/>
      <c r="F152" s="24"/>
    </row>
    <row r="153">
      <c r="A153" s="1"/>
      <c r="B153" s="1"/>
      <c r="C153" s="1"/>
      <c r="D153" s="24"/>
      <c r="E153" s="24"/>
      <c r="F153" s="24"/>
    </row>
    <row r="154">
      <c r="A154" s="1"/>
      <c r="B154" s="1"/>
      <c r="C154" s="1"/>
      <c r="D154" s="24"/>
      <c r="E154" s="24"/>
      <c r="F154" s="24"/>
    </row>
    <row r="155">
      <c r="A155" s="1"/>
      <c r="B155" s="1"/>
      <c r="C155" s="1"/>
      <c r="D155" s="24"/>
      <c r="E155" s="24"/>
      <c r="F155" s="24"/>
    </row>
    <row r="156">
      <c r="A156" s="1"/>
      <c r="B156" s="1"/>
      <c r="C156" s="1"/>
      <c r="D156" s="24"/>
      <c r="E156" s="24"/>
      <c r="F156" s="24"/>
    </row>
    <row r="157">
      <c r="A157" s="1"/>
      <c r="B157" s="1"/>
      <c r="C157" s="1"/>
      <c r="D157" s="24"/>
      <c r="E157" s="24"/>
      <c r="F157" s="24"/>
    </row>
    <row r="158">
      <c r="A158" s="1"/>
      <c r="B158" s="1"/>
      <c r="C158" s="1"/>
      <c r="D158" s="24"/>
      <c r="E158" s="24"/>
      <c r="F158" s="24"/>
    </row>
    <row r="159">
      <c r="A159" s="1"/>
      <c r="B159" s="1"/>
      <c r="C159" s="1"/>
      <c r="D159" s="24"/>
      <c r="E159" s="24"/>
      <c r="F159" s="24"/>
    </row>
    <row r="160">
      <c r="A160" s="1"/>
      <c r="B160" s="1"/>
      <c r="C160" s="1"/>
      <c r="D160" s="24"/>
      <c r="E160" s="24"/>
      <c r="F160" s="24"/>
    </row>
    <row r="161">
      <c r="A161" s="1"/>
      <c r="B161" s="1"/>
      <c r="C161" s="1"/>
      <c r="D161" s="24"/>
      <c r="E161" s="24"/>
      <c r="F161" s="24"/>
    </row>
    <row r="162">
      <c r="A162" s="1"/>
      <c r="B162" s="1"/>
      <c r="C162" s="1"/>
      <c r="D162" s="24"/>
      <c r="E162" s="24"/>
      <c r="F162" s="24"/>
    </row>
    <row r="163">
      <c r="A163" s="1"/>
      <c r="B163" s="1"/>
      <c r="C163" s="1"/>
      <c r="D163" s="24"/>
      <c r="E163" s="24"/>
      <c r="F163" s="24"/>
    </row>
    <row r="164">
      <c r="A164" s="1"/>
      <c r="B164" s="1"/>
      <c r="C164" s="1"/>
      <c r="D164" s="24"/>
      <c r="E164" s="24"/>
      <c r="F164" s="24"/>
    </row>
    <row r="165">
      <c r="A165" s="1"/>
      <c r="B165" s="1"/>
      <c r="C165" s="1"/>
      <c r="D165" s="24"/>
      <c r="E165" s="24"/>
      <c r="F165" s="24"/>
    </row>
    <row r="166">
      <c r="A166" s="1"/>
      <c r="B166" s="1"/>
      <c r="C166" s="1"/>
      <c r="D166" s="24"/>
      <c r="E166" s="24"/>
      <c r="F166" s="24"/>
    </row>
    <row r="167">
      <c r="A167" s="1"/>
      <c r="B167" s="1"/>
      <c r="C167" s="1"/>
      <c r="D167" s="24"/>
      <c r="E167" s="24"/>
      <c r="F167" s="24"/>
    </row>
    <row r="168">
      <c r="A168" s="1"/>
      <c r="B168" s="1"/>
      <c r="C168" s="1"/>
      <c r="D168" s="24"/>
      <c r="E168" s="24"/>
      <c r="F168" s="24"/>
    </row>
    <row r="169">
      <c r="A169" s="1"/>
      <c r="B169" s="1"/>
      <c r="C169" s="1"/>
      <c r="D169" s="24"/>
      <c r="E169" s="24"/>
      <c r="F169" s="24"/>
    </row>
    <row r="170">
      <c r="A170" s="1"/>
      <c r="B170" s="1"/>
      <c r="C170" s="1"/>
      <c r="D170" s="24"/>
      <c r="E170" s="24"/>
      <c r="F170" s="24"/>
    </row>
    <row r="171">
      <c r="A171" s="1"/>
      <c r="B171" s="1"/>
      <c r="C171" s="1"/>
      <c r="D171" s="24"/>
      <c r="E171" s="24"/>
      <c r="F171" s="24"/>
    </row>
    <row r="172">
      <c r="A172" s="1"/>
      <c r="B172" s="1"/>
      <c r="C172" s="1"/>
      <c r="D172" s="24"/>
      <c r="E172" s="24"/>
      <c r="F172" s="24"/>
    </row>
    <row r="173">
      <c r="A173" s="1"/>
      <c r="B173" s="1"/>
      <c r="C173" s="1"/>
      <c r="D173" s="24"/>
      <c r="E173" s="24"/>
      <c r="F173" s="24"/>
    </row>
    <row r="174">
      <c r="A174" s="1"/>
      <c r="B174" s="1"/>
      <c r="C174" s="1"/>
      <c r="D174" s="24"/>
      <c r="E174" s="24"/>
      <c r="F174" s="24"/>
    </row>
    <row r="175">
      <c r="A175" s="1"/>
      <c r="B175" s="1"/>
      <c r="C175" s="1"/>
      <c r="D175" s="24"/>
      <c r="E175" s="24"/>
      <c r="F175" s="24"/>
    </row>
    <row r="176">
      <c r="A176" s="1"/>
      <c r="B176" s="1"/>
      <c r="C176" s="1"/>
      <c r="D176" s="24"/>
      <c r="E176" s="24"/>
      <c r="F176" s="24"/>
    </row>
    <row r="177">
      <c r="A177" s="1"/>
      <c r="B177" s="1"/>
      <c r="C177" s="1"/>
      <c r="D177" s="24"/>
      <c r="E177" s="24"/>
      <c r="F177" s="24"/>
    </row>
    <row r="178">
      <c r="A178" s="1"/>
      <c r="B178" s="1"/>
      <c r="C178" s="1"/>
      <c r="D178" s="24"/>
      <c r="E178" s="24"/>
      <c r="F178" s="24"/>
    </row>
    <row r="179">
      <c r="A179" s="1"/>
      <c r="B179" s="1"/>
      <c r="C179" s="1"/>
      <c r="D179" s="24"/>
      <c r="E179" s="24"/>
      <c r="F179" s="24"/>
    </row>
    <row r="180">
      <c r="A180" s="1"/>
      <c r="B180" s="1"/>
      <c r="C180" s="1"/>
      <c r="D180" s="24"/>
      <c r="E180" s="24"/>
      <c r="F180" s="24"/>
    </row>
    <row r="181">
      <c r="A181" s="1"/>
      <c r="B181" s="1"/>
      <c r="C181" s="1"/>
      <c r="D181" s="24"/>
      <c r="E181" s="24"/>
      <c r="F181" s="24"/>
    </row>
    <row r="182">
      <c r="A182" s="1"/>
      <c r="B182" s="1"/>
      <c r="C182" s="1"/>
      <c r="D182" s="24"/>
      <c r="E182" s="24"/>
      <c r="F182" s="24"/>
    </row>
    <row r="183">
      <c r="A183" s="1"/>
      <c r="B183" s="1"/>
      <c r="C183" s="1"/>
      <c r="D183" s="24"/>
      <c r="E183" s="24"/>
      <c r="F183" s="24"/>
    </row>
    <row r="184">
      <c r="A184" s="1"/>
      <c r="B184" s="1"/>
      <c r="C184" s="1"/>
      <c r="D184" s="24"/>
      <c r="E184" s="24"/>
      <c r="F184" s="24"/>
    </row>
    <row r="185">
      <c r="A185" s="1"/>
      <c r="B185" s="1"/>
      <c r="C185" s="1"/>
      <c r="D185" s="24"/>
      <c r="E185" s="24"/>
      <c r="F185" s="24"/>
    </row>
    <row r="186">
      <c r="A186" s="1"/>
      <c r="B186" s="1"/>
      <c r="C186" s="1"/>
      <c r="D186" s="24"/>
      <c r="E186" s="24"/>
      <c r="F186" s="24"/>
    </row>
    <row r="187">
      <c r="A187" s="1"/>
      <c r="B187" s="1"/>
      <c r="C187" s="1"/>
      <c r="D187" s="24"/>
      <c r="E187" s="24"/>
      <c r="F187" s="24"/>
    </row>
    <row r="188">
      <c r="A188" s="1"/>
      <c r="B188" s="1"/>
      <c r="C188" s="1"/>
      <c r="D188" s="24"/>
      <c r="E188" s="24"/>
      <c r="F188" s="24"/>
    </row>
    <row r="189">
      <c r="A189" s="1"/>
      <c r="B189" s="1"/>
      <c r="C189" s="1"/>
      <c r="D189" s="24"/>
      <c r="E189" s="24"/>
      <c r="F189" s="24"/>
    </row>
    <row r="190">
      <c r="A190" s="1"/>
      <c r="B190" s="1"/>
      <c r="C190" s="1"/>
      <c r="D190" s="24"/>
      <c r="E190" s="24"/>
      <c r="F190" s="24"/>
    </row>
    <row r="191">
      <c r="A191" s="1"/>
      <c r="B191" s="1"/>
      <c r="C191" s="1"/>
      <c r="D191" s="24"/>
      <c r="E191" s="24"/>
      <c r="F191" s="24"/>
    </row>
    <row r="192">
      <c r="A192" s="1"/>
      <c r="B192" s="1"/>
      <c r="C192" s="1"/>
      <c r="D192" s="24"/>
      <c r="E192" s="24"/>
      <c r="F192" s="24"/>
    </row>
    <row r="193">
      <c r="A193" s="1"/>
      <c r="B193" s="1"/>
      <c r="C193" s="1"/>
      <c r="D193" s="24"/>
      <c r="E193" s="24"/>
      <c r="F193" s="24"/>
    </row>
    <row r="194">
      <c r="A194" s="1"/>
      <c r="B194" s="1"/>
      <c r="C194" s="1"/>
      <c r="D194" s="24"/>
      <c r="E194" s="24"/>
      <c r="F194" s="24"/>
    </row>
    <row r="195">
      <c r="A195" s="1"/>
      <c r="B195" s="1"/>
      <c r="C195" s="1"/>
      <c r="D195" s="24"/>
      <c r="E195" s="24"/>
      <c r="F195" s="24"/>
    </row>
    <row r="196">
      <c r="A196" s="1"/>
      <c r="B196" s="1"/>
      <c r="C196" s="1"/>
      <c r="D196" s="24"/>
      <c r="E196" s="24"/>
      <c r="F196" s="24"/>
    </row>
    <row r="197">
      <c r="A197" s="1"/>
      <c r="B197" s="1"/>
      <c r="C197" s="1"/>
      <c r="D197" s="24"/>
      <c r="E197" s="24"/>
      <c r="F197" s="24"/>
    </row>
    <row r="198">
      <c r="A198" s="1"/>
      <c r="B198" s="1"/>
      <c r="C198" s="1"/>
      <c r="D198" s="24"/>
      <c r="E198" s="24"/>
      <c r="F198" s="24"/>
    </row>
    <row r="199">
      <c r="A199" s="1"/>
      <c r="B199" s="1"/>
      <c r="C199" s="1"/>
      <c r="D199" s="24"/>
      <c r="E199" s="24"/>
      <c r="F199" s="24"/>
    </row>
    <row r="200">
      <c r="A200" s="1"/>
      <c r="B200" s="1"/>
      <c r="C200" s="1"/>
      <c r="D200" s="24"/>
      <c r="E200" s="24"/>
      <c r="F200" s="24"/>
    </row>
    <row r="201">
      <c r="A201" s="1"/>
      <c r="B201" s="1"/>
      <c r="C201" s="1"/>
      <c r="D201" s="24"/>
      <c r="E201" s="24"/>
      <c r="F201" s="24"/>
    </row>
  </sheetData>
  <hyperlinks>
    <hyperlink ref="D7" display="SDN" r:id="rId1"/>
    <hyperlink ref="D11" display="融合打印" r:id="rId2"/>
    <hyperlink ref="D5" display="“师傅” - 家钰（Yacco）" r:id="rId3"/>
    <hyperlink ref="D9" display="中立公司" r:id="rId4"/>
    <hyperlink ref="D6" display="ASI" r:id="rId5"/>
    <hyperlink ref="D10" display="ASI" r:id="rId6"/>
    <hyperlink ref="D8" display="不夜城" r:id="rId7"/>
    <hyperlink ref="D2" display="AI梦时代" r:id="rId8"/>
  </hyperlinks>
  <legacyDrawing r:id="rId9"/>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bacefd"/>
    <outlinePr summaryBelow="false" summaryRight="false"/>
  </sheetPr>
  <dimension ref="A1"/>
  <sheetViews>
    <sheetView showGridLines="true" workbookViewId="0">
      <pane state="frozen" topLeftCell="G3" xSplit="6" ySplit="2"/>
    </sheetView>
  </sheetViews>
  <sheetFormatPr defaultColWidth="14" defaultRowHeight="19"/>
  <cols>
    <col collapsed="false" customWidth="true" hidden="false" max="1" min="1" style="0" width="14"/>
    <col collapsed="true" hidden="false" max="2" min="2" style="0" width="12"/>
    <col collapsed="false" customWidth="true" hidden="true" max="3" min="3" outlineLevel="1" style="0" width="12"/>
    <col collapsed="false" customWidth="true" hidden="true" max="4" min="4" outlineLevel="1" style="0" width="12"/>
    <col collapsed="false" customWidth="true" hidden="true" max="5" min="5" outlineLevel="1" style="0" width="10"/>
    <col collapsed="false" customWidth="true" hidden="false" max="6" min="6" style="0" width="6"/>
    <col collapsed="false" customWidth="true" hidden="false" max="7" min="7" style="0" width="8"/>
    <col collapsed="false" customWidth="true" hidden="false" max="8" min="8" style="0" width="8"/>
    <col collapsed="false" customWidth="true" hidden="false" max="9" min="9" style="0" width="8"/>
    <col collapsed="false" customWidth="true" hidden="false" max="10" min="10" style="0" width="8"/>
    <col collapsed="false" customWidth="true" hidden="false" max="11" min="11" style="0" width="8"/>
    <col collapsed="false" customWidth="true" hidden="false" max="12" min="12" style="0" width="1"/>
    <col collapsed="false" customWidth="true" hidden="false" max="13" min="13" style="0" width="5"/>
    <col collapsed="false" customWidth="true" hidden="false" max="14" min="14" style="0" width="12"/>
    <col collapsed="false" hidden="false" max="15" min="15" style="0" width="5"/>
    <col collapsed="false" customWidth="true" hidden="false" max="16" min="16" outlineLevel="1" style="0" width="5"/>
    <col collapsed="false" customWidth="true" hidden="false" max="17" min="17" outlineLevel="1" style="0" width="5"/>
    <col collapsed="false" customWidth="true" hidden="false" max="18" min="18" outlineLevel="1" style="0" width="5"/>
    <col collapsed="false" customWidth="true" hidden="false" max="19" min="19" outlineLevel="1" style="0" width="4"/>
    <col collapsed="false" customWidth="true" hidden="false" max="20" min="20" style="0" width="8"/>
    <col collapsed="false" customWidth="true" hidden="false" max="21" min="21" style="0" width="8"/>
    <col collapsed="false" customWidth="true" hidden="false" max="22" min="22" style="0" width="2"/>
    <col collapsed="false" customWidth="true" hidden="false" max="23" min="23" style="0" width="8"/>
    <col collapsed="false" customWidth="true" hidden="false" max="24" min="24" style="0" width="8"/>
    <col collapsed="false" customWidth="true" hidden="false" max="25" min="25" style="0" width="8"/>
    <col collapsed="false" customWidth="true" hidden="false" max="26" min="26" style="0" width="8"/>
    <col collapsed="false" customWidth="true" hidden="false" max="27" min="27" style="0" width="11"/>
    <col collapsed="false" customWidth="true" hidden="false" max="28" min="28" style="0" width="11"/>
    <col collapsed="false" customWidth="true" hidden="false" max="29" min="29" style="0" width="11"/>
    <col collapsed="false" customWidth="true" hidden="false" max="30" min="30" style="0" width="11"/>
    <col collapsed="false" customWidth="true" hidden="false" max="31" min="31" style="0" width="11"/>
    <col collapsed="false" customWidth="true" hidden="false" max="32" min="32" style="0" width="2"/>
    <col collapsed="false" customWidth="true" hidden="false" max="33" min="33" style="0" width="11"/>
    <col collapsed="false" customWidth="true" hidden="false" max="34" min="34" style="0" width="11"/>
    <col collapsed="false" customWidth="true" hidden="false" max="35" min="35" style="0" width="2"/>
    <col collapsed="false" customWidth="true" hidden="false" max="36" min="36" style="0" width="8"/>
    <col collapsed="false" customWidth="true" hidden="false" max="37" min="37" style="0" width="8"/>
    <col collapsed="false" customWidth="true" hidden="false" max="38" min="38" style="0" width="8"/>
    <col collapsed="false" customWidth="true" hidden="false" max="39" min="39" style="0" width="8"/>
    <col collapsed="false" customWidth="true" hidden="false" max="40" min="40" style="0" width="8"/>
    <col collapsed="false" hidden="false" max="41" min="41" style="0" width="8"/>
    <col collapsed="false" customWidth="true" hidden="false" max="42" min="42" outlineLevel="1" style="0" width="8"/>
    <col collapsed="false" customWidth="true" hidden="false" max="43" min="43" outlineLevel="1" style="0" width="8"/>
    <col collapsed="false" customWidth="true" hidden="false" max="44" min="44" outlineLevel="1" style="0" width="8"/>
    <col collapsed="false" customWidth="true" hidden="false" max="45" min="45" style="0" width="8"/>
    <col collapsed="false" customWidth="true" hidden="false" max="46" min="46" style="0" width="8"/>
    <col collapsed="false" customWidth="true" hidden="false" max="47" min="47" style="0" width="8"/>
    <col collapsed="false" customWidth="true" hidden="false" max="48" min="48" style="0" width="8"/>
    <col collapsed="false" customWidth="true" hidden="false" max="49" min="49" style="0" width="8"/>
    <col collapsed="false" customWidth="true" hidden="false" max="50" min="50" style="0" width="11"/>
    <col collapsed="false" customWidth="true" hidden="false" max="51" min="51" style="0" width="8"/>
    <col collapsed="false" customWidth="true" hidden="false" max="52" min="52" style="0" width="8"/>
    <col collapsed="false" customWidth="true" hidden="false" max="53" min="53" style="0" width="11"/>
    <col collapsed="false" customWidth="true" hidden="false" max="54" min="54" style="0" width="8"/>
    <col collapsed="false" customWidth="true" hidden="false" max="55" min="55" style="0" width="1"/>
    <col collapsed="false" customWidth="true" hidden="false" max="56" min="56" style="0" width="8"/>
    <col collapsed="false" customWidth="true" hidden="false" max="57" min="57" style="0" width="8"/>
    <col collapsed="false" customWidth="true" hidden="false" max="58" min="58" style="0" width="11"/>
    <col collapsed="false" customWidth="true" hidden="false" max="59" min="59" style="0" width="11"/>
    <col collapsed="false" customWidth="true" hidden="false" max="60" min="60" style="0" width="11"/>
    <col collapsed="false" customWidth="true" hidden="false" max="61" min="61" style="0" width="2"/>
    <col collapsed="false" customWidth="true" hidden="false" max="62" min="62" style="0" width="11"/>
    <col collapsed="false" customWidth="true" hidden="false" max="63" min="63" style="0" width="11"/>
    <col collapsed="false" customWidth="true" hidden="false" max="64" min="64" style="0" width="8"/>
    <col collapsed="false" customWidth="true" hidden="false" max="65" min="65" style="0" width="1"/>
    <col collapsed="false" customWidth="true" hidden="false" max="66" min="66" style="0" width="6"/>
    <col collapsed="false" customWidth="true" hidden="false" max="67" min="67" style="0" width="8"/>
    <col collapsed="false" customWidth="true" hidden="false" max="68" min="68" style="0" width="11"/>
    <col collapsed="false" customWidth="true" hidden="false" max="69" min="69" style="0" width="8"/>
    <col collapsed="false" customWidth="true" hidden="false" max="70" min="70" style="0" width="8"/>
    <col collapsed="false" customWidth="true" hidden="false" max="71" min="71" style="0" width="13"/>
    <col collapsed="false" customWidth="true" hidden="false" max="72" min="72" style="0" width="13"/>
    <col collapsed="false" customWidth="true" hidden="false" max="73" min="73" style="0" width="1"/>
    <col collapsed="false" customWidth="true" hidden="false" max="74" min="74" style="0" width="11"/>
    <col collapsed="false" customWidth="true" hidden="false" max="75" min="75" style="0" width="8"/>
    <col collapsed="false" customWidth="true" hidden="false" max="76" min="76" style="0" width="9"/>
    <col collapsed="false" customWidth="true" hidden="false" max="77" min="77" style="0" width="9"/>
    <col collapsed="false" customWidth="true" hidden="false" max="78" min="78" style="0" width="2"/>
    <col collapsed="false" customWidth="true" hidden="false" max="79" min="79" style="0" width="8"/>
    <col collapsed="false" customWidth="true" hidden="false" max="80" min="80" style="0" width="8"/>
    <col collapsed="false" customWidth="true" hidden="false" max="81" min="81" style="0" width="17"/>
    <col collapsed="false" customWidth="true" hidden="false" max="82" min="82" style="0" width="8"/>
    <col collapsed="false" customWidth="true" hidden="false" max="83" min="83" style="0" width="8"/>
    <col collapsed="false" customWidth="true" hidden="false" max="84" min="84" style="0" width="8"/>
    <col collapsed="false" customWidth="true" hidden="false" max="85" min="85" style="0" width="8"/>
    <col collapsed="false" customWidth="true" hidden="false" max="86" min="86" style="0" width="8"/>
    <col collapsed="false" customWidth="true" hidden="false" max="87" min="87" style="0" width="8"/>
    <col collapsed="false" customWidth="true" hidden="false" max="88" min="88" style="0" width="8"/>
    <col collapsed="false" customWidth="true" hidden="false" max="89" min="89" style="0" width="8"/>
    <col collapsed="false" customWidth="true" hidden="false" max="90" min="90" style="0" width="8"/>
    <col collapsed="false" customWidth="true" hidden="false" max="91" min="91" style="0" width="8"/>
    <col collapsed="false" customWidth="true" hidden="false" max="92" min="92" style="0" width="10"/>
    <col collapsed="false" customWidth="true" hidden="false" max="93" min="93" style="0" width="1"/>
    <col collapsed="false" customWidth="true" hidden="false" max="94" min="94" style="0" width="8"/>
    <col collapsed="false" customWidth="true" hidden="false" max="95" min="95" style="0" width="8"/>
    <col collapsed="false" customWidth="true" hidden="false" max="96" min="96" style="0" width="7"/>
    <col collapsed="false" customWidth="true" hidden="false" max="97" min="97" style="0" width="7"/>
    <col collapsed="false" customWidth="true" hidden="false" max="98" min="98" style="0" width="8"/>
    <col collapsed="false" customWidth="true" hidden="false" max="99" min="99" style="0" width="8"/>
    <col collapsed="false" customWidth="true" hidden="false" max="100" min="100" style="0" width="8"/>
    <col collapsed="false" customWidth="true" hidden="false" max="101" min="101" style="0" width="8"/>
    <col collapsed="false" customWidth="true" hidden="false" max="102" min="102" style="0" width="1"/>
    <col collapsed="false" customWidth="true" hidden="false" max="103" min="103" style="0" width="40"/>
    <col collapsed="false" customWidth="true" hidden="false" max="104" min="104" style="0" width="1"/>
    <col collapsed="false" customWidth="true" hidden="false" max="105" min="105" style="0" width="37"/>
    <col collapsed="false" customWidth="true" hidden="false" max="106" min="106" style="0" width="1"/>
    <col collapsed="false" customWidth="true" hidden="false" max="107" min="107" style="0" width="6"/>
    <col collapsed="false" customWidth="true" hidden="false" max="108" min="108" style="0" width="6"/>
  </cols>
  <sheetData>
    <row customHeight="true" ht="19" r="1">
      <c r="A1" s="71"/>
      <c r="B1" s="75" t="str">
        <v>Name</v>
      </c>
      <c r="C1" s="71"/>
      <c r="D1" s="71" t="str">
        <v>UUID</v>
      </c>
      <c r="E1" s="75" t="str">
        <v>Faction</v>
      </c>
      <c r="F1" s="75" t="str">
        <v>Quality</v>
      </c>
      <c r="G1" s="71"/>
      <c r="H1" s="75"/>
      <c r="I1" s="75"/>
      <c r="J1" s="71"/>
      <c r="K1" s="71"/>
      <c r="L1" s="154" t="str" xml:space="preserve">
        <v> </v>
      </c>
      <c r="M1" s="158"/>
      <c r="N1" s="71" t="str">
        <v>DamageRange</v>
      </c>
      <c r="O1" s="71"/>
      <c r="P1" s="71"/>
      <c r="Q1" s="71"/>
      <c r="R1" s="71"/>
      <c r="S1" s="71"/>
      <c r="T1" s="71"/>
      <c r="U1" s="71"/>
      <c r="V1" s="10" t="str" xml:space="preserve">
        <v> </v>
      </c>
      <c r="W1" s="71" t="str">
        <v>MinSpreadAngle</v>
      </c>
      <c r="X1" s="71" t="str">
        <v>MaxSpreadAngle</v>
      </c>
      <c r="Y1" s="155" t="str">
        <v>SpreadDelta</v>
      </c>
      <c r="Z1" s="155" t="str">
        <v>SpreadReduce</v>
      </c>
      <c r="AA1" s="152" t="str">
        <v>SpreadReduceInterval</v>
      </c>
      <c r="AB1" s="152" t="str">
        <v>MoveSpreadIncrease</v>
      </c>
      <c r="AC1" s="152" t="str">
        <v>MoveSpreadMultiply</v>
      </c>
      <c r="AD1" s="157"/>
      <c r="AE1" s="157"/>
      <c r="AF1" s="10" t="str" xml:space="preserve">
        <v> </v>
      </c>
      <c r="AG1" s="71" t="str">
        <v>SpreadRange</v>
      </c>
      <c r="AH1" s="71"/>
      <c r="AI1" s="10" t="str" xml:space="preserve">
        <v> </v>
      </c>
      <c r="AJ1" s="143" t="str">
        <v>Strength</v>
      </c>
      <c r="AK1" s="143" t="str">
        <v>Reflex</v>
      </c>
      <c r="AL1" s="143" t="str">
        <v>Intelligence</v>
      </c>
      <c r="AM1" s="143"/>
      <c r="AN1" s="143"/>
      <c r="AO1" s="143"/>
      <c r="AP1" s="151"/>
      <c r="AQ1" s="151"/>
      <c r="AR1" s="151"/>
      <c r="AS1" s="143"/>
      <c r="AT1" s="143"/>
      <c r="AU1" s="143"/>
      <c r="AV1" s="148"/>
      <c r="AW1" s="133"/>
      <c r="AX1" s="145"/>
      <c r="AY1" s="148"/>
      <c r="AZ1" s="133"/>
      <c r="BA1" s="145"/>
      <c r="BB1" s="147" t="str">
        <v>AdjustFactor</v>
      </c>
      <c r="BC1" s="10" t="str" xml:space="preserve">
        <v> </v>
      </c>
      <c r="BD1" s="71"/>
      <c r="BE1" s="71"/>
      <c r="BF1" s="156"/>
      <c r="BG1" s="141"/>
      <c r="BH1" s="147" t="str">
        <v>PoiseDamage</v>
      </c>
      <c r="BI1" s="146" t="str" xml:space="preserve">
        <v> </v>
      </c>
      <c r="BJ1" s="156"/>
      <c r="BK1" s="141"/>
      <c r="BL1" s="143" t="str">
        <v>A.A.</v>
      </c>
      <c r="BM1" s="146"/>
      <c r="BN1" s="75"/>
      <c r="BO1" s="71"/>
      <c r="BP1" s="141"/>
      <c r="BQ1" s="147" t="str">
        <v>AmmoC</v>
      </c>
      <c r="BR1" s="141" t="str">
        <v>AmmoValue</v>
      </c>
      <c r="BS1" s="148" t="str">
        <v>InitialActionCnt</v>
      </c>
      <c r="BT1" s="71" t="str">
        <v>CheckPerAttack</v>
      </c>
      <c r="BU1" s="154"/>
      <c r="BV1" s="142"/>
      <c r="BW1" s="71" t="str">
        <v>StaminaCost</v>
      </c>
      <c r="BX1" s="141"/>
      <c r="BY1" s="142"/>
      <c r="BZ1" s="10" t="str" xml:space="preserve">
        <v> </v>
      </c>
      <c r="CA1" s="71" t="str">
        <v>BaseDamage</v>
      </c>
      <c r="CB1" s="147" t="str">
        <v>AdjustDamage</v>
      </c>
      <c r="CC1" s="147" t="str">
        <v>PreCorrectDamage</v>
      </c>
      <c r="CD1" s="141"/>
      <c r="CE1" s="141"/>
      <c r="CF1" s="141"/>
      <c r="CG1" s="141"/>
      <c r="CH1" s="141"/>
      <c r="CI1" s="141"/>
      <c r="CJ1" s="141" t="str">
        <v>WeaponFactorCal</v>
      </c>
      <c r="CK1" s="147" t="str">
        <v>WeaponFactor</v>
      </c>
      <c r="CL1" s="141"/>
      <c r="CM1" s="141"/>
      <c r="CN1" s="143" t="str">
        <v>PostCorrectDamage</v>
      </c>
      <c r="CO1" s="146" t="str" xml:space="preserve">
        <v> </v>
      </c>
      <c r="CP1" s="141" t="str">
        <v>DPA</v>
      </c>
      <c r="CQ1" s="142" t="str">
        <v>DPS</v>
      </c>
      <c r="CR1" s="141"/>
      <c r="CS1" s="144"/>
      <c r="CT1" s="142"/>
      <c r="CU1" s="142"/>
      <c r="CV1" s="144" t="str">
        <v>APS</v>
      </c>
      <c r="CW1" s="144"/>
      <c r="CX1" s="150" t="str" xml:space="preserve">
        <v> </v>
      </c>
      <c r="CY1" s="149"/>
      <c r="CZ1" s="150" t="str" xml:space="preserve">
        <v> </v>
      </c>
      <c r="DA1" s="149"/>
      <c r="DB1" s="150"/>
      <c r="DC1" s="153" t="str">
        <v>开发</v>
      </c>
      <c r="DD1" s="153" t="str">
        <v>配置</v>
      </c>
    </row>
    <row r="2">
      <c r="A2" s="22" t="str">
        <v>资产名称</v>
      </c>
      <c r="B2" s="19" t="str">
        <v>中文名称</v>
      </c>
      <c r="C2" s="22" t="str">
        <v>英文名称</v>
      </c>
      <c r="D2" s="22" t="str">
        <v>UUID</v>
      </c>
      <c r="E2" s="22" t="str">
        <v>阵营</v>
      </c>
      <c r="F2" s="19" t="str">
        <v>品质</v>
      </c>
      <c r="G2" s="22" t="str">
        <v>攻击类型</v>
      </c>
      <c r="H2" s="19" t="str">
        <v>武器类型</v>
      </c>
      <c r="I2" s="19" t="str">
        <v>伤害类型</v>
      </c>
      <c r="J2" s="22" t="str">
        <v>攻击模式</v>
      </c>
      <c r="K2" s="22" t="str">
        <v>伤害类型</v>
      </c>
      <c r="L2" s="119"/>
      <c r="M2" s="132" t="str">
        <v>移速</v>
      </c>
      <c r="N2" s="22" t="str">
        <v>伤害半径</v>
      </c>
      <c r="O2" s="22" t="str">
        <v>伤害角度</v>
      </c>
      <c r="P2" s="22" t="str">
        <v>前摇</v>
      </c>
      <c r="Q2" s="138" t="str">
        <v>伤害</v>
      </c>
      <c r="R2" s="22" t="str">
        <v>后摇</v>
      </c>
      <c r="S2" s="22" t="str">
        <v>间隔</v>
      </c>
      <c r="T2" s="22" t="str">
        <v>攻击时长</v>
      </c>
      <c r="U2" s="22" t="str">
        <v>卡肉时长</v>
      </c>
      <c r="V2" s="124"/>
      <c r="W2" s="22" t="str">
        <v>最小散布</v>
      </c>
      <c r="X2" s="22" t="str">
        <v>最大散布</v>
      </c>
      <c r="Y2" s="117" t="str">
        <v>扩张速度</v>
      </c>
      <c r="Z2" s="117" t="str">
        <v>回馈速度</v>
      </c>
      <c r="AA2" s="123" t="str">
        <v>散布回复间隔</v>
      </c>
      <c r="AB2" s="123" t="str">
        <v>移动散布增长</v>
      </c>
      <c r="AC2" s="123" t="str">
        <v>移动散布倍率</v>
      </c>
      <c r="AD2" s="128" t="str">
        <v>移动最小散布</v>
      </c>
      <c r="AE2" s="128" t="str">
        <v>移动最大散布</v>
      </c>
      <c r="AF2" s="124"/>
      <c r="AG2" s="22" t="str">
        <v>攻击声音范围</v>
      </c>
      <c r="AH2" s="22" t="str">
        <v>击中声音范围</v>
      </c>
      <c r="AI2" s="124"/>
      <c r="AJ2" s="118" t="str">
        <v>力量补正</v>
      </c>
      <c r="AK2" s="118" t="str">
        <v>反应补正</v>
      </c>
      <c r="AL2" s="118" t="str">
        <v>智力补正</v>
      </c>
      <c r="AM2" s="118" t="str">
        <v>力量等级</v>
      </c>
      <c r="AN2" s="118" t="str">
        <v>反应等级</v>
      </c>
      <c r="AO2" s="118" t="str">
        <v>智力等级</v>
      </c>
      <c r="AP2" s="121" t="str">
        <v>力量假设</v>
      </c>
      <c r="AQ2" s="121" t="str">
        <v>反应假设</v>
      </c>
      <c r="AR2" s="121" t="str">
        <v>智力假设</v>
      </c>
      <c r="AS2" s="118" t="str">
        <v>代谢补正</v>
      </c>
      <c r="AT2" s="118" t="str">
        <v>适应补正</v>
      </c>
      <c r="AU2" s="118" t="str">
        <v>耐力补正</v>
      </c>
      <c r="AV2" s="133" t="str">
        <v>单项上限</v>
      </c>
      <c r="AW2" s="133" t="str">
        <v>最大单项</v>
      </c>
      <c r="AX2" s="136" t="str">
        <v>专精率</v>
      </c>
      <c r="AY2" s="133" t="str">
        <v>总和上限</v>
      </c>
      <c r="AZ2" s="133" t="str">
        <v>补正总和</v>
      </c>
      <c r="BA2" s="136" t="str">
        <v>利用率</v>
      </c>
      <c r="BB2" s="130" t="str">
        <v>补正系数</v>
      </c>
      <c r="BC2" s="124"/>
      <c r="BD2" s="22" t="str">
        <v>冲击等级</v>
      </c>
      <c r="BE2" s="22" t="str">
        <v>冲击类型</v>
      </c>
      <c r="BF2" s="125" t="str">
        <v>韧性伤害水平</v>
      </c>
      <c r="BG2" s="122" t="str">
        <v>参考韧性伤害</v>
      </c>
      <c r="BH2" s="120" t="str">
        <v>韧性伤害</v>
      </c>
      <c r="BI2" s="129"/>
      <c r="BJ2" s="125" t="str">
        <v>异常积蓄水平</v>
      </c>
      <c r="BK2" s="127" t="str">
        <v>参考异常积蓄</v>
      </c>
      <c r="BL2" s="134" t="str">
        <v>异常积蓄</v>
      </c>
      <c r="BM2" s="129" t="str" xml:space="preserve">
        <v> </v>
      </c>
      <c r="BN2" s="19" t="str">
        <v>装弹量</v>
      </c>
      <c r="BO2" s="22" t="str">
        <v>装弹间隔</v>
      </c>
      <c r="BP2" s="122" t="str">
        <v>参考子弹消耗</v>
      </c>
      <c r="BQ2" s="120" t="str">
        <v>子弹消耗</v>
      </c>
      <c r="BR2" s="122" t="str">
        <v>子弹价值</v>
      </c>
      <c r="BS2" s="133" t="str">
        <v>发射弹丸</v>
      </c>
      <c r="BT2" s="22" t="str">
        <v>每动判定</v>
      </c>
      <c r="BU2" s="119" t="str" xml:space="preserve">
        <v> </v>
      </c>
      <c r="BV2" s="126" t="str">
        <v>期望体力消耗</v>
      </c>
      <c r="BW2" s="22" t="str">
        <v>体力消耗</v>
      </c>
      <c r="BX2" s="122" t="str">
        <v>体力价值</v>
      </c>
      <c r="BY2" s="126" t="str">
        <v>体力消耗/s</v>
      </c>
      <c r="BZ2" s="124"/>
      <c r="CA2" s="22" t="str">
        <v>基础伤害</v>
      </c>
      <c r="CB2" s="130" t="str">
        <v>补正伤害</v>
      </c>
      <c r="CC2" s="120" t="str">
        <v>矫正前伤害</v>
      </c>
      <c r="CD2" s="122" t="str">
        <v>伤害系数</v>
      </c>
      <c r="CE2" s="122" t="str">
        <v>射程系数</v>
      </c>
      <c r="CF2" s="122" t="str">
        <v>命中系数</v>
      </c>
      <c r="CG2" s="122" t="str">
        <v>冲击系数</v>
      </c>
      <c r="CH2" s="122" t="str">
        <v>异常系数</v>
      </c>
      <c r="CI2" s="122" t="str">
        <v>霰弹系数</v>
      </c>
      <c r="CJ2" s="122" t="str">
        <v>期望系数</v>
      </c>
      <c r="CK2" s="120" t="str">
        <v>武器系数</v>
      </c>
      <c r="CL2" s="122" t="str">
        <v>标准系数</v>
      </c>
      <c r="CM2" s="122" t="str">
        <v>系数价值</v>
      </c>
      <c r="CN2" s="118" t="str">
        <v>矫正后伤害</v>
      </c>
      <c r="CO2" s="131"/>
      <c r="CP2" s="127" t="str">
        <v>每动伤害</v>
      </c>
      <c r="CQ2" s="135" t="str">
        <v>每秒伤害</v>
      </c>
      <c r="CR2" s="127" t="str">
        <v>ATK</v>
      </c>
      <c r="CS2" s="137" t="str">
        <v>TTK</v>
      </c>
      <c r="CT2" s="135" t="str">
        <v>增额</v>
      </c>
      <c r="CU2" s="135" t="str">
        <v>增幅</v>
      </c>
      <c r="CV2" s="137" t="str">
        <v>每秒异常</v>
      </c>
      <c r="CW2" s="137" t="str">
        <v>TTA</v>
      </c>
      <c r="CX2" s="139"/>
      <c r="CY2" s="140" t="str">
        <v>描述</v>
      </c>
      <c r="CZ2" s="139"/>
      <c r="DA2" s="140" t="str">
        <v>武器技能</v>
      </c>
      <c r="DB2" s="139"/>
      <c r="DC2" s="10">
        <f>COUNTIF(DC3:DC996,"完成")</f>
      </c>
      <c r="DD2" s="10">
        <f>COUNTIF(DD3:DD996,"完成")</f>
      </c>
    </row>
    <row r="3">
      <c r="A3" s="36" t="str">
        <v>DSRevolver</v>
      </c>
      <c r="B3" s="36" t="str">
        <v>DS左轮</v>
      </c>
      <c r="C3" s="36"/>
      <c r="D3" s="36">
        <f>IF($A3="","","WPN"&amp;VLOOKUP(E3,'引用数据库'!Z:AC,4,FALSE)&amp;VLOOKUP(H3,'引用数据库'!N:P,3,FALSE)&amp;VLOOKUP(I3,'引用数据库'!S:U,3,FALSE)&amp;TEXT(F3,"00"))</f>
      </c>
      <c r="E3" s="36" t="str">
        <v>纪念碑</v>
      </c>
      <c r="F3" s="27">
        <v>0</v>
      </c>
      <c r="G3" s="36" t="str">
        <v>远程</v>
      </c>
      <c r="H3" s="36" t="str">
        <v>手枪</v>
      </c>
      <c r="I3" s="36" t="str">
        <v>动能</v>
      </c>
      <c r="J3" s="36" t="str">
        <v>手动</v>
      </c>
      <c r="K3" s="36">
        <v>1</v>
      </c>
      <c r="L3" s="42"/>
      <c r="M3" s="46">
        <v>1</v>
      </c>
      <c r="N3" s="27">
        <f>BO3</f>
      </c>
      <c r="O3" s="91" t="str">
        <v>N/A</v>
      </c>
      <c r="P3" s="27">
        <v>0</v>
      </c>
      <c r="Q3" s="27">
        <v>0</v>
      </c>
      <c r="R3" s="27">
        <v>0.35</v>
      </c>
      <c r="S3" s="27">
        <v>0</v>
      </c>
      <c r="T3" s="27">
        <f>SUM(P3:S3)</f>
      </c>
      <c r="U3" s="32">
        <f>2*T3/(15*(1+(5-BD3)*0.1))</f>
      </c>
      <c r="V3" s="11"/>
      <c r="W3" s="27">
        <v>0</v>
      </c>
      <c r="X3" s="27">
        <v>20</v>
      </c>
      <c r="Y3" s="116">
        <v>0.075</v>
      </c>
      <c r="Z3" s="116">
        <v>0.15</v>
      </c>
      <c r="AA3" s="28">
        <v>0.5</v>
      </c>
      <c r="AB3" s="28">
        <v>5</v>
      </c>
      <c r="AC3" s="28">
        <v>1.5</v>
      </c>
      <c r="AD3" s="28">
        <f>(W3+AB3)*AC3</f>
      </c>
      <c r="AE3" s="28">
        <f>(X3+AB3)*AC3</f>
      </c>
      <c r="AF3" s="11"/>
      <c r="AG3" s="27"/>
      <c r="AH3" s="27"/>
      <c r="AI3" s="11"/>
      <c r="AJ3" s="33">
        <v>0.3</v>
      </c>
      <c r="AK3" s="33">
        <v>0.763</v>
      </c>
      <c r="AL3" s="33">
        <v>0</v>
      </c>
      <c r="AM3" s="32">
        <f>IFS(AJ3 &gt; 1.25, "S", AJ3 &gt; 1, "A", AJ3 &gt; 0.75, "B", AJ3 &gt; 0.5, "C", AJ3 &gt; 0.25, "D", AJ3 &gt; 0, "E", TRUE, "-")</f>
      </c>
      <c r="AN3" s="32">
        <f>IFS(AK3 &gt; 1.25, "S", AK3 &gt; 1, "A", AK3 &gt; 0.75, "B", AK3 &gt; 0.5, "C", AK3 &gt; 0.25, "D", AK3 &gt; 0, "E", TRUE, "-")</f>
      </c>
      <c r="AO3" s="32">
        <f>IFS(AL3 &gt; 1.25, "S", AL3 &gt; 1, "A", AL3 &gt; 0.75, "B", AL3 &gt; 0.5, "C", AL3 &gt; 0.25, "D", AL3 &gt; 0, "E", TRUE, "-")</f>
      </c>
      <c r="AP3" s="32">
        <v>10</v>
      </c>
      <c r="AQ3" s="32">
        <v>10</v>
      </c>
      <c r="AR3" s="32">
        <v>10</v>
      </c>
      <c r="AS3" s="32"/>
      <c r="AT3" s="32"/>
      <c r="AU3" s="32"/>
      <c r="AV3" s="32">
        <f>IF(SUM(AJ3:AL3)=0, 0, (1 + F3 * 0.1) * (0.75 + 0.25 * MAX(0, MIN(1, IF(MAX(AJ3:AL3)=0, 0, (3*MAX(AJ3:AL3)-SUM(AJ3:AL3)) / (2*MAX(AJ3:AL3)))))))</f>
      </c>
      <c r="AW3" s="33">
        <f>MAX(AJ3:AL3)</f>
      </c>
      <c r="AX3" s="37">
        <f>IF(AW3=0, "", AW3 / ((1 + 0.1*N(F3))))</f>
      </c>
      <c r="AY3" s="32">
        <f>IF(SUM(AJ3:AL3)=0, 0,     (1 + F3 * 0.1) * (1 + ((SUM(AJ3:AL3) - MAX(AJ3:AL3)) / (2 * MAX(AJ3:AL3))) * (1/0.75 - 1)))</f>
      </c>
      <c r="AZ3" s="33">
        <f>AJ3+AK3+AL3</f>
      </c>
      <c r="BA3" s="37">
        <f>IF(AZ3=0, "", AZ3 / ((1 + 0.1*N(F3))/0.75))</f>
      </c>
      <c r="BB3" s="32">
        <v>0.1</v>
      </c>
      <c r="BC3" s="11"/>
      <c r="BD3" s="27">
        <v>10</v>
      </c>
      <c r="BE3" s="27">
        <v>7</v>
      </c>
      <c r="BF3" s="43">
        <v>3</v>
      </c>
      <c r="BG3" s="32">
        <f>T3*20*(16 * BF3) / (15 + 20 * BF3 - 3 * POWER(BF3, 2))/BT3/BS3</f>
      </c>
      <c r="BH3" s="33">
        <f>BG3</f>
      </c>
      <c r="BI3" s="45"/>
      <c r="BJ3" s="47">
        <v>3</v>
      </c>
      <c r="BK3" s="30">
        <f>T3*33*(16 * BJ3) / (15 + 20 * BJ3 - 3 * POWER(BJ3, 2))/BT3/BS3</f>
      </c>
      <c r="BL3" s="33">
        <f>BK3</f>
      </c>
      <c r="BM3" s="34"/>
      <c r="BN3" s="27">
        <v>6</v>
      </c>
      <c r="BO3" s="27">
        <v>3</v>
      </c>
      <c r="BP3" s="38">
        <f>ROUND(CP3/10,2)</f>
      </c>
      <c r="BQ3" s="32">
        <v>1</v>
      </c>
      <c r="BR3" s="32">
        <f>IFERROR(BQ3*100/CP3,"N/A")</f>
      </c>
      <c r="BS3" s="27">
        <v>1</v>
      </c>
      <c r="BT3" s="27">
        <v>1</v>
      </c>
      <c r="BU3" s="42"/>
      <c r="BV3" s="44">
        <f>CP3/1.5</f>
      </c>
      <c r="BW3" s="44">
        <f>ROUND(BV3)</f>
      </c>
      <c r="BX3" s="32">
        <f>CP3/BW3</f>
      </c>
      <c r="BY3" s="35">
        <f>BW3/T3</f>
      </c>
      <c r="BZ3" s="11"/>
      <c r="CA3" s="31">
        <v>10</v>
      </c>
      <c r="CB3" s="32">
        <f>CA3*BB3*(AP3*AJ3+AQ3*AK3+AR3*AL3)</f>
      </c>
      <c r="CC3" s="32">
        <f>CA3+CB3</f>
      </c>
      <c r="CD3" s="32">
        <f>T3 * 2 / BS3 / BT3 * (0.9 + 0.2 * IF(G3="近战", EXP(-64 * (T3 - 0.75)^2), EXP(-400 * (T3 - 0.15)^2)))</f>
      </c>
      <c r="CE3" s="32">
        <f>0.9 + 0.2 / (1 + (N3/600)^1)</f>
      </c>
      <c r="CF3" s="32">
        <f>LET(  k, K9,  be, BS9,  bf, BT9,  m, N9,  n, O9,  v, X9,  vEff, IF(ISNUMBER(v), v, 0),  angle,    IF(      ISNUMBER(n),        IF(n&gt;0, n,           IF(ISNUMBER(v),              IF(v&gt;0, v, 0),              0           )        ),      IF(ISNUMBER(v),         IF(v&gt;0, v, 0),         0      )    ),  T,    IF(k=1,       be * bf * 20 / MAX(vEff, 1),    IF(k=2,       (m/150)^2 * (angle/120),    IF(k=3,       be * (MIN(bf, 99)/99) * (m/1000),       be * bf * (m/1000) * (n/200)^2    ))),  b, 0.8,  c, 1.2,  r, (c-1)/(1-b),  k_s, 1,  b + (c-b) / (1 + r * EXP(-k_s*(1-T))))</f>
      </c>
      <c r="CG3" s="32">
        <f>IF(T3&lt;=0,1,   (0.9 + 0.2 / (1 + EXP(-0.8 * (5 - BD3)))) * (0.9 + 0.2 / (1 + EXP(-1 * (3.5 - BE3)))) * (0.9 + 0.2 / (1 + EXP(-0.6 * (20 - BS3*BH3/T3)))))</f>
      </c>
      <c r="CH3" s="32">
        <f>IF(T3&lt;=0, 1, 0.9 + 0.2 / (1 + EXP(0.1 * (BL3*BS3*BT3/T3 - 33))))</f>
      </c>
      <c r="CI3" s="32">
        <f>LET(    x_val, W3,    bq_val, BS3,    Check_Fail, OR(NOT(ISNUMBER(x_val)), bq_val &lt;= 1),        IF(Check_Fail, 1,        LET(            Ratio, x_val / bq_val,                        calc_A, 2.2 / (1 + EXP(-0.276 * (Ratio - 0.66))),            calc_B, 2.2 / (1 + EXP(-0.0138 * (x_val - 13.2))),                        calc_A + calc_B        )    ))</f>
      </c>
      <c r="CJ3" s="33">
        <f>CD3*CE3*CF3*CG3*CH3*CI3</f>
      </c>
      <c r="CK3" s="33">
        <f>CJ3</f>
      </c>
      <c r="CL3" s="32">
        <f>T3 * 2 / BS3 / BT3</f>
      </c>
      <c r="CM3" s="37">
        <f>CK3/CL3</f>
      </c>
      <c r="CN3" s="32">
        <f>CK3*CC3</f>
      </c>
      <c r="CO3" s="42"/>
      <c r="CP3" s="48">
        <f>CN3*BS3*BT3</f>
      </c>
      <c r="CQ3" s="32">
        <f>CP3/T3</f>
      </c>
      <c r="CR3" s="32">
        <f>100/CP3</f>
      </c>
      <c r="CS3" s="35">
        <f>100/CQ3</f>
      </c>
      <c r="CT3" s="32"/>
      <c r="CU3" s="32"/>
      <c r="CV3" s="35">
        <f>BL3/T3</f>
      </c>
      <c r="CW3" s="35">
        <f>100/CV3</f>
      </c>
      <c r="CX3" s="40"/>
      <c r="CY3" s="41" t="str">
        <v>黑市中最常见的左轮手枪。
设计精巧，操控简单，一般人也能迅速上手。
设计蓝图在数据隔离时代之前就已经流入黑市。
几经迭代后，在各路雇佣兵手里活跃至今天。</v>
      </c>
      <c r="CZ3" s="40"/>
      <c r="DA3" s="41">
        <f>TEXTJOIN("、", TRUE, FILTER('武器技能'!B:B, '武器技能'!E:E = H3))</f>
      </c>
      <c r="DB3" s="40"/>
      <c r="DC3" s="27" t="str">
        <v>完成</v>
      </c>
      <c r="DD3" s="27" t="str">
        <v>完成</v>
      </c>
    </row>
    <row customHeight="true" ht="19" r="4">
      <c r="A4" s="71" t="str">
        <v>DSRevolver</v>
      </c>
      <c r="B4" s="90" t="str">
        <v>DS左轮</v>
      </c>
      <c r="C4" s="90"/>
      <c r="D4" s="90">
        <f>IF($A4="","","WPN"&amp;VLOOKUP(E4,'引用数据库'!Z:AC,4,FALSE)&amp;VLOOKUP(H4,'引用数据库'!N:P,3,FALSE)&amp;VLOOKUP(I4,'引用数据库'!S:U,3,FALSE)&amp;TEXT(F4,"00"))</f>
      </c>
      <c r="E4" s="90" t="str">
        <v>纪念碑</v>
      </c>
      <c r="F4" s="91">
        <v>1</v>
      </c>
      <c r="G4" s="90" t="str">
        <v>远程</v>
      </c>
      <c r="H4" s="90" t="str">
        <v>手枪</v>
      </c>
      <c r="I4" s="90" t="str">
        <v>动能</v>
      </c>
      <c r="J4" s="90" t="str">
        <v>手动</v>
      </c>
      <c r="K4" s="71">
        <f>K3</f>
      </c>
      <c r="L4" s="42"/>
      <c r="M4" s="98">
        <f>M3</f>
      </c>
      <c r="N4" s="91">
        <f>N3</f>
      </c>
      <c r="O4" s="91" t="str">
        <v>N/A</v>
      </c>
      <c r="P4" s="91">
        <v>0</v>
      </c>
      <c r="Q4" s="91">
        <v>0</v>
      </c>
      <c r="R4" s="91">
        <v>0.35</v>
      </c>
      <c r="S4" s="91">
        <v>0</v>
      </c>
      <c r="T4" s="91">
        <f>SUM(P4:S4)</f>
      </c>
      <c r="U4" s="88">
        <f>2*T4/(15*(1+(5-BD4)*0.1))</f>
      </c>
      <c r="V4" s="11"/>
      <c r="W4" s="91">
        <f>W3</f>
      </c>
      <c r="X4" s="91">
        <f>X3</f>
      </c>
      <c r="Y4" s="91">
        <f>Y3</f>
      </c>
      <c r="Z4" s="91">
        <f>Z3</f>
      </c>
      <c r="AA4" s="91">
        <f>AA3</f>
      </c>
      <c r="AB4" s="91">
        <f>AB3</f>
      </c>
      <c r="AC4" s="91">
        <f>AC3</f>
      </c>
      <c r="AD4" s="91">
        <f>AD3</f>
      </c>
      <c r="AE4" s="91">
        <f>AE3</f>
      </c>
      <c r="AF4" s="11"/>
      <c r="AG4" s="91"/>
      <c r="AH4" s="91"/>
      <c r="AI4" s="11"/>
      <c r="AJ4" s="87">
        <f>AJ3+0.05</f>
      </c>
      <c r="AK4" s="87">
        <v>0.83</v>
      </c>
      <c r="AL4" s="87">
        <v>0</v>
      </c>
      <c r="AM4" s="88">
        <f>IFS(AJ4 &gt; 1.25, "S", AJ4 &gt; 1, "A", AJ4 &gt; 0.75, "B", AJ4 &gt; 0.5, "C", AJ4 &gt; 0.25, "D", AJ4 &gt; 0, "E", TRUE, "-")</f>
      </c>
      <c r="AN4" s="88">
        <f>IFS(AK4 &gt; 1.25, "S", AK4 &gt; 1, "A", AK4 &gt; 0.75, "B", AK4 &gt; 0.5, "C", AK4 &gt; 0.25, "D", AK4 &gt; 0, "E", TRUE, "-")</f>
      </c>
      <c r="AO4" s="88">
        <f>IFS(AL4 &gt; 1.25, "S", AL4 &gt; 1, "A", AL4 &gt; 0.75, "B", AL4 &gt; 0.5, "C", AL4 &gt; 0.25, "D", AL4 &gt; 0, "E", TRUE, "-")</f>
      </c>
      <c r="AP4" s="88">
        <v>10</v>
      </c>
      <c r="AQ4" s="88">
        <v>10</v>
      </c>
      <c r="AR4" s="88">
        <v>10</v>
      </c>
      <c r="AS4" s="115"/>
      <c r="AT4" s="115"/>
      <c r="AU4" s="88"/>
      <c r="AV4" s="88">
        <f>IF(SUM(AJ4:AL4)=0, 0, (1 + F4 * 0.1) * (0.75 + 0.25 * MAX(0, MIN(1, IF(MAX(AJ4:AL4)=0, 0, (3*MAX(AJ4:AL4)-SUM(AJ4:AL4)) / (2*MAX(AJ4:AL4)))))))</f>
      </c>
      <c r="AW4" s="87">
        <f>MAX(AJ4:AL4)</f>
      </c>
      <c r="AX4" s="92">
        <f>IF(AW4=0, "", AW4 / ((1 + 0.1*N(F4))))</f>
      </c>
      <c r="AY4" s="88">
        <f>IF(SUM(AJ4:AL4)=0, 0,     (1 + F4 * 0.1) * (1 + ((SUM(AJ4:AL4) - MAX(AJ4:AL4)) / (2 * MAX(AJ4:AL4))) * (1/0.75 - 1)))</f>
      </c>
      <c r="AZ4" s="87">
        <f>AJ4+AK4+AL4</f>
      </c>
      <c r="BA4" s="92">
        <f>IF(AZ4=0, "", AZ4 / ((1 + 0.1*N(F4))/0.75))</f>
      </c>
      <c r="BB4" s="88">
        <v>0.1</v>
      </c>
      <c r="BC4" s="11"/>
      <c r="BD4" s="91">
        <f>BD3</f>
      </c>
      <c r="BE4" s="91">
        <f>BE3</f>
      </c>
      <c r="BF4" s="93"/>
      <c r="BG4" s="88"/>
      <c r="BH4" s="87">
        <f>BH3</f>
      </c>
      <c r="BI4" s="45"/>
      <c r="BJ4" s="99"/>
      <c r="BK4" s="101"/>
      <c r="BL4" s="101">
        <f>BL3</f>
      </c>
      <c r="BM4" s="34"/>
      <c r="BN4" s="91">
        <f>BN3</f>
      </c>
      <c r="BO4" s="91">
        <f>BO3</f>
      </c>
      <c r="BP4" s="88"/>
      <c r="BQ4" s="88">
        <f>BQ3</f>
      </c>
      <c r="BR4" s="88">
        <f>IFERROR(BQ4*100/CP4,"N/A")</f>
      </c>
      <c r="BS4" s="91">
        <v>1</v>
      </c>
      <c r="BT4" s="91">
        <f>BT3</f>
      </c>
      <c r="BU4" s="42"/>
      <c r="BV4" s="78"/>
      <c r="BW4" s="114">
        <f>BW3</f>
      </c>
      <c r="BX4" s="38">
        <f>CP4/BW4</f>
      </c>
      <c r="BY4" s="96">
        <f>BW4/T4</f>
      </c>
      <c r="BZ4" s="11"/>
      <c r="CA4" s="100">
        <f>CA3+20</f>
      </c>
      <c r="CB4" s="88">
        <f>CA4*BB4*(AP4*AJ4+AQ4*AK4+AR4*AL4)</f>
      </c>
      <c r="CC4" s="88">
        <f>CA4+CB4</f>
      </c>
      <c r="CD4" s="88"/>
      <c r="CE4" s="88"/>
      <c r="CF4" s="88"/>
      <c r="CG4" s="88"/>
      <c r="CH4" s="88"/>
      <c r="CI4" s="88"/>
      <c r="CJ4" s="87"/>
      <c r="CK4" s="87">
        <f>CK3</f>
      </c>
      <c r="CL4" s="87"/>
      <c r="CM4" s="88"/>
      <c r="CN4" s="88">
        <f>CK4*CC4</f>
      </c>
      <c r="CO4" s="42"/>
      <c r="CP4" s="97">
        <f>CN4*BS4*BT4</f>
      </c>
      <c r="CQ4" s="88">
        <f>CP4/T4</f>
      </c>
      <c r="CR4" s="88">
        <f>100/CP4</f>
      </c>
      <c r="CS4" s="89">
        <f>100/CQ4</f>
      </c>
      <c r="CT4" s="88">
        <f>CQ4-CQ3</f>
      </c>
      <c r="CU4" s="98">
        <f>(CQ4-CQ3)/CQ3</f>
      </c>
      <c r="CV4" s="89">
        <f>BL4/T4</f>
      </c>
      <c r="CW4" s="89">
        <f>100/CV4</f>
      </c>
      <c r="CX4" s="40"/>
      <c r="CY4" s="41"/>
      <c r="CZ4" s="40"/>
      <c r="DA4" s="41"/>
      <c r="DB4" s="40"/>
      <c r="DC4" s="91" t="str">
        <v>完成</v>
      </c>
      <c r="DD4" s="91" t="str">
        <v>完成</v>
      </c>
    </row>
    <row r="5">
      <c r="A5" s="71" t="str">
        <v>DSRevolver</v>
      </c>
      <c r="B5" s="75" t="str">
        <v>DS左轮</v>
      </c>
      <c r="C5" s="71"/>
      <c r="D5" s="71">
        <f>IF($A5="","","WPN"&amp;VLOOKUP(E5,'引用数据库'!Z:AC,4,FALSE)&amp;VLOOKUP(H5,'引用数据库'!N:P,3,FALSE)&amp;VLOOKUP(I5,'引用数据库'!S:U,3,FALSE)&amp;TEXT(F5,"00"))</f>
      </c>
      <c r="E5" s="75" t="str">
        <v>纪念碑</v>
      </c>
      <c r="F5" s="110">
        <v>2</v>
      </c>
      <c r="G5" s="71" t="str">
        <v>远程</v>
      </c>
      <c r="H5" s="36" t="str">
        <v>手枪</v>
      </c>
      <c r="I5" s="36" t="str">
        <v>动能</v>
      </c>
      <c r="J5" s="71" t="str">
        <v>手动</v>
      </c>
      <c r="K5" s="71">
        <f>K4</f>
      </c>
      <c r="L5" s="42"/>
      <c r="M5" s="65">
        <f>M4</f>
      </c>
      <c r="N5" s="72">
        <f>N4</f>
      </c>
      <c r="O5" s="72" t="str">
        <v>N/A</v>
      </c>
      <c r="P5" s="72">
        <v>0</v>
      </c>
      <c r="Q5" s="72">
        <v>0</v>
      </c>
      <c r="R5" s="72">
        <v>0.35</v>
      </c>
      <c r="S5" s="72">
        <v>0</v>
      </c>
      <c r="T5" s="72">
        <f>SUM(P5:S5)</f>
      </c>
      <c r="U5" s="39">
        <f>2*T5/(15*(1+(5-BD5)*0.1))</f>
      </c>
      <c r="V5" s="11"/>
      <c r="W5" s="72">
        <f>W4</f>
      </c>
      <c r="X5" s="72">
        <f>X4</f>
      </c>
      <c r="Y5" s="72">
        <f>Y4</f>
      </c>
      <c r="Z5" s="72">
        <f>Z4</f>
      </c>
      <c r="AA5" s="72">
        <f>AA4</f>
      </c>
      <c r="AB5" s="72">
        <f>AB4</f>
      </c>
      <c r="AC5" s="72">
        <f>AC4</f>
      </c>
      <c r="AD5" s="107">
        <f>AD4</f>
      </c>
      <c r="AE5" s="107">
        <f>AE4</f>
      </c>
      <c r="AF5" s="11"/>
      <c r="AG5" s="72"/>
      <c r="AH5" s="72"/>
      <c r="AI5" s="11"/>
      <c r="AJ5" s="108">
        <f>AJ4+0.05</f>
      </c>
      <c r="AK5" s="108">
        <v>0.89</v>
      </c>
      <c r="AL5" s="108">
        <v>0</v>
      </c>
      <c r="AM5" s="105">
        <f>IFS(AJ5 &gt; 1.25, "S", AJ5 &gt; 1, "A", AJ5 &gt; 0.75, "B", AJ5 &gt; 0.5, "C", AJ5 &gt; 0.25, "D", AJ5 &gt; 0, "E", TRUE, "-")</f>
      </c>
      <c r="AN5" s="105">
        <f>IFS(AK5 &gt; 1.25, "S", AK5 &gt; 1, "A", AK5 &gt; 0.75, "B", AK5 &gt; 0.5, "C", AK5 &gt; 0.25, "D", AK5 &gt; 0, "E", TRUE, "-")</f>
      </c>
      <c r="AO5" s="105">
        <f>IFS(AL5 &gt; 1.25, "S", AL5 &gt; 1, "A", AL5 &gt; 0.75, "B", AL5 &gt; 0.5, "C", AL5 &gt; 0.25, "D", AL5 &gt; 0, "E", TRUE, "-")</f>
      </c>
      <c r="AP5" s="68">
        <v>10</v>
      </c>
      <c r="AQ5" s="68">
        <v>10</v>
      </c>
      <c r="AR5" s="68">
        <v>10</v>
      </c>
      <c r="AS5" s="105"/>
      <c r="AT5" s="105"/>
      <c r="AU5" s="105"/>
      <c r="AV5" s="68">
        <f>IF(SUM(AJ5:AL5)=0, 0, (1 + F5 * 0.1) * (0.75 + 0.25 * MAX(0, MIN(1, IF(MAX(AJ5:AL5)=0, 0, (3*MAX(AJ5:AL5)-SUM(AJ5:AL5)) / (2*MAX(AJ5:AL5)))))))</f>
      </c>
      <c r="AW5" s="111">
        <f>MAX(AJ5:AL5)</f>
      </c>
      <c r="AX5" s="109">
        <f>IF(AW5=0, "", AW5 / ((1 + 0.1*N(F5))))</f>
      </c>
      <c r="AY5" s="68">
        <f>IF(SUM(AJ5:AL5)=0, 0,     (1 + F5 * 0.1) * (1 + ((SUM(AJ5:AL5) - MAX(AJ5:AL5)) / (2 * MAX(AJ5:AL5))) * (1/0.75 - 1)))</f>
      </c>
      <c r="AZ5" s="111">
        <f>AJ5+AK5+AL5</f>
      </c>
      <c r="BA5" s="109">
        <f>IF(AZ5=0, "", AZ5 / ((1 + 0.1*N(F5))/0.75))</f>
      </c>
      <c r="BB5" s="39">
        <v>0.1</v>
      </c>
      <c r="BC5" s="11"/>
      <c r="BD5" s="72">
        <f>BD4</f>
      </c>
      <c r="BE5" s="72">
        <f>BE4</f>
      </c>
      <c r="BF5" s="74"/>
      <c r="BG5" s="38"/>
      <c r="BH5" s="103">
        <f>BH4</f>
      </c>
      <c r="BI5" s="45"/>
      <c r="BJ5" s="63"/>
      <c r="BK5" s="49"/>
      <c r="BL5" s="56">
        <f>BL4</f>
      </c>
      <c r="BM5" s="34"/>
      <c r="BN5" s="110">
        <f>BN4</f>
      </c>
      <c r="BO5" s="72">
        <f>BO4</f>
      </c>
      <c r="BP5" s="38"/>
      <c r="BQ5" s="39">
        <f>BQ4</f>
      </c>
      <c r="BR5" s="38">
        <f>IFERROR(BQ5*100/CP5,"N/A")</f>
      </c>
      <c r="BS5" s="107">
        <v>1</v>
      </c>
      <c r="BT5" s="72">
        <f>BT4</f>
      </c>
      <c r="BU5" s="42"/>
      <c r="BV5" s="78"/>
      <c r="BW5" s="104">
        <f>BW4</f>
      </c>
      <c r="BX5" s="38">
        <f>CP5/BW5</f>
      </c>
      <c r="BY5" s="96">
        <f>BW5/T5</f>
      </c>
      <c r="BZ5" s="11"/>
      <c r="CA5" s="113">
        <f>CA4+10</f>
      </c>
      <c r="CB5" s="39">
        <f>CA5*BB5*(AP5*AJ5+AQ5*AK5+AR5*AL5)</f>
      </c>
      <c r="CC5" s="39">
        <f>CA5+CB5</f>
      </c>
      <c r="CD5" s="38"/>
      <c r="CE5" s="38"/>
      <c r="CF5" s="38"/>
      <c r="CG5" s="38"/>
      <c r="CH5" s="38"/>
      <c r="CI5" s="38"/>
      <c r="CJ5" s="106"/>
      <c r="CK5" s="103">
        <f>CK4</f>
      </c>
      <c r="CL5" s="106"/>
      <c r="CM5" s="38"/>
      <c r="CN5" s="105">
        <f>CK5*CC5</f>
      </c>
      <c r="CO5" s="42"/>
      <c r="CP5" s="70">
        <f>CN5*BS5*BT5</f>
      </c>
      <c r="CQ5" s="38">
        <f>CP5/T5</f>
      </c>
      <c r="CR5" s="38">
        <f>100/CP5</f>
      </c>
      <c r="CS5" s="96">
        <f>100/CQ5</f>
      </c>
      <c r="CT5" s="38">
        <f>CQ5-CQ4</f>
      </c>
      <c r="CU5" s="112">
        <f>(CQ5-CQ4)/CQ4</f>
      </c>
      <c r="CV5" s="96">
        <f>BL5/T5</f>
      </c>
      <c r="CW5" s="96">
        <f>100/CV5</f>
      </c>
      <c r="CX5" s="40"/>
      <c r="CY5" s="41"/>
      <c r="CZ5" s="40"/>
      <c r="DA5" s="41"/>
      <c r="DB5" s="40"/>
      <c r="DC5" s="11" t="str">
        <v>完成</v>
      </c>
      <c r="DD5" s="1" t="str">
        <v>完成</v>
      </c>
    </row>
    <row r="6">
      <c r="A6" s="71" t="str">
        <v>DSRevolver</v>
      </c>
      <c r="B6" s="75" t="str">
        <v>DS左轮</v>
      </c>
      <c r="C6" s="71"/>
      <c r="D6" s="71">
        <f>IF($A6="","","WPN"&amp;VLOOKUP(E6,'引用数据库'!Z:AC,4,FALSE)&amp;VLOOKUP(H6,'引用数据库'!N:P,3,FALSE)&amp;VLOOKUP(I6,'引用数据库'!S:U,3,FALSE)&amp;TEXT(F6,"00"))</f>
      </c>
      <c r="E6" s="75" t="str">
        <v>纪念碑</v>
      </c>
      <c r="F6" s="110">
        <v>3</v>
      </c>
      <c r="G6" s="71" t="str">
        <v>远程</v>
      </c>
      <c r="H6" s="36" t="str">
        <v>手枪</v>
      </c>
      <c r="I6" s="36" t="str">
        <v>动能</v>
      </c>
      <c r="J6" s="71" t="str">
        <v>手动</v>
      </c>
      <c r="K6" s="71">
        <f>K5</f>
      </c>
      <c r="L6" s="42"/>
      <c r="M6" s="65">
        <f>M5</f>
      </c>
      <c r="N6" s="72">
        <f>N5</f>
      </c>
      <c r="O6" s="72" t="str">
        <v>N/A</v>
      </c>
      <c r="P6" s="72">
        <v>0</v>
      </c>
      <c r="Q6" s="72">
        <v>0</v>
      </c>
      <c r="R6" s="72">
        <v>0.35</v>
      </c>
      <c r="S6" s="72">
        <v>0</v>
      </c>
      <c r="T6" s="72">
        <f>SUM(P6:S6)</f>
      </c>
      <c r="U6" s="39">
        <f>2*T6/(15*(1+(5-BD6)*0.1))</f>
      </c>
      <c r="V6" s="11"/>
      <c r="W6" s="72">
        <f>W5</f>
      </c>
      <c r="X6" s="72">
        <f>X5</f>
      </c>
      <c r="Y6" s="72">
        <f>Y5</f>
      </c>
      <c r="Z6" s="72">
        <f>Z5</f>
      </c>
      <c r="AA6" s="72">
        <f>AA5</f>
      </c>
      <c r="AB6" s="72">
        <f>AB5</f>
      </c>
      <c r="AC6" s="72">
        <f>AC5</f>
      </c>
      <c r="AD6" s="107">
        <f>AD5</f>
      </c>
      <c r="AE6" s="107">
        <f>AE5</f>
      </c>
      <c r="AF6" s="11"/>
      <c r="AG6" s="72"/>
      <c r="AH6" s="72"/>
      <c r="AI6" s="11"/>
      <c r="AJ6" s="108">
        <f>AJ5+0.05</f>
      </c>
      <c r="AK6" s="108">
        <v>0.95</v>
      </c>
      <c r="AL6" s="108">
        <v>0</v>
      </c>
      <c r="AM6" s="105">
        <f>IFS(AJ6 &gt; 1.25, "S", AJ6 &gt; 1, "A", AJ6 &gt; 0.75, "B", AJ6 &gt; 0.5, "C", AJ6 &gt; 0.25, "D", AJ6 &gt; 0, "E", TRUE, "-")</f>
      </c>
      <c r="AN6" s="105">
        <f>IFS(AK6 &gt; 1.25, "S", AK6 &gt; 1, "A", AK6 &gt; 0.75, "B", AK6 &gt; 0.5, "C", AK6 &gt; 0.25, "D", AK6 &gt; 0, "E", TRUE, "-")</f>
      </c>
      <c r="AO6" s="105">
        <f>IFS(AL6 &gt; 1.25, "S", AL6 &gt; 1, "A", AL6 &gt; 0.75, "B", AL6 &gt; 0.5, "C", AL6 &gt; 0.25, "D", AL6 &gt; 0, "E", TRUE, "-")</f>
      </c>
      <c r="AP6" s="68">
        <v>10</v>
      </c>
      <c r="AQ6" s="68">
        <v>10</v>
      </c>
      <c r="AR6" s="68">
        <v>10</v>
      </c>
      <c r="AS6" s="55"/>
      <c r="AT6" s="55"/>
      <c r="AU6" s="105"/>
      <c r="AV6" s="68">
        <f>IF(SUM(AJ6:AL6)=0, 0, (1 + F6 * 0.1) * (0.75 + 0.25 * MAX(0, MIN(1, IF(MAX(AJ6:AL6)=0, 0, (3*MAX(AJ6:AL6)-SUM(AJ6:AL6)) / (2*MAX(AJ6:AL6)))))))</f>
      </c>
      <c r="AW6" s="111">
        <f>MAX(AJ6:AL6)</f>
      </c>
      <c r="AX6" s="109">
        <f>IF(AW6=0, "", AW6 / ((1 + 0.1*N(F6))))</f>
      </c>
      <c r="AY6" s="68">
        <f>IF(SUM(AJ6:AL6)=0, 0,     (1 + F6 * 0.1) * (1 + ((SUM(AJ6:AL6) - MAX(AJ6:AL6)) / (2 * MAX(AJ6:AL6))) * (1/0.75 - 1)))</f>
      </c>
      <c r="AZ6" s="111">
        <f>AJ6+AK6+AL6</f>
      </c>
      <c r="BA6" s="109">
        <f>IF(AZ6=0, "", AZ6 / ((1 + 0.1*N(F6))/0.75))</f>
      </c>
      <c r="BB6" s="39">
        <v>0.1</v>
      </c>
      <c r="BC6" s="11"/>
      <c r="BD6" s="72">
        <f>BD5</f>
      </c>
      <c r="BE6" s="72">
        <f>BE5</f>
      </c>
      <c r="BF6" s="74"/>
      <c r="BG6" s="38"/>
      <c r="BH6" s="103">
        <f>BH5</f>
      </c>
      <c r="BI6" s="45"/>
      <c r="BJ6" s="63"/>
      <c r="BK6" s="49"/>
      <c r="BL6" s="56">
        <f>BL5</f>
      </c>
      <c r="BM6" s="34"/>
      <c r="BN6" s="110">
        <f>BN5</f>
      </c>
      <c r="BO6" s="72">
        <f>BO5</f>
      </c>
      <c r="BP6" s="38"/>
      <c r="BQ6" s="39">
        <f>BQ5</f>
      </c>
      <c r="BR6" s="38">
        <f>IFERROR(BQ6*100/CP6,"N/A")</f>
      </c>
      <c r="BS6" s="107">
        <v>1</v>
      </c>
      <c r="BT6" s="72">
        <f>BT5</f>
      </c>
      <c r="BU6" s="42"/>
      <c r="BV6" s="78"/>
      <c r="BW6" s="104">
        <f>BW5</f>
      </c>
      <c r="BX6" s="38">
        <f>CP6/BW6</f>
      </c>
      <c r="BY6" s="96">
        <f>BW6/T6</f>
      </c>
      <c r="BZ6" s="11"/>
      <c r="CA6" s="113">
        <f>CA5+10</f>
      </c>
      <c r="CB6" s="39">
        <f>CA6*BB6*(AP6*AJ6+AQ6*AK6+AR6*AL6)</f>
      </c>
      <c r="CC6" s="39">
        <f>CA6+CB6</f>
      </c>
      <c r="CD6" s="38"/>
      <c r="CE6" s="38"/>
      <c r="CF6" s="38"/>
      <c r="CG6" s="38"/>
      <c r="CH6" s="38"/>
      <c r="CI6" s="38"/>
      <c r="CJ6" s="106"/>
      <c r="CK6" s="103">
        <f>CK5</f>
      </c>
      <c r="CL6" s="106"/>
      <c r="CM6" s="38"/>
      <c r="CN6" s="105">
        <f>CK6*CC6</f>
      </c>
      <c r="CO6" s="42"/>
      <c r="CP6" s="70">
        <f>CN6*BS6*BT6</f>
      </c>
      <c r="CQ6" s="38">
        <f>CP6/T6</f>
      </c>
      <c r="CR6" s="38">
        <f>100/CP6</f>
      </c>
      <c r="CS6" s="96">
        <f>100/CQ6</f>
      </c>
      <c r="CT6" s="38">
        <f>CQ6-CQ5</f>
      </c>
      <c r="CU6" s="112">
        <f>(CQ6-CQ5)/CQ5</f>
      </c>
      <c r="CV6" s="96">
        <f>BL6/T6</f>
      </c>
      <c r="CW6" s="96">
        <f>100/CV6</f>
      </c>
      <c r="CX6" s="40"/>
      <c r="CY6" s="41"/>
      <c r="CZ6" s="40"/>
      <c r="DA6" s="41"/>
      <c r="DB6" s="40"/>
      <c r="DC6" s="11" t="str">
        <v>完成</v>
      </c>
      <c r="DD6" s="1" t="str">
        <v>完成</v>
      </c>
    </row>
    <row customHeight="true" ht="19" r="7">
      <c r="A7" s="71" t="str">
        <v>DSRevolver</v>
      </c>
      <c r="B7" s="75" t="str">
        <v>DS左轮</v>
      </c>
      <c r="C7" s="71"/>
      <c r="D7" s="71">
        <f>IF($A7="","","WPN"&amp;VLOOKUP(E7,'引用数据库'!Z:AC,4,FALSE)&amp;VLOOKUP(H7,'引用数据库'!N:P,3,FALSE)&amp;VLOOKUP(I7,'引用数据库'!S:U,3,FALSE)&amp;TEXT(F7,"00"))</f>
      </c>
      <c r="E7" s="75" t="str">
        <v>纪念碑</v>
      </c>
      <c r="F7" s="110">
        <v>4</v>
      </c>
      <c r="G7" s="71" t="str">
        <v>远程</v>
      </c>
      <c r="H7" s="36" t="str">
        <v>手枪</v>
      </c>
      <c r="I7" s="36" t="str">
        <v>动能</v>
      </c>
      <c r="J7" s="71" t="str">
        <v>手动</v>
      </c>
      <c r="K7" s="71">
        <f>K6</f>
      </c>
      <c r="L7" s="42"/>
      <c r="M7" s="65">
        <f>M6</f>
      </c>
      <c r="N7" s="72">
        <f>N6</f>
      </c>
      <c r="O7" s="72" t="str">
        <v>N/A</v>
      </c>
      <c r="P7" s="72">
        <v>0</v>
      </c>
      <c r="Q7" s="72">
        <v>0</v>
      </c>
      <c r="R7" s="72">
        <v>0.35</v>
      </c>
      <c r="S7" s="72">
        <v>0</v>
      </c>
      <c r="T7" s="72">
        <f>SUM(P7:S7)</f>
      </c>
      <c r="U7" s="39">
        <f>2*T7/(15*(1+(5-BD7)*0.1))</f>
      </c>
      <c r="V7" s="11"/>
      <c r="W7" s="72">
        <f>W6</f>
      </c>
      <c r="X7" s="72">
        <f>X6</f>
      </c>
      <c r="Y7" s="72">
        <f>Y6</f>
      </c>
      <c r="Z7" s="72">
        <f>Z6</f>
      </c>
      <c r="AA7" s="72">
        <f>AA6</f>
      </c>
      <c r="AB7" s="72">
        <f>AB6</f>
      </c>
      <c r="AC7" s="72">
        <f>AC6</f>
      </c>
      <c r="AD7" s="107">
        <f>AD6</f>
      </c>
      <c r="AE7" s="107">
        <f>AE6</f>
      </c>
      <c r="AF7" s="11"/>
      <c r="AG7" s="72"/>
      <c r="AH7" s="72"/>
      <c r="AI7" s="11"/>
      <c r="AJ7" s="108">
        <f>AJ6+0.05</f>
      </c>
      <c r="AK7" s="108">
        <v>1.02</v>
      </c>
      <c r="AL7" s="108">
        <v>0</v>
      </c>
      <c r="AM7" s="105">
        <f>IFS(AJ7 &gt; 1.25, "S", AJ7 &gt; 1, "A", AJ7 &gt; 0.75, "B", AJ7 &gt; 0.5, "C", AJ7 &gt; 0.25, "D", AJ7 &gt; 0, "E", TRUE, "-")</f>
      </c>
      <c r="AN7" s="105">
        <f>IFS(AK7 &gt; 1.25, "S", AK7 &gt; 1, "A", AK7 &gt; 0.75, "B", AK7 &gt; 0.5, "C", AK7 &gt; 0.25, "D", AK7 &gt; 0, "E", TRUE, "-")</f>
      </c>
      <c r="AO7" s="105">
        <f>IFS(AL7 &gt; 1.25, "S", AL7 &gt; 1, "A", AL7 &gt; 0.75, "B", AL7 &gt; 0.5, "C", AL7 &gt; 0.25, "D", AL7 &gt; 0, "E", TRUE, "-")</f>
      </c>
      <c r="AP7" s="68">
        <v>10</v>
      </c>
      <c r="AQ7" s="68">
        <v>10</v>
      </c>
      <c r="AR7" s="68">
        <v>10</v>
      </c>
      <c r="AS7" s="55"/>
      <c r="AT7" s="55"/>
      <c r="AU7" s="105"/>
      <c r="AV7" s="68">
        <f>IF(SUM(AJ7:AL7)=0, 0, (1 + F7 * 0.1) * (0.75 + 0.25 * MAX(0, MIN(1, IF(MAX(AJ7:AL7)=0, 0, (3*MAX(AJ7:AL7)-SUM(AJ7:AL7)) / (2*MAX(AJ7:AL7)))))))</f>
      </c>
      <c r="AW7" s="111">
        <f>MAX(AJ7:AL7)</f>
      </c>
      <c r="AX7" s="109">
        <f>IF(AW7=0, "", AW7 / ((1 + 0.1*N(F7))))</f>
      </c>
      <c r="AY7" s="68">
        <f>IF(SUM(AJ7:AL7)=0, 0,     (1 + F7 * 0.1) * (1 + ((SUM(AJ7:AL7) - MAX(AJ7:AL7)) / (2 * MAX(AJ7:AL7))) * (1/0.75 - 1)))</f>
      </c>
      <c r="AZ7" s="111">
        <f>AJ7+AK7+AL7</f>
      </c>
      <c r="BA7" s="109">
        <f>IF(AZ7=0, "", AZ7 / ((1 + 0.1*N(F7))/0.75))</f>
      </c>
      <c r="BB7" s="39">
        <v>0.1</v>
      </c>
      <c r="BC7" s="11"/>
      <c r="BD7" s="72">
        <f>BD6</f>
      </c>
      <c r="BE7" s="72">
        <f>BE6</f>
      </c>
      <c r="BF7" s="74"/>
      <c r="BG7" s="38"/>
      <c r="BH7" s="103">
        <f>BH6</f>
      </c>
      <c r="BI7" s="45"/>
      <c r="BJ7" s="63"/>
      <c r="BK7" s="49"/>
      <c r="BL7" s="56">
        <f>BL6</f>
      </c>
      <c r="BM7" s="34"/>
      <c r="BN7" s="110">
        <f>BN6</f>
      </c>
      <c r="BO7" s="72">
        <f>BO6</f>
      </c>
      <c r="BP7" s="38"/>
      <c r="BQ7" s="39">
        <f>BQ6</f>
      </c>
      <c r="BR7" s="38">
        <f>IFERROR(BQ7*100/CP7,"N/A")</f>
      </c>
      <c r="BS7" s="107">
        <v>1</v>
      </c>
      <c r="BT7" s="72">
        <f>BT6</f>
      </c>
      <c r="BU7" s="42"/>
      <c r="BV7" s="78"/>
      <c r="BW7" s="104">
        <f>BW6</f>
      </c>
      <c r="BX7" s="38">
        <f>CP7/BW7</f>
      </c>
      <c r="BY7" s="96">
        <f>BW7/T7</f>
      </c>
      <c r="BZ7" s="11"/>
      <c r="CA7" s="113">
        <f>CA6+10</f>
      </c>
      <c r="CB7" s="39">
        <f>CA7*BB7*(AP7*AJ7+AQ7*AK7+AR7*AL7)</f>
      </c>
      <c r="CC7" s="39">
        <f>CA7+CB7</f>
      </c>
      <c r="CD7" s="38"/>
      <c r="CE7" s="38"/>
      <c r="CF7" s="38"/>
      <c r="CG7" s="38"/>
      <c r="CH7" s="38"/>
      <c r="CI7" s="38"/>
      <c r="CJ7" s="106"/>
      <c r="CK7" s="103">
        <f>CK6</f>
      </c>
      <c r="CL7" s="106"/>
      <c r="CM7" s="38"/>
      <c r="CN7" s="105">
        <f>CK7*CC7</f>
      </c>
      <c r="CO7" s="42"/>
      <c r="CP7" s="70">
        <f>CN7*BS7*BT7</f>
      </c>
      <c r="CQ7" s="38">
        <f>CP7/T7</f>
      </c>
      <c r="CR7" s="38">
        <f>100/CP7</f>
      </c>
      <c r="CS7" s="96">
        <f>100/CQ7</f>
      </c>
      <c r="CT7" s="38">
        <f>CQ7-CQ6</f>
      </c>
      <c r="CU7" s="112">
        <f>(CQ7-CQ6)/CQ6</f>
      </c>
      <c r="CV7" s="96">
        <f>BL7/T7</f>
      </c>
      <c r="CW7" s="96">
        <f>100/CV7</f>
      </c>
      <c r="CX7" s="40"/>
      <c r="CY7" s="41"/>
      <c r="CZ7" s="40"/>
      <c r="DA7" s="41"/>
      <c r="DB7" s="40"/>
      <c r="DC7" s="11" t="str">
        <v>完成</v>
      </c>
      <c r="DD7" s="1" t="str">
        <v>完成</v>
      </c>
    </row>
    <row r="8">
      <c r="A8" s="71" t="str">
        <v>DSRevolver</v>
      </c>
      <c r="B8" s="75" t="str">
        <v>DS左轮</v>
      </c>
      <c r="C8" s="71"/>
      <c r="D8" s="71">
        <f>IF($A8="","","WPN"&amp;VLOOKUP(E8,'引用数据库'!Z:AC,4,FALSE)&amp;VLOOKUP(H8,'引用数据库'!N:P,3,FALSE)&amp;VLOOKUP(I8,'引用数据库'!S:U,3,FALSE)&amp;TEXT(F8,"00"))</f>
      </c>
      <c r="E8" s="75" t="str">
        <v>纪念碑</v>
      </c>
      <c r="F8" s="110">
        <v>5</v>
      </c>
      <c r="G8" s="71" t="str">
        <v>远程</v>
      </c>
      <c r="H8" s="36" t="str">
        <v>手枪</v>
      </c>
      <c r="I8" s="36" t="str">
        <v>动能</v>
      </c>
      <c r="J8" s="71" t="str">
        <v>手动</v>
      </c>
      <c r="K8" s="71">
        <f>K7</f>
      </c>
      <c r="L8" s="42"/>
      <c r="M8" s="65">
        <f>M7</f>
      </c>
      <c r="N8" s="72">
        <f>N7</f>
      </c>
      <c r="O8" s="72" t="str">
        <v>N/A</v>
      </c>
      <c r="P8" s="72">
        <v>0</v>
      </c>
      <c r="Q8" s="72">
        <v>0</v>
      </c>
      <c r="R8" s="72">
        <v>0.35</v>
      </c>
      <c r="S8" s="72">
        <v>0</v>
      </c>
      <c r="T8" s="72">
        <f>SUM(P8:S8)</f>
      </c>
      <c r="U8" s="39">
        <f>2*T8/(15*(1+(5-BD8)*0.1))</f>
      </c>
      <c r="V8" s="11"/>
      <c r="W8" s="72">
        <f>W7</f>
      </c>
      <c r="X8" s="72">
        <f>X7</f>
      </c>
      <c r="Y8" s="72">
        <f>Y7</f>
      </c>
      <c r="Z8" s="72">
        <f>Z7</f>
      </c>
      <c r="AA8" s="72">
        <f>AA7</f>
      </c>
      <c r="AB8" s="72">
        <f>AB7</f>
      </c>
      <c r="AC8" s="72">
        <f>AC7</f>
      </c>
      <c r="AD8" s="107">
        <f>AD7</f>
      </c>
      <c r="AE8" s="107">
        <f>AE7</f>
      </c>
      <c r="AF8" s="11"/>
      <c r="AG8" s="72"/>
      <c r="AH8" s="72"/>
      <c r="AI8" s="11"/>
      <c r="AJ8" s="108">
        <f>AJ7+0.05</f>
      </c>
      <c r="AK8" s="108">
        <v>1.08</v>
      </c>
      <c r="AL8" s="108">
        <v>0</v>
      </c>
      <c r="AM8" s="105">
        <f>IFS(AJ8 &gt; 1.25, "S", AJ8 &gt; 1, "A", AJ8 &gt; 0.75, "B", AJ8 &gt; 0.5, "C", AJ8 &gt; 0.25, "D", AJ8 &gt; 0, "E", TRUE, "-")</f>
      </c>
      <c r="AN8" s="105">
        <f>IFS(AK8 &gt; 1.25, "S", AK8 &gt; 1, "A", AK8 &gt; 0.75, "B", AK8 &gt; 0.5, "C", AK8 &gt; 0.25, "D", AK8 &gt; 0, "E", TRUE, "-")</f>
      </c>
      <c r="AO8" s="105">
        <f>IFS(AL8 &gt; 1.25, "S", AL8 &gt; 1, "A", AL8 &gt; 0.75, "B", AL8 &gt; 0.5, "C", AL8 &gt; 0.25, "D", AL8 &gt; 0, "E", TRUE, "-")</f>
      </c>
      <c r="AP8" s="68">
        <v>10</v>
      </c>
      <c r="AQ8" s="68">
        <v>10</v>
      </c>
      <c r="AR8" s="68">
        <v>10</v>
      </c>
      <c r="AS8" s="55"/>
      <c r="AT8" s="55"/>
      <c r="AU8" s="105"/>
      <c r="AV8" s="68">
        <f>IF(SUM(AJ8:AL8)=0, 0, (1 + F8 * 0.1) * (0.75 + 0.25 * MAX(0, MIN(1, IF(MAX(AJ8:AL8)=0, 0, (3*MAX(AJ8:AL8)-SUM(AJ8:AL8)) / (2*MAX(AJ8:AL8)))))))</f>
      </c>
      <c r="AW8" s="111">
        <f>MAX(AJ8:AL8)</f>
      </c>
      <c r="AX8" s="109">
        <f>IF(AW8=0, "", AW8 / ((1 + 0.1*N(F8))))</f>
      </c>
      <c r="AY8" s="68">
        <f>IF(SUM(AJ8:AL8)=0, 0,     (1 + F8 * 0.1) * (1 + ((SUM(AJ8:AL8) - MAX(AJ8:AL8)) / (2 * MAX(AJ8:AL8))) * (1/0.75 - 1)))</f>
      </c>
      <c r="AZ8" s="111">
        <f>AJ8+AK8+AL8</f>
      </c>
      <c r="BA8" s="109">
        <f>IF(AZ8=0, "", AZ8 / ((1 + 0.1*N(F8))/0.75))</f>
      </c>
      <c r="BB8" s="39">
        <v>0.1</v>
      </c>
      <c r="BC8" s="11"/>
      <c r="BD8" s="72">
        <f>BD7</f>
      </c>
      <c r="BE8" s="72">
        <f>BE7</f>
      </c>
      <c r="BF8" s="74"/>
      <c r="BG8" s="38"/>
      <c r="BH8" s="103">
        <f>BH7</f>
      </c>
      <c r="BI8" s="45"/>
      <c r="BJ8" s="63"/>
      <c r="BK8" s="49"/>
      <c r="BL8" s="56">
        <f>BL7</f>
      </c>
      <c r="BM8" s="34"/>
      <c r="BN8" s="110">
        <f>BN7</f>
      </c>
      <c r="BO8" s="72">
        <f>BO7</f>
      </c>
      <c r="BP8" s="38"/>
      <c r="BQ8" s="39">
        <f>BQ7</f>
      </c>
      <c r="BR8" s="38">
        <f>IFERROR(BQ8*100/CP8,"N/A")</f>
      </c>
      <c r="BS8" s="107">
        <v>1</v>
      </c>
      <c r="BT8" s="72">
        <f>BT7</f>
      </c>
      <c r="BU8" s="42"/>
      <c r="BV8" s="78"/>
      <c r="BW8" s="104">
        <f>BW7</f>
      </c>
      <c r="BX8" s="38">
        <f>CP8/BW8</f>
      </c>
      <c r="BY8" s="96">
        <f>BW8/T8</f>
      </c>
      <c r="BZ8" s="11"/>
      <c r="CA8" s="113">
        <f>CA7+10</f>
      </c>
      <c r="CB8" s="39">
        <f>CA8*BB8*(AP8*AJ8+AQ8*AK8+AR8*AL8)</f>
      </c>
      <c r="CC8" s="39">
        <f>CA8+CB8</f>
      </c>
      <c r="CD8" s="38"/>
      <c r="CE8" s="38"/>
      <c r="CF8" s="38"/>
      <c r="CG8" s="38"/>
      <c r="CH8" s="38"/>
      <c r="CI8" s="38"/>
      <c r="CJ8" s="106"/>
      <c r="CK8" s="103">
        <f>CK7</f>
      </c>
      <c r="CL8" s="106"/>
      <c r="CM8" s="38"/>
      <c r="CN8" s="105">
        <f>CK8*CC8</f>
      </c>
      <c r="CO8" s="42"/>
      <c r="CP8" s="70">
        <f>CN8*BS8*BT8</f>
      </c>
      <c r="CQ8" s="38">
        <f>CP8/T8</f>
      </c>
      <c r="CR8" s="38">
        <f>100/CP8</f>
      </c>
      <c r="CS8" s="96">
        <f>100/CQ8</f>
      </c>
      <c r="CT8" s="38">
        <f>CQ8-CQ7</f>
      </c>
      <c r="CU8" s="112">
        <f>(CQ8-CQ7)/CQ7</f>
      </c>
      <c r="CV8" s="96">
        <f>BL8/T8</f>
      </c>
      <c r="CW8" s="96">
        <f>100/CV8</f>
      </c>
      <c r="CX8" s="40"/>
      <c r="CY8" s="41"/>
      <c r="CZ8" s="40"/>
      <c r="DA8" s="41"/>
      <c r="DB8" s="40"/>
      <c r="DC8" s="11" t="str">
        <v>完成</v>
      </c>
      <c r="DD8" s="1" t="str">
        <v>完成</v>
      </c>
    </row>
    <row customHeight="true" ht="19" r="9">
      <c r="A9" s="36" t="str">
        <v>AsFire</v>
      </c>
      <c r="B9" s="36" t="str">
        <v>若火</v>
      </c>
      <c r="C9" s="36"/>
      <c r="D9" s="36">
        <f>IF($A9="","","WPN"&amp;VLOOKUP(E9,'引用数据库'!Z:AC,4,FALSE)&amp;VLOOKUP(H9,'引用数据库'!N:P,3,FALSE)&amp;VLOOKUP(I9,'引用数据库'!S:U,3,FALSE)&amp;TEXT(F9,"00"))</f>
      </c>
      <c r="E9" s="36" t="str">
        <v>野望</v>
      </c>
      <c r="F9" s="27">
        <v>0</v>
      </c>
      <c r="G9" s="36" t="str">
        <v>近战</v>
      </c>
      <c r="H9" s="36" t="str">
        <v>武士刀</v>
      </c>
      <c r="I9" s="36" t="str">
        <v>热能</v>
      </c>
      <c r="J9" s="36" t="str">
        <v>手动</v>
      </c>
      <c r="K9" s="36">
        <v>2</v>
      </c>
      <c r="L9" s="42"/>
      <c r="M9" s="46">
        <v>1</v>
      </c>
      <c r="N9" s="27">
        <v>170</v>
      </c>
      <c r="O9" s="27">
        <v>120</v>
      </c>
      <c r="P9" s="27">
        <v>0.367</v>
      </c>
      <c r="Q9" s="27">
        <v>0.176</v>
      </c>
      <c r="R9" s="27">
        <v>0.257</v>
      </c>
      <c r="S9" s="27">
        <v>0</v>
      </c>
      <c r="T9" s="27">
        <f>SUM(P9:S9)</f>
      </c>
      <c r="U9" s="32">
        <f>2*T9/(15*(1+(5-BD9)*0.1))</f>
      </c>
      <c r="V9" s="11"/>
      <c r="W9" s="27" t="str">
        <v>N/A</v>
      </c>
      <c r="X9" s="27" t="str">
        <v>N/A</v>
      </c>
      <c r="Y9" s="27" t="str">
        <v>N/A</v>
      </c>
      <c r="Z9" s="27" t="str">
        <v>N/A</v>
      </c>
      <c r="AA9" s="28"/>
      <c r="AB9" s="28"/>
      <c r="AC9" s="28"/>
      <c r="AD9" s="28" t="str">
        <v>N/A</v>
      </c>
      <c r="AE9" s="28" t="str">
        <v>N/A</v>
      </c>
      <c r="AF9" s="11"/>
      <c r="AG9" s="27"/>
      <c r="AH9" s="27"/>
      <c r="AI9" s="11"/>
      <c r="AJ9" s="33">
        <v>0.12</v>
      </c>
      <c r="AK9" s="33">
        <v>0.9</v>
      </c>
      <c r="AL9" s="33">
        <v>0</v>
      </c>
      <c r="AM9" s="32">
        <f>IFS(AJ9 &gt; 1.25, "S", AJ9 &gt; 1, "A", AJ9 &gt; 0.75, "B", AJ9 &gt; 0.5, "C", AJ9 &gt; 0.25, "D", AJ9 &gt; 0, "E", TRUE, "-")</f>
      </c>
      <c r="AN9" s="32">
        <f>IFS(AK9 &gt; 1.25, "S", AK9 &gt; 1, "A", AK9 &gt; 0.75, "B", AK9 &gt; 0.5, "C", AK9 &gt; 0.25, "D", AK9 &gt; 0, "E", TRUE, "-")</f>
      </c>
      <c r="AO9" s="32">
        <f>IFS(AL9 &gt; 1.25, "S", AL9 &gt; 1, "A", AL9 &gt; 0.75, "B", AL9 &gt; 0.5, "C", AL9 &gt; 0.25, "D", AL9 &gt; 0, "E", TRUE, "-")</f>
      </c>
      <c r="AP9" s="32">
        <v>10</v>
      </c>
      <c r="AQ9" s="32">
        <v>10</v>
      </c>
      <c r="AR9" s="32">
        <v>10</v>
      </c>
      <c r="AS9" s="29"/>
      <c r="AT9" s="29"/>
      <c r="AU9" s="32"/>
      <c r="AV9" s="32">
        <f>IF(SUM(AJ9:AL9)=0, 0, (1 + F9 * 0.1) * (0.75 + 0.25 * MAX(0, MIN(1, IF(MAX(AJ9:AL9)=0, 0, (3*MAX(AJ9:AL9)-SUM(AJ9:AL9)) / (2*MAX(AJ9:AL9)))))))</f>
      </c>
      <c r="AW9" s="33">
        <f>MAX(AJ9:AL9)</f>
      </c>
      <c r="AX9" s="37">
        <f>IF(AW9=0, "", AW9 / ((1 + 0.1*N(F9))))</f>
      </c>
      <c r="AY9" s="32">
        <f>IF(SUM(AJ9:AL9)=0, 0,     (1 + F9 * 0.1) * (1 + ((SUM(AJ9:AL9) - MAX(AJ9:AL9)) / (2 * MAX(AJ9:AL9))) * (1/0.75 - 1)))</f>
      </c>
      <c r="AZ9" s="33">
        <f>AJ9+AK9+AL9</f>
      </c>
      <c r="BA9" s="37">
        <f>IF(AZ9=0, "", AZ9 / ((1 + 0.1*N(F9))/0.75))</f>
      </c>
      <c r="BB9" s="32">
        <v>0.1</v>
      </c>
      <c r="BC9" s="11"/>
      <c r="BD9" s="27">
        <v>3</v>
      </c>
      <c r="BE9" s="27">
        <v>2</v>
      </c>
      <c r="BF9" s="43">
        <v>3</v>
      </c>
      <c r="BG9" s="32">
        <f>T9*20*(16 * BF9) / (15 + 20 * BF9 - 3 * POWER(BF9, 2))/BT9/BS9</f>
      </c>
      <c r="BH9" s="33">
        <f>BG9</f>
      </c>
      <c r="BI9" s="45"/>
      <c r="BJ9" s="47">
        <v>4</v>
      </c>
      <c r="BK9" s="30">
        <f>T9*33*(16 * BJ9) / (15 + 20 * BJ9 - 3 * POWER(BJ9, 2))/BT9/BS9</f>
      </c>
      <c r="BL9" s="33">
        <f>BK9</f>
      </c>
      <c r="BM9" s="34"/>
      <c r="BN9" s="27" t="str">
        <v>N/A</v>
      </c>
      <c r="BO9" s="27" t="str">
        <v>N/A</v>
      </c>
      <c r="BP9" s="38">
        <v>0</v>
      </c>
      <c r="BQ9" s="39">
        <v>0</v>
      </c>
      <c r="BR9" s="32">
        <f>IFERROR(BQ9*100/CP9,"N/A")</f>
      </c>
      <c r="BS9" s="27">
        <v>1</v>
      </c>
      <c r="BT9" s="27">
        <v>1</v>
      </c>
      <c r="BU9" s="42"/>
      <c r="BV9" s="44">
        <f>CP9/1.5</f>
      </c>
      <c r="BW9" s="44">
        <f>ROUND(BV9)</f>
      </c>
      <c r="BX9" s="32">
        <f>CP9/BW9</f>
      </c>
      <c r="BY9" s="35">
        <f>BW9/T9</f>
      </c>
      <c r="BZ9" s="11"/>
      <c r="CA9" s="31">
        <v>10</v>
      </c>
      <c r="CB9" s="32">
        <f>CA9*BB9*(AP9*AJ9+AQ9*AK9+AR9*AL9)</f>
      </c>
      <c r="CC9" s="32">
        <f>CA9+CB9</f>
      </c>
      <c r="CD9" s="32">
        <f>T9 * 2 / BS9 / BT9 * (0.9 + 0.2 * IF(G9="近战", EXP(-64 * (T9 - 0.75)^2), EXP(-400 * (T9 - 0.15)^2)))</f>
      </c>
      <c r="CE9" s="32">
        <f>0.9 + 0.2 / (1 + (N9/600)^1)</f>
      </c>
      <c r="CF9" s="32">
        <f>LET(  k, K9,  be, BS9,  bf, BT9,  m, N9,  n, O9,  v, X9,  vEff, IF(ISNUMBER(v), v, 0),  angle,    IF(      ISNUMBER(n),        IF(n&gt;0, n,           IF(ISNUMBER(v),              IF(v&gt;0, v, 0),              0           )        ),      IF(ISNUMBER(v),         IF(v&gt;0, v, 0),         0      )    ),  T,    IF(k=1,       be * bf * 20 / MAX(vEff, 1),    IF(k=2,       (m/150)^2 * (angle/120),    IF(k=3,       be * (MIN(bf, 99)/99) * (m/1000),       be * bf * (m/1000) * (n/200)^2    ))),  b, 0.8,  c, 1.2,  r, (c-1)/(1-b),  k_s, 1,  b + (c-b) / (1 + r * EXP(-k_s*(1-T))))</f>
      </c>
      <c r="CG9" s="32">
        <f>IF(T9&lt;=0,1,   (0.9 + 0.2 / (1 + EXP(-0.8 * (5 - BD9)))) * (0.9 + 0.2 / (1 + EXP(-1 * (3.5 - BE9)))) * (0.9 + 0.2 / (1 + EXP(-0.6 * (20 - BS9*BH9/T9)))))</f>
      </c>
      <c r="CH9" s="32">
        <f>IF(T9&lt;=0, 1, 0.9 + 0.2 / (1 + EXP(0.1 * (BL9*BS9*BT9/T9 - 33))))</f>
      </c>
      <c r="CI9" s="32">
        <f>LET(    x_val, W9,    bq_val, BS9,    Check_Fail, OR(NOT(ISNUMBER(x_val)), bq_val &lt;= 1),        IF(Check_Fail, 1,        LET(            Ratio, x_val / bq_val,                        calc_A, 2.2 / (1 + EXP(-0.276 * (Ratio - 0.66))),            calc_B, 2.2 / (1 + EXP(-0.0138 * (x_val - 13.2))),                        calc_A + calc_B        )    ))</f>
      </c>
      <c r="CJ9" s="33">
        <f>CD9*CE9*CF9*CG9*CH9*CI9</f>
      </c>
      <c r="CK9" s="33">
        <f>CJ9</f>
      </c>
      <c r="CL9" s="32">
        <f>T9 * 2 / BS9 / BT9</f>
      </c>
      <c r="CM9" s="37">
        <f>CK9/CL9</f>
      </c>
      <c r="CN9" s="32">
        <f>CK9*CC9</f>
      </c>
      <c r="CO9" s="42"/>
      <c r="CP9" s="48">
        <f>CN9*BS9*BT9</f>
      </c>
      <c r="CQ9" s="32">
        <f>CP9/T9</f>
      </c>
      <c r="CR9" s="32">
        <f>100/CP9</f>
      </c>
      <c r="CS9" s="35">
        <f>100/CQ9</f>
      </c>
      <c r="CT9" s="32"/>
      <c r="CU9" s="32"/>
      <c r="CV9" s="35">
        <f>BL9/T9</f>
      </c>
      <c r="CW9" s="35">
        <f>100/CV9</f>
      </c>
      <c r="CX9" s="40"/>
      <c r="CY9" s="41" t="str">
        <v>在低阶雇佣兵圈广泛流通的近战武器。
采用热能刀身设计，可以应对多种作战需求。
黑市上流通的多种版本蓝图使其稳定性堪忧，
各大企业均未将其纳入制式装备序列。</v>
      </c>
      <c r="CZ9" s="40"/>
      <c r="DA9" s="41">
        <f>TEXTJOIN("、", TRUE, FILTER('武器技能'!B:B, '武器技能'!E:E = H9))</f>
      </c>
      <c r="DB9" s="40"/>
      <c r="DC9" s="27" t="str">
        <v>完成</v>
      </c>
      <c r="DD9" s="27" t="str">
        <v>完成</v>
      </c>
    </row>
    <row customHeight="true" ht="19" r="10">
      <c r="A10" s="90" t="str">
        <v>AsFire</v>
      </c>
      <c r="B10" s="90" t="str">
        <v>若火</v>
      </c>
      <c r="C10" s="90"/>
      <c r="D10" s="90">
        <f>IF($A10="","","WPN"&amp;VLOOKUP(E10,'引用数据库'!Z:AC,4,FALSE)&amp;VLOOKUP(H10,'引用数据库'!N:P,3,FALSE)&amp;VLOOKUP(I10,'引用数据库'!S:U,3,FALSE)&amp;TEXT(F10,"00"))</f>
      </c>
      <c r="E10" s="90" t="str">
        <v>野望</v>
      </c>
      <c r="F10" s="91">
        <v>1</v>
      </c>
      <c r="G10" s="90">
        <f>G9</f>
      </c>
      <c r="H10" s="90" t="str">
        <v>武士刀</v>
      </c>
      <c r="I10" s="90" t="str">
        <v>热能</v>
      </c>
      <c r="J10" s="90" t="str">
        <v>手动</v>
      </c>
      <c r="K10" s="90">
        <f>K9</f>
      </c>
      <c r="L10" s="42"/>
      <c r="M10" s="98">
        <f>M9</f>
      </c>
      <c r="N10" s="91">
        <v>170</v>
      </c>
      <c r="O10" s="91">
        <v>120</v>
      </c>
      <c r="P10" s="91">
        <f>P9</f>
      </c>
      <c r="Q10" s="91">
        <f>Q9</f>
      </c>
      <c r="R10" s="91">
        <f>R9</f>
      </c>
      <c r="S10" s="91">
        <v>0</v>
      </c>
      <c r="T10" s="91">
        <f>SUM(P10:S10)</f>
      </c>
      <c r="U10" s="88">
        <f>2*T10/(15*(1+(5-BD10)*0.1))</f>
      </c>
      <c r="V10" s="11"/>
      <c r="W10" s="91" t="str">
        <v>N/A</v>
      </c>
      <c r="X10" s="91" t="str">
        <v>N/A</v>
      </c>
      <c r="Y10" s="91" t="str">
        <v>N/A</v>
      </c>
      <c r="Z10" s="91" t="str">
        <v>N/A</v>
      </c>
      <c r="AA10" s="95"/>
      <c r="AB10" s="95"/>
      <c r="AC10" s="95"/>
      <c r="AD10" s="95" t="str">
        <v>N/A</v>
      </c>
      <c r="AE10" s="95" t="str">
        <v>N/A</v>
      </c>
      <c r="AF10" s="11"/>
      <c r="AG10" s="91"/>
      <c r="AH10" s="91"/>
      <c r="AI10" s="11"/>
      <c r="AJ10" s="87">
        <f>AJ9</f>
      </c>
      <c r="AK10" s="87">
        <v>0.92</v>
      </c>
      <c r="AL10" s="87">
        <v>0.1</v>
      </c>
      <c r="AM10" s="88">
        <f>IFS(AJ10 &gt; 1.25, "S", AJ10 &gt; 1, "A", AJ10 &gt; 0.75, "B", AJ10 &gt; 0.5, "C", AJ10 &gt; 0.25, "D", AJ10 &gt; 0, "E", TRUE, "-")</f>
      </c>
      <c r="AN10" s="88">
        <f>IFS(AK10 &gt; 1.25, "S", AK10 &gt; 1, "A", AK10 &gt; 0.75, "B", AK10 &gt; 0.5, "C", AK10 &gt; 0.25, "D", AK10 &gt; 0, "E", TRUE, "-")</f>
      </c>
      <c r="AO10" s="88">
        <f>IFS(AL10 &gt; 1.25, "S", AL10 &gt; 1, "A", AL10 &gt; 0.75, "B", AL10 &gt; 0.5, "C", AL10 &gt; 0.25, "D", AL10 &gt; 0, "E", TRUE, "-")</f>
      </c>
      <c r="AP10" s="88">
        <v>10</v>
      </c>
      <c r="AQ10" s="88">
        <v>10</v>
      </c>
      <c r="AR10" s="88">
        <v>10</v>
      </c>
      <c r="AS10" s="115"/>
      <c r="AT10" s="115"/>
      <c r="AU10" s="88"/>
      <c r="AV10" s="88">
        <f>IF(SUM(AJ10:AL10)=0, 0, (1 + F10 * 0.1) * (0.75 + 0.25 * MAX(0, MIN(1, IF(MAX(AJ10:AL10)=0, 0, (3*MAX(AJ10:AL10)-SUM(AJ10:AL10)) / (2*MAX(AJ10:AL10)))))))</f>
      </c>
      <c r="AW10" s="87">
        <f>MAX(AJ10:AL10)</f>
      </c>
      <c r="AX10" s="92">
        <f>IF(AW10=0, "", AW10 / ((1 + 0.1*N(F10))))</f>
      </c>
      <c r="AY10" s="88">
        <f>IF(SUM(AJ10:AL10)=0, 0,     (1 + F10 * 0.1) * (1 + ((SUM(AJ10:AL10) - MAX(AJ10:AL10)) / (2 * MAX(AJ10:AL10))) * (1/0.75 - 1)))</f>
      </c>
      <c r="AZ10" s="87">
        <f>AJ10+AK10+AL10</f>
      </c>
      <c r="BA10" s="92">
        <f>IF(AZ10=0, "", AZ10 / ((1 + 0.1*N(F10))/0.75))</f>
      </c>
      <c r="BB10" s="88">
        <v>0.1</v>
      </c>
      <c r="BC10" s="11"/>
      <c r="BD10" s="91">
        <f>BD9</f>
      </c>
      <c r="BE10" s="91">
        <f>BE9</f>
      </c>
      <c r="BF10" s="93"/>
      <c r="BG10" s="88"/>
      <c r="BH10" s="87">
        <f>BH9</f>
      </c>
      <c r="BI10" s="45"/>
      <c r="BJ10" s="99"/>
      <c r="BK10" s="101"/>
      <c r="BL10" s="87">
        <f>BL9</f>
      </c>
      <c r="BM10" s="34"/>
      <c r="BN10" s="91" t="str">
        <v>N/A</v>
      </c>
      <c r="BO10" s="91" t="str">
        <v>N/A</v>
      </c>
      <c r="BP10" s="38"/>
      <c r="BQ10" s="88">
        <f>BQ9</f>
      </c>
      <c r="BR10" s="88">
        <f>IFERROR(BQ10*100/CP10,"N/A")</f>
      </c>
      <c r="BS10" s="91">
        <v>1</v>
      </c>
      <c r="BT10" s="91">
        <v>1</v>
      </c>
      <c r="BU10" s="42"/>
      <c r="BV10" s="78"/>
      <c r="BW10" s="94">
        <f>BW9</f>
      </c>
      <c r="BX10" s="38">
        <f>CP10/BW10</f>
      </c>
      <c r="BY10" s="96">
        <f>BW10/T10</f>
      </c>
      <c r="BZ10" s="11"/>
      <c r="CA10" s="100">
        <f>CA9+20</f>
      </c>
      <c r="CB10" s="88">
        <f>CA10*BB10*(AP10*AJ10+AQ10*AK10+AR10*AL10)</f>
      </c>
      <c r="CC10" s="88">
        <f>CA10+CB10</f>
      </c>
      <c r="CD10" s="88"/>
      <c r="CE10" s="88"/>
      <c r="CF10" s="88"/>
      <c r="CG10" s="88"/>
      <c r="CH10" s="88"/>
      <c r="CI10" s="88"/>
      <c r="CJ10" s="87"/>
      <c r="CK10" s="87">
        <f>CK9</f>
      </c>
      <c r="CL10" s="87"/>
      <c r="CM10" s="88"/>
      <c r="CN10" s="88">
        <f>CK10*CC10</f>
      </c>
      <c r="CO10" s="42"/>
      <c r="CP10" s="97">
        <f>CN10*BS10*BT10</f>
      </c>
      <c r="CQ10" s="88">
        <f>CP10/T10</f>
      </c>
      <c r="CR10" s="88">
        <f>100/CP10</f>
      </c>
      <c r="CS10" s="89">
        <f>100/CQ10</f>
      </c>
      <c r="CT10" s="88">
        <f>CQ10-CQ9</f>
      </c>
      <c r="CU10" s="98">
        <f>(CQ10-CQ9)/CQ9</f>
      </c>
      <c r="CV10" s="89">
        <f>BL10/T10</f>
      </c>
      <c r="CW10" s="89">
        <f>100/CV10</f>
      </c>
      <c r="CX10" s="40"/>
      <c r="CY10" s="41"/>
      <c r="CZ10" s="40"/>
      <c r="DA10" s="41"/>
      <c r="DB10" s="40"/>
      <c r="DC10" s="91" t="str">
        <v>完成</v>
      </c>
      <c r="DD10" s="91" t="str">
        <v>完成</v>
      </c>
    </row>
    <row customHeight="true" ht="19" r="11">
      <c r="A11" s="71" t="str">
        <v>AsFire</v>
      </c>
      <c r="B11" s="75" t="str">
        <v>若火</v>
      </c>
      <c r="C11" s="71"/>
      <c r="D11" s="71">
        <f>IF($A11="","","WPN"&amp;VLOOKUP(E11,'引用数据库'!Z:AC,4,FALSE)&amp;VLOOKUP(H11,'引用数据库'!N:P,3,FALSE)&amp;VLOOKUP(I11,'引用数据库'!S:U,3,FALSE)&amp;TEXT(F11,"00"))</f>
      </c>
      <c r="E11" s="75" t="str">
        <v>野望</v>
      </c>
      <c r="F11" s="110">
        <v>2</v>
      </c>
      <c r="G11" s="71">
        <f>G10</f>
      </c>
      <c r="H11" s="36" t="str">
        <v>武士刀</v>
      </c>
      <c r="I11" s="36" t="str">
        <v>热能</v>
      </c>
      <c r="J11" s="71" t="str">
        <v>手动</v>
      </c>
      <c r="K11" s="71">
        <f>K10</f>
      </c>
      <c r="L11" s="42"/>
      <c r="M11" s="65">
        <f>M10</f>
      </c>
      <c r="N11" s="72">
        <v>170</v>
      </c>
      <c r="O11" s="72">
        <v>120</v>
      </c>
      <c r="P11" s="72">
        <f>P10</f>
      </c>
      <c r="Q11" s="72">
        <f>Q10</f>
      </c>
      <c r="R11" s="72">
        <f>R10</f>
      </c>
      <c r="S11" s="72">
        <v>0</v>
      </c>
      <c r="T11" s="72">
        <f>SUM(P11:S11)</f>
      </c>
      <c r="U11" s="39">
        <f>2*T11/(15*(1+(5-BD11)*0.1))</f>
      </c>
      <c r="V11" s="11"/>
      <c r="W11" s="72" t="str">
        <v>N/A</v>
      </c>
      <c r="X11" s="72" t="str">
        <v>N/A</v>
      </c>
      <c r="Y11" s="72" t="str">
        <v>N/A</v>
      </c>
      <c r="Z11" s="72" t="str">
        <v>N/A</v>
      </c>
      <c r="AA11" s="102"/>
      <c r="AB11" s="102"/>
      <c r="AC11" s="102"/>
      <c r="AD11" s="102" t="str">
        <v>N/A</v>
      </c>
      <c r="AE11" s="102" t="str">
        <v>N/A</v>
      </c>
      <c r="AF11" s="11"/>
      <c r="AG11" s="72"/>
      <c r="AH11" s="72"/>
      <c r="AI11" s="11"/>
      <c r="AJ11" s="108">
        <f>AJ10</f>
      </c>
      <c r="AK11" s="108">
        <f>AK10+0.1</f>
      </c>
      <c r="AL11" s="108">
        <v>0.1</v>
      </c>
      <c r="AM11" s="105">
        <f>IFS(AJ11 &gt; 1.25, "S", AJ11 &gt; 1, "A", AJ11 &gt; 0.75, "B", AJ11 &gt; 0.5, "C", AJ11 &gt; 0.25, "D", AJ11 &gt; 0, "E", TRUE, "-")</f>
      </c>
      <c r="AN11" s="105">
        <f>IFS(AK11 &gt; 1.25, "S", AK11 &gt; 1, "A", AK11 &gt; 0.75, "B", AK11 &gt; 0.5, "C", AK11 &gt; 0.25, "D", AK11 &gt; 0, "E", TRUE, "-")</f>
      </c>
      <c r="AO11" s="105">
        <f>IFS(AL11 &gt; 1.25, "S", AL11 &gt; 1, "A", AL11 &gt; 0.75, "B", AL11 &gt; 0.5, "C", AL11 &gt; 0.25, "D", AL11 &gt; 0, "E", TRUE, "-")</f>
      </c>
      <c r="AP11" s="68">
        <v>10</v>
      </c>
      <c r="AQ11" s="68">
        <v>10</v>
      </c>
      <c r="AR11" s="68">
        <v>10</v>
      </c>
      <c r="AS11" s="55"/>
      <c r="AT11" s="55"/>
      <c r="AU11" s="105"/>
      <c r="AV11" s="68">
        <f>IF(SUM(AJ11:AL11)=0, 0, (1 + F11 * 0.1) * (0.75 + 0.25 * MAX(0, MIN(1, IF(MAX(AJ11:AL11)=0, 0, (3*MAX(AJ11:AL11)-SUM(AJ11:AL11)) / (2*MAX(AJ11:AL11)))))))</f>
      </c>
      <c r="AW11" s="111">
        <f>MAX(AJ11:AL11)</f>
      </c>
      <c r="AX11" s="109">
        <f>IF(AW11=0, "", AW11 / ((1 + 0.1*N(F11))))</f>
      </c>
      <c r="AY11" s="68">
        <f>IF(SUM(AJ11:AL11)=0, 0,     (1 + F11 * 0.1) * (1 + ((SUM(AJ11:AL11) - MAX(AJ11:AL11)) / (2 * MAX(AJ11:AL11))) * (1/0.75 - 1)))</f>
      </c>
      <c r="AZ11" s="111">
        <f>AJ11+AK11+AL11</f>
      </c>
      <c r="BA11" s="109">
        <f>IF(AZ11=0, "", AZ11 / ((1 + 0.1*N(F11))/0.75))</f>
      </c>
      <c r="BB11" s="39">
        <v>0.1</v>
      </c>
      <c r="BC11" s="11"/>
      <c r="BD11" s="72">
        <f>BD10</f>
      </c>
      <c r="BE11" s="72">
        <f>BE10</f>
      </c>
      <c r="BF11" s="74"/>
      <c r="BG11" s="38"/>
      <c r="BH11" s="103">
        <f>BH10</f>
      </c>
      <c r="BI11" s="45"/>
      <c r="BJ11" s="63"/>
      <c r="BK11" s="49"/>
      <c r="BL11" s="56">
        <f>BL10</f>
      </c>
      <c r="BM11" s="34"/>
      <c r="BN11" s="110" t="str">
        <v>N/A</v>
      </c>
      <c r="BO11" s="72" t="str">
        <v>N/A</v>
      </c>
      <c r="BP11" s="38"/>
      <c r="BQ11" s="39">
        <f>BQ10</f>
      </c>
      <c r="BR11" s="38">
        <f>IFERROR(BQ11*100/CP11,"N/A")</f>
      </c>
      <c r="BS11" s="107">
        <v>1</v>
      </c>
      <c r="BT11" s="72">
        <v>1</v>
      </c>
      <c r="BU11" s="42"/>
      <c r="BV11" s="78"/>
      <c r="BW11" s="104">
        <f>BW10</f>
      </c>
      <c r="BX11" s="38">
        <f>CP11/BW11</f>
      </c>
      <c r="BY11" s="96">
        <f>BW11/T11</f>
      </c>
      <c r="BZ11" s="11"/>
      <c r="CA11" s="113">
        <f>CA10+10</f>
      </c>
      <c r="CB11" s="39">
        <f>CA11*BB11*(AP11*AJ11+AQ11*AK11+AR11*AL11)</f>
      </c>
      <c r="CC11" s="39">
        <f>CA11+CB11</f>
      </c>
      <c r="CD11" s="38"/>
      <c r="CE11" s="38"/>
      <c r="CF11" s="38"/>
      <c r="CG11" s="38"/>
      <c r="CH11" s="38"/>
      <c r="CI11" s="38"/>
      <c r="CJ11" s="106"/>
      <c r="CK11" s="103">
        <f>CK10</f>
      </c>
      <c r="CL11" s="106"/>
      <c r="CM11" s="38"/>
      <c r="CN11" s="105">
        <f>CK11*CC11</f>
      </c>
      <c r="CO11" s="42"/>
      <c r="CP11" s="70">
        <f>CN11*BS11*BT11</f>
      </c>
      <c r="CQ11" s="38">
        <f>CP11/T11</f>
      </c>
      <c r="CR11" s="38">
        <f>100/CP11</f>
      </c>
      <c r="CS11" s="96">
        <f>100/CQ11</f>
      </c>
      <c r="CT11" s="38">
        <f>CQ11-CQ10</f>
      </c>
      <c r="CU11" s="112">
        <f>(CQ11-CQ10)/CQ10</f>
      </c>
      <c r="CV11" s="96">
        <f>BL11/T11</f>
      </c>
      <c r="CW11" s="96">
        <f>100/CV11</f>
      </c>
      <c r="CX11" s="40"/>
      <c r="CY11" s="41"/>
      <c r="CZ11" s="40"/>
      <c r="DA11" s="41"/>
      <c r="DB11" s="40"/>
      <c r="DC11" s="11" t="str">
        <v>完成</v>
      </c>
      <c r="DD11" s="1" t="str">
        <v>完成</v>
      </c>
    </row>
    <row customHeight="true" ht="19" r="12">
      <c r="A12" s="71" t="str">
        <v>AsFire</v>
      </c>
      <c r="B12" s="75" t="str">
        <v>若火</v>
      </c>
      <c r="C12" s="71"/>
      <c r="D12" s="71">
        <f>IF($A12="","","WPN"&amp;VLOOKUP(E12,'引用数据库'!Z:AC,4,FALSE)&amp;VLOOKUP(H12,'引用数据库'!N:P,3,FALSE)&amp;VLOOKUP(I12,'引用数据库'!S:U,3,FALSE)&amp;TEXT(F12,"00"))</f>
      </c>
      <c r="E12" s="75" t="str">
        <v>野望</v>
      </c>
      <c r="F12" s="110">
        <v>3</v>
      </c>
      <c r="G12" s="71">
        <f>G11</f>
      </c>
      <c r="H12" s="36" t="str">
        <v>武士刀</v>
      </c>
      <c r="I12" s="36" t="str">
        <v>热能</v>
      </c>
      <c r="J12" s="71" t="str">
        <v>手动</v>
      </c>
      <c r="K12" s="71">
        <f>K11</f>
      </c>
      <c r="L12" s="42"/>
      <c r="M12" s="65">
        <f>M11</f>
      </c>
      <c r="N12" s="72">
        <v>170</v>
      </c>
      <c r="O12" s="72">
        <v>120</v>
      </c>
      <c r="P12" s="72">
        <f>P11</f>
      </c>
      <c r="Q12" s="72">
        <f>Q11</f>
      </c>
      <c r="R12" s="72">
        <f>R11</f>
      </c>
      <c r="S12" s="72">
        <v>0</v>
      </c>
      <c r="T12" s="72">
        <f>SUM(P12:S12)</f>
      </c>
      <c r="U12" s="39">
        <f>2*T12/(15*(1+(5-BD12)*0.1))</f>
      </c>
      <c r="V12" s="11"/>
      <c r="W12" s="72" t="str">
        <v>N/A</v>
      </c>
      <c r="X12" s="72" t="str">
        <v>N/A</v>
      </c>
      <c r="Y12" s="72" t="str">
        <v>N/A</v>
      </c>
      <c r="Z12" s="72" t="str">
        <v>N/A</v>
      </c>
      <c r="AA12" s="102"/>
      <c r="AB12" s="102"/>
      <c r="AC12" s="102"/>
      <c r="AD12" s="102" t="str">
        <v>N/A</v>
      </c>
      <c r="AE12" s="102" t="str">
        <v>N/A</v>
      </c>
      <c r="AF12" s="11"/>
      <c r="AG12" s="72"/>
      <c r="AH12" s="72"/>
      <c r="AI12" s="11"/>
      <c r="AJ12" s="108">
        <f>AJ11</f>
      </c>
      <c r="AK12" s="108">
        <f>AK11+0.1</f>
      </c>
      <c r="AL12" s="108">
        <v>0.1</v>
      </c>
      <c r="AM12" s="105">
        <f>IFS(AJ12 &gt; 1.25, "S", AJ12 &gt; 1, "A", AJ12 &gt; 0.75, "B", AJ12 &gt; 0.5, "C", AJ12 &gt; 0.25, "D", AJ12 &gt; 0, "E", TRUE, "-")</f>
      </c>
      <c r="AN12" s="105">
        <f>IFS(AK12 &gt; 1.25, "S", AK12 &gt; 1, "A", AK12 &gt; 0.75, "B", AK12 &gt; 0.5, "C", AK12 &gt; 0.25, "D", AK12 &gt; 0, "E", TRUE, "-")</f>
      </c>
      <c r="AO12" s="105">
        <f>IFS(AL12 &gt; 1.25, "S", AL12 &gt; 1, "A", AL12 &gt; 0.75, "B", AL12 &gt; 0.5, "C", AL12 &gt; 0.25, "D", AL12 &gt; 0, "E", TRUE, "-")</f>
      </c>
      <c r="AP12" s="68">
        <v>10</v>
      </c>
      <c r="AQ12" s="68">
        <v>10</v>
      </c>
      <c r="AR12" s="68">
        <v>10</v>
      </c>
      <c r="AS12" s="105"/>
      <c r="AT12" s="105"/>
      <c r="AU12" s="105"/>
      <c r="AV12" s="68">
        <f>IF(SUM(AJ12:AL12)=0, 0, (1 + F12 * 0.1) * (0.75 + 0.25 * MAX(0, MIN(1, IF(MAX(AJ12:AL12)=0, 0, (3*MAX(AJ12:AL12)-SUM(AJ12:AL12)) / (2*MAX(AJ12:AL12)))))))</f>
      </c>
      <c r="AW12" s="111">
        <f>MAX(AJ12:AL12)</f>
      </c>
      <c r="AX12" s="109">
        <f>IF(AW12=0, "", AW12 / ((1 + 0.1*N(F12))))</f>
      </c>
      <c r="AY12" s="68">
        <f>IF(SUM(AJ12:AL12)=0, 0,     (1 + F12 * 0.1) * (1 + ((SUM(AJ12:AL12) - MAX(AJ12:AL12)) / (2 * MAX(AJ12:AL12))) * (1/0.75 - 1)))</f>
      </c>
      <c r="AZ12" s="111">
        <f>AJ12+AK12+AL12</f>
      </c>
      <c r="BA12" s="109">
        <f>IF(AZ12=0, "", AZ12 / ((1 + 0.1*N(F12))/0.75))</f>
      </c>
      <c r="BB12" s="39">
        <v>0.1</v>
      </c>
      <c r="BC12" s="11"/>
      <c r="BD12" s="72">
        <f>BD11</f>
      </c>
      <c r="BE12" s="72">
        <f>BE11</f>
      </c>
      <c r="BF12" s="74"/>
      <c r="BG12" s="38"/>
      <c r="BH12" s="103">
        <f>BH11</f>
      </c>
      <c r="BI12" s="45"/>
      <c r="BJ12" s="63"/>
      <c r="BK12" s="49"/>
      <c r="BL12" s="56">
        <f>BL11</f>
      </c>
      <c r="BM12" s="34"/>
      <c r="BN12" s="110" t="str">
        <v>N/A</v>
      </c>
      <c r="BO12" s="72" t="str">
        <v>N/A</v>
      </c>
      <c r="BP12" s="38"/>
      <c r="BQ12" s="39">
        <f>BQ11</f>
      </c>
      <c r="BR12" s="38">
        <f>IFERROR(BQ12*100/CP12,"N/A")</f>
      </c>
      <c r="BS12" s="107">
        <v>1</v>
      </c>
      <c r="BT12" s="72">
        <v>1</v>
      </c>
      <c r="BU12" s="42"/>
      <c r="BV12" s="78"/>
      <c r="BW12" s="104">
        <f>BW11</f>
      </c>
      <c r="BX12" s="38">
        <f>CP12/BW12</f>
      </c>
      <c r="BY12" s="96">
        <f>BW12/T12</f>
      </c>
      <c r="BZ12" s="11"/>
      <c r="CA12" s="113">
        <f>CA11+10</f>
      </c>
      <c r="CB12" s="39">
        <f>CA12*BB12*(AP12*AJ12+AQ12*AK12+AR12*AL12)</f>
      </c>
      <c r="CC12" s="39">
        <f>CA12+CB12</f>
      </c>
      <c r="CD12" s="38"/>
      <c r="CE12" s="38"/>
      <c r="CF12" s="38"/>
      <c r="CG12" s="38"/>
      <c r="CH12" s="38"/>
      <c r="CI12" s="38"/>
      <c r="CJ12" s="106"/>
      <c r="CK12" s="103">
        <f>CK11</f>
      </c>
      <c r="CL12" s="106"/>
      <c r="CM12" s="38"/>
      <c r="CN12" s="105">
        <f>CK12*CC12</f>
      </c>
      <c r="CO12" s="42"/>
      <c r="CP12" s="70">
        <f>CN12*BS12*BT12</f>
      </c>
      <c r="CQ12" s="38">
        <f>CP12/T12</f>
      </c>
      <c r="CR12" s="38">
        <f>100/CP12</f>
      </c>
      <c r="CS12" s="96">
        <f>100/CQ12</f>
      </c>
      <c r="CT12" s="38">
        <f>CQ12-CQ11</f>
      </c>
      <c r="CU12" s="112">
        <f>(CQ12-CQ11)/CQ11</f>
      </c>
      <c r="CV12" s="96">
        <f>BL12/T12</f>
      </c>
      <c r="CW12" s="96">
        <f>100/CV12</f>
      </c>
      <c r="CX12" s="40"/>
      <c r="CY12" s="41"/>
      <c r="CZ12" s="40"/>
      <c r="DA12" s="41"/>
      <c r="DB12" s="40"/>
      <c r="DC12" s="11" t="str">
        <v>完成</v>
      </c>
      <c r="DD12" s="1" t="str">
        <v>完成</v>
      </c>
    </row>
    <row customHeight="true" ht="19" r="13">
      <c r="A13" s="71" t="str">
        <v>AsFire</v>
      </c>
      <c r="B13" s="75" t="str">
        <v>若火</v>
      </c>
      <c r="C13" s="71"/>
      <c r="D13" s="71">
        <f>IF($A13="","","WPN"&amp;VLOOKUP(E13,'引用数据库'!Z:AC,4,FALSE)&amp;VLOOKUP(H13,'引用数据库'!N:P,3,FALSE)&amp;VLOOKUP(I13,'引用数据库'!S:U,3,FALSE)&amp;TEXT(F13,"00"))</f>
      </c>
      <c r="E13" s="75" t="str">
        <v>野望</v>
      </c>
      <c r="F13" s="110">
        <v>4</v>
      </c>
      <c r="G13" s="71">
        <f>G12</f>
      </c>
      <c r="H13" s="36" t="str">
        <v>武士刀</v>
      </c>
      <c r="I13" s="36" t="str">
        <v>热能</v>
      </c>
      <c r="J13" s="71" t="str">
        <v>手动</v>
      </c>
      <c r="K13" s="71">
        <f>K12</f>
      </c>
      <c r="L13" s="42"/>
      <c r="M13" s="65">
        <f>M12</f>
      </c>
      <c r="N13" s="72">
        <v>170</v>
      </c>
      <c r="O13" s="72">
        <v>120</v>
      </c>
      <c r="P13" s="72">
        <f>P12</f>
      </c>
      <c r="Q13" s="72">
        <f>Q12</f>
      </c>
      <c r="R13" s="72">
        <f>R12</f>
      </c>
      <c r="S13" s="72">
        <v>0</v>
      </c>
      <c r="T13" s="72">
        <f>SUM(P13:S13)</f>
      </c>
      <c r="U13" s="39">
        <f>2*T13/(15*(1+(5-BD13)*0.1))</f>
      </c>
      <c r="V13" s="11"/>
      <c r="W13" s="72" t="str">
        <v>N/A</v>
      </c>
      <c r="X13" s="72" t="str">
        <v>N/A</v>
      </c>
      <c r="Y13" s="72" t="str">
        <v>N/A</v>
      </c>
      <c r="Z13" s="72" t="str">
        <v>N/A</v>
      </c>
      <c r="AA13" s="102"/>
      <c r="AB13" s="102"/>
      <c r="AC13" s="102"/>
      <c r="AD13" s="102" t="str">
        <v>N/A</v>
      </c>
      <c r="AE13" s="102" t="str">
        <v>N/A</v>
      </c>
      <c r="AF13" s="11"/>
      <c r="AG13" s="72"/>
      <c r="AH13" s="72"/>
      <c r="AI13" s="11"/>
      <c r="AJ13" s="108">
        <f>AJ12</f>
      </c>
      <c r="AK13" s="108">
        <v>1.15</v>
      </c>
      <c r="AL13" s="108">
        <v>0.2</v>
      </c>
      <c r="AM13" s="105">
        <f>IFS(AJ13 &gt; 1.25, "S", AJ13 &gt; 1, "A", AJ13 &gt; 0.75, "B", AJ13 &gt; 0.5, "C", AJ13 &gt; 0.25, "D", AJ13 &gt; 0, "E", TRUE, "-")</f>
      </c>
      <c r="AN13" s="105">
        <f>IFS(AK13 &gt; 1.25, "S", AK13 &gt; 1, "A", AK13 &gt; 0.75, "B", AK13 &gt; 0.5, "C", AK13 &gt; 0.25, "D", AK13 &gt; 0, "E", TRUE, "-")</f>
      </c>
      <c r="AO13" s="105">
        <f>IFS(AL13 &gt; 1.25, "S", AL13 &gt; 1, "A", AL13 &gt; 0.75, "B", AL13 &gt; 0.5, "C", AL13 &gt; 0.25, "D", AL13 &gt; 0, "E", TRUE, "-")</f>
      </c>
      <c r="AP13" s="68">
        <v>10</v>
      </c>
      <c r="AQ13" s="68">
        <v>10</v>
      </c>
      <c r="AR13" s="68">
        <v>10</v>
      </c>
      <c r="AS13" s="105"/>
      <c r="AT13" s="105"/>
      <c r="AU13" s="105"/>
      <c r="AV13" s="68">
        <f>IF(SUM(AJ13:AL13)=0, 0, (1 + F13 * 0.1) * (0.75 + 0.25 * MAX(0, MIN(1, IF(MAX(AJ13:AL13)=0, 0, (3*MAX(AJ13:AL13)-SUM(AJ13:AL13)) / (2*MAX(AJ13:AL13)))))))</f>
      </c>
      <c r="AW13" s="111">
        <f>MAX(AJ13:AL13)</f>
      </c>
      <c r="AX13" s="109">
        <f>IF(AW13=0, "", AW13 / ((1 + 0.1*N(F13))))</f>
      </c>
      <c r="AY13" s="68">
        <f>IF(SUM(AJ13:AL13)=0, 0,     (1 + F13 * 0.1) * (1 + ((SUM(AJ13:AL13) - MAX(AJ13:AL13)) / (2 * MAX(AJ13:AL13))) * (1/0.75 - 1)))</f>
      </c>
      <c r="AZ13" s="111">
        <f>AJ13+AK13+AL13</f>
      </c>
      <c r="BA13" s="109">
        <f>IF(AZ13=0, "", AZ13 / ((1 + 0.1*N(F13))/0.75))</f>
      </c>
      <c r="BB13" s="39">
        <v>0.1</v>
      </c>
      <c r="BC13" s="11"/>
      <c r="BD13" s="72">
        <f>BD12</f>
      </c>
      <c r="BE13" s="72">
        <f>BE12</f>
      </c>
      <c r="BF13" s="74"/>
      <c r="BG13" s="38"/>
      <c r="BH13" s="103">
        <f>BH12</f>
      </c>
      <c r="BI13" s="45"/>
      <c r="BJ13" s="63"/>
      <c r="BK13" s="49"/>
      <c r="BL13" s="56">
        <f>BL12</f>
      </c>
      <c r="BM13" s="34"/>
      <c r="BN13" s="110" t="str">
        <v>N/A</v>
      </c>
      <c r="BO13" s="72" t="str">
        <v>N/A</v>
      </c>
      <c r="BP13" s="38"/>
      <c r="BQ13" s="39">
        <f>BQ12</f>
      </c>
      <c r="BR13" s="38">
        <f>IFERROR(BQ13*100/CP13,"N/A")</f>
      </c>
      <c r="BS13" s="107">
        <v>1</v>
      </c>
      <c r="BT13" s="72">
        <v>1</v>
      </c>
      <c r="BU13" s="42"/>
      <c r="BV13" s="78"/>
      <c r="BW13" s="104">
        <f>BW12</f>
      </c>
      <c r="BX13" s="38">
        <f>CP13/BW13</f>
      </c>
      <c r="BY13" s="96">
        <f>BW13/T13</f>
      </c>
      <c r="BZ13" s="11"/>
      <c r="CA13" s="113">
        <f>CA12+10</f>
      </c>
      <c r="CB13" s="39">
        <f>CA13*BB13*(AP13*AJ13+AQ13*AK13+AR13*AL13)</f>
      </c>
      <c r="CC13" s="39">
        <f>CA13+CB13</f>
      </c>
      <c r="CD13" s="38"/>
      <c r="CE13" s="38"/>
      <c r="CF13" s="38"/>
      <c r="CG13" s="38"/>
      <c r="CH13" s="38"/>
      <c r="CI13" s="38"/>
      <c r="CJ13" s="106"/>
      <c r="CK13" s="103">
        <f>CK12</f>
      </c>
      <c r="CL13" s="106"/>
      <c r="CM13" s="38"/>
      <c r="CN13" s="105">
        <f>CK13*CC13</f>
      </c>
      <c r="CO13" s="42"/>
      <c r="CP13" s="70">
        <f>CN13*BS13*BT13</f>
      </c>
      <c r="CQ13" s="38">
        <f>CP13/T13</f>
      </c>
      <c r="CR13" s="38">
        <f>100/CP13</f>
      </c>
      <c r="CS13" s="96">
        <f>100/CQ13</f>
      </c>
      <c r="CT13" s="38">
        <f>CQ13-CQ12</f>
      </c>
      <c r="CU13" s="112">
        <f>(CQ13-CQ12)/CQ12</f>
      </c>
      <c r="CV13" s="96">
        <f>BL13/T13</f>
      </c>
      <c r="CW13" s="96">
        <f>100/CV13</f>
      </c>
      <c r="CX13" s="40"/>
      <c r="CY13" s="41"/>
      <c r="CZ13" s="40"/>
      <c r="DA13" s="41"/>
      <c r="DB13" s="40"/>
      <c r="DC13" s="11" t="str">
        <v>完成</v>
      </c>
      <c r="DD13" s="1" t="str">
        <v>完成</v>
      </c>
    </row>
    <row customHeight="true" ht="19" r="14">
      <c r="A14" s="71" t="str">
        <v>AsFire</v>
      </c>
      <c r="B14" s="75" t="str">
        <v>若火</v>
      </c>
      <c r="C14" s="71"/>
      <c r="D14" s="71">
        <f>IF($A14="","","WPN"&amp;VLOOKUP(E14,'引用数据库'!Z:AC,4,FALSE)&amp;VLOOKUP(H14,'引用数据库'!N:P,3,FALSE)&amp;VLOOKUP(I14,'引用数据库'!S:U,3,FALSE)&amp;TEXT(F14,"00"))</f>
      </c>
      <c r="E14" s="75" t="str">
        <v>野望</v>
      </c>
      <c r="F14" s="110">
        <v>5</v>
      </c>
      <c r="G14" s="71">
        <f>G13</f>
      </c>
      <c r="H14" s="36" t="str">
        <v>武士刀</v>
      </c>
      <c r="I14" s="36" t="str">
        <v>热能</v>
      </c>
      <c r="J14" s="71" t="str">
        <v>手动</v>
      </c>
      <c r="K14" s="71">
        <f>K13</f>
      </c>
      <c r="L14" s="42"/>
      <c r="M14" s="65">
        <f>M13</f>
      </c>
      <c r="N14" s="72">
        <v>170</v>
      </c>
      <c r="O14" s="72">
        <v>120</v>
      </c>
      <c r="P14" s="72">
        <f>P13</f>
      </c>
      <c r="Q14" s="72">
        <f>Q13</f>
      </c>
      <c r="R14" s="72">
        <f>R13</f>
      </c>
      <c r="S14" s="72">
        <v>0</v>
      </c>
      <c r="T14" s="72">
        <f>SUM(P14:S14)</f>
      </c>
      <c r="U14" s="39">
        <f>2*T14/(15*(1+(5-BD14)*0.1))</f>
      </c>
      <c r="V14" s="11"/>
      <c r="W14" s="72" t="str">
        <v>N/A</v>
      </c>
      <c r="X14" s="72" t="str">
        <v>N/A</v>
      </c>
      <c r="Y14" s="72" t="str">
        <v>N/A</v>
      </c>
      <c r="Z14" s="72" t="str">
        <v>N/A</v>
      </c>
      <c r="AA14" s="102"/>
      <c r="AB14" s="102"/>
      <c r="AC14" s="102"/>
      <c r="AD14" s="102" t="str">
        <v>N/A</v>
      </c>
      <c r="AE14" s="102" t="str">
        <v>N/A</v>
      </c>
      <c r="AF14" s="11"/>
      <c r="AG14" s="72"/>
      <c r="AH14" s="72"/>
      <c r="AI14" s="11"/>
      <c r="AJ14" s="108">
        <v>0.2</v>
      </c>
      <c r="AK14" s="108">
        <v>1.15</v>
      </c>
      <c r="AL14" s="108">
        <v>0.25</v>
      </c>
      <c r="AM14" s="105">
        <f>IFS(AJ14 &gt; 1.25, "S", AJ14 &gt; 1, "A", AJ14 &gt; 0.75, "B", AJ14 &gt; 0.5, "C", AJ14 &gt; 0.25, "D", AJ14 &gt; 0, "E", TRUE, "-")</f>
      </c>
      <c r="AN14" s="105">
        <f>IFS(AK14 &gt; 1.25, "S", AK14 &gt; 1, "A", AK14 &gt; 0.75, "B", AK14 &gt; 0.5, "C", AK14 &gt; 0.25, "D", AK14 &gt; 0, "E", TRUE, "-")</f>
      </c>
      <c r="AO14" s="105">
        <f>IFS(AL14 &gt; 1.25, "S", AL14 &gt; 1, "A", AL14 &gt; 0.75, "B", AL14 &gt; 0.5, "C", AL14 &gt; 0.25, "D", AL14 &gt; 0, "E", TRUE, "-")</f>
      </c>
      <c r="AP14" s="68">
        <v>10</v>
      </c>
      <c r="AQ14" s="68">
        <v>10</v>
      </c>
      <c r="AR14" s="68">
        <v>10</v>
      </c>
      <c r="AS14" s="105"/>
      <c r="AT14" s="105"/>
      <c r="AU14" s="105"/>
      <c r="AV14" s="68">
        <f>IF(SUM(AJ14:AL14)=0, 0, (1 + F14 * 0.1) * (0.75 + 0.25 * MAX(0, MIN(1, IF(MAX(AJ14:AL14)=0, 0, (3*MAX(AJ14:AL14)-SUM(AJ14:AL14)) / (2*MAX(AJ14:AL14)))))))</f>
      </c>
      <c r="AW14" s="111">
        <f>MAX(AJ14:AL14)</f>
      </c>
      <c r="AX14" s="109">
        <f>IF(AW14=0, "", AW14 / ((1 + 0.1*N(F14))))</f>
      </c>
      <c r="AY14" s="68">
        <f>IF(SUM(AJ14:AL14)=0, 0,     (1 + F14 * 0.1) * (1 + ((SUM(AJ14:AL14) - MAX(AJ14:AL14)) / (2 * MAX(AJ14:AL14))) * (1/0.75 - 1)))</f>
      </c>
      <c r="AZ14" s="111">
        <f>AJ14+AK14+AL14</f>
      </c>
      <c r="BA14" s="109">
        <f>IF(AZ14=0, "", AZ14 / ((1 + 0.1*N(F14))/0.75))</f>
      </c>
      <c r="BB14" s="39">
        <v>0.1</v>
      </c>
      <c r="BC14" s="11"/>
      <c r="BD14" s="72">
        <f>BD13</f>
      </c>
      <c r="BE14" s="72">
        <f>BE13</f>
      </c>
      <c r="BF14" s="74"/>
      <c r="BG14" s="38"/>
      <c r="BH14" s="103">
        <f>BH13</f>
      </c>
      <c r="BI14" s="45"/>
      <c r="BJ14" s="63"/>
      <c r="BK14" s="49"/>
      <c r="BL14" s="56">
        <f>BL13</f>
      </c>
      <c r="BM14" s="34"/>
      <c r="BN14" s="110" t="str">
        <v>N/A</v>
      </c>
      <c r="BO14" s="72" t="str">
        <v>N/A</v>
      </c>
      <c r="BP14" s="38"/>
      <c r="BQ14" s="39">
        <f>BQ13</f>
      </c>
      <c r="BR14" s="38">
        <f>IFERROR(BQ14*100/CP14,"N/A")</f>
      </c>
      <c r="BS14" s="107">
        <v>1</v>
      </c>
      <c r="BT14" s="72">
        <v>1</v>
      </c>
      <c r="BU14" s="42"/>
      <c r="BV14" s="78"/>
      <c r="BW14" s="104">
        <f>BW13</f>
      </c>
      <c r="BX14" s="38">
        <f>CP14/BW14</f>
      </c>
      <c r="BY14" s="96">
        <f>BW14/T14</f>
      </c>
      <c r="BZ14" s="11"/>
      <c r="CA14" s="113">
        <f>CA13+10</f>
      </c>
      <c r="CB14" s="39">
        <f>CA14*BB14*(AP14*AJ14+AQ14*AK14+AR14*AL14)</f>
      </c>
      <c r="CC14" s="39">
        <f>CA14+CB14</f>
      </c>
      <c r="CD14" s="38"/>
      <c r="CE14" s="38"/>
      <c r="CF14" s="38"/>
      <c r="CG14" s="38"/>
      <c r="CH14" s="38"/>
      <c r="CI14" s="38"/>
      <c r="CJ14" s="106"/>
      <c r="CK14" s="103">
        <f>CK13</f>
      </c>
      <c r="CL14" s="106"/>
      <c r="CM14" s="38"/>
      <c r="CN14" s="105">
        <f>CK14*CC14</f>
      </c>
      <c r="CO14" s="42"/>
      <c r="CP14" s="70">
        <f>CN14*BS14*BT14</f>
      </c>
      <c r="CQ14" s="38">
        <f>CP14/T14</f>
      </c>
      <c r="CR14" s="38">
        <f>100/CP14</f>
      </c>
      <c r="CS14" s="96">
        <f>100/CQ14</f>
      </c>
      <c r="CT14" s="38">
        <f>CQ14-CQ13</f>
      </c>
      <c r="CU14" s="112">
        <f>(CQ14-CQ13)/CQ13</f>
      </c>
      <c r="CV14" s="96">
        <f>BL14/T14</f>
      </c>
      <c r="CW14" s="96">
        <f>100/CV14</f>
      </c>
      <c r="CX14" s="40"/>
      <c r="CY14" s="41"/>
      <c r="CZ14" s="40"/>
      <c r="DA14" s="41"/>
      <c r="DB14" s="40"/>
      <c r="DC14" s="11" t="str">
        <v>完成</v>
      </c>
      <c r="DD14" s="1" t="str">
        <v>完成</v>
      </c>
    </row>
    <row customHeight="true" ht="19" r="15">
      <c r="A15" s="36" t="str">
        <v>MagneticWrench</v>
      </c>
      <c r="B15" s="36" t="str">
        <v>磁阻扳手</v>
      </c>
      <c r="C15" s="71"/>
      <c r="D15" s="71">
        <f>IF($A15="","","WPN"&amp;VLOOKUP(E15,'引用数据库'!Z:AC,4,FALSE)&amp;VLOOKUP(H15,'引用数据库'!N:P,3,FALSE)&amp;VLOOKUP(I15,'引用数据库'!S:U,3,FALSE)&amp;TEXT(F15,"00"))</f>
      </c>
      <c r="E15" s="36" t="str">
        <v>劳旅</v>
      </c>
      <c r="F15" s="27">
        <v>0</v>
      </c>
      <c r="G15" s="71" t="str">
        <v>近战</v>
      </c>
      <c r="H15" s="36" t="str">
        <v>锤</v>
      </c>
      <c r="I15" s="36" t="str">
        <v>电磁</v>
      </c>
      <c r="J15" s="36" t="str">
        <v>手动</v>
      </c>
      <c r="K15" s="36">
        <v>2</v>
      </c>
      <c r="L15" s="42"/>
      <c r="M15" s="46">
        <v>1</v>
      </c>
      <c r="N15" s="27">
        <v>140</v>
      </c>
      <c r="O15" s="27">
        <v>90</v>
      </c>
      <c r="P15" s="27">
        <v>0.251</v>
      </c>
      <c r="Q15" s="27">
        <v>0.05</v>
      </c>
      <c r="R15" s="27">
        <v>0.299</v>
      </c>
      <c r="S15" s="27">
        <v>0</v>
      </c>
      <c r="T15" s="27">
        <f>SUM(P15:S15)</f>
      </c>
      <c r="U15" s="32">
        <f>2*T15/(15*(1+(5-BD15)*0.1))</f>
      </c>
      <c r="V15" s="11"/>
      <c r="W15" s="27" t="str">
        <v>N/A</v>
      </c>
      <c r="X15" s="27" t="str">
        <v>N/A</v>
      </c>
      <c r="Y15" s="27" t="str">
        <v>N/A</v>
      </c>
      <c r="Z15" s="27" t="str">
        <v>N/A</v>
      </c>
      <c r="AA15" s="28"/>
      <c r="AB15" s="28"/>
      <c r="AC15" s="28"/>
      <c r="AD15" s="28" t="str">
        <v>N/A</v>
      </c>
      <c r="AE15" s="28" t="str">
        <v>N/A</v>
      </c>
      <c r="AF15" s="11"/>
      <c r="AG15" s="27"/>
      <c r="AH15" s="27"/>
      <c r="AI15" s="11"/>
      <c r="AJ15" s="33">
        <v>0.64</v>
      </c>
      <c r="AK15" s="33">
        <v>0.3</v>
      </c>
      <c r="AL15" s="33">
        <v>0.2</v>
      </c>
      <c r="AM15" s="32">
        <f>IFS(AJ15 &gt; 1.25, "S", AJ15 &gt; 1, "A", AJ15 &gt; 0.75, "B", AJ15 &gt; 0.5, "C", AJ15 &gt; 0.25, "D", AJ15 &gt; 0, "E", TRUE, "-")</f>
      </c>
      <c r="AN15" s="32">
        <f>IFS(AK15 &gt; 1.25, "S", AK15 &gt; 1, "A", AK15 &gt; 0.75, "B", AK15 &gt; 0.5, "C", AK15 &gt; 0.25, "D", AK15 &gt; 0, "E", TRUE, "-")</f>
      </c>
      <c r="AO15" s="32">
        <f>IFS(AL15 &gt; 1.25, "S", AL15 &gt; 1, "A", AL15 &gt; 0.75, "B", AL15 &gt; 0.5, "C", AL15 &gt; 0.25, "D", AL15 &gt; 0, "E", TRUE, "-")</f>
      </c>
      <c r="AP15" s="32">
        <v>10</v>
      </c>
      <c r="AQ15" s="32">
        <v>10</v>
      </c>
      <c r="AR15" s="32">
        <v>10</v>
      </c>
      <c r="AS15" s="32"/>
      <c r="AT15" s="32"/>
      <c r="AU15" s="32"/>
      <c r="AV15" s="32">
        <f>IF(SUM(AJ15:AL15)=0, 0, (1 + F15 * 0.1) * (0.75 + 0.25 * MAX(0, MIN(1, IF(MAX(AJ15:AL15)=0, 0, (3*MAX(AJ15:AL15)-SUM(AJ15:AL15)) / (2*MAX(AJ15:AL15)))))))</f>
      </c>
      <c r="AW15" s="33">
        <f>MAX(AJ15:AL15)</f>
      </c>
      <c r="AX15" s="37">
        <f>IF(AW15=0, "", AW15 / ((1 + 0.1*N(F15))))</f>
      </c>
      <c r="AY15" s="32">
        <f>IF(SUM(AJ15:AL15)=0, 0,     (1 + F15 * 0.1) * (1 + ((SUM(AJ15:AL15) - MAX(AJ15:AL15)) / (2 * MAX(AJ15:AL15))) * (1/0.75 - 1)))</f>
      </c>
      <c r="AZ15" s="33">
        <f>AJ15+AK15+AL15</f>
      </c>
      <c r="BA15" s="37">
        <f>IF(AZ15=0, "", AZ15 / ((1 + 0.1*N(F15))/0.75))</f>
      </c>
      <c r="BB15" s="32">
        <v>0.1</v>
      </c>
      <c r="BC15" s="11"/>
      <c r="BD15" s="27">
        <v>2</v>
      </c>
      <c r="BE15" s="27">
        <v>2</v>
      </c>
      <c r="BF15" s="43">
        <v>2</v>
      </c>
      <c r="BG15" s="32">
        <f>T15*20*(16 * BF15) / (15 + 20 * BF15 - 3 * POWER(BF15, 2))/BT15/BS15</f>
      </c>
      <c r="BH15" s="33">
        <f>BG15</f>
      </c>
      <c r="BI15" s="45"/>
      <c r="BJ15" s="47">
        <v>4</v>
      </c>
      <c r="BK15" s="30">
        <f>T15*33*(16 * BJ15) / (15 + 20 * BJ15 - 3 * POWER(BJ15, 2))/BT15/BS15</f>
      </c>
      <c r="BL15" s="33">
        <f>BK15</f>
      </c>
      <c r="BM15" s="34"/>
      <c r="BN15" s="27" t="str">
        <v>N/A</v>
      </c>
      <c r="BO15" s="27" t="str">
        <v>N/A</v>
      </c>
      <c r="BP15" s="38">
        <v>0</v>
      </c>
      <c r="BQ15" s="39">
        <v>0</v>
      </c>
      <c r="BR15" s="32">
        <f>IFERROR(BQ15*100/CP15,"N/A")</f>
      </c>
      <c r="BS15" s="27">
        <v>1</v>
      </c>
      <c r="BT15" s="27">
        <v>1</v>
      </c>
      <c r="BU15" s="42"/>
      <c r="BV15" s="44">
        <f>CP15/1.5</f>
      </c>
      <c r="BW15" s="44">
        <f>ROUND(BV15)</f>
      </c>
      <c r="BX15" s="32">
        <f>CP15/BW15</f>
      </c>
      <c r="BY15" s="35">
        <f>BW15/T15</f>
      </c>
      <c r="BZ15" s="11"/>
      <c r="CA15" s="31">
        <v>10</v>
      </c>
      <c r="CB15" s="32">
        <f>CA15*BB15*(AP15*AJ15+AQ15*AK15+AR15*AL15)</f>
      </c>
      <c r="CC15" s="32">
        <f>CA15+CB15</f>
      </c>
      <c r="CD15" s="32">
        <f>T15 * 2 / BS15 / BT15 * (0.9 + 0.2 * IF(G15="近战", EXP(-64 * (T15 - 0.75)^2), EXP(-400 * (T15 - 0.15)^2)))</f>
      </c>
      <c r="CE15" s="32">
        <f>0.9 + 0.2 / (1 + (N15/600)^1)</f>
      </c>
      <c r="CF15" s="32">
        <f>LET(  k, K15,  be, BS15,  bf, BT15,  m, N15,  n, O15,  v, X15,  vEff, IF(ISNUMBER(v), v, 0),  angle,    IF(      ISNUMBER(n),        IF(n&gt;0, n,           IF(ISNUMBER(v),              IF(v&gt;0, v, 0),              0           )        ),      IF(ISNUMBER(v),         IF(v&gt;0, v, 0),         0      )    ),  T,    IF(k=1,       be * bf * 20 / MAX(vEff, 1),    IF(k=2,       (m/150)^2 * (angle/120),    IF(k=3,       be * (MIN(bf, 99)/99) * (m/1000),       be * bf * (m/1000) * (n/200)^2    ))),  b, 0.8,  c, 1.2,  r, (c-1)/(1-b),  k_s, 1,  b + (c-b) / (1 + r * EXP(-k_s*(1-T))))</f>
      </c>
      <c r="CG15" s="32">
        <f>IF(T15&lt;=0,1,   (0.9 + 0.2 / (1 + EXP(-0.8 * (5 - BD15)))) * (0.9 + 0.2 / (1 + EXP(-1 * (3.5 - BE15)))) * (0.9 + 0.2 / (1 + EXP(-0.6 * (20 - BS15*BH15/T15)))))</f>
      </c>
      <c r="CH15" s="32">
        <f>IF(T15&lt;=0, 1, 0.9 + 0.2 / (1 + EXP(0.1 * (BL15*BS15*BT15/T15 - 33))))</f>
      </c>
      <c r="CI15" s="32">
        <f>LET(    x_val, X15,    bq_val, BS15,    Check_Fail, OR(NOT(ISNUMBER(x_val)), bq_val &lt;= 1),        IF(Check_Fail, 1,        LET(            Ratio, x_val / bq_val,                        calc_A, 2.5 / (1 + EXP(-0.23105 * (Ratio - 3))),            calc_B, 2.5 / (1 + EXP(-0.008664 * (x_val - 20))),                        calc_A + calc_B        )    ))</f>
      </c>
      <c r="CJ15" s="33">
        <f>CD15*CE15*CF15*CG15*CH15*CI15</f>
      </c>
      <c r="CK15" s="33">
        <f>CJ15</f>
      </c>
      <c r="CL15" s="32">
        <f>T15 * 2 / BS15 / BT15</f>
      </c>
      <c r="CM15" s="37">
        <f>CK15/CL15</f>
      </c>
      <c r="CN15" s="32">
        <f>CK15*CC15</f>
      </c>
      <c r="CO15" s="42"/>
      <c r="CP15" s="48">
        <f>CN15*BS15*BT15</f>
      </c>
      <c r="CQ15" s="32">
        <f>CP15/T15</f>
      </c>
      <c r="CR15" s="32">
        <f>100/CP15</f>
      </c>
      <c r="CS15" s="35">
        <f>100/CQ15</f>
      </c>
      <c r="CT15" s="32"/>
      <c r="CU15" s="32"/>
      <c r="CV15" s="35">
        <f>BL15/T15</f>
      </c>
      <c r="CW15" s="35">
        <f>100/CV15</f>
      </c>
      <c r="CX15" s="40"/>
      <c r="CY15" s="41" t="str">
        <v>通过磁阻牵引目标，实现非接触安装的电动扳手。
能让一般工人达到接近全自动机械的装配精度，
并且在械斗中也颇为趁手。
</v>
      </c>
      <c r="CZ15" s="40"/>
      <c r="DA15" s="41">
        <f>TEXTJOIN("、", TRUE, FILTER('武器技能'!B:B, '武器技能'!E:E = H15))</f>
      </c>
      <c r="DB15" s="40"/>
      <c r="DC15" s="27" t="str">
        <v>完成</v>
      </c>
      <c r="DD15" s="27" t="str">
        <v>完成</v>
      </c>
    </row>
    <row customHeight="true" ht="19" r="16">
      <c r="A16" s="90" t="str">
        <v>MagneticWrench</v>
      </c>
      <c r="B16" s="90" t="str">
        <v>磁阻扳手</v>
      </c>
      <c r="C16" s="90"/>
      <c r="D16" s="90">
        <f>IF($A16="","","WPN"&amp;VLOOKUP(E16,'引用数据库'!Z:AC,4,FALSE)&amp;VLOOKUP(H16,'引用数据库'!N:P,3,FALSE)&amp;VLOOKUP(I16,'引用数据库'!S:U,3,FALSE)&amp;TEXT(F16,"00"))</f>
      </c>
      <c r="E16" s="90" t="str">
        <v>劳旅</v>
      </c>
      <c r="F16" s="91">
        <v>1</v>
      </c>
      <c r="G16" s="90">
        <f>G15</f>
      </c>
      <c r="H16" s="90">
        <f>H15</f>
      </c>
      <c r="I16" s="90">
        <f>I15</f>
      </c>
      <c r="J16" s="90">
        <f>J15</f>
      </c>
      <c r="K16" s="90">
        <f>K15</f>
      </c>
      <c r="L16" s="42"/>
      <c r="M16" s="98">
        <f>M15</f>
      </c>
      <c r="N16" s="91">
        <v>140</v>
      </c>
      <c r="O16" s="91">
        <f>O15</f>
      </c>
      <c r="P16" s="91">
        <f>P15</f>
      </c>
      <c r="Q16" s="91">
        <f>Q15</f>
      </c>
      <c r="R16" s="91">
        <f>R15</f>
      </c>
      <c r="S16" s="91">
        <v>0</v>
      </c>
      <c r="T16" s="91">
        <f>SUM(P16:S16)</f>
      </c>
      <c r="U16" s="88">
        <f>2*T16/(15*(1+(5-BD16)*0.1))</f>
      </c>
      <c r="V16" s="11"/>
      <c r="W16" s="91" t="str">
        <v>N/A</v>
      </c>
      <c r="X16" s="91" t="str">
        <v>N/A</v>
      </c>
      <c r="Y16" s="91" t="str">
        <v>N/A</v>
      </c>
      <c r="Z16" s="91" t="str">
        <v>N/A</v>
      </c>
      <c r="AA16" s="95"/>
      <c r="AB16" s="95"/>
      <c r="AC16" s="95"/>
      <c r="AD16" s="95" t="str">
        <v>N/A</v>
      </c>
      <c r="AE16" s="95" t="str">
        <v>N/A</v>
      </c>
      <c r="AF16" s="11"/>
      <c r="AG16" s="91"/>
      <c r="AH16" s="91"/>
      <c r="AI16" s="11"/>
      <c r="AJ16" s="87">
        <f>AJ15+0.1</f>
      </c>
      <c r="AK16" s="87">
        <f>AK15</f>
      </c>
      <c r="AL16" s="87">
        <v>0.2</v>
      </c>
      <c r="AM16" s="88">
        <f>IFS(AJ16 &gt; 1.25, "S", AJ16 &gt; 1, "A", AJ16 &gt; 0.75, "B", AJ16 &gt; 0.5, "C", AJ16 &gt; 0.25, "D", AJ16 &gt; 0, "E", TRUE, "-")</f>
      </c>
      <c r="AN16" s="88">
        <f>IFS(AK16 &gt; 1.25, "S", AK16 &gt; 1, "A", AK16 &gt; 0.75, "B", AK16 &gt; 0.5, "C", AK16 &gt; 0.25, "D", AK16 &gt; 0, "E", TRUE, "-")</f>
      </c>
      <c r="AO16" s="88">
        <f>IFS(AL16 &gt; 1.25, "S", AL16 &gt; 1, "A", AL16 &gt; 0.75, "B", AL16 &gt; 0.5, "C", AL16 &gt; 0.25, "D", AL16 &gt; 0, "E", TRUE, "-")</f>
      </c>
      <c r="AP16" s="88">
        <v>10</v>
      </c>
      <c r="AQ16" s="88">
        <v>10</v>
      </c>
      <c r="AR16" s="88">
        <v>10</v>
      </c>
      <c r="AS16" s="88"/>
      <c r="AT16" s="88"/>
      <c r="AU16" s="88"/>
      <c r="AV16" s="88">
        <f>IF(SUM(AJ16:AL16)=0, 0, (1 + F16 * 0.1) * (0.75 + 0.25 * MAX(0, MIN(1, IF(MAX(AJ16:AL16)=0, 0, (3*MAX(AJ16:AL16)-SUM(AJ16:AL16)) / (2*MAX(AJ16:AL16)))))))</f>
      </c>
      <c r="AW16" s="87">
        <f>MAX(AJ16:AL16)</f>
      </c>
      <c r="AX16" s="92">
        <f>IF(AW16=0, "", AW16 / ((1 + 0.1*N(F16))))</f>
      </c>
      <c r="AY16" s="88">
        <f>IF(SUM(AJ16:AL16)=0, 0,     (1 + F16 * 0.1) * (1 + ((SUM(AJ16:AL16) - MAX(AJ16:AL16)) / (2 * MAX(AJ16:AL16))) * (1/0.75 - 1)))</f>
      </c>
      <c r="AZ16" s="87">
        <f>AJ16+AK16+AL16</f>
      </c>
      <c r="BA16" s="92">
        <f>IF(AZ16=0, "", AZ16 / ((1 + 0.1*N(F16))/0.75))</f>
      </c>
      <c r="BB16" s="88">
        <v>0.1</v>
      </c>
      <c r="BC16" s="11"/>
      <c r="BD16" s="91">
        <f>BD15</f>
      </c>
      <c r="BE16" s="91">
        <f>BE15</f>
      </c>
      <c r="BF16" s="93"/>
      <c r="BG16" s="88"/>
      <c r="BH16" s="87">
        <f>BH15</f>
      </c>
      <c r="BI16" s="45"/>
      <c r="BJ16" s="99"/>
      <c r="BK16" s="101"/>
      <c r="BL16" s="101">
        <f>BL15</f>
      </c>
      <c r="BM16" s="34"/>
      <c r="BN16" s="91" t="str">
        <v>N/A</v>
      </c>
      <c r="BO16" s="91" t="str">
        <v>N/A</v>
      </c>
      <c r="BP16" s="38"/>
      <c r="BQ16" s="88">
        <f>BQ15</f>
      </c>
      <c r="BR16" s="88">
        <f>IFERROR(BQ16*100/CP16,"N/A")</f>
      </c>
      <c r="BS16" s="91">
        <v>1</v>
      </c>
      <c r="BT16" s="91">
        <v>1</v>
      </c>
      <c r="BU16" s="42"/>
      <c r="BV16" s="78"/>
      <c r="BW16" s="94">
        <f>BW15</f>
      </c>
      <c r="BX16" s="38">
        <f>CP16/BW16</f>
      </c>
      <c r="BY16" s="96">
        <f>BW16/T16</f>
      </c>
      <c r="BZ16" s="11"/>
      <c r="CA16" s="100">
        <f>CA15+20</f>
      </c>
      <c r="CB16" s="88">
        <f>CA16*BB16*(AP16*AJ16+AQ16*AK16+AR16*AL16)</f>
      </c>
      <c r="CC16" s="88">
        <f>CA16+CB16</f>
      </c>
      <c r="CD16" s="88"/>
      <c r="CE16" s="88"/>
      <c r="CF16" s="88"/>
      <c r="CG16" s="88"/>
      <c r="CH16" s="88"/>
      <c r="CI16" s="88"/>
      <c r="CJ16" s="87"/>
      <c r="CK16" s="87">
        <f>CK15</f>
      </c>
      <c r="CL16" s="87"/>
      <c r="CM16" s="88"/>
      <c r="CN16" s="88">
        <f>CK16*CC16</f>
      </c>
      <c r="CO16" s="42"/>
      <c r="CP16" s="97">
        <f>CN16*BS16*BT16</f>
      </c>
      <c r="CQ16" s="88">
        <f>CP16/T16</f>
      </c>
      <c r="CR16" s="88">
        <f>100/CP16</f>
      </c>
      <c r="CS16" s="89">
        <f>100/CQ16</f>
      </c>
      <c r="CT16" s="88">
        <f>CQ16-CQ15</f>
      </c>
      <c r="CU16" s="98">
        <f>(CQ16-CQ15)/CQ15</f>
      </c>
      <c r="CV16" s="89">
        <f>BL16/T16</f>
      </c>
      <c r="CW16" s="89">
        <f>100/CV16</f>
      </c>
      <c r="CX16" s="40"/>
      <c r="CY16" s="41"/>
      <c r="CZ16" s="40"/>
      <c r="DA16" s="41"/>
      <c r="DB16" s="40"/>
      <c r="DC16" s="91" t="str">
        <v>完成</v>
      </c>
      <c r="DD16" s="91" t="str">
        <v>完成</v>
      </c>
    </row>
    <row r="17">
      <c r="A17" s="71" t="str">
        <v>MagneticWrench</v>
      </c>
      <c r="B17" s="75" t="str">
        <v>磁阻扳手</v>
      </c>
      <c r="C17" s="71"/>
      <c r="D17" s="71">
        <f>IF($A17="","","WPN"&amp;VLOOKUP(E17,'引用数据库'!Z:AC,4,FALSE)&amp;VLOOKUP(H17,'引用数据库'!N:P,3,FALSE)&amp;VLOOKUP(I17,'引用数据库'!S:U,3,FALSE)&amp;TEXT(F17,"00"))</f>
      </c>
      <c r="E17" s="75" t="str">
        <v>劳旅</v>
      </c>
      <c r="F17" s="110">
        <v>2</v>
      </c>
      <c r="G17" s="71">
        <f>G16</f>
      </c>
      <c r="H17" s="75">
        <f>H16</f>
      </c>
      <c r="I17" s="75">
        <f>I16</f>
      </c>
      <c r="J17" s="71">
        <f>J16</f>
      </c>
      <c r="K17" s="71">
        <f>K16</f>
      </c>
      <c r="L17" s="42"/>
      <c r="M17" s="65">
        <f>M16</f>
      </c>
      <c r="N17" s="72">
        <v>140</v>
      </c>
      <c r="O17" s="72">
        <f>O16</f>
      </c>
      <c r="P17" s="72">
        <f>P16</f>
      </c>
      <c r="Q17" s="72">
        <f>Q16</f>
      </c>
      <c r="R17" s="72">
        <f>R16</f>
      </c>
      <c r="S17" s="72">
        <v>0</v>
      </c>
      <c r="T17" s="72">
        <f>SUM(P17:S17)</f>
      </c>
      <c r="U17" s="39">
        <f>2*T17/(15*(1+(5-BD17)*0.1))</f>
      </c>
      <c r="V17" s="11"/>
      <c r="W17" s="72" t="str">
        <v>N/A</v>
      </c>
      <c r="X17" s="72" t="str">
        <v>N/A</v>
      </c>
      <c r="Y17" s="72" t="str">
        <v>N/A</v>
      </c>
      <c r="Z17" s="72" t="str">
        <v>N/A</v>
      </c>
      <c r="AA17" s="102"/>
      <c r="AB17" s="102"/>
      <c r="AC17" s="102"/>
      <c r="AD17" s="102" t="str">
        <v>N/A</v>
      </c>
      <c r="AE17" s="102" t="str">
        <v>N/A</v>
      </c>
      <c r="AF17" s="11"/>
      <c r="AG17" s="72"/>
      <c r="AH17" s="72"/>
      <c r="AI17" s="11"/>
      <c r="AJ17" s="108">
        <f>AJ16+0.1</f>
      </c>
      <c r="AK17" s="108">
        <f>AK16</f>
      </c>
      <c r="AL17" s="108">
        <f>AL16</f>
      </c>
      <c r="AM17" s="105">
        <f>IFS(AJ17 &gt; 1.25, "S", AJ17 &gt; 1, "A", AJ17 &gt; 0.75, "B", AJ17 &gt; 0.5, "C", AJ17 &gt; 0.25, "D", AJ17 &gt; 0, "E", TRUE, "-")</f>
      </c>
      <c r="AN17" s="105">
        <f>IFS(AK17 &gt; 1.25, "S", AK17 &gt; 1, "A", AK17 &gt; 0.75, "B", AK17 &gt; 0.5, "C", AK17 &gt; 0.25, "D", AK17 &gt; 0, "E", TRUE, "-")</f>
      </c>
      <c r="AO17" s="105">
        <f>IFS(AL17 &gt; 1.25, "S", AL17 &gt; 1, "A", AL17 &gt; 0.75, "B", AL17 &gt; 0.5, "C", AL17 &gt; 0.25, "D", AL17 &gt; 0, "E", TRUE, "-")</f>
      </c>
      <c r="AP17" s="68">
        <v>10</v>
      </c>
      <c r="AQ17" s="68">
        <v>10</v>
      </c>
      <c r="AR17" s="68">
        <v>10</v>
      </c>
      <c r="AS17" s="105"/>
      <c r="AT17" s="105"/>
      <c r="AU17" s="105"/>
      <c r="AV17" s="68">
        <f>IF(SUM(AJ17:AL17)=0, 0, (1 + F17 * 0.1) * (0.75 + 0.25 * MAX(0, MIN(1, IF(MAX(AJ17:AL17)=0, 0, (3*MAX(AJ17:AL17)-SUM(AJ17:AL17)) / (2*MAX(AJ17:AL17)))))))</f>
      </c>
      <c r="AW17" s="111">
        <f>MAX(AJ17:AL17)</f>
      </c>
      <c r="AX17" s="109">
        <f>IF(AW17=0, "", AW17 / ((1 + 0.1*N(F17))))</f>
      </c>
      <c r="AY17" s="68">
        <f>IF(SUM(AJ17:AL17)=0, 0,     (1 + F17 * 0.1) * (1 + ((SUM(AJ17:AL17) - MAX(AJ17:AL17)) / (2 * MAX(AJ17:AL17))) * (1/0.75 - 1)))</f>
      </c>
      <c r="AZ17" s="111">
        <f>AJ17+AK17+AL17</f>
      </c>
      <c r="BA17" s="109">
        <f>IF(AZ17=0, "", AZ17 / ((1 + 0.1*N(F17))/0.75))</f>
      </c>
      <c r="BB17" s="39">
        <v>0.1</v>
      </c>
      <c r="BC17" s="11"/>
      <c r="BD17" s="72">
        <f>BD16</f>
      </c>
      <c r="BE17" s="72">
        <f>BE16</f>
      </c>
      <c r="BF17" s="74"/>
      <c r="BG17" s="38"/>
      <c r="BH17" s="103">
        <f>BH16</f>
      </c>
      <c r="BI17" s="45"/>
      <c r="BJ17" s="63"/>
      <c r="BK17" s="49"/>
      <c r="BL17" s="56">
        <f>BL16</f>
      </c>
      <c r="BM17" s="34"/>
      <c r="BN17" s="110" t="str">
        <v>N/A</v>
      </c>
      <c r="BO17" s="72" t="str">
        <v>N/A</v>
      </c>
      <c r="BP17" s="38"/>
      <c r="BQ17" s="39">
        <f>BQ16</f>
      </c>
      <c r="BR17" s="38">
        <f>IFERROR(BQ17*100/CP17,"N/A")</f>
      </c>
      <c r="BS17" s="107">
        <v>1</v>
      </c>
      <c r="BT17" s="72">
        <v>1</v>
      </c>
      <c r="BU17" s="42"/>
      <c r="BV17" s="78"/>
      <c r="BW17" s="104">
        <f>BW16</f>
      </c>
      <c r="BX17" s="38">
        <f>CP17/BW17</f>
      </c>
      <c r="BY17" s="96">
        <f>BW17/T17</f>
      </c>
      <c r="BZ17" s="11"/>
      <c r="CA17" s="113">
        <f>CA16+10</f>
      </c>
      <c r="CB17" s="39">
        <f>CA17*BB17*(AP17*AJ17+AQ17*AK17+AR17*AL17)</f>
      </c>
      <c r="CC17" s="39">
        <f>CA17+CB17</f>
      </c>
      <c r="CD17" s="38"/>
      <c r="CE17" s="38"/>
      <c r="CF17" s="38"/>
      <c r="CG17" s="38"/>
      <c r="CH17" s="38"/>
      <c r="CI17" s="38"/>
      <c r="CJ17" s="106"/>
      <c r="CK17" s="103">
        <f>CK16</f>
      </c>
      <c r="CL17" s="106"/>
      <c r="CM17" s="38"/>
      <c r="CN17" s="105">
        <f>CK17*CC17</f>
      </c>
      <c r="CO17" s="42"/>
      <c r="CP17" s="70">
        <f>CN17*BS17*BT17</f>
      </c>
      <c r="CQ17" s="38">
        <f>CP17/T17</f>
      </c>
      <c r="CR17" s="38">
        <f>100/CP17</f>
      </c>
      <c r="CS17" s="96">
        <f>100/CQ17</f>
      </c>
      <c r="CT17" s="38">
        <f>CQ17-CQ16</f>
      </c>
      <c r="CU17" s="112">
        <f>(CQ17-CQ16)/CQ16</f>
      </c>
      <c r="CV17" s="96">
        <f>BL17/T17</f>
      </c>
      <c r="CW17" s="96">
        <f>100/CV17</f>
      </c>
      <c r="CX17" s="40"/>
      <c r="CY17" s="41"/>
      <c r="CZ17" s="40"/>
      <c r="DA17" s="41"/>
      <c r="DB17" s="40"/>
      <c r="DC17" s="11" t="str">
        <v>完成</v>
      </c>
      <c r="DD17" s="1" t="str">
        <v>完成</v>
      </c>
    </row>
    <row r="18">
      <c r="A18" s="71" t="str">
        <v>MagneticWrench</v>
      </c>
      <c r="B18" s="75" t="str">
        <v>磁阻扳手</v>
      </c>
      <c r="C18" s="71"/>
      <c r="D18" s="71">
        <f>IF($A18="","","WPN"&amp;VLOOKUP(E18,'引用数据库'!Z:AC,4,FALSE)&amp;VLOOKUP(H18,'引用数据库'!N:P,3,FALSE)&amp;VLOOKUP(I18,'引用数据库'!S:U,3,FALSE)&amp;TEXT(F18,"00"))</f>
      </c>
      <c r="E18" s="75" t="str">
        <v>劳旅</v>
      </c>
      <c r="F18" s="110">
        <v>3</v>
      </c>
      <c r="G18" s="71">
        <f>G17</f>
      </c>
      <c r="H18" s="75">
        <f>H17</f>
      </c>
      <c r="I18" s="75">
        <f>I17</f>
      </c>
      <c r="J18" s="71">
        <f>J17</f>
      </c>
      <c r="K18" s="71">
        <f>K17</f>
      </c>
      <c r="L18" s="42"/>
      <c r="M18" s="65">
        <f>M17</f>
      </c>
      <c r="N18" s="72">
        <v>140</v>
      </c>
      <c r="O18" s="72">
        <f>O17</f>
      </c>
      <c r="P18" s="72">
        <f>P17</f>
      </c>
      <c r="Q18" s="72">
        <f>Q17</f>
      </c>
      <c r="R18" s="72">
        <f>R17</f>
      </c>
      <c r="S18" s="72">
        <v>0</v>
      </c>
      <c r="T18" s="72">
        <f>SUM(P18:S18)</f>
      </c>
      <c r="U18" s="39">
        <f>2*T18/(15*(1+(5-BD18)*0.1))</f>
      </c>
      <c r="V18" s="11"/>
      <c r="W18" s="72" t="str">
        <v>N/A</v>
      </c>
      <c r="X18" s="72" t="str">
        <v>N/A</v>
      </c>
      <c r="Y18" s="72" t="str">
        <v>N/A</v>
      </c>
      <c r="Z18" s="72" t="str">
        <v>N/A</v>
      </c>
      <c r="AA18" s="102"/>
      <c r="AB18" s="102"/>
      <c r="AC18" s="102"/>
      <c r="AD18" s="102" t="str">
        <v>N/A</v>
      </c>
      <c r="AE18" s="102" t="str">
        <v>N/A</v>
      </c>
      <c r="AF18" s="11"/>
      <c r="AG18" s="72"/>
      <c r="AH18" s="72"/>
      <c r="AI18" s="11"/>
      <c r="AJ18" s="108">
        <f>AJ17+0.1</f>
      </c>
      <c r="AK18" s="108">
        <f>AK17</f>
      </c>
      <c r="AL18" s="108">
        <f>AL17</f>
      </c>
      <c r="AM18" s="105">
        <f>IFS(AJ18 &gt; 1.25, "S", AJ18 &gt; 1, "A", AJ18 &gt; 0.75, "B", AJ18 &gt; 0.5, "C", AJ18 &gt; 0.25, "D", AJ18 &gt; 0, "E", TRUE, "-")</f>
      </c>
      <c r="AN18" s="105">
        <f>IFS(AK18 &gt; 1.25, "S", AK18 &gt; 1, "A", AK18 &gt; 0.75, "B", AK18 &gt; 0.5, "C", AK18 &gt; 0.25, "D", AK18 &gt; 0, "E", TRUE, "-")</f>
      </c>
      <c r="AO18" s="105">
        <f>IFS(AL18 &gt; 1.25, "S", AL18 &gt; 1, "A", AL18 &gt; 0.75, "B", AL18 &gt; 0.5, "C", AL18 &gt; 0.25, "D", AL18 &gt; 0, "E", TRUE, "-")</f>
      </c>
      <c r="AP18" s="68">
        <v>10</v>
      </c>
      <c r="AQ18" s="68">
        <v>10</v>
      </c>
      <c r="AR18" s="68">
        <v>10</v>
      </c>
      <c r="AS18" s="105"/>
      <c r="AT18" s="105"/>
      <c r="AU18" s="105"/>
      <c r="AV18" s="68">
        <f>IF(SUM(AJ18:AL18)=0, 0, (1 + F18 * 0.1) * (0.75 + 0.25 * MAX(0, MIN(1, IF(MAX(AJ18:AL18)=0, 0, (3*MAX(AJ18:AL18)-SUM(AJ18:AL18)) / (2*MAX(AJ18:AL18)))))))</f>
      </c>
      <c r="AW18" s="111">
        <f>MAX(AJ18:AL18)</f>
      </c>
      <c r="AX18" s="109">
        <f>IF(AW18=0, "", AW18 / ((1 + 0.1*N(F18))))</f>
      </c>
      <c r="AY18" s="68">
        <f>IF(SUM(AJ18:AL18)=0, 0,     (1 + F18 * 0.1) * (1 + ((SUM(AJ18:AL18) - MAX(AJ18:AL18)) / (2 * MAX(AJ18:AL18))) * (1/0.75 - 1)))</f>
      </c>
      <c r="AZ18" s="111">
        <f>AJ18+AK18+AL18</f>
      </c>
      <c r="BA18" s="109">
        <f>IF(AZ18=0, "", AZ18 / ((1 + 0.1*N(F18))/0.75))</f>
      </c>
      <c r="BB18" s="39">
        <v>0.1</v>
      </c>
      <c r="BC18" s="11"/>
      <c r="BD18" s="72">
        <f>BD17</f>
      </c>
      <c r="BE18" s="72">
        <f>BE17</f>
      </c>
      <c r="BF18" s="74"/>
      <c r="BG18" s="38"/>
      <c r="BH18" s="103">
        <f>BH17</f>
      </c>
      <c r="BI18" s="45"/>
      <c r="BJ18" s="63"/>
      <c r="BK18" s="49"/>
      <c r="BL18" s="56">
        <f>BL17</f>
      </c>
      <c r="BM18" s="34"/>
      <c r="BN18" s="110" t="str">
        <v>N/A</v>
      </c>
      <c r="BO18" s="72" t="str">
        <v>N/A</v>
      </c>
      <c r="BP18" s="38"/>
      <c r="BQ18" s="39">
        <f>BQ17</f>
      </c>
      <c r="BR18" s="38">
        <f>IFERROR(BQ18*100/CP18,"N/A")</f>
      </c>
      <c r="BS18" s="107">
        <v>1</v>
      </c>
      <c r="BT18" s="72">
        <v>1</v>
      </c>
      <c r="BU18" s="42"/>
      <c r="BV18" s="78"/>
      <c r="BW18" s="104">
        <f>BW17</f>
      </c>
      <c r="BX18" s="38">
        <f>CP18/BW18</f>
      </c>
      <c r="BY18" s="96">
        <f>BW18/T18</f>
      </c>
      <c r="BZ18" s="11"/>
      <c r="CA18" s="113">
        <f>CA17+10</f>
      </c>
      <c r="CB18" s="39">
        <f>CA18*BB18*(AP18*AJ18+AQ18*AK18+AR18*AL18)</f>
      </c>
      <c r="CC18" s="39">
        <f>CA18+CB18</f>
      </c>
      <c r="CD18" s="38"/>
      <c r="CE18" s="38"/>
      <c r="CF18" s="38"/>
      <c r="CG18" s="38"/>
      <c r="CH18" s="38"/>
      <c r="CI18" s="38"/>
      <c r="CJ18" s="106"/>
      <c r="CK18" s="103">
        <f>CK17</f>
      </c>
      <c r="CL18" s="106"/>
      <c r="CM18" s="38"/>
      <c r="CN18" s="105">
        <f>CK18*CC18</f>
      </c>
      <c r="CO18" s="42"/>
      <c r="CP18" s="70">
        <f>CN18*BS18*BT18</f>
      </c>
      <c r="CQ18" s="38">
        <f>CP18/T18</f>
      </c>
      <c r="CR18" s="38">
        <f>100/CP18</f>
      </c>
      <c r="CS18" s="96">
        <f>100/CQ18</f>
      </c>
      <c r="CT18" s="38">
        <f>CQ18-CQ17</f>
      </c>
      <c r="CU18" s="112">
        <f>(CQ18-CQ17)/CQ17</f>
      </c>
      <c r="CV18" s="96">
        <f>BL18/T18</f>
      </c>
      <c r="CW18" s="96">
        <f>100/CV18</f>
      </c>
      <c r="CX18" s="40"/>
      <c r="CY18" s="41"/>
      <c r="CZ18" s="40"/>
      <c r="DA18" s="41"/>
      <c r="DB18" s="40"/>
      <c r="DC18" s="11" t="str">
        <v>完成</v>
      </c>
      <c r="DD18" s="1" t="str">
        <v>完成</v>
      </c>
    </row>
    <row customHeight="true" ht="19" r="19">
      <c r="A19" s="71" t="str">
        <v>MagneticWrench</v>
      </c>
      <c r="B19" s="75" t="str">
        <v>磁阻扳手</v>
      </c>
      <c r="C19" s="71"/>
      <c r="D19" s="71">
        <f>IF($A19="","","WPN"&amp;VLOOKUP(E19,'引用数据库'!Z:AC,4,FALSE)&amp;VLOOKUP(H19,'引用数据库'!N:P,3,FALSE)&amp;VLOOKUP(I19,'引用数据库'!S:U,3,FALSE)&amp;TEXT(F19,"00"))</f>
      </c>
      <c r="E19" s="75" t="str">
        <v>劳旅</v>
      </c>
      <c r="F19" s="110">
        <v>4</v>
      </c>
      <c r="G19" s="71">
        <f>G18</f>
      </c>
      <c r="H19" s="75">
        <f>H18</f>
      </c>
      <c r="I19" s="75">
        <f>I18</f>
      </c>
      <c r="J19" s="71">
        <f>J18</f>
      </c>
      <c r="K19" s="71">
        <f>K18</f>
      </c>
      <c r="L19" s="42"/>
      <c r="M19" s="65">
        <f>M18</f>
      </c>
      <c r="N19" s="72">
        <v>140</v>
      </c>
      <c r="O19" s="72">
        <f>O18</f>
      </c>
      <c r="P19" s="72">
        <f>P18</f>
      </c>
      <c r="Q19" s="72">
        <f>Q18</f>
      </c>
      <c r="R19" s="72">
        <f>R18</f>
      </c>
      <c r="S19" s="72">
        <v>0</v>
      </c>
      <c r="T19" s="72">
        <f>SUM(P19:S19)</f>
      </c>
      <c r="U19" s="39">
        <f>2*T19/(15*(1+(5-BD19)*0.1))</f>
      </c>
      <c r="V19" s="11"/>
      <c r="W19" s="72" t="str">
        <v>N/A</v>
      </c>
      <c r="X19" s="72" t="str">
        <v>N/A</v>
      </c>
      <c r="Y19" s="72" t="str">
        <v>N/A</v>
      </c>
      <c r="Z19" s="72" t="str">
        <v>N/A</v>
      </c>
      <c r="AA19" s="102"/>
      <c r="AB19" s="102"/>
      <c r="AC19" s="102"/>
      <c r="AD19" s="102" t="str">
        <v>N/A</v>
      </c>
      <c r="AE19" s="102" t="str">
        <v>N/A</v>
      </c>
      <c r="AF19" s="11"/>
      <c r="AG19" s="72"/>
      <c r="AH19" s="72"/>
      <c r="AI19" s="11"/>
      <c r="AJ19" s="108">
        <f>AJ18+0.1</f>
      </c>
      <c r="AK19" s="108">
        <f>AK18</f>
      </c>
      <c r="AL19" s="108">
        <f>AL18</f>
      </c>
      <c r="AM19" s="105">
        <f>IFS(AJ19 &gt; 1.25, "S", AJ19 &gt; 1, "A", AJ19 &gt; 0.75, "B", AJ19 &gt; 0.5, "C", AJ19 &gt; 0.25, "D", AJ19 &gt; 0, "E", TRUE, "-")</f>
      </c>
      <c r="AN19" s="105">
        <f>IFS(AK19 &gt; 1.25, "S", AK19 &gt; 1, "A", AK19 &gt; 0.75, "B", AK19 &gt; 0.5, "C", AK19 &gt; 0.25, "D", AK19 &gt; 0, "E", TRUE, "-")</f>
      </c>
      <c r="AO19" s="105">
        <f>IFS(AL19 &gt; 1.25, "S", AL19 &gt; 1, "A", AL19 &gt; 0.75, "B", AL19 &gt; 0.5, "C", AL19 &gt; 0.25, "D", AL19 &gt; 0, "E", TRUE, "-")</f>
      </c>
      <c r="AP19" s="68">
        <v>10</v>
      </c>
      <c r="AQ19" s="68">
        <v>10</v>
      </c>
      <c r="AR19" s="68">
        <v>10</v>
      </c>
      <c r="AS19" s="105"/>
      <c r="AT19" s="105"/>
      <c r="AU19" s="105"/>
      <c r="AV19" s="68">
        <f>IF(SUM(AJ19:AL19)=0, 0, (1 + F19 * 0.1) * (0.75 + 0.25 * MAX(0, MIN(1, IF(MAX(AJ19:AL19)=0, 0, (3*MAX(AJ19:AL19)-SUM(AJ19:AL19)) / (2*MAX(AJ19:AL19)))))))</f>
      </c>
      <c r="AW19" s="111">
        <f>MAX(AJ19:AL19)</f>
      </c>
      <c r="AX19" s="109">
        <f>IF(AW19=0, "", AW19 / ((1 + 0.1*N(F19))))</f>
      </c>
      <c r="AY19" s="68">
        <f>IF(SUM(AJ19:AL19)=0, 0,     (1 + F19 * 0.1) * (1 + ((SUM(AJ19:AL19) - MAX(AJ19:AL19)) / (2 * MAX(AJ19:AL19))) * (1/0.75 - 1)))</f>
      </c>
      <c r="AZ19" s="111">
        <f>AJ19+AK19+AL19</f>
      </c>
      <c r="BA19" s="109">
        <f>IF(AZ19=0, "", AZ19 / ((1 + 0.1*N(F19))/0.75))</f>
      </c>
      <c r="BB19" s="39">
        <v>0.1</v>
      </c>
      <c r="BC19" s="11"/>
      <c r="BD19" s="72">
        <f>BD18</f>
      </c>
      <c r="BE19" s="72">
        <f>BE18</f>
      </c>
      <c r="BF19" s="74"/>
      <c r="BG19" s="38"/>
      <c r="BH19" s="103">
        <f>BH18</f>
      </c>
      <c r="BI19" s="45"/>
      <c r="BJ19" s="63"/>
      <c r="BK19" s="49"/>
      <c r="BL19" s="56">
        <f>BL18</f>
      </c>
      <c r="BM19" s="34"/>
      <c r="BN19" s="110" t="str">
        <v>N/A</v>
      </c>
      <c r="BO19" s="72" t="str">
        <v>N/A</v>
      </c>
      <c r="BP19" s="38"/>
      <c r="BQ19" s="39">
        <f>BQ18</f>
      </c>
      <c r="BR19" s="38">
        <f>IFERROR(BQ19*100/CP19,"N/A")</f>
      </c>
      <c r="BS19" s="107">
        <v>1</v>
      </c>
      <c r="BT19" s="72">
        <v>1</v>
      </c>
      <c r="BU19" s="42"/>
      <c r="BV19" s="78"/>
      <c r="BW19" s="104">
        <f>BW18</f>
      </c>
      <c r="BX19" s="38">
        <f>CP19/BW19</f>
      </c>
      <c r="BY19" s="96">
        <f>BW19/T19</f>
      </c>
      <c r="BZ19" s="11"/>
      <c r="CA19" s="113">
        <f>CA18+10</f>
      </c>
      <c r="CB19" s="39">
        <f>CA19*BB19*(AP19*AJ19+AQ19*AK19+AR19*AL19)</f>
      </c>
      <c r="CC19" s="39">
        <f>CA19+CB19</f>
      </c>
      <c r="CD19" s="38"/>
      <c r="CE19" s="38"/>
      <c r="CF19" s="38"/>
      <c r="CG19" s="38"/>
      <c r="CH19" s="38"/>
      <c r="CI19" s="38"/>
      <c r="CJ19" s="106"/>
      <c r="CK19" s="103">
        <f>CK18</f>
      </c>
      <c r="CL19" s="106"/>
      <c r="CM19" s="38"/>
      <c r="CN19" s="105">
        <f>CK19*CC19</f>
      </c>
      <c r="CO19" s="42"/>
      <c r="CP19" s="70">
        <f>CN19*BS19*BT19</f>
      </c>
      <c r="CQ19" s="38">
        <f>CP19/T19</f>
      </c>
      <c r="CR19" s="38">
        <f>100/CP19</f>
      </c>
      <c r="CS19" s="96">
        <f>100/CQ19</f>
      </c>
      <c r="CT19" s="38">
        <f>CQ19-CQ18</f>
      </c>
      <c r="CU19" s="112">
        <f>(CQ19-CQ18)/CQ18</f>
      </c>
      <c r="CV19" s="96">
        <f>BL19/T19</f>
      </c>
      <c r="CW19" s="96">
        <f>100/CV19</f>
      </c>
      <c r="CX19" s="40"/>
      <c r="CY19" s="41"/>
      <c r="CZ19" s="40"/>
      <c r="DA19" s="41"/>
      <c r="DB19" s="40"/>
      <c r="DC19" s="11" t="str">
        <v>完成</v>
      </c>
      <c r="DD19" s="1" t="str">
        <v>完成</v>
      </c>
    </row>
    <row r="20">
      <c r="A20" s="71" t="str">
        <v>MagneticWrench</v>
      </c>
      <c r="B20" s="75" t="str">
        <v>磁阻扳手</v>
      </c>
      <c r="C20" s="71"/>
      <c r="D20" s="71">
        <f>IF($A20="","","WPN"&amp;VLOOKUP(E20,'引用数据库'!Z:AC,4,FALSE)&amp;VLOOKUP(H20,'引用数据库'!N:P,3,FALSE)&amp;VLOOKUP(I20,'引用数据库'!S:U,3,FALSE)&amp;TEXT(F20,"00"))</f>
      </c>
      <c r="E20" s="75" t="str">
        <v>劳旅</v>
      </c>
      <c r="F20" s="110">
        <v>5</v>
      </c>
      <c r="G20" s="71">
        <f>G19</f>
      </c>
      <c r="H20" s="75">
        <f>H19</f>
      </c>
      <c r="I20" s="75">
        <f>I19</f>
      </c>
      <c r="J20" s="71">
        <f>J19</f>
      </c>
      <c r="K20" s="71">
        <f>K19</f>
      </c>
      <c r="L20" s="42"/>
      <c r="M20" s="65">
        <f>M19</f>
      </c>
      <c r="N20" s="72">
        <v>140</v>
      </c>
      <c r="O20" s="72">
        <f>O19</f>
      </c>
      <c r="P20" s="72">
        <f>P19</f>
      </c>
      <c r="Q20" s="72">
        <f>Q19</f>
      </c>
      <c r="R20" s="72">
        <f>R19</f>
      </c>
      <c r="S20" s="72">
        <v>0</v>
      </c>
      <c r="T20" s="72">
        <f>SUM(P20:S20)</f>
      </c>
      <c r="U20" s="39">
        <f>2*T20/(15*(1+(5-BD20)*0.1))</f>
      </c>
      <c r="V20" s="11"/>
      <c r="W20" s="72" t="str">
        <v>N/A</v>
      </c>
      <c r="X20" s="72" t="str">
        <v>N/A</v>
      </c>
      <c r="Y20" s="72" t="str">
        <v>N/A</v>
      </c>
      <c r="Z20" s="72" t="str">
        <v>N/A</v>
      </c>
      <c r="AA20" s="102"/>
      <c r="AB20" s="102"/>
      <c r="AC20" s="102"/>
      <c r="AD20" s="102" t="str">
        <v>N/A</v>
      </c>
      <c r="AE20" s="102" t="str">
        <v>N/A</v>
      </c>
      <c r="AF20" s="11"/>
      <c r="AG20" s="72"/>
      <c r="AH20" s="72"/>
      <c r="AI20" s="11"/>
      <c r="AJ20" s="108">
        <f>AJ19+0.1</f>
      </c>
      <c r="AK20" s="108">
        <f>AK19</f>
      </c>
      <c r="AL20" s="108">
        <f>AL19</f>
      </c>
      <c r="AM20" s="105">
        <f>IFS(AJ20 &gt; 1.25, "S", AJ20 &gt; 1, "A", AJ20 &gt; 0.75, "B", AJ20 &gt; 0.5, "C", AJ20 &gt; 0.25, "D", AJ20 &gt; 0, "E", TRUE, "-")</f>
      </c>
      <c r="AN20" s="105">
        <f>IFS(AK20 &gt; 1.25, "S", AK20 &gt; 1, "A", AK20 &gt; 0.75, "B", AK20 &gt; 0.5, "C", AK20 &gt; 0.25, "D", AK20 &gt; 0, "E", TRUE, "-")</f>
      </c>
      <c r="AO20" s="105">
        <f>IFS(AL20 &gt; 1.25, "S", AL20 &gt; 1, "A", AL20 &gt; 0.75, "B", AL20 &gt; 0.5, "C", AL20 &gt; 0.25, "D", AL20 &gt; 0, "E", TRUE, "-")</f>
      </c>
      <c r="AP20" s="68">
        <v>10</v>
      </c>
      <c r="AQ20" s="68">
        <v>10</v>
      </c>
      <c r="AR20" s="68">
        <v>10</v>
      </c>
      <c r="AS20" s="105"/>
      <c r="AT20" s="105"/>
      <c r="AU20" s="105"/>
      <c r="AV20" s="68">
        <f>IF(SUM(AJ20:AL20)=0, 0, (1 + F20 * 0.1) * (0.75 + 0.25 * MAX(0, MIN(1, IF(MAX(AJ20:AL20)=0, 0, (3*MAX(AJ20:AL20)-SUM(AJ20:AL20)) / (2*MAX(AJ20:AL20)))))))</f>
      </c>
      <c r="AW20" s="111">
        <f>MAX(AJ20:AL20)</f>
      </c>
      <c r="AX20" s="109">
        <f>IF(AW20=0, "", AW20 / ((1 + 0.1*N(F20))))</f>
      </c>
      <c r="AY20" s="68">
        <f>IF(SUM(AJ20:AL20)=0, 0,     (1 + F20 * 0.1) * (1 + ((SUM(AJ20:AL20) - MAX(AJ20:AL20)) / (2 * MAX(AJ20:AL20))) * (1/0.75 - 1)))</f>
      </c>
      <c r="AZ20" s="111">
        <f>AJ20+AK20+AL20</f>
      </c>
      <c r="BA20" s="109">
        <f>IF(AZ20=0, "", AZ20 / ((1 + 0.1*N(F20))/0.75))</f>
      </c>
      <c r="BB20" s="39">
        <v>0.1</v>
      </c>
      <c r="BC20" s="11"/>
      <c r="BD20" s="72">
        <f>BD19</f>
      </c>
      <c r="BE20" s="72">
        <f>BE19</f>
      </c>
      <c r="BF20" s="74"/>
      <c r="BG20" s="38"/>
      <c r="BH20" s="103">
        <f>BH19</f>
      </c>
      <c r="BI20" s="45"/>
      <c r="BJ20" s="63"/>
      <c r="BK20" s="49"/>
      <c r="BL20" s="56">
        <f>BL19</f>
      </c>
      <c r="BM20" s="34"/>
      <c r="BN20" s="110" t="str">
        <v>N/A</v>
      </c>
      <c r="BO20" s="72" t="str">
        <v>N/A</v>
      </c>
      <c r="BP20" s="38"/>
      <c r="BQ20" s="39">
        <f>BQ19</f>
      </c>
      <c r="BR20" s="38">
        <f>IFERROR(BQ20*100/CP20,"N/A")</f>
      </c>
      <c r="BS20" s="107">
        <v>1</v>
      </c>
      <c r="BT20" s="72">
        <v>1</v>
      </c>
      <c r="BU20" s="42"/>
      <c r="BV20" s="78"/>
      <c r="BW20" s="104">
        <f>BW19</f>
      </c>
      <c r="BX20" s="38">
        <f>CP20/BW20</f>
      </c>
      <c r="BY20" s="96">
        <f>BW20/T20</f>
      </c>
      <c r="BZ20" s="11"/>
      <c r="CA20" s="113">
        <f>CA19+10</f>
      </c>
      <c r="CB20" s="39">
        <f>CA20*BB20*(AP20*AJ20+AQ20*AK20+AR20*AL20)</f>
      </c>
      <c r="CC20" s="39">
        <f>CA20+CB20</f>
      </c>
      <c r="CD20" s="38"/>
      <c r="CE20" s="38"/>
      <c r="CF20" s="38"/>
      <c r="CG20" s="38"/>
      <c r="CH20" s="38"/>
      <c r="CI20" s="38"/>
      <c r="CJ20" s="106"/>
      <c r="CK20" s="103">
        <f>CK19</f>
      </c>
      <c r="CL20" s="106"/>
      <c r="CM20" s="38"/>
      <c r="CN20" s="105">
        <f>CK20*CC20</f>
      </c>
      <c r="CO20" s="42"/>
      <c r="CP20" s="70">
        <f>CN20*BS20*BT20</f>
      </c>
      <c r="CQ20" s="38">
        <f>CP20/T20</f>
      </c>
      <c r="CR20" s="38">
        <f>100/CP20</f>
      </c>
      <c r="CS20" s="96">
        <f>100/CQ20</f>
      </c>
      <c r="CT20" s="38">
        <f>CQ20-CQ19</f>
      </c>
      <c r="CU20" s="112">
        <f>(CQ20-CQ19)/CQ19</f>
      </c>
      <c r="CV20" s="96">
        <f>BL20/T20</f>
      </c>
      <c r="CW20" s="96">
        <f>100/CV20</f>
      </c>
      <c r="CX20" s="40"/>
      <c r="CY20" s="41"/>
      <c r="CZ20" s="40"/>
      <c r="DA20" s="41"/>
      <c r="DB20" s="40"/>
      <c r="DC20" s="11" t="str">
        <v>完成</v>
      </c>
      <c r="DD20" s="1" t="str">
        <v>完成</v>
      </c>
    </row>
    <row customHeight="true" ht="19" r="21">
      <c r="A21" s="36" t="str">
        <v>AR47</v>
      </c>
      <c r="B21" s="36" t="str">
        <v>AR47</v>
      </c>
      <c r="C21" s="71"/>
      <c r="D21" s="71">
        <f>IF($A21="","","WPN"&amp;VLOOKUP(E21,'引用数据库'!Z:AC,4,FALSE)&amp;VLOOKUP(H21,'引用数据库'!N:P,3,FALSE)&amp;VLOOKUP(I21,'引用数据库'!S:U,3,FALSE)&amp;TEXT(F21,"00"))</f>
      </c>
      <c r="E21" s="36" t="str">
        <v>纪念碑</v>
      </c>
      <c r="F21" s="27">
        <v>0</v>
      </c>
      <c r="G21" s="71" t="str">
        <v>远程</v>
      </c>
      <c r="H21" s="36" t="str">
        <v>步枪</v>
      </c>
      <c r="I21" s="36" t="str">
        <v>动能</v>
      </c>
      <c r="J21" s="36" t="str">
        <v>自动</v>
      </c>
      <c r="K21" s="36">
        <v>1</v>
      </c>
      <c r="L21" s="42"/>
      <c r="M21" s="46">
        <f>0.4 + (T21 / (T21 + 0.2)) * 0.4</f>
      </c>
      <c r="N21" s="27">
        <v>1400</v>
      </c>
      <c r="O21" s="27" t="str">
        <v>N/A</v>
      </c>
      <c r="P21" s="27">
        <v>0</v>
      </c>
      <c r="Q21" s="27">
        <v>0</v>
      </c>
      <c r="R21" s="27">
        <v>0.15</v>
      </c>
      <c r="S21" s="27">
        <v>0</v>
      </c>
      <c r="T21" s="27">
        <v>0.15</v>
      </c>
      <c r="U21" s="32">
        <f>2*T21/(15*(1+(5-BD21)*0.1))</f>
      </c>
      <c r="V21" s="11"/>
      <c r="W21" s="27">
        <v>0</v>
      </c>
      <c r="X21" s="27">
        <v>12</v>
      </c>
      <c r="Y21" s="116">
        <v>0.05</v>
      </c>
      <c r="Z21" s="116">
        <v>0.2</v>
      </c>
      <c r="AA21" s="28">
        <v>0.5</v>
      </c>
      <c r="AB21" s="28">
        <v>5</v>
      </c>
      <c r="AC21" s="28">
        <v>1.5</v>
      </c>
      <c r="AD21" s="28">
        <f>(W21+AB21)*AC21</f>
      </c>
      <c r="AE21" s="28">
        <f>(X21+AB21)*AC21</f>
      </c>
      <c r="AF21" s="11"/>
      <c r="AG21" s="27"/>
      <c r="AH21" s="27"/>
      <c r="AI21" s="11"/>
      <c r="AJ21" s="33">
        <v>0.44</v>
      </c>
      <c r="AK21" s="33">
        <v>0.44</v>
      </c>
      <c r="AL21" s="33">
        <v>0.44</v>
      </c>
      <c r="AM21" s="32">
        <f>IFS(AJ21 &gt; 1.25, "S", AJ21 &gt; 1, "A", AJ21 &gt; 0.75, "B", AJ21 &gt; 0.5, "C", AJ21 &gt; 0.25, "D", AJ21 &gt; 0, "E", TRUE, "-")</f>
      </c>
      <c r="AN21" s="32">
        <f>IFS(AK21 &gt; 1.25, "S", AK21 &gt; 1, "A", AK21 &gt; 0.75, "B", AK21 &gt; 0.5, "C", AK21 &gt; 0.25, "D", AK21 &gt; 0, "E", TRUE, "-")</f>
      </c>
      <c r="AO21" s="32">
        <f>IFS(AL21 &gt; 1.25, "S", AL21 &gt; 1, "A", AL21 &gt; 0.75, "B", AL21 &gt; 0.5, "C", AL21 &gt; 0.25, "D", AL21 &gt; 0, "E", TRUE, "-")</f>
      </c>
      <c r="AP21" s="32">
        <v>10</v>
      </c>
      <c r="AQ21" s="32">
        <v>10</v>
      </c>
      <c r="AR21" s="32">
        <v>10</v>
      </c>
      <c r="AS21" s="32"/>
      <c r="AT21" s="32"/>
      <c r="AU21" s="32"/>
      <c r="AV21" s="32">
        <f>IF(SUM(AJ21:AL21)=0, 0, (1 + F21 * 0.1) * (0.75 + 0.25 * MAX(0, MIN(1, IF(MAX(AJ21:AL21)=0, 0, (3*MAX(AJ21:AL21)-SUM(AJ21:AL21)) / (2*MAX(AJ21:AL21)))))))</f>
      </c>
      <c r="AW21" s="33">
        <f>MAX(AJ21:AL21)</f>
      </c>
      <c r="AX21" s="37">
        <f>IF(AW21=0, "", AW21 / ((1 + 0.1*N(F21))))</f>
      </c>
      <c r="AY21" s="32">
        <f>IF(SUM(AJ21:AL21)=0, 0,     (1 + F21 * 0.1) * (1 + ((SUM(AJ21:AL21) - MAX(AJ21:AL21)) / (2 * MAX(AJ21:AL21))) * (1/0.75 - 1)))</f>
      </c>
      <c r="AZ21" s="33">
        <f>AJ21+AK21+AL21</f>
      </c>
      <c r="BA21" s="37">
        <f>IF(AZ21=0, "", AZ21 / ((1 + 0.1*N(F21))/0.75))</f>
      </c>
      <c r="BB21" s="32">
        <v>0.1</v>
      </c>
      <c r="BC21" s="11"/>
      <c r="BD21" s="27">
        <v>2</v>
      </c>
      <c r="BE21" s="27">
        <v>1</v>
      </c>
      <c r="BF21" s="43">
        <v>2</v>
      </c>
      <c r="BG21" s="32">
        <f>T21*20*(16 * BF21) / (15 + 20 * BF21 - 3 * POWER(BF21, 2))/BT21/BS21</f>
      </c>
      <c r="BH21" s="33">
        <f>BG21</f>
      </c>
      <c r="BI21" s="45"/>
      <c r="BJ21" s="47">
        <v>2</v>
      </c>
      <c r="BK21" s="30">
        <f>T21*33*(16 * BJ21) / (15 + 20 * BJ21 - 3 * POWER(BJ21, 2))/BT21/BS21</f>
      </c>
      <c r="BL21" s="33">
        <f>BK21</f>
      </c>
      <c r="BM21" s="34"/>
      <c r="BN21" s="27">
        <v>30</v>
      </c>
      <c r="BO21" s="27">
        <v>2.5</v>
      </c>
      <c r="BP21" s="38">
        <f>ROUND(CP21/10,2)</f>
      </c>
      <c r="BQ21" s="88">
        <v>0.5</v>
      </c>
      <c r="BR21" s="32">
        <f>IFERROR(BQ21*100/CP21,"N/A")</f>
      </c>
      <c r="BS21" s="27">
        <v>1</v>
      </c>
      <c r="BT21" s="27">
        <v>1</v>
      </c>
      <c r="BU21" s="42"/>
      <c r="BV21" s="44">
        <f>CP21/1.5</f>
      </c>
      <c r="BW21" s="44">
        <f>ROUND(BV21)</f>
      </c>
      <c r="BX21" s="32">
        <f>CP21/BW21</f>
      </c>
      <c r="BY21" s="35">
        <f>BW21/T21</f>
      </c>
      <c r="BZ21" s="11"/>
      <c r="CA21" s="31">
        <v>10</v>
      </c>
      <c r="CB21" s="32">
        <f>CA21*BB21*(AP21*AJ21+AQ21*AK21+AR21*AL21)</f>
      </c>
      <c r="CC21" s="32">
        <f>CA21+CB21</f>
      </c>
      <c r="CD21" s="32">
        <f>T21 * 2 / BS21 / BT21 * (0.9 + 0.2 * IF(G21="近战", EXP(-64 * (T21 - 0.75)^2), EXP(-400 * (T21 - 0.15)^2)))</f>
      </c>
      <c r="CE21" s="32">
        <f>0.9 + 0.2 / (1 + (N21/600)^1)</f>
      </c>
      <c r="CF21" s="32">
        <f>LET(  k, K21,  be, BS21,  bf, BT21,  m, N21,  n, O21,  v, X21,  vEff, IF(ISNUMBER(v), v, 0),  angle,    IF(      ISNUMBER(n),        IF(n&gt;0, n,           IF(ISNUMBER(v),              IF(v&gt;0, v, 0),              0           )        ),      IF(ISNUMBER(v),         IF(v&gt;0, v, 0),         0      )    ),  T,    IF(k=1,       be * bf * 20 / MAX(vEff, 1),    IF(k=2,       (m/150)^2 * (angle/120),    IF(k=3,       be * (MIN(bf, 99)/99) * (m/1000),       be * bf * (m/1000) * (n/200)^2    ))),  b, 0.8,  c, 1.2,  r, (c-1)/(1-b),  k_s, 1,  b + (c-b) / (1 + r * EXP(-k_s*(1-T))))</f>
      </c>
      <c r="CG21" s="32">
        <f>IF(T21&lt;=0,1,   (0.9 + 0.2 / (1 + EXP(-0.8 * (5 - BD21)))) * (0.9 + 0.2 / (1 + EXP(-1 * (3.5 - BE21)))) * (0.9 + 0.2 / (1 + EXP(-0.6 * (20 - BS21*BH21/T21)))))</f>
      </c>
      <c r="CH21" s="32">
        <f>IF(T21&lt;=0, 1, 0.9 + 0.2 / (1 + EXP(0.1 * (BL21*BS21*BT21/T21 - 33))))</f>
      </c>
      <c r="CI21" s="32">
        <f>LET(    x_val, X21,    bq_val, BS21,    Check_Fail, OR(NOT(ISNUMBER(x_val)), bq_val &lt;= 1),        IF(Check_Fail, 1,        LET(            Ratio, x_val / bq_val,                        calc_A, 2.5 / (1 + EXP(-0.23105 * (Ratio - 3))),            calc_B, 2.5 / (1 + EXP(-0.008664 * (x_val - 20))),                        calc_A + calc_B        )    ))</f>
      </c>
      <c r="CJ21" s="33">
        <f>CD21*CE21*CF21*CG21*CH21*CI21</f>
      </c>
      <c r="CK21" s="33">
        <v>0.3</v>
      </c>
      <c r="CL21" s="32">
        <f>T21 * 2 / BS21 / BT21</f>
      </c>
      <c r="CM21" s="37">
        <f>CK21/CL21</f>
      </c>
      <c r="CN21" s="32">
        <f>CK21*CC21</f>
      </c>
      <c r="CO21" s="42"/>
      <c r="CP21" s="48">
        <f>CN21*BS21*BT21</f>
      </c>
      <c r="CQ21" s="32">
        <f>CP21/T21</f>
      </c>
      <c r="CR21" s="32">
        <f>100/CP21</f>
      </c>
      <c r="CS21" s="35">
        <f>100/CQ21</f>
      </c>
      <c r="CT21" s="32"/>
      <c r="CU21" s="32"/>
      <c r="CV21" s="35">
        <f>BL21/T21</f>
      </c>
      <c r="CW21" s="35">
        <f>100/CV21</f>
      </c>
      <c r="CX21" s="40"/>
      <c r="CY21" s="41" t="str">
        <v>结合了人类历史上最经典的两款武器设计，
制作而成的制式步枪，性能设计得非常平衡。
若企业未为武装雇员配发此装备，
不少人也会自行购入并按规定登记使用。</v>
      </c>
      <c r="CZ21" s="40"/>
      <c r="DA21" s="41">
        <f>TEXTJOIN("、", TRUE, FILTER('武器技能'!B:B, '武器技能'!E:E = H21))</f>
      </c>
      <c r="DB21" s="40"/>
      <c r="DC21" s="27" t="str">
        <v>完成</v>
      </c>
      <c r="DD21" s="27" t="str">
        <v>完成</v>
      </c>
    </row>
    <row customHeight="true" ht="19" r="22">
      <c r="A22" s="90" t="str">
        <v>AR47</v>
      </c>
      <c r="B22" s="90" t="str">
        <v>AR47</v>
      </c>
      <c r="C22" s="90"/>
      <c r="D22" s="90">
        <f>IF($A22="","","WPN"&amp;VLOOKUP(E22,'引用数据库'!Z:AC,4,FALSE)&amp;VLOOKUP(H22,'引用数据库'!N:P,3,FALSE)&amp;VLOOKUP(I22,'引用数据库'!S:U,3,FALSE)&amp;TEXT(F22,"00"))</f>
      </c>
      <c r="E22" s="90" t="str">
        <v>纪念碑</v>
      </c>
      <c r="F22" s="91">
        <v>1</v>
      </c>
      <c r="G22" s="90">
        <f>G21</f>
      </c>
      <c r="H22" s="90">
        <f>H21</f>
      </c>
      <c r="I22" s="90">
        <f>I21</f>
      </c>
      <c r="J22" s="90" t="str">
        <v>自动</v>
      </c>
      <c r="K22" s="71">
        <f>K21</f>
      </c>
      <c r="L22" s="42"/>
      <c r="M22" s="98">
        <f>M21</f>
      </c>
      <c r="N22" s="91">
        <v>1400</v>
      </c>
      <c r="O22" s="91" t="str">
        <v>N/A</v>
      </c>
      <c r="P22" s="91">
        <v>0</v>
      </c>
      <c r="Q22" s="91">
        <v>0</v>
      </c>
      <c r="R22" s="91">
        <v>0.15</v>
      </c>
      <c r="S22" s="91">
        <v>0</v>
      </c>
      <c r="T22" s="91">
        <f>SUM(P22:S22)</f>
      </c>
      <c r="U22" s="88">
        <f>2*T22/(15*(1+(5-BD22)*0.1))</f>
      </c>
      <c r="V22" s="11"/>
      <c r="W22" s="91">
        <f>W21</f>
      </c>
      <c r="X22" s="91">
        <f>X21</f>
      </c>
      <c r="Y22" s="91">
        <f>Y21</f>
      </c>
      <c r="Z22" s="91">
        <f>Z21</f>
      </c>
      <c r="AA22" s="91">
        <f>AA21</f>
      </c>
      <c r="AB22" s="91">
        <f>AB21</f>
      </c>
      <c r="AC22" s="91">
        <f>AC21</f>
      </c>
      <c r="AD22" s="91">
        <f>AD21</f>
      </c>
      <c r="AE22" s="91">
        <f>AE21</f>
      </c>
      <c r="AF22" s="11"/>
      <c r="AG22" s="91"/>
      <c r="AH22" s="91"/>
      <c r="AI22" s="11"/>
      <c r="AJ22" s="87">
        <f>AJ21+0.05</f>
      </c>
      <c r="AK22" s="87">
        <f>AK21+0.05</f>
      </c>
      <c r="AL22" s="87">
        <f>AL21+0.05</f>
      </c>
      <c r="AM22" s="88">
        <f>IFS(AJ22 &gt; 1.25, "S", AJ22 &gt; 1, "A", AJ22 &gt; 0.75, "B", AJ22 &gt; 0.5, "C", AJ22 &gt; 0.25, "D", AJ22 &gt; 0, "E", TRUE, "-")</f>
      </c>
      <c r="AN22" s="88">
        <f>IFS(AK22 &gt; 1.25, "S", AK22 &gt; 1, "A", AK22 &gt; 0.75, "B", AK22 &gt; 0.5, "C", AK22 &gt; 0.25, "D", AK22 &gt; 0, "E", TRUE, "-")</f>
      </c>
      <c r="AO22" s="88">
        <f>IFS(AL22 &gt; 1.25, "S", AL22 &gt; 1, "A", AL22 &gt; 0.75, "B", AL22 &gt; 0.5, "C", AL22 &gt; 0.25, "D", AL22 &gt; 0, "E", TRUE, "-")</f>
      </c>
      <c r="AP22" s="88">
        <v>10</v>
      </c>
      <c r="AQ22" s="88">
        <v>10</v>
      </c>
      <c r="AR22" s="88">
        <v>10</v>
      </c>
      <c r="AS22" s="88"/>
      <c r="AT22" s="88"/>
      <c r="AU22" s="88"/>
      <c r="AV22" s="88">
        <f>IF(SUM(AJ22:AL22)=0, 0, (1 + F22 * 0.1) * (0.75 + 0.25 * MAX(0, MIN(1, IF(MAX(AJ22:AL22)=0, 0, (3*MAX(AJ22:AL22)-SUM(AJ22:AL22)) / (2*MAX(AJ22:AL22)))))))</f>
      </c>
      <c r="AW22" s="87">
        <f>MAX(AJ22:AL22)</f>
      </c>
      <c r="AX22" s="92">
        <f>IF(AW22=0, "", AW22 / ((1 + 0.1*N(F22))))</f>
      </c>
      <c r="AY22" s="88">
        <f>IF(SUM(AJ22:AL22)=0, 0,     (1 + F22 * 0.1) * (1 + ((SUM(AJ22:AL22) - MAX(AJ22:AL22)) / (2 * MAX(AJ22:AL22))) * (1/0.75 - 1)))</f>
      </c>
      <c r="AZ22" s="87">
        <f>AJ22+AK22+AL22</f>
      </c>
      <c r="BA22" s="92">
        <f>IF(AZ22=0, "", AZ22 / ((1 + 0.1*N(F22))/0.75))</f>
      </c>
      <c r="BB22" s="88">
        <v>0.1</v>
      </c>
      <c r="BC22" s="11"/>
      <c r="BD22" s="91">
        <f>BD21</f>
      </c>
      <c r="BE22" s="91">
        <f>BE21</f>
      </c>
      <c r="BF22" s="93"/>
      <c r="BG22" s="88"/>
      <c r="BH22" s="101">
        <f>BH21</f>
      </c>
      <c r="BI22" s="45"/>
      <c r="BJ22" s="99"/>
      <c r="BK22" s="101"/>
      <c r="BL22" s="101">
        <f>BL21</f>
      </c>
      <c r="BM22" s="34"/>
      <c r="BN22" s="91">
        <v>30</v>
      </c>
      <c r="BO22" s="91">
        <v>2.5</v>
      </c>
      <c r="BP22" s="88"/>
      <c r="BQ22" s="88">
        <f>BQ21</f>
      </c>
      <c r="BR22" s="88">
        <f>IFERROR(BQ22*100/CP22,"N/A")</f>
      </c>
      <c r="BS22" s="91">
        <v>1</v>
      </c>
      <c r="BT22" s="91">
        <v>1</v>
      </c>
      <c r="BU22" s="42"/>
      <c r="BV22" s="114"/>
      <c r="BW22" s="94">
        <f>BW21</f>
      </c>
      <c r="BX22" s="88">
        <f>CP22/BW22</f>
      </c>
      <c r="BY22" s="89">
        <f>BW22/T22</f>
      </c>
      <c r="BZ22" s="11"/>
      <c r="CA22" s="100">
        <f>CA21+20</f>
      </c>
      <c r="CB22" s="88">
        <f>CA22*BB22*(AP22*AJ22+AQ22*AK22+AR22*AL22)</f>
      </c>
      <c r="CC22" s="88">
        <f>CA22+CB22</f>
      </c>
      <c r="CD22" s="88"/>
      <c r="CE22" s="88"/>
      <c r="CF22" s="88"/>
      <c r="CG22" s="88"/>
      <c r="CH22" s="88"/>
      <c r="CI22" s="88"/>
      <c r="CJ22" s="87"/>
      <c r="CK22" s="87">
        <f>CK21</f>
      </c>
      <c r="CL22" s="87"/>
      <c r="CM22" s="88"/>
      <c r="CN22" s="88">
        <f>CK22*CC22</f>
      </c>
      <c r="CO22" s="42"/>
      <c r="CP22" s="97">
        <f>CN22*BS22*BT22</f>
      </c>
      <c r="CQ22" s="88">
        <f>CP22/T22</f>
      </c>
      <c r="CR22" s="88">
        <f>100/CP22</f>
      </c>
      <c r="CS22" s="89">
        <f>100/CQ22</f>
      </c>
      <c r="CT22" s="88">
        <f>CQ22-CQ21</f>
      </c>
      <c r="CU22" s="98">
        <f>(CQ22-CQ21)/CQ21</f>
      </c>
      <c r="CV22" s="89">
        <f>BL22/T22</f>
      </c>
      <c r="CW22" s="89">
        <f>100/CV22</f>
      </c>
      <c r="CX22" s="40"/>
      <c r="CY22" s="41"/>
      <c r="CZ22" s="40"/>
      <c r="DA22" s="41"/>
      <c r="DB22" s="40"/>
      <c r="DC22" s="91" t="str">
        <v>完成</v>
      </c>
      <c r="DD22" s="91" t="str">
        <v>完成</v>
      </c>
    </row>
    <row r="23">
      <c r="A23" s="71" t="str">
        <v>AR47</v>
      </c>
      <c r="B23" s="75" t="str">
        <v>AR47</v>
      </c>
      <c r="C23" s="71"/>
      <c r="D23" s="71">
        <f>IF($A23="","","WPN"&amp;VLOOKUP(E23,'引用数据库'!Z:AC,4,FALSE)&amp;VLOOKUP(H23,'引用数据库'!N:P,3,FALSE)&amp;VLOOKUP(I23,'引用数据库'!S:U,3,FALSE)&amp;TEXT(F23,"00"))</f>
      </c>
      <c r="E23" s="75" t="str">
        <v>纪念碑</v>
      </c>
      <c r="F23" s="110">
        <v>2</v>
      </c>
      <c r="G23" s="71">
        <f>G22</f>
      </c>
      <c r="H23" s="75">
        <f>H22</f>
      </c>
      <c r="I23" s="75">
        <f>I22</f>
      </c>
      <c r="J23" s="71" t="str">
        <v>自动</v>
      </c>
      <c r="K23" s="71">
        <f>K22</f>
      </c>
      <c r="L23" s="42"/>
      <c r="M23" s="65">
        <f>M22</f>
      </c>
      <c r="N23" s="72">
        <v>1400</v>
      </c>
      <c r="O23" s="72" t="str">
        <v>N/A</v>
      </c>
      <c r="P23" s="72">
        <v>0</v>
      </c>
      <c r="Q23" s="72">
        <v>0</v>
      </c>
      <c r="R23" s="72">
        <v>0.15</v>
      </c>
      <c r="S23" s="72">
        <v>0</v>
      </c>
      <c r="T23" s="72">
        <f>SUM(P23:S23)</f>
      </c>
      <c r="U23" s="39">
        <f>2*T23/(15*(1+(5-BD23)*0.1))</f>
      </c>
      <c r="V23" s="11"/>
      <c r="W23" s="72">
        <f>W22</f>
      </c>
      <c r="X23" s="72">
        <f>X22</f>
      </c>
      <c r="Y23" s="72">
        <f>Y22</f>
      </c>
      <c r="Z23" s="72">
        <f>Z22</f>
      </c>
      <c r="AA23" s="72">
        <f>AA22</f>
      </c>
      <c r="AB23" s="72">
        <f>AB22</f>
      </c>
      <c r="AC23" s="72">
        <f>AC22</f>
      </c>
      <c r="AD23" s="107">
        <f>AD22</f>
      </c>
      <c r="AE23" s="107">
        <f>AE22</f>
      </c>
      <c r="AF23" s="11"/>
      <c r="AG23" s="72"/>
      <c r="AH23" s="72"/>
      <c r="AI23" s="11"/>
      <c r="AJ23" s="108">
        <v>0.53</v>
      </c>
      <c r="AK23" s="108">
        <v>0.53</v>
      </c>
      <c r="AL23" s="108">
        <v>0.53</v>
      </c>
      <c r="AM23" s="105">
        <f>IFS(AJ23 &gt; 1.25, "S", AJ23 &gt; 1, "A", AJ23 &gt; 0.75, "B", AJ23 &gt; 0.5, "C", AJ23 &gt; 0.25, "D", AJ23 &gt; 0, "E", TRUE, "-")</f>
      </c>
      <c r="AN23" s="105">
        <f>IFS(AK23 &gt; 1.25, "S", AK23 &gt; 1, "A", AK23 &gt; 0.75, "B", AK23 &gt; 0.5, "C", AK23 &gt; 0.25, "D", AK23 &gt; 0, "E", TRUE, "-")</f>
      </c>
      <c r="AO23" s="105">
        <f>IFS(AL23 &gt; 1.25, "S", AL23 &gt; 1, "A", AL23 &gt; 0.75, "B", AL23 &gt; 0.5, "C", AL23 &gt; 0.25, "D", AL23 &gt; 0, "E", TRUE, "-")</f>
      </c>
      <c r="AP23" s="68">
        <v>10</v>
      </c>
      <c r="AQ23" s="68">
        <v>10</v>
      </c>
      <c r="AR23" s="68">
        <v>10</v>
      </c>
      <c r="AS23" s="105"/>
      <c r="AT23" s="105"/>
      <c r="AU23" s="105"/>
      <c r="AV23" s="68">
        <f>IF(SUM(AJ23:AL23)=0, 0, (1 + F23 * 0.1) * (0.75 + 0.25 * MAX(0, MIN(1, IF(MAX(AJ23:AL23)=0, 0, (3*MAX(AJ23:AL23)-SUM(AJ23:AL23)) / (2*MAX(AJ23:AL23)))))))</f>
      </c>
      <c r="AW23" s="111">
        <f>MAX(AJ23:AL23)</f>
      </c>
      <c r="AX23" s="109">
        <f>IF(AW23=0, "", AW23 / ((1 + 0.1*N(F23))))</f>
      </c>
      <c r="AY23" s="68">
        <f>IF(SUM(AJ23:AL23)=0, 0,     (1 + F23 * 0.1) * (1 + ((SUM(AJ23:AL23) - MAX(AJ23:AL23)) / (2 * MAX(AJ23:AL23))) * (1/0.75 - 1)))</f>
      </c>
      <c r="AZ23" s="111">
        <f>AJ23+AK23+AL23</f>
      </c>
      <c r="BA23" s="109">
        <f>IF(AZ23=0, "", AZ23 / ((1 + 0.1*N(F23))/0.75))</f>
      </c>
      <c r="BB23" s="39">
        <v>0.1</v>
      </c>
      <c r="BC23" s="11"/>
      <c r="BD23" s="72">
        <f>BD22</f>
      </c>
      <c r="BE23" s="72">
        <f>BE22</f>
      </c>
      <c r="BF23" s="74"/>
      <c r="BG23" s="38"/>
      <c r="BH23" s="56">
        <f>BH22</f>
      </c>
      <c r="BI23" s="45"/>
      <c r="BJ23" s="63"/>
      <c r="BK23" s="49"/>
      <c r="BL23" s="56">
        <f>BL22</f>
      </c>
      <c r="BM23" s="34"/>
      <c r="BN23" s="110">
        <v>30</v>
      </c>
      <c r="BO23" s="72">
        <v>2.5</v>
      </c>
      <c r="BP23" s="38"/>
      <c r="BQ23" s="39">
        <f>BQ22</f>
      </c>
      <c r="BR23" s="38">
        <f>IFERROR(BQ23*100/CP23,"N/A")</f>
      </c>
      <c r="BS23" s="107">
        <v>1</v>
      </c>
      <c r="BT23" s="72">
        <v>1</v>
      </c>
      <c r="BU23" s="42"/>
      <c r="BV23" s="78"/>
      <c r="BW23" s="104">
        <f>BW22</f>
      </c>
      <c r="BX23" s="38">
        <f>CP23/BW23</f>
      </c>
      <c r="BY23" s="96">
        <f>BW23/T23</f>
      </c>
      <c r="BZ23" s="11"/>
      <c r="CA23" s="113">
        <f>CA22+10</f>
      </c>
      <c r="CB23" s="39">
        <f>CA23*BB23*(AP23*AJ23+AQ23*AK23+AR23*AL23)</f>
      </c>
      <c r="CC23" s="39">
        <f>CA23+CB23</f>
      </c>
      <c r="CD23" s="38"/>
      <c r="CE23" s="38"/>
      <c r="CF23" s="38"/>
      <c r="CG23" s="38"/>
      <c r="CH23" s="38"/>
      <c r="CI23" s="38"/>
      <c r="CJ23" s="106"/>
      <c r="CK23" s="103">
        <f>CK22</f>
      </c>
      <c r="CL23" s="106"/>
      <c r="CM23" s="38"/>
      <c r="CN23" s="105">
        <f>CK23*CC23</f>
      </c>
      <c r="CO23" s="42"/>
      <c r="CP23" s="70">
        <f>CN23*BS23*BT23</f>
      </c>
      <c r="CQ23" s="38">
        <f>CP23/T23</f>
      </c>
      <c r="CR23" s="38">
        <f>100/CP23</f>
      </c>
      <c r="CS23" s="96">
        <f>100/CQ23</f>
      </c>
      <c r="CT23" s="38">
        <f>CQ23-CQ22</f>
      </c>
      <c r="CU23" s="112">
        <f>(CQ23-CQ22)/CQ22</f>
      </c>
      <c r="CV23" s="96">
        <f>BL23/T23</f>
      </c>
      <c r="CW23" s="96">
        <f>100/CV23</f>
      </c>
      <c r="CX23" s="40"/>
      <c r="CY23" s="41"/>
      <c r="CZ23" s="40"/>
      <c r="DA23" s="41"/>
      <c r="DB23" s="40"/>
      <c r="DC23" s="11" t="str">
        <v>完成</v>
      </c>
      <c r="DD23" s="1" t="str">
        <v>完成</v>
      </c>
    </row>
    <row r="24">
      <c r="A24" s="71" t="str">
        <v>AR47</v>
      </c>
      <c r="B24" s="75" t="str">
        <v>AR47</v>
      </c>
      <c r="C24" s="71"/>
      <c r="D24" s="71">
        <f>IF($A24="","","WPN"&amp;VLOOKUP(E24,'引用数据库'!Z:AC,4,FALSE)&amp;VLOOKUP(H24,'引用数据库'!N:P,3,FALSE)&amp;VLOOKUP(I24,'引用数据库'!S:U,3,FALSE)&amp;TEXT(F24,"00"))</f>
      </c>
      <c r="E24" s="75" t="str">
        <v>纪念碑</v>
      </c>
      <c r="F24" s="110">
        <v>3</v>
      </c>
      <c r="G24" s="71">
        <f>G23</f>
      </c>
      <c r="H24" s="75">
        <f>H23</f>
      </c>
      <c r="I24" s="75">
        <f>I23</f>
      </c>
      <c r="J24" s="71" t="str">
        <v>自动</v>
      </c>
      <c r="K24" s="71">
        <f>K23</f>
      </c>
      <c r="L24" s="42"/>
      <c r="M24" s="65">
        <f>M23</f>
      </c>
      <c r="N24" s="72">
        <v>1400</v>
      </c>
      <c r="O24" s="72" t="str">
        <v>N/A</v>
      </c>
      <c r="P24" s="72">
        <v>0</v>
      </c>
      <c r="Q24" s="72">
        <v>0</v>
      </c>
      <c r="R24" s="72">
        <v>0.15</v>
      </c>
      <c r="S24" s="72">
        <v>0</v>
      </c>
      <c r="T24" s="72">
        <f>SUM(P24:S24)</f>
      </c>
      <c r="U24" s="39">
        <f>2*T24/(15*(1+(5-BD24)*0.1))</f>
      </c>
      <c r="V24" s="11"/>
      <c r="W24" s="72">
        <f>W23</f>
      </c>
      <c r="X24" s="72">
        <f>X23</f>
      </c>
      <c r="Y24" s="72">
        <f>Y23</f>
      </c>
      <c r="Z24" s="72">
        <f>Z23</f>
      </c>
      <c r="AA24" s="72">
        <f>AA23</f>
      </c>
      <c r="AB24" s="72">
        <f>AB23</f>
      </c>
      <c r="AC24" s="72">
        <f>AC23</f>
      </c>
      <c r="AD24" s="107">
        <f>AD23</f>
      </c>
      <c r="AE24" s="107">
        <f>AE23</f>
      </c>
      <c r="AF24" s="11"/>
      <c r="AG24" s="72"/>
      <c r="AH24" s="72"/>
      <c r="AI24" s="11"/>
      <c r="AJ24" s="108">
        <f>AJ23+0.05</f>
      </c>
      <c r="AK24" s="108">
        <f>AK23+0.05</f>
      </c>
      <c r="AL24" s="108">
        <f>AL23+0.05</f>
      </c>
      <c r="AM24" s="105">
        <f>IFS(AJ24 &gt; 1.25, "S", AJ24 &gt; 1, "A", AJ24 &gt; 0.75, "B", AJ24 &gt; 0.5, "C", AJ24 &gt; 0.25, "D", AJ24 &gt; 0, "E", TRUE, "-")</f>
      </c>
      <c r="AN24" s="105">
        <f>IFS(AK24 &gt; 1.25, "S", AK24 &gt; 1, "A", AK24 &gt; 0.75, "B", AK24 &gt; 0.5, "C", AK24 &gt; 0.25, "D", AK24 &gt; 0, "E", TRUE, "-")</f>
      </c>
      <c r="AO24" s="105">
        <f>IFS(AL24 &gt; 1.25, "S", AL24 &gt; 1, "A", AL24 &gt; 0.75, "B", AL24 &gt; 0.5, "C", AL24 &gt; 0.25, "D", AL24 &gt; 0, "E", TRUE, "-")</f>
      </c>
      <c r="AP24" s="68">
        <v>10</v>
      </c>
      <c r="AQ24" s="68">
        <v>10</v>
      </c>
      <c r="AR24" s="68">
        <v>10</v>
      </c>
      <c r="AS24" s="105"/>
      <c r="AT24" s="105"/>
      <c r="AU24" s="105"/>
      <c r="AV24" s="68">
        <f>IF(SUM(AJ24:AL24)=0, 0, (1 + F24 * 0.1) * (0.75 + 0.25 * MAX(0, MIN(1, IF(MAX(AJ24:AL24)=0, 0, (3*MAX(AJ24:AL24)-SUM(AJ24:AL24)) / (2*MAX(AJ24:AL24)))))))</f>
      </c>
      <c r="AW24" s="111">
        <f>MAX(AJ24:AL24)</f>
      </c>
      <c r="AX24" s="109">
        <f>IF(AW24=0, "", AW24 / ((1 + 0.1*N(F24))))</f>
      </c>
      <c r="AY24" s="68">
        <f>IF(SUM(AJ24:AL24)=0, 0,     (1 + F24 * 0.1) * (1 + ((SUM(AJ24:AL24) - MAX(AJ24:AL24)) / (2 * MAX(AJ24:AL24))) * (1/0.75 - 1)))</f>
      </c>
      <c r="AZ24" s="111">
        <f>AJ24+AK24+AL24</f>
      </c>
      <c r="BA24" s="109">
        <f>IF(AZ24=0, "", AZ24 / ((1 + 0.1*N(F24))/0.75))</f>
      </c>
      <c r="BB24" s="39">
        <v>0.1</v>
      </c>
      <c r="BC24" s="11"/>
      <c r="BD24" s="72">
        <f>BD23</f>
      </c>
      <c r="BE24" s="72">
        <f>BE23</f>
      </c>
      <c r="BF24" s="74"/>
      <c r="BG24" s="38"/>
      <c r="BH24" s="56">
        <f>BH23</f>
      </c>
      <c r="BI24" s="45"/>
      <c r="BJ24" s="63"/>
      <c r="BK24" s="49"/>
      <c r="BL24" s="56">
        <f>BL23</f>
      </c>
      <c r="BM24" s="34"/>
      <c r="BN24" s="110">
        <v>30</v>
      </c>
      <c r="BO24" s="72">
        <v>2.5</v>
      </c>
      <c r="BP24" s="38"/>
      <c r="BQ24" s="39">
        <f>BQ23</f>
      </c>
      <c r="BR24" s="38">
        <f>IFERROR(BQ24*100/CP24,"N/A")</f>
      </c>
      <c r="BS24" s="107">
        <v>1</v>
      </c>
      <c r="BT24" s="72">
        <v>1</v>
      </c>
      <c r="BU24" s="42"/>
      <c r="BV24" s="78"/>
      <c r="BW24" s="104">
        <f>BW23</f>
      </c>
      <c r="BX24" s="38">
        <f>CP24/BW24</f>
      </c>
      <c r="BY24" s="96">
        <f>BW24/T24</f>
      </c>
      <c r="BZ24" s="11"/>
      <c r="CA24" s="113">
        <f>CA23+10</f>
      </c>
      <c r="CB24" s="39">
        <f>CA24*BB24*(AP24*AJ24+AQ24*AK24+AR24*AL24)</f>
      </c>
      <c r="CC24" s="39">
        <f>CA24+CB24</f>
      </c>
      <c r="CD24" s="38"/>
      <c r="CE24" s="38"/>
      <c r="CF24" s="38"/>
      <c r="CG24" s="38"/>
      <c r="CH24" s="38"/>
      <c r="CI24" s="38"/>
      <c r="CJ24" s="106"/>
      <c r="CK24" s="103">
        <f>CK23</f>
      </c>
      <c r="CL24" s="106"/>
      <c r="CM24" s="38"/>
      <c r="CN24" s="105">
        <f>CK24*CC24</f>
      </c>
      <c r="CO24" s="42"/>
      <c r="CP24" s="70">
        <f>CN24*BS24*BT24</f>
      </c>
      <c r="CQ24" s="38">
        <f>CP24/T24</f>
      </c>
      <c r="CR24" s="38">
        <f>100/CP24</f>
      </c>
      <c r="CS24" s="96">
        <f>100/CQ24</f>
      </c>
      <c r="CT24" s="38">
        <f>CQ24-CQ23</f>
      </c>
      <c r="CU24" s="112">
        <f>(CQ24-CQ23)/CQ23</f>
      </c>
      <c r="CV24" s="96">
        <f>BL24/T24</f>
      </c>
      <c r="CW24" s="96">
        <f>100/CV24</f>
      </c>
      <c r="CX24" s="40"/>
      <c r="CY24" s="41"/>
      <c r="CZ24" s="40"/>
      <c r="DA24" s="41"/>
      <c r="DB24" s="40"/>
      <c r="DC24" s="11" t="str">
        <v>完成</v>
      </c>
      <c r="DD24" s="1" t="str">
        <v>完成</v>
      </c>
    </row>
    <row customHeight="true" ht="19" r="25">
      <c r="A25" s="71" t="str">
        <v>AR47</v>
      </c>
      <c r="B25" s="75" t="str">
        <v>AR47</v>
      </c>
      <c r="C25" s="71"/>
      <c r="D25" s="71">
        <f>IF($A25="","","WPN"&amp;VLOOKUP(E25,'引用数据库'!Z:AC,4,FALSE)&amp;VLOOKUP(H25,'引用数据库'!N:P,3,FALSE)&amp;VLOOKUP(I25,'引用数据库'!S:U,3,FALSE)&amp;TEXT(F25,"00"))</f>
      </c>
      <c r="E25" s="75" t="str">
        <v>纪念碑</v>
      </c>
      <c r="F25" s="110">
        <v>4</v>
      </c>
      <c r="G25" s="71">
        <f>G24</f>
      </c>
      <c r="H25" s="75">
        <f>H24</f>
      </c>
      <c r="I25" s="75">
        <f>I24</f>
      </c>
      <c r="J25" s="71" t="str">
        <v>自动</v>
      </c>
      <c r="K25" s="71">
        <f>K24</f>
      </c>
      <c r="L25" s="42"/>
      <c r="M25" s="65">
        <f>M24</f>
      </c>
      <c r="N25" s="72">
        <v>1400</v>
      </c>
      <c r="O25" s="72" t="str">
        <v>N/A</v>
      </c>
      <c r="P25" s="72">
        <v>0</v>
      </c>
      <c r="Q25" s="72">
        <v>0</v>
      </c>
      <c r="R25" s="72">
        <v>0.15</v>
      </c>
      <c r="S25" s="72">
        <v>0</v>
      </c>
      <c r="T25" s="72">
        <f>SUM(P25:S25)</f>
      </c>
      <c r="U25" s="39">
        <f>2*T25/(15*(1+(5-BD25)*0.1))</f>
      </c>
      <c r="V25" s="11"/>
      <c r="W25" s="72">
        <f>W24</f>
      </c>
      <c r="X25" s="72">
        <f>X24</f>
      </c>
      <c r="Y25" s="72">
        <f>Y24</f>
      </c>
      <c r="Z25" s="72">
        <f>Z24</f>
      </c>
      <c r="AA25" s="72">
        <f>AA24</f>
      </c>
      <c r="AB25" s="72">
        <f>AB24</f>
      </c>
      <c r="AC25" s="72">
        <f>AC24</f>
      </c>
      <c r="AD25" s="107">
        <f>AD24</f>
      </c>
      <c r="AE25" s="107">
        <f>AE24</f>
      </c>
      <c r="AF25" s="11"/>
      <c r="AG25" s="72"/>
      <c r="AH25" s="72"/>
      <c r="AI25" s="11"/>
      <c r="AJ25" s="108">
        <f>AJ24+0.05</f>
      </c>
      <c r="AK25" s="108">
        <f>AK24+0.05</f>
      </c>
      <c r="AL25" s="108">
        <f>AL24+0.05</f>
      </c>
      <c r="AM25" s="105">
        <f>IFS(AJ25 &gt; 1.25, "S", AJ25 &gt; 1, "A", AJ25 &gt; 0.75, "B", AJ25 &gt; 0.5, "C", AJ25 &gt; 0.25, "D", AJ25 &gt; 0, "E", TRUE, "-")</f>
      </c>
      <c r="AN25" s="105">
        <f>IFS(AK25 &gt; 1.25, "S", AK25 &gt; 1, "A", AK25 &gt; 0.75, "B", AK25 &gt; 0.5, "C", AK25 &gt; 0.25, "D", AK25 &gt; 0, "E", TRUE, "-")</f>
      </c>
      <c r="AO25" s="105">
        <f>IFS(AL25 &gt; 1.25, "S", AL25 &gt; 1, "A", AL25 &gt; 0.75, "B", AL25 &gt; 0.5, "C", AL25 &gt; 0.25, "D", AL25 &gt; 0, "E", TRUE, "-")</f>
      </c>
      <c r="AP25" s="68">
        <v>10</v>
      </c>
      <c r="AQ25" s="68">
        <v>10</v>
      </c>
      <c r="AR25" s="68">
        <v>10</v>
      </c>
      <c r="AS25" s="105"/>
      <c r="AT25" s="105"/>
      <c r="AU25" s="105"/>
      <c r="AV25" s="68">
        <f>IF(SUM(AJ25:AL25)=0, 0, (1 + F25 * 0.1) * (0.75 + 0.25 * MAX(0, MIN(1, IF(MAX(AJ25:AL25)=0, 0, (3*MAX(AJ25:AL25)-SUM(AJ25:AL25)) / (2*MAX(AJ25:AL25)))))))</f>
      </c>
      <c r="AW25" s="111">
        <f>MAX(AJ25:AL25)</f>
      </c>
      <c r="AX25" s="109">
        <f>IF(AW25=0, "", AW25 / ((1 + 0.1*N(F25))))</f>
      </c>
      <c r="AY25" s="68">
        <f>IF(SUM(AJ25:AL25)=0, 0,     (1 + F25 * 0.1) * (1 + ((SUM(AJ25:AL25) - MAX(AJ25:AL25)) / (2 * MAX(AJ25:AL25))) * (1/0.75 - 1)))</f>
      </c>
      <c r="AZ25" s="111">
        <f>AJ25+AK25+AL25</f>
      </c>
      <c r="BA25" s="109">
        <f>IF(AZ25=0, "", AZ25 / ((1 + 0.1*N(F25))/0.75))</f>
      </c>
      <c r="BB25" s="39">
        <v>0.1</v>
      </c>
      <c r="BC25" s="11"/>
      <c r="BD25" s="72">
        <f>BD24</f>
      </c>
      <c r="BE25" s="72">
        <f>BE24</f>
      </c>
      <c r="BF25" s="74"/>
      <c r="BG25" s="38"/>
      <c r="BH25" s="56">
        <f>BH24</f>
      </c>
      <c r="BI25" s="45"/>
      <c r="BJ25" s="63"/>
      <c r="BK25" s="49"/>
      <c r="BL25" s="56">
        <f>BL24</f>
      </c>
      <c r="BM25" s="34"/>
      <c r="BN25" s="110">
        <v>30</v>
      </c>
      <c r="BO25" s="72">
        <v>2.5</v>
      </c>
      <c r="BP25" s="38"/>
      <c r="BQ25" s="39">
        <f>BQ24</f>
      </c>
      <c r="BR25" s="38">
        <f>IFERROR(BQ25*100/CP25,"N/A")</f>
      </c>
      <c r="BS25" s="107">
        <v>1</v>
      </c>
      <c r="BT25" s="72">
        <v>1</v>
      </c>
      <c r="BU25" s="42"/>
      <c r="BV25" s="78"/>
      <c r="BW25" s="104">
        <f>BW24</f>
      </c>
      <c r="BX25" s="38">
        <f>CP25/BW25</f>
      </c>
      <c r="BY25" s="96">
        <f>BW25/T25</f>
      </c>
      <c r="BZ25" s="11"/>
      <c r="CA25" s="113">
        <f>CA24+10</f>
      </c>
      <c r="CB25" s="39">
        <f>CA25*BB25*(AP25*AJ25+AQ25*AK25+AR25*AL25)</f>
      </c>
      <c r="CC25" s="39">
        <f>CA25+CB25</f>
      </c>
      <c r="CD25" s="38"/>
      <c r="CE25" s="38"/>
      <c r="CF25" s="38"/>
      <c r="CG25" s="38"/>
      <c r="CH25" s="38"/>
      <c r="CI25" s="38"/>
      <c r="CJ25" s="106"/>
      <c r="CK25" s="103">
        <f>CK24</f>
      </c>
      <c r="CL25" s="106"/>
      <c r="CM25" s="38"/>
      <c r="CN25" s="105">
        <f>CK25*CC25</f>
      </c>
      <c r="CO25" s="42"/>
      <c r="CP25" s="70">
        <f>CN25*BS25*BT25</f>
      </c>
      <c r="CQ25" s="38">
        <f>CP25/T25</f>
      </c>
      <c r="CR25" s="38">
        <f>100/CP25</f>
      </c>
      <c r="CS25" s="96">
        <f>100/CQ25</f>
      </c>
      <c r="CT25" s="38">
        <f>CQ25-CQ24</f>
      </c>
      <c r="CU25" s="112">
        <f>(CQ25-CQ24)/CQ24</f>
      </c>
      <c r="CV25" s="96">
        <f>BL25/T25</f>
      </c>
      <c r="CW25" s="96">
        <f>100/CV25</f>
      </c>
      <c r="CX25" s="40"/>
      <c r="CY25" s="41"/>
      <c r="CZ25" s="40"/>
      <c r="DA25" s="41"/>
      <c r="DB25" s="40"/>
      <c r="DC25" s="11" t="str">
        <v>完成</v>
      </c>
      <c r="DD25" s="1" t="str">
        <v>完成</v>
      </c>
    </row>
    <row r="26">
      <c r="A26" s="71" t="str">
        <v>AR47</v>
      </c>
      <c r="B26" s="75" t="str">
        <v>AR47</v>
      </c>
      <c r="C26" s="71"/>
      <c r="D26" s="71">
        <f>IF($A26="","","WPN"&amp;VLOOKUP(E26,'引用数据库'!Z:AC,4,FALSE)&amp;VLOOKUP(H26,'引用数据库'!N:P,3,FALSE)&amp;VLOOKUP(I26,'引用数据库'!S:U,3,FALSE)&amp;TEXT(F26,"00"))</f>
      </c>
      <c r="E26" s="75" t="str">
        <v>纪念碑</v>
      </c>
      <c r="F26" s="110">
        <v>5</v>
      </c>
      <c r="G26" s="71">
        <f>G25</f>
      </c>
      <c r="H26" s="75">
        <f>H25</f>
      </c>
      <c r="I26" s="75">
        <f>I25</f>
      </c>
      <c r="J26" s="71" t="str">
        <v>自动</v>
      </c>
      <c r="K26" s="71">
        <f>K25</f>
      </c>
      <c r="L26" s="42"/>
      <c r="M26" s="65">
        <f>M25</f>
      </c>
      <c r="N26" s="72">
        <v>1400</v>
      </c>
      <c r="O26" s="72" t="str">
        <v>N/A</v>
      </c>
      <c r="P26" s="72">
        <v>0</v>
      </c>
      <c r="Q26" s="72">
        <v>0</v>
      </c>
      <c r="R26" s="72">
        <v>0.15</v>
      </c>
      <c r="S26" s="72">
        <v>0</v>
      </c>
      <c r="T26" s="72">
        <f>SUM(P26:S26)</f>
      </c>
      <c r="U26" s="39">
        <f>2*T26/(15*(1+(5-BD26)*0.1))</f>
      </c>
      <c r="V26" s="11"/>
      <c r="W26" s="72">
        <f>W25</f>
      </c>
      <c r="X26" s="72">
        <f>X25</f>
      </c>
      <c r="Y26" s="72">
        <f>Y25</f>
      </c>
      <c r="Z26" s="72">
        <f>Z25</f>
      </c>
      <c r="AA26" s="72">
        <f>AA25</f>
      </c>
      <c r="AB26" s="72">
        <f>AB25</f>
      </c>
      <c r="AC26" s="72">
        <f>AC25</f>
      </c>
      <c r="AD26" s="107">
        <f>AD25</f>
      </c>
      <c r="AE26" s="107">
        <f>AE25</f>
      </c>
      <c r="AF26" s="11"/>
      <c r="AG26" s="72"/>
      <c r="AH26" s="72"/>
      <c r="AI26" s="11"/>
      <c r="AJ26" s="108">
        <v>0.66</v>
      </c>
      <c r="AK26" s="108">
        <v>0.67</v>
      </c>
      <c r="AL26" s="108">
        <v>0.67</v>
      </c>
      <c r="AM26" s="105">
        <f>IFS(AJ26 &gt; 1.25, "S", AJ26 &gt; 1, "A", AJ26 &gt; 0.75, "B", AJ26 &gt; 0.5, "C", AJ26 &gt; 0.25, "D", AJ26 &gt; 0, "E", TRUE, "-")</f>
      </c>
      <c r="AN26" s="105">
        <f>IFS(AK26 &gt; 1.25, "S", AK26 &gt; 1, "A", AK26 &gt; 0.75, "B", AK26 &gt; 0.5, "C", AK26 &gt; 0.25, "D", AK26 &gt; 0, "E", TRUE, "-")</f>
      </c>
      <c r="AO26" s="105">
        <f>IFS(AL26 &gt; 1.25, "S", AL26 &gt; 1, "A", AL26 &gt; 0.75, "B", AL26 &gt; 0.5, "C", AL26 &gt; 0.25, "D", AL26 &gt; 0, "E", TRUE, "-")</f>
      </c>
      <c r="AP26" s="68">
        <v>10</v>
      </c>
      <c r="AQ26" s="68">
        <v>10</v>
      </c>
      <c r="AR26" s="68">
        <v>10</v>
      </c>
      <c r="AS26" s="105"/>
      <c r="AT26" s="105"/>
      <c r="AU26" s="105"/>
      <c r="AV26" s="68">
        <f>IF(SUM(AJ26:AL26)=0, 0, (1 + F26 * 0.1) * (0.75 + 0.25 * MAX(0, MIN(1, IF(MAX(AJ26:AL26)=0, 0, (3*MAX(AJ26:AL26)-SUM(AJ26:AL26)) / (2*MAX(AJ26:AL26)))))))</f>
      </c>
      <c r="AW26" s="111">
        <f>MAX(AJ26:AL26)</f>
      </c>
      <c r="AX26" s="109">
        <f>IF(AW26=0, "", AW26 / ((1 + 0.1*N(F26))))</f>
      </c>
      <c r="AY26" s="68">
        <f>IF(SUM(AJ26:AL26)=0, 0,     (1 + F26 * 0.1) * (1 + ((SUM(AJ26:AL26) - MAX(AJ26:AL26)) / (2 * MAX(AJ26:AL26))) * (1/0.75 - 1)))</f>
      </c>
      <c r="AZ26" s="111">
        <f>AJ26+AK26+AL26</f>
      </c>
      <c r="BA26" s="109">
        <f>IF(AZ26=0, "", AZ26 / ((1 + 0.1*N(F26))/0.75))</f>
      </c>
      <c r="BB26" s="39">
        <v>0.1</v>
      </c>
      <c r="BC26" s="11"/>
      <c r="BD26" s="72">
        <f>BD25</f>
      </c>
      <c r="BE26" s="72">
        <f>BE25</f>
      </c>
      <c r="BF26" s="74"/>
      <c r="BG26" s="38"/>
      <c r="BH26" s="56">
        <f>BH25</f>
      </c>
      <c r="BI26" s="45"/>
      <c r="BJ26" s="63"/>
      <c r="BK26" s="49"/>
      <c r="BL26" s="56">
        <f>BL25</f>
      </c>
      <c r="BM26" s="34"/>
      <c r="BN26" s="110">
        <v>30</v>
      </c>
      <c r="BO26" s="72">
        <v>2.5</v>
      </c>
      <c r="BP26" s="38"/>
      <c r="BQ26" s="39">
        <f>BQ25</f>
      </c>
      <c r="BR26" s="38">
        <f>IFERROR(BQ26*100/CP26,"N/A")</f>
      </c>
      <c r="BS26" s="107">
        <v>1</v>
      </c>
      <c r="BT26" s="72">
        <v>1</v>
      </c>
      <c r="BU26" s="42"/>
      <c r="BV26" s="78"/>
      <c r="BW26" s="104">
        <f>BW25</f>
      </c>
      <c r="BX26" s="38">
        <f>CP26/BW26</f>
      </c>
      <c r="BY26" s="96">
        <f>BW26/T26</f>
      </c>
      <c r="BZ26" s="11"/>
      <c r="CA26" s="113">
        <f>CA25+10</f>
      </c>
      <c r="CB26" s="39">
        <f>CA26*BB26*(AP26*AJ26+AQ26*AK26+AR26*AL26)</f>
      </c>
      <c r="CC26" s="39">
        <f>CA26+CB26</f>
      </c>
      <c r="CD26" s="38"/>
      <c r="CE26" s="38"/>
      <c r="CF26" s="38"/>
      <c r="CG26" s="38"/>
      <c r="CH26" s="38"/>
      <c r="CI26" s="38"/>
      <c r="CJ26" s="106"/>
      <c r="CK26" s="103">
        <f>CK25</f>
      </c>
      <c r="CL26" s="106"/>
      <c r="CM26" s="38"/>
      <c r="CN26" s="105">
        <f>CK26*CC26</f>
      </c>
      <c r="CO26" s="42"/>
      <c r="CP26" s="70">
        <f>CN26*BS26*BT26</f>
      </c>
      <c r="CQ26" s="38">
        <f>CP26/T26</f>
      </c>
      <c r="CR26" s="38">
        <f>100/CP26</f>
      </c>
      <c r="CS26" s="96">
        <f>100/CQ26</f>
      </c>
      <c r="CT26" s="38">
        <f>CQ26-CQ25</f>
      </c>
      <c r="CU26" s="112">
        <f>(CQ26-CQ25)/CQ25</f>
      </c>
      <c r="CV26" s="96">
        <f>BL26/T26</f>
      </c>
      <c r="CW26" s="96">
        <f>100/CV26</f>
      </c>
      <c r="CX26" s="40"/>
      <c r="CY26" s="41"/>
      <c r="CZ26" s="40"/>
      <c r="DA26" s="41"/>
      <c r="DB26" s="40"/>
      <c r="DC26" s="11" t="str">
        <v>完成</v>
      </c>
      <c r="DD26" s="1" t="str">
        <v>完成</v>
      </c>
    </row>
    <row customHeight="true" ht="19" r="27">
      <c r="A27" s="71" t="str">
        <v>SpitFire</v>
      </c>
      <c r="B27" s="36" t="str">
        <v>火舌</v>
      </c>
      <c r="C27" s="71"/>
      <c r="D27" s="71">
        <f>IF($A27="","","WPN"&amp;VLOOKUP(E27,'引用数据库'!Z:AC,4,FALSE)&amp;VLOOKUP(H27,'引用数据库'!N:P,3,FALSE)&amp;VLOOKUP(I27,'引用数据库'!S:U,3,FALSE)&amp;TEXT(F27,"00"))</f>
      </c>
      <c r="E27" s="36" t="str">
        <v>野望</v>
      </c>
      <c r="F27" s="27">
        <v>0</v>
      </c>
      <c r="G27" s="71" t="str">
        <v>远程</v>
      </c>
      <c r="H27" s="36" t="str">
        <v>冲锋枪</v>
      </c>
      <c r="I27" s="36" t="str">
        <v>热能</v>
      </c>
      <c r="J27" s="36" t="str">
        <v>自动</v>
      </c>
      <c r="K27" s="36">
        <v>1</v>
      </c>
      <c r="L27" s="42"/>
      <c r="M27" s="46">
        <f>0.4 + (T27 / (T27 + 0.2)) * 0.4</f>
      </c>
      <c r="N27" s="27">
        <v>1000</v>
      </c>
      <c r="O27" s="27" t="str">
        <v>N/A</v>
      </c>
      <c r="P27" s="27">
        <v>0</v>
      </c>
      <c r="Q27" s="27">
        <v>0</v>
      </c>
      <c r="R27" s="27">
        <v>0.08</v>
      </c>
      <c r="S27" s="27">
        <v>0</v>
      </c>
      <c r="T27" s="27">
        <f>SUM(P27:S27)</f>
      </c>
      <c r="U27" s="32">
        <f>2*T27/(15*(1+(5-BD27)*0.1))</f>
      </c>
      <c r="V27" s="11"/>
      <c r="W27" s="27">
        <v>2</v>
      </c>
      <c r="X27" s="27">
        <v>20</v>
      </c>
      <c r="Y27" s="116">
        <v>0.03</v>
      </c>
      <c r="Z27" s="116">
        <v>0.125</v>
      </c>
      <c r="AA27" s="28">
        <v>0.5</v>
      </c>
      <c r="AB27" s="28">
        <v>0</v>
      </c>
      <c r="AC27" s="28">
        <v>1.2</v>
      </c>
      <c r="AD27" s="28">
        <f>(W27+AB27)*AC27</f>
      </c>
      <c r="AE27" s="28">
        <f>(X27+AB27)*AC27</f>
      </c>
      <c r="AF27" s="11"/>
      <c r="AG27" s="27"/>
      <c r="AH27" s="27"/>
      <c r="AI27" s="11"/>
      <c r="AJ27" s="33">
        <v>0.5</v>
      </c>
      <c r="AK27" s="33">
        <v>0.6</v>
      </c>
      <c r="AL27" s="33">
        <v>0</v>
      </c>
      <c r="AM27" s="32">
        <f>IFS(AJ27 &gt; 1.25, "S", AJ27 &gt; 1, "A", AJ27 &gt; 0.75, "B", AJ27 &gt; 0.5, "C", AJ27 &gt; 0.25, "D", AJ27 &gt; 0, "E", TRUE, "-")</f>
      </c>
      <c r="AN27" s="32">
        <f>IFS(AK27 &gt; 1.25, "S", AK27 &gt; 1, "A", AK27 &gt; 0.75, "B", AK27 &gt; 0.5, "C", AK27 &gt; 0.25, "D", AK27 &gt; 0, "E", TRUE, "-")</f>
      </c>
      <c r="AO27" s="32">
        <f>IFS(AL27 &gt; 1.25, "S", AL27 &gt; 1, "A", AL27 &gt; 0.75, "B", AL27 &gt; 0.5, "C", AL27 &gt; 0.25, "D", AL27 &gt; 0, "E", TRUE, "-")</f>
      </c>
      <c r="AP27" s="32">
        <v>10</v>
      </c>
      <c r="AQ27" s="32">
        <v>10</v>
      </c>
      <c r="AR27" s="32">
        <v>10</v>
      </c>
      <c r="AS27" s="32"/>
      <c r="AT27" s="32"/>
      <c r="AU27" s="32"/>
      <c r="AV27" s="32">
        <f>IF(SUM(AJ27:AL27)=0, 0, (1 + F27 * 0.1) * (0.75 + 0.25 * MAX(0, MIN(1, IF(MAX(AJ27:AL27)=0, 0, (3*MAX(AJ27:AL27)-SUM(AJ27:AL27)) / (2*MAX(AJ27:AL27)))))))</f>
      </c>
      <c r="AW27" s="33">
        <f>MAX(AJ27:AL27)</f>
      </c>
      <c r="AX27" s="37">
        <f>IF(AW27=0, "", AW27 / ((1 + 0.1*N(F27))))</f>
      </c>
      <c r="AY27" s="32">
        <f>IF(SUM(AJ27:AL27)=0, 0,     (1 + F27 * 0.1) * (1 + ((SUM(AJ27:AL27) - MAX(AJ27:AL27)) / (2 * MAX(AJ27:AL27))) * (1/0.75 - 1)))</f>
      </c>
      <c r="AZ27" s="33">
        <f>AJ27+AK27+AL27</f>
      </c>
      <c r="BA27" s="37">
        <f>IF(AZ27=0, "", AZ27 / ((1 + 0.1*N(F27))/0.75))</f>
      </c>
      <c r="BB27" s="32">
        <v>0.1</v>
      </c>
      <c r="BC27" s="11"/>
      <c r="BD27" s="27">
        <v>1</v>
      </c>
      <c r="BE27" s="27">
        <v>1</v>
      </c>
      <c r="BF27" s="43">
        <v>1</v>
      </c>
      <c r="BG27" s="32">
        <f>T27*20*(16 * BF27) / (15 + 20 * BF27 - 3 * POWER(BF27, 2))/BT27/BS27</f>
      </c>
      <c r="BH27" s="33">
        <f>BG27</f>
      </c>
      <c r="BI27" s="45"/>
      <c r="BJ27" s="47">
        <v>5</v>
      </c>
      <c r="BK27" s="30">
        <f>T27*33*(16 * BJ27) / (15 + 20 * BJ27 - 3 * POWER(BJ27, 2))/BT27/BS27</f>
      </c>
      <c r="BL27" s="33">
        <f>BK27</f>
      </c>
      <c r="BM27" s="34"/>
      <c r="BN27" s="27">
        <v>45</v>
      </c>
      <c r="BO27" s="27">
        <v>2</v>
      </c>
      <c r="BP27" s="38">
        <f>ROUND(CP27/10,2)</f>
      </c>
      <c r="BQ27" s="88">
        <v>0.2</v>
      </c>
      <c r="BR27" s="32">
        <f>IFERROR(BQ27*100/CP27,"N/A")</f>
      </c>
      <c r="BS27" s="27">
        <v>1</v>
      </c>
      <c r="BT27" s="27">
        <v>1</v>
      </c>
      <c r="BU27" s="42"/>
      <c r="BV27" s="44">
        <f>CP27/1.5</f>
      </c>
      <c r="BW27" s="44">
        <f>ROUND(BV27)</f>
      </c>
      <c r="BX27" s="32">
        <f>CP27/BW27</f>
      </c>
      <c r="BY27" s="35">
        <f>BW27/T27</f>
      </c>
      <c r="BZ27" s="11"/>
      <c r="CA27" s="31">
        <v>10</v>
      </c>
      <c r="CB27" s="32">
        <f>CA27*BB27*(AP27*AJ27+AQ27*AK27+AR27*AL27)</f>
      </c>
      <c r="CC27" s="32">
        <f>CA27+CB27</f>
      </c>
      <c r="CD27" s="32">
        <f>T27 * 2 / BS27 / BT27 * (0.9 + 0.2 * IF(G27="近战", EXP(-64 * (T27 - 0.75)^2), EXP(-400 * (T27 - 0.15)^2)))</f>
      </c>
      <c r="CE27" s="32">
        <f>0.9 + 0.2 / (1 + (N27/600)^1)</f>
      </c>
      <c r="CF27" s="32">
        <f>LET(  k, K27,  be, BS27,  bf, BT27,  m, N27,  n, O27,  v, X27,  vEff, IF(ISNUMBER(v), v, 0),  angle,    IF(      ISNUMBER(n),        IF(n&gt;0, n,           IF(ISNUMBER(v),              IF(v&gt;0, v, 0),              0           )        ),      IF(ISNUMBER(v),         IF(v&gt;0, v, 0),         0      )    ),  T,    IF(k=1,       be * bf * 20 / MAX(vEff, 1),    IF(k=2,       (m/150)^2 * (angle/120),    IF(k=3,       be * (MIN(bf, 99)/99) * (m/1000),       be * bf * (m/1000) * (n/200)^2    ))),  b, 0.8,  c, 1.2,  r, (c-1)/(1-b),  k_s, 1,  b + (c-b) / (1 + r * EXP(-k_s*(1-T))))</f>
      </c>
      <c r="CG27" s="32">
        <f>IF(T27&lt;=0,1,   (0.9 + 0.2 / (1 + EXP(-0.8 * (5 - BD27)))) * (0.9 + 0.2 / (1 + EXP(-1 * (3.5 - BE27)))) * (0.9 + 0.2 / (1 + EXP(-0.6 * (20 - BS27*BH27/T27)))))</f>
      </c>
      <c r="CH27" s="32">
        <f>IF(T27&lt;=0, 1, 0.9 + 0.2 / (1 + EXP(0.1 * (BL27*BS27*BT27/T27 - 33))))</f>
      </c>
      <c r="CI27" s="32">
        <f>LET(    x_val, X27,    bq_val, BS27,    Check_Fail, OR(NOT(ISNUMBER(x_val)), bq_val &lt;= 1),        IF(Check_Fail, 1,        LET(            Ratio, x_val / bq_val,                        calc_A, 2.5 / (1 + EXP(-0.23105 * (Ratio - 3))),            calc_B, 2.5 / (1 + EXP(-0.008664 * (x_val - 20))),                        calc_A + calc_B        )    ))</f>
      </c>
      <c r="CJ27" s="33">
        <f>CD27*CE27*CF27*CG27*CH27*CI27</f>
      </c>
      <c r="CK27" s="33">
        <f>CJ27</f>
      </c>
      <c r="CL27" s="32">
        <f>T27 * 2 / BS27 / BT27</f>
      </c>
      <c r="CM27" s="37">
        <f>CK27/CL27</f>
      </c>
      <c r="CN27" s="32">
        <f>CK27*CC27</f>
      </c>
      <c r="CO27" s="42"/>
      <c r="CP27" s="48">
        <f>CN27*BS27*BT27</f>
      </c>
      <c r="CQ27" s="32">
        <f>CP27/T27</f>
      </c>
      <c r="CR27" s="32">
        <f>100/CP27</f>
      </c>
      <c r="CS27" s="35">
        <f>100/CQ27</f>
      </c>
      <c r="CT27" s="32"/>
      <c r="CU27" s="32"/>
      <c r="CV27" s="35">
        <f>BL27/T27</f>
      </c>
      <c r="CW27" s="35">
        <f>100/CV27</f>
      </c>
      <c r="CX27" s="40"/>
      <c r="CY27" s="41" t="str">
        <v>使用热熔无壳弹的改装冲锋枪。
有着令人满意的性价比、射速和弹容量，
唯一的缺点是散热性能时好时坏。</v>
      </c>
      <c r="CZ27" s="40"/>
      <c r="DA27" s="41">
        <f>TEXTJOIN("、", TRUE, FILTER('武器技能'!B:B, '武器技能'!E:E = H27))</f>
      </c>
      <c r="DB27" s="40"/>
      <c r="DC27" s="27" t="str">
        <v>完成</v>
      </c>
      <c r="DD27" s="27" t="str">
        <v>完成</v>
      </c>
    </row>
    <row customHeight="true" ht="19" r="28">
      <c r="A28" s="71" t="str">
        <v>SpitFire</v>
      </c>
      <c r="B28" s="90" t="str">
        <v>火舌</v>
      </c>
      <c r="C28" s="90"/>
      <c r="D28" s="90">
        <f>IF($A28="","","WPN"&amp;VLOOKUP(E28,'引用数据库'!Z:AC,4,FALSE)&amp;VLOOKUP(H28,'引用数据库'!N:P,3,FALSE)&amp;VLOOKUP(I28,'引用数据库'!S:U,3,FALSE)&amp;TEXT(F28,"00"))</f>
      </c>
      <c r="E28" s="90" t="str">
        <v>野望</v>
      </c>
      <c r="F28" s="91">
        <v>1</v>
      </c>
      <c r="G28" s="90">
        <f>G27</f>
      </c>
      <c r="H28" s="90">
        <f>H27</f>
      </c>
      <c r="I28" s="90">
        <f>I27</f>
      </c>
      <c r="J28" s="90" t="str">
        <v>自动</v>
      </c>
      <c r="K28" s="71">
        <f>K27</f>
      </c>
      <c r="L28" s="42"/>
      <c r="M28" s="98">
        <f>M27</f>
      </c>
      <c r="N28" s="91">
        <v>1000</v>
      </c>
      <c r="O28" s="91" t="str">
        <v>N/A</v>
      </c>
      <c r="P28" s="91">
        <v>0</v>
      </c>
      <c r="Q28" s="91">
        <v>0</v>
      </c>
      <c r="R28" s="91">
        <v>0.08</v>
      </c>
      <c r="S28" s="91">
        <v>0</v>
      </c>
      <c r="T28" s="91">
        <f>SUM(P28:S28)</f>
      </c>
      <c r="U28" s="88">
        <f>2*T28/(15*(1+(5-BD28)*0.1))</f>
      </c>
      <c r="V28" s="11"/>
      <c r="W28" s="91">
        <f>W27</f>
      </c>
      <c r="X28" s="91">
        <f>X27</f>
      </c>
      <c r="Y28" s="180">
        <v>0.03</v>
      </c>
      <c r="Z28" s="180">
        <v>0.125</v>
      </c>
      <c r="AA28" s="91">
        <f>AA27</f>
      </c>
      <c r="AB28" s="95">
        <f>AB27</f>
      </c>
      <c r="AC28" s="95">
        <f>AC27</f>
      </c>
      <c r="AD28" s="95">
        <f>(W28+AB28)*AC28</f>
      </c>
      <c r="AE28" s="95">
        <f>(X28+AB28)*AC28</f>
      </c>
      <c r="AF28" s="1"/>
      <c r="AG28" s="159"/>
      <c r="AH28" s="159"/>
      <c r="AI28" s="11"/>
      <c r="AJ28" s="87">
        <v>0.54</v>
      </c>
      <c r="AK28" s="87">
        <f>AK27+0.1</f>
      </c>
      <c r="AL28" s="87">
        <v>0</v>
      </c>
      <c r="AM28" s="88">
        <f>IFS(AJ28 &gt; 1.25, "S", AJ28 &gt; 1, "A", AJ28 &gt; 0.75, "B", AJ28 &gt; 0.5, "C", AJ28 &gt; 0.25, "D", AJ28 &gt; 0, "E", TRUE, "-")</f>
      </c>
      <c r="AN28" s="88">
        <f>IFS(AK28 &gt; 1.25, "S", AK28 &gt; 1, "A", AK28 &gt; 0.75, "B", AK28 &gt; 0.5, "C", AK28 &gt; 0.25, "D", AK28 &gt; 0, "E", TRUE, "-")</f>
      </c>
      <c r="AO28" s="88">
        <f>IFS(AL28 &gt; 1.25, "S", AL28 &gt; 1, "A", AL28 &gt; 0.75, "B", AL28 &gt; 0.5, "C", AL28 &gt; 0.25, "D", AL28 &gt; 0, "E", TRUE, "-")</f>
      </c>
      <c r="AP28" s="88">
        <v>10</v>
      </c>
      <c r="AQ28" s="88">
        <v>10</v>
      </c>
      <c r="AR28" s="88">
        <v>10</v>
      </c>
      <c r="AS28" s="115"/>
      <c r="AT28" s="115"/>
      <c r="AU28" s="115"/>
      <c r="AV28" s="88">
        <f>IF(SUM(AJ28:AL28)=0, 0, (1 + F28 * 0.1) * (0.75 + 0.25 * MAX(0, MIN(1, IF(MAX(AJ28:AL28)=0, 0, (3*MAX(AJ28:AL28)-SUM(AJ28:AL28)) / (2*MAX(AJ28:AL28)))))))</f>
      </c>
      <c r="AW28" s="87">
        <f>MAX(AJ28:AL28)</f>
      </c>
      <c r="AX28" s="92">
        <f>IF(AW28=0, "", AW28 / ((1 + 0.1*N(F28))))</f>
      </c>
      <c r="AY28" s="88">
        <f>IF(SUM(AJ28:AL28)=0, 0,     (1 + F28 * 0.1) * (1 + ((SUM(AJ28:AL28) - MAX(AJ28:AL28)) / (2 * MAX(AJ28:AL28))) * (1/0.75 - 1)))</f>
      </c>
      <c r="AZ28" s="87">
        <f>AJ28+AK28+AL28</f>
      </c>
      <c r="BA28" s="92">
        <f>IF(AZ28=0, "", AZ28 / ((1 + 0.1*N(F28))/0.75))</f>
      </c>
      <c r="BB28" s="88">
        <v>0.1</v>
      </c>
      <c r="BC28" s="11"/>
      <c r="BD28" s="91">
        <v>1</v>
      </c>
      <c r="BE28" s="91">
        <f>BE27</f>
      </c>
      <c r="BF28" s="93"/>
      <c r="BG28" s="88"/>
      <c r="BH28" s="87">
        <f>BH27</f>
      </c>
      <c r="BI28" s="45"/>
      <c r="BJ28" s="99"/>
      <c r="BK28" s="101"/>
      <c r="BL28" s="101">
        <f>BL27</f>
      </c>
      <c r="BM28" s="34"/>
      <c r="BN28" s="91">
        <v>45</v>
      </c>
      <c r="BO28" s="91">
        <v>2</v>
      </c>
      <c r="BP28" s="88"/>
      <c r="BQ28" s="88">
        <f>BQ27</f>
      </c>
      <c r="BR28" s="88">
        <f>IFERROR(BQ28*100/CP28,"N/A")</f>
      </c>
      <c r="BS28" s="91">
        <v>1</v>
      </c>
      <c r="BT28" s="91">
        <v>1</v>
      </c>
      <c r="BU28" s="42"/>
      <c r="BV28" s="114"/>
      <c r="BW28" s="94">
        <f>BW27</f>
      </c>
      <c r="BX28" s="88">
        <f>CP28/BW28</f>
      </c>
      <c r="BY28" s="89">
        <f>BW28/T28</f>
      </c>
      <c r="BZ28" s="11"/>
      <c r="CA28" s="100">
        <f>CA27+20</f>
      </c>
      <c r="CB28" s="88">
        <f>CA28*BB28*(AP28*AJ28+AQ28*AK28+AR28*AL28)</f>
      </c>
      <c r="CC28" s="88">
        <f>CA28+CB28</f>
      </c>
      <c r="CD28" s="88"/>
      <c r="CE28" s="88"/>
      <c r="CF28" s="88"/>
      <c r="CG28" s="88"/>
      <c r="CH28" s="88"/>
      <c r="CI28" s="88"/>
      <c r="CJ28" s="87"/>
      <c r="CK28" s="87">
        <f>CK27</f>
      </c>
      <c r="CL28" s="87"/>
      <c r="CM28" s="88"/>
      <c r="CN28" s="88">
        <f>CK28*CC28</f>
      </c>
      <c r="CO28" s="42"/>
      <c r="CP28" s="97">
        <f>CN28*BS28*BT28</f>
      </c>
      <c r="CQ28" s="88">
        <f>CP28/T28</f>
      </c>
      <c r="CR28" s="88">
        <f>100/CP28</f>
      </c>
      <c r="CS28" s="89">
        <f>100/CQ28</f>
      </c>
      <c r="CT28" s="88">
        <f>CQ28-CQ27</f>
      </c>
      <c r="CU28" s="98">
        <f>(CQ28-CQ27)/CQ27</f>
      </c>
      <c r="CV28" s="89">
        <f>BL28/T28</f>
      </c>
      <c r="CW28" s="89">
        <f>100/CV28</f>
      </c>
      <c r="CX28" s="40"/>
      <c r="CY28" s="41"/>
      <c r="CZ28" s="40"/>
      <c r="DA28" s="41"/>
      <c r="DB28" s="40"/>
      <c r="DC28" s="91" t="str">
        <v>完成</v>
      </c>
      <c r="DD28" s="91" t="str">
        <v>完成</v>
      </c>
    </row>
    <row r="29">
      <c r="A29" s="71" t="str">
        <v>SpitFire</v>
      </c>
      <c r="B29" s="75" t="str">
        <v>火舌</v>
      </c>
      <c r="C29" s="71"/>
      <c r="D29" s="71">
        <f>IF($A29="","","WPN"&amp;VLOOKUP(E29,'引用数据库'!Z:AC,4,FALSE)&amp;VLOOKUP(H29,'引用数据库'!N:P,3,FALSE)&amp;VLOOKUP(I29,'引用数据库'!S:U,3,FALSE)&amp;TEXT(F29,"00"))</f>
      </c>
      <c r="E29" s="75" t="str">
        <v>野望</v>
      </c>
      <c r="F29" s="110">
        <v>2</v>
      </c>
      <c r="G29" s="71">
        <f>G28</f>
      </c>
      <c r="H29" s="75">
        <f>H28</f>
      </c>
      <c r="I29" s="75">
        <f>I28</f>
      </c>
      <c r="J29" s="71" t="str">
        <v>自动</v>
      </c>
      <c r="K29" s="71">
        <f>K28</f>
      </c>
      <c r="L29" s="42"/>
      <c r="M29" s="65">
        <f>M28</f>
      </c>
      <c r="N29" s="72">
        <v>1000</v>
      </c>
      <c r="O29" s="72" t="str">
        <v>N/A</v>
      </c>
      <c r="P29" s="72">
        <v>0</v>
      </c>
      <c r="Q29" s="72">
        <v>0</v>
      </c>
      <c r="R29" s="72">
        <v>0.08</v>
      </c>
      <c r="S29" s="72">
        <v>0</v>
      </c>
      <c r="T29" s="72">
        <f>SUM(P29:S29)</f>
      </c>
      <c r="U29" s="39">
        <f>2*T29/(15*(1+(5-BD29)*0.1))</f>
      </c>
      <c r="V29" s="11"/>
      <c r="W29" s="72">
        <f>W28</f>
      </c>
      <c r="X29" s="72">
        <f>X28</f>
      </c>
      <c r="Y29" s="177">
        <v>0.03</v>
      </c>
      <c r="Z29" s="177">
        <v>0.125</v>
      </c>
      <c r="AA29" s="72">
        <f>AA28</f>
      </c>
      <c r="AB29" s="102">
        <f>AB28</f>
      </c>
      <c r="AC29" s="102">
        <f>AC28</f>
      </c>
      <c r="AD29" s="60">
        <f>(W29+AB29)*AC29</f>
      </c>
      <c r="AE29" s="60">
        <f>(X29+AB29)*AC29</f>
      </c>
      <c r="AF29" s="1"/>
      <c r="AG29" s="54"/>
      <c r="AH29" s="54"/>
      <c r="AI29" s="11"/>
      <c r="AJ29" s="108">
        <v>0.54</v>
      </c>
      <c r="AK29" s="108">
        <v>0.75</v>
      </c>
      <c r="AL29" s="108">
        <v>0.07</v>
      </c>
      <c r="AM29" s="105">
        <f>IFS(AJ29 &gt; 1.25, "S", AJ29 &gt; 1, "A", AJ29 &gt; 0.75, "B", AJ29 &gt; 0.5, "C", AJ29 &gt; 0.25, "D", AJ29 &gt; 0, "E", TRUE, "-")</f>
      </c>
      <c r="AN29" s="105">
        <f>IFS(AK29 &gt; 1.25, "S", AK29 &gt; 1, "A", AK29 &gt; 0.75, "B", AK29 &gt; 0.5, "C", AK29 &gt; 0.25, "D", AK29 &gt; 0, "E", TRUE, "-")</f>
      </c>
      <c r="AO29" s="105">
        <f>IFS(AL29 &gt; 1.25, "S", AL29 &gt; 1, "A", AL29 &gt; 0.75, "B", AL29 &gt; 0.5, "C", AL29 &gt; 0.25, "D", AL29 &gt; 0, "E", TRUE, "-")</f>
      </c>
      <c r="AP29" s="68">
        <v>10</v>
      </c>
      <c r="AQ29" s="68">
        <v>10</v>
      </c>
      <c r="AR29" s="68">
        <v>10</v>
      </c>
      <c r="AS29" s="55"/>
      <c r="AT29" s="55"/>
      <c r="AU29" s="55"/>
      <c r="AV29" s="68">
        <f>IF(SUM(AJ29:AL29)=0, 0, (1 + F29 * 0.1) * (0.75 + 0.25 * MAX(0, MIN(1, IF(MAX(AJ29:AL29)=0, 0, (3*MAX(AJ29:AL29)-SUM(AJ29:AL29)) / (2*MAX(AJ29:AL29)))))))</f>
      </c>
      <c r="AW29" s="111">
        <f>MAX(AJ29:AL29)</f>
      </c>
      <c r="AX29" s="109">
        <f>IF(AW29=0, "", AW29 / ((1 + 0.1*N(F29))))</f>
      </c>
      <c r="AY29" s="68">
        <f>IF(SUM(AJ29:AL29)=0, 0,     (1 + F29 * 0.1) * (1 + ((SUM(AJ29:AL29) - MAX(AJ29:AL29)) / (2 * MAX(AJ29:AL29))) * (1/0.75 - 1)))</f>
      </c>
      <c r="AZ29" s="111">
        <f>AJ29+AK29+AL29</f>
      </c>
      <c r="BA29" s="109">
        <f>IF(AZ29=0, "", AZ29 / ((1 + 0.1*N(F29))/0.75))</f>
      </c>
      <c r="BB29" s="39">
        <v>0.1</v>
      </c>
      <c r="BC29" s="11"/>
      <c r="BD29" s="72">
        <v>1</v>
      </c>
      <c r="BE29" s="72">
        <f>BE28</f>
      </c>
      <c r="BF29" s="74"/>
      <c r="BG29" s="38"/>
      <c r="BH29" s="103">
        <f>BH28</f>
      </c>
      <c r="BI29" s="45"/>
      <c r="BJ29" s="63"/>
      <c r="BK29" s="49"/>
      <c r="BL29" s="56">
        <f>BL28</f>
      </c>
      <c r="BM29" s="34"/>
      <c r="BN29" s="110">
        <v>45</v>
      </c>
      <c r="BO29" s="72">
        <v>2</v>
      </c>
      <c r="BP29" s="38"/>
      <c r="BQ29" s="39">
        <f>BQ28</f>
      </c>
      <c r="BR29" s="38">
        <f>IFERROR(BQ29*100/CP29,"N/A")</f>
      </c>
      <c r="BS29" s="107">
        <v>1</v>
      </c>
      <c r="BT29" s="72">
        <v>1</v>
      </c>
      <c r="BU29" s="42"/>
      <c r="BV29" s="78"/>
      <c r="BW29" s="104">
        <f>BW28</f>
      </c>
      <c r="BX29" s="38">
        <f>CP29/BW29</f>
      </c>
      <c r="BY29" s="96">
        <f>BW29/T29</f>
      </c>
      <c r="BZ29" s="11"/>
      <c r="CA29" s="113">
        <f>CA28+10</f>
      </c>
      <c r="CB29" s="39">
        <f>CA29*BB29*(AP29*AJ29+AQ29*AK29+AR29*AL29)</f>
      </c>
      <c r="CC29" s="39">
        <f>CA29+CB29</f>
      </c>
      <c r="CD29" s="68"/>
      <c r="CE29" s="68"/>
      <c r="CF29" s="68"/>
      <c r="CG29" s="68"/>
      <c r="CH29" s="68"/>
      <c r="CI29" s="68"/>
      <c r="CJ29" s="111"/>
      <c r="CK29" s="103">
        <f>CK28</f>
      </c>
      <c r="CL29" s="111"/>
      <c r="CM29" s="38"/>
      <c r="CN29" s="105">
        <f>CK29*CC29</f>
      </c>
      <c r="CO29" s="42"/>
      <c r="CP29" s="70">
        <f>CN29*BS29*BT29</f>
      </c>
      <c r="CQ29" s="38">
        <f>CP29/T29</f>
      </c>
      <c r="CR29" s="38">
        <f>100/CP29</f>
      </c>
      <c r="CS29" s="96">
        <f>100/CQ29</f>
      </c>
      <c r="CT29" s="38">
        <f>CQ29-CQ28</f>
      </c>
      <c r="CU29" s="112">
        <f>(CQ29-CQ28)/CQ28</f>
      </c>
      <c r="CV29" s="96">
        <f>BL29/T29</f>
      </c>
      <c r="CW29" s="96">
        <f>100/CV29</f>
      </c>
      <c r="CX29" s="40"/>
      <c r="CY29" s="41"/>
      <c r="CZ29" s="40"/>
      <c r="DA29" s="41"/>
      <c r="DB29" s="40"/>
      <c r="DC29" s="11" t="str">
        <v>完成</v>
      </c>
      <c r="DD29" s="1" t="str">
        <v>完成</v>
      </c>
    </row>
    <row r="30">
      <c r="A30" s="71" t="str">
        <v>SpitFire</v>
      </c>
      <c r="B30" s="75" t="str">
        <v>火舌</v>
      </c>
      <c r="C30" s="71"/>
      <c r="D30" s="71">
        <f>IF($A30="","","WPN"&amp;VLOOKUP(E30,'引用数据库'!Z:AC,4,FALSE)&amp;VLOOKUP(H30,'引用数据库'!N:P,3,FALSE)&amp;VLOOKUP(I30,'引用数据库'!S:U,3,FALSE)&amp;TEXT(F30,"00"))</f>
      </c>
      <c r="E30" s="75" t="str">
        <v>野望</v>
      </c>
      <c r="F30" s="110">
        <v>3</v>
      </c>
      <c r="G30" s="71">
        <f>G29</f>
      </c>
      <c r="H30" s="75">
        <f>H29</f>
      </c>
      <c r="I30" s="75">
        <f>I29</f>
      </c>
      <c r="J30" s="71" t="str">
        <v>自动</v>
      </c>
      <c r="K30" s="71">
        <f>K29</f>
      </c>
      <c r="L30" s="42"/>
      <c r="M30" s="65">
        <f>M29</f>
      </c>
      <c r="N30" s="72">
        <v>1000</v>
      </c>
      <c r="O30" s="72" t="str">
        <v>N/A</v>
      </c>
      <c r="P30" s="72">
        <v>0</v>
      </c>
      <c r="Q30" s="72">
        <v>0</v>
      </c>
      <c r="R30" s="72">
        <v>0.08</v>
      </c>
      <c r="S30" s="72">
        <v>0</v>
      </c>
      <c r="T30" s="72">
        <f>SUM(P30:S30)</f>
      </c>
      <c r="U30" s="39">
        <f>2*T30/(15*(1+(5-BD30)*0.1))</f>
      </c>
      <c r="V30" s="11"/>
      <c r="W30" s="72">
        <f>W29</f>
      </c>
      <c r="X30" s="72">
        <f>X29</f>
      </c>
      <c r="Y30" s="177">
        <v>0.03</v>
      </c>
      <c r="Z30" s="177">
        <v>0.125</v>
      </c>
      <c r="AA30" s="72">
        <f>AA29</f>
      </c>
      <c r="AB30" s="102">
        <f>AB29</f>
      </c>
      <c r="AC30" s="102">
        <f>AC29</f>
      </c>
      <c r="AD30" s="60">
        <f>(W30+AB30)*AC30</f>
      </c>
      <c r="AE30" s="60">
        <f>(X30+AB30)*AC30</f>
      </c>
      <c r="AF30" s="1"/>
      <c r="AG30" s="54"/>
      <c r="AH30" s="54"/>
      <c r="AI30" s="11"/>
      <c r="AJ30" s="108">
        <f>AJ29</f>
      </c>
      <c r="AK30" s="108">
        <f>AK29+0.1</f>
      </c>
      <c r="AL30" s="108">
        <f>AL29</f>
      </c>
      <c r="AM30" s="105">
        <f>IFS(AJ30 &gt; 1.25, "S", AJ30 &gt; 1, "A", AJ30 &gt; 0.75, "B", AJ30 &gt; 0.5, "C", AJ30 &gt; 0.25, "D", AJ30 &gt; 0, "E", TRUE, "-")</f>
      </c>
      <c r="AN30" s="105">
        <f>IFS(AK30 &gt; 1.25, "S", AK30 &gt; 1, "A", AK30 &gt; 0.75, "B", AK30 &gt; 0.5, "C", AK30 &gt; 0.25, "D", AK30 &gt; 0, "E", TRUE, "-")</f>
      </c>
      <c r="AO30" s="105">
        <f>IFS(AL30 &gt; 1.25, "S", AL30 &gt; 1, "A", AL30 &gt; 0.75, "B", AL30 &gt; 0.5, "C", AL30 &gt; 0.25, "D", AL30 &gt; 0, "E", TRUE, "-")</f>
      </c>
      <c r="AP30" s="68">
        <v>10</v>
      </c>
      <c r="AQ30" s="68">
        <v>10</v>
      </c>
      <c r="AR30" s="68">
        <v>10</v>
      </c>
      <c r="AS30" s="55"/>
      <c r="AT30" s="55"/>
      <c r="AU30" s="55"/>
      <c r="AV30" s="68">
        <f>IF(SUM(AJ30:AL30)=0, 0, (1 + F30 * 0.1) * (0.75 + 0.25 * MAX(0, MIN(1, IF(MAX(AJ30:AL30)=0, 0, (3*MAX(AJ30:AL30)-SUM(AJ30:AL30)) / (2*MAX(AJ30:AL30)))))))</f>
      </c>
      <c r="AW30" s="111">
        <f>MAX(AJ30:AL30)</f>
      </c>
      <c r="AX30" s="109">
        <f>IF(AW30=0, "", AW30 / ((1 + 0.1*N(F30))))</f>
      </c>
      <c r="AY30" s="68">
        <f>IF(SUM(AJ30:AL30)=0, 0,     (1 + F30 * 0.1) * (1 + ((SUM(AJ30:AL30) - MAX(AJ30:AL30)) / (2 * MAX(AJ30:AL30))) * (1/0.75 - 1)))</f>
      </c>
      <c r="AZ30" s="111">
        <f>AJ30+AK30+AL30</f>
      </c>
      <c r="BA30" s="109">
        <f>IF(AZ30=0, "", AZ30 / ((1 + 0.1*N(F30))/0.75))</f>
      </c>
      <c r="BB30" s="39">
        <v>0.1</v>
      </c>
      <c r="BC30" s="11"/>
      <c r="BD30" s="72">
        <v>1</v>
      </c>
      <c r="BE30" s="72">
        <f>BE29</f>
      </c>
      <c r="BF30" s="74"/>
      <c r="BG30" s="38"/>
      <c r="BH30" s="103">
        <f>BH29</f>
      </c>
      <c r="BI30" s="45"/>
      <c r="BJ30" s="63"/>
      <c r="BK30" s="49"/>
      <c r="BL30" s="56">
        <f>BL29</f>
      </c>
      <c r="BM30" s="34"/>
      <c r="BN30" s="110">
        <v>45</v>
      </c>
      <c r="BO30" s="72">
        <v>2</v>
      </c>
      <c r="BP30" s="38"/>
      <c r="BQ30" s="39">
        <f>BQ29</f>
      </c>
      <c r="BR30" s="38">
        <f>IFERROR(BQ30*100/CP30,"N/A")</f>
      </c>
      <c r="BS30" s="107">
        <v>1</v>
      </c>
      <c r="BT30" s="72">
        <v>1</v>
      </c>
      <c r="BU30" s="42"/>
      <c r="BV30" s="78"/>
      <c r="BW30" s="104">
        <f>BW29</f>
      </c>
      <c r="BX30" s="38">
        <f>CP30/BW30</f>
      </c>
      <c r="BY30" s="96">
        <f>BW30/T30</f>
      </c>
      <c r="BZ30" s="11"/>
      <c r="CA30" s="113">
        <f>CA29+10</f>
      </c>
      <c r="CB30" s="39">
        <f>CA30*BB30*(AP30*AJ30+AQ30*AK30+AR30*AL30)</f>
      </c>
      <c r="CC30" s="39">
        <f>CA30+CB30</f>
      </c>
      <c r="CD30" s="68"/>
      <c r="CE30" s="68"/>
      <c r="CF30" s="68"/>
      <c r="CG30" s="68"/>
      <c r="CH30" s="68"/>
      <c r="CI30" s="68"/>
      <c r="CJ30" s="111"/>
      <c r="CK30" s="103">
        <f>CK29</f>
      </c>
      <c r="CL30" s="111"/>
      <c r="CM30" s="38"/>
      <c r="CN30" s="105">
        <f>CK30*CC30</f>
      </c>
      <c r="CO30" s="42"/>
      <c r="CP30" s="70">
        <f>CN30*BS30*BT30</f>
      </c>
      <c r="CQ30" s="38">
        <f>CP30/T30</f>
      </c>
      <c r="CR30" s="38">
        <f>100/CP30</f>
      </c>
      <c r="CS30" s="96">
        <f>100/CQ30</f>
      </c>
      <c r="CT30" s="38">
        <f>CQ30-CQ29</f>
      </c>
      <c r="CU30" s="112">
        <f>(CQ30-CQ29)/CQ29</f>
      </c>
      <c r="CV30" s="96">
        <f>BL30/T30</f>
      </c>
      <c r="CW30" s="96">
        <f>100/CV30</f>
      </c>
      <c r="CX30" s="40"/>
      <c r="CY30" s="41"/>
      <c r="CZ30" s="40"/>
      <c r="DA30" s="41"/>
      <c r="DB30" s="40"/>
      <c r="DC30" s="11" t="str">
        <v>完成</v>
      </c>
      <c r="DD30" s="1" t="str">
        <v>完成</v>
      </c>
    </row>
    <row customHeight="true" ht="19" r="31">
      <c r="A31" s="71" t="str">
        <v>SpitFire</v>
      </c>
      <c r="B31" s="75" t="str">
        <v>火舌</v>
      </c>
      <c r="C31" s="71"/>
      <c r="D31" s="71">
        <f>IF($A31="","","WPN"&amp;VLOOKUP(E31,'引用数据库'!Z:AC,4,FALSE)&amp;VLOOKUP(H31,'引用数据库'!N:P,3,FALSE)&amp;VLOOKUP(I31,'引用数据库'!S:U,3,FALSE)&amp;TEXT(F31,"00"))</f>
      </c>
      <c r="E31" s="75" t="str">
        <v>野望</v>
      </c>
      <c r="F31" s="110">
        <v>4</v>
      </c>
      <c r="G31" s="71">
        <f>G30</f>
      </c>
      <c r="H31" s="75">
        <f>H30</f>
      </c>
      <c r="I31" s="75">
        <f>I30</f>
      </c>
      <c r="J31" s="71" t="str">
        <v>自动</v>
      </c>
      <c r="K31" s="71">
        <f>K30</f>
      </c>
      <c r="L31" s="42"/>
      <c r="M31" s="65">
        <f>M30</f>
      </c>
      <c r="N31" s="72">
        <v>1000</v>
      </c>
      <c r="O31" s="72" t="str">
        <v>N/A</v>
      </c>
      <c r="P31" s="72">
        <v>0</v>
      </c>
      <c r="Q31" s="72">
        <v>0</v>
      </c>
      <c r="R31" s="72">
        <v>0.08</v>
      </c>
      <c r="S31" s="72">
        <v>0</v>
      </c>
      <c r="T31" s="72">
        <f>SUM(P31:S31)</f>
      </c>
      <c r="U31" s="39">
        <f>2*T31/(15*(1+(5-BD31)*0.1))</f>
      </c>
      <c r="V31" s="11"/>
      <c r="W31" s="72">
        <f>W30</f>
      </c>
      <c r="X31" s="72">
        <f>X30</f>
      </c>
      <c r="Y31" s="177">
        <v>0.03</v>
      </c>
      <c r="Z31" s="177">
        <v>0.125</v>
      </c>
      <c r="AA31" s="72">
        <f>AA30</f>
      </c>
      <c r="AB31" s="102">
        <f>AB30</f>
      </c>
      <c r="AC31" s="102">
        <f>AC30</f>
      </c>
      <c r="AD31" s="60">
        <f>(W31+AB31)*AC31</f>
      </c>
      <c r="AE31" s="60">
        <f>(X31+AB31)*AC31</f>
      </c>
      <c r="AF31" s="1"/>
      <c r="AG31" s="54"/>
      <c r="AH31" s="54"/>
      <c r="AI31" s="11"/>
      <c r="AJ31" s="108">
        <f>AJ30</f>
      </c>
      <c r="AK31" s="108">
        <f>AK30+0.1</f>
      </c>
      <c r="AL31" s="108">
        <f>AL30</f>
      </c>
      <c r="AM31" s="105">
        <f>IFS(AJ31 &gt; 1.25, "S", AJ31 &gt; 1, "A", AJ31 &gt; 0.75, "B", AJ31 &gt; 0.5, "C", AJ31 &gt; 0.25, "D", AJ31 &gt; 0, "E", TRUE, "-")</f>
      </c>
      <c r="AN31" s="105">
        <f>IFS(AK31 &gt; 1.25, "S", AK31 &gt; 1, "A", AK31 &gt; 0.75, "B", AK31 &gt; 0.5, "C", AK31 &gt; 0.25, "D", AK31 &gt; 0, "E", TRUE, "-")</f>
      </c>
      <c r="AO31" s="105">
        <f>IFS(AL31 &gt; 1.25, "S", AL31 &gt; 1, "A", AL31 &gt; 0.75, "B", AL31 &gt; 0.5, "C", AL31 &gt; 0.25, "D", AL31 &gt; 0, "E", TRUE, "-")</f>
      </c>
      <c r="AP31" s="68">
        <v>10</v>
      </c>
      <c r="AQ31" s="68">
        <v>10</v>
      </c>
      <c r="AR31" s="68">
        <v>10</v>
      </c>
      <c r="AS31" s="55"/>
      <c r="AT31" s="55"/>
      <c r="AU31" s="55"/>
      <c r="AV31" s="68">
        <f>IF(SUM(AJ31:AL31)=0, 0, (1 + F31 * 0.1) * (0.75 + 0.25 * MAX(0, MIN(1, IF(MAX(AJ31:AL31)=0, 0, (3*MAX(AJ31:AL31)-SUM(AJ31:AL31)) / (2*MAX(AJ31:AL31)))))))</f>
      </c>
      <c r="AW31" s="111">
        <f>MAX(AJ31:AL31)</f>
      </c>
      <c r="AX31" s="109">
        <f>IF(AW31=0, "", AW31 / ((1 + 0.1*N(F31))))</f>
      </c>
      <c r="AY31" s="68">
        <f>IF(SUM(AJ31:AL31)=0, 0,     (1 + F31 * 0.1) * (1 + ((SUM(AJ31:AL31) - MAX(AJ31:AL31)) / (2 * MAX(AJ31:AL31))) * (1/0.75 - 1)))</f>
      </c>
      <c r="AZ31" s="111">
        <f>AJ31+AK31+AL31</f>
      </c>
      <c r="BA31" s="109">
        <f>IF(AZ31=0, "", AZ31 / ((1 + 0.1*N(F31))/0.75))</f>
      </c>
      <c r="BB31" s="39">
        <v>0.1</v>
      </c>
      <c r="BC31" s="11"/>
      <c r="BD31" s="72">
        <v>1</v>
      </c>
      <c r="BE31" s="72">
        <f>BE30</f>
      </c>
      <c r="BF31" s="74"/>
      <c r="BG31" s="38"/>
      <c r="BH31" s="103">
        <f>BH30</f>
      </c>
      <c r="BI31" s="45"/>
      <c r="BJ31" s="63"/>
      <c r="BK31" s="49"/>
      <c r="BL31" s="56">
        <f>BL30</f>
      </c>
      <c r="BM31" s="34"/>
      <c r="BN31" s="110">
        <v>45</v>
      </c>
      <c r="BO31" s="72">
        <v>2</v>
      </c>
      <c r="BP31" s="38"/>
      <c r="BQ31" s="39">
        <f>BQ30</f>
      </c>
      <c r="BR31" s="38">
        <f>IFERROR(BQ31*100/CP31,"N/A")</f>
      </c>
      <c r="BS31" s="107">
        <v>1</v>
      </c>
      <c r="BT31" s="72">
        <v>1</v>
      </c>
      <c r="BU31" s="42"/>
      <c r="BV31" s="78"/>
      <c r="BW31" s="104">
        <f>BW30</f>
      </c>
      <c r="BX31" s="38">
        <f>CP31/BW31</f>
      </c>
      <c r="BY31" s="96">
        <f>BW31/T31</f>
      </c>
      <c r="BZ31" s="11"/>
      <c r="CA31" s="113">
        <f>CA30+10</f>
      </c>
      <c r="CB31" s="39">
        <f>CA31*BB31*(AP31*AJ31+AQ31*AK31+AR31*AL31)</f>
      </c>
      <c r="CC31" s="39">
        <f>CA31+CB31</f>
      </c>
      <c r="CD31" s="68"/>
      <c r="CE31" s="68"/>
      <c r="CF31" s="68"/>
      <c r="CG31" s="68"/>
      <c r="CH31" s="68"/>
      <c r="CI31" s="68"/>
      <c r="CJ31" s="111"/>
      <c r="CK31" s="103">
        <f>CK30</f>
      </c>
      <c r="CL31" s="111"/>
      <c r="CM31" s="38"/>
      <c r="CN31" s="105">
        <f>CK31*CC31</f>
      </c>
      <c r="CO31" s="42"/>
      <c r="CP31" s="70">
        <f>CN31*BS31*BT31</f>
      </c>
      <c r="CQ31" s="38">
        <f>CP31/T31</f>
      </c>
      <c r="CR31" s="38">
        <f>100/CP31</f>
      </c>
      <c r="CS31" s="96">
        <f>100/CQ31</f>
      </c>
      <c r="CT31" s="38">
        <f>CQ31-CQ30</f>
      </c>
      <c r="CU31" s="112">
        <f>(CQ31-CQ30)/CQ30</f>
      </c>
      <c r="CV31" s="96">
        <f>BL31/T31</f>
      </c>
      <c r="CW31" s="96">
        <f>100/CV31</f>
      </c>
      <c r="CX31" s="40"/>
      <c r="CY31" s="41"/>
      <c r="CZ31" s="40"/>
      <c r="DA31" s="41"/>
      <c r="DB31" s="40"/>
      <c r="DC31" s="11" t="str">
        <v>完成</v>
      </c>
      <c r="DD31" s="1" t="str">
        <v>完成</v>
      </c>
    </row>
    <row r="32">
      <c r="A32" s="71" t="str">
        <v>SpitFire</v>
      </c>
      <c r="B32" s="75" t="str">
        <v>火舌</v>
      </c>
      <c r="C32" s="71"/>
      <c r="D32" s="71">
        <f>IF($A32="","","WPN"&amp;VLOOKUP(E32,'引用数据库'!Z:AC,4,FALSE)&amp;VLOOKUP(H32,'引用数据库'!N:P,3,FALSE)&amp;VLOOKUP(I32,'引用数据库'!S:U,3,FALSE)&amp;TEXT(F32,"00"))</f>
      </c>
      <c r="E32" s="75" t="str">
        <v>野望</v>
      </c>
      <c r="F32" s="110">
        <v>5</v>
      </c>
      <c r="G32" s="71">
        <f>G31</f>
      </c>
      <c r="H32" s="75">
        <f>H31</f>
      </c>
      <c r="I32" s="75">
        <f>I31</f>
      </c>
      <c r="J32" s="71" t="str">
        <v>自动</v>
      </c>
      <c r="K32" s="71">
        <f>K31</f>
      </c>
      <c r="L32" s="42"/>
      <c r="M32" s="65">
        <f>M31</f>
      </c>
      <c r="N32" s="72">
        <v>1000</v>
      </c>
      <c r="O32" s="72" t="str">
        <v>N/A</v>
      </c>
      <c r="P32" s="72">
        <v>0</v>
      </c>
      <c r="Q32" s="72">
        <v>0</v>
      </c>
      <c r="R32" s="72">
        <v>0.08</v>
      </c>
      <c r="S32" s="72">
        <v>0</v>
      </c>
      <c r="T32" s="72">
        <f>SUM(P32:S32)</f>
      </c>
      <c r="U32" s="39">
        <f>2*T32/(15*(1+(5-BD32)*0.1))</f>
      </c>
      <c r="V32" s="11"/>
      <c r="W32" s="72">
        <f>W31</f>
      </c>
      <c r="X32" s="72">
        <f>X31</f>
      </c>
      <c r="Y32" s="177">
        <v>0.03</v>
      </c>
      <c r="Z32" s="177">
        <v>0.125</v>
      </c>
      <c r="AA32" s="72">
        <f>AA31</f>
      </c>
      <c r="AB32" s="102">
        <f>AB31</f>
      </c>
      <c r="AC32" s="102">
        <f>AC31</f>
      </c>
      <c r="AD32" s="60">
        <f>(W32+AB32)*AC32</f>
      </c>
      <c r="AE32" s="60">
        <f>(X32+AB32)*AC32</f>
      </c>
      <c r="AF32" s="1"/>
      <c r="AG32" s="54"/>
      <c r="AH32" s="54"/>
      <c r="AI32" s="11"/>
      <c r="AJ32" s="108">
        <f>AJ31</f>
      </c>
      <c r="AK32" s="108">
        <f>AK31+0.1</f>
      </c>
      <c r="AL32" s="108">
        <f>AL31</f>
      </c>
      <c r="AM32" s="105">
        <f>IFS(AJ32 &gt; 1.25, "S", AJ32 &gt; 1, "A", AJ32 &gt; 0.75, "B", AJ32 &gt; 0.5, "C", AJ32 &gt; 0.25, "D", AJ32 &gt; 0, "E", TRUE, "-")</f>
      </c>
      <c r="AN32" s="105">
        <f>IFS(AK32 &gt; 1.25, "S", AK32 &gt; 1, "A", AK32 &gt; 0.75, "B", AK32 &gt; 0.5, "C", AK32 &gt; 0.25, "D", AK32 &gt; 0, "E", TRUE, "-")</f>
      </c>
      <c r="AO32" s="105">
        <f>IFS(AL32 &gt; 1.25, "S", AL32 &gt; 1, "A", AL32 &gt; 0.75, "B", AL32 &gt; 0.5, "C", AL32 &gt; 0.25, "D", AL32 &gt; 0, "E", TRUE, "-")</f>
      </c>
      <c r="AP32" s="68">
        <v>10</v>
      </c>
      <c r="AQ32" s="68">
        <v>10</v>
      </c>
      <c r="AR32" s="68">
        <v>10</v>
      </c>
      <c r="AS32" s="55"/>
      <c r="AT32" s="55"/>
      <c r="AU32" s="55"/>
      <c r="AV32" s="68">
        <f>IF(SUM(AJ32:AL32)=0, 0, (1 + F32 * 0.1) * (0.75 + 0.25 * MAX(0, MIN(1, IF(MAX(AJ32:AL32)=0, 0, (3*MAX(AJ32:AL32)-SUM(AJ32:AL32)) / (2*MAX(AJ32:AL32)))))))</f>
      </c>
      <c r="AW32" s="111">
        <f>MAX(AJ32:AL32)</f>
      </c>
      <c r="AX32" s="109">
        <f>IF(AW32=0, "", AW32 / ((1 + 0.1*N(F32))))</f>
      </c>
      <c r="AY32" s="68">
        <f>IF(SUM(AJ32:AL32)=0, 0,     (1 + F32 * 0.1) * (1 + ((SUM(AJ32:AL32) - MAX(AJ32:AL32)) / (2 * MAX(AJ32:AL32))) * (1/0.75 - 1)))</f>
      </c>
      <c r="AZ32" s="111">
        <f>AJ32+AK32+AL32</f>
      </c>
      <c r="BA32" s="109">
        <f>IF(AZ32=0, "", AZ32 / ((1 + 0.1*N(F32))/0.75))</f>
      </c>
      <c r="BB32" s="39">
        <v>0.1</v>
      </c>
      <c r="BC32" s="11"/>
      <c r="BD32" s="72">
        <v>1</v>
      </c>
      <c r="BE32" s="72">
        <f>BE31</f>
      </c>
      <c r="BF32" s="74"/>
      <c r="BG32" s="38"/>
      <c r="BH32" s="103">
        <f>BH31</f>
      </c>
      <c r="BI32" s="45"/>
      <c r="BJ32" s="63"/>
      <c r="BK32" s="49"/>
      <c r="BL32" s="56">
        <f>BL31</f>
      </c>
      <c r="BM32" s="34"/>
      <c r="BN32" s="110">
        <v>45</v>
      </c>
      <c r="BO32" s="72">
        <v>2</v>
      </c>
      <c r="BP32" s="38"/>
      <c r="BQ32" s="39">
        <f>BQ31</f>
      </c>
      <c r="BR32" s="38">
        <f>IFERROR(BQ32*100/CP32,"N/A")</f>
      </c>
      <c r="BS32" s="107">
        <v>1</v>
      </c>
      <c r="BT32" s="72">
        <v>1</v>
      </c>
      <c r="BU32" s="42"/>
      <c r="BV32" s="78"/>
      <c r="BW32" s="104">
        <f>BW31</f>
      </c>
      <c r="BX32" s="38">
        <f>CP32/BW32</f>
      </c>
      <c r="BY32" s="96">
        <f>BW32/T32</f>
      </c>
      <c r="BZ32" s="11"/>
      <c r="CA32" s="113">
        <f>CA31+10</f>
      </c>
      <c r="CB32" s="39">
        <f>CA32*BB32*(AP32*AJ32+AQ32*AK32+AR32*AL32)</f>
      </c>
      <c r="CC32" s="39">
        <f>CA32+CB32</f>
      </c>
      <c r="CD32" s="68"/>
      <c r="CE32" s="68"/>
      <c r="CF32" s="68"/>
      <c r="CG32" s="68"/>
      <c r="CH32" s="68"/>
      <c r="CI32" s="68"/>
      <c r="CJ32" s="111"/>
      <c r="CK32" s="103">
        <f>CK31</f>
      </c>
      <c r="CL32" s="111"/>
      <c r="CM32" s="38"/>
      <c r="CN32" s="105">
        <f>CK32*CC32</f>
      </c>
      <c r="CO32" s="42"/>
      <c r="CP32" s="70">
        <f>CN32*BS32*BT32</f>
      </c>
      <c r="CQ32" s="38">
        <f>CP32/T32</f>
      </c>
      <c r="CR32" s="38">
        <f>100/CP32</f>
      </c>
      <c r="CS32" s="96">
        <f>100/CQ32</f>
      </c>
      <c r="CT32" s="38">
        <f>CQ32-CQ31</f>
      </c>
      <c r="CU32" s="112">
        <f>(CQ32-CQ31)/CQ31</f>
      </c>
      <c r="CV32" s="96">
        <f>BL32/T32</f>
      </c>
      <c r="CW32" s="96">
        <f>100/CV32</f>
      </c>
      <c r="CX32" s="40"/>
      <c r="CY32" s="41"/>
      <c r="CZ32" s="40"/>
      <c r="DA32" s="41"/>
      <c r="DB32" s="40"/>
      <c r="DC32" s="11" t="str">
        <v>完成</v>
      </c>
      <c r="DD32" s="1" t="str">
        <v>完成</v>
      </c>
    </row>
    <row customHeight="true" ht="19" r="33">
      <c r="A33" s="84" t="str">
        <v>RocketHammer</v>
      </c>
      <c r="B33" s="162" t="str">
        <v>火箭锤</v>
      </c>
      <c r="C33" s="71"/>
      <c r="D33" s="71">
        <f>IF($A33="","","WPN"&amp;VLOOKUP(E33,'引用数据库'!Z:AC,4,FALSE)&amp;VLOOKUP(H33,'引用数据库'!N:P,3,FALSE)&amp;VLOOKUP(I33,'引用数据库'!S:U,3,FALSE)&amp;TEXT(F33,"00"))</f>
      </c>
      <c r="E33" s="162" t="str">
        <v>劳旅</v>
      </c>
      <c r="F33" s="27">
        <v>0</v>
      </c>
      <c r="G33" s="84" t="str">
        <v>近战</v>
      </c>
      <c r="H33" s="162" t="str">
        <v>巨锤</v>
      </c>
      <c r="I33" s="162" t="str">
        <v>动能</v>
      </c>
      <c r="J33" s="36" t="str">
        <v>手动</v>
      </c>
      <c r="K33" s="36">
        <v>2</v>
      </c>
      <c r="L33" s="42"/>
      <c r="M33" s="46">
        <v>1</v>
      </c>
      <c r="N33" s="67">
        <v>200</v>
      </c>
      <c r="O33" s="67">
        <v>135</v>
      </c>
      <c r="P33" s="27">
        <v>0.418</v>
      </c>
      <c r="Q33" s="27">
        <v>0.1</v>
      </c>
      <c r="R33" s="27">
        <v>0.482</v>
      </c>
      <c r="S33" s="27">
        <v>0</v>
      </c>
      <c r="T33" s="27">
        <f>SUM(P33:S33)</f>
      </c>
      <c r="U33" s="32">
        <f>2*T33/(15*(1+(5-BD33)*0.1))</f>
      </c>
      <c r="V33" s="1"/>
      <c r="W33" s="67" t="str">
        <v>N/A</v>
      </c>
      <c r="X33" s="67" t="str">
        <v>N/A</v>
      </c>
      <c r="Y33" s="67" t="str">
        <v>N/A</v>
      </c>
      <c r="Z33" s="67" t="str">
        <v>N/A</v>
      </c>
      <c r="AA33" s="166" t="str">
        <v>N/A</v>
      </c>
      <c r="AB33" s="166" t="str">
        <v>N/A</v>
      </c>
      <c r="AC33" s="166" t="str">
        <v>N/A</v>
      </c>
      <c r="AD33" s="28" t="str">
        <v>N/A</v>
      </c>
      <c r="AE33" s="28" t="str">
        <v>N/A</v>
      </c>
      <c r="AF33" s="1"/>
      <c r="AG33" s="67"/>
      <c r="AH33" s="67"/>
      <c r="AI33" s="1"/>
      <c r="AJ33" s="33">
        <v>1</v>
      </c>
      <c r="AK33" s="163">
        <v>0</v>
      </c>
      <c r="AL33" s="33">
        <v>0</v>
      </c>
      <c r="AM33" s="29">
        <f>IFS(AJ33 &gt; 1.25, "S", AJ33 &gt; 1, "A", AJ33 &gt; 0.75, "B", AJ33 &gt; 0.5, "C", AJ33 &gt; 0.25, "D", AJ33 &gt; 0, "E", TRUE, "-")</f>
      </c>
      <c r="AN33" s="29">
        <f>IFS(AK33 &gt; 1.25, "S", AK33 &gt; 1, "A", AK33 &gt; 0.75, "B", AK33 &gt; 0.5, "C", AK33 &gt; 0.25, "D", AK33 &gt; 0, "E", TRUE, "-")</f>
      </c>
      <c r="AO33" s="29">
        <f>IFS(AL33 &gt; 1.25, "S", AL33 &gt; 1, "A", AL33 &gt; 0.75, "B", AL33 &gt; 0.5, "C", AL33 &gt; 0.25, "D", AL33 &gt; 0, "E", TRUE, "-")</f>
      </c>
      <c r="AP33" s="32">
        <v>10</v>
      </c>
      <c r="AQ33" s="32">
        <v>10</v>
      </c>
      <c r="AR33" s="32">
        <v>10</v>
      </c>
      <c r="AS33" s="29"/>
      <c r="AT33" s="29"/>
      <c r="AU33" s="29"/>
      <c r="AV33" s="32">
        <f>IF(SUM(AJ33:AL33)=0, 0, (1 + F33 * 0.1) * (0.75 + 0.25 * MAX(0, MIN(1, IF(MAX(AJ33:AL33)=0, 0, (3*MAX(AJ33:AL33)-SUM(AJ33:AL33)) / (2*MAX(AJ33:AL33)))))))</f>
      </c>
      <c r="AW33" s="33">
        <f>MAX(AJ33:AL33)</f>
      </c>
      <c r="AX33" s="37">
        <f>IF(AW33=0, "", AW33 / ((1 + 0.1*N(F33))))</f>
      </c>
      <c r="AY33" s="32">
        <f>IF(SUM(AJ33:AL33)=0, 0,     (1 + F33 * 0.1) * (1 + ((SUM(AJ33:AL33) - MAX(AJ33:AL33)) / (2 * MAX(AJ33:AL33))) * (1/0.75 - 1)))</f>
      </c>
      <c r="AZ33" s="33">
        <f>AJ33+AK33+AL33</f>
      </c>
      <c r="BA33" s="37">
        <f>IF(AZ33=0, "", AZ33 / ((1 + 0.1*N(F33))/0.75))</f>
      </c>
      <c r="BB33" s="32">
        <v>0.1</v>
      </c>
      <c r="BC33" s="1"/>
      <c r="BD33" s="67">
        <v>3</v>
      </c>
      <c r="BE33" s="67">
        <v>4</v>
      </c>
      <c r="BF33" s="43">
        <v>5</v>
      </c>
      <c r="BG33" s="32">
        <f>T33*20*(16 * BF33) / (15 + 20 * BF33 - 3 * POWER(BF33, 2))/BT33/BS33</f>
      </c>
      <c r="BH33" s="33">
        <f>BG33</f>
      </c>
      <c r="BI33" s="45"/>
      <c r="BJ33" s="47">
        <v>3</v>
      </c>
      <c r="BK33" s="30">
        <f>T33*33*(16 * BJ33) / (15 + 20 * BJ33 - 3 * POWER(BJ33, 2))/BT33/BS33</f>
      </c>
      <c r="BL33" s="30">
        <f>BK33</f>
      </c>
      <c r="BM33" s="34"/>
      <c r="BN33" s="67" t="str">
        <v>N/A</v>
      </c>
      <c r="BO33" s="67" t="str">
        <v>N/A</v>
      </c>
      <c r="BP33" s="38">
        <v>0</v>
      </c>
      <c r="BQ33" s="39">
        <v>0</v>
      </c>
      <c r="BR33" s="32">
        <f>IFERROR(BQ33*100/CP33,"N/A")</f>
      </c>
      <c r="BS33" s="67">
        <v>1</v>
      </c>
      <c r="BT33" s="67">
        <v>1</v>
      </c>
      <c r="BU33" s="42"/>
      <c r="BV33" s="44">
        <f>CP33/1.5</f>
      </c>
      <c r="BW33" s="44">
        <v>24</v>
      </c>
      <c r="BX33" s="32">
        <f>CP33/BW33</f>
      </c>
      <c r="BY33" s="35">
        <f>BW33/T33</f>
      </c>
      <c r="BZ33" s="1"/>
      <c r="CA33" s="31">
        <v>10</v>
      </c>
      <c r="CB33" s="32">
        <f>CA33*BB33*(AP33*AJ33+AQ33*AK33+AR33*AL33)</f>
      </c>
      <c r="CC33" s="32">
        <f>CA33+CB33</f>
      </c>
      <c r="CD33" s="32">
        <f>T33 * 2 / BS33 / BT33 * (0.9 + 0.2 * IF(G33="近战", EXP(-64 * (T33 - 0.75)^2), EXP(-400 * (T33 - 0.15)^2)))</f>
      </c>
      <c r="CE33" s="32">
        <f>0.9 + 0.2 / (1 + (N33/600)^1)</f>
      </c>
      <c r="CF33" s="32">
        <f>LET(  k, K33,  be, BS33,  bf, BT33,  m, N33,  n, O33,  v, X33,  vEff, IF(ISNUMBER(v), v, 0),  angle,    IF(      ISNUMBER(n),        IF(n&gt;0, n,           IF(ISNUMBER(v),              IF(v&gt;0, v, 0),              0           )        ),      IF(ISNUMBER(v),         IF(v&gt;0, v, 0),         0      )    ),  T,    IF(k=1,       be * bf * 20 / MAX(vEff, 1),    IF(k=2,       (m/150)^2 * (angle/120),    IF(k=3,       be * (MIN(bf, 99)/99) * (m/1000),       be * bf * (m/1000) * (n/200)^2    ))),  b, 0.8,  c, 1.2,  r, (c-1)/(1-b),  k_s, 1,  b + (c-b) / (1 + r * EXP(-k_s*(1-T))))</f>
      </c>
      <c r="CG33" s="32">
        <f>IF(T33&lt;=0,1,   (0.9 + 0.2 / (1 + EXP(-0.8 * (5 - BD33)))) * (0.9 + 0.2 / (1 + EXP(-1 * (3.5 - BE33)))) * (0.9 + 0.2 / (1 + EXP(-0.6 * (20 - BS33*BH33/T33)))))</f>
      </c>
      <c r="CH33" s="32">
        <f>IF(T33&lt;=0, 1, 0.9 + 0.2 / (1 + EXP(0.1 * (BL33*BS33*BT33/T33 - 33))))</f>
      </c>
      <c r="CI33" s="32">
        <f>LET(    x_val, W33,    bq_val, BS33,    Check_Fail, OR(NOT(ISNUMBER(x_val)), bq_val &lt;= 1),        IF(Check_Fail, 1,        LET(            Ratio, x_val / bq_val,                        calc_A, 2.2 / (1 + EXP(-0.276 * (Ratio - 0.66))),            calc_B, 2.2 / (1 + EXP(-0.0138 * (x_val - 13.2))),                        calc_A + calc_B        )    ))</f>
      </c>
      <c r="CJ33" s="33">
        <f>CD33*CE33*CF33*CG33*CH33*CI33</f>
      </c>
      <c r="CK33" s="33">
        <f>CJ33</f>
      </c>
      <c r="CL33" s="32">
        <f>T33 * 2 / BS33 / BT33</f>
      </c>
      <c r="CM33" s="37">
        <f>CK33/CL33</f>
      </c>
      <c r="CN33" s="32">
        <f>CK33*CC33</f>
      </c>
      <c r="CO33" s="42"/>
      <c r="CP33" s="48">
        <f>CN33*BS33*BT33</f>
      </c>
      <c r="CQ33" s="32">
        <f>CP33/T33</f>
      </c>
      <c r="CR33" s="32">
        <f>100/CP33</f>
      </c>
      <c r="CS33" s="35">
        <f>100/CQ33</f>
      </c>
      <c r="CT33" s="32"/>
      <c r="CU33" s="32"/>
      <c r="CV33" s="35">
        <f>BL33/T33</f>
      </c>
      <c r="CW33" s="35">
        <f>100/CV33</f>
      </c>
      <c r="CX33" s="77"/>
      <c r="CY33" s="41" t="str">
        <v>主要用于拆卸工程的火箭锤，
只要使用者体力充足就能连续工作。
内置的高压冲击装置甚至能带着使用者移动，
因此也偶有高空作业误操作导致的失事报道。</v>
      </c>
      <c r="CZ33" s="77"/>
      <c r="DA33" s="41">
        <f>TEXTJOIN("、", TRUE, FILTER('武器技能'!B:B, '武器技能'!E:E = H33))</f>
      </c>
      <c r="DB33" s="77"/>
      <c r="DC33" s="27" t="str">
        <v>完成</v>
      </c>
      <c r="DD33" s="27" t="str">
        <v>完成</v>
      </c>
    </row>
    <row r="34">
      <c r="A34" s="84" t="str">
        <v>RocketHammer</v>
      </c>
      <c r="B34" s="173" t="str">
        <v>火箭锤</v>
      </c>
      <c r="C34" s="90"/>
      <c r="D34" s="90">
        <f>IF($A34="","","WPN"&amp;VLOOKUP(E34,'引用数据库'!Z:AC,4,FALSE)&amp;VLOOKUP(H34,'引用数据库'!N:P,3,FALSE)&amp;VLOOKUP(I34,'引用数据库'!S:U,3,FALSE)&amp;TEXT(F34,"00"))</f>
      </c>
      <c r="E34" s="173" t="str">
        <v>劳旅</v>
      </c>
      <c r="F34" s="91">
        <v>1</v>
      </c>
      <c r="G34" s="90">
        <f>G33</f>
      </c>
      <c r="H34" s="90">
        <f>H33</f>
      </c>
      <c r="I34" s="90">
        <f>I33</f>
      </c>
      <c r="J34" s="90" t="str">
        <v>手动</v>
      </c>
      <c r="K34" s="71">
        <f>K33</f>
      </c>
      <c r="L34" s="42"/>
      <c r="M34" s="98">
        <f>M33</f>
      </c>
      <c r="N34" s="159">
        <v>200</v>
      </c>
      <c r="O34" s="159">
        <v>135</v>
      </c>
      <c r="P34" s="91">
        <f>P33</f>
      </c>
      <c r="Q34" s="91">
        <f>Q33</f>
      </c>
      <c r="R34" s="91">
        <f>R33</f>
      </c>
      <c r="S34" s="91">
        <v>0</v>
      </c>
      <c r="T34" s="91">
        <f>SUM(P34:S34)</f>
      </c>
      <c r="U34" s="88">
        <f>2*T34/(15*(1+(5-BD34)*0.1))</f>
      </c>
      <c r="V34" s="1"/>
      <c r="W34" s="159" t="str">
        <v>N/A</v>
      </c>
      <c r="X34" s="159" t="str">
        <v>N/A</v>
      </c>
      <c r="Y34" s="159" t="str">
        <v>N/A</v>
      </c>
      <c r="Z34" s="159" t="str">
        <v>N/A</v>
      </c>
      <c r="AA34" s="175" t="str">
        <v>N/A</v>
      </c>
      <c r="AB34" s="175" t="str">
        <v>N/A</v>
      </c>
      <c r="AC34" s="175" t="str">
        <v>N/A</v>
      </c>
      <c r="AD34" s="95" t="str">
        <v>N/A</v>
      </c>
      <c r="AE34" s="95" t="str">
        <v>N/A</v>
      </c>
      <c r="AF34" s="1"/>
      <c r="AG34" s="159"/>
      <c r="AH34" s="159"/>
      <c r="AI34" s="1"/>
      <c r="AJ34" s="174">
        <f>AJ33+0.1</f>
      </c>
      <c r="AK34" s="174">
        <v>0</v>
      </c>
      <c r="AL34" s="87">
        <v>0</v>
      </c>
      <c r="AM34" s="115">
        <f>IFS(AJ34 &gt; 1.25, "S", AJ34 &gt; 1, "A", AJ34 &gt; 0.75, "B", AJ34 &gt; 0.5, "C", AJ34 &gt; 0.25, "D", AJ34 &gt; 0, "E", TRUE, "-")</f>
      </c>
      <c r="AN34" s="115">
        <f>IFS(AK34 &gt; 1.25, "S", AK34 &gt; 1, "A", AK34 &gt; 0.75, "B", AK34 &gt; 0.5, "C", AK34 &gt; 0.25, "D", AK34 &gt; 0, "E", TRUE, "-")</f>
      </c>
      <c r="AO34" s="115">
        <f>IFS(AL34 &gt; 1.25, "S", AL34 &gt; 1, "A", AL34 &gt; 0.75, "B", AL34 &gt; 0.5, "C", AL34 &gt; 0.25, "D", AL34 &gt; 0, "E", TRUE, "-")</f>
      </c>
      <c r="AP34" s="88">
        <v>10</v>
      </c>
      <c r="AQ34" s="88">
        <v>10</v>
      </c>
      <c r="AR34" s="88">
        <v>10</v>
      </c>
      <c r="AS34" s="115"/>
      <c r="AT34" s="115"/>
      <c r="AU34" s="115"/>
      <c r="AV34" s="88">
        <f>IF(SUM(AJ34:AL34)=0, 0, (1 + F34 * 0.1) * (0.75 + 0.25 * MAX(0, MIN(1, IF(MAX(AJ34:AL34)=0, 0, (3*MAX(AJ34:AL34)-SUM(AJ34:AL34)) / (2*MAX(AJ34:AL34)))))))</f>
      </c>
      <c r="AW34" s="87">
        <f>MAX(AJ34:AL34)</f>
      </c>
      <c r="AX34" s="92">
        <f>IF(AW34=0, "", AW34 / ((1 + 0.1*N(F34))))</f>
      </c>
      <c r="AY34" s="88">
        <f>IF(SUM(AJ34:AL34)=0, 0,     (1 + F34 * 0.1) * (1 + ((SUM(AJ34:AL34) - MAX(AJ34:AL34)) / (2 * MAX(AJ34:AL34))) * (1/0.75 - 1)))</f>
      </c>
      <c r="AZ34" s="87">
        <f>AJ34+AK34+AL34</f>
      </c>
      <c r="BA34" s="92">
        <f>IF(AZ34=0, "", AZ34 / ((1 + 0.1*N(F34))/0.75))</f>
      </c>
      <c r="BB34" s="88">
        <v>0.1</v>
      </c>
      <c r="BC34" s="1"/>
      <c r="BD34" s="91">
        <f>BD33</f>
      </c>
      <c r="BE34" s="91">
        <f>BE33</f>
      </c>
      <c r="BF34" s="93"/>
      <c r="BG34" s="88"/>
      <c r="BH34" s="87">
        <f>T34*15/0.5</f>
      </c>
      <c r="BI34" s="45"/>
      <c r="BJ34" s="99"/>
      <c r="BK34" s="101"/>
      <c r="BL34" s="101">
        <f>BL33</f>
      </c>
      <c r="BM34" s="34"/>
      <c r="BN34" s="159" t="str">
        <v>N/A</v>
      </c>
      <c r="BO34" s="159" t="str">
        <v>N/A</v>
      </c>
      <c r="BP34" s="88"/>
      <c r="BQ34" s="88">
        <v>0</v>
      </c>
      <c r="BR34" s="88">
        <f>IFERROR(BQ34*100/CP34,"N/A")</f>
      </c>
      <c r="BS34" s="159">
        <v>1</v>
      </c>
      <c r="BT34" s="159">
        <v>1</v>
      </c>
      <c r="BU34" s="42"/>
      <c r="BV34" s="114"/>
      <c r="BW34" s="94">
        <f>BW33</f>
      </c>
      <c r="BX34" s="88">
        <f>CP34/BW34</f>
      </c>
      <c r="BY34" s="89">
        <f>BW34/T34</f>
      </c>
      <c r="BZ34" s="1"/>
      <c r="CA34" s="100">
        <f>CA33+20</f>
      </c>
      <c r="CB34" s="88">
        <f>CA34*BB34*(AP34*AJ34+AQ34*AK34+AR34*AL34)</f>
      </c>
      <c r="CC34" s="88">
        <f>CA34+CB34</f>
      </c>
      <c r="CD34" s="88"/>
      <c r="CE34" s="88"/>
      <c r="CF34" s="88"/>
      <c r="CG34" s="88"/>
      <c r="CH34" s="88"/>
      <c r="CI34" s="88"/>
      <c r="CJ34" s="87"/>
      <c r="CK34" s="87">
        <f>CK33</f>
      </c>
      <c r="CL34" s="87"/>
      <c r="CM34" s="88"/>
      <c r="CN34" s="88">
        <f>CK34*CC34</f>
      </c>
      <c r="CO34" s="42"/>
      <c r="CP34" s="97">
        <f>CN34*BS34*BT34</f>
      </c>
      <c r="CQ34" s="88">
        <f>CP34/T34</f>
      </c>
      <c r="CR34" s="88">
        <f>100/CP34</f>
      </c>
      <c r="CS34" s="89">
        <f>100/CQ34</f>
      </c>
      <c r="CT34" s="88">
        <f>CQ34-CQ33</f>
      </c>
      <c r="CU34" s="98">
        <f>(CQ34-CQ33)/CQ33</f>
      </c>
      <c r="CV34" s="89">
        <f>BL34/T34</f>
      </c>
      <c r="CW34" s="89">
        <f>100/CV34</f>
      </c>
      <c r="CX34" s="77"/>
      <c r="CY34" s="41"/>
      <c r="CZ34" s="77"/>
      <c r="DA34" s="41"/>
      <c r="DB34" s="77"/>
      <c r="DC34" s="91" t="str">
        <v>完成</v>
      </c>
      <c r="DD34" s="91" t="str">
        <v>完成</v>
      </c>
    </row>
    <row customHeight="true" ht="19" r="35">
      <c r="A35" s="84" t="str">
        <v>RocketHammer</v>
      </c>
      <c r="B35" s="53" t="str">
        <v>火箭锤</v>
      </c>
      <c r="C35" s="71"/>
      <c r="D35" s="71">
        <f>IF($A35="","","WPN"&amp;VLOOKUP(E35,'引用数据库'!Z:AC,4,FALSE)&amp;VLOOKUP(H35,'引用数据库'!N:P,3,FALSE)&amp;VLOOKUP(I35,'引用数据库'!S:U,3,FALSE)&amp;TEXT(F35,"00"))</f>
      </c>
      <c r="E35" s="53" t="str">
        <v>劳旅</v>
      </c>
      <c r="F35" s="110">
        <v>2</v>
      </c>
      <c r="G35" s="71">
        <f>G34</f>
      </c>
      <c r="H35" s="75">
        <f>H34</f>
      </c>
      <c r="I35" s="75">
        <f>I34</f>
      </c>
      <c r="J35" s="71" t="str">
        <v>手动</v>
      </c>
      <c r="K35" s="71">
        <f>K34</f>
      </c>
      <c r="L35" s="42"/>
      <c r="M35" s="65">
        <f>M34</f>
      </c>
      <c r="N35" s="54">
        <v>200</v>
      </c>
      <c r="O35" s="54">
        <v>135</v>
      </c>
      <c r="P35" s="72">
        <f>P34</f>
      </c>
      <c r="Q35" s="72">
        <f>Q34</f>
      </c>
      <c r="R35" s="72">
        <f>R34</f>
      </c>
      <c r="S35" s="72">
        <v>0</v>
      </c>
      <c r="T35" s="72">
        <f>SUM(P35:S35)</f>
      </c>
      <c r="U35" s="39">
        <f>2*T35/(15*(1+(5-BD35)*0.1))</f>
      </c>
      <c r="V35" s="1"/>
      <c r="W35" s="54" t="str">
        <v>N/A</v>
      </c>
      <c r="X35" s="54" t="str">
        <v>N/A</v>
      </c>
      <c r="Y35" s="54" t="str">
        <v>N/A</v>
      </c>
      <c r="Z35" s="54" t="str">
        <v>N/A</v>
      </c>
      <c r="AA35" s="66" t="str">
        <v>N/A</v>
      </c>
      <c r="AB35" s="66" t="str">
        <v>N/A</v>
      </c>
      <c r="AC35" s="66" t="str">
        <v>N/A</v>
      </c>
      <c r="AD35" s="102" t="str">
        <v>N/A</v>
      </c>
      <c r="AE35" s="102" t="str">
        <v>N/A</v>
      </c>
      <c r="AF35" s="1"/>
      <c r="AG35" s="54"/>
      <c r="AH35" s="54"/>
      <c r="AI35" s="1"/>
      <c r="AJ35" s="80">
        <f>AJ34+0.1</f>
      </c>
      <c r="AK35" s="80">
        <v>0</v>
      </c>
      <c r="AL35" s="80">
        <v>0</v>
      </c>
      <c r="AM35" s="55">
        <f>IFS(AJ35 &gt; 1.25, "S", AJ35 &gt; 1, "A", AJ35 &gt; 0.75, "B", AJ35 &gt; 0.5, "C", AJ35 &gt; 0.25, "D", AJ35 &gt; 0, "E", TRUE, "-")</f>
      </c>
      <c r="AN35" s="55">
        <f>IFS(AK35 &gt; 1.25, "S", AK35 &gt; 1, "A", AK35 &gt; 0.75, "B", AK35 &gt; 0.5, "C", AK35 &gt; 0.25, "D", AK35 &gt; 0, "E", TRUE, "-")</f>
      </c>
      <c r="AO35" s="55">
        <f>IFS(AL35 &gt; 1.25, "S", AL35 &gt; 1, "A", AL35 &gt; 0.75, "B", AL35 &gt; 0.5, "C", AL35 &gt; 0.25, "D", AL35 &gt; 0, "E", TRUE, "-")</f>
      </c>
      <c r="AP35" s="68">
        <v>10</v>
      </c>
      <c r="AQ35" s="68">
        <v>10</v>
      </c>
      <c r="AR35" s="68">
        <v>10</v>
      </c>
      <c r="AS35" s="55"/>
      <c r="AT35" s="55"/>
      <c r="AU35" s="55"/>
      <c r="AV35" s="68">
        <f>IF(SUM(AJ35:AL35)=0, 0, (1 + F35 * 0.1) * (0.75 + 0.25 * MAX(0, MIN(1, IF(MAX(AJ35:AL35)=0, 0, (3*MAX(AJ35:AL35)-SUM(AJ35:AL35)) / (2*MAX(AJ35:AL35)))))))</f>
      </c>
      <c r="AW35" s="111">
        <f>MAX(AJ35:AL35)</f>
      </c>
      <c r="AX35" s="109">
        <f>IF(AW35=0, "", AW35 / ((1 + 0.1*N(F35))))</f>
      </c>
      <c r="AY35" s="68">
        <f>IF(SUM(AJ35:AL35)=0, 0,     (1 + F35 * 0.1) * (1 + ((SUM(AJ35:AL35) - MAX(AJ35:AL35)) / (2 * MAX(AJ35:AL35))) * (1/0.75 - 1)))</f>
      </c>
      <c r="AZ35" s="111">
        <f>AJ35+AK35+AL35</f>
      </c>
      <c r="BA35" s="109">
        <f>IF(AZ35=0, "", AZ35 / ((1 + 0.1*N(F35))/0.75))</f>
      </c>
      <c r="BB35" s="39">
        <v>0.1</v>
      </c>
      <c r="BC35" s="1"/>
      <c r="BD35" s="72">
        <f>BD34</f>
      </c>
      <c r="BE35" s="72">
        <f>BE34</f>
      </c>
      <c r="BF35" s="74"/>
      <c r="BG35" s="64"/>
      <c r="BH35" s="69">
        <f>BH34</f>
      </c>
      <c r="BI35" s="45"/>
      <c r="BJ35" s="63"/>
      <c r="BK35" s="49"/>
      <c r="BL35" s="56">
        <f>BL34</f>
      </c>
      <c r="BM35" s="34"/>
      <c r="BN35" s="57" t="str">
        <v>N/A</v>
      </c>
      <c r="BO35" s="54" t="str">
        <v>N/A</v>
      </c>
      <c r="BP35" s="38"/>
      <c r="BQ35" s="39">
        <v>0</v>
      </c>
      <c r="BR35" s="38">
        <f>IFERROR(BQ35*100/CP35,"N/A")</f>
      </c>
      <c r="BS35" s="61">
        <v>1</v>
      </c>
      <c r="BT35" s="54">
        <v>1</v>
      </c>
      <c r="BU35" s="42"/>
      <c r="BV35" s="78"/>
      <c r="BW35" s="104">
        <f>BW34</f>
      </c>
      <c r="BX35" s="38">
        <f>CP35/BW35</f>
      </c>
      <c r="BY35" s="96">
        <f>BW35/T35</f>
      </c>
      <c r="BZ35" s="1"/>
      <c r="CA35" s="113">
        <f>CA34+10</f>
      </c>
      <c r="CB35" s="39">
        <f>CA35*BB35*(AP35*AJ35+AQ35*AK35+AR35*AL35)</f>
      </c>
      <c r="CC35" s="39">
        <f>CA35+CB35</f>
      </c>
      <c r="CD35" s="68"/>
      <c r="CE35" s="68"/>
      <c r="CF35" s="68"/>
      <c r="CG35" s="68"/>
      <c r="CH35" s="68"/>
      <c r="CI35" s="68"/>
      <c r="CJ35" s="111"/>
      <c r="CK35" s="103">
        <f>CK34</f>
      </c>
      <c r="CL35" s="111"/>
      <c r="CM35" s="38"/>
      <c r="CN35" s="105">
        <f>CK35*CC35</f>
      </c>
      <c r="CO35" s="42"/>
      <c r="CP35" s="70">
        <f>CN35*BS35*BT35</f>
      </c>
      <c r="CQ35" s="38">
        <f>CP35/T35</f>
      </c>
      <c r="CR35" s="38">
        <f>100/CP35</f>
      </c>
      <c r="CS35" s="96">
        <f>100/CQ35</f>
      </c>
      <c r="CT35" s="38">
        <f>CQ35-CQ34</f>
      </c>
      <c r="CU35" s="112">
        <f>(CQ35-CQ34)/CQ34</f>
      </c>
      <c r="CV35" s="96">
        <f>BL35/T35</f>
      </c>
      <c r="CW35" s="96">
        <f>100/CV35</f>
      </c>
      <c r="CX35" s="77"/>
      <c r="CY35" s="41"/>
      <c r="CZ35" s="77"/>
      <c r="DA35" s="41"/>
      <c r="DB35" s="77"/>
      <c r="DC35" s="1" t="str">
        <v>完成</v>
      </c>
      <c r="DD35" s="1" t="str">
        <v>完成</v>
      </c>
    </row>
    <row r="36">
      <c r="A36" s="84" t="str">
        <v>RocketHammer</v>
      </c>
      <c r="B36" s="53" t="str">
        <v>火箭锤</v>
      </c>
      <c r="C36" s="71"/>
      <c r="D36" s="71">
        <f>IF($A36="","","WPN"&amp;VLOOKUP(E36,'引用数据库'!Z:AC,4,FALSE)&amp;VLOOKUP(H36,'引用数据库'!N:P,3,FALSE)&amp;VLOOKUP(I36,'引用数据库'!S:U,3,FALSE)&amp;TEXT(F36,"00"))</f>
      </c>
      <c r="E36" s="53" t="str">
        <v>劳旅</v>
      </c>
      <c r="F36" s="110">
        <v>3</v>
      </c>
      <c r="G36" s="71">
        <f>G35</f>
      </c>
      <c r="H36" s="75">
        <f>H35</f>
      </c>
      <c r="I36" s="75">
        <f>I35</f>
      </c>
      <c r="J36" s="71" t="str">
        <v>手动</v>
      </c>
      <c r="K36" s="71">
        <f>K35</f>
      </c>
      <c r="L36" s="42"/>
      <c r="M36" s="65">
        <f>M35</f>
      </c>
      <c r="N36" s="54">
        <v>200</v>
      </c>
      <c r="O36" s="54">
        <v>135</v>
      </c>
      <c r="P36" s="72">
        <f>P35</f>
      </c>
      <c r="Q36" s="72">
        <f>Q35</f>
      </c>
      <c r="R36" s="72">
        <f>R35</f>
      </c>
      <c r="S36" s="72">
        <v>0</v>
      </c>
      <c r="T36" s="72">
        <f>SUM(P36:S36)</f>
      </c>
      <c r="U36" s="39">
        <f>2*T36/(15*(1+(5-BD36)*0.1))</f>
      </c>
      <c r="V36" s="1"/>
      <c r="W36" s="54" t="str">
        <v>N/A</v>
      </c>
      <c r="X36" s="54" t="str">
        <v>N/A</v>
      </c>
      <c r="Y36" s="54" t="str">
        <v>N/A</v>
      </c>
      <c r="Z36" s="54" t="str">
        <v>N/A</v>
      </c>
      <c r="AA36" s="66" t="str">
        <v>N/A</v>
      </c>
      <c r="AB36" s="66" t="str">
        <v>N/A</v>
      </c>
      <c r="AC36" s="66" t="str">
        <v>N/A</v>
      </c>
      <c r="AD36" s="102" t="str">
        <v>N/A</v>
      </c>
      <c r="AE36" s="102" t="str">
        <v>N/A</v>
      </c>
      <c r="AF36" s="11"/>
      <c r="AG36" s="72"/>
      <c r="AH36" s="72"/>
      <c r="AI36" s="1"/>
      <c r="AJ36" s="80">
        <f>AJ35+0.1</f>
      </c>
      <c r="AK36" s="108">
        <v>0</v>
      </c>
      <c r="AL36" s="108">
        <v>0</v>
      </c>
      <c r="AM36" s="105">
        <f>IFS(AJ36 &gt; 1.25, "S", AJ36 &gt; 1, "A", AJ36 &gt; 0.75, "B", AJ36 &gt; 0.5, "C", AJ36 &gt; 0.25, "D", AJ36 &gt; 0, "E", TRUE, "-")</f>
      </c>
      <c r="AN36" s="105">
        <f>IFS(AK36 &gt; 1.25, "S", AK36 &gt; 1, "A", AK36 &gt; 0.75, "B", AK36 &gt; 0.5, "C", AK36 &gt; 0.25, "D", AK36 &gt; 0, "E", TRUE, "-")</f>
      </c>
      <c r="AO36" s="105">
        <f>IFS(AL36 &gt; 1.25, "S", AL36 &gt; 1, "A", AL36 &gt; 0.75, "B", AL36 &gt; 0.5, "C", AL36 &gt; 0.25, "D", AL36 &gt; 0, "E", TRUE, "-")</f>
      </c>
      <c r="AP36" s="68">
        <v>10</v>
      </c>
      <c r="AQ36" s="68">
        <v>10</v>
      </c>
      <c r="AR36" s="68">
        <v>10</v>
      </c>
      <c r="AS36" s="105"/>
      <c r="AT36" s="55"/>
      <c r="AU36" s="105"/>
      <c r="AV36" s="68">
        <f>IF(SUM(AJ36:AL36)=0, 0, (1 + F36 * 0.1) * (0.75 + 0.25 * MAX(0, MIN(1, IF(MAX(AJ36:AL36)=0, 0, (3*MAX(AJ36:AL36)-SUM(AJ36:AL36)) / (2*MAX(AJ36:AL36)))))))</f>
      </c>
      <c r="AW36" s="111">
        <f>MAX(AJ36:AL36)</f>
      </c>
      <c r="AX36" s="109">
        <f>IF(AW36=0, "", AW36 / ((1 + 0.1*N(F36))))</f>
      </c>
      <c r="AY36" s="68">
        <f>IF(SUM(AJ36:AL36)=0, 0,     (1 + F36 * 0.1) * (1 + ((SUM(AJ36:AL36) - MAX(AJ36:AL36)) / (2 * MAX(AJ36:AL36))) * (1/0.75 - 1)))</f>
      </c>
      <c r="AZ36" s="111">
        <f>AJ36+AK36+AL36</f>
      </c>
      <c r="BA36" s="109">
        <f>IF(AZ36=0, "", AZ36 / ((1 + 0.1*N(F36))/0.75))</f>
      </c>
      <c r="BB36" s="39">
        <v>0.1</v>
      </c>
      <c r="BC36" s="1"/>
      <c r="BD36" s="72">
        <f>BD35</f>
      </c>
      <c r="BE36" s="72">
        <f>BE35</f>
      </c>
      <c r="BF36" s="74"/>
      <c r="BG36" s="64"/>
      <c r="BH36" s="69">
        <f>BH35</f>
      </c>
      <c r="BI36" s="45"/>
      <c r="BJ36" s="63"/>
      <c r="BK36" s="49"/>
      <c r="BL36" s="56">
        <f>BL35</f>
      </c>
      <c r="BM36" s="34"/>
      <c r="BN36" s="57" t="str">
        <v>N/A</v>
      </c>
      <c r="BO36" s="54" t="str">
        <v>N/A</v>
      </c>
      <c r="BP36" s="38"/>
      <c r="BQ36" s="39">
        <v>0</v>
      </c>
      <c r="BR36" s="38">
        <f>IFERROR(BQ36*100/CP36,"N/A")</f>
      </c>
      <c r="BS36" s="61">
        <v>1</v>
      </c>
      <c r="BT36" s="54">
        <v>1</v>
      </c>
      <c r="BU36" s="42"/>
      <c r="BV36" s="78"/>
      <c r="BW36" s="104">
        <f>BW35</f>
      </c>
      <c r="BX36" s="38">
        <f>CP36/BW36</f>
      </c>
      <c r="BY36" s="96">
        <f>BW36/T36</f>
      </c>
      <c r="BZ36" s="1"/>
      <c r="CA36" s="113">
        <f>CA35+10</f>
      </c>
      <c r="CB36" s="39">
        <f>CA36*BB36*(AP36*AJ36+AQ36*AK36+AR36*AL36)</f>
      </c>
      <c r="CC36" s="39">
        <f>CA36+CB36</f>
      </c>
      <c r="CD36" s="68"/>
      <c r="CE36" s="68"/>
      <c r="CF36" s="68"/>
      <c r="CG36" s="68"/>
      <c r="CH36" s="68"/>
      <c r="CI36" s="68"/>
      <c r="CJ36" s="111"/>
      <c r="CK36" s="103">
        <f>CK35</f>
      </c>
      <c r="CL36" s="111"/>
      <c r="CM36" s="38"/>
      <c r="CN36" s="105">
        <f>CK36*CC36</f>
      </c>
      <c r="CO36" s="42"/>
      <c r="CP36" s="70">
        <f>CN36*BS36*BT36</f>
      </c>
      <c r="CQ36" s="38">
        <f>CP36/T36</f>
      </c>
      <c r="CR36" s="38">
        <f>100/CP36</f>
      </c>
      <c r="CS36" s="96">
        <f>100/CQ36</f>
      </c>
      <c r="CT36" s="38">
        <f>CQ36-CQ35</f>
      </c>
      <c r="CU36" s="112">
        <f>(CQ36-CQ35)/CQ35</f>
      </c>
      <c r="CV36" s="96">
        <f>BL36/T36</f>
      </c>
      <c r="CW36" s="96">
        <f>100/CV36</f>
      </c>
      <c r="CX36" s="77"/>
      <c r="CY36" s="41"/>
      <c r="CZ36" s="77"/>
      <c r="DA36" s="41"/>
      <c r="DB36" s="77"/>
      <c r="DC36" s="1" t="str">
        <v>完成</v>
      </c>
      <c r="DD36" s="1" t="str">
        <v>完成</v>
      </c>
    </row>
    <row r="37">
      <c r="A37" s="84" t="str">
        <v>RocketHammer</v>
      </c>
      <c r="B37" s="53" t="str">
        <v>火箭锤</v>
      </c>
      <c r="C37" s="71"/>
      <c r="D37" s="71">
        <f>IF($A37="","","WPN"&amp;VLOOKUP(E37,'引用数据库'!Z:AC,4,FALSE)&amp;VLOOKUP(H37,'引用数据库'!N:P,3,FALSE)&amp;VLOOKUP(I37,'引用数据库'!S:U,3,FALSE)&amp;TEXT(F37,"00"))</f>
      </c>
      <c r="E37" s="53" t="str">
        <v>劳旅</v>
      </c>
      <c r="F37" s="110">
        <v>4</v>
      </c>
      <c r="G37" s="71">
        <f>G36</f>
      </c>
      <c r="H37" s="75">
        <f>H36</f>
      </c>
      <c r="I37" s="75">
        <f>I36</f>
      </c>
      <c r="J37" s="71" t="str">
        <v>手动</v>
      </c>
      <c r="K37" s="71">
        <f>K36</f>
      </c>
      <c r="L37" s="42"/>
      <c r="M37" s="65">
        <f>M36</f>
      </c>
      <c r="N37" s="54">
        <v>200</v>
      </c>
      <c r="O37" s="54">
        <v>135</v>
      </c>
      <c r="P37" s="72">
        <f>P36</f>
      </c>
      <c r="Q37" s="72">
        <f>Q36</f>
      </c>
      <c r="R37" s="72">
        <f>R36</f>
      </c>
      <c r="S37" s="72">
        <v>0</v>
      </c>
      <c r="T37" s="72">
        <f>SUM(P37:S37)</f>
      </c>
      <c r="U37" s="39">
        <f>2*T37/(15*(1+(5-BD37)*0.1))</f>
      </c>
      <c r="V37" s="1"/>
      <c r="W37" s="54" t="str">
        <v>N/A</v>
      </c>
      <c r="X37" s="54" t="str">
        <v>N/A</v>
      </c>
      <c r="Y37" s="54" t="str">
        <v>N/A</v>
      </c>
      <c r="Z37" s="54" t="str">
        <v>N/A</v>
      </c>
      <c r="AA37" s="66" t="str">
        <v>N/A</v>
      </c>
      <c r="AB37" s="66" t="str">
        <v>N/A</v>
      </c>
      <c r="AC37" s="66" t="str">
        <v>N/A</v>
      </c>
      <c r="AD37" s="102" t="str">
        <v>N/A</v>
      </c>
      <c r="AE37" s="102" t="str">
        <v>N/A</v>
      </c>
      <c r="AF37" s="11"/>
      <c r="AG37" s="72"/>
      <c r="AH37" s="72"/>
      <c r="AI37" s="1"/>
      <c r="AJ37" s="80">
        <f>AJ36+0.1</f>
      </c>
      <c r="AK37" s="80">
        <v>0</v>
      </c>
      <c r="AL37" s="80">
        <v>0</v>
      </c>
      <c r="AM37" s="55">
        <f>IFS(AJ37 &gt; 1.25, "S", AJ37 &gt; 1, "A", AJ37 &gt; 0.75, "B", AJ37 &gt; 0.5, "C", AJ37 &gt; 0.25, "D", AJ37 &gt; 0, "E", TRUE, "-")</f>
      </c>
      <c r="AN37" s="55">
        <f>IFS(AK37 &gt; 1.25, "S", AK37 &gt; 1, "A", AK37 &gt; 0.75, "B", AK37 &gt; 0.5, "C", AK37 &gt; 0.25, "D", AK37 &gt; 0, "E", TRUE, "-")</f>
      </c>
      <c r="AO37" s="55">
        <f>IFS(AL37 &gt; 1.25, "S", AL37 &gt; 1, "A", AL37 &gt; 0.75, "B", AL37 &gt; 0.5, "C", AL37 &gt; 0.25, "D", AL37 &gt; 0, "E", TRUE, "-")</f>
      </c>
      <c r="AP37" s="68">
        <v>10</v>
      </c>
      <c r="AQ37" s="68">
        <v>10</v>
      </c>
      <c r="AR37" s="68">
        <v>10</v>
      </c>
      <c r="AS37" s="55"/>
      <c r="AT37" s="55"/>
      <c r="AU37" s="55"/>
      <c r="AV37" s="68">
        <f>IF(SUM(AJ37:AL37)=0, 0, (1 + F37 * 0.1) * (0.75 + 0.25 * MAX(0, MIN(1, IF(MAX(AJ37:AL37)=0, 0, (3*MAX(AJ37:AL37)-SUM(AJ37:AL37)) / (2*MAX(AJ37:AL37)))))))</f>
      </c>
      <c r="AW37" s="111">
        <f>MAX(AJ37:AL37)</f>
      </c>
      <c r="AX37" s="109">
        <f>IF(AW37=0, "", AW37 / ((1 + 0.1*N(F37))))</f>
      </c>
      <c r="AY37" s="68">
        <f>IF(SUM(AJ37:AL37)=0, 0,     (1 + F37 * 0.1) * (1 + ((SUM(AJ37:AL37) - MAX(AJ37:AL37)) / (2 * MAX(AJ37:AL37))) * (1/0.75 - 1)))</f>
      </c>
      <c r="AZ37" s="111">
        <f>AJ37+AK37+AL37</f>
      </c>
      <c r="BA37" s="109">
        <f>IF(AZ37=0, "", AZ37 / ((1 + 0.1*N(F37))/0.75))</f>
      </c>
      <c r="BB37" s="39">
        <v>0.1</v>
      </c>
      <c r="BC37" s="1"/>
      <c r="BD37" s="72">
        <f>BD36</f>
      </c>
      <c r="BE37" s="72">
        <f>BE36</f>
      </c>
      <c r="BF37" s="74"/>
      <c r="BG37" s="64"/>
      <c r="BH37" s="69">
        <f>BH36</f>
      </c>
      <c r="BI37" s="45"/>
      <c r="BJ37" s="63"/>
      <c r="BK37" s="49"/>
      <c r="BL37" s="56">
        <f>BL36</f>
      </c>
      <c r="BM37" s="34"/>
      <c r="BN37" s="57" t="str">
        <v>N/A</v>
      </c>
      <c r="BO37" s="54" t="str">
        <v>N/A</v>
      </c>
      <c r="BP37" s="38"/>
      <c r="BQ37" s="39">
        <v>0</v>
      </c>
      <c r="BR37" s="38">
        <f>IFERROR(BQ37*100/CP37,"N/A")</f>
      </c>
      <c r="BS37" s="61">
        <v>1</v>
      </c>
      <c r="BT37" s="54">
        <v>1</v>
      </c>
      <c r="BU37" s="42"/>
      <c r="BV37" s="78"/>
      <c r="BW37" s="104">
        <f>BW36</f>
      </c>
      <c r="BX37" s="38">
        <f>CP37/BW37</f>
      </c>
      <c r="BY37" s="96">
        <f>BW37/T37</f>
      </c>
      <c r="BZ37" s="1"/>
      <c r="CA37" s="113">
        <f>CA36+10</f>
      </c>
      <c r="CB37" s="39">
        <f>CA37*BB37*(AP37*AJ37+AQ37*AK37+AR37*AL37)</f>
      </c>
      <c r="CC37" s="39">
        <f>CA37+CB37</f>
      </c>
      <c r="CD37" s="68"/>
      <c r="CE37" s="68"/>
      <c r="CF37" s="68"/>
      <c r="CG37" s="68"/>
      <c r="CH37" s="68"/>
      <c r="CI37" s="68"/>
      <c r="CJ37" s="111"/>
      <c r="CK37" s="103">
        <f>CK36</f>
      </c>
      <c r="CL37" s="111"/>
      <c r="CM37" s="38"/>
      <c r="CN37" s="105">
        <f>CK37*CC37</f>
      </c>
      <c r="CO37" s="42"/>
      <c r="CP37" s="70">
        <f>CN37*BS37*BT37</f>
      </c>
      <c r="CQ37" s="38">
        <f>CP37/T37</f>
      </c>
      <c r="CR37" s="38">
        <f>100/CP37</f>
      </c>
      <c r="CS37" s="96">
        <f>100/CQ37</f>
      </c>
      <c r="CT37" s="38">
        <f>CQ37-CQ36</f>
      </c>
      <c r="CU37" s="112">
        <f>(CQ37-CQ36)/CQ36</f>
      </c>
      <c r="CV37" s="96">
        <f>BL37/T37</f>
      </c>
      <c r="CW37" s="96">
        <f>100/CV37</f>
      </c>
      <c r="CX37" s="77"/>
      <c r="CY37" s="41"/>
      <c r="CZ37" s="77"/>
      <c r="DA37" s="41"/>
      <c r="DB37" s="77"/>
      <c r="DC37" s="1" t="str">
        <v>完成</v>
      </c>
      <c r="DD37" s="1" t="str">
        <v>完成</v>
      </c>
    </row>
    <row r="38">
      <c r="A38" s="84" t="str">
        <v>RocketHammer</v>
      </c>
      <c r="B38" s="53" t="str">
        <v>火箭锤</v>
      </c>
      <c r="C38" s="71"/>
      <c r="D38" s="71">
        <f>IF($A38="","","WPN"&amp;VLOOKUP(E38,'引用数据库'!Z:AC,4,FALSE)&amp;VLOOKUP(H38,'引用数据库'!N:P,3,FALSE)&amp;VLOOKUP(I38,'引用数据库'!S:U,3,FALSE)&amp;TEXT(F38,"00"))</f>
      </c>
      <c r="E38" s="53" t="str">
        <v>劳旅</v>
      </c>
      <c r="F38" s="110">
        <v>5</v>
      </c>
      <c r="G38" s="71">
        <f>G37</f>
      </c>
      <c r="H38" s="75">
        <f>H37</f>
      </c>
      <c r="I38" s="75">
        <f>I37</f>
      </c>
      <c r="J38" s="71" t="str">
        <v>手动</v>
      </c>
      <c r="K38" s="71">
        <f>K37</f>
      </c>
      <c r="L38" s="42"/>
      <c r="M38" s="65">
        <f>M37</f>
      </c>
      <c r="N38" s="54">
        <v>200</v>
      </c>
      <c r="O38" s="54">
        <v>135</v>
      </c>
      <c r="P38" s="72">
        <f>P37</f>
      </c>
      <c r="Q38" s="72">
        <f>Q37</f>
      </c>
      <c r="R38" s="72">
        <f>R37</f>
      </c>
      <c r="S38" s="72">
        <v>0</v>
      </c>
      <c r="T38" s="72">
        <f>SUM(P38:S38)</f>
      </c>
      <c r="U38" s="39">
        <f>2*T38/(15*(1+(5-BD38)*0.1))</f>
      </c>
      <c r="V38" s="1"/>
      <c r="W38" s="54" t="str">
        <v>N/A</v>
      </c>
      <c r="X38" s="54" t="str">
        <v>N/A</v>
      </c>
      <c r="Y38" s="54" t="str">
        <v>N/A</v>
      </c>
      <c r="Z38" s="54" t="str">
        <v>N/A</v>
      </c>
      <c r="AA38" s="66" t="str">
        <v>N/A</v>
      </c>
      <c r="AB38" s="66" t="str">
        <v>N/A</v>
      </c>
      <c r="AC38" s="66" t="str">
        <v>N/A</v>
      </c>
      <c r="AD38" s="102" t="str">
        <v>N/A</v>
      </c>
      <c r="AE38" s="102" t="str">
        <v>N/A</v>
      </c>
      <c r="AF38" s="11"/>
      <c r="AG38" s="72"/>
      <c r="AH38" s="72"/>
      <c r="AI38" s="1"/>
      <c r="AJ38" s="80">
        <f>AJ37+0.1</f>
      </c>
      <c r="AK38" s="108">
        <v>0</v>
      </c>
      <c r="AL38" s="108">
        <v>0</v>
      </c>
      <c r="AM38" s="105">
        <f>IFS(AJ38 &gt; 1.25, "S", AJ38 &gt; 1, "A", AJ38 &gt; 0.75, "B", AJ38 &gt; 0.5, "C", AJ38 &gt; 0.25, "D", AJ38 &gt; 0, "E", TRUE, "-")</f>
      </c>
      <c r="AN38" s="105">
        <f>IFS(AK38 &gt; 1.25, "S", AK38 &gt; 1, "A", AK38 &gt; 0.75, "B", AK38 &gt; 0.5, "C", AK38 &gt; 0.25, "D", AK38 &gt; 0, "E", TRUE, "-")</f>
      </c>
      <c r="AO38" s="105">
        <f>IFS(AL38 &gt; 1.25, "S", AL38 &gt; 1, "A", AL38 &gt; 0.75, "B", AL38 &gt; 0.5, "C", AL38 &gt; 0.25, "D", AL38 &gt; 0, "E", TRUE, "-")</f>
      </c>
      <c r="AP38" s="68">
        <v>10</v>
      </c>
      <c r="AQ38" s="68">
        <v>10</v>
      </c>
      <c r="AR38" s="68">
        <v>10</v>
      </c>
      <c r="AS38" s="105"/>
      <c r="AT38" s="55"/>
      <c r="AU38" s="105"/>
      <c r="AV38" s="68">
        <f>IF(SUM(AJ38:AL38)=0, 0, (1 + F38 * 0.1) * (0.75 + 0.25 * MAX(0, MIN(1, IF(MAX(AJ38:AL38)=0, 0, (3*MAX(AJ38:AL38)-SUM(AJ38:AL38)) / (2*MAX(AJ38:AL38)))))))</f>
      </c>
      <c r="AW38" s="111">
        <f>MAX(AJ38:AL38)</f>
      </c>
      <c r="AX38" s="109">
        <f>IF(AW38=0, "", AW38 / ((1 + 0.1*N(F38))))</f>
      </c>
      <c r="AY38" s="68">
        <f>IF(SUM(AJ38:AL38)=0, 0,     (1 + F38 * 0.1) * (1 + ((SUM(AJ38:AL38) - MAX(AJ38:AL38)) / (2 * MAX(AJ38:AL38))) * (1/0.75 - 1)))</f>
      </c>
      <c r="AZ38" s="111">
        <f>AJ38+AK38+AL38</f>
      </c>
      <c r="BA38" s="109">
        <f>IF(AZ38=0, "", AZ38 / ((1 + 0.1*N(F38))/0.75))</f>
      </c>
      <c r="BB38" s="39">
        <v>0.1</v>
      </c>
      <c r="BC38" s="1"/>
      <c r="BD38" s="72">
        <f>BD37</f>
      </c>
      <c r="BE38" s="72">
        <f>BE37</f>
      </c>
      <c r="BF38" s="74"/>
      <c r="BG38" s="64"/>
      <c r="BH38" s="69">
        <f>BH37</f>
      </c>
      <c r="BI38" s="45"/>
      <c r="BJ38" s="63"/>
      <c r="BK38" s="49"/>
      <c r="BL38" s="56">
        <f>BL37</f>
      </c>
      <c r="BM38" s="34"/>
      <c r="BN38" s="57" t="str">
        <v>N/A</v>
      </c>
      <c r="BO38" s="54" t="str">
        <v>N/A</v>
      </c>
      <c r="BP38" s="38"/>
      <c r="BQ38" s="39">
        <v>0</v>
      </c>
      <c r="BR38" s="38">
        <f>IFERROR(BQ38*100/CP38,"N/A")</f>
      </c>
      <c r="BS38" s="61">
        <v>1</v>
      </c>
      <c r="BT38" s="54">
        <v>1</v>
      </c>
      <c r="BU38" s="42"/>
      <c r="BV38" s="78"/>
      <c r="BW38" s="104">
        <f>BW37</f>
      </c>
      <c r="BX38" s="38">
        <f>CP38/BW38</f>
      </c>
      <c r="BY38" s="96">
        <f>BW38/T38</f>
      </c>
      <c r="BZ38" s="1"/>
      <c r="CA38" s="113">
        <f>CA37+10</f>
      </c>
      <c r="CB38" s="39">
        <f>CA38*BB38*(AP38*AJ38+AQ38*AK38+AR38*AL38)</f>
      </c>
      <c r="CC38" s="39">
        <f>CA38+CB38</f>
      </c>
      <c r="CD38" s="68"/>
      <c r="CE38" s="68"/>
      <c r="CF38" s="68"/>
      <c r="CG38" s="68"/>
      <c r="CH38" s="68"/>
      <c r="CI38" s="68"/>
      <c r="CJ38" s="111"/>
      <c r="CK38" s="103">
        <f>CK37</f>
      </c>
      <c r="CL38" s="111"/>
      <c r="CM38" s="38"/>
      <c r="CN38" s="105">
        <f>CK38*CC38</f>
      </c>
      <c r="CO38" s="42"/>
      <c r="CP38" s="70">
        <f>CN38*BS38*BT38</f>
      </c>
      <c r="CQ38" s="38">
        <f>CP38/T38</f>
      </c>
      <c r="CR38" s="38">
        <f>100/CP38</f>
      </c>
      <c r="CS38" s="96">
        <f>100/CQ38</f>
      </c>
      <c r="CT38" s="38">
        <f>CQ38-CQ37</f>
      </c>
      <c r="CU38" s="112">
        <f>(CQ38-CQ37)/CQ37</f>
      </c>
      <c r="CV38" s="96">
        <f>BL38/T38</f>
      </c>
      <c r="CW38" s="96">
        <f>100/CV38</f>
      </c>
      <c r="CX38" s="77"/>
      <c r="CY38" s="41"/>
      <c r="CZ38" s="77"/>
      <c r="DA38" s="41"/>
      <c r="DB38" s="77"/>
      <c r="DC38" s="1" t="str">
        <v>完成</v>
      </c>
      <c r="DD38" s="1" t="str">
        <v>完成</v>
      </c>
    </row>
    <row customHeight="true" ht="19" r="39">
      <c r="A39" s="71" t="str">
        <v>ClusterCapacitor</v>
      </c>
      <c r="B39" s="36" t="str">
        <v>幸运39</v>
      </c>
      <c r="C39" s="71"/>
      <c r="D39" s="71">
        <f>IF($A39="","","WPN"&amp;VLOOKUP(E39,'引用数据库'!Z:AC,4,FALSE)&amp;VLOOKUP(H39,'引用数据库'!N:P,3,FALSE)&amp;VLOOKUP(I39,'引用数据库'!S:U,3,FALSE)&amp;TEXT(F39,"00"))</f>
      </c>
      <c r="E39" s="36" t="str">
        <v>劳旅</v>
      </c>
      <c r="F39" s="27">
        <v>0</v>
      </c>
      <c r="G39" s="71" t="str">
        <v>远程</v>
      </c>
      <c r="H39" s="36" t="str">
        <v>霰弹枪</v>
      </c>
      <c r="I39" s="36" t="str">
        <v>电磁</v>
      </c>
      <c r="J39" s="36" t="str">
        <v>手动</v>
      </c>
      <c r="K39" s="36">
        <v>1</v>
      </c>
      <c r="L39" s="42"/>
      <c r="M39" s="46">
        <v>1</v>
      </c>
      <c r="N39" s="27">
        <v>800</v>
      </c>
      <c r="O39" s="67" t="str">
        <v>N/A</v>
      </c>
      <c r="P39" s="27">
        <v>0</v>
      </c>
      <c r="Q39" s="27">
        <v>0</v>
      </c>
      <c r="R39" s="27">
        <v>0.3</v>
      </c>
      <c r="S39" s="27">
        <v>0</v>
      </c>
      <c r="T39" s="27">
        <f>SUM(P39:S39)</f>
      </c>
      <c r="U39" s="32">
        <f>2*T39/(15*(1+(5-BD39)*0.1))</f>
      </c>
      <c r="V39" s="11"/>
      <c r="W39" s="27">
        <v>40</v>
      </c>
      <c r="X39" s="27">
        <v>45</v>
      </c>
      <c r="Y39" s="116">
        <v>0.25</v>
      </c>
      <c r="Z39" s="116">
        <v>0.25</v>
      </c>
      <c r="AA39" s="28">
        <v>0</v>
      </c>
      <c r="AB39" s="28">
        <v>0</v>
      </c>
      <c r="AC39" s="28">
        <v>1</v>
      </c>
      <c r="AD39" s="28">
        <f>(W39+AB39)*AC39</f>
      </c>
      <c r="AE39" s="28">
        <f>(X39+AB39)*AC39</f>
      </c>
      <c r="AF39" s="11"/>
      <c r="AG39" s="27"/>
      <c r="AH39" s="27"/>
      <c r="AI39" s="11"/>
      <c r="AJ39" s="33">
        <v>0.3</v>
      </c>
      <c r="AK39" s="33">
        <v>0.58</v>
      </c>
      <c r="AL39" s="33">
        <v>0.3</v>
      </c>
      <c r="AM39" s="32">
        <f>IFS(AJ39 &gt; 1.25, "S", AJ39 &gt; 1, "A", AJ39 &gt; 0.75, "B", AJ39 &gt; 0.5, "C", AJ39 &gt; 0.25, "D", AJ39 &gt; 0, "E", TRUE, "-")</f>
      </c>
      <c r="AN39" s="32">
        <f>IFS(AK39 &gt; 1.25, "S", AK39 &gt; 1, "A", AK39 &gt; 0.75, "B", AK39 &gt; 0.5, "C", AK39 &gt; 0.25, "D", AK39 &gt; 0, "E", TRUE, "-")</f>
      </c>
      <c r="AO39" s="32">
        <f>IFS(AL39 &gt; 1.25, "S", AL39 &gt; 1, "A", AL39 &gt; 0.75, "B", AL39 &gt; 0.5, "C", AL39 &gt; 0.25, "D", AL39 &gt; 0, "E", TRUE, "-")</f>
      </c>
      <c r="AP39" s="32">
        <v>10</v>
      </c>
      <c r="AQ39" s="32">
        <v>10</v>
      </c>
      <c r="AR39" s="32">
        <v>10</v>
      </c>
      <c r="AS39" s="32"/>
      <c r="AT39" s="32"/>
      <c r="AU39" s="32"/>
      <c r="AV39" s="32">
        <f>IF(SUM(AJ39:AL39)=0, 0, (1 + F39 * 0.1) * (0.75 + 0.25 * MAX(0, MIN(1, IF(MAX(AJ39:AL39)=0, 0, (3*MAX(AJ39:AL39)-SUM(AJ39:AL39)) / (2*MAX(AJ39:AL39)))))))</f>
      </c>
      <c r="AW39" s="33">
        <f>MAX(AJ39:AL39)</f>
      </c>
      <c r="AX39" s="37">
        <f>IF(AW39=0, "", AW39 / ((1 + 0.1*N(F39))))</f>
      </c>
      <c r="AY39" s="32">
        <f>IF(SUM(AJ39:AL39)=0, 0,     (1 + F39 * 0.1) * (1 + ((SUM(AJ39:AL39) - MAX(AJ39:AL39)) / (2 * MAX(AJ39:AL39))) * (1/0.75 - 1)))</f>
      </c>
      <c r="AZ39" s="33">
        <f>AJ39+AK39+AL39</f>
      </c>
      <c r="BA39" s="37">
        <f>IF(AZ39=0, "", AZ39 / ((1 + 0.1*N(F39))/0.75))</f>
      </c>
      <c r="BB39" s="32">
        <v>0.1</v>
      </c>
      <c r="BC39" s="11"/>
      <c r="BD39" s="27">
        <v>4</v>
      </c>
      <c r="BE39" s="67">
        <v>3</v>
      </c>
      <c r="BF39" s="43">
        <v>4</v>
      </c>
      <c r="BG39" s="32">
        <f>T39*20*(16 * BF39) / (15 + 20 * BF39 - 3 * POWER(BF39, 2))/BT39/BS39</f>
      </c>
      <c r="BH39" s="33">
        <f>BG39</f>
      </c>
      <c r="BI39" s="45"/>
      <c r="BJ39" s="47">
        <v>3</v>
      </c>
      <c r="BK39" s="30">
        <f>T39*33*(16 * BJ39) / (15 + 20 * BJ39 - 3 * POWER(BJ39, 2))/BT39/BS39</f>
      </c>
      <c r="BL39" s="33">
        <f>BK39</f>
      </c>
      <c r="BM39" s="34"/>
      <c r="BN39" s="27">
        <v>3</v>
      </c>
      <c r="BO39" s="27">
        <v>2</v>
      </c>
      <c r="BP39" s="32">
        <f>ROUND(CP39/10,2)</f>
      </c>
      <c r="BQ39" s="32">
        <v>1</v>
      </c>
      <c r="BR39" s="32">
        <f>IFERROR(BQ39*100/CP39,"N/A")</f>
      </c>
      <c r="BS39" s="27">
        <f>X39/5</f>
      </c>
      <c r="BT39" s="27">
        <v>1</v>
      </c>
      <c r="BU39" s="42"/>
      <c r="BV39" s="44">
        <f>CP39/1.5</f>
      </c>
      <c r="BW39" s="44">
        <f>ROUND(BV39)</f>
      </c>
      <c r="BX39" s="32">
        <f>CP39/BW39</f>
      </c>
      <c r="BY39" s="35">
        <f>BW39/T39</f>
      </c>
      <c r="BZ39" s="11"/>
      <c r="CA39" s="31">
        <v>10</v>
      </c>
      <c r="CB39" s="32">
        <f>CA39*BB39*(AP39*AJ39+AQ39*AK39+AR39*AL39)</f>
      </c>
      <c r="CC39" s="32">
        <f>CA39+CB39</f>
      </c>
      <c r="CD39" s="32">
        <f>T39 * 2 / BS39 / BT39 * (0.9 + 0.2 * IF(G39="近战", EXP(-64 * (T39 - 0.75)^2), EXP(-400 * (T39 - 0.15)^2)))</f>
      </c>
      <c r="CE39" s="32">
        <f>0.9 + 0.2 / (1 + (N39/600)^1)</f>
      </c>
      <c r="CF39" s="32">
        <f>LET(  k, K39,  be, BS39,  bf, BT39,  m, N39,  n, O39,  v, X39,  vEff, IF(ISNUMBER(v), v, 0),  angle,    IF(      ISNUMBER(n),        IF(n&gt;0, n,           IF(ISNUMBER(v),              IF(v&gt;0, v, 0),              0           )        ),      IF(ISNUMBER(v),         IF(v&gt;0, v, 0),         0      )    ),  T,    IF(k=1,       be * bf * 20 / MAX(vEff, 1),    IF(k=2,       (m/150)^2 * (angle/120),    IF(k=3,       be * (MIN(bf, 99)/99) * (m/1000),       be * bf * (m/1000) * (n/200)^2    ))),  b, 0.8,  c, 1.2,  r, (c-1)/(1-b),  k_s, 1,  b + (c-b) / (1 + r * EXP(-k_s*(1-T))))</f>
      </c>
      <c r="CG39" s="32">
        <f>IF(T39&lt;=0,1,   (0.9 + 0.2 / (1 + EXP(-0.8 * (5 - BD39)))) * (0.9 + 0.2 / (1 + EXP(-1 * (3.5 - BE39)))) * (0.9 + 0.2 / (1 + EXP(-0.6 * (20 - BS39*BH39/T39)))))</f>
      </c>
      <c r="CH39" s="32">
        <f>IF(T39&lt;=0, 1, 0.9 + 0.2 / (1 + EXP(0.1 * (BL39*BS39*BT39/T39 - 33))))</f>
      </c>
      <c r="CI39" s="32">
        <f>LET(    x_val, W39,    bq_val, BS39,    Check_Fail, OR(NOT(ISNUMBER(x_val)), bq_val &lt;= 1),        IF(Check_Fail, 1,        LET(            Ratio, x_val / bq_val,                        calc_A, 2.2 / (1 + EXP(-0.276 * (Ratio - 0.66))),            calc_B, 2.2 / (1 + EXP(-0.0138 * (x_val - 13.2))),                        calc_A + calc_B        )    ))</f>
      </c>
      <c r="CJ39" s="33">
        <f>CD39*CE39*CF39*CG39*CH39*CI39</f>
      </c>
      <c r="CK39" s="33">
        <f>CJ39</f>
      </c>
      <c r="CL39" s="32">
        <f>T39 * 2 / BS39 / BT39</f>
      </c>
      <c r="CM39" s="37">
        <f>CK39/CL39</f>
      </c>
      <c r="CN39" s="32">
        <f>CK39*CC39</f>
      </c>
      <c r="CO39" s="42"/>
      <c r="CP39" s="48">
        <f>CN39*BS39*BT39</f>
      </c>
      <c r="CQ39" s="32">
        <f>CP39/T39</f>
      </c>
      <c r="CR39" s="32">
        <f>100/CP39</f>
      </c>
      <c r="CS39" s="35">
        <f>100/CQ39</f>
      </c>
      <c r="CT39" s="32"/>
      <c r="CU39" s="32"/>
      <c r="CV39" s="35">
        <f>BL39/T39</f>
      </c>
      <c r="CW39" s="35">
        <f>100/CV39</f>
      </c>
      <c r="CX39" s="40"/>
      <c r="CY39" s="41" t="str">
        <v>外形酷似儿童玩具的霰弹枪，
将高压电容器捆绑并连接到稳压电源即可工作。
枪身上打印着“幸运39”的字样，
据说是炸膛导致的最高伤亡人数。</v>
      </c>
      <c r="CZ39" s="40"/>
      <c r="DA39" s="41">
        <f>TEXTJOIN("、", TRUE, FILTER('武器技能'!B:B, '武器技能'!E:E = H39))</f>
      </c>
      <c r="DB39" s="40"/>
      <c r="DC39" s="27" t="str">
        <v>完成</v>
      </c>
      <c r="DD39" s="27" t="str">
        <v>完成</v>
      </c>
    </row>
    <row r="40">
      <c r="A40" s="71">
        <f>A39</f>
      </c>
      <c r="B40" s="90">
        <f>B39</f>
      </c>
      <c r="C40" s="90"/>
      <c r="D40" s="90">
        <f>IF($A40="","","WPN"&amp;VLOOKUP(E40,'引用数据库'!Z:AC,4,FALSE)&amp;VLOOKUP(H40,'引用数据库'!N:P,3,FALSE)&amp;VLOOKUP(I40,'引用数据库'!S:U,3,FALSE)&amp;TEXT(F40,"00"))</f>
      </c>
      <c r="E40" s="90" t="str">
        <v>劳旅</v>
      </c>
      <c r="F40" s="91">
        <v>1</v>
      </c>
      <c r="G40" s="90">
        <f>G39</f>
      </c>
      <c r="H40" s="90">
        <f>H39</f>
      </c>
      <c r="I40" s="90">
        <f>I39</f>
      </c>
      <c r="J40" s="90" t="str">
        <v>手动</v>
      </c>
      <c r="K40" s="71">
        <f>K39</f>
      </c>
      <c r="L40" s="42"/>
      <c r="M40" s="98">
        <f>M39</f>
      </c>
      <c r="N40" s="91">
        <v>800</v>
      </c>
      <c r="O40" s="159" t="str">
        <v>N/A</v>
      </c>
      <c r="P40" s="91">
        <v>0</v>
      </c>
      <c r="Q40" s="91">
        <v>0</v>
      </c>
      <c r="R40" s="91">
        <v>0.3</v>
      </c>
      <c r="S40" s="91">
        <v>0</v>
      </c>
      <c r="T40" s="91">
        <f>SUM(P40:S40)</f>
      </c>
      <c r="U40" s="88">
        <f>2*T40/(15*(1+(5-BD40)*0.1))</f>
      </c>
      <c r="V40" s="11"/>
      <c r="W40" s="91">
        <f>W39</f>
      </c>
      <c r="X40" s="91">
        <f>X39</f>
      </c>
      <c r="Y40" s="180">
        <v>0.25</v>
      </c>
      <c r="Z40" s="180">
        <v>0.25</v>
      </c>
      <c r="AA40" s="95">
        <v>0</v>
      </c>
      <c r="AB40" s="95">
        <v>0</v>
      </c>
      <c r="AC40" s="95">
        <v>1</v>
      </c>
      <c r="AD40" s="95">
        <f>(W40+AB40)*AC40</f>
      </c>
      <c r="AE40" s="95">
        <f>(X40+AB40)*AC40</f>
      </c>
      <c r="AF40" s="11"/>
      <c r="AG40" s="91"/>
      <c r="AH40" s="91"/>
      <c r="AI40" s="11"/>
      <c r="AJ40" s="87">
        <v>0.3</v>
      </c>
      <c r="AK40" s="87">
        <v>0.67</v>
      </c>
      <c r="AL40" s="87">
        <f>AL39</f>
      </c>
      <c r="AM40" s="88">
        <f>IFS(AJ40 &gt; 1.25, "S", AJ40 &gt; 1, "A", AJ40 &gt; 0.75, "B", AJ40 &gt; 0.5, "C", AJ40 &gt; 0.25, "D", AJ40 &gt; 0, "E", TRUE, "-")</f>
      </c>
      <c r="AN40" s="88">
        <f>IFS(AK40 &gt; 1.25, "S", AK40 &gt; 1, "A", AK40 &gt; 0.75, "B", AK40 &gt; 0.5, "C", AK40 &gt; 0.25, "D", AK40 &gt; 0, "E", TRUE, "-")</f>
      </c>
      <c r="AO40" s="88">
        <f>IFS(AL40 &gt; 1.25, "S", AL40 &gt; 1, "A", AL40 &gt; 0.75, "B", AL40 &gt; 0.5, "C", AL40 &gt; 0.25, "D", AL40 &gt; 0, "E", TRUE, "-")</f>
      </c>
      <c r="AP40" s="88">
        <v>10</v>
      </c>
      <c r="AQ40" s="88">
        <v>10</v>
      </c>
      <c r="AR40" s="88">
        <v>10</v>
      </c>
      <c r="AS40" s="88"/>
      <c r="AT40" s="88"/>
      <c r="AU40" s="88"/>
      <c r="AV40" s="88">
        <f>IF(SUM(AJ40:AL40)=0, 0, (1 + F40 * 0.1) * (0.75 + 0.25 * MAX(0, MIN(1, IF(MAX(AJ40:AL40)=0, 0, (3*MAX(AJ40:AL40)-SUM(AJ40:AL40)) / (2*MAX(AJ40:AL40)))))))</f>
      </c>
      <c r="AW40" s="87">
        <f>MAX(AJ40:AL40)</f>
      </c>
      <c r="AX40" s="92">
        <f>IF(AW40=0, "", AW40 / ((1 + 0.1*N(F40))))</f>
      </c>
      <c r="AY40" s="88">
        <f>IF(SUM(AJ40:AL40)=0, 0,     (1 + F40 * 0.1) * (1 + ((SUM(AJ40:AL40) - MAX(AJ40:AL40)) / (2 * MAX(AJ40:AL40))) * (1/0.75 - 1)))</f>
      </c>
      <c r="AZ40" s="87">
        <f>AJ40+AK40+AL40</f>
      </c>
      <c r="BA40" s="92">
        <f>IF(AZ40=0, "", AZ40 / ((1 + 0.1*N(F40))/0.75))</f>
      </c>
      <c r="BB40" s="88">
        <v>0.1</v>
      </c>
      <c r="BC40" s="11"/>
      <c r="BD40" s="91">
        <f>BD39</f>
      </c>
      <c r="BE40" s="91">
        <f>BE39</f>
      </c>
      <c r="BF40" s="93"/>
      <c r="BG40" s="88"/>
      <c r="BH40" s="87">
        <f>BH39</f>
      </c>
      <c r="BI40" s="45"/>
      <c r="BJ40" s="99"/>
      <c r="BK40" s="101"/>
      <c r="BL40" s="101">
        <f>BL39</f>
      </c>
      <c r="BM40" s="34"/>
      <c r="BN40" s="91">
        <f>BN39</f>
      </c>
      <c r="BO40" s="91">
        <v>2</v>
      </c>
      <c r="BP40" s="38"/>
      <c r="BQ40" s="88">
        <f>BQ39</f>
      </c>
      <c r="BR40" s="88">
        <f>IFERROR(BQ40*100/CP40,"N/A")</f>
      </c>
      <c r="BS40" s="91">
        <f>BS39</f>
      </c>
      <c r="BT40" s="91">
        <f>BT39</f>
      </c>
      <c r="BU40" s="42"/>
      <c r="BV40" s="114"/>
      <c r="BW40" s="94">
        <f>BW39</f>
      </c>
      <c r="BX40" s="88">
        <f>CP40/BW40</f>
      </c>
      <c r="BY40" s="89">
        <f>BW40/T40</f>
      </c>
      <c r="BZ40" s="11"/>
      <c r="CA40" s="100">
        <f>CA39+20</f>
      </c>
      <c r="CB40" s="88">
        <f>CA40*BB40*(AP40*AJ40+AQ40*AK40+AR40*AL40)</f>
      </c>
      <c r="CC40" s="88">
        <f>CA40+CB40</f>
      </c>
      <c r="CD40" s="88"/>
      <c r="CE40" s="88"/>
      <c r="CF40" s="88"/>
      <c r="CG40" s="88"/>
      <c r="CH40" s="88"/>
      <c r="CI40" s="88"/>
      <c r="CJ40" s="87"/>
      <c r="CK40" s="87">
        <f>CK39</f>
      </c>
      <c r="CL40" s="87"/>
      <c r="CM40" s="88"/>
      <c r="CN40" s="88">
        <f>CK40*CC40</f>
      </c>
      <c r="CO40" s="42"/>
      <c r="CP40" s="97">
        <f>CN40*BS40*BT40</f>
      </c>
      <c r="CQ40" s="88">
        <f>CP40/T40</f>
      </c>
      <c r="CR40" s="88">
        <f>100/CP40</f>
      </c>
      <c r="CS40" s="89">
        <f>100/CQ40</f>
      </c>
      <c r="CT40" s="88">
        <f>CQ40-CQ39</f>
      </c>
      <c r="CU40" s="98">
        <f>(CQ40-CQ39)/CQ39</f>
      </c>
      <c r="CV40" s="89">
        <f>BL40/T40</f>
      </c>
      <c r="CW40" s="89">
        <f>100/CV40</f>
      </c>
      <c r="CX40" s="40"/>
      <c r="CY40" s="41"/>
      <c r="CZ40" s="40"/>
      <c r="DA40" s="41"/>
      <c r="DB40" s="40"/>
      <c r="DC40" s="91" t="str">
        <v>完成</v>
      </c>
      <c r="DD40" s="91" t="str">
        <v>完成</v>
      </c>
    </row>
    <row r="41">
      <c r="A41" s="71">
        <f>A40</f>
      </c>
      <c r="B41" s="71">
        <f>B40</f>
      </c>
      <c r="C41" s="71"/>
      <c r="D41" s="71">
        <f>IF($A41="","","WPN"&amp;VLOOKUP(E41,'引用数据库'!Z:AC,4,FALSE)&amp;VLOOKUP(H41,'引用数据库'!N:P,3,FALSE)&amp;VLOOKUP(I41,'引用数据库'!S:U,3,FALSE)&amp;TEXT(F41,"00"))</f>
      </c>
      <c r="E41" s="75" t="str">
        <v>劳旅</v>
      </c>
      <c r="F41" s="110">
        <v>2</v>
      </c>
      <c r="G41" s="71">
        <f>G40</f>
      </c>
      <c r="H41" s="75">
        <f>H40</f>
      </c>
      <c r="I41" s="75">
        <f>I40</f>
      </c>
      <c r="J41" s="71" t="str">
        <v>手动</v>
      </c>
      <c r="K41" s="71">
        <f>K40</f>
      </c>
      <c r="L41" s="42"/>
      <c r="M41" s="65">
        <f>M40</f>
      </c>
      <c r="N41" s="72">
        <v>800</v>
      </c>
      <c r="O41" s="54" t="str">
        <v>N/A</v>
      </c>
      <c r="P41" s="72">
        <v>0</v>
      </c>
      <c r="Q41" s="72">
        <v>0</v>
      </c>
      <c r="R41" s="72">
        <v>0.3</v>
      </c>
      <c r="S41" s="72">
        <v>0</v>
      </c>
      <c r="T41" s="72">
        <f>SUM(P41:S41)</f>
      </c>
      <c r="U41" s="39">
        <f>2*T41/(15*(1+(5-BD41)*0.1))</f>
      </c>
      <c r="V41" s="11"/>
      <c r="W41" s="72">
        <f>W40</f>
      </c>
      <c r="X41" s="72">
        <f>X40</f>
      </c>
      <c r="Y41" s="177">
        <v>0.25</v>
      </c>
      <c r="Z41" s="177">
        <v>0.25</v>
      </c>
      <c r="AA41" s="102">
        <v>0</v>
      </c>
      <c r="AB41" s="102">
        <v>0</v>
      </c>
      <c r="AC41" s="102">
        <v>1</v>
      </c>
      <c r="AD41" s="60">
        <f>(W41+AB41)*AC41</f>
      </c>
      <c r="AE41" s="60">
        <f>(X41+AB41)*AC41</f>
      </c>
      <c r="AF41" s="1"/>
      <c r="AG41" s="54"/>
      <c r="AH41" s="54"/>
      <c r="AI41" s="11"/>
      <c r="AJ41" s="108">
        <f>AJ40+0.05</f>
      </c>
      <c r="AK41" s="108">
        <f>AK40+0.05</f>
      </c>
      <c r="AL41" s="108">
        <f>AL40</f>
      </c>
      <c r="AM41" s="105">
        <f>IFS(AJ41 &gt; 1.25, "S", AJ41 &gt; 1, "A", AJ41 &gt; 0.75, "B", AJ41 &gt; 0.5, "C", AJ41 &gt; 0.25, "D", AJ41 &gt; 0, "E", TRUE, "-")</f>
      </c>
      <c r="AN41" s="105">
        <f>IFS(AK41 &gt; 1.25, "S", AK41 &gt; 1, "A", AK41 &gt; 0.75, "B", AK41 &gt; 0.5, "C", AK41 &gt; 0.25, "D", AK41 &gt; 0, "E", TRUE, "-")</f>
      </c>
      <c r="AO41" s="105">
        <f>IFS(AL41 &gt; 1.25, "S", AL41 &gt; 1, "A", AL41 &gt; 0.75, "B", AL41 &gt; 0.5, "C", AL41 &gt; 0.25, "D", AL41 &gt; 0, "E", TRUE, "-")</f>
      </c>
      <c r="AP41" s="68">
        <v>10</v>
      </c>
      <c r="AQ41" s="68">
        <v>10</v>
      </c>
      <c r="AR41" s="68">
        <v>10</v>
      </c>
      <c r="AS41" s="55"/>
      <c r="AT41" s="55"/>
      <c r="AU41" s="105"/>
      <c r="AV41" s="68">
        <f>IF(SUM(AJ41:AL41)=0, 0, (1 + F41 * 0.1) * (0.75 + 0.25 * MAX(0, MIN(1, IF(MAX(AJ41:AL41)=0, 0, (3*MAX(AJ41:AL41)-SUM(AJ41:AL41)) / (2*MAX(AJ41:AL41)))))))</f>
      </c>
      <c r="AW41" s="111">
        <f>MAX(AJ41:AL41)</f>
      </c>
      <c r="AX41" s="109">
        <f>IF(AW41=0, "", AW41 / ((1 + 0.1*N(F41))))</f>
      </c>
      <c r="AY41" s="68">
        <f>IF(SUM(AJ41:AL41)=0, 0,     (1 + F41 * 0.1) * (1 + ((SUM(AJ41:AL41) - MAX(AJ41:AL41)) / (2 * MAX(AJ41:AL41))) * (1/0.75 - 1)))</f>
      </c>
      <c r="AZ41" s="111">
        <f>AJ41+AK41+AL41</f>
      </c>
      <c r="BA41" s="109">
        <f>IF(AZ41=0, "", AZ41 / ((1 + 0.1*N(F41))/0.75))</f>
      </c>
      <c r="BB41" s="39">
        <v>0.1</v>
      </c>
      <c r="BC41" s="11"/>
      <c r="BD41" s="72">
        <f>BD40</f>
      </c>
      <c r="BE41" s="72">
        <f>BE40</f>
      </c>
      <c r="BF41" s="74"/>
      <c r="BG41" s="38"/>
      <c r="BH41" s="103">
        <f>BH40</f>
      </c>
      <c r="BI41" s="45"/>
      <c r="BJ41" s="63"/>
      <c r="BK41" s="49"/>
      <c r="BL41" s="56">
        <f>BL40</f>
      </c>
      <c r="BM41" s="34"/>
      <c r="BN41" s="110">
        <f>BN40</f>
      </c>
      <c r="BO41" s="72">
        <v>2</v>
      </c>
      <c r="BP41" s="38"/>
      <c r="BQ41" s="39">
        <f>BQ40</f>
      </c>
      <c r="BR41" s="38">
        <f>IFERROR(BQ41*100/CP41,"N/A")</f>
      </c>
      <c r="BS41" s="107">
        <f>BS40</f>
      </c>
      <c r="BT41" s="72">
        <f>BT40</f>
      </c>
      <c r="BU41" s="42"/>
      <c r="BV41" s="78"/>
      <c r="BW41" s="104">
        <f>BW40</f>
      </c>
      <c r="BX41" s="38">
        <f>CP41/BW41</f>
      </c>
      <c r="BY41" s="96">
        <f>BW41/T41</f>
      </c>
      <c r="BZ41" s="11"/>
      <c r="CA41" s="113">
        <f>CA40+10</f>
      </c>
      <c r="CB41" s="39">
        <f>CA41*BB41*(AP41*AJ41+AQ41*AK41+AR41*AL41)</f>
      </c>
      <c r="CC41" s="39">
        <f>CA41+CB41</f>
      </c>
      <c r="CD41" s="68"/>
      <c r="CE41" s="68"/>
      <c r="CF41" s="68"/>
      <c r="CG41" s="68"/>
      <c r="CH41" s="68"/>
      <c r="CI41" s="68"/>
      <c r="CJ41" s="111"/>
      <c r="CK41" s="103">
        <f>CK40</f>
      </c>
      <c r="CL41" s="111"/>
      <c r="CM41" s="38"/>
      <c r="CN41" s="105">
        <f>CK41*CC41</f>
      </c>
      <c r="CO41" s="42"/>
      <c r="CP41" s="70">
        <f>CN41*BS41*BT41</f>
      </c>
      <c r="CQ41" s="38">
        <f>CP41/T41</f>
      </c>
      <c r="CR41" s="38">
        <f>100/CP41</f>
      </c>
      <c r="CS41" s="96">
        <f>100/CQ41</f>
      </c>
      <c r="CT41" s="38">
        <f>CQ41-CQ40</f>
      </c>
      <c r="CU41" s="112">
        <f>(CQ41-CQ40)/CQ40</f>
      </c>
      <c r="CV41" s="96">
        <f>BL41/T41</f>
      </c>
      <c r="CW41" s="96">
        <f>100/CV41</f>
      </c>
      <c r="CX41" s="40"/>
      <c r="CY41" s="41"/>
      <c r="CZ41" s="40"/>
      <c r="DA41" s="41"/>
      <c r="DB41" s="40"/>
      <c r="DC41" s="1" t="str">
        <v>完成</v>
      </c>
      <c r="DD41" s="1" t="str">
        <v>完成</v>
      </c>
    </row>
    <row r="42">
      <c r="A42" s="71">
        <f>A41</f>
      </c>
      <c r="B42" s="71">
        <f>B41</f>
      </c>
      <c r="C42" s="71"/>
      <c r="D42" s="71">
        <f>IF($A42="","","WPN"&amp;VLOOKUP(E42,'引用数据库'!Z:AC,4,FALSE)&amp;VLOOKUP(H42,'引用数据库'!N:P,3,FALSE)&amp;VLOOKUP(I42,'引用数据库'!S:U,3,FALSE)&amp;TEXT(F42,"00"))</f>
      </c>
      <c r="E42" s="75" t="str">
        <v>劳旅</v>
      </c>
      <c r="F42" s="110">
        <v>3</v>
      </c>
      <c r="G42" s="71">
        <f>G41</f>
      </c>
      <c r="H42" s="75">
        <f>H41</f>
      </c>
      <c r="I42" s="75">
        <f>I41</f>
      </c>
      <c r="J42" s="71" t="str">
        <v>手动</v>
      </c>
      <c r="K42" s="71">
        <f>K41</f>
      </c>
      <c r="L42" s="42"/>
      <c r="M42" s="65">
        <f>M41</f>
      </c>
      <c r="N42" s="72">
        <v>800</v>
      </c>
      <c r="O42" s="54" t="str">
        <v>N/A</v>
      </c>
      <c r="P42" s="72">
        <v>0</v>
      </c>
      <c r="Q42" s="72">
        <v>0</v>
      </c>
      <c r="R42" s="72">
        <v>0.3</v>
      </c>
      <c r="S42" s="72">
        <v>0</v>
      </c>
      <c r="T42" s="72">
        <f>SUM(P42:S42)</f>
      </c>
      <c r="U42" s="39">
        <f>2*T42/(15*(1+(5-BD42)*0.1))</f>
      </c>
      <c r="V42" s="11"/>
      <c r="W42" s="72">
        <f>W41</f>
      </c>
      <c r="X42" s="72">
        <f>X41</f>
      </c>
      <c r="Y42" s="177">
        <v>0.25</v>
      </c>
      <c r="Z42" s="177">
        <v>0.25</v>
      </c>
      <c r="AA42" s="102">
        <v>0</v>
      </c>
      <c r="AB42" s="102">
        <v>0</v>
      </c>
      <c r="AC42" s="102">
        <v>1</v>
      </c>
      <c r="AD42" s="60">
        <f>(W42+AB42)*AC42</f>
      </c>
      <c r="AE42" s="60">
        <f>(X42+AB42)*AC42</f>
      </c>
      <c r="AF42" s="1"/>
      <c r="AG42" s="54"/>
      <c r="AH42" s="54"/>
      <c r="AI42" s="11"/>
      <c r="AJ42" s="108">
        <v>0.35</v>
      </c>
      <c r="AK42" s="108">
        <f>AK41+0.1</f>
      </c>
      <c r="AL42" s="108">
        <f>AL41</f>
      </c>
      <c r="AM42" s="105">
        <f>IFS(AJ42 &gt; 1.25, "S", AJ42 &gt; 1, "A", AJ42 &gt; 0.75, "B", AJ42 &gt; 0.5, "C", AJ42 &gt; 0.25, "D", AJ42 &gt; 0, "E", TRUE, "-")</f>
      </c>
      <c r="AN42" s="105">
        <f>IFS(AK42 &gt; 1.25, "S", AK42 &gt; 1, "A", AK42 &gt; 0.75, "B", AK42 &gt; 0.5, "C", AK42 &gt; 0.25, "D", AK42 &gt; 0, "E", TRUE, "-")</f>
      </c>
      <c r="AO42" s="105">
        <f>IFS(AL42 &gt; 1.25, "S", AL42 &gt; 1, "A", AL42 &gt; 0.75, "B", AL42 &gt; 0.5, "C", AL42 &gt; 0.25, "D", AL42 &gt; 0, "E", TRUE, "-")</f>
      </c>
      <c r="AP42" s="68">
        <v>10</v>
      </c>
      <c r="AQ42" s="68">
        <v>10</v>
      </c>
      <c r="AR42" s="68">
        <v>10</v>
      </c>
      <c r="AS42" s="55"/>
      <c r="AT42" s="55"/>
      <c r="AU42" s="105"/>
      <c r="AV42" s="68">
        <f>IF(SUM(AJ42:AL42)=0, 0, (1 + F42 * 0.1) * (0.75 + 0.25 * MAX(0, MIN(1, IF(MAX(AJ42:AL42)=0, 0, (3*MAX(AJ42:AL42)-SUM(AJ42:AL42)) / (2*MAX(AJ42:AL42)))))))</f>
      </c>
      <c r="AW42" s="111">
        <f>MAX(AJ42:AL42)</f>
      </c>
      <c r="AX42" s="109">
        <f>IF(AW42=0, "", AW42 / ((1 + 0.1*N(F42))))</f>
      </c>
      <c r="AY42" s="68">
        <f>IF(SUM(AJ42:AL42)=0, 0,     (1 + F42 * 0.1) * (1 + ((SUM(AJ42:AL42) - MAX(AJ42:AL42)) / (2 * MAX(AJ42:AL42))) * (1/0.75 - 1)))</f>
      </c>
      <c r="AZ42" s="111">
        <f>AJ42+AK42+AL42</f>
      </c>
      <c r="BA42" s="109">
        <f>IF(AZ42=0, "", AZ42 / ((1 + 0.1*N(F42))/0.75))</f>
      </c>
      <c r="BB42" s="39">
        <v>0.1</v>
      </c>
      <c r="BC42" s="11"/>
      <c r="BD42" s="72">
        <f>BD41</f>
      </c>
      <c r="BE42" s="72">
        <f>BE41</f>
      </c>
      <c r="BF42" s="74"/>
      <c r="BG42" s="38"/>
      <c r="BH42" s="103">
        <f>BH41</f>
      </c>
      <c r="BI42" s="45"/>
      <c r="BJ42" s="63"/>
      <c r="BK42" s="49"/>
      <c r="BL42" s="56">
        <f>BL41</f>
      </c>
      <c r="BM42" s="34"/>
      <c r="BN42" s="110">
        <f>BN41</f>
      </c>
      <c r="BO42" s="72">
        <v>2</v>
      </c>
      <c r="BP42" s="38"/>
      <c r="BQ42" s="39">
        <f>BQ41</f>
      </c>
      <c r="BR42" s="38">
        <f>IFERROR(BQ42*100/CP42,"N/A")</f>
      </c>
      <c r="BS42" s="107">
        <f>BS41</f>
      </c>
      <c r="BT42" s="72">
        <f>BT41</f>
      </c>
      <c r="BU42" s="42"/>
      <c r="BV42" s="78"/>
      <c r="BW42" s="104">
        <f>BW41</f>
      </c>
      <c r="BX42" s="38">
        <f>CP42/BW42</f>
      </c>
      <c r="BY42" s="96">
        <f>BW42/T42</f>
      </c>
      <c r="BZ42" s="11"/>
      <c r="CA42" s="113">
        <f>CA41+10</f>
      </c>
      <c r="CB42" s="39">
        <f>CA42*BB42*(AP42*AJ42+AQ42*AK42+AR42*AL42)</f>
      </c>
      <c r="CC42" s="39">
        <f>CA42+CB42</f>
      </c>
      <c r="CD42" s="68"/>
      <c r="CE42" s="68"/>
      <c r="CF42" s="68"/>
      <c r="CG42" s="68"/>
      <c r="CH42" s="68"/>
      <c r="CI42" s="68"/>
      <c r="CJ42" s="111"/>
      <c r="CK42" s="103">
        <f>CK41</f>
      </c>
      <c r="CL42" s="111"/>
      <c r="CM42" s="38"/>
      <c r="CN42" s="105">
        <f>CK42*CC42</f>
      </c>
      <c r="CO42" s="42"/>
      <c r="CP42" s="70">
        <f>CN42*BS42*BT42</f>
      </c>
      <c r="CQ42" s="38">
        <f>CP42/T42</f>
      </c>
      <c r="CR42" s="38">
        <f>100/CP42</f>
      </c>
      <c r="CS42" s="96">
        <f>100/CQ42</f>
      </c>
      <c r="CT42" s="38">
        <f>CQ42-CQ41</f>
      </c>
      <c r="CU42" s="112">
        <f>(CQ42-CQ41)/CQ41</f>
      </c>
      <c r="CV42" s="96">
        <f>BL42/T42</f>
      </c>
      <c r="CW42" s="96">
        <f>100/CV42</f>
      </c>
      <c r="CX42" s="40"/>
      <c r="CY42" s="41"/>
      <c r="CZ42" s="40"/>
      <c r="DA42" s="41"/>
      <c r="DB42" s="40"/>
      <c r="DC42" s="1" t="str">
        <v>完成</v>
      </c>
      <c r="DD42" s="1" t="str">
        <v>完成</v>
      </c>
    </row>
    <row r="43">
      <c r="A43" s="71">
        <f>A42</f>
      </c>
      <c r="B43" s="71">
        <f>B42</f>
      </c>
      <c r="C43" s="71"/>
      <c r="D43" s="71">
        <f>IF($A43="","","WPN"&amp;VLOOKUP(E43,'引用数据库'!Z:AC,4,FALSE)&amp;VLOOKUP(H43,'引用数据库'!N:P,3,FALSE)&amp;VLOOKUP(I43,'引用数据库'!S:U,3,FALSE)&amp;TEXT(F43,"00"))</f>
      </c>
      <c r="E43" s="75" t="str">
        <v>劳旅</v>
      </c>
      <c r="F43" s="110">
        <v>4</v>
      </c>
      <c r="G43" s="71">
        <f>G42</f>
      </c>
      <c r="H43" s="75">
        <f>H42</f>
      </c>
      <c r="I43" s="75">
        <f>I42</f>
      </c>
      <c r="J43" s="71" t="str">
        <v>手动</v>
      </c>
      <c r="K43" s="71">
        <f>K42</f>
      </c>
      <c r="L43" s="42"/>
      <c r="M43" s="65">
        <f>M42</f>
      </c>
      <c r="N43" s="72">
        <v>800</v>
      </c>
      <c r="O43" s="54" t="str">
        <v>N/A</v>
      </c>
      <c r="P43" s="72">
        <v>0</v>
      </c>
      <c r="Q43" s="72">
        <v>0</v>
      </c>
      <c r="R43" s="72">
        <v>0.3</v>
      </c>
      <c r="S43" s="72">
        <v>0</v>
      </c>
      <c r="T43" s="72">
        <f>SUM(P43:S43)</f>
      </c>
      <c r="U43" s="39">
        <f>2*T43/(15*(1+(5-BD43)*0.1))</f>
      </c>
      <c r="V43" s="11"/>
      <c r="W43" s="72">
        <f>W42</f>
      </c>
      <c r="X43" s="72">
        <f>X42</f>
      </c>
      <c r="Y43" s="177">
        <v>0.25</v>
      </c>
      <c r="Z43" s="177">
        <v>0.25</v>
      </c>
      <c r="AA43" s="102">
        <v>0</v>
      </c>
      <c r="AB43" s="102">
        <v>0</v>
      </c>
      <c r="AC43" s="102">
        <v>1</v>
      </c>
      <c r="AD43" s="60">
        <f>(W43+AB43)*AC43</f>
      </c>
      <c r="AE43" s="60">
        <f>(X43+AB43)*AC43</f>
      </c>
      <c r="AF43" s="1"/>
      <c r="AG43" s="54"/>
      <c r="AH43" s="54"/>
      <c r="AI43" s="11"/>
      <c r="AJ43" s="108">
        <v>0.35</v>
      </c>
      <c r="AK43" s="108">
        <f>AK42+0.1</f>
      </c>
      <c r="AL43" s="108">
        <f>AL42</f>
      </c>
      <c r="AM43" s="105">
        <f>IFS(AJ43 &gt; 1.25, "S", AJ43 &gt; 1, "A", AJ43 &gt; 0.75, "B", AJ43 &gt; 0.5, "C", AJ43 &gt; 0.25, "D", AJ43 &gt; 0, "E", TRUE, "-")</f>
      </c>
      <c r="AN43" s="105">
        <f>IFS(AK43 &gt; 1.25, "S", AK43 &gt; 1, "A", AK43 &gt; 0.75, "B", AK43 &gt; 0.5, "C", AK43 &gt; 0.25, "D", AK43 &gt; 0, "E", TRUE, "-")</f>
      </c>
      <c r="AO43" s="105">
        <f>IFS(AL43 &gt; 1.25, "S", AL43 &gt; 1, "A", AL43 &gt; 0.75, "B", AL43 &gt; 0.5, "C", AL43 &gt; 0.25, "D", AL43 &gt; 0, "E", TRUE, "-")</f>
      </c>
      <c r="AP43" s="68">
        <v>10</v>
      </c>
      <c r="AQ43" s="68">
        <v>10</v>
      </c>
      <c r="AR43" s="68">
        <v>10</v>
      </c>
      <c r="AS43" s="55"/>
      <c r="AT43" s="55"/>
      <c r="AU43" s="105"/>
      <c r="AV43" s="68">
        <f>IF(SUM(AJ43:AL43)=0, 0, (1 + F43 * 0.1) * (0.75 + 0.25 * MAX(0, MIN(1, IF(MAX(AJ43:AL43)=0, 0, (3*MAX(AJ43:AL43)-SUM(AJ43:AL43)) / (2*MAX(AJ43:AL43)))))))</f>
      </c>
      <c r="AW43" s="111">
        <f>MAX(AJ43:AL43)</f>
      </c>
      <c r="AX43" s="109">
        <f>IF(AW43=0, "", AW43 / ((1 + 0.1*N(F43))))</f>
      </c>
      <c r="AY43" s="68">
        <f>IF(SUM(AJ43:AL43)=0, 0,     (1 + F43 * 0.1) * (1 + ((SUM(AJ43:AL43) - MAX(AJ43:AL43)) / (2 * MAX(AJ43:AL43))) * (1/0.75 - 1)))</f>
      </c>
      <c r="AZ43" s="111">
        <f>AJ43+AK43+AL43</f>
      </c>
      <c r="BA43" s="109">
        <f>IF(AZ43=0, "", AZ43 / ((1 + 0.1*N(F43))/0.75))</f>
      </c>
      <c r="BB43" s="39">
        <v>0.1</v>
      </c>
      <c r="BC43" s="11"/>
      <c r="BD43" s="72">
        <f>BD42</f>
      </c>
      <c r="BE43" s="72">
        <f>BE42</f>
      </c>
      <c r="BF43" s="74"/>
      <c r="BG43" s="38"/>
      <c r="BH43" s="103">
        <f>BH42</f>
      </c>
      <c r="BI43" s="45"/>
      <c r="BJ43" s="63"/>
      <c r="BK43" s="49"/>
      <c r="BL43" s="56">
        <f>BL42</f>
      </c>
      <c r="BM43" s="34"/>
      <c r="BN43" s="110">
        <f>BN42</f>
      </c>
      <c r="BO43" s="72">
        <v>2</v>
      </c>
      <c r="BP43" s="38"/>
      <c r="BQ43" s="39">
        <f>BQ42</f>
      </c>
      <c r="BR43" s="38">
        <f>IFERROR(BQ43*100/CP43,"N/A")</f>
      </c>
      <c r="BS43" s="107">
        <f>BS42</f>
      </c>
      <c r="BT43" s="72">
        <f>BT42</f>
      </c>
      <c r="BU43" s="42"/>
      <c r="BV43" s="78"/>
      <c r="BW43" s="104">
        <f>BW42</f>
      </c>
      <c r="BX43" s="38">
        <f>CP43/BW43</f>
      </c>
      <c r="BY43" s="96">
        <f>BW43/T43</f>
      </c>
      <c r="BZ43" s="11"/>
      <c r="CA43" s="113">
        <f>CA42+10</f>
      </c>
      <c r="CB43" s="39">
        <f>CA43*BB43*(AP43*AJ43+AQ43*AK43+AR43*AL43)</f>
      </c>
      <c r="CC43" s="39">
        <f>CA43+CB43</f>
      </c>
      <c r="CD43" s="68"/>
      <c r="CE43" s="68"/>
      <c r="CF43" s="68"/>
      <c r="CG43" s="68"/>
      <c r="CH43" s="68"/>
      <c r="CI43" s="68"/>
      <c r="CJ43" s="111"/>
      <c r="CK43" s="103">
        <f>CK42</f>
      </c>
      <c r="CL43" s="111"/>
      <c r="CM43" s="38"/>
      <c r="CN43" s="105">
        <f>CK43*CC43</f>
      </c>
      <c r="CO43" s="42"/>
      <c r="CP43" s="70">
        <f>CN43*BS43*BT43</f>
      </c>
      <c r="CQ43" s="38">
        <f>CP43/T43</f>
      </c>
      <c r="CR43" s="38">
        <f>100/CP43</f>
      </c>
      <c r="CS43" s="96">
        <f>100/CQ43</f>
      </c>
      <c r="CT43" s="38">
        <f>CQ43-CQ42</f>
      </c>
      <c r="CU43" s="112">
        <f>(CQ43-CQ42)/CQ42</f>
      </c>
      <c r="CV43" s="96">
        <f>BL43/T43</f>
      </c>
      <c r="CW43" s="96">
        <f>100/CV43</f>
      </c>
      <c r="CX43" s="40"/>
      <c r="CY43" s="41"/>
      <c r="CZ43" s="40"/>
      <c r="DA43" s="41"/>
      <c r="DB43" s="40"/>
      <c r="DC43" s="1" t="str">
        <v>完成</v>
      </c>
      <c r="DD43" s="1" t="str">
        <v>完成</v>
      </c>
    </row>
    <row customHeight="true" ht="19" r="44">
      <c r="A44" s="71">
        <f>A43</f>
      </c>
      <c r="B44" s="71">
        <f>B43</f>
      </c>
      <c r="C44" s="71"/>
      <c r="D44" s="71">
        <f>IF($A44="","","WPN"&amp;VLOOKUP(E44,'引用数据库'!Z:AC,4,FALSE)&amp;VLOOKUP(H44,'引用数据库'!N:P,3,FALSE)&amp;VLOOKUP(I44,'引用数据库'!S:U,3,FALSE)&amp;TEXT(F44,"00"))</f>
      </c>
      <c r="E44" s="75" t="str">
        <v>劳旅</v>
      </c>
      <c r="F44" s="110">
        <v>5</v>
      </c>
      <c r="G44" s="71">
        <f>G43</f>
      </c>
      <c r="H44" s="75">
        <f>H43</f>
      </c>
      <c r="I44" s="75">
        <f>I43</f>
      </c>
      <c r="J44" s="71" t="str">
        <v>手动</v>
      </c>
      <c r="K44" s="71">
        <f>K43</f>
      </c>
      <c r="L44" s="42"/>
      <c r="M44" s="65">
        <f>M43</f>
      </c>
      <c r="N44" s="72">
        <v>800</v>
      </c>
      <c r="O44" s="54" t="str">
        <v>N/A</v>
      </c>
      <c r="P44" s="72">
        <v>0</v>
      </c>
      <c r="Q44" s="72">
        <v>0</v>
      </c>
      <c r="R44" s="72">
        <v>0.3</v>
      </c>
      <c r="S44" s="72">
        <v>0</v>
      </c>
      <c r="T44" s="72">
        <f>SUM(P44:S44)</f>
      </c>
      <c r="U44" s="39">
        <f>2*T44/(15*(1+(5-BD44)*0.1))</f>
      </c>
      <c r="V44" s="11"/>
      <c r="W44" s="72">
        <f>W43</f>
      </c>
      <c r="X44" s="72">
        <f>X43</f>
      </c>
      <c r="Y44" s="177">
        <v>0.25</v>
      </c>
      <c r="Z44" s="177">
        <v>0.25</v>
      </c>
      <c r="AA44" s="102">
        <v>0</v>
      </c>
      <c r="AB44" s="102">
        <v>0</v>
      </c>
      <c r="AC44" s="102">
        <v>1</v>
      </c>
      <c r="AD44" s="60">
        <f>(W44+AB44)*AC44</f>
      </c>
      <c r="AE44" s="60">
        <f>(X44+AB44)*AC44</f>
      </c>
      <c r="AF44" s="1"/>
      <c r="AG44" s="54"/>
      <c r="AH44" s="54"/>
      <c r="AI44" s="11"/>
      <c r="AJ44" s="108">
        <v>0.35</v>
      </c>
      <c r="AK44" s="108">
        <v>1</v>
      </c>
      <c r="AL44" s="108">
        <f>AL43</f>
      </c>
      <c r="AM44" s="105">
        <f>IFS(AJ44 &gt; 1.25, "S", AJ44 &gt; 1, "A", AJ44 &gt; 0.75, "B", AJ44 &gt; 0.5, "C", AJ44 &gt; 0.25, "D", AJ44 &gt; 0, "E", TRUE, "-")</f>
      </c>
      <c r="AN44" s="105">
        <f>IFS(AK44 &gt; 1.25, "S", AK44 &gt; 1, "A", AK44 &gt; 0.75, "B", AK44 &gt; 0.5, "C", AK44 &gt; 0.25, "D", AK44 &gt; 0, "E", TRUE, "-")</f>
      </c>
      <c r="AO44" s="105">
        <f>IFS(AL44 &gt; 1.25, "S", AL44 &gt; 1, "A", AL44 &gt; 0.75, "B", AL44 &gt; 0.5, "C", AL44 &gt; 0.25, "D", AL44 &gt; 0, "E", TRUE, "-")</f>
      </c>
      <c r="AP44" s="68">
        <v>10</v>
      </c>
      <c r="AQ44" s="68">
        <v>10</v>
      </c>
      <c r="AR44" s="68">
        <v>10</v>
      </c>
      <c r="AS44" s="55"/>
      <c r="AT44" s="55"/>
      <c r="AU44" s="105"/>
      <c r="AV44" s="68">
        <f>IF(SUM(AJ44:AL44)=0, 0, (1 + F44 * 0.1) * (0.75 + 0.25 * MAX(0, MIN(1, IF(MAX(AJ44:AL44)=0, 0, (3*MAX(AJ44:AL44)-SUM(AJ44:AL44)) / (2*MAX(AJ44:AL44)))))))</f>
      </c>
      <c r="AW44" s="111">
        <f>MAX(AJ44:AL44)</f>
      </c>
      <c r="AX44" s="109">
        <f>IF(AW44=0, "", AW44 / ((1 + 0.1*N(F44))))</f>
      </c>
      <c r="AY44" s="68">
        <f>IF(SUM(AJ44:AL44)=0, 0,     (1 + F44 * 0.1) * (1 + ((SUM(AJ44:AL44) - MAX(AJ44:AL44)) / (2 * MAX(AJ44:AL44))) * (1/0.75 - 1)))</f>
      </c>
      <c r="AZ44" s="111">
        <f>AJ44+AK44+AL44</f>
      </c>
      <c r="BA44" s="109">
        <f>IF(AZ44=0, "", AZ44 / ((1 + 0.1*N(F44))/0.75))</f>
      </c>
      <c r="BB44" s="39">
        <v>0.1</v>
      </c>
      <c r="BC44" s="11"/>
      <c r="BD44" s="72">
        <f>BD43</f>
      </c>
      <c r="BE44" s="72">
        <f>BE43</f>
      </c>
      <c r="BF44" s="74"/>
      <c r="BG44" s="38"/>
      <c r="BH44" s="103">
        <f>BH43</f>
      </c>
      <c r="BI44" s="45"/>
      <c r="BJ44" s="63"/>
      <c r="BK44" s="49"/>
      <c r="BL44" s="56">
        <f>BL43</f>
      </c>
      <c r="BM44" s="34"/>
      <c r="BN44" s="110">
        <f>BN43</f>
      </c>
      <c r="BO44" s="72">
        <v>2</v>
      </c>
      <c r="BP44" s="38"/>
      <c r="BQ44" s="39">
        <f>BQ43</f>
      </c>
      <c r="BR44" s="38">
        <f>IFERROR(BQ44*100/CP44,"N/A")</f>
      </c>
      <c r="BS44" s="107">
        <f>BS43</f>
      </c>
      <c r="BT44" s="72">
        <f>BT43</f>
      </c>
      <c r="BU44" s="42"/>
      <c r="BV44" s="78"/>
      <c r="BW44" s="104">
        <f>BW43</f>
      </c>
      <c r="BX44" s="38">
        <f>CP44/BW44</f>
      </c>
      <c r="BY44" s="96">
        <f>BW44/T44</f>
      </c>
      <c r="BZ44" s="11"/>
      <c r="CA44" s="113">
        <f>CA43+10</f>
      </c>
      <c r="CB44" s="39">
        <f>CA44*BB44*(AP44*AJ44+AQ44*AK44+AR44*AL44)</f>
      </c>
      <c r="CC44" s="39">
        <f>CA44+CB44</f>
      </c>
      <c r="CD44" s="68"/>
      <c r="CE44" s="68"/>
      <c r="CF44" s="68"/>
      <c r="CG44" s="68"/>
      <c r="CH44" s="68"/>
      <c r="CI44" s="68"/>
      <c r="CJ44" s="111"/>
      <c r="CK44" s="103">
        <f>CK43</f>
      </c>
      <c r="CL44" s="111"/>
      <c r="CM44" s="38"/>
      <c r="CN44" s="105">
        <f>CK44*CC44</f>
      </c>
      <c r="CO44" s="42"/>
      <c r="CP44" s="70">
        <f>CN44*BS44*BT44</f>
      </c>
      <c r="CQ44" s="38">
        <f>CP44/T44</f>
      </c>
      <c r="CR44" s="38">
        <f>100/CP44</f>
      </c>
      <c r="CS44" s="96">
        <f>100/CQ44</f>
      </c>
      <c r="CT44" s="38">
        <f>CQ44-CQ43</f>
      </c>
      <c r="CU44" s="112">
        <f>(CQ44-CQ43)/CQ43</f>
      </c>
      <c r="CV44" s="96">
        <f>BL44/T44</f>
      </c>
      <c r="CW44" s="96">
        <f>100/CV44</f>
      </c>
      <c r="CX44" s="40"/>
      <c r="CY44" s="41"/>
      <c r="CZ44" s="40"/>
      <c r="DA44" s="41"/>
      <c r="DB44" s="40"/>
      <c r="DC44" s="1" t="str">
        <v>完成</v>
      </c>
      <c r="DD44" s="1" t="str">
        <v>完成</v>
      </c>
    </row>
    <row r="45">
      <c r="A45" s="84" t="str">
        <v>NailGun</v>
      </c>
      <c r="B45" s="162" t="str">
        <v>盲孔开颅器</v>
      </c>
      <c r="C45" s="71"/>
      <c r="D45" s="71">
        <f>IF($A45="","","WPN"&amp;VLOOKUP(E45,'引用数据库'!Z:AC,4,FALSE)&amp;VLOOKUP(H45,'引用数据库'!N:P,3,FALSE)&amp;VLOOKUP(I45,'引用数据库'!S:U,3,FALSE)&amp;TEXT(F45,"00"))</f>
      </c>
      <c r="E45" s="36" t="str">
        <v>劳旅</v>
      </c>
      <c r="F45" s="67">
        <v>0</v>
      </c>
      <c r="G45" s="71" t="str">
        <v>远程</v>
      </c>
      <c r="H45" s="162" t="str">
        <v>手枪</v>
      </c>
      <c r="I45" s="162" t="str">
        <v>动能</v>
      </c>
      <c r="J45" s="36" t="str">
        <v>手动</v>
      </c>
      <c r="K45" s="71">
        <v>1</v>
      </c>
      <c r="L45" s="42"/>
      <c r="M45" s="46">
        <v>1</v>
      </c>
      <c r="N45" s="67">
        <f>N46</f>
      </c>
      <c r="O45" s="67" t="str">
        <v>N/A</v>
      </c>
      <c r="P45" s="67">
        <v>0</v>
      </c>
      <c r="Q45" s="67">
        <v>0</v>
      </c>
      <c r="R45" s="67">
        <v>0.25</v>
      </c>
      <c r="S45" s="67">
        <v>0</v>
      </c>
      <c r="T45" s="27">
        <f>SUM(P45:S45)</f>
      </c>
      <c r="U45" s="32">
        <f>2*T45/(15*(1+(5-BD45)*0.1))</f>
      </c>
      <c r="V45" s="1"/>
      <c r="W45" s="67">
        <v>0</v>
      </c>
      <c r="X45" s="67">
        <v>10</v>
      </c>
      <c r="Y45" s="165">
        <v>0.16</v>
      </c>
      <c r="Z45" s="165">
        <v>0.08</v>
      </c>
      <c r="AA45" s="28"/>
      <c r="AB45" s="28">
        <v>5</v>
      </c>
      <c r="AC45" s="28">
        <v>1.5</v>
      </c>
      <c r="AD45" s="28">
        <f>(W45+AB45)*AC45</f>
      </c>
      <c r="AE45" s="28">
        <f>(X45+AB45)*AC45</f>
      </c>
      <c r="AF45" s="1"/>
      <c r="AG45" s="67"/>
      <c r="AH45" s="67"/>
      <c r="AI45" s="1"/>
      <c r="AJ45" s="163">
        <v>0</v>
      </c>
      <c r="AK45" s="33">
        <v>0.75</v>
      </c>
      <c r="AL45" s="33">
        <v>0.3</v>
      </c>
      <c r="AM45" s="32">
        <f>IFS(AJ45 &gt; 1.25, "S", AJ45 &gt; 1, "A", AJ45 &gt; 0.75, "B", AJ45 &gt; 0.5, "C", AJ45 &gt; 0.25, "D", AJ45 &gt; 0, "E", TRUE, "-")</f>
      </c>
      <c r="AN45" s="32">
        <f>IFS(AK45 &gt; 1.25, "S", AK45 &gt; 1, "A", AK45 &gt; 0.75, "B", AK45 &gt; 0.5, "C", AK45 &gt; 0.25, "D", AK45 &gt; 0, "E", TRUE, "-")</f>
      </c>
      <c r="AO45" s="32">
        <f>IFS(AL45 &gt; 1.25, "S", AL45 &gt; 1, "A", AL45 &gt; 0.75, "B", AL45 &gt; 0.5, "C", AL45 &gt; 0.25, "D", AL45 &gt; 0, "E", TRUE, "-")</f>
      </c>
      <c r="AP45" s="32">
        <v>10</v>
      </c>
      <c r="AQ45" s="32">
        <v>10</v>
      </c>
      <c r="AR45" s="32">
        <v>10</v>
      </c>
      <c r="AS45" s="29"/>
      <c r="AT45" s="29"/>
      <c r="AU45" s="32"/>
      <c r="AV45" s="32">
        <f>IF(SUM(AJ45:AL45)=0, 0, (1 + F45 * 0.1) * (0.75 + 0.25 * MAX(0, MIN(1, IF(MAX(AJ45:AL45)=0, 0, (3*MAX(AJ45:AL45)-SUM(AJ45:AL45)) / (2*MAX(AJ45:AL45)))))))</f>
      </c>
      <c r="AW45" s="33">
        <f>MAX(AJ45:AL45)</f>
      </c>
      <c r="AX45" s="37">
        <f>IF(AW45=0, "", AW45 / ((1 + 0.1*N(F45))))</f>
      </c>
      <c r="AY45" s="32">
        <f>IF(SUM(AJ45:AL45)=0, 0,     (1 + F45 * 0.1) * (1 + ((SUM(AJ45:AL45) - MAX(AJ45:AL45)) / (2 * MAX(AJ45:AL45))) * (1/0.75 - 1)))</f>
      </c>
      <c r="AZ45" s="33">
        <f>AJ45+AK45+AL45</f>
      </c>
      <c r="BA45" s="37">
        <f>IF(AZ45=0, "", AZ45 / ((1 + 0.1*N(F45))/0.75))</f>
      </c>
      <c r="BB45" s="32">
        <v>0.1</v>
      </c>
      <c r="BC45" s="1"/>
      <c r="BD45" s="67">
        <v>1</v>
      </c>
      <c r="BE45" s="67">
        <v>1</v>
      </c>
      <c r="BF45" s="43">
        <v>2</v>
      </c>
      <c r="BG45" s="32">
        <f>T45 * 4 * BF45 / BT45 / BS45</f>
      </c>
      <c r="BH45" s="33">
        <f>BG45</f>
      </c>
      <c r="BI45" s="169"/>
      <c r="BJ45" s="47">
        <v>2</v>
      </c>
      <c r="BK45" s="30">
        <f>T45*33*(16 * BJ45) / (15 + 20 * BJ45 - 3 * POWER(BJ45, 2))/BT45</f>
      </c>
      <c r="BL45" s="33">
        <f>BK45</f>
      </c>
      <c r="BM45" s="34"/>
      <c r="BN45" s="67">
        <v>30</v>
      </c>
      <c r="BO45" s="67">
        <v>3</v>
      </c>
      <c r="BP45" s="32">
        <f>ROUND(CP45/10,2)</f>
      </c>
      <c r="BQ45" s="32">
        <v>0.5</v>
      </c>
      <c r="BR45" s="32">
        <f>IFERROR(BQ45*100/CP45,"N/A")</f>
      </c>
      <c r="BS45" s="67">
        <v>1</v>
      </c>
      <c r="BT45" s="67">
        <v>1</v>
      </c>
      <c r="BU45" s="42"/>
      <c r="BV45" s="44">
        <f>CP45/1.5</f>
      </c>
      <c r="BW45" s="44">
        <f>ROUND(BV45)</f>
      </c>
      <c r="BX45" s="32">
        <f>CP45/BW45</f>
      </c>
      <c r="BY45" s="35">
        <f>BW45/T45</f>
      </c>
      <c r="BZ45" s="1"/>
      <c r="CA45" s="31">
        <v>10</v>
      </c>
      <c r="CB45" s="32">
        <f>CA45*BB45*(AP45*AJ45+AQ45*AK45+AR45*AL45)</f>
      </c>
      <c r="CC45" s="32">
        <f>CA45+CB45</f>
      </c>
      <c r="CD45" s="32">
        <f>T45 * 2 / BS45 / BT45 * (0.9 + 0.2 * IF(G45="近战", EXP(-64 * (T45 - 0.75)^2), EXP(-400 * (T45 - 0.15)^2)))</f>
      </c>
      <c r="CE45" s="32">
        <f>0.9 + 0.2 / (1 + (N45/600)^1)</f>
      </c>
      <c r="CF45" s="32">
        <f>LET(  k, K45,  be, BS45,  bf, BT45,  m, N45,  n, O45,  v, X45,  vEff, IF(ISNUMBER(v), v, 0),  angle,    IF(      ISNUMBER(n),        IF(n&gt;0, n,           IF(ISNUMBER(v),              IF(v&gt;0, v, 0),              0           )        ),      IF(ISNUMBER(v),         IF(v&gt;0, v, 0),         0      )    ),  T,    IF(k=1,       be * bf * 20 / MAX(vEff, 1),    IF(k=2,       (m/150)^2 * (angle/120),    IF(k=3,       be * (MIN(bf, 99)/99) * (m/1000),       be * bf * (m/1000) * (n/200)^2    ))),  b, 0.8,  c, 1.2,  r, (c-1)/(1-b),  k_s, 1,  b + (c-b) / (1 + r * EXP(-k_s*(1-T))))</f>
      </c>
      <c r="CG45" s="32">
        <f>IF(T45&lt;=0,1,   (0.9 + 0.2 / (1 + EXP(-0.8 * (5 - BD45)))) * (0.9 + 0.2 / (1 + EXP(-1 * (3.5 - BE45)))) * (0.9 + 0.2 / (1 + EXP(-0.6 * (20 - BS45*BH45/T45)))))</f>
      </c>
      <c r="CH45" s="32">
        <f>IF(T45&lt;=0, 1, 0.9 + 0.2 / (1 + EXP(0.1 * (BL45*BS45*BT45/T45 - 33))))</f>
      </c>
      <c r="CI45" s="32">
        <f>LET(    x_val, W45,    bq_val, BS45,    Check_Fail, OR(NOT(ISNUMBER(x_val)), bq_val &lt;= 1),        IF(Check_Fail, 1,        LET(            Ratio, x_val / bq_val,                        calc_A, 2.2 / (1 + EXP(-0.276 * (Ratio - 0.66))),            calc_B, 2.2 / (1 + EXP(-0.0138 * (x_val - 13.2))),                        calc_A + calc_B        )    ))</f>
      </c>
      <c r="CJ45" s="33">
        <f>CD45*CE45*CF45*CG45*CH45*CI45</f>
      </c>
      <c r="CK45" s="33">
        <f>CJ45</f>
      </c>
      <c r="CL45" s="32">
        <f>T45 * 2 / BS45 / BT45</f>
      </c>
      <c r="CM45" s="37">
        <f>CK45/CL45</f>
      </c>
      <c r="CN45" s="32">
        <f>CK45*CC45</f>
      </c>
      <c r="CO45" s="42"/>
      <c r="CP45" s="48">
        <f>CN45*BS45*BT45</f>
      </c>
      <c r="CQ45" s="32">
        <f>CP45/T45</f>
      </c>
      <c r="CR45" s="32">
        <f>100/CP45</f>
      </c>
      <c r="CS45" s="35">
        <f>100/CQ45</f>
      </c>
      <c r="CT45" s="32"/>
      <c r="CU45" s="32"/>
      <c r="CV45" s="35">
        <f>BL45/T45</f>
      </c>
      <c r="CW45" s="35">
        <f>100/CV45</f>
      </c>
      <c r="CX45" s="77"/>
      <c r="CY45" s="41" t="str">
        <v>主要靠磁力进行驱动的射钉枪，
在模块化纤维大厦盛行的都市上层几乎绝迹。
由于贫民窟中临时住宅对钉接的旺盛需求，
加上当做武器时在街头械斗中的优异表现，
导致其在都市下层依旧拥有超高人气。</v>
      </c>
      <c r="CZ45" s="77"/>
      <c r="DA45" s="41">
        <f>TEXTJOIN("、", TRUE, FILTER('武器技能'!B:B, '武器技能'!E:E = H45))</f>
      </c>
      <c r="DB45" s="77"/>
      <c r="DC45" s="27" t="str">
        <v>完成</v>
      </c>
      <c r="DD45" s="27" t="str">
        <v>完成</v>
      </c>
    </row>
    <row customHeight="true" ht="19" r="46">
      <c r="A46" s="84" t="str">
        <v>NailGun</v>
      </c>
      <c r="B46" s="173" t="str">
        <v>盲孔开颅器</v>
      </c>
      <c r="C46" s="90"/>
      <c r="D46" s="90">
        <f>IF($A46="","","WPN"&amp;VLOOKUP(E46,'引用数据库'!Z:AC,4,FALSE)&amp;VLOOKUP(H46,'引用数据库'!N:P,3,FALSE)&amp;VLOOKUP(I46,'引用数据库'!S:U,3,FALSE)&amp;TEXT(F46,"00"))</f>
      </c>
      <c r="E46" s="90" t="str">
        <v>劳旅</v>
      </c>
      <c r="F46" s="159">
        <v>1</v>
      </c>
      <c r="G46" s="90">
        <f>G45</f>
      </c>
      <c r="H46" s="90">
        <f>H45</f>
      </c>
      <c r="I46" s="90">
        <f>I45</f>
      </c>
      <c r="J46" s="90" t="str">
        <v>手动</v>
      </c>
      <c r="K46" s="71">
        <f>K45</f>
      </c>
      <c r="L46" s="42"/>
      <c r="M46" s="98">
        <f>M45</f>
      </c>
      <c r="N46" s="159">
        <v>800</v>
      </c>
      <c r="O46" s="159" t="str">
        <v>N/A</v>
      </c>
      <c r="P46" s="159">
        <v>0</v>
      </c>
      <c r="Q46" s="159">
        <v>0</v>
      </c>
      <c r="R46" s="159">
        <v>0.25</v>
      </c>
      <c r="S46" s="159">
        <v>0</v>
      </c>
      <c r="T46" s="91">
        <f>SUM(P46:S46)</f>
      </c>
      <c r="U46" s="88">
        <f>2*T46/(15*(1+(5-BD46)*0.1))</f>
      </c>
      <c r="V46" s="1"/>
      <c r="W46" s="159">
        <v>0</v>
      </c>
      <c r="X46" s="159">
        <v>10</v>
      </c>
      <c r="Y46" s="176">
        <v>0.16</v>
      </c>
      <c r="Z46" s="176">
        <v>0.08</v>
      </c>
      <c r="AA46" s="95"/>
      <c r="AB46" s="95">
        <v>5</v>
      </c>
      <c r="AC46" s="95">
        <v>1.5</v>
      </c>
      <c r="AD46" s="95">
        <f>(W46+AB46)*AC46</f>
      </c>
      <c r="AE46" s="95">
        <f>(X46+AB46)*AC46</f>
      </c>
      <c r="AF46" s="1"/>
      <c r="AG46" s="159"/>
      <c r="AH46" s="159"/>
      <c r="AI46" s="1"/>
      <c r="AJ46" s="174">
        <v>0.1</v>
      </c>
      <c r="AK46" s="87">
        <v>0.8</v>
      </c>
      <c r="AL46" s="174">
        <f>AL45</f>
      </c>
      <c r="AM46" s="88">
        <f>IFS(AJ46 &gt; 1.25, "S", AJ46 &gt; 1, "A", AJ46 &gt; 0.75, "B", AJ46 &gt; 0.5, "C", AJ46 &gt; 0.25, "D", AJ46 &gt; 0, "E", TRUE, "-")</f>
      </c>
      <c r="AN46" s="88">
        <f>IFS(AK46 &gt; 1.25, "S", AK46 &gt; 1, "A", AK46 &gt; 0.75, "B", AK46 &gt; 0.5, "C", AK46 &gt; 0.25, "D", AK46 &gt; 0, "E", TRUE, "-")</f>
      </c>
      <c r="AO46" s="88">
        <f>IFS(AL46 &gt; 1.25, "S", AL46 &gt; 1, "A", AL46 &gt; 0.75, "B", AL46 &gt; 0.5, "C", AL46 &gt; 0.25, "D", AL46 &gt; 0, "E", TRUE, "-")</f>
      </c>
      <c r="AP46" s="88">
        <v>10</v>
      </c>
      <c r="AQ46" s="88">
        <v>10</v>
      </c>
      <c r="AR46" s="88">
        <v>10</v>
      </c>
      <c r="AS46" s="115"/>
      <c r="AT46" s="115"/>
      <c r="AU46" s="88"/>
      <c r="AV46" s="88">
        <f>IF(SUM(AJ46:AL46)=0, 0, (1 + F46 * 0.1) * (0.75 + 0.25 * MAX(0, MIN(1, IF(MAX(AJ46:AL46)=0, 0, (3*MAX(AJ46:AL46)-SUM(AJ46:AL46)) / (2*MAX(AJ46:AL46)))))))</f>
      </c>
      <c r="AW46" s="87">
        <f>MAX(AJ46:AL46)</f>
      </c>
      <c r="AX46" s="92">
        <f>IF(AW46=0, "", AW46 / ((1 + 0.1*N(F46))))</f>
      </c>
      <c r="AY46" s="88">
        <f>IF(SUM(AJ46:AL46)=0, 0,     (1 + F46 * 0.1) * (1 + ((SUM(AJ46:AL46) - MAX(AJ46:AL46)) / (2 * MAX(AJ46:AL46))) * (1/0.75 - 1)))</f>
      </c>
      <c r="AZ46" s="87">
        <f>AJ46+AK46+AL46</f>
      </c>
      <c r="BA46" s="92">
        <f>IF(AZ46=0, "", AZ46 / ((1 + 0.1*N(F46))/0.75))</f>
      </c>
      <c r="BB46" s="88">
        <v>0.1</v>
      </c>
      <c r="BC46" s="1"/>
      <c r="BD46" s="91">
        <f>BD45</f>
      </c>
      <c r="BE46" s="91">
        <f>BE45</f>
      </c>
      <c r="BF46" s="179" t="str">
        <v>参考值</v>
      </c>
      <c r="BG46" s="88"/>
      <c r="BH46" s="87">
        <f>BH45</f>
      </c>
      <c r="BI46" s="45"/>
      <c r="BJ46" s="99"/>
      <c r="BK46" s="101"/>
      <c r="BL46" s="101">
        <f>BL45</f>
      </c>
      <c r="BM46" s="34"/>
      <c r="BN46" s="159">
        <v>30</v>
      </c>
      <c r="BO46" s="159">
        <v>3</v>
      </c>
      <c r="BP46" s="88"/>
      <c r="BQ46" s="88">
        <f>BQ45</f>
      </c>
      <c r="BR46" s="88">
        <f>IFERROR(BQ46*100/CP46,"N/A")</f>
      </c>
      <c r="BS46" s="159">
        <v>1</v>
      </c>
      <c r="BT46" s="159">
        <v>1</v>
      </c>
      <c r="BU46" s="42"/>
      <c r="BV46" s="114"/>
      <c r="BW46" s="94">
        <f>BW45</f>
      </c>
      <c r="BX46" s="88">
        <f>CP46/BW46</f>
      </c>
      <c r="BY46" s="89">
        <f>BW46/T46</f>
      </c>
      <c r="BZ46" s="1"/>
      <c r="CA46" s="100">
        <f>CA45+20</f>
      </c>
      <c r="CB46" s="88">
        <f>CA46*BB46*(AP46*AJ46+AQ46*AK46+AR46*AL46)</f>
      </c>
      <c r="CC46" s="88">
        <f>CA46+CB46</f>
      </c>
      <c r="CD46" s="88"/>
      <c r="CE46" s="88"/>
      <c r="CF46" s="88"/>
      <c r="CG46" s="88"/>
      <c r="CH46" s="88"/>
      <c r="CI46" s="88"/>
      <c r="CJ46" s="87"/>
      <c r="CK46" s="87">
        <f>CK45</f>
      </c>
      <c r="CL46" s="87"/>
      <c r="CM46" s="88"/>
      <c r="CN46" s="88">
        <f>CK46*CC46</f>
      </c>
      <c r="CO46" s="42"/>
      <c r="CP46" s="97">
        <f>CN46*BS46*BT46</f>
      </c>
      <c r="CQ46" s="88">
        <f>CP46/T46</f>
      </c>
      <c r="CR46" s="88">
        <f>100/CP46</f>
      </c>
      <c r="CS46" s="89">
        <f>100/CQ46</f>
      </c>
      <c r="CT46" s="88">
        <f>CQ46-CQ45</f>
      </c>
      <c r="CU46" s="98">
        <f>(CQ46-CQ45)/CQ45</f>
      </c>
      <c r="CV46" s="89">
        <f>BL46/T46</f>
      </c>
      <c r="CW46" s="89">
        <f>100/CV46</f>
      </c>
      <c r="CX46" s="77"/>
      <c r="CY46" s="41"/>
      <c r="CZ46" s="77"/>
      <c r="DA46" s="41"/>
      <c r="DB46" s="77"/>
      <c r="DC46" s="91" t="str">
        <v>完成</v>
      </c>
      <c r="DD46" s="91" t="str">
        <v>完成</v>
      </c>
    </row>
    <row r="47">
      <c r="A47" s="84" t="str">
        <v>NailGun</v>
      </c>
      <c r="B47" s="53" t="str">
        <v>盲孔开颅器</v>
      </c>
      <c r="C47" s="71"/>
      <c r="D47" s="71">
        <f>IF($A47="","","WPN"&amp;VLOOKUP(E47,'引用数据库'!Z:AC,4,FALSE)&amp;VLOOKUP(H47,'引用数据库'!N:P,3,FALSE)&amp;VLOOKUP(I47,'引用数据库'!S:U,3,FALSE)&amp;TEXT(F47,"00"))</f>
      </c>
      <c r="E47" s="75" t="str">
        <v>劳旅</v>
      </c>
      <c r="F47" s="57">
        <v>2</v>
      </c>
      <c r="G47" s="71">
        <f>G46</f>
      </c>
      <c r="H47" s="75">
        <f>H46</f>
      </c>
      <c r="I47" s="75">
        <f>I46</f>
      </c>
      <c r="J47" s="71" t="str">
        <v>手动</v>
      </c>
      <c r="K47" s="71">
        <f>K46</f>
      </c>
      <c r="L47" s="42"/>
      <c r="M47" s="65">
        <f>M46</f>
      </c>
      <c r="N47" s="54">
        <f>N46</f>
      </c>
      <c r="O47" s="54" t="str">
        <v>N/A</v>
      </c>
      <c r="P47" s="54">
        <v>0</v>
      </c>
      <c r="Q47" s="54">
        <v>0</v>
      </c>
      <c r="R47" s="54">
        <v>0.25</v>
      </c>
      <c r="S47" s="54">
        <v>0</v>
      </c>
      <c r="T47" s="72">
        <f>SUM(P47:S47)</f>
      </c>
      <c r="U47" s="39">
        <f>2*T47/(15*(1+(5-BD47)*0.1))</f>
      </c>
      <c r="V47" s="1"/>
      <c r="W47" s="54">
        <v>0</v>
      </c>
      <c r="X47" s="54">
        <v>10</v>
      </c>
      <c r="Y47" s="76">
        <v>0.16</v>
      </c>
      <c r="Z47" s="76">
        <v>0.08</v>
      </c>
      <c r="AA47" s="102"/>
      <c r="AB47" s="102">
        <v>5</v>
      </c>
      <c r="AC47" s="102">
        <v>1.5</v>
      </c>
      <c r="AD47" s="60">
        <f>(W47+AB47)*AC47</f>
      </c>
      <c r="AE47" s="60">
        <f>(X47+AB47)*AC47</f>
      </c>
      <c r="AF47" s="1"/>
      <c r="AG47" s="54"/>
      <c r="AH47" s="54"/>
      <c r="AI47" s="1"/>
      <c r="AJ47" s="80">
        <f>AJ46</f>
      </c>
      <c r="AK47" s="108">
        <f>AK46+0.05</f>
      </c>
      <c r="AL47" s="80">
        <f>AL46</f>
      </c>
      <c r="AM47" s="105">
        <f>IFS(AJ47 &gt; 1.25, "S", AJ47 &gt; 1, "A", AJ47 &gt; 0.75, "B", AJ47 &gt; 0.5, "C", AJ47 &gt; 0.25, "D", AJ47 &gt; 0, "E", TRUE, "-")</f>
      </c>
      <c r="AN47" s="105">
        <f>IFS(AK47 &gt; 1.25, "S", AK47 &gt; 1, "A", AK47 &gt; 0.75, "B", AK47 &gt; 0.5, "C", AK47 &gt; 0.25, "D", AK47 &gt; 0, "E", TRUE, "-")</f>
      </c>
      <c r="AO47" s="105">
        <f>IFS(AL47 &gt; 1.25, "S", AL47 &gt; 1, "A", AL47 &gt; 0.75, "B", AL47 &gt; 0.5, "C", AL47 &gt; 0.25, "D", AL47 &gt; 0, "E", TRUE, "-")</f>
      </c>
      <c r="AP47" s="68">
        <v>10</v>
      </c>
      <c r="AQ47" s="68">
        <v>10</v>
      </c>
      <c r="AR47" s="68">
        <v>10</v>
      </c>
      <c r="AS47" s="55"/>
      <c r="AT47" s="55"/>
      <c r="AU47" s="105"/>
      <c r="AV47" s="68">
        <f>IF(SUM(AJ47:AL47)=0, 0, (1 + F47 * 0.1) * (0.75 + 0.25 * MAX(0, MIN(1, IF(MAX(AJ47:AL47)=0, 0, (3*MAX(AJ47:AL47)-SUM(AJ47:AL47)) / (2*MAX(AJ47:AL47)))))))</f>
      </c>
      <c r="AW47" s="111">
        <f>MAX(AJ47:AL47)</f>
      </c>
      <c r="AX47" s="109">
        <f>IF(AW47=0, "", AW47 / ((1 + 0.1*N(F47))))</f>
      </c>
      <c r="AY47" s="68">
        <f>IF(SUM(AJ47:AL47)=0, 0,     (1 + F47 * 0.1) * (1 + ((SUM(AJ47:AL47) - MAX(AJ47:AL47)) / (2 * MAX(AJ47:AL47))) * (1/0.75 - 1)))</f>
      </c>
      <c r="AZ47" s="111">
        <f>AJ47+AK47+AL47</f>
      </c>
      <c r="BA47" s="109">
        <f>IF(AZ47=0, "", AZ47 / ((1 + 0.1*N(F47))/0.75))</f>
      </c>
      <c r="BB47" s="39">
        <v>0.1</v>
      </c>
      <c r="BC47" s="1"/>
      <c r="BD47" s="72">
        <f>BD46</f>
      </c>
      <c r="BE47" s="72">
        <f>BE46</f>
      </c>
      <c r="BF47" s="178" t="str">
        <v>性价比</v>
      </c>
      <c r="BG47" s="64"/>
      <c r="BH47" s="69">
        <f>BH46</f>
      </c>
      <c r="BI47" s="169"/>
      <c r="BJ47" s="170"/>
      <c r="BK47" s="171"/>
      <c r="BL47" s="69">
        <f>BL46</f>
      </c>
      <c r="BM47" s="34"/>
      <c r="BN47" s="57">
        <v>30</v>
      </c>
      <c r="BO47" s="54">
        <v>3</v>
      </c>
      <c r="BP47" s="38"/>
      <c r="BQ47" s="39">
        <f>BQ46</f>
      </c>
      <c r="BR47" s="38">
        <f>IFERROR(BQ47*100/CP47,"N/A")</f>
      </c>
      <c r="BS47" s="61">
        <v>1</v>
      </c>
      <c r="BT47" s="54">
        <v>1</v>
      </c>
      <c r="BU47" s="42"/>
      <c r="BV47" s="78"/>
      <c r="BW47" s="73">
        <f>BW46</f>
      </c>
      <c r="BX47" s="38">
        <f>CP47/BW47</f>
      </c>
      <c r="BY47" s="96">
        <f>BW47/T47</f>
      </c>
      <c r="BZ47" s="1"/>
      <c r="CA47" s="113">
        <f>CA46+10</f>
      </c>
      <c r="CB47" s="39">
        <f>CA47*BB47*(AP47*AJ47+AQ47*AK47+AR47*AL47)</f>
      </c>
      <c r="CC47" s="39">
        <f>CA47+CB47</f>
      </c>
      <c r="CD47" s="68"/>
      <c r="CE47" s="68"/>
      <c r="CF47" s="68"/>
      <c r="CG47" s="68"/>
      <c r="CH47" s="68"/>
      <c r="CI47" s="68"/>
      <c r="CJ47" s="111"/>
      <c r="CK47" s="103">
        <f>CK46</f>
      </c>
      <c r="CL47" s="111"/>
      <c r="CM47" s="38"/>
      <c r="CN47" s="105">
        <f>CK47*CC47</f>
      </c>
      <c r="CO47" s="42"/>
      <c r="CP47" s="70">
        <f>CN47*BS47*BT47</f>
      </c>
      <c r="CQ47" s="38">
        <f>CP47/T47</f>
      </c>
      <c r="CR47" s="38">
        <f>100/CP47</f>
      </c>
      <c r="CS47" s="96">
        <f>100/CQ47</f>
      </c>
      <c r="CT47" s="38">
        <f>CQ47-CQ46</f>
      </c>
      <c r="CU47" s="112">
        <f>(CQ47-CQ46)/CQ46</f>
      </c>
      <c r="CV47" s="96">
        <f>BL47/T47</f>
      </c>
      <c r="CW47" s="96">
        <f>100/CV47</f>
      </c>
      <c r="CX47" s="77"/>
      <c r="CY47" s="41"/>
      <c r="CZ47" s="77"/>
      <c r="DA47" s="41"/>
      <c r="DB47" s="77"/>
      <c r="DC47" s="1" t="str">
        <v>完成</v>
      </c>
      <c r="DD47" s="1" t="str">
        <v>完成</v>
      </c>
    </row>
    <row r="48">
      <c r="A48" s="84" t="str">
        <v>NailGun</v>
      </c>
      <c r="B48" s="53" t="str">
        <v>盲孔开颅器</v>
      </c>
      <c r="C48" s="71"/>
      <c r="D48" s="71">
        <f>IF($A48="","","WPN"&amp;VLOOKUP(E48,'引用数据库'!Z:AC,4,FALSE)&amp;VLOOKUP(H48,'引用数据库'!N:P,3,FALSE)&amp;VLOOKUP(I48,'引用数据库'!S:U,3,FALSE)&amp;TEXT(F48,"00"))</f>
      </c>
      <c r="E48" s="75" t="str">
        <v>劳旅</v>
      </c>
      <c r="F48" s="57">
        <v>3</v>
      </c>
      <c r="G48" s="71">
        <f>G47</f>
      </c>
      <c r="H48" s="75">
        <f>H47</f>
      </c>
      <c r="I48" s="75">
        <f>I47</f>
      </c>
      <c r="J48" s="71" t="str">
        <v>手动</v>
      </c>
      <c r="K48" s="71">
        <f>K47</f>
      </c>
      <c r="L48" s="42"/>
      <c r="M48" s="65">
        <f>M47</f>
      </c>
      <c r="N48" s="54">
        <f>N47</f>
      </c>
      <c r="O48" s="54" t="str">
        <v>N/A</v>
      </c>
      <c r="P48" s="54">
        <v>0</v>
      </c>
      <c r="Q48" s="54">
        <v>0</v>
      </c>
      <c r="R48" s="54">
        <v>0.25</v>
      </c>
      <c r="S48" s="54">
        <v>0</v>
      </c>
      <c r="T48" s="72">
        <f>SUM(P48:S48)</f>
      </c>
      <c r="U48" s="39">
        <f>2*T48/(15*(1+(5-BD48)*0.1))</f>
      </c>
      <c r="V48" s="1"/>
      <c r="W48" s="54">
        <v>0</v>
      </c>
      <c r="X48" s="54">
        <v>10</v>
      </c>
      <c r="Y48" s="76">
        <v>0.16</v>
      </c>
      <c r="Z48" s="76">
        <v>0.08</v>
      </c>
      <c r="AA48" s="102"/>
      <c r="AB48" s="102">
        <v>5</v>
      </c>
      <c r="AC48" s="102">
        <v>1.5</v>
      </c>
      <c r="AD48" s="60">
        <f>(W48+AB48)*AC48</f>
      </c>
      <c r="AE48" s="60">
        <f>(X48+AB48)*AC48</f>
      </c>
      <c r="AF48" s="1"/>
      <c r="AG48" s="54"/>
      <c r="AH48" s="54"/>
      <c r="AI48" s="1"/>
      <c r="AJ48" s="80">
        <f>AJ47</f>
      </c>
      <c r="AK48" s="108">
        <f>AK47+0.05</f>
      </c>
      <c r="AL48" s="80">
        <v>0.4</v>
      </c>
      <c r="AM48" s="105">
        <f>IFS(AJ48 &gt; 1.25, "S", AJ48 &gt; 1, "A", AJ48 &gt; 0.75, "B", AJ48 &gt; 0.5, "C", AJ48 &gt; 0.25, "D", AJ48 &gt; 0, "E", TRUE, "-")</f>
      </c>
      <c r="AN48" s="105">
        <f>IFS(AK48 &gt; 1.25, "S", AK48 &gt; 1, "A", AK48 &gt; 0.75, "B", AK48 &gt; 0.5, "C", AK48 &gt; 0.25, "D", AK48 &gt; 0, "E", TRUE, "-")</f>
      </c>
      <c r="AO48" s="105">
        <f>IFS(AL48 &gt; 1.25, "S", AL48 &gt; 1, "A", AL48 &gt; 0.75, "B", AL48 &gt; 0.5, "C", AL48 &gt; 0.25, "D", AL48 &gt; 0, "E", TRUE, "-")</f>
      </c>
      <c r="AP48" s="68">
        <v>10</v>
      </c>
      <c r="AQ48" s="68">
        <v>10</v>
      </c>
      <c r="AR48" s="68">
        <v>10</v>
      </c>
      <c r="AS48" s="55"/>
      <c r="AT48" s="55"/>
      <c r="AU48" s="105"/>
      <c r="AV48" s="68">
        <f>IF(SUM(AJ48:AL48)=0, 0, (1 + F48 * 0.1) * (0.75 + 0.25 * MAX(0, MIN(1, IF(MAX(AJ48:AL48)=0, 0, (3*MAX(AJ48:AL48)-SUM(AJ48:AL48)) / (2*MAX(AJ48:AL48)))))))</f>
      </c>
      <c r="AW48" s="111">
        <f>MAX(AJ48:AL48)</f>
      </c>
      <c r="AX48" s="109">
        <f>IF(AW48=0, "", AW48 / ((1 + 0.1*N(F48))))</f>
      </c>
      <c r="AY48" s="68">
        <f>IF(SUM(AJ48:AL48)=0, 0,     (1 + F48 * 0.1) * (1 + ((SUM(AJ48:AL48) - MAX(AJ48:AL48)) / (2 * MAX(AJ48:AL48))) * (1/0.75 - 1)))</f>
      </c>
      <c r="AZ48" s="111">
        <f>AJ48+AK48+AL48</f>
      </c>
      <c r="BA48" s="109">
        <f>IF(AZ48=0, "", AZ48 / ((1 + 0.1*N(F48))/0.75))</f>
      </c>
      <c r="BB48" s="39">
        <v>0.1</v>
      </c>
      <c r="BC48" s="1"/>
      <c r="BD48" s="72">
        <f>BD47</f>
      </c>
      <c r="BE48" s="72">
        <f>BE47</f>
      </c>
      <c r="BF48" s="172"/>
      <c r="BG48" s="64"/>
      <c r="BH48" s="69">
        <f>BH47</f>
      </c>
      <c r="BI48" s="169"/>
      <c r="BJ48" s="170"/>
      <c r="BK48" s="171"/>
      <c r="BL48" s="69">
        <f>BL47</f>
      </c>
      <c r="BM48" s="34"/>
      <c r="BN48" s="57">
        <v>30</v>
      </c>
      <c r="BO48" s="54">
        <v>3</v>
      </c>
      <c r="BP48" s="38"/>
      <c r="BQ48" s="39">
        <f>BQ47</f>
      </c>
      <c r="BR48" s="38">
        <f>IFERROR(BQ48*100/CP48,"N/A")</f>
      </c>
      <c r="BS48" s="61">
        <v>1</v>
      </c>
      <c r="BT48" s="54">
        <v>1</v>
      </c>
      <c r="BU48" s="42"/>
      <c r="BV48" s="78"/>
      <c r="BW48" s="73">
        <f>BW47</f>
      </c>
      <c r="BX48" s="38">
        <f>CP48/BW48</f>
      </c>
      <c r="BY48" s="96">
        <f>BW48/T48</f>
      </c>
      <c r="BZ48" s="1"/>
      <c r="CA48" s="113">
        <f>CA47+10</f>
      </c>
      <c r="CB48" s="39">
        <f>CA48*BB48*(AP48*AJ48+AQ48*AK48+AR48*AL48)</f>
      </c>
      <c r="CC48" s="39">
        <f>CA48+CB48</f>
      </c>
      <c r="CD48" s="68"/>
      <c r="CE48" s="68"/>
      <c r="CF48" s="68"/>
      <c r="CG48" s="68"/>
      <c r="CH48" s="68"/>
      <c r="CI48" s="68"/>
      <c r="CJ48" s="111"/>
      <c r="CK48" s="103">
        <f>CK47</f>
      </c>
      <c r="CL48" s="111"/>
      <c r="CM48" s="38"/>
      <c r="CN48" s="105">
        <f>CK48*CC48</f>
      </c>
      <c r="CO48" s="42"/>
      <c r="CP48" s="70">
        <f>CN48*BS48*BT48</f>
      </c>
      <c r="CQ48" s="38">
        <f>CP48/T48</f>
      </c>
      <c r="CR48" s="38">
        <f>100/CP48</f>
      </c>
      <c r="CS48" s="96">
        <f>100/CQ48</f>
      </c>
      <c r="CT48" s="38">
        <f>CQ48-CQ47</f>
      </c>
      <c r="CU48" s="112">
        <f>(CQ48-CQ47)/CQ47</f>
      </c>
      <c r="CV48" s="96">
        <f>BL48/T48</f>
      </c>
      <c r="CW48" s="96">
        <f>100/CV48</f>
      </c>
      <c r="CX48" s="77"/>
      <c r="CY48" s="41"/>
      <c r="CZ48" s="77"/>
      <c r="DA48" s="41"/>
      <c r="DB48" s="77"/>
      <c r="DC48" s="1" t="str">
        <v>完成</v>
      </c>
      <c r="DD48" s="1" t="str">
        <v>完成</v>
      </c>
    </row>
    <row customHeight="true" ht="19" r="49">
      <c r="A49" s="84" t="str">
        <v>NailGun</v>
      </c>
      <c r="B49" s="53" t="str">
        <v>盲孔开颅器</v>
      </c>
      <c r="C49" s="71"/>
      <c r="D49" s="71">
        <f>IF($A49="","","WPN"&amp;VLOOKUP(E49,'引用数据库'!Z:AC,4,FALSE)&amp;VLOOKUP(H49,'引用数据库'!N:P,3,FALSE)&amp;VLOOKUP(I49,'引用数据库'!S:U,3,FALSE)&amp;TEXT(F49,"00"))</f>
      </c>
      <c r="E49" s="75" t="str">
        <v>劳旅</v>
      </c>
      <c r="F49" s="57">
        <v>4</v>
      </c>
      <c r="G49" s="71">
        <f>G48</f>
      </c>
      <c r="H49" s="75">
        <f>H48</f>
      </c>
      <c r="I49" s="75">
        <f>I48</f>
      </c>
      <c r="J49" s="71" t="str">
        <v>手动</v>
      </c>
      <c r="K49" s="71">
        <f>K48</f>
      </c>
      <c r="L49" s="42"/>
      <c r="M49" s="65">
        <f>M48</f>
      </c>
      <c r="N49" s="54">
        <f>N48</f>
      </c>
      <c r="O49" s="54" t="str">
        <v>N/A</v>
      </c>
      <c r="P49" s="54">
        <v>0</v>
      </c>
      <c r="Q49" s="54">
        <v>0</v>
      </c>
      <c r="R49" s="54">
        <v>0.25</v>
      </c>
      <c r="S49" s="54">
        <v>0</v>
      </c>
      <c r="T49" s="72">
        <f>SUM(P49:S49)</f>
      </c>
      <c r="U49" s="39">
        <f>2*T49/(15*(1+(5-BD49)*0.1))</f>
      </c>
      <c r="V49" s="1"/>
      <c r="W49" s="54">
        <v>0</v>
      </c>
      <c r="X49" s="54">
        <v>10</v>
      </c>
      <c r="Y49" s="76">
        <v>0.16</v>
      </c>
      <c r="Z49" s="76">
        <v>0.08</v>
      </c>
      <c r="AA49" s="102"/>
      <c r="AB49" s="102">
        <v>5</v>
      </c>
      <c r="AC49" s="102">
        <v>1.5</v>
      </c>
      <c r="AD49" s="60">
        <f>(W49+AB49)*AC49</f>
      </c>
      <c r="AE49" s="60">
        <f>(X49+AB49)*AC49</f>
      </c>
      <c r="AF49" s="1"/>
      <c r="AG49" s="54"/>
      <c r="AH49" s="54"/>
      <c r="AI49" s="1"/>
      <c r="AJ49" s="80">
        <f>AJ48</f>
      </c>
      <c r="AK49" s="108">
        <v>1</v>
      </c>
      <c r="AL49" s="80">
        <v>0.42</v>
      </c>
      <c r="AM49" s="105">
        <f>IFS(AJ49 &gt; 1.25, "S", AJ49 &gt; 1, "A", AJ49 &gt; 0.75, "B", AJ49 &gt; 0.5, "C", AJ49 &gt; 0.25, "D", AJ49 &gt; 0, "E", TRUE, "-")</f>
      </c>
      <c r="AN49" s="105">
        <f>IFS(AK49 &gt; 1.25, "S", AK49 &gt; 1, "A", AK49 &gt; 0.75, "B", AK49 &gt; 0.5, "C", AK49 &gt; 0.25, "D", AK49 &gt; 0, "E", TRUE, "-")</f>
      </c>
      <c r="AO49" s="105">
        <f>IFS(AL49 &gt; 1.25, "S", AL49 &gt; 1, "A", AL49 &gt; 0.75, "B", AL49 &gt; 0.5, "C", AL49 &gt; 0.25, "D", AL49 &gt; 0, "E", TRUE, "-")</f>
      </c>
      <c r="AP49" s="68">
        <v>10</v>
      </c>
      <c r="AQ49" s="68">
        <v>10</v>
      </c>
      <c r="AR49" s="68">
        <v>10</v>
      </c>
      <c r="AS49" s="55"/>
      <c r="AT49" s="55"/>
      <c r="AU49" s="105"/>
      <c r="AV49" s="68">
        <f>IF(SUM(AJ49:AL49)=0, 0, (1 + F49 * 0.1) * (0.75 + 0.25 * MAX(0, MIN(1, IF(MAX(AJ49:AL49)=0, 0, (3*MAX(AJ49:AL49)-SUM(AJ49:AL49)) / (2*MAX(AJ49:AL49)))))))</f>
      </c>
      <c r="AW49" s="111">
        <f>MAX(AJ49:AL49)</f>
      </c>
      <c r="AX49" s="109">
        <f>IF(AW49=0, "", AW49 / ((1 + 0.1*N(F49))))</f>
      </c>
      <c r="AY49" s="68">
        <f>IF(SUM(AJ49:AL49)=0, 0,     (1 + F49 * 0.1) * (1 + ((SUM(AJ49:AL49) - MAX(AJ49:AL49)) / (2 * MAX(AJ49:AL49))) * (1/0.75 - 1)))</f>
      </c>
      <c r="AZ49" s="111">
        <f>AJ49+AK49+AL49</f>
      </c>
      <c r="BA49" s="109">
        <f>IF(AZ49=0, "", AZ49 / ((1 + 0.1*N(F49))/0.75))</f>
      </c>
      <c r="BB49" s="39">
        <v>0.1</v>
      </c>
      <c r="BC49" s="1"/>
      <c r="BD49" s="72">
        <f>BD48</f>
      </c>
      <c r="BE49" s="72">
        <f>BE48</f>
      </c>
      <c r="BF49" s="172"/>
      <c r="BG49" s="64"/>
      <c r="BH49" s="69">
        <f>BH48</f>
      </c>
      <c r="BI49" s="169"/>
      <c r="BJ49" s="170"/>
      <c r="BK49" s="171"/>
      <c r="BL49" s="69">
        <f>BL48</f>
      </c>
      <c r="BM49" s="34"/>
      <c r="BN49" s="57">
        <v>30</v>
      </c>
      <c r="BO49" s="54">
        <v>3</v>
      </c>
      <c r="BP49" s="38"/>
      <c r="BQ49" s="39">
        <f>BQ48</f>
      </c>
      <c r="BR49" s="38">
        <f>IFERROR(BQ49*100/CP49,"N/A")</f>
      </c>
      <c r="BS49" s="61">
        <v>1</v>
      </c>
      <c r="BT49" s="54">
        <v>1</v>
      </c>
      <c r="BU49" s="42"/>
      <c r="BV49" s="78"/>
      <c r="BW49" s="73">
        <f>BW48</f>
      </c>
      <c r="BX49" s="38">
        <f>CP49/BW49</f>
      </c>
      <c r="BY49" s="96">
        <f>BW49/T49</f>
      </c>
      <c r="BZ49" s="1"/>
      <c r="CA49" s="113">
        <f>CA48+10</f>
      </c>
      <c r="CB49" s="39">
        <f>CA49*BB49*(AP49*AJ49+AQ49*AK49+AR49*AL49)</f>
      </c>
      <c r="CC49" s="39">
        <f>CA49+CB49</f>
      </c>
      <c r="CD49" s="68"/>
      <c r="CE49" s="68"/>
      <c r="CF49" s="68"/>
      <c r="CG49" s="68"/>
      <c r="CH49" s="68"/>
      <c r="CI49" s="68"/>
      <c r="CJ49" s="111"/>
      <c r="CK49" s="103">
        <f>CK48</f>
      </c>
      <c r="CL49" s="111"/>
      <c r="CM49" s="38"/>
      <c r="CN49" s="105">
        <f>CK49*CC49</f>
      </c>
      <c r="CO49" s="42"/>
      <c r="CP49" s="70">
        <f>CN49*BS49*BT49</f>
      </c>
      <c r="CQ49" s="38">
        <f>CP49/T49</f>
      </c>
      <c r="CR49" s="38">
        <f>100/CP49</f>
      </c>
      <c r="CS49" s="96">
        <f>100/CQ49</f>
      </c>
      <c r="CT49" s="38">
        <f>CQ49-CQ48</f>
      </c>
      <c r="CU49" s="112">
        <f>(CQ49-CQ48)/CQ48</f>
      </c>
      <c r="CV49" s="96">
        <f>BL49/T49</f>
      </c>
      <c r="CW49" s="96">
        <f>100/CV49</f>
      </c>
      <c r="CX49" s="77"/>
      <c r="CY49" s="41"/>
      <c r="CZ49" s="77"/>
      <c r="DA49" s="41"/>
      <c r="DB49" s="77"/>
      <c r="DC49" s="1" t="str">
        <v>完成</v>
      </c>
      <c r="DD49" s="1" t="str">
        <v>完成</v>
      </c>
    </row>
    <row r="50">
      <c r="A50" s="84" t="str">
        <v>NailGun</v>
      </c>
      <c r="B50" s="53" t="str">
        <v>盲孔开颅器</v>
      </c>
      <c r="C50" s="71"/>
      <c r="D50" s="71">
        <f>IF($A50="","","WPN"&amp;VLOOKUP(E50,'引用数据库'!Z:AC,4,FALSE)&amp;VLOOKUP(H50,'引用数据库'!N:P,3,FALSE)&amp;VLOOKUP(I50,'引用数据库'!S:U,3,FALSE)&amp;TEXT(F50,"00"))</f>
      </c>
      <c r="E50" s="75" t="str">
        <v>劳旅</v>
      </c>
      <c r="F50" s="57">
        <v>5</v>
      </c>
      <c r="G50" s="71">
        <f>G49</f>
      </c>
      <c r="H50" s="75">
        <f>H49</f>
      </c>
      <c r="I50" s="75">
        <f>I49</f>
      </c>
      <c r="J50" s="71" t="str">
        <v>手动</v>
      </c>
      <c r="K50" s="71">
        <f>K49</f>
      </c>
      <c r="L50" s="42"/>
      <c r="M50" s="65">
        <f>M49</f>
      </c>
      <c r="N50" s="54">
        <f>N49</f>
      </c>
      <c r="O50" s="54" t="str">
        <v>N/A</v>
      </c>
      <c r="P50" s="54">
        <v>0</v>
      </c>
      <c r="Q50" s="54">
        <v>0</v>
      </c>
      <c r="R50" s="54">
        <v>0.25</v>
      </c>
      <c r="S50" s="54">
        <v>0</v>
      </c>
      <c r="T50" s="72">
        <f>SUM(P50:S50)</f>
      </c>
      <c r="U50" s="39">
        <f>2*T50/(15*(1+(5-BD50)*0.1))</f>
      </c>
      <c r="V50" s="1"/>
      <c r="W50" s="54">
        <v>0</v>
      </c>
      <c r="X50" s="54">
        <v>10</v>
      </c>
      <c r="Y50" s="76">
        <v>0.16</v>
      </c>
      <c r="Z50" s="76">
        <v>0.08</v>
      </c>
      <c r="AA50" s="102"/>
      <c r="AB50" s="102">
        <v>5</v>
      </c>
      <c r="AC50" s="102">
        <v>1.5</v>
      </c>
      <c r="AD50" s="60">
        <f>(W50+AB50)*AC50</f>
      </c>
      <c r="AE50" s="60">
        <f>(X50+AB50)*AC50</f>
      </c>
      <c r="AF50" s="1"/>
      <c r="AG50" s="54"/>
      <c r="AH50" s="54"/>
      <c r="AI50" s="1"/>
      <c r="AJ50" s="80">
        <f>AJ49</f>
      </c>
      <c r="AK50" s="108">
        <v>1.1</v>
      </c>
      <c r="AL50" s="80">
        <f>AL49</f>
      </c>
      <c r="AM50" s="105">
        <f>IFS(AJ50 &gt; 1.25, "S", AJ50 &gt; 1, "A", AJ50 &gt; 0.75, "B", AJ50 &gt; 0.5, "C", AJ50 &gt; 0.25, "D", AJ50 &gt; 0, "E", TRUE, "-")</f>
      </c>
      <c r="AN50" s="105">
        <f>IFS(AK50 &gt; 1.25, "S", AK50 &gt; 1, "A", AK50 &gt; 0.75, "B", AK50 &gt; 0.5, "C", AK50 &gt; 0.25, "D", AK50 &gt; 0, "E", TRUE, "-")</f>
      </c>
      <c r="AO50" s="105">
        <f>IFS(AL50 &gt; 1.25, "S", AL50 &gt; 1, "A", AL50 &gt; 0.75, "B", AL50 &gt; 0.5, "C", AL50 &gt; 0.25, "D", AL50 &gt; 0, "E", TRUE, "-")</f>
      </c>
      <c r="AP50" s="68">
        <v>10</v>
      </c>
      <c r="AQ50" s="68">
        <v>10</v>
      </c>
      <c r="AR50" s="68">
        <v>10</v>
      </c>
      <c r="AS50" s="55"/>
      <c r="AT50" s="55"/>
      <c r="AU50" s="105"/>
      <c r="AV50" s="68">
        <f>IF(SUM(AJ50:AL50)=0, 0, (1 + F50 * 0.1) * (0.75 + 0.25 * MAX(0, MIN(1, IF(MAX(AJ50:AL50)=0, 0, (3*MAX(AJ50:AL50)-SUM(AJ50:AL50)) / (2*MAX(AJ50:AL50)))))))</f>
      </c>
      <c r="AW50" s="111">
        <f>MAX(AJ50:AL50)</f>
      </c>
      <c r="AX50" s="109">
        <f>IF(AW50=0, "", AW50 / ((1 + 0.1*N(F50))))</f>
      </c>
      <c r="AY50" s="68">
        <f>IF(SUM(AJ50:AL50)=0, 0,     (1 + F50 * 0.1) * (1 + ((SUM(AJ50:AL50) - MAX(AJ50:AL50)) / (2 * MAX(AJ50:AL50))) * (1/0.75 - 1)))</f>
      </c>
      <c r="AZ50" s="111">
        <f>AJ50+AK50+AL50</f>
      </c>
      <c r="BA50" s="109">
        <f>IF(AZ50=0, "", AZ50 / ((1 + 0.1*N(F50))/0.75))</f>
      </c>
      <c r="BB50" s="39">
        <v>0.1</v>
      </c>
      <c r="BC50" s="1"/>
      <c r="BD50" s="72">
        <f>BD49</f>
      </c>
      <c r="BE50" s="72">
        <f>BE49</f>
      </c>
      <c r="BF50" s="172"/>
      <c r="BG50" s="64"/>
      <c r="BH50" s="69">
        <f>BH49</f>
      </c>
      <c r="BI50" s="169"/>
      <c r="BJ50" s="170"/>
      <c r="BK50" s="171"/>
      <c r="BL50" s="69">
        <f>BL49</f>
      </c>
      <c r="BM50" s="34"/>
      <c r="BN50" s="57">
        <v>30</v>
      </c>
      <c r="BO50" s="54">
        <v>3</v>
      </c>
      <c r="BP50" s="38"/>
      <c r="BQ50" s="39">
        <f>BQ49</f>
      </c>
      <c r="BR50" s="38">
        <f>IFERROR(BQ50*100/CP50,"N/A")</f>
      </c>
      <c r="BS50" s="61">
        <v>1</v>
      </c>
      <c r="BT50" s="54">
        <v>1</v>
      </c>
      <c r="BU50" s="42"/>
      <c r="BV50" s="78"/>
      <c r="BW50" s="73">
        <f>BW49</f>
      </c>
      <c r="BX50" s="38">
        <f>CP50/BW50</f>
      </c>
      <c r="BY50" s="96">
        <f>BW50/T50</f>
      </c>
      <c r="BZ50" s="1"/>
      <c r="CA50" s="113">
        <f>CA49+10</f>
      </c>
      <c r="CB50" s="39">
        <f>CA50*BB50*(AP50*AJ50+AQ50*AK50+AR50*AL50)</f>
      </c>
      <c r="CC50" s="39">
        <f>CA50+CB50</f>
      </c>
      <c r="CD50" s="68"/>
      <c r="CE50" s="68"/>
      <c r="CF50" s="68"/>
      <c r="CG50" s="68"/>
      <c r="CH50" s="68"/>
      <c r="CI50" s="68"/>
      <c r="CJ50" s="111"/>
      <c r="CK50" s="103">
        <f>CK49</f>
      </c>
      <c r="CL50" s="111"/>
      <c r="CM50" s="38"/>
      <c r="CN50" s="105">
        <f>CK50*CC50</f>
      </c>
      <c r="CO50" s="42"/>
      <c r="CP50" s="70">
        <f>CN50*BS50*BT50</f>
      </c>
      <c r="CQ50" s="38">
        <f>CP50/T50</f>
      </c>
      <c r="CR50" s="38">
        <f>100/CP50</f>
      </c>
      <c r="CS50" s="96">
        <f>100/CQ50</f>
      </c>
      <c r="CT50" s="38">
        <f>CQ50-CQ49</f>
      </c>
      <c r="CU50" s="112">
        <f>(CQ50-CQ49)/CQ49</f>
      </c>
      <c r="CV50" s="96">
        <f>BL50/T50</f>
      </c>
      <c r="CW50" s="96">
        <f>100/CV50</f>
      </c>
      <c r="CX50" s="77"/>
      <c r="CY50" s="41"/>
      <c r="CZ50" s="77"/>
      <c r="DA50" s="41"/>
      <c r="DB50" s="77"/>
      <c r="DC50" s="1" t="str">
        <v>完成</v>
      </c>
      <c r="DD50" s="1" t="str">
        <v>完成</v>
      </c>
    </row>
    <row r="51">
      <c r="A51" s="84" t="str">
        <v>Injection King</v>
      </c>
      <c r="B51" s="162" t="str">
        <v>加注王</v>
      </c>
      <c r="C51" s="71"/>
      <c r="D51" s="71">
        <f>IF($A51="","","WPN"&amp;VLOOKUP(E51,'引用数据库'!Z:AC,4,FALSE)&amp;VLOOKUP(H51,'引用数据库'!N:P,3,FALSE)&amp;VLOOKUP(I51,'引用数据库'!S:U,3,FALSE)&amp;TEXT(F51,"00"))</f>
      </c>
      <c r="E51" s="162" t="str">
        <v>劳旅</v>
      </c>
      <c r="F51" s="67">
        <v>0</v>
      </c>
      <c r="G51" s="84" t="str">
        <v>远程</v>
      </c>
      <c r="H51" s="162" t="str">
        <v>喷射器</v>
      </c>
      <c r="I51" s="162" t="str">
        <v>热能</v>
      </c>
      <c r="J51" s="36" t="str">
        <v>手动</v>
      </c>
      <c r="K51" s="71">
        <v>2</v>
      </c>
      <c r="L51" s="42"/>
      <c r="M51" s="46">
        <f>0.4 + (T51 / (T51 + 0.2)) * 0.4</f>
      </c>
      <c r="N51" s="67">
        <v>400</v>
      </c>
      <c r="O51" s="159" t="str">
        <v>N/A</v>
      </c>
      <c r="P51" s="67">
        <v>0</v>
      </c>
      <c r="Q51" s="67">
        <v>0.05</v>
      </c>
      <c r="R51" s="67">
        <v>0</v>
      </c>
      <c r="S51" s="67">
        <v>0</v>
      </c>
      <c r="T51" s="27">
        <f>SUM(P51:S51)</f>
      </c>
      <c r="U51" s="32">
        <f>2*T51/(15*(1+(5-BD51)*0.1))</f>
      </c>
      <c r="V51" s="1"/>
      <c r="W51" s="67">
        <v>120</v>
      </c>
      <c r="X51" s="67">
        <v>120</v>
      </c>
      <c r="Y51" s="165">
        <v>0</v>
      </c>
      <c r="Z51" s="165">
        <v>0</v>
      </c>
      <c r="AA51" s="166"/>
      <c r="AB51" s="166">
        <v>0</v>
      </c>
      <c r="AC51" s="166">
        <v>1</v>
      </c>
      <c r="AD51" s="28">
        <f>(W51+AB51)*AC51</f>
      </c>
      <c r="AE51" s="28">
        <f>(X51+AB51)*AC51</f>
      </c>
      <c r="AF51" s="1"/>
      <c r="AG51" s="67"/>
      <c r="AH51" s="67"/>
      <c r="AI51" s="1"/>
      <c r="AJ51" s="163">
        <v>0</v>
      </c>
      <c r="AK51" s="33">
        <v>0.2</v>
      </c>
      <c r="AL51" s="163">
        <v>0.84</v>
      </c>
      <c r="AM51" s="32">
        <f>IFS(AJ51 &gt; 1.25, "S", AJ51 &gt; 1, "A", AJ51 &gt; 0.75, "B", AJ51 &gt; 0.5, "C", AJ51 &gt; 0.25, "D", AJ51 &gt; 0, "E", TRUE, "-")</f>
      </c>
      <c r="AN51" s="32">
        <f>IFS(AK51 &gt; 1.25, "S", AK51 &gt; 1, "A", AK51 &gt; 0.75, "B", AK51 &gt; 0.5, "C", AK51 &gt; 0.25, "D", AK51 &gt; 0, "E", TRUE, "-")</f>
      </c>
      <c r="AO51" s="32">
        <f>IFS(AL51 &gt; 1.25, "S", AL51 &gt; 1, "A", AL51 &gt; 0.75, "B", AL51 &gt; 0.5, "C", AL51 &gt; 0.25, "D", AL51 &gt; 0, "E", TRUE, "-")</f>
      </c>
      <c r="AP51" s="32">
        <v>10</v>
      </c>
      <c r="AQ51" s="32">
        <v>10</v>
      </c>
      <c r="AR51" s="32">
        <v>10</v>
      </c>
      <c r="AS51" s="29"/>
      <c r="AT51" s="29"/>
      <c r="AU51" s="32"/>
      <c r="AV51" s="32" t="str">
        <v>='武器列表'!CC39'武器列表'!U51</v>
      </c>
      <c r="AW51" s="33">
        <f>MAX(AJ51:AL51)</f>
      </c>
      <c r="AX51" s="37">
        <f>IF(AW51=0, "", AW51 / ((1 + 0.1*N(F51))))</f>
      </c>
      <c r="AY51" s="32">
        <f>IF(SUM(AJ51:AL51)=0, 0,     (1 + F51 * 0.1) * (1 + ((SUM(AJ51:AL51) - MAX(AJ51:AL51)) / (2 * MAX(AJ51:AL51))) * (1/0.75 - 1)))</f>
      </c>
      <c r="AZ51" s="33">
        <f>AJ51+AK51+AL51</f>
      </c>
      <c r="BA51" s="37">
        <f>IF(AZ51=0, "", AZ51 / ((1 + 0.1*N(F51))/0.75))</f>
      </c>
      <c r="BB51" s="32">
        <v>0.1</v>
      </c>
      <c r="BC51" s="1"/>
      <c r="BD51" s="67">
        <v>0</v>
      </c>
      <c r="BE51" s="67">
        <v>0</v>
      </c>
      <c r="BF51" s="43">
        <v>1</v>
      </c>
      <c r="BG51" s="32">
        <f>T51*20*(16 * BF51) / (15 + 20 * BF51 - 3 * POWER(BF51, 2))/BT51/BS51</f>
      </c>
      <c r="BH51" s="33">
        <f>BG51</f>
      </c>
      <c r="BI51" s="169"/>
      <c r="BJ51" s="47">
        <v>4</v>
      </c>
      <c r="BK51" s="30">
        <f>T51*33*(16 * BJ51) / (15 + 20 * BJ51 - 3 * POWER(BJ51, 2))/BT51</f>
      </c>
      <c r="BL51" s="33">
        <f>BK51</f>
      </c>
      <c r="BM51" s="34"/>
      <c r="BN51" s="67">
        <v>100</v>
      </c>
      <c r="BO51" s="67">
        <v>3</v>
      </c>
      <c r="BP51" s="38">
        <f>ROUND(CP51/10,2)</f>
      </c>
      <c r="BQ51" s="32">
        <v>0.1</v>
      </c>
      <c r="BR51" s="32">
        <f>IFERROR(BQ51*100/CP51,"N/A")</f>
      </c>
      <c r="BS51" s="67">
        <v>1</v>
      </c>
      <c r="BT51" s="67">
        <v>1</v>
      </c>
      <c r="BU51" s="42"/>
      <c r="BV51" s="44">
        <f>CP51/1.5</f>
      </c>
      <c r="BW51" s="44">
        <f>ROUND(BV51)</f>
      </c>
      <c r="BX51" s="32">
        <f>CP51/BW51</f>
      </c>
      <c r="BY51" s="35">
        <f>BW51/T51</f>
      </c>
      <c r="BZ51" s="1"/>
      <c r="CA51" s="31">
        <v>10</v>
      </c>
      <c r="CB51" s="32">
        <f>CA51*BB51*(AP51*AJ51+AQ51*AK51+AR51*AL51)</f>
      </c>
      <c r="CC51" s="32">
        <f>CA51+CB51</f>
      </c>
      <c r="CD51" s="32">
        <f>T51 * 2 / BS51 / BT51 * (0.9 + 0.2 * IF(G51="近战", EXP(-64 * (T51 - 0.75)^2), EXP(-400 * (T51 - 0.15)^2)))</f>
      </c>
      <c r="CE51" s="32">
        <f>0.9 + 0.2 / (1 + (N51/600)^1)</f>
      </c>
      <c r="CF51" s="32">
        <f>LET(  k, K51,  be, BS51,  bf, BT51,  m, N51,  n, O51,  v, X51,  vEff, IF(ISNUMBER(v), v, 0),  angle,    IF(      ISNUMBER(n),        IF(n&gt;0, n,           IF(ISNUMBER(v),              IF(v&gt;0, v, 0),              0           )        ),      IF(ISNUMBER(v),         IF(v&gt;0, v, 0),         0      )    ),  T,    IF(k=1,       be * bf * 20 / MAX(vEff, 1),    IF(k=2,       (m/150)^2 * (angle/120),    IF(k=3,       be * (MIN(bf, 99)/99) * (m/1000),       be * bf * (m/1000) * (n/200)^2    ))),  b, 0.8,  c, 1.2,  r, (c-1)/(1-b),  k_s, 1,  b + (c-b) / (1 + r * EXP(-k_s*(1-T))))</f>
      </c>
      <c r="CG51" s="32">
        <f>IF(T51&lt;=0,1,   (0.9 + 0.2 / (1 + EXP(-0.8 * (5 - BD51)))) * (0.9 + 0.2 / (1 + EXP(-1 * (3.5 - BE51)))) * (0.9 + 0.2 / (1 + EXP(-0.6 * (20 - BS51*BH51/T51)))))</f>
      </c>
      <c r="CH51" s="32">
        <f>IF(T51&lt;=0, 1, 0.9 + 0.2 / (1 + EXP(0.1 * (BL51*BS51*BT51/T51 - 33))))</f>
      </c>
      <c r="CI51" s="32">
        <f>LET(    x_val, W51,    bq_val, BS51,    Check_Fail, OR(NOT(ISNUMBER(x_val)), bq_val &lt;= 1),        IF(Check_Fail, 1,        LET(            Ratio, x_val / bq_val,                        calc_A, 2.2 / (1 + EXP(-0.276 * (Ratio - 0.66))),            calc_B, 2.2 / (1 + EXP(-0.0138 * (x_val - 13.2))),                        calc_A + calc_B        )    ))</f>
      </c>
      <c r="CJ51" s="33">
        <f>CD51*CE51*CF51*CG51*CH51*CI51</f>
      </c>
      <c r="CK51" s="33">
        <f>CJ51</f>
      </c>
      <c r="CL51" s="32">
        <f>T51 * 2 / BS51 / BT51</f>
      </c>
      <c r="CM51" s="37">
        <f>CK51/CL51</f>
      </c>
      <c r="CN51" s="32">
        <f>CK51*CC51</f>
      </c>
      <c r="CO51" s="42"/>
      <c r="CP51" s="48">
        <f>CN51*BS51*BT51</f>
      </c>
      <c r="CQ51" s="32">
        <f>CP51/T51</f>
      </c>
      <c r="CR51" s="32">
        <f>100/CP51</f>
      </c>
      <c r="CS51" s="35">
        <f>100/CQ51</f>
      </c>
      <c r="CT51" s="32"/>
      <c r="CU51" s="32"/>
      <c r="CV51" s="35">
        <f>BL51/T51</f>
      </c>
      <c r="CW51" s="35">
        <f>100/CV51</f>
      </c>
      <c r="CX51" s="77"/>
      <c r="CY51" s="41" t="str">
        <v>管线散热液加注设备，
几乎可以适配任何类型的高压流体喷注需求。
得益于其令人担忧的稳定性，
似乎在街头混战中也颇有威慑力。</v>
      </c>
      <c r="CZ51" s="77"/>
      <c r="DA51" s="41">
        <f>TEXTJOIN("、", TRUE, FILTER('武器技能'!B:B, '武器技能'!E:E = H51))</f>
      </c>
      <c r="DB51" s="77"/>
      <c r="DC51" s="27" t="str">
        <v>完成</v>
      </c>
      <c r="DD51" s="27" t="str">
        <v>完成</v>
      </c>
    </row>
    <row r="52">
      <c r="A52" s="84" t="str">
        <v>Injection King</v>
      </c>
      <c r="B52" s="173" t="str">
        <v>加注王</v>
      </c>
      <c r="C52" s="90"/>
      <c r="D52" s="90">
        <f>IF($A52="","","WPN"&amp;VLOOKUP(E52,'引用数据库'!Z:AC,4,FALSE)&amp;VLOOKUP(H52,'引用数据库'!N:P,3,FALSE)&amp;VLOOKUP(I52,'引用数据库'!S:U,3,FALSE)&amp;TEXT(F52,"00"))</f>
      </c>
      <c r="E52" s="173" t="str">
        <v>劳旅</v>
      </c>
      <c r="F52" s="159">
        <v>1</v>
      </c>
      <c r="G52" s="90">
        <f>G51</f>
      </c>
      <c r="H52" s="90">
        <f>H51</f>
      </c>
      <c r="I52" s="90">
        <f>I51</f>
      </c>
      <c r="J52" s="90" t="str">
        <v>手动</v>
      </c>
      <c r="K52" s="71">
        <f>K51</f>
      </c>
      <c r="L52" s="42"/>
      <c r="M52" s="98">
        <f>M51</f>
      </c>
      <c r="N52" s="159">
        <f>N51</f>
      </c>
      <c r="O52" s="159" t="str">
        <v>N/A</v>
      </c>
      <c r="P52" s="159">
        <v>0</v>
      </c>
      <c r="Q52" s="159">
        <f>Q51</f>
      </c>
      <c r="R52" s="159">
        <f>R51</f>
      </c>
      <c r="S52" s="159">
        <v>0</v>
      </c>
      <c r="T52" s="91">
        <f>SUM(P52:S52)</f>
      </c>
      <c r="U52" s="88">
        <f>2*T52/(15*(1+(5-BD52)*0.1))</f>
      </c>
      <c r="V52" s="1"/>
      <c r="W52" s="159">
        <v>120</v>
      </c>
      <c r="X52" s="159">
        <v>120</v>
      </c>
      <c r="Y52" s="176">
        <v>0</v>
      </c>
      <c r="Z52" s="176">
        <v>0</v>
      </c>
      <c r="AA52" s="175"/>
      <c r="AB52" s="175">
        <v>0</v>
      </c>
      <c r="AC52" s="175">
        <v>1</v>
      </c>
      <c r="AD52" s="95">
        <f>(W52+AB52)*AC52</f>
      </c>
      <c r="AE52" s="95">
        <f>(X52+AB52)*AC52</f>
      </c>
      <c r="AF52" s="1"/>
      <c r="AG52" s="159"/>
      <c r="AH52" s="159"/>
      <c r="AI52" s="1"/>
      <c r="AJ52" s="174">
        <f>AJ51</f>
      </c>
      <c r="AK52" s="87">
        <f>AK51</f>
      </c>
      <c r="AL52" s="174">
        <f>AL51+0.1</f>
      </c>
      <c r="AM52" s="88">
        <f>IFS(AJ52 &gt; 1.25, "S", AJ52 &gt; 1, "A", AJ52 &gt; 0.75, "B", AJ52 &gt; 0.5, "C", AJ52 &gt; 0.25, "D", AJ52 &gt; 0, "E", TRUE, "-")</f>
      </c>
      <c r="AN52" s="88">
        <f>IFS(AK52 &gt; 1.25, "S", AK52 &gt; 1, "A", AK52 &gt; 0.75, "B", AK52 &gt; 0.5, "C", AK52 &gt; 0.25, "D", AK52 &gt; 0, "E", TRUE, "-")</f>
      </c>
      <c r="AO52" s="88">
        <f>IFS(AL52 &gt; 1.25, "S", AL52 &gt; 1, "A", AL52 &gt; 0.75, "B", AL52 &gt; 0.5, "C", AL52 &gt; 0.25, "D", AL52 &gt; 0, "E", TRUE, "-")</f>
      </c>
      <c r="AP52" s="88">
        <v>10</v>
      </c>
      <c r="AQ52" s="88">
        <v>10</v>
      </c>
      <c r="AR52" s="88">
        <v>10</v>
      </c>
      <c r="AS52" s="115"/>
      <c r="AT52" s="115"/>
      <c r="AU52" s="88"/>
      <c r="AV52" s="88">
        <f>IF(SUM(AJ52:AL52)=0, 0, (1 + F52 * 0.1) * (0.75 + 0.25 * MAX(0, MIN(1, IF(MAX(AJ52:AL52)=0, 0, (3*MAX(AJ52:AL52)-SUM(AJ52:AL52)) / (2*MAX(AJ52:AL52)))))))</f>
      </c>
      <c r="AW52" s="87">
        <f>MAX(AJ52:AL52)</f>
      </c>
      <c r="AX52" s="92">
        <f>IF(AW52=0, "", AW52 / ((1 + 0.1*N(F52))))</f>
      </c>
      <c r="AY52" s="88">
        <f>IF(SUM(AJ52:AL52)=0, 0,     (1 + F52 * 0.1) * (1 + ((SUM(AJ52:AL52) - MAX(AJ52:AL52)) / (2 * MAX(AJ52:AL52))) * (1/0.75 - 1)))</f>
      </c>
      <c r="AZ52" s="87">
        <f>AJ52+AK52+AL52</f>
      </c>
      <c r="BA52" s="92">
        <f>IF(AZ52=0, "", AZ52 / ((1 + 0.1*N(F52))/0.75))</f>
      </c>
      <c r="BB52" s="88">
        <v>0.1</v>
      </c>
      <c r="BC52" s="1"/>
      <c r="BD52" s="91">
        <f>BD51</f>
      </c>
      <c r="BE52" s="91">
        <f>BE51</f>
      </c>
      <c r="BF52" s="93"/>
      <c r="BG52" s="88"/>
      <c r="BH52" s="87">
        <f>BH51</f>
      </c>
      <c r="BI52" s="45"/>
      <c r="BJ52" s="99"/>
      <c r="BK52" s="101"/>
      <c r="BL52" s="101">
        <f>BL51</f>
      </c>
      <c r="BM52" s="34"/>
      <c r="BN52" s="159">
        <f>BN51</f>
      </c>
      <c r="BO52" s="159">
        <v>3</v>
      </c>
      <c r="BP52" s="88"/>
      <c r="BQ52" s="39">
        <f>BQ51</f>
      </c>
      <c r="BR52" s="88">
        <f>IFERROR(BQ52*100/CP52,"N/A")</f>
      </c>
      <c r="BS52" s="159">
        <v>1</v>
      </c>
      <c r="BT52" s="159">
        <v>1</v>
      </c>
      <c r="BU52" s="42"/>
      <c r="BV52" s="114"/>
      <c r="BW52" s="94">
        <f>BW51</f>
      </c>
      <c r="BX52" s="88">
        <f>CP52/BW52</f>
      </c>
      <c r="BY52" s="89">
        <f>BW52/T52</f>
      </c>
      <c r="BZ52" s="1"/>
      <c r="CA52" s="100">
        <f>CA51+20</f>
      </c>
      <c r="CB52" s="88">
        <f>CA52*BB52*(AP52*AJ52+AQ52*AK52+AR52*AL52)</f>
      </c>
      <c r="CC52" s="88">
        <f>CA52+CB52</f>
      </c>
      <c r="CD52" s="88"/>
      <c r="CE52" s="88"/>
      <c r="CF52" s="88"/>
      <c r="CG52" s="88"/>
      <c r="CH52" s="88"/>
      <c r="CI52" s="88"/>
      <c r="CJ52" s="87"/>
      <c r="CK52" s="87">
        <f>CK51</f>
      </c>
      <c r="CL52" s="87"/>
      <c r="CM52" s="88"/>
      <c r="CN52" s="88">
        <f>CK52*CC52</f>
      </c>
      <c r="CO52" s="42"/>
      <c r="CP52" s="97">
        <f>CN52*BS52*BT52</f>
      </c>
      <c r="CQ52" s="88">
        <f>CP52/T52</f>
      </c>
      <c r="CR52" s="88">
        <f>100/CP52</f>
      </c>
      <c r="CS52" s="89">
        <f>100/CQ52</f>
      </c>
      <c r="CT52" s="88">
        <f>CQ52-CQ51</f>
      </c>
      <c r="CU52" s="98">
        <f>(CQ52-CQ51)/CQ51</f>
      </c>
      <c r="CV52" s="89">
        <f>BL52/T52</f>
      </c>
      <c r="CW52" s="89">
        <f>100/CV52</f>
      </c>
      <c r="CX52" s="77"/>
      <c r="CY52" s="41"/>
      <c r="CZ52" s="77"/>
      <c r="DA52" s="41"/>
      <c r="DB52" s="77"/>
      <c r="DC52" s="91" t="str">
        <v>完成</v>
      </c>
      <c r="DD52" s="91" t="str">
        <v>完成</v>
      </c>
    </row>
    <row r="53">
      <c r="A53" s="84" t="str">
        <v>Injection King</v>
      </c>
      <c r="B53" s="53" t="str">
        <v>加注王</v>
      </c>
      <c r="C53" s="71"/>
      <c r="D53" s="71">
        <f>IF($A53="","","WPN"&amp;VLOOKUP(E53,'引用数据库'!Z:AC,4,FALSE)&amp;VLOOKUP(H53,'引用数据库'!N:P,3,FALSE)&amp;VLOOKUP(I53,'引用数据库'!S:U,3,FALSE)&amp;TEXT(F53,"00"))</f>
      </c>
      <c r="E53" s="53" t="str">
        <v>劳旅</v>
      </c>
      <c r="F53" s="57">
        <v>2</v>
      </c>
      <c r="G53" s="71">
        <f>G52</f>
      </c>
      <c r="H53" s="75">
        <f>H52</f>
      </c>
      <c r="I53" s="75">
        <f>I52</f>
      </c>
      <c r="J53" s="71" t="str">
        <v>手动</v>
      </c>
      <c r="K53" s="71">
        <f>K52</f>
      </c>
      <c r="L53" s="42"/>
      <c r="M53" s="65">
        <f>M52</f>
      </c>
      <c r="N53" s="54">
        <f>N52</f>
      </c>
      <c r="O53" s="54" t="str">
        <v>N/A</v>
      </c>
      <c r="P53" s="54">
        <v>0</v>
      </c>
      <c r="Q53" s="54">
        <f>Q52</f>
      </c>
      <c r="R53" s="54">
        <f>R52</f>
      </c>
      <c r="S53" s="54">
        <v>0</v>
      </c>
      <c r="T53" s="72">
        <f>SUM(P53:S53)</f>
      </c>
      <c r="U53" s="39">
        <f>2*T53/(15*(1+(5-BD53)*0.1))</f>
      </c>
      <c r="V53" s="1"/>
      <c r="W53" s="54">
        <v>120</v>
      </c>
      <c r="X53" s="54">
        <v>120</v>
      </c>
      <c r="Y53" s="76">
        <v>0</v>
      </c>
      <c r="Z53" s="76">
        <v>0</v>
      </c>
      <c r="AA53" s="66"/>
      <c r="AB53" s="66">
        <v>0</v>
      </c>
      <c r="AC53" s="66">
        <v>1</v>
      </c>
      <c r="AD53" s="60">
        <f>(W53+AB53)*AC53</f>
      </c>
      <c r="AE53" s="60">
        <f>(X53+AB53)*AC53</f>
      </c>
      <c r="AF53" s="1"/>
      <c r="AG53" s="54"/>
      <c r="AH53" s="54"/>
      <c r="AI53" s="1"/>
      <c r="AJ53" s="80">
        <f>AJ52</f>
      </c>
      <c r="AK53" s="108">
        <f>AK52</f>
      </c>
      <c r="AL53" s="80">
        <f>AL52+0.1</f>
      </c>
      <c r="AM53" s="105">
        <f>IFS(AJ53 &gt; 1.25, "S", AJ53 &gt; 1, "A", AJ53 &gt; 0.75, "B", AJ53 &gt; 0.5, "C", AJ53 &gt; 0.25, "D", AJ53 &gt; 0, "E", TRUE, "-")</f>
      </c>
      <c r="AN53" s="105">
        <f>IFS(AK53 &gt; 1.25, "S", AK53 &gt; 1, "A", AK53 &gt; 0.75, "B", AK53 &gt; 0.5, "C", AK53 &gt; 0.25, "D", AK53 &gt; 0, "E", TRUE, "-")</f>
      </c>
      <c r="AO53" s="105">
        <f>IFS(AL53 &gt; 1.25, "S", AL53 &gt; 1, "A", AL53 &gt; 0.75, "B", AL53 &gt; 0.5, "C", AL53 &gt; 0.25, "D", AL53 &gt; 0, "E", TRUE, "-")</f>
      </c>
      <c r="AP53" s="68">
        <v>10</v>
      </c>
      <c r="AQ53" s="68">
        <v>10</v>
      </c>
      <c r="AR53" s="68">
        <v>10</v>
      </c>
      <c r="AS53" s="55"/>
      <c r="AT53" s="55"/>
      <c r="AU53" s="105"/>
      <c r="AV53" s="68">
        <f>IF(SUM(AJ53:AL53)=0, 0, (1 + F53 * 0.1) * (0.75 + 0.25 * MAX(0, MIN(1, IF(MAX(AJ53:AL53)=0, 0, (3*MAX(AJ53:AL53)-SUM(AJ53:AL53)) / (2*MAX(AJ53:AL53)))))))</f>
      </c>
      <c r="AW53" s="111">
        <f>MAX(AJ53:AL53)</f>
      </c>
      <c r="AX53" s="109">
        <f>IF(AW53=0, "", AW53 / ((1 + 0.1*N(F53))))</f>
      </c>
      <c r="AY53" s="68">
        <f>IF(SUM(AJ53:AL53)=0, 0,     (1 + F53 * 0.1) * (1 + ((SUM(AJ53:AL53) - MAX(AJ53:AL53)) / (2 * MAX(AJ53:AL53))) * (1/0.75 - 1)))</f>
      </c>
      <c r="AZ53" s="111">
        <f>AJ53+AK53+AL53</f>
      </c>
      <c r="BA53" s="109">
        <f>IF(AZ53=0, "", AZ53 / ((1 + 0.1*N(F53))/0.75))</f>
      </c>
      <c r="BB53" s="39">
        <v>0.1</v>
      </c>
      <c r="BC53" s="1"/>
      <c r="BD53" s="72">
        <f>BD52</f>
      </c>
      <c r="BE53" s="72">
        <f>BE52</f>
      </c>
      <c r="BF53" s="172"/>
      <c r="BG53" s="64"/>
      <c r="BH53" s="69">
        <f>BH52</f>
      </c>
      <c r="BI53" s="169"/>
      <c r="BJ53" s="170"/>
      <c r="BK53" s="171"/>
      <c r="BL53" s="69">
        <f>BL52</f>
      </c>
      <c r="BM53" s="34"/>
      <c r="BN53" s="57">
        <f>BN52</f>
      </c>
      <c r="BO53" s="54">
        <v>3</v>
      </c>
      <c r="BP53" s="38"/>
      <c r="BQ53" s="39">
        <f>BQ52</f>
      </c>
      <c r="BR53" s="38">
        <f>IFERROR(BQ53*100/CP53,"N/A")</f>
      </c>
      <c r="BS53" s="61">
        <v>1</v>
      </c>
      <c r="BT53" s="54">
        <v>1</v>
      </c>
      <c r="BU53" s="42"/>
      <c r="BV53" s="78"/>
      <c r="BW53" s="73">
        <f>BW52</f>
      </c>
      <c r="BX53" s="38">
        <f>CP53/BW53</f>
      </c>
      <c r="BY53" s="96">
        <f>BW53/T53</f>
      </c>
      <c r="BZ53" s="1"/>
      <c r="CA53" s="113">
        <f>CA52+10</f>
      </c>
      <c r="CB53" s="39">
        <f>CA53*BB53*(AP53*AJ53+AQ53*AK53+AR53*AL53)</f>
      </c>
      <c r="CC53" s="39">
        <f>CA53+CB53</f>
      </c>
      <c r="CD53" s="68"/>
      <c r="CE53" s="68"/>
      <c r="CF53" s="68"/>
      <c r="CG53" s="68"/>
      <c r="CH53" s="68"/>
      <c r="CI53" s="68"/>
      <c r="CJ53" s="111"/>
      <c r="CK53" s="103">
        <f>CK52</f>
      </c>
      <c r="CL53" s="111"/>
      <c r="CM53" s="38"/>
      <c r="CN53" s="105">
        <f>CK53*CC53</f>
      </c>
      <c r="CO53" s="42"/>
      <c r="CP53" s="70">
        <f>CN53*BS53*BT53</f>
      </c>
      <c r="CQ53" s="38">
        <f>CP53/T53</f>
      </c>
      <c r="CR53" s="38">
        <f>100/CP53</f>
      </c>
      <c r="CS53" s="96">
        <f>100/CQ53</f>
      </c>
      <c r="CT53" s="38">
        <f>CQ53-CQ52</f>
      </c>
      <c r="CU53" s="112">
        <f>(CQ53-CQ52)/CQ52</f>
      </c>
      <c r="CV53" s="96">
        <f>BL53/T53</f>
      </c>
      <c r="CW53" s="96">
        <f>100/CV53</f>
      </c>
      <c r="CX53" s="77"/>
      <c r="CY53" s="41"/>
      <c r="CZ53" s="77"/>
      <c r="DA53" s="41"/>
      <c r="DB53" s="77"/>
      <c r="DC53" s="1" t="str">
        <v>完成</v>
      </c>
      <c r="DD53" s="1" t="str">
        <v>完成</v>
      </c>
    </row>
    <row r="54">
      <c r="A54" s="84" t="str">
        <v>Injection King</v>
      </c>
      <c r="B54" s="53" t="str">
        <v>加注王</v>
      </c>
      <c r="C54" s="71"/>
      <c r="D54" s="71">
        <f>IF($A54="","","WPN"&amp;VLOOKUP(E54,'引用数据库'!Z:AC,4,FALSE)&amp;VLOOKUP(H54,'引用数据库'!N:P,3,FALSE)&amp;VLOOKUP(I54,'引用数据库'!S:U,3,FALSE)&amp;TEXT(F54,"00"))</f>
      </c>
      <c r="E54" s="53" t="str">
        <v>劳旅</v>
      </c>
      <c r="F54" s="57">
        <v>3</v>
      </c>
      <c r="G54" s="71">
        <f>G53</f>
      </c>
      <c r="H54" s="75">
        <f>H53</f>
      </c>
      <c r="I54" s="75">
        <f>I53</f>
      </c>
      <c r="J54" s="71" t="str">
        <v>手动</v>
      </c>
      <c r="K54" s="71">
        <f>K53</f>
      </c>
      <c r="L54" s="42"/>
      <c r="M54" s="65">
        <f>M53</f>
      </c>
      <c r="N54" s="54">
        <f>N53</f>
      </c>
      <c r="O54" s="54" t="str">
        <v>N/A</v>
      </c>
      <c r="P54" s="54">
        <v>0</v>
      </c>
      <c r="Q54" s="54">
        <f>Q53</f>
      </c>
      <c r="R54" s="54">
        <f>R53</f>
      </c>
      <c r="S54" s="54">
        <v>0</v>
      </c>
      <c r="T54" s="72">
        <f>SUM(P54:S54)</f>
      </c>
      <c r="U54" s="39">
        <f>2*T54/(15*(1+(5-BD54)*0.1))</f>
      </c>
      <c r="V54" s="1"/>
      <c r="W54" s="54">
        <v>120</v>
      </c>
      <c r="X54" s="54">
        <v>120</v>
      </c>
      <c r="Y54" s="76">
        <v>0</v>
      </c>
      <c r="Z54" s="76">
        <v>0</v>
      </c>
      <c r="AA54" s="66"/>
      <c r="AB54" s="66">
        <v>0</v>
      </c>
      <c r="AC54" s="66">
        <v>1</v>
      </c>
      <c r="AD54" s="60">
        <f>(W54+AB54)*AC54</f>
      </c>
      <c r="AE54" s="60">
        <f>(X54+AB54)*AC54</f>
      </c>
      <c r="AF54" s="1"/>
      <c r="AG54" s="54"/>
      <c r="AH54" s="54"/>
      <c r="AI54" s="1"/>
      <c r="AJ54" s="80">
        <f>AJ53</f>
      </c>
      <c r="AK54" s="108">
        <f>AK53</f>
      </c>
      <c r="AL54" s="80">
        <f>AL53+0.1</f>
      </c>
      <c r="AM54" s="105">
        <f>IFS(AJ54 &gt; 1.25, "S", AJ54 &gt; 1, "A", AJ54 &gt; 0.75, "B", AJ54 &gt; 0.5, "C", AJ54 &gt; 0.25, "D", AJ54 &gt; 0, "E", TRUE, "-")</f>
      </c>
      <c r="AN54" s="105">
        <f>IFS(AK54 &gt; 1.25, "S", AK54 &gt; 1, "A", AK54 &gt; 0.75, "B", AK54 &gt; 0.5, "C", AK54 &gt; 0.25, "D", AK54 &gt; 0, "E", TRUE, "-")</f>
      </c>
      <c r="AO54" s="105">
        <f>IFS(AL54 &gt; 1.25, "S", AL54 &gt; 1, "A", AL54 &gt; 0.75, "B", AL54 &gt; 0.5, "C", AL54 &gt; 0.25, "D", AL54 &gt; 0, "E", TRUE, "-")</f>
      </c>
      <c r="AP54" s="68">
        <v>10</v>
      </c>
      <c r="AQ54" s="68">
        <v>10</v>
      </c>
      <c r="AR54" s="68">
        <v>10</v>
      </c>
      <c r="AS54" s="55"/>
      <c r="AT54" s="55"/>
      <c r="AU54" s="105"/>
      <c r="AV54" s="68">
        <f>IF(SUM(AJ54:AL54)=0, 0, (1 + F54 * 0.1) * (0.75 + 0.25 * MAX(0, MIN(1, IF(MAX(AJ54:AL54)=0, 0, (3*MAX(AJ54:AL54)-SUM(AJ54:AL54)) / (2*MAX(AJ54:AL54)))))))</f>
      </c>
      <c r="AW54" s="111">
        <f>MAX(AJ54:AL54)</f>
      </c>
      <c r="AX54" s="109">
        <f>IF(AW54=0, "", AW54 / ((1 + 0.1*N(F54))))</f>
      </c>
      <c r="AY54" s="68">
        <f>IF(SUM(AJ54:AL54)=0, 0,     (1 + F54 * 0.1) * (1 + ((SUM(AJ54:AL54) - MAX(AJ54:AL54)) / (2 * MAX(AJ54:AL54))) * (1/0.75 - 1)))</f>
      </c>
      <c r="AZ54" s="111">
        <f>AJ54+AK54+AL54</f>
      </c>
      <c r="BA54" s="109">
        <f>IF(AZ54=0, "", AZ54 / ((1 + 0.1*N(F54))/0.75))</f>
      </c>
      <c r="BB54" s="39">
        <v>0.1</v>
      </c>
      <c r="BC54" s="1"/>
      <c r="BD54" s="72">
        <f>BD53</f>
      </c>
      <c r="BE54" s="72">
        <f>BE53</f>
      </c>
      <c r="BF54" s="172"/>
      <c r="BG54" s="64"/>
      <c r="BH54" s="69">
        <f>BH53</f>
      </c>
      <c r="BI54" s="169"/>
      <c r="BJ54" s="170"/>
      <c r="BK54" s="171"/>
      <c r="BL54" s="69">
        <f>BL53</f>
      </c>
      <c r="BM54" s="34"/>
      <c r="BN54" s="57">
        <f>BN53</f>
      </c>
      <c r="BO54" s="54">
        <v>3</v>
      </c>
      <c r="BP54" s="38"/>
      <c r="BQ54" s="39">
        <f>BQ53</f>
      </c>
      <c r="BR54" s="38">
        <f>IFERROR(BQ54*100/CP54,"N/A")</f>
      </c>
      <c r="BS54" s="61">
        <v>1</v>
      </c>
      <c r="BT54" s="54">
        <v>1</v>
      </c>
      <c r="BU54" s="42"/>
      <c r="BV54" s="78"/>
      <c r="BW54" s="73">
        <f>BW53</f>
      </c>
      <c r="BX54" s="38">
        <f>CP54/BW54</f>
      </c>
      <c r="BY54" s="96">
        <f>BW54/T54</f>
      </c>
      <c r="BZ54" s="1"/>
      <c r="CA54" s="113">
        <f>CA53+10</f>
      </c>
      <c r="CB54" s="39">
        <f>CA54*BB54*(AP54*AJ54+AQ54*AK54+AR54*AL54)</f>
      </c>
      <c r="CC54" s="39">
        <f>CA54+CB54</f>
      </c>
      <c r="CD54" s="68"/>
      <c r="CE54" s="68"/>
      <c r="CF54" s="68"/>
      <c r="CG54" s="68"/>
      <c r="CH54" s="68"/>
      <c r="CI54" s="68"/>
      <c r="CJ54" s="111"/>
      <c r="CK54" s="103">
        <f>CK53</f>
      </c>
      <c r="CL54" s="111"/>
      <c r="CM54" s="38"/>
      <c r="CN54" s="105">
        <f>CK54*CC54</f>
      </c>
      <c r="CO54" s="42"/>
      <c r="CP54" s="70">
        <f>CN54*BS54*BT54</f>
      </c>
      <c r="CQ54" s="38">
        <f>CP54/T54</f>
      </c>
      <c r="CR54" s="38">
        <f>100/CP54</f>
      </c>
      <c r="CS54" s="96">
        <f>100/CQ54</f>
      </c>
      <c r="CT54" s="38">
        <f>CQ54-CQ53</f>
      </c>
      <c r="CU54" s="112">
        <f>(CQ54-CQ53)/CQ53</f>
      </c>
      <c r="CV54" s="96">
        <f>BL54/T54</f>
      </c>
      <c r="CW54" s="96">
        <f>100/CV54</f>
      </c>
      <c r="CX54" s="77"/>
      <c r="CY54" s="41"/>
      <c r="CZ54" s="77"/>
      <c r="DA54" s="41"/>
      <c r="DB54" s="77"/>
      <c r="DC54" s="1" t="str">
        <v>完成</v>
      </c>
      <c r="DD54" s="1" t="str">
        <v>完成</v>
      </c>
    </row>
    <row r="55">
      <c r="A55" s="84" t="str">
        <v>Injection King</v>
      </c>
      <c r="B55" s="53" t="str">
        <v>加注王</v>
      </c>
      <c r="C55" s="71"/>
      <c r="D55" s="71">
        <f>IF($A55="","","WPN"&amp;VLOOKUP(E55,'引用数据库'!Z:AC,4,FALSE)&amp;VLOOKUP(H55,'引用数据库'!N:P,3,FALSE)&amp;VLOOKUP(I55,'引用数据库'!S:U,3,FALSE)&amp;TEXT(F55,"00"))</f>
      </c>
      <c r="E55" s="53" t="str">
        <v>劳旅</v>
      </c>
      <c r="F55" s="57">
        <v>4</v>
      </c>
      <c r="G55" s="71">
        <f>G54</f>
      </c>
      <c r="H55" s="75">
        <f>H54</f>
      </c>
      <c r="I55" s="75">
        <f>I54</f>
      </c>
      <c r="J55" s="71" t="str">
        <v>手动</v>
      </c>
      <c r="K55" s="71">
        <f>K54</f>
      </c>
      <c r="L55" s="42"/>
      <c r="M55" s="65">
        <f>M54</f>
      </c>
      <c r="N55" s="54">
        <f>N54</f>
      </c>
      <c r="O55" s="54" t="str">
        <v>N/A</v>
      </c>
      <c r="P55" s="54">
        <v>0</v>
      </c>
      <c r="Q55" s="54">
        <f>Q54</f>
      </c>
      <c r="R55" s="54">
        <f>R54</f>
      </c>
      <c r="S55" s="54">
        <v>0</v>
      </c>
      <c r="T55" s="72">
        <f>SUM(P55:S55)</f>
      </c>
      <c r="U55" s="39">
        <f>2*T55/(15*(1+(5-BD55)*0.1))</f>
      </c>
      <c r="V55" s="1"/>
      <c r="W55" s="54">
        <v>120</v>
      </c>
      <c r="X55" s="54">
        <v>120</v>
      </c>
      <c r="Y55" s="76">
        <v>0</v>
      </c>
      <c r="Z55" s="76">
        <v>0</v>
      </c>
      <c r="AA55" s="66"/>
      <c r="AB55" s="66">
        <v>0</v>
      </c>
      <c r="AC55" s="66">
        <v>1</v>
      </c>
      <c r="AD55" s="60">
        <f>(W55+AB55)*AC55</f>
      </c>
      <c r="AE55" s="60">
        <f>(X55+AB55)*AC55</f>
      </c>
      <c r="AF55" s="1"/>
      <c r="AG55" s="54"/>
      <c r="AH55" s="54"/>
      <c r="AI55" s="1"/>
      <c r="AJ55" s="80">
        <f>AJ54</f>
      </c>
      <c r="AK55" s="108">
        <f>AK54</f>
      </c>
      <c r="AL55" s="80">
        <f>AL54+0.1</f>
      </c>
      <c r="AM55" s="105">
        <f>IFS(AJ55 &gt; 1.25, "S", AJ55 &gt; 1, "A", AJ55 &gt; 0.75, "B", AJ55 &gt; 0.5, "C", AJ55 &gt; 0.25, "D", AJ55 &gt; 0, "E", TRUE, "-")</f>
      </c>
      <c r="AN55" s="105">
        <f>IFS(AK55 &gt; 1.25, "S", AK55 &gt; 1, "A", AK55 &gt; 0.75, "B", AK55 &gt; 0.5, "C", AK55 &gt; 0.25, "D", AK55 &gt; 0, "E", TRUE, "-")</f>
      </c>
      <c r="AO55" s="105">
        <f>IFS(AL55 &gt; 1.25, "S", AL55 &gt; 1, "A", AL55 &gt; 0.75, "B", AL55 &gt; 0.5, "C", AL55 &gt; 0.25, "D", AL55 &gt; 0, "E", TRUE, "-")</f>
      </c>
      <c r="AP55" s="68">
        <v>10</v>
      </c>
      <c r="AQ55" s="68">
        <v>10</v>
      </c>
      <c r="AR55" s="68">
        <v>10</v>
      </c>
      <c r="AS55" s="55"/>
      <c r="AT55" s="55"/>
      <c r="AU55" s="105"/>
      <c r="AV55" s="68">
        <f>IF(SUM(AJ55:AL55)=0, 0, (1 + F55 * 0.1) * (0.75 + 0.25 * MAX(0, MIN(1, IF(MAX(AJ55:AL55)=0, 0, (3*MAX(AJ55:AL55)-SUM(AJ55:AL55)) / (2*MAX(AJ55:AL55)))))))</f>
      </c>
      <c r="AW55" s="111">
        <f>MAX(AJ55:AL55)</f>
      </c>
      <c r="AX55" s="109">
        <f>IF(AW55=0, "", AW55 / ((1 + 0.1*N(F55))))</f>
      </c>
      <c r="AY55" s="68">
        <f>IF(SUM(AJ55:AL55)=0, 0,     (1 + F55 * 0.1) * (1 + ((SUM(AJ55:AL55) - MAX(AJ55:AL55)) / (2 * MAX(AJ55:AL55))) * (1/0.75 - 1)))</f>
      </c>
      <c r="AZ55" s="111">
        <f>AJ55+AK55+AL55</f>
      </c>
      <c r="BA55" s="109">
        <f>IF(AZ55=0, "", AZ55 / ((1 + 0.1*N(F55))/0.75))</f>
      </c>
      <c r="BB55" s="39">
        <v>0.1</v>
      </c>
      <c r="BC55" s="1"/>
      <c r="BD55" s="72">
        <f>BD54</f>
      </c>
      <c r="BE55" s="72">
        <f>BE54</f>
      </c>
      <c r="BF55" s="172"/>
      <c r="BG55" s="64"/>
      <c r="BH55" s="69">
        <f>BH54</f>
      </c>
      <c r="BI55" s="169"/>
      <c r="BJ55" s="170"/>
      <c r="BK55" s="171"/>
      <c r="BL55" s="69">
        <f>BL54</f>
      </c>
      <c r="BM55" s="34"/>
      <c r="BN55" s="57">
        <f>BN54</f>
      </c>
      <c r="BO55" s="54">
        <v>3</v>
      </c>
      <c r="BP55" s="38"/>
      <c r="BQ55" s="39">
        <f>BQ54</f>
      </c>
      <c r="BR55" s="38">
        <f>IFERROR(BQ55*100/CP55,"N/A")</f>
      </c>
      <c r="BS55" s="61">
        <v>1</v>
      </c>
      <c r="BT55" s="54">
        <v>1</v>
      </c>
      <c r="BU55" s="42"/>
      <c r="BV55" s="78"/>
      <c r="BW55" s="73">
        <f>BW54</f>
      </c>
      <c r="BX55" s="38">
        <f>CP55/BW55</f>
      </c>
      <c r="BY55" s="96">
        <f>BW55/T55</f>
      </c>
      <c r="BZ55" s="1"/>
      <c r="CA55" s="113">
        <f>CA54+10</f>
      </c>
      <c r="CB55" s="39">
        <f>CA55*BB55*(AP55*AJ55+AQ55*AK55+AR55*AL55)</f>
      </c>
      <c r="CC55" s="39">
        <f>CA55+CB55</f>
      </c>
      <c r="CD55" s="68"/>
      <c r="CE55" s="68"/>
      <c r="CF55" s="68"/>
      <c r="CG55" s="68"/>
      <c r="CH55" s="68"/>
      <c r="CI55" s="68"/>
      <c r="CJ55" s="111"/>
      <c r="CK55" s="103">
        <f>CK54</f>
      </c>
      <c r="CL55" s="111"/>
      <c r="CM55" s="38"/>
      <c r="CN55" s="105">
        <f>CK55*CC55</f>
      </c>
      <c r="CO55" s="42"/>
      <c r="CP55" s="70">
        <f>CN55*BS55*BT55</f>
      </c>
      <c r="CQ55" s="38">
        <f>CP55/T55</f>
      </c>
      <c r="CR55" s="38">
        <f>100/CP55</f>
      </c>
      <c r="CS55" s="96">
        <f>100/CQ55</f>
      </c>
      <c r="CT55" s="38">
        <f>CQ55-CQ54</f>
      </c>
      <c r="CU55" s="112">
        <f>(CQ55-CQ54)/CQ54</f>
      </c>
      <c r="CV55" s="96">
        <f>BL55/T55</f>
      </c>
      <c r="CW55" s="96">
        <f>100/CV55</f>
      </c>
      <c r="CX55" s="77"/>
      <c r="CY55" s="41"/>
      <c r="CZ55" s="77"/>
      <c r="DA55" s="41"/>
      <c r="DB55" s="77"/>
      <c r="DC55" s="1" t="str">
        <v>完成</v>
      </c>
      <c r="DD55" s="1" t="str">
        <v>完成</v>
      </c>
    </row>
    <row r="56">
      <c r="A56" s="84" t="str">
        <v>Injection King</v>
      </c>
      <c r="B56" s="53" t="str">
        <v>加注王</v>
      </c>
      <c r="C56" s="71"/>
      <c r="D56" s="71">
        <f>IF($A56="","","WPN"&amp;VLOOKUP(E56,'引用数据库'!Z:AC,4,FALSE)&amp;VLOOKUP(H56,'引用数据库'!N:P,3,FALSE)&amp;VLOOKUP(I56,'引用数据库'!S:U,3,FALSE)&amp;TEXT(F56,"00"))</f>
      </c>
      <c r="E56" s="53" t="str">
        <v>劳旅</v>
      </c>
      <c r="F56" s="57">
        <v>5</v>
      </c>
      <c r="G56" s="71">
        <f>G55</f>
      </c>
      <c r="H56" s="75">
        <f>H55</f>
      </c>
      <c r="I56" s="75">
        <f>I55</f>
      </c>
      <c r="J56" s="71" t="str">
        <v>手动</v>
      </c>
      <c r="K56" s="71">
        <f>K55</f>
      </c>
      <c r="L56" s="42"/>
      <c r="M56" s="65">
        <f>M55</f>
      </c>
      <c r="N56" s="54">
        <f>N55</f>
      </c>
      <c r="O56" s="54" t="str">
        <v>N/A</v>
      </c>
      <c r="P56" s="54">
        <v>0</v>
      </c>
      <c r="Q56" s="54">
        <f>Q55</f>
      </c>
      <c r="R56" s="54">
        <f>R55</f>
      </c>
      <c r="S56" s="54">
        <v>0</v>
      </c>
      <c r="T56" s="72">
        <f>SUM(P56:S56)</f>
      </c>
      <c r="U56" s="39">
        <f>2*T56/(15*(1+(5-BD56)*0.1))</f>
      </c>
      <c r="V56" s="1"/>
      <c r="W56" s="54">
        <v>120</v>
      </c>
      <c r="X56" s="54">
        <v>120</v>
      </c>
      <c r="Y56" s="76">
        <v>0</v>
      </c>
      <c r="Z56" s="76">
        <v>0</v>
      </c>
      <c r="AA56" s="66"/>
      <c r="AB56" s="66">
        <v>0</v>
      </c>
      <c r="AC56" s="66">
        <v>1</v>
      </c>
      <c r="AD56" s="60">
        <f>(W56+AB56)*AC56</f>
      </c>
      <c r="AE56" s="60">
        <f>(X56+AB56)*AC56</f>
      </c>
      <c r="AF56" s="1"/>
      <c r="AG56" s="54"/>
      <c r="AH56" s="54"/>
      <c r="AI56" s="1"/>
      <c r="AJ56" s="80">
        <f>AJ55</f>
      </c>
      <c r="AK56" s="108">
        <f>AK55</f>
      </c>
      <c r="AL56" s="80">
        <f>AL55+0.1</f>
      </c>
      <c r="AM56" s="105">
        <f>IFS(AJ56 &gt; 1.25, "S", AJ56 &gt; 1, "A", AJ56 &gt; 0.75, "B", AJ56 &gt; 0.5, "C", AJ56 &gt; 0.25, "D", AJ56 &gt; 0, "E", TRUE, "-")</f>
      </c>
      <c r="AN56" s="105">
        <f>IFS(AK56 &gt; 1.25, "S", AK56 &gt; 1, "A", AK56 &gt; 0.75, "B", AK56 &gt; 0.5, "C", AK56 &gt; 0.25, "D", AK56 &gt; 0, "E", TRUE, "-")</f>
      </c>
      <c r="AO56" s="105">
        <f>IFS(AL56 &gt; 1.25, "S", AL56 &gt; 1, "A", AL56 &gt; 0.75, "B", AL56 &gt; 0.5, "C", AL56 &gt; 0.25, "D", AL56 &gt; 0, "E", TRUE, "-")</f>
      </c>
      <c r="AP56" s="58">
        <v>10</v>
      </c>
      <c r="AQ56" s="68">
        <v>10</v>
      </c>
      <c r="AR56" s="68">
        <v>10</v>
      </c>
      <c r="AS56" s="55"/>
      <c r="AT56" s="55"/>
      <c r="AU56" s="105"/>
      <c r="AV56" s="68">
        <f>IF(SUM(AJ56:AL56)=0, 0, (1 + F56 * 0.1) * (0.75 + 0.25 * MAX(0, MIN(1, IF(MAX(AJ56:AL56)=0, 0, (3*MAX(AJ56:AL56)-SUM(AJ56:AL56)) / (2*MAX(AJ56:AL56)))))))</f>
      </c>
      <c r="AW56" s="111">
        <f>MAX(AJ56:AL56)</f>
      </c>
      <c r="AX56" s="109">
        <f>IF(AW56=0, "", AW56 / ((1 + 0.1*N(F56))))</f>
      </c>
      <c r="AY56" s="68">
        <f>IF(SUM(AJ56:AL56)=0, 0,     (1 + F56 * 0.1) * (1 + ((SUM(AJ56:AL56) - MAX(AJ56:AL56)) / (2 * MAX(AJ56:AL56))) * (1/0.75 - 1)))</f>
      </c>
      <c r="AZ56" s="111">
        <f>AJ56+AK56+AL56</f>
      </c>
      <c r="BA56" s="109">
        <f>IF(AZ56=0, "", AZ56 / ((1 + 0.1*N(F56))/0.75))</f>
      </c>
      <c r="BB56" s="39">
        <v>0.1</v>
      </c>
      <c r="BC56" s="1"/>
      <c r="BD56" s="72">
        <f>BD55</f>
      </c>
      <c r="BE56" s="72">
        <f>BE55</f>
      </c>
      <c r="BF56" s="172"/>
      <c r="BG56" s="64"/>
      <c r="BH56" s="69">
        <f>BH55</f>
      </c>
      <c r="BI56" s="169"/>
      <c r="BJ56" s="170"/>
      <c r="BK56" s="171"/>
      <c r="BL56" s="69">
        <f>BL55</f>
      </c>
      <c r="BM56" s="50"/>
      <c r="BN56" s="57">
        <f>BN55</f>
      </c>
      <c r="BO56" s="54">
        <v>3</v>
      </c>
      <c r="BP56" s="38"/>
      <c r="BQ56" s="39">
        <f>BQ55</f>
      </c>
      <c r="BR56" s="38">
        <f>IFERROR(BQ56*100/CP56,"N/A")</f>
      </c>
      <c r="BS56" s="61">
        <v>1</v>
      </c>
      <c r="BT56" s="54">
        <v>1</v>
      </c>
      <c r="BU56" s="42"/>
      <c r="BV56" s="78"/>
      <c r="BW56" s="73">
        <f>BW55</f>
      </c>
      <c r="BX56" s="38">
        <f>CP56/BW56</f>
      </c>
      <c r="BY56" s="96">
        <f>BW56/T56</f>
      </c>
      <c r="BZ56" s="1"/>
      <c r="CA56" s="113">
        <f>CA55+10</f>
      </c>
      <c r="CB56" s="39">
        <f>CA56*BB56*(AP56*AJ56+AQ56*AK56+AR56*AL56)</f>
      </c>
      <c r="CC56" s="39">
        <f>CA56+CB56</f>
      </c>
      <c r="CD56" s="68"/>
      <c r="CE56" s="68"/>
      <c r="CF56" s="68"/>
      <c r="CG56" s="68"/>
      <c r="CH56" s="68"/>
      <c r="CI56" s="68"/>
      <c r="CJ56" s="111"/>
      <c r="CK56" s="103">
        <f>CK55</f>
      </c>
      <c r="CL56" s="111"/>
      <c r="CM56" s="38"/>
      <c r="CN56" s="105">
        <f>CK56*CC56</f>
      </c>
      <c r="CO56" s="42"/>
      <c r="CP56" s="70">
        <f>CN56*BS56*BT56</f>
      </c>
      <c r="CQ56" s="38">
        <f>CP56/T56</f>
      </c>
      <c r="CR56" s="38">
        <f>100/CP56</f>
      </c>
      <c r="CS56" s="96">
        <f>100/CQ56</f>
      </c>
      <c r="CT56" s="38">
        <f>CQ56-CQ55</f>
      </c>
      <c r="CU56" s="112">
        <f>(CQ56-CQ55)/CQ55</f>
      </c>
      <c r="CV56" s="96">
        <f>BL56/T56</f>
      </c>
      <c r="CW56" s="96">
        <f>100/CV56</f>
      </c>
      <c r="CX56" s="77"/>
      <c r="CY56" s="41"/>
      <c r="CZ56" s="77"/>
      <c r="DA56" s="41"/>
      <c r="DB56" s="77"/>
      <c r="DC56" s="1" t="str">
        <v>完成</v>
      </c>
      <c r="DD56" s="1" t="str">
        <v>完成</v>
      </c>
    </row>
    <row r="57">
      <c r="A57" s="84" t="str">
        <v>Hodor</v>
      </c>
      <c r="B57" s="162" t="str">
        <v>门神</v>
      </c>
      <c r="C57" s="71"/>
      <c r="D57" s="71">
        <f>IF($A57="","","WPN"&amp;VLOOKUP(E57,'引用数据库'!Z:AC,4,FALSE)&amp;VLOOKUP(H57,'引用数据库'!N:P,3,FALSE)&amp;VLOOKUP(I57,'引用数据库'!S:U,3,FALSE)&amp;TEXT(F57,"00"))</f>
      </c>
      <c r="E57" s="162" t="str">
        <v>劳旅</v>
      </c>
      <c r="F57" s="67">
        <v>0</v>
      </c>
      <c r="G57" s="84" t="str">
        <v>近战</v>
      </c>
      <c r="H57" s="162" t="str">
        <v>巨锤</v>
      </c>
      <c r="I57" s="162" t="str">
        <v>动能</v>
      </c>
      <c r="J57" s="36" t="str">
        <v>手动</v>
      </c>
      <c r="K57" s="71">
        <f>K56</f>
      </c>
      <c r="L57" s="42"/>
      <c r="M57" s="46">
        <v>1</v>
      </c>
      <c r="N57" s="67">
        <v>150</v>
      </c>
      <c r="O57" s="67">
        <v>160</v>
      </c>
      <c r="P57" s="27">
        <v>0.5</v>
      </c>
      <c r="Q57" s="27">
        <v>0.1</v>
      </c>
      <c r="R57" s="27">
        <v>0.5</v>
      </c>
      <c r="S57" s="27">
        <v>0</v>
      </c>
      <c r="T57" s="27">
        <f>SUM(P57:S57)</f>
      </c>
      <c r="U57" s="32">
        <f>2*T57/(15*(1+(5-BD57)*0.1))</f>
      </c>
      <c r="V57" s="1"/>
      <c r="W57" s="67" t="str">
        <v>N/A</v>
      </c>
      <c r="X57" s="67" t="str">
        <v>N/A</v>
      </c>
      <c r="Y57" s="67" t="str">
        <v>N/A</v>
      </c>
      <c r="Z57" s="67" t="str">
        <v>N/A</v>
      </c>
      <c r="AA57" s="166"/>
      <c r="AB57" s="166"/>
      <c r="AC57" s="166"/>
      <c r="AD57" s="28" t="str">
        <v>N/A</v>
      </c>
      <c r="AE57" s="28" t="str">
        <v>N/A</v>
      </c>
      <c r="AF57" s="1"/>
      <c r="AG57" s="67"/>
      <c r="AH57" s="67"/>
      <c r="AI57" s="1"/>
      <c r="AJ57" s="33">
        <v>0.92</v>
      </c>
      <c r="AK57" s="163">
        <v>0</v>
      </c>
      <c r="AL57" s="33">
        <v>0.1</v>
      </c>
      <c r="AM57" s="29">
        <f>IFS(AJ57 &gt; 1.25, "S", AJ57 &gt; 1, "A", AJ57 &gt; 0.75, "B", AJ57 &gt; 0.5, "C", AJ57 &gt; 0.25, "D", AJ57 &gt; 0, "E", TRUE, "-")</f>
      </c>
      <c r="AN57" s="29">
        <f>IFS(AK57 &gt; 1.25, "S", AK57 &gt; 1, "A", AK57 &gt; 0.75, "B", AK57 &gt; 0.5, "C", AK57 &gt; 0.25, "D", AK57 &gt; 0, "E", TRUE, "-")</f>
      </c>
      <c r="AO57" s="29">
        <f>IFS(AL57 &gt; 1.25, "S", AL57 &gt; 1, "A", AL57 &gt; 0.75, "B", AL57 &gt; 0.5, "C", AL57 &gt; 0.25, "D", AL57 &gt; 0, "E", TRUE, "-")</f>
      </c>
      <c r="AP57" s="32">
        <v>10</v>
      </c>
      <c r="AQ57" s="32">
        <v>10</v>
      </c>
      <c r="AR57" s="32">
        <v>10</v>
      </c>
      <c r="AS57" s="29"/>
      <c r="AT57" s="29"/>
      <c r="AU57" s="29"/>
      <c r="AV57" s="32">
        <f>IF(SUM(AJ57:AL57)=0, 0, (1 + F57 * 0.1) * (0.75 + 0.25 * MAX(0, MIN(1, IF(MAX(AJ57:AL57)=0, 0, (3*MAX(AJ57:AL57)-SUM(AJ57:AL57)) / (2*MAX(AJ57:AL57)))))))</f>
      </c>
      <c r="AW57" s="33">
        <f>MAX(AJ57:AL57)</f>
      </c>
      <c r="AX57" s="37">
        <f>IF(AW57=0, "", AW57 / ((1 + 0.1*N(F57))))</f>
      </c>
      <c r="AY57" s="32">
        <f>IF(SUM(AJ57:AL57)=0, 0,     (1 + F57 * 0.1) * (1 + ((SUM(AJ57:AL57) - MAX(AJ57:AL57)) / (2 * MAX(AJ57:AL57))) * (1/0.75 - 1)))</f>
      </c>
      <c r="AZ57" s="33">
        <f>AJ57+AK57+AL57</f>
      </c>
      <c r="BA57" s="37">
        <f>IF(AZ57=0, "", AZ57 / ((1 + 0.1*N(F57))/0.75))</f>
      </c>
      <c r="BB57" s="32">
        <v>0.1</v>
      </c>
      <c r="BC57" s="1"/>
      <c r="BD57" s="67">
        <v>3</v>
      </c>
      <c r="BE57" s="67">
        <v>4</v>
      </c>
      <c r="BF57" s="43">
        <v>5</v>
      </c>
      <c r="BG57" s="32">
        <f>T57*20*(16 * BF57) / (15 + 20 * BF57 - 3 * POWER(BF57, 2))/BT57/BS57</f>
      </c>
      <c r="BH57" s="33">
        <f>BG57</f>
      </c>
      <c r="BI57" s="169"/>
      <c r="BJ57" s="47">
        <v>3</v>
      </c>
      <c r="BK57" s="30">
        <f>T57*33*(16 * BJ57) / (15 + 20 * BJ57 - 3 * POWER(BJ57, 2))/BT57</f>
      </c>
      <c r="BL57" s="33">
        <f>BK57</f>
      </c>
      <c r="BM57" s="34"/>
      <c r="BN57" s="67" t="str">
        <v>N/A</v>
      </c>
      <c r="BO57" s="67" t="str">
        <v>N/A</v>
      </c>
      <c r="BP57" s="38">
        <v>0</v>
      </c>
      <c r="BQ57" s="39">
        <v>0</v>
      </c>
      <c r="BR57" s="32">
        <f>IFERROR(BQ57*100/CP57,"N/A")</f>
      </c>
      <c r="BS57" s="67">
        <v>1</v>
      </c>
      <c r="BT57" s="67">
        <v>1</v>
      </c>
      <c r="BU57" s="42"/>
      <c r="BV57" s="44">
        <f>CP57/1.5</f>
      </c>
      <c r="BW57" s="44">
        <f>ROUND(BV57)</f>
      </c>
      <c r="BX57" s="32">
        <f>CP57/BW57</f>
      </c>
      <c r="BY57" s="35">
        <f>BW57/T57</f>
      </c>
      <c r="BZ57" s="1"/>
      <c r="CA57" s="31">
        <v>10</v>
      </c>
      <c r="CB57" s="32">
        <f>CA57*BB57*(AP57*AJ57+AQ57*AK57+AR57*AL57)</f>
      </c>
      <c r="CC57" s="32">
        <f>CA57+CB57</f>
      </c>
      <c r="CD57" s="32">
        <f>T57 * 2 / BS57 / BT57 * (0.9 + 0.2 * IF(G57="近战", EXP(-64 * (T57 - 0.75)^2), EXP(-400 * (T57 - 0.15)^2)))</f>
      </c>
      <c r="CE57" s="32">
        <f>0.9 + 0.2 / (1 + (N57/600)^1)</f>
      </c>
      <c r="CF57" s="32">
        <f>LET(  k, K57,  be, BS57,  bf, BT57,  m, N57,  n, O57,  v, X57,  vEff, IF(ISNUMBER(v), v, 0),  angle,    IF(      ISNUMBER(n),        IF(n&gt;0, n,           IF(ISNUMBER(v),              IF(v&gt;0, v, 0),              0           )        ),      IF(ISNUMBER(v),         IF(v&gt;0, v, 0),         0      )    ),  T,    IF(k=1,       be * bf * 20 / MAX(vEff, 1),    IF(k=2,       (m/150)^2 * (angle/120),    IF(k=3,       be * (MIN(bf, 99)/99) * (m/1000),       be * bf * (m/1000) * (n/200)^2    ))),  b, 0.8,  c, 1.2,  r, (c-1)/(1-b),  k_s, 1,  b + (c-b) / (1 + r * EXP(-k_s*(1-T))))</f>
      </c>
      <c r="CG57" s="32">
        <f>IF(T57&lt;=0,1,   (0.9 + 0.2 / (1 + EXP(-0.8 * (5 - BD57)))) * (0.9 + 0.2 / (1 + EXP(-1 * (3.5 - BE57)))) * (0.9 + 0.2 / (1 + EXP(-0.6 * (20 - BS57*BH57/T57)))))</f>
      </c>
      <c r="CH57" s="32">
        <f>IF(T57&lt;=0, 1, 0.9 + 0.2 / (1 + EXP(0.1 * (BL57*BS57*BT57/T57 - 33))))</f>
      </c>
      <c r="CI57" s="32">
        <f>LET(    x_val, W57,    bq_val, BS57,    Check_Fail, OR(NOT(ISNUMBER(x_val)), bq_val &lt;= 1),        IF(Check_Fail, 1,        LET(            Ratio, x_val / bq_val,                        calc_A, 2.2 / (1 + EXP(-0.276 * (Ratio - 0.66))),            calc_B, 2.2 / (1 + EXP(-0.0138 * (x_val - 13.2))),                        calc_A + calc_B        )    ))</f>
      </c>
      <c r="CJ57" s="33">
        <f>CD57*CE57*CF57*CG57*CH57*CI57</f>
      </c>
      <c r="CK57" s="33">
        <f>CJ57</f>
      </c>
      <c r="CL57" s="32">
        <f>T57 * 2 / BS57 / BT57</f>
      </c>
      <c r="CM57" s="37">
        <f>CK57/CL57</f>
      </c>
      <c r="CN57" s="32">
        <f>CK57*CC57</f>
      </c>
      <c r="CO57" s="42"/>
      <c r="CP57" s="48">
        <f>CN57*BS57*BT57</f>
      </c>
      <c r="CQ57" s="32">
        <f>CP57/T57</f>
      </c>
      <c r="CR57" s="32">
        <f>100/CP57</f>
      </c>
      <c r="CS57" s="35">
        <f>100/CQ57</f>
      </c>
      <c r="CT57" s="32"/>
      <c r="CU57" s="32"/>
      <c r="CV57" s="35">
        <f>BL57/T57</f>
      </c>
      <c r="CW57" s="35">
        <f>100/CV57</f>
      </c>
      <c r="CX57" s="77"/>
      <c r="CY57" s="41" t="str">
        <v>AI梦时代的标准隧道挖掘设备，
可以快速展开提供支撑结构。
原则上应该由机械矿工单手各持一把，
对普通人来说双手持握则会更为合理。</v>
      </c>
      <c r="CZ57" s="77"/>
      <c r="DA57" s="41">
        <f>TEXTJOIN("、", TRUE, FILTER('武器技能'!B:B, '武器技能'!E:E = H57))</f>
      </c>
      <c r="DB57" s="77"/>
      <c r="DC57" s="27" t="str">
        <v>完成</v>
      </c>
      <c r="DD57" s="27" t="str">
        <v>完成</v>
      </c>
    </row>
    <row r="58">
      <c r="A58" s="84" t="str">
        <v>Hodor</v>
      </c>
      <c r="B58" s="173" t="str">
        <v>门神</v>
      </c>
      <c r="C58" s="90"/>
      <c r="D58" s="90">
        <f>IF($A58="","","WPN"&amp;VLOOKUP(E58,'引用数据库'!Z:AC,4,FALSE)&amp;VLOOKUP(H58,'引用数据库'!N:P,3,FALSE)&amp;VLOOKUP(I58,'引用数据库'!S:U,3,FALSE)&amp;TEXT(F58,"00"))</f>
      </c>
      <c r="E58" s="173" t="str">
        <v>劳旅</v>
      </c>
      <c r="F58" s="159">
        <v>1</v>
      </c>
      <c r="G58" s="90">
        <f>G57</f>
      </c>
      <c r="H58" s="90">
        <f>H57</f>
      </c>
      <c r="I58" s="90">
        <f>I57</f>
      </c>
      <c r="J58" s="90" t="str">
        <v>手动</v>
      </c>
      <c r="K58" s="71">
        <f>K57</f>
      </c>
      <c r="L58" s="42"/>
      <c r="M58" s="98">
        <f>M57</f>
      </c>
      <c r="N58" s="159">
        <v>150</v>
      </c>
      <c r="O58" s="159">
        <v>160</v>
      </c>
      <c r="P58" s="91">
        <f>P57</f>
      </c>
      <c r="Q58" s="91">
        <f>Q57</f>
      </c>
      <c r="R58" s="91">
        <f>R57</f>
      </c>
      <c r="S58" s="91">
        <v>0</v>
      </c>
      <c r="T58" s="91">
        <f>SUM(P58:S58)</f>
      </c>
      <c r="U58" s="88">
        <f>2*T58/(15*(1+(5-BD58)*0.1))</f>
      </c>
      <c r="V58" s="1"/>
      <c r="W58" s="159" t="str">
        <v>N/A</v>
      </c>
      <c r="X58" s="159" t="str">
        <v>N/A</v>
      </c>
      <c r="Y58" s="159" t="str">
        <v>N/A</v>
      </c>
      <c r="Z58" s="159" t="str">
        <v>N/A</v>
      </c>
      <c r="AA58" s="175"/>
      <c r="AB58" s="175"/>
      <c r="AC58" s="175"/>
      <c r="AD58" s="95" t="str">
        <v>N/A</v>
      </c>
      <c r="AE58" s="95" t="str">
        <v>N/A</v>
      </c>
      <c r="AF58" s="1"/>
      <c r="AG58" s="159"/>
      <c r="AH58" s="159"/>
      <c r="AI58" s="1"/>
      <c r="AJ58" s="174">
        <f>AJ57+0.1</f>
      </c>
      <c r="AK58" s="174">
        <v>0</v>
      </c>
      <c r="AL58" s="87">
        <f>AL57</f>
      </c>
      <c r="AM58" s="115">
        <f>IFS(AJ58 &gt; 1.25, "S", AJ58 &gt; 1, "A", AJ58 &gt; 0.75, "B", AJ58 &gt; 0.5, "C", AJ58 &gt; 0.25, "D", AJ58 &gt; 0, "E", TRUE, "-")</f>
      </c>
      <c r="AN58" s="115">
        <f>IFS(AK58 &gt; 1.25, "S", AK58 &gt; 1, "A", AK58 &gt; 0.75, "B", AK58 &gt; 0.5, "C", AK58 &gt; 0.25, "D", AK58 &gt; 0, "E", TRUE, "-")</f>
      </c>
      <c r="AO58" s="115">
        <f>IFS(AL58 &gt; 1.25, "S", AL58 &gt; 1, "A", AL58 &gt; 0.75, "B", AL58 &gt; 0.5, "C", AL58 &gt; 0.25, "D", AL58 &gt; 0, "E", TRUE, "-")</f>
      </c>
      <c r="AP58" s="88">
        <v>10</v>
      </c>
      <c r="AQ58" s="88">
        <v>10</v>
      </c>
      <c r="AR58" s="88">
        <v>10</v>
      </c>
      <c r="AS58" s="115"/>
      <c r="AT58" s="115"/>
      <c r="AU58" s="115"/>
      <c r="AV58" s="88">
        <f>IF(SUM(AJ58:AL58)=0, 0, (1 + F58 * 0.1) * (0.75 + 0.25 * MAX(0, MIN(1, IF(MAX(AJ58:AL58)=0, 0, (3*MAX(AJ58:AL58)-SUM(AJ58:AL58)) / (2*MAX(AJ58:AL58)))))))</f>
      </c>
      <c r="AW58" s="87">
        <f>MAX(AJ58:AL58)</f>
      </c>
      <c r="AX58" s="92">
        <f>IF(AW58=0, "", AW58 / ((1 + 0.1*N(F58))))</f>
      </c>
      <c r="AY58" s="88">
        <f>IF(SUM(AJ58:AL58)=0, 0,     (1 + F58 * 0.1) * (1 + ((SUM(AJ58:AL58) - MAX(AJ58:AL58)) / (2 * MAX(AJ58:AL58))) * (1/0.75 - 1)))</f>
      </c>
      <c r="AZ58" s="87">
        <f>AJ58+AK58+AL58</f>
      </c>
      <c r="BA58" s="92">
        <f>IF(AZ58=0, "", AZ58 / ((1 + 0.1*N(F58))/0.75))</f>
      </c>
      <c r="BB58" s="88">
        <v>0.1</v>
      </c>
      <c r="BC58" s="1"/>
      <c r="BD58" s="91">
        <f>BD57</f>
      </c>
      <c r="BE58" s="91">
        <f>BE57</f>
      </c>
      <c r="BF58" s="93"/>
      <c r="BG58" s="88"/>
      <c r="BH58" s="87">
        <f>BH57</f>
      </c>
      <c r="BI58" s="45"/>
      <c r="BJ58" s="99"/>
      <c r="BK58" s="101"/>
      <c r="BL58" s="101">
        <f>BL57</f>
      </c>
      <c r="BM58" s="34"/>
      <c r="BN58" s="159" t="str">
        <v>N/A</v>
      </c>
      <c r="BO58" s="159" t="str">
        <v>N/A</v>
      </c>
      <c r="BP58" s="38"/>
      <c r="BQ58" s="88">
        <v>0</v>
      </c>
      <c r="BR58" s="88">
        <f>IFERROR(BQ58*100/CP58,"N/A")</f>
      </c>
      <c r="BS58" s="159">
        <v>1</v>
      </c>
      <c r="BT58" s="159">
        <v>1</v>
      </c>
      <c r="BU58" s="42"/>
      <c r="BV58" s="114"/>
      <c r="BW58" s="94">
        <f>BW57</f>
      </c>
      <c r="BX58" s="88">
        <f>CP58/BW58</f>
      </c>
      <c r="BY58" s="89">
        <f>BW58/T58</f>
      </c>
      <c r="BZ58" s="1"/>
      <c r="CA58" s="100">
        <f>CA57+20</f>
      </c>
      <c r="CB58" s="88">
        <f>CA58*BB58*(AP58*AJ58+AQ58*AK58+AR58*AL58)</f>
      </c>
      <c r="CC58" s="88">
        <f>CA58+CB58</f>
      </c>
      <c r="CD58" s="88"/>
      <c r="CE58" s="88"/>
      <c r="CF58" s="88"/>
      <c r="CG58" s="88"/>
      <c r="CH58" s="88"/>
      <c r="CI58" s="88"/>
      <c r="CJ58" s="87"/>
      <c r="CK58" s="87">
        <f>CK57</f>
      </c>
      <c r="CL58" s="87"/>
      <c r="CM58" s="88"/>
      <c r="CN58" s="88">
        <f>CK58*CC58</f>
      </c>
      <c r="CO58" s="42"/>
      <c r="CP58" s="97">
        <f>CN58*BS58*BT58</f>
      </c>
      <c r="CQ58" s="88">
        <f>CP58/T58</f>
      </c>
      <c r="CR58" s="88">
        <f>100/CP58</f>
      </c>
      <c r="CS58" s="89">
        <f>100/CQ58</f>
      </c>
      <c r="CT58" s="88">
        <f>CQ58-CQ57</f>
      </c>
      <c r="CU58" s="98">
        <f>(CQ58-CQ57)/CQ57</f>
      </c>
      <c r="CV58" s="89">
        <f>BL58/T58</f>
      </c>
      <c r="CW58" s="89">
        <f>100/CV58</f>
      </c>
      <c r="CX58" s="77"/>
      <c r="CY58" s="41"/>
      <c r="CZ58" s="77"/>
      <c r="DA58" s="41"/>
      <c r="DB58" s="77"/>
      <c r="DC58" s="91" t="str">
        <v>完成</v>
      </c>
      <c r="DD58" s="91" t="str">
        <v>完成</v>
      </c>
    </row>
    <row r="59">
      <c r="A59" s="84" t="str">
        <v>Hodor</v>
      </c>
      <c r="B59" s="53" t="str">
        <v>门神</v>
      </c>
      <c r="C59" s="71"/>
      <c r="D59" s="71">
        <f>IF($A59="","","WPN"&amp;VLOOKUP(E59,'引用数据库'!Z:AC,4,FALSE)&amp;VLOOKUP(H59,'引用数据库'!N:P,3,FALSE)&amp;VLOOKUP(I59,'引用数据库'!S:U,3,FALSE)&amp;TEXT(F59,"00"))</f>
      </c>
      <c r="E59" s="53" t="str">
        <v>劳旅</v>
      </c>
      <c r="F59" s="57">
        <v>2</v>
      </c>
      <c r="G59" s="71">
        <f>G58</f>
      </c>
      <c r="H59" s="75">
        <f>H58</f>
      </c>
      <c r="I59" s="75">
        <f>I58</f>
      </c>
      <c r="J59" s="71" t="str">
        <v>手动</v>
      </c>
      <c r="K59" s="71">
        <f>K58</f>
      </c>
      <c r="L59" s="42"/>
      <c r="M59" s="65">
        <f>M58</f>
      </c>
      <c r="N59" s="54">
        <v>150</v>
      </c>
      <c r="O59" s="54">
        <v>160</v>
      </c>
      <c r="P59" s="72">
        <f>P58</f>
      </c>
      <c r="Q59" s="72">
        <f>Q58</f>
      </c>
      <c r="R59" s="72">
        <f>R58</f>
      </c>
      <c r="S59" s="72">
        <v>0</v>
      </c>
      <c r="T59" s="72">
        <f>SUM(P59:S59)</f>
      </c>
      <c r="U59" s="39">
        <f>2*T59/(15*(1+(5-BD59)*0.1))</f>
      </c>
      <c r="V59" s="1"/>
      <c r="W59" s="54" t="str">
        <v>N/A</v>
      </c>
      <c r="X59" s="54" t="str">
        <v>N/A</v>
      </c>
      <c r="Y59" s="54" t="str">
        <v>N/A</v>
      </c>
      <c r="Z59" s="54" t="str">
        <v>N/A</v>
      </c>
      <c r="AA59" s="66"/>
      <c r="AB59" s="66"/>
      <c r="AC59" s="66"/>
      <c r="AD59" s="102" t="str">
        <v>N/A</v>
      </c>
      <c r="AE59" s="102" t="str">
        <v>N/A</v>
      </c>
      <c r="AF59" s="1"/>
      <c r="AG59" s="54"/>
      <c r="AH59" s="54"/>
      <c r="AI59" s="1"/>
      <c r="AJ59" s="80">
        <v>1.12</v>
      </c>
      <c r="AK59" s="80">
        <v>0</v>
      </c>
      <c r="AL59" s="80">
        <f>AL58</f>
      </c>
      <c r="AM59" s="55">
        <f>IFS(AJ59 &gt; 1.25, "S", AJ59 &gt; 1, "A", AJ59 &gt; 0.75, "B", AJ59 &gt; 0.5, "C", AJ59 &gt; 0.25, "D", AJ59 &gt; 0, "E", TRUE, "-")</f>
      </c>
      <c r="AN59" s="55">
        <f>IFS(AK59 &gt; 1.25, "S", AK59 &gt; 1, "A", AK59 &gt; 0.75, "B", AK59 &gt; 0.5, "C", AK59 &gt; 0.25, "D", AK59 &gt; 0, "E", TRUE, "-")</f>
      </c>
      <c r="AO59" s="55">
        <f>IFS(AL59 &gt; 1.25, "S", AL59 &gt; 1, "A", AL59 &gt; 0.75, "B", AL59 &gt; 0.5, "C", AL59 &gt; 0.25, "D", AL59 &gt; 0, "E", TRUE, "-")</f>
      </c>
      <c r="AP59" s="68">
        <v>10</v>
      </c>
      <c r="AQ59" s="68">
        <v>10</v>
      </c>
      <c r="AR59" s="68">
        <v>10</v>
      </c>
      <c r="AS59" s="55"/>
      <c r="AT59" s="55"/>
      <c r="AU59" s="55"/>
      <c r="AV59" s="68">
        <f>IF(SUM(AJ59:AL59)=0, 0, (1 + F59 * 0.1) * (0.75 + 0.25 * MAX(0, MIN(1, IF(MAX(AJ59:AL59)=0, 0, (3*MAX(AJ59:AL59)-SUM(AJ59:AL59)) / (2*MAX(AJ59:AL59)))))))</f>
      </c>
      <c r="AW59" s="111">
        <f>MAX(AJ59:AL59)</f>
      </c>
      <c r="AX59" s="109">
        <f>IF(AW59=0, "", AW59 / ((1 + 0.1*N(F59))))</f>
      </c>
      <c r="AY59" s="68">
        <f>IF(SUM(AJ59:AL59)=0, 0,     (1 + F59 * 0.1) * (1 + ((SUM(AJ59:AL59) - MAX(AJ59:AL59)) / (2 * MAX(AJ59:AL59))) * (1/0.75 - 1)))</f>
      </c>
      <c r="AZ59" s="111">
        <f>AJ59+AK59+AL59</f>
      </c>
      <c r="BA59" s="109">
        <f>IF(AZ59=0, "", AZ59 / ((1 + 0.1*N(F59))/0.75))</f>
      </c>
      <c r="BB59" s="39">
        <v>0.1</v>
      </c>
      <c r="BC59" s="1"/>
      <c r="BD59" s="72">
        <f>BD58</f>
      </c>
      <c r="BE59" s="72">
        <f>BE58</f>
      </c>
      <c r="BF59" s="172"/>
      <c r="BG59" s="64"/>
      <c r="BH59" s="69">
        <f>BH58</f>
      </c>
      <c r="BI59" s="169"/>
      <c r="BJ59" s="170"/>
      <c r="BK59" s="171"/>
      <c r="BL59" s="69">
        <f>BL58</f>
      </c>
      <c r="BM59" s="34"/>
      <c r="BN59" s="57" t="str">
        <v>N/A</v>
      </c>
      <c r="BO59" s="54" t="str">
        <v>N/A</v>
      </c>
      <c r="BP59" s="38"/>
      <c r="BQ59" s="39">
        <v>0</v>
      </c>
      <c r="BR59" s="38">
        <f>IFERROR(BQ59*100/CP59,"N/A")</f>
      </c>
      <c r="BS59" s="61">
        <v>1</v>
      </c>
      <c r="BT59" s="54">
        <v>1</v>
      </c>
      <c r="BU59" s="42"/>
      <c r="BV59" s="78"/>
      <c r="BW59" s="104">
        <f>BW58</f>
      </c>
      <c r="BX59" s="38">
        <f>CP59/BW59</f>
      </c>
      <c r="BY59" s="96">
        <f>BW59/T59</f>
      </c>
      <c r="BZ59" s="1"/>
      <c r="CA59" s="113">
        <f>CA58+10</f>
      </c>
      <c r="CB59" s="39">
        <f>CA59*BB59*(AP59*AJ59+AQ59*AK59+AR59*AL59)</f>
      </c>
      <c r="CC59" s="39">
        <f>CA59+CB59</f>
      </c>
      <c r="CD59" s="68"/>
      <c r="CE59" s="68"/>
      <c r="CF59" s="68"/>
      <c r="CG59" s="68"/>
      <c r="CH59" s="68"/>
      <c r="CI59" s="68"/>
      <c r="CJ59" s="111"/>
      <c r="CK59" s="103">
        <f>CK58</f>
      </c>
      <c r="CL59" s="111"/>
      <c r="CM59" s="38"/>
      <c r="CN59" s="105">
        <f>CK59*CC59</f>
      </c>
      <c r="CO59" s="42"/>
      <c r="CP59" s="70">
        <f>CN59*BS59*BT59</f>
      </c>
      <c r="CQ59" s="38">
        <f>CP59/T59</f>
      </c>
      <c r="CR59" s="38">
        <f>100/CP59</f>
      </c>
      <c r="CS59" s="96">
        <f>100/CQ59</f>
      </c>
      <c r="CT59" s="38">
        <f>CQ59-CQ58</f>
      </c>
      <c r="CU59" s="112">
        <f>(CQ59-CQ58)/CQ58</f>
      </c>
      <c r="CV59" s="96">
        <f>BL59/T59</f>
      </c>
      <c r="CW59" s="96">
        <f>100/CV59</f>
      </c>
      <c r="CX59" s="77"/>
      <c r="CY59" s="41"/>
      <c r="CZ59" s="77"/>
      <c r="DA59" s="41"/>
      <c r="DB59" s="77"/>
      <c r="DC59" s="1" t="str">
        <v>完成</v>
      </c>
      <c r="DD59" s="1" t="str">
        <v>完成</v>
      </c>
    </row>
    <row r="60">
      <c r="A60" s="84" t="str">
        <v>Hodor</v>
      </c>
      <c r="B60" s="53" t="str">
        <v>门神</v>
      </c>
      <c r="C60" s="71"/>
      <c r="D60" s="71">
        <f>IF($A60="","","WPN"&amp;VLOOKUP(E60,'引用数据库'!Z:AC,4,FALSE)&amp;VLOOKUP(H60,'引用数据库'!N:P,3,FALSE)&amp;VLOOKUP(I60,'引用数据库'!S:U,3,FALSE)&amp;TEXT(F60,"00"))</f>
      </c>
      <c r="E60" s="53" t="str">
        <v>劳旅</v>
      </c>
      <c r="F60" s="57">
        <v>3</v>
      </c>
      <c r="G60" s="71">
        <f>G59</f>
      </c>
      <c r="H60" s="75">
        <f>H59</f>
      </c>
      <c r="I60" s="75">
        <f>I59</f>
      </c>
      <c r="J60" s="71" t="str">
        <v>手动</v>
      </c>
      <c r="K60" s="71">
        <f>K59</f>
      </c>
      <c r="L60" s="42"/>
      <c r="M60" s="65">
        <f>M59</f>
      </c>
      <c r="N60" s="54">
        <v>150</v>
      </c>
      <c r="O60" s="54">
        <v>160</v>
      </c>
      <c r="P60" s="72">
        <f>P59</f>
      </c>
      <c r="Q60" s="72">
        <f>Q59</f>
      </c>
      <c r="R60" s="72">
        <f>R59</f>
      </c>
      <c r="S60" s="72">
        <v>0</v>
      </c>
      <c r="T60" s="72">
        <f>SUM(P60:S60)</f>
      </c>
      <c r="U60" s="39">
        <f>2*T60/(15*(1+(5-BD60)*0.1))</f>
      </c>
      <c r="V60" s="1"/>
      <c r="W60" s="54" t="str">
        <v>N/A</v>
      </c>
      <c r="X60" s="54" t="str">
        <v>N/A</v>
      </c>
      <c r="Y60" s="54" t="str">
        <v>N/A</v>
      </c>
      <c r="Z60" s="54" t="str">
        <v>N/A</v>
      </c>
      <c r="AA60" s="66"/>
      <c r="AB60" s="66"/>
      <c r="AC60" s="66"/>
      <c r="AD60" s="102" t="str">
        <v>N/A</v>
      </c>
      <c r="AE60" s="102" t="str">
        <v>N/A</v>
      </c>
      <c r="AF60" s="11"/>
      <c r="AG60" s="72"/>
      <c r="AH60" s="72"/>
      <c r="AI60" s="1"/>
      <c r="AJ60" s="80">
        <f>AJ59+0.1</f>
      </c>
      <c r="AK60" s="108">
        <v>0</v>
      </c>
      <c r="AL60" s="80">
        <f>AL59</f>
      </c>
      <c r="AM60" s="105">
        <f>IFS(AJ60 &gt; 1.25, "S", AJ60 &gt; 1, "A", AJ60 &gt; 0.75, "B", AJ60 &gt; 0.5, "C", AJ60 &gt; 0.25, "D", AJ60 &gt; 0, "E", TRUE, "-")</f>
      </c>
      <c r="AN60" s="105">
        <f>IFS(AK60 &gt; 1.25, "S", AK60 &gt; 1, "A", AK60 &gt; 0.75, "B", AK60 &gt; 0.5, "C", AK60 &gt; 0.25, "D", AK60 &gt; 0, "E", TRUE, "-")</f>
      </c>
      <c r="AO60" s="105">
        <f>IFS(AL60 &gt; 1.25, "S", AL60 &gt; 1, "A", AL60 &gt; 0.75, "B", AL60 &gt; 0.5, "C", AL60 &gt; 0.25, "D", AL60 &gt; 0, "E", TRUE, "-")</f>
      </c>
      <c r="AP60" s="68">
        <v>10</v>
      </c>
      <c r="AQ60" s="68">
        <v>10</v>
      </c>
      <c r="AR60" s="68">
        <v>10</v>
      </c>
      <c r="AS60" s="105"/>
      <c r="AT60" s="55"/>
      <c r="AU60" s="105"/>
      <c r="AV60" s="68">
        <f>IF(SUM(AJ60:AL60)=0, 0, (1 + F60 * 0.1) * (0.75 + 0.25 * MAX(0, MIN(1, IF(MAX(AJ60:AL60)=0, 0, (3*MAX(AJ60:AL60)-SUM(AJ60:AL60)) / (2*MAX(AJ60:AL60)))))))</f>
      </c>
      <c r="AW60" s="111">
        <f>MAX(AJ60:AL60)</f>
      </c>
      <c r="AX60" s="109">
        <f>IF(AW60=0, "", AW60 / ((1 + 0.1*N(F60))))</f>
      </c>
      <c r="AY60" s="68">
        <f>IF(SUM(AJ60:AL60)=0, 0,     (1 + F60 * 0.1) * (1 + ((SUM(AJ60:AL60) - MAX(AJ60:AL60)) / (2 * MAX(AJ60:AL60))) * (1/0.75 - 1)))</f>
      </c>
      <c r="AZ60" s="111">
        <f>AJ60+AK60+AL60</f>
      </c>
      <c r="BA60" s="109">
        <f>IF(AZ60=0, "", AZ60 / ((1 + 0.1*N(F60))/0.75))</f>
      </c>
      <c r="BB60" s="39">
        <v>0.1</v>
      </c>
      <c r="BC60" s="1"/>
      <c r="BD60" s="72">
        <f>BD59</f>
      </c>
      <c r="BE60" s="72">
        <f>BE59</f>
      </c>
      <c r="BF60" s="172"/>
      <c r="BG60" s="64"/>
      <c r="BH60" s="69">
        <f>BH59</f>
      </c>
      <c r="BI60" s="169"/>
      <c r="BJ60" s="170"/>
      <c r="BK60" s="171"/>
      <c r="BL60" s="69">
        <f>BL59</f>
      </c>
      <c r="BM60" s="34"/>
      <c r="BN60" s="57" t="str">
        <v>N/A</v>
      </c>
      <c r="BO60" s="54" t="str">
        <v>N/A</v>
      </c>
      <c r="BP60" s="38"/>
      <c r="BQ60" s="39">
        <v>0</v>
      </c>
      <c r="BR60" s="38">
        <f>IFERROR(BQ60*100/CP60,"N/A")</f>
      </c>
      <c r="BS60" s="61">
        <v>1</v>
      </c>
      <c r="BT60" s="54">
        <v>1</v>
      </c>
      <c r="BU60" s="42"/>
      <c r="BV60" s="78"/>
      <c r="BW60" s="104">
        <f>BW59</f>
      </c>
      <c r="BX60" s="38">
        <f>CP60/BW60</f>
      </c>
      <c r="BY60" s="96">
        <f>BW60/T60</f>
      </c>
      <c r="BZ60" s="1"/>
      <c r="CA60" s="113">
        <f>CA59+10</f>
      </c>
      <c r="CB60" s="39">
        <f>CA60*BB60*(AP60*AJ60+AQ60*AK60+AR60*AL60)</f>
      </c>
      <c r="CC60" s="39">
        <f>CA60+CB60</f>
      </c>
      <c r="CD60" s="68"/>
      <c r="CE60" s="68"/>
      <c r="CF60" s="68"/>
      <c r="CG60" s="68"/>
      <c r="CH60" s="68"/>
      <c r="CI60" s="68"/>
      <c r="CJ60" s="111"/>
      <c r="CK60" s="103">
        <f>CK59</f>
      </c>
      <c r="CL60" s="111"/>
      <c r="CM60" s="38"/>
      <c r="CN60" s="105">
        <f>CK60*CC60</f>
      </c>
      <c r="CO60" s="42"/>
      <c r="CP60" s="70">
        <f>CN60*BS60*BT60</f>
      </c>
      <c r="CQ60" s="38">
        <f>CP60/T60</f>
      </c>
      <c r="CR60" s="38">
        <f>100/CP60</f>
      </c>
      <c r="CS60" s="96">
        <f>100/CQ60</f>
      </c>
      <c r="CT60" s="38">
        <f>CQ60-CQ59</f>
      </c>
      <c r="CU60" s="112">
        <f>(CQ60-CQ59)/CQ59</f>
      </c>
      <c r="CV60" s="96">
        <f>BL60/T60</f>
      </c>
      <c r="CW60" s="96">
        <f>100/CV60</f>
      </c>
      <c r="CX60" s="77"/>
      <c r="CY60" s="41"/>
      <c r="CZ60" s="77"/>
      <c r="DA60" s="41"/>
      <c r="DB60" s="77"/>
      <c r="DC60" s="1" t="str">
        <v>完成</v>
      </c>
      <c r="DD60" s="1" t="str">
        <v>完成</v>
      </c>
    </row>
    <row r="61">
      <c r="A61" s="84" t="str">
        <v>Hodor</v>
      </c>
      <c r="B61" s="53" t="str">
        <v>门神</v>
      </c>
      <c r="C61" s="71"/>
      <c r="D61" s="71">
        <f>IF($A61="","","WPN"&amp;VLOOKUP(E61,'引用数据库'!Z:AC,4,FALSE)&amp;VLOOKUP(H61,'引用数据库'!N:P,3,FALSE)&amp;VLOOKUP(I61,'引用数据库'!S:U,3,FALSE)&amp;TEXT(F61,"00"))</f>
      </c>
      <c r="E61" s="53" t="str">
        <v>劳旅</v>
      </c>
      <c r="F61" s="57">
        <v>4</v>
      </c>
      <c r="G61" s="71">
        <f>G60</f>
      </c>
      <c r="H61" s="75">
        <f>H60</f>
      </c>
      <c r="I61" s="75">
        <f>I60</f>
      </c>
      <c r="J61" s="71" t="str">
        <v>手动</v>
      </c>
      <c r="K61" s="71">
        <f>K60</f>
      </c>
      <c r="L61" s="42"/>
      <c r="M61" s="65">
        <f>M60</f>
      </c>
      <c r="N61" s="54">
        <v>150</v>
      </c>
      <c r="O61" s="54">
        <v>160</v>
      </c>
      <c r="P61" s="72">
        <f>P60</f>
      </c>
      <c r="Q61" s="72">
        <f>Q60</f>
      </c>
      <c r="R61" s="72">
        <f>R60</f>
      </c>
      <c r="S61" s="72">
        <v>0</v>
      </c>
      <c r="T61" s="72">
        <f>SUM(P61:S61)</f>
      </c>
      <c r="U61" s="39">
        <f>2*T61/(15*(1+(5-BD61)*0.1))</f>
      </c>
      <c r="V61" s="1"/>
      <c r="W61" s="54" t="str">
        <v>N/A</v>
      </c>
      <c r="X61" s="54" t="str">
        <v>N/A</v>
      </c>
      <c r="Y61" s="54" t="str">
        <v>N/A</v>
      </c>
      <c r="Z61" s="54" t="str">
        <v>N/A</v>
      </c>
      <c r="AA61" s="66"/>
      <c r="AB61" s="66"/>
      <c r="AC61" s="66"/>
      <c r="AD61" s="102" t="str">
        <v>N/A</v>
      </c>
      <c r="AE61" s="102" t="str">
        <v>N/A</v>
      </c>
      <c r="AF61" s="11"/>
      <c r="AG61" s="72"/>
      <c r="AH61" s="72"/>
      <c r="AI61" s="1"/>
      <c r="AJ61" s="80">
        <v>1.39</v>
      </c>
      <c r="AK61" s="80">
        <v>0</v>
      </c>
      <c r="AL61" s="80">
        <f>AL60</f>
      </c>
      <c r="AM61" s="55">
        <f>IFS(AJ61 &gt; 1.25, "S", AJ61 &gt; 1, "A", AJ61 &gt; 0.75, "B", AJ61 &gt; 0.5, "C", AJ61 &gt; 0.25, "D", AJ61 &gt; 0, "E", TRUE, "-")</f>
      </c>
      <c r="AN61" s="55">
        <f>IFS(AK61 &gt; 1.25, "S", AK61 &gt; 1, "A", AK61 &gt; 0.75, "B", AK61 &gt; 0.5, "C", AK61 &gt; 0.25, "D", AK61 &gt; 0, "E", TRUE, "-")</f>
      </c>
      <c r="AO61" s="55">
        <f>IFS(AL61 &gt; 1.25, "S", AL61 &gt; 1, "A", AL61 &gt; 0.75, "B", AL61 &gt; 0.5, "C", AL61 &gt; 0.25, "D", AL61 &gt; 0, "E", TRUE, "-")</f>
      </c>
      <c r="AP61" s="68">
        <v>10</v>
      </c>
      <c r="AQ61" s="68">
        <v>10</v>
      </c>
      <c r="AR61" s="68">
        <v>10</v>
      </c>
      <c r="AS61" s="55"/>
      <c r="AT61" s="55"/>
      <c r="AU61" s="55"/>
      <c r="AV61" s="68">
        <f>IF(SUM(AJ61:AL61)=0, 0, (1 + F61 * 0.1) * (0.75 + 0.25 * MAX(0, MIN(1, IF(MAX(AJ61:AL61)=0, 0, (3*MAX(AJ61:AL61)-SUM(AJ61:AL61)) / (2*MAX(AJ61:AL61)))))))</f>
      </c>
      <c r="AW61" s="111">
        <f>MAX(AJ61:AL61)</f>
      </c>
      <c r="AX61" s="109">
        <f>IF(AW61=0, "", AW61 / ((1 + 0.1*N(F61))))</f>
      </c>
      <c r="AY61" s="68">
        <f>IF(SUM(AJ61:AL61)=0, 0,     (1 + F61 * 0.1) * (1 + ((SUM(AJ61:AL61) - MAX(AJ61:AL61)) / (2 * MAX(AJ61:AL61))) * (1/0.75 - 1)))</f>
      </c>
      <c r="AZ61" s="111">
        <f>AJ61+AK61+AL61</f>
      </c>
      <c r="BA61" s="109">
        <f>IF(AZ61=0, "", AZ61 / ((1 + 0.1*N(F61))/0.75))</f>
      </c>
      <c r="BB61" s="39">
        <v>0.1</v>
      </c>
      <c r="BC61" s="1"/>
      <c r="BD61" s="72">
        <f>BD60</f>
      </c>
      <c r="BE61" s="72">
        <f>BE60</f>
      </c>
      <c r="BF61" s="172"/>
      <c r="BG61" s="64"/>
      <c r="BH61" s="69">
        <f>BH60</f>
      </c>
      <c r="BI61" s="169"/>
      <c r="BJ61" s="170"/>
      <c r="BK61" s="171"/>
      <c r="BL61" s="69">
        <f>BL60</f>
      </c>
      <c r="BM61" s="34"/>
      <c r="BN61" s="57" t="str">
        <v>N/A</v>
      </c>
      <c r="BO61" s="54" t="str">
        <v>N/A</v>
      </c>
      <c r="BP61" s="38"/>
      <c r="BQ61" s="39">
        <v>0</v>
      </c>
      <c r="BR61" s="38">
        <f>IFERROR(BQ61*100/CP61,"N/A")</f>
      </c>
      <c r="BS61" s="61">
        <v>1</v>
      </c>
      <c r="BT61" s="54">
        <v>1</v>
      </c>
      <c r="BU61" s="42"/>
      <c r="BV61" s="78"/>
      <c r="BW61" s="104">
        <f>BW60</f>
      </c>
      <c r="BX61" s="38">
        <f>CP61/BW61</f>
      </c>
      <c r="BY61" s="96">
        <f>BW61/T61</f>
      </c>
      <c r="BZ61" s="1"/>
      <c r="CA61" s="113">
        <f>CA60+10</f>
      </c>
      <c r="CB61" s="39">
        <f>CA61*BB61*(AP61*AJ61+AQ61*AK61+AR61*AL61)</f>
      </c>
      <c r="CC61" s="39">
        <f>CA61+CB61</f>
      </c>
      <c r="CD61" s="68"/>
      <c r="CE61" s="68"/>
      <c r="CF61" s="68"/>
      <c r="CG61" s="68"/>
      <c r="CH61" s="68"/>
      <c r="CI61" s="68"/>
      <c r="CJ61" s="111"/>
      <c r="CK61" s="103">
        <f>CK60</f>
      </c>
      <c r="CL61" s="111"/>
      <c r="CM61" s="38"/>
      <c r="CN61" s="105">
        <f>CK61*CC61</f>
      </c>
      <c r="CO61" s="42"/>
      <c r="CP61" s="70">
        <f>CN61*BS61*BT61</f>
      </c>
      <c r="CQ61" s="38">
        <f>CP61/T61</f>
      </c>
      <c r="CR61" s="38">
        <f>100/CP61</f>
      </c>
      <c r="CS61" s="96">
        <f>100/CQ61</f>
      </c>
      <c r="CT61" s="38">
        <f>CQ61-CQ60</f>
      </c>
      <c r="CU61" s="112">
        <f>(CQ61-CQ60)/CQ60</f>
      </c>
      <c r="CV61" s="96">
        <f>BL61/T61</f>
      </c>
      <c r="CW61" s="96">
        <f>100/CV61</f>
      </c>
      <c r="CX61" s="77"/>
      <c r="CY61" s="41"/>
      <c r="CZ61" s="77"/>
      <c r="DA61" s="41"/>
      <c r="DB61" s="77"/>
      <c r="DC61" s="1" t="str">
        <v>完成</v>
      </c>
      <c r="DD61" s="1" t="str">
        <v>完成</v>
      </c>
    </row>
    <row r="62">
      <c r="A62" s="84" t="str">
        <v>Hodor</v>
      </c>
      <c r="B62" s="53" t="str">
        <v>门神</v>
      </c>
      <c r="C62" s="71"/>
      <c r="D62" s="71">
        <f>IF($A62="","","WPN"&amp;VLOOKUP(E62,'引用数据库'!Z:AC,4,FALSE)&amp;VLOOKUP(H62,'引用数据库'!N:P,3,FALSE)&amp;VLOOKUP(I62,'引用数据库'!S:U,3,FALSE)&amp;TEXT(F62,"00"))</f>
      </c>
      <c r="E62" s="53" t="str">
        <v>劳旅</v>
      </c>
      <c r="F62" s="57">
        <v>5</v>
      </c>
      <c r="G62" s="71">
        <f>G61</f>
      </c>
      <c r="H62" s="75">
        <f>H61</f>
      </c>
      <c r="I62" s="75">
        <f>I61</f>
      </c>
      <c r="J62" s="71" t="str">
        <v>手动</v>
      </c>
      <c r="K62" s="71">
        <f>K61</f>
      </c>
      <c r="L62" s="42"/>
      <c r="M62" s="65">
        <f>M61</f>
      </c>
      <c r="N62" s="54">
        <v>150</v>
      </c>
      <c r="O62" s="54">
        <v>160</v>
      </c>
      <c r="P62" s="72">
        <f>P61</f>
      </c>
      <c r="Q62" s="72">
        <f>Q61</f>
      </c>
      <c r="R62" s="72">
        <f>R61</f>
      </c>
      <c r="S62" s="72">
        <v>0</v>
      </c>
      <c r="T62" s="72">
        <f>SUM(P62:S62)</f>
      </c>
      <c r="U62" s="39">
        <f>2*T62/(15*(1+(5-BD62)*0.1))</f>
      </c>
      <c r="V62" s="1"/>
      <c r="W62" s="54" t="str">
        <v>N/A</v>
      </c>
      <c r="X62" s="54" t="str">
        <v>N/A</v>
      </c>
      <c r="Y62" s="54" t="str">
        <v>N/A</v>
      </c>
      <c r="Z62" s="54" t="str">
        <v>N/A</v>
      </c>
      <c r="AA62" s="66"/>
      <c r="AB62" s="66"/>
      <c r="AC62" s="66"/>
      <c r="AD62" s="102" t="str">
        <v>N/A</v>
      </c>
      <c r="AE62" s="102" t="str">
        <v>N/A</v>
      </c>
      <c r="AF62" s="11"/>
      <c r="AG62" s="72"/>
      <c r="AH62" s="72"/>
      <c r="AI62" s="1"/>
      <c r="AJ62" s="80">
        <f>AJ61+0.1</f>
      </c>
      <c r="AK62" s="108">
        <v>0</v>
      </c>
      <c r="AL62" s="80">
        <f>AL61</f>
      </c>
      <c r="AM62" s="105">
        <f>IFS(AJ62 &gt; 1.25, "S", AJ62 &gt; 1, "A", AJ62 &gt; 0.75, "B", AJ62 &gt; 0.5, "C", AJ62 &gt; 0.25, "D", AJ62 &gt; 0, "E", TRUE, "-")</f>
      </c>
      <c r="AN62" s="105">
        <f>IFS(AK62 &gt; 1.25, "S", AK62 &gt; 1, "A", AK62 &gt; 0.75, "B", AK62 &gt; 0.5, "C", AK62 &gt; 0.25, "D", AK62 &gt; 0, "E", TRUE, "-")</f>
      </c>
      <c r="AO62" s="105">
        <f>IFS(AL62 &gt; 1.25, "S", AL62 &gt; 1, "A", AL62 &gt; 0.75, "B", AL62 &gt; 0.5, "C", AL62 &gt; 0.25, "D", AL62 &gt; 0, "E", TRUE, "-")</f>
      </c>
      <c r="AP62" s="68">
        <v>10</v>
      </c>
      <c r="AQ62" s="68">
        <v>10</v>
      </c>
      <c r="AR62" s="68">
        <v>10</v>
      </c>
      <c r="AS62" s="105"/>
      <c r="AT62" s="55"/>
      <c r="AU62" s="105"/>
      <c r="AV62" s="68">
        <f>IF(SUM(AJ62:AL62)=0, 0, (1 + F62 * 0.1) * (0.75 + 0.25 * MAX(0, MIN(1, IF(MAX(AJ62:AL62)=0, 0, (3*MAX(AJ62:AL62)-SUM(AJ62:AL62)) / (2*MAX(AJ62:AL62)))))))</f>
      </c>
      <c r="AW62" s="111">
        <f>MAX(AJ62:AL62)</f>
      </c>
      <c r="AX62" s="109">
        <f>IF(AW62=0, "", AW62 / ((1 + 0.1*N(F62))))</f>
      </c>
      <c r="AY62" s="68">
        <f>IF(SUM(AJ62:AL62)=0, 0,     (1 + F62 * 0.1) * (1 + ((SUM(AJ62:AL62) - MAX(AJ62:AL62)) / (2 * MAX(AJ62:AL62))) * (1/0.75 - 1)))</f>
      </c>
      <c r="AZ62" s="111">
        <f>AJ62+AK62+AL62</f>
      </c>
      <c r="BA62" s="109">
        <f>IF(AZ62=0, "", AZ62 / ((1 + 0.1*N(F62))/0.75))</f>
      </c>
      <c r="BB62" s="39">
        <v>0.1</v>
      </c>
      <c r="BC62" s="1"/>
      <c r="BD62" s="72">
        <f>BD61</f>
      </c>
      <c r="BE62" s="72">
        <f>BE61</f>
      </c>
      <c r="BF62" s="172"/>
      <c r="BG62" s="64"/>
      <c r="BH62" s="69">
        <f>BH61</f>
      </c>
      <c r="BI62" s="169"/>
      <c r="BJ62" s="170"/>
      <c r="BK62" s="171"/>
      <c r="BL62" s="69">
        <f>BL61</f>
      </c>
      <c r="BM62" s="34"/>
      <c r="BN62" s="57" t="str">
        <v>N/A</v>
      </c>
      <c r="BO62" s="54" t="str">
        <v>N/A</v>
      </c>
      <c r="BP62" s="38"/>
      <c r="BQ62" s="39">
        <v>0</v>
      </c>
      <c r="BR62" s="38">
        <f>IFERROR(BQ62*100/CP62,"N/A")</f>
      </c>
      <c r="BS62" s="61">
        <v>1</v>
      </c>
      <c r="BT62" s="54">
        <v>1</v>
      </c>
      <c r="BU62" s="42"/>
      <c r="BV62" s="78"/>
      <c r="BW62" s="104">
        <f>BW61</f>
      </c>
      <c r="BX62" s="38">
        <f>CP62/BW62</f>
      </c>
      <c r="BY62" s="96">
        <f>BW62/T62</f>
      </c>
      <c r="BZ62" s="1"/>
      <c r="CA62" s="113">
        <f>CA61+10</f>
      </c>
      <c r="CB62" s="39">
        <f>CA62*BB62*(AP62*AJ62+AQ62*AK62+AR62*AL62)</f>
      </c>
      <c r="CC62" s="39">
        <f>CA62+CB62</f>
      </c>
      <c r="CD62" s="68"/>
      <c r="CE62" s="68"/>
      <c r="CF62" s="68"/>
      <c r="CG62" s="68"/>
      <c r="CH62" s="68"/>
      <c r="CI62" s="68"/>
      <c r="CJ62" s="111"/>
      <c r="CK62" s="103">
        <f>CK61</f>
      </c>
      <c r="CL62" s="111"/>
      <c r="CM62" s="38"/>
      <c r="CN62" s="105">
        <f>CK62*CC62</f>
      </c>
      <c r="CO62" s="42"/>
      <c r="CP62" s="70">
        <f>CN62*BS62*BT62</f>
      </c>
      <c r="CQ62" s="38">
        <f>CP62/T62</f>
      </c>
      <c r="CR62" s="38">
        <f>100/CP62</f>
      </c>
      <c r="CS62" s="96">
        <f>100/CQ62</f>
      </c>
      <c r="CT62" s="38">
        <f>CQ62-CQ61</f>
      </c>
      <c r="CU62" s="112">
        <f>(CQ62-CQ61)/CQ61</f>
      </c>
      <c r="CV62" s="96">
        <f>BL62/T62</f>
      </c>
      <c r="CW62" s="96">
        <f>100/CV62</f>
      </c>
      <c r="CX62" s="77"/>
      <c r="CY62" s="41"/>
      <c r="CZ62" s="77"/>
      <c r="DA62" s="41"/>
      <c r="DB62" s="77"/>
      <c r="DC62" s="1" t="str">
        <v>完成</v>
      </c>
      <c r="DD62" s="1" t="str">
        <v>完成</v>
      </c>
    </row>
    <row r="63">
      <c r="A63" s="84" t="str">
        <v>Flame Dancer</v>
      </c>
      <c r="B63" s="162" t="str">
        <v>炎舞者</v>
      </c>
      <c r="C63" s="71"/>
      <c r="D63" s="71">
        <f>IF($A63="","","WPN"&amp;VLOOKUP(E63,'引用数据库'!Z:AC,4,FALSE)&amp;VLOOKUP(H63,'引用数据库'!N:P,3,FALSE)&amp;VLOOKUP(I63,'引用数据库'!S:U,3,FALSE)&amp;TEXT(F63,"00"))</f>
      </c>
      <c r="E63" s="36" t="str">
        <v>野望</v>
      </c>
      <c r="F63" s="67">
        <v>0</v>
      </c>
      <c r="G63" s="71" t="str">
        <v>远程</v>
      </c>
      <c r="H63" s="162" t="str">
        <v>发射器</v>
      </c>
      <c r="I63" s="162" t="str">
        <v>热能</v>
      </c>
      <c r="J63" s="36" t="str">
        <v>手动</v>
      </c>
      <c r="K63" s="71">
        <v>4</v>
      </c>
      <c r="L63" s="42"/>
      <c r="M63" s="46">
        <v>1</v>
      </c>
      <c r="N63" s="67">
        <v>3000</v>
      </c>
      <c r="O63" s="67"/>
      <c r="P63" s="67">
        <v>0</v>
      </c>
      <c r="Q63" s="67">
        <v>0</v>
      </c>
      <c r="R63" s="67">
        <v>0.25</v>
      </c>
      <c r="S63" s="67">
        <v>0</v>
      </c>
      <c r="T63" s="27">
        <f>SUM(P63:S63)</f>
      </c>
      <c r="U63" s="32">
        <f>2*T63/(15*(1+(5-BD63)*0.1))</f>
      </c>
      <c r="V63" s="1"/>
      <c r="W63" s="67">
        <v>0</v>
      </c>
      <c r="X63" s="67">
        <v>20</v>
      </c>
      <c r="Y63" s="165">
        <v>0.5</v>
      </c>
      <c r="Z63" s="165">
        <v>0.5</v>
      </c>
      <c r="AA63" s="166"/>
      <c r="AB63" s="166"/>
      <c r="AC63" s="166"/>
      <c r="AD63" s="28">
        <f>(W63+AB63)*AC63</f>
      </c>
      <c r="AE63" s="28">
        <f>(X63+AB63)*AC63</f>
      </c>
      <c r="AF63" s="1"/>
      <c r="AG63" s="67"/>
      <c r="AH63" s="67"/>
      <c r="AI63" s="1"/>
      <c r="AJ63" s="163"/>
      <c r="AK63" s="33"/>
      <c r="AL63" s="33"/>
      <c r="AM63" s="32">
        <f>IFS(AJ63 &gt; 1.25, "S", AJ63 &gt; 1, "A", AJ63 &gt; 0.75, "B", AJ63 &gt; 0.5, "C", AJ63 &gt; 0.25, "D", AJ63 &gt; 0, "E", TRUE, "-")</f>
      </c>
      <c r="AN63" s="32">
        <f>IFS(AK63 &gt; 1.25, "S", AK63 &gt; 1, "A", AK63 &gt; 0.75, "B", AK63 &gt; 0.5, "C", AK63 &gt; 0.25, "D", AK63 &gt; 0, "E", TRUE, "-")</f>
      </c>
      <c r="AO63" s="32">
        <f>IFS(AL63 &gt; 1.25, "S", AL63 &gt; 1, "A", AL63 &gt; 0.75, "B", AL63 &gt; 0.5, "C", AL63 &gt; 0.25, "D", AL63 &gt; 0, "E", TRUE, "-")</f>
      </c>
      <c r="AP63" s="32"/>
      <c r="AQ63" s="32"/>
      <c r="AR63" s="32"/>
      <c r="AS63" s="29"/>
      <c r="AT63" s="29"/>
      <c r="AU63" s="32"/>
      <c r="AV63" s="32">
        <f>IF(SUM(AJ63:AL63)=0, 0, (1 + F63 * 0.1) * (0.75 + 0.25 * MAX(0, MIN(1, IF(MAX(AJ63:AL63)=0, 0, (3*MAX(AJ63:AL63)-SUM(AJ63:AL63)) / (2*MAX(AJ63:AL63)))))))</f>
      </c>
      <c r="AW63" s="33">
        <f>MAX(AJ63:AL63)</f>
      </c>
      <c r="AX63" s="37">
        <f>IF(AW63=0, "", AW63 / ((1 + 0.1*N(F63))))</f>
      </c>
      <c r="AY63" s="32">
        <f>IF(SUM(AJ63:AL63)=0, 0,     (1 + F63 * 0.1) * (1 + ((SUM(AJ63:AL63) - MAX(AJ63:AL63)) / (2 * MAX(AJ63:AL63))) * (1/0.75 - 1)))</f>
      </c>
      <c r="AZ63" s="33"/>
      <c r="BA63" s="37">
        <f>IF(AZ63=0, "", AZ63 / ((1 + 0.1*N(F63))/0.75))</f>
      </c>
      <c r="BB63" s="32">
        <v>0.1</v>
      </c>
      <c r="BC63" s="1"/>
      <c r="BD63" s="67"/>
      <c r="BE63" s="67"/>
      <c r="BF63" s="43"/>
      <c r="BG63" s="32">
        <f>T63*20/BT63</f>
      </c>
      <c r="BH63" s="163"/>
      <c r="BI63" s="45"/>
      <c r="BJ63" s="47"/>
      <c r="BK63" s="30"/>
      <c r="BL63" s="30"/>
      <c r="BM63" s="34"/>
      <c r="BN63" s="67">
        <v>1</v>
      </c>
      <c r="BO63" s="67">
        <v>3</v>
      </c>
      <c r="BP63" s="38">
        <f>ROUND(CP63/10,1)</f>
      </c>
      <c r="BQ63" s="39">
        <v>16</v>
      </c>
      <c r="BR63" s="32">
        <f>IFERROR(BQ63*100/CP63,"N/A")</f>
      </c>
      <c r="BS63" s="67">
        <v>1</v>
      </c>
      <c r="BT63" s="67">
        <v>4</v>
      </c>
      <c r="BU63" s="42"/>
      <c r="BV63" s="44"/>
      <c r="BW63" s="167">
        <f>BW64</f>
      </c>
      <c r="BX63" s="32">
        <f>CP63/BW63</f>
      </c>
      <c r="BY63" s="35">
        <f>BW63/T63</f>
      </c>
      <c r="BZ63" s="1"/>
      <c r="CA63" s="31">
        <v>15</v>
      </c>
      <c r="CB63" s="32">
        <f>AP63*AJ63+AQ63*AK63+AR63*AL63</f>
      </c>
      <c r="CC63" s="32">
        <f>CA63+CB63</f>
      </c>
      <c r="CD63" s="32">
        <f>T63*1.2/BS63</f>
      </c>
      <c r="CE63" s="32">
        <f>0.8 + 0.4 / (1 + (N63/600)^1)</f>
      </c>
      <c r="CF63" s="32">
        <f>LET(  k, K63,  be, BS63,  bf, BT63,  m, N63,  n, O63,  v, X63,  vEff, IF(ISNUMBER(v), v, 0),  angle,    IF(      ISNUMBER(n),        IF(n&gt;0, n,           IF(ISNUMBER(v),              IF(v&gt;0, v, 0),              0           )        ),      IF(ISNUMBER(v),         IF(v&gt;0, v, 0),         0      )    ),  T,    IF(k=1,       be * bf * 20 / MAX(vEff, 1),    IF(k=2,       (m/150)^2 * (angle/120),    IF(k=3,       be * (MIN(bf, 99)/99) * (m/1000),       be * bf * (m/1000) * (n/200)^2    ))),  b, 0.8,  c, 1.2,  r, (c-1)/(1-b),  k_s, 1,  b + (c-b) / (1 + r * EXP(-k_s*(1-T))))</f>
      </c>
      <c r="CG63" s="32">
        <f>IF(T63&lt;=0,1,(  0.85 + (0.4) / (1 + 1.6666667 * EXP(-0.6 * (2.5 - BD63))))*(  0.85 + (0.4) / (1 + 1.6666667 * EXP(-0.6 * (20 - BS63*BH63/T63))))*(  0.85 + (0.4) / (1 + 1.6666667 * EXP(-0.6 * (2.5 - BE63)))))</f>
      </c>
      <c r="CH63" s="32">
        <f>IF(T63&lt;=0, 1, 0.9 + 0.2 / (1 + EXP(0.1 * (BL63/T63 - 33))))</f>
      </c>
      <c r="CI63" s="32">
        <f>LET(    x_val, X63,    bq_val, BS63,    Check_Fail, OR(NOT(ISNUMBER(x_val)), bq_val &lt;= 1),        IF(Check_Fail, 1,        LET(            Ratio, x_val / bq_val,                        calc_A, 2.5 / (1 + EXP(-0.23105 * (Ratio - 3))),            calc_B, 2.5 / (1 + EXP(-0.008664 * (x_val - 20))),                        calc_A + calc_B        )    ))</f>
      </c>
      <c r="CJ63" s="33">
        <f>CD63*CE63*CF63*CG63*CH63</f>
      </c>
      <c r="CK63" s="33">
        <f>CJ63</f>
      </c>
      <c r="CL63" s="33"/>
      <c r="CM63" s="32"/>
      <c r="CN63" s="32">
        <f>CK63*CC63</f>
      </c>
      <c r="CO63" s="42"/>
      <c r="CP63" s="48">
        <f>CN63*BS63*BT63</f>
      </c>
      <c r="CQ63" s="32">
        <f>CP63/T63</f>
      </c>
      <c r="CR63" s="32">
        <f>100/CP63</f>
      </c>
      <c r="CS63" s="35">
        <f>100/CQ63</f>
      </c>
      <c r="CT63" s="32"/>
      <c r="CU63" s="32"/>
      <c r="CV63" s="35">
        <f>BL63/T63</f>
      </c>
      <c r="CW63" s="35">
        <f>100/CV63</f>
      </c>
      <c r="CX63" s="77"/>
      <c r="CY63" s="41" t="str">
        <v>在黑市里流通的自动步兵火炮，
结构上直接沿用了洛克海德流出的旧版本。
四发并列装的火箭弹带来了良好的火力覆盖，
以及捉襟见肘的战场续航能力。</v>
      </c>
      <c r="CZ63" s="77"/>
      <c r="DA63" s="41">
        <f>TEXTJOIN("、", TRUE, FILTER('武器技能'!B:B, '武器技能'!E:E = H63))</f>
      </c>
      <c r="DB63" s="77"/>
      <c r="DC63" s="67" t="str">
        <v>待办</v>
      </c>
      <c r="DD63" s="67" t="str">
        <v>待办</v>
      </c>
    </row>
    <row r="64">
      <c r="A64" s="84" t="str">
        <v>Flame Dancer</v>
      </c>
      <c r="B64" s="53" t="str">
        <v>炎舞者</v>
      </c>
      <c r="C64" s="71"/>
      <c r="D64" s="71">
        <f>IF($A64="","","WPN"&amp;VLOOKUP(E64,'引用数据库'!Z:AC,4,FALSE)&amp;VLOOKUP(H64,'引用数据库'!N:P,3,FALSE)&amp;VLOOKUP(I64,'引用数据库'!S:U,3,FALSE)&amp;TEXT(F64,"00"))</f>
      </c>
      <c r="E64" s="75" t="str">
        <v>野望</v>
      </c>
      <c r="F64" s="57">
        <v>1</v>
      </c>
      <c r="G64" s="90">
        <f>G63</f>
      </c>
      <c r="H64" s="90">
        <f>H63</f>
      </c>
      <c r="I64" s="90">
        <f>I63</f>
      </c>
      <c r="J64" s="71" t="str">
        <v>手动</v>
      </c>
      <c r="K64" s="71">
        <f>K63</f>
      </c>
      <c r="L64" s="42"/>
      <c r="M64" s="65">
        <f>M63</f>
      </c>
      <c r="N64" s="54">
        <v>3000</v>
      </c>
      <c r="O64" s="54"/>
      <c r="P64" s="54">
        <v>0</v>
      </c>
      <c r="Q64" s="54">
        <v>0</v>
      </c>
      <c r="R64" s="54">
        <v>0.25</v>
      </c>
      <c r="S64" s="54">
        <v>0</v>
      </c>
      <c r="T64" s="72">
        <f>SUM(P64:S64)</f>
      </c>
      <c r="U64" s="39">
        <f>2*T64/(15*(1+(5-BD64)*0.1))</f>
      </c>
      <c r="V64" s="1"/>
      <c r="W64" s="54">
        <v>0</v>
      </c>
      <c r="X64" s="54">
        <v>20</v>
      </c>
      <c r="Y64" s="76">
        <v>0.5</v>
      </c>
      <c r="Z64" s="76">
        <v>0.5</v>
      </c>
      <c r="AA64" s="66"/>
      <c r="AB64" s="66"/>
      <c r="AC64" s="66"/>
      <c r="AD64" s="60">
        <f>(W64+AB64)*AC64</f>
      </c>
      <c r="AE64" s="60">
        <f>(X64+AB64)*AC64</f>
      </c>
      <c r="AF64" s="1"/>
      <c r="AG64" s="54"/>
      <c r="AH64" s="54"/>
      <c r="AI64" s="1"/>
      <c r="AJ64" s="80"/>
      <c r="AK64" s="108"/>
      <c r="AL64" s="80"/>
      <c r="AM64" s="105">
        <f>IFS(AJ64 &gt; 1.25, "S", AJ64 &gt; 1, "A", AJ64 &gt; 0.75, "B", AJ64 &gt; 0.5, "C", AJ64 &gt; 0.25, "D", AJ64 &gt; 0, "E", TRUE, "-")</f>
      </c>
      <c r="AN64" s="105">
        <f>IFS(AK64 &gt; 1.25, "S", AK64 &gt; 1, "A", AK64 &gt; 0.75, "B", AK64 &gt; 0.5, "C", AK64 &gt; 0.25, "D", AK64 &gt; 0, "E", TRUE, "-")</f>
      </c>
      <c r="AO64" s="105">
        <f>IFS(AL64 &gt; 1.25, "S", AL64 &gt; 1, "A", AL64 &gt; 0.75, "B", AL64 &gt; 0.5, "C", AL64 &gt; 0.25, "D", AL64 &gt; 0, "E", TRUE, "-")</f>
      </c>
      <c r="AP64" s="68"/>
      <c r="AQ64" s="68"/>
      <c r="AR64" s="68"/>
      <c r="AS64" s="55"/>
      <c r="AT64" s="55"/>
      <c r="AU64" s="105"/>
      <c r="AV64" s="68">
        <f>IF(SUM(AJ64:AL64)=0, 0, (1 + F64 * 0.1) * (0.75 + 0.25 * MAX(0, MIN(1, IF(MAX(AJ64:AL64)=0, 0, (3*MAX(AJ64:AL64)-SUM(AJ64:AL64)) / (2*MAX(AJ64:AL64)))))))</f>
      </c>
      <c r="AW64" s="111">
        <f>MAX(AJ64:AL64)</f>
      </c>
      <c r="AX64" s="109">
        <f>IF(AW64=0, "", AW64 / ((1 + 0.1*N(F64))))</f>
      </c>
      <c r="AY64" s="68">
        <f>IF(SUM(AJ64:AL64)=0, 0,     (1 + F64 * 0.1) * (1 + ((SUM(AJ64:AL64) - MAX(AJ64:AL64)) / (2 * MAX(AJ64:AL64))) * (1/0.75 - 1)))</f>
      </c>
      <c r="AZ64" s="111"/>
      <c r="BA64" s="109">
        <f>IF(AZ64=0, "", AZ64 / ((1 + 0.1*N(F64))/0.75))</f>
      </c>
      <c r="BB64" s="39">
        <v>0.1</v>
      </c>
      <c r="BC64" s="1"/>
      <c r="BD64" s="91">
        <f>BD63</f>
      </c>
      <c r="BE64" s="91">
        <f>BE63</f>
      </c>
      <c r="BF64" s="74"/>
      <c r="BG64" s="64"/>
      <c r="BH64" s="69"/>
      <c r="BI64" s="45"/>
      <c r="BJ64" s="63"/>
      <c r="BK64" s="49"/>
      <c r="BL64" s="56"/>
      <c r="BM64" s="34"/>
      <c r="BN64" s="57">
        <v>1</v>
      </c>
      <c r="BO64" s="54">
        <v>3</v>
      </c>
      <c r="BP64" s="38"/>
      <c r="BQ64" s="39">
        <v>16</v>
      </c>
      <c r="BR64" s="38">
        <f>IFERROR(BQ64*100/CP64,"N/A")</f>
      </c>
      <c r="BS64" s="61">
        <v>1</v>
      </c>
      <c r="BT64" s="54">
        <v>4</v>
      </c>
      <c r="BU64" s="42"/>
      <c r="BV64" s="78">
        <f>IFERROR(  ROUND(    (10 / $T$4) *    ((CP64 / T64) / ($CP$4 / $T$4)) ^ 0.9 *    (T64 / $T$4) ^ 0.2 *    ((1 + N64) / (1 + $N$4)) ^ 0.15 *    ((1 + BQ64) / (1 + $BQ$4)) ^ 0.15 *    ((1 + BD64) / (1 + $BD$4)) ^ 0.2 *    ((1 + BH64) / (1 + $BH$4)) ^ 0.2 *    ((1 + BL64) / (1 + $BL$4)) ^ 0.2 *    T64,  0),  CP64 * 1000)</f>
      </c>
      <c r="BW64" s="94">
        <f>BV64</f>
      </c>
      <c r="BX64" s="38">
        <f>CP64/BW64</f>
      </c>
      <c r="BY64" s="96">
        <f>BW64/T64</f>
      </c>
      <c r="BZ64" s="1"/>
      <c r="CA64" s="100">
        <f>CA63+15</f>
      </c>
      <c r="CB64" s="39">
        <f>AP64*AJ64+AQ64*AK64+AR64*AL64</f>
      </c>
      <c r="CC64" s="51"/>
      <c r="CD64" s="58"/>
      <c r="CE64" s="58"/>
      <c r="CF64" s="58"/>
      <c r="CG64" s="58"/>
      <c r="CH64" s="58"/>
      <c r="CI64" s="58"/>
      <c r="CJ64" s="79"/>
      <c r="CK64" s="69"/>
      <c r="CL64" s="79"/>
      <c r="CM64" s="51"/>
      <c r="CN64" s="55"/>
      <c r="CO64" s="42"/>
      <c r="CP64" s="70">
        <f>CN64*BS64*BT64</f>
      </c>
      <c r="CQ64" s="38">
        <f>CP64/T64</f>
      </c>
      <c r="CR64" s="38">
        <f>100/CP64</f>
      </c>
      <c r="CS64" s="96">
        <f>100/CQ64</f>
      </c>
      <c r="CT64" s="38"/>
      <c r="CU64" s="38"/>
      <c r="CV64" s="96">
        <f>BL64/T64</f>
      </c>
      <c r="CW64" s="96">
        <f>100/CV64</f>
      </c>
      <c r="CX64" s="77"/>
      <c r="CY64" s="41"/>
      <c r="CZ64" s="77"/>
      <c r="DA64" s="41"/>
      <c r="DB64" s="77"/>
      <c r="DC64" s="159" t="str">
        <v>待办</v>
      </c>
      <c r="DD64" s="159" t="str">
        <v>待办</v>
      </c>
    </row>
    <row r="65">
      <c r="A65" s="84" t="str">
        <v>Flame Dancer</v>
      </c>
      <c r="B65" s="53" t="str">
        <v>炎舞者</v>
      </c>
      <c r="C65" s="71"/>
      <c r="D65" s="71">
        <f>IF($A65="","","WPN"&amp;VLOOKUP(E65,'引用数据库'!Z:AC,4,FALSE)&amp;VLOOKUP(H65,'引用数据库'!N:P,3,FALSE)&amp;VLOOKUP(I65,'引用数据库'!S:U,3,FALSE)&amp;TEXT(F65,"00"))</f>
      </c>
      <c r="E65" s="75" t="str">
        <v>野望</v>
      </c>
      <c r="F65" s="57">
        <v>2</v>
      </c>
      <c r="G65" s="71">
        <f>G64</f>
      </c>
      <c r="H65" s="75">
        <f>H64</f>
      </c>
      <c r="I65" s="75">
        <f>I64</f>
      </c>
      <c r="J65" s="71" t="str">
        <v>手动</v>
      </c>
      <c r="K65" s="71">
        <f>K64</f>
      </c>
      <c r="L65" s="42"/>
      <c r="M65" s="65">
        <f>M64</f>
      </c>
      <c r="N65" s="54">
        <v>3000</v>
      </c>
      <c r="O65" s="54"/>
      <c r="P65" s="54">
        <v>0</v>
      </c>
      <c r="Q65" s="54">
        <v>0</v>
      </c>
      <c r="R65" s="54">
        <v>0.25</v>
      </c>
      <c r="S65" s="54">
        <v>0</v>
      </c>
      <c r="T65" s="72">
        <f>SUM(P65:S65)</f>
      </c>
      <c r="U65" s="39">
        <f>2*T65/(15*(1+(5-BD65)*0.1))</f>
      </c>
      <c r="V65" s="1"/>
      <c r="W65" s="54">
        <v>0</v>
      </c>
      <c r="X65" s="54">
        <v>20</v>
      </c>
      <c r="Y65" s="76">
        <v>0.5</v>
      </c>
      <c r="Z65" s="76">
        <v>0.5</v>
      </c>
      <c r="AA65" s="66"/>
      <c r="AB65" s="66"/>
      <c r="AC65" s="66"/>
      <c r="AD65" s="60">
        <f>(W65+AB65)*AC65</f>
      </c>
      <c r="AE65" s="60">
        <f>(X65+AB65)*AC65</f>
      </c>
      <c r="AF65" s="1"/>
      <c r="AG65" s="54"/>
      <c r="AH65" s="54"/>
      <c r="AI65" s="1"/>
      <c r="AJ65" s="80"/>
      <c r="AK65" s="108"/>
      <c r="AL65" s="80"/>
      <c r="AM65" s="105">
        <f>IFS(AJ65 &gt; 1.25, "S", AJ65 &gt; 1, "A", AJ65 &gt; 0.75, "B", AJ65 &gt; 0.5, "C", AJ65 &gt; 0.25, "D", AJ65 &gt; 0, "E", TRUE, "-")</f>
      </c>
      <c r="AN65" s="105">
        <f>IFS(AK65 &gt; 1.25, "S", AK65 &gt; 1, "A", AK65 &gt; 0.75, "B", AK65 &gt; 0.5, "C", AK65 &gt; 0.25, "D", AK65 &gt; 0, "E", TRUE, "-")</f>
      </c>
      <c r="AO65" s="105">
        <f>IFS(AL65 &gt; 1.25, "S", AL65 &gt; 1, "A", AL65 &gt; 0.75, "B", AL65 &gt; 0.5, "C", AL65 &gt; 0.25, "D", AL65 &gt; 0, "E", TRUE, "-")</f>
      </c>
      <c r="AP65" s="68"/>
      <c r="AQ65" s="68"/>
      <c r="AR65" s="68"/>
      <c r="AS65" s="55"/>
      <c r="AT65" s="55"/>
      <c r="AU65" s="105"/>
      <c r="AV65" s="68">
        <f>IF(SUM(AJ65:AL65)=0, 0, (1 + F65 * 0.1) * (0.75 + 0.25 * MAX(0, MIN(1, IF(MAX(AJ65:AL65)=0, 0, (3*MAX(AJ65:AL65)-SUM(AJ65:AL65)) / (2*MAX(AJ65:AL65)))))))</f>
      </c>
      <c r="AW65" s="111">
        <f>MAX(AJ65:AL65)</f>
      </c>
      <c r="AX65" s="109">
        <f>IF(AW65=0, "", AW65 / ((1 + 0.1*N(F65))))</f>
      </c>
      <c r="AY65" s="68">
        <f>IF(SUM(AJ65:AL65)=0, 0,     (1 + F65 * 0.1) * (1 + ((SUM(AJ65:AL65) - MAX(AJ65:AL65)) / (2 * MAX(AJ65:AL65))) * (1/0.75 - 1)))</f>
      </c>
      <c r="AZ65" s="111"/>
      <c r="BA65" s="109">
        <f>IF(AZ65=0, "", AZ65 / ((1 + 0.1*N(F65))/0.75))</f>
      </c>
      <c r="BB65" s="39">
        <v>0.1</v>
      </c>
      <c r="BC65" s="1"/>
      <c r="BD65" s="72">
        <f>BD64</f>
      </c>
      <c r="BE65" s="72">
        <f>BE64</f>
      </c>
      <c r="BF65" s="74"/>
      <c r="BG65" s="64"/>
      <c r="BH65" s="69"/>
      <c r="BI65" s="45"/>
      <c r="BJ65" s="63"/>
      <c r="BK65" s="49"/>
      <c r="BL65" s="56"/>
      <c r="BM65" s="34"/>
      <c r="BN65" s="57">
        <v>1</v>
      </c>
      <c r="BO65" s="54">
        <v>3</v>
      </c>
      <c r="BP65" s="38"/>
      <c r="BQ65" s="39">
        <v>16</v>
      </c>
      <c r="BR65" s="38">
        <f>IFERROR(BQ65*100/CP65,"N/A")</f>
      </c>
      <c r="BS65" s="61">
        <v>1</v>
      </c>
      <c r="BT65" s="54">
        <v>4</v>
      </c>
      <c r="BU65" s="42"/>
      <c r="BV65" s="78"/>
      <c r="BW65" s="73">
        <v>5</v>
      </c>
      <c r="BX65" s="38">
        <f>CP65/BW65</f>
      </c>
      <c r="BY65" s="96">
        <f>BW65/T65</f>
      </c>
      <c r="BZ65" s="1"/>
      <c r="CA65" s="113">
        <f>CA64+5</f>
      </c>
      <c r="CB65" s="39">
        <f>AP65*AJ65+AQ65*AK65+AR65*AL65</f>
      </c>
      <c r="CC65" s="51"/>
      <c r="CD65" s="58"/>
      <c r="CE65" s="58"/>
      <c r="CF65" s="58"/>
      <c r="CG65" s="58"/>
      <c r="CH65" s="58"/>
      <c r="CI65" s="58"/>
      <c r="CJ65" s="79"/>
      <c r="CK65" s="69"/>
      <c r="CL65" s="79"/>
      <c r="CM65" s="51"/>
      <c r="CN65" s="55"/>
      <c r="CO65" s="42"/>
      <c r="CP65" s="70">
        <f>CN65*BS65*BT65</f>
      </c>
      <c r="CQ65" s="38">
        <f>CP65/T65</f>
      </c>
      <c r="CR65" s="38">
        <f>100/CP65</f>
      </c>
      <c r="CS65" s="96">
        <f>100/CQ65</f>
      </c>
      <c r="CT65" s="38"/>
      <c r="CU65" s="38"/>
      <c r="CV65" s="96">
        <f>BL65/T65</f>
      </c>
      <c r="CW65" s="96">
        <f>100/CV65</f>
      </c>
      <c r="CX65" s="77"/>
      <c r="CY65" s="41"/>
      <c r="CZ65" s="77"/>
      <c r="DA65" s="41"/>
      <c r="DB65" s="77"/>
      <c r="DC65" s="1" t="str">
        <v>待办</v>
      </c>
      <c r="DD65" s="1" t="str">
        <v>待办</v>
      </c>
    </row>
    <row r="66">
      <c r="A66" s="84" t="str">
        <v>Flame Dancer</v>
      </c>
      <c r="B66" s="53" t="str">
        <v>炎舞者</v>
      </c>
      <c r="C66" s="71"/>
      <c r="D66" s="71">
        <f>IF($A66="","","WPN"&amp;VLOOKUP(E66,'引用数据库'!Z:AC,4,FALSE)&amp;VLOOKUP(H66,'引用数据库'!N:P,3,FALSE)&amp;VLOOKUP(I66,'引用数据库'!S:U,3,FALSE)&amp;TEXT(F66,"00"))</f>
      </c>
      <c r="E66" s="75" t="str">
        <v>野望</v>
      </c>
      <c r="F66" s="57">
        <v>3</v>
      </c>
      <c r="G66" s="71">
        <f>G65</f>
      </c>
      <c r="H66" s="75">
        <f>H65</f>
      </c>
      <c r="I66" s="75">
        <f>I65</f>
      </c>
      <c r="J66" s="71" t="str">
        <v>手动</v>
      </c>
      <c r="K66" s="71">
        <f>K65</f>
      </c>
      <c r="L66" s="42"/>
      <c r="M66" s="65">
        <f>M65</f>
      </c>
      <c r="N66" s="54">
        <v>3000</v>
      </c>
      <c r="O66" s="54"/>
      <c r="P66" s="54">
        <v>0</v>
      </c>
      <c r="Q66" s="54">
        <v>0</v>
      </c>
      <c r="R66" s="54">
        <v>0.25</v>
      </c>
      <c r="S66" s="54">
        <v>0</v>
      </c>
      <c r="T66" s="72">
        <f>SUM(P66:S66)</f>
      </c>
      <c r="U66" s="39">
        <f>2*T66/(15*(1+(5-BD66)*0.1))</f>
      </c>
      <c r="V66" s="1"/>
      <c r="W66" s="54">
        <v>0</v>
      </c>
      <c r="X66" s="54">
        <v>20</v>
      </c>
      <c r="Y66" s="76">
        <v>0.5</v>
      </c>
      <c r="Z66" s="76">
        <v>0.5</v>
      </c>
      <c r="AA66" s="66"/>
      <c r="AB66" s="66"/>
      <c r="AC66" s="66"/>
      <c r="AD66" s="60">
        <f>(W66+AB66)*AC66</f>
      </c>
      <c r="AE66" s="60">
        <f>(X66+AB66)*AC66</f>
      </c>
      <c r="AF66" s="1"/>
      <c r="AG66" s="54"/>
      <c r="AH66" s="54"/>
      <c r="AI66" s="1"/>
      <c r="AJ66" s="80"/>
      <c r="AK66" s="108"/>
      <c r="AL66" s="80"/>
      <c r="AM66" s="105">
        <f>IFS(AJ66 &gt; 1.25, "S", AJ66 &gt; 1, "A", AJ66 &gt; 0.75, "B", AJ66 &gt; 0.5, "C", AJ66 &gt; 0.25, "D", AJ66 &gt; 0, "E", TRUE, "-")</f>
      </c>
      <c r="AN66" s="105">
        <f>IFS(AK66 &gt; 1.25, "S", AK66 &gt; 1, "A", AK66 &gt; 0.75, "B", AK66 &gt; 0.5, "C", AK66 &gt; 0.25, "D", AK66 &gt; 0, "E", TRUE, "-")</f>
      </c>
      <c r="AO66" s="105">
        <f>IFS(AL66 &gt; 1.25, "S", AL66 &gt; 1, "A", AL66 &gt; 0.75, "B", AL66 &gt; 0.5, "C", AL66 &gt; 0.25, "D", AL66 &gt; 0, "E", TRUE, "-")</f>
      </c>
      <c r="AP66" s="68"/>
      <c r="AQ66" s="68"/>
      <c r="AR66" s="68"/>
      <c r="AS66" s="55"/>
      <c r="AT66" s="55"/>
      <c r="AU66" s="105"/>
      <c r="AV66" s="68">
        <f>IF(SUM(AJ66:AL66)=0, 0, (1 + F66 * 0.1) * (0.75 + 0.25 * MAX(0, MIN(1, IF(MAX(AJ66:AL66)=0, 0, (3*MAX(AJ66:AL66)-SUM(AJ66:AL66)) / (2*MAX(AJ66:AL66)))))))</f>
      </c>
      <c r="AW66" s="111">
        <f>MAX(AJ66:AL66)</f>
      </c>
      <c r="AX66" s="109">
        <f>IF(AW66=0, "", AW66 / ((1 + 0.1*N(F66))))</f>
      </c>
      <c r="AY66" s="68">
        <f>IF(SUM(AJ66:AL66)=0, 0,     (1 + F66 * 0.1) * (1 + ((SUM(AJ66:AL66) - MAX(AJ66:AL66)) / (2 * MAX(AJ66:AL66))) * (1/0.75 - 1)))</f>
      </c>
      <c r="AZ66" s="111"/>
      <c r="BA66" s="109">
        <f>IF(AZ66=0, "", AZ66 / ((1 + 0.1*N(F66))/0.75))</f>
      </c>
      <c r="BB66" s="39">
        <v>0.1</v>
      </c>
      <c r="BC66" s="1"/>
      <c r="BD66" s="72">
        <f>BD65</f>
      </c>
      <c r="BE66" s="72">
        <f>BE65</f>
      </c>
      <c r="BF66" s="74"/>
      <c r="BG66" s="64"/>
      <c r="BH66" s="69"/>
      <c r="BI66" s="45"/>
      <c r="BJ66" s="63"/>
      <c r="BK66" s="49"/>
      <c r="BL66" s="56"/>
      <c r="BM66" s="34"/>
      <c r="BN66" s="57">
        <v>1</v>
      </c>
      <c r="BO66" s="54">
        <v>3</v>
      </c>
      <c r="BP66" s="38"/>
      <c r="BQ66" s="39">
        <v>16</v>
      </c>
      <c r="BR66" s="38">
        <f>IFERROR(BQ66*100/CP66,"N/A")</f>
      </c>
      <c r="BS66" s="61">
        <v>1</v>
      </c>
      <c r="BT66" s="54">
        <v>4</v>
      </c>
      <c r="BU66" s="42"/>
      <c r="BV66" s="78"/>
      <c r="BW66" s="73">
        <v>5</v>
      </c>
      <c r="BX66" s="38">
        <f>CP66/BW66</f>
      </c>
      <c r="BY66" s="96">
        <f>BW66/T66</f>
      </c>
      <c r="BZ66" s="1"/>
      <c r="CA66" s="113">
        <f>CA65+5</f>
      </c>
      <c r="CB66" s="39">
        <f>AP66*AJ66+AQ66*AK66+AR66*AL66</f>
      </c>
      <c r="CC66" s="51"/>
      <c r="CD66" s="58"/>
      <c r="CE66" s="58"/>
      <c r="CF66" s="58"/>
      <c r="CG66" s="58"/>
      <c r="CH66" s="58"/>
      <c r="CI66" s="58"/>
      <c r="CJ66" s="79"/>
      <c r="CK66" s="69"/>
      <c r="CL66" s="79"/>
      <c r="CM66" s="51"/>
      <c r="CN66" s="55"/>
      <c r="CO66" s="42"/>
      <c r="CP66" s="70">
        <f>CN66*BS66*BT66</f>
      </c>
      <c r="CQ66" s="38">
        <f>CP66/T66</f>
      </c>
      <c r="CR66" s="38">
        <f>100/CP66</f>
      </c>
      <c r="CS66" s="96">
        <f>100/CQ66</f>
      </c>
      <c r="CT66" s="38"/>
      <c r="CU66" s="38"/>
      <c r="CV66" s="96">
        <f>BL66/T66</f>
      </c>
      <c r="CW66" s="96">
        <f>100/CV66</f>
      </c>
      <c r="CX66" s="77"/>
      <c r="CY66" s="41"/>
      <c r="CZ66" s="77"/>
      <c r="DA66" s="41"/>
      <c r="DB66" s="77"/>
      <c r="DC66" s="1" t="str">
        <v>待办</v>
      </c>
      <c r="DD66" s="1" t="str">
        <v>待办</v>
      </c>
    </row>
    <row customHeight="true" ht="19" r="67">
      <c r="A67" s="84" t="str">
        <v>Flame Dancer</v>
      </c>
      <c r="B67" s="53" t="str">
        <v>炎舞者</v>
      </c>
      <c r="C67" s="71"/>
      <c r="D67" s="71">
        <f>IF($A67="","","WPN"&amp;VLOOKUP(E67,'引用数据库'!Z:AC,4,FALSE)&amp;VLOOKUP(H67,'引用数据库'!N:P,3,FALSE)&amp;VLOOKUP(I67,'引用数据库'!S:U,3,FALSE)&amp;TEXT(F67,"00"))</f>
      </c>
      <c r="E67" s="75" t="str">
        <v>野望</v>
      </c>
      <c r="F67" s="57">
        <v>4</v>
      </c>
      <c r="G67" s="71">
        <f>G66</f>
      </c>
      <c r="H67" s="75">
        <f>H66</f>
      </c>
      <c r="I67" s="75">
        <f>I66</f>
      </c>
      <c r="J67" s="71" t="str">
        <v>手动</v>
      </c>
      <c r="K67" s="71">
        <f>K66</f>
      </c>
      <c r="L67" s="42"/>
      <c r="M67" s="65">
        <f>M66</f>
      </c>
      <c r="N67" s="54">
        <v>3000</v>
      </c>
      <c r="O67" s="54"/>
      <c r="P67" s="54">
        <v>0</v>
      </c>
      <c r="Q67" s="54">
        <v>0</v>
      </c>
      <c r="R67" s="54">
        <v>0.25</v>
      </c>
      <c r="S67" s="54">
        <v>0</v>
      </c>
      <c r="T67" s="72">
        <f>SUM(P67:S67)</f>
      </c>
      <c r="U67" s="39">
        <f>2*T67/(15*(1+(5-BD67)*0.1))</f>
      </c>
      <c r="V67" s="1"/>
      <c r="W67" s="54">
        <v>0</v>
      </c>
      <c r="X67" s="54">
        <v>20</v>
      </c>
      <c r="Y67" s="76">
        <v>0.5</v>
      </c>
      <c r="Z67" s="76">
        <v>0.5</v>
      </c>
      <c r="AA67" s="66"/>
      <c r="AB67" s="66"/>
      <c r="AC67" s="66"/>
      <c r="AD67" s="60">
        <f>(W67+AB67)*AC67</f>
      </c>
      <c r="AE67" s="60">
        <f>(X67+AB67)*AC67</f>
      </c>
      <c r="AF67" s="1"/>
      <c r="AG67" s="54"/>
      <c r="AH67" s="54"/>
      <c r="AI67" s="1"/>
      <c r="AJ67" s="80"/>
      <c r="AK67" s="108"/>
      <c r="AL67" s="80"/>
      <c r="AM67" s="105">
        <f>IFS(AJ67 &gt; 1.25, "S", AJ67 &gt; 1, "A", AJ67 &gt; 0.75, "B", AJ67 &gt; 0.5, "C", AJ67 &gt; 0.25, "D", AJ67 &gt; 0, "E", TRUE, "-")</f>
      </c>
      <c r="AN67" s="105">
        <f>IFS(AK67 &gt; 1.25, "S", AK67 &gt; 1, "A", AK67 &gt; 0.75, "B", AK67 &gt; 0.5, "C", AK67 &gt; 0.25, "D", AK67 &gt; 0, "E", TRUE, "-")</f>
      </c>
      <c r="AO67" s="105">
        <f>IFS(AL67 &gt; 1.25, "S", AL67 &gt; 1, "A", AL67 &gt; 0.75, "B", AL67 &gt; 0.5, "C", AL67 &gt; 0.25, "D", AL67 &gt; 0, "E", TRUE, "-")</f>
      </c>
      <c r="AP67" s="68"/>
      <c r="AQ67" s="68"/>
      <c r="AR67" s="68"/>
      <c r="AS67" s="55"/>
      <c r="AT67" s="55"/>
      <c r="AU67" s="105"/>
      <c r="AV67" s="68">
        <f>IF(SUM(AJ67:AL67)=0, 0, (1 + F67 * 0.1) * (0.75 + 0.25 * MAX(0, MIN(1, IF(MAX(AJ67:AL67)=0, 0, (3*MAX(AJ67:AL67)-SUM(AJ67:AL67)) / (2*MAX(AJ67:AL67)))))))</f>
      </c>
      <c r="AW67" s="111">
        <f>MAX(AJ67:AL67)</f>
      </c>
      <c r="AX67" s="109">
        <f>IF(AW67=0, "", AW67 / ((1 + 0.1*N(F67))))</f>
      </c>
      <c r="AY67" s="68">
        <f>IF(SUM(AJ67:AL67)=0, 0,     (1 + F67 * 0.1) * (1 + ((SUM(AJ67:AL67) - MAX(AJ67:AL67)) / (2 * MAX(AJ67:AL67))) * (1/0.75 - 1)))</f>
      </c>
      <c r="AZ67" s="111"/>
      <c r="BA67" s="109">
        <f>IF(AZ67=0, "", AZ67 / ((1 + 0.1*N(F67))/0.75))</f>
      </c>
      <c r="BB67" s="39">
        <v>0.1</v>
      </c>
      <c r="BC67" s="1"/>
      <c r="BD67" s="72">
        <f>BD66</f>
      </c>
      <c r="BE67" s="72">
        <f>BE66</f>
      </c>
      <c r="BF67" s="74"/>
      <c r="BG67" s="64"/>
      <c r="BH67" s="69"/>
      <c r="BI67" s="45"/>
      <c r="BJ67" s="63"/>
      <c r="BK67" s="49"/>
      <c r="BL67" s="56"/>
      <c r="BM67" s="34"/>
      <c r="BN67" s="57">
        <v>1</v>
      </c>
      <c r="BO67" s="54">
        <v>3</v>
      </c>
      <c r="BP67" s="38"/>
      <c r="BQ67" s="39">
        <v>16</v>
      </c>
      <c r="BR67" s="38">
        <f>IFERROR(BQ67*100/CP67,"N/A")</f>
      </c>
      <c r="BS67" s="61">
        <v>1</v>
      </c>
      <c r="BT67" s="54">
        <v>4</v>
      </c>
      <c r="BU67" s="42"/>
      <c r="BV67" s="78"/>
      <c r="BW67" s="73">
        <v>5</v>
      </c>
      <c r="BX67" s="38">
        <f>CP67/BW67</f>
      </c>
      <c r="BY67" s="96">
        <f>BW67/T67</f>
      </c>
      <c r="BZ67" s="1"/>
      <c r="CA67" s="113">
        <f>CA66+5</f>
      </c>
      <c r="CB67" s="39">
        <f>AP67*AJ67+AQ67*AK67+AR67*AL67</f>
      </c>
      <c r="CC67" s="51"/>
      <c r="CD67" s="58"/>
      <c r="CE67" s="58"/>
      <c r="CF67" s="58"/>
      <c r="CG67" s="58"/>
      <c r="CH67" s="58"/>
      <c r="CI67" s="58"/>
      <c r="CJ67" s="79"/>
      <c r="CK67" s="69"/>
      <c r="CL67" s="79"/>
      <c r="CM67" s="51"/>
      <c r="CN67" s="55"/>
      <c r="CO67" s="42"/>
      <c r="CP67" s="70">
        <f>CN67*BS67*BT67</f>
      </c>
      <c r="CQ67" s="38">
        <f>CP67/T67</f>
      </c>
      <c r="CR67" s="38">
        <f>100/CP67</f>
      </c>
      <c r="CS67" s="96">
        <f>100/CQ67</f>
      </c>
      <c r="CT67" s="38"/>
      <c r="CU67" s="38"/>
      <c r="CV67" s="96">
        <f>BL67/T67</f>
      </c>
      <c r="CW67" s="96">
        <f>100/CV67</f>
      </c>
      <c r="CX67" s="77"/>
      <c r="CY67" s="41"/>
      <c r="CZ67" s="77"/>
      <c r="DA67" s="41"/>
      <c r="DB67" s="77"/>
      <c r="DC67" s="1" t="str">
        <v>待办</v>
      </c>
      <c r="DD67" s="1" t="str">
        <v>待办</v>
      </c>
    </row>
    <row r="68">
      <c r="A68" s="84" t="str">
        <v>Flame Dancer</v>
      </c>
      <c r="B68" s="53" t="str">
        <v>炎舞者</v>
      </c>
      <c r="C68" s="71"/>
      <c r="D68" s="71">
        <f>IF($A68="","","WPN"&amp;VLOOKUP(E68,'引用数据库'!Z:AC,4,FALSE)&amp;VLOOKUP(H68,'引用数据库'!N:P,3,FALSE)&amp;VLOOKUP(I68,'引用数据库'!S:U,3,FALSE)&amp;TEXT(F68,"00"))</f>
      </c>
      <c r="E68" s="75" t="str">
        <v>野望</v>
      </c>
      <c r="F68" s="57">
        <v>5</v>
      </c>
      <c r="G68" s="71">
        <f>G67</f>
      </c>
      <c r="H68" s="75">
        <f>H67</f>
      </c>
      <c r="I68" s="75">
        <f>I67</f>
      </c>
      <c r="J68" s="71" t="str">
        <v>手动</v>
      </c>
      <c r="K68" s="71">
        <f>K67</f>
      </c>
      <c r="L68" s="42"/>
      <c r="M68" s="65">
        <f>M67</f>
      </c>
      <c r="N68" s="54">
        <v>3000</v>
      </c>
      <c r="O68" s="54"/>
      <c r="P68" s="54">
        <v>0</v>
      </c>
      <c r="Q68" s="54">
        <v>0</v>
      </c>
      <c r="R68" s="54">
        <v>0.25</v>
      </c>
      <c r="S68" s="54">
        <v>0</v>
      </c>
      <c r="T68" s="72">
        <f>SUM(P68:S68)</f>
      </c>
      <c r="U68" s="39">
        <f>2*T68/(15*(1+(5-BD68)*0.1))</f>
      </c>
      <c r="V68" s="1"/>
      <c r="W68" s="54">
        <v>0</v>
      </c>
      <c r="X68" s="54">
        <v>20</v>
      </c>
      <c r="Y68" s="76">
        <v>0.5</v>
      </c>
      <c r="Z68" s="76">
        <v>0.5</v>
      </c>
      <c r="AA68" s="66"/>
      <c r="AB68" s="66"/>
      <c r="AC68" s="66"/>
      <c r="AD68" s="60">
        <f>(W68+AB68)*AC68</f>
      </c>
      <c r="AE68" s="60">
        <f>(X68+AB68)*AC68</f>
      </c>
      <c r="AF68" s="1"/>
      <c r="AG68" s="54"/>
      <c r="AH68" s="54"/>
      <c r="AI68" s="1"/>
      <c r="AJ68" s="80"/>
      <c r="AK68" s="108"/>
      <c r="AL68" s="80"/>
      <c r="AM68" s="105">
        <f>IFS(AJ68 &gt; 1.25, "S", AJ68 &gt; 1, "A", AJ68 &gt; 0.75, "B", AJ68 &gt; 0.5, "C", AJ68 &gt; 0.25, "D", AJ68 &gt; 0, "E", TRUE, "-")</f>
      </c>
      <c r="AN68" s="105">
        <f>IFS(AK68 &gt; 1.25, "S", AK68 &gt; 1, "A", AK68 &gt; 0.75, "B", AK68 &gt; 0.5, "C", AK68 &gt; 0.25, "D", AK68 &gt; 0, "E", TRUE, "-")</f>
      </c>
      <c r="AO68" s="105">
        <f>IFS(AL68 &gt; 1.25, "S", AL68 &gt; 1, "A", AL68 &gt; 0.75, "B", AL68 &gt; 0.5, "C", AL68 &gt; 0.25, "D", AL68 &gt; 0, "E", TRUE, "-")</f>
      </c>
      <c r="AP68" s="68"/>
      <c r="AQ68" s="68"/>
      <c r="AR68" s="68"/>
      <c r="AS68" s="55"/>
      <c r="AT68" s="55"/>
      <c r="AU68" s="105"/>
      <c r="AV68" s="68">
        <f>IF(SUM(AJ68:AL68)=0, 0, (1 + F68 * 0.1) * (0.75 + 0.25 * MAX(0, MIN(1, IF(MAX(AJ68:AL68)=0, 0, (3*MAX(AJ68:AL68)-SUM(AJ68:AL68)) / (2*MAX(AJ68:AL68)))))))</f>
      </c>
      <c r="AW68" s="111">
        <f>MAX(AJ68:AL68)</f>
      </c>
      <c r="AX68" s="109">
        <f>IF(AW68=0, "", AW68 / ((1 + 0.1*N(F68))))</f>
      </c>
      <c r="AY68" s="68">
        <f>IF(SUM(AJ68:AL68)=0, 0,     (1 + F68 * 0.1) * (1 + ((SUM(AJ68:AL68) - MAX(AJ68:AL68)) / (2 * MAX(AJ68:AL68))) * (1/0.75 - 1)))</f>
      </c>
      <c r="AZ68" s="111"/>
      <c r="BA68" s="109">
        <f>IF(AZ68=0, "", AZ68 / ((1 + 0.1*N(F68))/0.75))</f>
      </c>
      <c r="BB68" s="39">
        <v>0.1</v>
      </c>
      <c r="BC68" s="1"/>
      <c r="BD68" s="72">
        <f>BD67</f>
      </c>
      <c r="BE68" s="72">
        <f>BE67</f>
      </c>
      <c r="BF68" s="74"/>
      <c r="BG68" s="64"/>
      <c r="BH68" s="69"/>
      <c r="BI68" s="45"/>
      <c r="BJ68" s="63"/>
      <c r="BK68" s="49"/>
      <c r="BL68" s="56"/>
      <c r="BM68" s="34"/>
      <c r="BN68" s="57">
        <v>1</v>
      </c>
      <c r="BO68" s="54">
        <v>3</v>
      </c>
      <c r="BP68" s="38"/>
      <c r="BQ68" s="39">
        <v>16</v>
      </c>
      <c r="BR68" s="38">
        <f>IFERROR(BQ68*100/CP68,"N/A")</f>
      </c>
      <c r="BS68" s="61">
        <v>1</v>
      </c>
      <c r="BT68" s="54">
        <v>4</v>
      </c>
      <c r="BU68" s="42"/>
      <c r="BV68" s="78"/>
      <c r="BW68" s="73">
        <v>5</v>
      </c>
      <c r="BX68" s="38">
        <f>CP68/BW68</f>
      </c>
      <c r="BY68" s="96">
        <f>BW68/T68</f>
      </c>
      <c r="BZ68" s="1"/>
      <c r="CA68" s="113">
        <f>CA67+5</f>
      </c>
      <c r="CB68" s="39">
        <f>AP68*AJ68+AQ68*AK68+AR68*AL68</f>
      </c>
      <c r="CC68" s="51"/>
      <c r="CD68" s="58"/>
      <c r="CE68" s="58"/>
      <c r="CF68" s="58"/>
      <c r="CG68" s="58"/>
      <c r="CH68" s="58"/>
      <c r="CI68" s="58"/>
      <c r="CJ68" s="79"/>
      <c r="CK68" s="69"/>
      <c r="CL68" s="79"/>
      <c r="CM68" s="51"/>
      <c r="CN68" s="55"/>
      <c r="CO68" s="42"/>
      <c r="CP68" s="70">
        <f>CN68*BS68*BT68</f>
      </c>
      <c r="CQ68" s="38">
        <f>CP68/T68</f>
      </c>
      <c r="CR68" s="38">
        <f>100/CP68</f>
      </c>
      <c r="CS68" s="96">
        <f>100/CQ68</f>
      </c>
      <c r="CT68" s="38"/>
      <c r="CU68" s="38"/>
      <c r="CV68" s="96">
        <f>BL68/T68</f>
      </c>
      <c r="CW68" s="96">
        <f>100/CV68</f>
      </c>
      <c r="CX68" s="77"/>
      <c r="CY68" s="41"/>
      <c r="CZ68" s="77"/>
      <c r="DA68" s="41"/>
      <c r="DB68" s="77"/>
      <c r="DC68" s="1" t="str">
        <v>待办</v>
      </c>
      <c r="DD68" s="1" t="str">
        <v>待办</v>
      </c>
    </row>
    <row r="69">
      <c r="A69" s="84" t="str">
        <v>RPG-33</v>
      </c>
      <c r="B69" s="162" t="str">
        <v>RPG-33</v>
      </c>
      <c r="C69" s="71"/>
      <c r="D69" s="71">
        <f>IF($A69="","","WPN"&amp;VLOOKUP(E69,'引用数据库'!Z:AC,4,FALSE)&amp;VLOOKUP(H69,'引用数据库'!N:P,3,FALSE)&amp;VLOOKUP(I69,'引用数据库'!S:U,3,FALSE)&amp;TEXT(F69,"00"))</f>
      </c>
      <c r="E69" s="162" t="str">
        <v>纪念碑</v>
      </c>
      <c r="F69" s="67">
        <v>0</v>
      </c>
      <c r="G69" s="84" t="str">
        <v>远程</v>
      </c>
      <c r="H69" s="162" t="str">
        <v>发射器</v>
      </c>
      <c r="I69" s="162" t="str">
        <v>动能</v>
      </c>
      <c r="J69" s="162" t="str">
        <v>手动</v>
      </c>
      <c r="K69" s="71">
        <v>4</v>
      </c>
      <c r="L69" s="42"/>
      <c r="M69" s="46">
        <v>1</v>
      </c>
      <c r="N69" s="67">
        <v>0</v>
      </c>
      <c r="O69" s="168" t="str">
        <v>N/A</v>
      </c>
      <c r="P69" s="67"/>
      <c r="Q69" s="67"/>
      <c r="R69" s="67"/>
      <c r="S69" s="67"/>
      <c r="T69" s="67"/>
      <c r="U69" s="29">
        <f>2*T69/(15*(1+(5-BD69)*0.1))</f>
      </c>
      <c r="V69" s="1"/>
      <c r="W69" s="67"/>
      <c r="X69" s="67"/>
      <c r="Y69" s="165"/>
      <c r="Z69" s="165"/>
      <c r="AA69" s="166"/>
      <c r="AB69" s="166"/>
      <c r="AC69" s="166"/>
      <c r="AD69" s="28">
        <f>(W69+AB69)*AC69</f>
      </c>
      <c r="AE69" s="28">
        <f>(X69+AB69)*AC69</f>
      </c>
      <c r="AF69" s="1"/>
      <c r="AG69" s="67"/>
      <c r="AH69" s="67"/>
      <c r="AI69" s="1"/>
      <c r="AJ69" s="163"/>
      <c r="AK69" s="163"/>
      <c r="AL69" s="163"/>
      <c r="AM69" s="29">
        <f>IFS(AJ69 &gt; 1.25, "S", AJ69 &gt; 1, "A", AJ69 &gt; 0.75, "B", AJ69 &gt; 0.5, "C", AJ69 &gt; 0.25, "D", AJ69 &gt; 0, "E", TRUE, "-")</f>
      </c>
      <c r="AN69" s="29">
        <f>IFS(AK69 &gt; 1.25, "S", AK69 &gt; 1, "A", AK69 &gt; 0.75, "B", AK69 &gt; 0.5, "C", AK69 &gt; 0.25, "D", AK69 &gt; 0, "E", TRUE, "-")</f>
      </c>
      <c r="AO69" s="29">
        <f>IFS(AL69 &gt; 1.25, "S", AL69 &gt; 1, "A", AL69 &gt; 0.75, "B", AL69 &gt; 0.5, "C", AL69 &gt; 0.25, "D", AL69 &gt; 0, "E", TRUE, "-")</f>
      </c>
      <c r="AP69" s="29"/>
      <c r="AQ69" s="32"/>
      <c r="AR69" s="32"/>
      <c r="AS69" s="29"/>
      <c r="AT69" s="29"/>
      <c r="AU69" s="29"/>
      <c r="AV69" s="67">
        <f>IF(SUM(AJ69:AL69)=0, 0, (1 + F69 * 0.1) * (0.75 + 0.25 * MAX(0, MIN(1, IF(MAX(AJ69:AL69)=0, 0, (3*MAX(AJ69:AL69)-SUM(AJ69:AL69)) / (2*MAX(AJ69:AL69)))))))</f>
      </c>
      <c r="AW69" s="161">
        <f>MAX(AJ69:AL69)</f>
      </c>
      <c r="AX69" s="160">
        <f>IF(AW69=0, "", AW69 / ((1 + 0.1*N(F69))))</f>
      </c>
      <c r="AY69" s="67">
        <f>IF(SUM(AJ69:AL69)=0, 0,     (1 + F69 * 0.1) * (1 + ((SUM(AJ69:AL69) - MAX(AJ69:AL69)) / (2 * MAX(AJ69:AL69))) * (1/0.75 - 1)))</f>
      </c>
      <c r="AZ69" s="161"/>
      <c r="BA69" s="160">
        <f>IF(AZ69=0, "", AZ69 / ((1 + 0.1*N(F69))/0.75))</f>
      </c>
      <c r="BB69" s="29">
        <v>0.1</v>
      </c>
      <c r="BC69" s="1"/>
      <c r="BD69" s="67"/>
      <c r="BE69" s="67"/>
      <c r="BF69" s="43"/>
      <c r="BG69" s="32">
        <f>T69*20/BT69/BS69</f>
      </c>
      <c r="BH69" s="163"/>
      <c r="BI69" s="45"/>
      <c r="BJ69" s="47"/>
      <c r="BK69" s="30"/>
      <c r="BL69" s="30"/>
      <c r="BM69" s="50"/>
      <c r="BN69" s="67">
        <v>1</v>
      </c>
      <c r="BO69" s="67"/>
      <c r="BP69" s="64"/>
      <c r="BQ69" s="51">
        <v>4</v>
      </c>
      <c r="BR69" s="38">
        <f>IFERROR(BQ69*100/CP69,"N/A")</f>
      </c>
      <c r="BS69" s="67"/>
      <c r="BT69" s="67"/>
      <c r="BU69" s="42"/>
      <c r="BV69" s="44"/>
      <c r="BW69" s="167"/>
      <c r="BX69" s="29"/>
      <c r="BY69" s="67"/>
      <c r="BZ69" s="1"/>
      <c r="CA69" s="161"/>
      <c r="CB69" s="29"/>
      <c r="CC69" s="29"/>
      <c r="CD69" s="29"/>
      <c r="CE69" s="29"/>
      <c r="CF69" s="29"/>
      <c r="CG69" s="29"/>
      <c r="CH69" s="29"/>
      <c r="CI69" s="29"/>
      <c r="CJ69" s="163"/>
      <c r="CK69" s="163"/>
      <c r="CL69" s="163"/>
      <c r="CM69" s="29"/>
      <c r="CN69" s="29"/>
      <c r="CO69" s="42"/>
      <c r="CP69" s="48">
        <f>CN69*BS69*BT69</f>
      </c>
      <c r="CQ69" s="67"/>
      <c r="CR69" s="29">
        <f>100/CP69</f>
      </c>
      <c r="CS69" s="164">
        <f>100/CQ69</f>
      </c>
      <c r="CT69" s="67"/>
      <c r="CU69" s="67"/>
      <c r="CV69" s="164">
        <f>BL69/T69</f>
      </c>
      <c r="CW69" s="164">
        <f>100/CV69</f>
      </c>
      <c r="CX69" s="77"/>
      <c r="CY69" s="41" t="str">
        <v>经典反坦克火箭筒的延伸版本，
广泛用于企业与黑帮的各种小规模武装冲突。
由于火箭筒结构过于简单，
在升级了无壳打印弹兼容后，
打印一个火箭筒比打印一枚火箭弹耗时还短。</v>
      </c>
      <c r="CZ69" s="77"/>
      <c r="DA69" s="41">
        <f>TEXTJOIN("、", TRUE, FILTER('武器技能'!B:B, '武器技能'!E:E = H69))</f>
      </c>
      <c r="DB69" s="77"/>
      <c r="DC69" s="67" t="str">
        <v>不急</v>
      </c>
      <c r="DD69" s="67" t="str">
        <v>不急</v>
      </c>
    </row>
    <row r="70">
      <c r="A70" s="84" t="str">
        <v>RPG-33</v>
      </c>
      <c r="B70" s="53" t="str">
        <v>RPG-33</v>
      </c>
      <c r="C70" s="71"/>
      <c r="D70" s="71">
        <f>IF($A70="","","WPN"&amp;VLOOKUP(E70,'引用数据库'!Z:AC,4,FALSE)&amp;VLOOKUP(H70,'引用数据库'!N:P,3,FALSE)&amp;VLOOKUP(I70,'引用数据库'!S:U,3,FALSE)&amp;TEXT(F70,"00"))</f>
      </c>
      <c r="E70" s="53" t="str">
        <v>纪念碑</v>
      </c>
      <c r="F70" s="57">
        <v>1</v>
      </c>
      <c r="G70" s="90">
        <f>G69</f>
      </c>
      <c r="H70" s="90">
        <f>H69</f>
      </c>
      <c r="I70" s="90">
        <f>I69</f>
      </c>
      <c r="J70" s="90">
        <f>J69</f>
      </c>
      <c r="K70" s="71">
        <f>K69</f>
      </c>
      <c r="L70" s="42"/>
      <c r="M70" s="65">
        <f>M69</f>
      </c>
      <c r="N70" s="67">
        <v>0</v>
      </c>
      <c r="O70" s="59" t="str">
        <v>N/A</v>
      </c>
      <c r="P70" s="54"/>
      <c r="Q70" s="54"/>
      <c r="R70" s="54"/>
      <c r="S70" s="54"/>
      <c r="T70" s="54"/>
      <c r="U70" s="51">
        <f>2*T70/(15*(1+(5-BD70)*0.1))</f>
      </c>
      <c r="V70" s="1"/>
      <c r="W70" s="54"/>
      <c r="X70" s="54"/>
      <c r="Y70" s="76"/>
      <c r="Z70" s="76"/>
      <c r="AA70" s="66"/>
      <c r="AB70" s="66"/>
      <c r="AC70" s="66"/>
      <c r="AD70" s="60">
        <f>(W70+AB70)*AC70</f>
      </c>
      <c r="AE70" s="60">
        <f>(X70+AB70)*AC70</f>
      </c>
      <c r="AF70" s="1"/>
      <c r="AG70" s="54"/>
      <c r="AH70" s="54"/>
      <c r="AI70" s="1"/>
      <c r="AJ70" s="80"/>
      <c r="AK70" s="80"/>
      <c r="AL70" s="80"/>
      <c r="AM70" s="55">
        <f>IFS(AJ70 &gt; 1.25, "S", AJ70 &gt; 1, "A", AJ70 &gt; 0.75, "B", AJ70 &gt; 0.5, "C", AJ70 &gt; 0.25, "D", AJ70 &gt; 0, "E", TRUE, "-")</f>
      </c>
      <c r="AN70" s="55">
        <f>IFS(AK70 &gt; 1.25, "S", AK70 &gt; 1, "A", AK70 &gt; 0.75, "B", AK70 &gt; 0.5, "C", AK70 &gt; 0.25, "D", AK70 &gt; 0, "E", TRUE, "-")</f>
      </c>
      <c r="AO70" s="55">
        <f>IFS(AL70 &gt; 1.25, "S", AL70 &gt; 1, "A", AL70 &gt; 0.75, "B", AL70 &gt; 0.5, "C", AL70 &gt; 0.25, "D", AL70 &gt; 0, "E", TRUE, "-")</f>
      </c>
      <c r="AP70" s="58"/>
      <c r="AQ70" s="68"/>
      <c r="AR70" s="68"/>
      <c r="AS70" s="55"/>
      <c r="AT70" s="55"/>
      <c r="AU70" s="55"/>
      <c r="AV70" s="61">
        <f>IF(SUM(AJ70:AL70)=0, 0, (1 + F70 * 0.1) * (0.75 + 0.25 * MAX(0, MIN(1, IF(MAX(AJ70:AL70)=0, 0, (3*MAX(AJ70:AL70)-SUM(AJ70:AL70)) / (2*MAX(AJ70:AL70)))))))</f>
      </c>
      <c r="AW70" s="83">
        <f>MAX(AJ70:AL70)</f>
      </c>
      <c r="AX70" s="81">
        <f>IF(AW70=0, "", AW70 / ((1 + 0.1*N(F70))))</f>
      </c>
      <c r="AY70" s="61">
        <f>IF(SUM(AJ70:AL70)=0, 0,     (1 + F70 * 0.1) * (1 + ((SUM(AJ70:AL70) - MAX(AJ70:AL70)) / (2 * MAX(AJ70:AL70))) * (1/0.75 - 1)))</f>
      </c>
      <c r="AZ70" s="83"/>
      <c r="BA70" s="81">
        <f>IF(AZ70=0, "", AZ70 / ((1 + 0.1*N(F70))/0.75))</f>
      </c>
      <c r="BB70" s="51">
        <v>0.1</v>
      </c>
      <c r="BC70" s="1"/>
      <c r="BD70" s="91">
        <f>BD69</f>
      </c>
      <c r="BE70" s="91">
        <f>BE69</f>
      </c>
      <c r="BF70" s="74"/>
      <c r="BG70" s="88"/>
      <c r="BH70" s="69"/>
      <c r="BI70" s="45"/>
      <c r="BJ70" s="63"/>
      <c r="BK70" s="49"/>
      <c r="BL70" s="56"/>
      <c r="BM70" s="50"/>
      <c r="BN70" s="57">
        <v>1</v>
      </c>
      <c r="BO70" s="54"/>
      <c r="BP70" s="64"/>
      <c r="BQ70" s="51">
        <v>4</v>
      </c>
      <c r="BR70" s="38">
        <f>IFERROR(BQ70*100/CP70,"N/A")</f>
      </c>
      <c r="BS70" s="61"/>
      <c r="BT70" s="54"/>
      <c r="BU70" s="42"/>
      <c r="BV70" s="78">
        <f>IFERROR(  ROUND(    (10 / $T$4) *    ((CP70 / T70) / ($CP$4 / $T$4)) ^ 0.9 *    (T70 / $T$4) ^ 0.2 *    ((1 + N70) / (1 + $N$4)) ^ 0.15 *    ((1 + BQ70) / (1 + $BQ$4)) ^ 0.15 *    ((1 + BD70) / (1 + $BD$4)) ^ 0.2 *    ((1 + BH70) / (1 + $BH$4)) ^ 0.2 *    ((1 + BL70) / (1 + $BL$4)) ^ 0.2 *    T70,  0),  CP70 * 1000)</f>
      </c>
      <c r="BW70" s="73"/>
      <c r="BX70" s="64"/>
      <c r="BY70" s="52"/>
      <c r="BZ70" s="1"/>
      <c r="CA70" s="62"/>
      <c r="CB70" s="51"/>
      <c r="CC70" s="51"/>
      <c r="CD70" s="58"/>
      <c r="CE70" s="58"/>
      <c r="CF70" s="58"/>
      <c r="CG70" s="58"/>
      <c r="CH70" s="58"/>
      <c r="CI70" s="58"/>
      <c r="CJ70" s="79"/>
      <c r="CK70" s="69"/>
      <c r="CL70" s="79"/>
      <c r="CM70" s="51"/>
      <c r="CN70" s="55"/>
      <c r="CO70" s="42"/>
      <c r="CP70" s="70">
        <f>CN70*BS70*BT70</f>
      </c>
      <c r="CQ70" s="52"/>
      <c r="CR70" s="64">
        <f>100/CP70</f>
      </c>
      <c r="CS70" s="82">
        <f>100/CQ70</f>
      </c>
      <c r="CT70" s="52"/>
      <c r="CU70" s="52"/>
      <c r="CV70" s="82">
        <f>BL70/T70</f>
      </c>
      <c r="CW70" s="82">
        <f>100/CV70</f>
      </c>
      <c r="CX70" s="77"/>
      <c r="CY70" s="41"/>
      <c r="CZ70" s="77"/>
      <c r="DA70" s="41"/>
      <c r="DB70" s="77"/>
      <c r="DC70" s="159" t="str">
        <v>不急</v>
      </c>
      <c r="DD70" s="159" t="str">
        <v>不急</v>
      </c>
    </row>
    <row r="71">
      <c r="A71" s="84" t="str">
        <v>RPG-33</v>
      </c>
      <c r="B71" s="53" t="str">
        <v>RPG-33</v>
      </c>
      <c r="C71" s="71"/>
      <c r="D71" s="71">
        <f>IF($A71="","","WPN"&amp;VLOOKUP(E71,'引用数据库'!Z:AC,4,FALSE)&amp;VLOOKUP(H71,'引用数据库'!N:P,3,FALSE)&amp;VLOOKUP(I71,'引用数据库'!S:U,3,FALSE)&amp;TEXT(F71,"00"))</f>
      </c>
      <c r="E71" s="53" t="str">
        <v>纪念碑</v>
      </c>
      <c r="F71" s="57">
        <v>2</v>
      </c>
      <c r="G71" s="71">
        <f>G70</f>
      </c>
      <c r="H71" s="75">
        <f>H70</f>
      </c>
      <c r="I71" s="75">
        <f>I70</f>
      </c>
      <c r="J71" s="71">
        <f>J70</f>
      </c>
      <c r="K71" s="71">
        <f>K70</f>
      </c>
      <c r="L71" s="42"/>
      <c r="M71" s="65">
        <f>M70</f>
      </c>
      <c r="N71" s="67">
        <v>0</v>
      </c>
      <c r="O71" s="59" t="str">
        <v>N/A</v>
      </c>
      <c r="P71" s="54"/>
      <c r="Q71" s="54"/>
      <c r="R71" s="54"/>
      <c r="S71" s="54"/>
      <c r="T71" s="54"/>
      <c r="U71" s="51">
        <f>2*T71/(15*(1+(5-BD71)*0.1))</f>
      </c>
      <c r="V71" s="1"/>
      <c r="W71" s="54"/>
      <c r="X71" s="54"/>
      <c r="Y71" s="76"/>
      <c r="Z71" s="76"/>
      <c r="AA71" s="66"/>
      <c r="AB71" s="66"/>
      <c r="AC71" s="66"/>
      <c r="AD71" s="60">
        <f>(W71+AB71)*AC71</f>
      </c>
      <c r="AE71" s="60">
        <f>(X71+AB71)*AC71</f>
      </c>
      <c r="AF71" s="1"/>
      <c r="AG71" s="54"/>
      <c r="AH71" s="54"/>
      <c r="AI71" s="1"/>
      <c r="AJ71" s="80"/>
      <c r="AK71" s="80"/>
      <c r="AL71" s="80"/>
      <c r="AM71" s="55">
        <f>IFS(AJ71 &gt; 1.25, "S", AJ71 &gt; 1, "A", AJ71 &gt; 0.75, "B", AJ71 &gt; 0.5, "C", AJ71 &gt; 0.25, "D", AJ71 &gt; 0, "E", TRUE, "-")</f>
      </c>
      <c r="AN71" s="55">
        <f>IFS(AK71 &gt; 1.25, "S", AK71 &gt; 1, "A", AK71 &gt; 0.75, "B", AK71 &gt; 0.5, "C", AK71 &gt; 0.25, "D", AK71 &gt; 0, "E", TRUE, "-")</f>
      </c>
      <c r="AO71" s="55">
        <f>IFS(AL71 &gt; 1.25, "S", AL71 &gt; 1, "A", AL71 &gt; 0.75, "B", AL71 &gt; 0.5, "C", AL71 &gt; 0.25, "D", AL71 &gt; 0, "E", TRUE, "-")</f>
      </c>
      <c r="AP71" s="58"/>
      <c r="AQ71" s="68"/>
      <c r="AR71" s="68"/>
      <c r="AS71" s="55"/>
      <c r="AT71" s="55"/>
      <c r="AU71" s="55"/>
      <c r="AV71" s="61">
        <f>IF(SUM(AJ71:AL71)=0, 0, (1 + F71 * 0.1) * (0.75 + 0.25 * MAX(0, MIN(1, IF(MAX(AJ71:AL71)=0, 0, (3*MAX(AJ71:AL71)-SUM(AJ71:AL71)) / (2*MAX(AJ71:AL71)))))))</f>
      </c>
      <c r="AW71" s="83">
        <f>MAX(AJ71:AL71)</f>
      </c>
      <c r="AX71" s="81">
        <f>IF(AW71=0, "", AW71 / ((1 + 0.1*N(F71))))</f>
      </c>
      <c r="AY71" s="61">
        <f>IF(SUM(AJ71:AL71)=0, 0,     (1 + F71 * 0.1) * (1 + ((SUM(AJ71:AL71) - MAX(AJ71:AL71)) / (2 * MAX(AJ71:AL71))) * (1/0.75 - 1)))</f>
      </c>
      <c r="AZ71" s="83"/>
      <c r="BA71" s="81">
        <f>IF(AZ71=0, "", AZ71 / ((1 + 0.1*N(F71))/0.75))</f>
      </c>
      <c r="BB71" s="51">
        <v>0.1</v>
      </c>
      <c r="BC71" s="1"/>
      <c r="BD71" s="72">
        <f>BD70</f>
      </c>
      <c r="BE71" s="72">
        <f>BE70</f>
      </c>
      <c r="BF71" s="74"/>
      <c r="BG71" s="38"/>
      <c r="BH71" s="69"/>
      <c r="BI71" s="45"/>
      <c r="BJ71" s="63"/>
      <c r="BK71" s="49"/>
      <c r="BL71" s="56"/>
      <c r="BM71" s="50"/>
      <c r="BN71" s="57">
        <v>1</v>
      </c>
      <c r="BO71" s="54"/>
      <c r="BP71" s="64"/>
      <c r="BQ71" s="51">
        <v>4</v>
      </c>
      <c r="BR71" s="38">
        <f>IFERROR(BQ71*100/CP71,"N/A")</f>
      </c>
      <c r="BS71" s="61"/>
      <c r="BT71" s="54"/>
      <c r="BU71" s="42"/>
      <c r="BV71" s="78"/>
      <c r="BW71" s="73"/>
      <c r="BX71" s="64"/>
      <c r="BY71" s="52"/>
      <c r="BZ71" s="1"/>
      <c r="CA71" s="62"/>
      <c r="CB71" s="51"/>
      <c r="CC71" s="51"/>
      <c r="CD71" s="58"/>
      <c r="CE71" s="58"/>
      <c r="CF71" s="58"/>
      <c r="CG71" s="58"/>
      <c r="CH71" s="58"/>
      <c r="CI71" s="58"/>
      <c r="CJ71" s="79"/>
      <c r="CK71" s="69"/>
      <c r="CL71" s="79"/>
      <c r="CM71" s="51"/>
      <c r="CN71" s="55"/>
      <c r="CO71" s="42"/>
      <c r="CP71" s="70">
        <f>CN71*BS71*BT71</f>
      </c>
      <c r="CQ71" s="52"/>
      <c r="CR71" s="64">
        <f>100/CP71</f>
      </c>
      <c r="CS71" s="82">
        <f>100/CQ71</f>
      </c>
      <c r="CT71" s="52"/>
      <c r="CU71" s="52"/>
      <c r="CV71" s="82">
        <f>BL71/T71</f>
      </c>
      <c r="CW71" s="82">
        <f>100/CV71</f>
      </c>
      <c r="CX71" s="77"/>
      <c r="CY71" s="41"/>
      <c r="CZ71" s="77"/>
      <c r="DA71" s="41"/>
      <c r="DB71" s="77"/>
      <c r="DC71" s="1" t="str">
        <v>不急</v>
      </c>
      <c r="DD71" s="1" t="str">
        <v>不急</v>
      </c>
    </row>
    <row r="72">
      <c r="A72" s="84" t="str">
        <v>RPG-33</v>
      </c>
      <c r="B72" s="53" t="str">
        <v>RPG-33</v>
      </c>
      <c r="C72" s="71"/>
      <c r="D72" s="71">
        <f>IF($A72="","","WPN"&amp;VLOOKUP(E72,'引用数据库'!Z:AC,4,FALSE)&amp;VLOOKUP(H72,'引用数据库'!N:P,3,FALSE)&amp;VLOOKUP(I72,'引用数据库'!S:U,3,FALSE)&amp;TEXT(F72,"00"))</f>
      </c>
      <c r="E72" s="53" t="str">
        <v>纪念碑</v>
      </c>
      <c r="F72" s="57">
        <v>3</v>
      </c>
      <c r="G72" s="71">
        <f>G71</f>
      </c>
      <c r="H72" s="75">
        <f>H71</f>
      </c>
      <c r="I72" s="75">
        <f>I71</f>
      </c>
      <c r="J72" s="71">
        <f>J71</f>
      </c>
      <c r="K72" s="71">
        <f>K71</f>
      </c>
      <c r="L72" s="42"/>
      <c r="M72" s="65">
        <f>M71</f>
      </c>
      <c r="N72" s="67">
        <v>0</v>
      </c>
      <c r="O72" s="59" t="str">
        <v>N/A</v>
      </c>
      <c r="P72" s="54"/>
      <c r="Q72" s="54"/>
      <c r="R72" s="54"/>
      <c r="S72" s="54"/>
      <c r="T72" s="54"/>
      <c r="U72" s="51">
        <f>2*T72/(15*(1+(5-BD72)*0.1))</f>
      </c>
      <c r="V72" s="1"/>
      <c r="W72" s="54"/>
      <c r="X72" s="54"/>
      <c r="Y72" s="76"/>
      <c r="Z72" s="76"/>
      <c r="AA72" s="66"/>
      <c r="AB72" s="66"/>
      <c r="AC72" s="66"/>
      <c r="AD72" s="60">
        <f>(W72+AB72)*AC72</f>
      </c>
      <c r="AE72" s="60">
        <f>(X72+AB72)*AC72</f>
      </c>
      <c r="AF72" s="1"/>
      <c r="AG72" s="54"/>
      <c r="AH72" s="54"/>
      <c r="AI72" s="1"/>
      <c r="AJ72" s="80"/>
      <c r="AK72" s="80"/>
      <c r="AL72" s="80"/>
      <c r="AM72" s="55">
        <f>IFS(AJ72 &gt; 1.25, "S", AJ72 &gt; 1, "A", AJ72 &gt; 0.75, "B", AJ72 &gt; 0.5, "C", AJ72 &gt; 0.25, "D", AJ72 &gt; 0, "E", TRUE, "-")</f>
      </c>
      <c r="AN72" s="55">
        <f>IFS(AK72 &gt; 1.25, "S", AK72 &gt; 1, "A", AK72 &gt; 0.75, "B", AK72 &gt; 0.5, "C", AK72 &gt; 0.25, "D", AK72 &gt; 0, "E", TRUE, "-")</f>
      </c>
      <c r="AO72" s="55">
        <f>IFS(AL72 &gt; 1.25, "S", AL72 &gt; 1, "A", AL72 &gt; 0.75, "B", AL72 &gt; 0.5, "C", AL72 &gt; 0.25, "D", AL72 &gt; 0, "E", TRUE, "-")</f>
      </c>
      <c r="AP72" s="58"/>
      <c r="AQ72" s="68"/>
      <c r="AR72" s="68"/>
      <c r="AS72" s="55"/>
      <c r="AT72" s="55"/>
      <c r="AU72" s="55"/>
      <c r="AV72" s="61">
        <f>IF(SUM(AJ72:AL72)=0, 0, (1 + F72 * 0.1) * (0.75 + 0.25 * MAX(0, MIN(1, IF(MAX(AJ72:AL72)=0, 0, (3*MAX(AJ72:AL72)-SUM(AJ72:AL72)) / (2*MAX(AJ72:AL72)))))))</f>
      </c>
      <c r="AW72" s="83">
        <f>MAX(AJ72:AL72)</f>
      </c>
      <c r="AX72" s="81">
        <f>IF(AW72=0, "", AW72 / ((1 + 0.1*N(F72))))</f>
      </c>
      <c r="AY72" s="61">
        <f>IF(SUM(AJ72:AL72)=0, 0,     (1 + F72 * 0.1) * (1 + ((SUM(AJ72:AL72) - MAX(AJ72:AL72)) / (2 * MAX(AJ72:AL72))) * (1/0.75 - 1)))</f>
      </c>
      <c r="AZ72" s="83"/>
      <c r="BA72" s="81">
        <f>IF(AZ72=0, "", AZ72 / ((1 + 0.1*N(F72))/0.75))</f>
      </c>
      <c r="BB72" s="51">
        <v>0.1</v>
      </c>
      <c r="BC72" s="1"/>
      <c r="BD72" s="72">
        <f>BD71</f>
      </c>
      <c r="BE72" s="72">
        <f>BE71</f>
      </c>
      <c r="BF72" s="74"/>
      <c r="BG72" s="38"/>
      <c r="BH72" s="69"/>
      <c r="BI72" s="45"/>
      <c r="BJ72" s="63"/>
      <c r="BK72" s="49"/>
      <c r="BL72" s="56"/>
      <c r="BM72" s="50"/>
      <c r="BN72" s="57">
        <v>1</v>
      </c>
      <c r="BO72" s="54"/>
      <c r="BP72" s="64"/>
      <c r="BQ72" s="51">
        <v>4</v>
      </c>
      <c r="BR72" s="38">
        <f>IFERROR(BQ72*100/CP72,"N/A")</f>
      </c>
      <c r="BS72" s="61"/>
      <c r="BT72" s="54"/>
      <c r="BU72" s="42"/>
      <c r="BV72" s="78"/>
      <c r="BW72" s="73"/>
      <c r="BX72" s="64"/>
      <c r="BY72" s="52"/>
      <c r="BZ72" s="1"/>
      <c r="CA72" s="62"/>
      <c r="CB72" s="51"/>
      <c r="CC72" s="51"/>
      <c r="CD72" s="58"/>
      <c r="CE72" s="58"/>
      <c r="CF72" s="58"/>
      <c r="CG72" s="58"/>
      <c r="CH72" s="58"/>
      <c r="CI72" s="58"/>
      <c r="CJ72" s="79"/>
      <c r="CK72" s="69"/>
      <c r="CL72" s="79"/>
      <c r="CM72" s="51"/>
      <c r="CN72" s="55"/>
      <c r="CO72" s="42"/>
      <c r="CP72" s="70">
        <f>CN72*BS72*BT72</f>
      </c>
      <c r="CQ72" s="52"/>
      <c r="CR72" s="64">
        <f>100/CP72</f>
      </c>
      <c r="CS72" s="82">
        <f>100/CQ72</f>
      </c>
      <c r="CT72" s="52"/>
      <c r="CU72" s="52"/>
      <c r="CV72" s="82">
        <f>BL72/T72</f>
      </c>
      <c r="CW72" s="82">
        <f>100/CV72</f>
      </c>
      <c r="CX72" s="77"/>
      <c r="CY72" s="41"/>
      <c r="CZ72" s="77"/>
      <c r="DA72" s="41"/>
      <c r="DB72" s="77"/>
      <c r="DC72" s="1" t="str">
        <v>不急</v>
      </c>
      <c r="DD72" s="1" t="str">
        <v>不急</v>
      </c>
    </row>
    <row r="73">
      <c r="A73" s="84" t="str">
        <v>RPG-33</v>
      </c>
      <c r="B73" s="53" t="str">
        <v>RPG-33</v>
      </c>
      <c r="C73" s="71"/>
      <c r="D73" s="71">
        <f>IF($A73="","","WPN"&amp;VLOOKUP(E73,'引用数据库'!Z:AC,4,FALSE)&amp;VLOOKUP(H73,'引用数据库'!N:P,3,FALSE)&amp;VLOOKUP(I73,'引用数据库'!S:U,3,FALSE)&amp;TEXT(F73,"00"))</f>
      </c>
      <c r="E73" s="53" t="str">
        <v>纪念碑</v>
      </c>
      <c r="F73" s="57">
        <v>4</v>
      </c>
      <c r="G73" s="71">
        <f>G72</f>
      </c>
      <c r="H73" s="75">
        <f>H72</f>
      </c>
      <c r="I73" s="75">
        <f>I72</f>
      </c>
      <c r="J73" s="71">
        <f>J72</f>
      </c>
      <c r="K73" s="71">
        <f>K72</f>
      </c>
      <c r="L73" s="42"/>
      <c r="M73" s="65">
        <f>M72</f>
      </c>
      <c r="N73" s="67">
        <v>0</v>
      </c>
      <c r="O73" s="59" t="str">
        <v>N/A</v>
      </c>
      <c r="P73" s="54"/>
      <c r="Q73" s="54"/>
      <c r="R73" s="54"/>
      <c r="S73" s="54"/>
      <c r="T73" s="54"/>
      <c r="U73" s="51">
        <f>2*T73/(15*(1+(5-BD73)*0.1))</f>
      </c>
      <c r="V73" s="1"/>
      <c r="W73" s="54"/>
      <c r="X73" s="54"/>
      <c r="Y73" s="76"/>
      <c r="Z73" s="76"/>
      <c r="AA73" s="66"/>
      <c r="AB73" s="66"/>
      <c r="AC73" s="66"/>
      <c r="AD73" s="60">
        <f>(W73+AB73)*AC73</f>
      </c>
      <c r="AE73" s="60">
        <f>(X73+AB73)*AC73</f>
      </c>
      <c r="AF73" s="1"/>
      <c r="AG73" s="54"/>
      <c r="AH73" s="54"/>
      <c r="AI73" s="1"/>
      <c r="AJ73" s="80"/>
      <c r="AK73" s="80"/>
      <c r="AL73" s="80"/>
      <c r="AM73" s="55">
        <f>IFS(AJ73 &gt; 1.25, "S", AJ73 &gt; 1, "A", AJ73 &gt; 0.75, "B", AJ73 &gt; 0.5, "C", AJ73 &gt; 0.25, "D", AJ73 &gt; 0, "E", TRUE, "-")</f>
      </c>
      <c r="AN73" s="55">
        <f>IFS(AK73 &gt; 1.25, "S", AK73 &gt; 1, "A", AK73 &gt; 0.75, "B", AK73 &gt; 0.5, "C", AK73 &gt; 0.25, "D", AK73 &gt; 0, "E", TRUE, "-")</f>
      </c>
      <c r="AO73" s="55">
        <f>IFS(AL73 &gt; 1.25, "S", AL73 &gt; 1, "A", AL73 &gt; 0.75, "B", AL73 &gt; 0.5, "C", AL73 &gt; 0.25, "D", AL73 &gt; 0, "E", TRUE, "-")</f>
      </c>
      <c r="AP73" s="58"/>
      <c r="AQ73" s="68"/>
      <c r="AR73" s="68"/>
      <c r="AS73" s="55"/>
      <c r="AT73" s="55"/>
      <c r="AU73" s="55"/>
      <c r="AV73" s="61">
        <f>IF(SUM(AJ73:AL73)=0, 0, (1 + F73 * 0.1) * (0.75 + 0.25 * MAX(0, MIN(1, IF(MAX(AJ73:AL73)=0, 0, (3*MAX(AJ73:AL73)-SUM(AJ73:AL73)) / (2*MAX(AJ73:AL73)))))))</f>
      </c>
      <c r="AW73" s="83">
        <f>MAX(AJ73:AL73)</f>
      </c>
      <c r="AX73" s="81">
        <f>IF(AW73=0, "", AW73 / ((1 + 0.1*N(F73))))</f>
      </c>
      <c r="AY73" s="61">
        <f>IF(SUM(AJ73:AL73)=0, 0,     (1 + F73 * 0.1) * (1 + ((SUM(AJ73:AL73) - MAX(AJ73:AL73)) / (2 * MAX(AJ73:AL73))) * (1/0.75 - 1)))</f>
      </c>
      <c r="AZ73" s="83"/>
      <c r="BA73" s="81">
        <f>IF(AZ73=0, "", AZ73 / ((1 + 0.1*N(F73))/0.75))</f>
      </c>
      <c r="BB73" s="51">
        <v>0.1</v>
      </c>
      <c r="BC73" s="1"/>
      <c r="BD73" s="72">
        <f>BD72</f>
      </c>
      <c r="BE73" s="72">
        <f>BE72</f>
      </c>
      <c r="BF73" s="74"/>
      <c r="BG73" s="38"/>
      <c r="BH73" s="69"/>
      <c r="BI73" s="45"/>
      <c r="BJ73" s="63"/>
      <c r="BK73" s="49"/>
      <c r="BL73" s="56"/>
      <c r="BM73" s="50"/>
      <c r="BN73" s="57">
        <v>1</v>
      </c>
      <c r="BO73" s="54"/>
      <c r="BP73" s="64"/>
      <c r="BQ73" s="51">
        <v>4</v>
      </c>
      <c r="BR73" s="38">
        <f>IFERROR(BQ73*100/CP73,"N/A")</f>
      </c>
      <c r="BS73" s="61"/>
      <c r="BT73" s="54"/>
      <c r="BU73" s="42"/>
      <c r="BV73" s="78"/>
      <c r="BW73" s="73"/>
      <c r="BX73" s="64"/>
      <c r="BY73" s="52"/>
      <c r="BZ73" s="1"/>
      <c r="CA73" s="62"/>
      <c r="CB73" s="51"/>
      <c r="CC73" s="51"/>
      <c r="CD73" s="58"/>
      <c r="CE73" s="58"/>
      <c r="CF73" s="58"/>
      <c r="CG73" s="58"/>
      <c r="CH73" s="58"/>
      <c r="CI73" s="58"/>
      <c r="CJ73" s="79"/>
      <c r="CK73" s="69"/>
      <c r="CL73" s="79"/>
      <c r="CM73" s="51"/>
      <c r="CN73" s="55"/>
      <c r="CO73" s="42"/>
      <c r="CP73" s="70">
        <f>CN73*BS73*BT73</f>
      </c>
      <c r="CQ73" s="52"/>
      <c r="CR73" s="64">
        <f>100/CP73</f>
      </c>
      <c r="CS73" s="82">
        <f>100/CQ73</f>
      </c>
      <c r="CT73" s="52"/>
      <c r="CU73" s="52"/>
      <c r="CV73" s="82">
        <f>BL73/T73</f>
      </c>
      <c r="CW73" s="82">
        <f>100/CV73</f>
      </c>
      <c r="CX73" s="77"/>
      <c r="CY73" s="41"/>
      <c r="CZ73" s="77"/>
      <c r="DA73" s="41"/>
      <c r="DB73" s="77"/>
      <c r="DC73" s="1" t="str">
        <v>不急</v>
      </c>
      <c r="DD73" s="1" t="str">
        <v>不急</v>
      </c>
    </row>
    <row r="74">
      <c r="A74" s="84" t="str">
        <v>RPG-33</v>
      </c>
      <c r="B74" s="53" t="str">
        <v>RPG-33</v>
      </c>
      <c r="C74" s="71"/>
      <c r="D74" s="71">
        <f>IF($A74="","","WPN"&amp;VLOOKUP(E74,'引用数据库'!Z:AC,4,FALSE)&amp;VLOOKUP(H74,'引用数据库'!N:P,3,FALSE)&amp;VLOOKUP(I74,'引用数据库'!S:U,3,FALSE)&amp;TEXT(F74,"00"))</f>
      </c>
      <c r="E74" s="53" t="str">
        <v>纪念碑</v>
      </c>
      <c r="F74" s="57">
        <v>5</v>
      </c>
      <c r="G74" s="71">
        <f>G73</f>
      </c>
      <c r="H74" s="75">
        <f>H73</f>
      </c>
      <c r="I74" s="75">
        <f>I73</f>
      </c>
      <c r="J74" s="71">
        <f>J73</f>
      </c>
      <c r="K74" s="71">
        <f>K73</f>
      </c>
      <c r="L74" s="42"/>
      <c r="M74" s="65">
        <f>M73</f>
      </c>
      <c r="N74" s="67">
        <v>0</v>
      </c>
      <c r="O74" s="59" t="str">
        <v>N/A</v>
      </c>
      <c r="P74" s="54"/>
      <c r="Q74" s="54"/>
      <c r="R74" s="54"/>
      <c r="S74" s="54"/>
      <c r="T74" s="54"/>
      <c r="U74" s="51">
        <f>2*T74/(15*(1+(5-BD74)*0.1))</f>
      </c>
      <c r="V74" s="1"/>
      <c r="W74" s="54"/>
      <c r="X74" s="54"/>
      <c r="Y74" s="76"/>
      <c r="Z74" s="76"/>
      <c r="AA74" s="66"/>
      <c r="AB74" s="66"/>
      <c r="AC74" s="66"/>
      <c r="AD74" s="60">
        <f>(W74+AB74)*AC74</f>
      </c>
      <c r="AE74" s="60">
        <f>(X74+AB74)*AC74</f>
      </c>
      <c r="AF74" s="1"/>
      <c r="AG74" s="54"/>
      <c r="AH74" s="54"/>
      <c r="AI74" s="1"/>
      <c r="AJ74" s="80"/>
      <c r="AK74" s="80"/>
      <c r="AL74" s="80"/>
      <c r="AM74" s="55">
        <f>IFS(AJ74 &gt; 1.25, "S", AJ74 &gt; 1, "A", AJ74 &gt; 0.75, "B", AJ74 &gt; 0.5, "C", AJ74 &gt; 0.25, "D", AJ74 &gt; 0, "E", TRUE, "-")</f>
      </c>
      <c r="AN74" s="55">
        <f>IFS(AK74 &gt; 1.25, "S", AK74 &gt; 1, "A", AK74 &gt; 0.75, "B", AK74 &gt; 0.5, "C", AK74 &gt; 0.25, "D", AK74 &gt; 0, "E", TRUE, "-")</f>
      </c>
      <c r="AO74" s="55">
        <f>IFS(AL74 &gt; 1.25, "S", AL74 &gt; 1, "A", AL74 &gt; 0.75, "B", AL74 &gt; 0.5, "C", AL74 &gt; 0.25, "D", AL74 &gt; 0, "E", TRUE, "-")</f>
      </c>
      <c r="AP74" s="58"/>
      <c r="AQ74" s="68"/>
      <c r="AR74" s="68"/>
      <c r="AS74" s="55"/>
      <c r="AT74" s="55"/>
      <c r="AU74" s="55"/>
      <c r="AV74" s="61">
        <f>IF(SUM(AJ74:AL74)=0, 0, (1 + F74 * 0.1) * (0.75 + 0.25 * MAX(0, MIN(1, IF(MAX(AJ74:AL74)=0, 0, (3*MAX(AJ74:AL74)-SUM(AJ74:AL74)) / (2*MAX(AJ74:AL74)))))))</f>
      </c>
      <c r="AW74" s="83">
        <f>MAX(AJ74:AL74)</f>
      </c>
      <c r="AX74" s="81">
        <f>IF(AW74=0, "", AW74 / ((1 + 0.1*N(F74))))</f>
      </c>
      <c r="AY74" s="61">
        <f>IF(SUM(AJ74:AL74)=0, 0,     (1 + F74 * 0.1) * (1 + ((SUM(AJ74:AL74) - MAX(AJ74:AL74)) / (2 * MAX(AJ74:AL74))) * (1/0.75 - 1)))</f>
      </c>
      <c r="AZ74" s="83"/>
      <c r="BA74" s="81">
        <f>IF(AZ74=0, "", AZ74 / ((1 + 0.1*N(F74))/0.75))</f>
      </c>
      <c r="BB74" s="51">
        <v>0.1</v>
      </c>
      <c r="BC74" s="1"/>
      <c r="BD74" s="72">
        <f>BD73</f>
      </c>
      <c r="BE74" s="72">
        <f>BE73</f>
      </c>
      <c r="BF74" s="74"/>
      <c r="BG74" s="38"/>
      <c r="BH74" s="69"/>
      <c r="BI74" s="45"/>
      <c r="BJ74" s="63"/>
      <c r="BK74" s="49"/>
      <c r="BL74" s="56"/>
      <c r="BM74" s="50"/>
      <c r="BN74" s="57">
        <v>1</v>
      </c>
      <c r="BO74" s="54"/>
      <c r="BP74" s="64"/>
      <c r="BQ74" s="51">
        <v>4</v>
      </c>
      <c r="BR74" s="38">
        <f>IFERROR(BQ74*100/CP74,"N/A")</f>
      </c>
      <c r="BS74" s="61"/>
      <c r="BT74" s="54"/>
      <c r="BU74" s="42"/>
      <c r="BV74" s="78"/>
      <c r="BW74" s="73"/>
      <c r="BX74" s="64"/>
      <c r="BY74" s="52"/>
      <c r="BZ74" s="1"/>
      <c r="CA74" s="62"/>
      <c r="CB74" s="51"/>
      <c r="CC74" s="51"/>
      <c r="CD74" s="58"/>
      <c r="CE74" s="58"/>
      <c r="CF74" s="58"/>
      <c r="CG74" s="58"/>
      <c r="CH74" s="58"/>
      <c r="CI74" s="58"/>
      <c r="CJ74" s="79"/>
      <c r="CK74" s="69"/>
      <c r="CL74" s="79"/>
      <c r="CM74" s="51"/>
      <c r="CN74" s="55"/>
      <c r="CO74" s="42"/>
      <c r="CP74" s="70">
        <f>CN74*BS74*BT74</f>
      </c>
      <c r="CQ74" s="52"/>
      <c r="CR74" s="64">
        <f>100/CP74</f>
      </c>
      <c r="CS74" s="82">
        <f>100/CQ74</f>
      </c>
      <c r="CT74" s="52"/>
      <c r="CU74" s="52"/>
      <c r="CV74" s="82">
        <f>BL74/T74</f>
      </c>
      <c r="CW74" s="82">
        <f>100/CV74</f>
      </c>
      <c r="CX74" s="77"/>
      <c r="CY74" s="41"/>
      <c r="CZ74" s="77"/>
      <c r="DA74" s="41"/>
      <c r="DB74" s="77"/>
      <c r="DC74" s="1" t="str">
        <v>不急</v>
      </c>
      <c r="DD74" s="1" t="str">
        <v>不急</v>
      </c>
    </row>
    <row r="75">
      <c r="A75" s="84" t="str">
        <v>Arctic Savior</v>
      </c>
      <c r="B75" s="162" t="str">
        <v>北极救星</v>
      </c>
      <c r="C75" s="71"/>
      <c r="D75" s="71">
        <f>IF($A75="","","WPN"&amp;VLOOKUP(E75,'引用数据库'!Z:AC,4,FALSE)&amp;VLOOKUP(H75,'引用数据库'!N:P,3,FALSE)&amp;VLOOKUP(I75,'引用数据库'!S:U,3,FALSE)&amp;TEXT(F75,"00"))</f>
      </c>
      <c r="E75" s="162" t="str">
        <v>洛克海德</v>
      </c>
      <c r="F75" s="67">
        <v>0</v>
      </c>
      <c r="G75" s="84" t="str">
        <v>远程</v>
      </c>
      <c r="H75" s="162" t="str">
        <v>狙击枪</v>
      </c>
      <c r="I75" s="162" t="str">
        <v>热能</v>
      </c>
      <c r="J75" s="162" t="str">
        <v>手动</v>
      </c>
      <c r="K75" s="71">
        <v>1</v>
      </c>
      <c r="L75" s="42"/>
      <c r="M75" s="46">
        <v>1</v>
      </c>
      <c r="N75" s="67"/>
      <c r="O75" s="168" t="str">
        <v>N/A</v>
      </c>
      <c r="P75" s="67"/>
      <c r="Q75" s="67"/>
      <c r="R75" s="67"/>
      <c r="S75" s="67"/>
      <c r="T75" s="67"/>
      <c r="U75" s="29">
        <f>2*T75/(15*(1+(5-BD75)*0.1))</f>
      </c>
      <c r="V75" s="1"/>
      <c r="W75" s="67"/>
      <c r="X75" s="67"/>
      <c r="Y75" s="165"/>
      <c r="Z75" s="165"/>
      <c r="AA75" s="166"/>
      <c r="AB75" s="166"/>
      <c r="AC75" s="166"/>
      <c r="AD75" s="28">
        <f>(W75+AB75)*AC75</f>
      </c>
      <c r="AE75" s="28">
        <f>(X75+AB75)*AC75</f>
      </c>
      <c r="AF75" s="1"/>
      <c r="AG75" s="67"/>
      <c r="AH75" s="67"/>
      <c r="AI75" s="1"/>
      <c r="AJ75" s="163"/>
      <c r="AK75" s="163"/>
      <c r="AL75" s="163"/>
      <c r="AM75" s="29">
        <f>IFS(AJ75 &gt; 1.25, "S", AJ75 &gt; 1, "A", AJ75 &gt; 0.75, "B", AJ75 &gt; 0.5, "C", AJ75 &gt; 0.25, "D", AJ75 &gt; 0, "E", TRUE, "-")</f>
      </c>
      <c r="AN75" s="29">
        <f>IFS(AK75 &gt; 1.25, "S", AK75 &gt; 1, "A", AK75 &gt; 0.75, "B", AK75 &gt; 0.5, "C", AK75 &gt; 0.25, "D", AK75 &gt; 0, "E", TRUE, "-")</f>
      </c>
      <c r="AO75" s="29">
        <f>IFS(AL75 &gt; 1.25, "S", AL75 &gt; 1, "A", AL75 &gt; 0.75, "B", AL75 &gt; 0.5, "C", AL75 &gt; 0.25, "D", AL75 &gt; 0, "E", TRUE, "-")</f>
      </c>
      <c r="AP75" s="29"/>
      <c r="AQ75" s="32"/>
      <c r="AR75" s="32"/>
      <c r="AS75" s="29"/>
      <c r="AT75" s="29"/>
      <c r="AU75" s="29"/>
      <c r="AV75" s="67">
        <f>IF(SUM(AJ75:AL75)=0, 0, (1 + F75 * 0.1) * (0.75 + 0.25 * MAX(0, MIN(1, IF(MAX(AJ75:AL75)=0, 0, (3*MAX(AJ75:AL75)-SUM(AJ75:AL75)) / (2*MAX(AJ75:AL75)))))))</f>
      </c>
      <c r="AW75" s="161">
        <f>MAX(AJ75:AL75)</f>
      </c>
      <c r="AX75" s="160">
        <f>IF(AW75=0, "", AW75 / ((1 + 0.1*N(F75))))</f>
      </c>
      <c r="AY75" s="67">
        <f>IF(SUM(AJ75:AL75)=0, 0,     (1 + F75 * 0.1) * (1 + ((SUM(AJ75:AL75) - MAX(AJ75:AL75)) / (2 * MAX(AJ75:AL75))) * (1/0.75 - 1)))</f>
      </c>
      <c r="AZ75" s="161"/>
      <c r="BA75" s="160">
        <f>IF(AZ75=0, "", AZ75 / ((1 + 0.1*N(F75))/0.75))</f>
      </c>
      <c r="BB75" s="29">
        <v>0.1</v>
      </c>
      <c r="BC75" s="1"/>
      <c r="BD75" s="67"/>
      <c r="BE75" s="67"/>
      <c r="BF75" s="43"/>
      <c r="BG75" s="32">
        <f>T75*20/BT75/BS75</f>
      </c>
      <c r="BH75" s="163"/>
      <c r="BI75" s="45"/>
      <c r="BJ75" s="47"/>
      <c r="BK75" s="30"/>
      <c r="BL75" s="30"/>
      <c r="BM75" s="50"/>
      <c r="BN75" s="67">
        <v>5</v>
      </c>
      <c r="BO75" s="67"/>
      <c r="BP75" s="64"/>
      <c r="BQ75" s="51"/>
      <c r="BR75" s="38">
        <f>IFERROR(BQ75*100/CP75,"N/A")</f>
      </c>
      <c r="BS75" s="67"/>
      <c r="BT75" s="67"/>
      <c r="BU75" s="42"/>
      <c r="BV75" s="44"/>
      <c r="BW75" s="167"/>
      <c r="BX75" s="29"/>
      <c r="BY75" s="67"/>
      <c r="BZ75" s="1"/>
      <c r="CA75" s="161"/>
      <c r="CB75" s="29"/>
      <c r="CC75" s="29"/>
      <c r="CD75" s="29"/>
      <c r="CE75" s="29"/>
      <c r="CF75" s="29"/>
      <c r="CG75" s="29"/>
      <c r="CH75" s="29"/>
      <c r="CI75" s="29"/>
      <c r="CJ75" s="163"/>
      <c r="CK75" s="163"/>
      <c r="CL75" s="163"/>
      <c r="CM75" s="29"/>
      <c r="CN75" s="29"/>
      <c r="CO75" s="42"/>
      <c r="CP75" s="48">
        <f>CN75*BS75*BT75</f>
      </c>
      <c r="CQ75" s="67"/>
      <c r="CR75" s="29">
        <f>100/CP75</f>
      </c>
      <c r="CS75" s="164">
        <f>100/CQ75</f>
      </c>
      <c r="CT75" s="67"/>
      <c r="CU75" s="67"/>
      <c r="CV75" s="164">
        <f>BL75/T75</f>
      </c>
      <c r="CW75" s="164">
        <f>100/CV75</f>
      </c>
      <c r="CX75" s="77"/>
      <c r="CY75" s="41" t="str">
        <v>著名的反器械狙击步枪，
最初在“荒地突袭”事件中为洛克海德打出名声。
“消泡”事件后自动机械作战单位的数量大幅减少，但它依旧在对抗赛博格的战场上表现出众。</v>
      </c>
      <c r="CZ75" s="77"/>
      <c r="DA75" s="41">
        <f>TEXTJOIN("、", TRUE, FILTER('武器技能'!B:B, '武器技能'!E:E = H75))</f>
      </c>
      <c r="DB75" s="77"/>
      <c r="DC75" s="67" t="str">
        <v>不急</v>
      </c>
      <c r="DD75" s="67" t="str">
        <v>不急</v>
      </c>
    </row>
    <row r="76">
      <c r="A76" s="84" t="str">
        <v>Arctic Savior</v>
      </c>
      <c r="B76" s="53" t="str">
        <v>北极救星</v>
      </c>
      <c r="C76" s="71"/>
      <c r="D76" s="71">
        <f>IF($A76="","","WPN"&amp;VLOOKUP(E76,'引用数据库'!Z:AC,4,FALSE)&amp;VLOOKUP(H76,'引用数据库'!N:P,3,FALSE)&amp;VLOOKUP(I76,'引用数据库'!S:U,3,FALSE)&amp;TEXT(F76,"00"))</f>
      </c>
      <c r="E76" s="53" t="str">
        <v>洛克海德</v>
      </c>
      <c r="F76" s="57">
        <v>1</v>
      </c>
      <c r="G76" s="90">
        <f>G75</f>
      </c>
      <c r="H76" s="90">
        <f>H75</f>
      </c>
      <c r="I76" s="90">
        <f>I75</f>
      </c>
      <c r="J76" s="90">
        <f>J75</f>
      </c>
      <c r="K76" s="71">
        <f>K75</f>
      </c>
      <c r="L76" s="42"/>
      <c r="M76" s="65">
        <f>M75</f>
      </c>
      <c r="N76" s="54"/>
      <c r="O76" s="54" t="str">
        <v>N/A</v>
      </c>
      <c r="P76" s="54"/>
      <c r="Q76" s="54"/>
      <c r="R76" s="54"/>
      <c r="S76" s="54"/>
      <c r="T76" s="54"/>
      <c r="U76" s="51">
        <f>2*T76/(15*(1+(5-BD76)*0.1))</f>
      </c>
      <c r="V76" s="1"/>
      <c r="W76" s="54"/>
      <c r="X76" s="54"/>
      <c r="Y76" s="76"/>
      <c r="Z76" s="76"/>
      <c r="AA76" s="66"/>
      <c r="AB76" s="66"/>
      <c r="AC76" s="66"/>
      <c r="AD76" s="60">
        <f>(W76+AB76)*AC76</f>
      </c>
      <c r="AE76" s="60">
        <f>(X76+AB76)*AC76</f>
      </c>
      <c r="AF76" s="1"/>
      <c r="AG76" s="54"/>
      <c r="AH76" s="54"/>
      <c r="AI76" s="1"/>
      <c r="AJ76" s="80"/>
      <c r="AK76" s="80"/>
      <c r="AL76" s="80"/>
      <c r="AM76" s="55">
        <f>IFS(AJ76 &gt; 1.25, "S", AJ76 &gt; 1, "A", AJ76 &gt; 0.75, "B", AJ76 &gt; 0.5, "C", AJ76 &gt; 0.25, "D", AJ76 &gt; 0, "E", TRUE, "-")</f>
      </c>
      <c r="AN76" s="55">
        <f>IFS(AK76 &gt; 1.25, "S", AK76 &gt; 1, "A", AK76 &gt; 0.75, "B", AK76 &gt; 0.5, "C", AK76 &gt; 0.25, "D", AK76 &gt; 0, "E", TRUE, "-")</f>
      </c>
      <c r="AO76" s="55">
        <f>IFS(AL76 &gt; 1.25, "S", AL76 &gt; 1, "A", AL76 &gt; 0.75, "B", AL76 &gt; 0.5, "C", AL76 &gt; 0.25, "D", AL76 &gt; 0, "E", TRUE, "-")</f>
      </c>
      <c r="AP76" s="58"/>
      <c r="AQ76" s="68"/>
      <c r="AR76" s="68"/>
      <c r="AS76" s="55"/>
      <c r="AT76" s="55"/>
      <c r="AU76" s="55"/>
      <c r="AV76" s="61">
        <f>IF(SUM(AJ76:AL76)=0, 0, (1 + F76 * 0.1) * (0.75 + 0.25 * MAX(0, MIN(1, IF(MAX(AJ76:AL76)=0, 0, (3*MAX(AJ76:AL76)-SUM(AJ76:AL76)) / (2*MAX(AJ76:AL76)))))))</f>
      </c>
      <c r="AW76" s="83">
        <f>MAX(AJ76:AL76)</f>
      </c>
      <c r="AX76" s="81">
        <f>IF(AW76=0, "", AW76 / ((1 + 0.1*N(F76))))</f>
      </c>
      <c r="AY76" s="61">
        <f>IF(SUM(AJ76:AL76)=0, 0,     (1 + F76 * 0.1) * (1 + ((SUM(AJ76:AL76) - MAX(AJ76:AL76)) / (2 * MAX(AJ76:AL76))) * (1/0.75 - 1)))</f>
      </c>
      <c r="AZ76" s="83"/>
      <c r="BA76" s="81">
        <f>IF(AZ76=0, "", AZ76 / ((1 + 0.1*N(F76))/0.75))</f>
      </c>
      <c r="BB76" s="51">
        <v>0.1</v>
      </c>
      <c r="BC76" s="1"/>
      <c r="BD76" s="91">
        <f>BD75</f>
      </c>
      <c r="BE76" s="91">
        <f>BE75</f>
      </c>
      <c r="BF76" s="74"/>
      <c r="BG76" s="88"/>
      <c r="BH76" s="69"/>
      <c r="BI76" s="45"/>
      <c r="BJ76" s="63"/>
      <c r="BK76" s="49"/>
      <c r="BL76" s="56"/>
      <c r="BM76" s="50"/>
      <c r="BN76" s="57">
        <v>5</v>
      </c>
      <c r="BO76" s="54"/>
      <c r="BP76" s="64"/>
      <c r="BQ76" s="51"/>
      <c r="BR76" s="38">
        <f>IFERROR(BQ76*100/CP76,"N/A")</f>
      </c>
      <c r="BS76" s="61"/>
      <c r="BT76" s="54"/>
      <c r="BU76" s="42"/>
      <c r="BV76" s="78">
        <f>IFERROR(  ROUND(    (10 / $T$4) *    ((CP76 / T76) / ($CP$4 / $T$4)) ^ 0.9 *    (T76 / $T$4) ^ 0.2 *    ((1 + N76) / (1 + $N$4)) ^ 0.15 *    ((1 + BQ76) / (1 + $BQ$4)) ^ 0.15 *    ((1 + BD76) / (1 + $BD$4)) ^ 0.2 *    ((1 + BH76) / (1 + $BH$4)) ^ 0.2 *    ((1 + BL76) / (1 + $BL$4)) ^ 0.2 *    T76,  0),  CP76 * 1000)</f>
      </c>
      <c r="BW76" s="73"/>
      <c r="BX76" s="64"/>
      <c r="BY76" s="52"/>
      <c r="BZ76" s="1"/>
      <c r="CA76" s="62"/>
      <c r="CB76" s="51"/>
      <c r="CC76" s="51"/>
      <c r="CD76" s="58"/>
      <c r="CE76" s="58"/>
      <c r="CF76" s="58"/>
      <c r="CG76" s="58"/>
      <c r="CH76" s="58"/>
      <c r="CI76" s="58"/>
      <c r="CJ76" s="79"/>
      <c r="CK76" s="69"/>
      <c r="CL76" s="79"/>
      <c r="CM76" s="51"/>
      <c r="CN76" s="55"/>
      <c r="CO76" s="42"/>
      <c r="CP76" s="70">
        <f>CN76*BS76*BT76</f>
      </c>
      <c r="CQ76" s="52"/>
      <c r="CR76" s="64">
        <f>100/CP76</f>
      </c>
      <c r="CS76" s="82">
        <f>100/CQ76</f>
      </c>
      <c r="CT76" s="52"/>
      <c r="CU76" s="52"/>
      <c r="CV76" s="82">
        <f>BL76/T76</f>
      </c>
      <c r="CW76" s="82">
        <f>100/CV76</f>
      </c>
      <c r="CX76" s="77"/>
      <c r="CY76" s="41"/>
      <c r="CZ76" s="77"/>
      <c r="DA76" s="41"/>
      <c r="DB76" s="77"/>
      <c r="DC76" s="159" t="str">
        <v>不急</v>
      </c>
      <c r="DD76" s="159" t="str">
        <v>不急</v>
      </c>
    </row>
    <row r="77">
      <c r="A77" s="84" t="str">
        <v>Arctic Savior</v>
      </c>
      <c r="B77" s="53" t="str">
        <v>北极救星</v>
      </c>
      <c r="C77" s="71"/>
      <c r="D77" s="71">
        <f>IF($A77="","","WPN"&amp;VLOOKUP(E77,'引用数据库'!Z:AC,4,FALSE)&amp;VLOOKUP(H77,'引用数据库'!N:P,3,FALSE)&amp;VLOOKUP(I77,'引用数据库'!S:U,3,FALSE)&amp;TEXT(F77,"00"))</f>
      </c>
      <c r="E77" s="53" t="str">
        <v>洛克海德</v>
      </c>
      <c r="F77" s="57">
        <v>2</v>
      </c>
      <c r="G77" s="71">
        <f>G76</f>
      </c>
      <c r="H77" s="75">
        <f>H76</f>
      </c>
      <c r="I77" s="75">
        <f>I76</f>
      </c>
      <c r="J77" s="71">
        <f>J76</f>
      </c>
      <c r="K77" s="71">
        <f>K76</f>
      </c>
      <c r="L77" s="42"/>
      <c r="M77" s="65">
        <f>M76</f>
      </c>
      <c r="N77" s="54"/>
      <c r="O77" s="54" t="str">
        <v>N/A</v>
      </c>
      <c r="P77" s="54"/>
      <c r="Q77" s="54"/>
      <c r="R77" s="54"/>
      <c r="S77" s="54"/>
      <c r="T77" s="54"/>
      <c r="U77" s="51">
        <f>2*T77/(15*(1+(5-BD77)*0.1))</f>
      </c>
      <c r="V77" s="1"/>
      <c r="W77" s="54"/>
      <c r="X77" s="54"/>
      <c r="Y77" s="76"/>
      <c r="Z77" s="76"/>
      <c r="AA77" s="66"/>
      <c r="AB77" s="66"/>
      <c r="AC77" s="66"/>
      <c r="AD77" s="60">
        <f>(W77+AB77)*AC77</f>
      </c>
      <c r="AE77" s="60">
        <f>(X77+AB77)*AC77</f>
      </c>
      <c r="AF77" s="1"/>
      <c r="AG77" s="54"/>
      <c r="AH77" s="54"/>
      <c r="AI77" s="1"/>
      <c r="AJ77" s="80"/>
      <c r="AK77" s="80"/>
      <c r="AL77" s="80"/>
      <c r="AM77" s="55">
        <f>IFS(AJ77 &gt; 1.25, "S", AJ77 &gt; 1, "A", AJ77 &gt; 0.75, "B", AJ77 &gt; 0.5, "C", AJ77 &gt; 0.25, "D", AJ77 &gt; 0, "E", TRUE, "-")</f>
      </c>
      <c r="AN77" s="55">
        <f>IFS(AK77 &gt; 1.25, "S", AK77 &gt; 1, "A", AK77 &gt; 0.75, "B", AK77 &gt; 0.5, "C", AK77 &gt; 0.25, "D", AK77 &gt; 0, "E", TRUE, "-")</f>
      </c>
      <c r="AO77" s="55">
        <f>IFS(AL77 &gt; 1.25, "S", AL77 &gt; 1, "A", AL77 &gt; 0.75, "B", AL77 &gt; 0.5, "C", AL77 &gt; 0.25, "D", AL77 &gt; 0, "E", TRUE, "-")</f>
      </c>
      <c r="AP77" s="58"/>
      <c r="AQ77" s="68"/>
      <c r="AR77" s="68"/>
      <c r="AS77" s="55"/>
      <c r="AT77" s="55"/>
      <c r="AU77" s="55"/>
      <c r="AV77" s="61">
        <f>IF(SUM(AJ77:AL77)=0, 0, (1 + F77 * 0.1) * (0.75 + 0.25 * MAX(0, MIN(1, IF(MAX(AJ77:AL77)=0, 0, (3*MAX(AJ77:AL77)-SUM(AJ77:AL77)) / (2*MAX(AJ77:AL77)))))))</f>
      </c>
      <c r="AW77" s="83">
        <f>MAX(AJ77:AL77)</f>
      </c>
      <c r="AX77" s="81">
        <f>IF(AW77=0, "", AW77 / ((1 + 0.1*N(F77))))</f>
      </c>
      <c r="AY77" s="61">
        <f>IF(SUM(AJ77:AL77)=0, 0,     (1 + F77 * 0.1) * (1 + ((SUM(AJ77:AL77) - MAX(AJ77:AL77)) / (2 * MAX(AJ77:AL77))) * (1/0.75 - 1)))</f>
      </c>
      <c r="AZ77" s="83"/>
      <c r="BA77" s="81">
        <f>IF(AZ77=0, "", AZ77 / ((1 + 0.1*N(F77))/0.75))</f>
      </c>
      <c r="BB77" s="51">
        <v>0.1</v>
      </c>
      <c r="BC77" s="1"/>
      <c r="BD77" s="72">
        <f>BD76</f>
      </c>
      <c r="BE77" s="72">
        <f>BE76</f>
      </c>
      <c r="BF77" s="74"/>
      <c r="BG77" s="38"/>
      <c r="BH77" s="69"/>
      <c r="BI77" s="45"/>
      <c r="BJ77" s="63"/>
      <c r="BK77" s="49"/>
      <c r="BL77" s="56"/>
      <c r="BM77" s="50"/>
      <c r="BN77" s="57">
        <v>5</v>
      </c>
      <c r="BO77" s="54"/>
      <c r="BP77" s="64"/>
      <c r="BQ77" s="51"/>
      <c r="BR77" s="38">
        <f>IFERROR(BQ77*100/CP77,"N/A")</f>
      </c>
      <c r="BS77" s="61"/>
      <c r="BT77" s="54"/>
      <c r="BU77" s="42"/>
      <c r="BV77" s="78"/>
      <c r="BW77" s="73"/>
      <c r="BX77" s="64"/>
      <c r="BY77" s="52"/>
      <c r="BZ77" s="1"/>
      <c r="CA77" s="62"/>
      <c r="CB77" s="51"/>
      <c r="CC77" s="51"/>
      <c r="CD77" s="58"/>
      <c r="CE77" s="58"/>
      <c r="CF77" s="58"/>
      <c r="CG77" s="58"/>
      <c r="CH77" s="58"/>
      <c r="CI77" s="58"/>
      <c r="CJ77" s="79"/>
      <c r="CK77" s="69"/>
      <c r="CL77" s="79"/>
      <c r="CM77" s="51"/>
      <c r="CN77" s="55"/>
      <c r="CO77" s="42"/>
      <c r="CP77" s="70">
        <f>CN77*BS77*BT77</f>
      </c>
      <c r="CQ77" s="52"/>
      <c r="CR77" s="64">
        <f>100/CP77</f>
      </c>
      <c r="CS77" s="82">
        <f>100/CQ77</f>
      </c>
      <c r="CT77" s="52"/>
      <c r="CU77" s="52"/>
      <c r="CV77" s="82">
        <f>BL77/T77</f>
      </c>
      <c r="CW77" s="82">
        <f>100/CV77</f>
      </c>
      <c r="CX77" s="77"/>
      <c r="CY77" s="41"/>
      <c r="CZ77" s="77"/>
      <c r="DA77" s="41"/>
      <c r="DB77" s="77"/>
      <c r="DC77" s="1" t="str">
        <v>不急</v>
      </c>
      <c r="DD77" s="1" t="str">
        <v>不急</v>
      </c>
    </row>
    <row r="78">
      <c r="A78" s="84" t="str">
        <v>Arctic Savior</v>
      </c>
      <c r="B78" s="53" t="str">
        <v>北极救星</v>
      </c>
      <c r="C78" s="71"/>
      <c r="D78" s="71">
        <f>IF($A78="","","WPN"&amp;VLOOKUP(E78,'引用数据库'!Z:AC,4,FALSE)&amp;VLOOKUP(H78,'引用数据库'!N:P,3,FALSE)&amp;VLOOKUP(I78,'引用数据库'!S:U,3,FALSE)&amp;TEXT(F78,"00"))</f>
      </c>
      <c r="E78" s="53" t="str">
        <v>洛克海德</v>
      </c>
      <c r="F78" s="57">
        <v>3</v>
      </c>
      <c r="G78" s="71">
        <f>G77</f>
      </c>
      <c r="H78" s="75">
        <f>H77</f>
      </c>
      <c r="I78" s="75">
        <f>I77</f>
      </c>
      <c r="J78" s="71">
        <f>J77</f>
      </c>
      <c r="K78" s="71">
        <f>K77</f>
      </c>
      <c r="L78" s="42"/>
      <c r="M78" s="65">
        <f>M77</f>
      </c>
      <c r="N78" s="54"/>
      <c r="O78" s="54" t="str">
        <v>N/A</v>
      </c>
      <c r="P78" s="54"/>
      <c r="Q78" s="54"/>
      <c r="R78" s="54"/>
      <c r="S78" s="54"/>
      <c r="T78" s="54"/>
      <c r="U78" s="51">
        <f>2*T78/(15*(1+(5-BD78)*0.1))</f>
      </c>
      <c r="V78" s="1"/>
      <c r="W78" s="54"/>
      <c r="X78" s="54"/>
      <c r="Y78" s="76"/>
      <c r="Z78" s="76"/>
      <c r="AA78" s="66"/>
      <c r="AB78" s="66"/>
      <c r="AC78" s="66"/>
      <c r="AD78" s="60">
        <f>(W78+AB78)*AC78</f>
      </c>
      <c r="AE78" s="60">
        <f>(X78+AB78)*AC78</f>
      </c>
      <c r="AF78" s="1"/>
      <c r="AG78" s="54"/>
      <c r="AH78" s="54"/>
      <c r="AI78" s="1"/>
      <c r="AJ78" s="80"/>
      <c r="AK78" s="80"/>
      <c r="AL78" s="80"/>
      <c r="AM78" s="55">
        <f>IFS(AJ78 &gt; 1.25, "S", AJ78 &gt; 1, "A", AJ78 &gt; 0.75, "B", AJ78 &gt; 0.5, "C", AJ78 &gt; 0.25, "D", AJ78 &gt; 0, "E", TRUE, "-")</f>
      </c>
      <c r="AN78" s="55">
        <f>IFS(AK78 &gt; 1.25, "S", AK78 &gt; 1, "A", AK78 &gt; 0.75, "B", AK78 &gt; 0.5, "C", AK78 &gt; 0.25, "D", AK78 &gt; 0, "E", TRUE, "-")</f>
      </c>
      <c r="AO78" s="55">
        <f>IFS(AL78 &gt; 1.25, "S", AL78 &gt; 1, "A", AL78 &gt; 0.75, "B", AL78 &gt; 0.5, "C", AL78 &gt; 0.25, "D", AL78 &gt; 0, "E", TRUE, "-")</f>
      </c>
      <c r="AP78" s="58"/>
      <c r="AQ78" s="68"/>
      <c r="AR78" s="68"/>
      <c r="AS78" s="55"/>
      <c r="AT78" s="55"/>
      <c r="AU78" s="55"/>
      <c r="AV78" s="61">
        <f>IF(SUM(AJ78:AL78)=0, 0, (1 + F78 * 0.1) * (0.75 + 0.25 * MAX(0, MIN(1, IF(MAX(AJ78:AL78)=0, 0, (3*MAX(AJ78:AL78)-SUM(AJ78:AL78)) / (2*MAX(AJ78:AL78)))))))</f>
      </c>
      <c r="AW78" s="83">
        <f>MAX(AJ78:AL78)</f>
      </c>
      <c r="AX78" s="81">
        <f>IF(AW78=0, "", AW78 / ((1 + 0.1*N(F78))))</f>
      </c>
      <c r="AY78" s="61">
        <f>IF(SUM(AJ78:AL78)=0, 0,     (1 + F78 * 0.1) * (1 + ((SUM(AJ78:AL78) - MAX(AJ78:AL78)) / (2 * MAX(AJ78:AL78))) * (1/0.75 - 1)))</f>
      </c>
      <c r="AZ78" s="83"/>
      <c r="BA78" s="81">
        <f>IF(AZ78=0, "", AZ78 / ((1 + 0.1*N(F78))/0.75))</f>
      </c>
      <c r="BB78" s="51">
        <v>0.1</v>
      </c>
      <c r="BC78" s="1"/>
      <c r="BD78" s="72">
        <f>BD77</f>
      </c>
      <c r="BE78" s="72">
        <f>BE77</f>
      </c>
      <c r="BF78" s="74"/>
      <c r="BG78" s="38"/>
      <c r="BH78" s="69"/>
      <c r="BI78" s="45"/>
      <c r="BJ78" s="63"/>
      <c r="BK78" s="49"/>
      <c r="BL78" s="56"/>
      <c r="BM78" s="50"/>
      <c r="BN78" s="57">
        <v>5</v>
      </c>
      <c r="BO78" s="54"/>
      <c r="BP78" s="64"/>
      <c r="BQ78" s="51"/>
      <c r="BR78" s="38">
        <f>IFERROR(BQ78*100/CP78,"N/A")</f>
      </c>
      <c r="BS78" s="61"/>
      <c r="BT78" s="54"/>
      <c r="BU78" s="42"/>
      <c r="BV78" s="78"/>
      <c r="BW78" s="73"/>
      <c r="BX78" s="64"/>
      <c r="BY78" s="52"/>
      <c r="BZ78" s="1"/>
      <c r="CA78" s="62"/>
      <c r="CB78" s="51"/>
      <c r="CC78" s="51"/>
      <c r="CD78" s="58"/>
      <c r="CE78" s="58"/>
      <c r="CF78" s="58"/>
      <c r="CG78" s="58"/>
      <c r="CH78" s="58"/>
      <c r="CI78" s="58"/>
      <c r="CJ78" s="79"/>
      <c r="CK78" s="69"/>
      <c r="CL78" s="79"/>
      <c r="CM78" s="51"/>
      <c r="CN78" s="55"/>
      <c r="CO78" s="42"/>
      <c r="CP78" s="70">
        <f>CN78*BS78*BT78</f>
      </c>
      <c r="CQ78" s="52"/>
      <c r="CR78" s="64">
        <f>100/CP78</f>
      </c>
      <c r="CS78" s="82">
        <f>100/CQ78</f>
      </c>
      <c r="CT78" s="52"/>
      <c r="CU78" s="52"/>
      <c r="CV78" s="82">
        <f>BL78/T78</f>
      </c>
      <c r="CW78" s="82">
        <f>100/CV78</f>
      </c>
      <c r="CX78" s="77"/>
      <c r="CY78" s="41"/>
      <c r="CZ78" s="77"/>
      <c r="DA78" s="41"/>
      <c r="DB78" s="77"/>
      <c r="DC78" s="1" t="str">
        <v>不急</v>
      </c>
      <c r="DD78" s="1" t="str">
        <v>不急</v>
      </c>
    </row>
    <row r="79">
      <c r="A79" s="84" t="str">
        <v>Arctic Savior</v>
      </c>
      <c r="B79" s="53" t="str">
        <v>北极救星</v>
      </c>
      <c r="C79" s="71"/>
      <c r="D79" s="71">
        <f>IF($A79="","","WPN"&amp;VLOOKUP(E79,'引用数据库'!Z:AC,4,FALSE)&amp;VLOOKUP(H79,'引用数据库'!N:P,3,FALSE)&amp;VLOOKUP(I79,'引用数据库'!S:U,3,FALSE)&amp;TEXT(F79,"00"))</f>
      </c>
      <c r="E79" s="53" t="str">
        <v>洛克海德</v>
      </c>
      <c r="F79" s="57">
        <v>4</v>
      </c>
      <c r="G79" s="71">
        <f>G78</f>
      </c>
      <c r="H79" s="75">
        <f>H78</f>
      </c>
      <c r="I79" s="75">
        <f>I78</f>
      </c>
      <c r="J79" s="71">
        <f>J78</f>
      </c>
      <c r="K79" s="71">
        <f>K78</f>
      </c>
      <c r="L79" s="42"/>
      <c r="M79" s="65">
        <f>M78</f>
      </c>
      <c r="N79" s="54"/>
      <c r="O79" s="54" t="str">
        <v>N/A</v>
      </c>
      <c r="P79" s="54"/>
      <c r="Q79" s="54"/>
      <c r="R79" s="54"/>
      <c r="S79" s="54"/>
      <c r="T79" s="54"/>
      <c r="U79" s="51">
        <f>2*T79/(15*(1+(5-BD79)*0.1))</f>
      </c>
      <c r="V79" s="1"/>
      <c r="W79" s="54"/>
      <c r="X79" s="54"/>
      <c r="Y79" s="76"/>
      <c r="Z79" s="76"/>
      <c r="AA79" s="66"/>
      <c r="AB79" s="66"/>
      <c r="AC79" s="66"/>
      <c r="AD79" s="60">
        <f>(W79+AB79)*AC79</f>
      </c>
      <c r="AE79" s="60">
        <f>(X79+AB79)*AC79</f>
      </c>
      <c r="AF79" s="1"/>
      <c r="AG79" s="54"/>
      <c r="AH79" s="54"/>
      <c r="AI79" s="1"/>
      <c r="AJ79" s="80"/>
      <c r="AK79" s="80"/>
      <c r="AL79" s="80"/>
      <c r="AM79" s="55">
        <f>IFS(AJ79 &gt; 1.25, "S", AJ79 &gt; 1, "A", AJ79 &gt; 0.75, "B", AJ79 &gt; 0.5, "C", AJ79 &gt; 0.25, "D", AJ79 &gt; 0, "E", TRUE, "-")</f>
      </c>
      <c r="AN79" s="55">
        <f>IFS(AK79 &gt; 1.25, "S", AK79 &gt; 1, "A", AK79 &gt; 0.75, "B", AK79 &gt; 0.5, "C", AK79 &gt; 0.25, "D", AK79 &gt; 0, "E", TRUE, "-")</f>
      </c>
      <c r="AO79" s="55">
        <f>IFS(AL79 &gt; 1.25, "S", AL79 &gt; 1, "A", AL79 &gt; 0.75, "B", AL79 &gt; 0.5, "C", AL79 &gt; 0.25, "D", AL79 &gt; 0, "E", TRUE, "-")</f>
      </c>
      <c r="AP79" s="58"/>
      <c r="AQ79" s="68"/>
      <c r="AR79" s="68"/>
      <c r="AS79" s="55"/>
      <c r="AT79" s="55"/>
      <c r="AU79" s="55"/>
      <c r="AV79" s="61">
        <f>IF(SUM(AJ79:AL79)=0, 0, (1 + F79 * 0.1) * (0.75 + 0.25 * MAX(0, MIN(1, IF(MAX(AJ79:AL79)=0, 0, (3*MAX(AJ79:AL79)-SUM(AJ79:AL79)) / (2*MAX(AJ79:AL79)))))))</f>
      </c>
      <c r="AW79" s="83">
        <f>MAX(AJ79:AL79)</f>
      </c>
      <c r="AX79" s="81">
        <f>IF(AW79=0, "", AW79 / ((1 + 0.1*N(F79))))</f>
      </c>
      <c r="AY79" s="61">
        <f>IF(SUM(AJ79:AL79)=0, 0,     (1 + F79 * 0.1) * (1 + ((SUM(AJ79:AL79) - MAX(AJ79:AL79)) / (2 * MAX(AJ79:AL79))) * (1/0.75 - 1)))</f>
      </c>
      <c r="AZ79" s="83"/>
      <c r="BA79" s="81">
        <f>IF(AZ79=0, "", AZ79 / ((1 + 0.1*N(F79))/0.75))</f>
      </c>
      <c r="BB79" s="51">
        <v>0.1</v>
      </c>
      <c r="BC79" s="1"/>
      <c r="BD79" s="72">
        <f>BD78</f>
      </c>
      <c r="BE79" s="72">
        <f>BE78</f>
      </c>
      <c r="BF79" s="74"/>
      <c r="BG79" s="38"/>
      <c r="BH79" s="69"/>
      <c r="BI79" s="45"/>
      <c r="BJ79" s="63"/>
      <c r="BK79" s="49"/>
      <c r="BL79" s="56"/>
      <c r="BM79" s="50"/>
      <c r="BN79" s="57">
        <v>5</v>
      </c>
      <c r="BO79" s="54"/>
      <c r="BP79" s="64"/>
      <c r="BQ79" s="51"/>
      <c r="BR79" s="38">
        <f>IFERROR(BQ79*100/CP79,"N/A")</f>
      </c>
      <c r="BS79" s="61"/>
      <c r="BT79" s="54"/>
      <c r="BU79" s="42"/>
      <c r="BV79" s="78"/>
      <c r="BW79" s="73"/>
      <c r="BX79" s="64"/>
      <c r="BY79" s="52"/>
      <c r="BZ79" s="1"/>
      <c r="CA79" s="62"/>
      <c r="CB79" s="51"/>
      <c r="CC79" s="51"/>
      <c r="CD79" s="58"/>
      <c r="CE79" s="58"/>
      <c r="CF79" s="58"/>
      <c r="CG79" s="58"/>
      <c r="CH79" s="58"/>
      <c r="CI79" s="58"/>
      <c r="CJ79" s="79"/>
      <c r="CK79" s="69"/>
      <c r="CL79" s="79"/>
      <c r="CM79" s="51"/>
      <c r="CN79" s="55"/>
      <c r="CO79" s="42"/>
      <c r="CP79" s="70">
        <f>CN79*BS79*BT79</f>
      </c>
      <c r="CQ79" s="52"/>
      <c r="CR79" s="64">
        <f>100/CP79</f>
      </c>
      <c r="CS79" s="82">
        <f>100/CQ79</f>
      </c>
      <c r="CT79" s="52"/>
      <c r="CU79" s="52"/>
      <c r="CV79" s="82">
        <f>BL79/T79</f>
      </c>
      <c r="CW79" s="82">
        <f>100/CV79</f>
      </c>
      <c r="CX79" s="77"/>
      <c r="CY79" s="41"/>
      <c r="CZ79" s="77"/>
      <c r="DA79" s="41"/>
      <c r="DB79" s="77"/>
      <c r="DC79" s="1" t="str">
        <v>不急</v>
      </c>
      <c r="DD79" s="1" t="str">
        <v>不急</v>
      </c>
    </row>
    <row r="80">
      <c r="A80" s="84" t="str">
        <v>Arctic Savior</v>
      </c>
      <c r="B80" s="53" t="str">
        <v>北极救星</v>
      </c>
      <c r="C80" s="71"/>
      <c r="D80" s="71">
        <f>IF($A80="","","WPN"&amp;VLOOKUP(E80,'引用数据库'!Z:AC,4,FALSE)&amp;VLOOKUP(H80,'引用数据库'!N:P,3,FALSE)&amp;VLOOKUP(I80,'引用数据库'!S:U,3,FALSE)&amp;TEXT(F80,"00"))</f>
      </c>
      <c r="E80" s="53" t="str">
        <v>洛克海德</v>
      </c>
      <c r="F80" s="57">
        <v>5</v>
      </c>
      <c r="G80" s="71">
        <f>G79</f>
      </c>
      <c r="H80" s="75">
        <f>H79</f>
      </c>
      <c r="I80" s="75">
        <f>I79</f>
      </c>
      <c r="J80" s="71">
        <f>J79</f>
      </c>
      <c r="K80" s="71">
        <f>K79</f>
      </c>
      <c r="L80" s="42"/>
      <c r="M80" s="65">
        <f>M79</f>
      </c>
      <c r="N80" s="54"/>
      <c r="O80" s="54" t="str">
        <v>N/A</v>
      </c>
      <c r="P80" s="54"/>
      <c r="Q80" s="54"/>
      <c r="R80" s="54"/>
      <c r="S80" s="54"/>
      <c r="T80" s="54"/>
      <c r="U80" s="51">
        <f>2*T80/(15*(1+(5-BD80)*0.1))</f>
      </c>
      <c r="V80" s="1"/>
      <c r="W80" s="54"/>
      <c r="X80" s="54"/>
      <c r="Y80" s="76"/>
      <c r="Z80" s="76"/>
      <c r="AA80" s="66"/>
      <c r="AB80" s="66"/>
      <c r="AC80" s="66"/>
      <c r="AD80" s="60">
        <f>(W80+AB80)*AC80</f>
      </c>
      <c r="AE80" s="60">
        <f>(X80+AB80)*AC80</f>
      </c>
      <c r="AF80" s="1"/>
      <c r="AG80" s="54"/>
      <c r="AH80" s="54"/>
      <c r="AI80" s="1"/>
      <c r="AJ80" s="80"/>
      <c r="AK80" s="80"/>
      <c r="AL80" s="80"/>
      <c r="AM80" s="55">
        <f>IFS(AJ80 &gt; 1.25, "S", AJ80 &gt; 1, "A", AJ80 &gt; 0.75, "B", AJ80 &gt; 0.5, "C", AJ80 &gt; 0.25, "D", AJ80 &gt; 0, "E", TRUE, "-")</f>
      </c>
      <c r="AN80" s="55">
        <f>IFS(AK80 &gt; 1.25, "S", AK80 &gt; 1, "A", AK80 &gt; 0.75, "B", AK80 &gt; 0.5, "C", AK80 &gt; 0.25, "D", AK80 &gt; 0, "E", TRUE, "-")</f>
      </c>
      <c r="AO80" s="55">
        <f>IFS(AL80 &gt; 1.25, "S", AL80 &gt; 1, "A", AL80 &gt; 0.75, "B", AL80 &gt; 0.5, "C", AL80 &gt; 0.25, "D", AL80 &gt; 0, "E", TRUE, "-")</f>
      </c>
      <c r="AP80" s="58"/>
      <c r="AQ80" s="68"/>
      <c r="AR80" s="68"/>
      <c r="AS80" s="55"/>
      <c r="AT80" s="55"/>
      <c r="AU80" s="55"/>
      <c r="AV80" s="61">
        <f>IF(SUM(AJ80:AL80)=0, 0, (1 + F80 * 0.1) * (0.75 + 0.25 * MAX(0, MIN(1, IF(MAX(AJ80:AL80)=0, 0, (3*MAX(AJ80:AL80)-SUM(AJ80:AL80)) / (2*MAX(AJ80:AL80)))))))</f>
      </c>
      <c r="AW80" s="83">
        <f>MAX(AJ80:AL80)</f>
      </c>
      <c r="AX80" s="81">
        <f>IF(AW80=0, "", AW80 / ((1 + 0.1*N(F80))))</f>
      </c>
      <c r="AY80" s="61">
        <f>IF(SUM(AJ80:AL80)=0, 0,     (1 + F80 * 0.1) * (1 + ((SUM(AJ80:AL80) - MAX(AJ80:AL80)) / (2 * MAX(AJ80:AL80))) * (1/0.75 - 1)))</f>
      </c>
      <c r="AZ80" s="83"/>
      <c r="BA80" s="81">
        <f>IF(AZ80=0, "", AZ80 / ((1 + 0.1*N(F80))/0.75))</f>
      </c>
      <c r="BB80" s="51">
        <v>0.1</v>
      </c>
      <c r="BC80" s="1"/>
      <c r="BD80" s="72">
        <f>BD79</f>
      </c>
      <c r="BE80" s="72">
        <f>BE79</f>
      </c>
      <c r="BF80" s="74"/>
      <c r="BG80" s="38"/>
      <c r="BH80" s="69"/>
      <c r="BI80" s="45"/>
      <c r="BJ80" s="63"/>
      <c r="BK80" s="49"/>
      <c r="BL80" s="56"/>
      <c r="BM80" s="50"/>
      <c r="BN80" s="57">
        <v>5</v>
      </c>
      <c r="BO80" s="54"/>
      <c r="BP80" s="64"/>
      <c r="BQ80" s="51"/>
      <c r="BR80" s="38">
        <f>IFERROR(BQ80*100/CP80,"N/A")</f>
      </c>
      <c r="BS80" s="61"/>
      <c r="BT80" s="54"/>
      <c r="BU80" s="42"/>
      <c r="BV80" s="78"/>
      <c r="BW80" s="73"/>
      <c r="BX80" s="64"/>
      <c r="BY80" s="52"/>
      <c r="BZ80" s="1"/>
      <c r="CA80" s="62"/>
      <c r="CB80" s="51"/>
      <c r="CC80" s="51"/>
      <c r="CD80" s="58"/>
      <c r="CE80" s="58"/>
      <c r="CF80" s="58"/>
      <c r="CG80" s="58"/>
      <c r="CH80" s="58"/>
      <c r="CI80" s="58"/>
      <c r="CJ80" s="79"/>
      <c r="CK80" s="69"/>
      <c r="CL80" s="79"/>
      <c r="CM80" s="51"/>
      <c r="CN80" s="55"/>
      <c r="CO80" s="42"/>
      <c r="CP80" s="70">
        <f>CN80*BS80*BT80</f>
      </c>
      <c r="CQ80" s="52"/>
      <c r="CR80" s="64">
        <f>100/CP80</f>
      </c>
      <c r="CS80" s="82">
        <f>100/CQ80</f>
      </c>
      <c r="CT80" s="52"/>
      <c r="CU80" s="52"/>
      <c r="CV80" s="82">
        <f>BL80/T80</f>
      </c>
      <c r="CW80" s="82">
        <f>100/CV80</f>
      </c>
      <c r="CX80" s="77"/>
      <c r="CY80" s="41"/>
      <c r="CZ80" s="77"/>
      <c r="DA80" s="41"/>
      <c r="DB80" s="77"/>
      <c r="DC80" s="1" t="str">
        <v>不急</v>
      </c>
      <c r="DD80" s="1" t="str">
        <v>不急</v>
      </c>
    </row>
    <row r="81">
      <c r="A81" s="71" t="str">
        <v>Knock Knock</v>
      </c>
      <c r="B81" s="36" t="str">
        <v>开门红</v>
      </c>
      <c r="C81" s="71"/>
      <c r="D81" s="71">
        <f>IF($A81="","","WPN"&amp;VLOOKUP(E81,'引用数据库'!Z:AC,4,FALSE)&amp;VLOOKUP(H81,'引用数据库'!N:P,3,FALSE)&amp;VLOOKUP(I81,'引用数据库'!S:U,3,FALSE)&amp;TEXT(F81,"00"))</f>
      </c>
      <c r="E81" s="36" t="str">
        <v>劳旅</v>
      </c>
      <c r="F81" s="27">
        <v>0</v>
      </c>
      <c r="G81" s="71" t="str">
        <v>远程</v>
      </c>
      <c r="H81" s="36" t="str">
        <v>霰弹枪</v>
      </c>
      <c r="I81" s="36" t="str">
        <v>电磁</v>
      </c>
      <c r="J81" s="36" t="str">
        <v>手动</v>
      </c>
      <c r="K81" s="71">
        <v>1</v>
      </c>
      <c r="L81" s="42"/>
      <c r="M81" s="46">
        <v>1</v>
      </c>
      <c r="N81" s="27">
        <v>800</v>
      </c>
      <c r="O81" s="67" t="str">
        <v>N/A</v>
      </c>
      <c r="P81" s="27">
        <v>0</v>
      </c>
      <c r="Q81" s="27">
        <v>0</v>
      </c>
      <c r="R81" s="27">
        <v>0.3</v>
      </c>
      <c r="S81" s="27">
        <v>0</v>
      </c>
      <c r="T81" s="27">
        <f>SUM(P81:S81)</f>
      </c>
      <c r="U81" s="32">
        <f>2*T81/(15*(1+(5-BD81)*0.1))</f>
      </c>
      <c r="V81" s="11"/>
      <c r="W81" s="27">
        <v>60</v>
      </c>
      <c r="X81" s="27">
        <v>90</v>
      </c>
      <c r="Y81" s="116">
        <v>0.25</v>
      </c>
      <c r="Z81" s="116">
        <v>0.25</v>
      </c>
      <c r="AA81" s="28"/>
      <c r="AB81" s="28">
        <v>10</v>
      </c>
      <c r="AC81" s="28">
        <v>1</v>
      </c>
      <c r="AD81" s="28">
        <f>(W81+AB81)*AC81</f>
      </c>
      <c r="AE81" s="28">
        <f>(X81+AB81)*AC81</f>
      </c>
      <c r="AF81" s="11"/>
      <c r="AG81" s="27"/>
      <c r="AH81" s="27"/>
      <c r="AI81" s="11"/>
      <c r="AJ81" s="33"/>
      <c r="AK81" s="33"/>
      <c r="AL81" s="33"/>
      <c r="AM81" s="32">
        <f>IFS(AJ81 &gt; 1.25, "S", AJ81 &gt; 1, "A", AJ81 &gt; 0.75, "B", AJ81 &gt; 0.5, "C", AJ81 &gt; 0.25, "D", AJ81 &gt; 0, "E", TRUE, "-")</f>
      </c>
      <c r="AN81" s="32">
        <f>IFS(AK81 &gt; 1.25, "S", AK81 &gt; 1, "A", AK81 &gt; 0.75, "B", AK81 &gt; 0.5, "C", AK81 &gt; 0.25, "D", AK81 &gt; 0, "E", TRUE, "-")</f>
      </c>
      <c r="AO81" s="32">
        <f>IFS(AL81 &gt; 1.25, "S", AL81 &gt; 1, "A", AL81 &gt; 0.75, "B", AL81 &gt; 0.5, "C", AL81 &gt; 0.25, "D", AL81 &gt; 0, "E", TRUE, "-")</f>
      </c>
      <c r="AP81" s="32"/>
      <c r="AQ81" s="32"/>
      <c r="AR81" s="32"/>
      <c r="AS81" s="32"/>
      <c r="AT81" s="32"/>
      <c r="AU81" s="32"/>
      <c r="AV81" s="32">
        <f>IF(SUM(AJ81:AL81)=0, 0, (1 + F81 * 0.1) * (0.75 + 0.25 * MAX(0, MIN(1, IF(MAX(AJ81:AL81)=0, 0, (3*MAX(AJ81:AL81)-SUM(AJ81:AL81)) / (2*MAX(AJ81:AL81)))))))</f>
      </c>
      <c r="AW81" s="33">
        <f>MAX(AJ81:AL81)</f>
      </c>
      <c r="AX81" s="37">
        <f>IF(AW81=0, "", AW81 / ((1 + 0.1*N(F81))))</f>
      </c>
      <c r="AY81" s="32">
        <f>IF(SUM(AJ81:AL81)=0, 0,     (1 + F81 * 0.1) * (1 + ((SUM(AJ81:AL81) - MAX(AJ81:AL81)) / (2 * MAX(AJ81:AL81))) * (1/0.75 - 1)))</f>
      </c>
      <c r="AZ81" s="33"/>
      <c r="BA81" s="37">
        <f>IF(AZ81=0, "", AZ81 / ((1 + 0.1*N(F81))/0.75))</f>
      </c>
      <c r="BB81" s="32">
        <v>0.1</v>
      </c>
      <c r="BC81" s="11"/>
      <c r="BD81" s="27">
        <v>3</v>
      </c>
      <c r="BE81" s="67">
        <v>2</v>
      </c>
      <c r="BF81" s="74"/>
      <c r="BG81" s="32">
        <f>T81*20/BT81/BS81</f>
      </c>
      <c r="BH81" s="33">
        <v>20</v>
      </c>
      <c r="BI81" s="45"/>
      <c r="BJ81" s="63"/>
      <c r="BK81" s="49"/>
      <c r="BL81" s="56">
        <v>20</v>
      </c>
      <c r="BM81" s="34"/>
      <c r="BN81" s="27">
        <v>32</v>
      </c>
      <c r="BO81" s="27">
        <v>1.5</v>
      </c>
      <c r="BP81" s="32"/>
      <c r="BQ81" s="39">
        <v>2</v>
      </c>
      <c r="BR81" s="38">
        <f>IFERROR(BQ81*100/CP81,"N/A")</f>
      </c>
      <c r="BS81" s="27">
        <v>16</v>
      </c>
      <c r="BT81" s="27">
        <v>9</v>
      </c>
      <c r="BU81" s="42"/>
      <c r="BV81" s="44"/>
      <c r="BW81" s="44">
        <f>BW82</f>
      </c>
      <c r="BX81" s="32"/>
      <c r="BY81" s="27"/>
      <c r="BZ81" s="11"/>
      <c r="CA81" s="31">
        <v>10</v>
      </c>
      <c r="CB81" s="32">
        <f>CA81*BB81*(AP81*AJ81+AQ81*AK81+AR81*AL81)</f>
      </c>
      <c r="CC81" s="32">
        <f>CA81+CB81</f>
      </c>
      <c r="CD81" s="32"/>
      <c r="CE81" s="32"/>
      <c r="CF81" s="32"/>
      <c r="CG81" s="32"/>
      <c r="CH81" s="32"/>
      <c r="CI81" s="32"/>
      <c r="CJ81" s="33">
        <v>2.5</v>
      </c>
      <c r="CK81" s="33">
        <f>CJ81/BS81</f>
      </c>
      <c r="CL81" s="33"/>
      <c r="CM81" s="32"/>
      <c r="CN81" s="32">
        <f>CK81*CC81</f>
      </c>
      <c r="CO81" s="42"/>
      <c r="CP81" s="48">
        <f>CN81*BS81*BT81</f>
      </c>
      <c r="CQ81" s="32">
        <f>CP81/T81</f>
      </c>
      <c r="CR81" s="32">
        <f>100/CP81</f>
      </c>
      <c r="CS81" s="35">
        <f>100/CQ81</f>
      </c>
      <c r="CT81" s="32"/>
      <c r="CU81" s="32"/>
      <c r="CV81" s="35">
        <f>BL81/T81</f>
      </c>
      <c r="CW81" s="35">
        <f>100/CV81</f>
      </c>
      <c r="CX81" s="40"/>
      <c r="CY81" s="41" t="str">
        <v>东城区劳旅总工头“浩”曾经的配枪，
在“浩”站稳脚跟之前，是他唯一能够信任的伙伴。
如今的“浩”早已不再需要这把枪，
但他仍将其放在办公室里来提醒自己，
他能坐在现在这个位置，付出过多少代价。</v>
      </c>
      <c r="CZ81" s="40"/>
      <c r="DA81" s="41">
        <f>TEXTJOIN("、", TRUE, FILTER('武器技能'!B:B, '武器技能'!E:E = H81))</f>
      </c>
      <c r="DB81" s="40"/>
      <c r="DC81" s="67" t="str">
        <v>待办</v>
      </c>
      <c r="DD81" s="67" t="str">
        <v>待办</v>
      </c>
    </row>
    <row r="82">
      <c r="A82" s="71" t="str">
        <v>Knock Knock</v>
      </c>
      <c r="B82" s="75" t="str">
        <v>开门红</v>
      </c>
      <c r="C82" s="71"/>
      <c r="D82" s="71">
        <f>IF($A82="","","WPN"&amp;VLOOKUP(E82,'引用数据库'!Z:AC,4,FALSE)&amp;VLOOKUP(H82,'引用数据库'!N:P,3,FALSE)&amp;VLOOKUP(I82,'引用数据库'!S:U,3,FALSE)&amp;TEXT(F82,"00"))</f>
      </c>
      <c r="E82" s="75" t="str">
        <v>劳旅</v>
      </c>
      <c r="F82" s="110">
        <v>1</v>
      </c>
      <c r="G82" s="90">
        <f>G81</f>
      </c>
      <c r="H82" s="90">
        <f>H81</f>
      </c>
      <c r="I82" s="90">
        <f>I81</f>
      </c>
      <c r="J82" s="90">
        <f>J81</f>
      </c>
      <c r="K82" s="71">
        <f>K81</f>
      </c>
      <c r="L82" s="42"/>
      <c r="M82" s="65">
        <f>M81</f>
      </c>
      <c r="N82" s="72">
        <v>800</v>
      </c>
      <c r="O82" s="54" t="str">
        <v>N/A</v>
      </c>
      <c r="P82" s="72">
        <v>0</v>
      </c>
      <c r="Q82" s="72">
        <v>0</v>
      </c>
      <c r="R82" s="72">
        <v>0.3</v>
      </c>
      <c r="S82" s="72">
        <v>0</v>
      </c>
      <c r="T82" s="72">
        <f>SUM(P82:S82)</f>
      </c>
      <c r="U82" s="39">
        <f>2*T82/(15*(1+(5-BD82)*0.1))</f>
      </c>
      <c r="V82" s="11"/>
      <c r="W82" s="72">
        <v>60</v>
      </c>
      <c r="X82" s="72">
        <v>90</v>
      </c>
      <c r="Y82" s="177">
        <v>0.25</v>
      </c>
      <c r="Z82" s="177">
        <v>0.25</v>
      </c>
      <c r="AA82" s="102"/>
      <c r="AB82" s="102">
        <v>10</v>
      </c>
      <c r="AC82" s="102">
        <v>1</v>
      </c>
      <c r="AD82" s="60">
        <f>(W82+AB82)*AC82</f>
      </c>
      <c r="AE82" s="60">
        <f>(X82+AB82)*AC82</f>
      </c>
      <c r="AF82" s="11"/>
      <c r="AG82" s="72"/>
      <c r="AH82" s="72"/>
      <c r="AI82" s="11"/>
      <c r="AJ82" s="108"/>
      <c r="AK82" s="108"/>
      <c r="AL82" s="108"/>
      <c r="AM82" s="105">
        <f>IFS(AJ82 &gt; 1.25, "S", AJ82 &gt; 1, "A", AJ82 &gt; 0.75, "B", AJ82 &gt; 0.5, "C", AJ82 &gt; 0.25, "D", AJ82 &gt; 0, "E", TRUE, "-")</f>
      </c>
      <c r="AN82" s="105">
        <f>IFS(AK82 &gt; 1.25, "S", AK82 &gt; 1, "A", AK82 &gt; 0.75, "B", AK82 &gt; 0.5, "C", AK82 &gt; 0.25, "D", AK82 &gt; 0, "E", TRUE, "-")</f>
      </c>
      <c r="AO82" s="105">
        <f>IFS(AL82 &gt; 1.25, "S", AL82 &gt; 1, "A", AL82 &gt; 0.75, "B", AL82 &gt; 0.5, "C", AL82 &gt; 0.25, "D", AL82 &gt; 0, "E", TRUE, "-")</f>
      </c>
      <c r="AP82" s="68"/>
      <c r="AQ82" s="68"/>
      <c r="AR82" s="68"/>
      <c r="AS82" s="105"/>
      <c r="AT82" s="105"/>
      <c r="AU82" s="105"/>
      <c r="AV82" s="68">
        <f>IF(SUM(AJ82:AL82)=0, 0, (1 + F82 * 0.1) * (0.75 + 0.25 * MAX(0, MIN(1, IF(MAX(AJ82:AL82)=0, 0, (3*MAX(AJ82:AL82)-SUM(AJ82:AL82)) / (2*MAX(AJ82:AL82)))))))</f>
      </c>
      <c r="AW82" s="111">
        <f>MAX(AJ82:AL82)</f>
      </c>
      <c r="AX82" s="109">
        <f>IF(AW82=0, "", AW82 / ((1 + 0.1*N(F82))))</f>
      </c>
      <c r="AY82" s="68">
        <f>IF(SUM(AJ82:AL82)=0, 0,     (1 + F82 * 0.1) * (1 + ((SUM(AJ82:AL82) - MAX(AJ82:AL82)) / (2 * MAX(AJ82:AL82))) * (1/0.75 - 1)))</f>
      </c>
      <c r="AZ82" s="111"/>
      <c r="BA82" s="109">
        <f>IF(AZ82=0, "", AZ82 / ((1 + 0.1*N(F82))/0.75))</f>
      </c>
      <c r="BB82" s="39">
        <v>0.1</v>
      </c>
      <c r="BC82" s="11"/>
      <c r="BD82" s="91">
        <f>BD81</f>
      </c>
      <c r="BE82" s="91">
        <f>BE81</f>
      </c>
      <c r="BF82" s="74"/>
      <c r="BG82" s="88"/>
      <c r="BH82" s="103">
        <v>20</v>
      </c>
      <c r="BI82" s="45"/>
      <c r="BJ82" s="63"/>
      <c r="BK82" s="49"/>
      <c r="BL82" s="56">
        <v>20</v>
      </c>
      <c r="BM82" s="34"/>
      <c r="BN82" s="110">
        <v>32</v>
      </c>
      <c r="BO82" s="72">
        <v>1.5</v>
      </c>
      <c r="BP82" s="38"/>
      <c r="BQ82" s="39">
        <v>2</v>
      </c>
      <c r="BR82" s="38">
        <f>IFERROR(BQ82*100/CP82,"N/A")</f>
      </c>
      <c r="BS82" s="107">
        <v>16</v>
      </c>
      <c r="BT82" s="72">
        <v>9</v>
      </c>
      <c r="BU82" s="42"/>
      <c r="BV82" s="78">
        <f>IFERROR(  ROUND(    (10 / $T$4) *    ((CP82 / T82) / ($CP$4 / $T$4)) ^ 0.9 *    (T82 / $T$4) ^ 0.2 *    ((1 + N82) / (1 + $N$4)) ^ 0.15 *    ((1 + BQ82) / (1 + $BQ$4)) ^ 0.15 *    ((1 + BD82) / (1 + $BD$4)) ^ 0.2 *    ((1 + BH82) / (1 + $BH$4)) ^ 0.2 *    ((1 + BL82) / (1 + $BL$4)) ^ 0.2 *    T82,  0),  CP82 * 1000)</f>
      </c>
      <c r="BW82" s="104">
        <f>#REF!</f>
      </c>
      <c r="BX82" s="38"/>
      <c r="BY82" s="181"/>
      <c r="BZ82" s="11"/>
      <c r="CA82" s="113">
        <v>20</v>
      </c>
      <c r="CB82" s="39">
        <f>CA82*BB82*(AP82*AJ82+AQ82*AK82+AR82*AL82)</f>
      </c>
      <c r="CC82" s="39">
        <f>CA82+CB82</f>
      </c>
      <c r="CD82" s="68"/>
      <c r="CE82" s="68"/>
      <c r="CF82" s="68"/>
      <c r="CG82" s="68"/>
      <c r="CH82" s="68"/>
      <c r="CI82" s="68"/>
      <c r="CJ82" s="111">
        <v>2.5</v>
      </c>
      <c r="CK82" s="103">
        <f>CJ82/BS82</f>
      </c>
      <c r="CL82" s="111"/>
      <c r="CM82" s="39"/>
      <c r="CN82" s="105">
        <f>CK82*CC82</f>
      </c>
      <c r="CO82" s="42"/>
      <c r="CP82" s="70">
        <f>CN82*BS82*BT82</f>
      </c>
      <c r="CQ82" s="38">
        <f>CP82/T82</f>
      </c>
      <c r="CR82" s="38">
        <f>100/CP82</f>
      </c>
      <c r="CS82" s="96">
        <f>100/CQ82</f>
      </c>
      <c r="CT82" s="38"/>
      <c r="CU82" s="38"/>
      <c r="CV82" s="96">
        <f>BL82/T82</f>
      </c>
      <c r="CW82" s="96">
        <f>100/CV82</f>
      </c>
      <c r="CX82" s="40"/>
      <c r="CY82" s="41"/>
      <c r="CZ82" s="40"/>
      <c r="DA82" s="41"/>
      <c r="DB82" s="40"/>
      <c r="DC82" s="159" t="str">
        <v>待办</v>
      </c>
      <c r="DD82" s="159" t="str">
        <v>待办</v>
      </c>
    </row>
    <row r="83">
      <c r="A83" s="71" t="str">
        <v>Knock Knock</v>
      </c>
      <c r="B83" s="75" t="str">
        <v>开门红</v>
      </c>
      <c r="C83" s="71"/>
      <c r="D83" s="71">
        <f>IF($A83="","","WPN"&amp;VLOOKUP(E83,'引用数据库'!Z:AC,4,FALSE)&amp;VLOOKUP(H83,'引用数据库'!N:P,3,FALSE)&amp;VLOOKUP(I83,'引用数据库'!S:U,3,FALSE)&amp;TEXT(F83,"00"))</f>
      </c>
      <c r="E83" s="75" t="str">
        <v>劳旅</v>
      </c>
      <c r="F83" s="110">
        <v>2</v>
      </c>
      <c r="G83" s="71">
        <f>G82</f>
      </c>
      <c r="H83" s="75">
        <f>H82</f>
      </c>
      <c r="I83" s="75">
        <f>I82</f>
      </c>
      <c r="J83" s="71">
        <f>J82</f>
      </c>
      <c r="K83" s="71">
        <f>K82</f>
      </c>
      <c r="L83" s="42"/>
      <c r="M83" s="65">
        <f>M82</f>
      </c>
      <c r="N83" s="72">
        <v>800</v>
      </c>
      <c r="O83" s="54" t="str">
        <v>N/A</v>
      </c>
      <c r="P83" s="72">
        <v>0</v>
      </c>
      <c r="Q83" s="72">
        <v>0</v>
      </c>
      <c r="R83" s="72">
        <v>0.3</v>
      </c>
      <c r="S83" s="72">
        <v>0</v>
      </c>
      <c r="T83" s="72">
        <f>SUM(P83:S83)</f>
      </c>
      <c r="U83" s="39">
        <f>2*T83/(15*(1+(5-BD83)*0.1))</f>
      </c>
      <c r="V83" s="11"/>
      <c r="W83" s="72">
        <v>60</v>
      </c>
      <c r="X83" s="72">
        <v>90</v>
      </c>
      <c r="Y83" s="177">
        <v>0.25</v>
      </c>
      <c r="Z83" s="177">
        <v>0.25</v>
      </c>
      <c r="AA83" s="102"/>
      <c r="AB83" s="102">
        <v>10</v>
      </c>
      <c r="AC83" s="102">
        <v>1</v>
      </c>
      <c r="AD83" s="60">
        <f>(W83+AB83)*AC83</f>
      </c>
      <c r="AE83" s="60">
        <f>(X83+AB83)*AC83</f>
      </c>
      <c r="AF83" s="1"/>
      <c r="AG83" s="54"/>
      <c r="AH83" s="54"/>
      <c r="AI83" s="11"/>
      <c r="AJ83" s="108"/>
      <c r="AK83" s="108"/>
      <c r="AL83" s="108"/>
      <c r="AM83" s="105">
        <f>IFS(AJ83 &gt; 1.25, "S", AJ83 &gt; 1, "A", AJ83 &gt; 0.75, "B", AJ83 &gt; 0.5, "C", AJ83 &gt; 0.25, "D", AJ83 &gt; 0, "E", TRUE, "-")</f>
      </c>
      <c r="AN83" s="105">
        <f>IFS(AK83 &gt; 1.25, "S", AK83 &gt; 1, "A", AK83 &gt; 0.75, "B", AK83 &gt; 0.5, "C", AK83 &gt; 0.25, "D", AK83 &gt; 0, "E", TRUE, "-")</f>
      </c>
      <c r="AO83" s="105">
        <f>IFS(AL83 &gt; 1.25, "S", AL83 &gt; 1, "A", AL83 &gt; 0.75, "B", AL83 &gt; 0.5, "C", AL83 &gt; 0.25, "D", AL83 &gt; 0, "E", TRUE, "-")</f>
      </c>
      <c r="AP83" s="68"/>
      <c r="AQ83" s="68"/>
      <c r="AR83" s="68"/>
      <c r="AS83" s="55"/>
      <c r="AT83" s="55"/>
      <c r="AU83" s="105"/>
      <c r="AV83" s="68">
        <f>IF(SUM(AJ83:AL83)=0, 0, (1 + F83 * 0.1) * (0.75 + 0.25 * MAX(0, MIN(1, IF(MAX(AJ83:AL83)=0, 0, (3*MAX(AJ83:AL83)-SUM(AJ83:AL83)) / (2*MAX(AJ83:AL83)))))))</f>
      </c>
      <c r="AW83" s="111">
        <f>MAX(AJ83:AL83)</f>
      </c>
      <c r="AX83" s="109">
        <f>IF(AW83=0, "", AW83 / ((1 + 0.1*N(F83))))</f>
      </c>
      <c r="AY83" s="68">
        <f>IF(SUM(AJ83:AL83)=0, 0,     (1 + F83 * 0.1) * (1 + ((SUM(AJ83:AL83) - MAX(AJ83:AL83)) / (2 * MAX(AJ83:AL83))) * (1/0.75 - 1)))</f>
      </c>
      <c r="AZ83" s="111"/>
      <c r="BA83" s="109">
        <f>IF(AZ83=0, "", AZ83 / ((1 + 0.1*N(F83))/0.75))</f>
      </c>
      <c r="BB83" s="39">
        <v>0.1</v>
      </c>
      <c r="BC83" s="11"/>
      <c r="BD83" s="72">
        <f>BD82</f>
      </c>
      <c r="BE83" s="72">
        <f>BE82</f>
      </c>
      <c r="BF83" s="74"/>
      <c r="BG83" s="38"/>
      <c r="BH83" s="103">
        <v>20</v>
      </c>
      <c r="BI83" s="45"/>
      <c r="BJ83" s="63"/>
      <c r="BK83" s="49"/>
      <c r="BL83" s="56">
        <v>20</v>
      </c>
      <c r="BM83" s="34"/>
      <c r="BN83" s="110">
        <v>32</v>
      </c>
      <c r="BO83" s="72">
        <v>1.5</v>
      </c>
      <c r="BP83" s="38"/>
      <c r="BQ83" s="39">
        <v>2</v>
      </c>
      <c r="BR83" s="38">
        <f>IFERROR(BQ83*100/CP83,"N/A")</f>
      </c>
      <c r="BS83" s="107">
        <v>16</v>
      </c>
      <c r="BT83" s="72">
        <v>9</v>
      </c>
      <c r="BU83" s="42"/>
      <c r="BV83" s="78"/>
      <c r="BW83" s="104">
        <f>BW82</f>
      </c>
      <c r="BX83" s="64"/>
      <c r="BY83" s="52"/>
      <c r="BZ83" s="11"/>
      <c r="CA83" s="113">
        <v>30</v>
      </c>
      <c r="CB83" s="39">
        <f>CA83*BB83*(AP83*AJ83+AQ83*AK83+AR83*AL83)</f>
      </c>
      <c r="CC83" s="39">
        <f>CA83+CB83</f>
      </c>
      <c r="CD83" s="68"/>
      <c r="CE83" s="68"/>
      <c r="CF83" s="68"/>
      <c r="CG83" s="68"/>
      <c r="CH83" s="68"/>
      <c r="CI83" s="68"/>
      <c r="CJ83" s="111">
        <v>2.5</v>
      </c>
      <c r="CK83" s="103">
        <f>CJ83/BS83</f>
      </c>
      <c r="CL83" s="111"/>
      <c r="CM83" s="39"/>
      <c r="CN83" s="105">
        <f>CK83*CC83</f>
      </c>
      <c r="CO83" s="42"/>
      <c r="CP83" s="70">
        <f>CN83*BS83*BT83</f>
      </c>
      <c r="CQ83" s="38">
        <f>CP83/T83</f>
      </c>
      <c r="CR83" s="38">
        <f>100/CP83</f>
      </c>
      <c r="CS83" s="96">
        <f>100/CQ83</f>
      </c>
      <c r="CT83" s="38"/>
      <c r="CU83" s="38"/>
      <c r="CV83" s="96">
        <f>BL83/T83</f>
      </c>
      <c r="CW83" s="96">
        <f>100/CV83</f>
      </c>
      <c r="CX83" s="40"/>
      <c r="CY83" s="41"/>
      <c r="CZ83" s="40"/>
      <c r="DA83" s="41"/>
      <c r="DB83" s="40"/>
      <c r="DC83" s="1" t="str">
        <v>待办</v>
      </c>
      <c r="DD83" s="1" t="str">
        <v>待办</v>
      </c>
    </row>
    <row r="84">
      <c r="A84" s="71" t="str">
        <v>Knock Knock</v>
      </c>
      <c r="B84" s="75" t="str">
        <v>开门红</v>
      </c>
      <c r="C84" s="71"/>
      <c r="D84" s="71">
        <f>IF($A84="","","WPN"&amp;VLOOKUP(E84,'引用数据库'!Z:AC,4,FALSE)&amp;VLOOKUP(H84,'引用数据库'!N:P,3,FALSE)&amp;VLOOKUP(I84,'引用数据库'!S:U,3,FALSE)&amp;TEXT(F84,"00"))</f>
      </c>
      <c r="E84" s="75" t="str">
        <v>劳旅</v>
      </c>
      <c r="F84" s="110">
        <v>3</v>
      </c>
      <c r="G84" s="71">
        <f>G83</f>
      </c>
      <c r="H84" s="75">
        <f>H83</f>
      </c>
      <c r="I84" s="75">
        <f>I83</f>
      </c>
      <c r="J84" s="71">
        <f>J83</f>
      </c>
      <c r="K84" s="71">
        <f>K83</f>
      </c>
      <c r="L84" s="42"/>
      <c r="M84" s="65">
        <f>M83</f>
      </c>
      <c r="N84" s="72">
        <v>800</v>
      </c>
      <c r="O84" s="54" t="str">
        <v>N/A</v>
      </c>
      <c r="P84" s="72">
        <v>0</v>
      </c>
      <c r="Q84" s="72">
        <v>0</v>
      </c>
      <c r="R84" s="72">
        <v>0.3</v>
      </c>
      <c r="S84" s="72">
        <v>0</v>
      </c>
      <c r="T84" s="72">
        <f>SUM(P84:S84)</f>
      </c>
      <c r="U84" s="39">
        <f>2*T84/(15*(1+(5-BD84)*0.1))</f>
      </c>
      <c r="V84" s="11"/>
      <c r="W84" s="72">
        <v>60</v>
      </c>
      <c r="X84" s="72">
        <v>90</v>
      </c>
      <c r="Y84" s="177">
        <v>0.25</v>
      </c>
      <c r="Z84" s="177">
        <v>0.25</v>
      </c>
      <c r="AA84" s="102"/>
      <c r="AB84" s="102">
        <v>10</v>
      </c>
      <c r="AC84" s="102">
        <v>1</v>
      </c>
      <c r="AD84" s="60">
        <f>(W84+AB84)*AC84</f>
      </c>
      <c r="AE84" s="60">
        <f>(X84+AB84)*AC84</f>
      </c>
      <c r="AF84" s="1"/>
      <c r="AG84" s="54"/>
      <c r="AH84" s="54"/>
      <c r="AI84" s="11"/>
      <c r="AJ84" s="108"/>
      <c r="AK84" s="108"/>
      <c r="AL84" s="108"/>
      <c r="AM84" s="105">
        <f>IFS(AJ84 &gt; 1.25, "S", AJ84 &gt; 1, "A", AJ84 &gt; 0.75, "B", AJ84 &gt; 0.5, "C", AJ84 &gt; 0.25, "D", AJ84 &gt; 0, "E", TRUE, "-")</f>
      </c>
      <c r="AN84" s="105">
        <f>IFS(AK84 &gt; 1.25, "S", AK84 &gt; 1, "A", AK84 &gt; 0.75, "B", AK84 &gt; 0.5, "C", AK84 &gt; 0.25, "D", AK84 &gt; 0, "E", TRUE, "-")</f>
      </c>
      <c r="AO84" s="105">
        <f>IFS(AL84 &gt; 1.25, "S", AL84 &gt; 1, "A", AL84 &gt; 0.75, "B", AL84 &gt; 0.5, "C", AL84 &gt; 0.25, "D", AL84 &gt; 0, "E", TRUE, "-")</f>
      </c>
      <c r="AP84" s="68"/>
      <c r="AQ84" s="68"/>
      <c r="AR84" s="68"/>
      <c r="AS84" s="55"/>
      <c r="AT84" s="55"/>
      <c r="AU84" s="105"/>
      <c r="AV84" s="68">
        <f>IF(SUM(AJ84:AL84)=0, 0, (1 + F84 * 0.1) * (0.75 + 0.25 * MAX(0, MIN(1, IF(MAX(AJ84:AL84)=0, 0, (3*MAX(AJ84:AL84)-SUM(AJ84:AL84)) / (2*MAX(AJ84:AL84)))))))</f>
      </c>
      <c r="AW84" s="111">
        <f>MAX(AJ84:AL84)</f>
      </c>
      <c r="AX84" s="109">
        <f>IF(AW84=0, "", AW84 / ((1 + 0.1*N(F84))))</f>
      </c>
      <c r="AY84" s="68">
        <f>IF(SUM(AJ84:AL84)=0, 0,     (1 + F84 * 0.1) * (1 + ((SUM(AJ84:AL84) - MAX(AJ84:AL84)) / (2 * MAX(AJ84:AL84))) * (1/0.75 - 1)))</f>
      </c>
      <c r="AZ84" s="111"/>
      <c r="BA84" s="109">
        <f>IF(AZ84=0, "", AZ84 / ((1 + 0.1*N(F84))/0.75))</f>
      </c>
      <c r="BB84" s="39">
        <v>0.1</v>
      </c>
      <c r="BC84" s="11"/>
      <c r="BD84" s="72">
        <f>BD83</f>
      </c>
      <c r="BE84" s="72">
        <f>BE83</f>
      </c>
      <c r="BF84" s="74"/>
      <c r="BG84" s="38"/>
      <c r="BH84" s="103">
        <v>20</v>
      </c>
      <c r="BI84" s="45"/>
      <c r="BJ84" s="63"/>
      <c r="BK84" s="49"/>
      <c r="BL84" s="56">
        <v>20</v>
      </c>
      <c r="BM84" s="34"/>
      <c r="BN84" s="110">
        <v>32</v>
      </c>
      <c r="BO84" s="72">
        <v>1.5</v>
      </c>
      <c r="BP84" s="38"/>
      <c r="BQ84" s="39">
        <v>2</v>
      </c>
      <c r="BR84" s="38">
        <f>IFERROR(BQ84*100/CP84,"N/A")</f>
      </c>
      <c r="BS84" s="107">
        <v>16</v>
      </c>
      <c r="BT84" s="72">
        <v>9</v>
      </c>
      <c r="BU84" s="42"/>
      <c r="BV84" s="78"/>
      <c r="BW84" s="104">
        <f>BW83</f>
      </c>
      <c r="BX84" s="64"/>
      <c r="BY84" s="52"/>
      <c r="BZ84" s="11"/>
      <c r="CA84" s="113">
        <v>40</v>
      </c>
      <c r="CB84" s="39">
        <f>CA84*BB84*(AP84*AJ84+AQ84*AK84+AR84*AL84)</f>
      </c>
      <c r="CC84" s="39">
        <f>CA84+CB84</f>
      </c>
      <c r="CD84" s="68"/>
      <c r="CE84" s="68"/>
      <c r="CF84" s="68"/>
      <c r="CG84" s="68"/>
      <c r="CH84" s="68"/>
      <c r="CI84" s="68"/>
      <c r="CJ84" s="111">
        <v>2.5</v>
      </c>
      <c r="CK84" s="103">
        <f>CJ84/BS84</f>
      </c>
      <c r="CL84" s="111"/>
      <c r="CM84" s="39"/>
      <c r="CN84" s="105">
        <f>CK84*CC84</f>
      </c>
      <c r="CO84" s="42"/>
      <c r="CP84" s="70">
        <f>CN84*BS84*BT84</f>
      </c>
      <c r="CQ84" s="38">
        <f>CP84/T84</f>
      </c>
      <c r="CR84" s="38">
        <f>100/CP84</f>
      </c>
      <c r="CS84" s="96">
        <f>100/CQ84</f>
      </c>
      <c r="CT84" s="38"/>
      <c r="CU84" s="38"/>
      <c r="CV84" s="96">
        <f>BL84/T84</f>
      </c>
      <c r="CW84" s="96">
        <f>100/CV84</f>
      </c>
      <c r="CX84" s="40"/>
      <c r="CY84" s="41"/>
      <c r="CZ84" s="40"/>
      <c r="DA84" s="41"/>
      <c r="DB84" s="40"/>
      <c r="DC84" s="1" t="str">
        <v>待办</v>
      </c>
      <c r="DD84" s="1" t="str">
        <v>待办</v>
      </c>
    </row>
    <row r="85">
      <c r="A85" s="71" t="str">
        <v>Knock Knock</v>
      </c>
      <c r="B85" s="75" t="str">
        <v>开门红</v>
      </c>
      <c r="C85" s="71"/>
      <c r="D85" s="71">
        <f>IF($A85="","","WPN"&amp;VLOOKUP(E85,'引用数据库'!Z:AC,4,FALSE)&amp;VLOOKUP(H85,'引用数据库'!N:P,3,FALSE)&amp;VLOOKUP(I85,'引用数据库'!S:U,3,FALSE)&amp;TEXT(F85,"00"))</f>
      </c>
      <c r="E85" s="75" t="str">
        <v>劳旅</v>
      </c>
      <c r="F85" s="110">
        <v>4</v>
      </c>
      <c r="G85" s="71">
        <f>G84</f>
      </c>
      <c r="H85" s="75">
        <f>H84</f>
      </c>
      <c r="I85" s="75">
        <f>I84</f>
      </c>
      <c r="J85" s="71">
        <f>J84</f>
      </c>
      <c r="K85" s="71">
        <f>K84</f>
      </c>
      <c r="L85" s="42"/>
      <c r="M85" s="65">
        <f>M84</f>
      </c>
      <c r="N85" s="72">
        <v>800</v>
      </c>
      <c r="O85" s="54" t="str">
        <v>N/A</v>
      </c>
      <c r="P85" s="72">
        <v>0</v>
      </c>
      <c r="Q85" s="72">
        <v>0</v>
      </c>
      <c r="R85" s="72">
        <v>0.3</v>
      </c>
      <c r="S85" s="72">
        <v>0</v>
      </c>
      <c r="T85" s="72">
        <f>SUM(P85:S85)</f>
      </c>
      <c r="U85" s="39">
        <f>2*T85/(15*(1+(5-BD85)*0.1))</f>
      </c>
      <c r="V85" s="11"/>
      <c r="W85" s="72">
        <v>60</v>
      </c>
      <c r="X85" s="72">
        <v>90</v>
      </c>
      <c r="Y85" s="177">
        <v>0.25</v>
      </c>
      <c r="Z85" s="177">
        <v>0.25</v>
      </c>
      <c r="AA85" s="102"/>
      <c r="AB85" s="102">
        <v>10</v>
      </c>
      <c r="AC85" s="102">
        <v>1</v>
      </c>
      <c r="AD85" s="60">
        <f>(W85+AB85)*AC85</f>
      </c>
      <c r="AE85" s="60">
        <f>(X85+AB85)*AC85</f>
      </c>
      <c r="AF85" s="1"/>
      <c r="AG85" s="54"/>
      <c r="AH85" s="54"/>
      <c r="AI85" s="11"/>
      <c r="AJ85" s="108"/>
      <c r="AK85" s="108"/>
      <c r="AL85" s="108"/>
      <c r="AM85" s="105">
        <f>IFS(AJ85 &gt; 1.25, "S", AJ85 &gt; 1, "A", AJ85 &gt; 0.75, "B", AJ85 &gt; 0.5, "C", AJ85 &gt; 0.25, "D", AJ85 &gt; 0, "E", TRUE, "-")</f>
      </c>
      <c r="AN85" s="105">
        <f>IFS(AK85 &gt; 1.25, "S", AK85 &gt; 1, "A", AK85 &gt; 0.75, "B", AK85 &gt; 0.5, "C", AK85 &gt; 0.25, "D", AK85 &gt; 0, "E", TRUE, "-")</f>
      </c>
      <c r="AO85" s="105">
        <f>IFS(AL85 &gt; 1.25, "S", AL85 &gt; 1, "A", AL85 &gt; 0.75, "B", AL85 &gt; 0.5, "C", AL85 &gt; 0.25, "D", AL85 &gt; 0, "E", TRUE, "-")</f>
      </c>
      <c r="AP85" s="68"/>
      <c r="AQ85" s="68"/>
      <c r="AR85" s="68"/>
      <c r="AS85" s="55"/>
      <c r="AT85" s="55"/>
      <c r="AU85" s="105"/>
      <c r="AV85" s="68">
        <f>IF(SUM(AJ85:AL85)=0, 0, (1 + F85 * 0.1) * (0.75 + 0.25 * MAX(0, MIN(1, IF(MAX(AJ85:AL85)=0, 0, (3*MAX(AJ85:AL85)-SUM(AJ85:AL85)) / (2*MAX(AJ85:AL85)))))))</f>
      </c>
      <c r="AW85" s="111">
        <f>MAX(AJ85:AL85)</f>
      </c>
      <c r="AX85" s="109">
        <f>IF(AW85=0, "", AW85 / ((1 + 0.1*N(F85))))</f>
      </c>
      <c r="AY85" s="68">
        <f>IF(SUM(AJ85:AL85)=0, 0,     (1 + F85 * 0.1) * (1 + ((SUM(AJ85:AL85) - MAX(AJ85:AL85)) / (2 * MAX(AJ85:AL85))) * (1/0.75 - 1)))</f>
      </c>
      <c r="AZ85" s="111"/>
      <c r="BA85" s="109">
        <f>IF(AZ85=0, "", AZ85 / ((1 + 0.1*N(F85))/0.75))</f>
      </c>
      <c r="BB85" s="39">
        <v>0.1</v>
      </c>
      <c r="BC85" s="11"/>
      <c r="BD85" s="72">
        <f>BD84</f>
      </c>
      <c r="BE85" s="72">
        <f>BE84</f>
      </c>
      <c r="BF85" s="74"/>
      <c r="BG85" s="38"/>
      <c r="BH85" s="103">
        <v>20</v>
      </c>
      <c r="BI85" s="45"/>
      <c r="BJ85" s="63"/>
      <c r="BK85" s="49"/>
      <c r="BL85" s="56">
        <v>20</v>
      </c>
      <c r="BM85" s="34"/>
      <c r="BN85" s="110">
        <v>32</v>
      </c>
      <c r="BO85" s="72">
        <v>1.5</v>
      </c>
      <c r="BP85" s="38"/>
      <c r="BQ85" s="39">
        <v>2</v>
      </c>
      <c r="BR85" s="38">
        <f>IFERROR(BQ85*100/CP85,"N/A")</f>
      </c>
      <c r="BS85" s="107">
        <v>16</v>
      </c>
      <c r="BT85" s="72">
        <v>9</v>
      </c>
      <c r="BU85" s="42"/>
      <c r="BV85" s="78"/>
      <c r="BW85" s="104">
        <f>BW84</f>
      </c>
      <c r="BX85" s="64"/>
      <c r="BY85" s="52"/>
      <c r="BZ85" s="11"/>
      <c r="CA85" s="113">
        <v>50</v>
      </c>
      <c r="CB85" s="39">
        <f>CA85*BB85*(AP85*AJ85+AQ85*AK85+AR85*AL85)</f>
      </c>
      <c r="CC85" s="39">
        <f>CA85+CB85</f>
      </c>
      <c r="CD85" s="68"/>
      <c r="CE85" s="68"/>
      <c r="CF85" s="68"/>
      <c r="CG85" s="68"/>
      <c r="CH85" s="68"/>
      <c r="CI85" s="68"/>
      <c r="CJ85" s="111">
        <v>2.5</v>
      </c>
      <c r="CK85" s="103">
        <f>CJ85/BS85</f>
      </c>
      <c r="CL85" s="111"/>
      <c r="CM85" s="39"/>
      <c r="CN85" s="105">
        <f>CK85*CC85</f>
      </c>
      <c r="CO85" s="42"/>
      <c r="CP85" s="70">
        <f>CN85*BS85*BT85</f>
      </c>
      <c r="CQ85" s="38">
        <f>CP85/T85</f>
      </c>
      <c r="CR85" s="38">
        <f>100/CP85</f>
      </c>
      <c r="CS85" s="96">
        <f>100/CQ85</f>
      </c>
      <c r="CT85" s="38"/>
      <c r="CU85" s="38"/>
      <c r="CV85" s="96">
        <f>BL85/T85</f>
      </c>
      <c r="CW85" s="96">
        <f>100/CV85</f>
      </c>
      <c r="CX85" s="40"/>
      <c r="CY85" s="41"/>
      <c r="CZ85" s="40"/>
      <c r="DA85" s="41"/>
      <c r="DB85" s="40"/>
      <c r="DC85" s="1" t="str">
        <v>待办</v>
      </c>
      <c r="DD85" s="1" t="str">
        <v>待办</v>
      </c>
    </row>
    <row r="86">
      <c r="A86" s="71" t="str">
        <v>Knock Knock</v>
      </c>
      <c r="B86" s="75" t="str">
        <v>开门红</v>
      </c>
      <c r="C86" s="71"/>
      <c r="D86" s="71">
        <f>IF($A86="","","WPN"&amp;VLOOKUP(E86,'引用数据库'!Z:AC,4,FALSE)&amp;VLOOKUP(H86,'引用数据库'!N:P,3,FALSE)&amp;VLOOKUP(I86,'引用数据库'!S:U,3,FALSE)&amp;TEXT(F86,"00"))</f>
      </c>
      <c r="E86" s="75" t="str">
        <v>劳旅</v>
      </c>
      <c r="F86" s="110">
        <v>5</v>
      </c>
      <c r="G86" s="71">
        <f>G85</f>
      </c>
      <c r="H86" s="75">
        <f>H85</f>
      </c>
      <c r="I86" s="75">
        <f>I85</f>
      </c>
      <c r="J86" s="71">
        <f>J85</f>
      </c>
      <c r="K86" s="71">
        <f>K85</f>
      </c>
      <c r="L86" s="42"/>
      <c r="M86" s="65">
        <f>M85</f>
      </c>
      <c r="N86" s="72">
        <v>800</v>
      </c>
      <c r="O86" s="54" t="str">
        <v>N/A</v>
      </c>
      <c r="P86" s="72">
        <v>0</v>
      </c>
      <c r="Q86" s="72">
        <v>0</v>
      </c>
      <c r="R86" s="72">
        <v>0.3</v>
      </c>
      <c r="S86" s="72">
        <v>0</v>
      </c>
      <c r="T86" s="72">
        <f>SUM(P86:S86)</f>
      </c>
      <c r="U86" s="39">
        <f>2*T86/(15*(1+(5-BD86)*0.1))</f>
      </c>
      <c r="V86" s="11"/>
      <c r="W86" s="72">
        <v>60</v>
      </c>
      <c r="X86" s="72">
        <v>90</v>
      </c>
      <c r="Y86" s="177">
        <v>0.25</v>
      </c>
      <c r="Z86" s="177">
        <v>0.25</v>
      </c>
      <c r="AA86" s="102"/>
      <c r="AB86" s="102">
        <v>10</v>
      </c>
      <c r="AC86" s="102">
        <v>1</v>
      </c>
      <c r="AD86" s="60">
        <f>(W86+AB86)*AC86</f>
      </c>
      <c r="AE86" s="60">
        <f>(X86+AB86)*AC86</f>
      </c>
      <c r="AF86" s="1"/>
      <c r="AG86" s="54"/>
      <c r="AH86" s="54"/>
      <c r="AI86" s="11"/>
      <c r="AJ86" s="108"/>
      <c r="AK86" s="108"/>
      <c r="AL86" s="108"/>
      <c r="AM86" s="105">
        <f>IFS(AJ86 &gt; 1.25, "S", AJ86 &gt; 1, "A", AJ86 &gt; 0.75, "B", AJ86 &gt; 0.5, "C", AJ86 &gt; 0.25, "D", AJ86 &gt; 0, "E", TRUE, "-")</f>
      </c>
      <c r="AN86" s="105">
        <f>IFS(AK86 &gt; 1.25, "S", AK86 &gt; 1, "A", AK86 &gt; 0.75, "B", AK86 &gt; 0.5, "C", AK86 &gt; 0.25, "D", AK86 &gt; 0, "E", TRUE, "-")</f>
      </c>
      <c r="AO86" s="105">
        <f>IFS(AL86 &gt; 1.25, "S", AL86 &gt; 1, "A", AL86 &gt; 0.75, "B", AL86 &gt; 0.5, "C", AL86 &gt; 0.25, "D", AL86 &gt; 0, "E", TRUE, "-")</f>
      </c>
      <c r="AP86" s="68"/>
      <c r="AQ86" s="68"/>
      <c r="AR86" s="68"/>
      <c r="AS86" s="55"/>
      <c r="AT86" s="55"/>
      <c r="AU86" s="105"/>
      <c r="AV86" s="68">
        <f>IF(SUM(AJ86:AL86)=0, 0, (1 + F86 * 0.1) * (0.75 + 0.25 * MAX(0, MIN(1, IF(MAX(AJ86:AL86)=0, 0, (3*MAX(AJ86:AL86)-SUM(AJ86:AL86)) / (2*MAX(AJ86:AL86)))))))</f>
      </c>
      <c r="AW86" s="111">
        <f>MAX(AJ86:AL86)</f>
      </c>
      <c r="AX86" s="109">
        <f>IF(AW86=0, "", AW86 / ((1 + 0.1*N(F86))))</f>
      </c>
      <c r="AY86" s="68">
        <f>IF(SUM(AJ86:AL86)=0, 0,     (1 + F86 * 0.1) * (1 + ((SUM(AJ86:AL86) - MAX(AJ86:AL86)) / (2 * MAX(AJ86:AL86))) * (1/0.75 - 1)))</f>
      </c>
      <c r="AZ86" s="111"/>
      <c r="BA86" s="109">
        <f>IF(AZ86=0, "", AZ86 / ((1 + 0.1*N(F86))/0.75))</f>
      </c>
      <c r="BB86" s="39">
        <v>0.1</v>
      </c>
      <c r="BC86" s="11"/>
      <c r="BD86" s="72">
        <f>BD85</f>
      </c>
      <c r="BE86" s="72">
        <f>BE85</f>
      </c>
      <c r="BF86" s="74"/>
      <c r="BG86" s="38"/>
      <c r="BH86" s="103">
        <v>20</v>
      </c>
      <c r="BI86" s="45"/>
      <c r="BJ86" s="63"/>
      <c r="BK86" s="49"/>
      <c r="BL86" s="56">
        <v>20</v>
      </c>
      <c r="BM86" s="34"/>
      <c r="BN86" s="110">
        <v>32</v>
      </c>
      <c r="BO86" s="72">
        <v>1.5</v>
      </c>
      <c r="BP86" s="38"/>
      <c r="BQ86" s="39">
        <v>2</v>
      </c>
      <c r="BR86" s="38">
        <f>IFERROR(BQ86*100/CP86,"N/A")</f>
      </c>
      <c r="BS86" s="107">
        <v>16</v>
      </c>
      <c r="BT86" s="72">
        <v>9</v>
      </c>
      <c r="BU86" s="42"/>
      <c r="BV86" s="78"/>
      <c r="BW86" s="104">
        <f>BW85</f>
      </c>
      <c r="BX86" s="64"/>
      <c r="BY86" s="52"/>
      <c r="BZ86" s="11"/>
      <c r="CA86" s="113">
        <v>60</v>
      </c>
      <c r="CB86" s="39">
        <f>CA86*BB86*(AP86*AJ86+AQ86*AK86+AR86*AL86)</f>
      </c>
      <c r="CC86" s="39">
        <f>CA86+CB86</f>
      </c>
      <c r="CD86" s="68"/>
      <c r="CE86" s="68"/>
      <c r="CF86" s="68"/>
      <c r="CG86" s="68"/>
      <c r="CH86" s="68"/>
      <c r="CI86" s="68"/>
      <c r="CJ86" s="111">
        <v>2.5</v>
      </c>
      <c r="CK86" s="103">
        <f>CJ86/BS86</f>
      </c>
      <c r="CL86" s="111"/>
      <c r="CM86" s="39"/>
      <c r="CN86" s="105">
        <f>CK86*CC86</f>
      </c>
      <c r="CO86" s="42"/>
      <c r="CP86" s="70">
        <f>CN86*BS86*BT86</f>
      </c>
      <c r="CQ86" s="38">
        <f>CP86/T86</f>
      </c>
      <c r="CR86" s="38">
        <f>100/CP86</f>
      </c>
      <c r="CS86" s="96">
        <f>100/CQ86</f>
      </c>
      <c r="CT86" s="38"/>
      <c r="CU86" s="38"/>
      <c r="CV86" s="96">
        <f>BL86/T86</f>
      </c>
      <c r="CW86" s="96">
        <f>100/CV86</f>
      </c>
      <c r="CX86" s="40"/>
      <c r="CY86" s="41"/>
      <c r="CZ86" s="40"/>
      <c r="DA86" s="41"/>
      <c r="DB86" s="40"/>
      <c r="DC86" s="1" t="str">
        <v>待办</v>
      </c>
      <c r="DD86" s="1" t="str">
        <v>待办</v>
      </c>
    </row>
    <row r="87">
      <c r="A87" s="71" t="str">
        <v>Shadowfang</v>
      </c>
      <c r="B87" s="36" t="str">
        <v>影牙</v>
      </c>
      <c r="C87" s="71"/>
      <c r="D87" s="71">
        <f>IF($A87="","","WPN"&amp;VLOOKUP(E87,'引用数据库'!Z:AC,4,FALSE)&amp;VLOOKUP(H87,'引用数据库'!N:P,3,FALSE)&amp;VLOOKUP(I87,'引用数据库'!S:U,3,FALSE)&amp;TEXT(F87,"00"))</f>
      </c>
      <c r="E87" s="36" t="str">
        <v>新浦会</v>
      </c>
      <c r="F87" s="27">
        <v>0</v>
      </c>
      <c r="G87" s="71" t="str">
        <v>近战</v>
      </c>
      <c r="H87" s="36" t="str">
        <v>短刀</v>
      </c>
      <c r="I87" s="36" t="str">
        <v>动能</v>
      </c>
      <c r="J87" s="36" t="str">
        <v>手动</v>
      </c>
      <c r="K87" s="71">
        <v>2</v>
      </c>
      <c r="L87" s="42"/>
      <c r="M87" s="46">
        <v>1</v>
      </c>
      <c r="N87" s="27">
        <v>800</v>
      </c>
      <c r="O87" s="67" t="str">
        <v>N/A</v>
      </c>
      <c r="P87" s="27">
        <v>0</v>
      </c>
      <c r="Q87" s="27">
        <v>0</v>
      </c>
      <c r="R87" s="27">
        <v>0.3</v>
      </c>
      <c r="S87" s="27">
        <v>0</v>
      </c>
      <c r="T87" s="27">
        <f>SUM(P87:S87)</f>
      </c>
      <c r="U87" s="32">
        <f>2*T87/(15*(1+(5-BD87)*0.1))</f>
      </c>
      <c r="V87" s="11"/>
      <c r="W87" s="27">
        <v>60</v>
      </c>
      <c r="X87" s="27">
        <v>90</v>
      </c>
      <c r="Y87" s="116">
        <v>0.25</v>
      </c>
      <c r="Z87" s="116">
        <v>0.25</v>
      </c>
      <c r="AA87" s="28"/>
      <c r="AB87" s="28">
        <v>10</v>
      </c>
      <c r="AC87" s="28">
        <v>1</v>
      </c>
      <c r="AD87" s="28">
        <f>(W87+AB87)*AC87</f>
      </c>
      <c r="AE87" s="28">
        <f>(X87+AB87)*AC87</f>
      </c>
      <c r="AF87" s="11"/>
      <c r="AG87" s="27"/>
      <c r="AH87" s="27"/>
      <c r="AI87" s="11"/>
      <c r="AJ87" s="33"/>
      <c r="AK87" s="33"/>
      <c r="AL87" s="33"/>
      <c r="AM87" s="32">
        <f>IFS(AJ87 &gt; 1.25, "S", AJ87 &gt; 1, "A", AJ87 &gt; 0.75, "B", AJ87 &gt; 0.5, "C", AJ87 &gt; 0.25, "D", AJ87 &gt; 0, "E", TRUE, "-")</f>
      </c>
      <c r="AN87" s="32">
        <f>IFS(AK87 &gt; 1.25, "S", AK87 &gt; 1, "A", AK87 &gt; 0.75, "B", AK87 &gt; 0.5, "C", AK87 &gt; 0.25, "D", AK87 &gt; 0, "E", TRUE, "-")</f>
      </c>
      <c r="AO87" s="32">
        <f>IFS(AL87 &gt; 1.25, "S", AL87 &gt; 1, "A", AL87 &gt; 0.75, "B", AL87 &gt; 0.5, "C", AL87 &gt; 0.25, "D", AL87 &gt; 0, "E", TRUE, "-")</f>
      </c>
      <c r="AP87" s="32"/>
      <c r="AQ87" s="32"/>
      <c r="AR87" s="32"/>
      <c r="AS87" s="32"/>
      <c r="AT87" s="32"/>
      <c r="AU87" s="32"/>
      <c r="AV87" s="32">
        <f>IF(SUM(AJ87:AL87)=0, 0, (1 + F87 * 0.1) * (0.75 + 0.25 * MAX(0, MIN(1, IF(MAX(AJ87:AL87)=0, 0, (3*MAX(AJ87:AL87)-SUM(AJ87:AL87)) / (2*MAX(AJ87:AL87)))))))</f>
      </c>
      <c r="AW87" s="33">
        <f>MAX(AJ87:AL87)</f>
      </c>
      <c r="AX87" s="37">
        <f>IF(AW87=0, "", AW87 / ((1 + 0.1*N(F87))))</f>
      </c>
      <c r="AY87" s="32">
        <f>IF(SUM(AJ87:AL87)=0, 0,     (1 + F87 * 0.1) * (1 + ((SUM(AJ87:AL87) - MAX(AJ87:AL87)) / (2 * MAX(AJ87:AL87))) * (1/0.75 - 1)))</f>
      </c>
      <c r="AZ87" s="33"/>
      <c r="BA87" s="37">
        <f>IF(AZ87=0, "", AZ87 / ((1 + 0.1*N(F87))/0.75))</f>
      </c>
      <c r="BB87" s="32">
        <v>0.1</v>
      </c>
      <c r="BC87" s="11"/>
      <c r="BD87" s="27">
        <v>3</v>
      </c>
      <c r="BE87" s="67">
        <v>2</v>
      </c>
      <c r="BF87" s="74"/>
      <c r="BG87" s="32">
        <f>T87*20/BT87/BS87</f>
      </c>
      <c r="BH87" s="33">
        <v>20</v>
      </c>
      <c r="BI87" s="45"/>
      <c r="BJ87" s="63"/>
      <c r="BK87" s="49"/>
      <c r="BL87" s="56">
        <v>20</v>
      </c>
      <c r="BM87" s="34"/>
      <c r="BN87" s="27">
        <v>32</v>
      </c>
      <c r="BO87" s="27">
        <v>1.5</v>
      </c>
      <c r="BP87" s="32"/>
      <c r="BQ87" s="39">
        <v>2</v>
      </c>
      <c r="BR87" s="38">
        <f>IFERROR(BQ87*100/CP87,"N/A")</f>
      </c>
      <c r="BS87" s="27">
        <v>16</v>
      </c>
      <c r="BT87" s="27">
        <v>9</v>
      </c>
      <c r="BU87" s="42"/>
      <c r="BV87" s="44"/>
      <c r="BW87" s="44">
        <f>BW88</f>
      </c>
      <c r="BX87" s="32"/>
      <c r="BY87" s="27"/>
      <c r="BZ87" s="11"/>
      <c r="CA87" s="31">
        <v>10</v>
      </c>
      <c r="CB87" s="32">
        <f>CA87*BB87*(AP87*AJ87+AQ87*AK87+AR87*AL87)</f>
      </c>
      <c r="CC87" s="32">
        <f>CA87+CB87</f>
      </c>
      <c r="CD87" s="32"/>
      <c r="CE87" s="32"/>
      <c r="CF87" s="32"/>
      <c r="CG87" s="32"/>
      <c r="CH87" s="32"/>
      <c r="CI87" s="32"/>
      <c r="CJ87" s="33">
        <v>2.5</v>
      </c>
      <c r="CK87" s="33">
        <f>CJ87/BS87</f>
      </c>
      <c r="CL87" s="33"/>
      <c r="CM87" s="32"/>
      <c r="CN87" s="32">
        <f>CK87*CC87</f>
      </c>
      <c r="CO87" s="42"/>
      <c r="CP87" s="48">
        <f>CN87*BS87*BT87</f>
      </c>
      <c r="CQ87" s="32">
        <f>CP87/T87</f>
      </c>
      <c r="CR87" s="32">
        <f>100/CP87</f>
      </c>
      <c r="CS87" s="35">
        <f>100/CQ87</f>
      </c>
      <c r="CT87" s="32"/>
      <c r="CU87" s="32"/>
      <c r="CV87" s="35">
        <f>BL87/T87</f>
      </c>
      <c r="CW87" s="35">
        <f>100/CV87</f>
      </c>
      <c r="CX87" s="40"/>
      <c r="CY87" s="41" t="str">
        <v>历任新浦会会长贴身保镖“影”的佩刀，
刀身通体漆黑，令人难以察觉它的锋利。
“影”是新浦会中一个较为特殊的存在，
与一直担任会长的李家一样，一直由王家出任。</v>
      </c>
      <c r="CZ87" s="40"/>
      <c r="DA87" s="41">
        <f>TEXTJOIN("、", TRUE, FILTER('武器技能'!B:B, '武器技能'!E:E = H87))</f>
      </c>
      <c r="DB87" s="40"/>
      <c r="DC87" s="67" t="str">
        <v>待办</v>
      </c>
      <c r="DD87" s="67" t="str">
        <v>待办</v>
      </c>
    </row>
    <row r="88">
      <c r="A88" s="71" t="str">
        <v>Shadowfang</v>
      </c>
      <c r="B88" s="75" t="str">
        <v>影牙</v>
      </c>
      <c r="C88" s="71"/>
      <c r="D88" s="71">
        <f>IF($A88="","","WPN"&amp;VLOOKUP(E88,'引用数据库'!Z:AC,4,FALSE)&amp;VLOOKUP(H88,'引用数据库'!N:P,3,FALSE)&amp;VLOOKUP(I88,'引用数据库'!S:U,3,FALSE)&amp;TEXT(F88,"00"))</f>
      </c>
      <c r="E88" s="75" t="str">
        <v>新浦会</v>
      </c>
      <c r="F88" s="110">
        <v>1</v>
      </c>
      <c r="G88" s="90">
        <f>G87</f>
      </c>
      <c r="H88" s="90">
        <f>H87</f>
      </c>
      <c r="I88" s="90">
        <f>I87</f>
      </c>
      <c r="J88" s="90">
        <f>J87</f>
      </c>
      <c r="K88" s="71">
        <f>K87</f>
      </c>
      <c r="L88" s="42"/>
      <c r="M88" s="65">
        <f>M87</f>
      </c>
      <c r="N88" s="72">
        <v>800</v>
      </c>
      <c r="O88" s="54" t="str">
        <v>N/A</v>
      </c>
      <c r="P88" s="72">
        <v>0</v>
      </c>
      <c r="Q88" s="72">
        <v>0</v>
      </c>
      <c r="R88" s="72">
        <v>0.3</v>
      </c>
      <c r="S88" s="72">
        <v>0</v>
      </c>
      <c r="T88" s="72">
        <f>SUM(P88:S88)</f>
      </c>
      <c r="U88" s="39">
        <f>2*T88/(15*(1+(5-BD88)*0.1))</f>
      </c>
      <c r="V88" s="11"/>
      <c r="W88" s="72">
        <v>60</v>
      </c>
      <c r="X88" s="72">
        <v>90</v>
      </c>
      <c r="Y88" s="177">
        <v>0.25</v>
      </c>
      <c r="Z88" s="177">
        <v>0.25</v>
      </c>
      <c r="AA88" s="102"/>
      <c r="AB88" s="102">
        <v>10</v>
      </c>
      <c r="AC88" s="102">
        <v>1</v>
      </c>
      <c r="AD88" s="60">
        <f>(W88+AB88)*AC88</f>
      </c>
      <c r="AE88" s="60">
        <f>(X88+AB88)*AC88</f>
      </c>
      <c r="AF88" s="11"/>
      <c r="AG88" s="72"/>
      <c r="AH88" s="72"/>
      <c r="AI88" s="11"/>
      <c r="AJ88" s="108"/>
      <c r="AK88" s="108"/>
      <c r="AL88" s="108"/>
      <c r="AM88" s="105">
        <f>IFS(AJ88 &gt; 1.25, "S", AJ88 &gt; 1, "A", AJ88 &gt; 0.75, "B", AJ88 &gt; 0.5, "C", AJ88 &gt; 0.25, "D", AJ88 &gt; 0, "E", TRUE, "-")</f>
      </c>
      <c r="AN88" s="105">
        <f>IFS(AK88 &gt; 1.25, "S", AK88 &gt; 1, "A", AK88 &gt; 0.75, "B", AK88 &gt; 0.5, "C", AK88 &gt; 0.25, "D", AK88 &gt; 0, "E", TRUE, "-")</f>
      </c>
      <c r="AO88" s="105">
        <f>IFS(AL88 &gt; 1.25, "S", AL88 &gt; 1, "A", AL88 &gt; 0.75, "B", AL88 &gt; 0.5, "C", AL88 &gt; 0.25, "D", AL88 &gt; 0, "E", TRUE, "-")</f>
      </c>
      <c r="AP88" s="68"/>
      <c r="AQ88" s="68"/>
      <c r="AR88" s="68"/>
      <c r="AS88" s="105"/>
      <c r="AT88" s="105"/>
      <c r="AU88" s="105"/>
      <c r="AV88" s="68">
        <f>IF(SUM(AJ88:AL88)=0, 0, (1 + F88 * 0.1) * (0.75 + 0.25 * MAX(0, MIN(1, IF(MAX(AJ88:AL88)=0, 0, (3*MAX(AJ88:AL88)-SUM(AJ88:AL88)) / (2*MAX(AJ88:AL88)))))))</f>
      </c>
      <c r="AW88" s="111">
        <f>MAX(AJ88:AL88)</f>
      </c>
      <c r="AX88" s="109">
        <f>IF(AW88=0, "", AW88 / ((1 + 0.1*N(F88))))</f>
      </c>
      <c r="AY88" s="68">
        <f>IF(SUM(AJ88:AL88)=0, 0,     (1 + F88 * 0.1) * (1 + ((SUM(AJ88:AL88) - MAX(AJ88:AL88)) / (2 * MAX(AJ88:AL88))) * (1/0.75 - 1)))</f>
      </c>
      <c r="AZ88" s="111"/>
      <c r="BA88" s="109">
        <f>IF(AZ88=0, "", AZ88 / ((1 + 0.1*N(F88))/0.75))</f>
      </c>
      <c r="BB88" s="39">
        <v>0.1</v>
      </c>
      <c r="BC88" s="11"/>
      <c r="BD88" s="91">
        <f>BD87</f>
      </c>
      <c r="BE88" s="91">
        <f>BE87</f>
      </c>
      <c r="BF88" s="74"/>
      <c r="BG88" s="88"/>
      <c r="BH88" s="103">
        <v>20</v>
      </c>
      <c r="BI88" s="45"/>
      <c r="BJ88" s="63"/>
      <c r="BK88" s="49"/>
      <c r="BL88" s="56">
        <v>20</v>
      </c>
      <c r="BM88" s="34"/>
      <c r="BN88" s="110">
        <v>32</v>
      </c>
      <c r="BO88" s="72">
        <v>1.5</v>
      </c>
      <c r="BP88" s="38"/>
      <c r="BQ88" s="39">
        <v>2</v>
      </c>
      <c r="BR88" s="38">
        <f>IFERROR(BQ88*100/CP88,"N/A")</f>
      </c>
      <c r="BS88" s="107">
        <v>16</v>
      </c>
      <c r="BT88" s="72">
        <v>9</v>
      </c>
      <c r="BU88" s="42"/>
      <c r="BV88" s="78">
        <f>IFERROR(  ROUND(    (10 / $T$4) *    ((CP88 / T88) / ($CP$4 / $T$4)) ^ 0.9 *    (T88 / $T$4) ^ 0.2 *    ((1 + N88) / (1 + $N$4)) ^ 0.15 *    ((1 + BQ88) / (1 + $BQ$4)) ^ 0.15 *    ((1 + BD88) / (1 + $BD$4)) ^ 0.2 *    ((1 + BH88) / (1 + $BH$4)) ^ 0.2 *    ((1 + BL88) / (1 + $BL$4)) ^ 0.2 *    T88,  0),  CP88 * 1000)</f>
      </c>
      <c r="BW88" s="104">
        <f>#REF!</f>
      </c>
      <c r="BX88" s="38"/>
      <c r="BY88" s="181"/>
      <c r="BZ88" s="11"/>
      <c r="CA88" s="113">
        <v>20</v>
      </c>
      <c r="CB88" s="39">
        <f>CA88*BB88*(AP88*AJ88+AQ88*AK88+AR88*AL88)</f>
      </c>
      <c r="CC88" s="39">
        <f>CA88+CB88</f>
      </c>
      <c r="CD88" s="68"/>
      <c r="CE88" s="68"/>
      <c r="CF88" s="68"/>
      <c r="CG88" s="68"/>
      <c r="CH88" s="68"/>
      <c r="CI88" s="68"/>
      <c r="CJ88" s="111">
        <v>2.5</v>
      </c>
      <c r="CK88" s="103">
        <f>CJ88/BS88</f>
      </c>
      <c r="CL88" s="111"/>
      <c r="CM88" s="39"/>
      <c r="CN88" s="105">
        <f>CK88*CC88</f>
      </c>
      <c r="CO88" s="42"/>
      <c r="CP88" s="70">
        <f>CN88*BS88*BT88</f>
      </c>
      <c r="CQ88" s="38">
        <f>CP88/T88</f>
      </c>
      <c r="CR88" s="38">
        <f>100/CP88</f>
      </c>
      <c r="CS88" s="96">
        <f>100/CQ88</f>
      </c>
      <c r="CT88" s="38"/>
      <c r="CU88" s="38"/>
      <c r="CV88" s="96">
        <f>BL88/T88</f>
      </c>
      <c r="CW88" s="96">
        <f>100/CV88</f>
      </c>
      <c r="CX88" s="40"/>
      <c r="CY88" s="41"/>
      <c r="CZ88" s="40"/>
      <c r="DA88" s="41"/>
      <c r="DB88" s="40"/>
      <c r="DC88" s="159" t="str">
        <v>待办</v>
      </c>
      <c r="DD88" s="159" t="str">
        <v>待办</v>
      </c>
    </row>
    <row r="89">
      <c r="A89" s="71" t="str">
        <v>Shadowfang</v>
      </c>
      <c r="B89" s="75" t="str">
        <v>影牙</v>
      </c>
      <c r="C89" s="71"/>
      <c r="D89" s="71">
        <f>IF($A89="","","WPN"&amp;VLOOKUP(E89,'引用数据库'!Z:AC,4,FALSE)&amp;VLOOKUP(H89,'引用数据库'!N:P,3,FALSE)&amp;VLOOKUP(I89,'引用数据库'!S:U,3,FALSE)&amp;TEXT(F89,"00"))</f>
      </c>
      <c r="E89" s="75" t="str">
        <v>新浦会</v>
      </c>
      <c r="F89" s="110">
        <v>2</v>
      </c>
      <c r="G89" s="71">
        <f>G88</f>
      </c>
      <c r="H89" s="75">
        <f>H88</f>
      </c>
      <c r="I89" s="75">
        <f>I88</f>
      </c>
      <c r="J89" s="71">
        <f>J88</f>
      </c>
      <c r="K89" s="71">
        <f>K88</f>
      </c>
      <c r="L89" s="42"/>
      <c r="M89" s="65">
        <f>M88</f>
      </c>
      <c r="N89" s="72">
        <v>800</v>
      </c>
      <c r="O89" s="54" t="str">
        <v>N/A</v>
      </c>
      <c r="P89" s="72">
        <v>0</v>
      </c>
      <c r="Q89" s="72">
        <v>0</v>
      </c>
      <c r="R89" s="72">
        <v>0.3</v>
      </c>
      <c r="S89" s="72">
        <v>0</v>
      </c>
      <c r="T89" s="72">
        <f>SUM(P89:S89)</f>
      </c>
      <c r="U89" s="39">
        <f>2*T89/(15*(1+(5-BD89)*0.1))</f>
      </c>
      <c r="V89" s="11"/>
      <c r="W89" s="72">
        <v>60</v>
      </c>
      <c r="X89" s="72">
        <v>90</v>
      </c>
      <c r="Y89" s="177">
        <v>0.25</v>
      </c>
      <c r="Z89" s="177">
        <v>0.25</v>
      </c>
      <c r="AA89" s="102"/>
      <c r="AB89" s="102">
        <v>10</v>
      </c>
      <c r="AC89" s="102">
        <v>1</v>
      </c>
      <c r="AD89" s="60">
        <f>(W89+AB89)*AC89</f>
      </c>
      <c r="AE89" s="60">
        <f>(X89+AB89)*AC89</f>
      </c>
      <c r="AF89" s="1"/>
      <c r="AG89" s="54"/>
      <c r="AH89" s="54"/>
      <c r="AI89" s="11"/>
      <c r="AJ89" s="108"/>
      <c r="AK89" s="108"/>
      <c r="AL89" s="108"/>
      <c r="AM89" s="105">
        <f>IFS(AJ89 &gt; 1.25, "S", AJ89 &gt; 1, "A", AJ89 &gt; 0.75, "B", AJ89 &gt; 0.5, "C", AJ89 &gt; 0.25, "D", AJ89 &gt; 0, "E", TRUE, "-")</f>
      </c>
      <c r="AN89" s="105">
        <f>IFS(AK89 &gt; 1.25, "S", AK89 &gt; 1, "A", AK89 &gt; 0.75, "B", AK89 &gt; 0.5, "C", AK89 &gt; 0.25, "D", AK89 &gt; 0, "E", TRUE, "-")</f>
      </c>
      <c r="AO89" s="105">
        <f>IFS(AL89 &gt; 1.25, "S", AL89 &gt; 1, "A", AL89 &gt; 0.75, "B", AL89 &gt; 0.5, "C", AL89 &gt; 0.25, "D", AL89 &gt; 0, "E", TRUE, "-")</f>
      </c>
      <c r="AP89" s="68"/>
      <c r="AQ89" s="68"/>
      <c r="AR89" s="68"/>
      <c r="AS89" s="55"/>
      <c r="AT89" s="55"/>
      <c r="AU89" s="105"/>
      <c r="AV89" s="68">
        <f>IF(SUM(AJ89:AL89)=0, 0, (1 + F89 * 0.1) * (0.75 + 0.25 * MAX(0, MIN(1, IF(MAX(AJ89:AL89)=0, 0, (3*MAX(AJ89:AL89)-SUM(AJ89:AL89)) / (2*MAX(AJ89:AL89)))))))</f>
      </c>
      <c r="AW89" s="111">
        <f>MAX(AJ89:AL89)</f>
      </c>
      <c r="AX89" s="109">
        <f>IF(AW89=0, "", AW89 / ((1 + 0.1*N(F89))))</f>
      </c>
      <c r="AY89" s="68">
        <f>IF(SUM(AJ89:AL89)=0, 0,     (1 + F89 * 0.1) * (1 + ((SUM(AJ89:AL89) - MAX(AJ89:AL89)) / (2 * MAX(AJ89:AL89))) * (1/0.75 - 1)))</f>
      </c>
      <c r="AZ89" s="111"/>
      <c r="BA89" s="109">
        <f>IF(AZ89=0, "", AZ89 / ((1 + 0.1*N(F89))/0.75))</f>
      </c>
      <c r="BB89" s="39">
        <v>0.1</v>
      </c>
      <c r="BC89" s="11"/>
      <c r="BD89" s="72">
        <f>BD88</f>
      </c>
      <c r="BE89" s="72">
        <f>BE88</f>
      </c>
      <c r="BF89" s="74"/>
      <c r="BG89" s="38"/>
      <c r="BH89" s="103">
        <v>20</v>
      </c>
      <c r="BI89" s="45"/>
      <c r="BJ89" s="63"/>
      <c r="BK89" s="49"/>
      <c r="BL89" s="56">
        <v>20</v>
      </c>
      <c r="BM89" s="34"/>
      <c r="BN89" s="110">
        <v>32</v>
      </c>
      <c r="BO89" s="72">
        <v>1.5</v>
      </c>
      <c r="BP89" s="38"/>
      <c r="BQ89" s="39">
        <v>2</v>
      </c>
      <c r="BR89" s="38">
        <f>IFERROR(BQ89*100/CP89,"N/A")</f>
      </c>
      <c r="BS89" s="107">
        <v>16</v>
      </c>
      <c r="BT89" s="72">
        <v>9</v>
      </c>
      <c r="BU89" s="42"/>
      <c r="BV89" s="78"/>
      <c r="BW89" s="104">
        <f>BW88</f>
      </c>
      <c r="BX89" s="64"/>
      <c r="BY89" s="52"/>
      <c r="BZ89" s="11"/>
      <c r="CA89" s="113">
        <v>30</v>
      </c>
      <c r="CB89" s="39">
        <f>CA89*BB89*(AP89*AJ89+AQ89*AK89+AR89*AL89)</f>
      </c>
      <c r="CC89" s="39">
        <f>CA89+CB89</f>
      </c>
      <c r="CD89" s="68"/>
      <c r="CE89" s="68"/>
      <c r="CF89" s="68"/>
      <c r="CG89" s="68"/>
      <c r="CH89" s="68"/>
      <c r="CI89" s="68"/>
      <c r="CJ89" s="111">
        <v>2.5</v>
      </c>
      <c r="CK89" s="103">
        <f>CJ89/BS89</f>
      </c>
      <c r="CL89" s="111"/>
      <c r="CM89" s="39"/>
      <c r="CN89" s="105">
        <f>CK89*CC89</f>
      </c>
      <c r="CO89" s="42"/>
      <c r="CP89" s="70">
        <f>CN89*BS89*BT89</f>
      </c>
      <c r="CQ89" s="38">
        <f>CP89/T89</f>
      </c>
      <c r="CR89" s="38">
        <f>100/CP89</f>
      </c>
      <c r="CS89" s="96">
        <f>100/CQ89</f>
      </c>
      <c r="CT89" s="38"/>
      <c r="CU89" s="38"/>
      <c r="CV89" s="96">
        <f>BL89/T89</f>
      </c>
      <c r="CW89" s="96">
        <f>100/CV89</f>
      </c>
      <c r="CX89" s="40"/>
      <c r="CY89" s="41"/>
      <c r="CZ89" s="40"/>
      <c r="DA89" s="41"/>
      <c r="DB89" s="40"/>
      <c r="DC89" s="1" t="str">
        <v>待办</v>
      </c>
      <c r="DD89" s="1" t="str">
        <v>待办</v>
      </c>
    </row>
    <row r="90">
      <c r="A90" s="71" t="str">
        <v>Shadowfang</v>
      </c>
      <c r="B90" s="75" t="str">
        <v>影牙</v>
      </c>
      <c r="C90" s="71"/>
      <c r="D90" s="71">
        <f>IF($A90="","","WPN"&amp;VLOOKUP(E90,'引用数据库'!Z:AC,4,FALSE)&amp;VLOOKUP(H90,'引用数据库'!N:P,3,FALSE)&amp;VLOOKUP(I90,'引用数据库'!S:U,3,FALSE)&amp;TEXT(F90,"00"))</f>
      </c>
      <c r="E90" s="75" t="str">
        <v>新浦会</v>
      </c>
      <c r="F90" s="110">
        <v>3</v>
      </c>
      <c r="G90" s="71">
        <f>G89</f>
      </c>
      <c r="H90" s="75">
        <f>H89</f>
      </c>
      <c r="I90" s="75">
        <f>I89</f>
      </c>
      <c r="J90" s="71">
        <f>J89</f>
      </c>
      <c r="K90" s="71">
        <f>K89</f>
      </c>
      <c r="L90" s="42"/>
      <c r="M90" s="65">
        <f>M89</f>
      </c>
      <c r="N90" s="72">
        <v>800</v>
      </c>
      <c r="O90" s="54" t="str">
        <v>N/A</v>
      </c>
      <c r="P90" s="72">
        <v>0</v>
      </c>
      <c r="Q90" s="72">
        <v>0</v>
      </c>
      <c r="R90" s="72">
        <v>0.3</v>
      </c>
      <c r="S90" s="72">
        <v>0</v>
      </c>
      <c r="T90" s="72">
        <f>SUM(P90:S90)</f>
      </c>
      <c r="U90" s="39">
        <f>2*T90/(15*(1+(5-BD90)*0.1))</f>
      </c>
      <c r="V90" s="11"/>
      <c r="W90" s="72">
        <v>60</v>
      </c>
      <c r="X90" s="72">
        <v>90</v>
      </c>
      <c r="Y90" s="177">
        <v>0.25</v>
      </c>
      <c r="Z90" s="177">
        <v>0.25</v>
      </c>
      <c r="AA90" s="102"/>
      <c r="AB90" s="102">
        <v>10</v>
      </c>
      <c r="AC90" s="102">
        <v>1</v>
      </c>
      <c r="AD90" s="60">
        <f>(W90+AB90)*AC90</f>
      </c>
      <c r="AE90" s="60">
        <f>(X90+AB90)*AC90</f>
      </c>
      <c r="AF90" s="1"/>
      <c r="AG90" s="54"/>
      <c r="AH90" s="54"/>
      <c r="AI90" s="11"/>
      <c r="AJ90" s="108"/>
      <c r="AK90" s="108"/>
      <c r="AL90" s="108"/>
      <c r="AM90" s="105">
        <f>IFS(AJ90 &gt; 1.25, "S", AJ90 &gt; 1, "A", AJ90 &gt; 0.75, "B", AJ90 &gt; 0.5, "C", AJ90 &gt; 0.25, "D", AJ90 &gt; 0, "E", TRUE, "-")</f>
      </c>
      <c r="AN90" s="105">
        <f>IFS(AK90 &gt; 1.25, "S", AK90 &gt; 1, "A", AK90 &gt; 0.75, "B", AK90 &gt; 0.5, "C", AK90 &gt; 0.25, "D", AK90 &gt; 0, "E", TRUE, "-")</f>
      </c>
      <c r="AO90" s="105">
        <f>IFS(AL90 &gt; 1.25, "S", AL90 &gt; 1, "A", AL90 &gt; 0.75, "B", AL90 &gt; 0.5, "C", AL90 &gt; 0.25, "D", AL90 &gt; 0, "E", TRUE, "-")</f>
      </c>
      <c r="AP90" s="68"/>
      <c r="AQ90" s="68"/>
      <c r="AR90" s="68"/>
      <c r="AS90" s="55"/>
      <c r="AT90" s="55"/>
      <c r="AU90" s="105"/>
      <c r="AV90" s="68">
        <f>IF(SUM(AJ90:AL90)=0, 0, (1 + F90 * 0.1) * (0.75 + 0.25 * MAX(0, MIN(1, IF(MAX(AJ90:AL90)=0, 0, (3*MAX(AJ90:AL90)-SUM(AJ90:AL90)) / (2*MAX(AJ90:AL90)))))))</f>
      </c>
      <c r="AW90" s="111">
        <f>MAX(AJ90:AL90)</f>
      </c>
      <c r="AX90" s="109">
        <f>IF(AW90=0, "", AW90 / ((1 + 0.1*N(F90))))</f>
      </c>
      <c r="AY90" s="68">
        <f>IF(SUM(AJ90:AL90)=0, 0,     (1 + F90 * 0.1) * (1 + ((SUM(AJ90:AL90) - MAX(AJ90:AL90)) / (2 * MAX(AJ90:AL90))) * (1/0.75 - 1)))</f>
      </c>
      <c r="AZ90" s="111"/>
      <c r="BA90" s="109">
        <f>IF(AZ90=0, "", AZ90 / ((1 + 0.1*N(F90))/0.75))</f>
      </c>
      <c r="BB90" s="39">
        <v>0.1</v>
      </c>
      <c r="BC90" s="11"/>
      <c r="BD90" s="72">
        <f>BD89</f>
      </c>
      <c r="BE90" s="72">
        <f>BE89</f>
      </c>
      <c r="BF90" s="74"/>
      <c r="BG90" s="38"/>
      <c r="BH90" s="103">
        <v>20</v>
      </c>
      <c r="BI90" s="45"/>
      <c r="BJ90" s="63"/>
      <c r="BK90" s="49"/>
      <c r="BL90" s="56">
        <v>20</v>
      </c>
      <c r="BM90" s="34"/>
      <c r="BN90" s="110">
        <v>32</v>
      </c>
      <c r="BO90" s="72">
        <v>1.5</v>
      </c>
      <c r="BP90" s="38"/>
      <c r="BQ90" s="39">
        <v>2</v>
      </c>
      <c r="BR90" s="38">
        <f>IFERROR(BQ90*100/CP90,"N/A")</f>
      </c>
      <c r="BS90" s="107">
        <v>16</v>
      </c>
      <c r="BT90" s="72">
        <v>9</v>
      </c>
      <c r="BU90" s="42"/>
      <c r="BV90" s="78"/>
      <c r="BW90" s="104">
        <f>BW89</f>
      </c>
      <c r="BX90" s="64"/>
      <c r="BY90" s="52"/>
      <c r="BZ90" s="11"/>
      <c r="CA90" s="113">
        <v>40</v>
      </c>
      <c r="CB90" s="39">
        <f>CA90*BB90*(AP90*AJ90+AQ90*AK90+AR90*AL90)</f>
      </c>
      <c r="CC90" s="39">
        <f>CA90+CB90</f>
      </c>
      <c r="CD90" s="68"/>
      <c r="CE90" s="68"/>
      <c r="CF90" s="68"/>
      <c r="CG90" s="68"/>
      <c r="CH90" s="68"/>
      <c r="CI90" s="68"/>
      <c r="CJ90" s="111">
        <v>2.5</v>
      </c>
      <c r="CK90" s="103">
        <f>CJ90/BS90</f>
      </c>
      <c r="CL90" s="111"/>
      <c r="CM90" s="39"/>
      <c r="CN90" s="105">
        <f>CK90*CC90</f>
      </c>
      <c r="CO90" s="42"/>
      <c r="CP90" s="70">
        <f>CN90*BS90*BT90</f>
      </c>
      <c r="CQ90" s="38">
        <f>CP90/T90</f>
      </c>
      <c r="CR90" s="38">
        <f>100/CP90</f>
      </c>
      <c r="CS90" s="96">
        <f>100/CQ90</f>
      </c>
      <c r="CT90" s="38"/>
      <c r="CU90" s="38"/>
      <c r="CV90" s="96">
        <f>BL90/T90</f>
      </c>
      <c r="CW90" s="96">
        <f>100/CV90</f>
      </c>
      <c r="CX90" s="40"/>
      <c r="CY90" s="41"/>
      <c r="CZ90" s="40"/>
      <c r="DA90" s="41"/>
      <c r="DB90" s="40"/>
      <c r="DC90" s="1" t="str">
        <v>待办</v>
      </c>
      <c r="DD90" s="1" t="str">
        <v>待办</v>
      </c>
    </row>
    <row r="91">
      <c r="A91" s="71" t="str">
        <v>Shadowfang</v>
      </c>
      <c r="B91" s="75" t="str">
        <v>影牙</v>
      </c>
      <c r="C91" s="71"/>
      <c r="D91" s="71">
        <f>IF($A91="","","WPN"&amp;VLOOKUP(E91,'引用数据库'!Z:AC,4,FALSE)&amp;VLOOKUP(H91,'引用数据库'!N:P,3,FALSE)&amp;VLOOKUP(I91,'引用数据库'!S:U,3,FALSE)&amp;TEXT(F91,"00"))</f>
      </c>
      <c r="E91" s="75" t="str">
        <v>新浦会</v>
      </c>
      <c r="F91" s="110">
        <v>4</v>
      </c>
      <c r="G91" s="71">
        <f>G90</f>
      </c>
      <c r="H91" s="75">
        <f>H90</f>
      </c>
      <c r="I91" s="75">
        <f>I90</f>
      </c>
      <c r="J91" s="71">
        <f>J90</f>
      </c>
      <c r="K91" s="71">
        <f>K90</f>
      </c>
      <c r="L91" s="42"/>
      <c r="M91" s="65">
        <f>M90</f>
      </c>
      <c r="N91" s="72">
        <v>800</v>
      </c>
      <c r="O91" s="54" t="str">
        <v>N/A</v>
      </c>
      <c r="P91" s="72">
        <v>0</v>
      </c>
      <c r="Q91" s="72">
        <v>0</v>
      </c>
      <c r="R91" s="72">
        <v>0.3</v>
      </c>
      <c r="S91" s="72">
        <v>0</v>
      </c>
      <c r="T91" s="72">
        <f>SUM(P91:S91)</f>
      </c>
      <c r="U91" s="39">
        <f>2*T91/(15*(1+(5-BD91)*0.1))</f>
      </c>
      <c r="V91" s="11"/>
      <c r="W91" s="72">
        <v>60</v>
      </c>
      <c r="X91" s="72">
        <v>90</v>
      </c>
      <c r="Y91" s="177">
        <v>0.25</v>
      </c>
      <c r="Z91" s="177">
        <v>0.25</v>
      </c>
      <c r="AA91" s="102"/>
      <c r="AB91" s="102">
        <v>10</v>
      </c>
      <c r="AC91" s="102">
        <v>1</v>
      </c>
      <c r="AD91" s="60">
        <f>(W91+AB91)*AC91</f>
      </c>
      <c r="AE91" s="60">
        <f>(X91+AB91)*AC91</f>
      </c>
      <c r="AF91" s="1"/>
      <c r="AG91" s="54"/>
      <c r="AH91" s="54"/>
      <c r="AI91" s="11"/>
      <c r="AJ91" s="108"/>
      <c r="AK91" s="108"/>
      <c r="AL91" s="108"/>
      <c r="AM91" s="105">
        <f>IFS(AJ91 &gt; 1.25, "S", AJ91 &gt; 1, "A", AJ91 &gt; 0.75, "B", AJ91 &gt; 0.5, "C", AJ91 &gt; 0.25, "D", AJ91 &gt; 0, "E", TRUE, "-")</f>
      </c>
      <c r="AN91" s="105">
        <f>IFS(AK91 &gt; 1.25, "S", AK91 &gt; 1, "A", AK91 &gt; 0.75, "B", AK91 &gt; 0.5, "C", AK91 &gt; 0.25, "D", AK91 &gt; 0, "E", TRUE, "-")</f>
      </c>
      <c r="AO91" s="105">
        <f>IFS(AL91 &gt; 1.25, "S", AL91 &gt; 1, "A", AL91 &gt; 0.75, "B", AL91 &gt; 0.5, "C", AL91 &gt; 0.25, "D", AL91 &gt; 0, "E", TRUE, "-")</f>
      </c>
      <c r="AP91" s="68"/>
      <c r="AQ91" s="68"/>
      <c r="AR91" s="68"/>
      <c r="AS91" s="55"/>
      <c r="AT91" s="55"/>
      <c r="AU91" s="105"/>
      <c r="AV91" s="68">
        <f>IF(SUM(AJ91:AL91)=0, 0, (1 + F91 * 0.1) * (0.75 + 0.25 * MAX(0, MIN(1, IF(MAX(AJ91:AL91)=0, 0, (3*MAX(AJ91:AL91)-SUM(AJ91:AL91)) / (2*MAX(AJ91:AL91)))))))</f>
      </c>
      <c r="AW91" s="111">
        <f>MAX(AJ91:AL91)</f>
      </c>
      <c r="AX91" s="109">
        <f>IF(AW91=0, "", AW91 / ((1 + 0.1*N(F91))))</f>
      </c>
      <c r="AY91" s="68">
        <f>IF(SUM(AJ91:AL91)=0, 0,     (1 + F91 * 0.1) * (1 + ((SUM(AJ91:AL91) - MAX(AJ91:AL91)) / (2 * MAX(AJ91:AL91))) * (1/0.75 - 1)))</f>
      </c>
      <c r="AZ91" s="111"/>
      <c r="BA91" s="109">
        <f>IF(AZ91=0, "", AZ91 / ((1 + 0.1*N(F91))/0.75))</f>
      </c>
      <c r="BB91" s="39">
        <v>0.1</v>
      </c>
      <c r="BC91" s="11"/>
      <c r="BD91" s="72">
        <f>BD90</f>
      </c>
      <c r="BE91" s="72">
        <f>BE90</f>
      </c>
      <c r="BF91" s="74"/>
      <c r="BG91" s="38"/>
      <c r="BH91" s="103">
        <v>20</v>
      </c>
      <c r="BI91" s="45"/>
      <c r="BJ91" s="63"/>
      <c r="BK91" s="49"/>
      <c r="BL91" s="56">
        <v>20</v>
      </c>
      <c r="BM91" s="34"/>
      <c r="BN91" s="110">
        <v>32</v>
      </c>
      <c r="BO91" s="72">
        <v>1.5</v>
      </c>
      <c r="BP91" s="38"/>
      <c r="BQ91" s="39">
        <v>2</v>
      </c>
      <c r="BR91" s="38">
        <f>IFERROR(BQ91*100/CP91,"N/A")</f>
      </c>
      <c r="BS91" s="107">
        <v>16</v>
      </c>
      <c r="BT91" s="72">
        <v>9</v>
      </c>
      <c r="BU91" s="42"/>
      <c r="BV91" s="78"/>
      <c r="BW91" s="104">
        <f>BW90</f>
      </c>
      <c r="BX91" s="64"/>
      <c r="BY91" s="52"/>
      <c r="BZ91" s="11"/>
      <c r="CA91" s="113">
        <v>50</v>
      </c>
      <c r="CB91" s="39">
        <f>CA91*BB91*(AP91*AJ91+AQ91*AK91+AR91*AL91)</f>
      </c>
      <c r="CC91" s="39">
        <f>CA91+CB91</f>
      </c>
      <c r="CD91" s="68"/>
      <c r="CE91" s="68"/>
      <c r="CF91" s="68"/>
      <c r="CG91" s="68"/>
      <c r="CH91" s="68"/>
      <c r="CI91" s="68"/>
      <c r="CJ91" s="111">
        <v>2.5</v>
      </c>
      <c r="CK91" s="103">
        <f>CJ91/BS91</f>
      </c>
      <c r="CL91" s="111"/>
      <c r="CM91" s="39"/>
      <c r="CN91" s="105">
        <f>CK91*CC91</f>
      </c>
      <c r="CO91" s="42"/>
      <c r="CP91" s="70">
        <f>CN91*BS91*BT91</f>
      </c>
      <c r="CQ91" s="38">
        <f>CP91/T91</f>
      </c>
      <c r="CR91" s="38">
        <f>100/CP91</f>
      </c>
      <c r="CS91" s="96">
        <f>100/CQ91</f>
      </c>
      <c r="CT91" s="38"/>
      <c r="CU91" s="38"/>
      <c r="CV91" s="96">
        <f>BL91/T91</f>
      </c>
      <c r="CW91" s="96">
        <f>100/CV91</f>
      </c>
      <c r="CX91" s="40"/>
      <c r="CY91" s="41"/>
      <c r="CZ91" s="40"/>
      <c r="DA91" s="41"/>
      <c r="DB91" s="40"/>
      <c r="DC91" s="1" t="str">
        <v>待办</v>
      </c>
      <c r="DD91" s="1" t="str">
        <v>待办</v>
      </c>
    </row>
    <row r="92">
      <c r="A92" s="71" t="str">
        <v>Shadowfang</v>
      </c>
      <c r="B92" s="75" t="str">
        <v>影牙</v>
      </c>
      <c r="C92" s="71"/>
      <c r="D92" s="71">
        <f>IF($A92="","","WPN"&amp;VLOOKUP(E92,'引用数据库'!Z:AC,4,FALSE)&amp;VLOOKUP(H92,'引用数据库'!N:P,3,FALSE)&amp;VLOOKUP(I92,'引用数据库'!S:U,3,FALSE)&amp;TEXT(F92,"00"))</f>
      </c>
      <c r="E92" s="75" t="str">
        <v>新浦会</v>
      </c>
      <c r="F92" s="110">
        <v>5</v>
      </c>
      <c r="G92" s="71">
        <f>G91</f>
      </c>
      <c r="H92" s="75">
        <f>H91</f>
      </c>
      <c r="I92" s="75">
        <f>I91</f>
      </c>
      <c r="J92" s="71">
        <f>J91</f>
      </c>
      <c r="K92" s="71">
        <f>K91</f>
      </c>
      <c r="L92" s="42"/>
      <c r="M92" s="65">
        <f>M91</f>
      </c>
      <c r="N92" s="72">
        <v>800</v>
      </c>
      <c r="O92" s="54" t="str">
        <v>N/A</v>
      </c>
      <c r="P92" s="72">
        <v>0</v>
      </c>
      <c r="Q92" s="72">
        <v>0</v>
      </c>
      <c r="R92" s="72">
        <v>0.3</v>
      </c>
      <c r="S92" s="72">
        <v>0</v>
      </c>
      <c r="T92" s="72">
        <f>SUM(P92:S92)</f>
      </c>
      <c r="U92" s="39">
        <f>2*T92/(15*(1+(5-BD92)*0.1))</f>
      </c>
      <c r="V92" s="11"/>
      <c r="W92" s="72">
        <v>60</v>
      </c>
      <c r="X92" s="72">
        <v>90</v>
      </c>
      <c r="Y92" s="177">
        <v>0.25</v>
      </c>
      <c r="Z92" s="177">
        <v>0.25</v>
      </c>
      <c r="AA92" s="102"/>
      <c r="AB92" s="102">
        <v>10</v>
      </c>
      <c r="AC92" s="102">
        <v>1</v>
      </c>
      <c r="AD92" s="60">
        <f>(W92+AB92)*AC92</f>
      </c>
      <c r="AE92" s="60">
        <f>(X92+AB92)*AC92</f>
      </c>
      <c r="AF92" s="1"/>
      <c r="AG92" s="54"/>
      <c r="AH92" s="54"/>
      <c r="AI92" s="11"/>
      <c r="AJ92" s="108"/>
      <c r="AK92" s="108"/>
      <c r="AL92" s="108"/>
      <c r="AM92" s="105">
        <f>IFS(AJ92 &gt; 1.25, "S", AJ92 &gt; 1, "A", AJ92 &gt; 0.75, "B", AJ92 &gt; 0.5, "C", AJ92 &gt; 0.25, "D", AJ92 &gt; 0, "E", TRUE, "-")</f>
      </c>
      <c r="AN92" s="105">
        <f>IFS(AK92 &gt; 1.25, "S", AK92 &gt; 1, "A", AK92 &gt; 0.75, "B", AK92 &gt; 0.5, "C", AK92 &gt; 0.25, "D", AK92 &gt; 0, "E", TRUE, "-")</f>
      </c>
      <c r="AO92" s="105">
        <f>IFS(AL92 &gt; 1.25, "S", AL92 &gt; 1, "A", AL92 &gt; 0.75, "B", AL92 &gt; 0.5, "C", AL92 &gt; 0.25, "D", AL92 &gt; 0, "E", TRUE, "-")</f>
      </c>
      <c r="AP92" s="68"/>
      <c r="AQ92" s="68"/>
      <c r="AR92" s="68"/>
      <c r="AS92" s="55"/>
      <c r="AT92" s="55"/>
      <c r="AU92" s="105"/>
      <c r="AV92" s="68">
        <f>IF(SUM(AJ92:AL92)=0, 0, (1 + F92 * 0.1) * (0.75 + 0.25 * MAX(0, MIN(1, IF(MAX(AJ92:AL92)=0, 0, (3*MAX(AJ92:AL92)-SUM(AJ92:AL92)) / (2*MAX(AJ92:AL92)))))))</f>
      </c>
      <c r="AW92" s="111">
        <f>MAX(AJ92:AL92)</f>
      </c>
      <c r="AX92" s="109">
        <f>IF(AW92=0, "", AW92 / ((1 + 0.1*N(F92))))</f>
      </c>
      <c r="AY92" s="68">
        <f>IF(SUM(AJ92:AL92)=0, 0,     (1 + F92 * 0.1) * (1 + ((SUM(AJ92:AL92) - MAX(AJ92:AL92)) / (2 * MAX(AJ92:AL92))) * (1/0.75 - 1)))</f>
      </c>
      <c r="AZ92" s="111"/>
      <c r="BA92" s="109">
        <f>IF(AZ92=0, "", AZ92 / ((1 + 0.1*N(F92))/0.75))</f>
      </c>
      <c r="BB92" s="39">
        <v>0.1</v>
      </c>
      <c r="BC92" s="11"/>
      <c r="BD92" s="72">
        <f>BD91</f>
      </c>
      <c r="BE92" s="72">
        <f>BE91</f>
      </c>
      <c r="BF92" s="74"/>
      <c r="BG92" s="38"/>
      <c r="BH92" s="103">
        <v>20</v>
      </c>
      <c r="BI92" s="45"/>
      <c r="BJ92" s="63"/>
      <c r="BK92" s="49"/>
      <c r="BL92" s="56">
        <v>20</v>
      </c>
      <c r="BM92" s="34"/>
      <c r="BN92" s="110">
        <v>32</v>
      </c>
      <c r="BO92" s="72">
        <v>1.5</v>
      </c>
      <c r="BP92" s="38"/>
      <c r="BQ92" s="39">
        <v>2</v>
      </c>
      <c r="BR92" s="38">
        <f>IFERROR(BQ92*100/CP92,"N/A")</f>
      </c>
      <c r="BS92" s="107">
        <v>16</v>
      </c>
      <c r="BT92" s="72">
        <v>9</v>
      </c>
      <c r="BU92" s="42"/>
      <c r="BV92" s="78"/>
      <c r="BW92" s="104">
        <f>BW91</f>
      </c>
      <c r="BX92" s="64"/>
      <c r="BY92" s="52"/>
      <c r="BZ92" s="11"/>
      <c r="CA92" s="113">
        <v>60</v>
      </c>
      <c r="CB92" s="39">
        <f>CA92*BB92*(AP92*AJ92+AQ92*AK92+AR92*AL92)</f>
      </c>
      <c r="CC92" s="39">
        <f>CA92+CB92</f>
      </c>
      <c r="CD92" s="68"/>
      <c r="CE92" s="68"/>
      <c r="CF92" s="68"/>
      <c r="CG92" s="68"/>
      <c r="CH92" s="68"/>
      <c r="CI92" s="68"/>
      <c r="CJ92" s="111">
        <v>2.5</v>
      </c>
      <c r="CK92" s="103">
        <f>CJ92/BS92</f>
      </c>
      <c r="CL92" s="111"/>
      <c r="CM92" s="39"/>
      <c r="CN92" s="105">
        <f>CK92*CC92</f>
      </c>
      <c r="CO92" s="42"/>
      <c r="CP92" s="70">
        <f>CN92*BS92*BT92</f>
      </c>
      <c r="CQ92" s="38">
        <f>CP92/T92</f>
      </c>
      <c r="CR92" s="38">
        <f>100/CP92</f>
      </c>
      <c r="CS92" s="96">
        <f>100/CQ92</f>
      </c>
      <c r="CT92" s="38"/>
      <c r="CU92" s="38"/>
      <c r="CV92" s="96">
        <f>BL92/T92</f>
      </c>
      <c r="CW92" s="96">
        <f>100/CV92</f>
      </c>
      <c r="CX92" s="40"/>
      <c r="CY92" s="41"/>
      <c r="CZ92" s="40"/>
      <c r="DA92" s="41"/>
      <c r="DB92" s="40"/>
      <c r="DC92" s="1" t="str">
        <v>待办</v>
      </c>
      <c r="DD92" s="1" t="str">
        <v>待办</v>
      </c>
    </row>
    <row r="93">
      <c r="A93" s="84" t="str">
        <v>Regulated Rage</v>
      </c>
      <c r="B93" s="162" t="str">
        <v>工人之怒</v>
      </c>
      <c r="C93" s="71"/>
      <c r="D93" s="71">
        <f>IF($A93="","","WPN"&amp;VLOOKUP(E93,'引用数据库'!Z:AC,4,FALSE)&amp;VLOOKUP(H93,'引用数据库'!N:P,3,FALSE)&amp;VLOOKUP(I93,'引用数据库'!S:U,3,FALSE)&amp;TEXT(F93,"00"))</f>
      </c>
      <c r="E93" s="162" t="str">
        <v>劳旅</v>
      </c>
      <c r="F93" s="67">
        <v>0</v>
      </c>
      <c r="G93" s="84" t="str">
        <v>近战</v>
      </c>
      <c r="H93" s="162" t="str">
        <v>长刀</v>
      </c>
      <c r="I93" s="162" t="str">
        <v>热能</v>
      </c>
      <c r="J93" s="162" t="str">
        <v>手动</v>
      </c>
      <c r="K93" s="71">
        <f>K92</f>
      </c>
      <c r="L93" s="42"/>
      <c r="M93" s="46"/>
      <c r="N93" s="67"/>
      <c r="O93" s="67"/>
      <c r="P93" s="67"/>
      <c r="Q93" s="67"/>
      <c r="R93" s="67"/>
      <c r="S93" s="67"/>
      <c r="T93" s="67"/>
      <c r="U93" s="29">
        <f>2*T93/(15*(1+(5-BD93)*0.1))</f>
      </c>
      <c r="V93" s="1"/>
      <c r="W93" s="67"/>
      <c r="X93" s="67"/>
      <c r="Y93" s="165"/>
      <c r="Z93" s="165"/>
      <c r="AA93" s="166"/>
      <c r="AB93" s="166"/>
      <c r="AC93" s="166"/>
      <c r="AD93" s="166"/>
      <c r="AE93" s="166"/>
      <c r="AF93" s="1"/>
      <c r="AG93" s="67"/>
      <c r="AH93" s="67"/>
      <c r="AI93" s="1"/>
      <c r="AJ93" s="163"/>
      <c r="AK93" s="163"/>
      <c r="AL93" s="163"/>
      <c r="AM93" s="29">
        <f>IFS(AJ93 &gt; 1.25, "S", AJ93 &gt; 1, "A", AJ93 &gt; 0.75, "B", AJ93 &gt; 0.5, "C", AJ93 &gt; 0.25, "D", AJ93 &gt; 0, "E", TRUE, "-")</f>
      </c>
      <c r="AN93" s="29">
        <f>IFS(AK93 &gt; 1.25, "S", AK93 &gt; 1, "A", AK93 &gt; 0.75, "B", AK93 &gt; 0.5, "C", AK93 &gt; 0.25, "D", AK93 &gt; 0, "E", TRUE, "-")</f>
      </c>
      <c r="AO93" s="29">
        <f>IFS(AL93 &gt; 1.25, "S", AL93 &gt; 1, "A", AL93 &gt; 0.75, "B", AL93 &gt; 0.5, "C", AL93 &gt; 0.25, "D", AL93 &gt; 0, "E", TRUE, "-")</f>
      </c>
      <c r="AP93" s="29"/>
      <c r="AQ93" s="32"/>
      <c r="AR93" s="32"/>
      <c r="AS93" s="29"/>
      <c r="AT93" s="29"/>
      <c r="AU93" s="29"/>
      <c r="AV93" s="67">
        <f>IF(SUM(AJ93:AL93)=0, 0, (1 + F93 * 0.1) * (0.75 + 0.25 * MAX(0, MIN(1, IF(MAX(AJ93:AL93)=0, 0, (3*MAX(AJ93:AL93)-SUM(AJ93:AL93)) / (2*MAX(AJ93:AL93)))))))</f>
      </c>
      <c r="AW93" s="161">
        <f>MAX(AJ93:AL93)</f>
      </c>
      <c r="AX93" s="160">
        <f>IF(AW93=0, "", AW93 / ((1 + 0.1*N(F93))))</f>
      </c>
      <c r="AY93" s="67">
        <f>IF(SUM(AJ93:AL93)=0, 0,     (1 + F93 * 0.1) * (1 + ((SUM(AJ93:AL93) - MAX(AJ93:AL93)) / (2 * MAX(AJ93:AL93))) * (1/0.75 - 1)))</f>
      </c>
      <c r="AZ93" s="161"/>
      <c r="BA93" s="160">
        <f>IF(AZ93=0, "", AZ93 / ((1 + 0.1*N(F93))/0.75))</f>
      </c>
      <c r="BB93" s="29">
        <v>0.1</v>
      </c>
      <c r="BC93" s="1"/>
      <c r="BD93" s="67"/>
      <c r="BE93" s="67"/>
      <c r="BF93" s="74"/>
      <c r="BG93" s="32">
        <f>T93*20/BT93/BS93</f>
      </c>
      <c r="BH93" s="163"/>
      <c r="BI93" s="45"/>
      <c r="BJ93" s="63"/>
      <c r="BK93" s="49"/>
      <c r="BL93" s="56"/>
      <c r="BM93" s="50"/>
      <c r="BN93" s="67"/>
      <c r="BO93" s="67"/>
      <c r="BP93" s="29"/>
      <c r="BQ93" s="51"/>
      <c r="BR93" s="38">
        <f>IFERROR(BQ93*100/CP93,"N/A")</f>
      </c>
      <c r="BS93" s="67"/>
      <c r="BT93" s="67"/>
      <c r="BU93" s="42"/>
      <c r="BV93" s="44"/>
      <c r="BW93" s="167"/>
      <c r="BX93" s="29"/>
      <c r="BY93" s="67"/>
      <c r="BZ93" s="1"/>
      <c r="CA93" s="161"/>
      <c r="CB93" s="29"/>
      <c r="CC93" s="29"/>
      <c r="CD93" s="29"/>
      <c r="CE93" s="29"/>
      <c r="CF93" s="29"/>
      <c r="CG93" s="29"/>
      <c r="CH93" s="29"/>
      <c r="CI93" s="29"/>
      <c r="CJ93" s="163"/>
      <c r="CK93" s="163"/>
      <c r="CL93" s="163"/>
      <c r="CM93" s="29"/>
      <c r="CN93" s="29"/>
      <c r="CO93" s="42"/>
      <c r="CP93" s="48">
        <f>CN93*BS93*BT93</f>
      </c>
      <c r="CQ93" s="67"/>
      <c r="CR93" s="29">
        <f>100/CP93</f>
      </c>
      <c r="CS93" s="164">
        <f>100/CQ93</f>
      </c>
      <c r="CT93" s="67"/>
      <c r="CU93" s="67"/>
      <c r="CV93" s="164">
        <f>BL93/T93</f>
      </c>
      <c r="CW93" s="164">
        <f>100/CV93</f>
      </c>
      <c r="CX93" s="77"/>
      <c r="CY93" s="41" t="str">
        <v>用工地随手可得的素材拼接出来的武器，
诡异的外形仿佛在诉说着其主人打造它时的怒火。
曾有一名压榨劳工的工头惨死于工人刀下。
原始凶器虽早已被销毁，
但这把武器的设计图却始终在工人之间暗中流传。</v>
      </c>
      <c r="CZ93" s="77"/>
      <c r="DA93" s="41">
        <f>TEXTJOIN("、", TRUE, FILTER('武器技能'!B:B, '武器技能'!E:E = H93))</f>
      </c>
      <c r="DB93" s="77"/>
      <c r="DC93" s="67" t="str">
        <v>待办</v>
      </c>
      <c r="DD93" s="67" t="str">
        <v>待办</v>
      </c>
    </row>
    <row r="94">
      <c r="A94" s="84" t="str">
        <v>Regulated Rage</v>
      </c>
      <c r="B94" s="53" t="str">
        <v>工人之怒</v>
      </c>
      <c r="C94" s="71"/>
      <c r="D94" s="71">
        <f>IF($A94="","","WPN"&amp;VLOOKUP(E94,'引用数据库'!Z:AC,4,FALSE)&amp;VLOOKUP(H94,'引用数据库'!N:P,3,FALSE)&amp;VLOOKUP(I94,'引用数据库'!S:U,3,FALSE)&amp;TEXT(F94,"00"))</f>
      </c>
      <c r="E94" s="53" t="str">
        <v>劳旅</v>
      </c>
      <c r="F94" s="57">
        <v>1</v>
      </c>
      <c r="G94" s="90">
        <f>G93</f>
      </c>
      <c r="H94" s="90">
        <f>H93</f>
      </c>
      <c r="I94" s="90">
        <f>I93</f>
      </c>
      <c r="J94" s="90">
        <f>J93</f>
      </c>
      <c r="K94" s="71">
        <f>K93</f>
      </c>
      <c r="L94" s="42"/>
      <c r="M94" s="65"/>
      <c r="N94" s="54"/>
      <c r="O94" s="54"/>
      <c r="P94" s="54"/>
      <c r="Q94" s="54"/>
      <c r="R94" s="54"/>
      <c r="S94" s="54"/>
      <c r="T94" s="54"/>
      <c r="U94" s="51">
        <f>2*T94/(15*(1+(5-BD94)*0.1))</f>
      </c>
      <c r="V94" s="1"/>
      <c r="W94" s="54"/>
      <c r="X94" s="54"/>
      <c r="Y94" s="76"/>
      <c r="Z94" s="76"/>
      <c r="AA94" s="66"/>
      <c r="AB94" s="66"/>
      <c r="AC94" s="66"/>
      <c r="AD94" s="86"/>
      <c r="AE94" s="86"/>
      <c r="AF94" s="1"/>
      <c r="AG94" s="54"/>
      <c r="AH94" s="54"/>
      <c r="AI94" s="1"/>
      <c r="AJ94" s="80"/>
      <c r="AK94" s="80"/>
      <c r="AL94" s="80"/>
      <c r="AM94" s="55">
        <f>IFS(AJ94 &gt; 1.25, "S", AJ94 &gt; 1, "A", AJ94 &gt; 0.75, "B", AJ94 &gt; 0.5, "C", AJ94 &gt; 0.25, "D", AJ94 &gt; 0, "E", TRUE, "-")</f>
      </c>
      <c r="AN94" s="55">
        <f>IFS(AK94 &gt; 1.25, "S", AK94 &gt; 1, "A", AK94 &gt; 0.75, "B", AK94 &gt; 0.5, "C", AK94 &gt; 0.25, "D", AK94 &gt; 0, "E", TRUE, "-")</f>
      </c>
      <c r="AO94" s="55">
        <f>IFS(AL94 &gt; 1.25, "S", AL94 &gt; 1, "A", AL94 &gt; 0.75, "B", AL94 &gt; 0.5, "C", AL94 &gt; 0.25, "D", AL94 &gt; 0, "E", TRUE, "-")</f>
      </c>
      <c r="AP94" s="58"/>
      <c r="AQ94" s="68"/>
      <c r="AR94" s="68"/>
      <c r="AS94" s="55"/>
      <c r="AT94" s="55"/>
      <c r="AU94" s="55"/>
      <c r="AV94" s="61">
        <f>IF(SUM(AJ94:AL94)=0, 0, (1 + F94 * 0.1) * (0.75 + 0.25 * MAX(0, MIN(1, IF(MAX(AJ94:AL94)=0, 0, (3*MAX(AJ94:AL94)-SUM(AJ94:AL94)) / (2*MAX(AJ94:AL94)))))))</f>
      </c>
      <c r="AW94" s="83">
        <f>MAX(AJ94:AL94)</f>
      </c>
      <c r="AX94" s="81">
        <f>IF(AW94=0, "", AW94 / ((1 + 0.1*N(F94))))</f>
      </c>
      <c r="AY94" s="61">
        <f>IF(SUM(AJ94:AL94)=0, 0,     (1 + F94 * 0.1) * (1 + ((SUM(AJ94:AL94) - MAX(AJ94:AL94)) / (2 * MAX(AJ94:AL94))) * (1/0.75 - 1)))</f>
      </c>
      <c r="AZ94" s="83"/>
      <c r="BA94" s="81">
        <f>IF(AZ94=0, "", AZ94 / ((1 + 0.1*N(F94))/0.75))</f>
      </c>
      <c r="BB94" s="51">
        <v>0.1</v>
      </c>
      <c r="BC94" s="1"/>
      <c r="BD94" s="54"/>
      <c r="BE94" s="54"/>
      <c r="BF94" s="74"/>
      <c r="BG94" s="88"/>
      <c r="BH94" s="69"/>
      <c r="BI94" s="45"/>
      <c r="BJ94" s="63"/>
      <c r="BK94" s="49"/>
      <c r="BL94" s="56"/>
      <c r="BM94" s="50"/>
      <c r="BN94" s="57"/>
      <c r="BO94" s="54"/>
      <c r="BP94" s="64"/>
      <c r="BQ94" s="51"/>
      <c r="BR94" s="38">
        <f>IFERROR(BQ94*100/CP94,"N/A")</f>
      </c>
      <c r="BS94" s="61"/>
      <c r="BT94" s="54"/>
      <c r="BU94" s="42"/>
      <c r="BV94" s="78"/>
      <c r="BW94" s="73"/>
      <c r="BX94" s="64"/>
      <c r="BY94" s="52"/>
      <c r="BZ94" s="1"/>
      <c r="CA94" s="62"/>
      <c r="CB94" s="51"/>
      <c r="CC94" s="51"/>
      <c r="CD94" s="58"/>
      <c r="CE94" s="58"/>
      <c r="CF94" s="58"/>
      <c r="CG94" s="58"/>
      <c r="CH94" s="58"/>
      <c r="CI94" s="58"/>
      <c r="CJ94" s="79"/>
      <c r="CK94" s="69"/>
      <c r="CL94" s="79"/>
      <c r="CM94" s="51"/>
      <c r="CN94" s="55"/>
      <c r="CO94" s="42"/>
      <c r="CP94" s="70">
        <f>CN94*BS94*BT94</f>
      </c>
      <c r="CQ94" s="52"/>
      <c r="CR94" s="64">
        <f>100/CP94</f>
      </c>
      <c r="CS94" s="82">
        <f>100/CQ94</f>
      </c>
      <c r="CT94" s="52"/>
      <c r="CU94" s="52"/>
      <c r="CV94" s="82">
        <f>BL94/T94</f>
      </c>
      <c r="CW94" s="82">
        <f>100/CV94</f>
      </c>
      <c r="CX94" s="77"/>
      <c r="CY94" s="41"/>
      <c r="CZ94" s="77"/>
      <c r="DA94" s="41"/>
      <c r="DB94" s="77"/>
      <c r="DC94" s="159" t="str">
        <v>待办</v>
      </c>
      <c r="DD94" s="159" t="str">
        <v>待办</v>
      </c>
    </row>
    <row r="95">
      <c r="A95" s="84" t="str">
        <v>Regulated Rage</v>
      </c>
      <c r="B95" s="53" t="str">
        <v>工人之怒</v>
      </c>
      <c r="C95" s="71"/>
      <c r="D95" s="71">
        <f>IF($A95="","","WPN"&amp;VLOOKUP(E95,'引用数据库'!Z:AC,4,FALSE)&amp;VLOOKUP(H95,'引用数据库'!N:P,3,FALSE)&amp;VLOOKUP(I95,'引用数据库'!S:U,3,FALSE)&amp;TEXT(F95,"00"))</f>
      </c>
      <c r="E95" s="53" t="str">
        <v>劳旅</v>
      </c>
      <c r="F95" s="57">
        <v>2</v>
      </c>
      <c r="G95" s="71">
        <f>G94</f>
      </c>
      <c r="H95" s="75">
        <f>H94</f>
      </c>
      <c r="I95" s="75">
        <f>I94</f>
      </c>
      <c r="J95" s="71">
        <f>J94</f>
      </c>
      <c r="K95" s="71">
        <f>K94</f>
      </c>
      <c r="L95" s="42"/>
      <c r="M95" s="65"/>
      <c r="N95" s="54"/>
      <c r="O95" s="54"/>
      <c r="P95" s="54"/>
      <c r="Q95" s="54"/>
      <c r="R95" s="54"/>
      <c r="S95" s="54"/>
      <c r="T95" s="54"/>
      <c r="U95" s="51">
        <f>2*T95/(15*(1+(5-BD95)*0.1))</f>
      </c>
      <c r="V95" s="1"/>
      <c r="W95" s="54"/>
      <c r="X95" s="54"/>
      <c r="Y95" s="76"/>
      <c r="Z95" s="76"/>
      <c r="AA95" s="66"/>
      <c r="AB95" s="66"/>
      <c r="AC95" s="66"/>
      <c r="AD95" s="86"/>
      <c r="AE95" s="86"/>
      <c r="AF95" s="1"/>
      <c r="AG95" s="54"/>
      <c r="AH95" s="54"/>
      <c r="AI95" s="1"/>
      <c r="AJ95" s="80"/>
      <c r="AK95" s="80"/>
      <c r="AL95" s="80"/>
      <c r="AM95" s="55">
        <f>IFS(AJ95 &gt; 1.25, "S", AJ95 &gt; 1, "A", AJ95 &gt; 0.75, "B", AJ95 &gt; 0.5, "C", AJ95 &gt; 0.25, "D", AJ95 &gt; 0, "E", TRUE, "-")</f>
      </c>
      <c r="AN95" s="55">
        <f>IFS(AK95 &gt; 1.25, "S", AK95 &gt; 1, "A", AK95 &gt; 0.75, "B", AK95 &gt; 0.5, "C", AK95 &gt; 0.25, "D", AK95 &gt; 0, "E", TRUE, "-")</f>
      </c>
      <c r="AO95" s="55">
        <f>IFS(AL95 &gt; 1.25, "S", AL95 &gt; 1, "A", AL95 &gt; 0.75, "B", AL95 &gt; 0.5, "C", AL95 &gt; 0.25, "D", AL95 &gt; 0, "E", TRUE, "-")</f>
      </c>
      <c r="AP95" s="58"/>
      <c r="AQ95" s="68"/>
      <c r="AR95" s="68"/>
      <c r="AS95" s="55"/>
      <c r="AT95" s="55"/>
      <c r="AU95" s="55"/>
      <c r="AV95" s="61">
        <f>IF(SUM(AJ95:AL95)=0, 0, (1 + F95 * 0.1) * (0.75 + 0.25 * MAX(0, MIN(1, IF(MAX(AJ95:AL95)=0, 0, (3*MAX(AJ95:AL95)-SUM(AJ95:AL95)) / (2*MAX(AJ95:AL95)))))))</f>
      </c>
      <c r="AW95" s="83">
        <f>MAX(AJ95:AL95)</f>
      </c>
      <c r="AX95" s="81">
        <f>IF(AW95=0, "", AW95 / ((1 + 0.1*N(F95))))</f>
      </c>
      <c r="AY95" s="61">
        <f>IF(SUM(AJ95:AL95)=0, 0,     (1 + F95 * 0.1) * (1 + ((SUM(AJ95:AL95) - MAX(AJ95:AL95)) / (2 * MAX(AJ95:AL95))) * (1/0.75 - 1)))</f>
      </c>
      <c r="AZ95" s="83"/>
      <c r="BA95" s="81">
        <f>IF(AZ95=0, "", AZ95 / ((1 + 0.1*N(F95))/0.75))</f>
      </c>
      <c r="BB95" s="51">
        <v>0.1</v>
      </c>
      <c r="BC95" s="1"/>
      <c r="BD95" s="54"/>
      <c r="BE95" s="54"/>
      <c r="BF95" s="74"/>
      <c r="BG95" s="38"/>
      <c r="BH95" s="69"/>
      <c r="BI95" s="45"/>
      <c r="BJ95" s="63"/>
      <c r="BK95" s="49"/>
      <c r="BL95" s="56"/>
      <c r="BM95" s="50"/>
      <c r="BN95" s="57"/>
      <c r="BO95" s="54"/>
      <c r="BP95" s="64"/>
      <c r="BQ95" s="51"/>
      <c r="BR95" s="38">
        <f>IFERROR(BQ95*100/CP95,"N/A")</f>
      </c>
      <c r="BS95" s="61"/>
      <c r="BT95" s="54"/>
      <c r="BU95" s="42"/>
      <c r="BV95" s="78"/>
      <c r="BW95" s="73"/>
      <c r="BX95" s="64"/>
      <c r="BY95" s="52"/>
      <c r="BZ95" s="1"/>
      <c r="CA95" s="62"/>
      <c r="CB95" s="51"/>
      <c r="CC95" s="51"/>
      <c r="CD95" s="58"/>
      <c r="CE95" s="58"/>
      <c r="CF95" s="58"/>
      <c r="CG95" s="58"/>
      <c r="CH95" s="58"/>
      <c r="CI95" s="58"/>
      <c r="CJ95" s="79"/>
      <c r="CK95" s="69"/>
      <c r="CL95" s="79"/>
      <c r="CM95" s="51"/>
      <c r="CN95" s="55"/>
      <c r="CO95" s="42"/>
      <c r="CP95" s="70">
        <f>CN95*BS95*BT95</f>
      </c>
      <c r="CQ95" s="52"/>
      <c r="CR95" s="64">
        <f>100/CP95</f>
      </c>
      <c r="CS95" s="82">
        <f>100/CQ95</f>
      </c>
      <c r="CT95" s="52"/>
      <c r="CU95" s="52"/>
      <c r="CV95" s="82">
        <f>BL95/T95</f>
      </c>
      <c r="CW95" s="82">
        <f>100/CV95</f>
      </c>
      <c r="CX95" s="77"/>
      <c r="CY95" s="41"/>
      <c r="CZ95" s="77"/>
      <c r="DA95" s="41"/>
      <c r="DB95" s="77"/>
      <c r="DC95" s="1" t="str">
        <v>待办</v>
      </c>
      <c r="DD95" s="1" t="str">
        <v>待办</v>
      </c>
    </row>
    <row r="96">
      <c r="A96" s="84" t="str">
        <v>Regulated Rage</v>
      </c>
      <c r="B96" s="53" t="str">
        <v>工人之怒</v>
      </c>
      <c r="C96" s="71"/>
      <c r="D96" s="71">
        <f>IF($A96="","","WPN"&amp;VLOOKUP(E96,'引用数据库'!Z:AC,4,FALSE)&amp;VLOOKUP(H96,'引用数据库'!N:P,3,FALSE)&amp;VLOOKUP(I96,'引用数据库'!S:U,3,FALSE)&amp;TEXT(F96,"00"))</f>
      </c>
      <c r="E96" s="53" t="str">
        <v>劳旅</v>
      </c>
      <c r="F96" s="57">
        <v>3</v>
      </c>
      <c r="G96" s="71">
        <f>G95</f>
      </c>
      <c r="H96" s="75">
        <f>H95</f>
      </c>
      <c r="I96" s="75">
        <f>I95</f>
      </c>
      <c r="J96" s="71">
        <f>J95</f>
      </c>
      <c r="K96" s="71">
        <f>K95</f>
      </c>
      <c r="L96" s="42"/>
      <c r="M96" s="65"/>
      <c r="N96" s="54"/>
      <c r="O96" s="54"/>
      <c r="P96" s="54"/>
      <c r="Q96" s="54"/>
      <c r="R96" s="54"/>
      <c r="S96" s="54"/>
      <c r="T96" s="54"/>
      <c r="U96" s="51">
        <f>2*T96/(15*(1+(5-BD96)*0.1))</f>
      </c>
      <c r="V96" s="1"/>
      <c r="W96" s="54"/>
      <c r="X96" s="54"/>
      <c r="Y96" s="76"/>
      <c r="Z96" s="76"/>
      <c r="AA96" s="66"/>
      <c r="AB96" s="66"/>
      <c r="AC96" s="66"/>
      <c r="AD96" s="86"/>
      <c r="AE96" s="86"/>
      <c r="AF96" s="1"/>
      <c r="AG96" s="54"/>
      <c r="AH96" s="54"/>
      <c r="AI96" s="1"/>
      <c r="AJ96" s="80"/>
      <c r="AK96" s="80"/>
      <c r="AL96" s="80"/>
      <c r="AM96" s="55">
        <f>IFS(AJ96 &gt; 1.25, "S", AJ96 &gt; 1, "A", AJ96 &gt; 0.75, "B", AJ96 &gt; 0.5, "C", AJ96 &gt; 0.25, "D", AJ96 &gt; 0, "E", TRUE, "-")</f>
      </c>
      <c r="AN96" s="55">
        <f>IFS(AK96 &gt; 1.25, "S", AK96 &gt; 1, "A", AK96 &gt; 0.75, "B", AK96 &gt; 0.5, "C", AK96 &gt; 0.25, "D", AK96 &gt; 0, "E", TRUE, "-")</f>
      </c>
      <c r="AO96" s="55">
        <f>IFS(AL96 &gt; 1.25, "S", AL96 &gt; 1, "A", AL96 &gt; 0.75, "B", AL96 &gt; 0.5, "C", AL96 &gt; 0.25, "D", AL96 &gt; 0, "E", TRUE, "-")</f>
      </c>
      <c r="AP96" s="58"/>
      <c r="AQ96" s="68"/>
      <c r="AR96" s="68"/>
      <c r="AS96" s="55"/>
      <c r="AT96" s="55"/>
      <c r="AU96" s="55"/>
      <c r="AV96" s="61">
        <f>IF(SUM(AJ96:AL96)=0, 0, (1 + F96 * 0.1) * (0.75 + 0.25 * MAX(0, MIN(1, IF(MAX(AJ96:AL96)=0, 0, (3*MAX(AJ96:AL96)-SUM(AJ96:AL96)) / (2*MAX(AJ96:AL96)))))))</f>
      </c>
      <c r="AW96" s="83">
        <f>MAX(AJ96:AL96)</f>
      </c>
      <c r="AX96" s="81">
        <f>IF(AW96=0, "", AW96 / ((1 + 0.1*N(F96))))</f>
      </c>
      <c r="AY96" s="61">
        <f>IF(SUM(AJ96:AL96)=0, 0,     (1 + F96 * 0.1) * (1 + ((SUM(AJ96:AL96) - MAX(AJ96:AL96)) / (2 * MAX(AJ96:AL96))) * (1/0.75 - 1)))</f>
      </c>
      <c r="AZ96" s="83"/>
      <c r="BA96" s="81">
        <f>IF(AZ96=0, "", AZ96 / ((1 + 0.1*N(F96))/0.75))</f>
      </c>
      <c r="BB96" s="51">
        <v>0.1</v>
      </c>
      <c r="BC96" s="1"/>
      <c r="BD96" s="54"/>
      <c r="BE96" s="54"/>
      <c r="BF96" s="74"/>
      <c r="BG96" s="38"/>
      <c r="BH96" s="69"/>
      <c r="BI96" s="45"/>
      <c r="BJ96" s="63"/>
      <c r="BK96" s="49"/>
      <c r="BL96" s="56"/>
      <c r="BM96" s="50"/>
      <c r="BN96" s="57"/>
      <c r="BO96" s="54"/>
      <c r="BP96" s="64"/>
      <c r="BQ96" s="51"/>
      <c r="BR96" s="38">
        <f>IFERROR(BQ96*100/CP96,"N/A")</f>
      </c>
      <c r="BS96" s="61"/>
      <c r="BT96" s="54"/>
      <c r="BU96" s="42"/>
      <c r="BV96" s="78"/>
      <c r="BW96" s="73"/>
      <c r="BX96" s="64"/>
      <c r="BY96" s="52"/>
      <c r="BZ96" s="1"/>
      <c r="CA96" s="62"/>
      <c r="CB96" s="51"/>
      <c r="CC96" s="51"/>
      <c r="CD96" s="58"/>
      <c r="CE96" s="58"/>
      <c r="CF96" s="58"/>
      <c r="CG96" s="58"/>
      <c r="CH96" s="58"/>
      <c r="CI96" s="58"/>
      <c r="CJ96" s="79"/>
      <c r="CK96" s="69"/>
      <c r="CL96" s="79"/>
      <c r="CM96" s="51"/>
      <c r="CN96" s="55"/>
      <c r="CO96" s="42"/>
      <c r="CP96" s="70">
        <f>CN96*BS96*BT96</f>
      </c>
      <c r="CQ96" s="52"/>
      <c r="CR96" s="64">
        <f>100/CP96</f>
      </c>
      <c r="CS96" s="82">
        <f>100/CQ96</f>
      </c>
      <c r="CT96" s="52"/>
      <c r="CU96" s="52"/>
      <c r="CV96" s="82">
        <f>BL96/T96</f>
      </c>
      <c r="CW96" s="82">
        <f>100/CV96</f>
      </c>
      <c r="CX96" s="77"/>
      <c r="CY96" s="41"/>
      <c r="CZ96" s="77"/>
      <c r="DA96" s="41"/>
      <c r="DB96" s="77"/>
      <c r="DC96" s="1" t="str">
        <v>待办</v>
      </c>
      <c r="DD96" s="1" t="str">
        <v>待办</v>
      </c>
    </row>
    <row r="97">
      <c r="A97" s="84" t="str">
        <v>Regulated Rage</v>
      </c>
      <c r="B97" s="53" t="str">
        <v>工人之怒</v>
      </c>
      <c r="C97" s="71"/>
      <c r="D97" s="71">
        <f>IF($A97="","","WPN"&amp;VLOOKUP(E97,'引用数据库'!Z:AC,4,FALSE)&amp;VLOOKUP(H97,'引用数据库'!N:P,3,FALSE)&amp;VLOOKUP(I97,'引用数据库'!S:U,3,FALSE)&amp;TEXT(F97,"00"))</f>
      </c>
      <c r="E97" s="53" t="str">
        <v>劳旅</v>
      </c>
      <c r="F97" s="57">
        <v>4</v>
      </c>
      <c r="G97" s="71">
        <f>G96</f>
      </c>
      <c r="H97" s="75">
        <f>H96</f>
      </c>
      <c r="I97" s="75">
        <f>I96</f>
      </c>
      <c r="J97" s="71">
        <f>J96</f>
      </c>
      <c r="K97" s="71">
        <f>K96</f>
      </c>
      <c r="L97" s="42"/>
      <c r="M97" s="65"/>
      <c r="N97" s="54"/>
      <c r="O97" s="54"/>
      <c r="P97" s="54"/>
      <c r="Q97" s="54"/>
      <c r="R97" s="54"/>
      <c r="S97" s="54"/>
      <c r="T97" s="54"/>
      <c r="U97" s="51">
        <f>2*T97/(15*(1+(5-BD97)*0.1))</f>
      </c>
      <c r="V97" s="1"/>
      <c r="W97" s="54"/>
      <c r="X97" s="54"/>
      <c r="Y97" s="76"/>
      <c r="Z97" s="76"/>
      <c r="AA97" s="66"/>
      <c r="AB97" s="66"/>
      <c r="AC97" s="66"/>
      <c r="AD97" s="86"/>
      <c r="AE97" s="86"/>
      <c r="AF97" s="1"/>
      <c r="AG97" s="54"/>
      <c r="AH97" s="54"/>
      <c r="AI97" s="1"/>
      <c r="AJ97" s="80"/>
      <c r="AK97" s="80"/>
      <c r="AL97" s="80"/>
      <c r="AM97" s="55">
        <f>IFS(AJ97 &gt; 1.25, "S", AJ97 &gt; 1, "A", AJ97 &gt; 0.75, "B", AJ97 &gt; 0.5, "C", AJ97 &gt; 0.25, "D", AJ97 &gt; 0, "E", TRUE, "-")</f>
      </c>
      <c r="AN97" s="55">
        <f>IFS(AK97 &gt; 1.25, "S", AK97 &gt; 1, "A", AK97 &gt; 0.75, "B", AK97 &gt; 0.5, "C", AK97 &gt; 0.25, "D", AK97 &gt; 0, "E", TRUE, "-")</f>
      </c>
      <c r="AO97" s="55">
        <f>IFS(AL97 &gt; 1.25, "S", AL97 &gt; 1, "A", AL97 &gt; 0.75, "B", AL97 &gt; 0.5, "C", AL97 &gt; 0.25, "D", AL97 &gt; 0, "E", TRUE, "-")</f>
      </c>
      <c r="AP97" s="58"/>
      <c r="AQ97" s="68"/>
      <c r="AR97" s="68"/>
      <c r="AS97" s="55"/>
      <c r="AT97" s="55"/>
      <c r="AU97" s="55"/>
      <c r="AV97" s="61">
        <f>IF(SUM(AJ97:AL97)=0, 0, (1 + F97 * 0.1) * (0.75 + 0.25 * MAX(0, MIN(1, IF(MAX(AJ97:AL97)=0, 0, (3*MAX(AJ97:AL97)-SUM(AJ97:AL97)) / (2*MAX(AJ97:AL97)))))))</f>
      </c>
      <c r="AW97" s="83">
        <f>MAX(AJ97:AL97)</f>
      </c>
      <c r="AX97" s="81">
        <f>IF(AW97=0, "", AW97 / ((1 + 0.1*N(F97))))</f>
      </c>
      <c r="AY97" s="61">
        <f>IF(SUM(AJ97:AL97)=0, 0,     (1 + F97 * 0.1) * (1 + ((SUM(AJ97:AL97) - MAX(AJ97:AL97)) / (2 * MAX(AJ97:AL97))) * (1/0.75 - 1)))</f>
      </c>
      <c r="AZ97" s="83"/>
      <c r="BA97" s="81">
        <f>IF(AZ97=0, "", AZ97 / ((1 + 0.1*N(F97))/0.75))</f>
      </c>
      <c r="BB97" s="51">
        <v>0.1</v>
      </c>
      <c r="BC97" s="1"/>
      <c r="BD97" s="54"/>
      <c r="BE97" s="54"/>
      <c r="BF97" s="74"/>
      <c r="BG97" s="38"/>
      <c r="BH97" s="69"/>
      <c r="BI97" s="45"/>
      <c r="BJ97" s="63"/>
      <c r="BK97" s="49"/>
      <c r="BL97" s="56"/>
      <c r="BM97" s="50"/>
      <c r="BN97" s="57"/>
      <c r="BO97" s="54"/>
      <c r="BP97" s="64"/>
      <c r="BQ97" s="51"/>
      <c r="BR97" s="38">
        <f>IFERROR(BQ97*100/CP97,"N/A")</f>
      </c>
      <c r="BS97" s="61"/>
      <c r="BT97" s="54"/>
      <c r="BU97" s="42"/>
      <c r="BV97" s="78"/>
      <c r="BW97" s="73"/>
      <c r="BX97" s="64"/>
      <c r="BY97" s="52"/>
      <c r="BZ97" s="1"/>
      <c r="CA97" s="62"/>
      <c r="CB97" s="51"/>
      <c r="CC97" s="51"/>
      <c r="CD97" s="58"/>
      <c r="CE97" s="58"/>
      <c r="CF97" s="58"/>
      <c r="CG97" s="58"/>
      <c r="CH97" s="58"/>
      <c r="CI97" s="58"/>
      <c r="CJ97" s="79"/>
      <c r="CK97" s="69"/>
      <c r="CL97" s="79"/>
      <c r="CM97" s="51"/>
      <c r="CN97" s="55"/>
      <c r="CO97" s="42"/>
      <c r="CP97" s="70">
        <f>CN97*BS97*BT97</f>
      </c>
      <c r="CQ97" s="52"/>
      <c r="CR97" s="64">
        <f>100/CP97</f>
      </c>
      <c r="CS97" s="82">
        <f>100/CQ97</f>
      </c>
      <c r="CT97" s="52"/>
      <c r="CU97" s="52"/>
      <c r="CV97" s="82">
        <f>BL97/T97</f>
      </c>
      <c r="CW97" s="82">
        <f>100/CV97</f>
      </c>
      <c r="CX97" s="77"/>
      <c r="CY97" s="41"/>
      <c r="CZ97" s="77"/>
      <c r="DA97" s="41"/>
      <c r="DB97" s="77"/>
      <c r="DC97" s="1" t="str">
        <v>待办</v>
      </c>
      <c r="DD97" s="1" t="str">
        <v>待办</v>
      </c>
    </row>
    <row r="98">
      <c r="A98" s="84" t="str">
        <v>Regulated Rage</v>
      </c>
      <c r="B98" s="53" t="str">
        <v>工人之怒</v>
      </c>
      <c r="C98" s="71"/>
      <c r="D98" s="71">
        <f>IF($A98="","","WPN"&amp;VLOOKUP(E98,'引用数据库'!Z:AC,4,FALSE)&amp;VLOOKUP(H98,'引用数据库'!N:P,3,FALSE)&amp;VLOOKUP(I98,'引用数据库'!S:U,3,FALSE)&amp;TEXT(F98,"00"))</f>
      </c>
      <c r="E98" s="53" t="str">
        <v>劳旅</v>
      </c>
      <c r="F98" s="57">
        <v>5</v>
      </c>
      <c r="G98" s="71">
        <f>G97</f>
      </c>
      <c r="H98" s="75">
        <f>H97</f>
      </c>
      <c r="I98" s="75">
        <f>I97</f>
      </c>
      <c r="J98" s="71">
        <f>J97</f>
      </c>
      <c r="K98" s="71">
        <f>K97</f>
      </c>
      <c r="L98" s="42"/>
      <c r="M98" s="65"/>
      <c r="N98" s="54"/>
      <c r="O98" s="54"/>
      <c r="P98" s="54"/>
      <c r="Q98" s="54"/>
      <c r="R98" s="54"/>
      <c r="S98" s="54"/>
      <c r="T98" s="54"/>
      <c r="U98" s="51">
        <f>2*T98/(15*(1+(5-BD98)*0.1))</f>
      </c>
      <c r="V98" s="1"/>
      <c r="W98" s="54"/>
      <c r="X98" s="54"/>
      <c r="Y98" s="76"/>
      <c r="Z98" s="76"/>
      <c r="AA98" s="66"/>
      <c r="AB98" s="66"/>
      <c r="AC98" s="66"/>
      <c r="AD98" s="86"/>
      <c r="AE98" s="86"/>
      <c r="AF98" s="1"/>
      <c r="AG98" s="54"/>
      <c r="AH98" s="54"/>
      <c r="AI98" s="1"/>
      <c r="AJ98" s="80"/>
      <c r="AK98" s="80"/>
      <c r="AL98" s="80"/>
      <c r="AM98" s="55">
        <f>IFS(AJ98 &gt; 1.25, "S", AJ98 &gt; 1, "A", AJ98 &gt; 0.75, "B", AJ98 &gt; 0.5, "C", AJ98 &gt; 0.25, "D", AJ98 &gt; 0, "E", TRUE, "-")</f>
      </c>
      <c r="AN98" s="55">
        <f>IFS(AK98 &gt; 1.25, "S", AK98 &gt; 1, "A", AK98 &gt; 0.75, "B", AK98 &gt; 0.5, "C", AK98 &gt; 0.25, "D", AK98 &gt; 0, "E", TRUE, "-")</f>
      </c>
      <c r="AO98" s="55">
        <f>IFS(AL98 &gt; 1.25, "S", AL98 &gt; 1, "A", AL98 &gt; 0.75, "B", AL98 &gt; 0.5, "C", AL98 &gt; 0.25, "D", AL98 &gt; 0, "E", TRUE, "-")</f>
      </c>
      <c r="AP98" s="58"/>
      <c r="AQ98" s="68"/>
      <c r="AR98" s="68"/>
      <c r="AS98" s="55"/>
      <c r="AT98" s="55"/>
      <c r="AU98" s="55"/>
      <c r="AV98" s="61">
        <f>IF(SUM(AJ98:AL98)=0, 0, (1 + F98 * 0.1) * (0.75 + 0.25 * MAX(0, MIN(1, IF(MAX(AJ98:AL98)=0, 0, (3*MAX(AJ98:AL98)-SUM(AJ98:AL98)) / (2*MAX(AJ98:AL98)))))))</f>
      </c>
      <c r="AW98" s="83">
        <f>MAX(AJ98:AL98)</f>
      </c>
      <c r="AX98" s="81">
        <f>IF(AW98=0, "", AW98 / ((1 + 0.1*N(F98))))</f>
      </c>
      <c r="AY98" s="61">
        <f>IF(SUM(AJ98:AL98)=0, 0,     (1 + F98 * 0.1) * (1 + ((SUM(AJ98:AL98) - MAX(AJ98:AL98)) / (2 * MAX(AJ98:AL98))) * (1/0.75 - 1)))</f>
      </c>
      <c r="AZ98" s="83"/>
      <c r="BA98" s="81">
        <f>IF(AZ98=0, "", AZ98 / ((1 + 0.1*N(F98))/0.75))</f>
      </c>
      <c r="BB98" s="51">
        <v>0.1</v>
      </c>
      <c r="BC98" s="1"/>
      <c r="BD98" s="54"/>
      <c r="BE98" s="54"/>
      <c r="BF98" s="74"/>
      <c r="BG98" s="38"/>
      <c r="BH98" s="69"/>
      <c r="BI98" s="45"/>
      <c r="BJ98" s="63"/>
      <c r="BK98" s="49"/>
      <c r="BL98" s="56"/>
      <c r="BM98" s="50"/>
      <c r="BN98" s="57"/>
      <c r="BO98" s="54"/>
      <c r="BP98" s="64"/>
      <c r="BQ98" s="51"/>
      <c r="BR98" s="38">
        <f>IFERROR(BQ98*100/CP98,"N/A")</f>
      </c>
      <c r="BS98" s="61"/>
      <c r="BT98" s="54"/>
      <c r="BU98" s="42"/>
      <c r="BV98" s="78"/>
      <c r="BW98" s="73"/>
      <c r="BX98" s="64"/>
      <c r="BY98" s="52"/>
      <c r="BZ98" s="1"/>
      <c r="CA98" s="62"/>
      <c r="CB98" s="51"/>
      <c r="CC98" s="51"/>
      <c r="CD98" s="58"/>
      <c r="CE98" s="58"/>
      <c r="CF98" s="58"/>
      <c r="CG98" s="58"/>
      <c r="CH98" s="58"/>
      <c r="CI98" s="58"/>
      <c r="CJ98" s="79"/>
      <c r="CK98" s="69"/>
      <c r="CL98" s="79"/>
      <c r="CM98" s="51"/>
      <c r="CN98" s="55"/>
      <c r="CO98" s="42"/>
      <c r="CP98" s="70">
        <f>CN98*BS98*BT98</f>
      </c>
      <c r="CQ98" s="52"/>
      <c r="CR98" s="64">
        <f>100/CP98</f>
      </c>
      <c r="CS98" s="82">
        <f>100/CQ98</f>
      </c>
      <c r="CT98" s="52"/>
      <c r="CU98" s="52"/>
      <c r="CV98" s="82">
        <f>BL98/T98</f>
      </c>
      <c r="CW98" s="82">
        <f>100/CV98</f>
      </c>
      <c r="CX98" s="77"/>
      <c r="CY98" s="41"/>
      <c r="CZ98" s="77"/>
      <c r="DA98" s="41"/>
      <c r="DB98" s="77"/>
      <c r="DC98" s="1" t="str">
        <v>待办</v>
      </c>
      <c r="DD98" s="1" t="str">
        <v>待办</v>
      </c>
    </row>
    <row r="99">
      <c r="A99" s="84" t="str">
        <v>SlagCutter</v>
      </c>
      <c r="B99" s="162" t="str">
        <v>熔渣切断器</v>
      </c>
      <c r="C99" s="71"/>
      <c r="D99" s="71">
        <f>IF($A99="","","WPN"&amp;VLOOKUP(E99,'引用数据库'!Z:AC,4,FALSE)&amp;VLOOKUP(H99,'引用数据库'!N:P,3,FALSE)&amp;VLOOKUP(I99,'引用数据库'!S:U,3,FALSE)&amp;TEXT(F99,"00"))</f>
      </c>
      <c r="E99" s="162" t="str">
        <v>东海工业</v>
      </c>
      <c r="F99" s="67">
        <v>0</v>
      </c>
      <c r="G99" s="84" t="str">
        <v>近战</v>
      </c>
      <c r="H99" s="162" t="str">
        <v>巨剑</v>
      </c>
      <c r="I99" s="162" t="str">
        <v>热能</v>
      </c>
      <c r="J99" s="36" t="str">
        <v>手动</v>
      </c>
      <c r="K99" s="71">
        <f>K98</f>
      </c>
      <c r="L99" s="42"/>
      <c r="M99" s="46">
        <v>1</v>
      </c>
      <c r="N99" s="67">
        <v>160</v>
      </c>
      <c r="O99" s="67">
        <v>160</v>
      </c>
      <c r="P99" s="27">
        <v>0.5</v>
      </c>
      <c r="Q99" s="27">
        <v>0.1</v>
      </c>
      <c r="R99" s="27">
        <v>0.5</v>
      </c>
      <c r="S99" s="27">
        <v>0</v>
      </c>
      <c r="T99" s="27">
        <f>SUM(P99:S99)</f>
      </c>
      <c r="U99" s="32">
        <f>2*T99/(15*(1+(5-BD99)*0.1))</f>
      </c>
      <c r="V99" s="1"/>
      <c r="W99" s="67" t="str">
        <v>N/A</v>
      </c>
      <c r="X99" s="67" t="str">
        <v>N/A</v>
      </c>
      <c r="Y99" s="67" t="str">
        <v>N/A</v>
      </c>
      <c r="Z99" s="67" t="str">
        <v>N/A</v>
      </c>
      <c r="AA99" s="166"/>
      <c r="AB99" s="166"/>
      <c r="AC99" s="166"/>
      <c r="AD99" s="28" t="str">
        <v>N/A</v>
      </c>
      <c r="AE99" s="28" t="str">
        <v>N/A</v>
      </c>
      <c r="AF99" s="1"/>
      <c r="AG99" s="67"/>
      <c r="AH99" s="67"/>
      <c r="AI99" s="1"/>
      <c r="AJ99" s="33">
        <v>0.92</v>
      </c>
      <c r="AK99" s="33">
        <v>0.1</v>
      </c>
      <c r="AL99" s="33">
        <v>0</v>
      </c>
      <c r="AM99" s="29">
        <f>IFS(AJ99 &gt; 1.25, "S", AJ99 &gt; 1, "A", AJ99 &gt; 0.75, "B", AJ99 &gt; 0.5, "C", AJ99 &gt; 0.25, "D", AJ99 &gt; 0, "E", TRUE, "-")</f>
      </c>
      <c r="AN99" s="29">
        <f>IFS(AK99 &gt; 1.25, "S", AK99 &gt; 1, "A", AK99 &gt; 0.75, "B", AK99 &gt; 0.5, "C", AK99 &gt; 0.25, "D", AK99 &gt; 0, "E", TRUE, "-")</f>
      </c>
      <c r="AO99" s="29">
        <f>IFS(AL99 &gt; 1.25, "S", AL99 &gt; 1, "A", AL99 &gt; 0.75, "B", AL99 &gt; 0.5, "C", AL99 &gt; 0.25, "D", AL99 &gt; 0, "E", TRUE, "-")</f>
      </c>
      <c r="AP99" s="32">
        <v>10</v>
      </c>
      <c r="AQ99" s="32">
        <v>10</v>
      </c>
      <c r="AR99" s="32">
        <v>10</v>
      </c>
      <c r="AS99" s="29"/>
      <c r="AT99" s="29"/>
      <c r="AU99" s="29"/>
      <c r="AV99" s="32">
        <f>IF(SUM(AJ99:AL99)=0, 0, (1 + F99 * 0.1) * (0.75 + 0.25 * MAX(0, MIN(1, IF(MAX(AJ99:AL99)=0, 0, (3*MAX(AJ99:AL99)-SUM(AJ99:AL99)) / (2*MAX(AJ99:AL99)))))))</f>
      </c>
      <c r="AW99" s="33">
        <f>MAX(AJ99:AL99)</f>
      </c>
      <c r="AX99" s="37">
        <f>IF(AW99=0, "", AW99 / ((1 + 0.1*N(F99))))</f>
      </c>
      <c r="AY99" s="32">
        <f>IF(SUM(AJ99:AL99)=0, 0,     (1 + F99 * 0.1) * (1 + ((SUM(AJ99:AL99) - MAX(AJ99:AL99)) / (2 * MAX(AJ99:AL99))) * (1/0.75 - 1)))</f>
      </c>
      <c r="AZ99" s="33">
        <f>AJ99+AK99+AL99</f>
      </c>
      <c r="BA99" s="37">
        <f>IF(AZ99=0, "", AZ99 / ((1 + 0.1*N(F99))/0.75))</f>
      </c>
      <c r="BB99" s="32">
        <v>0.1</v>
      </c>
      <c r="BC99" s="1"/>
      <c r="BD99" s="67">
        <v>3</v>
      </c>
      <c r="BE99" s="67">
        <v>2</v>
      </c>
      <c r="BF99" s="43"/>
      <c r="BG99" s="32">
        <f>T99*20/BT99</f>
      </c>
      <c r="BH99" s="33">
        <f>BG99</f>
      </c>
      <c r="BI99" s="169"/>
      <c r="BJ99" s="47"/>
      <c r="BK99" s="30">
        <f>T99*20/BT99</f>
      </c>
      <c r="BL99" s="33">
        <f>BK99</f>
      </c>
      <c r="BM99" s="34"/>
      <c r="BN99" s="67" t="str">
        <v>N/A</v>
      </c>
      <c r="BO99" s="67" t="str">
        <v>N/A</v>
      </c>
      <c r="BP99" s="38">
        <v>0</v>
      </c>
      <c r="BQ99" s="39">
        <v>0</v>
      </c>
      <c r="BR99" s="32">
        <f>IFERROR(BQ99*100/CP99,"N/A")</f>
      </c>
      <c r="BS99" s="67">
        <v>1</v>
      </c>
      <c r="BT99" s="67">
        <v>1</v>
      </c>
      <c r="BU99" s="42"/>
      <c r="BV99" s="44">
        <f>CP99/1.5</f>
      </c>
      <c r="BW99" s="44">
        <f>ROUND(BV99)</f>
      </c>
      <c r="BX99" s="32">
        <f>CP99/BW99</f>
      </c>
      <c r="BY99" s="35">
        <f>BW99/T99</f>
      </c>
      <c r="BZ99" s="1"/>
      <c r="CA99" s="31">
        <v>15</v>
      </c>
      <c r="CB99" s="32">
        <f>CA99*BB99*(AP99*AJ99+AQ99*AK99+AR99*AL99)</f>
      </c>
      <c r="CC99" s="32">
        <f>CA99+CB99</f>
      </c>
      <c r="CD99" s="32">
        <f>T99 * 1.2 / BS99 / BT99  * ( 0.8 + 0.4 / (1 + EXP(-2 * (T99 - 0.75))))</f>
      </c>
      <c r="CE99" s="32">
        <f>0.8 + 0.4 / (1 + (N99/600)^1)</f>
      </c>
      <c r="CF99" s="32">
        <f>LET(  k, K99,  be, BS99,  bf, BT99,  m, N99,  n, O99,  v, X99,  vEff, IF(ISNUMBER(v), v, 0),  angle,    IF(      ISNUMBER(n),        IF(n&gt;0, n,           IF(ISNUMBER(v),              IF(v&gt;0, v, 0),              0           )        ),      IF(ISNUMBER(v),         IF(v&gt;0, v, 0),         0      )    ),  T,    IF(k=1,       be * bf * 20 / MAX(vEff, 1),    IF(k=2,       (m/150)^2 * (angle/120),    IF(k=3,       be * (MIN(bf, 99)/99) * (m/1000),       be * bf * (m/1000) * (n/200)^2    ))),  b, 0.8,  c, 1.2,  r, (c-1)/(1-b),  k_s, 1,  b + (c-b) / (1 + r * EXP(-k_s*(1-T))))</f>
      </c>
      <c r="CG99" s="32">
        <f>IF(T99&lt;=0,1,(  0.85 + (0.4) / (1 + 1.6666667 * EXP(-0.6 * (2.5 - BD99))))*(  0.85 + (0.4) / (1 + 1.6666667 * EXP(-0.6 * (20 - BS99*BH99/T99))))*(  0.85 + (0.4) / (1 + 1.6666667 * EXP(-0.6 * (2.5 - BE99)))))</f>
      </c>
      <c r="CH99" s="32">
        <f>IF(  T99&lt;=0,  1,  0.85 + (1.25-0.85) / (    1 + ((1.25-1)/(1-0.85)) * EXP(-0.25 * ((7/0.35) - BL99/T99))  ))</f>
      </c>
      <c r="CI99" s="32"/>
      <c r="CJ99" s="33">
        <f>CD99*CE99*CF99*CG99*CH99</f>
      </c>
      <c r="CK99" s="33">
        <f>CJ99</f>
      </c>
      <c r="CL99" s="33"/>
      <c r="CM99" s="32">
        <f>CK99/T99*BS99*BT99</f>
      </c>
      <c r="CN99" s="32">
        <f>CK99*CC99</f>
      </c>
      <c r="CO99" s="42"/>
      <c r="CP99" s="48">
        <f>CN99*BS99*BT99</f>
      </c>
      <c r="CQ99" s="32">
        <f>CP99/T99</f>
      </c>
      <c r="CR99" s="32">
        <f>100/CP99</f>
      </c>
      <c r="CS99" s="35">
        <f>100/CQ99</f>
      </c>
      <c r="CT99" s="32"/>
      <c r="CU99" s="32"/>
      <c r="CV99" s="35">
        <f>BL99/T99</f>
      </c>
      <c r="CW99" s="35">
        <f>100/CV99</f>
      </c>
      <c r="CX99" s="77"/>
      <c r="CY99" s="41" t="str">
        <v>最初用于切割反应堆废料，能量溢出严重，使用者需要穿戴铅围裙。</v>
      </c>
      <c r="CZ99" s="77"/>
      <c r="DA99" s="41">
        <f>TEXTJOIN("、", TRUE, FILTER('武器技能'!B:B, '武器技能'!E:E = H99))</f>
      </c>
      <c r="DB99" s="77"/>
      <c r="DC99" s="27" t="str">
        <v>完成</v>
      </c>
      <c r="DD99" s="27" t="str">
        <v>完成</v>
      </c>
    </row>
    <row r="100">
      <c r="A100" s="84">
        <f>A99</f>
      </c>
      <c r="B100" s="173">
        <f>B99</f>
      </c>
      <c r="C100" s="90"/>
      <c r="D100" s="90">
        <f>IF($A100="","","WPN"&amp;VLOOKUP(E100,'引用数据库'!Z:AC,4,FALSE)&amp;VLOOKUP(H100,'引用数据库'!N:P,3,FALSE)&amp;VLOOKUP(I100,'引用数据库'!S:U,3,FALSE)&amp;TEXT(F100,"00"))</f>
      </c>
      <c r="E100" s="173">
        <f>E99</f>
      </c>
      <c r="F100" s="159">
        <v>1</v>
      </c>
      <c r="G100" s="90">
        <f>G99</f>
      </c>
      <c r="H100" s="90">
        <f>H99</f>
      </c>
      <c r="I100" s="90">
        <f>I99</f>
      </c>
      <c r="J100" s="90" t="str">
        <v>手动</v>
      </c>
      <c r="K100" s="71">
        <f>K99</f>
      </c>
      <c r="L100" s="42"/>
      <c r="M100" s="98">
        <f>M99</f>
      </c>
      <c r="N100" s="159">
        <f>N99</f>
      </c>
      <c r="O100" s="159">
        <v>160</v>
      </c>
      <c r="P100" s="91">
        <f>P99</f>
      </c>
      <c r="Q100" s="91">
        <f>Q99</f>
      </c>
      <c r="R100" s="91">
        <f>R99</f>
      </c>
      <c r="S100" s="91">
        <v>0</v>
      </c>
      <c r="T100" s="91">
        <f>SUM(P100:S100)</f>
      </c>
      <c r="U100" s="88">
        <f>2*T100/(15*(1+(5-BD100)*0.1))</f>
      </c>
      <c r="V100" s="1"/>
      <c r="W100" s="159" t="str">
        <v>N/A</v>
      </c>
      <c r="X100" s="159" t="str">
        <v>N/A</v>
      </c>
      <c r="Y100" s="159" t="str">
        <v>N/A</v>
      </c>
      <c r="Z100" s="159" t="str">
        <v>N/A</v>
      </c>
      <c r="AA100" s="175"/>
      <c r="AB100" s="175"/>
      <c r="AC100" s="175"/>
      <c r="AD100" s="95" t="str">
        <v>N/A</v>
      </c>
      <c r="AE100" s="95" t="str">
        <v>N/A</v>
      </c>
      <c r="AF100" s="1"/>
      <c r="AG100" s="159"/>
      <c r="AH100" s="159"/>
      <c r="AI100" s="1"/>
      <c r="AJ100" s="174">
        <f>AJ99+0.1</f>
      </c>
      <c r="AK100" s="87">
        <f>AK99</f>
      </c>
      <c r="AL100" s="87">
        <f>AL99</f>
      </c>
      <c r="AM100" s="115">
        <f>IFS(AJ100 &gt; 1.25, "S", AJ100 &gt; 1, "A", AJ100 &gt; 0.75, "B", AJ100 &gt; 0.5, "C", AJ100 &gt; 0.25, "D", AJ100 &gt; 0, "E", TRUE, "-")</f>
      </c>
      <c r="AN100" s="115">
        <f>IFS(AK100 &gt; 1.25, "S", AK100 &gt; 1, "A", AK100 &gt; 0.75, "B", AK100 &gt; 0.5, "C", AK100 &gt; 0.25, "D", AK100 &gt; 0, "E", TRUE, "-")</f>
      </c>
      <c r="AO100" s="115">
        <f>IFS(AL100 &gt; 1.25, "S", AL100 &gt; 1, "A", AL100 &gt; 0.75, "B", AL100 &gt; 0.5, "C", AL100 &gt; 0.25, "D", AL100 &gt; 0, "E", TRUE, "-")</f>
      </c>
      <c r="AP100" s="88">
        <v>10</v>
      </c>
      <c r="AQ100" s="88">
        <v>10</v>
      </c>
      <c r="AR100" s="88">
        <v>10</v>
      </c>
      <c r="AS100" s="115"/>
      <c r="AT100" s="115"/>
      <c r="AU100" s="115"/>
      <c r="AV100" s="88">
        <f>IF(SUM(AJ100:AL100)=0, 0, (1 + F100 * 0.1) * (0.75 + 0.25 * MAX(0, MIN(1, IF(MAX(AJ100:AL100)=0, 0, (3*MAX(AJ100:AL100)-SUM(AJ100:AL100)) / (2*MAX(AJ100:AL100)))))))</f>
      </c>
      <c r="AW100" s="87">
        <f>MAX(AJ100:AL100)</f>
      </c>
      <c r="AX100" s="92">
        <f>IF(AW100=0, "", AW100 / ((1 + 0.1*N(F100))))</f>
      </c>
      <c r="AY100" s="88">
        <f>IF(SUM(AJ100:AL100)=0, 0,     (1 + F100 * 0.1) * (1 + ((SUM(AJ100:AL100) - MAX(AJ100:AL100)) / (2 * MAX(AJ100:AL100))) * (1/0.75 - 1)))</f>
      </c>
      <c r="AZ100" s="87">
        <f>AJ100+AK100+AL100</f>
      </c>
      <c r="BA100" s="92">
        <f>IF(AZ100=0, "", AZ100 / ((1 + 0.1*N(F100))/0.75))</f>
      </c>
      <c r="BB100" s="88">
        <v>0.1</v>
      </c>
      <c r="BC100" s="1"/>
      <c r="BD100" s="91">
        <f>BD99</f>
      </c>
      <c r="BE100" s="91">
        <f>BE99</f>
      </c>
      <c r="BF100" s="93"/>
      <c r="BG100" s="88"/>
      <c r="BH100" s="87">
        <f>BH99</f>
      </c>
      <c r="BI100" s="45"/>
      <c r="BJ100" s="99"/>
      <c r="BK100" s="101"/>
      <c r="BL100" s="101">
        <f>BL99</f>
      </c>
      <c r="BM100" s="34"/>
      <c r="BN100" s="159" t="str">
        <v>N/A</v>
      </c>
      <c r="BO100" s="159" t="str">
        <v>N/A</v>
      </c>
      <c r="BP100" s="38"/>
      <c r="BQ100" s="88">
        <v>0</v>
      </c>
      <c r="BR100" s="88">
        <f>IFERROR(BQ100*100/CP100,"N/A")</f>
      </c>
      <c r="BS100" s="159">
        <v>1</v>
      </c>
      <c r="BT100" s="159">
        <v>1</v>
      </c>
      <c r="BU100" s="42"/>
      <c r="BV100" s="114"/>
      <c r="BW100" s="94">
        <f>BW99</f>
      </c>
      <c r="BX100" s="88">
        <f>CP100/BW100</f>
      </c>
      <c r="BY100" s="89">
        <f>BW100/T100</f>
      </c>
      <c r="BZ100" s="1"/>
      <c r="CA100" s="100">
        <f>CA99+15</f>
      </c>
      <c r="CB100" s="88">
        <f>CA100*BB100*(AP100*AJ100+AQ100*AK100+AR100*AL100)</f>
      </c>
      <c r="CC100" s="88">
        <f>CA100+CB100</f>
      </c>
      <c r="CD100" s="88"/>
      <c r="CE100" s="88"/>
      <c r="CF100" s="88"/>
      <c r="CG100" s="88"/>
      <c r="CH100" s="88"/>
      <c r="CI100" s="88"/>
      <c r="CJ100" s="87"/>
      <c r="CK100" s="87">
        <f>CK99</f>
      </c>
      <c r="CL100" s="87"/>
      <c r="CM100" s="88"/>
      <c r="CN100" s="88">
        <f>CK100*CC100</f>
      </c>
      <c r="CO100" s="42"/>
      <c r="CP100" s="97">
        <f>CN100*BS100*BT100</f>
      </c>
      <c r="CQ100" s="88">
        <f>CP100/T100</f>
      </c>
      <c r="CR100" s="88">
        <f>100/CP100</f>
      </c>
      <c r="CS100" s="89">
        <f>100/CQ100</f>
      </c>
      <c r="CT100" s="88">
        <f>CQ100-CQ99</f>
      </c>
      <c r="CU100" s="98">
        <f>(CQ100-CQ99)/CQ99</f>
      </c>
      <c r="CV100" s="89">
        <f>BL100/T100</f>
      </c>
      <c r="CW100" s="89">
        <f>100/CV100</f>
      </c>
      <c r="CX100" s="77"/>
      <c r="CY100" s="41"/>
      <c r="CZ100" s="77"/>
      <c r="DA100" s="41"/>
      <c r="DB100" s="77"/>
      <c r="DC100" s="91" t="str">
        <v>完成</v>
      </c>
      <c r="DD100" s="91" t="str">
        <v>完成</v>
      </c>
    </row>
    <row r="101">
      <c r="A101" s="84">
        <f>A100</f>
      </c>
      <c r="B101" s="53">
        <f>B100</f>
      </c>
      <c r="C101" s="71"/>
      <c r="D101" s="71">
        <f>IF($A101="","","WPN"&amp;VLOOKUP(E101,'引用数据库'!Z:AC,4,FALSE)&amp;VLOOKUP(H101,'引用数据库'!N:P,3,FALSE)&amp;VLOOKUP(I101,'引用数据库'!S:U,3,FALSE)&amp;TEXT(F101,"00"))</f>
      </c>
      <c r="E101" s="53">
        <f>E100</f>
      </c>
      <c r="F101" s="57">
        <v>2</v>
      </c>
      <c r="G101" s="71">
        <f>G100</f>
      </c>
      <c r="H101" s="75">
        <f>H100</f>
      </c>
      <c r="I101" s="75">
        <f>I100</f>
      </c>
      <c r="J101" s="71" t="str">
        <v>手动</v>
      </c>
      <c r="K101" s="71">
        <f>K100</f>
      </c>
      <c r="L101" s="42"/>
      <c r="M101" s="65">
        <f>M100</f>
      </c>
      <c r="N101" s="54">
        <f>N100</f>
      </c>
      <c r="O101" s="54">
        <v>160</v>
      </c>
      <c r="P101" s="72">
        <f>P100</f>
      </c>
      <c r="Q101" s="72">
        <f>Q100</f>
      </c>
      <c r="R101" s="72">
        <f>R100</f>
      </c>
      <c r="S101" s="72">
        <v>0</v>
      </c>
      <c r="T101" s="72">
        <f>SUM(P101:S101)</f>
      </c>
      <c r="U101" s="39">
        <f>2*T101/(15*(1+(5-BD101)*0.1))</f>
      </c>
      <c r="V101" s="1"/>
      <c r="W101" s="54" t="str">
        <v>N/A</v>
      </c>
      <c r="X101" s="54" t="str">
        <v>N/A</v>
      </c>
      <c r="Y101" s="54" t="str">
        <v>N/A</v>
      </c>
      <c r="Z101" s="54" t="str">
        <v>N/A</v>
      </c>
      <c r="AA101" s="66"/>
      <c r="AB101" s="66"/>
      <c r="AC101" s="66"/>
      <c r="AD101" s="102" t="str">
        <v>N/A</v>
      </c>
      <c r="AE101" s="102" t="str">
        <v>N/A</v>
      </c>
      <c r="AF101" s="1"/>
      <c r="AG101" s="54"/>
      <c r="AH101" s="54"/>
      <c r="AI101" s="1"/>
      <c r="AJ101" s="80">
        <v>1.12</v>
      </c>
      <c r="AK101" s="80">
        <f>AK100</f>
      </c>
      <c r="AL101" s="80">
        <f>AL100</f>
      </c>
      <c r="AM101" s="55">
        <f>IFS(AJ101 &gt; 1.25, "S", AJ101 &gt; 1, "A", AJ101 &gt; 0.75, "B", AJ101 &gt; 0.5, "C", AJ101 &gt; 0.25, "D", AJ101 &gt; 0, "E", TRUE, "-")</f>
      </c>
      <c r="AN101" s="55">
        <f>IFS(AK101 &gt; 1.25, "S", AK101 &gt; 1, "A", AK101 &gt; 0.75, "B", AK101 &gt; 0.5, "C", AK101 &gt; 0.25, "D", AK101 &gt; 0, "E", TRUE, "-")</f>
      </c>
      <c r="AO101" s="55">
        <f>IFS(AL101 &gt; 1.25, "S", AL101 &gt; 1, "A", AL101 &gt; 0.75, "B", AL101 &gt; 0.5, "C", AL101 &gt; 0.25, "D", AL101 &gt; 0, "E", TRUE, "-")</f>
      </c>
      <c r="AP101" s="68">
        <v>10</v>
      </c>
      <c r="AQ101" s="68">
        <v>10</v>
      </c>
      <c r="AR101" s="68">
        <v>10</v>
      </c>
      <c r="AS101" s="55"/>
      <c r="AT101" s="55"/>
      <c r="AU101" s="55"/>
      <c r="AV101" s="68">
        <f>IF(SUM(AJ101:AL101)=0, 0, (1 + F101 * 0.1) * (0.75 + 0.25 * MAX(0, MIN(1, IF(MAX(AJ101:AL101)=0, 0, (3*MAX(AJ101:AL101)-SUM(AJ101:AL101)) / (2*MAX(AJ101:AL101)))))))</f>
      </c>
      <c r="AW101" s="111">
        <f>MAX(AJ101:AL101)</f>
      </c>
      <c r="AX101" s="109">
        <f>IF(AW101=0, "", AW101 / ((1 + 0.1*N(F101))))</f>
      </c>
      <c r="AY101" s="68">
        <f>IF(SUM(AJ101:AL101)=0, 0,     (1 + F101 * 0.1) * (1 + ((SUM(AJ101:AL101) - MAX(AJ101:AL101)) / (2 * MAX(AJ101:AL101))) * (1/0.75 - 1)))</f>
      </c>
      <c r="AZ101" s="111">
        <f>AJ101+AK101+AL101</f>
      </c>
      <c r="BA101" s="109">
        <f>IF(AZ101=0, "", AZ101 / ((1 + 0.1*N(F101))/0.75))</f>
      </c>
      <c r="BB101" s="39">
        <v>0.1</v>
      </c>
      <c r="BC101" s="1"/>
      <c r="BD101" s="72">
        <f>BD100</f>
      </c>
      <c r="BE101" s="72">
        <f>BE100</f>
      </c>
      <c r="BF101" s="172"/>
      <c r="BG101" s="64"/>
      <c r="BH101" s="69">
        <f>BH100</f>
      </c>
      <c r="BI101" s="169"/>
      <c r="BJ101" s="170"/>
      <c r="BK101" s="171"/>
      <c r="BL101" s="69">
        <f>BL100</f>
      </c>
      <c r="BM101" s="34"/>
      <c r="BN101" s="57" t="str">
        <v>N/A</v>
      </c>
      <c r="BO101" s="54" t="str">
        <v>N/A</v>
      </c>
      <c r="BP101" s="38"/>
      <c r="BQ101" s="39">
        <v>0</v>
      </c>
      <c r="BR101" s="38">
        <f>IFERROR(BQ101*100/CP101,"N/A")</f>
      </c>
      <c r="BS101" s="61">
        <v>1</v>
      </c>
      <c r="BT101" s="54">
        <v>1</v>
      </c>
      <c r="BU101" s="42"/>
      <c r="BV101" s="78"/>
      <c r="BW101" s="104">
        <f>BW100</f>
      </c>
      <c r="BX101" s="38">
        <f>CP101/BW101</f>
      </c>
      <c r="BY101" s="96">
        <f>BW101/T101</f>
      </c>
      <c r="BZ101" s="1"/>
      <c r="CA101" s="113">
        <f>CA100+5</f>
      </c>
      <c r="CB101" s="39">
        <f>CA101*BB101*(AP101*AJ101+AQ101*AK101+AR101*AL101)</f>
      </c>
      <c r="CC101" s="39">
        <f>CA101+CB101</f>
      </c>
      <c r="CD101" s="68"/>
      <c r="CE101" s="68"/>
      <c r="CF101" s="68"/>
      <c r="CG101" s="68"/>
      <c r="CH101" s="68"/>
      <c r="CI101" s="68"/>
      <c r="CJ101" s="111"/>
      <c r="CK101" s="103">
        <f>CK100</f>
      </c>
      <c r="CL101" s="111"/>
      <c r="CM101" s="38"/>
      <c r="CN101" s="105">
        <f>CK101*CC101</f>
      </c>
      <c r="CO101" s="42"/>
      <c r="CP101" s="70">
        <f>CN101*BS101*BT101</f>
      </c>
      <c r="CQ101" s="38">
        <f>CP101/T101</f>
      </c>
      <c r="CR101" s="38">
        <f>100/CP101</f>
      </c>
      <c r="CS101" s="96">
        <f>100/CQ101</f>
      </c>
      <c r="CT101" s="38">
        <f>CQ101-CQ100</f>
      </c>
      <c r="CU101" s="112">
        <f>(CQ101-CQ100)/CQ100</f>
      </c>
      <c r="CV101" s="96">
        <f>BL101/T101</f>
      </c>
      <c r="CW101" s="96">
        <f>100/CV101</f>
      </c>
      <c r="CX101" s="77"/>
      <c r="CY101" s="41"/>
      <c r="CZ101" s="77"/>
      <c r="DA101" s="41"/>
      <c r="DB101" s="77"/>
      <c r="DC101" s="1" t="str">
        <v>完成</v>
      </c>
      <c r="DD101" s="1" t="str">
        <v>完成</v>
      </c>
    </row>
    <row r="102">
      <c r="A102" s="84">
        <f>A101</f>
      </c>
      <c r="B102" s="53">
        <f>B101</f>
      </c>
      <c r="C102" s="71"/>
      <c r="D102" s="71">
        <f>IF($A102="","","WPN"&amp;VLOOKUP(E102,'引用数据库'!Z:AC,4,FALSE)&amp;VLOOKUP(H102,'引用数据库'!N:P,3,FALSE)&amp;VLOOKUP(I102,'引用数据库'!S:U,3,FALSE)&amp;TEXT(F102,"00"))</f>
      </c>
      <c r="E102" s="53">
        <f>E101</f>
      </c>
      <c r="F102" s="57">
        <v>3</v>
      </c>
      <c r="G102" s="71">
        <f>G101</f>
      </c>
      <c r="H102" s="75">
        <f>H101</f>
      </c>
      <c r="I102" s="75">
        <f>I101</f>
      </c>
      <c r="J102" s="71" t="str">
        <v>手动</v>
      </c>
      <c r="K102" s="71">
        <f>K101</f>
      </c>
      <c r="L102" s="42"/>
      <c r="M102" s="65">
        <f>M101</f>
      </c>
      <c r="N102" s="54">
        <f>N101</f>
      </c>
      <c r="O102" s="54">
        <v>160</v>
      </c>
      <c r="P102" s="72">
        <f>P101</f>
      </c>
      <c r="Q102" s="72">
        <f>Q101</f>
      </c>
      <c r="R102" s="72">
        <f>R101</f>
      </c>
      <c r="S102" s="72">
        <v>0</v>
      </c>
      <c r="T102" s="72">
        <f>SUM(P102:S102)</f>
      </c>
      <c r="U102" s="39">
        <f>2*T102/(15*(1+(5-BD102)*0.1))</f>
      </c>
      <c r="V102" s="1"/>
      <c r="W102" s="54" t="str">
        <v>N/A</v>
      </c>
      <c r="X102" s="54" t="str">
        <v>N/A</v>
      </c>
      <c r="Y102" s="54" t="str">
        <v>N/A</v>
      </c>
      <c r="Z102" s="54" t="str">
        <v>N/A</v>
      </c>
      <c r="AA102" s="66"/>
      <c r="AB102" s="66"/>
      <c r="AC102" s="66"/>
      <c r="AD102" s="102" t="str">
        <v>N/A</v>
      </c>
      <c r="AE102" s="102" t="str">
        <v>N/A</v>
      </c>
      <c r="AF102" s="11"/>
      <c r="AG102" s="72"/>
      <c r="AH102" s="72"/>
      <c r="AI102" s="1"/>
      <c r="AJ102" s="80">
        <f>AJ101+0.1</f>
      </c>
      <c r="AK102" s="80">
        <f>AK101</f>
      </c>
      <c r="AL102" s="80">
        <f>AL101</f>
      </c>
      <c r="AM102" s="105">
        <f>IFS(AJ102 &gt; 1.25, "S", AJ102 &gt; 1, "A", AJ102 &gt; 0.75, "B", AJ102 &gt; 0.5, "C", AJ102 &gt; 0.25, "D", AJ102 &gt; 0, "E", TRUE, "-")</f>
      </c>
      <c r="AN102" s="105">
        <f>IFS(AK102 &gt; 1.25, "S", AK102 &gt; 1, "A", AK102 &gt; 0.75, "B", AK102 &gt; 0.5, "C", AK102 &gt; 0.25, "D", AK102 &gt; 0, "E", TRUE, "-")</f>
      </c>
      <c r="AO102" s="105">
        <f>IFS(AL102 &gt; 1.25, "S", AL102 &gt; 1, "A", AL102 &gt; 0.75, "B", AL102 &gt; 0.5, "C", AL102 &gt; 0.25, "D", AL102 &gt; 0, "E", TRUE, "-")</f>
      </c>
      <c r="AP102" s="68">
        <v>10</v>
      </c>
      <c r="AQ102" s="68">
        <v>10</v>
      </c>
      <c r="AR102" s="68">
        <v>10</v>
      </c>
      <c r="AS102" s="105"/>
      <c r="AT102" s="55"/>
      <c r="AU102" s="105"/>
      <c r="AV102" s="68">
        <f>IF(SUM(AJ102:AL102)=0, 0, (1 + F102 * 0.1) * (0.75 + 0.25 * MAX(0, MIN(1, IF(MAX(AJ102:AL102)=0, 0, (3*MAX(AJ102:AL102)-SUM(AJ102:AL102)) / (2*MAX(AJ102:AL102)))))))</f>
      </c>
      <c r="AW102" s="111">
        <f>MAX(AJ102:AL102)</f>
      </c>
      <c r="AX102" s="109">
        <f>IF(AW102=0, "", AW102 / ((1 + 0.1*N(F102))))</f>
      </c>
      <c r="AY102" s="68">
        <f>IF(SUM(AJ102:AL102)=0, 0,     (1 + F102 * 0.1) * (1 + ((SUM(AJ102:AL102) - MAX(AJ102:AL102)) / (2 * MAX(AJ102:AL102))) * (1/0.75 - 1)))</f>
      </c>
      <c r="AZ102" s="111">
        <f>AJ102+AK102+AL102</f>
      </c>
      <c r="BA102" s="109">
        <f>IF(AZ102=0, "", AZ102 / ((1 + 0.1*N(F102))/0.75))</f>
      </c>
      <c r="BB102" s="39">
        <v>0.1</v>
      </c>
      <c r="BC102" s="1"/>
      <c r="BD102" s="72">
        <f>BD101</f>
      </c>
      <c r="BE102" s="72">
        <f>BE101</f>
      </c>
      <c r="BF102" s="172"/>
      <c r="BG102" s="64"/>
      <c r="BH102" s="69">
        <f>BH101</f>
      </c>
      <c r="BI102" s="169"/>
      <c r="BJ102" s="170"/>
      <c r="BK102" s="171"/>
      <c r="BL102" s="69">
        <f>BL101</f>
      </c>
      <c r="BM102" s="34"/>
      <c r="BN102" s="57" t="str">
        <v>N/A</v>
      </c>
      <c r="BO102" s="54" t="str">
        <v>N/A</v>
      </c>
      <c r="BP102" s="38"/>
      <c r="BQ102" s="39">
        <v>0</v>
      </c>
      <c r="BR102" s="38">
        <f>IFERROR(BQ102*100/CP102,"N/A")</f>
      </c>
      <c r="BS102" s="61">
        <v>1</v>
      </c>
      <c r="BT102" s="54">
        <v>1</v>
      </c>
      <c r="BU102" s="42"/>
      <c r="BV102" s="78"/>
      <c r="BW102" s="104">
        <f>BW101</f>
      </c>
      <c r="BX102" s="38">
        <f>CP102/BW102</f>
      </c>
      <c r="BY102" s="96">
        <f>BW102/T102</f>
      </c>
      <c r="BZ102" s="1"/>
      <c r="CA102" s="113">
        <f>CA101+5</f>
      </c>
      <c r="CB102" s="39">
        <f>CA102*BB102*(AP102*AJ102+AQ102*AK102+AR102*AL102)</f>
      </c>
      <c r="CC102" s="39">
        <f>CA102+CB102</f>
      </c>
      <c r="CD102" s="68"/>
      <c r="CE102" s="68"/>
      <c r="CF102" s="68"/>
      <c r="CG102" s="68"/>
      <c r="CH102" s="68"/>
      <c r="CI102" s="68"/>
      <c r="CJ102" s="111"/>
      <c r="CK102" s="103">
        <f>CK101</f>
      </c>
      <c r="CL102" s="111"/>
      <c r="CM102" s="38"/>
      <c r="CN102" s="105">
        <f>CK102*CC102</f>
      </c>
      <c r="CO102" s="42"/>
      <c r="CP102" s="70">
        <f>CN102*BS102*BT102</f>
      </c>
      <c r="CQ102" s="38">
        <f>CP102/T102</f>
      </c>
      <c r="CR102" s="38">
        <f>100/CP102</f>
      </c>
      <c r="CS102" s="96">
        <f>100/CQ102</f>
      </c>
      <c r="CT102" s="38">
        <f>CQ102-CQ101</f>
      </c>
      <c r="CU102" s="112">
        <f>(CQ102-CQ101)/CQ101</f>
      </c>
      <c r="CV102" s="96">
        <f>BL102/T102</f>
      </c>
      <c r="CW102" s="96">
        <f>100/CV102</f>
      </c>
      <c r="CX102" s="77"/>
      <c r="CY102" s="41"/>
      <c r="CZ102" s="77"/>
      <c r="DA102" s="41"/>
      <c r="DB102" s="77"/>
      <c r="DC102" s="1" t="str">
        <v>完成</v>
      </c>
      <c r="DD102" s="1" t="str">
        <v>完成</v>
      </c>
    </row>
    <row r="103">
      <c r="A103" s="84">
        <f>A102</f>
      </c>
      <c r="B103" s="53">
        <f>B102</f>
      </c>
      <c r="C103" s="71"/>
      <c r="D103" s="71">
        <f>IF($A103="","","WPN"&amp;VLOOKUP(E103,'引用数据库'!Z:AC,4,FALSE)&amp;VLOOKUP(H103,'引用数据库'!N:P,3,FALSE)&amp;VLOOKUP(I103,'引用数据库'!S:U,3,FALSE)&amp;TEXT(F103,"00"))</f>
      </c>
      <c r="E103" s="53">
        <f>E102</f>
      </c>
      <c r="F103" s="57">
        <v>4</v>
      </c>
      <c r="G103" s="71">
        <f>G102</f>
      </c>
      <c r="H103" s="75">
        <f>H102</f>
      </c>
      <c r="I103" s="75">
        <f>I102</f>
      </c>
      <c r="J103" s="71" t="str">
        <v>手动</v>
      </c>
      <c r="K103" s="71">
        <f>K102</f>
      </c>
      <c r="L103" s="42"/>
      <c r="M103" s="65">
        <f>M102</f>
      </c>
      <c r="N103" s="54">
        <f>N102</f>
      </c>
      <c r="O103" s="54">
        <v>160</v>
      </c>
      <c r="P103" s="72">
        <f>P102</f>
      </c>
      <c r="Q103" s="72">
        <f>Q102</f>
      </c>
      <c r="R103" s="72">
        <f>R102</f>
      </c>
      <c r="S103" s="72">
        <v>0</v>
      </c>
      <c r="T103" s="72">
        <f>SUM(P103:S103)</f>
      </c>
      <c r="U103" s="39">
        <f>2*T103/(15*(1+(5-BD103)*0.1))</f>
      </c>
      <c r="V103" s="1"/>
      <c r="W103" s="54" t="str">
        <v>N/A</v>
      </c>
      <c r="X103" s="54" t="str">
        <v>N/A</v>
      </c>
      <c r="Y103" s="54" t="str">
        <v>N/A</v>
      </c>
      <c r="Z103" s="54" t="str">
        <v>N/A</v>
      </c>
      <c r="AA103" s="66"/>
      <c r="AB103" s="66"/>
      <c r="AC103" s="66"/>
      <c r="AD103" s="102" t="str">
        <v>N/A</v>
      </c>
      <c r="AE103" s="102" t="str">
        <v>N/A</v>
      </c>
      <c r="AF103" s="11"/>
      <c r="AG103" s="72"/>
      <c r="AH103" s="72"/>
      <c r="AI103" s="1"/>
      <c r="AJ103" s="80">
        <v>1.39</v>
      </c>
      <c r="AK103" s="80">
        <f>AK102</f>
      </c>
      <c r="AL103" s="80">
        <f>AL102</f>
      </c>
      <c r="AM103" s="55">
        <f>IFS(AJ103 &gt; 1.25, "S", AJ103 &gt; 1, "A", AJ103 &gt; 0.75, "B", AJ103 &gt; 0.5, "C", AJ103 &gt; 0.25, "D", AJ103 &gt; 0, "E", TRUE, "-")</f>
      </c>
      <c r="AN103" s="55">
        <f>IFS(AK103 &gt; 1.25, "S", AK103 &gt; 1, "A", AK103 &gt; 0.75, "B", AK103 &gt; 0.5, "C", AK103 &gt; 0.25, "D", AK103 &gt; 0, "E", TRUE, "-")</f>
      </c>
      <c r="AO103" s="55">
        <f>IFS(AL103 &gt; 1.25, "S", AL103 &gt; 1, "A", AL103 &gt; 0.75, "B", AL103 &gt; 0.5, "C", AL103 &gt; 0.25, "D", AL103 &gt; 0, "E", TRUE, "-")</f>
      </c>
      <c r="AP103" s="68">
        <v>10</v>
      </c>
      <c r="AQ103" s="68">
        <v>10</v>
      </c>
      <c r="AR103" s="68">
        <v>10</v>
      </c>
      <c r="AS103" s="55"/>
      <c r="AT103" s="55"/>
      <c r="AU103" s="55"/>
      <c r="AV103" s="68">
        <f>IF(SUM(AJ103:AL103)=0, 0, (1 + F103 * 0.1) * (0.75 + 0.25 * MAX(0, MIN(1, IF(MAX(AJ103:AL103)=0, 0, (3*MAX(AJ103:AL103)-SUM(AJ103:AL103)) / (2*MAX(AJ103:AL103)))))))</f>
      </c>
      <c r="AW103" s="111">
        <f>MAX(AJ103:AL103)</f>
      </c>
      <c r="AX103" s="109">
        <f>IF(AW103=0, "", AW103 / ((1 + 0.1*N(F103))))</f>
      </c>
      <c r="AY103" s="68">
        <f>IF(SUM(AJ103:AL103)=0, 0,     (1 + F103 * 0.1) * (1 + ((SUM(AJ103:AL103) - MAX(AJ103:AL103)) / (2 * MAX(AJ103:AL103))) * (1/0.75 - 1)))</f>
      </c>
      <c r="AZ103" s="111">
        <f>AJ103+AK103+AL103</f>
      </c>
      <c r="BA103" s="109">
        <f>IF(AZ103=0, "", AZ103 / ((1 + 0.1*N(F103))/0.75))</f>
      </c>
      <c r="BB103" s="39">
        <v>0.1</v>
      </c>
      <c r="BC103" s="1"/>
      <c r="BD103" s="72">
        <f>BD102</f>
      </c>
      <c r="BE103" s="72">
        <f>BE102</f>
      </c>
      <c r="BF103" s="172"/>
      <c r="BG103" s="64"/>
      <c r="BH103" s="69">
        <f>BH102</f>
      </c>
      <c r="BI103" s="169"/>
      <c r="BJ103" s="170"/>
      <c r="BK103" s="171"/>
      <c r="BL103" s="69">
        <f>BL102</f>
      </c>
      <c r="BM103" s="34"/>
      <c r="BN103" s="57" t="str">
        <v>N/A</v>
      </c>
      <c r="BO103" s="54" t="str">
        <v>N/A</v>
      </c>
      <c r="BP103" s="38"/>
      <c r="BQ103" s="39">
        <v>0</v>
      </c>
      <c r="BR103" s="38">
        <f>IFERROR(BQ103*100/CP103,"N/A")</f>
      </c>
      <c r="BS103" s="61">
        <v>1</v>
      </c>
      <c r="BT103" s="54">
        <v>1</v>
      </c>
      <c r="BU103" s="42"/>
      <c r="BV103" s="78"/>
      <c r="BW103" s="104">
        <f>BW102</f>
      </c>
      <c r="BX103" s="38">
        <f>CP103/BW103</f>
      </c>
      <c r="BY103" s="96">
        <f>BW103/T103</f>
      </c>
      <c r="BZ103" s="1"/>
      <c r="CA103" s="113">
        <f>CA102+5</f>
      </c>
      <c r="CB103" s="39">
        <f>CA103*BB103*(AP103*AJ103+AQ103*AK103+AR103*AL103)</f>
      </c>
      <c r="CC103" s="39">
        <f>CA103+CB103</f>
      </c>
      <c r="CD103" s="68"/>
      <c r="CE103" s="68"/>
      <c r="CF103" s="68"/>
      <c r="CG103" s="68"/>
      <c r="CH103" s="68"/>
      <c r="CI103" s="68"/>
      <c r="CJ103" s="111"/>
      <c r="CK103" s="103">
        <f>CK102</f>
      </c>
      <c r="CL103" s="111"/>
      <c r="CM103" s="38"/>
      <c r="CN103" s="105">
        <f>CK103*CC103</f>
      </c>
      <c r="CO103" s="42"/>
      <c r="CP103" s="70">
        <f>CN103*BS103*BT103</f>
      </c>
      <c r="CQ103" s="38">
        <f>CP103/T103</f>
      </c>
      <c r="CR103" s="38">
        <f>100/CP103</f>
      </c>
      <c r="CS103" s="96">
        <f>100/CQ103</f>
      </c>
      <c r="CT103" s="38">
        <f>CQ103-CQ102</f>
      </c>
      <c r="CU103" s="112">
        <f>(CQ103-CQ102)/CQ102</f>
      </c>
      <c r="CV103" s="96">
        <f>BL103/T103</f>
      </c>
      <c r="CW103" s="96">
        <f>100/CV103</f>
      </c>
      <c r="CX103" s="77"/>
      <c r="CY103" s="41"/>
      <c r="CZ103" s="77"/>
      <c r="DA103" s="41"/>
      <c r="DB103" s="77"/>
      <c r="DC103" s="1" t="str">
        <v>完成</v>
      </c>
      <c r="DD103" s="1" t="str">
        <v>完成</v>
      </c>
    </row>
    <row r="104">
      <c r="A104" s="84">
        <f>A103</f>
      </c>
      <c r="B104" s="53">
        <f>B103</f>
      </c>
      <c r="C104" s="71"/>
      <c r="D104" s="71">
        <f>IF($A104="","","WPN"&amp;VLOOKUP(E104,'引用数据库'!Z:AC,4,FALSE)&amp;VLOOKUP(H104,'引用数据库'!N:P,3,FALSE)&amp;VLOOKUP(I104,'引用数据库'!S:U,3,FALSE)&amp;TEXT(F104,"00"))</f>
      </c>
      <c r="E104" s="53">
        <f>E103</f>
      </c>
      <c r="F104" s="57">
        <v>5</v>
      </c>
      <c r="G104" s="71">
        <f>G103</f>
      </c>
      <c r="H104" s="75">
        <f>H103</f>
      </c>
      <c r="I104" s="75">
        <f>I103</f>
      </c>
      <c r="J104" s="71" t="str">
        <v>手动</v>
      </c>
      <c r="K104" s="71">
        <f>K103</f>
      </c>
      <c r="L104" s="42"/>
      <c r="M104" s="65">
        <f>M103</f>
      </c>
      <c r="N104" s="54">
        <f>N103</f>
      </c>
      <c r="O104" s="54">
        <v>160</v>
      </c>
      <c r="P104" s="72">
        <f>P103</f>
      </c>
      <c r="Q104" s="72">
        <f>Q103</f>
      </c>
      <c r="R104" s="72">
        <f>R103</f>
      </c>
      <c r="S104" s="72">
        <v>0</v>
      </c>
      <c r="T104" s="72">
        <f>SUM(P104:S104)</f>
      </c>
      <c r="U104" s="39">
        <f>2*T104/(15*(1+(5-BD104)*0.1))</f>
      </c>
      <c r="V104" s="1"/>
      <c r="W104" s="54" t="str">
        <v>N/A</v>
      </c>
      <c r="X104" s="54" t="str">
        <v>N/A</v>
      </c>
      <c r="Y104" s="54" t="str">
        <v>N/A</v>
      </c>
      <c r="Z104" s="54" t="str">
        <v>N/A</v>
      </c>
      <c r="AA104" s="66"/>
      <c r="AB104" s="66"/>
      <c r="AC104" s="66"/>
      <c r="AD104" s="102" t="str">
        <v>N/A</v>
      </c>
      <c r="AE104" s="102" t="str">
        <v>N/A</v>
      </c>
      <c r="AF104" s="11"/>
      <c r="AG104" s="72"/>
      <c r="AH104" s="72"/>
      <c r="AI104" s="1"/>
      <c r="AJ104" s="80">
        <f>AJ103+0.1</f>
      </c>
      <c r="AK104" s="80">
        <f>AK103</f>
      </c>
      <c r="AL104" s="80">
        <f>AL103</f>
      </c>
      <c r="AM104" s="105">
        <f>IFS(AJ104 &gt; 1.25, "S", AJ104 &gt; 1, "A", AJ104 &gt; 0.75, "B", AJ104 &gt; 0.5, "C", AJ104 &gt; 0.25, "D", AJ104 &gt; 0, "E", TRUE, "-")</f>
      </c>
      <c r="AN104" s="105">
        <f>IFS(AK104 &gt; 1.25, "S", AK104 &gt; 1, "A", AK104 &gt; 0.75, "B", AK104 &gt; 0.5, "C", AK104 &gt; 0.25, "D", AK104 &gt; 0, "E", TRUE, "-")</f>
      </c>
      <c r="AO104" s="105">
        <f>IFS(AL104 &gt; 1.25, "S", AL104 &gt; 1, "A", AL104 &gt; 0.75, "B", AL104 &gt; 0.5, "C", AL104 &gt; 0.25, "D", AL104 &gt; 0, "E", TRUE, "-")</f>
      </c>
      <c r="AP104" s="68">
        <v>10</v>
      </c>
      <c r="AQ104" s="68">
        <v>10</v>
      </c>
      <c r="AR104" s="68">
        <v>10</v>
      </c>
      <c r="AS104" s="105"/>
      <c r="AT104" s="55"/>
      <c r="AU104" s="105"/>
      <c r="AV104" s="68">
        <f>IF(SUM(AJ104:AL104)=0, 0, (1 + F104 * 0.1) * (0.75 + 0.25 * MAX(0, MIN(1, IF(MAX(AJ104:AL104)=0, 0, (3*MAX(AJ104:AL104)-SUM(AJ104:AL104)) / (2*MAX(AJ104:AL104)))))))</f>
      </c>
      <c r="AW104" s="111">
        <f>MAX(AJ104:AL104)</f>
      </c>
      <c r="AX104" s="109">
        <f>IF(AW104=0, "", AW104 / ((1 + 0.1*N(F104))))</f>
      </c>
      <c r="AY104" s="68">
        <f>IF(SUM(AJ104:AL104)=0, 0,     (1 + F104 * 0.1) * (1 + ((SUM(AJ104:AL104) - MAX(AJ104:AL104)) / (2 * MAX(AJ104:AL104))) * (1/0.75 - 1)))</f>
      </c>
      <c r="AZ104" s="111">
        <f>AJ104+AK104+AL104</f>
      </c>
      <c r="BA104" s="109">
        <f>IF(AZ104=0, "", AZ104 / ((1 + 0.1*N(F104))/0.75))</f>
      </c>
      <c r="BB104" s="39">
        <v>0.1</v>
      </c>
      <c r="BC104" s="1"/>
      <c r="BD104" s="72">
        <f>BD103</f>
      </c>
      <c r="BE104" s="72">
        <f>BE103</f>
      </c>
      <c r="BF104" s="172"/>
      <c r="BG104" s="64"/>
      <c r="BH104" s="69">
        <f>BH103</f>
      </c>
      <c r="BI104" s="169"/>
      <c r="BJ104" s="170"/>
      <c r="BK104" s="171"/>
      <c r="BL104" s="69">
        <f>BL103</f>
      </c>
      <c r="BM104" s="34"/>
      <c r="BN104" s="57" t="str">
        <v>N/A</v>
      </c>
      <c r="BO104" s="54" t="str">
        <v>N/A</v>
      </c>
      <c r="BP104" s="38"/>
      <c r="BQ104" s="39">
        <v>0</v>
      </c>
      <c r="BR104" s="38">
        <f>IFERROR(BQ104*100/CP104,"N/A")</f>
      </c>
      <c r="BS104" s="61">
        <v>1</v>
      </c>
      <c r="BT104" s="54">
        <v>1</v>
      </c>
      <c r="BU104" s="42"/>
      <c r="BV104" s="78"/>
      <c r="BW104" s="104">
        <f>BW103</f>
      </c>
      <c r="BX104" s="38">
        <f>CP104/BW104</f>
      </c>
      <c r="BY104" s="96">
        <f>BW104/T104</f>
      </c>
      <c r="BZ104" s="1"/>
      <c r="CA104" s="113">
        <f>CA103+5</f>
      </c>
      <c r="CB104" s="39">
        <f>CA104*BB104*(AP104*AJ104+AQ104*AK104+AR104*AL104)</f>
      </c>
      <c r="CC104" s="39">
        <f>CA104+CB104</f>
      </c>
      <c r="CD104" s="68"/>
      <c r="CE104" s="68"/>
      <c r="CF104" s="68"/>
      <c r="CG104" s="68"/>
      <c r="CH104" s="68"/>
      <c r="CI104" s="68"/>
      <c r="CJ104" s="111"/>
      <c r="CK104" s="103">
        <f>CK103</f>
      </c>
      <c r="CL104" s="111"/>
      <c r="CM104" s="38"/>
      <c r="CN104" s="105">
        <f>CK104*CC104</f>
      </c>
      <c r="CO104" s="42"/>
      <c r="CP104" s="70">
        <f>CN104*BS104*BT104</f>
      </c>
      <c r="CQ104" s="38">
        <f>CP104/T104</f>
      </c>
      <c r="CR104" s="38">
        <f>100/CP104</f>
      </c>
      <c r="CS104" s="96">
        <f>100/CQ104</f>
      </c>
      <c r="CT104" s="38">
        <f>CQ104-CQ103</f>
      </c>
      <c r="CU104" s="112">
        <f>(CQ104-CQ103)/CQ103</f>
      </c>
      <c r="CV104" s="96">
        <f>BL104/T104</f>
      </c>
      <c r="CW104" s="96">
        <f>100/CV104</f>
      </c>
      <c r="CX104" s="77"/>
      <c r="CY104" s="41"/>
      <c r="CZ104" s="77"/>
      <c r="DA104" s="41"/>
      <c r="DB104" s="77"/>
      <c r="DC104" s="1" t="str">
        <v>完成</v>
      </c>
      <c r="DD104" s="1" t="str">
        <v>完成</v>
      </c>
    </row>
    <row r="105">
      <c r="A105" s="84"/>
      <c r="B105" s="53"/>
      <c r="C105" s="71"/>
      <c r="D105" s="71">
        <f>IF($A105="","","WPN"&amp;VLOOKUP(E105,'引用数据库'!Z:AC,4,FALSE)&amp;VLOOKUP(H105,'引用数据库'!N:P,3,FALSE)&amp;VLOOKUP(I105,'引用数据库'!S:U,3,FALSE)&amp;TEXT(F105,"00"))</f>
      </c>
      <c r="E105" s="53"/>
      <c r="F105" s="57"/>
      <c r="G105" s="84"/>
      <c r="H105" s="53"/>
      <c r="I105" s="53"/>
      <c r="J105" s="84"/>
      <c r="K105" s="84"/>
      <c r="L105" s="42"/>
      <c r="M105" s="65"/>
      <c r="N105" s="54"/>
      <c r="O105" s="54"/>
      <c r="P105" s="54"/>
      <c r="Q105" s="54"/>
      <c r="R105" s="54"/>
      <c r="S105" s="54"/>
      <c r="T105" s="54"/>
      <c r="U105" s="51">
        <f>2*T105/(15*(1+(5-BD105)*0.1))</f>
      </c>
      <c r="V105" s="1"/>
      <c r="W105" s="54"/>
      <c r="X105" s="54"/>
      <c r="Y105" s="76"/>
      <c r="Z105" s="76"/>
      <c r="AA105" s="66"/>
      <c r="AB105" s="66"/>
      <c r="AC105" s="66"/>
      <c r="AD105" s="86"/>
      <c r="AE105" s="86"/>
      <c r="AF105" s="1"/>
      <c r="AG105" s="54"/>
      <c r="AH105" s="54"/>
      <c r="AI105" s="1"/>
      <c r="AJ105" s="80"/>
      <c r="AK105" s="80"/>
      <c r="AL105" s="80"/>
      <c r="AM105" s="55">
        <f>IFS(AJ105 &gt; 1.25, "S", AJ105 &gt; 1, "A", AJ105 &gt; 0.75, "B", AJ105 &gt; 0.5, "C", AJ105 &gt; 0.25, "D", AJ105 &gt; 0, "E", TRUE, "-")</f>
      </c>
      <c r="AN105" s="55">
        <f>IFS(AK105 &gt; 1.25, "S", AK105 &gt; 1, "A", AK105 &gt; 0.75, "B", AK105 &gt; 0.5, "C", AK105 &gt; 0.25, "D", AK105 &gt; 0, "E", TRUE, "-")</f>
      </c>
      <c r="AO105" s="55">
        <f>IFS(AL105 &gt; 1.25, "S", AL105 &gt; 1, "A", AL105 &gt; 0.75, "B", AL105 &gt; 0.5, "C", AL105 &gt; 0.25, "D", AL105 &gt; 0, "E", TRUE, "-")</f>
      </c>
      <c r="AP105" s="58"/>
      <c r="AQ105" s="68"/>
      <c r="AR105" s="68"/>
      <c r="AS105" s="55"/>
      <c r="AT105" s="55"/>
      <c r="AU105" s="55"/>
      <c r="AV105" s="61">
        <f>IF(SUM(AJ105:AL105)=0, 0, (1 + F105 * 0.1) * (0.75 + 0.25 * MAX(0, MIN(1, IF(MAX(AJ105:AL105)=0, 0, (3*MAX(AJ105:AL105)-SUM(AJ105:AL105)) / (2*MAX(AJ105:AL105)))))))</f>
      </c>
      <c r="AW105" s="83">
        <f>MAX(AJ105:AL105)</f>
      </c>
      <c r="AX105" s="81">
        <f>IF(AW105=0, "", AW105 / ((1 + 0.1*N(F105))))</f>
      </c>
      <c r="AY105" s="61">
        <f>IF(SUM(AJ105:AL105)=0, 0,     (1 + F105 * 0.1) * (1 + ((SUM(AJ105:AL105) - MAX(AJ105:AL105)) / (2 * MAX(AJ105:AL105))) * (1/0.75 - 1)))</f>
      </c>
      <c r="AZ105" s="83"/>
      <c r="BA105" s="81">
        <f>IF(AZ105=0, "", AZ105 / ((1 + 0.1*N(F105))/0.75))</f>
      </c>
      <c r="BB105" s="51">
        <v>0.1</v>
      </c>
      <c r="BC105" s="1"/>
      <c r="BD105" s="54"/>
      <c r="BE105" s="54"/>
      <c r="BF105" s="74"/>
      <c r="BG105" s="64"/>
      <c r="BH105" s="69"/>
      <c r="BI105" s="45"/>
      <c r="BJ105" s="63"/>
      <c r="BK105" s="49"/>
      <c r="BL105" s="56"/>
      <c r="BM105" s="50"/>
      <c r="BN105" s="57"/>
      <c r="BO105" s="54"/>
      <c r="BP105" s="64"/>
      <c r="BQ105" s="51"/>
      <c r="BR105" s="38">
        <f>IFERROR(BQ105*100/CP105,"N/A")</f>
      </c>
      <c r="BS105" s="61"/>
      <c r="BT105" s="54"/>
      <c r="BU105" s="42"/>
      <c r="BV105" s="78"/>
      <c r="BW105" s="73"/>
      <c r="BX105" s="64"/>
      <c r="BY105" s="52"/>
      <c r="BZ105" s="1"/>
      <c r="CA105" s="62"/>
      <c r="CB105" s="51"/>
      <c r="CC105" s="51"/>
      <c r="CD105" s="58"/>
      <c r="CE105" s="58"/>
      <c r="CF105" s="58"/>
      <c r="CG105" s="58"/>
      <c r="CH105" s="58"/>
      <c r="CI105" s="58"/>
      <c r="CJ105" s="79"/>
      <c r="CK105" s="69"/>
      <c r="CL105" s="79"/>
      <c r="CM105" s="51"/>
      <c r="CN105" s="55"/>
      <c r="CO105" s="42"/>
      <c r="CP105" s="70">
        <f>CN105*BS105*BT105</f>
      </c>
      <c r="CQ105" s="52"/>
      <c r="CR105" s="64">
        <f>100/CP105</f>
      </c>
      <c r="CS105" s="82">
        <f>100/CQ105</f>
      </c>
      <c r="CT105" s="52"/>
      <c r="CU105" s="52"/>
      <c r="CV105" s="82">
        <f>BL105/T105</f>
      </c>
      <c r="CW105" s="82">
        <f>100/CV105</f>
      </c>
      <c r="CX105" s="77"/>
      <c r="CY105" s="85"/>
      <c r="CZ105" s="77"/>
      <c r="DA105" s="77"/>
      <c r="DB105" s="77"/>
      <c r="DC105" s="1"/>
      <c r="DD105" s="1"/>
    </row>
    <row r="106">
      <c r="A106" s="84"/>
      <c r="B106" s="53"/>
      <c r="C106" s="71"/>
      <c r="D106" s="71">
        <f>IF($A106="","","WPN"&amp;VLOOKUP(E106,'引用数据库'!Z:AC,4,FALSE)&amp;VLOOKUP(H106,'引用数据库'!N:P,3,FALSE)&amp;VLOOKUP(I106,'引用数据库'!S:U,3,FALSE)&amp;TEXT(F106,"00"))</f>
      </c>
      <c r="E106" s="53"/>
      <c r="F106" s="57"/>
      <c r="G106" s="84"/>
      <c r="H106" s="53"/>
      <c r="I106" s="53"/>
      <c r="J106" s="84"/>
      <c r="K106" s="84"/>
      <c r="L106" s="42"/>
      <c r="M106" s="65"/>
      <c r="N106" s="54"/>
      <c r="O106" s="54"/>
      <c r="P106" s="54"/>
      <c r="Q106" s="54"/>
      <c r="R106" s="54"/>
      <c r="S106" s="54"/>
      <c r="T106" s="54"/>
      <c r="U106" s="51">
        <f>2*T106/(15*(1+(5-BD106)*0.1))</f>
      </c>
      <c r="V106" s="1"/>
      <c r="W106" s="54"/>
      <c r="X106" s="54"/>
      <c r="Y106" s="76"/>
      <c r="Z106" s="76"/>
      <c r="AA106" s="66"/>
      <c r="AB106" s="66"/>
      <c r="AC106" s="66"/>
      <c r="AD106" s="86"/>
      <c r="AE106" s="86"/>
      <c r="AF106" s="1"/>
      <c r="AG106" s="54"/>
      <c r="AH106" s="54"/>
      <c r="AI106" s="1"/>
      <c r="AJ106" s="80"/>
      <c r="AK106" s="80"/>
      <c r="AL106" s="80"/>
      <c r="AM106" s="55">
        <f>IFS(AJ106 &gt; 1.25, "S", AJ106 &gt; 1, "A", AJ106 &gt; 0.75, "B", AJ106 &gt; 0.5, "C", AJ106 &gt; 0.25, "D", AJ106 &gt; 0, "E", TRUE, "-")</f>
      </c>
      <c r="AN106" s="55">
        <f>IFS(AK106 &gt; 1.25, "S", AK106 &gt; 1, "A", AK106 &gt; 0.75, "B", AK106 &gt; 0.5, "C", AK106 &gt; 0.25, "D", AK106 &gt; 0, "E", TRUE, "-")</f>
      </c>
      <c r="AO106" s="55">
        <f>IFS(AL106 &gt; 1.25, "S", AL106 &gt; 1, "A", AL106 &gt; 0.75, "B", AL106 &gt; 0.5, "C", AL106 &gt; 0.25, "D", AL106 &gt; 0, "E", TRUE, "-")</f>
      </c>
      <c r="AP106" s="58"/>
      <c r="AQ106" s="68"/>
      <c r="AR106" s="68"/>
      <c r="AS106" s="55"/>
      <c r="AT106" s="55"/>
      <c r="AU106" s="55"/>
      <c r="AV106" s="61">
        <f>IF(SUM(AJ106:AL106)=0, 0, (1 + F106 * 0.1) * (0.75 + 0.25 * MAX(0, MIN(1, IF(MAX(AJ106:AL106)=0, 0, (3*MAX(AJ106:AL106)-SUM(AJ106:AL106)) / (2*MAX(AJ106:AL106)))))))</f>
      </c>
      <c r="AW106" s="83">
        <f>MAX(AJ106:AL106)</f>
      </c>
      <c r="AX106" s="81">
        <f>IF(AW106=0, "", AW106 / ((1 + 0.1*N(F106))))</f>
      </c>
      <c r="AY106" s="61">
        <f>IF(SUM(AJ106:AL106)=0, 0,     (1 + F106 * 0.1) * (1 + ((SUM(AJ106:AL106) - MAX(AJ106:AL106)) / (2 * MAX(AJ106:AL106))) * (1/0.75 - 1)))</f>
      </c>
      <c r="AZ106" s="83"/>
      <c r="BA106" s="81">
        <f>IF(AZ106=0, "", AZ106 / ((1 + 0.1*N(F106))/0.75))</f>
      </c>
      <c r="BB106" s="51">
        <v>0.1</v>
      </c>
      <c r="BC106" s="1"/>
      <c r="BD106" s="54"/>
      <c r="BE106" s="54"/>
      <c r="BF106" s="74"/>
      <c r="BG106" s="64"/>
      <c r="BH106" s="69"/>
      <c r="BI106" s="45"/>
      <c r="BJ106" s="63"/>
      <c r="BK106" s="49"/>
      <c r="BL106" s="56"/>
      <c r="BM106" s="50"/>
      <c r="BN106" s="57"/>
      <c r="BO106" s="54"/>
      <c r="BP106" s="64"/>
      <c r="BQ106" s="51"/>
      <c r="BR106" s="38">
        <f>IFERROR(BQ106*100/CP106,"N/A")</f>
      </c>
      <c r="BS106" s="61"/>
      <c r="BT106" s="54"/>
      <c r="BU106" s="42"/>
      <c r="BV106" s="78"/>
      <c r="BW106" s="73"/>
      <c r="BX106" s="64"/>
      <c r="BY106" s="52"/>
      <c r="BZ106" s="1"/>
      <c r="CA106" s="62"/>
      <c r="CB106" s="51"/>
      <c r="CC106" s="51"/>
      <c r="CD106" s="58"/>
      <c r="CE106" s="58"/>
      <c r="CF106" s="58"/>
      <c r="CG106" s="58"/>
      <c r="CH106" s="58"/>
      <c r="CI106" s="58"/>
      <c r="CJ106" s="79"/>
      <c r="CK106" s="69"/>
      <c r="CL106" s="79"/>
      <c r="CM106" s="51"/>
      <c r="CN106" s="55"/>
      <c r="CO106" s="42"/>
      <c r="CP106" s="70">
        <f>CN106*BS106*BT106</f>
      </c>
      <c r="CQ106" s="52"/>
      <c r="CR106" s="64">
        <f>100/CP106</f>
      </c>
      <c r="CS106" s="82">
        <f>100/CQ106</f>
      </c>
      <c r="CT106" s="52"/>
      <c r="CU106" s="52"/>
      <c r="CV106" s="82">
        <f>BL106/T106</f>
      </c>
      <c r="CW106" s="82">
        <f>100/CV106</f>
      </c>
      <c r="CX106" s="77"/>
      <c r="CY106" s="85"/>
      <c r="CZ106" s="77"/>
      <c r="DA106" s="77"/>
      <c r="DB106" s="77"/>
      <c r="DC106" s="1"/>
      <c r="DD106" s="1"/>
    </row>
    <row r="107">
      <c r="A107" s="84"/>
      <c r="B107" s="53"/>
      <c r="C107" s="71"/>
      <c r="D107" s="71">
        <f>IF($A107="","","WPN"&amp;VLOOKUP(E107,'引用数据库'!Z:AC,4,FALSE)&amp;VLOOKUP(H107,'引用数据库'!N:P,3,FALSE)&amp;VLOOKUP(I107,'引用数据库'!S:U,3,FALSE)&amp;TEXT(F107,"00"))</f>
      </c>
      <c r="E107" s="53"/>
      <c r="F107" s="57"/>
      <c r="G107" s="84"/>
      <c r="H107" s="53"/>
      <c r="I107" s="53"/>
      <c r="J107" s="84"/>
      <c r="K107" s="84"/>
      <c r="L107" s="42"/>
      <c r="M107" s="65"/>
      <c r="N107" s="54"/>
      <c r="O107" s="54"/>
      <c r="P107" s="54"/>
      <c r="Q107" s="54"/>
      <c r="R107" s="54"/>
      <c r="S107" s="54"/>
      <c r="T107" s="54"/>
      <c r="U107" s="51">
        <f>2*T107/(15*(1+(5-BD107)*0.1))</f>
      </c>
      <c r="V107" s="1"/>
      <c r="W107" s="54"/>
      <c r="X107" s="54"/>
      <c r="Y107" s="76"/>
      <c r="Z107" s="76"/>
      <c r="AA107" s="66"/>
      <c r="AB107" s="66"/>
      <c r="AC107" s="66"/>
      <c r="AD107" s="86"/>
      <c r="AE107" s="86"/>
      <c r="AF107" s="1"/>
      <c r="AG107" s="54"/>
      <c r="AH107" s="54"/>
      <c r="AI107" s="1"/>
      <c r="AJ107" s="80"/>
      <c r="AK107" s="80"/>
      <c r="AL107" s="80"/>
      <c r="AM107" s="55">
        <f>IFS(AJ107 &gt; 1.25, "S", AJ107 &gt; 1, "A", AJ107 &gt; 0.75, "B", AJ107 &gt; 0.5, "C", AJ107 &gt; 0.25, "D", AJ107 &gt; 0, "E", TRUE, "-")</f>
      </c>
      <c r="AN107" s="55">
        <f>IFS(AK107 &gt; 1.25, "S", AK107 &gt; 1, "A", AK107 &gt; 0.75, "B", AK107 &gt; 0.5, "C", AK107 &gt; 0.25, "D", AK107 &gt; 0, "E", TRUE, "-")</f>
      </c>
      <c r="AO107" s="55">
        <f>IFS(AL107 &gt; 1.25, "S", AL107 &gt; 1, "A", AL107 &gt; 0.75, "B", AL107 &gt; 0.5, "C", AL107 &gt; 0.25, "D", AL107 &gt; 0, "E", TRUE, "-")</f>
      </c>
      <c r="AP107" s="58"/>
      <c r="AQ107" s="68"/>
      <c r="AR107" s="68"/>
      <c r="AS107" s="55"/>
      <c r="AT107" s="55"/>
      <c r="AU107" s="55"/>
      <c r="AV107" s="61">
        <f>IF(SUM(AJ107:AL107)=0, 0, (1 + F107 * 0.1) * (0.75 + 0.25 * MAX(0, MIN(1, IF(MAX(AJ107:AL107)=0, 0, (3*MAX(AJ107:AL107)-SUM(AJ107:AL107)) / (2*MAX(AJ107:AL107)))))))</f>
      </c>
      <c r="AW107" s="83">
        <f>MAX(AJ107:AL107)</f>
      </c>
      <c r="AX107" s="81">
        <f>IF(AW107=0, "", AW107 / ((1 + 0.1*N(F107))))</f>
      </c>
      <c r="AY107" s="61">
        <f>IF(SUM(AJ107:AL107)=0, 0,     (1 + F107 * 0.1) * (1 + ((SUM(AJ107:AL107) - MAX(AJ107:AL107)) / (2 * MAX(AJ107:AL107))) * (1/0.75 - 1)))</f>
      </c>
      <c r="AZ107" s="83"/>
      <c r="BA107" s="81">
        <f>IF(AZ107=0, "", AZ107 / ((1 + 0.1*N(F107))/0.75))</f>
      </c>
      <c r="BB107" s="51">
        <v>0.1</v>
      </c>
      <c r="BC107" s="1"/>
      <c r="BD107" s="54"/>
      <c r="BE107" s="54"/>
      <c r="BF107" s="74"/>
      <c r="BG107" s="64"/>
      <c r="BH107" s="69"/>
      <c r="BI107" s="45"/>
      <c r="BJ107" s="63"/>
      <c r="BK107" s="49"/>
      <c r="BL107" s="56"/>
      <c r="BM107" s="50"/>
      <c r="BN107" s="57"/>
      <c r="BO107" s="54"/>
      <c r="BP107" s="64"/>
      <c r="BQ107" s="51"/>
      <c r="BR107" s="38">
        <f>IFERROR(BQ107*100/CP107,"N/A")</f>
      </c>
      <c r="BS107" s="61"/>
      <c r="BT107" s="54"/>
      <c r="BU107" s="42"/>
      <c r="BV107" s="78"/>
      <c r="BW107" s="73"/>
      <c r="BX107" s="64"/>
      <c r="BY107" s="52"/>
      <c r="BZ107" s="1"/>
      <c r="CA107" s="62"/>
      <c r="CB107" s="51"/>
      <c r="CC107" s="51"/>
      <c r="CD107" s="58"/>
      <c r="CE107" s="58"/>
      <c r="CF107" s="58"/>
      <c r="CG107" s="58"/>
      <c r="CH107" s="58"/>
      <c r="CI107" s="58"/>
      <c r="CJ107" s="79"/>
      <c r="CK107" s="69"/>
      <c r="CL107" s="79"/>
      <c r="CM107" s="51"/>
      <c r="CN107" s="55"/>
      <c r="CO107" s="42"/>
      <c r="CP107" s="70">
        <f>CN107*BS107*BT107</f>
      </c>
      <c r="CQ107" s="52"/>
      <c r="CR107" s="64">
        <f>100/CP107</f>
      </c>
      <c r="CS107" s="82">
        <f>100/CQ107</f>
      </c>
      <c r="CT107" s="52"/>
      <c r="CU107" s="52"/>
      <c r="CV107" s="82">
        <f>BL107/T107</f>
      </c>
      <c r="CW107" s="82">
        <f>100/CV107</f>
      </c>
      <c r="CX107" s="77"/>
      <c r="CY107" s="85"/>
      <c r="CZ107" s="77"/>
      <c r="DA107" s="77"/>
      <c r="DB107" s="77"/>
      <c r="DC107" s="1"/>
      <c r="DD107" s="1"/>
    </row>
    <row r="108">
      <c r="A108" s="84"/>
      <c r="B108" s="53"/>
      <c r="C108" s="71"/>
      <c r="D108" s="71">
        <f>IF($A108="","","WPN"&amp;VLOOKUP(E108,'引用数据库'!Z:AC,4,FALSE)&amp;VLOOKUP(H108,'引用数据库'!N:P,3,FALSE)&amp;VLOOKUP(I108,'引用数据库'!S:U,3,FALSE)&amp;TEXT(F108,"00"))</f>
      </c>
      <c r="E108" s="53"/>
      <c r="F108" s="57"/>
      <c r="G108" s="84"/>
      <c r="H108" s="53"/>
      <c r="I108" s="53"/>
      <c r="J108" s="84"/>
      <c r="K108" s="84"/>
      <c r="L108" s="42"/>
      <c r="M108" s="65"/>
      <c r="N108" s="54"/>
      <c r="O108" s="54"/>
      <c r="P108" s="54"/>
      <c r="Q108" s="54"/>
      <c r="R108" s="54"/>
      <c r="S108" s="54"/>
      <c r="T108" s="54"/>
      <c r="U108" s="51">
        <f>2*T108/(15*(1+(5-BD108)*0.1))</f>
      </c>
      <c r="V108" s="1"/>
      <c r="W108" s="54"/>
      <c r="X108" s="54"/>
      <c r="Y108" s="76"/>
      <c r="Z108" s="76"/>
      <c r="AA108" s="66"/>
      <c r="AB108" s="66"/>
      <c r="AC108" s="66"/>
      <c r="AD108" s="86"/>
      <c r="AE108" s="86"/>
      <c r="AF108" s="1"/>
      <c r="AG108" s="54"/>
      <c r="AH108" s="54"/>
      <c r="AI108" s="1"/>
      <c r="AJ108" s="80"/>
      <c r="AK108" s="80"/>
      <c r="AL108" s="80"/>
      <c r="AM108" s="55">
        <f>IFS(AJ108 &gt; 1.25, "S", AJ108 &gt; 1, "A", AJ108 &gt; 0.75, "B", AJ108 &gt; 0.5, "C", AJ108 &gt; 0.25, "D", AJ108 &gt; 0, "E", TRUE, "-")</f>
      </c>
      <c r="AN108" s="55">
        <f>IFS(AK108 &gt; 1.25, "S", AK108 &gt; 1, "A", AK108 &gt; 0.75, "B", AK108 &gt; 0.5, "C", AK108 &gt; 0.25, "D", AK108 &gt; 0, "E", TRUE, "-")</f>
      </c>
      <c r="AO108" s="55">
        <f>IFS(AL108 &gt; 1.25, "S", AL108 &gt; 1, "A", AL108 &gt; 0.75, "B", AL108 &gt; 0.5, "C", AL108 &gt; 0.25, "D", AL108 &gt; 0, "E", TRUE, "-")</f>
      </c>
      <c r="AP108" s="58"/>
      <c r="AQ108" s="68"/>
      <c r="AR108" s="68"/>
      <c r="AS108" s="55"/>
      <c r="AT108" s="55"/>
      <c r="AU108" s="55"/>
      <c r="AV108" s="61">
        <f>IF(SUM(AJ108:AL108)=0, 0, (1 + F108 * 0.1) * (0.75 + 0.25 * MAX(0, MIN(1, IF(MAX(AJ108:AL108)=0, 0, (3*MAX(AJ108:AL108)-SUM(AJ108:AL108)) / (2*MAX(AJ108:AL108)))))))</f>
      </c>
      <c r="AW108" s="83">
        <f>MAX(AJ108:AL108)</f>
      </c>
      <c r="AX108" s="81">
        <f>IF(AW108=0, "", AW108 / ((1 + 0.1*N(F108))))</f>
      </c>
      <c r="AY108" s="61">
        <f>IF(SUM(AJ108:AL108)=0, 0,     (1 + F108 * 0.1) * (1 + ((SUM(AJ108:AL108) - MAX(AJ108:AL108)) / (2 * MAX(AJ108:AL108))) * (1/0.75 - 1)))</f>
      </c>
      <c r="AZ108" s="83"/>
      <c r="BA108" s="81">
        <f>IF(AZ108=0, "", AZ108 / ((1 + 0.1*N(F108))/0.75))</f>
      </c>
      <c r="BB108" s="51">
        <v>0.1</v>
      </c>
      <c r="BC108" s="1"/>
      <c r="BD108" s="54"/>
      <c r="BE108" s="54"/>
      <c r="BF108" s="74"/>
      <c r="BG108" s="64"/>
      <c r="BH108" s="69"/>
      <c r="BI108" s="45"/>
      <c r="BJ108" s="63"/>
      <c r="BK108" s="49"/>
      <c r="BL108" s="56"/>
      <c r="BM108" s="50"/>
      <c r="BN108" s="57"/>
      <c r="BO108" s="54"/>
      <c r="BP108" s="64"/>
      <c r="BQ108" s="51"/>
      <c r="BR108" s="38">
        <f>IFERROR(BQ108*100/CP108,"N/A")</f>
      </c>
      <c r="BS108" s="61"/>
      <c r="BT108" s="54"/>
      <c r="BU108" s="42"/>
      <c r="BV108" s="78"/>
      <c r="BW108" s="73"/>
      <c r="BX108" s="64"/>
      <c r="BY108" s="52"/>
      <c r="BZ108" s="1"/>
      <c r="CA108" s="62"/>
      <c r="CB108" s="51"/>
      <c r="CC108" s="51"/>
      <c r="CD108" s="58"/>
      <c r="CE108" s="58"/>
      <c r="CF108" s="58"/>
      <c r="CG108" s="58"/>
      <c r="CH108" s="58"/>
      <c r="CI108" s="58"/>
      <c r="CJ108" s="79"/>
      <c r="CK108" s="69"/>
      <c r="CL108" s="79"/>
      <c r="CM108" s="51"/>
      <c r="CN108" s="55"/>
      <c r="CO108" s="42"/>
      <c r="CP108" s="70">
        <f>CN108*BS108*BT108</f>
      </c>
      <c r="CQ108" s="52"/>
      <c r="CR108" s="64">
        <f>100/CP108</f>
      </c>
      <c r="CS108" s="82">
        <f>100/CQ108</f>
      </c>
      <c r="CT108" s="52"/>
      <c r="CU108" s="52"/>
      <c r="CV108" s="82">
        <f>BL108/T108</f>
      </c>
      <c r="CW108" s="82">
        <f>100/CV108</f>
      </c>
      <c r="CX108" s="77"/>
      <c r="CY108" s="85"/>
      <c r="CZ108" s="77"/>
      <c r="DA108" s="77"/>
      <c r="DB108" s="77"/>
      <c r="DC108" s="1"/>
      <c r="DD108" s="1"/>
    </row>
    <row r="109">
      <c r="A109" s="84"/>
      <c r="B109" s="53"/>
      <c r="C109" s="71"/>
      <c r="D109" s="71">
        <f>IF($A109="","","WPN"&amp;VLOOKUP(E109,'引用数据库'!Z:AC,4,FALSE)&amp;VLOOKUP(H109,'引用数据库'!N:P,3,FALSE)&amp;VLOOKUP(I109,'引用数据库'!S:U,3,FALSE)&amp;TEXT(F109,"00"))</f>
      </c>
      <c r="E109" s="53"/>
      <c r="F109" s="57"/>
      <c r="G109" s="84"/>
      <c r="H109" s="53"/>
      <c r="I109" s="53"/>
      <c r="J109" s="84"/>
      <c r="K109" s="84"/>
      <c r="L109" s="42"/>
      <c r="M109" s="65"/>
      <c r="N109" s="54"/>
      <c r="O109" s="54"/>
      <c r="P109" s="54"/>
      <c r="Q109" s="54"/>
      <c r="R109" s="54"/>
      <c r="S109" s="54"/>
      <c r="T109" s="54"/>
      <c r="U109" s="51">
        <f>2*T109/(15*(1+(5-BD109)*0.1))</f>
      </c>
      <c r="V109" s="1"/>
      <c r="W109" s="54"/>
      <c r="X109" s="54"/>
      <c r="Y109" s="76"/>
      <c r="Z109" s="76"/>
      <c r="AA109" s="66"/>
      <c r="AB109" s="66"/>
      <c r="AC109" s="66"/>
      <c r="AD109" s="86"/>
      <c r="AE109" s="86"/>
      <c r="AF109" s="1"/>
      <c r="AG109" s="54"/>
      <c r="AH109" s="54"/>
      <c r="AI109" s="1"/>
      <c r="AJ109" s="80"/>
      <c r="AK109" s="80"/>
      <c r="AL109" s="80"/>
      <c r="AM109" s="55">
        <f>IFS(AJ109 &gt; 1.25, "S", AJ109 &gt; 1, "A", AJ109 &gt; 0.75, "B", AJ109 &gt; 0.5, "C", AJ109 &gt; 0.25, "D", AJ109 &gt; 0, "E", TRUE, "-")</f>
      </c>
      <c r="AN109" s="55">
        <f>IFS(AK109 &gt; 1.25, "S", AK109 &gt; 1, "A", AK109 &gt; 0.75, "B", AK109 &gt; 0.5, "C", AK109 &gt; 0.25, "D", AK109 &gt; 0, "E", TRUE, "-")</f>
      </c>
      <c r="AO109" s="55">
        <f>IFS(AL109 &gt; 1.25, "S", AL109 &gt; 1, "A", AL109 &gt; 0.75, "B", AL109 &gt; 0.5, "C", AL109 &gt; 0.25, "D", AL109 &gt; 0, "E", TRUE, "-")</f>
      </c>
      <c r="AP109" s="58"/>
      <c r="AQ109" s="68"/>
      <c r="AR109" s="68"/>
      <c r="AS109" s="55"/>
      <c r="AT109" s="55"/>
      <c r="AU109" s="55"/>
      <c r="AV109" s="61">
        <f>IF(SUM(AJ109:AL109)=0, 0, (1 + F109 * 0.1) * (0.75 + 0.25 * MAX(0, MIN(1, IF(MAX(AJ109:AL109)=0, 0, (3*MAX(AJ109:AL109)-SUM(AJ109:AL109)) / (2*MAX(AJ109:AL109)))))))</f>
      </c>
      <c r="AW109" s="83">
        <f>MAX(AJ109:AL109)</f>
      </c>
      <c r="AX109" s="81">
        <f>IF(AW109=0, "", AW109 / ((1 + 0.1*N(F109))))</f>
      </c>
      <c r="AY109" s="61">
        <f>IF(SUM(AJ109:AL109)=0, 0,     (1 + F109 * 0.1) * (1 + ((SUM(AJ109:AL109) - MAX(AJ109:AL109)) / (2 * MAX(AJ109:AL109))) * (1/0.75 - 1)))</f>
      </c>
      <c r="AZ109" s="83"/>
      <c r="BA109" s="81">
        <f>IF(AZ109=0, "", AZ109 / ((1 + 0.1*N(F109))/0.75))</f>
      </c>
      <c r="BB109" s="51">
        <v>0.1</v>
      </c>
      <c r="BC109" s="1"/>
      <c r="BD109" s="54"/>
      <c r="BE109" s="54"/>
      <c r="BF109" s="74"/>
      <c r="BG109" s="64"/>
      <c r="BH109" s="69"/>
      <c r="BI109" s="45"/>
      <c r="BJ109" s="63"/>
      <c r="BK109" s="49"/>
      <c r="BL109" s="56"/>
      <c r="BM109" s="50"/>
      <c r="BN109" s="57"/>
      <c r="BO109" s="54"/>
      <c r="BP109" s="64"/>
      <c r="BQ109" s="51"/>
      <c r="BR109" s="38">
        <f>IFERROR(BQ109*100/CP109,"N/A")</f>
      </c>
      <c r="BS109" s="61"/>
      <c r="BT109" s="54"/>
      <c r="BU109" s="42"/>
      <c r="BV109" s="78"/>
      <c r="BW109" s="73"/>
      <c r="BX109" s="64"/>
      <c r="BY109" s="52"/>
      <c r="BZ109" s="1"/>
      <c r="CA109" s="62"/>
      <c r="CB109" s="51"/>
      <c r="CC109" s="51"/>
      <c r="CD109" s="58"/>
      <c r="CE109" s="58"/>
      <c r="CF109" s="58"/>
      <c r="CG109" s="58"/>
      <c r="CH109" s="58"/>
      <c r="CI109" s="58"/>
      <c r="CJ109" s="79"/>
      <c r="CK109" s="69"/>
      <c r="CL109" s="79"/>
      <c r="CM109" s="51"/>
      <c r="CN109" s="55"/>
      <c r="CO109" s="42"/>
      <c r="CP109" s="70">
        <f>CN109*BS109*BT109</f>
      </c>
      <c r="CQ109" s="52"/>
      <c r="CR109" s="64">
        <f>100/CP109</f>
      </c>
      <c r="CS109" s="82">
        <f>100/CQ109</f>
      </c>
      <c r="CT109" s="52"/>
      <c r="CU109" s="52"/>
      <c r="CV109" s="82">
        <f>BL109/T109</f>
      </c>
      <c r="CW109" s="82">
        <f>100/CV109</f>
      </c>
      <c r="CX109" s="77"/>
      <c r="CY109" s="85"/>
      <c r="CZ109" s="77"/>
      <c r="DA109" s="77"/>
      <c r="DB109" s="77"/>
      <c r="DC109" s="1"/>
      <c r="DD109" s="1"/>
    </row>
    <row r="110">
      <c r="A110" s="84"/>
      <c r="B110" s="53"/>
      <c r="C110" s="71"/>
      <c r="D110" s="71">
        <f>IF($A110="","","WPN"&amp;VLOOKUP(E110,'引用数据库'!Z:AC,4,FALSE)&amp;VLOOKUP(H110,'引用数据库'!N:P,3,FALSE)&amp;VLOOKUP(I110,'引用数据库'!S:U,3,FALSE)&amp;TEXT(F110,"00"))</f>
      </c>
      <c r="E110" s="53"/>
      <c r="F110" s="57"/>
      <c r="G110" s="84"/>
      <c r="H110" s="53"/>
      <c r="I110" s="53"/>
      <c r="J110" s="84"/>
      <c r="K110" s="84"/>
      <c r="L110" s="42"/>
      <c r="M110" s="65"/>
      <c r="N110" s="54"/>
      <c r="O110" s="54"/>
      <c r="P110" s="54"/>
      <c r="Q110" s="54"/>
      <c r="R110" s="54"/>
      <c r="S110" s="54"/>
      <c r="T110" s="54"/>
      <c r="U110" s="51">
        <f>2*T110/(15*(1+(5-BD110)*0.1))</f>
      </c>
      <c r="V110" s="1"/>
      <c r="W110" s="54"/>
      <c r="X110" s="54"/>
      <c r="Y110" s="76"/>
      <c r="Z110" s="76"/>
      <c r="AA110" s="66"/>
      <c r="AB110" s="66"/>
      <c r="AC110" s="66"/>
      <c r="AD110" s="86"/>
      <c r="AE110" s="86"/>
      <c r="AF110" s="1"/>
      <c r="AG110" s="54"/>
      <c r="AH110" s="54"/>
      <c r="AI110" s="1"/>
      <c r="AJ110" s="80"/>
      <c r="AK110" s="80"/>
      <c r="AL110" s="80"/>
      <c r="AM110" s="55">
        <f>IFS(AJ110 &gt; 1.25, "S", AJ110 &gt; 1, "A", AJ110 &gt; 0.75, "B", AJ110 &gt; 0.5, "C", AJ110 &gt; 0.25, "D", AJ110 &gt; 0, "E", TRUE, "-")</f>
      </c>
      <c r="AN110" s="55">
        <f>IFS(AK110 &gt; 1.25, "S", AK110 &gt; 1, "A", AK110 &gt; 0.75, "B", AK110 &gt; 0.5, "C", AK110 &gt; 0.25, "D", AK110 &gt; 0, "E", TRUE, "-")</f>
      </c>
      <c r="AO110" s="55">
        <f>IFS(AL110 &gt; 1.25, "S", AL110 &gt; 1, "A", AL110 &gt; 0.75, "B", AL110 &gt; 0.5, "C", AL110 &gt; 0.25, "D", AL110 &gt; 0, "E", TRUE, "-")</f>
      </c>
      <c r="AP110" s="58"/>
      <c r="AQ110" s="68"/>
      <c r="AR110" s="68"/>
      <c r="AS110" s="55"/>
      <c r="AT110" s="55"/>
      <c r="AU110" s="55"/>
      <c r="AV110" s="61">
        <f>IF(SUM(AJ110:AL110)=0, 0, (1 + F110 * 0.1) * (0.75 + 0.25 * MAX(0, MIN(1, IF(MAX(AJ110:AL110)=0, 0, (3*MAX(AJ110:AL110)-SUM(AJ110:AL110)) / (2*MAX(AJ110:AL110)))))))</f>
      </c>
      <c r="AW110" s="83">
        <f>MAX(AJ110:AL110)</f>
      </c>
      <c r="AX110" s="81">
        <f>IF(AW110=0, "", AW110 / ((1 + 0.1*N(F110))))</f>
      </c>
      <c r="AY110" s="61">
        <f>IF(SUM(AJ110:AL110)=0, 0,     (1 + F110 * 0.1) * (1 + ((SUM(AJ110:AL110) - MAX(AJ110:AL110)) / (2 * MAX(AJ110:AL110))) * (1/0.75 - 1)))</f>
      </c>
      <c r="AZ110" s="83"/>
      <c r="BA110" s="81">
        <f>IF(AZ110=0, "", AZ110 / ((1 + 0.1*N(F110))/0.75))</f>
      </c>
      <c r="BB110" s="51">
        <v>0.1</v>
      </c>
      <c r="BC110" s="1"/>
      <c r="BD110" s="54"/>
      <c r="BE110" s="54"/>
      <c r="BF110" s="74"/>
      <c r="BG110" s="64"/>
      <c r="BH110" s="69"/>
      <c r="BI110" s="45"/>
      <c r="BJ110" s="63"/>
      <c r="BK110" s="49"/>
      <c r="BL110" s="56"/>
      <c r="BM110" s="50"/>
      <c r="BN110" s="57"/>
      <c r="BO110" s="54"/>
      <c r="BP110" s="64"/>
      <c r="BQ110" s="51"/>
      <c r="BR110" s="38">
        <f>IFERROR(BQ110*100/CP110,"N/A")</f>
      </c>
      <c r="BS110" s="61"/>
      <c r="BT110" s="54"/>
      <c r="BU110" s="42"/>
      <c r="BV110" s="78"/>
      <c r="BW110" s="73"/>
      <c r="BX110" s="64"/>
      <c r="BY110" s="52"/>
      <c r="BZ110" s="1"/>
      <c r="CA110" s="62"/>
      <c r="CB110" s="51"/>
      <c r="CC110" s="51"/>
      <c r="CD110" s="58"/>
      <c r="CE110" s="58"/>
      <c r="CF110" s="58"/>
      <c r="CG110" s="58"/>
      <c r="CH110" s="58"/>
      <c r="CI110" s="58"/>
      <c r="CJ110" s="79"/>
      <c r="CK110" s="69"/>
      <c r="CL110" s="79"/>
      <c r="CM110" s="51"/>
      <c r="CN110" s="55"/>
      <c r="CO110" s="42"/>
      <c r="CP110" s="70">
        <f>CN110*BS110*BT110</f>
      </c>
      <c r="CQ110" s="52"/>
      <c r="CR110" s="64">
        <f>100/CP110</f>
      </c>
      <c r="CS110" s="82">
        <f>100/CQ110</f>
      </c>
      <c r="CT110" s="52"/>
      <c r="CU110" s="52"/>
      <c r="CV110" s="82">
        <f>BL110/T110</f>
      </c>
      <c r="CW110" s="82">
        <f>100/CV110</f>
      </c>
      <c r="CX110" s="77"/>
      <c r="CY110" s="85"/>
      <c r="CZ110" s="77"/>
      <c r="DA110" s="77"/>
      <c r="DB110" s="77"/>
      <c r="DC110" s="1"/>
      <c r="DD110" s="1"/>
    </row>
    <row r="111">
      <c r="A111" s="84"/>
      <c r="B111" s="53"/>
      <c r="C111" s="71"/>
      <c r="D111" s="71">
        <f>IF($A111="","","WPN"&amp;VLOOKUP(E111,'引用数据库'!Z:AC,4,FALSE)&amp;VLOOKUP(H111,'引用数据库'!N:P,3,FALSE)&amp;VLOOKUP(I111,'引用数据库'!S:U,3,FALSE)&amp;TEXT(F111,"00"))</f>
      </c>
      <c r="E111" s="53"/>
      <c r="F111" s="57"/>
      <c r="G111" s="84"/>
      <c r="H111" s="53"/>
      <c r="I111" s="53"/>
      <c r="J111" s="84"/>
      <c r="K111" s="84"/>
      <c r="L111" s="42"/>
      <c r="M111" s="65"/>
      <c r="N111" s="54"/>
      <c r="O111" s="54"/>
      <c r="P111" s="54"/>
      <c r="Q111" s="54"/>
      <c r="R111" s="54"/>
      <c r="S111" s="54"/>
      <c r="T111" s="54"/>
      <c r="U111" s="51">
        <f>2*T111/(15*(1+(5-BD111)*0.1))</f>
      </c>
      <c r="V111" s="1"/>
      <c r="W111" s="54"/>
      <c r="X111" s="54"/>
      <c r="Y111" s="76"/>
      <c r="Z111" s="76"/>
      <c r="AA111" s="66"/>
      <c r="AB111" s="66"/>
      <c r="AC111" s="66"/>
      <c r="AD111" s="86"/>
      <c r="AE111" s="86"/>
      <c r="AF111" s="1"/>
      <c r="AG111" s="54"/>
      <c r="AH111" s="54"/>
      <c r="AI111" s="1"/>
      <c r="AJ111" s="80"/>
      <c r="AK111" s="80"/>
      <c r="AL111" s="80"/>
      <c r="AM111" s="55">
        <f>IFS(AJ111 &gt; 1.25, "S", AJ111 &gt; 1, "A", AJ111 &gt; 0.75, "B", AJ111 &gt; 0.5, "C", AJ111 &gt; 0.25, "D", AJ111 &gt; 0, "E", TRUE, "-")</f>
      </c>
      <c r="AN111" s="55">
        <f>IFS(AK111 &gt; 1.25, "S", AK111 &gt; 1, "A", AK111 &gt; 0.75, "B", AK111 &gt; 0.5, "C", AK111 &gt; 0.25, "D", AK111 &gt; 0, "E", TRUE, "-")</f>
      </c>
      <c r="AO111" s="55">
        <f>IFS(AL111 &gt; 1.25, "S", AL111 &gt; 1, "A", AL111 &gt; 0.75, "B", AL111 &gt; 0.5, "C", AL111 &gt; 0.25, "D", AL111 &gt; 0, "E", TRUE, "-")</f>
      </c>
      <c r="AP111" s="58"/>
      <c r="AQ111" s="68"/>
      <c r="AR111" s="68"/>
      <c r="AS111" s="55"/>
      <c r="AT111" s="55"/>
      <c r="AU111" s="55"/>
      <c r="AV111" s="61">
        <f>IF(SUM(AJ111:AL111)=0, 0, (1 + F111 * 0.1) * (0.75 + 0.25 * MAX(0, MIN(1, IF(MAX(AJ111:AL111)=0, 0, (3*MAX(AJ111:AL111)-SUM(AJ111:AL111)) / (2*MAX(AJ111:AL111)))))))</f>
      </c>
      <c r="AW111" s="83">
        <f>MAX(AJ111:AL111)</f>
      </c>
      <c r="AX111" s="81">
        <f>IF(AW111=0, "", AW111 / ((1 + 0.1*N(F111))))</f>
      </c>
      <c r="AY111" s="61">
        <f>IF(SUM(AJ111:AL111)=0, 0,     (1 + F111 * 0.1) * (1 + ((SUM(AJ111:AL111) - MAX(AJ111:AL111)) / (2 * MAX(AJ111:AL111))) * (1/0.75 - 1)))</f>
      </c>
      <c r="AZ111" s="83"/>
      <c r="BA111" s="81">
        <f>IF(AZ111=0, "", AZ111 / ((1 + 0.1*N(F111))/0.75))</f>
      </c>
      <c r="BB111" s="51">
        <v>0.1</v>
      </c>
      <c r="BC111" s="1"/>
      <c r="BD111" s="54"/>
      <c r="BE111" s="54"/>
      <c r="BF111" s="74"/>
      <c r="BG111" s="64"/>
      <c r="BH111" s="69"/>
      <c r="BI111" s="45"/>
      <c r="BJ111" s="63"/>
      <c r="BK111" s="49"/>
      <c r="BL111" s="56"/>
      <c r="BM111" s="50"/>
      <c r="BN111" s="57"/>
      <c r="BO111" s="54"/>
      <c r="BP111" s="64"/>
      <c r="BQ111" s="51"/>
      <c r="BR111" s="38">
        <f>IFERROR(BQ111*100/CP111,"N/A")</f>
      </c>
      <c r="BS111" s="61"/>
      <c r="BT111" s="54"/>
      <c r="BU111" s="42"/>
      <c r="BV111" s="78"/>
      <c r="BW111" s="73"/>
      <c r="BX111" s="64"/>
      <c r="BY111" s="52"/>
      <c r="BZ111" s="1"/>
      <c r="CA111" s="62"/>
      <c r="CB111" s="51"/>
      <c r="CC111" s="51"/>
      <c r="CD111" s="58"/>
      <c r="CE111" s="58"/>
      <c r="CF111" s="58"/>
      <c r="CG111" s="58"/>
      <c r="CH111" s="58"/>
      <c r="CI111" s="58"/>
      <c r="CJ111" s="79"/>
      <c r="CK111" s="69"/>
      <c r="CL111" s="79"/>
      <c r="CM111" s="51"/>
      <c r="CN111" s="55"/>
      <c r="CO111" s="42"/>
      <c r="CP111" s="70">
        <f>CN111*BS111*BT111</f>
      </c>
      <c r="CQ111" s="52"/>
      <c r="CR111" s="64">
        <f>100/CP111</f>
      </c>
      <c r="CS111" s="82">
        <f>100/CQ111</f>
      </c>
      <c r="CT111" s="52"/>
      <c r="CU111" s="52"/>
      <c r="CV111" s="82">
        <f>BL111/T111</f>
      </c>
      <c r="CW111" s="82">
        <f>100/CV111</f>
      </c>
      <c r="CX111" s="77"/>
      <c r="CY111" s="85"/>
      <c r="CZ111" s="77"/>
      <c r="DA111" s="77"/>
      <c r="DB111" s="77"/>
      <c r="DC111" s="1"/>
      <c r="DD111" s="1"/>
    </row>
    <row r="112">
      <c r="A112" s="84"/>
      <c r="B112" s="53"/>
      <c r="C112" s="71"/>
      <c r="D112" s="71">
        <f>IF($A112="","","WPN"&amp;VLOOKUP(E112,'引用数据库'!Z:AC,4,FALSE)&amp;VLOOKUP(H112,'引用数据库'!N:P,3,FALSE)&amp;VLOOKUP(I112,'引用数据库'!S:U,3,FALSE)&amp;TEXT(F112,"00"))</f>
      </c>
      <c r="E112" s="53"/>
      <c r="F112" s="57"/>
      <c r="G112" s="84"/>
      <c r="H112" s="53"/>
      <c r="I112" s="53"/>
      <c r="J112" s="84"/>
      <c r="K112" s="84"/>
      <c r="L112" s="42"/>
      <c r="M112" s="65"/>
      <c r="N112" s="54"/>
      <c r="O112" s="54"/>
      <c r="P112" s="54"/>
      <c r="Q112" s="54"/>
      <c r="R112" s="54"/>
      <c r="S112" s="54"/>
      <c r="T112" s="54"/>
      <c r="U112" s="51">
        <f>2*T112/(15*(1+(5-BD112)*0.1))</f>
      </c>
      <c r="V112" s="1"/>
      <c r="W112" s="54"/>
      <c r="X112" s="54"/>
      <c r="Y112" s="76"/>
      <c r="Z112" s="76"/>
      <c r="AA112" s="66"/>
      <c r="AB112" s="66"/>
      <c r="AC112" s="66"/>
      <c r="AD112" s="86"/>
      <c r="AE112" s="86"/>
      <c r="AF112" s="1"/>
      <c r="AG112" s="54"/>
      <c r="AH112" s="54"/>
      <c r="AI112" s="1"/>
      <c r="AJ112" s="80"/>
      <c r="AK112" s="80"/>
      <c r="AL112" s="80"/>
      <c r="AM112" s="55">
        <f>IFS(AJ112 &gt; 1.25, "S", AJ112 &gt; 1, "A", AJ112 &gt; 0.75, "B", AJ112 &gt; 0.5, "C", AJ112 &gt; 0.25, "D", AJ112 &gt; 0, "E", TRUE, "-")</f>
      </c>
      <c r="AN112" s="55">
        <f>IFS(AK112 &gt; 1.25, "S", AK112 &gt; 1, "A", AK112 &gt; 0.75, "B", AK112 &gt; 0.5, "C", AK112 &gt; 0.25, "D", AK112 &gt; 0, "E", TRUE, "-")</f>
      </c>
      <c r="AO112" s="55">
        <f>IFS(AL112 &gt; 1.25, "S", AL112 &gt; 1, "A", AL112 &gt; 0.75, "B", AL112 &gt; 0.5, "C", AL112 &gt; 0.25, "D", AL112 &gt; 0, "E", TRUE, "-")</f>
      </c>
      <c r="AP112" s="58"/>
      <c r="AQ112" s="68"/>
      <c r="AR112" s="68"/>
      <c r="AS112" s="55"/>
      <c r="AT112" s="55"/>
      <c r="AU112" s="55"/>
      <c r="AV112" s="61">
        <f>IF(SUM(AJ112:AL112)=0, 0, (1 + F112 * 0.1) * (0.75 + 0.25 * MAX(0, MIN(1, IF(MAX(AJ112:AL112)=0, 0, (3*MAX(AJ112:AL112)-SUM(AJ112:AL112)) / (2*MAX(AJ112:AL112)))))))</f>
      </c>
      <c r="AW112" s="83">
        <f>MAX(AJ112:AL112)</f>
      </c>
      <c r="AX112" s="81">
        <f>IF(AW112=0, "", AW112 / ((1 + 0.1*N(F112))))</f>
      </c>
      <c r="AY112" s="61">
        <f>IF(SUM(AJ112:AL112)=0, 0,     (1 + F112 * 0.1) * (1 + ((SUM(AJ112:AL112) - MAX(AJ112:AL112)) / (2 * MAX(AJ112:AL112))) * (1/0.75 - 1)))</f>
      </c>
      <c r="AZ112" s="83"/>
      <c r="BA112" s="81">
        <f>IF(AZ112=0, "", AZ112 / ((1 + 0.1*N(F112))/0.75))</f>
      </c>
      <c r="BB112" s="51">
        <v>0.1</v>
      </c>
      <c r="BC112" s="1"/>
      <c r="BD112" s="54"/>
      <c r="BE112" s="54"/>
      <c r="BF112" s="74"/>
      <c r="BG112" s="64"/>
      <c r="BH112" s="69"/>
      <c r="BI112" s="45"/>
      <c r="BJ112" s="63"/>
      <c r="BK112" s="49"/>
      <c r="BL112" s="56"/>
      <c r="BM112" s="50"/>
      <c r="BN112" s="57"/>
      <c r="BO112" s="54"/>
      <c r="BP112" s="64"/>
      <c r="BQ112" s="51"/>
      <c r="BR112" s="38">
        <f>IFERROR(BQ112*100/CP112,"N/A")</f>
      </c>
      <c r="BS112" s="61"/>
      <c r="BT112" s="54"/>
      <c r="BU112" s="42"/>
      <c r="BV112" s="78"/>
      <c r="BW112" s="73"/>
      <c r="BX112" s="64"/>
      <c r="BY112" s="52"/>
      <c r="BZ112" s="1"/>
      <c r="CA112" s="62"/>
      <c r="CB112" s="51"/>
      <c r="CC112" s="51"/>
      <c r="CD112" s="58"/>
      <c r="CE112" s="58"/>
      <c r="CF112" s="58"/>
      <c r="CG112" s="58"/>
      <c r="CH112" s="58"/>
      <c r="CI112" s="58"/>
      <c r="CJ112" s="79"/>
      <c r="CK112" s="69"/>
      <c r="CL112" s="79"/>
      <c r="CM112" s="51"/>
      <c r="CN112" s="55"/>
      <c r="CO112" s="42"/>
      <c r="CP112" s="70">
        <f>CN112*BS112*BT112</f>
      </c>
      <c r="CQ112" s="52"/>
      <c r="CR112" s="64">
        <f>100/CP112</f>
      </c>
      <c r="CS112" s="82">
        <f>100/CQ112</f>
      </c>
      <c r="CT112" s="52"/>
      <c r="CU112" s="52"/>
      <c r="CV112" s="82">
        <f>BL112/T112</f>
      </c>
      <c r="CW112" s="82">
        <f>100/CV112</f>
      </c>
      <c r="CX112" s="77"/>
      <c r="CY112" s="85"/>
      <c r="CZ112" s="77"/>
      <c r="DA112" s="77"/>
      <c r="DB112" s="77"/>
      <c r="DC112" s="1"/>
      <c r="DD112" s="1"/>
    </row>
    <row r="113">
      <c r="A113" s="84"/>
      <c r="B113" s="53"/>
      <c r="C113" s="71"/>
      <c r="D113" s="71">
        <f>IF($A113="","","WPN"&amp;VLOOKUP(E113,'引用数据库'!Z:AC,4,FALSE)&amp;VLOOKUP(H113,'引用数据库'!N:P,3,FALSE)&amp;VLOOKUP(I113,'引用数据库'!S:U,3,FALSE)&amp;TEXT(F113,"00"))</f>
      </c>
      <c r="E113" s="53"/>
      <c r="F113" s="57"/>
      <c r="G113" s="84"/>
      <c r="H113" s="53"/>
      <c r="I113" s="53"/>
      <c r="J113" s="84"/>
      <c r="K113" s="84"/>
      <c r="L113" s="42"/>
      <c r="M113" s="65"/>
      <c r="N113" s="54"/>
      <c r="O113" s="54"/>
      <c r="P113" s="54"/>
      <c r="Q113" s="54"/>
      <c r="R113" s="54"/>
      <c r="S113" s="54"/>
      <c r="T113" s="54"/>
      <c r="U113" s="51">
        <f>2*T113/(15*(1+(5-BD113)*0.1))</f>
      </c>
      <c r="V113" s="1"/>
      <c r="W113" s="54"/>
      <c r="X113" s="54"/>
      <c r="Y113" s="76"/>
      <c r="Z113" s="76"/>
      <c r="AA113" s="66"/>
      <c r="AB113" s="66"/>
      <c r="AC113" s="66"/>
      <c r="AD113" s="86"/>
      <c r="AE113" s="86"/>
      <c r="AF113" s="1"/>
      <c r="AG113" s="54"/>
      <c r="AH113" s="54"/>
      <c r="AI113" s="1"/>
      <c r="AJ113" s="80"/>
      <c r="AK113" s="80"/>
      <c r="AL113" s="80"/>
      <c r="AM113" s="55">
        <f>IFS(AJ113 &gt; 1.25, "S", AJ113 &gt; 1, "A", AJ113 &gt; 0.75, "B", AJ113 &gt; 0.5, "C", AJ113 &gt; 0.25, "D", AJ113 &gt; 0, "E", TRUE, "-")</f>
      </c>
      <c r="AN113" s="55">
        <f>IFS(AK113 &gt; 1.25, "S", AK113 &gt; 1, "A", AK113 &gt; 0.75, "B", AK113 &gt; 0.5, "C", AK113 &gt; 0.25, "D", AK113 &gt; 0, "E", TRUE, "-")</f>
      </c>
      <c r="AO113" s="55">
        <f>IFS(AL113 &gt; 1.25, "S", AL113 &gt; 1, "A", AL113 &gt; 0.75, "B", AL113 &gt; 0.5, "C", AL113 &gt; 0.25, "D", AL113 &gt; 0, "E", TRUE, "-")</f>
      </c>
      <c r="AP113" s="58"/>
      <c r="AQ113" s="68"/>
      <c r="AR113" s="68"/>
      <c r="AS113" s="55"/>
      <c r="AT113" s="55"/>
      <c r="AU113" s="55"/>
      <c r="AV113" s="61">
        <f>IF(SUM(AJ113:AL113)=0, 0, (1 + F113 * 0.1) * (0.75 + 0.25 * MAX(0, MIN(1, IF(MAX(AJ113:AL113)=0, 0, (3*MAX(AJ113:AL113)-SUM(AJ113:AL113)) / (2*MAX(AJ113:AL113)))))))</f>
      </c>
      <c r="AW113" s="83">
        <f>MAX(AJ113:AL113)</f>
      </c>
      <c r="AX113" s="81">
        <f>IF(AW113=0, "", AW113 / ((1 + 0.1*N(F113))))</f>
      </c>
      <c r="AY113" s="61">
        <f>IF(SUM(AJ113:AL113)=0, 0,     (1 + F113 * 0.1) * (1 + ((SUM(AJ113:AL113) - MAX(AJ113:AL113)) / (2 * MAX(AJ113:AL113))) * (1/0.75 - 1)))</f>
      </c>
      <c r="AZ113" s="83"/>
      <c r="BA113" s="81">
        <f>IF(AZ113=0, "", AZ113 / ((1 + 0.1*N(F113))/0.75))</f>
      </c>
      <c r="BB113" s="51">
        <v>0.1</v>
      </c>
      <c r="BC113" s="1"/>
      <c r="BD113" s="54"/>
      <c r="BE113" s="54"/>
      <c r="BF113" s="74"/>
      <c r="BG113" s="64"/>
      <c r="BH113" s="69"/>
      <c r="BI113" s="45"/>
      <c r="BJ113" s="63"/>
      <c r="BK113" s="49"/>
      <c r="BL113" s="56"/>
      <c r="BM113" s="50"/>
      <c r="BN113" s="57"/>
      <c r="BO113" s="54"/>
      <c r="BP113" s="64"/>
      <c r="BQ113" s="51"/>
      <c r="BR113" s="38">
        <f>IFERROR(BQ113*100/CP113,"N/A")</f>
      </c>
      <c r="BS113" s="61"/>
      <c r="BT113" s="54"/>
      <c r="BU113" s="42"/>
      <c r="BV113" s="78"/>
      <c r="BW113" s="73"/>
      <c r="BX113" s="64"/>
      <c r="BY113" s="52"/>
      <c r="BZ113" s="1"/>
      <c r="CA113" s="62"/>
      <c r="CB113" s="51"/>
      <c r="CC113" s="51"/>
      <c r="CD113" s="58"/>
      <c r="CE113" s="58"/>
      <c r="CF113" s="58"/>
      <c r="CG113" s="58"/>
      <c r="CH113" s="58"/>
      <c r="CI113" s="58"/>
      <c r="CJ113" s="79"/>
      <c r="CK113" s="69"/>
      <c r="CL113" s="79"/>
      <c r="CM113" s="51"/>
      <c r="CN113" s="55"/>
      <c r="CO113" s="42"/>
      <c r="CP113" s="70">
        <f>CN113*BS113*BT113</f>
      </c>
      <c r="CQ113" s="52"/>
      <c r="CR113" s="64">
        <f>100/CP113</f>
      </c>
      <c r="CS113" s="82">
        <f>100/CQ113</f>
      </c>
      <c r="CT113" s="52"/>
      <c r="CU113" s="52"/>
      <c r="CV113" s="82">
        <f>BL113/T113</f>
      </c>
      <c r="CW113" s="82">
        <f>100/CV113</f>
      </c>
      <c r="CX113" s="77"/>
      <c r="CY113" s="85"/>
      <c r="CZ113" s="77"/>
      <c r="DA113" s="77"/>
      <c r="DB113" s="77"/>
      <c r="DC113" s="1"/>
      <c r="DD113" s="1"/>
    </row>
    <row r="114">
      <c r="A114" s="84"/>
      <c r="B114" s="53"/>
      <c r="C114" s="71"/>
      <c r="D114" s="71">
        <f>IF($A114="","","WPN"&amp;VLOOKUP(E114,'引用数据库'!Z:AC,4,FALSE)&amp;VLOOKUP(H114,'引用数据库'!N:P,3,FALSE)&amp;VLOOKUP(I114,'引用数据库'!S:U,3,FALSE)&amp;TEXT(F114,"00"))</f>
      </c>
      <c r="E114" s="53"/>
      <c r="F114" s="57"/>
      <c r="G114" s="84"/>
      <c r="H114" s="53"/>
      <c r="I114" s="53"/>
      <c r="J114" s="84"/>
      <c r="K114" s="84"/>
      <c r="L114" s="42"/>
      <c r="M114" s="65"/>
      <c r="N114" s="54"/>
      <c r="O114" s="54"/>
      <c r="P114" s="54"/>
      <c r="Q114" s="54"/>
      <c r="R114" s="54"/>
      <c r="S114" s="54"/>
      <c r="T114" s="54"/>
      <c r="U114" s="51">
        <f>2*T114/(15*(1+(5-BD114)*0.1))</f>
      </c>
      <c r="V114" s="1"/>
      <c r="W114" s="54"/>
      <c r="X114" s="54"/>
      <c r="Y114" s="76"/>
      <c r="Z114" s="76"/>
      <c r="AA114" s="66"/>
      <c r="AB114" s="66"/>
      <c r="AC114" s="66"/>
      <c r="AD114" s="86"/>
      <c r="AE114" s="86"/>
      <c r="AF114" s="1"/>
      <c r="AG114" s="54"/>
      <c r="AH114" s="54"/>
      <c r="AI114" s="1"/>
      <c r="AJ114" s="80"/>
      <c r="AK114" s="80"/>
      <c r="AL114" s="80"/>
      <c r="AM114" s="55">
        <f>IFS(AJ114 &gt; 1.25, "S", AJ114 &gt; 1, "A", AJ114 &gt; 0.75, "B", AJ114 &gt; 0.5, "C", AJ114 &gt; 0.25, "D", AJ114 &gt; 0, "E", TRUE, "-")</f>
      </c>
      <c r="AN114" s="55">
        <f>IFS(AK114 &gt; 1.25, "S", AK114 &gt; 1, "A", AK114 &gt; 0.75, "B", AK114 &gt; 0.5, "C", AK114 &gt; 0.25, "D", AK114 &gt; 0, "E", TRUE, "-")</f>
      </c>
      <c r="AO114" s="55">
        <f>IFS(AL114 &gt; 1.25, "S", AL114 &gt; 1, "A", AL114 &gt; 0.75, "B", AL114 &gt; 0.5, "C", AL114 &gt; 0.25, "D", AL114 &gt; 0, "E", TRUE, "-")</f>
      </c>
      <c r="AP114" s="58"/>
      <c r="AQ114" s="68"/>
      <c r="AR114" s="68"/>
      <c r="AS114" s="55"/>
      <c r="AT114" s="55"/>
      <c r="AU114" s="55"/>
      <c r="AV114" s="61">
        <f>IF(SUM(AJ114:AL114)=0, 0, (1 + F114 * 0.1) * (0.75 + 0.25 * MAX(0, MIN(1, IF(MAX(AJ114:AL114)=0, 0, (3*MAX(AJ114:AL114)-SUM(AJ114:AL114)) / (2*MAX(AJ114:AL114)))))))</f>
      </c>
      <c r="AW114" s="83">
        <f>MAX(AJ114:AL114)</f>
      </c>
      <c r="AX114" s="81">
        <f>IF(AW114=0, "", AW114 / ((1 + 0.1*N(F114))))</f>
      </c>
      <c r="AY114" s="61">
        <f>IF(SUM(AJ114:AL114)=0, 0,     (1 + F114 * 0.1) * (1 + ((SUM(AJ114:AL114) - MAX(AJ114:AL114)) / (2 * MAX(AJ114:AL114))) * (1/0.75 - 1)))</f>
      </c>
      <c r="AZ114" s="83"/>
      <c r="BA114" s="81">
        <f>IF(AZ114=0, "", AZ114 / ((1 + 0.1*N(F114))/0.75))</f>
      </c>
      <c r="BB114" s="51">
        <v>0.1</v>
      </c>
      <c r="BC114" s="1"/>
      <c r="BD114" s="54"/>
      <c r="BE114" s="54"/>
      <c r="BF114" s="74"/>
      <c r="BG114" s="64"/>
      <c r="BH114" s="69"/>
      <c r="BI114" s="45"/>
      <c r="BJ114" s="63"/>
      <c r="BK114" s="49"/>
      <c r="BL114" s="56"/>
      <c r="BM114" s="50"/>
      <c r="BN114" s="57"/>
      <c r="BO114" s="54"/>
      <c r="BP114" s="64"/>
      <c r="BQ114" s="51"/>
      <c r="BR114" s="38">
        <f>IFERROR(BQ114*100/CP114,"N/A")</f>
      </c>
      <c r="BS114" s="61"/>
      <c r="BT114" s="54"/>
      <c r="BU114" s="42"/>
      <c r="BV114" s="78"/>
      <c r="BW114" s="73"/>
      <c r="BX114" s="64"/>
      <c r="BY114" s="52"/>
      <c r="BZ114" s="1"/>
      <c r="CA114" s="62"/>
      <c r="CB114" s="51"/>
      <c r="CC114" s="51"/>
      <c r="CD114" s="58"/>
      <c r="CE114" s="58"/>
      <c r="CF114" s="58"/>
      <c r="CG114" s="58"/>
      <c r="CH114" s="58"/>
      <c r="CI114" s="58"/>
      <c r="CJ114" s="79"/>
      <c r="CK114" s="69"/>
      <c r="CL114" s="79"/>
      <c r="CM114" s="51"/>
      <c r="CN114" s="55"/>
      <c r="CO114" s="42"/>
      <c r="CP114" s="70">
        <f>CN114*BS114*BT114</f>
      </c>
      <c r="CQ114" s="52"/>
      <c r="CR114" s="64">
        <f>100/CP114</f>
      </c>
      <c r="CS114" s="82">
        <f>100/CQ114</f>
      </c>
      <c r="CT114" s="52"/>
      <c r="CU114" s="52"/>
      <c r="CV114" s="82">
        <f>BL114/T114</f>
      </c>
      <c r="CW114" s="82">
        <f>100/CV114</f>
      </c>
      <c r="CX114" s="77"/>
      <c r="CY114" s="85"/>
      <c r="CZ114" s="77"/>
      <c r="DA114" s="77"/>
      <c r="DB114" s="77"/>
      <c r="DC114" s="1"/>
      <c r="DD114" s="1"/>
    </row>
    <row r="115">
      <c r="A115" s="84"/>
      <c r="B115" s="53"/>
      <c r="C115" s="71"/>
      <c r="D115" s="71">
        <f>IF($A115="","","WPN"&amp;VLOOKUP(E115,'引用数据库'!Z:AC,4,FALSE)&amp;VLOOKUP(H115,'引用数据库'!N:P,3,FALSE)&amp;VLOOKUP(I115,'引用数据库'!S:U,3,FALSE)&amp;TEXT(F115,"00"))</f>
      </c>
      <c r="E115" s="53"/>
      <c r="F115" s="57"/>
      <c r="G115" s="84"/>
      <c r="H115" s="53"/>
      <c r="I115" s="53"/>
      <c r="J115" s="84"/>
      <c r="K115" s="84"/>
      <c r="L115" s="42"/>
      <c r="M115" s="65"/>
      <c r="N115" s="54"/>
      <c r="O115" s="54"/>
      <c r="P115" s="54"/>
      <c r="Q115" s="54"/>
      <c r="R115" s="54"/>
      <c r="S115" s="54"/>
      <c r="T115" s="54"/>
      <c r="U115" s="51">
        <f>2*T115/(15*(1+(5-BD115)*0.1))</f>
      </c>
      <c r="V115" s="1"/>
      <c r="W115" s="54"/>
      <c r="X115" s="54"/>
      <c r="Y115" s="76"/>
      <c r="Z115" s="76"/>
      <c r="AA115" s="66"/>
      <c r="AB115" s="66"/>
      <c r="AC115" s="66"/>
      <c r="AD115" s="86"/>
      <c r="AE115" s="86"/>
      <c r="AF115" s="1"/>
      <c r="AG115" s="54"/>
      <c r="AH115" s="54"/>
      <c r="AI115" s="1"/>
      <c r="AJ115" s="80"/>
      <c r="AK115" s="80"/>
      <c r="AL115" s="80"/>
      <c r="AM115" s="55">
        <f>IFS(AJ115 &gt; 1.25, "S", AJ115 &gt; 1, "A", AJ115 &gt; 0.75, "B", AJ115 &gt; 0.5, "C", AJ115 &gt; 0.25, "D", AJ115 &gt; 0, "E", TRUE, "-")</f>
      </c>
      <c r="AN115" s="55">
        <f>IFS(AK115 &gt; 1.25, "S", AK115 &gt; 1, "A", AK115 &gt; 0.75, "B", AK115 &gt; 0.5, "C", AK115 &gt; 0.25, "D", AK115 &gt; 0, "E", TRUE, "-")</f>
      </c>
      <c r="AO115" s="55">
        <f>IFS(AL115 &gt; 1.25, "S", AL115 &gt; 1, "A", AL115 &gt; 0.75, "B", AL115 &gt; 0.5, "C", AL115 &gt; 0.25, "D", AL115 &gt; 0, "E", TRUE, "-")</f>
      </c>
      <c r="AP115" s="58"/>
      <c r="AQ115" s="68"/>
      <c r="AR115" s="68"/>
      <c r="AS115" s="55"/>
      <c r="AT115" s="55"/>
      <c r="AU115" s="55"/>
      <c r="AV115" s="61">
        <f>IF(SUM(AJ115:AL115)=0, 0, (1 + F115 * 0.1) * (0.75 + 0.25 * MAX(0, MIN(1, IF(MAX(AJ115:AL115)=0, 0, (3*MAX(AJ115:AL115)-SUM(AJ115:AL115)) / (2*MAX(AJ115:AL115)))))))</f>
      </c>
      <c r="AW115" s="83">
        <f>MAX(AJ115:AL115)</f>
      </c>
      <c r="AX115" s="81">
        <f>IF(AW115=0, "", AW115 / ((1 + 0.1*N(F115))))</f>
      </c>
      <c r="AY115" s="61">
        <f>IF(SUM(AJ115:AL115)=0, 0,     (1 + F115 * 0.1) * (1 + ((SUM(AJ115:AL115) - MAX(AJ115:AL115)) / (2 * MAX(AJ115:AL115))) * (1/0.75 - 1)))</f>
      </c>
      <c r="AZ115" s="83"/>
      <c r="BA115" s="81">
        <f>IF(AZ115=0, "", AZ115 / ((1 + 0.1*N(F115))/0.75))</f>
      </c>
      <c r="BB115" s="51">
        <v>0.1</v>
      </c>
      <c r="BC115" s="1"/>
      <c r="BD115" s="54"/>
      <c r="BE115" s="54"/>
      <c r="BF115" s="74"/>
      <c r="BG115" s="64"/>
      <c r="BH115" s="69"/>
      <c r="BI115" s="45"/>
      <c r="BJ115" s="63"/>
      <c r="BK115" s="49"/>
      <c r="BL115" s="56"/>
      <c r="BM115" s="50"/>
      <c r="BN115" s="57"/>
      <c r="BO115" s="54"/>
      <c r="BP115" s="64"/>
      <c r="BQ115" s="51"/>
      <c r="BR115" s="38">
        <f>IFERROR(BQ115*100/CP115,"N/A")</f>
      </c>
      <c r="BS115" s="61"/>
      <c r="BT115" s="54"/>
      <c r="BU115" s="42"/>
      <c r="BV115" s="78"/>
      <c r="BW115" s="73"/>
      <c r="BX115" s="64"/>
      <c r="BY115" s="52"/>
      <c r="BZ115" s="1"/>
      <c r="CA115" s="62"/>
      <c r="CB115" s="51"/>
      <c r="CC115" s="51"/>
      <c r="CD115" s="58"/>
      <c r="CE115" s="58"/>
      <c r="CF115" s="58"/>
      <c r="CG115" s="58"/>
      <c r="CH115" s="58"/>
      <c r="CI115" s="58"/>
      <c r="CJ115" s="79"/>
      <c r="CK115" s="69"/>
      <c r="CL115" s="79"/>
      <c r="CM115" s="51"/>
      <c r="CN115" s="55"/>
      <c r="CO115" s="42"/>
      <c r="CP115" s="70">
        <f>CN115*BS115*BT115</f>
      </c>
      <c r="CQ115" s="52"/>
      <c r="CR115" s="64">
        <f>100/CP115</f>
      </c>
      <c r="CS115" s="82">
        <f>100/CQ115</f>
      </c>
      <c r="CT115" s="52"/>
      <c r="CU115" s="52"/>
      <c r="CV115" s="82">
        <f>BL115/T115</f>
      </c>
      <c r="CW115" s="82">
        <f>100/CV115</f>
      </c>
      <c r="CX115" s="77"/>
      <c r="CY115" s="85"/>
      <c r="CZ115" s="77"/>
      <c r="DA115" s="77"/>
      <c r="DB115" s="77"/>
      <c r="DC115" s="1"/>
      <c r="DD115" s="1"/>
    </row>
    <row r="116">
      <c r="A116" s="84"/>
      <c r="B116" s="53"/>
      <c r="C116" s="71"/>
      <c r="D116" s="71">
        <f>IF($A116="","","WPN"&amp;VLOOKUP(E116,'引用数据库'!Z:AC,4,FALSE)&amp;VLOOKUP(H116,'引用数据库'!N:P,3,FALSE)&amp;VLOOKUP(I116,'引用数据库'!S:U,3,FALSE)&amp;TEXT(F116,"00"))</f>
      </c>
      <c r="E116" s="53"/>
      <c r="F116" s="57"/>
      <c r="G116" s="84"/>
      <c r="H116" s="53"/>
      <c r="I116" s="53"/>
      <c r="J116" s="84"/>
      <c r="K116" s="84"/>
      <c r="L116" s="42"/>
      <c r="M116" s="65"/>
      <c r="N116" s="54"/>
      <c r="O116" s="54"/>
      <c r="P116" s="54"/>
      <c r="Q116" s="54"/>
      <c r="R116" s="54"/>
      <c r="S116" s="54"/>
      <c r="T116" s="54"/>
      <c r="U116" s="51">
        <f>2*T116/(15*(1+(5-BD116)*0.1))</f>
      </c>
      <c r="V116" s="1"/>
      <c r="W116" s="54"/>
      <c r="X116" s="54"/>
      <c r="Y116" s="76"/>
      <c r="Z116" s="76"/>
      <c r="AA116" s="66"/>
      <c r="AB116" s="66"/>
      <c r="AC116" s="66"/>
      <c r="AD116" s="86"/>
      <c r="AE116" s="86"/>
      <c r="AF116" s="1"/>
      <c r="AG116" s="54"/>
      <c r="AH116" s="54"/>
      <c r="AI116" s="1"/>
      <c r="AJ116" s="80"/>
      <c r="AK116" s="80"/>
      <c r="AL116" s="80"/>
      <c r="AM116" s="55">
        <f>IFS(AJ116 &gt; 1.25, "S", AJ116 &gt; 1, "A", AJ116 &gt; 0.75, "B", AJ116 &gt; 0.5, "C", AJ116 &gt; 0.25, "D", AJ116 &gt; 0, "E", TRUE, "-")</f>
      </c>
      <c r="AN116" s="55">
        <f>IFS(AK116 &gt; 1.25, "S", AK116 &gt; 1, "A", AK116 &gt; 0.75, "B", AK116 &gt; 0.5, "C", AK116 &gt; 0.25, "D", AK116 &gt; 0, "E", TRUE, "-")</f>
      </c>
      <c r="AO116" s="55">
        <f>IFS(AL116 &gt; 1.25, "S", AL116 &gt; 1, "A", AL116 &gt; 0.75, "B", AL116 &gt; 0.5, "C", AL116 &gt; 0.25, "D", AL116 &gt; 0, "E", TRUE, "-")</f>
      </c>
      <c r="AP116" s="58"/>
      <c r="AQ116" s="68"/>
      <c r="AR116" s="68"/>
      <c r="AS116" s="55"/>
      <c r="AT116" s="55"/>
      <c r="AU116" s="55"/>
      <c r="AV116" s="61">
        <f>IF(SUM(AJ116:AL116)=0, 0, (1 + F116 * 0.1) * (0.75 + 0.25 * MAX(0, MIN(1, IF(MAX(AJ116:AL116)=0, 0, (3*MAX(AJ116:AL116)-SUM(AJ116:AL116)) / (2*MAX(AJ116:AL116)))))))</f>
      </c>
      <c r="AW116" s="83">
        <f>MAX(AJ116:AL116)</f>
      </c>
      <c r="AX116" s="81">
        <f>IF(AW116=0, "", AW116 / ((1 + 0.1*N(F116))))</f>
      </c>
      <c r="AY116" s="61">
        <f>IF(SUM(AJ116:AL116)=0, 0,     (1 + F116 * 0.1) * (1 + ((SUM(AJ116:AL116) - MAX(AJ116:AL116)) / (2 * MAX(AJ116:AL116))) * (1/0.75 - 1)))</f>
      </c>
      <c r="AZ116" s="83"/>
      <c r="BA116" s="81">
        <f>IF(AZ116=0, "", AZ116 / ((1 + 0.1*N(F116))/0.75))</f>
      </c>
      <c r="BB116" s="51">
        <v>0.1</v>
      </c>
      <c r="BC116" s="1"/>
      <c r="BD116" s="54"/>
      <c r="BE116" s="54"/>
      <c r="BF116" s="74"/>
      <c r="BG116" s="64"/>
      <c r="BH116" s="69"/>
      <c r="BI116" s="45"/>
      <c r="BJ116" s="63"/>
      <c r="BK116" s="49"/>
      <c r="BL116" s="56"/>
      <c r="BM116" s="50"/>
      <c r="BN116" s="57"/>
      <c r="BO116" s="54"/>
      <c r="BP116" s="64"/>
      <c r="BQ116" s="51"/>
      <c r="BR116" s="38">
        <f>IFERROR(BQ116*100/CP116,"N/A")</f>
      </c>
      <c r="BS116" s="61"/>
      <c r="BT116" s="54"/>
      <c r="BU116" s="42"/>
      <c r="BV116" s="78"/>
      <c r="BW116" s="73"/>
      <c r="BX116" s="64"/>
      <c r="BY116" s="52"/>
      <c r="BZ116" s="1"/>
      <c r="CA116" s="62"/>
      <c r="CB116" s="51"/>
      <c r="CC116" s="51"/>
      <c r="CD116" s="58"/>
      <c r="CE116" s="58"/>
      <c r="CF116" s="58"/>
      <c r="CG116" s="58"/>
      <c r="CH116" s="58"/>
      <c r="CI116" s="58"/>
      <c r="CJ116" s="79"/>
      <c r="CK116" s="69"/>
      <c r="CL116" s="79"/>
      <c r="CM116" s="51"/>
      <c r="CN116" s="55"/>
      <c r="CO116" s="42"/>
      <c r="CP116" s="70">
        <f>CN116*BS116*BT116</f>
      </c>
      <c r="CQ116" s="52"/>
      <c r="CR116" s="64">
        <f>100/CP116</f>
      </c>
      <c r="CS116" s="82">
        <f>100/CQ116</f>
      </c>
      <c r="CT116" s="52"/>
      <c r="CU116" s="52"/>
      <c r="CV116" s="82">
        <f>BL116/T116</f>
      </c>
      <c r="CW116" s="82">
        <f>100/CV116</f>
      </c>
      <c r="CX116" s="77"/>
      <c r="CY116" s="85"/>
      <c r="CZ116" s="77"/>
      <c r="DA116" s="77"/>
      <c r="DB116" s="77"/>
      <c r="DC116" s="1"/>
      <c r="DD116" s="1"/>
    </row>
    <row r="117">
      <c r="A117" s="84"/>
      <c r="B117" s="53"/>
      <c r="C117" s="71"/>
      <c r="D117" s="71">
        <f>IF($A117="","","WPN"&amp;VLOOKUP(E117,'引用数据库'!Z:AC,4,FALSE)&amp;VLOOKUP(H117,'引用数据库'!N:P,3,FALSE)&amp;VLOOKUP(I117,'引用数据库'!S:U,3,FALSE)&amp;TEXT(F117,"00"))</f>
      </c>
      <c r="E117" s="53"/>
      <c r="F117" s="57"/>
      <c r="G117" s="84"/>
      <c r="H117" s="53"/>
      <c r="I117" s="53"/>
      <c r="J117" s="84"/>
      <c r="K117" s="84"/>
      <c r="L117" s="42"/>
      <c r="M117" s="65"/>
      <c r="N117" s="54"/>
      <c r="O117" s="54"/>
      <c r="P117" s="54"/>
      <c r="Q117" s="54"/>
      <c r="R117" s="54"/>
      <c r="S117" s="54"/>
      <c r="T117" s="54"/>
      <c r="U117" s="51">
        <f>2*T117/(15*(1+(5-BD117)*0.1))</f>
      </c>
      <c r="V117" s="1"/>
      <c r="W117" s="54"/>
      <c r="X117" s="54"/>
      <c r="Y117" s="76"/>
      <c r="Z117" s="76"/>
      <c r="AA117" s="66"/>
      <c r="AB117" s="66"/>
      <c r="AC117" s="66"/>
      <c r="AD117" s="86"/>
      <c r="AE117" s="86"/>
      <c r="AF117" s="1"/>
      <c r="AG117" s="54"/>
      <c r="AH117" s="54"/>
      <c r="AI117" s="1"/>
      <c r="AJ117" s="80"/>
      <c r="AK117" s="80"/>
      <c r="AL117" s="80"/>
      <c r="AM117" s="55">
        <f>IFS(AJ117 &gt; 1.25, "S", AJ117 &gt; 1, "A", AJ117 &gt; 0.75, "B", AJ117 &gt; 0.5, "C", AJ117 &gt; 0.25, "D", AJ117 &gt; 0, "E", TRUE, "-")</f>
      </c>
      <c r="AN117" s="55">
        <f>IFS(AK117 &gt; 1.25, "S", AK117 &gt; 1, "A", AK117 &gt; 0.75, "B", AK117 &gt; 0.5, "C", AK117 &gt; 0.25, "D", AK117 &gt; 0, "E", TRUE, "-")</f>
      </c>
      <c r="AO117" s="55">
        <f>IFS(AL117 &gt; 1.25, "S", AL117 &gt; 1, "A", AL117 &gt; 0.75, "B", AL117 &gt; 0.5, "C", AL117 &gt; 0.25, "D", AL117 &gt; 0, "E", TRUE, "-")</f>
      </c>
      <c r="AP117" s="58"/>
      <c r="AQ117" s="68"/>
      <c r="AR117" s="68"/>
      <c r="AS117" s="55"/>
      <c r="AT117" s="55"/>
      <c r="AU117" s="55"/>
      <c r="AV117" s="61">
        <f>IF(SUM(AJ117:AL117)=0, 0, (1 + F117 * 0.1) * (0.75 + 0.25 * MAX(0, MIN(1, IF(MAX(AJ117:AL117)=0, 0, (3*MAX(AJ117:AL117)-SUM(AJ117:AL117)) / (2*MAX(AJ117:AL117)))))))</f>
      </c>
      <c r="AW117" s="83">
        <f>MAX(AJ117:AL117)</f>
      </c>
      <c r="AX117" s="81">
        <f>IF(AW117=0, "", AW117 / ((1 + 0.1*N(F117))))</f>
      </c>
      <c r="AY117" s="61">
        <f>IF(SUM(AJ117:AL117)=0, 0,     (1 + F117 * 0.1) * (1 + ((SUM(AJ117:AL117) - MAX(AJ117:AL117)) / (2 * MAX(AJ117:AL117))) * (1/0.75 - 1)))</f>
      </c>
      <c r="AZ117" s="83"/>
      <c r="BA117" s="81">
        <f>IF(AZ117=0, "", AZ117 / ((1 + 0.1*N(F117))/0.75))</f>
      </c>
      <c r="BB117" s="51">
        <v>0.1</v>
      </c>
      <c r="BC117" s="1"/>
      <c r="BD117" s="54"/>
      <c r="BE117" s="54"/>
      <c r="BF117" s="74"/>
      <c r="BG117" s="64"/>
      <c r="BH117" s="69"/>
      <c r="BI117" s="45"/>
      <c r="BJ117" s="63"/>
      <c r="BK117" s="49"/>
      <c r="BL117" s="56"/>
      <c r="BM117" s="50"/>
      <c r="BN117" s="57"/>
      <c r="BO117" s="54"/>
      <c r="BP117" s="64"/>
      <c r="BQ117" s="51"/>
      <c r="BR117" s="38">
        <f>IFERROR(BQ117*100/CP117,"N/A")</f>
      </c>
      <c r="BS117" s="61"/>
      <c r="BT117" s="54"/>
      <c r="BU117" s="42"/>
      <c r="BV117" s="78"/>
      <c r="BW117" s="73"/>
      <c r="BX117" s="64"/>
      <c r="BY117" s="52"/>
      <c r="BZ117" s="1"/>
      <c r="CA117" s="62"/>
      <c r="CB117" s="51"/>
      <c r="CC117" s="51"/>
      <c r="CD117" s="58"/>
      <c r="CE117" s="58"/>
      <c r="CF117" s="58"/>
      <c r="CG117" s="58"/>
      <c r="CH117" s="58"/>
      <c r="CI117" s="58"/>
      <c r="CJ117" s="79"/>
      <c r="CK117" s="69"/>
      <c r="CL117" s="79"/>
      <c r="CM117" s="51"/>
      <c r="CN117" s="55"/>
      <c r="CO117" s="42"/>
      <c r="CP117" s="70">
        <f>CN117*BS117*BT117</f>
      </c>
      <c r="CQ117" s="52"/>
      <c r="CR117" s="64">
        <f>100/CP117</f>
      </c>
      <c r="CS117" s="82">
        <f>100/CQ117</f>
      </c>
      <c r="CT117" s="52"/>
      <c r="CU117" s="52"/>
      <c r="CV117" s="82">
        <f>BL117/T117</f>
      </c>
      <c r="CW117" s="82">
        <f>100/CV117</f>
      </c>
      <c r="CX117" s="77"/>
      <c r="CY117" s="85"/>
      <c r="CZ117" s="77"/>
      <c r="DA117" s="77"/>
      <c r="DB117" s="77"/>
      <c r="DC117" s="1"/>
      <c r="DD117" s="1"/>
    </row>
    <row r="118">
      <c r="A118" s="84"/>
      <c r="B118" s="53"/>
      <c r="C118" s="71"/>
      <c r="D118" s="71">
        <f>IF($A118="","","WPN"&amp;VLOOKUP(E118,'引用数据库'!Z:AC,4,FALSE)&amp;VLOOKUP(H118,'引用数据库'!N:P,3,FALSE)&amp;VLOOKUP(I118,'引用数据库'!S:U,3,FALSE)&amp;TEXT(F118,"00"))</f>
      </c>
      <c r="E118" s="53"/>
      <c r="F118" s="57"/>
      <c r="G118" s="84"/>
      <c r="H118" s="53"/>
      <c r="I118" s="53"/>
      <c r="J118" s="84"/>
      <c r="K118" s="84"/>
      <c r="L118" s="42"/>
      <c r="M118" s="65"/>
      <c r="N118" s="54"/>
      <c r="O118" s="54"/>
      <c r="P118" s="54"/>
      <c r="Q118" s="54"/>
      <c r="R118" s="54"/>
      <c r="S118" s="54"/>
      <c r="T118" s="54"/>
      <c r="U118" s="51">
        <f>2*T118/(15*(1+(5-BD118)*0.1))</f>
      </c>
      <c r="V118" s="1"/>
      <c r="W118" s="54"/>
      <c r="X118" s="54"/>
      <c r="Y118" s="76"/>
      <c r="Z118" s="76"/>
      <c r="AA118" s="66"/>
      <c r="AB118" s="66"/>
      <c r="AC118" s="66"/>
      <c r="AD118" s="86"/>
      <c r="AE118" s="86"/>
      <c r="AF118" s="1"/>
      <c r="AG118" s="54"/>
      <c r="AH118" s="54"/>
      <c r="AI118" s="1"/>
      <c r="AJ118" s="80"/>
      <c r="AK118" s="80"/>
      <c r="AL118" s="80"/>
      <c r="AM118" s="55">
        <f>IFS(AJ118 &gt; 1.25, "S", AJ118 &gt; 1, "A", AJ118 &gt; 0.75, "B", AJ118 &gt; 0.5, "C", AJ118 &gt; 0.25, "D", AJ118 &gt; 0, "E", TRUE, "-")</f>
      </c>
      <c r="AN118" s="55">
        <f>IFS(AK118 &gt; 1.25, "S", AK118 &gt; 1, "A", AK118 &gt; 0.75, "B", AK118 &gt; 0.5, "C", AK118 &gt; 0.25, "D", AK118 &gt; 0, "E", TRUE, "-")</f>
      </c>
      <c r="AO118" s="55">
        <f>IFS(AL118 &gt; 1.25, "S", AL118 &gt; 1, "A", AL118 &gt; 0.75, "B", AL118 &gt; 0.5, "C", AL118 &gt; 0.25, "D", AL118 &gt; 0, "E", TRUE, "-")</f>
      </c>
      <c r="AP118" s="58"/>
      <c r="AQ118" s="68"/>
      <c r="AR118" s="68"/>
      <c r="AS118" s="55"/>
      <c r="AT118" s="55"/>
      <c r="AU118" s="55"/>
      <c r="AV118" s="61">
        <f>IF(SUM(AJ118:AL118)=0, 0, (1 + F118 * 0.1) * (0.75 + 0.25 * MAX(0, MIN(1, IF(MAX(AJ118:AL118)=0, 0, (3*MAX(AJ118:AL118)-SUM(AJ118:AL118)) / (2*MAX(AJ118:AL118)))))))</f>
      </c>
      <c r="AW118" s="83">
        <f>MAX(AJ118:AL118)</f>
      </c>
      <c r="AX118" s="81">
        <f>IF(AW118=0, "", AW118 / ((1 + 0.1*N(F118))))</f>
      </c>
      <c r="AY118" s="61">
        <f>IF(SUM(AJ118:AL118)=0, 0,     (1 + F118 * 0.1) * (1 + ((SUM(AJ118:AL118) - MAX(AJ118:AL118)) / (2 * MAX(AJ118:AL118))) * (1/0.75 - 1)))</f>
      </c>
      <c r="AZ118" s="83"/>
      <c r="BA118" s="81">
        <f>IF(AZ118=0, "", AZ118 / ((1 + 0.1*N(F118))/0.75))</f>
      </c>
      <c r="BB118" s="51">
        <v>0.1</v>
      </c>
      <c r="BC118" s="1"/>
      <c r="BD118" s="54"/>
      <c r="BE118" s="54"/>
      <c r="BF118" s="74"/>
      <c r="BG118" s="64"/>
      <c r="BH118" s="69"/>
      <c r="BI118" s="45"/>
      <c r="BJ118" s="63"/>
      <c r="BK118" s="49"/>
      <c r="BL118" s="56"/>
      <c r="BM118" s="50"/>
      <c r="BN118" s="57"/>
      <c r="BO118" s="54"/>
      <c r="BP118" s="64"/>
      <c r="BQ118" s="51"/>
      <c r="BR118" s="38">
        <f>IFERROR(BQ118*100/CP118,"N/A")</f>
      </c>
      <c r="BS118" s="61"/>
      <c r="BT118" s="54"/>
      <c r="BU118" s="42"/>
      <c r="BV118" s="78"/>
      <c r="BW118" s="73"/>
      <c r="BX118" s="64"/>
      <c r="BY118" s="52"/>
      <c r="BZ118" s="1"/>
      <c r="CA118" s="62"/>
      <c r="CB118" s="51"/>
      <c r="CC118" s="51"/>
      <c r="CD118" s="58"/>
      <c r="CE118" s="58"/>
      <c r="CF118" s="58"/>
      <c r="CG118" s="58"/>
      <c r="CH118" s="58"/>
      <c r="CI118" s="58"/>
      <c r="CJ118" s="79"/>
      <c r="CK118" s="69"/>
      <c r="CL118" s="79"/>
      <c r="CM118" s="51"/>
      <c r="CN118" s="55"/>
      <c r="CO118" s="42"/>
      <c r="CP118" s="70">
        <f>CN118*BS118*BT118</f>
      </c>
      <c r="CQ118" s="52"/>
      <c r="CR118" s="64">
        <f>100/CP118</f>
      </c>
      <c r="CS118" s="82">
        <f>100/CQ118</f>
      </c>
      <c r="CT118" s="52"/>
      <c r="CU118" s="52"/>
      <c r="CV118" s="82">
        <f>BL118/T118</f>
      </c>
      <c r="CW118" s="82">
        <f>100/CV118</f>
      </c>
      <c r="CX118" s="77"/>
      <c r="CY118" s="85"/>
      <c r="CZ118" s="77"/>
      <c r="DA118" s="77"/>
      <c r="DB118" s="77"/>
      <c r="DC118" s="1"/>
      <c r="DD118" s="1"/>
    </row>
    <row r="119">
      <c r="A119" s="84"/>
      <c r="B119" s="53"/>
      <c r="C119" s="71"/>
      <c r="D119" s="71">
        <f>IF($A119="","","WPN"&amp;VLOOKUP(E119,'引用数据库'!Z:AC,4,FALSE)&amp;VLOOKUP(H119,'引用数据库'!N:P,3,FALSE)&amp;VLOOKUP(I119,'引用数据库'!S:U,3,FALSE)&amp;TEXT(F119,"00"))</f>
      </c>
      <c r="E119" s="53"/>
      <c r="F119" s="57"/>
      <c r="G119" s="84"/>
      <c r="H119" s="53"/>
      <c r="I119" s="53"/>
      <c r="J119" s="84"/>
      <c r="K119" s="84"/>
      <c r="L119" s="42"/>
      <c r="M119" s="65"/>
      <c r="N119" s="54"/>
      <c r="O119" s="54"/>
      <c r="P119" s="54"/>
      <c r="Q119" s="54"/>
      <c r="R119" s="54"/>
      <c r="S119" s="54"/>
      <c r="T119" s="54"/>
      <c r="U119" s="51">
        <f>2*T119/(15*(1+(5-BD119)*0.1))</f>
      </c>
      <c r="V119" s="1"/>
      <c r="W119" s="54"/>
      <c r="X119" s="54"/>
      <c r="Y119" s="76"/>
      <c r="Z119" s="76"/>
      <c r="AA119" s="66"/>
      <c r="AB119" s="66"/>
      <c r="AC119" s="66"/>
      <c r="AD119" s="86"/>
      <c r="AE119" s="86"/>
      <c r="AF119" s="1"/>
      <c r="AG119" s="54"/>
      <c r="AH119" s="54"/>
      <c r="AI119" s="1"/>
      <c r="AJ119" s="80"/>
      <c r="AK119" s="80"/>
      <c r="AL119" s="80"/>
      <c r="AM119" s="55">
        <f>IFS(AJ119 &gt; 1.25, "S", AJ119 &gt; 1, "A", AJ119 &gt; 0.75, "B", AJ119 &gt; 0.5, "C", AJ119 &gt; 0.25, "D", AJ119 &gt; 0, "E", TRUE, "-")</f>
      </c>
      <c r="AN119" s="55">
        <f>IFS(AK119 &gt; 1.25, "S", AK119 &gt; 1, "A", AK119 &gt; 0.75, "B", AK119 &gt; 0.5, "C", AK119 &gt; 0.25, "D", AK119 &gt; 0, "E", TRUE, "-")</f>
      </c>
      <c r="AO119" s="55">
        <f>IFS(AL119 &gt; 1.25, "S", AL119 &gt; 1, "A", AL119 &gt; 0.75, "B", AL119 &gt; 0.5, "C", AL119 &gt; 0.25, "D", AL119 &gt; 0, "E", TRUE, "-")</f>
      </c>
      <c r="AP119" s="58"/>
      <c r="AQ119" s="68"/>
      <c r="AR119" s="68"/>
      <c r="AS119" s="55"/>
      <c r="AT119" s="55"/>
      <c r="AU119" s="55"/>
      <c r="AV119" s="61">
        <f>IF(SUM(AJ119:AL119)=0, 0, (1 + F119 * 0.1) * (0.75 + 0.25 * MAX(0, MIN(1, IF(MAX(AJ119:AL119)=0, 0, (3*MAX(AJ119:AL119)-SUM(AJ119:AL119)) / (2*MAX(AJ119:AL119)))))))</f>
      </c>
      <c r="AW119" s="83">
        <f>MAX(AJ119:AL119)</f>
      </c>
      <c r="AX119" s="81">
        <f>IF(AW119=0, "", AW119 / ((1 + 0.1*N(F119))))</f>
      </c>
      <c r="AY119" s="61">
        <f>IF(SUM(AJ119:AL119)=0, 0,     (1 + F119 * 0.1) * (1 + ((SUM(AJ119:AL119) - MAX(AJ119:AL119)) / (2 * MAX(AJ119:AL119))) * (1/0.75 - 1)))</f>
      </c>
      <c r="AZ119" s="83"/>
      <c r="BA119" s="81">
        <f>IF(AZ119=0, "", AZ119 / ((1 + 0.1*N(F119))/0.75))</f>
      </c>
      <c r="BB119" s="51">
        <v>0.1</v>
      </c>
      <c r="BC119" s="1"/>
      <c r="BD119" s="54"/>
      <c r="BE119" s="54"/>
      <c r="BF119" s="74"/>
      <c r="BG119" s="64"/>
      <c r="BH119" s="69"/>
      <c r="BI119" s="45"/>
      <c r="BJ119" s="63"/>
      <c r="BK119" s="49"/>
      <c r="BL119" s="56"/>
      <c r="BM119" s="50"/>
      <c r="BN119" s="57"/>
      <c r="BO119" s="54"/>
      <c r="BP119" s="64"/>
      <c r="BQ119" s="51"/>
      <c r="BR119" s="38">
        <f>IFERROR(BQ119*100/CP119,"N/A")</f>
      </c>
      <c r="BS119" s="61"/>
      <c r="BT119" s="54"/>
      <c r="BU119" s="42"/>
      <c r="BV119" s="78"/>
      <c r="BW119" s="73"/>
      <c r="BX119" s="64"/>
      <c r="BY119" s="52"/>
      <c r="BZ119" s="1"/>
      <c r="CA119" s="62"/>
      <c r="CB119" s="51"/>
      <c r="CC119" s="51"/>
      <c r="CD119" s="58"/>
      <c r="CE119" s="58"/>
      <c r="CF119" s="58"/>
      <c r="CG119" s="58"/>
      <c r="CH119" s="58"/>
      <c r="CI119" s="58"/>
      <c r="CJ119" s="79"/>
      <c r="CK119" s="69"/>
      <c r="CL119" s="79"/>
      <c r="CM119" s="51"/>
      <c r="CN119" s="55"/>
      <c r="CO119" s="42"/>
      <c r="CP119" s="70">
        <f>CN119*BS119*BT119</f>
      </c>
      <c r="CQ119" s="52"/>
      <c r="CR119" s="64">
        <f>100/CP119</f>
      </c>
      <c r="CS119" s="82">
        <f>100/CQ119</f>
      </c>
      <c r="CT119" s="52"/>
      <c r="CU119" s="52"/>
      <c r="CV119" s="82">
        <f>BL119/T119</f>
      </c>
      <c r="CW119" s="82">
        <f>100/CV119</f>
      </c>
      <c r="CX119" s="77"/>
      <c r="CY119" s="85"/>
      <c r="CZ119" s="77"/>
      <c r="DA119" s="77"/>
      <c r="DB119" s="77"/>
      <c r="DC119" s="1"/>
      <c r="DD119" s="1"/>
    </row>
    <row r="120">
      <c r="A120" s="84"/>
      <c r="B120" s="53"/>
      <c r="C120" s="71"/>
      <c r="D120" s="71">
        <f>IF($A120="","","WPN"&amp;VLOOKUP(E120,'引用数据库'!Z:AC,4,FALSE)&amp;VLOOKUP(H120,'引用数据库'!N:P,3,FALSE)&amp;VLOOKUP(I120,'引用数据库'!S:U,3,FALSE)&amp;TEXT(F120,"00"))</f>
      </c>
      <c r="E120" s="53"/>
      <c r="F120" s="57"/>
      <c r="G120" s="84"/>
      <c r="H120" s="53"/>
      <c r="I120" s="53"/>
      <c r="J120" s="84"/>
      <c r="K120" s="84"/>
      <c r="L120" s="42"/>
      <c r="M120" s="65"/>
      <c r="N120" s="54"/>
      <c r="O120" s="54"/>
      <c r="P120" s="54"/>
      <c r="Q120" s="54"/>
      <c r="R120" s="54"/>
      <c r="S120" s="54"/>
      <c r="T120" s="54"/>
      <c r="U120" s="51">
        <f>2*T120/(15*(1+(5-BD120)*0.1))</f>
      </c>
      <c r="V120" s="1"/>
      <c r="W120" s="54"/>
      <c r="X120" s="54"/>
      <c r="Y120" s="76"/>
      <c r="Z120" s="76"/>
      <c r="AA120" s="66"/>
      <c r="AB120" s="66"/>
      <c r="AC120" s="66"/>
      <c r="AD120" s="86"/>
      <c r="AE120" s="86"/>
      <c r="AF120" s="1"/>
      <c r="AG120" s="54"/>
      <c r="AH120" s="54"/>
      <c r="AI120" s="1"/>
      <c r="AJ120" s="80"/>
      <c r="AK120" s="80"/>
      <c r="AL120" s="80"/>
      <c r="AM120" s="55">
        <f>IFS(AJ120 &gt; 1.25, "S", AJ120 &gt; 1, "A", AJ120 &gt; 0.75, "B", AJ120 &gt; 0.5, "C", AJ120 &gt; 0.25, "D", AJ120 &gt; 0, "E", TRUE, "-")</f>
      </c>
      <c r="AN120" s="55">
        <f>IFS(AK120 &gt; 1.25, "S", AK120 &gt; 1, "A", AK120 &gt; 0.75, "B", AK120 &gt; 0.5, "C", AK120 &gt; 0.25, "D", AK120 &gt; 0, "E", TRUE, "-")</f>
      </c>
      <c r="AO120" s="55">
        <f>IFS(AL120 &gt; 1.25, "S", AL120 &gt; 1, "A", AL120 &gt; 0.75, "B", AL120 &gt; 0.5, "C", AL120 &gt; 0.25, "D", AL120 &gt; 0, "E", TRUE, "-")</f>
      </c>
      <c r="AP120" s="58"/>
      <c r="AQ120" s="68"/>
      <c r="AR120" s="68"/>
      <c r="AS120" s="55"/>
      <c r="AT120" s="55"/>
      <c r="AU120" s="55"/>
      <c r="AV120" s="61">
        <f>IF(SUM(AJ120:AL120)=0, 0, (1 + F120 * 0.1) * (0.75 + 0.25 * MAX(0, MIN(1, IF(MAX(AJ120:AL120)=0, 0, (3*MAX(AJ120:AL120)-SUM(AJ120:AL120)) / (2*MAX(AJ120:AL120)))))))</f>
      </c>
      <c r="AW120" s="83">
        <f>MAX(AJ120:AL120)</f>
      </c>
      <c r="AX120" s="81">
        <f>IF(AW120=0, "", AW120 / ((1 + 0.1*N(F120))))</f>
      </c>
      <c r="AY120" s="61">
        <f>IF(SUM(AJ120:AL120)=0, 0,     (1 + F120 * 0.1) * (1 + ((SUM(AJ120:AL120) - MAX(AJ120:AL120)) / (2 * MAX(AJ120:AL120))) * (1/0.75 - 1)))</f>
      </c>
      <c r="AZ120" s="83"/>
      <c r="BA120" s="81">
        <f>IF(AZ120=0, "", AZ120 / ((1 + 0.1*N(F120))/0.75))</f>
      </c>
      <c r="BB120" s="51">
        <v>0.1</v>
      </c>
      <c r="BC120" s="1"/>
      <c r="BD120" s="54"/>
      <c r="BE120" s="54"/>
      <c r="BF120" s="74"/>
      <c r="BG120" s="64"/>
      <c r="BH120" s="69"/>
      <c r="BI120" s="45"/>
      <c r="BJ120" s="63"/>
      <c r="BK120" s="49"/>
      <c r="BL120" s="56"/>
      <c r="BM120" s="50"/>
      <c r="BN120" s="57"/>
      <c r="BO120" s="54"/>
      <c r="BP120" s="64"/>
      <c r="BQ120" s="51"/>
      <c r="BR120" s="38">
        <f>IFERROR(BQ120*100/CP120,"N/A")</f>
      </c>
      <c r="BS120" s="61"/>
      <c r="BT120" s="54"/>
      <c r="BU120" s="42"/>
      <c r="BV120" s="78"/>
      <c r="BW120" s="73"/>
      <c r="BX120" s="64"/>
      <c r="BY120" s="52"/>
      <c r="BZ120" s="1"/>
      <c r="CA120" s="62"/>
      <c r="CB120" s="51"/>
      <c r="CC120" s="51"/>
      <c r="CD120" s="58"/>
      <c r="CE120" s="58"/>
      <c r="CF120" s="58"/>
      <c r="CG120" s="58"/>
      <c r="CH120" s="58"/>
      <c r="CI120" s="58"/>
      <c r="CJ120" s="79"/>
      <c r="CK120" s="69"/>
      <c r="CL120" s="79"/>
      <c r="CM120" s="51"/>
      <c r="CN120" s="55"/>
      <c r="CO120" s="42"/>
      <c r="CP120" s="70">
        <f>CN120*BS120*BT120</f>
      </c>
      <c r="CQ120" s="52"/>
      <c r="CR120" s="64">
        <f>100/CP120</f>
      </c>
      <c r="CS120" s="82">
        <f>100/CQ120</f>
      </c>
      <c r="CT120" s="52"/>
      <c r="CU120" s="52"/>
      <c r="CV120" s="82">
        <f>BL120/T120</f>
      </c>
      <c r="CW120" s="82">
        <f>100/CV120</f>
      </c>
      <c r="CX120" s="77"/>
      <c r="CY120" s="85"/>
      <c r="CZ120" s="77"/>
      <c r="DA120" s="77"/>
      <c r="DB120" s="77"/>
      <c r="DC120" s="1"/>
      <c r="DD120" s="1"/>
    </row>
    <row r="121">
      <c r="A121" s="84"/>
      <c r="B121" s="53"/>
      <c r="C121" s="71"/>
      <c r="D121" s="71">
        <f>IF($A121="","","WPN"&amp;VLOOKUP(E121,'引用数据库'!Z:AC,4,FALSE)&amp;VLOOKUP(H121,'引用数据库'!N:P,3,FALSE)&amp;VLOOKUP(I121,'引用数据库'!S:U,3,FALSE)&amp;TEXT(F121,"00"))</f>
      </c>
      <c r="E121" s="53"/>
      <c r="F121" s="57"/>
      <c r="G121" s="84"/>
      <c r="H121" s="53"/>
      <c r="I121" s="53"/>
      <c r="J121" s="84"/>
      <c r="K121" s="84"/>
      <c r="L121" s="42"/>
      <c r="M121" s="65"/>
      <c r="N121" s="54"/>
      <c r="O121" s="54"/>
      <c r="P121" s="54"/>
      <c r="Q121" s="54"/>
      <c r="R121" s="54"/>
      <c r="S121" s="54"/>
      <c r="T121" s="54"/>
      <c r="U121" s="51">
        <f>2*T121/(15*(1+(5-BD121)*0.1))</f>
      </c>
      <c r="V121" s="1"/>
      <c r="W121" s="54"/>
      <c r="X121" s="54"/>
      <c r="Y121" s="76"/>
      <c r="Z121" s="76"/>
      <c r="AA121" s="66"/>
      <c r="AB121" s="66"/>
      <c r="AC121" s="66"/>
      <c r="AD121" s="86"/>
      <c r="AE121" s="86"/>
      <c r="AF121" s="1"/>
      <c r="AG121" s="54"/>
      <c r="AH121" s="54"/>
      <c r="AI121" s="1"/>
      <c r="AJ121" s="80"/>
      <c r="AK121" s="80"/>
      <c r="AL121" s="80"/>
      <c r="AM121" s="55">
        <f>IFS(AJ121 &gt; 1.25, "S", AJ121 &gt; 1, "A", AJ121 &gt; 0.75, "B", AJ121 &gt; 0.5, "C", AJ121 &gt; 0.25, "D", AJ121 &gt; 0, "E", TRUE, "-")</f>
      </c>
      <c r="AN121" s="55">
        <f>IFS(AK121 &gt; 1.25, "S", AK121 &gt; 1, "A", AK121 &gt; 0.75, "B", AK121 &gt; 0.5, "C", AK121 &gt; 0.25, "D", AK121 &gt; 0, "E", TRUE, "-")</f>
      </c>
      <c r="AO121" s="55">
        <f>IFS(AL121 &gt; 1.25, "S", AL121 &gt; 1, "A", AL121 &gt; 0.75, "B", AL121 &gt; 0.5, "C", AL121 &gt; 0.25, "D", AL121 &gt; 0, "E", TRUE, "-")</f>
      </c>
      <c r="AP121" s="58"/>
      <c r="AQ121" s="68"/>
      <c r="AR121" s="68"/>
      <c r="AS121" s="55"/>
      <c r="AT121" s="55"/>
      <c r="AU121" s="55"/>
      <c r="AV121" s="61">
        <f>IF(SUM(AJ121:AL121)=0, 0, (1 + F121 * 0.1) * (0.75 + 0.25 * MAX(0, MIN(1, IF(MAX(AJ121:AL121)=0, 0, (3*MAX(AJ121:AL121)-SUM(AJ121:AL121)) / (2*MAX(AJ121:AL121)))))))</f>
      </c>
      <c r="AW121" s="83">
        <f>MAX(AJ121:AL121)</f>
      </c>
      <c r="AX121" s="81">
        <f>IF(AW121=0, "", AW121 / ((1 + 0.1*N(F121))))</f>
      </c>
      <c r="AY121" s="61">
        <f>IF(SUM(AJ121:AL121)=0, 0,     (1 + F121 * 0.1) * (1 + ((SUM(AJ121:AL121) - MAX(AJ121:AL121)) / (2 * MAX(AJ121:AL121))) * (1/0.75 - 1)))</f>
      </c>
      <c r="AZ121" s="83"/>
      <c r="BA121" s="81">
        <f>IF(AZ121=0, "", AZ121 / ((1 + 0.1*N(F121))/0.75))</f>
      </c>
      <c r="BB121" s="51">
        <v>0.1</v>
      </c>
      <c r="BC121" s="1"/>
      <c r="BD121" s="54"/>
      <c r="BE121" s="54"/>
      <c r="BF121" s="74"/>
      <c r="BG121" s="64"/>
      <c r="BH121" s="69"/>
      <c r="BI121" s="45"/>
      <c r="BJ121" s="63"/>
      <c r="BK121" s="49"/>
      <c r="BL121" s="56"/>
      <c r="BM121" s="50"/>
      <c r="BN121" s="57"/>
      <c r="BO121" s="54"/>
      <c r="BP121" s="64"/>
      <c r="BQ121" s="51"/>
      <c r="BR121" s="38">
        <f>IFERROR(BQ121*100/CP121,"N/A")</f>
      </c>
      <c r="BS121" s="61"/>
      <c r="BT121" s="54"/>
      <c r="BU121" s="42"/>
      <c r="BV121" s="78"/>
      <c r="BW121" s="73"/>
      <c r="BX121" s="64"/>
      <c r="BY121" s="52"/>
      <c r="BZ121" s="1"/>
      <c r="CA121" s="62"/>
      <c r="CB121" s="51"/>
      <c r="CC121" s="51"/>
      <c r="CD121" s="58"/>
      <c r="CE121" s="58"/>
      <c r="CF121" s="58"/>
      <c r="CG121" s="58"/>
      <c r="CH121" s="58"/>
      <c r="CI121" s="58"/>
      <c r="CJ121" s="79"/>
      <c r="CK121" s="69"/>
      <c r="CL121" s="79"/>
      <c r="CM121" s="51"/>
      <c r="CN121" s="55"/>
      <c r="CO121" s="42"/>
      <c r="CP121" s="70">
        <f>CN121*BS121*BT121</f>
      </c>
      <c r="CQ121" s="52"/>
      <c r="CR121" s="64">
        <f>100/CP121</f>
      </c>
      <c r="CS121" s="82">
        <f>100/CQ121</f>
      </c>
      <c r="CT121" s="52"/>
      <c r="CU121" s="52"/>
      <c r="CV121" s="82">
        <f>BL121/T121</f>
      </c>
      <c r="CW121" s="82">
        <f>100/CV121</f>
      </c>
      <c r="CX121" s="77"/>
      <c r="CY121" s="85"/>
      <c r="CZ121" s="77"/>
      <c r="DA121" s="77"/>
      <c r="DB121" s="77"/>
      <c r="DC121" s="1"/>
      <c r="DD121" s="1"/>
    </row>
    <row r="122">
      <c r="A122" s="84"/>
      <c r="B122" s="53"/>
      <c r="C122" s="71"/>
      <c r="D122" s="71">
        <f>IF($A122="","","WPN"&amp;VLOOKUP(E122,'引用数据库'!Z:AC,4,FALSE)&amp;VLOOKUP(H122,'引用数据库'!N:P,3,FALSE)&amp;VLOOKUP(I122,'引用数据库'!S:U,3,FALSE)&amp;TEXT(F122,"00"))</f>
      </c>
      <c r="E122" s="53"/>
      <c r="F122" s="57"/>
      <c r="G122" s="84"/>
      <c r="H122" s="53"/>
      <c r="I122" s="53"/>
      <c r="J122" s="84"/>
      <c r="K122" s="84"/>
      <c r="L122" s="42"/>
      <c r="M122" s="65"/>
      <c r="N122" s="54"/>
      <c r="O122" s="54"/>
      <c r="P122" s="54"/>
      <c r="Q122" s="54"/>
      <c r="R122" s="54"/>
      <c r="S122" s="54"/>
      <c r="T122" s="54"/>
      <c r="U122" s="51">
        <f>2*T122/(15*(1+(5-BD122)*0.1))</f>
      </c>
      <c r="V122" s="1"/>
      <c r="W122" s="54"/>
      <c r="X122" s="54"/>
      <c r="Y122" s="76"/>
      <c r="Z122" s="76"/>
      <c r="AA122" s="66"/>
      <c r="AB122" s="66"/>
      <c r="AC122" s="66"/>
      <c r="AD122" s="86"/>
      <c r="AE122" s="86"/>
      <c r="AF122" s="1"/>
      <c r="AG122" s="54"/>
      <c r="AH122" s="54"/>
      <c r="AI122" s="1"/>
      <c r="AJ122" s="80"/>
      <c r="AK122" s="80"/>
      <c r="AL122" s="80"/>
      <c r="AM122" s="55">
        <f>IFS(AJ122 &gt; 1.25, "S", AJ122 &gt; 1, "A", AJ122 &gt; 0.75, "B", AJ122 &gt; 0.5, "C", AJ122 &gt; 0.25, "D", AJ122 &gt; 0, "E", TRUE, "-")</f>
      </c>
      <c r="AN122" s="55">
        <f>IFS(AK122 &gt; 1.25, "S", AK122 &gt; 1, "A", AK122 &gt; 0.75, "B", AK122 &gt; 0.5, "C", AK122 &gt; 0.25, "D", AK122 &gt; 0, "E", TRUE, "-")</f>
      </c>
      <c r="AO122" s="55">
        <f>IFS(AL122 &gt; 1.25, "S", AL122 &gt; 1, "A", AL122 &gt; 0.75, "B", AL122 &gt; 0.5, "C", AL122 &gt; 0.25, "D", AL122 &gt; 0, "E", TRUE, "-")</f>
      </c>
      <c r="AP122" s="58"/>
      <c r="AQ122" s="68"/>
      <c r="AR122" s="68"/>
      <c r="AS122" s="55"/>
      <c r="AT122" s="55"/>
      <c r="AU122" s="55"/>
      <c r="AV122" s="61">
        <f>IF(SUM(AJ122:AL122)=0, 0, (1 + F122 * 0.1) * (0.75 + 0.25 * MAX(0, MIN(1, IF(MAX(AJ122:AL122)=0, 0, (3*MAX(AJ122:AL122)-SUM(AJ122:AL122)) / (2*MAX(AJ122:AL122)))))))</f>
      </c>
      <c r="AW122" s="83">
        <f>MAX(AJ122:AL122)</f>
      </c>
      <c r="AX122" s="81">
        <f>IF(AW122=0, "", AW122 / ((1 + 0.1*N(F122))))</f>
      </c>
      <c r="AY122" s="61">
        <f>IF(SUM(AJ122:AL122)=0, 0,     (1 + F122 * 0.1) * (1 + ((SUM(AJ122:AL122) - MAX(AJ122:AL122)) / (2 * MAX(AJ122:AL122))) * (1/0.75 - 1)))</f>
      </c>
      <c r="AZ122" s="83"/>
      <c r="BA122" s="81">
        <f>IF(AZ122=0, "", AZ122 / ((1 + 0.1*N(F122))/0.75))</f>
      </c>
      <c r="BB122" s="51">
        <v>0.1</v>
      </c>
      <c r="BC122" s="1"/>
      <c r="BD122" s="54"/>
      <c r="BE122" s="54"/>
      <c r="BF122" s="74"/>
      <c r="BG122" s="64"/>
      <c r="BH122" s="69"/>
      <c r="BI122" s="45"/>
      <c r="BJ122" s="63"/>
      <c r="BK122" s="49"/>
      <c r="BL122" s="56"/>
      <c r="BM122" s="50"/>
      <c r="BN122" s="57"/>
      <c r="BO122" s="54"/>
      <c r="BP122" s="64"/>
      <c r="BQ122" s="51"/>
      <c r="BR122" s="38">
        <f>IFERROR(BQ122*100/CP122,"N/A")</f>
      </c>
      <c r="BS122" s="61"/>
      <c r="BT122" s="54"/>
      <c r="BU122" s="42"/>
      <c r="BV122" s="78"/>
      <c r="BW122" s="73"/>
      <c r="BX122" s="64"/>
      <c r="BY122" s="52"/>
      <c r="BZ122" s="1"/>
      <c r="CA122" s="62"/>
      <c r="CB122" s="51"/>
      <c r="CC122" s="51"/>
      <c r="CD122" s="58"/>
      <c r="CE122" s="58"/>
      <c r="CF122" s="58"/>
      <c r="CG122" s="58"/>
      <c r="CH122" s="58"/>
      <c r="CI122" s="58"/>
      <c r="CJ122" s="79"/>
      <c r="CK122" s="69"/>
      <c r="CL122" s="79"/>
      <c r="CM122" s="51"/>
      <c r="CN122" s="55"/>
      <c r="CO122" s="42"/>
      <c r="CP122" s="70">
        <f>CN122*BS122*BT122</f>
      </c>
      <c r="CQ122" s="52"/>
      <c r="CR122" s="64">
        <f>100/CP122</f>
      </c>
      <c r="CS122" s="82">
        <f>100/CQ122</f>
      </c>
      <c r="CT122" s="52"/>
      <c r="CU122" s="52"/>
      <c r="CV122" s="82">
        <f>BL122/T122</f>
      </c>
      <c r="CW122" s="82">
        <f>100/CV122</f>
      </c>
      <c r="CX122" s="77"/>
      <c r="CY122" s="85"/>
      <c r="CZ122" s="77"/>
      <c r="DA122" s="77"/>
      <c r="DB122" s="77"/>
      <c r="DC122" s="1"/>
      <c r="DD122" s="1"/>
    </row>
    <row r="123">
      <c r="A123" s="84"/>
      <c r="B123" s="53"/>
      <c r="C123" s="71"/>
      <c r="D123" s="71">
        <f>IF($A123="","","WPN"&amp;VLOOKUP(E123,'引用数据库'!Z:AC,4,FALSE)&amp;VLOOKUP(H123,'引用数据库'!N:P,3,FALSE)&amp;VLOOKUP(I123,'引用数据库'!S:U,3,FALSE)&amp;TEXT(F123,"00"))</f>
      </c>
      <c r="E123" s="53"/>
      <c r="F123" s="57"/>
      <c r="G123" s="84"/>
      <c r="H123" s="53"/>
      <c r="I123" s="53"/>
      <c r="J123" s="84"/>
      <c r="K123" s="84"/>
      <c r="L123" s="42"/>
      <c r="M123" s="65"/>
      <c r="N123" s="54"/>
      <c r="O123" s="54"/>
      <c r="P123" s="54"/>
      <c r="Q123" s="54"/>
      <c r="R123" s="54"/>
      <c r="S123" s="54"/>
      <c r="T123" s="54"/>
      <c r="U123" s="51">
        <f>2*T123/(15*(1+(5-BD123)*0.1))</f>
      </c>
      <c r="V123" s="1"/>
      <c r="W123" s="54"/>
      <c r="X123" s="54"/>
      <c r="Y123" s="76"/>
      <c r="Z123" s="76"/>
      <c r="AA123" s="66"/>
      <c r="AB123" s="66"/>
      <c r="AC123" s="66"/>
      <c r="AD123" s="86"/>
      <c r="AE123" s="86"/>
      <c r="AF123" s="1"/>
      <c r="AG123" s="54"/>
      <c r="AH123" s="54"/>
      <c r="AI123" s="1"/>
      <c r="AJ123" s="80"/>
      <c r="AK123" s="80"/>
      <c r="AL123" s="80"/>
      <c r="AM123" s="55">
        <f>IFS(AJ123 &gt; 1.25, "S", AJ123 &gt; 1, "A", AJ123 &gt; 0.75, "B", AJ123 &gt; 0.5, "C", AJ123 &gt; 0.25, "D", AJ123 &gt; 0, "E", TRUE, "-")</f>
      </c>
      <c r="AN123" s="55">
        <f>IFS(AK123 &gt; 1.25, "S", AK123 &gt; 1, "A", AK123 &gt; 0.75, "B", AK123 &gt; 0.5, "C", AK123 &gt; 0.25, "D", AK123 &gt; 0, "E", TRUE, "-")</f>
      </c>
      <c r="AO123" s="55">
        <f>IFS(AL123 &gt; 1.25, "S", AL123 &gt; 1, "A", AL123 &gt; 0.75, "B", AL123 &gt; 0.5, "C", AL123 &gt; 0.25, "D", AL123 &gt; 0, "E", TRUE, "-")</f>
      </c>
      <c r="AP123" s="58"/>
      <c r="AQ123" s="68"/>
      <c r="AR123" s="68"/>
      <c r="AS123" s="55"/>
      <c r="AT123" s="55"/>
      <c r="AU123" s="55"/>
      <c r="AV123" s="61">
        <f>IF(SUM(AJ123:AL123)=0, 0, (1 + F123 * 0.1) * (0.75 + 0.25 * MAX(0, MIN(1, IF(MAX(AJ123:AL123)=0, 0, (3*MAX(AJ123:AL123)-SUM(AJ123:AL123)) / (2*MAX(AJ123:AL123)))))))</f>
      </c>
      <c r="AW123" s="83">
        <f>MAX(AJ123:AL123)</f>
      </c>
      <c r="AX123" s="81">
        <f>IF(AW123=0, "", AW123 / ((1 + 0.1*N(F123))))</f>
      </c>
      <c r="AY123" s="61">
        <f>IF(SUM(AJ123:AL123)=0, 0,     (1 + F123 * 0.1) * (1 + ((SUM(AJ123:AL123) - MAX(AJ123:AL123)) / (2 * MAX(AJ123:AL123))) * (1/0.75 - 1)))</f>
      </c>
      <c r="AZ123" s="83"/>
      <c r="BA123" s="81">
        <f>IF(AZ123=0, "", AZ123 / ((1 + 0.1*N(F123))/0.75))</f>
      </c>
      <c r="BB123" s="51">
        <v>0.1</v>
      </c>
      <c r="BC123" s="1"/>
      <c r="BD123" s="54"/>
      <c r="BE123" s="54"/>
      <c r="BF123" s="74"/>
      <c r="BG123" s="64"/>
      <c r="BH123" s="69"/>
      <c r="BI123" s="45"/>
      <c r="BJ123" s="63"/>
      <c r="BK123" s="49"/>
      <c r="BL123" s="56"/>
      <c r="BM123" s="50"/>
      <c r="BN123" s="57"/>
      <c r="BO123" s="54"/>
      <c r="BP123" s="64"/>
      <c r="BQ123" s="51"/>
      <c r="BR123" s="38">
        <f>IFERROR(BQ123*100/CP123,"N/A")</f>
      </c>
      <c r="BS123" s="61"/>
      <c r="BT123" s="54"/>
      <c r="BU123" s="42"/>
      <c r="BV123" s="78"/>
      <c r="BW123" s="73"/>
      <c r="BX123" s="64"/>
      <c r="BY123" s="52"/>
      <c r="BZ123" s="1"/>
      <c r="CA123" s="62"/>
      <c r="CB123" s="51"/>
      <c r="CC123" s="51"/>
      <c r="CD123" s="58"/>
      <c r="CE123" s="58"/>
      <c r="CF123" s="58"/>
      <c r="CG123" s="58"/>
      <c r="CH123" s="58"/>
      <c r="CI123" s="58"/>
      <c r="CJ123" s="79"/>
      <c r="CK123" s="69"/>
      <c r="CL123" s="79"/>
      <c r="CM123" s="51"/>
      <c r="CN123" s="55"/>
      <c r="CO123" s="42"/>
      <c r="CP123" s="70">
        <f>CN123*BS123*BT123</f>
      </c>
      <c r="CQ123" s="52"/>
      <c r="CR123" s="64">
        <f>100/CP123</f>
      </c>
      <c r="CS123" s="82">
        <f>100/CQ123</f>
      </c>
      <c r="CT123" s="52"/>
      <c r="CU123" s="52"/>
      <c r="CV123" s="82">
        <f>BL123/T123</f>
      </c>
      <c r="CW123" s="82">
        <f>100/CV123</f>
      </c>
      <c r="CX123" s="77"/>
      <c r="CY123" s="85"/>
      <c r="CZ123" s="77"/>
      <c r="DA123" s="77"/>
      <c r="DB123" s="77"/>
      <c r="DC123" s="1"/>
      <c r="DD123" s="1"/>
    </row>
    <row r="124">
      <c r="A124" s="84"/>
      <c r="B124" s="53"/>
      <c r="C124" s="71"/>
      <c r="D124" s="71">
        <f>IF($A124="","","WPN"&amp;VLOOKUP(E124,'引用数据库'!Z:AC,4,FALSE)&amp;VLOOKUP(H124,'引用数据库'!N:P,3,FALSE)&amp;VLOOKUP(I124,'引用数据库'!S:U,3,FALSE)&amp;TEXT(F124,"00"))</f>
      </c>
      <c r="E124" s="53"/>
      <c r="F124" s="57"/>
      <c r="G124" s="84"/>
      <c r="H124" s="53"/>
      <c r="I124" s="53"/>
      <c r="J124" s="84"/>
      <c r="K124" s="84"/>
      <c r="L124" s="42"/>
      <c r="M124" s="65"/>
      <c r="N124" s="54"/>
      <c r="O124" s="54"/>
      <c r="P124" s="54"/>
      <c r="Q124" s="54"/>
      <c r="R124" s="54"/>
      <c r="S124" s="54"/>
      <c r="T124" s="54"/>
      <c r="U124" s="51">
        <f>2*T124/(15*(1+(5-BD124)*0.1))</f>
      </c>
      <c r="V124" s="1"/>
      <c r="W124" s="54"/>
      <c r="X124" s="54"/>
      <c r="Y124" s="76"/>
      <c r="Z124" s="76"/>
      <c r="AA124" s="66"/>
      <c r="AB124" s="66"/>
      <c r="AC124" s="66"/>
      <c r="AD124" s="86"/>
      <c r="AE124" s="86"/>
      <c r="AF124" s="1"/>
      <c r="AG124" s="54"/>
      <c r="AH124" s="54"/>
      <c r="AI124" s="1"/>
      <c r="AJ124" s="80"/>
      <c r="AK124" s="80"/>
      <c r="AL124" s="80"/>
      <c r="AM124" s="55">
        <f>IFS(AJ124 &gt; 1.25, "S", AJ124 &gt; 1, "A", AJ124 &gt; 0.75, "B", AJ124 &gt; 0.5, "C", AJ124 &gt; 0.25, "D", AJ124 &gt; 0, "E", TRUE, "-")</f>
      </c>
      <c r="AN124" s="55">
        <f>IFS(AK124 &gt; 1.25, "S", AK124 &gt; 1, "A", AK124 &gt; 0.75, "B", AK124 &gt; 0.5, "C", AK124 &gt; 0.25, "D", AK124 &gt; 0, "E", TRUE, "-")</f>
      </c>
      <c r="AO124" s="55">
        <f>IFS(AL124 &gt; 1.25, "S", AL124 &gt; 1, "A", AL124 &gt; 0.75, "B", AL124 &gt; 0.5, "C", AL124 &gt; 0.25, "D", AL124 &gt; 0, "E", TRUE, "-")</f>
      </c>
      <c r="AP124" s="58"/>
      <c r="AQ124" s="68"/>
      <c r="AR124" s="68"/>
      <c r="AS124" s="55"/>
      <c r="AT124" s="55"/>
      <c r="AU124" s="55"/>
      <c r="AV124" s="61">
        <f>IF(SUM(AJ124:AL124)=0, 0, (1 + F124 * 0.1) * (0.75 + 0.25 * MAX(0, MIN(1, IF(MAX(AJ124:AL124)=0, 0, (3*MAX(AJ124:AL124)-SUM(AJ124:AL124)) / (2*MAX(AJ124:AL124)))))))</f>
      </c>
      <c r="AW124" s="83">
        <f>MAX(AJ124:AL124)</f>
      </c>
      <c r="AX124" s="81">
        <f>IF(AW124=0, "", AW124 / ((1 + 0.1*N(F124))))</f>
      </c>
      <c r="AY124" s="61">
        <f>IF(SUM(AJ124:AL124)=0, 0,     (1 + F124 * 0.1) * (1 + ((SUM(AJ124:AL124) - MAX(AJ124:AL124)) / (2 * MAX(AJ124:AL124))) * (1/0.75 - 1)))</f>
      </c>
      <c r="AZ124" s="83"/>
      <c r="BA124" s="81">
        <f>IF(AZ124=0, "", AZ124 / ((1 + 0.1*N(F124))/0.75))</f>
      </c>
      <c r="BB124" s="51">
        <v>0.1</v>
      </c>
      <c r="BC124" s="1"/>
      <c r="BD124" s="54"/>
      <c r="BE124" s="54"/>
      <c r="BF124" s="74"/>
      <c r="BG124" s="64"/>
      <c r="BH124" s="69"/>
      <c r="BI124" s="45"/>
      <c r="BJ124" s="63"/>
      <c r="BK124" s="49"/>
      <c r="BL124" s="56"/>
      <c r="BM124" s="50"/>
      <c r="BN124" s="57"/>
      <c r="BO124" s="54"/>
      <c r="BP124" s="64"/>
      <c r="BQ124" s="51"/>
      <c r="BR124" s="38">
        <f>IFERROR(BQ124*100/CP124,"N/A")</f>
      </c>
      <c r="BS124" s="61"/>
      <c r="BT124" s="54"/>
      <c r="BU124" s="42"/>
      <c r="BV124" s="78"/>
      <c r="BW124" s="73"/>
      <c r="BX124" s="64"/>
      <c r="BY124" s="52"/>
      <c r="BZ124" s="1"/>
      <c r="CA124" s="62"/>
      <c r="CB124" s="51"/>
      <c r="CC124" s="51"/>
      <c r="CD124" s="58"/>
      <c r="CE124" s="58"/>
      <c r="CF124" s="58"/>
      <c r="CG124" s="58"/>
      <c r="CH124" s="58"/>
      <c r="CI124" s="58"/>
      <c r="CJ124" s="79"/>
      <c r="CK124" s="69"/>
      <c r="CL124" s="79"/>
      <c r="CM124" s="51"/>
      <c r="CN124" s="55"/>
      <c r="CO124" s="42"/>
      <c r="CP124" s="70">
        <f>CN124*BS124*BT124</f>
      </c>
      <c r="CQ124" s="52"/>
      <c r="CR124" s="64">
        <f>100/CP124</f>
      </c>
      <c r="CS124" s="82">
        <f>100/CQ124</f>
      </c>
      <c r="CT124" s="52"/>
      <c r="CU124" s="52"/>
      <c r="CV124" s="82">
        <f>BL124/T124</f>
      </c>
      <c r="CW124" s="82">
        <f>100/CV124</f>
      </c>
      <c r="CX124" s="77"/>
      <c r="CY124" s="85"/>
      <c r="CZ124" s="77"/>
      <c r="DA124" s="77"/>
      <c r="DB124" s="77"/>
      <c r="DC124" s="1"/>
      <c r="DD124" s="1"/>
    </row>
    <row r="125">
      <c r="A125" s="84"/>
      <c r="B125" s="53"/>
      <c r="C125" s="71"/>
      <c r="D125" s="71">
        <f>IF($A125="","","WPN"&amp;VLOOKUP(E125,'引用数据库'!Z:AC,4,FALSE)&amp;VLOOKUP(H125,'引用数据库'!N:P,3,FALSE)&amp;VLOOKUP(I125,'引用数据库'!S:U,3,FALSE)&amp;TEXT(F125,"00"))</f>
      </c>
      <c r="E125" s="53"/>
      <c r="F125" s="57"/>
      <c r="G125" s="84"/>
      <c r="H125" s="53"/>
      <c r="I125" s="53"/>
      <c r="J125" s="84"/>
      <c r="K125" s="84"/>
      <c r="L125" s="42"/>
      <c r="M125" s="65"/>
      <c r="N125" s="54"/>
      <c r="O125" s="54"/>
      <c r="P125" s="54"/>
      <c r="Q125" s="54"/>
      <c r="R125" s="54"/>
      <c r="S125" s="54"/>
      <c r="T125" s="54"/>
      <c r="U125" s="51">
        <f>2*T125/(15*(1+(5-BD125)*0.1))</f>
      </c>
      <c r="V125" s="1"/>
      <c r="W125" s="54"/>
      <c r="X125" s="54"/>
      <c r="Y125" s="76"/>
      <c r="Z125" s="76"/>
      <c r="AA125" s="66"/>
      <c r="AB125" s="66"/>
      <c r="AC125" s="66"/>
      <c r="AD125" s="86"/>
      <c r="AE125" s="86"/>
      <c r="AF125" s="1"/>
      <c r="AG125" s="54"/>
      <c r="AH125" s="54"/>
      <c r="AI125" s="1"/>
      <c r="AJ125" s="80"/>
      <c r="AK125" s="80"/>
      <c r="AL125" s="80"/>
      <c r="AM125" s="55">
        <f>IFS(AJ125 &gt; 1.25, "S", AJ125 &gt; 1, "A", AJ125 &gt; 0.75, "B", AJ125 &gt; 0.5, "C", AJ125 &gt; 0.25, "D", AJ125 &gt; 0, "E", TRUE, "-")</f>
      </c>
      <c r="AN125" s="55">
        <f>IFS(AK125 &gt; 1.25, "S", AK125 &gt; 1, "A", AK125 &gt; 0.75, "B", AK125 &gt; 0.5, "C", AK125 &gt; 0.25, "D", AK125 &gt; 0, "E", TRUE, "-")</f>
      </c>
      <c r="AO125" s="55">
        <f>IFS(AL125 &gt; 1.25, "S", AL125 &gt; 1, "A", AL125 &gt; 0.75, "B", AL125 &gt; 0.5, "C", AL125 &gt; 0.25, "D", AL125 &gt; 0, "E", TRUE, "-")</f>
      </c>
      <c r="AP125" s="58"/>
      <c r="AQ125" s="68"/>
      <c r="AR125" s="68"/>
      <c r="AS125" s="55"/>
      <c r="AT125" s="55"/>
      <c r="AU125" s="55"/>
      <c r="AV125" s="61">
        <f>IF(SUM(AJ125:AL125)=0, 0, (1 + F125 * 0.1) * (0.75 + 0.25 * MAX(0, MIN(1, IF(MAX(AJ125:AL125)=0, 0, (3*MAX(AJ125:AL125)-SUM(AJ125:AL125)) / (2*MAX(AJ125:AL125)))))))</f>
      </c>
      <c r="AW125" s="83">
        <f>MAX(AJ125:AL125)</f>
      </c>
      <c r="AX125" s="81">
        <f>IF(AW125=0, "", AW125 / ((1 + 0.1*N(F125))))</f>
      </c>
      <c r="AY125" s="61">
        <f>IF(SUM(AJ125:AL125)=0, 0,     (1 + F125 * 0.1) * (1 + ((SUM(AJ125:AL125) - MAX(AJ125:AL125)) / (2 * MAX(AJ125:AL125))) * (1/0.75 - 1)))</f>
      </c>
      <c r="AZ125" s="83"/>
      <c r="BA125" s="81">
        <f>IF(AZ125=0, "", AZ125 / ((1 + 0.1*N(F125))/0.75))</f>
      </c>
      <c r="BB125" s="51">
        <v>0.1</v>
      </c>
      <c r="BC125" s="1"/>
      <c r="BD125" s="54"/>
      <c r="BE125" s="54"/>
      <c r="BF125" s="74"/>
      <c r="BG125" s="64"/>
      <c r="BH125" s="69"/>
      <c r="BI125" s="45"/>
      <c r="BJ125" s="63"/>
      <c r="BK125" s="49"/>
      <c r="BL125" s="56"/>
      <c r="BM125" s="50"/>
      <c r="BN125" s="57"/>
      <c r="BO125" s="54"/>
      <c r="BP125" s="64"/>
      <c r="BQ125" s="51"/>
      <c r="BR125" s="38">
        <f>IFERROR(BQ125*100/CP125,"N/A")</f>
      </c>
      <c r="BS125" s="61"/>
      <c r="BT125" s="54"/>
      <c r="BU125" s="42"/>
      <c r="BV125" s="78"/>
      <c r="BW125" s="73"/>
      <c r="BX125" s="64"/>
      <c r="BY125" s="52"/>
      <c r="BZ125" s="1"/>
      <c r="CA125" s="62"/>
      <c r="CB125" s="51"/>
      <c r="CC125" s="51"/>
      <c r="CD125" s="58"/>
      <c r="CE125" s="58"/>
      <c r="CF125" s="58"/>
      <c r="CG125" s="58"/>
      <c r="CH125" s="58"/>
      <c r="CI125" s="58"/>
      <c r="CJ125" s="79"/>
      <c r="CK125" s="69"/>
      <c r="CL125" s="79"/>
      <c r="CM125" s="51"/>
      <c r="CN125" s="55"/>
      <c r="CO125" s="42"/>
      <c r="CP125" s="70">
        <f>CN125*BS125*BT125</f>
      </c>
      <c r="CQ125" s="52"/>
      <c r="CR125" s="64">
        <f>100/CP125</f>
      </c>
      <c r="CS125" s="82">
        <f>100/CQ125</f>
      </c>
      <c r="CT125" s="52"/>
      <c r="CU125" s="52"/>
      <c r="CV125" s="82">
        <f>BL125/T125</f>
      </c>
      <c r="CW125" s="82">
        <f>100/CV125</f>
      </c>
      <c r="CX125" s="77"/>
      <c r="CY125" s="85"/>
      <c r="CZ125" s="77"/>
      <c r="DA125" s="77"/>
      <c r="DB125" s="77"/>
      <c r="DC125" s="1"/>
      <c r="DD125" s="1"/>
    </row>
    <row r="126">
      <c r="A126" s="84"/>
      <c r="B126" s="53"/>
      <c r="C126" s="71"/>
      <c r="D126" s="71">
        <f>IF($A126="","","WPN"&amp;VLOOKUP(E126,'引用数据库'!Z:AC,4,FALSE)&amp;VLOOKUP(H126,'引用数据库'!N:P,3,FALSE)&amp;VLOOKUP(I126,'引用数据库'!S:U,3,FALSE)&amp;TEXT(F126,"00"))</f>
      </c>
      <c r="E126" s="53"/>
      <c r="F126" s="57"/>
      <c r="G126" s="84"/>
      <c r="H126" s="53"/>
      <c r="I126" s="53"/>
      <c r="J126" s="84"/>
      <c r="K126" s="84"/>
      <c r="L126" s="42"/>
      <c r="M126" s="65"/>
      <c r="N126" s="54"/>
      <c r="O126" s="54"/>
      <c r="P126" s="54"/>
      <c r="Q126" s="54"/>
      <c r="R126" s="54"/>
      <c r="S126" s="54"/>
      <c r="T126" s="54"/>
      <c r="U126" s="51">
        <f>2*T126/(15*(1+(5-BD126)*0.1))</f>
      </c>
      <c r="V126" s="1"/>
      <c r="W126" s="54"/>
      <c r="X126" s="54"/>
      <c r="Y126" s="76"/>
      <c r="Z126" s="76"/>
      <c r="AA126" s="66"/>
      <c r="AB126" s="66"/>
      <c r="AC126" s="66"/>
      <c r="AD126" s="86"/>
      <c r="AE126" s="86"/>
      <c r="AF126" s="1"/>
      <c r="AG126" s="54"/>
      <c r="AH126" s="54"/>
      <c r="AI126" s="1"/>
      <c r="AJ126" s="80"/>
      <c r="AK126" s="80"/>
      <c r="AL126" s="80"/>
      <c r="AM126" s="55">
        <f>IFS(AJ126 &gt; 1.25, "S", AJ126 &gt; 1, "A", AJ126 &gt; 0.75, "B", AJ126 &gt; 0.5, "C", AJ126 &gt; 0.25, "D", AJ126 &gt; 0, "E", TRUE, "-")</f>
      </c>
      <c r="AN126" s="55">
        <f>IFS(AK126 &gt; 1.25, "S", AK126 &gt; 1, "A", AK126 &gt; 0.75, "B", AK126 &gt; 0.5, "C", AK126 &gt; 0.25, "D", AK126 &gt; 0, "E", TRUE, "-")</f>
      </c>
      <c r="AO126" s="55">
        <f>IFS(AL126 &gt; 1.25, "S", AL126 &gt; 1, "A", AL126 &gt; 0.75, "B", AL126 &gt; 0.5, "C", AL126 &gt; 0.25, "D", AL126 &gt; 0, "E", TRUE, "-")</f>
      </c>
      <c r="AP126" s="58"/>
      <c r="AQ126" s="68"/>
      <c r="AR126" s="68"/>
      <c r="AS126" s="55"/>
      <c r="AT126" s="55"/>
      <c r="AU126" s="55"/>
      <c r="AV126" s="61">
        <f>IF(SUM(AJ126:AL126)=0, 0, (1 + F126 * 0.1) * (0.75 + 0.25 * MAX(0, MIN(1, IF(MAX(AJ126:AL126)=0, 0, (3*MAX(AJ126:AL126)-SUM(AJ126:AL126)) / (2*MAX(AJ126:AL126)))))))</f>
      </c>
      <c r="AW126" s="83">
        <f>MAX(AJ126:AL126)</f>
      </c>
      <c r="AX126" s="81">
        <f>IF(AW126=0, "", AW126 / ((1 + 0.1*N(F126))))</f>
      </c>
      <c r="AY126" s="61">
        <f>IF(SUM(AJ126:AL126)=0, 0,     (1 + F126 * 0.1) * (1 + ((SUM(AJ126:AL126) - MAX(AJ126:AL126)) / (2 * MAX(AJ126:AL126))) * (1/0.75 - 1)))</f>
      </c>
      <c r="AZ126" s="83"/>
      <c r="BA126" s="81">
        <f>IF(AZ126=0, "", AZ126 / ((1 + 0.1*N(F126))/0.75))</f>
      </c>
      <c r="BB126" s="51">
        <v>0.1</v>
      </c>
      <c r="BC126" s="1"/>
      <c r="BD126" s="54"/>
      <c r="BE126" s="54"/>
      <c r="BF126" s="74"/>
      <c r="BG126" s="64"/>
      <c r="BH126" s="69"/>
      <c r="BI126" s="45"/>
      <c r="BJ126" s="63"/>
      <c r="BK126" s="49"/>
      <c r="BL126" s="56"/>
      <c r="BM126" s="50"/>
      <c r="BN126" s="57"/>
      <c r="BO126" s="54"/>
      <c r="BP126" s="64"/>
      <c r="BQ126" s="51"/>
      <c r="BR126" s="38">
        <f>IFERROR(BQ126*100/CP126,"N/A")</f>
      </c>
      <c r="BS126" s="61"/>
      <c r="BT126" s="54"/>
      <c r="BU126" s="42"/>
      <c r="BV126" s="78"/>
      <c r="BW126" s="73"/>
      <c r="BX126" s="64"/>
      <c r="BY126" s="52"/>
      <c r="BZ126" s="1"/>
      <c r="CA126" s="62"/>
      <c r="CB126" s="51"/>
      <c r="CC126" s="51"/>
      <c r="CD126" s="58"/>
      <c r="CE126" s="58"/>
      <c r="CF126" s="58"/>
      <c r="CG126" s="58"/>
      <c r="CH126" s="58"/>
      <c r="CI126" s="58"/>
      <c r="CJ126" s="79"/>
      <c r="CK126" s="69"/>
      <c r="CL126" s="79"/>
      <c r="CM126" s="51"/>
      <c r="CN126" s="55"/>
      <c r="CO126" s="42"/>
      <c r="CP126" s="70">
        <f>CN126*BS126*BT126</f>
      </c>
      <c r="CQ126" s="52"/>
      <c r="CR126" s="64">
        <f>100/CP126</f>
      </c>
      <c r="CS126" s="82">
        <f>100/CQ126</f>
      </c>
      <c r="CT126" s="52"/>
      <c r="CU126" s="52"/>
      <c r="CV126" s="82">
        <f>BL126/T126</f>
      </c>
      <c r="CW126" s="82">
        <f>100/CV126</f>
      </c>
      <c r="CX126" s="77"/>
      <c r="CY126" s="85"/>
      <c r="CZ126" s="77"/>
      <c r="DA126" s="77"/>
      <c r="DB126" s="77"/>
      <c r="DC126" s="1"/>
      <c r="DD126" s="1"/>
    </row>
    <row r="127">
      <c r="A127" s="84"/>
      <c r="B127" s="53"/>
      <c r="C127" s="71"/>
      <c r="D127" s="71">
        <f>IF($A127="","","WPN"&amp;VLOOKUP(E127,'引用数据库'!Z:AC,4,FALSE)&amp;VLOOKUP(H127,'引用数据库'!N:P,3,FALSE)&amp;VLOOKUP(I127,'引用数据库'!S:U,3,FALSE)&amp;TEXT(F127,"00"))</f>
      </c>
      <c r="E127" s="53"/>
      <c r="F127" s="57"/>
      <c r="G127" s="84"/>
      <c r="H127" s="53"/>
      <c r="I127" s="53"/>
      <c r="J127" s="84"/>
      <c r="K127" s="84"/>
      <c r="L127" s="42"/>
      <c r="M127" s="65"/>
      <c r="N127" s="54"/>
      <c r="O127" s="54"/>
      <c r="P127" s="54"/>
      <c r="Q127" s="54"/>
      <c r="R127" s="54"/>
      <c r="S127" s="54"/>
      <c r="T127" s="54"/>
      <c r="U127" s="51">
        <f>2*T127/(15*(1+(5-BD127)*0.1))</f>
      </c>
      <c r="V127" s="1"/>
      <c r="W127" s="54"/>
      <c r="X127" s="54"/>
      <c r="Y127" s="76"/>
      <c r="Z127" s="76"/>
      <c r="AA127" s="66"/>
      <c r="AB127" s="66"/>
      <c r="AC127" s="66"/>
      <c r="AD127" s="86"/>
      <c r="AE127" s="86"/>
      <c r="AF127" s="1"/>
      <c r="AG127" s="54"/>
      <c r="AH127" s="54"/>
      <c r="AI127" s="1"/>
      <c r="AJ127" s="80"/>
      <c r="AK127" s="80"/>
      <c r="AL127" s="80"/>
      <c r="AM127" s="55">
        <f>IFS(AJ127 &gt; 1.25, "S", AJ127 &gt; 1, "A", AJ127 &gt; 0.75, "B", AJ127 &gt; 0.5, "C", AJ127 &gt; 0.25, "D", AJ127 &gt; 0, "E", TRUE, "-")</f>
      </c>
      <c r="AN127" s="55">
        <f>IFS(AK127 &gt; 1.25, "S", AK127 &gt; 1, "A", AK127 &gt; 0.75, "B", AK127 &gt; 0.5, "C", AK127 &gt; 0.25, "D", AK127 &gt; 0, "E", TRUE, "-")</f>
      </c>
      <c r="AO127" s="55">
        <f>IFS(AL127 &gt; 1.25, "S", AL127 &gt; 1, "A", AL127 &gt; 0.75, "B", AL127 &gt; 0.5, "C", AL127 &gt; 0.25, "D", AL127 &gt; 0, "E", TRUE, "-")</f>
      </c>
      <c r="AP127" s="58"/>
      <c r="AQ127" s="68"/>
      <c r="AR127" s="68"/>
      <c r="AS127" s="55"/>
      <c r="AT127" s="55"/>
      <c r="AU127" s="55"/>
      <c r="AV127" s="61">
        <f>IF(SUM(AJ127:AL127)=0, 0, (1 + F127 * 0.1) * (0.75 + 0.25 * MAX(0, MIN(1, IF(MAX(AJ127:AL127)=0, 0, (3*MAX(AJ127:AL127)-SUM(AJ127:AL127)) / (2*MAX(AJ127:AL127)))))))</f>
      </c>
      <c r="AW127" s="83">
        <f>MAX(AJ127:AL127)</f>
      </c>
      <c r="AX127" s="81">
        <f>IF(AW127=0, "", AW127 / ((1 + 0.1*N(F127))))</f>
      </c>
      <c r="AY127" s="61">
        <f>IF(SUM(AJ127:AL127)=0, 0,     (1 + F127 * 0.1) * (1 + ((SUM(AJ127:AL127) - MAX(AJ127:AL127)) / (2 * MAX(AJ127:AL127))) * (1/0.75 - 1)))</f>
      </c>
      <c r="AZ127" s="83"/>
      <c r="BA127" s="81">
        <f>IF(AZ127=0, "", AZ127 / ((1 + 0.1*N(F127))/0.75))</f>
      </c>
      <c r="BB127" s="51">
        <v>0.1</v>
      </c>
      <c r="BC127" s="1"/>
      <c r="BD127" s="54"/>
      <c r="BE127" s="54"/>
      <c r="BF127" s="74"/>
      <c r="BG127" s="64"/>
      <c r="BH127" s="69"/>
      <c r="BI127" s="45"/>
      <c r="BJ127" s="63"/>
      <c r="BK127" s="49"/>
      <c r="BL127" s="56"/>
      <c r="BM127" s="50"/>
      <c r="BN127" s="57"/>
      <c r="BO127" s="54"/>
      <c r="BP127" s="64"/>
      <c r="BQ127" s="51"/>
      <c r="BR127" s="38">
        <f>IFERROR(BQ127*100/CP127,"N/A")</f>
      </c>
      <c r="BS127" s="61"/>
      <c r="BT127" s="54"/>
      <c r="BU127" s="42"/>
      <c r="BV127" s="78"/>
      <c r="BW127" s="73"/>
      <c r="BX127" s="64"/>
      <c r="BY127" s="52"/>
      <c r="BZ127" s="1"/>
      <c r="CA127" s="62"/>
      <c r="CB127" s="51"/>
      <c r="CC127" s="51"/>
      <c r="CD127" s="58"/>
      <c r="CE127" s="58"/>
      <c r="CF127" s="58"/>
      <c r="CG127" s="58"/>
      <c r="CH127" s="58"/>
      <c r="CI127" s="58"/>
      <c r="CJ127" s="79"/>
      <c r="CK127" s="69"/>
      <c r="CL127" s="79"/>
      <c r="CM127" s="51"/>
      <c r="CN127" s="55"/>
      <c r="CO127" s="42"/>
      <c r="CP127" s="70">
        <f>CN127*BS127*BT127</f>
      </c>
      <c r="CQ127" s="52"/>
      <c r="CR127" s="64">
        <f>100/CP127</f>
      </c>
      <c r="CS127" s="82">
        <f>100/CQ127</f>
      </c>
      <c r="CT127" s="52"/>
      <c r="CU127" s="52"/>
      <c r="CV127" s="82">
        <f>BL127/T127</f>
      </c>
      <c r="CW127" s="82">
        <f>100/CV127</f>
      </c>
      <c r="CX127" s="77"/>
      <c r="CY127" s="85"/>
      <c r="CZ127" s="77"/>
      <c r="DA127" s="77"/>
      <c r="DB127" s="77"/>
      <c r="DC127" s="1"/>
      <c r="DD127" s="1"/>
    </row>
    <row r="128">
      <c r="A128" s="84"/>
      <c r="B128" s="53"/>
      <c r="C128" s="71"/>
      <c r="D128" s="71">
        <f>IF($A128="","","WPN"&amp;VLOOKUP(E128,'引用数据库'!Z:AC,4,FALSE)&amp;VLOOKUP(H128,'引用数据库'!N:P,3,FALSE)&amp;VLOOKUP(I128,'引用数据库'!S:U,3,FALSE)&amp;TEXT(F128,"00"))</f>
      </c>
      <c r="E128" s="53"/>
      <c r="F128" s="57"/>
      <c r="G128" s="84"/>
      <c r="H128" s="53"/>
      <c r="I128" s="53"/>
      <c r="J128" s="84"/>
      <c r="K128" s="84"/>
      <c r="L128" s="42"/>
      <c r="M128" s="65"/>
      <c r="N128" s="54"/>
      <c r="O128" s="54"/>
      <c r="P128" s="54"/>
      <c r="Q128" s="54"/>
      <c r="R128" s="54"/>
      <c r="S128" s="54"/>
      <c r="T128" s="54"/>
      <c r="U128" s="51">
        <f>2*T128/(15*(1+(5-BD128)*0.1))</f>
      </c>
      <c r="V128" s="1"/>
      <c r="W128" s="54"/>
      <c r="X128" s="54"/>
      <c r="Y128" s="76"/>
      <c r="Z128" s="76"/>
      <c r="AA128" s="66"/>
      <c r="AB128" s="66"/>
      <c r="AC128" s="66"/>
      <c r="AD128" s="86"/>
      <c r="AE128" s="86"/>
      <c r="AF128" s="1"/>
      <c r="AG128" s="54"/>
      <c r="AH128" s="54"/>
      <c r="AI128" s="1"/>
      <c r="AJ128" s="80"/>
      <c r="AK128" s="80"/>
      <c r="AL128" s="80"/>
      <c r="AM128" s="55">
        <f>IFS(AJ128 &gt; 1.25, "S", AJ128 &gt; 1, "A", AJ128 &gt; 0.75, "B", AJ128 &gt; 0.5, "C", AJ128 &gt; 0.25, "D", AJ128 &gt; 0, "E", TRUE, "-")</f>
      </c>
      <c r="AN128" s="55">
        <f>IFS(AK128 &gt; 1.25, "S", AK128 &gt; 1, "A", AK128 &gt; 0.75, "B", AK128 &gt; 0.5, "C", AK128 &gt; 0.25, "D", AK128 &gt; 0, "E", TRUE, "-")</f>
      </c>
      <c r="AO128" s="55">
        <f>IFS(AL128 &gt; 1.25, "S", AL128 &gt; 1, "A", AL128 &gt; 0.75, "B", AL128 &gt; 0.5, "C", AL128 &gt; 0.25, "D", AL128 &gt; 0, "E", TRUE, "-")</f>
      </c>
      <c r="AP128" s="58"/>
      <c r="AQ128" s="68"/>
      <c r="AR128" s="68"/>
      <c r="AS128" s="55"/>
      <c r="AT128" s="55"/>
      <c r="AU128" s="55"/>
      <c r="AV128" s="61">
        <f>IF(SUM(AJ128:AL128)=0, 0, (1 + F128 * 0.1) * (0.75 + 0.25 * MAX(0, MIN(1, IF(MAX(AJ128:AL128)=0, 0, (3*MAX(AJ128:AL128)-SUM(AJ128:AL128)) / (2*MAX(AJ128:AL128)))))))</f>
      </c>
      <c r="AW128" s="83">
        <f>MAX(AJ128:AL128)</f>
      </c>
      <c r="AX128" s="81">
        <f>IF(AW128=0, "", AW128 / ((1 + 0.1*N(F128))))</f>
      </c>
      <c r="AY128" s="61">
        <f>IF(SUM(AJ128:AL128)=0, 0,     (1 + F128 * 0.1) * (1 + ((SUM(AJ128:AL128) - MAX(AJ128:AL128)) / (2 * MAX(AJ128:AL128))) * (1/0.75 - 1)))</f>
      </c>
      <c r="AZ128" s="83"/>
      <c r="BA128" s="81">
        <f>IF(AZ128=0, "", AZ128 / ((1 + 0.1*N(F128))/0.75))</f>
      </c>
      <c r="BB128" s="51">
        <v>0.1</v>
      </c>
      <c r="BC128" s="1"/>
      <c r="BD128" s="54"/>
      <c r="BE128" s="54"/>
      <c r="BF128" s="74"/>
      <c r="BG128" s="64"/>
      <c r="BH128" s="69"/>
      <c r="BI128" s="45"/>
      <c r="BJ128" s="63"/>
      <c r="BK128" s="49"/>
      <c r="BL128" s="56"/>
      <c r="BM128" s="50"/>
      <c r="BN128" s="57"/>
      <c r="BO128" s="54"/>
      <c r="BP128" s="64"/>
      <c r="BQ128" s="51"/>
      <c r="BR128" s="38">
        <f>IFERROR(BQ128*100/CP128,"N/A")</f>
      </c>
      <c r="BS128" s="61"/>
      <c r="BT128" s="54"/>
      <c r="BU128" s="42"/>
      <c r="BV128" s="78"/>
      <c r="BW128" s="73"/>
      <c r="BX128" s="64"/>
      <c r="BY128" s="52"/>
      <c r="BZ128" s="1"/>
      <c r="CA128" s="62"/>
      <c r="CB128" s="51"/>
      <c r="CC128" s="51"/>
      <c r="CD128" s="58"/>
      <c r="CE128" s="58"/>
      <c r="CF128" s="58"/>
      <c r="CG128" s="58"/>
      <c r="CH128" s="58"/>
      <c r="CI128" s="58"/>
      <c r="CJ128" s="79"/>
      <c r="CK128" s="69"/>
      <c r="CL128" s="79"/>
      <c r="CM128" s="51"/>
      <c r="CN128" s="55"/>
      <c r="CO128" s="42"/>
      <c r="CP128" s="70">
        <f>CN128*BS128*BT128</f>
      </c>
      <c r="CQ128" s="52"/>
      <c r="CR128" s="64">
        <f>100/CP128</f>
      </c>
      <c r="CS128" s="82">
        <f>100/CQ128</f>
      </c>
      <c r="CT128" s="52"/>
      <c r="CU128" s="52"/>
      <c r="CV128" s="82">
        <f>BL128/T128</f>
      </c>
      <c r="CW128" s="82">
        <f>100/CV128</f>
      </c>
      <c r="CX128" s="77"/>
      <c r="CY128" s="85"/>
      <c r="CZ128" s="77"/>
      <c r="DA128" s="77"/>
      <c r="DB128" s="77"/>
      <c r="DC128" s="1"/>
      <c r="DD128" s="1"/>
    </row>
    <row r="129">
      <c r="A129" s="84"/>
      <c r="B129" s="53"/>
      <c r="C129" s="71"/>
      <c r="D129" s="71">
        <f>IF($A129="","","WPN"&amp;VLOOKUP(E129,'引用数据库'!Z:AC,4,FALSE)&amp;VLOOKUP(H129,'引用数据库'!N:P,3,FALSE)&amp;VLOOKUP(I129,'引用数据库'!S:U,3,FALSE)&amp;TEXT(F129,"00"))</f>
      </c>
      <c r="E129" s="53"/>
      <c r="F129" s="57"/>
      <c r="G129" s="84"/>
      <c r="H129" s="53"/>
      <c r="I129" s="53"/>
      <c r="J129" s="84"/>
      <c r="K129" s="84"/>
      <c r="L129" s="42"/>
      <c r="M129" s="65"/>
      <c r="N129" s="54"/>
      <c r="O129" s="54"/>
      <c r="P129" s="54"/>
      <c r="Q129" s="54"/>
      <c r="R129" s="54"/>
      <c r="S129" s="54"/>
      <c r="T129" s="54"/>
      <c r="U129" s="51">
        <f>2*T129/(15*(1+(5-BD129)*0.1))</f>
      </c>
      <c r="V129" s="1"/>
      <c r="W129" s="54"/>
      <c r="X129" s="54"/>
      <c r="Y129" s="76"/>
      <c r="Z129" s="76"/>
      <c r="AA129" s="66"/>
      <c r="AB129" s="66"/>
      <c r="AC129" s="66"/>
      <c r="AD129" s="86"/>
      <c r="AE129" s="86"/>
      <c r="AF129" s="1"/>
      <c r="AG129" s="54"/>
      <c r="AH129" s="54"/>
      <c r="AI129" s="1"/>
      <c r="AJ129" s="80"/>
      <c r="AK129" s="80"/>
      <c r="AL129" s="80"/>
      <c r="AM129" s="55">
        <f>IFS(AJ129 &gt; 1.25, "S", AJ129 &gt; 1, "A", AJ129 &gt; 0.75, "B", AJ129 &gt; 0.5, "C", AJ129 &gt; 0.25, "D", AJ129 &gt; 0, "E", TRUE, "-")</f>
      </c>
      <c r="AN129" s="55">
        <f>IFS(AK129 &gt; 1.25, "S", AK129 &gt; 1, "A", AK129 &gt; 0.75, "B", AK129 &gt; 0.5, "C", AK129 &gt; 0.25, "D", AK129 &gt; 0, "E", TRUE, "-")</f>
      </c>
      <c r="AO129" s="55">
        <f>IFS(AL129 &gt; 1.25, "S", AL129 &gt; 1, "A", AL129 &gt; 0.75, "B", AL129 &gt; 0.5, "C", AL129 &gt; 0.25, "D", AL129 &gt; 0, "E", TRUE, "-")</f>
      </c>
      <c r="AP129" s="58"/>
      <c r="AQ129" s="68"/>
      <c r="AR129" s="68"/>
      <c r="AS129" s="55"/>
      <c r="AT129" s="55"/>
      <c r="AU129" s="55"/>
      <c r="AV129" s="61">
        <f>IF(SUM(AJ129:AL129)=0, 0, (1 + F129 * 0.1) * (0.75 + 0.25 * MAX(0, MIN(1, IF(MAX(AJ129:AL129)=0, 0, (3*MAX(AJ129:AL129)-SUM(AJ129:AL129)) / (2*MAX(AJ129:AL129)))))))</f>
      </c>
      <c r="AW129" s="83">
        <f>MAX(AJ129:AL129)</f>
      </c>
      <c r="AX129" s="81">
        <f>IF(AW129=0, "", AW129 / ((1 + 0.1*N(F129))))</f>
      </c>
      <c r="AY129" s="61">
        <f>IF(SUM(AJ129:AL129)=0, 0,     (1 + F129 * 0.1) * (1 + ((SUM(AJ129:AL129) - MAX(AJ129:AL129)) / (2 * MAX(AJ129:AL129))) * (1/0.75 - 1)))</f>
      </c>
      <c r="AZ129" s="83"/>
      <c r="BA129" s="81">
        <f>IF(AZ129=0, "", AZ129 / ((1 + 0.1*N(F129))/0.75))</f>
      </c>
      <c r="BB129" s="51">
        <v>0.1</v>
      </c>
      <c r="BC129" s="1"/>
      <c r="BD129" s="54"/>
      <c r="BE129" s="54"/>
      <c r="BF129" s="74"/>
      <c r="BG129" s="64"/>
      <c r="BH129" s="69"/>
      <c r="BI129" s="45"/>
      <c r="BJ129" s="63"/>
      <c r="BK129" s="49"/>
      <c r="BL129" s="56"/>
      <c r="BM129" s="50"/>
      <c r="BN129" s="57"/>
      <c r="BO129" s="54"/>
      <c r="BP129" s="64"/>
      <c r="BQ129" s="51"/>
      <c r="BR129" s="38">
        <f>IFERROR(BQ129*100/CP129,"N/A")</f>
      </c>
      <c r="BS129" s="61"/>
      <c r="BT129" s="54"/>
      <c r="BU129" s="42"/>
      <c r="BV129" s="78"/>
      <c r="BW129" s="73"/>
      <c r="BX129" s="64"/>
      <c r="BY129" s="52"/>
      <c r="BZ129" s="1"/>
      <c r="CA129" s="62"/>
      <c r="CB129" s="51"/>
      <c r="CC129" s="51"/>
      <c r="CD129" s="58"/>
      <c r="CE129" s="58"/>
      <c r="CF129" s="58"/>
      <c r="CG129" s="58"/>
      <c r="CH129" s="58"/>
      <c r="CI129" s="58"/>
      <c r="CJ129" s="79"/>
      <c r="CK129" s="69"/>
      <c r="CL129" s="79"/>
      <c r="CM129" s="51"/>
      <c r="CN129" s="55"/>
      <c r="CO129" s="42"/>
      <c r="CP129" s="70">
        <f>CN129*BS129*BT129</f>
      </c>
      <c r="CQ129" s="52"/>
      <c r="CR129" s="64">
        <f>100/CP129</f>
      </c>
      <c r="CS129" s="82">
        <f>100/CQ129</f>
      </c>
      <c r="CT129" s="52"/>
      <c r="CU129" s="52"/>
      <c r="CV129" s="82">
        <f>BL129/T129</f>
      </c>
      <c r="CW129" s="82">
        <f>100/CV129</f>
      </c>
      <c r="CX129" s="77"/>
      <c r="CY129" s="85"/>
      <c r="CZ129" s="77"/>
      <c r="DA129" s="77"/>
      <c r="DB129" s="77"/>
      <c r="DC129" s="1"/>
      <c r="DD129" s="1"/>
    </row>
    <row r="130">
      <c r="A130" s="84"/>
      <c r="B130" s="53"/>
      <c r="C130" s="71"/>
      <c r="D130" s="71">
        <f>IF($A130="","","WPN"&amp;VLOOKUP(E130,'引用数据库'!Z:AC,4,FALSE)&amp;VLOOKUP(H130,'引用数据库'!N:P,3,FALSE)&amp;VLOOKUP(I130,'引用数据库'!S:U,3,FALSE)&amp;TEXT(F130,"00"))</f>
      </c>
      <c r="E130" s="53"/>
      <c r="F130" s="57"/>
      <c r="G130" s="84"/>
      <c r="H130" s="53"/>
      <c r="I130" s="53"/>
      <c r="J130" s="84"/>
      <c r="K130" s="84"/>
      <c r="L130" s="42"/>
      <c r="M130" s="65"/>
      <c r="N130" s="54"/>
      <c r="O130" s="54"/>
      <c r="P130" s="54"/>
      <c r="Q130" s="54"/>
      <c r="R130" s="54"/>
      <c r="S130" s="54"/>
      <c r="T130" s="54"/>
      <c r="U130" s="51">
        <f>2*T130/(15*(1+(5-BD130)*0.1))</f>
      </c>
      <c r="V130" s="1"/>
      <c r="W130" s="54"/>
      <c r="X130" s="54"/>
      <c r="Y130" s="76"/>
      <c r="Z130" s="76"/>
      <c r="AA130" s="66"/>
      <c r="AB130" s="66"/>
      <c r="AC130" s="66"/>
      <c r="AD130" s="86"/>
      <c r="AE130" s="86"/>
      <c r="AF130" s="1"/>
      <c r="AG130" s="54"/>
      <c r="AH130" s="54"/>
      <c r="AI130" s="1"/>
      <c r="AJ130" s="80"/>
      <c r="AK130" s="80"/>
      <c r="AL130" s="80"/>
      <c r="AM130" s="55">
        <f>IFS(AJ130 &gt; 1.25, "S", AJ130 &gt; 1, "A", AJ130 &gt; 0.75, "B", AJ130 &gt; 0.5, "C", AJ130 &gt; 0.25, "D", AJ130 &gt; 0, "E", TRUE, "-")</f>
      </c>
      <c r="AN130" s="55">
        <f>IFS(AK130 &gt; 1.25, "S", AK130 &gt; 1, "A", AK130 &gt; 0.75, "B", AK130 &gt; 0.5, "C", AK130 &gt; 0.25, "D", AK130 &gt; 0, "E", TRUE, "-")</f>
      </c>
      <c r="AO130" s="55">
        <f>IFS(AL130 &gt; 1.25, "S", AL130 &gt; 1, "A", AL130 &gt; 0.75, "B", AL130 &gt; 0.5, "C", AL130 &gt; 0.25, "D", AL130 &gt; 0, "E", TRUE, "-")</f>
      </c>
      <c r="AP130" s="58"/>
      <c r="AQ130" s="68"/>
      <c r="AR130" s="68"/>
      <c r="AS130" s="55"/>
      <c r="AT130" s="55"/>
      <c r="AU130" s="55"/>
      <c r="AV130" s="61">
        <f>IF(SUM(AJ130:AL130)=0, 0, (1 + F130 * 0.1) * (0.75 + 0.25 * MAX(0, MIN(1, IF(MAX(AJ130:AL130)=0, 0, (3*MAX(AJ130:AL130)-SUM(AJ130:AL130)) / (2*MAX(AJ130:AL130)))))))</f>
      </c>
      <c r="AW130" s="83">
        <f>MAX(AJ130:AL130)</f>
      </c>
      <c r="AX130" s="81">
        <f>IF(AW130=0, "", AW130 / ((1 + 0.1*N(F130))))</f>
      </c>
      <c r="AY130" s="61">
        <f>IF(SUM(AJ130:AL130)=0, 0,     (1 + F130 * 0.1) * (1 + ((SUM(AJ130:AL130) - MAX(AJ130:AL130)) / (2 * MAX(AJ130:AL130))) * (1/0.75 - 1)))</f>
      </c>
      <c r="AZ130" s="83"/>
      <c r="BA130" s="81">
        <f>IF(AZ130=0, "", AZ130 / ((1 + 0.1*N(F130))/0.75))</f>
      </c>
      <c r="BB130" s="51">
        <v>0.1</v>
      </c>
      <c r="BC130" s="1"/>
      <c r="BD130" s="54"/>
      <c r="BE130" s="54"/>
      <c r="BF130" s="74"/>
      <c r="BG130" s="64"/>
      <c r="BH130" s="69"/>
      <c r="BI130" s="45"/>
      <c r="BJ130" s="63"/>
      <c r="BK130" s="49"/>
      <c r="BL130" s="56"/>
      <c r="BM130" s="50"/>
      <c r="BN130" s="57"/>
      <c r="BO130" s="54"/>
      <c r="BP130" s="64"/>
      <c r="BQ130" s="51"/>
      <c r="BR130" s="38">
        <f>IFERROR(BQ130*100/CP130,"N/A")</f>
      </c>
      <c r="BS130" s="61"/>
      <c r="BT130" s="54"/>
      <c r="BU130" s="42"/>
      <c r="BV130" s="78"/>
      <c r="BW130" s="73"/>
      <c r="BX130" s="64"/>
      <c r="BY130" s="52"/>
      <c r="BZ130" s="1"/>
      <c r="CA130" s="62"/>
      <c r="CB130" s="51"/>
      <c r="CC130" s="51"/>
      <c r="CD130" s="58"/>
      <c r="CE130" s="58"/>
      <c r="CF130" s="58"/>
      <c r="CG130" s="58"/>
      <c r="CH130" s="58"/>
      <c r="CI130" s="58"/>
      <c r="CJ130" s="79"/>
      <c r="CK130" s="69"/>
      <c r="CL130" s="79"/>
      <c r="CM130" s="51"/>
      <c r="CN130" s="55"/>
      <c r="CO130" s="42"/>
      <c r="CP130" s="70">
        <f>CN130*BS130*BT130</f>
      </c>
      <c r="CQ130" s="52"/>
      <c r="CR130" s="64">
        <f>100/CP130</f>
      </c>
      <c r="CS130" s="82">
        <f>100/CQ130</f>
      </c>
      <c r="CT130" s="52"/>
      <c r="CU130" s="52"/>
      <c r="CV130" s="82">
        <f>BL130/T130</f>
      </c>
      <c r="CW130" s="82">
        <f>100/CV130</f>
      </c>
      <c r="CX130" s="77"/>
      <c r="CY130" s="85"/>
      <c r="CZ130" s="77"/>
      <c r="DA130" s="77"/>
      <c r="DB130" s="77"/>
      <c r="DC130" s="1"/>
      <c r="DD130" s="1"/>
    </row>
    <row r="131">
      <c r="A131" s="84"/>
      <c r="B131" s="53"/>
      <c r="C131" s="71"/>
      <c r="D131" s="71">
        <f>IF($A131="","","WPN"&amp;VLOOKUP(E131,'引用数据库'!Z:AC,4,FALSE)&amp;VLOOKUP(H131,'引用数据库'!N:P,3,FALSE)&amp;VLOOKUP(I131,'引用数据库'!S:U,3,FALSE)&amp;TEXT(F131,"00"))</f>
      </c>
      <c r="E131" s="53"/>
      <c r="F131" s="57"/>
      <c r="G131" s="84"/>
      <c r="H131" s="53"/>
      <c r="I131" s="53"/>
      <c r="J131" s="84"/>
      <c r="K131" s="84"/>
      <c r="L131" s="42"/>
      <c r="M131" s="65"/>
      <c r="N131" s="54"/>
      <c r="O131" s="54"/>
      <c r="P131" s="54"/>
      <c r="Q131" s="54"/>
      <c r="R131" s="54"/>
      <c r="S131" s="54"/>
      <c r="T131" s="54"/>
      <c r="U131" s="51">
        <f>2*T131/(15*(1+(5-BD131)*0.1))</f>
      </c>
      <c r="V131" s="1"/>
      <c r="W131" s="54"/>
      <c r="X131" s="54"/>
      <c r="Y131" s="76"/>
      <c r="Z131" s="76"/>
      <c r="AA131" s="66"/>
      <c r="AB131" s="66"/>
      <c r="AC131" s="66"/>
      <c r="AD131" s="86"/>
      <c r="AE131" s="86"/>
      <c r="AF131" s="1"/>
      <c r="AG131" s="54"/>
      <c r="AH131" s="54"/>
      <c r="AI131" s="1"/>
      <c r="AJ131" s="80"/>
      <c r="AK131" s="80"/>
      <c r="AL131" s="80"/>
      <c r="AM131" s="55">
        <f>IFS(AJ131 &gt; 1.25, "S", AJ131 &gt; 1, "A", AJ131 &gt; 0.75, "B", AJ131 &gt; 0.5, "C", AJ131 &gt; 0.25, "D", AJ131 &gt; 0, "E", TRUE, "-")</f>
      </c>
      <c r="AN131" s="55">
        <f>IFS(AK131 &gt; 1.25, "S", AK131 &gt; 1, "A", AK131 &gt; 0.75, "B", AK131 &gt; 0.5, "C", AK131 &gt; 0.25, "D", AK131 &gt; 0, "E", TRUE, "-")</f>
      </c>
      <c r="AO131" s="55">
        <f>IFS(AL131 &gt; 1.25, "S", AL131 &gt; 1, "A", AL131 &gt; 0.75, "B", AL131 &gt; 0.5, "C", AL131 &gt; 0.25, "D", AL131 &gt; 0, "E", TRUE, "-")</f>
      </c>
      <c r="AP131" s="58"/>
      <c r="AQ131" s="68"/>
      <c r="AR131" s="68"/>
      <c r="AS131" s="55"/>
      <c r="AT131" s="55"/>
      <c r="AU131" s="55"/>
      <c r="AV131" s="61">
        <f>IF(SUM(AJ131:AL131)=0, 0, (1 + F131 * 0.1) * (0.75 + 0.25 * MAX(0, MIN(1, IF(MAX(AJ131:AL131)=0, 0, (3*MAX(AJ131:AL131)-SUM(AJ131:AL131)) / (2*MAX(AJ131:AL131)))))))</f>
      </c>
      <c r="AW131" s="83">
        <f>MAX(AJ131:AL131)</f>
      </c>
      <c r="AX131" s="81">
        <f>IF(AW131=0, "", AW131 / ((1 + 0.1*N(F131))))</f>
      </c>
      <c r="AY131" s="61">
        <f>IF(SUM(AJ131:AL131)=0, 0,     (1 + F131 * 0.1) * (1 + ((SUM(AJ131:AL131) - MAX(AJ131:AL131)) / (2 * MAX(AJ131:AL131))) * (1/0.75 - 1)))</f>
      </c>
      <c r="AZ131" s="83"/>
      <c r="BA131" s="81">
        <f>IF(AZ131=0, "", AZ131 / ((1 + 0.1*N(F131))/0.75))</f>
      </c>
      <c r="BB131" s="51">
        <v>0.1</v>
      </c>
      <c r="BC131" s="1"/>
      <c r="BD131" s="54"/>
      <c r="BE131" s="54"/>
      <c r="BF131" s="74"/>
      <c r="BG131" s="64"/>
      <c r="BH131" s="69"/>
      <c r="BI131" s="45"/>
      <c r="BJ131" s="63"/>
      <c r="BK131" s="49"/>
      <c r="BL131" s="56"/>
      <c r="BM131" s="50"/>
      <c r="BN131" s="57"/>
      <c r="BO131" s="54"/>
      <c r="BP131" s="64"/>
      <c r="BQ131" s="51"/>
      <c r="BR131" s="38">
        <f>IFERROR(BQ131*100/CP131,"N/A")</f>
      </c>
      <c r="BS131" s="61"/>
      <c r="BT131" s="54"/>
      <c r="BU131" s="42"/>
      <c r="BV131" s="78"/>
      <c r="BW131" s="73"/>
      <c r="BX131" s="64"/>
      <c r="BY131" s="52"/>
      <c r="BZ131" s="1"/>
      <c r="CA131" s="62"/>
      <c r="CB131" s="51"/>
      <c r="CC131" s="51"/>
      <c r="CD131" s="58"/>
      <c r="CE131" s="58"/>
      <c r="CF131" s="58"/>
      <c r="CG131" s="58"/>
      <c r="CH131" s="58"/>
      <c r="CI131" s="58"/>
      <c r="CJ131" s="79"/>
      <c r="CK131" s="69"/>
      <c r="CL131" s="79"/>
      <c r="CM131" s="51"/>
      <c r="CN131" s="55"/>
      <c r="CO131" s="42"/>
      <c r="CP131" s="70">
        <f>CN131*BS131*BT131</f>
      </c>
      <c r="CQ131" s="52"/>
      <c r="CR131" s="64">
        <f>100/CP131</f>
      </c>
      <c r="CS131" s="82">
        <f>100/CQ131</f>
      </c>
      <c r="CT131" s="52"/>
      <c r="CU131" s="52"/>
      <c r="CV131" s="82">
        <f>BL131/T131</f>
      </c>
      <c r="CW131" s="82">
        <f>100/CV131</f>
      </c>
      <c r="CX131" s="77"/>
      <c r="CY131" s="85"/>
      <c r="CZ131" s="77"/>
      <c r="DA131" s="77"/>
      <c r="DB131" s="77"/>
      <c r="DC131" s="1"/>
      <c r="DD131" s="1"/>
    </row>
    <row r="132">
      <c r="A132" s="84"/>
      <c r="B132" s="53"/>
      <c r="C132" s="71"/>
      <c r="D132" s="71">
        <f>IF($A132="","","WPN"&amp;VLOOKUP(E132,'引用数据库'!Z:AC,4,FALSE)&amp;VLOOKUP(H132,'引用数据库'!N:P,3,FALSE)&amp;VLOOKUP(I132,'引用数据库'!S:U,3,FALSE)&amp;TEXT(F132,"00"))</f>
      </c>
      <c r="E132" s="53"/>
      <c r="F132" s="57"/>
      <c r="G132" s="84"/>
      <c r="H132" s="53"/>
      <c r="I132" s="53"/>
      <c r="J132" s="84"/>
      <c r="K132" s="84"/>
      <c r="L132" s="42"/>
      <c r="M132" s="65"/>
      <c r="N132" s="54"/>
      <c r="O132" s="54"/>
      <c r="P132" s="54"/>
      <c r="Q132" s="54"/>
      <c r="R132" s="54"/>
      <c r="S132" s="54"/>
      <c r="T132" s="54"/>
      <c r="U132" s="51">
        <f>2*T132/(15*(1+(5-BD132)*0.1))</f>
      </c>
      <c r="V132" s="1"/>
      <c r="W132" s="54"/>
      <c r="X132" s="54"/>
      <c r="Y132" s="76"/>
      <c r="Z132" s="76"/>
      <c r="AA132" s="66"/>
      <c r="AB132" s="66"/>
      <c r="AC132" s="66"/>
      <c r="AD132" s="86"/>
      <c r="AE132" s="86"/>
      <c r="AF132" s="1"/>
      <c r="AG132" s="54"/>
      <c r="AH132" s="54"/>
      <c r="AI132" s="1"/>
      <c r="AJ132" s="80"/>
      <c r="AK132" s="80"/>
      <c r="AL132" s="80"/>
      <c r="AM132" s="55">
        <f>IFS(AJ132 &gt; 1.25, "S", AJ132 &gt; 1, "A", AJ132 &gt; 0.75, "B", AJ132 &gt; 0.5, "C", AJ132 &gt; 0.25, "D", AJ132 &gt; 0, "E", TRUE, "-")</f>
      </c>
      <c r="AN132" s="55">
        <f>IFS(AK132 &gt; 1.25, "S", AK132 &gt; 1, "A", AK132 &gt; 0.75, "B", AK132 &gt; 0.5, "C", AK132 &gt; 0.25, "D", AK132 &gt; 0, "E", TRUE, "-")</f>
      </c>
      <c r="AO132" s="55">
        <f>IFS(AL132 &gt; 1.25, "S", AL132 &gt; 1, "A", AL132 &gt; 0.75, "B", AL132 &gt; 0.5, "C", AL132 &gt; 0.25, "D", AL132 &gt; 0, "E", TRUE, "-")</f>
      </c>
      <c r="AP132" s="58"/>
      <c r="AQ132" s="68"/>
      <c r="AR132" s="68"/>
      <c r="AS132" s="55"/>
      <c r="AT132" s="55"/>
      <c r="AU132" s="55"/>
      <c r="AV132" s="61">
        <f>IF(SUM(AJ132:AL132)=0, 0, (1 + F132 * 0.1) * (0.75 + 0.25 * MAX(0, MIN(1, IF(MAX(AJ132:AL132)=0, 0, (3*MAX(AJ132:AL132)-SUM(AJ132:AL132)) / (2*MAX(AJ132:AL132)))))))</f>
      </c>
      <c r="AW132" s="83">
        <f>MAX(AJ132:AL132)</f>
      </c>
      <c r="AX132" s="81">
        <f>IF(AW132=0, "", AW132 / ((1 + 0.1*N(F132))))</f>
      </c>
      <c r="AY132" s="61">
        <f>IF(SUM(AJ132:AL132)=0, 0,     (1 + F132 * 0.1) * (1 + ((SUM(AJ132:AL132) - MAX(AJ132:AL132)) / (2 * MAX(AJ132:AL132))) * (1/0.75 - 1)))</f>
      </c>
      <c r="AZ132" s="83"/>
      <c r="BA132" s="81">
        <f>IF(AZ132=0, "", AZ132 / ((1 + 0.1*N(F132))/0.75))</f>
      </c>
      <c r="BB132" s="51">
        <v>0.1</v>
      </c>
      <c r="BC132" s="1"/>
      <c r="BD132" s="54"/>
      <c r="BE132" s="54"/>
      <c r="BF132" s="74"/>
      <c r="BG132" s="64"/>
      <c r="BH132" s="69"/>
      <c r="BI132" s="45"/>
      <c r="BJ132" s="63"/>
      <c r="BK132" s="49"/>
      <c r="BL132" s="56"/>
      <c r="BM132" s="50"/>
      <c r="BN132" s="57"/>
      <c r="BO132" s="54"/>
      <c r="BP132" s="64"/>
      <c r="BQ132" s="51"/>
      <c r="BR132" s="38">
        <f>IFERROR(BQ132*100/CP132,"N/A")</f>
      </c>
      <c r="BS132" s="61"/>
      <c r="BT132" s="54"/>
      <c r="BU132" s="42"/>
      <c r="BV132" s="78"/>
      <c r="BW132" s="73"/>
      <c r="BX132" s="64"/>
      <c r="BY132" s="52"/>
      <c r="BZ132" s="1"/>
      <c r="CA132" s="62"/>
      <c r="CB132" s="51"/>
      <c r="CC132" s="51"/>
      <c r="CD132" s="58"/>
      <c r="CE132" s="58"/>
      <c r="CF132" s="58"/>
      <c r="CG132" s="58"/>
      <c r="CH132" s="58"/>
      <c r="CI132" s="58"/>
      <c r="CJ132" s="79"/>
      <c r="CK132" s="69"/>
      <c r="CL132" s="79"/>
      <c r="CM132" s="51"/>
      <c r="CN132" s="55"/>
      <c r="CO132" s="42"/>
      <c r="CP132" s="70">
        <f>CN132*BS132*BT132</f>
      </c>
      <c r="CQ132" s="52"/>
      <c r="CR132" s="64">
        <f>100/CP132</f>
      </c>
      <c r="CS132" s="82">
        <f>100/CQ132</f>
      </c>
      <c r="CT132" s="52"/>
      <c r="CU132" s="52"/>
      <c r="CV132" s="82">
        <f>BL132/T132</f>
      </c>
      <c r="CW132" s="82">
        <f>100/CV132</f>
      </c>
      <c r="CX132" s="77"/>
      <c r="CY132" s="85"/>
      <c r="CZ132" s="77"/>
      <c r="DA132" s="77"/>
      <c r="DB132" s="77"/>
      <c r="DC132" s="1"/>
      <c r="DD132" s="1"/>
    </row>
    <row r="133">
      <c r="A133" s="84"/>
      <c r="B133" s="53"/>
      <c r="C133" s="71"/>
      <c r="D133" s="71">
        <f>IF($A133="","","WPN"&amp;VLOOKUP(E133,'引用数据库'!Z:AC,4,FALSE)&amp;VLOOKUP(H133,'引用数据库'!N:P,3,FALSE)&amp;VLOOKUP(I133,'引用数据库'!S:U,3,FALSE)&amp;TEXT(F133,"00"))</f>
      </c>
      <c r="E133" s="53"/>
      <c r="F133" s="57"/>
      <c r="G133" s="84"/>
      <c r="H133" s="53"/>
      <c r="I133" s="53"/>
      <c r="J133" s="84"/>
      <c r="K133" s="84"/>
      <c r="L133" s="42"/>
      <c r="M133" s="65"/>
      <c r="N133" s="54"/>
      <c r="O133" s="54"/>
      <c r="P133" s="54"/>
      <c r="Q133" s="54"/>
      <c r="R133" s="54"/>
      <c r="S133" s="54"/>
      <c r="T133" s="54"/>
      <c r="U133" s="51">
        <f>2*T133/(15*(1+(5-BD133)*0.1))</f>
      </c>
      <c r="V133" s="1"/>
      <c r="W133" s="54"/>
      <c r="X133" s="54"/>
      <c r="Y133" s="76"/>
      <c r="Z133" s="76"/>
      <c r="AA133" s="66"/>
      <c r="AB133" s="66"/>
      <c r="AC133" s="66"/>
      <c r="AD133" s="86"/>
      <c r="AE133" s="86"/>
      <c r="AF133" s="1"/>
      <c r="AG133" s="54"/>
      <c r="AH133" s="54"/>
      <c r="AI133" s="1"/>
      <c r="AJ133" s="80"/>
      <c r="AK133" s="80"/>
      <c r="AL133" s="80"/>
      <c r="AM133" s="55">
        <f>IFS(AJ133 &gt; 1.25, "S", AJ133 &gt; 1, "A", AJ133 &gt; 0.75, "B", AJ133 &gt; 0.5, "C", AJ133 &gt; 0.25, "D", AJ133 &gt; 0, "E", TRUE, "-")</f>
      </c>
      <c r="AN133" s="55">
        <f>IFS(AK133 &gt; 1.25, "S", AK133 &gt; 1, "A", AK133 &gt; 0.75, "B", AK133 &gt; 0.5, "C", AK133 &gt; 0.25, "D", AK133 &gt; 0, "E", TRUE, "-")</f>
      </c>
      <c r="AO133" s="55">
        <f>IFS(AL133 &gt; 1.25, "S", AL133 &gt; 1, "A", AL133 &gt; 0.75, "B", AL133 &gt; 0.5, "C", AL133 &gt; 0.25, "D", AL133 &gt; 0, "E", TRUE, "-")</f>
      </c>
      <c r="AP133" s="58"/>
      <c r="AQ133" s="68"/>
      <c r="AR133" s="68"/>
      <c r="AS133" s="55"/>
      <c r="AT133" s="55"/>
      <c r="AU133" s="55"/>
      <c r="AV133" s="61">
        <f>IF(SUM(AJ133:AL133)=0, 0, (1 + F133 * 0.1) * (0.75 + 0.25 * MAX(0, MIN(1, IF(MAX(AJ133:AL133)=0, 0, (3*MAX(AJ133:AL133)-SUM(AJ133:AL133)) / (2*MAX(AJ133:AL133)))))))</f>
      </c>
      <c r="AW133" s="83">
        <f>MAX(AJ133:AL133)</f>
      </c>
      <c r="AX133" s="81">
        <f>IF(AW133=0, "", AW133 / ((1 + 0.1*N(F133))))</f>
      </c>
      <c r="AY133" s="61">
        <f>IF(SUM(AJ133:AL133)=0, 0,     (1 + F133 * 0.1) * (1 + ((SUM(AJ133:AL133) - MAX(AJ133:AL133)) / (2 * MAX(AJ133:AL133))) * (1/0.75 - 1)))</f>
      </c>
      <c r="AZ133" s="83"/>
      <c r="BA133" s="81">
        <f>IF(AZ133=0, "", AZ133 / ((1 + 0.1*N(F133))/0.75))</f>
      </c>
      <c r="BB133" s="51">
        <v>0.1</v>
      </c>
      <c r="BC133" s="1"/>
      <c r="BD133" s="54"/>
      <c r="BE133" s="54"/>
      <c r="BF133" s="74"/>
      <c r="BG133" s="64"/>
      <c r="BH133" s="69"/>
      <c r="BI133" s="45"/>
      <c r="BJ133" s="63"/>
      <c r="BK133" s="49"/>
      <c r="BL133" s="56"/>
      <c r="BM133" s="50"/>
      <c r="BN133" s="57"/>
      <c r="BO133" s="54"/>
      <c r="BP133" s="64"/>
      <c r="BQ133" s="51"/>
      <c r="BR133" s="38">
        <f>IFERROR(BQ133*100/CP133,"N/A")</f>
      </c>
      <c r="BS133" s="61"/>
      <c r="BT133" s="54"/>
      <c r="BU133" s="42"/>
      <c r="BV133" s="78"/>
      <c r="BW133" s="73"/>
      <c r="BX133" s="64"/>
      <c r="BY133" s="52"/>
      <c r="BZ133" s="1"/>
      <c r="CA133" s="62"/>
      <c r="CB133" s="51"/>
      <c r="CC133" s="51"/>
      <c r="CD133" s="58"/>
      <c r="CE133" s="58"/>
      <c r="CF133" s="58"/>
      <c r="CG133" s="58"/>
      <c r="CH133" s="58"/>
      <c r="CI133" s="58"/>
      <c r="CJ133" s="79"/>
      <c r="CK133" s="69"/>
      <c r="CL133" s="79"/>
      <c r="CM133" s="51"/>
      <c r="CN133" s="55"/>
      <c r="CO133" s="42"/>
      <c r="CP133" s="70">
        <f>CN133*BS133*BT133</f>
      </c>
      <c r="CQ133" s="52"/>
      <c r="CR133" s="64">
        <f>100/CP133</f>
      </c>
      <c r="CS133" s="82">
        <f>100/CQ133</f>
      </c>
      <c r="CT133" s="52"/>
      <c r="CU133" s="52"/>
      <c r="CV133" s="82">
        <f>BL133/T133</f>
      </c>
      <c r="CW133" s="82">
        <f>100/CV133</f>
      </c>
      <c r="CX133" s="77"/>
      <c r="CY133" s="85"/>
      <c r="CZ133" s="77"/>
      <c r="DA133" s="77"/>
      <c r="DB133" s="77"/>
      <c r="DC133" s="1"/>
      <c r="DD133" s="1"/>
    </row>
    <row r="134">
      <c r="A134" s="84"/>
      <c r="B134" s="53"/>
      <c r="C134" s="71"/>
      <c r="D134" s="71">
        <f>IF($A134="","","WPN"&amp;VLOOKUP(E134,'引用数据库'!Z:AC,4,FALSE)&amp;VLOOKUP(H134,'引用数据库'!N:P,3,FALSE)&amp;VLOOKUP(I134,'引用数据库'!S:U,3,FALSE)&amp;TEXT(F134,"00"))</f>
      </c>
      <c r="E134" s="53"/>
      <c r="F134" s="57"/>
      <c r="G134" s="84"/>
      <c r="H134" s="53"/>
      <c r="I134" s="53"/>
      <c r="J134" s="84"/>
      <c r="K134" s="84"/>
      <c r="L134" s="42"/>
      <c r="M134" s="65"/>
      <c r="N134" s="54"/>
      <c r="O134" s="54"/>
      <c r="P134" s="54"/>
      <c r="Q134" s="54"/>
      <c r="R134" s="54"/>
      <c r="S134" s="54"/>
      <c r="T134" s="54"/>
      <c r="U134" s="51">
        <f>2*T134/(15*(1+(5-BD134)*0.1))</f>
      </c>
      <c r="V134" s="1"/>
      <c r="W134" s="54"/>
      <c r="X134" s="54"/>
      <c r="Y134" s="76"/>
      <c r="Z134" s="76"/>
      <c r="AA134" s="66"/>
      <c r="AB134" s="66"/>
      <c r="AC134" s="66"/>
      <c r="AD134" s="86"/>
      <c r="AE134" s="86"/>
      <c r="AF134" s="1"/>
      <c r="AG134" s="54"/>
      <c r="AH134" s="54"/>
      <c r="AI134" s="1"/>
      <c r="AJ134" s="80"/>
      <c r="AK134" s="80"/>
      <c r="AL134" s="80"/>
      <c r="AM134" s="55">
        <f>IFS(AJ134 &gt; 1.25, "S", AJ134 &gt; 1, "A", AJ134 &gt; 0.75, "B", AJ134 &gt; 0.5, "C", AJ134 &gt; 0.25, "D", AJ134 &gt; 0, "E", TRUE, "-")</f>
      </c>
      <c r="AN134" s="55">
        <f>IFS(AK134 &gt; 1.25, "S", AK134 &gt; 1, "A", AK134 &gt; 0.75, "B", AK134 &gt; 0.5, "C", AK134 &gt; 0.25, "D", AK134 &gt; 0, "E", TRUE, "-")</f>
      </c>
      <c r="AO134" s="55">
        <f>IFS(AL134 &gt; 1.25, "S", AL134 &gt; 1, "A", AL134 &gt; 0.75, "B", AL134 &gt; 0.5, "C", AL134 &gt; 0.25, "D", AL134 &gt; 0, "E", TRUE, "-")</f>
      </c>
      <c r="AP134" s="58"/>
      <c r="AQ134" s="68"/>
      <c r="AR134" s="68"/>
      <c r="AS134" s="55"/>
      <c r="AT134" s="55"/>
      <c r="AU134" s="55"/>
      <c r="AV134" s="61">
        <f>IF(SUM(AJ134:AL134)=0, 0, (1 + F134 * 0.1) * (0.75 + 0.25 * MAX(0, MIN(1, IF(MAX(AJ134:AL134)=0, 0, (3*MAX(AJ134:AL134)-SUM(AJ134:AL134)) / (2*MAX(AJ134:AL134)))))))</f>
      </c>
      <c r="AW134" s="83">
        <f>MAX(AJ134:AL134)</f>
      </c>
      <c r="AX134" s="81">
        <f>IF(AW134=0, "", AW134 / ((1 + 0.1*N(F134))))</f>
      </c>
      <c r="AY134" s="61">
        <f>IF(SUM(AJ134:AL134)=0, 0,     (1 + F134 * 0.1) * (1 + ((SUM(AJ134:AL134) - MAX(AJ134:AL134)) / (2 * MAX(AJ134:AL134))) * (1/0.75 - 1)))</f>
      </c>
      <c r="AZ134" s="83"/>
      <c r="BA134" s="81">
        <f>IF(AZ134=0, "", AZ134 / ((1 + 0.1*N(F134))/0.75))</f>
      </c>
      <c r="BB134" s="51">
        <v>0.1</v>
      </c>
      <c r="BC134" s="1"/>
      <c r="BD134" s="54"/>
      <c r="BE134" s="54"/>
      <c r="BF134" s="74"/>
      <c r="BG134" s="64"/>
      <c r="BH134" s="69"/>
      <c r="BI134" s="45"/>
      <c r="BJ134" s="63"/>
      <c r="BK134" s="49"/>
      <c r="BL134" s="56"/>
      <c r="BM134" s="50"/>
      <c r="BN134" s="57"/>
      <c r="BO134" s="54"/>
      <c r="BP134" s="64"/>
      <c r="BQ134" s="51"/>
      <c r="BR134" s="38">
        <f>IFERROR(BQ134*100/CP134,"N/A")</f>
      </c>
      <c r="BS134" s="61"/>
      <c r="BT134" s="54"/>
      <c r="BU134" s="42"/>
      <c r="BV134" s="78"/>
      <c r="BW134" s="73"/>
      <c r="BX134" s="64"/>
      <c r="BY134" s="52"/>
      <c r="BZ134" s="1"/>
      <c r="CA134" s="62"/>
      <c r="CB134" s="51"/>
      <c r="CC134" s="51"/>
      <c r="CD134" s="58"/>
      <c r="CE134" s="58"/>
      <c r="CF134" s="58"/>
      <c r="CG134" s="58"/>
      <c r="CH134" s="58"/>
      <c r="CI134" s="58"/>
      <c r="CJ134" s="79"/>
      <c r="CK134" s="69"/>
      <c r="CL134" s="79"/>
      <c r="CM134" s="51"/>
      <c r="CN134" s="55"/>
      <c r="CO134" s="42"/>
      <c r="CP134" s="70">
        <f>CN134*BS134*BT134</f>
      </c>
      <c r="CQ134" s="52"/>
      <c r="CR134" s="64">
        <f>100/CP134</f>
      </c>
      <c r="CS134" s="82">
        <f>100/CQ134</f>
      </c>
      <c r="CT134" s="52"/>
      <c r="CU134" s="52"/>
      <c r="CV134" s="82">
        <f>BL134/T134</f>
      </c>
      <c r="CW134" s="82">
        <f>100/CV134</f>
      </c>
      <c r="CX134" s="77"/>
      <c r="CY134" s="85"/>
      <c r="CZ134" s="77"/>
      <c r="DA134" s="77"/>
      <c r="DB134" s="77"/>
      <c r="DC134" s="1"/>
      <c r="DD134" s="1"/>
    </row>
    <row r="135">
      <c r="A135" s="84"/>
      <c r="B135" s="53"/>
      <c r="C135" s="71"/>
      <c r="D135" s="71">
        <f>IF($A135="","","WPN"&amp;VLOOKUP(E135,'引用数据库'!Z:AC,4,FALSE)&amp;VLOOKUP(H135,'引用数据库'!N:P,3,FALSE)&amp;VLOOKUP(I135,'引用数据库'!S:U,3,FALSE)&amp;TEXT(F135,"00"))</f>
      </c>
      <c r="E135" s="53"/>
      <c r="F135" s="57"/>
      <c r="G135" s="84"/>
      <c r="H135" s="53"/>
      <c r="I135" s="53"/>
      <c r="J135" s="84"/>
      <c r="K135" s="84"/>
      <c r="L135" s="42"/>
      <c r="M135" s="65"/>
      <c r="N135" s="54"/>
      <c r="O135" s="54"/>
      <c r="P135" s="54"/>
      <c r="Q135" s="54"/>
      <c r="R135" s="54"/>
      <c r="S135" s="54"/>
      <c r="T135" s="54"/>
      <c r="U135" s="51">
        <f>2*T135/(15*(1+(5-BD135)*0.1))</f>
      </c>
      <c r="V135" s="1"/>
      <c r="W135" s="54"/>
      <c r="X135" s="54"/>
      <c r="Y135" s="76"/>
      <c r="Z135" s="76"/>
      <c r="AA135" s="66"/>
      <c r="AB135" s="66"/>
      <c r="AC135" s="66"/>
      <c r="AD135" s="86"/>
      <c r="AE135" s="86"/>
      <c r="AF135" s="1"/>
      <c r="AG135" s="54"/>
      <c r="AH135" s="54"/>
      <c r="AI135" s="1"/>
      <c r="AJ135" s="80"/>
      <c r="AK135" s="80"/>
      <c r="AL135" s="80"/>
      <c r="AM135" s="55">
        <f>IFS(AJ135 &gt; 1.25, "S", AJ135 &gt; 1, "A", AJ135 &gt; 0.75, "B", AJ135 &gt; 0.5, "C", AJ135 &gt; 0.25, "D", AJ135 &gt; 0, "E", TRUE, "-")</f>
      </c>
      <c r="AN135" s="55">
        <f>IFS(AK135 &gt; 1.25, "S", AK135 &gt; 1, "A", AK135 &gt; 0.75, "B", AK135 &gt; 0.5, "C", AK135 &gt; 0.25, "D", AK135 &gt; 0, "E", TRUE, "-")</f>
      </c>
      <c r="AO135" s="55">
        <f>IFS(AL135 &gt; 1.25, "S", AL135 &gt; 1, "A", AL135 &gt; 0.75, "B", AL135 &gt; 0.5, "C", AL135 &gt; 0.25, "D", AL135 &gt; 0, "E", TRUE, "-")</f>
      </c>
      <c r="AP135" s="58"/>
      <c r="AQ135" s="68"/>
      <c r="AR135" s="68"/>
      <c r="AS135" s="55"/>
      <c r="AT135" s="55"/>
      <c r="AU135" s="55"/>
      <c r="AV135" s="61">
        <f>IF(SUM(AJ135:AL135)=0, 0, (1 + F135 * 0.1) * (0.75 + 0.25 * MAX(0, MIN(1, IF(MAX(AJ135:AL135)=0, 0, (3*MAX(AJ135:AL135)-SUM(AJ135:AL135)) / (2*MAX(AJ135:AL135)))))))</f>
      </c>
      <c r="AW135" s="83">
        <f>MAX(AJ135:AL135)</f>
      </c>
      <c r="AX135" s="81">
        <f>IF(AW135=0, "", AW135 / ((1 + 0.1*N(F135))))</f>
      </c>
      <c r="AY135" s="61">
        <f>IF(SUM(AJ135:AL135)=0, 0,     (1 + F135 * 0.1) * (1 + ((SUM(AJ135:AL135) - MAX(AJ135:AL135)) / (2 * MAX(AJ135:AL135))) * (1/0.75 - 1)))</f>
      </c>
      <c r="AZ135" s="83"/>
      <c r="BA135" s="81">
        <f>IF(AZ135=0, "", AZ135 / ((1 + 0.1*N(F135))/0.75))</f>
      </c>
      <c r="BB135" s="51">
        <v>0.1</v>
      </c>
      <c r="BC135" s="1"/>
      <c r="BD135" s="54"/>
      <c r="BE135" s="54"/>
      <c r="BF135" s="74"/>
      <c r="BG135" s="64"/>
      <c r="BH135" s="69"/>
      <c r="BI135" s="45"/>
      <c r="BJ135" s="63"/>
      <c r="BK135" s="49"/>
      <c r="BL135" s="56"/>
      <c r="BM135" s="50"/>
      <c r="BN135" s="57"/>
      <c r="BO135" s="54"/>
      <c r="BP135" s="64"/>
      <c r="BQ135" s="51"/>
      <c r="BR135" s="38">
        <f>IFERROR(BQ135*100/CP135,"N/A")</f>
      </c>
      <c r="BS135" s="61"/>
      <c r="BT135" s="54"/>
      <c r="BU135" s="42"/>
      <c r="BV135" s="78"/>
      <c r="BW135" s="73"/>
      <c r="BX135" s="64"/>
      <c r="BY135" s="52"/>
      <c r="BZ135" s="1"/>
      <c r="CA135" s="62"/>
      <c r="CB135" s="51"/>
      <c r="CC135" s="51"/>
      <c r="CD135" s="58"/>
      <c r="CE135" s="58"/>
      <c r="CF135" s="58"/>
      <c r="CG135" s="58"/>
      <c r="CH135" s="58"/>
      <c r="CI135" s="58"/>
      <c r="CJ135" s="79"/>
      <c r="CK135" s="69"/>
      <c r="CL135" s="79"/>
      <c r="CM135" s="51"/>
      <c r="CN135" s="55"/>
      <c r="CO135" s="42"/>
      <c r="CP135" s="70">
        <f>CN135*BS135*BT135</f>
      </c>
      <c r="CQ135" s="52"/>
      <c r="CR135" s="64">
        <f>100/CP135</f>
      </c>
      <c r="CS135" s="82">
        <f>100/CQ135</f>
      </c>
      <c r="CT135" s="52"/>
      <c r="CU135" s="52"/>
      <c r="CV135" s="82">
        <f>BL135/T135</f>
      </c>
      <c r="CW135" s="82">
        <f>100/CV135</f>
      </c>
      <c r="CX135" s="77"/>
      <c r="CY135" s="85"/>
      <c r="CZ135" s="77"/>
      <c r="DA135" s="77"/>
      <c r="DB135" s="77"/>
      <c r="DC135" s="1"/>
      <c r="DD135" s="1"/>
    </row>
    <row r="136">
      <c r="A136" s="84"/>
      <c r="B136" s="53"/>
      <c r="C136" s="71"/>
      <c r="D136" s="71">
        <f>IF($A136="","","WPN"&amp;VLOOKUP(E136,'引用数据库'!Z:AC,4,FALSE)&amp;VLOOKUP(H136,'引用数据库'!N:P,3,FALSE)&amp;VLOOKUP(I136,'引用数据库'!S:U,3,FALSE)&amp;TEXT(F136,"00"))</f>
      </c>
      <c r="E136" s="53"/>
      <c r="F136" s="57"/>
      <c r="G136" s="84"/>
      <c r="H136" s="53"/>
      <c r="I136" s="53"/>
      <c r="J136" s="84"/>
      <c r="K136" s="84"/>
      <c r="L136" s="42"/>
      <c r="M136" s="65"/>
      <c r="N136" s="54"/>
      <c r="O136" s="54"/>
      <c r="P136" s="54"/>
      <c r="Q136" s="54"/>
      <c r="R136" s="54"/>
      <c r="S136" s="54"/>
      <c r="T136" s="54"/>
      <c r="U136" s="51">
        <f>2*T136/(15*(1+(5-BD136)*0.1))</f>
      </c>
      <c r="V136" s="1"/>
      <c r="W136" s="54"/>
      <c r="X136" s="54"/>
      <c r="Y136" s="76"/>
      <c r="Z136" s="76"/>
      <c r="AA136" s="66"/>
      <c r="AB136" s="66"/>
      <c r="AC136" s="66"/>
      <c r="AD136" s="86"/>
      <c r="AE136" s="86"/>
      <c r="AF136" s="1"/>
      <c r="AG136" s="54"/>
      <c r="AH136" s="54"/>
      <c r="AI136" s="1"/>
      <c r="AJ136" s="80"/>
      <c r="AK136" s="80"/>
      <c r="AL136" s="80"/>
      <c r="AM136" s="55">
        <f>IFS(AJ136 &gt; 1.25, "S", AJ136 &gt; 1, "A", AJ136 &gt; 0.75, "B", AJ136 &gt; 0.5, "C", AJ136 &gt; 0.25, "D", AJ136 &gt; 0, "E", TRUE, "-")</f>
      </c>
      <c r="AN136" s="55">
        <f>IFS(AK136 &gt; 1.25, "S", AK136 &gt; 1, "A", AK136 &gt; 0.75, "B", AK136 &gt; 0.5, "C", AK136 &gt; 0.25, "D", AK136 &gt; 0, "E", TRUE, "-")</f>
      </c>
      <c r="AO136" s="55">
        <f>IFS(AL136 &gt; 1.25, "S", AL136 &gt; 1, "A", AL136 &gt; 0.75, "B", AL136 &gt; 0.5, "C", AL136 &gt; 0.25, "D", AL136 &gt; 0, "E", TRUE, "-")</f>
      </c>
      <c r="AP136" s="58"/>
      <c r="AQ136" s="68"/>
      <c r="AR136" s="68"/>
      <c r="AS136" s="55"/>
      <c r="AT136" s="55"/>
      <c r="AU136" s="55"/>
      <c r="AV136" s="61">
        <f>IF(SUM(AJ136:AL136)=0, 0, (1 + F136 * 0.1) * (0.75 + 0.25 * MAX(0, MIN(1, IF(MAX(AJ136:AL136)=0, 0, (3*MAX(AJ136:AL136)-SUM(AJ136:AL136)) / (2*MAX(AJ136:AL136)))))))</f>
      </c>
      <c r="AW136" s="83">
        <f>MAX(AJ136:AL136)</f>
      </c>
      <c r="AX136" s="81">
        <f>IF(AW136=0, "", AW136 / ((1 + 0.1*N(F136))))</f>
      </c>
      <c r="AY136" s="61">
        <f>IF(SUM(AJ136:AL136)=0, 0,     (1 + F136 * 0.1) * (1 + ((SUM(AJ136:AL136) - MAX(AJ136:AL136)) / (2 * MAX(AJ136:AL136))) * (1/0.75 - 1)))</f>
      </c>
      <c r="AZ136" s="83"/>
      <c r="BA136" s="81">
        <f>IF(AZ136=0, "", AZ136 / ((1 + 0.1*N(F136))/0.75))</f>
      </c>
      <c r="BB136" s="51">
        <v>0.1</v>
      </c>
      <c r="BC136" s="1"/>
      <c r="BD136" s="54"/>
      <c r="BE136" s="54"/>
      <c r="BF136" s="74"/>
      <c r="BG136" s="64"/>
      <c r="BH136" s="69"/>
      <c r="BI136" s="45"/>
      <c r="BJ136" s="63"/>
      <c r="BK136" s="49"/>
      <c r="BL136" s="56"/>
      <c r="BM136" s="50"/>
      <c r="BN136" s="57"/>
      <c r="BO136" s="54"/>
      <c r="BP136" s="64"/>
      <c r="BQ136" s="51"/>
      <c r="BR136" s="38">
        <f>IFERROR(BQ136*100/CP136,"N/A")</f>
      </c>
      <c r="BS136" s="61"/>
      <c r="BT136" s="54"/>
      <c r="BU136" s="42"/>
      <c r="BV136" s="78"/>
      <c r="BW136" s="73"/>
      <c r="BX136" s="64"/>
      <c r="BY136" s="52"/>
      <c r="BZ136" s="1"/>
      <c r="CA136" s="62"/>
      <c r="CB136" s="51"/>
      <c r="CC136" s="51"/>
      <c r="CD136" s="58"/>
      <c r="CE136" s="58"/>
      <c r="CF136" s="58"/>
      <c r="CG136" s="58"/>
      <c r="CH136" s="58"/>
      <c r="CI136" s="58"/>
      <c r="CJ136" s="79"/>
      <c r="CK136" s="69"/>
      <c r="CL136" s="79"/>
      <c r="CM136" s="51"/>
      <c r="CN136" s="55"/>
      <c r="CO136" s="42"/>
      <c r="CP136" s="70">
        <f>CN136*BS136*BT136</f>
      </c>
      <c r="CQ136" s="52"/>
      <c r="CR136" s="64">
        <f>100/CP136</f>
      </c>
      <c r="CS136" s="82">
        <f>100/CQ136</f>
      </c>
      <c r="CT136" s="52"/>
      <c r="CU136" s="52"/>
      <c r="CV136" s="82">
        <f>BL136/T136</f>
      </c>
      <c r="CW136" s="82">
        <f>100/CV136</f>
      </c>
      <c r="CX136" s="77"/>
      <c r="CY136" s="85"/>
      <c r="CZ136" s="77"/>
      <c r="DA136" s="77"/>
      <c r="DB136" s="77"/>
      <c r="DC136" s="1"/>
      <c r="DD136" s="1"/>
    </row>
    <row r="137">
      <c r="A137" s="84"/>
      <c r="B137" s="53"/>
      <c r="C137" s="71"/>
      <c r="D137" s="71">
        <f>IF($A137="","","WPN"&amp;VLOOKUP(E137,'引用数据库'!Z:AC,4,FALSE)&amp;VLOOKUP(H137,'引用数据库'!N:P,3,FALSE)&amp;VLOOKUP(I137,'引用数据库'!S:U,3,FALSE)&amp;TEXT(F137,"00"))</f>
      </c>
      <c r="E137" s="53"/>
      <c r="F137" s="57"/>
      <c r="G137" s="84"/>
      <c r="H137" s="53"/>
      <c r="I137" s="53"/>
      <c r="J137" s="84"/>
      <c r="K137" s="84"/>
      <c r="L137" s="42"/>
      <c r="M137" s="65"/>
      <c r="N137" s="54"/>
      <c r="O137" s="54"/>
      <c r="P137" s="54"/>
      <c r="Q137" s="54"/>
      <c r="R137" s="54"/>
      <c r="S137" s="54"/>
      <c r="T137" s="54"/>
      <c r="U137" s="51">
        <f>2*T137/(15*(1+(5-BD137)*0.1))</f>
      </c>
      <c r="V137" s="1"/>
      <c r="W137" s="54"/>
      <c r="X137" s="54"/>
      <c r="Y137" s="76"/>
      <c r="Z137" s="76"/>
      <c r="AA137" s="66"/>
      <c r="AB137" s="66"/>
      <c r="AC137" s="66"/>
      <c r="AD137" s="86"/>
      <c r="AE137" s="86"/>
      <c r="AF137" s="1"/>
      <c r="AG137" s="54"/>
      <c r="AH137" s="54"/>
      <c r="AI137" s="1"/>
      <c r="AJ137" s="80"/>
      <c r="AK137" s="80"/>
      <c r="AL137" s="80"/>
      <c r="AM137" s="55">
        <f>IFS(AJ137 &gt; 1.25, "S", AJ137 &gt; 1, "A", AJ137 &gt; 0.75, "B", AJ137 &gt; 0.5, "C", AJ137 &gt; 0.25, "D", AJ137 &gt; 0, "E", TRUE, "-")</f>
      </c>
      <c r="AN137" s="55">
        <f>IFS(AK137 &gt; 1.25, "S", AK137 &gt; 1, "A", AK137 &gt; 0.75, "B", AK137 &gt; 0.5, "C", AK137 &gt; 0.25, "D", AK137 &gt; 0, "E", TRUE, "-")</f>
      </c>
      <c r="AO137" s="55">
        <f>IFS(AL137 &gt; 1.25, "S", AL137 &gt; 1, "A", AL137 &gt; 0.75, "B", AL137 &gt; 0.5, "C", AL137 &gt; 0.25, "D", AL137 &gt; 0, "E", TRUE, "-")</f>
      </c>
      <c r="AP137" s="58"/>
      <c r="AQ137" s="68"/>
      <c r="AR137" s="68"/>
      <c r="AS137" s="55"/>
      <c r="AT137" s="55"/>
      <c r="AU137" s="55"/>
      <c r="AV137" s="61">
        <f>IF(SUM(AJ137:AL137)=0, 0, (1 + F137 * 0.1) * (0.75 + 0.25 * MAX(0, MIN(1, IF(MAX(AJ137:AL137)=0, 0, (3*MAX(AJ137:AL137)-SUM(AJ137:AL137)) / (2*MAX(AJ137:AL137)))))))</f>
      </c>
      <c r="AW137" s="83">
        <f>MAX(AJ137:AL137)</f>
      </c>
      <c r="AX137" s="81">
        <f>IF(AW137=0, "", AW137 / ((1 + 0.1*N(F137))))</f>
      </c>
      <c r="AY137" s="61">
        <f>IF(SUM(AJ137:AL137)=0, 0,     (1 + F137 * 0.1) * (1 + ((SUM(AJ137:AL137) - MAX(AJ137:AL137)) / (2 * MAX(AJ137:AL137))) * (1/0.75 - 1)))</f>
      </c>
      <c r="AZ137" s="83"/>
      <c r="BA137" s="81">
        <f>IF(AZ137=0, "", AZ137 / ((1 + 0.1*N(F137))/0.75))</f>
      </c>
      <c r="BB137" s="51">
        <v>0.1</v>
      </c>
      <c r="BC137" s="1"/>
      <c r="BD137" s="54"/>
      <c r="BE137" s="54"/>
      <c r="BF137" s="74"/>
      <c r="BG137" s="64"/>
      <c r="BH137" s="69"/>
      <c r="BI137" s="45"/>
      <c r="BJ137" s="63"/>
      <c r="BK137" s="49"/>
      <c r="BL137" s="56"/>
      <c r="BM137" s="50"/>
      <c r="BN137" s="57"/>
      <c r="BO137" s="54"/>
      <c r="BP137" s="64"/>
      <c r="BQ137" s="51"/>
      <c r="BR137" s="38">
        <f>IFERROR(BQ137*100/CP137,"N/A")</f>
      </c>
      <c r="BS137" s="61"/>
      <c r="BT137" s="54"/>
      <c r="BU137" s="42"/>
      <c r="BV137" s="78"/>
      <c r="BW137" s="73"/>
      <c r="BX137" s="64"/>
      <c r="BY137" s="52"/>
      <c r="BZ137" s="1"/>
      <c r="CA137" s="62"/>
      <c r="CB137" s="51"/>
      <c r="CC137" s="51"/>
      <c r="CD137" s="58"/>
      <c r="CE137" s="58"/>
      <c r="CF137" s="58"/>
      <c r="CG137" s="58"/>
      <c r="CH137" s="58"/>
      <c r="CI137" s="58"/>
      <c r="CJ137" s="79"/>
      <c r="CK137" s="69"/>
      <c r="CL137" s="79"/>
      <c r="CM137" s="51"/>
      <c r="CN137" s="55"/>
      <c r="CO137" s="42"/>
      <c r="CP137" s="70">
        <f>CN137*BS137*BT137</f>
      </c>
      <c r="CQ137" s="52"/>
      <c r="CR137" s="64">
        <f>100/CP137</f>
      </c>
      <c r="CS137" s="82">
        <f>100/CQ137</f>
      </c>
      <c r="CT137" s="52"/>
      <c r="CU137" s="52"/>
      <c r="CV137" s="82">
        <f>BL137/T137</f>
      </c>
      <c r="CW137" s="82">
        <f>100/CV137</f>
      </c>
      <c r="CX137" s="77"/>
      <c r="CY137" s="85"/>
      <c r="CZ137" s="77"/>
      <c r="DA137" s="77"/>
      <c r="DB137" s="77"/>
      <c r="DC137" s="1"/>
      <c r="DD137" s="1"/>
    </row>
    <row r="138">
      <c r="A138" s="84"/>
      <c r="B138" s="53"/>
      <c r="C138" s="71"/>
      <c r="D138" s="71">
        <f>IF($A138="","","WPN"&amp;VLOOKUP(E138,'引用数据库'!Z:AC,4,FALSE)&amp;VLOOKUP(H138,'引用数据库'!N:P,3,FALSE)&amp;VLOOKUP(I138,'引用数据库'!S:U,3,FALSE)&amp;TEXT(F138,"00"))</f>
      </c>
      <c r="E138" s="53"/>
      <c r="F138" s="57"/>
      <c r="G138" s="84"/>
      <c r="H138" s="53"/>
      <c r="I138" s="53"/>
      <c r="J138" s="84"/>
      <c r="K138" s="84"/>
      <c r="L138" s="42"/>
      <c r="M138" s="65"/>
      <c r="N138" s="54"/>
      <c r="O138" s="54"/>
      <c r="P138" s="54"/>
      <c r="Q138" s="54"/>
      <c r="R138" s="54"/>
      <c r="S138" s="54"/>
      <c r="T138" s="54"/>
      <c r="U138" s="51">
        <f>2*T138/(15*(1+(5-BD138)*0.1))</f>
      </c>
      <c r="V138" s="1"/>
      <c r="W138" s="54"/>
      <c r="X138" s="54"/>
      <c r="Y138" s="76"/>
      <c r="Z138" s="76"/>
      <c r="AA138" s="66"/>
      <c r="AB138" s="66"/>
      <c r="AC138" s="66"/>
      <c r="AD138" s="86"/>
      <c r="AE138" s="86"/>
      <c r="AF138" s="1"/>
      <c r="AG138" s="54"/>
      <c r="AH138" s="54"/>
      <c r="AI138" s="1"/>
      <c r="AJ138" s="80"/>
      <c r="AK138" s="80"/>
      <c r="AL138" s="80"/>
      <c r="AM138" s="55">
        <f>IFS(AJ138 &gt; 1.25, "S", AJ138 &gt; 1, "A", AJ138 &gt; 0.75, "B", AJ138 &gt; 0.5, "C", AJ138 &gt; 0.25, "D", AJ138 &gt; 0, "E", TRUE, "-")</f>
      </c>
      <c r="AN138" s="55">
        <f>IFS(AK138 &gt; 1.25, "S", AK138 &gt; 1, "A", AK138 &gt; 0.75, "B", AK138 &gt; 0.5, "C", AK138 &gt; 0.25, "D", AK138 &gt; 0, "E", TRUE, "-")</f>
      </c>
      <c r="AO138" s="55">
        <f>IFS(AL138 &gt; 1.25, "S", AL138 &gt; 1, "A", AL138 &gt; 0.75, "B", AL138 &gt; 0.5, "C", AL138 &gt; 0.25, "D", AL138 &gt; 0, "E", TRUE, "-")</f>
      </c>
      <c r="AP138" s="58"/>
      <c r="AQ138" s="68"/>
      <c r="AR138" s="68"/>
      <c r="AS138" s="55"/>
      <c r="AT138" s="55"/>
      <c r="AU138" s="55"/>
      <c r="AV138" s="61">
        <f>IF(SUM(AJ138:AL138)=0, 0, (1 + F138 * 0.1) * (0.75 + 0.25 * MAX(0, MIN(1, IF(MAX(AJ138:AL138)=0, 0, (3*MAX(AJ138:AL138)-SUM(AJ138:AL138)) / (2*MAX(AJ138:AL138)))))))</f>
      </c>
      <c r="AW138" s="83">
        <f>MAX(AJ138:AL138)</f>
      </c>
      <c r="AX138" s="81">
        <f>IF(AW138=0, "", AW138 / ((1 + 0.1*N(F138))))</f>
      </c>
      <c r="AY138" s="61">
        <f>IF(SUM(AJ138:AL138)=0, 0,     (1 + F138 * 0.1) * (1 + ((SUM(AJ138:AL138) - MAX(AJ138:AL138)) / (2 * MAX(AJ138:AL138))) * (1/0.75 - 1)))</f>
      </c>
      <c r="AZ138" s="83"/>
      <c r="BA138" s="81">
        <f>IF(AZ138=0, "", AZ138 / ((1 + 0.1*N(F138))/0.75))</f>
      </c>
      <c r="BB138" s="51">
        <v>0.1</v>
      </c>
      <c r="BC138" s="1"/>
      <c r="BD138" s="54"/>
      <c r="BE138" s="54"/>
      <c r="BF138" s="74"/>
      <c r="BG138" s="64"/>
      <c r="BH138" s="69"/>
      <c r="BI138" s="45"/>
      <c r="BJ138" s="63"/>
      <c r="BK138" s="49"/>
      <c r="BL138" s="56"/>
      <c r="BM138" s="50"/>
      <c r="BN138" s="57"/>
      <c r="BO138" s="54"/>
      <c r="BP138" s="64"/>
      <c r="BQ138" s="51"/>
      <c r="BR138" s="38">
        <f>IFERROR(BQ138*100/CP138,"N/A")</f>
      </c>
      <c r="BS138" s="61"/>
      <c r="BT138" s="54"/>
      <c r="BU138" s="42"/>
      <c r="BV138" s="78"/>
      <c r="BW138" s="73"/>
      <c r="BX138" s="64"/>
      <c r="BY138" s="52"/>
      <c r="BZ138" s="1"/>
      <c r="CA138" s="62"/>
      <c r="CB138" s="51"/>
      <c r="CC138" s="51"/>
      <c r="CD138" s="58"/>
      <c r="CE138" s="58"/>
      <c r="CF138" s="58"/>
      <c r="CG138" s="58"/>
      <c r="CH138" s="58"/>
      <c r="CI138" s="58"/>
      <c r="CJ138" s="79"/>
      <c r="CK138" s="69"/>
      <c r="CL138" s="79"/>
      <c r="CM138" s="51"/>
      <c r="CN138" s="55"/>
      <c r="CO138" s="42"/>
      <c r="CP138" s="70">
        <f>CN138*BS138*BT138</f>
      </c>
      <c r="CQ138" s="52"/>
      <c r="CR138" s="64">
        <f>100/CP138</f>
      </c>
      <c r="CS138" s="82">
        <f>100/CQ138</f>
      </c>
      <c r="CT138" s="52"/>
      <c r="CU138" s="52"/>
      <c r="CV138" s="82">
        <f>BL138/T138</f>
      </c>
      <c r="CW138" s="82">
        <f>100/CV138</f>
      </c>
      <c r="CX138" s="77"/>
      <c r="CY138" s="85"/>
      <c r="CZ138" s="77"/>
      <c r="DA138" s="77"/>
      <c r="DB138" s="77"/>
      <c r="DC138" s="1"/>
      <c r="DD138" s="1"/>
    </row>
    <row r="139">
      <c r="A139" s="84"/>
      <c r="B139" s="53"/>
      <c r="C139" s="71"/>
      <c r="D139" s="71">
        <f>IF($A139="","","WPN"&amp;VLOOKUP(E139,'引用数据库'!Z:AC,4,FALSE)&amp;VLOOKUP(H139,'引用数据库'!N:P,3,FALSE)&amp;VLOOKUP(I139,'引用数据库'!S:U,3,FALSE)&amp;TEXT(F139,"00"))</f>
      </c>
      <c r="E139" s="53"/>
      <c r="F139" s="57"/>
      <c r="G139" s="84"/>
      <c r="H139" s="53"/>
      <c r="I139" s="53"/>
      <c r="J139" s="84"/>
      <c r="K139" s="84"/>
      <c r="L139" s="42"/>
      <c r="M139" s="65"/>
      <c r="N139" s="54"/>
      <c r="O139" s="54"/>
      <c r="P139" s="54"/>
      <c r="Q139" s="54"/>
      <c r="R139" s="54"/>
      <c r="S139" s="54"/>
      <c r="T139" s="54"/>
      <c r="U139" s="51">
        <f>2*T139/(15*(1+(5-BD139)*0.1))</f>
      </c>
      <c r="V139" s="1"/>
      <c r="W139" s="54"/>
      <c r="X139" s="54"/>
      <c r="Y139" s="76"/>
      <c r="Z139" s="76"/>
      <c r="AA139" s="66"/>
      <c r="AB139" s="66"/>
      <c r="AC139" s="66"/>
      <c r="AD139" s="86"/>
      <c r="AE139" s="86"/>
      <c r="AF139" s="1"/>
      <c r="AG139" s="54"/>
      <c r="AH139" s="54"/>
      <c r="AI139" s="1"/>
      <c r="AJ139" s="80"/>
      <c r="AK139" s="80"/>
      <c r="AL139" s="80"/>
      <c r="AM139" s="55">
        <f>IFS(AJ139 &gt; 1.25, "S", AJ139 &gt; 1, "A", AJ139 &gt; 0.75, "B", AJ139 &gt; 0.5, "C", AJ139 &gt; 0.25, "D", AJ139 &gt; 0, "E", TRUE, "-")</f>
      </c>
      <c r="AN139" s="55">
        <f>IFS(AK139 &gt; 1.25, "S", AK139 &gt; 1, "A", AK139 &gt; 0.75, "B", AK139 &gt; 0.5, "C", AK139 &gt; 0.25, "D", AK139 &gt; 0, "E", TRUE, "-")</f>
      </c>
      <c r="AO139" s="55">
        <f>IFS(AL139 &gt; 1.25, "S", AL139 &gt; 1, "A", AL139 &gt; 0.75, "B", AL139 &gt; 0.5, "C", AL139 &gt; 0.25, "D", AL139 &gt; 0, "E", TRUE, "-")</f>
      </c>
      <c r="AP139" s="58"/>
      <c r="AQ139" s="68"/>
      <c r="AR139" s="68"/>
      <c r="AS139" s="55"/>
      <c r="AT139" s="55"/>
      <c r="AU139" s="55"/>
      <c r="AV139" s="61">
        <f>IF(SUM(AJ139:AL139)=0, 0, (1 + F139 * 0.1) * (0.75 + 0.25 * MAX(0, MIN(1, IF(MAX(AJ139:AL139)=0, 0, (3*MAX(AJ139:AL139)-SUM(AJ139:AL139)) / (2*MAX(AJ139:AL139)))))))</f>
      </c>
      <c r="AW139" s="83">
        <f>MAX(AJ139:AL139)</f>
      </c>
      <c r="AX139" s="81">
        <f>IF(AW139=0, "", AW139 / ((1 + 0.1*N(F139))))</f>
      </c>
      <c r="AY139" s="61">
        <f>IF(SUM(AJ139:AL139)=0, 0,     (1 + F139 * 0.1) * (1 + ((SUM(AJ139:AL139) - MAX(AJ139:AL139)) / (2 * MAX(AJ139:AL139))) * (1/0.75 - 1)))</f>
      </c>
      <c r="AZ139" s="83"/>
      <c r="BA139" s="81">
        <f>IF(AZ139=0, "", AZ139 / ((1 + 0.1*N(F139))/0.75))</f>
      </c>
      <c r="BB139" s="51">
        <v>0.1</v>
      </c>
      <c r="BC139" s="1"/>
      <c r="BD139" s="54"/>
      <c r="BE139" s="54"/>
      <c r="BF139" s="74"/>
      <c r="BG139" s="64"/>
      <c r="BH139" s="69"/>
      <c r="BI139" s="45"/>
      <c r="BJ139" s="63"/>
      <c r="BK139" s="49"/>
      <c r="BL139" s="56"/>
      <c r="BM139" s="50"/>
      <c r="BN139" s="57"/>
      <c r="BO139" s="54"/>
      <c r="BP139" s="64"/>
      <c r="BQ139" s="51"/>
      <c r="BR139" s="38">
        <f>IFERROR(BQ139*100/CP139,"N/A")</f>
      </c>
      <c r="BS139" s="61"/>
      <c r="BT139" s="54"/>
      <c r="BU139" s="42"/>
      <c r="BV139" s="78"/>
      <c r="BW139" s="73"/>
      <c r="BX139" s="64"/>
      <c r="BY139" s="52"/>
      <c r="BZ139" s="1"/>
      <c r="CA139" s="62"/>
      <c r="CB139" s="51"/>
      <c r="CC139" s="51"/>
      <c r="CD139" s="58"/>
      <c r="CE139" s="58"/>
      <c r="CF139" s="58"/>
      <c r="CG139" s="58"/>
      <c r="CH139" s="58"/>
      <c r="CI139" s="58"/>
      <c r="CJ139" s="79"/>
      <c r="CK139" s="69"/>
      <c r="CL139" s="79"/>
      <c r="CM139" s="51"/>
      <c r="CN139" s="55"/>
      <c r="CO139" s="42"/>
      <c r="CP139" s="70">
        <f>CN139*BS139*BT139</f>
      </c>
      <c r="CQ139" s="52"/>
      <c r="CR139" s="64">
        <f>100/CP139</f>
      </c>
      <c r="CS139" s="82">
        <f>100/CQ139</f>
      </c>
      <c r="CT139" s="52"/>
      <c r="CU139" s="52"/>
      <c r="CV139" s="82">
        <f>BL139/T139</f>
      </c>
      <c r="CW139" s="82">
        <f>100/CV139</f>
      </c>
      <c r="CX139" s="77"/>
      <c r="CY139" s="85"/>
      <c r="CZ139" s="77"/>
      <c r="DA139" s="77"/>
      <c r="DB139" s="77"/>
      <c r="DC139" s="1"/>
      <c r="DD139" s="1"/>
    </row>
    <row r="140">
      <c r="A140" s="84"/>
      <c r="B140" s="53"/>
      <c r="C140" s="71"/>
      <c r="D140" s="71">
        <f>IF($A140="","","WPN"&amp;VLOOKUP(E140,'引用数据库'!Z:AC,4,FALSE)&amp;VLOOKUP(H140,'引用数据库'!N:P,3,FALSE)&amp;VLOOKUP(I140,'引用数据库'!S:U,3,FALSE)&amp;TEXT(F140,"00"))</f>
      </c>
      <c r="E140" s="53"/>
      <c r="F140" s="57"/>
      <c r="G140" s="84"/>
      <c r="H140" s="53"/>
      <c r="I140" s="53"/>
      <c r="J140" s="84"/>
      <c r="K140" s="84"/>
      <c r="L140" s="42"/>
      <c r="M140" s="65"/>
      <c r="N140" s="54"/>
      <c r="O140" s="54"/>
      <c r="P140" s="54"/>
      <c r="Q140" s="54"/>
      <c r="R140" s="54"/>
      <c r="S140" s="54"/>
      <c r="T140" s="54"/>
      <c r="U140" s="51">
        <f>2*T140/(15*(1+(5-BD140)*0.1))</f>
      </c>
      <c r="V140" s="1"/>
      <c r="W140" s="54"/>
      <c r="X140" s="54"/>
      <c r="Y140" s="76"/>
      <c r="Z140" s="76"/>
      <c r="AA140" s="66"/>
      <c r="AB140" s="66"/>
      <c r="AC140" s="66"/>
      <c r="AD140" s="86"/>
      <c r="AE140" s="86"/>
      <c r="AF140" s="1"/>
      <c r="AG140" s="54"/>
      <c r="AH140" s="54"/>
      <c r="AI140" s="1"/>
      <c r="AJ140" s="80"/>
      <c r="AK140" s="80"/>
      <c r="AL140" s="80"/>
      <c r="AM140" s="55">
        <f>IFS(AJ140 &gt; 1.25, "S", AJ140 &gt; 1, "A", AJ140 &gt; 0.75, "B", AJ140 &gt; 0.5, "C", AJ140 &gt; 0.25, "D", AJ140 &gt; 0, "E", TRUE, "-")</f>
      </c>
      <c r="AN140" s="55">
        <f>IFS(AK140 &gt; 1.25, "S", AK140 &gt; 1, "A", AK140 &gt; 0.75, "B", AK140 &gt; 0.5, "C", AK140 &gt; 0.25, "D", AK140 &gt; 0, "E", TRUE, "-")</f>
      </c>
      <c r="AO140" s="55">
        <f>IFS(AL140 &gt; 1.25, "S", AL140 &gt; 1, "A", AL140 &gt; 0.75, "B", AL140 &gt; 0.5, "C", AL140 &gt; 0.25, "D", AL140 &gt; 0, "E", TRUE, "-")</f>
      </c>
      <c r="AP140" s="58"/>
      <c r="AQ140" s="68"/>
      <c r="AR140" s="68"/>
      <c r="AS140" s="55"/>
      <c r="AT140" s="55"/>
      <c r="AU140" s="55"/>
      <c r="AV140" s="61">
        <f>IF(SUM(AJ140:AL140)=0, 0, (1 + F140 * 0.1) * (0.75 + 0.25 * MAX(0, MIN(1, IF(MAX(AJ140:AL140)=0, 0, (3*MAX(AJ140:AL140)-SUM(AJ140:AL140)) / (2*MAX(AJ140:AL140)))))))</f>
      </c>
      <c r="AW140" s="83">
        <f>MAX(AJ140:AL140)</f>
      </c>
      <c r="AX140" s="81">
        <f>IF(AW140=0, "", AW140 / ((1 + 0.1*N(F140))))</f>
      </c>
      <c r="AY140" s="61">
        <f>IF(SUM(AJ140:AL140)=0, 0,     (1 + F140 * 0.1) * (1 + ((SUM(AJ140:AL140) - MAX(AJ140:AL140)) / (2 * MAX(AJ140:AL140))) * (1/0.75 - 1)))</f>
      </c>
      <c r="AZ140" s="83"/>
      <c r="BA140" s="81">
        <f>IF(AZ140=0, "", AZ140 / ((1 + 0.1*N(F140))/0.75))</f>
      </c>
      <c r="BB140" s="51">
        <v>0.1</v>
      </c>
      <c r="BC140" s="1"/>
      <c r="BD140" s="54"/>
      <c r="BE140" s="54"/>
      <c r="BF140" s="74"/>
      <c r="BG140" s="64"/>
      <c r="BH140" s="69"/>
      <c r="BI140" s="45"/>
      <c r="BJ140" s="63"/>
      <c r="BK140" s="49"/>
      <c r="BL140" s="56"/>
      <c r="BM140" s="50"/>
      <c r="BN140" s="57"/>
      <c r="BO140" s="54"/>
      <c r="BP140" s="64"/>
      <c r="BQ140" s="51"/>
      <c r="BR140" s="38">
        <f>IFERROR(BQ140*100/CP140,"N/A")</f>
      </c>
      <c r="BS140" s="61"/>
      <c r="BT140" s="54"/>
      <c r="BU140" s="42"/>
      <c r="BV140" s="78"/>
      <c r="BW140" s="73"/>
      <c r="BX140" s="64"/>
      <c r="BY140" s="52"/>
      <c r="BZ140" s="1"/>
      <c r="CA140" s="62"/>
      <c r="CB140" s="51"/>
      <c r="CC140" s="51"/>
      <c r="CD140" s="58"/>
      <c r="CE140" s="58"/>
      <c r="CF140" s="58"/>
      <c r="CG140" s="58"/>
      <c r="CH140" s="58"/>
      <c r="CI140" s="58"/>
      <c r="CJ140" s="79"/>
      <c r="CK140" s="69"/>
      <c r="CL140" s="79"/>
      <c r="CM140" s="51"/>
      <c r="CN140" s="55"/>
      <c r="CO140" s="42"/>
      <c r="CP140" s="70">
        <f>CN140*BS140*BT140</f>
      </c>
      <c r="CQ140" s="52"/>
      <c r="CR140" s="64">
        <f>100/CP140</f>
      </c>
      <c r="CS140" s="82">
        <f>100/CQ140</f>
      </c>
      <c r="CT140" s="52"/>
      <c r="CU140" s="52"/>
      <c r="CV140" s="82">
        <f>BL140/T140</f>
      </c>
      <c r="CW140" s="82">
        <f>100/CV140</f>
      </c>
      <c r="CX140" s="77"/>
      <c r="CY140" s="85"/>
      <c r="CZ140" s="77"/>
      <c r="DA140" s="77"/>
      <c r="DB140" s="77"/>
      <c r="DC140" s="1"/>
      <c r="DD140" s="1"/>
    </row>
    <row r="141">
      <c r="A141" s="84"/>
      <c r="B141" s="53"/>
      <c r="C141" s="71"/>
      <c r="D141" s="71">
        <f>IF($A141="","","WPN"&amp;VLOOKUP(E141,'引用数据库'!Z:AC,4,FALSE)&amp;VLOOKUP(H141,'引用数据库'!N:P,3,FALSE)&amp;VLOOKUP(I141,'引用数据库'!S:U,3,FALSE)&amp;TEXT(F141,"00"))</f>
      </c>
      <c r="E141" s="53"/>
      <c r="F141" s="57"/>
      <c r="G141" s="84"/>
      <c r="H141" s="53"/>
      <c r="I141" s="53"/>
      <c r="J141" s="84"/>
      <c r="K141" s="84"/>
      <c r="L141" s="42"/>
      <c r="M141" s="65"/>
      <c r="N141" s="54"/>
      <c r="O141" s="54"/>
      <c r="P141" s="54"/>
      <c r="Q141" s="54"/>
      <c r="R141" s="54"/>
      <c r="S141" s="54"/>
      <c r="T141" s="54"/>
      <c r="U141" s="51">
        <f>2*T141/(15*(1+(5-BD141)*0.1))</f>
      </c>
      <c r="V141" s="1"/>
      <c r="W141" s="54"/>
      <c r="X141" s="54"/>
      <c r="Y141" s="76"/>
      <c r="Z141" s="76"/>
      <c r="AA141" s="66"/>
      <c r="AB141" s="66"/>
      <c r="AC141" s="66"/>
      <c r="AD141" s="86"/>
      <c r="AE141" s="86"/>
      <c r="AF141" s="1"/>
      <c r="AG141" s="54"/>
      <c r="AH141" s="54"/>
      <c r="AI141" s="1"/>
      <c r="AJ141" s="80"/>
      <c r="AK141" s="80"/>
      <c r="AL141" s="80"/>
      <c r="AM141" s="55">
        <f>IFS(AJ141 &gt; 1.25, "S", AJ141 &gt; 1, "A", AJ141 &gt; 0.75, "B", AJ141 &gt; 0.5, "C", AJ141 &gt; 0.25, "D", AJ141 &gt; 0, "E", TRUE, "-")</f>
      </c>
      <c r="AN141" s="55">
        <f>IFS(AK141 &gt; 1.25, "S", AK141 &gt; 1, "A", AK141 &gt; 0.75, "B", AK141 &gt; 0.5, "C", AK141 &gt; 0.25, "D", AK141 &gt; 0, "E", TRUE, "-")</f>
      </c>
      <c r="AO141" s="55">
        <f>IFS(AL141 &gt; 1.25, "S", AL141 &gt; 1, "A", AL141 &gt; 0.75, "B", AL141 &gt; 0.5, "C", AL141 &gt; 0.25, "D", AL141 &gt; 0, "E", TRUE, "-")</f>
      </c>
      <c r="AP141" s="58"/>
      <c r="AQ141" s="68"/>
      <c r="AR141" s="68"/>
      <c r="AS141" s="55"/>
      <c r="AT141" s="55"/>
      <c r="AU141" s="55"/>
      <c r="AV141" s="61">
        <f>IF(SUM(AJ141:AL141)=0, 0, (1 + F141 * 0.1) * (0.75 + 0.25 * MAX(0, MIN(1, IF(MAX(AJ141:AL141)=0, 0, (3*MAX(AJ141:AL141)-SUM(AJ141:AL141)) / (2*MAX(AJ141:AL141)))))))</f>
      </c>
      <c r="AW141" s="83">
        <f>MAX(AJ141:AL141)</f>
      </c>
      <c r="AX141" s="81">
        <f>IF(AW141=0, "", AW141 / ((1 + 0.1*N(F141))))</f>
      </c>
      <c r="AY141" s="61">
        <f>IF(SUM(AJ141:AL141)=0, 0,     (1 + F141 * 0.1) * (1 + ((SUM(AJ141:AL141) - MAX(AJ141:AL141)) / (2 * MAX(AJ141:AL141))) * (1/0.75 - 1)))</f>
      </c>
      <c r="AZ141" s="83"/>
      <c r="BA141" s="81">
        <f>IF(AZ141=0, "", AZ141 / ((1 + 0.1*N(F141))/0.75))</f>
      </c>
      <c r="BB141" s="51">
        <v>0.1</v>
      </c>
      <c r="BC141" s="1"/>
      <c r="BD141" s="54"/>
      <c r="BE141" s="54"/>
      <c r="BF141" s="74"/>
      <c r="BG141" s="64"/>
      <c r="BH141" s="69"/>
      <c r="BI141" s="45"/>
      <c r="BJ141" s="63"/>
      <c r="BK141" s="49"/>
      <c r="BL141" s="56"/>
      <c r="BM141" s="50"/>
      <c r="BN141" s="57"/>
      <c r="BO141" s="54"/>
      <c r="BP141" s="64"/>
      <c r="BQ141" s="51"/>
      <c r="BR141" s="38">
        <f>IFERROR(BQ141*100/CP141,"N/A")</f>
      </c>
      <c r="BS141" s="61"/>
      <c r="BT141" s="54"/>
      <c r="BU141" s="42"/>
      <c r="BV141" s="78"/>
      <c r="BW141" s="73"/>
      <c r="BX141" s="64"/>
      <c r="BY141" s="52"/>
      <c r="BZ141" s="1"/>
      <c r="CA141" s="62"/>
      <c r="CB141" s="51"/>
      <c r="CC141" s="51"/>
      <c r="CD141" s="58"/>
      <c r="CE141" s="58"/>
      <c r="CF141" s="58"/>
      <c r="CG141" s="58"/>
      <c r="CH141" s="58"/>
      <c r="CI141" s="58"/>
      <c r="CJ141" s="79"/>
      <c r="CK141" s="69"/>
      <c r="CL141" s="79"/>
      <c r="CM141" s="51"/>
      <c r="CN141" s="55"/>
      <c r="CO141" s="42"/>
      <c r="CP141" s="70">
        <f>CN141*BS141*BT141</f>
      </c>
      <c r="CQ141" s="52"/>
      <c r="CR141" s="64">
        <f>100/CP141</f>
      </c>
      <c r="CS141" s="82">
        <f>100/CQ141</f>
      </c>
      <c r="CT141" s="52"/>
      <c r="CU141" s="52"/>
      <c r="CV141" s="82">
        <f>BL141/T141</f>
      </c>
      <c r="CW141" s="82">
        <f>100/CV141</f>
      </c>
      <c r="CX141" s="77"/>
      <c r="CY141" s="85"/>
      <c r="CZ141" s="77"/>
      <c r="DA141" s="77"/>
      <c r="DB141" s="77"/>
      <c r="DC141" s="1"/>
      <c r="DD141" s="1"/>
    </row>
    <row r="142">
      <c r="A142" s="84"/>
      <c r="B142" s="53"/>
      <c r="C142" s="71"/>
      <c r="D142" s="71">
        <f>IF($A142="","","WPN"&amp;VLOOKUP(E142,'引用数据库'!Z:AC,4,FALSE)&amp;VLOOKUP(H142,'引用数据库'!N:P,3,FALSE)&amp;VLOOKUP(I142,'引用数据库'!S:U,3,FALSE)&amp;TEXT(F142,"00"))</f>
      </c>
      <c r="E142" s="53"/>
      <c r="F142" s="57"/>
      <c r="G142" s="84"/>
      <c r="H142" s="53"/>
      <c r="I142" s="53"/>
      <c r="J142" s="84"/>
      <c r="K142" s="84"/>
      <c r="L142" s="42"/>
      <c r="M142" s="65"/>
      <c r="N142" s="54"/>
      <c r="O142" s="54"/>
      <c r="P142" s="54"/>
      <c r="Q142" s="54"/>
      <c r="R142" s="54"/>
      <c r="S142" s="54"/>
      <c r="T142" s="54"/>
      <c r="U142" s="51">
        <f>2*T142/(15*(1+(5-BD142)*0.1))</f>
      </c>
      <c r="V142" s="1"/>
      <c r="W142" s="54"/>
      <c r="X142" s="54"/>
      <c r="Y142" s="76"/>
      <c r="Z142" s="76"/>
      <c r="AA142" s="66"/>
      <c r="AB142" s="66"/>
      <c r="AC142" s="66"/>
      <c r="AD142" s="86"/>
      <c r="AE142" s="86"/>
      <c r="AF142" s="1"/>
      <c r="AG142" s="54"/>
      <c r="AH142" s="54"/>
      <c r="AI142" s="1"/>
      <c r="AJ142" s="80"/>
      <c r="AK142" s="80"/>
      <c r="AL142" s="80"/>
      <c r="AM142" s="55">
        <f>IFS(AJ142 &gt; 1.25, "S", AJ142 &gt; 1, "A", AJ142 &gt; 0.75, "B", AJ142 &gt; 0.5, "C", AJ142 &gt; 0.25, "D", AJ142 &gt; 0, "E", TRUE, "-")</f>
      </c>
      <c r="AN142" s="55">
        <f>IFS(AK142 &gt; 1.25, "S", AK142 &gt; 1, "A", AK142 &gt; 0.75, "B", AK142 &gt; 0.5, "C", AK142 &gt; 0.25, "D", AK142 &gt; 0, "E", TRUE, "-")</f>
      </c>
      <c r="AO142" s="55">
        <f>IFS(AL142 &gt; 1.25, "S", AL142 &gt; 1, "A", AL142 &gt; 0.75, "B", AL142 &gt; 0.5, "C", AL142 &gt; 0.25, "D", AL142 &gt; 0, "E", TRUE, "-")</f>
      </c>
      <c r="AP142" s="58"/>
      <c r="AQ142" s="68"/>
      <c r="AR142" s="68"/>
      <c r="AS142" s="55"/>
      <c r="AT142" s="55"/>
      <c r="AU142" s="55"/>
      <c r="AV142" s="61">
        <f>IF(SUM(AJ142:AL142)=0, 0, (1 + F142 * 0.1) * (0.75 + 0.25 * MAX(0, MIN(1, IF(MAX(AJ142:AL142)=0, 0, (3*MAX(AJ142:AL142)-SUM(AJ142:AL142)) / (2*MAX(AJ142:AL142)))))))</f>
      </c>
      <c r="AW142" s="83">
        <f>MAX(AJ142:AL142)</f>
      </c>
      <c r="AX142" s="81">
        <f>IF(AW142=0, "", AW142 / ((1 + 0.1*N(F142))))</f>
      </c>
      <c r="AY142" s="61">
        <f>IF(SUM(AJ142:AL142)=0, 0,     (1 + F142 * 0.1) * (1 + ((SUM(AJ142:AL142) - MAX(AJ142:AL142)) / (2 * MAX(AJ142:AL142))) * (1/0.75 - 1)))</f>
      </c>
      <c r="AZ142" s="83"/>
      <c r="BA142" s="81">
        <f>IF(AZ142=0, "", AZ142 / ((1 + 0.1*N(F142))/0.75))</f>
      </c>
      <c r="BB142" s="51">
        <v>0.1</v>
      </c>
      <c r="BC142" s="1"/>
      <c r="BD142" s="54"/>
      <c r="BE142" s="54"/>
      <c r="BF142" s="74"/>
      <c r="BG142" s="64"/>
      <c r="BH142" s="69"/>
      <c r="BI142" s="45"/>
      <c r="BJ142" s="63"/>
      <c r="BK142" s="49"/>
      <c r="BL142" s="56"/>
      <c r="BM142" s="50"/>
      <c r="BN142" s="57"/>
      <c r="BO142" s="54"/>
      <c r="BP142" s="64"/>
      <c r="BQ142" s="51"/>
      <c r="BR142" s="38">
        <f>IFERROR(BQ142*100/CP142,"N/A")</f>
      </c>
      <c r="BS142" s="61"/>
      <c r="BT142" s="54"/>
      <c r="BU142" s="42"/>
      <c r="BV142" s="78"/>
      <c r="BW142" s="73"/>
      <c r="BX142" s="64"/>
      <c r="BY142" s="52"/>
      <c r="BZ142" s="1"/>
      <c r="CA142" s="62"/>
      <c r="CB142" s="51"/>
      <c r="CC142" s="51"/>
      <c r="CD142" s="58"/>
      <c r="CE142" s="58"/>
      <c r="CF142" s="58"/>
      <c r="CG142" s="58"/>
      <c r="CH142" s="58"/>
      <c r="CI142" s="58"/>
      <c r="CJ142" s="79"/>
      <c r="CK142" s="69"/>
      <c r="CL142" s="79"/>
      <c r="CM142" s="51"/>
      <c r="CN142" s="55"/>
      <c r="CO142" s="42"/>
      <c r="CP142" s="70">
        <f>CN142*BS142*BT142</f>
      </c>
      <c r="CQ142" s="52"/>
      <c r="CR142" s="64">
        <f>100/CP142</f>
      </c>
      <c r="CS142" s="82">
        <f>100/CQ142</f>
      </c>
      <c r="CT142" s="52"/>
      <c r="CU142" s="52"/>
      <c r="CV142" s="82">
        <f>BL142/T142</f>
      </c>
      <c r="CW142" s="82">
        <f>100/CV142</f>
      </c>
      <c r="CX142" s="77"/>
      <c r="CY142" s="85"/>
      <c r="CZ142" s="77"/>
      <c r="DA142" s="77"/>
      <c r="DB142" s="77"/>
      <c r="DC142" s="1"/>
      <c r="DD142" s="1"/>
    </row>
    <row r="143">
      <c r="A143" s="84"/>
      <c r="B143" s="53"/>
      <c r="C143" s="71"/>
      <c r="D143" s="71">
        <f>IF($A143="","","WPN"&amp;VLOOKUP(E143,'引用数据库'!Z:AC,4,FALSE)&amp;VLOOKUP(H143,'引用数据库'!N:P,3,FALSE)&amp;VLOOKUP(I143,'引用数据库'!S:U,3,FALSE)&amp;TEXT(F143,"00"))</f>
      </c>
      <c r="E143" s="53"/>
      <c r="F143" s="57"/>
      <c r="G143" s="84"/>
      <c r="H143" s="53"/>
      <c r="I143" s="53"/>
      <c r="J143" s="84"/>
      <c r="K143" s="84"/>
      <c r="L143" s="42"/>
      <c r="M143" s="65"/>
      <c r="N143" s="54"/>
      <c r="O143" s="54"/>
      <c r="P143" s="54"/>
      <c r="Q143" s="54"/>
      <c r="R143" s="54"/>
      <c r="S143" s="54"/>
      <c r="T143" s="54"/>
      <c r="U143" s="51">
        <f>2*T143/(15*(1+(5-BD143)*0.1))</f>
      </c>
      <c r="V143" s="1"/>
      <c r="W143" s="54"/>
      <c r="X143" s="54"/>
      <c r="Y143" s="76"/>
      <c r="Z143" s="76"/>
      <c r="AA143" s="66"/>
      <c r="AB143" s="66"/>
      <c r="AC143" s="66"/>
      <c r="AD143" s="86"/>
      <c r="AE143" s="86"/>
      <c r="AF143" s="1"/>
      <c r="AG143" s="54"/>
      <c r="AH143" s="54"/>
      <c r="AI143" s="1"/>
      <c r="AJ143" s="80"/>
      <c r="AK143" s="80"/>
      <c r="AL143" s="80"/>
      <c r="AM143" s="55">
        <f>IFS(AJ143 &gt; 1.25, "S", AJ143 &gt; 1, "A", AJ143 &gt; 0.75, "B", AJ143 &gt; 0.5, "C", AJ143 &gt; 0.25, "D", AJ143 &gt; 0, "E", TRUE, "-")</f>
      </c>
      <c r="AN143" s="55">
        <f>IFS(AK143 &gt; 1.25, "S", AK143 &gt; 1, "A", AK143 &gt; 0.75, "B", AK143 &gt; 0.5, "C", AK143 &gt; 0.25, "D", AK143 &gt; 0, "E", TRUE, "-")</f>
      </c>
      <c r="AO143" s="55">
        <f>IFS(AL143 &gt; 1.25, "S", AL143 &gt; 1, "A", AL143 &gt; 0.75, "B", AL143 &gt; 0.5, "C", AL143 &gt; 0.25, "D", AL143 &gt; 0, "E", TRUE, "-")</f>
      </c>
      <c r="AP143" s="58"/>
      <c r="AQ143" s="68"/>
      <c r="AR143" s="68"/>
      <c r="AS143" s="55"/>
      <c r="AT143" s="55"/>
      <c r="AU143" s="55"/>
      <c r="AV143" s="61">
        <f>IF(SUM(AJ143:AL143)=0, 0, (1 + F143 * 0.1) * (0.75 + 0.25 * MAX(0, MIN(1, IF(MAX(AJ143:AL143)=0, 0, (3*MAX(AJ143:AL143)-SUM(AJ143:AL143)) / (2*MAX(AJ143:AL143)))))))</f>
      </c>
      <c r="AW143" s="83">
        <f>MAX(AJ143:AL143)</f>
      </c>
      <c r="AX143" s="81">
        <f>IF(AW143=0, "", AW143 / ((1 + 0.1*N(F143))))</f>
      </c>
      <c r="AY143" s="61">
        <f>IF(SUM(AJ143:AL143)=0, 0,     (1 + F143 * 0.1) * (1 + ((SUM(AJ143:AL143) - MAX(AJ143:AL143)) / (2 * MAX(AJ143:AL143))) * (1/0.75 - 1)))</f>
      </c>
      <c r="AZ143" s="83"/>
      <c r="BA143" s="81">
        <f>IF(AZ143=0, "", AZ143 / ((1 + 0.1*N(F143))/0.75))</f>
      </c>
      <c r="BB143" s="51">
        <v>0.1</v>
      </c>
      <c r="BC143" s="1"/>
      <c r="BD143" s="54"/>
      <c r="BE143" s="54"/>
      <c r="BF143" s="74"/>
      <c r="BG143" s="64"/>
      <c r="BH143" s="69"/>
      <c r="BI143" s="45"/>
      <c r="BJ143" s="63"/>
      <c r="BK143" s="49"/>
      <c r="BL143" s="56"/>
      <c r="BM143" s="50"/>
      <c r="BN143" s="57"/>
      <c r="BO143" s="54"/>
      <c r="BP143" s="64"/>
      <c r="BQ143" s="51"/>
      <c r="BR143" s="38">
        <f>IFERROR(BQ143*100/CP143,"N/A")</f>
      </c>
      <c r="BS143" s="61"/>
      <c r="BT143" s="54"/>
      <c r="BU143" s="42"/>
      <c r="BV143" s="78"/>
      <c r="BW143" s="73"/>
      <c r="BX143" s="64"/>
      <c r="BY143" s="52"/>
      <c r="BZ143" s="1"/>
      <c r="CA143" s="62"/>
      <c r="CB143" s="51"/>
      <c r="CC143" s="51"/>
      <c r="CD143" s="58"/>
      <c r="CE143" s="58"/>
      <c r="CF143" s="58"/>
      <c r="CG143" s="58"/>
      <c r="CH143" s="58"/>
      <c r="CI143" s="58"/>
      <c r="CJ143" s="79"/>
      <c r="CK143" s="69"/>
      <c r="CL143" s="79"/>
      <c r="CM143" s="51"/>
      <c r="CN143" s="55"/>
      <c r="CO143" s="42"/>
      <c r="CP143" s="70">
        <f>CN143*BS143*BT143</f>
      </c>
      <c r="CQ143" s="52"/>
      <c r="CR143" s="64">
        <f>100/CP143</f>
      </c>
      <c r="CS143" s="82">
        <f>100/CQ143</f>
      </c>
      <c r="CT143" s="52"/>
      <c r="CU143" s="52"/>
      <c r="CV143" s="82">
        <f>BL143/T143</f>
      </c>
      <c r="CW143" s="82">
        <f>100/CV143</f>
      </c>
      <c r="CX143" s="77"/>
      <c r="CY143" s="85"/>
      <c r="CZ143" s="77"/>
      <c r="DA143" s="77"/>
      <c r="DB143" s="77"/>
      <c r="DC143" s="1"/>
      <c r="DD143" s="1"/>
    </row>
    <row r="144">
      <c r="A144" s="84"/>
      <c r="B144" s="53"/>
      <c r="C144" s="71"/>
      <c r="D144" s="71">
        <f>IF($A144="","","WPN"&amp;VLOOKUP(E144,'引用数据库'!Z:AC,4,FALSE)&amp;VLOOKUP(H144,'引用数据库'!N:P,3,FALSE)&amp;VLOOKUP(I144,'引用数据库'!S:U,3,FALSE)&amp;TEXT(F144,"00"))</f>
      </c>
      <c r="E144" s="53"/>
      <c r="F144" s="57"/>
      <c r="G144" s="84"/>
      <c r="H144" s="53"/>
      <c r="I144" s="53"/>
      <c r="J144" s="84"/>
      <c r="K144" s="84"/>
      <c r="L144" s="42"/>
      <c r="M144" s="65"/>
      <c r="N144" s="54"/>
      <c r="O144" s="54"/>
      <c r="P144" s="54"/>
      <c r="Q144" s="54"/>
      <c r="R144" s="54"/>
      <c r="S144" s="54"/>
      <c r="T144" s="54"/>
      <c r="U144" s="51">
        <f>2*T144/(15*(1+(5-BD144)*0.1))</f>
      </c>
      <c r="V144" s="1"/>
      <c r="W144" s="54"/>
      <c r="X144" s="54"/>
      <c r="Y144" s="76"/>
      <c r="Z144" s="76"/>
      <c r="AA144" s="66"/>
      <c r="AB144" s="66"/>
      <c r="AC144" s="66"/>
      <c r="AD144" s="86"/>
      <c r="AE144" s="86"/>
      <c r="AF144" s="1"/>
      <c r="AG144" s="54"/>
      <c r="AH144" s="54"/>
      <c r="AI144" s="1"/>
      <c r="AJ144" s="80"/>
      <c r="AK144" s="80"/>
      <c r="AL144" s="80"/>
      <c r="AM144" s="55">
        <f>IFS(AJ144 &gt; 1.25, "S", AJ144 &gt; 1, "A", AJ144 &gt; 0.75, "B", AJ144 &gt; 0.5, "C", AJ144 &gt; 0.25, "D", AJ144 &gt; 0, "E", TRUE, "-")</f>
      </c>
      <c r="AN144" s="55">
        <f>IFS(AK144 &gt; 1.25, "S", AK144 &gt; 1, "A", AK144 &gt; 0.75, "B", AK144 &gt; 0.5, "C", AK144 &gt; 0.25, "D", AK144 &gt; 0, "E", TRUE, "-")</f>
      </c>
      <c r="AO144" s="55">
        <f>IFS(AL144 &gt; 1.25, "S", AL144 &gt; 1, "A", AL144 &gt; 0.75, "B", AL144 &gt; 0.5, "C", AL144 &gt; 0.25, "D", AL144 &gt; 0, "E", TRUE, "-")</f>
      </c>
      <c r="AP144" s="58"/>
      <c r="AQ144" s="68"/>
      <c r="AR144" s="68"/>
      <c r="AS144" s="55"/>
      <c r="AT144" s="55"/>
      <c r="AU144" s="55"/>
      <c r="AV144" s="61">
        <f>IF(SUM(AJ144:AL144)=0, 0, (1 + F144 * 0.1) * (0.75 + 0.25 * MAX(0, MIN(1, IF(MAX(AJ144:AL144)=0, 0, (3*MAX(AJ144:AL144)-SUM(AJ144:AL144)) / (2*MAX(AJ144:AL144)))))))</f>
      </c>
      <c r="AW144" s="83">
        <f>MAX(AJ144:AL144)</f>
      </c>
      <c r="AX144" s="81">
        <f>IF(AW144=0, "", AW144 / ((1 + 0.1*N(F144))))</f>
      </c>
      <c r="AY144" s="61">
        <f>IF(SUM(AJ144:AL144)=0, 0,     (1 + F144 * 0.1) * (1 + ((SUM(AJ144:AL144) - MAX(AJ144:AL144)) / (2 * MAX(AJ144:AL144))) * (1/0.75 - 1)))</f>
      </c>
      <c r="AZ144" s="83"/>
      <c r="BA144" s="81">
        <f>IF(AZ144=0, "", AZ144 / ((1 + 0.1*N(F144))/0.75))</f>
      </c>
      <c r="BB144" s="51">
        <v>0.1</v>
      </c>
      <c r="BC144" s="1"/>
      <c r="BD144" s="54"/>
      <c r="BE144" s="54"/>
      <c r="BF144" s="74"/>
      <c r="BG144" s="64"/>
      <c r="BH144" s="69"/>
      <c r="BI144" s="45"/>
      <c r="BJ144" s="63"/>
      <c r="BK144" s="49"/>
      <c r="BL144" s="56"/>
      <c r="BM144" s="50"/>
      <c r="BN144" s="57"/>
      <c r="BO144" s="54"/>
      <c r="BP144" s="64"/>
      <c r="BQ144" s="51"/>
      <c r="BR144" s="38">
        <f>IFERROR(BQ144*100/CP144,"N/A")</f>
      </c>
      <c r="BS144" s="61"/>
      <c r="BT144" s="54"/>
      <c r="BU144" s="42"/>
      <c r="BV144" s="78"/>
      <c r="BW144" s="73"/>
      <c r="BX144" s="64"/>
      <c r="BY144" s="52"/>
      <c r="BZ144" s="1"/>
      <c r="CA144" s="62"/>
      <c r="CB144" s="51"/>
      <c r="CC144" s="51"/>
      <c r="CD144" s="58"/>
      <c r="CE144" s="58"/>
      <c r="CF144" s="58"/>
      <c r="CG144" s="58"/>
      <c r="CH144" s="58"/>
      <c r="CI144" s="58"/>
      <c r="CJ144" s="79"/>
      <c r="CK144" s="69"/>
      <c r="CL144" s="79"/>
      <c r="CM144" s="51"/>
      <c r="CN144" s="55"/>
      <c r="CO144" s="42"/>
      <c r="CP144" s="70">
        <f>CN144*BS144*BT144</f>
      </c>
      <c r="CQ144" s="52"/>
      <c r="CR144" s="64">
        <f>100/CP144</f>
      </c>
      <c r="CS144" s="82">
        <f>100/CQ144</f>
      </c>
      <c r="CT144" s="52"/>
      <c r="CU144" s="52"/>
      <c r="CV144" s="82">
        <f>BL144/T144</f>
      </c>
      <c r="CW144" s="82">
        <f>100/CV144</f>
      </c>
      <c r="CX144" s="77"/>
      <c r="CY144" s="85"/>
      <c r="CZ144" s="77"/>
      <c r="DA144" s="77"/>
      <c r="DB144" s="77"/>
      <c r="DC144" s="1"/>
      <c r="DD144" s="1"/>
    </row>
    <row r="145">
      <c r="A145" s="84"/>
      <c r="B145" s="53"/>
      <c r="C145" s="71"/>
      <c r="D145" s="71">
        <f>IF($A145="","","WPN"&amp;VLOOKUP(E145,'引用数据库'!Z:AC,4,FALSE)&amp;VLOOKUP(H145,'引用数据库'!N:P,3,FALSE)&amp;VLOOKUP(I145,'引用数据库'!S:U,3,FALSE)&amp;TEXT(F145,"00"))</f>
      </c>
      <c r="E145" s="53"/>
      <c r="F145" s="57"/>
      <c r="G145" s="84"/>
      <c r="H145" s="53"/>
      <c r="I145" s="53"/>
      <c r="J145" s="84"/>
      <c r="K145" s="84"/>
      <c r="L145" s="42"/>
      <c r="M145" s="65"/>
      <c r="N145" s="54"/>
      <c r="O145" s="54"/>
      <c r="P145" s="54"/>
      <c r="Q145" s="54"/>
      <c r="R145" s="54"/>
      <c r="S145" s="54"/>
      <c r="T145" s="54"/>
      <c r="U145" s="51">
        <f>2*T145/(15*(1+(5-BD145)*0.1))</f>
      </c>
      <c r="V145" s="1"/>
      <c r="W145" s="54"/>
      <c r="X145" s="54"/>
      <c r="Y145" s="76"/>
      <c r="Z145" s="76"/>
      <c r="AA145" s="66"/>
      <c r="AB145" s="66"/>
      <c r="AC145" s="66"/>
      <c r="AD145" s="86"/>
      <c r="AE145" s="86"/>
      <c r="AF145" s="1"/>
      <c r="AG145" s="54"/>
      <c r="AH145" s="54"/>
      <c r="AI145" s="1"/>
      <c r="AJ145" s="80"/>
      <c r="AK145" s="80"/>
      <c r="AL145" s="80"/>
      <c r="AM145" s="55">
        <f>IFS(AJ145 &gt; 1.25, "S", AJ145 &gt; 1, "A", AJ145 &gt; 0.75, "B", AJ145 &gt; 0.5, "C", AJ145 &gt; 0.25, "D", AJ145 &gt; 0, "E", TRUE, "-")</f>
      </c>
      <c r="AN145" s="55">
        <f>IFS(AK145 &gt; 1.25, "S", AK145 &gt; 1, "A", AK145 &gt; 0.75, "B", AK145 &gt; 0.5, "C", AK145 &gt; 0.25, "D", AK145 &gt; 0, "E", TRUE, "-")</f>
      </c>
      <c r="AO145" s="55">
        <f>IFS(AL145 &gt; 1.25, "S", AL145 &gt; 1, "A", AL145 &gt; 0.75, "B", AL145 &gt; 0.5, "C", AL145 &gt; 0.25, "D", AL145 &gt; 0, "E", TRUE, "-")</f>
      </c>
      <c r="AP145" s="58"/>
      <c r="AQ145" s="68"/>
      <c r="AR145" s="68"/>
      <c r="AS145" s="55"/>
      <c r="AT145" s="55"/>
      <c r="AU145" s="55"/>
      <c r="AV145" s="61">
        <f>IF(SUM(AJ145:AL145)=0, 0, (1 + F145 * 0.1) * (0.75 + 0.25 * MAX(0, MIN(1, IF(MAX(AJ145:AL145)=0, 0, (3*MAX(AJ145:AL145)-SUM(AJ145:AL145)) / (2*MAX(AJ145:AL145)))))))</f>
      </c>
      <c r="AW145" s="83">
        <f>MAX(AJ145:AL145)</f>
      </c>
      <c r="AX145" s="81">
        <f>IF(AW145=0, "", AW145 / ((1 + 0.1*N(F145))))</f>
      </c>
      <c r="AY145" s="61">
        <f>IF(SUM(AJ145:AL145)=0, 0,     (1 + F145 * 0.1) * (1 + ((SUM(AJ145:AL145) - MAX(AJ145:AL145)) / (2 * MAX(AJ145:AL145))) * (1/0.75 - 1)))</f>
      </c>
      <c r="AZ145" s="83"/>
      <c r="BA145" s="81">
        <f>IF(AZ145=0, "", AZ145 / ((1 + 0.1*N(F145))/0.75))</f>
      </c>
      <c r="BB145" s="51">
        <v>0.1</v>
      </c>
      <c r="BC145" s="1"/>
      <c r="BD145" s="54"/>
      <c r="BE145" s="54"/>
      <c r="BF145" s="74"/>
      <c r="BG145" s="64"/>
      <c r="BH145" s="69"/>
      <c r="BI145" s="45"/>
      <c r="BJ145" s="63"/>
      <c r="BK145" s="49"/>
      <c r="BL145" s="56"/>
      <c r="BM145" s="50"/>
      <c r="BN145" s="57"/>
      <c r="BO145" s="54"/>
      <c r="BP145" s="64"/>
      <c r="BQ145" s="51"/>
      <c r="BR145" s="38">
        <f>IFERROR(BQ145*100/CP145,"N/A")</f>
      </c>
      <c r="BS145" s="61"/>
      <c r="BT145" s="54"/>
      <c r="BU145" s="42"/>
      <c r="BV145" s="78"/>
      <c r="BW145" s="73"/>
      <c r="BX145" s="64"/>
      <c r="BY145" s="52"/>
      <c r="BZ145" s="1"/>
      <c r="CA145" s="62"/>
      <c r="CB145" s="51"/>
      <c r="CC145" s="51"/>
      <c r="CD145" s="58"/>
      <c r="CE145" s="58"/>
      <c r="CF145" s="58"/>
      <c r="CG145" s="58"/>
      <c r="CH145" s="58"/>
      <c r="CI145" s="58"/>
      <c r="CJ145" s="79"/>
      <c r="CK145" s="69"/>
      <c r="CL145" s="79"/>
      <c r="CM145" s="51"/>
      <c r="CN145" s="55"/>
      <c r="CO145" s="42"/>
      <c r="CP145" s="70">
        <f>CN145*BS145*BT145</f>
      </c>
      <c r="CQ145" s="52"/>
      <c r="CR145" s="64">
        <f>100/CP145</f>
      </c>
      <c r="CS145" s="82">
        <f>100/CQ145</f>
      </c>
      <c r="CT145" s="52"/>
      <c r="CU145" s="52"/>
      <c r="CV145" s="82">
        <f>BL145/T145</f>
      </c>
      <c r="CW145" s="82">
        <f>100/CV145</f>
      </c>
      <c r="CX145" s="77"/>
      <c r="CY145" s="85"/>
      <c r="CZ145" s="77"/>
      <c r="DA145" s="77"/>
      <c r="DB145" s="77"/>
      <c r="DC145" s="1"/>
      <c r="DD145" s="1"/>
    </row>
    <row r="146">
      <c r="A146" s="84"/>
      <c r="B146" s="53"/>
      <c r="C146" s="71"/>
      <c r="D146" s="71">
        <f>IF($A146="","","WPN"&amp;VLOOKUP(E146,'引用数据库'!Z:AC,4,FALSE)&amp;VLOOKUP(H146,'引用数据库'!N:P,3,FALSE)&amp;VLOOKUP(I146,'引用数据库'!S:U,3,FALSE)&amp;TEXT(F146,"00"))</f>
      </c>
      <c r="E146" s="53"/>
      <c r="F146" s="57"/>
      <c r="G146" s="84"/>
      <c r="H146" s="53"/>
      <c r="I146" s="53"/>
      <c r="J146" s="84"/>
      <c r="K146" s="84"/>
      <c r="L146" s="42"/>
      <c r="M146" s="65"/>
      <c r="N146" s="54"/>
      <c r="O146" s="54"/>
      <c r="P146" s="54"/>
      <c r="Q146" s="54"/>
      <c r="R146" s="54"/>
      <c r="S146" s="54"/>
      <c r="T146" s="54"/>
      <c r="U146" s="51">
        <f>2*T146/(15*(1+(5-BD146)*0.1))</f>
      </c>
      <c r="V146" s="1"/>
      <c r="W146" s="54"/>
      <c r="X146" s="54"/>
      <c r="Y146" s="76"/>
      <c r="Z146" s="76"/>
      <c r="AA146" s="66"/>
      <c r="AB146" s="66"/>
      <c r="AC146" s="66"/>
      <c r="AD146" s="86"/>
      <c r="AE146" s="86"/>
      <c r="AF146" s="1"/>
      <c r="AG146" s="54"/>
      <c r="AH146" s="54"/>
      <c r="AI146" s="1"/>
      <c r="AJ146" s="80"/>
      <c r="AK146" s="80"/>
      <c r="AL146" s="80"/>
      <c r="AM146" s="55">
        <f>IFS(AJ146 &gt; 1.25, "S", AJ146 &gt; 1, "A", AJ146 &gt; 0.75, "B", AJ146 &gt; 0.5, "C", AJ146 &gt; 0.25, "D", AJ146 &gt; 0, "E", TRUE, "-")</f>
      </c>
      <c r="AN146" s="55">
        <f>IFS(AK146 &gt; 1.25, "S", AK146 &gt; 1, "A", AK146 &gt; 0.75, "B", AK146 &gt; 0.5, "C", AK146 &gt; 0.25, "D", AK146 &gt; 0, "E", TRUE, "-")</f>
      </c>
      <c r="AO146" s="55">
        <f>IFS(AL146 &gt; 1.25, "S", AL146 &gt; 1, "A", AL146 &gt; 0.75, "B", AL146 &gt; 0.5, "C", AL146 &gt; 0.25, "D", AL146 &gt; 0, "E", TRUE, "-")</f>
      </c>
      <c r="AP146" s="58"/>
      <c r="AQ146" s="68"/>
      <c r="AR146" s="68"/>
      <c r="AS146" s="55"/>
      <c r="AT146" s="55"/>
      <c r="AU146" s="55"/>
      <c r="AV146" s="61">
        <f>IF(SUM(AJ146:AL146)=0, 0, (1 + F146 * 0.1) * (0.75 + 0.25 * MAX(0, MIN(1, IF(MAX(AJ146:AL146)=0, 0, (3*MAX(AJ146:AL146)-SUM(AJ146:AL146)) / (2*MAX(AJ146:AL146)))))))</f>
      </c>
      <c r="AW146" s="83">
        <f>MAX(AJ146:AL146)</f>
      </c>
      <c r="AX146" s="81">
        <f>IF(AW146=0, "", AW146 / ((1 + 0.1*N(F146))))</f>
      </c>
      <c r="AY146" s="61">
        <f>IF(SUM(AJ146:AL146)=0, 0,     (1 + F146 * 0.1) * (1 + ((SUM(AJ146:AL146) - MAX(AJ146:AL146)) / (2 * MAX(AJ146:AL146))) * (1/0.75 - 1)))</f>
      </c>
      <c r="AZ146" s="83"/>
      <c r="BA146" s="81">
        <f>IF(AZ146=0, "", AZ146 / ((1 + 0.1*N(F146))/0.75))</f>
      </c>
      <c r="BB146" s="51">
        <v>0.1</v>
      </c>
      <c r="BC146" s="1"/>
      <c r="BD146" s="54"/>
      <c r="BE146" s="54"/>
      <c r="BF146" s="74"/>
      <c r="BG146" s="64"/>
      <c r="BH146" s="69"/>
      <c r="BI146" s="45"/>
      <c r="BJ146" s="63"/>
      <c r="BK146" s="49"/>
      <c r="BL146" s="56"/>
      <c r="BM146" s="50"/>
      <c r="BN146" s="57"/>
      <c r="BO146" s="54"/>
      <c r="BP146" s="64"/>
      <c r="BQ146" s="51"/>
      <c r="BR146" s="38">
        <f>IFERROR(BQ146*100/CP146,"N/A")</f>
      </c>
      <c r="BS146" s="61"/>
      <c r="BT146" s="54"/>
      <c r="BU146" s="42"/>
      <c r="BV146" s="78"/>
      <c r="BW146" s="73"/>
      <c r="BX146" s="64"/>
      <c r="BY146" s="52"/>
      <c r="BZ146" s="1"/>
      <c r="CA146" s="62"/>
      <c r="CB146" s="51"/>
      <c r="CC146" s="51"/>
      <c r="CD146" s="58"/>
      <c r="CE146" s="58"/>
      <c r="CF146" s="58"/>
      <c r="CG146" s="58"/>
      <c r="CH146" s="58"/>
      <c r="CI146" s="58"/>
      <c r="CJ146" s="79"/>
      <c r="CK146" s="69"/>
      <c r="CL146" s="79"/>
      <c r="CM146" s="51"/>
      <c r="CN146" s="55"/>
      <c r="CO146" s="42"/>
      <c r="CP146" s="70">
        <f>CN146*BS146*BT146</f>
      </c>
      <c r="CQ146" s="52"/>
      <c r="CR146" s="64">
        <f>100/CP146</f>
      </c>
      <c r="CS146" s="82">
        <f>100/CQ146</f>
      </c>
      <c r="CT146" s="52"/>
      <c r="CU146" s="52"/>
      <c r="CV146" s="82">
        <f>BL146/T146</f>
      </c>
      <c r="CW146" s="82">
        <f>100/CV146</f>
      </c>
      <c r="CX146" s="77"/>
      <c r="CY146" s="85"/>
      <c r="CZ146" s="77"/>
      <c r="DA146" s="77"/>
      <c r="DB146" s="77"/>
      <c r="DC146" s="1"/>
      <c r="DD146" s="1"/>
    </row>
    <row r="147">
      <c r="A147" s="84"/>
      <c r="B147" s="53"/>
      <c r="C147" s="71"/>
      <c r="D147" s="71">
        <f>IF($A147="","","WPN"&amp;VLOOKUP(E147,'引用数据库'!Z:AC,4,FALSE)&amp;VLOOKUP(H147,'引用数据库'!N:P,3,FALSE)&amp;VLOOKUP(I147,'引用数据库'!S:U,3,FALSE)&amp;TEXT(F147,"00"))</f>
      </c>
      <c r="E147" s="53"/>
      <c r="F147" s="57"/>
      <c r="G147" s="84"/>
      <c r="H147" s="53"/>
      <c r="I147" s="53"/>
      <c r="J147" s="84"/>
      <c r="K147" s="84"/>
      <c r="L147" s="42"/>
      <c r="M147" s="65"/>
      <c r="N147" s="54"/>
      <c r="O147" s="54"/>
      <c r="P147" s="54"/>
      <c r="Q147" s="54"/>
      <c r="R147" s="54"/>
      <c r="S147" s="54"/>
      <c r="T147" s="54"/>
      <c r="U147" s="51">
        <f>2*T147/(15*(1+(5-BD147)*0.1))</f>
      </c>
      <c r="V147" s="1"/>
      <c r="W147" s="54"/>
      <c r="X147" s="54"/>
      <c r="Y147" s="76"/>
      <c r="Z147" s="76"/>
      <c r="AA147" s="66"/>
      <c r="AB147" s="66"/>
      <c r="AC147" s="66"/>
      <c r="AD147" s="86"/>
      <c r="AE147" s="86"/>
      <c r="AF147" s="1"/>
      <c r="AG147" s="54"/>
      <c r="AH147" s="54"/>
      <c r="AI147" s="1"/>
      <c r="AJ147" s="80"/>
      <c r="AK147" s="80"/>
      <c r="AL147" s="80"/>
      <c r="AM147" s="55">
        <f>IFS(AJ147 &gt; 1.25, "S", AJ147 &gt; 1, "A", AJ147 &gt; 0.75, "B", AJ147 &gt; 0.5, "C", AJ147 &gt; 0.25, "D", AJ147 &gt; 0, "E", TRUE, "-")</f>
      </c>
      <c r="AN147" s="55">
        <f>IFS(AK147 &gt; 1.25, "S", AK147 &gt; 1, "A", AK147 &gt; 0.75, "B", AK147 &gt; 0.5, "C", AK147 &gt; 0.25, "D", AK147 &gt; 0, "E", TRUE, "-")</f>
      </c>
      <c r="AO147" s="55">
        <f>IFS(AL147 &gt; 1.25, "S", AL147 &gt; 1, "A", AL147 &gt; 0.75, "B", AL147 &gt; 0.5, "C", AL147 &gt; 0.25, "D", AL147 &gt; 0, "E", TRUE, "-")</f>
      </c>
      <c r="AP147" s="58"/>
      <c r="AQ147" s="68"/>
      <c r="AR147" s="68"/>
      <c r="AS147" s="55"/>
      <c r="AT147" s="55"/>
      <c r="AU147" s="55"/>
      <c r="AV147" s="61">
        <f>IF(SUM(AJ147:AL147)=0, 0, (1 + F147 * 0.1) * (0.75 + 0.25 * MAX(0, MIN(1, IF(MAX(AJ147:AL147)=0, 0, (3*MAX(AJ147:AL147)-SUM(AJ147:AL147)) / (2*MAX(AJ147:AL147)))))))</f>
      </c>
      <c r="AW147" s="83">
        <f>MAX(AJ147:AL147)</f>
      </c>
      <c r="AX147" s="81">
        <f>IF(AW147=0, "", AW147 / ((1 + 0.1*N(F147))))</f>
      </c>
      <c r="AY147" s="61">
        <f>IF(SUM(AJ147:AL147)=0, 0,     (1 + F147 * 0.1) * (1 + ((SUM(AJ147:AL147) - MAX(AJ147:AL147)) / (2 * MAX(AJ147:AL147))) * (1/0.75 - 1)))</f>
      </c>
      <c r="AZ147" s="83"/>
      <c r="BA147" s="81">
        <f>IF(AZ147=0, "", AZ147 / ((1 + 0.1*N(F147))/0.75))</f>
      </c>
      <c r="BB147" s="51">
        <v>0.1</v>
      </c>
      <c r="BC147" s="1"/>
      <c r="BD147" s="54"/>
      <c r="BE147" s="54"/>
      <c r="BF147" s="74"/>
      <c r="BG147" s="64"/>
      <c r="BH147" s="69"/>
      <c r="BI147" s="45"/>
      <c r="BJ147" s="63"/>
      <c r="BK147" s="49"/>
      <c r="BL147" s="56"/>
      <c r="BM147" s="50"/>
      <c r="BN147" s="57"/>
      <c r="BO147" s="54"/>
      <c r="BP147" s="64"/>
      <c r="BQ147" s="51"/>
      <c r="BR147" s="38">
        <f>IFERROR(BQ147*100/CP147,"N/A")</f>
      </c>
      <c r="BS147" s="61"/>
      <c r="BT147" s="54"/>
      <c r="BU147" s="42"/>
      <c r="BV147" s="78"/>
      <c r="BW147" s="73"/>
      <c r="BX147" s="64"/>
      <c r="BY147" s="52"/>
      <c r="BZ147" s="1"/>
      <c r="CA147" s="62"/>
      <c r="CB147" s="51"/>
      <c r="CC147" s="51"/>
      <c r="CD147" s="58"/>
      <c r="CE147" s="58"/>
      <c r="CF147" s="58"/>
      <c r="CG147" s="58"/>
      <c r="CH147" s="58"/>
      <c r="CI147" s="58"/>
      <c r="CJ147" s="79"/>
      <c r="CK147" s="69"/>
      <c r="CL147" s="79"/>
      <c r="CM147" s="51"/>
      <c r="CN147" s="55"/>
      <c r="CO147" s="42"/>
      <c r="CP147" s="70">
        <f>CN147*BS147*BT147</f>
      </c>
      <c r="CQ147" s="52"/>
      <c r="CR147" s="64">
        <f>100/CP147</f>
      </c>
      <c r="CS147" s="82">
        <f>100/CQ147</f>
      </c>
      <c r="CT147" s="52"/>
      <c r="CU147" s="52"/>
      <c r="CV147" s="82">
        <f>BL147/T147</f>
      </c>
      <c r="CW147" s="82">
        <f>100/CV147</f>
      </c>
      <c r="CX147" s="77"/>
      <c r="CY147" s="85"/>
      <c r="CZ147" s="77"/>
      <c r="DA147" s="77"/>
      <c r="DB147" s="77"/>
      <c r="DC147" s="1"/>
      <c r="DD147" s="1"/>
    </row>
    <row r="148">
      <c r="A148" s="84"/>
      <c r="B148" s="53"/>
      <c r="C148" s="71"/>
      <c r="D148" s="71">
        <f>IF($A148="","","WPN"&amp;VLOOKUP(E148,'引用数据库'!Z:AC,4,FALSE)&amp;VLOOKUP(H148,'引用数据库'!N:P,3,FALSE)&amp;VLOOKUP(I148,'引用数据库'!S:U,3,FALSE)&amp;TEXT(F148,"00"))</f>
      </c>
      <c r="E148" s="53"/>
      <c r="F148" s="57"/>
      <c r="G148" s="84"/>
      <c r="H148" s="53"/>
      <c r="I148" s="53"/>
      <c r="J148" s="84"/>
      <c r="K148" s="84"/>
      <c r="L148" s="42"/>
      <c r="M148" s="65"/>
      <c r="N148" s="54"/>
      <c r="O148" s="54"/>
      <c r="P148" s="54"/>
      <c r="Q148" s="54"/>
      <c r="R148" s="54"/>
      <c r="S148" s="54"/>
      <c r="T148" s="54"/>
      <c r="U148" s="51">
        <f>2*T148/(15*(1+(5-BD148)*0.1))</f>
      </c>
      <c r="V148" s="1"/>
      <c r="W148" s="54"/>
      <c r="X148" s="54"/>
      <c r="Y148" s="76"/>
      <c r="Z148" s="76"/>
      <c r="AA148" s="66"/>
      <c r="AB148" s="66"/>
      <c r="AC148" s="66"/>
      <c r="AD148" s="86"/>
      <c r="AE148" s="86"/>
      <c r="AF148" s="1"/>
      <c r="AG148" s="54"/>
      <c r="AH148" s="54"/>
      <c r="AI148" s="1"/>
      <c r="AJ148" s="80"/>
      <c r="AK148" s="80"/>
      <c r="AL148" s="80"/>
      <c r="AM148" s="55">
        <f>IFS(AJ148 &gt; 1.25, "S", AJ148 &gt; 1, "A", AJ148 &gt; 0.75, "B", AJ148 &gt; 0.5, "C", AJ148 &gt; 0.25, "D", AJ148 &gt; 0, "E", TRUE, "-")</f>
      </c>
      <c r="AN148" s="55">
        <f>IFS(AK148 &gt; 1.25, "S", AK148 &gt; 1, "A", AK148 &gt; 0.75, "B", AK148 &gt; 0.5, "C", AK148 &gt; 0.25, "D", AK148 &gt; 0, "E", TRUE, "-")</f>
      </c>
      <c r="AO148" s="55">
        <f>IFS(AL148 &gt; 1.25, "S", AL148 &gt; 1, "A", AL148 &gt; 0.75, "B", AL148 &gt; 0.5, "C", AL148 &gt; 0.25, "D", AL148 &gt; 0, "E", TRUE, "-")</f>
      </c>
      <c r="AP148" s="58"/>
      <c r="AQ148" s="68"/>
      <c r="AR148" s="68"/>
      <c r="AS148" s="55"/>
      <c r="AT148" s="55"/>
      <c r="AU148" s="55"/>
      <c r="AV148" s="61">
        <f>IF(SUM(AJ148:AL148)=0, 0, (1 + F148 * 0.1) * (0.75 + 0.25 * MAX(0, MIN(1, IF(MAX(AJ148:AL148)=0, 0, (3*MAX(AJ148:AL148)-SUM(AJ148:AL148)) / (2*MAX(AJ148:AL148)))))))</f>
      </c>
      <c r="AW148" s="83">
        <f>MAX(AJ148:AL148)</f>
      </c>
      <c r="AX148" s="81">
        <f>IF(AW148=0, "", AW148 / ((1 + 0.1*N(F148))))</f>
      </c>
      <c r="AY148" s="61">
        <f>IF(SUM(AJ148:AL148)=0, 0,     (1 + F148 * 0.1) * (1 + ((SUM(AJ148:AL148) - MAX(AJ148:AL148)) / (2 * MAX(AJ148:AL148))) * (1/0.75 - 1)))</f>
      </c>
      <c r="AZ148" s="83"/>
      <c r="BA148" s="81">
        <f>IF(AZ148=0, "", AZ148 / ((1 + 0.1*N(F148))/0.75))</f>
      </c>
      <c r="BB148" s="51">
        <v>0.1</v>
      </c>
      <c r="BC148" s="1"/>
      <c r="BD148" s="54"/>
      <c r="BE148" s="54"/>
      <c r="BF148" s="74"/>
      <c r="BG148" s="64"/>
      <c r="BH148" s="69"/>
      <c r="BI148" s="45"/>
      <c r="BJ148" s="63"/>
      <c r="BK148" s="49"/>
      <c r="BL148" s="56"/>
      <c r="BM148" s="50"/>
      <c r="BN148" s="57"/>
      <c r="BO148" s="54"/>
      <c r="BP148" s="64"/>
      <c r="BQ148" s="51"/>
      <c r="BR148" s="38">
        <f>IFERROR(BQ148*100/CP148,"N/A")</f>
      </c>
      <c r="BS148" s="61"/>
      <c r="BT148" s="54"/>
      <c r="BU148" s="42"/>
      <c r="BV148" s="78"/>
      <c r="BW148" s="73"/>
      <c r="BX148" s="64"/>
      <c r="BY148" s="52"/>
      <c r="BZ148" s="1"/>
      <c r="CA148" s="62"/>
      <c r="CB148" s="51"/>
      <c r="CC148" s="51"/>
      <c r="CD148" s="58"/>
      <c r="CE148" s="58"/>
      <c r="CF148" s="58"/>
      <c r="CG148" s="58"/>
      <c r="CH148" s="58"/>
      <c r="CI148" s="58"/>
      <c r="CJ148" s="79"/>
      <c r="CK148" s="69"/>
      <c r="CL148" s="79"/>
      <c r="CM148" s="51"/>
      <c r="CN148" s="55"/>
      <c r="CO148" s="42"/>
      <c r="CP148" s="70">
        <f>CN148*BS148*BT148</f>
      </c>
      <c r="CQ148" s="52"/>
      <c r="CR148" s="64">
        <f>100/CP148</f>
      </c>
      <c r="CS148" s="82">
        <f>100/CQ148</f>
      </c>
      <c r="CT148" s="52"/>
      <c r="CU148" s="52"/>
      <c r="CV148" s="82">
        <f>BL148/T148</f>
      </c>
      <c r="CW148" s="82">
        <f>100/CV148</f>
      </c>
      <c r="CX148" s="77"/>
      <c r="CY148" s="85"/>
      <c r="CZ148" s="77"/>
      <c r="DA148" s="77"/>
      <c r="DB148" s="77"/>
      <c r="DC148" s="1"/>
      <c r="DD148" s="1"/>
    </row>
    <row r="149">
      <c r="A149" s="84"/>
      <c r="B149" s="53"/>
      <c r="C149" s="71"/>
      <c r="D149" s="71">
        <f>IF($A149="","","WPN"&amp;VLOOKUP(E149,'引用数据库'!Z:AC,4,FALSE)&amp;VLOOKUP(H149,'引用数据库'!N:P,3,FALSE)&amp;VLOOKUP(I149,'引用数据库'!S:U,3,FALSE)&amp;TEXT(F149,"00"))</f>
      </c>
      <c r="E149" s="53"/>
      <c r="F149" s="57"/>
      <c r="G149" s="84"/>
      <c r="H149" s="53"/>
      <c r="I149" s="53"/>
      <c r="J149" s="84"/>
      <c r="K149" s="84"/>
      <c r="L149" s="42"/>
      <c r="M149" s="65"/>
      <c r="N149" s="54"/>
      <c r="O149" s="54"/>
      <c r="P149" s="54"/>
      <c r="Q149" s="54"/>
      <c r="R149" s="54"/>
      <c r="S149" s="54"/>
      <c r="T149" s="54"/>
      <c r="U149" s="51">
        <f>2*T149/(15*(1+(5-BD149)*0.1))</f>
      </c>
      <c r="V149" s="1"/>
      <c r="W149" s="54"/>
      <c r="X149" s="54"/>
      <c r="Y149" s="76"/>
      <c r="Z149" s="76"/>
      <c r="AA149" s="66"/>
      <c r="AB149" s="66"/>
      <c r="AC149" s="66"/>
      <c r="AD149" s="86"/>
      <c r="AE149" s="86"/>
      <c r="AF149" s="1"/>
      <c r="AG149" s="54"/>
      <c r="AH149" s="54"/>
      <c r="AI149" s="1"/>
      <c r="AJ149" s="80"/>
      <c r="AK149" s="80"/>
      <c r="AL149" s="80"/>
      <c r="AM149" s="55">
        <f>IFS(AJ149 &gt; 1.25, "S", AJ149 &gt; 1, "A", AJ149 &gt; 0.75, "B", AJ149 &gt; 0.5, "C", AJ149 &gt; 0.25, "D", AJ149 &gt; 0, "E", TRUE, "-")</f>
      </c>
      <c r="AN149" s="55">
        <f>IFS(AK149 &gt; 1.25, "S", AK149 &gt; 1, "A", AK149 &gt; 0.75, "B", AK149 &gt; 0.5, "C", AK149 &gt; 0.25, "D", AK149 &gt; 0, "E", TRUE, "-")</f>
      </c>
      <c r="AO149" s="55">
        <f>IFS(AL149 &gt; 1.25, "S", AL149 &gt; 1, "A", AL149 &gt; 0.75, "B", AL149 &gt; 0.5, "C", AL149 &gt; 0.25, "D", AL149 &gt; 0, "E", TRUE, "-")</f>
      </c>
      <c r="AP149" s="58"/>
      <c r="AQ149" s="68"/>
      <c r="AR149" s="68"/>
      <c r="AS149" s="55"/>
      <c r="AT149" s="55"/>
      <c r="AU149" s="55"/>
      <c r="AV149" s="61">
        <f>IF(SUM(AJ149:AL149)=0, 0, (1 + F149 * 0.1) * (0.75 + 0.25 * MAX(0, MIN(1, IF(MAX(AJ149:AL149)=0, 0, (3*MAX(AJ149:AL149)-SUM(AJ149:AL149)) / (2*MAX(AJ149:AL149)))))))</f>
      </c>
      <c r="AW149" s="83">
        <f>MAX(AJ149:AL149)</f>
      </c>
      <c r="AX149" s="81">
        <f>IF(AW149=0, "", AW149 / ((1 + 0.1*N(F149))))</f>
      </c>
      <c r="AY149" s="61">
        <f>IF(SUM(AJ149:AL149)=0, 0,     (1 + F149 * 0.1) * (1 + ((SUM(AJ149:AL149) - MAX(AJ149:AL149)) / (2 * MAX(AJ149:AL149))) * (1/0.75 - 1)))</f>
      </c>
      <c r="AZ149" s="83"/>
      <c r="BA149" s="81">
        <f>IF(AZ149=0, "", AZ149 / ((1 + 0.1*N(F149))/0.75))</f>
      </c>
      <c r="BB149" s="51">
        <v>0.1</v>
      </c>
      <c r="BC149" s="1"/>
      <c r="BD149" s="54"/>
      <c r="BE149" s="54"/>
      <c r="BF149" s="74"/>
      <c r="BG149" s="64"/>
      <c r="BH149" s="69"/>
      <c r="BI149" s="45"/>
      <c r="BJ149" s="63"/>
      <c r="BK149" s="49"/>
      <c r="BL149" s="56"/>
      <c r="BM149" s="50"/>
      <c r="BN149" s="57"/>
      <c r="BO149" s="54"/>
      <c r="BP149" s="64"/>
      <c r="BQ149" s="51"/>
      <c r="BR149" s="38">
        <f>IFERROR(BQ149*100/CP149,"N/A")</f>
      </c>
      <c r="BS149" s="61"/>
      <c r="BT149" s="54"/>
      <c r="BU149" s="42"/>
      <c r="BV149" s="78"/>
      <c r="BW149" s="73"/>
      <c r="BX149" s="64"/>
      <c r="BY149" s="52"/>
      <c r="BZ149" s="1"/>
      <c r="CA149" s="62"/>
      <c r="CB149" s="51"/>
      <c r="CC149" s="51"/>
      <c r="CD149" s="58"/>
      <c r="CE149" s="58"/>
      <c r="CF149" s="58"/>
      <c r="CG149" s="58"/>
      <c r="CH149" s="58"/>
      <c r="CI149" s="58"/>
      <c r="CJ149" s="79"/>
      <c r="CK149" s="69"/>
      <c r="CL149" s="79"/>
      <c r="CM149" s="51"/>
      <c r="CN149" s="55"/>
      <c r="CO149" s="42"/>
      <c r="CP149" s="70">
        <f>CN149*BS149*BT149</f>
      </c>
      <c r="CQ149" s="52"/>
      <c r="CR149" s="64">
        <f>100/CP149</f>
      </c>
      <c r="CS149" s="82">
        <f>100/CQ149</f>
      </c>
      <c r="CT149" s="52"/>
      <c r="CU149" s="52"/>
      <c r="CV149" s="82">
        <f>BL149/T149</f>
      </c>
      <c r="CW149" s="82">
        <f>100/CV149</f>
      </c>
      <c r="CX149" s="77"/>
      <c r="CY149" s="85"/>
      <c r="CZ149" s="77"/>
      <c r="DA149" s="77"/>
      <c r="DB149" s="77"/>
      <c r="DC149" s="1"/>
      <c r="DD149" s="1"/>
    </row>
    <row r="150">
      <c r="A150" s="84"/>
      <c r="B150" s="53"/>
      <c r="C150" s="71"/>
      <c r="D150" s="71">
        <f>IF($A150="","","WPN"&amp;VLOOKUP(E150,'引用数据库'!Z:AC,4,FALSE)&amp;VLOOKUP(H150,'引用数据库'!N:P,3,FALSE)&amp;VLOOKUP(I150,'引用数据库'!S:U,3,FALSE)&amp;TEXT(F150,"00"))</f>
      </c>
      <c r="E150" s="53"/>
      <c r="F150" s="57"/>
      <c r="G150" s="84"/>
      <c r="H150" s="53"/>
      <c r="I150" s="53"/>
      <c r="J150" s="84"/>
      <c r="K150" s="84"/>
      <c r="L150" s="42"/>
      <c r="M150" s="65"/>
      <c r="N150" s="54"/>
      <c r="O150" s="54"/>
      <c r="P150" s="54"/>
      <c r="Q150" s="54"/>
      <c r="R150" s="54"/>
      <c r="S150" s="54"/>
      <c r="T150" s="54"/>
      <c r="U150" s="51">
        <f>2*T150/(15*(1+(5-BD150)*0.1))</f>
      </c>
      <c r="V150" s="1"/>
      <c r="W150" s="54"/>
      <c r="X150" s="54"/>
      <c r="Y150" s="76"/>
      <c r="Z150" s="76"/>
      <c r="AA150" s="66"/>
      <c r="AB150" s="66"/>
      <c r="AC150" s="66"/>
      <c r="AD150" s="86"/>
      <c r="AE150" s="86"/>
      <c r="AF150" s="1"/>
      <c r="AG150" s="54"/>
      <c r="AH150" s="54"/>
      <c r="AI150" s="1"/>
      <c r="AJ150" s="80"/>
      <c r="AK150" s="80"/>
      <c r="AL150" s="80"/>
      <c r="AM150" s="55">
        <f>IFS(AJ150 &gt; 1.25, "S", AJ150 &gt; 1, "A", AJ150 &gt; 0.75, "B", AJ150 &gt; 0.5, "C", AJ150 &gt; 0.25, "D", AJ150 &gt; 0, "E", TRUE, "-")</f>
      </c>
      <c r="AN150" s="55">
        <f>IFS(AK150 &gt; 1.25, "S", AK150 &gt; 1, "A", AK150 &gt; 0.75, "B", AK150 &gt; 0.5, "C", AK150 &gt; 0.25, "D", AK150 &gt; 0, "E", TRUE, "-")</f>
      </c>
      <c r="AO150" s="55">
        <f>IFS(AL150 &gt; 1.25, "S", AL150 &gt; 1, "A", AL150 &gt; 0.75, "B", AL150 &gt; 0.5, "C", AL150 &gt; 0.25, "D", AL150 &gt; 0, "E", TRUE, "-")</f>
      </c>
      <c r="AP150" s="58"/>
      <c r="AQ150" s="68"/>
      <c r="AR150" s="68"/>
      <c r="AS150" s="55"/>
      <c r="AT150" s="55"/>
      <c r="AU150" s="55"/>
      <c r="AV150" s="61">
        <f>IF(SUM(AJ150:AL150)=0, 0, (1 + F150 * 0.1) * (0.75 + 0.25 * MAX(0, MIN(1, IF(MAX(AJ150:AL150)=0, 0, (3*MAX(AJ150:AL150)-SUM(AJ150:AL150)) / (2*MAX(AJ150:AL150)))))))</f>
      </c>
      <c r="AW150" s="83">
        <f>MAX(AJ150:AL150)</f>
      </c>
      <c r="AX150" s="81">
        <f>IF(AW150=0, "", AW150 / ((1 + 0.1*N(F150))))</f>
      </c>
      <c r="AY150" s="61">
        <f>IF(SUM(AJ150:AL150)=0, 0,     (1 + F150 * 0.1) * (1 + ((SUM(AJ150:AL150) - MAX(AJ150:AL150)) / (2 * MAX(AJ150:AL150))) * (1/0.75 - 1)))</f>
      </c>
      <c r="AZ150" s="83"/>
      <c r="BA150" s="81">
        <f>IF(AZ150=0, "", AZ150 / ((1 + 0.1*N(F150))/0.75))</f>
      </c>
      <c r="BB150" s="51">
        <v>0.1</v>
      </c>
      <c r="BC150" s="1"/>
      <c r="BD150" s="54"/>
      <c r="BE150" s="54"/>
      <c r="BF150" s="74"/>
      <c r="BG150" s="64"/>
      <c r="BH150" s="69"/>
      <c r="BI150" s="45"/>
      <c r="BJ150" s="63"/>
      <c r="BK150" s="49"/>
      <c r="BL150" s="56"/>
      <c r="BM150" s="50"/>
      <c r="BN150" s="57"/>
      <c r="BO150" s="54"/>
      <c r="BP150" s="64"/>
      <c r="BQ150" s="51"/>
      <c r="BR150" s="38">
        <f>IFERROR(BQ150*100/CP150,"N/A")</f>
      </c>
      <c r="BS150" s="61"/>
      <c r="BT150" s="54"/>
      <c r="BU150" s="42"/>
      <c r="BV150" s="78"/>
      <c r="BW150" s="73"/>
      <c r="BX150" s="64"/>
      <c r="BY150" s="52"/>
      <c r="BZ150" s="1"/>
      <c r="CA150" s="62"/>
      <c r="CB150" s="51"/>
      <c r="CC150" s="51"/>
      <c r="CD150" s="58"/>
      <c r="CE150" s="58"/>
      <c r="CF150" s="58"/>
      <c r="CG150" s="58"/>
      <c r="CH150" s="58"/>
      <c r="CI150" s="58"/>
      <c r="CJ150" s="79"/>
      <c r="CK150" s="69"/>
      <c r="CL150" s="79"/>
      <c r="CM150" s="51"/>
      <c r="CN150" s="55"/>
      <c r="CO150" s="42"/>
      <c r="CP150" s="70">
        <f>CN150*BS150*BT150</f>
      </c>
      <c r="CQ150" s="52"/>
      <c r="CR150" s="64">
        <f>100/CP150</f>
      </c>
      <c r="CS150" s="82">
        <f>100/CQ150</f>
      </c>
      <c r="CT150" s="52"/>
      <c r="CU150" s="52"/>
      <c r="CV150" s="82">
        <f>BL150/T150</f>
      </c>
      <c r="CW150" s="82">
        <f>100/CV150</f>
      </c>
      <c r="CX150" s="77"/>
      <c r="CY150" s="85"/>
      <c r="CZ150" s="77"/>
      <c r="DA150" s="77"/>
      <c r="DB150" s="77"/>
      <c r="DC150" s="1"/>
      <c r="DD150" s="1"/>
    </row>
    <row r="151">
      <c r="A151" s="84"/>
      <c r="B151" s="53"/>
      <c r="C151" s="71"/>
      <c r="D151" s="71">
        <f>IF($A151="","","WPN"&amp;VLOOKUP(E151,'引用数据库'!Z:AC,4,FALSE)&amp;VLOOKUP(H151,'引用数据库'!N:P,3,FALSE)&amp;VLOOKUP(I151,'引用数据库'!S:U,3,FALSE)&amp;TEXT(F151,"00"))</f>
      </c>
      <c r="E151" s="53"/>
      <c r="F151" s="57"/>
      <c r="G151" s="84"/>
      <c r="H151" s="53"/>
      <c r="I151" s="53"/>
      <c r="J151" s="84"/>
      <c r="K151" s="84"/>
      <c r="L151" s="42"/>
      <c r="M151" s="65"/>
      <c r="N151" s="54"/>
      <c r="O151" s="54"/>
      <c r="P151" s="54"/>
      <c r="Q151" s="54"/>
      <c r="R151" s="54"/>
      <c r="S151" s="54"/>
      <c r="T151" s="54"/>
      <c r="U151" s="51">
        <f>2*T151/(15*(1+(5-BD151)*0.1))</f>
      </c>
      <c r="V151" s="1"/>
      <c r="W151" s="54"/>
      <c r="X151" s="54"/>
      <c r="Y151" s="76"/>
      <c r="Z151" s="76"/>
      <c r="AA151" s="66"/>
      <c r="AB151" s="66"/>
      <c r="AC151" s="66"/>
      <c r="AD151" s="86"/>
      <c r="AE151" s="86"/>
      <c r="AF151" s="1"/>
      <c r="AG151" s="54"/>
      <c r="AH151" s="54"/>
      <c r="AI151" s="1"/>
      <c r="AJ151" s="80"/>
      <c r="AK151" s="80"/>
      <c r="AL151" s="80"/>
      <c r="AM151" s="55">
        <f>IFS(AJ151 &gt; 1.25, "S", AJ151 &gt; 1, "A", AJ151 &gt; 0.75, "B", AJ151 &gt; 0.5, "C", AJ151 &gt; 0.25, "D", AJ151 &gt; 0, "E", TRUE, "-")</f>
      </c>
      <c r="AN151" s="55">
        <f>IFS(AK151 &gt; 1.25, "S", AK151 &gt; 1, "A", AK151 &gt; 0.75, "B", AK151 &gt; 0.5, "C", AK151 &gt; 0.25, "D", AK151 &gt; 0, "E", TRUE, "-")</f>
      </c>
      <c r="AO151" s="55">
        <f>IFS(AL151 &gt; 1.25, "S", AL151 &gt; 1, "A", AL151 &gt; 0.75, "B", AL151 &gt; 0.5, "C", AL151 &gt; 0.25, "D", AL151 &gt; 0, "E", TRUE, "-")</f>
      </c>
      <c r="AP151" s="58"/>
      <c r="AQ151" s="68"/>
      <c r="AR151" s="68"/>
      <c r="AS151" s="55"/>
      <c r="AT151" s="55"/>
      <c r="AU151" s="55"/>
      <c r="AV151" s="61">
        <f>IF(SUM(AJ151:AL151)=0, 0, (1 + F151 * 0.1) * (0.75 + 0.25 * MAX(0, MIN(1, IF(MAX(AJ151:AL151)=0, 0, (3*MAX(AJ151:AL151)-SUM(AJ151:AL151)) / (2*MAX(AJ151:AL151)))))))</f>
      </c>
      <c r="AW151" s="83">
        <f>MAX(AJ151:AL151)</f>
      </c>
      <c r="AX151" s="81">
        <f>IF(AW151=0, "", AW151 / ((1 + 0.1*N(F151))))</f>
      </c>
      <c r="AY151" s="61">
        <f>IF(SUM(AJ151:AL151)=0, 0,     (1 + F151 * 0.1) * (1 + ((SUM(AJ151:AL151) - MAX(AJ151:AL151)) / (2 * MAX(AJ151:AL151))) * (1/0.75 - 1)))</f>
      </c>
      <c r="AZ151" s="83"/>
      <c r="BA151" s="81">
        <f>IF(AZ151=0, "", AZ151 / ((1 + 0.1*N(F151))/0.75))</f>
      </c>
      <c r="BB151" s="51">
        <v>0.1</v>
      </c>
      <c r="BC151" s="1"/>
      <c r="BD151" s="54"/>
      <c r="BE151" s="54"/>
      <c r="BF151" s="74"/>
      <c r="BG151" s="64"/>
      <c r="BH151" s="69"/>
      <c r="BI151" s="45"/>
      <c r="BJ151" s="63"/>
      <c r="BK151" s="49"/>
      <c r="BL151" s="56"/>
      <c r="BM151" s="50"/>
      <c r="BN151" s="57"/>
      <c r="BO151" s="54"/>
      <c r="BP151" s="64"/>
      <c r="BQ151" s="51"/>
      <c r="BR151" s="38">
        <f>IFERROR(BQ151*100/CP151,"N/A")</f>
      </c>
      <c r="BS151" s="61"/>
      <c r="BT151" s="54"/>
      <c r="BU151" s="42"/>
      <c r="BV151" s="78"/>
      <c r="BW151" s="73"/>
      <c r="BX151" s="64"/>
      <c r="BY151" s="52"/>
      <c r="BZ151" s="1"/>
      <c r="CA151" s="62"/>
      <c r="CB151" s="51"/>
      <c r="CC151" s="51"/>
      <c r="CD151" s="58"/>
      <c r="CE151" s="58"/>
      <c r="CF151" s="58"/>
      <c r="CG151" s="58"/>
      <c r="CH151" s="58"/>
      <c r="CI151" s="58"/>
      <c r="CJ151" s="79"/>
      <c r="CK151" s="69"/>
      <c r="CL151" s="79"/>
      <c r="CM151" s="51"/>
      <c r="CN151" s="55"/>
      <c r="CO151" s="42"/>
      <c r="CP151" s="70">
        <f>CN151*BS151*BT151</f>
      </c>
      <c r="CQ151" s="52"/>
      <c r="CR151" s="64">
        <f>100/CP151</f>
      </c>
      <c r="CS151" s="82">
        <f>100/CQ151</f>
      </c>
      <c r="CT151" s="52"/>
      <c r="CU151" s="52"/>
      <c r="CV151" s="82">
        <f>BL151/T151</f>
      </c>
      <c r="CW151" s="82">
        <f>100/CV151</f>
      </c>
      <c r="CX151" s="77"/>
      <c r="CY151" s="85"/>
      <c r="CZ151" s="77"/>
      <c r="DA151" s="77"/>
      <c r="DB151" s="77"/>
      <c r="DC151" s="1"/>
      <c r="DD151" s="1"/>
    </row>
    <row r="152">
      <c r="A152" s="84"/>
      <c r="B152" s="53"/>
      <c r="C152" s="71"/>
      <c r="D152" s="71">
        <f>IF($A152="","","WPN"&amp;VLOOKUP(E152,'引用数据库'!Z:AC,4,FALSE)&amp;VLOOKUP(H152,'引用数据库'!N:P,3,FALSE)&amp;VLOOKUP(I152,'引用数据库'!S:U,3,FALSE)&amp;TEXT(F152,"00"))</f>
      </c>
      <c r="E152" s="53"/>
      <c r="F152" s="57"/>
      <c r="G152" s="84"/>
      <c r="H152" s="53"/>
      <c r="I152" s="53"/>
      <c r="J152" s="84"/>
      <c r="K152" s="84"/>
      <c r="L152" s="42"/>
      <c r="M152" s="65"/>
      <c r="N152" s="54"/>
      <c r="O152" s="54"/>
      <c r="P152" s="54"/>
      <c r="Q152" s="54"/>
      <c r="R152" s="54"/>
      <c r="S152" s="54"/>
      <c r="T152" s="54"/>
      <c r="U152" s="51">
        <f>2*T152/(15*(1+(5-BD152)*0.1))</f>
      </c>
      <c r="V152" s="1"/>
      <c r="W152" s="54"/>
      <c r="X152" s="54"/>
      <c r="Y152" s="76"/>
      <c r="Z152" s="76"/>
      <c r="AA152" s="66"/>
      <c r="AB152" s="66"/>
      <c r="AC152" s="66"/>
      <c r="AD152" s="86"/>
      <c r="AE152" s="86"/>
      <c r="AF152" s="1"/>
      <c r="AG152" s="54"/>
      <c r="AH152" s="54"/>
      <c r="AI152" s="1"/>
      <c r="AJ152" s="80"/>
      <c r="AK152" s="80"/>
      <c r="AL152" s="80"/>
      <c r="AM152" s="55">
        <f>IFS(AJ152 &gt; 1.25, "S", AJ152 &gt; 1, "A", AJ152 &gt; 0.75, "B", AJ152 &gt; 0.5, "C", AJ152 &gt; 0.25, "D", AJ152 &gt; 0, "E", TRUE, "-")</f>
      </c>
      <c r="AN152" s="55">
        <f>IFS(AK152 &gt; 1.25, "S", AK152 &gt; 1, "A", AK152 &gt; 0.75, "B", AK152 &gt; 0.5, "C", AK152 &gt; 0.25, "D", AK152 &gt; 0, "E", TRUE, "-")</f>
      </c>
      <c r="AO152" s="55">
        <f>IFS(AL152 &gt; 1.25, "S", AL152 &gt; 1, "A", AL152 &gt; 0.75, "B", AL152 &gt; 0.5, "C", AL152 &gt; 0.25, "D", AL152 &gt; 0, "E", TRUE, "-")</f>
      </c>
      <c r="AP152" s="58"/>
      <c r="AQ152" s="68"/>
      <c r="AR152" s="68"/>
      <c r="AS152" s="55"/>
      <c r="AT152" s="55"/>
      <c r="AU152" s="55"/>
      <c r="AV152" s="61">
        <f>IF(SUM(AJ152:AL152)=0, 0, (1 + F152 * 0.1) * (0.75 + 0.25 * MAX(0, MIN(1, IF(MAX(AJ152:AL152)=0, 0, (3*MAX(AJ152:AL152)-SUM(AJ152:AL152)) / (2*MAX(AJ152:AL152)))))))</f>
      </c>
      <c r="AW152" s="83">
        <f>MAX(AJ152:AL152)</f>
      </c>
      <c r="AX152" s="81">
        <f>IF(AW152=0, "", AW152 / ((1 + 0.1*N(F152))))</f>
      </c>
      <c r="AY152" s="61">
        <f>IF(SUM(AJ152:AL152)=0, 0,     (1 + F152 * 0.1) * (1 + ((SUM(AJ152:AL152) - MAX(AJ152:AL152)) / (2 * MAX(AJ152:AL152))) * (1/0.75 - 1)))</f>
      </c>
      <c r="AZ152" s="83"/>
      <c r="BA152" s="81">
        <f>IF(AZ152=0, "", AZ152 / ((1 + 0.1*N(F152))/0.75))</f>
      </c>
      <c r="BB152" s="51">
        <v>0.1</v>
      </c>
      <c r="BC152" s="1"/>
      <c r="BD152" s="54"/>
      <c r="BE152" s="54"/>
      <c r="BF152" s="74"/>
      <c r="BG152" s="64"/>
      <c r="BH152" s="69"/>
      <c r="BI152" s="45"/>
      <c r="BJ152" s="63"/>
      <c r="BK152" s="49"/>
      <c r="BL152" s="56"/>
      <c r="BM152" s="50"/>
      <c r="BN152" s="57"/>
      <c r="BO152" s="54"/>
      <c r="BP152" s="64"/>
      <c r="BQ152" s="51"/>
      <c r="BR152" s="38">
        <f>IFERROR(BQ152*100/CP152,"N/A")</f>
      </c>
      <c r="BS152" s="61"/>
      <c r="BT152" s="54"/>
      <c r="BU152" s="42"/>
      <c r="BV152" s="78"/>
      <c r="BW152" s="73"/>
      <c r="BX152" s="64"/>
      <c r="BY152" s="52"/>
      <c r="BZ152" s="1"/>
      <c r="CA152" s="62"/>
      <c r="CB152" s="51"/>
      <c r="CC152" s="51"/>
      <c r="CD152" s="58"/>
      <c r="CE152" s="58"/>
      <c r="CF152" s="58"/>
      <c r="CG152" s="58"/>
      <c r="CH152" s="58"/>
      <c r="CI152" s="58"/>
      <c r="CJ152" s="79"/>
      <c r="CK152" s="69"/>
      <c r="CL152" s="79"/>
      <c r="CM152" s="51"/>
      <c r="CN152" s="55"/>
      <c r="CO152" s="42"/>
      <c r="CP152" s="70">
        <f>CN152*BS152*BT152</f>
      </c>
      <c r="CQ152" s="52"/>
      <c r="CR152" s="64">
        <f>100/CP152</f>
      </c>
      <c r="CS152" s="82">
        <f>100/CQ152</f>
      </c>
      <c r="CT152" s="52"/>
      <c r="CU152" s="52"/>
      <c r="CV152" s="82">
        <f>BL152/T152</f>
      </c>
      <c r="CW152" s="82">
        <f>100/CV152</f>
      </c>
      <c r="CX152" s="77"/>
      <c r="CY152" s="85"/>
      <c r="CZ152" s="77"/>
      <c r="DA152" s="77"/>
      <c r="DB152" s="77"/>
      <c r="DC152" s="1"/>
      <c r="DD152" s="1"/>
    </row>
    <row r="153">
      <c r="A153" s="84"/>
      <c r="B153" s="53"/>
      <c r="C153" s="71"/>
      <c r="D153" s="71">
        <f>IF($A153="","","WPN"&amp;VLOOKUP(E153,'引用数据库'!Z:AC,4,FALSE)&amp;VLOOKUP(H153,'引用数据库'!N:P,3,FALSE)&amp;VLOOKUP(I153,'引用数据库'!S:U,3,FALSE)&amp;TEXT(F153,"00"))</f>
      </c>
      <c r="E153" s="53"/>
      <c r="F153" s="57"/>
      <c r="G153" s="84"/>
      <c r="H153" s="53"/>
      <c r="I153" s="53"/>
      <c r="J153" s="84"/>
      <c r="K153" s="84"/>
      <c r="L153" s="42"/>
      <c r="M153" s="65"/>
      <c r="N153" s="54"/>
      <c r="O153" s="54"/>
      <c r="P153" s="54"/>
      <c r="Q153" s="54"/>
      <c r="R153" s="54"/>
      <c r="S153" s="54"/>
      <c r="T153" s="54"/>
      <c r="U153" s="51">
        <f>2*T153/(15*(1+(5-BD153)*0.1))</f>
      </c>
      <c r="V153" s="1"/>
      <c r="W153" s="54"/>
      <c r="X153" s="54"/>
      <c r="Y153" s="76"/>
      <c r="Z153" s="76"/>
      <c r="AA153" s="66"/>
      <c r="AB153" s="66"/>
      <c r="AC153" s="66"/>
      <c r="AD153" s="86"/>
      <c r="AE153" s="86"/>
      <c r="AF153" s="1"/>
      <c r="AG153" s="54"/>
      <c r="AH153" s="54"/>
      <c r="AI153" s="1"/>
      <c r="AJ153" s="80"/>
      <c r="AK153" s="80"/>
      <c r="AL153" s="80"/>
      <c r="AM153" s="55">
        <f>IFS(AJ153 &gt; 1.25, "S", AJ153 &gt; 1, "A", AJ153 &gt; 0.75, "B", AJ153 &gt; 0.5, "C", AJ153 &gt; 0.25, "D", AJ153 &gt; 0, "E", TRUE, "-")</f>
      </c>
      <c r="AN153" s="55">
        <f>IFS(AK153 &gt; 1.25, "S", AK153 &gt; 1, "A", AK153 &gt; 0.75, "B", AK153 &gt; 0.5, "C", AK153 &gt; 0.25, "D", AK153 &gt; 0, "E", TRUE, "-")</f>
      </c>
      <c r="AO153" s="55">
        <f>IFS(AL153 &gt; 1.25, "S", AL153 &gt; 1, "A", AL153 &gt; 0.75, "B", AL153 &gt; 0.5, "C", AL153 &gt; 0.25, "D", AL153 &gt; 0, "E", TRUE, "-")</f>
      </c>
      <c r="AP153" s="58"/>
      <c r="AQ153" s="68"/>
      <c r="AR153" s="68"/>
      <c r="AS153" s="55"/>
      <c r="AT153" s="55"/>
      <c r="AU153" s="55"/>
      <c r="AV153" s="61">
        <f>IF(SUM(AJ153:AL153)=0, 0, (1 + F153 * 0.1) * (0.75 + 0.25 * MAX(0, MIN(1, IF(MAX(AJ153:AL153)=0, 0, (3*MAX(AJ153:AL153)-SUM(AJ153:AL153)) / (2*MAX(AJ153:AL153)))))))</f>
      </c>
      <c r="AW153" s="83">
        <f>MAX(AJ153:AL153)</f>
      </c>
      <c r="AX153" s="81">
        <f>IF(AW153=0, "", AW153 / ((1 + 0.1*N(F153))))</f>
      </c>
      <c r="AY153" s="61">
        <f>IF(SUM(AJ153:AL153)=0, 0,     (1 + F153 * 0.1) * (1 + ((SUM(AJ153:AL153) - MAX(AJ153:AL153)) / (2 * MAX(AJ153:AL153))) * (1/0.75 - 1)))</f>
      </c>
      <c r="AZ153" s="83"/>
      <c r="BA153" s="81">
        <f>IF(AZ153=0, "", AZ153 / ((1 + 0.1*N(F153))/0.75))</f>
      </c>
      <c r="BB153" s="51">
        <v>0.1</v>
      </c>
      <c r="BC153" s="1"/>
      <c r="BD153" s="54"/>
      <c r="BE153" s="54"/>
      <c r="BF153" s="74"/>
      <c r="BG153" s="64"/>
      <c r="BH153" s="69"/>
      <c r="BI153" s="45"/>
      <c r="BJ153" s="63"/>
      <c r="BK153" s="49"/>
      <c r="BL153" s="56"/>
      <c r="BM153" s="50"/>
      <c r="BN153" s="57"/>
      <c r="BO153" s="54"/>
      <c r="BP153" s="64"/>
      <c r="BQ153" s="51"/>
      <c r="BR153" s="38">
        <f>IFERROR(BQ153*100/CP153,"N/A")</f>
      </c>
      <c r="BS153" s="61"/>
      <c r="BT153" s="54"/>
      <c r="BU153" s="42"/>
      <c r="BV153" s="78"/>
      <c r="BW153" s="73"/>
      <c r="BX153" s="64"/>
      <c r="BY153" s="52"/>
      <c r="BZ153" s="1"/>
      <c r="CA153" s="62"/>
      <c r="CB153" s="51"/>
      <c r="CC153" s="51"/>
      <c r="CD153" s="58"/>
      <c r="CE153" s="58"/>
      <c r="CF153" s="58"/>
      <c r="CG153" s="58"/>
      <c r="CH153" s="58"/>
      <c r="CI153" s="58"/>
      <c r="CJ153" s="79"/>
      <c r="CK153" s="69"/>
      <c r="CL153" s="79"/>
      <c r="CM153" s="51"/>
      <c r="CN153" s="55"/>
      <c r="CO153" s="42"/>
      <c r="CP153" s="70">
        <f>CN153*BS153*BT153</f>
      </c>
      <c r="CQ153" s="52"/>
      <c r="CR153" s="64">
        <f>100/CP153</f>
      </c>
      <c r="CS153" s="82">
        <f>100/CQ153</f>
      </c>
      <c r="CT153" s="52"/>
      <c r="CU153" s="52"/>
      <c r="CV153" s="82">
        <f>BL153/T153</f>
      </c>
      <c r="CW153" s="82">
        <f>100/CV153</f>
      </c>
      <c r="CX153" s="77"/>
      <c r="CY153" s="85"/>
      <c r="CZ153" s="77"/>
      <c r="DA153" s="77"/>
      <c r="DB153" s="77"/>
      <c r="DC153" s="1"/>
      <c r="DD153" s="1"/>
    </row>
    <row r="154">
      <c r="A154" s="84"/>
      <c r="B154" s="53"/>
      <c r="C154" s="71"/>
      <c r="D154" s="71">
        <f>IF($A154="","","WPN"&amp;VLOOKUP(E154,'引用数据库'!Z:AC,4,FALSE)&amp;VLOOKUP(H154,'引用数据库'!N:P,3,FALSE)&amp;VLOOKUP(I154,'引用数据库'!S:U,3,FALSE)&amp;TEXT(F154,"00"))</f>
      </c>
      <c r="E154" s="53"/>
      <c r="F154" s="57"/>
      <c r="G154" s="84"/>
      <c r="H154" s="53"/>
      <c r="I154" s="53"/>
      <c r="J154" s="84"/>
      <c r="K154" s="84"/>
      <c r="L154" s="42"/>
      <c r="M154" s="65"/>
      <c r="N154" s="54"/>
      <c r="O154" s="54"/>
      <c r="P154" s="54"/>
      <c r="Q154" s="54"/>
      <c r="R154" s="54"/>
      <c r="S154" s="54"/>
      <c r="T154" s="54"/>
      <c r="U154" s="51">
        <f>2*T154/(15*(1+(5-BD154)*0.1))</f>
      </c>
      <c r="V154" s="1"/>
      <c r="W154" s="54"/>
      <c r="X154" s="54"/>
      <c r="Y154" s="76"/>
      <c r="Z154" s="76"/>
      <c r="AA154" s="66"/>
      <c r="AB154" s="66"/>
      <c r="AC154" s="66"/>
      <c r="AD154" s="86"/>
      <c r="AE154" s="86"/>
      <c r="AF154" s="1"/>
      <c r="AG154" s="54"/>
      <c r="AH154" s="54"/>
      <c r="AI154" s="1"/>
      <c r="AJ154" s="80"/>
      <c r="AK154" s="80"/>
      <c r="AL154" s="80"/>
      <c r="AM154" s="55">
        <f>IFS(AJ154 &gt; 1.25, "S", AJ154 &gt; 1, "A", AJ154 &gt; 0.75, "B", AJ154 &gt; 0.5, "C", AJ154 &gt; 0.25, "D", AJ154 &gt; 0, "E", TRUE, "-")</f>
      </c>
      <c r="AN154" s="55">
        <f>IFS(AK154 &gt; 1.25, "S", AK154 &gt; 1, "A", AK154 &gt; 0.75, "B", AK154 &gt; 0.5, "C", AK154 &gt; 0.25, "D", AK154 &gt; 0, "E", TRUE, "-")</f>
      </c>
      <c r="AO154" s="55">
        <f>IFS(AL154 &gt; 1.25, "S", AL154 &gt; 1, "A", AL154 &gt; 0.75, "B", AL154 &gt; 0.5, "C", AL154 &gt; 0.25, "D", AL154 &gt; 0, "E", TRUE, "-")</f>
      </c>
      <c r="AP154" s="58"/>
      <c r="AQ154" s="68"/>
      <c r="AR154" s="68"/>
      <c r="AS154" s="55"/>
      <c r="AT154" s="55"/>
      <c r="AU154" s="55"/>
      <c r="AV154" s="61">
        <f>IF(SUM(AJ154:AL154)=0, 0, (1 + F154 * 0.1) * (0.75 + 0.25 * MAX(0, MIN(1, IF(MAX(AJ154:AL154)=0, 0, (3*MAX(AJ154:AL154)-SUM(AJ154:AL154)) / (2*MAX(AJ154:AL154)))))))</f>
      </c>
      <c r="AW154" s="83">
        <f>MAX(AJ154:AL154)</f>
      </c>
      <c r="AX154" s="81">
        <f>IF(AW154=0, "", AW154 / ((1 + 0.1*N(F154))))</f>
      </c>
      <c r="AY154" s="61">
        <f>IF(SUM(AJ154:AL154)=0, 0,     (1 + F154 * 0.1) * (1 + ((SUM(AJ154:AL154) - MAX(AJ154:AL154)) / (2 * MAX(AJ154:AL154))) * (1/0.75 - 1)))</f>
      </c>
      <c r="AZ154" s="83"/>
      <c r="BA154" s="81">
        <f>IF(AZ154=0, "", AZ154 / ((1 + 0.1*N(F154))/0.75))</f>
      </c>
      <c r="BB154" s="51">
        <v>0.1</v>
      </c>
      <c r="BC154" s="1"/>
      <c r="BD154" s="54"/>
      <c r="BE154" s="54"/>
      <c r="BF154" s="74"/>
      <c r="BG154" s="64"/>
      <c r="BH154" s="69"/>
      <c r="BI154" s="45"/>
      <c r="BJ154" s="63"/>
      <c r="BK154" s="49"/>
      <c r="BL154" s="56"/>
      <c r="BM154" s="50"/>
      <c r="BN154" s="57"/>
      <c r="BO154" s="54"/>
      <c r="BP154" s="64"/>
      <c r="BQ154" s="51"/>
      <c r="BR154" s="38">
        <f>IFERROR(BQ154*100/CP154,"N/A")</f>
      </c>
      <c r="BS154" s="61"/>
      <c r="BT154" s="54"/>
      <c r="BU154" s="42"/>
      <c r="BV154" s="78"/>
      <c r="BW154" s="73"/>
      <c r="BX154" s="64"/>
      <c r="BY154" s="52"/>
      <c r="BZ154" s="1"/>
      <c r="CA154" s="62"/>
      <c r="CB154" s="51"/>
      <c r="CC154" s="51"/>
      <c r="CD154" s="58"/>
      <c r="CE154" s="58"/>
      <c r="CF154" s="58"/>
      <c r="CG154" s="58"/>
      <c r="CH154" s="58"/>
      <c r="CI154" s="58"/>
      <c r="CJ154" s="79"/>
      <c r="CK154" s="69"/>
      <c r="CL154" s="79"/>
      <c r="CM154" s="51"/>
      <c r="CN154" s="55"/>
      <c r="CO154" s="42"/>
      <c r="CP154" s="70">
        <f>CN154*BS154*BT154</f>
      </c>
      <c r="CQ154" s="52"/>
      <c r="CR154" s="64">
        <f>100/CP154</f>
      </c>
      <c r="CS154" s="82">
        <f>100/CQ154</f>
      </c>
      <c r="CT154" s="52"/>
      <c r="CU154" s="52"/>
      <c r="CV154" s="82">
        <f>BL154/T154</f>
      </c>
      <c r="CW154" s="82">
        <f>100/CV154</f>
      </c>
      <c r="CX154" s="77"/>
      <c r="CY154" s="85"/>
      <c r="CZ154" s="77"/>
      <c r="DA154" s="77"/>
      <c r="DB154" s="77"/>
      <c r="DC154" s="1"/>
      <c r="DD154" s="1"/>
    </row>
    <row r="155">
      <c r="A155" s="84"/>
      <c r="B155" s="53"/>
      <c r="C155" s="71"/>
      <c r="D155" s="71">
        <f>IF($A155="","","WPN"&amp;VLOOKUP(E155,'引用数据库'!Z:AC,4,FALSE)&amp;VLOOKUP(H155,'引用数据库'!N:P,3,FALSE)&amp;VLOOKUP(I155,'引用数据库'!S:U,3,FALSE)&amp;TEXT(F155,"00"))</f>
      </c>
      <c r="E155" s="53"/>
      <c r="F155" s="57"/>
      <c r="G155" s="84"/>
      <c r="H155" s="53"/>
      <c r="I155" s="53"/>
      <c r="J155" s="84"/>
      <c r="K155" s="84"/>
      <c r="L155" s="42"/>
      <c r="M155" s="65"/>
      <c r="N155" s="54"/>
      <c r="O155" s="54"/>
      <c r="P155" s="54"/>
      <c r="Q155" s="54"/>
      <c r="R155" s="54"/>
      <c r="S155" s="54"/>
      <c r="T155" s="54"/>
      <c r="U155" s="51">
        <f>2*T155/(15*(1+(5-BD155)*0.1))</f>
      </c>
      <c r="V155" s="1"/>
      <c r="W155" s="54"/>
      <c r="X155" s="54"/>
      <c r="Y155" s="76"/>
      <c r="Z155" s="76"/>
      <c r="AA155" s="66"/>
      <c r="AB155" s="66"/>
      <c r="AC155" s="66"/>
      <c r="AD155" s="86"/>
      <c r="AE155" s="86"/>
      <c r="AF155" s="1"/>
      <c r="AG155" s="54"/>
      <c r="AH155" s="54"/>
      <c r="AI155" s="1"/>
      <c r="AJ155" s="80"/>
      <c r="AK155" s="80"/>
      <c r="AL155" s="80"/>
      <c r="AM155" s="55">
        <f>IFS(AJ155 &gt; 1.25, "S", AJ155 &gt; 1, "A", AJ155 &gt; 0.75, "B", AJ155 &gt; 0.5, "C", AJ155 &gt; 0.25, "D", AJ155 &gt; 0, "E", TRUE, "-")</f>
      </c>
      <c r="AN155" s="55">
        <f>IFS(AK155 &gt; 1.25, "S", AK155 &gt; 1, "A", AK155 &gt; 0.75, "B", AK155 &gt; 0.5, "C", AK155 &gt; 0.25, "D", AK155 &gt; 0, "E", TRUE, "-")</f>
      </c>
      <c r="AO155" s="55">
        <f>IFS(AL155 &gt; 1.25, "S", AL155 &gt; 1, "A", AL155 &gt; 0.75, "B", AL155 &gt; 0.5, "C", AL155 &gt; 0.25, "D", AL155 &gt; 0, "E", TRUE, "-")</f>
      </c>
      <c r="AP155" s="58"/>
      <c r="AQ155" s="68"/>
      <c r="AR155" s="68"/>
      <c r="AS155" s="55"/>
      <c r="AT155" s="55"/>
      <c r="AU155" s="55"/>
      <c r="AV155" s="61">
        <f>IF(SUM(AJ155:AL155)=0, 0, (1 + F155 * 0.1) * (0.75 + 0.25 * MAX(0, MIN(1, IF(MAX(AJ155:AL155)=0, 0, (3*MAX(AJ155:AL155)-SUM(AJ155:AL155)) / (2*MAX(AJ155:AL155)))))))</f>
      </c>
      <c r="AW155" s="83">
        <f>MAX(AJ155:AL155)</f>
      </c>
      <c r="AX155" s="81">
        <f>IF(AW155=0, "", AW155 / ((1 + 0.1*N(F155))))</f>
      </c>
      <c r="AY155" s="61">
        <f>IF(SUM(AJ155:AL155)=0, 0,     (1 + F155 * 0.1) * (1 + ((SUM(AJ155:AL155) - MAX(AJ155:AL155)) / (2 * MAX(AJ155:AL155))) * (1/0.75 - 1)))</f>
      </c>
      <c r="AZ155" s="83"/>
      <c r="BA155" s="81">
        <f>IF(AZ155=0, "", AZ155 / ((1 + 0.1*N(F155))/0.75))</f>
      </c>
      <c r="BB155" s="51">
        <v>0.1</v>
      </c>
      <c r="BC155" s="1"/>
      <c r="BD155" s="54"/>
      <c r="BE155" s="54"/>
      <c r="BF155" s="74"/>
      <c r="BG155" s="64"/>
      <c r="BH155" s="69"/>
      <c r="BI155" s="45"/>
      <c r="BJ155" s="63"/>
      <c r="BK155" s="49"/>
      <c r="BL155" s="56"/>
      <c r="BM155" s="50"/>
      <c r="BN155" s="57"/>
      <c r="BO155" s="54"/>
      <c r="BP155" s="64"/>
      <c r="BQ155" s="51"/>
      <c r="BR155" s="38">
        <f>IFERROR(BQ155*100/CP155,"N/A")</f>
      </c>
      <c r="BS155" s="61"/>
      <c r="BT155" s="54"/>
      <c r="BU155" s="42"/>
      <c r="BV155" s="78"/>
      <c r="BW155" s="73"/>
      <c r="BX155" s="64"/>
      <c r="BY155" s="52"/>
      <c r="BZ155" s="1"/>
      <c r="CA155" s="62"/>
      <c r="CB155" s="51"/>
      <c r="CC155" s="51"/>
      <c r="CD155" s="58"/>
      <c r="CE155" s="58"/>
      <c r="CF155" s="58"/>
      <c r="CG155" s="58"/>
      <c r="CH155" s="58"/>
      <c r="CI155" s="58"/>
      <c r="CJ155" s="79"/>
      <c r="CK155" s="69"/>
      <c r="CL155" s="79"/>
      <c r="CM155" s="51"/>
      <c r="CN155" s="55"/>
      <c r="CO155" s="42"/>
      <c r="CP155" s="70">
        <f>CN155*BS155*BT155</f>
      </c>
      <c r="CQ155" s="52"/>
      <c r="CR155" s="64">
        <f>100/CP155</f>
      </c>
      <c r="CS155" s="82">
        <f>100/CQ155</f>
      </c>
      <c r="CT155" s="52"/>
      <c r="CU155" s="52"/>
      <c r="CV155" s="82">
        <f>BL155/T155</f>
      </c>
      <c r="CW155" s="82">
        <f>100/CV155</f>
      </c>
      <c r="CX155" s="77"/>
      <c r="CY155" s="85"/>
      <c r="CZ155" s="77"/>
      <c r="DA155" s="77"/>
      <c r="DB155" s="77"/>
      <c r="DC155" s="1"/>
      <c r="DD155" s="1"/>
    </row>
    <row r="156">
      <c r="A156" s="84"/>
      <c r="B156" s="53"/>
      <c r="C156" s="71"/>
      <c r="D156" s="71">
        <f>IF($A156="","","WPN"&amp;VLOOKUP(E156,'引用数据库'!Z:AC,4,FALSE)&amp;VLOOKUP(H156,'引用数据库'!N:P,3,FALSE)&amp;VLOOKUP(I156,'引用数据库'!S:U,3,FALSE)&amp;TEXT(F156,"00"))</f>
      </c>
      <c r="E156" s="53"/>
      <c r="F156" s="57"/>
      <c r="G156" s="84"/>
      <c r="H156" s="53"/>
      <c r="I156" s="53"/>
      <c r="J156" s="84"/>
      <c r="K156" s="84"/>
      <c r="L156" s="42"/>
      <c r="M156" s="65"/>
      <c r="N156" s="54"/>
      <c r="O156" s="54"/>
      <c r="P156" s="54"/>
      <c r="Q156" s="54"/>
      <c r="R156" s="54"/>
      <c r="S156" s="54"/>
      <c r="T156" s="54"/>
      <c r="U156" s="51">
        <f>2*T156/(15*(1+(5-BD156)*0.1))</f>
      </c>
      <c r="V156" s="1"/>
      <c r="W156" s="54"/>
      <c r="X156" s="54"/>
      <c r="Y156" s="76"/>
      <c r="Z156" s="76"/>
      <c r="AA156" s="66"/>
      <c r="AB156" s="66"/>
      <c r="AC156" s="66"/>
      <c r="AD156" s="86"/>
      <c r="AE156" s="86"/>
      <c r="AF156" s="1"/>
      <c r="AG156" s="54"/>
      <c r="AH156" s="54"/>
      <c r="AI156" s="1"/>
      <c r="AJ156" s="80"/>
      <c r="AK156" s="80"/>
      <c r="AL156" s="80"/>
      <c r="AM156" s="55">
        <f>IFS(AJ156 &gt; 1.25, "S", AJ156 &gt; 1, "A", AJ156 &gt; 0.75, "B", AJ156 &gt; 0.5, "C", AJ156 &gt; 0.25, "D", AJ156 &gt; 0, "E", TRUE, "-")</f>
      </c>
      <c r="AN156" s="55">
        <f>IFS(AK156 &gt; 1.25, "S", AK156 &gt; 1, "A", AK156 &gt; 0.75, "B", AK156 &gt; 0.5, "C", AK156 &gt; 0.25, "D", AK156 &gt; 0, "E", TRUE, "-")</f>
      </c>
      <c r="AO156" s="55">
        <f>IFS(AL156 &gt; 1.25, "S", AL156 &gt; 1, "A", AL156 &gt; 0.75, "B", AL156 &gt; 0.5, "C", AL156 &gt; 0.25, "D", AL156 &gt; 0, "E", TRUE, "-")</f>
      </c>
      <c r="AP156" s="58"/>
      <c r="AQ156" s="68"/>
      <c r="AR156" s="68"/>
      <c r="AS156" s="55"/>
      <c r="AT156" s="55"/>
      <c r="AU156" s="55"/>
      <c r="AV156" s="61">
        <f>IF(SUM(AJ156:AL156)=0, 0, (1 + F156 * 0.1) * (0.75 + 0.25 * MAX(0, MIN(1, IF(MAX(AJ156:AL156)=0, 0, (3*MAX(AJ156:AL156)-SUM(AJ156:AL156)) / (2*MAX(AJ156:AL156)))))))</f>
      </c>
      <c r="AW156" s="83">
        <f>MAX(AJ156:AL156)</f>
      </c>
      <c r="AX156" s="81">
        <f>IF(AW156=0, "", AW156 / ((1 + 0.1*N(F156))))</f>
      </c>
      <c r="AY156" s="61">
        <f>IF(SUM(AJ156:AL156)=0, 0,     (1 + F156 * 0.1) * (1 + ((SUM(AJ156:AL156) - MAX(AJ156:AL156)) / (2 * MAX(AJ156:AL156))) * (1/0.75 - 1)))</f>
      </c>
      <c r="AZ156" s="83"/>
      <c r="BA156" s="81">
        <f>IF(AZ156=0, "", AZ156 / ((1 + 0.1*N(F156))/0.75))</f>
      </c>
      <c r="BB156" s="51">
        <v>0.1</v>
      </c>
      <c r="BC156" s="1"/>
      <c r="BD156" s="54"/>
      <c r="BE156" s="54"/>
      <c r="BF156" s="74"/>
      <c r="BG156" s="64"/>
      <c r="BH156" s="69"/>
      <c r="BI156" s="45"/>
      <c r="BJ156" s="63"/>
      <c r="BK156" s="49"/>
      <c r="BL156" s="56"/>
      <c r="BM156" s="50"/>
      <c r="BN156" s="57"/>
      <c r="BO156" s="54"/>
      <c r="BP156" s="64"/>
      <c r="BQ156" s="51"/>
      <c r="BR156" s="38">
        <f>IFERROR(BQ156*100/CP156,"N/A")</f>
      </c>
      <c r="BS156" s="61"/>
      <c r="BT156" s="54"/>
      <c r="BU156" s="42"/>
      <c r="BV156" s="78"/>
      <c r="BW156" s="73"/>
      <c r="BX156" s="64"/>
      <c r="BY156" s="52"/>
      <c r="BZ156" s="1"/>
      <c r="CA156" s="62"/>
      <c r="CB156" s="51"/>
      <c r="CC156" s="51"/>
      <c r="CD156" s="58"/>
      <c r="CE156" s="58"/>
      <c r="CF156" s="58"/>
      <c r="CG156" s="58"/>
      <c r="CH156" s="58"/>
      <c r="CI156" s="58"/>
      <c r="CJ156" s="79"/>
      <c r="CK156" s="69"/>
      <c r="CL156" s="79"/>
      <c r="CM156" s="51"/>
      <c r="CN156" s="55"/>
      <c r="CO156" s="42"/>
      <c r="CP156" s="70">
        <f>CN156*BS156*BT156</f>
      </c>
      <c r="CQ156" s="52"/>
      <c r="CR156" s="64">
        <f>100/CP156</f>
      </c>
      <c r="CS156" s="82">
        <f>100/CQ156</f>
      </c>
      <c r="CT156" s="52"/>
      <c r="CU156" s="52"/>
      <c r="CV156" s="82">
        <f>BL156/T156</f>
      </c>
      <c r="CW156" s="82">
        <f>100/CV156</f>
      </c>
      <c r="CX156" s="77"/>
      <c r="CY156" s="85"/>
      <c r="CZ156" s="77"/>
      <c r="DA156" s="77"/>
      <c r="DB156" s="77"/>
      <c r="DC156" s="1"/>
      <c r="DD156" s="1"/>
    </row>
    <row r="157">
      <c r="A157" s="84"/>
      <c r="B157" s="53"/>
      <c r="C157" s="71"/>
      <c r="D157" s="71">
        <f>IF($A157="","","WPN"&amp;VLOOKUP(E157,'引用数据库'!Z:AC,4,FALSE)&amp;VLOOKUP(H157,'引用数据库'!N:P,3,FALSE)&amp;VLOOKUP(I157,'引用数据库'!S:U,3,FALSE)&amp;TEXT(F157,"00"))</f>
      </c>
      <c r="E157" s="53"/>
      <c r="F157" s="57"/>
      <c r="G157" s="84"/>
      <c r="H157" s="53"/>
      <c r="I157" s="53"/>
      <c r="J157" s="84"/>
      <c r="K157" s="84"/>
      <c r="L157" s="42"/>
      <c r="M157" s="65"/>
      <c r="N157" s="54"/>
      <c r="O157" s="54"/>
      <c r="P157" s="54"/>
      <c r="Q157" s="54"/>
      <c r="R157" s="54"/>
      <c r="S157" s="54"/>
      <c r="T157" s="54"/>
      <c r="U157" s="51">
        <f>2*T157/(15*(1+(5-BD157)*0.1))</f>
      </c>
      <c r="V157" s="1"/>
      <c r="W157" s="54"/>
      <c r="X157" s="54"/>
      <c r="Y157" s="76"/>
      <c r="Z157" s="76"/>
      <c r="AA157" s="66"/>
      <c r="AB157" s="66"/>
      <c r="AC157" s="66"/>
      <c r="AD157" s="86"/>
      <c r="AE157" s="86"/>
      <c r="AF157" s="1"/>
      <c r="AG157" s="54"/>
      <c r="AH157" s="54"/>
      <c r="AI157" s="1"/>
      <c r="AJ157" s="80"/>
      <c r="AK157" s="80"/>
      <c r="AL157" s="80"/>
      <c r="AM157" s="55">
        <f>IFS(AJ157 &gt; 1.25, "S", AJ157 &gt; 1, "A", AJ157 &gt; 0.75, "B", AJ157 &gt; 0.5, "C", AJ157 &gt; 0.25, "D", AJ157 &gt; 0, "E", TRUE, "-")</f>
      </c>
      <c r="AN157" s="55">
        <f>IFS(AK157 &gt; 1.25, "S", AK157 &gt; 1, "A", AK157 &gt; 0.75, "B", AK157 &gt; 0.5, "C", AK157 &gt; 0.25, "D", AK157 &gt; 0, "E", TRUE, "-")</f>
      </c>
      <c r="AO157" s="55">
        <f>IFS(AL157 &gt; 1.25, "S", AL157 &gt; 1, "A", AL157 &gt; 0.75, "B", AL157 &gt; 0.5, "C", AL157 &gt; 0.25, "D", AL157 &gt; 0, "E", TRUE, "-")</f>
      </c>
      <c r="AP157" s="58"/>
      <c r="AQ157" s="68"/>
      <c r="AR157" s="68"/>
      <c r="AS157" s="55"/>
      <c r="AT157" s="55"/>
      <c r="AU157" s="55"/>
      <c r="AV157" s="61">
        <f>IF(SUM(AJ157:AL157)=0, 0, (1 + F157 * 0.1) * (0.75 + 0.25 * MAX(0, MIN(1, IF(MAX(AJ157:AL157)=0, 0, (3*MAX(AJ157:AL157)-SUM(AJ157:AL157)) / (2*MAX(AJ157:AL157)))))))</f>
      </c>
      <c r="AW157" s="83">
        <f>MAX(AJ157:AL157)</f>
      </c>
      <c r="AX157" s="81">
        <f>IF(AW157=0, "", AW157 / ((1 + 0.1*N(F157))))</f>
      </c>
      <c r="AY157" s="61">
        <f>IF(SUM(AJ157:AL157)=0, 0,     (1 + F157 * 0.1) * (1 + ((SUM(AJ157:AL157) - MAX(AJ157:AL157)) / (2 * MAX(AJ157:AL157))) * (1/0.75 - 1)))</f>
      </c>
      <c r="AZ157" s="83"/>
      <c r="BA157" s="81">
        <f>IF(AZ157=0, "", AZ157 / ((1 + 0.1*N(F157))/0.75))</f>
      </c>
      <c r="BB157" s="51">
        <v>0.1</v>
      </c>
      <c r="BC157" s="1"/>
      <c r="BD157" s="54"/>
      <c r="BE157" s="54"/>
      <c r="BF157" s="74"/>
      <c r="BG157" s="64"/>
      <c r="BH157" s="69"/>
      <c r="BI157" s="45"/>
      <c r="BJ157" s="63"/>
      <c r="BK157" s="49"/>
      <c r="BL157" s="56"/>
      <c r="BM157" s="50"/>
      <c r="BN157" s="57"/>
      <c r="BO157" s="54"/>
      <c r="BP157" s="64"/>
      <c r="BQ157" s="51"/>
      <c r="BR157" s="38">
        <f>IFERROR(BQ157*100/CP157,"N/A")</f>
      </c>
      <c r="BS157" s="61"/>
      <c r="BT157" s="54"/>
      <c r="BU157" s="42"/>
      <c r="BV157" s="78"/>
      <c r="BW157" s="73"/>
      <c r="BX157" s="64"/>
      <c r="BY157" s="52"/>
      <c r="BZ157" s="1"/>
      <c r="CA157" s="62"/>
      <c r="CB157" s="51"/>
      <c r="CC157" s="51"/>
      <c r="CD157" s="58"/>
      <c r="CE157" s="58"/>
      <c r="CF157" s="58"/>
      <c r="CG157" s="58"/>
      <c r="CH157" s="58"/>
      <c r="CI157" s="58"/>
      <c r="CJ157" s="79"/>
      <c r="CK157" s="69"/>
      <c r="CL157" s="79"/>
      <c r="CM157" s="51"/>
      <c r="CN157" s="55"/>
      <c r="CO157" s="42"/>
      <c r="CP157" s="70">
        <f>CN157*BS157*BT157</f>
      </c>
      <c r="CQ157" s="52"/>
      <c r="CR157" s="64">
        <f>100/CP157</f>
      </c>
      <c r="CS157" s="82">
        <f>100/CQ157</f>
      </c>
      <c r="CT157" s="52"/>
      <c r="CU157" s="52"/>
      <c r="CV157" s="82">
        <f>BL157/T157</f>
      </c>
      <c r="CW157" s="82">
        <f>100/CV157</f>
      </c>
      <c r="CX157" s="77"/>
      <c r="CY157" s="85"/>
      <c r="CZ157" s="77"/>
      <c r="DA157" s="77"/>
      <c r="DB157" s="77"/>
      <c r="DC157" s="1"/>
      <c r="DD157" s="1"/>
    </row>
    <row r="158">
      <c r="A158" s="84"/>
      <c r="B158" s="53"/>
      <c r="C158" s="71"/>
      <c r="D158" s="71">
        <f>IF($A158="","","WPN"&amp;VLOOKUP(E158,'引用数据库'!Z:AC,4,FALSE)&amp;VLOOKUP(H158,'引用数据库'!N:P,3,FALSE)&amp;VLOOKUP(I158,'引用数据库'!S:U,3,FALSE)&amp;TEXT(F158,"00"))</f>
      </c>
      <c r="E158" s="53"/>
      <c r="F158" s="57"/>
      <c r="G158" s="84"/>
      <c r="H158" s="53"/>
      <c r="I158" s="53"/>
      <c r="J158" s="84"/>
      <c r="K158" s="84"/>
      <c r="L158" s="42"/>
      <c r="M158" s="65"/>
      <c r="N158" s="54"/>
      <c r="O158" s="54"/>
      <c r="P158" s="54"/>
      <c r="Q158" s="54"/>
      <c r="R158" s="54"/>
      <c r="S158" s="54"/>
      <c r="T158" s="54"/>
      <c r="U158" s="51">
        <f>2*T158/(15*(1+(5-BD158)*0.1))</f>
      </c>
      <c r="V158" s="1"/>
      <c r="W158" s="54"/>
      <c r="X158" s="54"/>
      <c r="Y158" s="76"/>
      <c r="Z158" s="76"/>
      <c r="AA158" s="66"/>
      <c r="AB158" s="66"/>
      <c r="AC158" s="66"/>
      <c r="AD158" s="86"/>
      <c r="AE158" s="86"/>
      <c r="AF158" s="1"/>
      <c r="AG158" s="54"/>
      <c r="AH158" s="54"/>
      <c r="AI158" s="1"/>
      <c r="AJ158" s="80"/>
      <c r="AK158" s="80"/>
      <c r="AL158" s="80"/>
      <c r="AM158" s="55">
        <f>IFS(AJ158 &gt; 1.25, "S", AJ158 &gt; 1, "A", AJ158 &gt; 0.75, "B", AJ158 &gt; 0.5, "C", AJ158 &gt; 0.25, "D", AJ158 &gt; 0, "E", TRUE, "-")</f>
      </c>
      <c r="AN158" s="55">
        <f>IFS(AK158 &gt; 1.25, "S", AK158 &gt; 1, "A", AK158 &gt; 0.75, "B", AK158 &gt; 0.5, "C", AK158 &gt; 0.25, "D", AK158 &gt; 0, "E", TRUE, "-")</f>
      </c>
      <c r="AO158" s="55">
        <f>IFS(AL158 &gt; 1.25, "S", AL158 &gt; 1, "A", AL158 &gt; 0.75, "B", AL158 &gt; 0.5, "C", AL158 &gt; 0.25, "D", AL158 &gt; 0, "E", TRUE, "-")</f>
      </c>
      <c r="AP158" s="58"/>
      <c r="AQ158" s="68"/>
      <c r="AR158" s="68"/>
      <c r="AS158" s="55"/>
      <c r="AT158" s="55"/>
      <c r="AU158" s="55"/>
      <c r="AV158" s="61">
        <f>IF(SUM(AJ158:AL158)=0, 0, (1 + F158 * 0.1) * (0.75 + 0.25 * MAX(0, MIN(1, IF(MAX(AJ158:AL158)=0, 0, (3*MAX(AJ158:AL158)-SUM(AJ158:AL158)) / (2*MAX(AJ158:AL158)))))))</f>
      </c>
      <c r="AW158" s="83">
        <f>MAX(AJ158:AL158)</f>
      </c>
      <c r="AX158" s="81">
        <f>IF(AW158=0, "", AW158 / ((1 + 0.1*N(F158))))</f>
      </c>
      <c r="AY158" s="61">
        <f>IF(SUM(AJ158:AL158)=0, 0,     (1 + F158 * 0.1) * (1 + ((SUM(AJ158:AL158) - MAX(AJ158:AL158)) / (2 * MAX(AJ158:AL158))) * (1/0.75 - 1)))</f>
      </c>
      <c r="AZ158" s="83"/>
      <c r="BA158" s="81">
        <f>IF(AZ158=0, "", AZ158 / ((1 + 0.1*N(F158))/0.75))</f>
      </c>
      <c r="BB158" s="51">
        <v>0.1</v>
      </c>
      <c r="BC158" s="1"/>
      <c r="BD158" s="54"/>
      <c r="BE158" s="54"/>
      <c r="BF158" s="74"/>
      <c r="BG158" s="64"/>
      <c r="BH158" s="69"/>
      <c r="BI158" s="45"/>
      <c r="BJ158" s="63"/>
      <c r="BK158" s="49"/>
      <c r="BL158" s="56"/>
      <c r="BM158" s="50"/>
      <c r="BN158" s="57"/>
      <c r="BO158" s="54"/>
      <c r="BP158" s="64"/>
      <c r="BQ158" s="51"/>
      <c r="BR158" s="38">
        <f>IFERROR(BQ158*100/CP158,"N/A")</f>
      </c>
      <c r="BS158" s="61"/>
      <c r="BT158" s="54"/>
      <c r="BU158" s="42"/>
      <c r="BV158" s="78"/>
      <c r="BW158" s="73"/>
      <c r="BX158" s="64"/>
      <c r="BY158" s="52"/>
      <c r="BZ158" s="1"/>
      <c r="CA158" s="62"/>
      <c r="CB158" s="51"/>
      <c r="CC158" s="51"/>
      <c r="CD158" s="58"/>
      <c r="CE158" s="58"/>
      <c r="CF158" s="58"/>
      <c r="CG158" s="58"/>
      <c r="CH158" s="58"/>
      <c r="CI158" s="58"/>
      <c r="CJ158" s="79"/>
      <c r="CK158" s="69"/>
      <c r="CL158" s="79"/>
      <c r="CM158" s="51"/>
      <c r="CN158" s="55"/>
      <c r="CO158" s="42"/>
      <c r="CP158" s="70">
        <f>CN158*BS158*BT158</f>
      </c>
      <c r="CQ158" s="52"/>
      <c r="CR158" s="64">
        <f>100/CP158</f>
      </c>
      <c r="CS158" s="82">
        <f>100/CQ158</f>
      </c>
      <c r="CT158" s="52"/>
      <c r="CU158" s="52"/>
      <c r="CV158" s="82">
        <f>BL158/T158</f>
      </c>
      <c r="CW158" s="82">
        <f>100/CV158</f>
      </c>
      <c r="CX158" s="77"/>
      <c r="CY158" s="85"/>
      <c r="CZ158" s="77"/>
      <c r="DA158" s="77"/>
      <c r="DB158" s="77"/>
      <c r="DC158" s="1"/>
      <c r="DD158" s="1"/>
    </row>
    <row r="159">
      <c r="A159" s="84"/>
      <c r="B159" s="53"/>
      <c r="C159" s="71"/>
      <c r="D159" s="71">
        <f>IF($A159="","","WPN"&amp;VLOOKUP(E159,'引用数据库'!Z:AC,4,FALSE)&amp;VLOOKUP(H159,'引用数据库'!N:P,3,FALSE)&amp;VLOOKUP(I159,'引用数据库'!S:U,3,FALSE)&amp;TEXT(F159,"00"))</f>
      </c>
      <c r="E159" s="53"/>
      <c r="F159" s="57"/>
      <c r="G159" s="84"/>
      <c r="H159" s="53"/>
      <c r="I159" s="53"/>
      <c r="J159" s="84"/>
      <c r="K159" s="84"/>
      <c r="L159" s="42"/>
      <c r="M159" s="65"/>
      <c r="N159" s="54"/>
      <c r="O159" s="54"/>
      <c r="P159" s="54"/>
      <c r="Q159" s="54"/>
      <c r="R159" s="54"/>
      <c r="S159" s="54"/>
      <c r="T159" s="54"/>
      <c r="U159" s="51">
        <f>2*T159/(15*(1+(5-BD159)*0.1))</f>
      </c>
      <c r="V159" s="1"/>
      <c r="W159" s="54"/>
      <c r="X159" s="54"/>
      <c r="Y159" s="76"/>
      <c r="Z159" s="76"/>
      <c r="AA159" s="66"/>
      <c r="AB159" s="66"/>
      <c r="AC159" s="66"/>
      <c r="AD159" s="86"/>
      <c r="AE159" s="86"/>
      <c r="AF159" s="1"/>
      <c r="AG159" s="54"/>
      <c r="AH159" s="54"/>
      <c r="AI159" s="1"/>
      <c r="AJ159" s="80"/>
      <c r="AK159" s="80"/>
      <c r="AL159" s="80"/>
      <c r="AM159" s="55">
        <f>IFS(AJ159 &gt; 1.25, "S", AJ159 &gt; 1, "A", AJ159 &gt; 0.75, "B", AJ159 &gt; 0.5, "C", AJ159 &gt; 0.25, "D", AJ159 &gt; 0, "E", TRUE, "-")</f>
      </c>
      <c r="AN159" s="55">
        <f>IFS(AK159 &gt; 1.25, "S", AK159 &gt; 1, "A", AK159 &gt; 0.75, "B", AK159 &gt; 0.5, "C", AK159 &gt; 0.25, "D", AK159 &gt; 0, "E", TRUE, "-")</f>
      </c>
      <c r="AO159" s="55">
        <f>IFS(AL159 &gt; 1.25, "S", AL159 &gt; 1, "A", AL159 &gt; 0.75, "B", AL159 &gt; 0.5, "C", AL159 &gt; 0.25, "D", AL159 &gt; 0, "E", TRUE, "-")</f>
      </c>
      <c r="AP159" s="58"/>
      <c r="AQ159" s="68"/>
      <c r="AR159" s="68"/>
      <c r="AS159" s="55"/>
      <c r="AT159" s="55"/>
      <c r="AU159" s="55"/>
      <c r="AV159" s="61">
        <f>IF(SUM(AJ159:AL159)=0, 0, (1 + F159 * 0.1) * (0.75 + 0.25 * MAX(0, MIN(1, IF(MAX(AJ159:AL159)=0, 0, (3*MAX(AJ159:AL159)-SUM(AJ159:AL159)) / (2*MAX(AJ159:AL159)))))))</f>
      </c>
      <c r="AW159" s="83">
        <f>MAX(AJ159:AL159)</f>
      </c>
      <c r="AX159" s="81">
        <f>IF(AW159=0, "", AW159 / ((1 + 0.1*N(F159))))</f>
      </c>
      <c r="AY159" s="61">
        <f>IF(SUM(AJ159:AL159)=0, 0,     (1 + F159 * 0.1) * (1 + ((SUM(AJ159:AL159) - MAX(AJ159:AL159)) / (2 * MAX(AJ159:AL159))) * (1/0.75 - 1)))</f>
      </c>
      <c r="AZ159" s="83"/>
      <c r="BA159" s="81">
        <f>IF(AZ159=0, "", AZ159 / ((1 + 0.1*N(F159))/0.75))</f>
      </c>
      <c r="BB159" s="51">
        <v>0.1</v>
      </c>
      <c r="BC159" s="1"/>
      <c r="BD159" s="54"/>
      <c r="BE159" s="54"/>
      <c r="BF159" s="74"/>
      <c r="BG159" s="64"/>
      <c r="BH159" s="69"/>
      <c r="BI159" s="45"/>
      <c r="BJ159" s="63"/>
      <c r="BK159" s="49"/>
      <c r="BL159" s="56"/>
      <c r="BM159" s="50"/>
      <c r="BN159" s="57"/>
      <c r="BO159" s="54"/>
      <c r="BP159" s="64"/>
      <c r="BQ159" s="51"/>
      <c r="BR159" s="38">
        <f>IFERROR(BQ159*100/CP159,"N/A")</f>
      </c>
      <c r="BS159" s="61"/>
      <c r="BT159" s="54"/>
      <c r="BU159" s="42"/>
      <c r="BV159" s="78"/>
      <c r="BW159" s="73"/>
      <c r="BX159" s="64"/>
      <c r="BY159" s="52"/>
      <c r="BZ159" s="1"/>
      <c r="CA159" s="62"/>
      <c r="CB159" s="51"/>
      <c r="CC159" s="51"/>
      <c r="CD159" s="58"/>
      <c r="CE159" s="58"/>
      <c r="CF159" s="58"/>
      <c r="CG159" s="58"/>
      <c r="CH159" s="58"/>
      <c r="CI159" s="58"/>
      <c r="CJ159" s="79"/>
      <c r="CK159" s="69"/>
      <c r="CL159" s="79"/>
      <c r="CM159" s="51"/>
      <c r="CN159" s="55"/>
      <c r="CO159" s="42"/>
      <c r="CP159" s="70">
        <f>CN159*BS159*BT159</f>
      </c>
      <c r="CQ159" s="52"/>
      <c r="CR159" s="64">
        <f>100/CP159</f>
      </c>
      <c r="CS159" s="82">
        <f>100/CQ159</f>
      </c>
      <c r="CT159" s="52"/>
      <c r="CU159" s="52"/>
      <c r="CV159" s="82">
        <f>BL159/T159</f>
      </c>
      <c r="CW159" s="82">
        <f>100/CV159</f>
      </c>
      <c r="CX159" s="77"/>
      <c r="CY159" s="85"/>
      <c r="CZ159" s="77"/>
      <c r="DA159" s="77"/>
      <c r="DB159" s="77"/>
      <c r="DC159" s="1"/>
      <c r="DD159" s="1"/>
    </row>
    <row r="160">
      <c r="A160" s="84"/>
      <c r="B160" s="53"/>
      <c r="C160" s="71"/>
      <c r="D160" s="71">
        <f>IF($A160="","","WPN"&amp;VLOOKUP(E160,'引用数据库'!Z:AC,4,FALSE)&amp;VLOOKUP(H160,'引用数据库'!N:P,3,FALSE)&amp;VLOOKUP(I160,'引用数据库'!S:U,3,FALSE)&amp;TEXT(F160,"00"))</f>
      </c>
      <c r="E160" s="53"/>
      <c r="F160" s="57"/>
      <c r="G160" s="84"/>
      <c r="H160" s="53"/>
      <c r="I160" s="53"/>
      <c r="J160" s="84"/>
      <c r="K160" s="84"/>
      <c r="L160" s="42"/>
      <c r="M160" s="65"/>
      <c r="N160" s="54"/>
      <c r="O160" s="54"/>
      <c r="P160" s="54"/>
      <c r="Q160" s="54"/>
      <c r="R160" s="54"/>
      <c r="S160" s="54"/>
      <c r="T160" s="54"/>
      <c r="U160" s="51">
        <f>2*T160/(15*(1+(5-BD160)*0.1))</f>
      </c>
      <c r="V160" s="1"/>
      <c r="W160" s="54"/>
      <c r="X160" s="54"/>
      <c r="Y160" s="76"/>
      <c r="Z160" s="76"/>
      <c r="AA160" s="66"/>
      <c r="AB160" s="66"/>
      <c r="AC160" s="66"/>
      <c r="AD160" s="86"/>
      <c r="AE160" s="86"/>
      <c r="AF160" s="1"/>
      <c r="AG160" s="54"/>
      <c r="AH160" s="54"/>
      <c r="AI160" s="1"/>
      <c r="AJ160" s="80"/>
      <c r="AK160" s="80"/>
      <c r="AL160" s="80"/>
      <c r="AM160" s="55">
        <f>IFS(AJ160 &gt; 1.25, "S", AJ160 &gt; 1, "A", AJ160 &gt; 0.75, "B", AJ160 &gt; 0.5, "C", AJ160 &gt; 0.25, "D", AJ160 &gt; 0, "E", TRUE, "-")</f>
      </c>
      <c r="AN160" s="55">
        <f>IFS(AK160 &gt; 1.25, "S", AK160 &gt; 1, "A", AK160 &gt; 0.75, "B", AK160 &gt; 0.5, "C", AK160 &gt; 0.25, "D", AK160 &gt; 0, "E", TRUE, "-")</f>
      </c>
      <c r="AO160" s="55">
        <f>IFS(AL160 &gt; 1.25, "S", AL160 &gt; 1, "A", AL160 &gt; 0.75, "B", AL160 &gt; 0.5, "C", AL160 &gt; 0.25, "D", AL160 &gt; 0, "E", TRUE, "-")</f>
      </c>
      <c r="AP160" s="58"/>
      <c r="AQ160" s="68"/>
      <c r="AR160" s="68"/>
      <c r="AS160" s="55"/>
      <c r="AT160" s="55"/>
      <c r="AU160" s="55"/>
      <c r="AV160" s="61">
        <f>IF(SUM(AJ160:AL160)=0, 0, (1 + F160 * 0.1) * (0.75 + 0.25 * MAX(0, MIN(1, IF(MAX(AJ160:AL160)=0, 0, (3*MAX(AJ160:AL160)-SUM(AJ160:AL160)) / (2*MAX(AJ160:AL160)))))))</f>
      </c>
      <c r="AW160" s="83">
        <f>MAX(AJ160:AL160)</f>
      </c>
      <c r="AX160" s="81">
        <f>IF(AW160=0, "", AW160 / ((1 + 0.1*N(F160))))</f>
      </c>
      <c r="AY160" s="61">
        <f>IF(SUM(AJ160:AL160)=0, 0,     (1 + F160 * 0.1) * (1 + ((SUM(AJ160:AL160) - MAX(AJ160:AL160)) / (2 * MAX(AJ160:AL160))) * (1/0.75 - 1)))</f>
      </c>
      <c r="AZ160" s="83"/>
      <c r="BA160" s="81">
        <f>IF(AZ160=0, "", AZ160 / ((1 + 0.1*N(F160))/0.75))</f>
      </c>
      <c r="BB160" s="51">
        <v>0.1</v>
      </c>
      <c r="BC160" s="1"/>
      <c r="BD160" s="54"/>
      <c r="BE160" s="54"/>
      <c r="BF160" s="74"/>
      <c r="BG160" s="64"/>
      <c r="BH160" s="69"/>
      <c r="BI160" s="45"/>
      <c r="BJ160" s="63"/>
      <c r="BK160" s="49"/>
      <c r="BL160" s="56"/>
      <c r="BM160" s="50"/>
      <c r="BN160" s="57"/>
      <c r="BO160" s="54"/>
      <c r="BP160" s="64"/>
      <c r="BQ160" s="51"/>
      <c r="BR160" s="38">
        <f>IFERROR(BQ160*100/CP160,"N/A")</f>
      </c>
      <c r="BS160" s="61"/>
      <c r="BT160" s="54"/>
      <c r="BU160" s="42"/>
      <c r="BV160" s="78"/>
      <c r="BW160" s="73"/>
      <c r="BX160" s="64"/>
      <c r="BY160" s="52"/>
      <c r="BZ160" s="1"/>
      <c r="CA160" s="62"/>
      <c r="CB160" s="51"/>
      <c r="CC160" s="51"/>
      <c r="CD160" s="58"/>
      <c r="CE160" s="58"/>
      <c r="CF160" s="58"/>
      <c r="CG160" s="58"/>
      <c r="CH160" s="58"/>
      <c r="CI160" s="58"/>
      <c r="CJ160" s="79"/>
      <c r="CK160" s="69"/>
      <c r="CL160" s="79"/>
      <c r="CM160" s="51"/>
      <c r="CN160" s="55"/>
      <c r="CO160" s="42"/>
      <c r="CP160" s="70">
        <f>CN160*BS160*BT160</f>
      </c>
      <c r="CQ160" s="52"/>
      <c r="CR160" s="64">
        <f>100/CP160</f>
      </c>
      <c r="CS160" s="82">
        <f>100/CQ160</f>
      </c>
      <c r="CT160" s="52"/>
      <c r="CU160" s="52"/>
      <c r="CV160" s="82">
        <f>BL160/T160</f>
      </c>
      <c r="CW160" s="82">
        <f>100/CV160</f>
      </c>
      <c r="CX160" s="77"/>
      <c r="CY160" s="85"/>
      <c r="CZ160" s="77"/>
      <c r="DA160" s="77"/>
      <c r="DB160" s="77"/>
      <c r="DC160" s="1"/>
      <c r="DD160" s="1"/>
    </row>
    <row r="161">
      <c r="A161" s="84"/>
      <c r="B161" s="53"/>
      <c r="C161" s="71"/>
      <c r="D161" s="71">
        <f>IF($A161="","","WPN"&amp;VLOOKUP(E161,'引用数据库'!Z:AC,4,FALSE)&amp;VLOOKUP(H161,'引用数据库'!N:P,3,FALSE)&amp;VLOOKUP(I161,'引用数据库'!S:U,3,FALSE)&amp;TEXT(F161,"00"))</f>
      </c>
      <c r="E161" s="53"/>
      <c r="F161" s="57"/>
      <c r="G161" s="84"/>
      <c r="H161" s="53"/>
      <c r="I161" s="53"/>
      <c r="J161" s="84"/>
      <c r="K161" s="84"/>
      <c r="L161" s="42"/>
      <c r="M161" s="65"/>
      <c r="N161" s="54"/>
      <c r="O161" s="54"/>
      <c r="P161" s="54"/>
      <c r="Q161" s="54"/>
      <c r="R161" s="54"/>
      <c r="S161" s="54"/>
      <c r="T161" s="54"/>
      <c r="U161" s="51">
        <f>2*T161/(15*(1+(5-BD161)*0.1))</f>
      </c>
      <c r="V161" s="1"/>
      <c r="W161" s="54"/>
      <c r="X161" s="54"/>
      <c r="Y161" s="76"/>
      <c r="Z161" s="76"/>
      <c r="AA161" s="66"/>
      <c r="AB161" s="66"/>
      <c r="AC161" s="66"/>
      <c r="AD161" s="86"/>
      <c r="AE161" s="86"/>
      <c r="AF161" s="1"/>
      <c r="AG161" s="54"/>
      <c r="AH161" s="54"/>
      <c r="AI161" s="1"/>
      <c r="AJ161" s="80"/>
      <c r="AK161" s="80"/>
      <c r="AL161" s="80"/>
      <c r="AM161" s="55">
        <f>IFS(AJ161 &gt; 1.25, "S", AJ161 &gt; 1, "A", AJ161 &gt; 0.75, "B", AJ161 &gt; 0.5, "C", AJ161 &gt; 0.25, "D", AJ161 &gt; 0, "E", TRUE, "-")</f>
      </c>
      <c r="AN161" s="55">
        <f>IFS(AK161 &gt; 1.25, "S", AK161 &gt; 1, "A", AK161 &gt; 0.75, "B", AK161 &gt; 0.5, "C", AK161 &gt; 0.25, "D", AK161 &gt; 0, "E", TRUE, "-")</f>
      </c>
      <c r="AO161" s="55">
        <f>IFS(AL161 &gt; 1.25, "S", AL161 &gt; 1, "A", AL161 &gt; 0.75, "B", AL161 &gt; 0.5, "C", AL161 &gt; 0.25, "D", AL161 &gt; 0, "E", TRUE, "-")</f>
      </c>
      <c r="AP161" s="58"/>
      <c r="AQ161" s="68"/>
      <c r="AR161" s="68"/>
      <c r="AS161" s="55"/>
      <c r="AT161" s="55"/>
      <c r="AU161" s="55"/>
      <c r="AV161" s="61">
        <f>IF(SUM(AJ161:AL161)=0, 0, (1 + F161 * 0.1) * (0.75 + 0.25 * MAX(0, MIN(1, IF(MAX(AJ161:AL161)=0, 0, (3*MAX(AJ161:AL161)-SUM(AJ161:AL161)) / (2*MAX(AJ161:AL161)))))))</f>
      </c>
      <c r="AW161" s="83">
        <f>MAX(AJ161:AL161)</f>
      </c>
      <c r="AX161" s="81">
        <f>IF(AW161=0, "", AW161 / ((1 + 0.1*N(F161))))</f>
      </c>
      <c r="AY161" s="61">
        <f>IF(SUM(AJ161:AL161)=0, 0,     (1 + F161 * 0.1) * (1 + ((SUM(AJ161:AL161) - MAX(AJ161:AL161)) / (2 * MAX(AJ161:AL161))) * (1/0.75 - 1)))</f>
      </c>
      <c r="AZ161" s="83"/>
      <c r="BA161" s="81">
        <f>IF(AZ161=0, "", AZ161 / ((1 + 0.1*N(F161))/0.75))</f>
      </c>
      <c r="BB161" s="51">
        <v>0.1</v>
      </c>
      <c r="BC161" s="1"/>
      <c r="BD161" s="54"/>
      <c r="BE161" s="54"/>
      <c r="BF161" s="74"/>
      <c r="BG161" s="64"/>
      <c r="BH161" s="69"/>
      <c r="BI161" s="45"/>
      <c r="BJ161" s="63"/>
      <c r="BK161" s="49"/>
      <c r="BL161" s="56"/>
      <c r="BM161" s="50"/>
      <c r="BN161" s="57"/>
      <c r="BO161" s="54"/>
      <c r="BP161" s="64"/>
      <c r="BQ161" s="51"/>
      <c r="BR161" s="38">
        <f>IFERROR(BQ161*100/CP161,"N/A")</f>
      </c>
      <c r="BS161" s="61"/>
      <c r="BT161" s="54"/>
      <c r="BU161" s="42"/>
      <c r="BV161" s="78"/>
      <c r="BW161" s="73"/>
      <c r="BX161" s="64"/>
      <c r="BY161" s="52"/>
      <c r="BZ161" s="1"/>
      <c r="CA161" s="62"/>
      <c r="CB161" s="51"/>
      <c r="CC161" s="51"/>
      <c r="CD161" s="58"/>
      <c r="CE161" s="58"/>
      <c r="CF161" s="58"/>
      <c r="CG161" s="58"/>
      <c r="CH161" s="58"/>
      <c r="CI161" s="58"/>
      <c r="CJ161" s="79"/>
      <c r="CK161" s="69"/>
      <c r="CL161" s="79"/>
      <c r="CM161" s="51"/>
      <c r="CN161" s="55"/>
      <c r="CO161" s="42"/>
      <c r="CP161" s="70">
        <f>CN161*BS161*BT161</f>
      </c>
      <c r="CQ161" s="52"/>
      <c r="CR161" s="64">
        <f>100/CP161</f>
      </c>
      <c r="CS161" s="82">
        <f>100/CQ161</f>
      </c>
      <c r="CT161" s="52"/>
      <c r="CU161" s="52"/>
      <c r="CV161" s="82">
        <f>BL161/T161</f>
      </c>
      <c r="CW161" s="82">
        <f>100/CV161</f>
      </c>
      <c r="CX161" s="77"/>
      <c r="CY161" s="85"/>
      <c r="CZ161" s="77"/>
      <c r="DA161" s="77"/>
      <c r="DB161" s="77"/>
      <c r="DC161" s="1"/>
      <c r="DD161" s="1"/>
    </row>
    <row r="162">
      <c r="A162" s="84"/>
      <c r="B162" s="53"/>
      <c r="C162" s="71"/>
      <c r="D162" s="71">
        <f>IF($A162="","","WPN"&amp;VLOOKUP(E162,'引用数据库'!Z:AC,4,FALSE)&amp;VLOOKUP(H162,'引用数据库'!N:P,3,FALSE)&amp;VLOOKUP(I162,'引用数据库'!S:U,3,FALSE)&amp;TEXT(F162,"00"))</f>
      </c>
      <c r="E162" s="53"/>
      <c r="F162" s="57"/>
      <c r="G162" s="84"/>
      <c r="H162" s="53"/>
      <c r="I162" s="53"/>
      <c r="J162" s="84"/>
      <c r="K162" s="84"/>
      <c r="L162" s="42"/>
      <c r="M162" s="65"/>
      <c r="N162" s="54"/>
      <c r="O162" s="54"/>
      <c r="P162" s="54"/>
      <c r="Q162" s="54"/>
      <c r="R162" s="54"/>
      <c r="S162" s="54"/>
      <c r="T162" s="54"/>
      <c r="U162" s="51">
        <f>2*T162/(15*(1+(5-BD162)*0.1))</f>
      </c>
      <c r="V162" s="1"/>
      <c r="W162" s="54"/>
      <c r="X162" s="54"/>
      <c r="Y162" s="76"/>
      <c r="Z162" s="76"/>
      <c r="AA162" s="66"/>
      <c r="AB162" s="66"/>
      <c r="AC162" s="66"/>
      <c r="AD162" s="86"/>
      <c r="AE162" s="86"/>
      <c r="AF162" s="1"/>
      <c r="AG162" s="54"/>
      <c r="AH162" s="54"/>
      <c r="AI162" s="1"/>
      <c r="AJ162" s="80"/>
      <c r="AK162" s="80"/>
      <c r="AL162" s="80"/>
      <c r="AM162" s="55">
        <f>IFS(AJ162 &gt; 1.25, "S", AJ162 &gt; 1, "A", AJ162 &gt; 0.75, "B", AJ162 &gt; 0.5, "C", AJ162 &gt; 0.25, "D", AJ162 &gt; 0, "E", TRUE, "-")</f>
      </c>
      <c r="AN162" s="55">
        <f>IFS(AK162 &gt; 1.25, "S", AK162 &gt; 1, "A", AK162 &gt; 0.75, "B", AK162 &gt; 0.5, "C", AK162 &gt; 0.25, "D", AK162 &gt; 0, "E", TRUE, "-")</f>
      </c>
      <c r="AO162" s="55">
        <f>IFS(AL162 &gt; 1.25, "S", AL162 &gt; 1, "A", AL162 &gt; 0.75, "B", AL162 &gt; 0.5, "C", AL162 &gt; 0.25, "D", AL162 &gt; 0, "E", TRUE, "-")</f>
      </c>
      <c r="AP162" s="58"/>
      <c r="AQ162" s="68"/>
      <c r="AR162" s="68"/>
      <c r="AS162" s="55"/>
      <c r="AT162" s="55"/>
      <c r="AU162" s="55"/>
      <c r="AV162" s="61">
        <f>IF(SUM(AJ162:AL162)=0, 0, (1 + F162 * 0.1) * (0.75 + 0.25 * MAX(0, MIN(1, IF(MAX(AJ162:AL162)=0, 0, (3*MAX(AJ162:AL162)-SUM(AJ162:AL162)) / (2*MAX(AJ162:AL162)))))))</f>
      </c>
      <c r="AW162" s="83">
        <f>MAX(AJ162:AL162)</f>
      </c>
      <c r="AX162" s="81">
        <f>IF(AW162=0, "", AW162 / ((1 + 0.1*N(F162))))</f>
      </c>
      <c r="AY162" s="61">
        <f>IF(SUM(AJ162:AL162)=0, 0,     (1 + F162 * 0.1) * (1 + ((SUM(AJ162:AL162) - MAX(AJ162:AL162)) / (2 * MAX(AJ162:AL162))) * (1/0.75 - 1)))</f>
      </c>
      <c r="AZ162" s="83"/>
      <c r="BA162" s="81">
        <f>IF(AZ162=0, "", AZ162 / ((1 + 0.1*N(F162))/0.75))</f>
      </c>
      <c r="BB162" s="51">
        <v>0.1</v>
      </c>
      <c r="BC162" s="1"/>
      <c r="BD162" s="54"/>
      <c r="BE162" s="54"/>
      <c r="BF162" s="74"/>
      <c r="BG162" s="64"/>
      <c r="BH162" s="69"/>
      <c r="BI162" s="45"/>
      <c r="BJ162" s="63"/>
      <c r="BK162" s="49"/>
      <c r="BL162" s="56"/>
      <c r="BM162" s="50"/>
      <c r="BN162" s="57"/>
      <c r="BO162" s="54"/>
      <c r="BP162" s="64"/>
      <c r="BQ162" s="51"/>
      <c r="BR162" s="38">
        <f>IFERROR(BQ162*100/CP162,"N/A")</f>
      </c>
      <c r="BS162" s="61"/>
      <c r="BT162" s="54"/>
      <c r="BU162" s="42"/>
      <c r="BV162" s="78"/>
      <c r="BW162" s="73"/>
      <c r="BX162" s="64"/>
      <c r="BY162" s="52"/>
      <c r="BZ162" s="1"/>
      <c r="CA162" s="62"/>
      <c r="CB162" s="51"/>
      <c r="CC162" s="51"/>
      <c r="CD162" s="58"/>
      <c r="CE162" s="58"/>
      <c r="CF162" s="58"/>
      <c r="CG162" s="58"/>
      <c r="CH162" s="58"/>
      <c r="CI162" s="58"/>
      <c r="CJ162" s="79"/>
      <c r="CK162" s="69"/>
      <c r="CL162" s="79"/>
      <c r="CM162" s="51"/>
      <c r="CN162" s="55"/>
      <c r="CO162" s="42"/>
      <c r="CP162" s="70">
        <f>CN162*BS162*BT162</f>
      </c>
      <c r="CQ162" s="52"/>
      <c r="CR162" s="64">
        <f>100/CP162</f>
      </c>
      <c r="CS162" s="82">
        <f>100/CQ162</f>
      </c>
      <c r="CT162" s="52"/>
      <c r="CU162" s="52"/>
      <c r="CV162" s="82">
        <f>BL162/T162</f>
      </c>
      <c r="CW162" s="82">
        <f>100/CV162</f>
      </c>
      <c r="CX162" s="77"/>
      <c r="CY162" s="85"/>
      <c r="CZ162" s="77"/>
      <c r="DA162" s="77"/>
      <c r="DB162" s="77"/>
      <c r="DC162" s="1"/>
      <c r="DD162" s="1"/>
    </row>
    <row r="163">
      <c r="A163" s="84"/>
      <c r="B163" s="53"/>
      <c r="C163" s="71"/>
      <c r="D163" s="71">
        <f>IF($A163="","","WPN"&amp;VLOOKUP(E163,'引用数据库'!Z:AC,4,FALSE)&amp;VLOOKUP(H163,'引用数据库'!N:P,3,FALSE)&amp;VLOOKUP(I163,'引用数据库'!S:U,3,FALSE)&amp;TEXT(F163,"00"))</f>
      </c>
      <c r="E163" s="53"/>
      <c r="F163" s="57"/>
      <c r="G163" s="84"/>
      <c r="H163" s="53"/>
      <c r="I163" s="53"/>
      <c r="J163" s="84"/>
      <c r="K163" s="84"/>
      <c r="L163" s="42"/>
      <c r="M163" s="65"/>
      <c r="N163" s="54"/>
      <c r="O163" s="54"/>
      <c r="P163" s="54"/>
      <c r="Q163" s="54"/>
      <c r="R163" s="54"/>
      <c r="S163" s="54"/>
      <c r="T163" s="54"/>
      <c r="U163" s="51">
        <f>2*T163/(15*(1+(5-BD163)*0.1))</f>
      </c>
      <c r="V163" s="1"/>
      <c r="W163" s="54"/>
      <c r="X163" s="54"/>
      <c r="Y163" s="76"/>
      <c r="Z163" s="76"/>
      <c r="AA163" s="66"/>
      <c r="AB163" s="66"/>
      <c r="AC163" s="66"/>
      <c r="AD163" s="86"/>
      <c r="AE163" s="86"/>
      <c r="AF163" s="1"/>
      <c r="AG163" s="54"/>
      <c r="AH163" s="54"/>
      <c r="AI163" s="1"/>
      <c r="AJ163" s="80"/>
      <c r="AK163" s="80"/>
      <c r="AL163" s="80"/>
      <c r="AM163" s="55">
        <f>IFS(AJ163 &gt; 1.25, "S", AJ163 &gt; 1, "A", AJ163 &gt; 0.75, "B", AJ163 &gt; 0.5, "C", AJ163 &gt; 0.25, "D", AJ163 &gt; 0, "E", TRUE, "-")</f>
      </c>
      <c r="AN163" s="55">
        <f>IFS(AK163 &gt; 1.25, "S", AK163 &gt; 1, "A", AK163 &gt; 0.75, "B", AK163 &gt; 0.5, "C", AK163 &gt; 0.25, "D", AK163 &gt; 0, "E", TRUE, "-")</f>
      </c>
      <c r="AO163" s="55">
        <f>IFS(AL163 &gt; 1.25, "S", AL163 &gt; 1, "A", AL163 &gt; 0.75, "B", AL163 &gt; 0.5, "C", AL163 &gt; 0.25, "D", AL163 &gt; 0, "E", TRUE, "-")</f>
      </c>
      <c r="AP163" s="58"/>
      <c r="AQ163" s="68"/>
      <c r="AR163" s="68"/>
      <c r="AS163" s="55"/>
      <c r="AT163" s="55"/>
      <c r="AU163" s="55"/>
      <c r="AV163" s="61">
        <f>IF(SUM(AJ163:AL163)=0, 0, (1 + F163 * 0.1) * (0.75 + 0.25 * MAX(0, MIN(1, IF(MAX(AJ163:AL163)=0, 0, (3*MAX(AJ163:AL163)-SUM(AJ163:AL163)) / (2*MAX(AJ163:AL163)))))))</f>
      </c>
      <c r="AW163" s="83">
        <f>MAX(AJ163:AL163)</f>
      </c>
      <c r="AX163" s="81">
        <f>IF(AW163=0, "", AW163 / ((1 + 0.1*N(F163))))</f>
      </c>
      <c r="AY163" s="61">
        <f>IF(SUM(AJ163:AL163)=0, 0,     (1 + F163 * 0.1) * (1 + ((SUM(AJ163:AL163) - MAX(AJ163:AL163)) / (2 * MAX(AJ163:AL163))) * (1/0.75 - 1)))</f>
      </c>
      <c r="AZ163" s="83"/>
      <c r="BA163" s="81">
        <f>IF(AZ163=0, "", AZ163 / ((1 + 0.1*N(F163))/0.75))</f>
      </c>
      <c r="BB163" s="51">
        <v>0.1</v>
      </c>
      <c r="BC163" s="1"/>
      <c r="BD163" s="54"/>
      <c r="BE163" s="54"/>
      <c r="BF163" s="74"/>
      <c r="BG163" s="64"/>
      <c r="BH163" s="69"/>
      <c r="BI163" s="45"/>
      <c r="BJ163" s="63"/>
      <c r="BK163" s="49"/>
      <c r="BL163" s="56"/>
      <c r="BM163" s="50"/>
      <c r="BN163" s="57"/>
      <c r="BO163" s="54"/>
      <c r="BP163" s="64"/>
      <c r="BQ163" s="51"/>
      <c r="BR163" s="38">
        <f>IFERROR(BQ163*100/CP163,"N/A")</f>
      </c>
      <c r="BS163" s="61"/>
      <c r="BT163" s="54"/>
      <c r="BU163" s="42"/>
      <c r="BV163" s="78"/>
      <c r="BW163" s="73"/>
      <c r="BX163" s="64"/>
      <c r="BY163" s="52"/>
      <c r="BZ163" s="1"/>
      <c r="CA163" s="62"/>
      <c r="CB163" s="51"/>
      <c r="CC163" s="51"/>
      <c r="CD163" s="58"/>
      <c r="CE163" s="58"/>
      <c r="CF163" s="58"/>
      <c r="CG163" s="58"/>
      <c r="CH163" s="58"/>
      <c r="CI163" s="58"/>
      <c r="CJ163" s="79"/>
      <c r="CK163" s="69"/>
      <c r="CL163" s="79"/>
      <c r="CM163" s="51"/>
      <c r="CN163" s="55"/>
      <c r="CO163" s="42"/>
      <c r="CP163" s="70">
        <f>CN163*BS163*BT163</f>
      </c>
      <c r="CQ163" s="52"/>
      <c r="CR163" s="64">
        <f>100/CP163</f>
      </c>
      <c r="CS163" s="82">
        <f>100/CQ163</f>
      </c>
      <c r="CT163" s="52"/>
      <c r="CU163" s="52"/>
      <c r="CV163" s="82">
        <f>BL163/T163</f>
      </c>
      <c r="CW163" s="82">
        <f>100/CV163</f>
      </c>
      <c r="CX163" s="77"/>
      <c r="CY163" s="85"/>
      <c r="CZ163" s="77"/>
      <c r="DA163" s="77"/>
      <c r="DB163" s="77"/>
      <c r="DC163" s="1"/>
      <c r="DD163" s="1"/>
    </row>
    <row r="164">
      <c r="A164" s="84"/>
      <c r="B164" s="53"/>
      <c r="C164" s="71"/>
      <c r="D164" s="71">
        <f>IF($A164="","","WPN"&amp;VLOOKUP(E164,'引用数据库'!Z:AC,4,FALSE)&amp;VLOOKUP(H164,'引用数据库'!N:P,3,FALSE)&amp;VLOOKUP(I164,'引用数据库'!S:U,3,FALSE)&amp;TEXT(F164,"00"))</f>
      </c>
      <c r="E164" s="53"/>
      <c r="F164" s="57"/>
      <c r="G164" s="84"/>
      <c r="H164" s="53"/>
      <c r="I164" s="53"/>
      <c r="J164" s="84"/>
      <c r="K164" s="84"/>
      <c r="L164" s="42"/>
      <c r="M164" s="65"/>
      <c r="N164" s="54"/>
      <c r="O164" s="54"/>
      <c r="P164" s="54"/>
      <c r="Q164" s="54"/>
      <c r="R164" s="54"/>
      <c r="S164" s="54"/>
      <c r="T164" s="54"/>
      <c r="U164" s="51">
        <f>2*T164/(15*(1+(5-BD164)*0.1))</f>
      </c>
      <c r="V164" s="1"/>
      <c r="W164" s="54"/>
      <c r="X164" s="54"/>
      <c r="Y164" s="76"/>
      <c r="Z164" s="76"/>
      <c r="AA164" s="66"/>
      <c r="AB164" s="66"/>
      <c r="AC164" s="66"/>
      <c r="AD164" s="86"/>
      <c r="AE164" s="86"/>
      <c r="AF164" s="1"/>
      <c r="AG164" s="54"/>
      <c r="AH164" s="54"/>
      <c r="AI164" s="1"/>
      <c r="AJ164" s="80"/>
      <c r="AK164" s="80"/>
      <c r="AL164" s="80"/>
      <c r="AM164" s="55">
        <f>IFS(AJ164 &gt; 1.25, "S", AJ164 &gt; 1, "A", AJ164 &gt; 0.75, "B", AJ164 &gt; 0.5, "C", AJ164 &gt; 0.25, "D", AJ164 &gt; 0, "E", TRUE, "-")</f>
      </c>
      <c r="AN164" s="55">
        <f>IFS(AK164 &gt; 1.25, "S", AK164 &gt; 1, "A", AK164 &gt; 0.75, "B", AK164 &gt; 0.5, "C", AK164 &gt; 0.25, "D", AK164 &gt; 0, "E", TRUE, "-")</f>
      </c>
      <c r="AO164" s="55">
        <f>IFS(AL164 &gt; 1.25, "S", AL164 &gt; 1, "A", AL164 &gt; 0.75, "B", AL164 &gt; 0.5, "C", AL164 &gt; 0.25, "D", AL164 &gt; 0, "E", TRUE, "-")</f>
      </c>
      <c r="AP164" s="58"/>
      <c r="AQ164" s="68"/>
      <c r="AR164" s="68"/>
      <c r="AS164" s="55"/>
      <c r="AT164" s="55"/>
      <c r="AU164" s="55"/>
      <c r="AV164" s="61">
        <f>IF(SUM(AJ164:AL164)=0, 0, (1 + F164 * 0.1) * (0.75 + 0.25 * MAX(0, MIN(1, IF(MAX(AJ164:AL164)=0, 0, (3*MAX(AJ164:AL164)-SUM(AJ164:AL164)) / (2*MAX(AJ164:AL164)))))))</f>
      </c>
      <c r="AW164" s="83">
        <f>MAX(AJ164:AL164)</f>
      </c>
      <c r="AX164" s="81">
        <f>IF(AW164=0, "", AW164 / ((1 + 0.1*N(F164))))</f>
      </c>
      <c r="AY164" s="61">
        <f>IF(SUM(AJ164:AL164)=0, 0,     (1 + F164 * 0.1) * (1 + ((SUM(AJ164:AL164) - MAX(AJ164:AL164)) / (2 * MAX(AJ164:AL164))) * (1/0.75 - 1)))</f>
      </c>
      <c r="AZ164" s="83"/>
      <c r="BA164" s="81">
        <f>IF(AZ164=0, "", AZ164 / ((1 + 0.1*N(F164))/0.75))</f>
      </c>
      <c r="BB164" s="51">
        <v>0.1</v>
      </c>
      <c r="BC164" s="1"/>
      <c r="BD164" s="54"/>
      <c r="BE164" s="54"/>
      <c r="BF164" s="74"/>
      <c r="BG164" s="64"/>
      <c r="BH164" s="69"/>
      <c r="BI164" s="45"/>
      <c r="BJ164" s="63"/>
      <c r="BK164" s="49"/>
      <c r="BL164" s="56"/>
      <c r="BM164" s="50"/>
      <c r="BN164" s="57"/>
      <c r="BO164" s="54"/>
      <c r="BP164" s="64"/>
      <c r="BQ164" s="51"/>
      <c r="BR164" s="38">
        <f>IFERROR(BQ164*100/CP164,"N/A")</f>
      </c>
      <c r="BS164" s="61"/>
      <c r="BT164" s="54"/>
      <c r="BU164" s="42"/>
      <c r="BV164" s="78"/>
      <c r="BW164" s="73"/>
      <c r="BX164" s="64"/>
      <c r="BY164" s="52"/>
      <c r="BZ164" s="1"/>
      <c r="CA164" s="62"/>
      <c r="CB164" s="51"/>
      <c r="CC164" s="51"/>
      <c r="CD164" s="58"/>
      <c r="CE164" s="58"/>
      <c r="CF164" s="58"/>
      <c r="CG164" s="58"/>
      <c r="CH164" s="58"/>
      <c r="CI164" s="58"/>
      <c r="CJ164" s="79"/>
      <c r="CK164" s="69"/>
      <c r="CL164" s="79"/>
      <c r="CM164" s="51"/>
      <c r="CN164" s="55"/>
      <c r="CO164" s="42"/>
      <c r="CP164" s="70">
        <f>CN164*BS164*BT164</f>
      </c>
      <c r="CQ164" s="52"/>
      <c r="CR164" s="64">
        <f>100/CP164</f>
      </c>
      <c r="CS164" s="82">
        <f>100/CQ164</f>
      </c>
      <c r="CT164" s="52"/>
      <c r="CU164" s="52"/>
      <c r="CV164" s="82">
        <f>BL164/T164</f>
      </c>
      <c r="CW164" s="82">
        <f>100/CV164</f>
      </c>
      <c r="CX164" s="77"/>
      <c r="CY164" s="85"/>
      <c r="CZ164" s="77"/>
      <c r="DA164" s="77"/>
      <c r="DB164" s="77"/>
      <c r="DC164" s="1"/>
      <c r="DD164" s="1"/>
    </row>
    <row r="165">
      <c r="A165" s="84"/>
      <c r="B165" s="53"/>
      <c r="C165" s="71"/>
      <c r="D165" s="71">
        <f>IF($A165="","","WPN"&amp;VLOOKUP(E165,'引用数据库'!Z:AC,4,FALSE)&amp;VLOOKUP(H165,'引用数据库'!N:P,3,FALSE)&amp;VLOOKUP(I165,'引用数据库'!S:U,3,FALSE)&amp;TEXT(F165,"00"))</f>
      </c>
      <c r="E165" s="53"/>
      <c r="F165" s="57"/>
      <c r="G165" s="84"/>
      <c r="H165" s="53"/>
      <c r="I165" s="53"/>
      <c r="J165" s="84"/>
      <c r="K165" s="84"/>
      <c r="L165" s="42"/>
      <c r="M165" s="65"/>
      <c r="N165" s="54"/>
      <c r="O165" s="54"/>
      <c r="P165" s="54"/>
      <c r="Q165" s="54"/>
      <c r="R165" s="54"/>
      <c r="S165" s="54"/>
      <c r="T165" s="54"/>
      <c r="U165" s="51">
        <f>2*T165/(15*(1+(5-BD165)*0.1))</f>
      </c>
      <c r="V165" s="1"/>
      <c r="W165" s="54"/>
      <c r="X165" s="54"/>
      <c r="Y165" s="76"/>
      <c r="Z165" s="76"/>
      <c r="AA165" s="66"/>
      <c r="AB165" s="66"/>
      <c r="AC165" s="66"/>
      <c r="AD165" s="86"/>
      <c r="AE165" s="86"/>
      <c r="AF165" s="1"/>
      <c r="AG165" s="54"/>
      <c r="AH165" s="54"/>
      <c r="AI165" s="1"/>
      <c r="AJ165" s="80"/>
      <c r="AK165" s="80"/>
      <c r="AL165" s="80"/>
      <c r="AM165" s="55">
        <f>IFS(AJ165 &gt; 1.25, "S", AJ165 &gt; 1, "A", AJ165 &gt; 0.75, "B", AJ165 &gt; 0.5, "C", AJ165 &gt; 0.25, "D", AJ165 &gt; 0, "E", TRUE, "-")</f>
      </c>
      <c r="AN165" s="55">
        <f>IFS(AK165 &gt; 1.25, "S", AK165 &gt; 1, "A", AK165 &gt; 0.75, "B", AK165 &gt; 0.5, "C", AK165 &gt; 0.25, "D", AK165 &gt; 0, "E", TRUE, "-")</f>
      </c>
      <c r="AO165" s="55">
        <f>IFS(AL165 &gt; 1.25, "S", AL165 &gt; 1, "A", AL165 &gt; 0.75, "B", AL165 &gt; 0.5, "C", AL165 &gt; 0.25, "D", AL165 &gt; 0, "E", TRUE, "-")</f>
      </c>
      <c r="AP165" s="58"/>
      <c r="AQ165" s="68"/>
      <c r="AR165" s="68"/>
      <c r="AS165" s="55"/>
      <c r="AT165" s="55"/>
      <c r="AU165" s="55"/>
      <c r="AV165" s="61">
        <f>IF(SUM(AJ165:AL165)=0, 0, (1 + F165 * 0.1) * (0.75 + 0.25 * MAX(0, MIN(1, IF(MAX(AJ165:AL165)=0, 0, (3*MAX(AJ165:AL165)-SUM(AJ165:AL165)) / (2*MAX(AJ165:AL165)))))))</f>
      </c>
      <c r="AW165" s="83">
        <f>MAX(AJ165:AL165)</f>
      </c>
      <c r="AX165" s="81">
        <f>IF(AW165=0, "", AW165 / ((1 + 0.1*N(F165))))</f>
      </c>
      <c r="AY165" s="61">
        <f>IF(SUM(AJ165:AL165)=0, 0,     (1 + F165 * 0.1) * (1 + ((SUM(AJ165:AL165) - MAX(AJ165:AL165)) / (2 * MAX(AJ165:AL165))) * (1/0.75 - 1)))</f>
      </c>
      <c r="AZ165" s="83"/>
      <c r="BA165" s="81">
        <f>IF(AZ165=0, "", AZ165 / ((1 + 0.1*N(F165))/0.75))</f>
      </c>
      <c r="BB165" s="51">
        <v>0.1</v>
      </c>
      <c r="BC165" s="1"/>
      <c r="BD165" s="54"/>
      <c r="BE165" s="54"/>
      <c r="BF165" s="74"/>
      <c r="BG165" s="64"/>
      <c r="BH165" s="69"/>
      <c r="BI165" s="45"/>
      <c r="BJ165" s="63"/>
      <c r="BK165" s="49"/>
      <c r="BL165" s="56"/>
      <c r="BM165" s="50"/>
      <c r="BN165" s="57"/>
      <c r="BO165" s="54"/>
      <c r="BP165" s="64"/>
      <c r="BQ165" s="51"/>
      <c r="BR165" s="38">
        <f>IFERROR(BQ165*100/CP165,"N/A")</f>
      </c>
      <c r="BS165" s="61"/>
      <c r="BT165" s="54"/>
      <c r="BU165" s="42"/>
      <c r="BV165" s="78"/>
      <c r="BW165" s="73"/>
      <c r="BX165" s="64"/>
      <c r="BY165" s="52"/>
      <c r="BZ165" s="1"/>
      <c r="CA165" s="62"/>
      <c r="CB165" s="51"/>
      <c r="CC165" s="51"/>
      <c r="CD165" s="58"/>
      <c r="CE165" s="58"/>
      <c r="CF165" s="58"/>
      <c r="CG165" s="58"/>
      <c r="CH165" s="58"/>
      <c r="CI165" s="58"/>
      <c r="CJ165" s="79"/>
      <c r="CK165" s="69"/>
      <c r="CL165" s="79"/>
      <c r="CM165" s="51"/>
      <c r="CN165" s="55"/>
      <c r="CO165" s="42"/>
      <c r="CP165" s="70">
        <f>CN165*BS165*BT165</f>
      </c>
      <c r="CQ165" s="52"/>
      <c r="CR165" s="64">
        <f>100/CP165</f>
      </c>
      <c r="CS165" s="82">
        <f>100/CQ165</f>
      </c>
      <c r="CT165" s="52"/>
      <c r="CU165" s="52"/>
      <c r="CV165" s="82">
        <f>BL165/T165</f>
      </c>
      <c r="CW165" s="82">
        <f>100/CV165</f>
      </c>
      <c r="CX165" s="77"/>
      <c r="CY165" s="85"/>
      <c r="CZ165" s="77"/>
      <c r="DA165" s="77"/>
      <c r="DB165" s="77"/>
      <c r="DC165" s="1"/>
      <c r="DD165" s="1"/>
    </row>
    <row r="166">
      <c r="A166" s="84"/>
      <c r="B166" s="53"/>
      <c r="C166" s="71"/>
      <c r="D166" s="71">
        <f>IF($A166="","","WPN"&amp;VLOOKUP(E166,'引用数据库'!Z:AC,4,FALSE)&amp;VLOOKUP(H166,'引用数据库'!N:P,3,FALSE)&amp;VLOOKUP(I166,'引用数据库'!S:U,3,FALSE)&amp;TEXT(F166,"00"))</f>
      </c>
      <c r="E166" s="53"/>
      <c r="F166" s="57"/>
      <c r="G166" s="84"/>
      <c r="H166" s="53"/>
      <c r="I166" s="53"/>
      <c r="J166" s="84"/>
      <c r="K166" s="84"/>
      <c r="L166" s="42"/>
      <c r="M166" s="65"/>
      <c r="N166" s="54"/>
      <c r="O166" s="54"/>
      <c r="P166" s="54"/>
      <c r="Q166" s="54"/>
      <c r="R166" s="54"/>
      <c r="S166" s="54"/>
      <c r="T166" s="54"/>
      <c r="U166" s="51">
        <f>2*T166/(15*(1+(5-BD166)*0.1))</f>
      </c>
      <c r="V166" s="1"/>
      <c r="W166" s="54"/>
      <c r="X166" s="54"/>
      <c r="Y166" s="76"/>
      <c r="Z166" s="76"/>
      <c r="AA166" s="66"/>
      <c r="AB166" s="66"/>
      <c r="AC166" s="66"/>
      <c r="AD166" s="86"/>
      <c r="AE166" s="86"/>
      <c r="AF166" s="1"/>
      <c r="AG166" s="54"/>
      <c r="AH166" s="54"/>
      <c r="AI166" s="1"/>
      <c r="AJ166" s="80"/>
      <c r="AK166" s="80"/>
      <c r="AL166" s="80"/>
      <c r="AM166" s="55">
        <f>IFS(AJ166 &gt; 1.25, "S", AJ166 &gt; 1, "A", AJ166 &gt; 0.75, "B", AJ166 &gt; 0.5, "C", AJ166 &gt; 0.25, "D", AJ166 &gt; 0, "E", TRUE, "-")</f>
      </c>
      <c r="AN166" s="55">
        <f>IFS(AK166 &gt; 1.25, "S", AK166 &gt; 1, "A", AK166 &gt; 0.75, "B", AK166 &gt; 0.5, "C", AK166 &gt; 0.25, "D", AK166 &gt; 0, "E", TRUE, "-")</f>
      </c>
      <c r="AO166" s="55">
        <f>IFS(AL166 &gt; 1.25, "S", AL166 &gt; 1, "A", AL166 &gt; 0.75, "B", AL166 &gt; 0.5, "C", AL166 &gt; 0.25, "D", AL166 &gt; 0, "E", TRUE, "-")</f>
      </c>
      <c r="AP166" s="58"/>
      <c r="AQ166" s="68"/>
      <c r="AR166" s="68"/>
      <c r="AS166" s="55"/>
      <c r="AT166" s="55"/>
      <c r="AU166" s="55"/>
      <c r="AV166" s="61">
        <f>IF(SUM(AJ166:AL166)=0, 0, (1 + F166 * 0.1) * (0.75 + 0.25 * MAX(0, MIN(1, IF(MAX(AJ166:AL166)=0, 0, (3*MAX(AJ166:AL166)-SUM(AJ166:AL166)) / (2*MAX(AJ166:AL166)))))))</f>
      </c>
      <c r="AW166" s="83">
        <f>MAX(AJ166:AL166)</f>
      </c>
      <c r="AX166" s="81">
        <f>IF(AW166=0, "", AW166 / ((1 + 0.1*N(F166))))</f>
      </c>
      <c r="AY166" s="61">
        <f>IF(SUM(AJ166:AL166)=0, 0,     (1 + F166 * 0.1) * (1 + ((SUM(AJ166:AL166) - MAX(AJ166:AL166)) / (2 * MAX(AJ166:AL166))) * (1/0.75 - 1)))</f>
      </c>
      <c r="AZ166" s="83"/>
      <c r="BA166" s="81">
        <f>IF(AZ166=0, "", AZ166 / ((1 + 0.1*N(F166))/0.75))</f>
      </c>
      <c r="BB166" s="51">
        <v>0.1</v>
      </c>
      <c r="BC166" s="1"/>
      <c r="BD166" s="54"/>
      <c r="BE166" s="54"/>
      <c r="BF166" s="74"/>
      <c r="BG166" s="64"/>
      <c r="BH166" s="69"/>
      <c r="BI166" s="45"/>
      <c r="BJ166" s="63"/>
      <c r="BK166" s="49"/>
      <c r="BL166" s="56"/>
      <c r="BM166" s="50"/>
      <c r="BN166" s="57"/>
      <c r="BO166" s="54"/>
      <c r="BP166" s="64"/>
      <c r="BQ166" s="51"/>
      <c r="BR166" s="38">
        <f>IFERROR(BQ166*100/CP166,"N/A")</f>
      </c>
      <c r="BS166" s="61"/>
      <c r="BT166" s="54"/>
      <c r="BU166" s="42"/>
      <c r="BV166" s="78"/>
      <c r="BW166" s="73"/>
      <c r="BX166" s="64"/>
      <c r="BY166" s="52"/>
      <c r="BZ166" s="1"/>
      <c r="CA166" s="62"/>
      <c r="CB166" s="51"/>
      <c r="CC166" s="51"/>
      <c r="CD166" s="58"/>
      <c r="CE166" s="58"/>
      <c r="CF166" s="58"/>
      <c r="CG166" s="58"/>
      <c r="CH166" s="58"/>
      <c r="CI166" s="58"/>
      <c r="CJ166" s="79"/>
      <c r="CK166" s="69"/>
      <c r="CL166" s="79"/>
      <c r="CM166" s="51"/>
      <c r="CN166" s="55"/>
      <c r="CO166" s="42"/>
      <c r="CP166" s="70">
        <f>CN166*BS166*BT166</f>
      </c>
      <c r="CQ166" s="52"/>
      <c r="CR166" s="64">
        <f>100/CP166</f>
      </c>
      <c r="CS166" s="82">
        <f>100/CQ166</f>
      </c>
      <c r="CT166" s="52"/>
      <c r="CU166" s="52"/>
      <c r="CV166" s="82">
        <f>BL166/T166</f>
      </c>
      <c r="CW166" s="82">
        <f>100/CV166</f>
      </c>
      <c r="CX166" s="77"/>
      <c r="CY166" s="85"/>
      <c r="CZ166" s="77"/>
      <c r="DA166" s="77"/>
      <c r="DB166" s="77"/>
      <c r="DC166" s="1"/>
      <c r="DD166" s="1"/>
    </row>
    <row r="167">
      <c r="A167" s="84"/>
      <c r="B167" s="53"/>
      <c r="C167" s="71"/>
      <c r="D167" s="71">
        <f>IF($A167="","","WPN"&amp;VLOOKUP(E167,'引用数据库'!Z:AC,4,FALSE)&amp;VLOOKUP(H167,'引用数据库'!N:P,3,FALSE)&amp;VLOOKUP(I167,'引用数据库'!S:U,3,FALSE)&amp;TEXT(F167,"00"))</f>
      </c>
      <c r="E167" s="53"/>
      <c r="F167" s="57"/>
      <c r="G167" s="84"/>
      <c r="H167" s="53"/>
      <c r="I167" s="53"/>
      <c r="J167" s="84"/>
      <c r="K167" s="84"/>
      <c r="L167" s="42"/>
      <c r="M167" s="65"/>
      <c r="N167" s="54"/>
      <c r="O167" s="54"/>
      <c r="P167" s="54"/>
      <c r="Q167" s="54"/>
      <c r="R167" s="54"/>
      <c r="S167" s="54"/>
      <c r="T167" s="54"/>
      <c r="U167" s="51">
        <f>2*T167/(15*(1+(5-BD167)*0.1))</f>
      </c>
      <c r="V167" s="1"/>
      <c r="W167" s="54"/>
      <c r="X167" s="54"/>
      <c r="Y167" s="76"/>
      <c r="Z167" s="76"/>
      <c r="AA167" s="66"/>
      <c r="AB167" s="66"/>
      <c r="AC167" s="66"/>
      <c r="AD167" s="86"/>
      <c r="AE167" s="86"/>
      <c r="AF167" s="1"/>
      <c r="AG167" s="54"/>
      <c r="AH167" s="54"/>
      <c r="AI167" s="1"/>
      <c r="AJ167" s="80"/>
      <c r="AK167" s="80"/>
      <c r="AL167" s="80"/>
      <c r="AM167" s="55">
        <f>IFS(AJ167 &gt; 1.25, "S", AJ167 &gt; 1, "A", AJ167 &gt; 0.75, "B", AJ167 &gt; 0.5, "C", AJ167 &gt; 0.25, "D", AJ167 &gt; 0, "E", TRUE, "-")</f>
      </c>
      <c r="AN167" s="55">
        <f>IFS(AK167 &gt; 1.25, "S", AK167 &gt; 1, "A", AK167 &gt; 0.75, "B", AK167 &gt; 0.5, "C", AK167 &gt; 0.25, "D", AK167 &gt; 0, "E", TRUE, "-")</f>
      </c>
      <c r="AO167" s="55">
        <f>IFS(AL167 &gt; 1.25, "S", AL167 &gt; 1, "A", AL167 &gt; 0.75, "B", AL167 &gt; 0.5, "C", AL167 &gt; 0.25, "D", AL167 &gt; 0, "E", TRUE, "-")</f>
      </c>
      <c r="AP167" s="58"/>
      <c r="AQ167" s="68"/>
      <c r="AR167" s="68"/>
      <c r="AS167" s="55"/>
      <c r="AT167" s="55"/>
      <c r="AU167" s="55"/>
      <c r="AV167" s="61">
        <f>IF(SUM(AJ167:AL167)=0, 0, (1 + F167 * 0.1) * (0.75 + 0.25 * MAX(0, MIN(1, IF(MAX(AJ167:AL167)=0, 0, (3*MAX(AJ167:AL167)-SUM(AJ167:AL167)) / (2*MAX(AJ167:AL167)))))))</f>
      </c>
      <c r="AW167" s="83">
        <f>MAX(AJ167:AL167)</f>
      </c>
      <c r="AX167" s="81">
        <f>IF(AW167=0, "", AW167 / ((1 + 0.1*N(F167))))</f>
      </c>
      <c r="AY167" s="61">
        <f>IF(SUM(AJ167:AL167)=0, 0,     (1 + F167 * 0.1) * (1 + ((SUM(AJ167:AL167) - MAX(AJ167:AL167)) / (2 * MAX(AJ167:AL167))) * (1/0.75 - 1)))</f>
      </c>
      <c r="AZ167" s="83"/>
      <c r="BA167" s="81">
        <f>IF(AZ167=0, "", AZ167 / ((1 + 0.1*N(F167))/0.75))</f>
      </c>
      <c r="BB167" s="51">
        <v>0.1</v>
      </c>
      <c r="BC167" s="1"/>
      <c r="BD167" s="54"/>
      <c r="BE167" s="54"/>
      <c r="BF167" s="74"/>
      <c r="BG167" s="64"/>
      <c r="BH167" s="69"/>
      <c r="BI167" s="45"/>
      <c r="BJ167" s="63"/>
      <c r="BK167" s="49"/>
      <c r="BL167" s="56"/>
      <c r="BM167" s="50"/>
      <c r="BN167" s="57"/>
      <c r="BO167" s="54"/>
      <c r="BP167" s="64"/>
      <c r="BQ167" s="51"/>
      <c r="BR167" s="38">
        <f>IFERROR(BQ167*100/CP167,"N/A")</f>
      </c>
      <c r="BS167" s="61"/>
      <c r="BT167" s="54"/>
      <c r="BU167" s="42"/>
      <c r="BV167" s="78"/>
      <c r="BW167" s="73"/>
      <c r="BX167" s="64"/>
      <c r="BY167" s="52"/>
      <c r="BZ167" s="1"/>
      <c r="CA167" s="62"/>
      <c r="CB167" s="51"/>
      <c r="CC167" s="51"/>
      <c r="CD167" s="58"/>
      <c r="CE167" s="58"/>
      <c r="CF167" s="58"/>
      <c r="CG167" s="58"/>
      <c r="CH167" s="58"/>
      <c r="CI167" s="58"/>
      <c r="CJ167" s="79"/>
      <c r="CK167" s="69"/>
      <c r="CL167" s="79"/>
      <c r="CM167" s="51"/>
      <c r="CN167" s="55"/>
      <c r="CO167" s="42"/>
      <c r="CP167" s="70">
        <f>CN167*BS167*BT167</f>
      </c>
      <c r="CQ167" s="52"/>
      <c r="CR167" s="64">
        <f>100/CP167</f>
      </c>
      <c r="CS167" s="82">
        <f>100/CQ167</f>
      </c>
      <c r="CT167" s="52"/>
      <c r="CU167" s="52"/>
      <c r="CV167" s="82">
        <f>BL167/T167</f>
      </c>
      <c r="CW167" s="82">
        <f>100/CV167</f>
      </c>
      <c r="CX167" s="77"/>
      <c r="CY167" s="85"/>
      <c r="CZ167" s="77"/>
      <c r="DA167" s="77"/>
      <c r="DB167" s="77"/>
      <c r="DC167" s="1"/>
      <c r="DD167" s="1"/>
    </row>
    <row r="168">
      <c r="A168" s="84"/>
      <c r="B168" s="53"/>
      <c r="C168" s="71"/>
      <c r="D168" s="71">
        <f>IF($A168="","","WPN"&amp;VLOOKUP(E168,'引用数据库'!Z:AC,4,FALSE)&amp;VLOOKUP(H168,'引用数据库'!N:P,3,FALSE)&amp;VLOOKUP(I168,'引用数据库'!S:U,3,FALSE)&amp;TEXT(F168,"00"))</f>
      </c>
      <c r="E168" s="53"/>
      <c r="F168" s="57"/>
      <c r="G168" s="84"/>
      <c r="H168" s="53"/>
      <c r="I168" s="53"/>
      <c r="J168" s="84"/>
      <c r="K168" s="84"/>
      <c r="L168" s="42"/>
      <c r="M168" s="65"/>
      <c r="N168" s="54"/>
      <c r="O168" s="54"/>
      <c r="P168" s="54"/>
      <c r="Q168" s="54"/>
      <c r="R168" s="54"/>
      <c r="S168" s="54"/>
      <c r="T168" s="54"/>
      <c r="U168" s="51">
        <f>2*T168/(15*(1+(5-BD168)*0.1))</f>
      </c>
      <c r="V168" s="1"/>
      <c r="W168" s="54"/>
      <c r="X168" s="54"/>
      <c r="Y168" s="76"/>
      <c r="Z168" s="76"/>
      <c r="AA168" s="66"/>
      <c r="AB168" s="66"/>
      <c r="AC168" s="66"/>
      <c r="AD168" s="86"/>
      <c r="AE168" s="86"/>
      <c r="AF168" s="1"/>
      <c r="AG168" s="54"/>
      <c r="AH168" s="54"/>
      <c r="AI168" s="1"/>
      <c r="AJ168" s="80"/>
      <c r="AK168" s="80"/>
      <c r="AL168" s="80"/>
      <c r="AM168" s="55">
        <f>IFS(AJ168 &gt; 1.25, "S", AJ168 &gt; 1, "A", AJ168 &gt; 0.75, "B", AJ168 &gt; 0.5, "C", AJ168 &gt; 0.25, "D", AJ168 &gt; 0, "E", TRUE, "-")</f>
      </c>
      <c r="AN168" s="55">
        <f>IFS(AK168 &gt; 1.25, "S", AK168 &gt; 1, "A", AK168 &gt; 0.75, "B", AK168 &gt; 0.5, "C", AK168 &gt; 0.25, "D", AK168 &gt; 0, "E", TRUE, "-")</f>
      </c>
      <c r="AO168" s="55">
        <f>IFS(AL168 &gt; 1.25, "S", AL168 &gt; 1, "A", AL168 &gt; 0.75, "B", AL168 &gt; 0.5, "C", AL168 &gt; 0.25, "D", AL168 &gt; 0, "E", TRUE, "-")</f>
      </c>
      <c r="AP168" s="58"/>
      <c r="AQ168" s="68"/>
      <c r="AR168" s="68"/>
      <c r="AS168" s="55"/>
      <c r="AT168" s="55"/>
      <c r="AU168" s="55"/>
      <c r="AV168" s="61">
        <f>IF(SUM(AJ168:AL168)=0, 0, (1 + F168 * 0.1) * (0.75 + 0.25 * MAX(0, MIN(1, IF(MAX(AJ168:AL168)=0, 0, (3*MAX(AJ168:AL168)-SUM(AJ168:AL168)) / (2*MAX(AJ168:AL168)))))))</f>
      </c>
      <c r="AW168" s="83">
        <f>MAX(AJ168:AL168)</f>
      </c>
      <c r="AX168" s="81">
        <f>IF(AW168=0, "", AW168 / ((1 + 0.1*N(F168))))</f>
      </c>
      <c r="AY168" s="61">
        <f>IF(SUM(AJ168:AL168)=0, 0,     (1 + F168 * 0.1) * (1 + ((SUM(AJ168:AL168) - MAX(AJ168:AL168)) / (2 * MAX(AJ168:AL168))) * (1/0.75 - 1)))</f>
      </c>
      <c r="AZ168" s="83"/>
      <c r="BA168" s="81">
        <f>IF(AZ168=0, "", AZ168 / ((1 + 0.1*N(F168))/0.75))</f>
      </c>
      <c r="BB168" s="51">
        <v>0.1</v>
      </c>
      <c r="BC168" s="1"/>
      <c r="BD168" s="54"/>
      <c r="BE168" s="54"/>
      <c r="BF168" s="74"/>
      <c r="BG168" s="64"/>
      <c r="BH168" s="69"/>
      <c r="BI168" s="45"/>
      <c r="BJ168" s="63"/>
      <c r="BK168" s="49"/>
      <c r="BL168" s="56"/>
      <c r="BM168" s="50"/>
      <c r="BN168" s="57"/>
      <c r="BO168" s="54"/>
      <c r="BP168" s="64"/>
      <c r="BQ168" s="51"/>
      <c r="BR168" s="38">
        <f>IFERROR(BQ168*100/CP168,"N/A")</f>
      </c>
      <c r="BS168" s="61"/>
      <c r="BT168" s="54"/>
      <c r="BU168" s="42"/>
      <c r="BV168" s="78"/>
      <c r="BW168" s="73"/>
      <c r="BX168" s="64"/>
      <c r="BY168" s="52"/>
      <c r="BZ168" s="1"/>
      <c r="CA168" s="62"/>
      <c r="CB168" s="51"/>
      <c r="CC168" s="51"/>
      <c r="CD168" s="58"/>
      <c r="CE168" s="58"/>
      <c r="CF168" s="58"/>
      <c r="CG168" s="58"/>
      <c r="CH168" s="58"/>
      <c r="CI168" s="58"/>
      <c r="CJ168" s="79"/>
      <c r="CK168" s="69"/>
      <c r="CL168" s="79"/>
      <c r="CM168" s="51"/>
      <c r="CN168" s="55"/>
      <c r="CO168" s="42"/>
      <c r="CP168" s="70">
        <f>CN168*BS168*BT168</f>
      </c>
      <c r="CQ168" s="52"/>
      <c r="CR168" s="64">
        <f>100/CP168</f>
      </c>
      <c r="CS168" s="82">
        <f>100/CQ168</f>
      </c>
      <c r="CT168" s="52"/>
      <c r="CU168" s="52"/>
      <c r="CV168" s="82">
        <f>BL168/T168</f>
      </c>
      <c r="CW168" s="82">
        <f>100/CV168</f>
      </c>
      <c r="CX168" s="77"/>
      <c r="CY168" s="85"/>
      <c r="CZ168" s="77"/>
      <c r="DA168" s="77"/>
      <c r="DB168" s="77"/>
      <c r="DC168" s="1"/>
      <c r="DD168" s="1"/>
    </row>
    <row r="169">
      <c r="A169" s="84"/>
      <c r="B169" s="53"/>
      <c r="C169" s="71"/>
      <c r="D169" s="71">
        <f>IF($A169="","","WPN"&amp;VLOOKUP(E169,'引用数据库'!Z:AC,4,FALSE)&amp;VLOOKUP(H169,'引用数据库'!N:P,3,FALSE)&amp;VLOOKUP(I169,'引用数据库'!S:U,3,FALSE)&amp;TEXT(F169,"00"))</f>
      </c>
      <c r="E169" s="53"/>
      <c r="F169" s="57"/>
      <c r="G169" s="84"/>
      <c r="H169" s="53"/>
      <c r="I169" s="53"/>
      <c r="J169" s="84"/>
      <c r="K169" s="84"/>
      <c r="L169" s="42"/>
      <c r="M169" s="65"/>
      <c r="N169" s="54"/>
      <c r="O169" s="54"/>
      <c r="P169" s="54"/>
      <c r="Q169" s="54"/>
      <c r="R169" s="54"/>
      <c r="S169" s="54"/>
      <c r="T169" s="54"/>
      <c r="U169" s="51">
        <f>2*T169/(15*(1+(5-BD169)*0.1))</f>
      </c>
      <c r="V169" s="1"/>
      <c r="W169" s="54"/>
      <c r="X169" s="54"/>
      <c r="Y169" s="76"/>
      <c r="Z169" s="76"/>
      <c r="AA169" s="66"/>
      <c r="AB169" s="66"/>
      <c r="AC169" s="66"/>
      <c r="AD169" s="86"/>
      <c r="AE169" s="86"/>
      <c r="AF169" s="1"/>
      <c r="AG169" s="54"/>
      <c r="AH169" s="54"/>
      <c r="AI169" s="1"/>
      <c r="AJ169" s="80"/>
      <c r="AK169" s="80"/>
      <c r="AL169" s="80"/>
      <c r="AM169" s="55">
        <f>IFS(AJ169 &gt; 1.25, "S", AJ169 &gt; 1, "A", AJ169 &gt; 0.75, "B", AJ169 &gt; 0.5, "C", AJ169 &gt; 0.25, "D", AJ169 &gt; 0, "E", TRUE, "-")</f>
      </c>
      <c r="AN169" s="55">
        <f>IFS(AK169 &gt; 1.25, "S", AK169 &gt; 1, "A", AK169 &gt; 0.75, "B", AK169 &gt; 0.5, "C", AK169 &gt; 0.25, "D", AK169 &gt; 0, "E", TRUE, "-")</f>
      </c>
      <c r="AO169" s="55">
        <f>IFS(AL169 &gt; 1.25, "S", AL169 &gt; 1, "A", AL169 &gt; 0.75, "B", AL169 &gt; 0.5, "C", AL169 &gt; 0.25, "D", AL169 &gt; 0, "E", TRUE, "-")</f>
      </c>
      <c r="AP169" s="58"/>
      <c r="AQ169" s="68"/>
      <c r="AR169" s="68"/>
      <c r="AS169" s="55"/>
      <c r="AT169" s="55"/>
      <c r="AU169" s="55"/>
      <c r="AV169" s="61">
        <f>IF(SUM(AJ169:AL169)=0, 0, (1 + F169 * 0.1) * (0.75 + 0.25 * MAX(0, MIN(1, IF(MAX(AJ169:AL169)=0, 0, (3*MAX(AJ169:AL169)-SUM(AJ169:AL169)) / (2*MAX(AJ169:AL169)))))))</f>
      </c>
      <c r="AW169" s="83">
        <f>MAX(AJ169:AL169)</f>
      </c>
      <c r="AX169" s="81">
        <f>IF(AW169=0, "", AW169 / ((1 + 0.1*N(F169))))</f>
      </c>
      <c r="AY169" s="61">
        <f>IF(SUM(AJ169:AL169)=0, 0,     (1 + F169 * 0.1) * (1 + ((SUM(AJ169:AL169) - MAX(AJ169:AL169)) / (2 * MAX(AJ169:AL169))) * (1/0.75 - 1)))</f>
      </c>
      <c r="AZ169" s="83"/>
      <c r="BA169" s="81">
        <f>IF(AZ169=0, "", AZ169 / ((1 + 0.1*N(F169))/0.75))</f>
      </c>
      <c r="BB169" s="51">
        <v>0.1</v>
      </c>
      <c r="BC169" s="1"/>
      <c r="BD169" s="54"/>
      <c r="BE169" s="54"/>
      <c r="BF169" s="74"/>
      <c r="BG169" s="64"/>
      <c r="BH169" s="69"/>
      <c r="BI169" s="45"/>
      <c r="BJ169" s="63"/>
      <c r="BK169" s="49"/>
      <c r="BL169" s="56"/>
      <c r="BM169" s="50"/>
      <c r="BN169" s="57"/>
      <c r="BO169" s="54"/>
      <c r="BP169" s="64"/>
      <c r="BQ169" s="51"/>
      <c r="BR169" s="38">
        <f>IFERROR(BQ169*100/CP169,"N/A")</f>
      </c>
      <c r="BS169" s="61"/>
      <c r="BT169" s="54"/>
      <c r="BU169" s="42"/>
      <c r="BV169" s="78"/>
      <c r="BW169" s="73"/>
      <c r="BX169" s="64"/>
      <c r="BY169" s="52"/>
      <c r="BZ169" s="1"/>
      <c r="CA169" s="62"/>
      <c r="CB169" s="51"/>
      <c r="CC169" s="51"/>
      <c r="CD169" s="58"/>
      <c r="CE169" s="58"/>
      <c r="CF169" s="58"/>
      <c r="CG169" s="58"/>
      <c r="CH169" s="58"/>
      <c r="CI169" s="58"/>
      <c r="CJ169" s="79"/>
      <c r="CK169" s="69"/>
      <c r="CL169" s="79"/>
      <c r="CM169" s="51"/>
      <c r="CN169" s="55"/>
      <c r="CO169" s="42"/>
      <c r="CP169" s="70">
        <f>CN169*BS169*BT169</f>
      </c>
      <c r="CQ169" s="52"/>
      <c r="CR169" s="64">
        <f>100/CP169</f>
      </c>
      <c r="CS169" s="82">
        <f>100/CQ169</f>
      </c>
      <c r="CT169" s="52"/>
      <c r="CU169" s="52"/>
      <c r="CV169" s="82">
        <f>BL169/T169</f>
      </c>
      <c r="CW169" s="82">
        <f>100/CV169</f>
      </c>
      <c r="CX169" s="77"/>
      <c r="CY169" s="85"/>
      <c r="CZ169" s="77"/>
      <c r="DA169" s="77"/>
      <c r="DB169" s="77"/>
      <c r="DC169" s="1"/>
      <c r="DD169" s="1"/>
    </row>
    <row r="170">
      <c r="A170" s="84"/>
      <c r="B170" s="53"/>
      <c r="C170" s="71"/>
      <c r="D170" s="71">
        <f>IF($A170="","","WPN"&amp;VLOOKUP(E170,'引用数据库'!Z:AC,4,FALSE)&amp;VLOOKUP(H170,'引用数据库'!N:P,3,FALSE)&amp;VLOOKUP(I170,'引用数据库'!S:U,3,FALSE)&amp;TEXT(F170,"00"))</f>
      </c>
      <c r="E170" s="53"/>
      <c r="F170" s="57"/>
      <c r="G170" s="84"/>
      <c r="H170" s="53"/>
      <c r="I170" s="53"/>
      <c r="J170" s="84"/>
      <c r="K170" s="84"/>
      <c r="L170" s="42"/>
      <c r="M170" s="65"/>
      <c r="N170" s="54"/>
      <c r="O170" s="54"/>
      <c r="P170" s="54"/>
      <c r="Q170" s="54"/>
      <c r="R170" s="54"/>
      <c r="S170" s="54"/>
      <c r="T170" s="54"/>
      <c r="U170" s="51">
        <f>2*T170/(15*(1+(5-BD170)*0.1))</f>
      </c>
      <c r="V170" s="1"/>
      <c r="W170" s="54"/>
      <c r="X170" s="54"/>
      <c r="Y170" s="76"/>
      <c r="Z170" s="76"/>
      <c r="AA170" s="66"/>
      <c r="AB170" s="66"/>
      <c r="AC170" s="66"/>
      <c r="AD170" s="86"/>
      <c r="AE170" s="86"/>
      <c r="AF170" s="1"/>
      <c r="AG170" s="54"/>
      <c r="AH170" s="54"/>
      <c r="AI170" s="1"/>
      <c r="AJ170" s="80"/>
      <c r="AK170" s="80"/>
      <c r="AL170" s="80"/>
      <c r="AM170" s="55">
        <f>IFS(AJ170 &gt; 1.25, "S", AJ170 &gt; 1, "A", AJ170 &gt; 0.75, "B", AJ170 &gt; 0.5, "C", AJ170 &gt; 0.25, "D", AJ170 &gt; 0, "E", TRUE, "-")</f>
      </c>
      <c r="AN170" s="55">
        <f>IFS(AK170 &gt; 1.25, "S", AK170 &gt; 1, "A", AK170 &gt; 0.75, "B", AK170 &gt; 0.5, "C", AK170 &gt; 0.25, "D", AK170 &gt; 0, "E", TRUE, "-")</f>
      </c>
      <c r="AO170" s="55">
        <f>IFS(AL170 &gt; 1.25, "S", AL170 &gt; 1, "A", AL170 &gt; 0.75, "B", AL170 &gt; 0.5, "C", AL170 &gt; 0.25, "D", AL170 &gt; 0, "E", TRUE, "-")</f>
      </c>
      <c r="AP170" s="58"/>
      <c r="AQ170" s="68"/>
      <c r="AR170" s="68"/>
      <c r="AS170" s="55"/>
      <c r="AT170" s="55"/>
      <c r="AU170" s="55"/>
      <c r="AV170" s="61">
        <f>IF(SUM(AJ170:AL170)=0, 0, (1 + F170 * 0.1) * (0.75 + 0.25 * MAX(0, MIN(1, IF(MAX(AJ170:AL170)=0, 0, (3*MAX(AJ170:AL170)-SUM(AJ170:AL170)) / (2*MAX(AJ170:AL170)))))))</f>
      </c>
      <c r="AW170" s="83">
        <f>MAX(AJ170:AL170)</f>
      </c>
      <c r="AX170" s="81">
        <f>IF(AW170=0, "", AW170 / ((1 + 0.1*N(F170))))</f>
      </c>
      <c r="AY170" s="61">
        <f>IF(SUM(AJ170:AL170)=0, 0,     (1 + F170 * 0.1) * (1 + ((SUM(AJ170:AL170) - MAX(AJ170:AL170)) / (2 * MAX(AJ170:AL170))) * (1/0.75 - 1)))</f>
      </c>
      <c r="AZ170" s="83"/>
      <c r="BA170" s="81">
        <f>IF(AZ170=0, "", AZ170 / ((1 + 0.1*N(F170))/0.75))</f>
      </c>
      <c r="BB170" s="51">
        <v>0.1</v>
      </c>
      <c r="BC170" s="1"/>
      <c r="BD170" s="54"/>
      <c r="BE170" s="54"/>
      <c r="BF170" s="74"/>
      <c r="BG170" s="64"/>
      <c r="BH170" s="69"/>
      <c r="BI170" s="45"/>
      <c r="BJ170" s="63"/>
      <c r="BK170" s="49"/>
      <c r="BL170" s="56"/>
      <c r="BM170" s="50"/>
      <c r="BN170" s="57"/>
      <c r="BO170" s="54"/>
      <c r="BP170" s="64"/>
      <c r="BQ170" s="51"/>
      <c r="BR170" s="38">
        <f>IFERROR(BQ170*100/CP170,"N/A")</f>
      </c>
      <c r="BS170" s="61"/>
      <c r="BT170" s="54"/>
      <c r="BU170" s="42"/>
      <c r="BV170" s="78"/>
      <c r="BW170" s="73"/>
      <c r="BX170" s="64"/>
      <c r="BY170" s="52"/>
      <c r="BZ170" s="1"/>
      <c r="CA170" s="62"/>
      <c r="CB170" s="51"/>
      <c r="CC170" s="51"/>
      <c r="CD170" s="58"/>
      <c r="CE170" s="58"/>
      <c r="CF170" s="58"/>
      <c r="CG170" s="58"/>
      <c r="CH170" s="58"/>
      <c r="CI170" s="58"/>
      <c r="CJ170" s="79"/>
      <c r="CK170" s="69"/>
      <c r="CL170" s="79"/>
      <c r="CM170" s="51"/>
      <c r="CN170" s="55"/>
      <c r="CO170" s="42"/>
      <c r="CP170" s="70">
        <f>CN170*BS170*BT170</f>
      </c>
      <c r="CQ170" s="52"/>
      <c r="CR170" s="64">
        <f>100/CP170</f>
      </c>
      <c r="CS170" s="82">
        <f>100/CQ170</f>
      </c>
      <c r="CT170" s="52"/>
      <c r="CU170" s="52"/>
      <c r="CV170" s="82">
        <f>BL170/T170</f>
      </c>
      <c r="CW170" s="82">
        <f>100/CV170</f>
      </c>
      <c r="CX170" s="77"/>
      <c r="CY170" s="85"/>
      <c r="CZ170" s="77"/>
      <c r="DA170" s="77"/>
      <c r="DB170" s="77"/>
      <c r="DC170" s="1"/>
      <c r="DD170" s="1"/>
    </row>
    <row r="171">
      <c r="A171" s="84"/>
      <c r="B171" s="53"/>
      <c r="C171" s="71"/>
      <c r="D171" s="71">
        <f>IF($A171="","","WPN"&amp;VLOOKUP(E171,'引用数据库'!Z:AC,4,FALSE)&amp;VLOOKUP(H171,'引用数据库'!N:P,3,FALSE)&amp;VLOOKUP(I171,'引用数据库'!S:U,3,FALSE)&amp;TEXT(F171,"00"))</f>
      </c>
      <c r="E171" s="53"/>
      <c r="F171" s="57"/>
      <c r="G171" s="84"/>
      <c r="H171" s="53"/>
      <c r="I171" s="53"/>
      <c r="J171" s="84"/>
      <c r="K171" s="84"/>
      <c r="L171" s="42"/>
      <c r="M171" s="65"/>
      <c r="N171" s="54"/>
      <c r="O171" s="54"/>
      <c r="P171" s="54"/>
      <c r="Q171" s="54"/>
      <c r="R171" s="54"/>
      <c r="S171" s="54"/>
      <c r="T171" s="54"/>
      <c r="U171" s="51">
        <f>2*T171/(15*(1+(5-BD171)*0.1))</f>
      </c>
      <c r="V171" s="1"/>
      <c r="W171" s="54"/>
      <c r="X171" s="54"/>
      <c r="Y171" s="76"/>
      <c r="Z171" s="76"/>
      <c r="AA171" s="66"/>
      <c r="AB171" s="66"/>
      <c r="AC171" s="66"/>
      <c r="AD171" s="86"/>
      <c r="AE171" s="86"/>
      <c r="AF171" s="1"/>
      <c r="AG171" s="54"/>
      <c r="AH171" s="54"/>
      <c r="AI171" s="1"/>
      <c r="AJ171" s="80"/>
      <c r="AK171" s="80"/>
      <c r="AL171" s="80"/>
      <c r="AM171" s="55">
        <f>IFS(AJ171 &gt; 1.25, "S", AJ171 &gt; 1, "A", AJ171 &gt; 0.75, "B", AJ171 &gt; 0.5, "C", AJ171 &gt; 0.25, "D", AJ171 &gt; 0, "E", TRUE, "-")</f>
      </c>
      <c r="AN171" s="55">
        <f>IFS(AK171 &gt; 1.25, "S", AK171 &gt; 1, "A", AK171 &gt; 0.75, "B", AK171 &gt; 0.5, "C", AK171 &gt; 0.25, "D", AK171 &gt; 0, "E", TRUE, "-")</f>
      </c>
      <c r="AO171" s="55">
        <f>IFS(AL171 &gt; 1.25, "S", AL171 &gt; 1, "A", AL171 &gt; 0.75, "B", AL171 &gt; 0.5, "C", AL171 &gt; 0.25, "D", AL171 &gt; 0, "E", TRUE, "-")</f>
      </c>
      <c r="AP171" s="58"/>
      <c r="AQ171" s="68"/>
      <c r="AR171" s="68"/>
      <c r="AS171" s="55"/>
      <c r="AT171" s="55"/>
      <c r="AU171" s="55"/>
      <c r="AV171" s="61">
        <f>IF(SUM(AJ171:AL171)=0, 0, (1 + F171 * 0.1) * (0.75 + 0.25 * MAX(0, MIN(1, IF(MAX(AJ171:AL171)=0, 0, (3*MAX(AJ171:AL171)-SUM(AJ171:AL171)) / (2*MAX(AJ171:AL171)))))))</f>
      </c>
      <c r="AW171" s="83">
        <f>MAX(AJ171:AL171)</f>
      </c>
      <c r="AX171" s="81">
        <f>IF(AW171=0, "", AW171 / ((1 + 0.1*N(F171))))</f>
      </c>
      <c r="AY171" s="61">
        <f>IF(SUM(AJ171:AL171)=0, 0,     (1 + F171 * 0.1) * (1 + ((SUM(AJ171:AL171) - MAX(AJ171:AL171)) / (2 * MAX(AJ171:AL171))) * (1/0.75 - 1)))</f>
      </c>
      <c r="AZ171" s="83"/>
      <c r="BA171" s="81">
        <f>IF(AZ171=0, "", AZ171 / ((1 + 0.1*N(F171))/0.75))</f>
      </c>
      <c r="BB171" s="51">
        <v>0.1</v>
      </c>
      <c r="BC171" s="1"/>
      <c r="BD171" s="54"/>
      <c r="BE171" s="54"/>
      <c r="BF171" s="74"/>
      <c r="BG171" s="64"/>
      <c r="BH171" s="69"/>
      <c r="BI171" s="45"/>
      <c r="BJ171" s="63"/>
      <c r="BK171" s="49"/>
      <c r="BL171" s="56"/>
      <c r="BM171" s="50"/>
      <c r="BN171" s="57"/>
      <c r="BO171" s="54"/>
      <c r="BP171" s="64"/>
      <c r="BQ171" s="51"/>
      <c r="BR171" s="38">
        <f>IFERROR(BQ171*100/CP171,"N/A")</f>
      </c>
      <c r="BS171" s="61"/>
      <c r="BT171" s="54"/>
      <c r="BU171" s="42"/>
      <c r="BV171" s="78"/>
      <c r="BW171" s="73"/>
      <c r="BX171" s="64"/>
      <c r="BY171" s="52"/>
      <c r="BZ171" s="1"/>
      <c r="CA171" s="62"/>
      <c r="CB171" s="51"/>
      <c r="CC171" s="51"/>
      <c r="CD171" s="58"/>
      <c r="CE171" s="58"/>
      <c r="CF171" s="58"/>
      <c r="CG171" s="58"/>
      <c r="CH171" s="58"/>
      <c r="CI171" s="58"/>
      <c r="CJ171" s="79"/>
      <c r="CK171" s="69"/>
      <c r="CL171" s="79"/>
      <c r="CM171" s="51"/>
      <c r="CN171" s="55"/>
      <c r="CO171" s="42"/>
      <c r="CP171" s="70">
        <f>CN171*BS171*BT171</f>
      </c>
      <c r="CQ171" s="52"/>
      <c r="CR171" s="64">
        <f>100/CP171</f>
      </c>
      <c r="CS171" s="82">
        <f>100/CQ171</f>
      </c>
      <c r="CT171" s="52"/>
      <c r="CU171" s="52"/>
      <c r="CV171" s="82">
        <f>BL171/T171</f>
      </c>
      <c r="CW171" s="82">
        <f>100/CV171</f>
      </c>
      <c r="CX171" s="77"/>
      <c r="CY171" s="85"/>
      <c r="CZ171" s="77"/>
      <c r="DA171" s="77"/>
      <c r="DB171" s="77"/>
      <c r="DC171" s="1"/>
      <c r="DD171" s="1"/>
    </row>
    <row r="172">
      <c r="A172" s="84"/>
      <c r="B172" s="53"/>
      <c r="C172" s="71"/>
      <c r="D172" s="71">
        <f>IF($A172="","","WPN"&amp;VLOOKUP(E172,'引用数据库'!Z:AC,4,FALSE)&amp;VLOOKUP(H172,'引用数据库'!N:P,3,FALSE)&amp;VLOOKUP(I172,'引用数据库'!S:U,3,FALSE)&amp;TEXT(F172,"00"))</f>
      </c>
      <c r="E172" s="53"/>
      <c r="F172" s="57"/>
      <c r="G172" s="84"/>
      <c r="H172" s="53"/>
      <c r="I172" s="53"/>
      <c r="J172" s="84"/>
      <c r="K172" s="84"/>
      <c r="L172" s="42"/>
      <c r="M172" s="65"/>
      <c r="N172" s="54"/>
      <c r="O172" s="54"/>
      <c r="P172" s="54"/>
      <c r="Q172" s="54"/>
      <c r="R172" s="54"/>
      <c r="S172" s="54"/>
      <c r="T172" s="54"/>
      <c r="U172" s="51">
        <f>2*T172/(15*(1+(5-BD172)*0.1))</f>
      </c>
      <c r="V172" s="1"/>
      <c r="W172" s="54"/>
      <c r="X172" s="54"/>
      <c r="Y172" s="76"/>
      <c r="Z172" s="76"/>
      <c r="AA172" s="66"/>
      <c r="AB172" s="66"/>
      <c r="AC172" s="66"/>
      <c r="AD172" s="86"/>
      <c r="AE172" s="86"/>
      <c r="AF172" s="1"/>
      <c r="AG172" s="54"/>
      <c r="AH172" s="54"/>
      <c r="AI172" s="1"/>
      <c r="AJ172" s="80"/>
      <c r="AK172" s="80"/>
      <c r="AL172" s="80"/>
      <c r="AM172" s="55">
        <f>IFS(AJ172 &gt; 1.25, "S", AJ172 &gt; 1, "A", AJ172 &gt; 0.75, "B", AJ172 &gt; 0.5, "C", AJ172 &gt; 0.25, "D", AJ172 &gt; 0, "E", TRUE, "-")</f>
      </c>
      <c r="AN172" s="55">
        <f>IFS(AK172 &gt; 1.25, "S", AK172 &gt; 1, "A", AK172 &gt; 0.75, "B", AK172 &gt; 0.5, "C", AK172 &gt; 0.25, "D", AK172 &gt; 0, "E", TRUE, "-")</f>
      </c>
      <c r="AO172" s="55">
        <f>IFS(AL172 &gt; 1.25, "S", AL172 &gt; 1, "A", AL172 &gt; 0.75, "B", AL172 &gt; 0.5, "C", AL172 &gt; 0.25, "D", AL172 &gt; 0, "E", TRUE, "-")</f>
      </c>
      <c r="AP172" s="58"/>
      <c r="AQ172" s="68"/>
      <c r="AR172" s="68"/>
      <c r="AS172" s="55"/>
      <c r="AT172" s="55"/>
      <c r="AU172" s="55"/>
      <c r="AV172" s="61">
        <f>IF(SUM(AJ172:AL172)=0, 0, (1 + F172 * 0.1) * (0.75 + 0.25 * MAX(0, MIN(1, IF(MAX(AJ172:AL172)=0, 0, (3*MAX(AJ172:AL172)-SUM(AJ172:AL172)) / (2*MAX(AJ172:AL172)))))))</f>
      </c>
      <c r="AW172" s="83">
        <f>MAX(AJ172:AL172)</f>
      </c>
      <c r="AX172" s="81">
        <f>IF(AW172=0, "", AW172 / ((1 + 0.1*N(F172))))</f>
      </c>
      <c r="AY172" s="61">
        <f>IF(SUM(AJ172:AL172)=0, 0,     (1 + F172 * 0.1) * (1 + ((SUM(AJ172:AL172) - MAX(AJ172:AL172)) / (2 * MAX(AJ172:AL172))) * (1/0.75 - 1)))</f>
      </c>
      <c r="AZ172" s="83"/>
      <c r="BA172" s="81">
        <f>IF(AZ172=0, "", AZ172 / ((1 + 0.1*N(F172))/0.75))</f>
      </c>
      <c r="BB172" s="51">
        <v>0.1</v>
      </c>
      <c r="BC172" s="1"/>
      <c r="BD172" s="54"/>
      <c r="BE172" s="54"/>
      <c r="BF172" s="74"/>
      <c r="BG172" s="64"/>
      <c r="BH172" s="69"/>
      <c r="BI172" s="45"/>
      <c r="BJ172" s="63"/>
      <c r="BK172" s="49"/>
      <c r="BL172" s="56"/>
      <c r="BM172" s="50"/>
      <c r="BN172" s="57"/>
      <c r="BO172" s="54"/>
      <c r="BP172" s="64"/>
      <c r="BQ172" s="51"/>
      <c r="BR172" s="38">
        <f>IFERROR(BQ172*100/CP172,"N/A")</f>
      </c>
      <c r="BS172" s="61"/>
      <c r="BT172" s="54"/>
      <c r="BU172" s="42"/>
      <c r="BV172" s="78"/>
      <c r="BW172" s="73"/>
      <c r="BX172" s="64"/>
      <c r="BY172" s="52"/>
      <c r="BZ172" s="1"/>
      <c r="CA172" s="62"/>
      <c r="CB172" s="51"/>
      <c r="CC172" s="51"/>
      <c r="CD172" s="58"/>
      <c r="CE172" s="58"/>
      <c r="CF172" s="58"/>
      <c r="CG172" s="58"/>
      <c r="CH172" s="58"/>
      <c r="CI172" s="58"/>
      <c r="CJ172" s="79"/>
      <c r="CK172" s="69"/>
      <c r="CL172" s="79"/>
      <c r="CM172" s="51"/>
      <c r="CN172" s="55"/>
      <c r="CO172" s="42"/>
      <c r="CP172" s="70">
        <f>CN172*BS172*BT172</f>
      </c>
      <c r="CQ172" s="52"/>
      <c r="CR172" s="64">
        <f>100/CP172</f>
      </c>
      <c r="CS172" s="82">
        <f>100/CQ172</f>
      </c>
      <c r="CT172" s="52"/>
      <c r="CU172" s="52"/>
      <c r="CV172" s="82">
        <f>BL172/T172</f>
      </c>
      <c r="CW172" s="82">
        <f>100/CV172</f>
      </c>
      <c r="CX172" s="77"/>
      <c r="CY172" s="85"/>
      <c r="CZ172" s="77"/>
      <c r="DA172" s="77"/>
      <c r="DB172" s="77"/>
      <c r="DC172" s="1"/>
      <c r="DD172" s="1"/>
    </row>
    <row r="173">
      <c r="A173" s="84"/>
      <c r="B173" s="53"/>
      <c r="C173" s="71"/>
      <c r="D173" s="71">
        <f>IF($A173="","","WPN"&amp;VLOOKUP(E173,'引用数据库'!Z:AC,4,FALSE)&amp;VLOOKUP(H173,'引用数据库'!N:P,3,FALSE)&amp;VLOOKUP(I173,'引用数据库'!S:U,3,FALSE)&amp;TEXT(F173,"00"))</f>
      </c>
      <c r="E173" s="53"/>
      <c r="F173" s="57"/>
      <c r="G173" s="84"/>
      <c r="H173" s="53"/>
      <c r="I173" s="53"/>
      <c r="J173" s="84"/>
      <c r="K173" s="84"/>
      <c r="L173" s="42"/>
      <c r="M173" s="65"/>
      <c r="N173" s="54"/>
      <c r="O173" s="54"/>
      <c r="P173" s="54"/>
      <c r="Q173" s="54"/>
      <c r="R173" s="54"/>
      <c r="S173" s="54"/>
      <c r="T173" s="54"/>
      <c r="U173" s="51">
        <f>2*T173/(15*(1+(5-BD173)*0.1))</f>
      </c>
      <c r="V173" s="1"/>
      <c r="W173" s="54"/>
      <c r="X173" s="54"/>
      <c r="Y173" s="76"/>
      <c r="Z173" s="76"/>
      <c r="AA173" s="66"/>
      <c r="AB173" s="66"/>
      <c r="AC173" s="66"/>
      <c r="AD173" s="86"/>
      <c r="AE173" s="86"/>
      <c r="AF173" s="1"/>
      <c r="AG173" s="54"/>
      <c r="AH173" s="54"/>
      <c r="AI173" s="1"/>
      <c r="AJ173" s="80"/>
      <c r="AK173" s="80"/>
      <c r="AL173" s="80"/>
      <c r="AM173" s="55">
        <f>IFS(AJ173 &gt; 1.25, "S", AJ173 &gt; 1, "A", AJ173 &gt; 0.75, "B", AJ173 &gt; 0.5, "C", AJ173 &gt; 0.25, "D", AJ173 &gt; 0, "E", TRUE, "-")</f>
      </c>
      <c r="AN173" s="55">
        <f>IFS(AK173 &gt; 1.25, "S", AK173 &gt; 1, "A", AK173 &gt; 0.75, "B", AK173 &gt; 0.5, "C", AK173 &gt; 0.25, "D", AK173 &gt; 0, "E", TRUE, "-")</f>
      </c>
      <c r="AO173" s="55">
        <f>IFS(AL173 &gt; 1.25, "S", AL173 &gt; 1, "A", AL173 &gt; 0.75, "B", AL173 &gt; 0.5, "C", AL173 &gt; 0.25, "D", AL173 &gt; 0, "E", TRUE, "-")</f>
      </c>
      <c r="AP173" s="58"/>
      <c r="AQ173" s="68"/>
      <c r="AR173" s="68"/>
      <c r="AS173" s="55"/>
      <c r="AT173" s="55"/>
      <c r="AU173" s="55"/>
      <c r="AV173" s="61">
        <f>IF(SUM(AJ173:AL173)=0, 0, (1 + F173 * 0.1) * (0.75 + 0.25 * MAX(0, MIN(1, IF(MAX(AJ173:AL173)=0, 0, (3*MAX(AJ173:AL173)-SUM(AJ173:AL173)) / (2*MAX(AJ173:AL173)))))))</f>
      </c>
      <c r="AW173" s="83">
        <f>MAX(AJ173:AL173)</f>
      </c>
      <c r="AX173" s="81">
        <f>IF(AW173=0, "", AW173 / ((1 + 0.1*N(F173))))</f>
      </c>
      <c r="AY173" s="61">
        <f>IF(SUM(AJ173:AL173)=0, 0,     (1 + F173 * 0.1) * (1 + ((SUM(AJ173:AL173) - MAX(AJ173:AL173)) / (2 * MAX(AJ173:AL173))) * (1/0.75 - 1)))</f>
      </c>
      <c r="AZ173" s="83"/>
      <c r="BA173" s="81">
        <f>IF(AZ173=0, "", AZ173 / ((1 + 0.1*N(F173))/0.75))</f>
      </c>
      <c r="BB173" s="51">
        <v>0.1</v>
      </c>
      <c r="BC173" s="1"/>
      <c r="BD173" s="54"/>
      <c r="BE173" s="54"/>
      <c r="BF173" s="74"/>
      <c r="BG173" s="64"/>
      <c r="BH173" s="69"/>
      <c r="BI173" s="45"/>
      <c r="BJ173" s="63"/>
      <c r="BK173" s="49"/>
      <c r="BL173" s="56"/>
      <c r="BM173" s="50"/>
      <c r="BN173" s="57"/>
      <c r="BO173" s="54"/>
      <c r="BP173" s="64"/>
      <c r="BQ173" s="51"/>
      <c r="BR173" s="38">
        <f>IFERROR(BQ173*100/CP173,"N/A")</f>
      </c>
      <c r="BS173" s="61"/>
      <c r="BT173" s="54"/>
      <c r="BU173" s="42"/>
      <c r="BV173" s="78"/>
      <c r="BW173" s="73"/>
      <c r="BX173" s="64"/>
      <c r="BY173" s="52"/>
      <c r="BZ173" s="1"/>
      <c r="CA173" s="62"/>
      <c r="CB173" s="51"/>
      <c r="CC173" s="51"/>
      <c r="CD173" s="58"/>
      <c r="CE173" s="58"/>
      <c r="CF173" s="58"/>
      <c r="CG173" s="58"/>
      <c r="CH173" s="58"/>
      <c r="CI173" s="58"/>
      <c r="CJ173" s="79"/>
      <c r="CK173" s="69"/>
      <c r="CL173" s="79"/>
      <c r="CM173" s="51"/>
      <c r="CN173" s="55"/>
      <c r="CO173" s="42"/>
      <c r="CP173" s="70">
        <f>CN173*BS173*BT173</f>
      </c>
      <c r="CQ173" s="52"/>
      <c r="CR173" s="64">
        <f>100/CP173</f>
      </c>
      <c r="CS173" s="82">
        <f>100/CQ173</f>
      </c>
      <c r="CT173" s="52"/>
      <c r="CU173" s="52"/>
      <c r="CV173" s="82">
        <f>BL173/T173</f>
      </c>
      <c r="CW173" s="82">
        <f>100/CV173</f>
      </c>
      <c r="CX173" s="77"/>
      <c r="CY173" s="85"/>
      <c r="CZ173" s="77"/>
      <c r="DA173" s="77"/>
      <c r="DB173" s="77"/>
      <c r="DC173" s="1"/>
      <c r="DD173" s="1"/>
    </row>
    <row r="174">
      <c r="A174" s="84"/>
      <c r="B174" s="53"/>
      <c r="C174" s="71"/>
      <c r="D174" s="71">
        <f>IF($A174="","","WPN"&amp;VLOOKUP(E174,'引用数据库'!Z:AC,4,FALSE)&amp;VLOOKUP(H174,'引用数据库'!N:P,3,FALSE)&amp;VLOOKUP(I174,'引用数据库'!S:U,3,FALSE)&amp;TEXT(F174,"00"))</f>
      </c>
      <c r="E174" s="53"/>
      <c r="F174" s="57"/>
      <c r="G174" s="84"/>
      <c r="H174" s="53"/>
      <c r="I174" s="53"/>
      <c r="J174" s="84"/>
      <c r="K174" s="84"/>
      <c r="L174" s="42"/>
      <c r="M174" s="65"/>
      <c r="N174" s="54"/>
      <c r="O174" s="54"/>
      <c r="P174" s="54"/>
      <c r="Q174" s="54"/>
      <c r="R174" s="54"/>
      <c r="S174" s="54"/>
      <c r="T174" s="54"/>
      <c r="U174" s="51">
        <f>2*T174/(15*(1+(5-BD174)*0.1))</f>
      </c>
      <c r="V174" s="1"/>
      <c r="W174" s="54"/>
      <c r="X174" s="54"/>
      <c r="Y174" s="76"/>
      <c r="Z174" s="76"/>
      <c r="AA174" s="66"/>
      <c r="AB174" s="66"/>
      <c r="AC174" s="66"/>
      <c r="AD174" s="86"/>
      <c r="AE174" s="86"/>
      <c r="AF174" s="1"/>
      <c r="AG174" s="54"/>
      <c r="AH174" s="54"/>
      <c r="AI174" s="1"/>
      <c r="AJ174" s="80"/>
      <c r="AK174" s="80"/>
      <c r="AL174" s="80"/>
      <c r="AM174" s="55">
        <f>IFS(AJ174 &gt; 1.25, "S", AJ174 &gt; 1, "A", AJ174 &gt; 0.75, "B", AJ174 &gt; 0.5, "C", AJ174 &gt; 0.25, "D", AJ174 &gt; 0, "E", TRUE, "-")</f>
      </c>
      <c r="AN174" s="55">
        <f>IFS(AK174 &gt; 1.25, "S", AK174 &gt; 1, "A", AK174 &gt; 0.75, "B", AK174 &gt; 0.5, "C", AK174 &gt; 0.25, "D", AK174 &gt; 0, "E", TRUE, "-")</f>
      </c>
      <c r="AO174" s="55">
        <f>IFS(AL174 &gt; 1.25, "S", AL174 &gt; 1, "A", AL174 &gt; 0.75, "B", AL174 &gt; 0.5, "C", AL174 &gt; 0.25, "D", AL174 &gt; 0, "E", TRUE, "-")</f>
      </c>
      <c r="AP174" s="58"/>
      <c r="AQ174" s="68"/>
      <c r="AR174" s="68"/>
      <c r="AS174" s="55"/>
      <c r="AT174" s="55"/>
      <c r="AU174" s="55"/>
      <c r="AV174" s="61">
        <f>IF(SUM(AJ174:AL174)=0, 0, (1 + F174 * 0.1) * (0.75 + 0.25 * MAX(0, MIN(1, IF(MAX(AJ174:AL174)=0, 0, (3*MAX(AJ174:AL174)-SUM(AJ174:AL174)) / (2*MAX(AJ174:AL174)))))))</f>
      </c>
      <c r="AW174" s="83">
        <f>MAX(AJ174:AL174)</f>
      </c>
      <c r="AX174" s="81">
        <f>IF(AW174=0, "", AW174 / ((1 + 0.1*N(F174))))</f>
      </c>
      <c r="AY174" s="61">
        <f>IF(SUM(AJ174:AL174)=0, 0,     (1 + F174 * 0.1) * (1 + ((SUM(AJ174:AL174) - MAX(AJ174:AL174)) / (2 * MAX(AJ174:AL174))) * (1/0.75 - 1)))</f>
      </c>
      <c r="AZ174" s="83"/>
      <c r="BA174" s="81">
        <f>IF(AZ174=0, "", AZ174 / ((1 + 0.1*N(F174))/0.75))</f>
      </c>
      <c r="BB174" s="51">
        <v>0.1</v>
      </c>
      <c r="BC174" s="1"/>
      <c r="BD174" s="54"/>
      <c r="BE174" s="54"/>
      <c r="BF174" s="74"/>
      <c r="BG174" s="64"/>
      <c r="BH174" s="69"/>
      <c r="BI174" s="45"/>
      <c r="BJ174" s="63"/>
      <c r="BK174" s="49"/>
      <c r="BL174" s="56"/>
      <c r="BM174" s="50"/>
      <c r="BN174" s="57"/>
      <c r="BO174" s="54"/>
      <c r="BP174" s="64"/>
      <c r="BQ174" s="51"/>
      <c r="BR174" s="38">
        <f>IFERROR(BQ174*100/CP174,"N/A")</f>
      </c>
      <c r="BS174" s="61"/>
      <c r="BT174" s="54"/>
      <c r="BU174" s="42"/>
      <c r="BV174" s="78"/>
      <c r="BW174" s="73"/>
      <c r="BX174" s="64"/>
      <c r="BY174" s="52"/>
      <c r="BZ174" s="1"/>
      <c r="CA174" s="62"/>
      <c r="CB174" s="51"/>
      <c r="CC174" s="51"/>
      <c r="CD174" s="58"/>
      <c r="CE174" s="58"/>
      <c r="CF174" s="58"/>
      <c r="CG174" s="58"/>
      <c r="CH174" s="58"/>
      <c r="CI174" s="58"/>
      <c r="CJ174" s="79"/>
      <c r="CK174" s="69"/>
      <c r="CL174" s="79"/>
      <c r="CM174" s="51"/>
      <c r="CN174" s="55"/>
      <c r="CO174" s="42"/>
      <c r="CP174" s="70">
        <f>CN174*BS174*BT174</f>
      </c>
      <c r="CQ174" s="52"/>
      <c r="CR174" s="64">
        <f>100/CP174</f>
      </c>
      <c r="CS174" s="82">
        <f>100/CQ174</f>
      </c>
      <c r="CT174" s="52"/>
      <c r="CU174" s="52"/>
      <c r="CV174" s="82">
        <f>BL174/T174</f>
      </c>
      <c r="CW174" s="82">
        <f>100/CV174</f>
      </c>
      <c r="CX174" s="77"/>
      <c r="CY174" s="85"/>
      <c r="CZ174" s="77"/>
      <c r="DA174" s="77"/>
      <c r="DB174" s="77"/>
      <c r="DC174" s="1"/>
      <c r="DD174" s="1"/>
    </row>
    <row r="175">
      <c r="A175" s="84"/>
      <c r="B175" s="53"/>
      <c r="C175" s="71"/>
      <c r="D175" s="71">
        <f>IF($A175="","","WPN"&amp;VLOOKUP(E175,'引用数据库'!Z:AC,4,FALSE)&amp;VLOOKUP(H175,'引用数据库'!N:P,3,FALSE)&amp;VLOOKUP(I175,'引用数据库'!S:U,3,FALSE)&amp;TEXT(F175,"00"))</f>
      </c>
      <c r="E175" s="53"/>
      <c r="F175" s="57"/>
      <c r="G175" s="84"/>
      <c r="H175" s="53"/>
      <c r="I175" s="53"/>
      <c r="J175" s="84"/>
      <c r="K175" s="84"/>
      <c r="L175" s="42"/>
      <c r="M175" s="65"/>
      <c r="N175" s="54"/>
      <c r="O175" s="54"/>
      <c r="P175" s="54"/>
      <c r="Q175" s="54"/>
      <c r="R175" s="54"/>
      <c r="S175" s="54"/>
      <c r="T175" s="54"/>
      <c r="U175" s="51">
        <f>2*T175/(15*(1+(5-BD175)*0.1))</f>
      </c>
      <c r="V175" s="1"/>
      <c r="W175" s="54"/>
      <c r="X175" s="54"/>
      <c r="Y175" s="76"/>
      <c r="Z175" s="76"/>
      <c r="AA175" s="66"/>
      <c r="AB175" s="66"/>
      <c r="AC175" s="66"/>
      <c r="AD175" s="86"/>
      <c r="AE175" s="86"/>
      <c r="AF175" s="1"/>
      <c r="AG175" s="54"/>
      <c r="AH175" s="54"/>
      <c r="AI175" s="1"/>
      <c r="AJ175" s="80"/>
      <c r="AK175" s="80"/>
      <c r="AL175" s="80"/>
      <c r="AM175" s="55">
        <f>IFS(AJ175 &gt; 1.25, "S", AJ175 &gt; 1, "A", AJ175 &gt; 0.75, "B", AJ175 &gt; 0.5, "C", AJ175 &gt; 0.25, "D", AJ175 &gt; 0, "E", TRUE, "-")</f>
      </c>
      <c r="AN175" s="55">
        <f>IFS(AK175 &gt; 1.25, "S", AK175 &gt; 1, "A", AK175 &gt; 0.75, "B", AK175 &gt; 0.5, "C", AK175 &gt; 0.25, "D", AK175 &gt; 0, "E", TRUE, "-")</f>
      </c>
      <c r="AO175" s="55">
        <f>IFS(AL175 &gt; 1.25, "S", AL175 &gt; 1, "A", AL175 &gt; 0.75, "B", AL175 &gt; 0.5, "C", AL175 &gt; 0.25, "D", AL175 &gt; 0, "E", TRUE, "-")</f>
      </c>
      <c r="AP175" s="58"/>
      <c r="AQ175" s="68"/>
      <c r="AR175" s="68"/>
      <c r="AS175" s="55"/>
      <c r="AT175" s="55"/>
      <c r="AU175" s="55"/>
      <c r="AV175" s="61">
        <f>IF(SUM(AJ175:AL175)=0, 0, (1 + F175 * 0.1) * (0.75 + 0.25 * MAX(0, MIN(1, IF(MAX(AJ175:AL175)=0, 0, (3*MAX(AJ175:AL175)-SUM(AJ175:AL175)) / (2*MAX(AJ175:AL175)))))))</f>
      </c>
      <c r="AW175" s="83">
        <f>MAX(AJ175:AL175)</f>
      </c>
      <c r="AX175" s="81">
        <f>IF(AW175=0, "", AW175 / ((1 + 0.1*N(F175))))</f>
      </c>
      <c r="AY175" s="61">
        <f>IF(SUM(AJ175:AL175)=0, 0,     (1 + F175 * 0.1) * (1 + ((SUM(AJ175:AL175) - MAX(AJ175:AL175)) / (2 * MAX(AJ175:AL175))) * (1/0.75 - 1)))</f>
      </c>
      <c r="AZ175" s="83"/>
      <c r="BA175" s="81">
        <f>IF(AZ175=0, "", AZ175 / ((1 + 0.1*N(F175))/0.75))</f>
      </c>
      <c r="BB175" s="51">
        <v>0.1</v>
      </c>
      <c r="BC175" s="1"/>
      <c r="BD175" s="54"/>
      <c r="BE175" s="54"/>
      <c r="BF175" s="74"/>
      <c r="BG175" s="64"/>
      <c r="BH175" s="69"/>
      <c r="BI175" s="45"/>
      <c r="BJ175" s="63"/>
      <c r="BK175" s="49"/>
      <c r="BL175" s="56"/>
      <c r="BM175" s="50"/>
      <c r="BN175" s="57"/>
      <c r="BO175" s="54"/>
      <c r="BP175" s="64"/>
      <c r="BQ175" s="51"/>
      <c r="BR175" s="38">
        <f>IFERROR(BQ175*100/CP175,"N/A")</f>
      </c>
      <c r="BS175" s="61"/>
      <c r="BT175" s="54"/>
      <c r="BU175" s="42"/>
      <c r="BV175" s="78"/>
      <c r="BW175" s="73"/>
      <c r="BX175" s="64"/>
      <c r="BY175" s="52"/>
      <c r="BZ175" s="1"/>
      <c r="CA175" s="62"/>
      <c r="CB175" s="51"/>
      <c r="CC175" s="51"/>
      <c r="CD175" s="58"/>
      <c r="CE175" s="58"/>
      <c r="CF175" s="58"/>
      <c r="CG175" s="58"/>
      <c r="CH175" s="58"/>
      <c r="CI175" s="58"/>
      <c r="CJ175" s="79"/>
      <c r="CK175" s="69"/>
      <c r="CL175" s="79"/>
      <c r="CM175" s="51"/>
      <c r="CN175" s="55"/>
      <c r="CO175" s="42"/>
      <c r="CP175" s="70">
        <f>CN175*BS175*BT175</f>
      </c>
      <c r="CQ175" s="52"/>
      <c r="CR175" s="64">
        <f>100/CP175</f>
      </c>
      <c r="CS175" s="82">
        <f>100/CQ175</f>
      </c>
      <c r="CT175" s="52"/>
      <c r="CU175" s="52"/>
      <c r="CV175" s="82">
        <f>BL175/T175</f>
      </c>
      <c r="CW175" s="82">
        <f>100/CV175</f>
      </c>
      <c r="CX175" s="77"/>
      <c r="CY175" s="85"/>
      <c r="CZ175" s="77"/>
      <c r="DA175" s="77"/>
      <c r="DB175" s="77"/>
      <c r="DC175" s="1"/>
      <c r="DD175" s="1"/>
    </row>
    <row r="176">
      <c r="A176" s="84"/>
      <c r="B176" s="53"/>
      <c r="C176" s="71"/>
      <c r="D176" s="71">
        <f>IF($A176="","","WPN"&amp;VLOOKUP(E176,'引用数据库'!Z:AC,4,FALSE)&amp;VLOOKUP(H176,'引用数据库'!N:P,3,FALSE)&amp;VLOOKUP(I176,'引用数据库'!S:U,3,FALSE)&amp;TEXT(F176,"00"))</f>
      </c>
      <c r="E176" s="53"/>
      <c r="F176" s="57"/>
      <c r="G176" s="84"/>
      <c r="H176" s="53"/>
      <c r="I176" s="53"/>
      <c r="J176" s="84"/>
      <c r="K176" s="84"/>
      <c r="L176" s="42"/>
      <c r="M176" s="65"/>
      <c r="N176" s="54"/>
      <c r="O176" s="54"/>
      <c r="P176" s="54"/>
      <c r="Q176" s="54"/>
      <c r="R176" s="54"/>
      <c r="S176" s="54"/>
      <c r="T176" s="54"/>
      <c r="U176" s="51">
        <f>2*T176/(15*(1+(5-BD176)*0.1))</f>
      </c>
      <c r="V176" s="1"/>
      <c r="W176" s="54"/>
      <c r="X176" s="54"/>
      <c r="Y176" s="76"/>
      <c r="Z176" s="76"/>
      <c r="AA176" s="66"/>
      <c r="AB176" s="66"/>
      <c r="AC176" s="66"/>
      <c r="AD176" s="86"/>
      <c r="AE176" s="86"/>
      <c r="AF176" s="1"/>
      <c r="AG176" s="54"/>
      <c r="AH176" s="54"/>
      <c r="AI176" s="1"/>
      <c r="AJ176" s="80"/>
      <c r="AK176" s="80"/>
      <c r="AL176" s="80"/>
      <c r="AM176" s="55">
        <f>IFS(AJ176 &gt; 1.25, "S", AJ176 &gt; 1, "A", AJ176 &gt; 0.75, "B", AJ176 &gt; 0.5, "C", AJ176 &gt; 0.25, "D", AJ176 &gt; 0, "E", TRUE, "-")</f>
      </c>
      <c r="AN176" s="55">
        <f>IFS(AK176 &gt; 1.25, "S", AK176 &gt; 1, "A", AK176 &gt; 0.75, "B", AK176 &gt; 0.5, "C", AK176 &gt; 0.25, "D", AK176 &gt; 0, "E", TRUE, "-")</f>
      </c>
      <c r="AO176" s="55">
        <f>IFS(AL176 &gt; 1.25, "S", AL176 &gt; 1, "A", AL176 &gt; 0.75, "B", AL176 &gt; 0.5, "C", AL176 &gt; 0.25, "D", AL176 &gt; 0, "E", TRUE, "-")</f>
      </c>
      <c r="AP176" s="58"/>
      <c r="AQ176" s="68"/>
      <c r="AR176" s="68"/>
      <c r="AS176" s="55"/>
      <c r="AT176" s="55"/>
      <c r="AU176" s="55"/>
      <c r="AV176" s="61">
        <f>IF(SUM(AJ176:AL176)=0, 0, (1 + F176 * 0.1) * (0.75 + 0.25 * MAX(0, MIN(1, IF(MAX(AJ176:AL176)=0, 0, (3*MAX(AJ176:AL176)-SUM(AJ176:AL176)) / (2*MAX(AJ176:AL176)))))))</f>
      </c>
      <c r="AW176" s="83">
        <f>MAX(AJ176:AL176)</f>
      </c>
      <c r="AX176" s="81">
        <f>IF(AW176=0, "", AW176 / ((1 + 0.1*N(F176))))</f>
      </c>
      <c r="AY176" s="61">
        <f>IF(SUM(AJ176:AL176)=0, 0,     (1 + F176 * 0.1) * (1 + ((SUM(AJ176:AL176) - MAX(AJ176:AL176)) / (2 * MAX(AJ176:AL176))) * (1/0.75 - 1)))</f>
      </c>
      <c r="AZ176" s="83"/>
      <c r="BA176" s="81">
        <f>IF(AZ176=0, "", AZ176 / ((1 + 0.1*N(F176))/0.75))</f>
      </c>
      <c r="BB176" s="51">
        <v>0.1</v>
      </c>
      <c r="BC176" s="1"/>
      <c r="BD176" s="54"/>
      <c r="BE176" s="54"/>
      <c r="BF176" s="74"/>
      <c r="BG176" s="64"/>
      <c r="BH176" s="69"/>
      <c r="BI176" s="45"/>
      <c r="BJ176" s="63"/>
      <c r="BK176" s="49"/>
      <c r="BL176" s="56"/>
      <c r="BM176" s="50"/>
      <c r="BN176" s="57"/>
      <c r="BO176" s="54"/>
      <c r="BP176" s="64"/>
      <c r="BQ176" s="51"/>
      <c r="BR176" s="38">
        <f>IFERROR(BQ176*100/CP176,"N/A")</f>
      </c>
      <c r="BS176" s="61"/>
      <c r="BT176" s="54"/>
      <c r="BU176" s="42"/>
      <c r="BV176" s="78"/>
      <c r="BW176" s="73"/>
      <c r="BX176" s="64"/>
      <c r="BY176" s="52"/>
      <c r="BZ176" s="1"/>
      <c r="CA176" s="62"/>
      <c r="CB176" s="51"/>
      <c r="CC176" s="51"/>
      <c r="CD176" s="58"/>
      <c r="CE176" s="58"/>
      <c r="CF176" s="58"/>
      <c r="CG176" s="58"/>
      <c r="CH176" s="58"/>
      <c r="CI176" s="58"/>
      <c r="CJ176" s="79"/>
      <c r="CK176" s="69"/>
      <c r="CL176" s="79"/>
      <c r="CM176" s="51"/>
      <c r="CN176" s="55"/>
      <c r="CO176" s="42"/>
      <c r="CP176" s="70">
        <f>CN176*BS176*BT176</f>
      </c>
      <c r="CQ176" s="52"/>
      <c r="CR176" s="64">
        <f>100/CP176</f>
      </c>
      <c r="CS176" s="82">
        <f>100/CQ176</f>
      </c>
      <c r="CT176" s="52"/>
      <c r="CU176" s="52"/>
      <c r="CV176" s="82">
        <f>BL176/T176</f>
      </c>
      <c r="CW176" s="82">
        <f>100/CV176</f>
      </c>
      <c r="CX176" s="77"/>
      <c r="CY176" s="85"/>
      <c r="CZ176" s="77"/>
      <c r="DA176" s="77"/>
      <c r="DB176" s="77"/>
      <c r="DC176" s="1"/>
      <c r="DD176" s="1"/>
    </row>
    <row r="177">
      <c r="A177" s="84"/>
      <c r="B177" s="53"/>
      <c r="C177" s="71"/>
      <c r="D177" s="71">
        <f>IF($A177="","","WPN"&amp;VLOOKUP(E177,'引用数据库'!Z:AC,4,FALSE)&amp;VLOOKUP(H177,'引用数据库'!N:P,3,FALSE)&amp;VLOOKUP(I177,'引用数据库'!S:U,3,FALSE)&amp;TEXT(F177,"00"))</f>
      </c>
      <c r="E177" s="53"/>
      <c r="F177" s="57"/>
      <c r="G177" s="84"/>
      <c r="H177" s="53"/>
      <c r="I177" s="53"/>
      <c r="J177" s="84"/>
      <c r="K177" s="84"/>
      <c r="L177" s="42"/>
      <c r="M177" s="65"/>
      <c r="N177" s="54"/>
      <c r="O177" s="54"/>
      <c r="P177" s="54"/>
      <c r="Q177" s="54"/>
      <c r="R177" s="54"/>
      <c r="S177" s="54"/>
      <c r="T177" s="54"/>
      <c r="U177" s="51">
        <f>2*T177/(15*(1+(5-BD177)*0.1))</f>
      </c>
      <c r="V177" s="1"/>
      <c r="W177" s="54"/>
      <c r="X177" s="54"/>
      <c r="Y177" s="76"/>
      <c r="Z177" s="76"/>
      <c r="AA177" s="66"/>
      <c r="AB177" s="66"/>
      <c r="AC177" s="66"/>
      <c r="AD177" s="86"/>
      <c r="AE177" s="86"/>
      <c r="AF177" s="1"/>
      <c r="AG177" s="54"/>
      <c r="AH177" s="54"/>
      <c r="AI177" s="1"/>
      <c r="AJ177" s="80"/>
      <c r="AK177" s="80"/>
      <c r="AL177" s="80"/>
      <c r="AM177" s="55">
        <f>IFS(AJ177 &gt; 1.25, "S", AJ177 &gt; 1, "A", AJ177 &gt; 0.75, "B", AJ177 &gt; 0.5, "C", AJ177 &gt; 0.25, "D", AJ177 &gt; 0, "E", TRUE, "-")</f>
      </c>
      <c r="AN177" s="55">
        <f>IFS(AK177 &gt; 1.25, "S", AK177 &gt; 1, "A", AK177 &gt; 0.75, "B", AK177 &gt; 0.5, "C", AK177 &gt; 0.25, "D", AK177 &gt; 0, "E", TRUE, "-")</f>
      </c>
      <c r="AO177" s="55">
        <f>IFS(AL177 &gt; 1.25, "S", AL177 &gt; 1, "A", AL177 &gt; 0.75, "B", AL177 &gt; 0.5, "C", AL177 &gt; 0.25, "D", AL177 &gt; 0, "E", TRUE, "-")</f>
      </c>
      <c r="AP177" s="58"/>
      <c r="AQ177" s="68"/>
      <c r="AR177" s="68"/>
      <c r="AS177" s="55"/>
      <c r="AT177" s="55"/>
      <c r="AU177" s="55"/>
      <c r="AV177" s="61">
        <f>IF(SUM(AJ177:AL177)=0, 0, (1 + F177 * 0.1) * (0.75 + 0.25 * MAX(0, MIN(1, IF(MAX(AJ177:AL177)=0, 0, (3*MAX(AJ177:AL177)-SUM(AJ177:AL177)) / (2*MAX(AJ177:AL177)))))))</f>
      </c>
      <c r="AW177" s="83">
        <f>MAX(AJ177:AL177)</f>
      </c>
      <c r="AX177" s="81">
        <f>IF(AW177=0, "", AW177 / ((1 + 0.1*N(F177))))</f>
      </c>
      <c r="AY177" s="61">
        <f>IF(SUM(AJ177:AL177)=0, 0,     (1 + F177 * 0.1) * (1 + ((SUM(AJ177:AL177) - MAX(AJ177:AL177)) / (2 * MAX(AJ177:AL177))) * (1/0.75 - 1)))</f>
      </c>
      <c r="AZ177" s="83"/>
      <c r="BA177" s="81">
        <f>IF(AZ177=0, "", AZ177 / ((1 + 0.1*N(F177))/0.75))</f>
      </c>
      <c r="BB177" s="51">
        <v>0.1</v>
      </c>
      <c r="BC177" s="1"/>
      <c r="BD177" s="54"/>
      <c r="BE177" s="54"/>
      <c r="BF177" s="74"/>
      <c r="BG177" s="64"/>
      <c r="BH177" s="69"/>
      <c r="BI177" s="45"/>
      <c r="BJ177" s="63"/>
      <c r="BK177" s="49"/>
      <c r="BL177" s="56"/>
      <c r="BM177" s="50"/>
      <c r="BN177" s="57"/>
      <c r="BO177" s="54"/>
      <c r="BP177" s="64"/>
      <c r="BQ177" s="51"/>
      <c r="BR177" s="38">
        <f>IFERROR(BQ177*100/CP177,"N/A")</f>
      </c>
      <c r="BS177" s="61"/>
      <c r="BT177" s="54"/>
      <c r="BU177" s="42"/>
      <c r="BV177" s="78"/>
      <c r="BW177" s="73"/>
      <c r="BX177" s="64"/>
      <c r="BY177" s="52"/>
      <c r="BZ177" s="1"/>
      <c r="CA177" s="62"/>
      <c r="CB177" s="51"/>
      <c r="CC177" s="51"/>
      <c r="CD177" s="58"/>
      <c r="CE177" s="58"/>
      <c r="CF177" s="58"/>
      <c r="CG177" s="58"/>
      <c r="CH177" s="58"/>
      <c r="CI177" s="58"/>
      <c r="CJ177" s="79"/>
      <c r="CK177" s="69"/>
      <c r="CL177" s="79"/>
      <c r="CM177" s="51"/>
      <c r="CN177" s="55"/>
      <c r="CO177" s="42"/>
      <c r="CP177" s="70">
        <f>CN177*BS177*BT177</f>
      </c>
      <c r="CQ177" s="52"/>
      <c r="CR177" s="64">
        <f>100/CP177</f>
      </c>
      <c r="CS177" s="82">
        <f>100/CQ177</f>
      </c>
      <c r="CT177" s="52"/>
      <c r="CU177" s="52"/>
      <c r="CV177" s="82">
        <f>BL177/T177</f>
      </c>
      <c r="CW177" s="82">
        <f>100/CV177</f>
      </c>
      <c r="CX177" s="77"/>
      <c r="CY177" s="85"/>
      <c r="CZ177" s="77"/>
      <c r="DA177" s="77"/>
      <c r="DB177" s="77"/>
      <c r="DC177" s="1"/>
      <c r="DD177" s="1"/>
    </row>
    <row r="178">
      <c r="A178" s="84"/>
      <c r="B178" s="53"/>
      <c r="C178" s="71"/>
      <c r="D178" s="71">
        <f>IF($A178="","","WPN"&amp;VLOOKUP(E178,'引用数据库'!Z:AC,4,FALSE)&amp;VLOOKUP(H178,'引用数据库'!N:P,3,FALSE)&amp;VLOOKUP(I178,'引用数据库'!S:U,3,FALSE)&amp;TEXT(F178,"00"))</f>
      </c>
      <c r="E178" s="53"/>
      <c r="F178" s="57"/>
      <c r="G178" s="84"/>
      <c r="H178" s="53"/>
      <c r="I178" s="53"/>
      <c r="J178" s="84"/>
      <c r="K178" s="84"/>
      <c r="L178" s="42"/>
      <c r="M178" s="65"/>
      <c r="N178" s="54"/>
      <c r="O178" s="54"/>
      <c r="P178" s="54"/>
      <c r="Q178" s="54"/>
      <c r="R178" s="54"/>
      <c r="S178" s="54"/>
      <c r="T178" s="54"/>
      <c r="U178" s="51">
        <f>2*T178/(15*(1+(5-BD178)*0.1))</f>
      </c>
      <c r="V178" s="1"/>
      <c r="W178" s="54"/>
      <c r="X178" s="54"/>
      <c r="Y178" s="76"/>
      <c r="Z178" s="76"/>
      <c r="AA178" s="66"/>
      <c r="AB178" s="66"/>
      <c r="AC178" s="66"/>
      <c r="AD178" s="86"/>
      <c r="AE178" s="86"/>
      <c r="AF178" s="1"/>
      <c r="AG178" s="54"/>
      <c r="AH178" s="54"/>
      <c r="AI178" s="1"/>
      <c r="AJ178" s="80"/>
      <c r="AK178" s="80"/>
      <c r="AL178" s="80"/>
      <c r="AM178" s="55">
        <f>IFS(AJ178 &gt; 1.25, "S", AJ178 &gt; 1, "A", AJ178 &gt; 0.75, "B", AJ178 &gt; 0.5, "C", AJ178 &gt; 0.25, "D", AJ178 &gt; 0, "E", TRUE, "-")</f>
      </c>
      <c r="AN178" s="55">
        <f>IFS(AK178 &gt; 1.25, "S", AK178 &gt; 1, "A", AK178 &gt; 0.75, "B", AK178 &gt; 0.5, "C", AK178 &gt; 0.25, "D", AK178 &gt; 0, "E", TRUE, "-")</f>
      </c>
      <c r="AO178" s="55">
        <f>IFS(AL178 &gt; 1.25, "S", AL178 &gt; 1, "A", AL178 &gt; 0.75, "B", AL178 &gt; 0.5, "C", AL178 &gt; 0.25, "D", AL178 &gt; 0, "E", TRUE, "-")</f>
      </c>
      <c r="AP178" s="58"/>
      <c r="AQ178" s="68"/>
      <c r="AR178" s="68"/>
      <c r="AS178" s="55"/>
      <c r="AT178" s="55"/>
      <c r="AU178" s="55"/>
      <c r="AV178" s="61">
        <f>IF(SUM(AJ178:AL178)=0, 0, (1 + F178 * 0.1) * (0.75 + 0.25 * MAX(0, MIN(1, IF(MAX(AJ178:AL178)=0, 0, (3*MAX(AJ178:AL178)-SUM(AJ178:AL178)) / (2*MAX(AJ178:AL178)))))))</f>
      </c>
      <c r="AW178" s="83">
        <f>MAX(AJ178:AL178)</f>
      </c>
      <c r="AX178" s="81">
        <f>IF(AW178=0, "", AW178 / ((1 + 0.1*N(F178))))</f>
      </c>
      <c r="AY178" s="61">
        <f>IF(SUM(AJ178:AL178)=0, 0,     (1 + F178 * 0.1) * (1 + ((SUM(AJ178:AL178) - MAX(AJ178:AL178)) / (2 * MAX(AJ178:AL178))) * (1/0.75 - 1)))</f>
      </c>
      <c r="AZ178" s="83"/>
      <c r="BA178" s="81">
        <f>IF(AZ178=0, "", AZ178 / ((1 + 0.1*N(F178))/0.75))</f>
      </c>
      <c r="BB178" s="51">
        <v>0.1</v>
      </c>
      <c r="BC178" s="1"/>
      <c r="BD178" s="54"/>
      <c r="BE178" s="54"/>
      <c r="BF178" s="74"/>
      <c r="BG178" s="64"/>
      <c r="BH178" s="69"/>
      <c r="BI178" s="45"/>
      <c r="BJ178" s="63"/>
      <c r="BK178" s="49"/>
      <c r="BL178" s="56"/>
      <c r="BM178" s="50"/>
      <c r="BN178" s="57"/>
      <c r="BO178" s="54"/>
      <c r="BP178" s="64"/>
      <c r="BQ178" s="51"/>
      <c r="BR178" s="38">
        <f>IFERROR(BQ178*100/CP178,"N/A")</f>
      </c>
      <c r="BS178" s="61"/>
      <c r="BT178" s="54"/>
      <c r="BU178" s="42"/>
      <c r="BV178" s="78"/>
      <c r="BW178" s="73"/>
      <c r="BX178" s="64"/>
      <c r="BY178" s="52"/>
      <c r="BZ178" s="1"/>
      <c r="CA178" s="62"/>
      <c r="CB178" s="51"/>
      <c r="CC178" s="51"/>
      <c r="CD178" s="58"/>
      <c r="CE178" s="58"/>
      <c r="CF178" s="58"/>
      <c r="CG178" s="58"/>
      <c r="CH178" s="58"/>
      <c r="CI178" s="58"/>
      <c r="CJ178" s="79"/>
      <c r="CK178" s="69"/>
      <c r="CL178" s="79"/>
      <c r="CM178" s="51"/>
      <c r="CN178" s="55"/>
      <c r="CO178" s="42"/>
      <c r="CP178" s="70">
        <f>CN178*BS178*BT178</f>
      </c>
      <c r="CQ178" s="52"/>
      <c r="CR178" s="64">
        <f>100/CP178</f>
      </c>
      <c r="CS178" s="82">
        <f>100/CQ178</f>
      </c>
      <c r="CT178" s="52"/>
      <c r="CU178" s="52"/>
      <c r="CV178" s="82">
        <f>BL178/T178</f>
      </c>
      <c r="CW178" s="82">
        <f>100/CV178</f>
      </c>
      <c r="CX178" s="77"/>
      <c r="CY178" s="85"/>
      <c r="CZ178" s="77"/>
      <c r="DA178" s="77"/>
      <c r="DB178" s="77"/>
      <c r="DC178" s="1"/>
      <c r="DD178" s="1"/>
    </row>
    <row r="179">
      <c r="A179" s="84"/>
      <c r="B179" s="53"/>
      <c r="C179" s="71"/>
      <c r="D179" s="71">
        <f>IF($A179="","","WPN"&amp;VLOOKUP(E179,'引用数据库'!Z:AC,4,FALSE)&amp;VLOOKUP(H179,'引用数据库'!N:P,3,FALSE)&amp;VLOOKUP(I179,'引用数据库'!S:U,3,FALSE)&amp;TEXT(F179,"00"))</f>
      </c>
      <c r="E179" s="53"/>
      <c r="F179" s="57"/>
      <c r="G179" s="84"/>
      <c r="H179" s="53"/>
      <c r="I179" s="53"/>
      <c r="J179" s="84"/>
      <c r="K179" s="84"/>
      <c r="L179" s="42"/>
      <c r="M179" s="65"/>
      <c r="N179" s="54"/>
      <c r="O179" s="54"/>
      <c r="P179" s="54"/>
      <c r="Q179" s="54"/>
      <c r="R179" s="54"/>
      <c r="S179" s="54"/>
      <c r="T179" s="54"/>
      <c r="U179" s="51">
        <f>2*T179/(15*(1+(5-BD179)*0.1))</f>
      </c>
      <c r="V179" s="1"/>
      <c r="W179" s="54"/>
      <c r="X179" s="54"/>
      <c r="Y179" s="76"/>
      <c r="Z179" s="76"/>
      <c r="AA179" s="66"/>
      <c r="AB179" s="66"/>
      <c r="AC179" s="66"/>
      <c r="AD179" s="86"/>
      <c r="AE179" s="86"/>
      <c r="AF179" s="1"/>
      <c r="AG179" s="54"/>
      <c r="AH179" s="54"/>
      <c r="AI179" s="1"/>
      <c r="AJ179" s="80"/>
      <c r="AK179" s="80"/>
      <c r="AL179" s="80"/>
      <c r="AM179" s="55">
        <f>IFS(AJ179 &gt; 1.25, "S", AJ179 &gt; 1, "A", AJ179 &gt; 0.75, "B", AJ179 &gt; 0.5, "C", AJ179 &gt; 0.25, "D", AJ179 &gt; 0, "E", TRUE, "-")</f>
      </c>
      <c r="AN179" s="55">
        <f>IFS(AK179 &gt; 1.25, "S", AK179 &gt; 1, "A", AK179 &gt; 0.75, "B", AK179 &gt; 0.5, "C", AK179 &gt; 0.25, "D", AK179 &gt; 0, "E", TRUE, "-")</f>
      </c>
      <c r="AO179" s="55">
        <f>IFS(AL179 &gt; 1.25, "S", AL179 &gt; 1, "A", AL179 &gt; 0.75, "B", AL179 &gt; 0.5, "C", AL179 &gt; 0.25, "D", AL179 &gt; 0, "E", TRUE, "-")</f>
      </c>
      <c r="AP179" s="58"/>
      <c r="AQ179" s="68"/>
      <c r="AR179" s="68"/>
      <c r="AS179" s="55"/>
      <c r="AT179" s="55"/>
      <c r="AU179" s="55"/>
      <c r="AV179" s="61">
        <f>IF(SUM(AJ179:AL179)=0, 0, (1 + F179 * 0.1) * (0.75 + 0.25 * MAX(0, MIN(1, IF(MAX(AJ179:AL179)=0, 0, (3*MAX(AJ179:AL179)-SUM(AJ179:AL179)) / (2*MAX(AJ179:AL179)))))))</f>
      </c>
      <c r="AW179" s="83">
        <f>MAX(AJ179:AL179)</f>
      </c>
      <c r="AX179" s="81">
        <f>IF(AW179=0, "", AW179 / ((1 + 0.1*N(F179))))</f>
      </c>
      <c r="AY179" s="61">
        <f>IF(SUM(AJ179:AL179)=0, 0,     (1 + F179 * 0.1) * (1 + ((SUM(AJ179:AL179) - MAX(AJ179:AL179)) / (2 * MAX(AJ179:AL179))) * (1/0.75 - 1)))</f>
      </c>
      <c r="AZ179" s="83"/>
      <c r="BA179" s="81">
        <f>IF(AZ179=0, "", AZ179 / ((1 + 0.1*N(F179))/0.75))</f>
      </c>
      <c r="BB179" s="51">
        <v>0.1</v>
      </c>
      <c r="BC179" s="1"/>
      <c r="BD179" s="54"/>
      <c r="BE179" s="54"/>
      <c r="BF179" s="74"/>
      <c r="BG179" s="64"/>
      <c r="BH179" s="69"/>
      <c r="BI179" s="45"/>
      <c r="BJ179" s="63"/>
      <c r="BK179" s="49"/>
      <c r="BL179" s="56"/>
      <c r="BM179" s="50"/>
      <c r="BN179" s="57"/>
      <c r="BO179" s="54"/>
      <c r="BP179" s="64"/>
      <c r="BQ179" s="51"/>
      <c r="BR179" s="38">
        <f>IFERROR(BQ179*100/CP179,"N/A")</f>
      </c>
      <c r="BS179" s="61"/>
      <c r="BT179" s="54"/>
      <c r="BU179" s="42"/>
      <c r="BV179" s="78"/>
      <c r="BW179" s="73"/>
      <c r="BX179" s="64"/>
      <c r="BY179" s="52"/>
      <c r="BZ179" s="1"/>
      <c r="CA179" s="62"/>
      <c r="CB179" s="51"/>
      <c r="CC179" s="51"/>
      <c r="CD179" s="58"/>
      <c r="CE179" s="58"/>
      <c r="CF179" s="58"/>
      <c r="CG179" s="58"/>
      <c r="CH179" s="58"/>
      <c r="CI179" s="58"/>
      <c r="CJ179" s="79"/>
      <c r="CK179" s="69"/>
      <c r="CL179" s="79"/>
      <c r="CM179" s="51"/>
      <c r="CN179" s="55"/>
      <c r="CO179" s="42"/>
      <c r="CP179" s="70">
        <f>CN179*BS179*BT179</f>
      </c>
      <c r="CQ179" s="52"/>
      <c r="CR179" s="64">
        <f>100/CP179</f>
      </c>
      <c r="CS179" s="82">
        <f>100/CQ179</f>
      </c>
      <c r="CT179" s="52"/>
      <c r="CU179" s="52"/>
      <c r="CV179" s="82">
        <f>BL179/T179</f>
      </c>
      <c r="CW179" s="82">
        <f>100/CV179</f>
      </c>
      <c r="CX179" s="77"/>
      <c r="CY179" s="85"/>
      <c r="CZ179" s="77"/>
      <c r="DA179" s="77"/>
      <c r="DB179" s="77"/>
      <c r="DC179" s="1"/>
      <c r="DD179" s="1"/>
    </row>
    <row r="180">
      <c r="A180" s="84"/>
      <c r="B180" s="53"/>
      <c r="C180" s="71"/>
      <c r="D180" s="71">
        <f>IF($A180="","","WPN"&amp;VLOOKUP(E180,'引用数据库'!Z:AC,4,FALSE)&amp;VLOOKUP(H180,'引用数据库'!N:P,3,FALSE)&amp;VLOOKUP(I180,'引用数据库'!S:U,3,FALSE)&amp;TEXT(F180,"00"))</f>
      </c>
      <c r="E180" s="53"/>
      <c r="F180" s="57"/>
      <c r="G180" s="84"/>
      <c r="H180" s="53"/>
      <c r="I180" s="53"/>
      <c r="J180" s="84"/>
      <c r="K180" s="84"/>
      <c r="L180" s="42"/>
      <c r="M180" s="65"/>
      <c r="N180" s="54"/>
      <c r="O180" s="54"/>
      <c r="P180" s="54"/>
      <c r="Q180" s="54"/>
      <c r="R180" s="54"/>
      <c r="S180" s="54"/>
      <c r="T180" s="54"/>
      <c r="U180" s="51">
        <f>2*T180/(15*(1+(5-BD180)*0.1))</f>
      </c>
      <c r="V180" s="1"/>
      <c r="W180" s="54"/>
      <c r="X180" s="54"/>
      <c r="Y180" s="76"/>
      <c r="Z180" s="76"/>
      <c r="AA180" s="66"/>
      <c r="AB180" s="66"/>
      <c r="AC180" s="66"/>
      <c r="AD180" s="86"/>
      <c r="AE180" s="86"/>
      <c r="AF180" s="1"/>
      <c r="AG180" s="54"/>
      <c r="AH180" s="54"/>
      <c r="AI180" s="1"/>
      <c r="AJ180" s="80"/>
      <c r="AK180" s="80"/>
      <c r="AL180" s="80"/>
      <c r="AM180" s="55">
        <f>IFS(AJ180 &gt; 1.25, "S", AJ180 &gt; 1, "A", AJ180 &gt; 0.75, "B", AJ180 &gt; 0.5, "C", AJ180 &gt; 0.25, "D", AJ180 &gt; 0, "E", TRUE, "-")</f>
      </c>
      <c r="AN180" s="55">
        <f>IFS(AK180 &gt; 1.25, "S", AK180 &gt; 1, "A", AK180 &gt; 0.75, "B", AK180 &gt; 0.5, "C", AK180 &gt; 0.25, "D", AK180 &gt; 0, "E", TRUE, "-")</f>
      </c>
      <c r="AO180" s="55">
        <f>IFS(AL180 &gt; 1.25, "S", AL180 &gt; 1, "A", AL180 &gt; 0.75, "B", AL180 &gt; 0.5, "C", AL180 &gt; 0.25, "D", AL180 &gt; 0, "E", TRUE, "-")</f>
      </c>
      <c r="AP180" s="58"/>
      <c r="AQ180" s="68"/>
      <c r="AR180" s="68"/>
      <c r="AS180" s="55"/>
      <c r="AT180" s="55"/>
      <c r="AU180" s="55"/>
      <c r="AV180" s="61">
        <f>IF(SUM(AJ180:AL180)=0, 0, (1 + F180 * 0.1) * (0.75 + 0.25 * MAX(0, MIN(1, IF(MAX(AJ180:AL180)=0, 0, (3*MAX(AJ180:AL180)-SUM(AJ180:AL180)) / (2*MAX(AJ180:AL180)))))))</f>
      </c>
      <c r="AW180" s="83">
        <f>MAX(AJ180:AL180)</f>
      </c>
      <c r="AX180" s="81">
        <f>IF(AW180=0, "", AW180 / ((1 + 0.1*N(F180))))</f>
      </c>
      <c r="AY180" s="61">
        <f>IF(SUM(AJ180:AL180)=0, 0,     (1 + F180 * 0.1) * (1 + ((SUM(AJ180:AL180) - MAX(AJ180:AL180)) / (2 * MAX(AJ180:AL180))) * (1/0.75 - 1)))</f>
      </c>
      <c r="AZ180" s="83"/>
      <c r="BA180" s="81">
        <f>IF(AZ180=0, "", AZ180 / ((1 + 0.1*N(F180))/0.75))</f>
      </c>
      <c r="BB180" s="51">
        <v>0.1</v>
      </c>
      <c r="BC180" s="1"/>
      <c r="BD180" s="54"/>
      <c r="BE180" s="54"/>
      <c r="BF180" s="74"/>
      <c r="BG180" s="64"/>
      <c r="BH180" s="69"/>
      <c r="BI180" s="45"/>
      <c r="BJ180" s="63"/>
      <c r="BK180" s="49"/>
      <c r="BL180" s="56"/>
      <c r="BM180" s="50"/>
      <c r="BN180" s="57"/>
      <c r="BO180" s="54"/>
      <c r="BP180" s="64"/>
      <c r="BQ180" s="51"/>
      <c r="BR180" s="38">
        <f>IFERROR(BQ180*100/CP180,"N/A")</f>
      </c>
      <c r="BS180" s="61"/>
      <c r="BT180" s="54"/>
      <c r="BU180" s="42"/>
      <c r="BV180" s="78"/>
      <c r="BW180" s="73"/>
      <c r="BX180" s="64"/>
      <c r="BY180" s="52"/>
      <c r="BZ180" s="1"/>
      <c r="CA180" s="62"/>
      <c r="CB180" s="51"/>
      <c r="CC180" s="51"/>
      <c r="CD180" s="58"/>
      <c r="CE180" s="58"/>
      <c r="CF180" s="58"/>
      <c r="CG180" s="58"/>
      <c r="CH180" s="58"/>
      <c r="CI180" s="58"/>
      <c r="CJ180" s="79"/>
      <c r="CK180" s="69"/>
      <c r="CL180" s="79"/>
      <c r="CM180" s="51"/>
      <c r="CN180" s="55"/>
      <c r="CO180" s="42"/>
      <c r="CP180" s="70">
        <f>CN180*BS180*BT180</f>
      </c>
      <c r="CQ180" s="52"/>
      <c r="CR180" s="64">
        <f>100/CP180</f>
      </c>
      <c r="CS180" s="82">
        <f>100/CQ180</f>
      </c>
      <c r="CT180" s="52"/>
      <c r="CU180" s="52"/>
      <c r="CV180" s="82">
        <f>BL180/T180</f>
      </c>
      <c r="CW180" s="82">
        <f>100/CV180</f>
      </c>
      <c r="CX180" s="77"/>
      <c r="CY180" s="85"/>
      <c r="CZ180" s="77"/>
      <c r="DA180" s="77"/>
      <c r="DB180" s="77"/>
      <c r="DC180" s="1"/>
      <c r="DD180" s="1"/>
    </row>
    <row r="181">
      <c r="A181" s="84"/>
      <c r="B181" s="53"/>
      <c r="C181" s="71"/>
      <c r="D181" s="71">
        <f>IF($A181="","","WPN"&amp;VLOOKUP(E181,'引用数据库'!Z:AC,4,FALSE)&amp;VLOOKUP(H181,'引用数据库'!N:P,3,FALSE)&amp;VLOOKUP(I181,'引用数据库'!S:U,3,FALSE)&amp;TEXT(F181,"00"))</f>
      </c>
      <c r="E181" s="53"/>
      <c r="F181" s="57"/>
      <c r="G181" s="84"/>
      <c r="H181" s="53"/>
      <c r="I181" s="53"/>
      <c r="J181" s="84"/>
      <c r="K181" s="84"/>
      <c r="L181" s="42"/>
      <c r="M181" s="65"/>
      <c r="N181" s="54"/>
      <c r="O181" s="54"/>
      <c r="P181" s="54"/>
      <c r="Q181" s="54"/>
      <c r="R181" s="54"/>
      <c r="S181" s="54"/>
      <c r="T181" s="54"/>
      <c r="U181" s="51">
        <f>2*T181/(15*(1+(5-BD181)*0.1))</f>
      </c>
      <c r="V181" s="1"/>
      <c r="W181" s="54"/>
      <c r="X181" s="54"/>
      <c r="Y181" s="76"/>
      <c r="Z181" s="76"/>
      <c r="AA181" s="66"/>
      <c r="AB181" s="66"/>
      <c r="AC181" s="66"/>
      <c r="AD181" s="86"/>
      <c r="AE181" s="86"/>
      <c r="AF181" s="1"/>
      <c r="AG181" s="54"/>
      <c r="AH181" s="54"/>
      <c r="AI181" s="1"/>
      <c r="AJ181" s="80"/>
      <c r="AK181" s="80"/>
      <c r="AL181" s="80"/>
      <c r="AM181" s="55">
        <f>IFS(AJ181 &gt; 1.25, "S", AJ181 &gt; 1, "A", AJ181 &gt; 0.75, "B", AJ181 &gt; 0.5, "C", AJ181 &gt; 0.25, "D", AJ181 &gt; 0, "E", TRUE, "-")</f>
      </c>
      <c r="AN181" s="55">
        <f>IFS(AK181 &gt; 1.25, "S", AK181 &gt; 1, "A", AK181 &gt; 0.75, "B", AK181 &gt; 0.5, "C", AK181 &gt; 0.25, "D", AK181 &gt; 0, "E", TRUE, "-")</f>
      </c>
      <c r="AO181" s="55">
        <f>IFS(AL181 &gt; 1.25, "S", AL181 &gt; 1, "A", AL181 &gt; 0.75, "B", AL181 &gt; 0.5, "C", AL181 &gt; 0.25, "D", AL181 &gt; 0, "E", TRUE, "-")</f>
      </c>
      <c r="AP181" s="58"/>
      <c r="AQ181" s="68"/>
      <c r="AR181" s="68"/>
      <c r="AS181" s="55"/>
      <c r="AT181" s="55"/>
      <c r="AU181" s="55"/>
      <c r="AV181" s="61">
        <f>IF(SUM(AJ181:AL181)=0, 0, (1 + F181 * 0.1) * (0.75 + 0.25 * MAX(0, MIN(1, IF(MAX(AJ181:AL181)=0, 0, (3*MAX(AJ181:AL181)-SUM(AJ181:AL181)) / (2*MAX(AJ181:AL181)))))))</f>
      </c>
      <c r="AW181" s="83">
        <f>MAX(AJ181:AL181)</f>
      </c>
      <c r="AX181" s="81">
        <f>IF(AW181=0, "", AW181 / ((1 + 0.1*N(F181))))</f>
      </c>
      <c r="AY181" s="61">
        <f>IF(SUM(AJ181:AL181)=0, 0,     (1 + F181 * 0.1) * (1 + ((SUM(AJ181:AL181) - MAX(AJ181:AL181)) / (2 * MAX(AJ181:AL181))) * (1/0.75 - 1)))</f>
      </c>
      <c r="AZ181" s="83"/>
      <c r="BA181" s="81">
        <f>IF(AZ181=0, "", AZ181 / ((1 + 0.1*N(F181))/0.75))</f>
      </c>
      <c r="BB181" s="51">
        <v>0.1</v>
      </c>
      <c r="BC181" s="1"/>
      <c r="BD181" s="54"/>
      <c r="BE181" s="54"/>
      <c r="BF181" s="74"/>
      <c r="BG181" s="64"/>
      <c r="BH181" s="69"/>
      <c r="BI181" s="45"/>
      <c r="BJ181" s="63"/>
      <c r="BK181" s="49"/>
      <c r="BL181" s="56"/>
      <c r="BM181" s="50"/>
      <c r="BN181" s="57"/>
      <c r="BO181" s="54"/>
      <c r="BP181" s="64"/>
      <c r="BQ181" s="51"/>
      <c r="BR181" s="38">
        <f>IFERROR(BQ181*100/CP181,"N/A")</f>
      </c>
      <c r="BS181" s="61"/>
      <c r="BT181" s="54"/>
      <c r="BU181" s="42"/>
      <c r="BV181" s="78"/>
      <c r="BW181" s="73"/>
      <c r="BX181" s="64"/>
      <c r="BY181" s="52"/>
      <c r="BZ181" s="1"/>
      <c r="CA181" s="62"/>
      <c r="CB181" s="51"/>
      <c r="CC181" s="51"/>
      <c r="CD181" s="58"/>
      <c r="CE181" s="58"/>
      <c r="CF181" s="58"/>
      <c r="CG181" s="58"/>
      <c r="CH181" s="58"/>
      <c r="CI181" s="58"/>
      <c r="CJ181" s="79"/>
      <c r="CK181" s="69"/>
      <c r="CL181" s="79"/>
      <c r="CM181" s="51"/>
      <c r="CN181" s="55"/>
      <c r="CO181" s="42"/>
      <c r="CP181" s="70">
        <f>CN181*BS181*BT181</f>
      </c>
      <c r="CQ181" s="52"/>
      <c r="CR181" s="64">
        <f>100/CP181</f>
      </c>
      <c r="CS181" s="82">
        <f>100/CQ181</f>
      </c>
      <c r="CT181" s="52"/>
      <c r="CU181" s="52"/>
      <c r="CV181" s="82">
        <f>BL181/T181</f>
      </c>
      <c r="CW181" s="82">
        <f>100/CV181</f>
      </c>
      <c r="CX181" s="77"/>
      <c r="CY181" s="85"/>
      <c r="CZ181" s="77"/>
      <c r="DA181" s="77"/>
      <c r="DB181" s="77"/>
      <c r="DC181" s="1"/>
      <c r="DD181" s="1"/>
    </row>
    <row r="182">
      <c r="A182" s="84"/>
      <c r="B182" s="53"/>
      <c r="C182" s="71"/>
      <c r="D182" s="71">
        <f>IF($A182="","","WPN"&amp;VLOOKUP(E182,'引用数据库'!Z:AC,4,FALSE)&amp;VLOOKUP(H182,'引用数据库'!N:P,3,FALSE)&amp;VLOOKUP(I182,'引用数据库'!S:U,3,FALSE)&amp;TEXT(F182,"00"))</f>
      </c>
      <c r="E182" s="53"/>
      <c r="F182" s="57"/>
      <c r="G182" s="84"/>
      <c r="H182" s="53"/>
      <c r="I182" s="53"/>
      <c r="J182" s="84"/>
      <c r="K182" s="84"/>
      <c r="L182" s="42"/>
      <c r="M182" s="65"/>
      <c r="N182" s="54"/>
      <c r="O182" s="54"/>
      <c r="P182" s="54"/>
      <c r="Q182" s="54"/>
      <c r="R182" s="54"/>
      <c r="S182" s="54"/>
      <c r="T182" s="54"/>
      <c r="U182" s="51">
        <f>2*T182/(15*(1+(5-BD182)*0.1))</f>
      </c>
      <c r="V182" s="1"/>
      <c r="W182" s="54"/>
      <c r="X182" s="54"/>
      <c r="Y182" s="76"/>
      <c r="Z182" s="76"/>
      <c r="AA182" s="66"/>
      <c r="AB182" s="66"/>
      <c r="AC182" s="66"/>
      <c r="AD182" s="86"/>
      <c r="AE182" s="86"/>
      <c r="AF182" s="1"/>
      <c r="AG182" s="54"/>
      <c r="AH182" s="54"/>
      <c r="AI182" s="1"/>
      <c r="AJ182" s="80"/>
      <c r="AK182" s="80"/>
      <c r="AL182" s="80"/>
      <c r="AM182" s="55">
        <f>IFS(AJ182 &gt; 1.25, "S", AJ182 &gt; 1, "A", AJ182 &gt; 0.75, "B", AJ182 &gt; 0.5, "C", AJ182 &gt; 0.25, "D", AJ182 &gt; 0, "E", TRUE, "-")</f>
      </c>
      <c r="AN182" s="55">
        <f>IFS(AK182 &gt; 1.25, "S", AK182 &gt; 1, "A", AK182 &gt; 0.75, "B", AK182 &gt; 0.5, "C", AK182 &gt; 0.25, "D", AK182 &gt; 0, "E", TRUE, "-")</f>
      </c>
      <c r="AO182" s="55">
        <f>IFS(AL182 &gt; 1.25, "S", AL182 &gt; 1, "A", AL182 &gt; 0.75, "B", AL182 &gt; 0.5, "C", AL182 &gt; 0.25, "D", AL182 &gt; 0, "E", TRUE, "-")</f>
      </c>
      <c r="AP182" s="58"/>
      <c r="AQ182" s="68"/>
      <c r="AR182" s="68"/>
      <c r="AS182" s="55"/>
      <c r="AT182" s="55"/>
      <c r="AU182" s="55"/>
      <c r="AV182" s="61">
        <f>IF(SUM(AJ182:AL182)=0, 0, (1 + F182 * 0.1) * (0.75 + 0.25 * MAX(0, MIN(1, IF(MAX(AJ182:AL182)=0, 0, (3*MAX(AJ182:AL182)-SUM(AJ182:AL182)) / (2*MAX(AJ182:AL182)))))))</f>
      </c>
      <c r="AW182" s="83">
        <f>MAX(AJ182:AL182)</f>
      </c>
      <c r="AX182" s="81">
        <f>IF(AW182=0, "", AW182 / ((1 + 0.1*N(F182))))</f>
      </c>
      <c r="AY182" s="61">
        <f>IF(SUM(AJ182:AL182)=0, 0,     (1 + F182 * 0.1) * (1 + ((SUM(AJ182:AL182) - MAX(AJ182:AL182)) / (2 * MAX(AJ182:AL182))) * (1/0.75 - 1)))</f>
      </c>
      <c r="AZ182" s="83"/>
      <c r="BA182" s="81">
        <f>IF(AZ182=0, "", AZ182 / ((1 + 0.1*N(F182))/0.75))</f>
      </c>
      <c r="BB182" s="51">
        <v>0.1</v>
      </c>
      <c r="BC182" s="1"/>
      <c r="BD182" s="54"/>
      <c r="BE182" s="54"/>
      <c r="BF182" s="74"/>
      <c r="BG182" s="64"/>
      <c r="BH182" s="69"/>
      <c r="BI182" s="45"/>
      <c r="BJ182" s="63"/>
      <c r="BK182" s="49"/>
      <c r="BL182" s="56"/>
      <c r="BM182" s="50"/>
      <c r="BN182" s="57"/>
      <c r="BO182" s="54"/>
      <c r="BP182" s="64"/>
      <c r="BQ182" s="51"/>
      <c r="BR182" s="38">
        <f>IFERROR(BQ182*100/CP182,"N/A")</f>
      </c>
      <c r="BS182" s="61"/>
      <c r="BT182" s="54"/>
      <c r="BU182" s="42"/>
      <c r="BV182" s="78"/>
      <c r="BW182" s="73"/>
      <c r="BX182" s="64"/>
      <c r="BY182" s="52"/>
      <c r="BZ182" s="1"/>
      <c r="CA182" s="62"/>
      <c r="CB182" s="51"/>
      <c r="CC182" s="51"/>
      <c r="CD182" s="58"/>
      <c r="CE182" s="58"/>
      <c r="CF182" s="58"/>
      <c r="CG182" s="58"/>
      <c r="CH182" s="58"/>
      <c r="CI182" s="58"/>
      <c r="CJ182" s="79"/>
      <c r="CK182" s="69"/>
      <c r="CL182" s="79"/>
      <c r="CM182" s="51"/>
      <c r="CN182" s="55"/>
      <c r="CO182" s="42"/>
      <c r="CP182" s="70">
        <f>CN182*BS182*BT182</f>
      </c>
      <c r="CQ182" s="52"/>
      <c r="CR182" s="64">
        <f>100/CP182</f>
      </c>
      <c r="CS182" s="82">
        <f>100/CQ182</f>
      </c>
      <c r="CT182" s="52"/>
      <c r="CU182" s="52"/>
      <c r="CV182" s="82">
        <f>BL182/T182</f>
      </c>
      <c r="CW182" s="82">
        <f>100/CV182</f>
      </c>
      <c r="CX182" s="77"/>
      <c r="CY182" s="85"/>
      <c r="CZ182" s="77"/>
      <c r="DA182" s="77"/>
      <c r="DB182" s="77"/>
      <c r="DC182" s="1"/>
      <c r="DD182" s="1"/>
    </row>
    <row r="183">
      <c r="A183" s="84"/>
      <c r="B183" s="53"/>
      <c r="C183" s="71"/>
      <c r="D183" s="71">
        <f>IF($A183="","","WPN"&amp;VLOOKUP(E183,'引用数据库'!Z:AC,4,FALSE)&amp;VLOOKUP(H183,'引用数据库'!N:P,3,FALSE)&amp;VLOOKUP(I183,'引用数据库'!S:U,3,FALSE)&amp;TEXT(F183,"00"))</f>
      </c>
      <c r="E183" s="53"/>
      <c r="F183" s="57"/>
      <c r="G183" s="84"/>
      <c r="H183" s="53"/>
      <c r="I183" s="53"/>
      <c r="J183" s="84"/>
      <c r="K183" s="84"/>
      <c r="L183" s="42"/>
      <c r="M183" s="65"/>
      <c r="N183" s="54"/>
      <c r="O183" s="54"/>
      <c r="P183" s="54"/>
      <c r="Q183" s="54"/>
      <c r="R183" s="54"/>
      <c r="S183" s="54"/>
      <c r="T183" s="54"/>
      <c r="U183" s="51">
        <f>2*T183/(15*(1+(5-BD183)*0.1))</f>
      </c>
      <c r="V183" s="1"/>
      <c r="W183" s="54"/>
      <c r="X183" s="54"/>
      <c r="Y183" s="76"/>
      <c r="Z183" s="76"/>
      <c r="AA183" s="66"/>
      <c r="AB183" s="66"/>
      <c r="AC183" s="66"/>
      <c r="AD183" s="86"/>
      <c r="AE183" s="86"/>
      <c r="AF183" s="1"/>
      <c r="AG183" s="54"/>
      <c r="AH183" s="54"/>
      <c r="AI183" s="1"/>
      <c r="AJ183" s="80"/>
      <c r="AK183" s="80"/>
      <c r="AL183" s="80"/>
      <c r="AM183" s="55">
        <f>IFS(AJ183 &gt; 1.25, "S", AJ183 &gt; 1, "A", AJ183 &gt; 0.75, "B", AJ183 &gt; 0.5, "C", AJ183 &gt; 0.25, "D", AJ183 &gt; 0, "E", TRUE, "-")</f>
      </c>
      <c r="AN183" s="55">
        <f>IFS(AK183 &gt; 1.25, "S", AK183 &gt; 1, "A", AK183 &gt; 0.75, "B", AK183 &gt; 0.5, "C", AK183 &gt; 0.25, "D", AK183 &gt; 0, "E", TRUE, "-")</f>
      </c>
      <c r="AO183" s="55">
        <f>IFS(AL183 &gt; 1.25, "S", AL183 &gt; 1, "A", AL183 &gt; 0.75, "B", AL183 &gt; 0.5, "C", AL183 &gt; 0.25, "D", AL183 &gt; 0, "E", TRUE, "-")</f>
      </c>
      <c r="AP183" s="58"/>
      <c r="AQ183" s="68"/>
      <c r="AR183" s="68"/>
      <c r="AS183" s="55"/>
      <c r="AT183" s="55"/>
      <c r="AU183" s="55"/>
      <c r="AV183" s="61">
        <f>IF(SUM(AJ183:AL183)=0, 0, (1 + F183 * 0.1) * (0.75 + 0.25 * MAX(0, MIN(1, IF(MAX(AJ183:AL183)=0, 0, (3*MAX(AJ183:AL183)-SUM(AJ183:AL183)) / (2*MAX(AJ183:AL183)))))))</f>
      </c>
      <c r="AW183" s="83">
        <f>MAX(AJ183:AL183)</f>
      </c>
      <c r="AX183" s="81">
        <f>IF(AW183=0, "", AW183 / ((1 + 0.1*N(F183))))</f>
      </c>
      <c r="AY183" s="61">
        <f>IF(SUM(AJ183:AL183)=0, 0,     (1 + F183 * 0.1) * (1 + ((SUM(AJ183:AL183) - MAX(AJ183:AL183)) / (2 * MAX(AJ183:AL183))) * (1/0.75 - 1)))</f>
      </c>
      <c r="AZ183" s="83"/>
      <c r="BA183" s="81">
        <f>IF(AZ183=0, "", AZ183 / ((1 + 0.1*N(F183))/0.75))</f>
      </c>
      <c r="BB183" s="51">
        <v>0.1</v>
      </c>
      <c r="BC183" s="1"/>
      <c r="BD183" s="54"/>
      <c r="BE183" s="54"/>
      <c r="BF183" s="74"/>
      <c r="BG183" s="64"/>
      <c r="BH183" s="69"/>
      <c r="BI183" s="45"/>
      <c r="BJ183" s="63"/>
      <c r="BK183" s="49"/>
      <c r="BL183" s="56"/>
      <c r="BM183" s="50"/>
      <c r="BN183" s="57"/>
      <c r="BO183" s="54"/>
      <c r="BP183" s="64"/>
      <c r="BQ183" s="51"/>
      <c r="BR183" s="38">
        <f>IFERROR(BQ183*100/CP183,"N/A")</f>
      </c>
      <c r="BS183" s="61"/>
      <c r="BT183" s="54"/>
      <c r="BU183" s="42"/>
      <c r="BV183" s="78"/>
      <c r="BW183" s="73"/>
      <c r="BX183" s="64"/>
      <c r="BY183" s="52"/>
      <c r="BZ183" s="1"/>
      <c r="CA183" s="62"/>
      <c r="CB183" s="51"/>
      <c r="CC183" s="51"/>
      <c r="CD183" s="58"/>
      <c r="CE183" s="58"/>
      <c r="CF183" s="58"/>
      <c r="CG183" s="58"/>
      <c r="CH183" s="58"/>
      <c r="CI183" s="58"/>
      <c r="CJ183" s="79"/>
      <c r="CK183" s="69"/>
      <c r="CL183" s="79"/>
      <c r="CM183" s="51"/>
      <c r="CN183" s="55"/>
      <c r="CO183" s="42"/>
      <c r="CP183" s="70">
        <f>CN183*BS183*BT183</f>
      </c>
      <c r="CQ183" s="52"/>
      <c r="CR183" s="64">
        <f>100/CP183</f>
      </c>
      <c r="CS183" s="82">
        <f>100/CQ183</f>
      </c>
      <c r="CT183" s="52"/>
      <c r="CU183" s="52"/>
      <c r="CV183" s="82">
        <f>BL183/T183</f>
      </c>
      <c r="CW183" s="82">
        <f>100/CV183</f>
      </c>
      <c r="CX183" s="77"/>
      <c r="CY183" s="85"/>
      <c r="CZ183" s="77"/>
      <c r="DA183" s="77"/>
      <c r="DB183" s="77"/>
      <c r="DC183" s="1"/>
      <c r="DD183" s="1"/>
    </row>
    <row r="184">
      <c r="A184" s="84"/>
      <c r="B184" s="53"/>
      <c r="C184" s="71"/>
      <c r="D184" s="71">
        <f>IF($A184="","","WPN"&amp;VLOOKUP(E184,'引用数据库'!Z:AC,4,FALSE)&amp;VLOOKUP(H184,'引用数据库'!N:P,3,FALSE)&amp;VLOOKUP(I184,'引用数据库'!S:U,3,FALSE)&amp;TEXT(F184,"00"))</f>
      </c>
      <c r="E184" s="53"/>
      <c r="F184" s="57"/>
      <c r="G184" s="84"/>
      <c r="H184" s="53"/>
      <c r="I184" s="53"/>
      <c r="J184" s="84"/>
      <c r="K184" s="84"/>
      <c r="L184" s="42"/>
      <c r="M184" s="65"/>
      <c r="N184" s="54"/>
      <c r="O184" s="54"/>
      <c r="P184" s="54"/>
      <c r="Q184" s="54"/>
      <c r="R184" s="54"/>
      <c r="S184" s="54"/>
      <c r="T184" s="54"/>
      <c r="U184" s="51">
        <f>2*T184/(15*(1+(5-BD184)*0.1))</f>
      </c>
      <c r="V184" s="1"/>
      <c r="W184" s="54"/>
      <c r="X184" s="54"/>
      <c r="Y184" s="76"/>
      <c r="Z184" s="76"/>
      <c r="AA184" s="66"/>
      <c r="AB184" s="66"/>
      <c r="AC184" s="66"/>
      <c r="AD184" s="86"/>
      <c r="AE184" s="86"/>
      <c r="AF184" s="1"/>
      <c r="AG184" s="54"/>
      <c r="AH184" s="54"/>
      <c r="AI184" s="1"/>
      <c r="AJ184" s="80"/>
      <c r="AK184" s="80"/>
      <c r="AL184" s="80"/>
      <c r="AM184" s="55">
        <f>IFS(AJ184 &gt; 1.25, "S", AJ184 &gt; 1, "A", AJ184 &gt; 0.75, "B", AJ184 &gt; 0.5, "C", AJ184 &gt; 0.25, "D", AJ184 &gt; 0, "E", TRUE, "-")</f>
      </c>
      <c r="AN184" s="55">
        <f>IFS(AK184 &gt; 1.25, "S", AK184 &gt; 1, "A", AK184 &gt; 0.75, "B", AK184 &gt; 0.5, "C", AK184 &gt; 0.25, "D", AK184 &gt; 0, "E", TRUE, "-")</f>
      </c>
      <c r="AO184" s="55">
        <f>IFS(AL184 &gt; 1.25, "S", AL184 &gt; 1, "A", AL184 &gt; 0.75, "B", AL184 &gt; 0.5, "C", AL184 &gt; 0.25, "D", AL184 &gt; 0, "E", TRUE, "-")</f>
      </c>
      <c r="AP184" s="58"/>
      <c r="AQ184" s="68"/>
      <c r="AR184" s="68"/>
      <c r="AS184" s="55"/>
      <c r="AT184" s="55"/>
      <c r="AU184" s="55"/>
      <c r="AV184" s="61">
        <f>IF(SUM(AJ184:AL184)=0, 0, (1 + F184 * 0.1) * (0.75 + 0.25 * MAX(0, MIN(1, IF(MAX(AJ184:AL184)=0, 0, (3*MAX(AJ184:AL184)-SUM(AJ184:AL184)) / (2*MAX(AJ184:AL184)))))))</f>
      </c>
      <c r="AW184" s="83">
        <f>MAX(AJ184:AL184)</f>
      </c>
      <c r="AX184" s="81">
        <f>IF(AW184=0, "", AW184 / ((1 + 0.1*N(F184))))</f>
      </c>
      <c r="AY184" s="61">
        <f>IF(SUM(AJ184:AL184)=0, 0,     (1 + F184 * 0.1) * (1 + ((SUM(AJ184:AL184) - MAX(AJ184:AL184)) / (2 * MAX(AJ184:AL184))) * (1/0.75 - 1)))</f>
      </c>
      <c r="AZ184" s="83"/>
      <c r="BA184" s="81">
        <f>IF(AZ184=0, "", AZ184 / ((1 + 0.1*N(F184))/0.75))</f>
      </c>
      <c r="BB184" s="51">
        <v>0.1</v>
      </c>
      <c r="BC184" s="1"/>
      <c r="BD184" s="54"/>
      <c r="BE184" s="54"/>
      <c r="BF184" s="74"/>
      <c r="BG184" s="64"/>
      <c r="BH184" s="69"/>
      <c r="BI184" s="45"/>
      <c r="BJ184" s="63"/>
      <c r="BK184" s="49"/>
      <c r="BL184" s="56"/>
      <c r="BM184" s="50"/>
      <c r="BN184" s="57"/>
      <c r="BO184" s="54"/>
      <c r="BP184" s="64"/>
      <c r="BQ184" s="51"/>
      <c r="BR184" s="38">
        <f>IFERROR(BQ184*100/CP184,"N/A")</f>
      </c>
      <c r="BS184" s="61"/>
      <c r="BT184" s="54"/>
      <c r="BU184" s="42"/>
      <c r="BV184" s="78"/>
      <c r="BW184" s="73"/>
      <c r="BX184" s="64"/>
      <c r="BY184" s="52"/>
      <c r="BZ184" s="1"/>
      <c r="CA184" s="62"/>
      <c r="CB184" s="51"/>
      <c r="CC184" s="51"/>
      <c r="CD184" s="58"/>
      <c r="CE184" s="58"/>
      <c r="CF184" s="58"/>
      <c r="CG184" s="58"/>
      <c r="CH184" s="58"/>
      <c r="CI184" s="58"/>
      <c r="CJ184" s="79"/>
      <c r="CK184" s="69"/>
      <c r="CL184" s="79"/>
      <c r="CM184" s="51"/>
      <c r="CN184" s="55"/>
      <c r="CO184" s="42"/>
      <c r="CP184" s="70">
        <f>CN184*BS184*BT184</f>
      </c>
      <c r="CQ184" s="52"/>
      <c r="CR184" s="64">
        <f>100/CP184</f>
      </c>
      <c r="CS184" s="82">
        <f>100/CQ184</f>
      </c>
      <c r="CT184" s="52"/>
      <c r="CU184" s="52"/>
      <c r="CV184" s="82">
        <f>BL184/T184</f>
      </c>
      <c r="CW184" s="82">
        <f>100/CV184</f>
      </c>
      <c r="CX184" s="77"/>
      <c r="CY184" s="85"/>
      <c r="CZ184" s="77"/>
      <c r="DA184" s="77"/>
      <c r="DB184" s="77"/>
      <c r="DC184" s="1"/>
      <c r="DD184" s="1"/>
    </row>
    <row r="185">
      <c r="A185" s="84"/>
      <c r="B185" s="53"/>
      <c r="C185" s="71"/>
      <c r="D185" s="71">
        <f>IF($A185="","","WPN"&amp;VLOOKUP(E185,'引用数据库'!Z:AC,4,FALSE)&amp;VLOOKUP(H185,'引用数据库'!N:P,3,FALSE)&amp;VLOOKUP(I185,'引用数据库'!S:U,3,FALSE)&amp;TEXT(F185,"00"))</f>
      </c>
      <c r="E185" s="53"/>
      <c r="F185" s="57"/>
      <c r="G185" s="84"/>
      <c r="H185" s="53"/>
      <c r="I185" s="53"/>
      <c r="J185" s="84"/>
      <c r="K185" s="84"/>
      <c r="L185" s="42"/>
      <c r="M185" s="65"/>
      <c r="N185" s="54"/>
      <c r="O185" s="54"/>
      <c r="P185" s="54"/>
      <c r="Q185" s="54"/>
      <c r="R185" s="54"/>
      <c r="S185" s="54"/>
      <c r="T185" s="54"/>
      <c r="U185" s="51">
        <f>2*T185/(15*(1+(5-BD185)*0.1))</f>
      </c>
      <c r="V185" s="1"/>
      <c r="W185" s="54"/>
      <c r="X185" s="54"/>
      <c r="Y185" s="76"/>
      <c r="Z185" s="76"/>
      <c r="AA185" s="66"/>
      <c r="AB185" s="66"/>
      <c r="AC185" s="66"/>
      <c r="AD185" s="86"/>
      <c r="AE185" s="86"/>
      <c r="AF185" s="1"/>
      <c r="AG185" s="54"/>
      <c r="AH185" s="54"/>
      <c r="AI185" s="1"/>
      <c r="AJ185" s="80"/>
      <c r="AK185" s="80"/>
      <c r="AL185" s="80"/>
      <c r="AM185" s="55">
        <f>IFS(AJ185 &gt; 1.25, "S", AJ185 &gt; 1, "A", AJ185 &gt; 0.75, "B", AJ185 &gt; 0.5, "C", AJ185 &gt; 0.25, "D", AJ185 &gt; 0, "E", TRUE, "-")</f>
      </c>
      <c r="AN185" s="55">
        <f>IFS(AK185 &gt; 1.25, "S", AK185 &gt; 1, "A", AK185 &gt; 0.75, "B", AK185 &gt; 0.5, "C", AK185 &gt; 0.25, "D", AK185 &gt; 0, "E", TRUE, "-")</f>
      </c>
      <c r="AO185" s="55">
        <f>IFS(AL185 &gt; 1.25, "S", AL185 &gt; 1, "A", AL185 &gt; 0.75, "B", AL185 &gt; 0.5, "C", AL185 &gt; 0.25, "D", AL185 &gt; 0, "E", TRUE, "-")</f>
      </c>
      <c r="AP185" s="58"/>
      <c r="AQ185" s="68"/>
      <c r="AR185" s="68"/>
      <c r="AS185" s="55"/>
      <c r="AT185" s="55"/>
      <c r="AU185" s="55"/>
      <c r="AV185" s="61">
        <f>IF(SUM(AJ185:AL185)=0, 0, (1 + F185 * 0.1) * (0.75 + 0.25 * MAX(0, MIN(1, IF(MAX(AJ185:AL185)=0, 0, (3*MAX(AJ185:AL185)-SUM(AJ185:AL185)) / (2*MAX(AJ185:AL185)))))))</f>
      </c>
      <c r="AW185" s="83">
        <f>MAX(AJ185:AL185)</f>
      </c>
      <c r="AX185" s="81">
        <f>IF(AW185=0, "", AW185 / ((1 + 0.1*N(F185))))</f>
      </c>
      <c r="AY185" s="61">
        <f>IF(SUM(AJ185:AL185)=0, 0,     (1 + F185 * 0.1) * (1 + ((SUM(AJ185:AL185) - MAX(AJ185:AL185)) / (2 * MAX(AJ185:AL185))) * (1/0.75 - 1)))</f>
      </c>
      <c r="AZ185" s="83"/>
      <c r="BA185" s="81">
        <f>IF(AZ185=0, "", AZ185 / ((1 + 0.1*N(F185))/0.75))</f>
      </c>
      <c r="BB185" s="51">
        <v>0.1</v>
      </c>
      <c r="BC185" s="1"/>
      <c r="BD185" s="54"/>
      <c r="BE185" s="54"/>
      <c r="BF185" s="74"/>
      <c r="BG185" s="64"/>
      <c r="BH185" s="69"/>
      <c r="BI185" s="45"/>
      <c r="BJ185" s="63"/>
      <c r="BK185" s="49"/>
      <c r="BL185" s="56"/>
      <c r="BM185" s="50"/>
      <c r="BN185" s="57"/>
      <c r="BO185" s="54"/>
      <c r="BP185" s="64"/>
      <c r="BQ185" s="51"/>
      <c r="BR185" s="38">
        <f>IFERROR(BQ185*100/CP185,"N/A")</f>
      </c>
      <c r="BS185" s="61"/>
      <c r="BT185" s="54"/>
      <c r="BU185" s="42"/>
      <c r="BV185" s="78"/>
      <c r="BW185" s="73"/>
      <c r="BX185" s="64"/>
      <c r="BY185" s="52"/>
      <c r="BZ185" s="1"/>
      <c r="CA185" s="62"/>
      <c r="CB185" s="51"/>
      <c r="CC185" s="51"/>
      <c r="CD185" s="58"/>
      <c r="CE185" s="58"/>
      <c r="CF185" s="58"/>
      <c r="CG185" s="58"/>
      <c r="CH185" s="58"/>
      <c r="CI185" s="58"/>
      <c r="CJ185" s="79"/>
      <c r="CK185" s="69"/>
      <c r="CL185" s="79"/>
      <c r="CM185" s="51"/>
      <c r="CN185" s="55"/>
      <c r="CO185" s="42"/>
      <c r="CP185" s="70">
        <f>CN185*BS185*BT185</f>
      </c>
      <c r="CQ185" s="52"/>
      <c r="CR185" s="64">
        <f>100/CP185</f>
      </c>
      <c r="CS185" s="82">
        <f>100/CQ185</f>
      </c>
      <c r="CT185" s="52"/>
      <c r="CU185" s="52"/>
      <c r="CV185" s="82">
        <f>BL185/T185</f>
      </c>
      <c r="CW185" s="82">
        <f>100/CV185</f>
      </c>
      <c r="CX185" s="77"/>
      <c r="CY185" s="85"/>
      <c r="CZ185" s="77"/>
      <c r="DA185" s="77"/>
      <c r="DB185" s="77"/>
      <c r="DC185" s="1"/>
      <c r="DD185" s="1"/>
    </row>
    <row r="186">
      <c r="A186" s="84"/>
      <c r="B186" s="53"/>
      <c r="C186" s="71"/>
      <c r="D186" s="71">
        <f>IF($A186="","","WPN"&amp;VLOOKUP(E186,'引用数据库'!Z:AC,4,FALSE)&amp;VLOOKUP(H186,'引用数据库'!N:P,3,FALSE)&amp;VLOOKUP(I186,'引用数据库'!S:U,3,FALSE)&amp;TEXT(F186,"00"))</f>
      </c>
      <c r="E186" s="53"/>
      <c r="F186" s="57"/>
      <c r="G186" s="84"/>
      <c r="H186" s="53"/>
      <c r="I186" s="53"/>
      <c r="J186" s="84"/>
      <c r="K186" s="84"/>
      <c r="L186" s="42"/>
      <c r="M186" s="65"/>
      <c r="N186" s="54"/>
      <c r="O186" s="54"/>
      <c r="P186" s="54"/>
      <c r="Q186" s="54"/>
      <c r="R186" s="54"/>
      <c r="S186" s="54"/>
      <c r="T186" s="54"/>
      <c r="U186" s="51">
        <f>2*T186/(15*(1+(5-BD186)*0.1))</f>
      </c>
      <c r="V186" s="1"/>
      <c r="W186" s="54"/>
      <c r="X186" s="54"/>
      <c r="Y186" s="76"/>
      <c r="Z186" s="76"/>
      <c r="AA186" s="66"/>
      <c r="AB186" s="66"/>
      <c r="AC186" s="66"/>
      <c r="AD186" s="86"/>
      <c r="AE186" s="86"/>
      <c r="AF186" s="1"/>
      <c r="AG186" s="54"/>
      <c r="AH186" s="54"/>
      <c r="AI186" s="1"/>
      <c r="AJ186" s="80"/>
      <c r="AK186" s="80"/>
      <c r="AL186" s="80"/>
      <c r="AM186" s="55">
        <f>IFS(AJ186 &gt; 1.25, "S", AJ186 &gt; 1, "A", AJ186 &gt; 0.75, "B", AJ186 &gt; 0.5, "C", AJ186 &gt; 0.25, "D", AJ186 &gt; 0, "E", TRUE, "-")</f>
      </c>
      <c r="AN186" s="55">
        <f>IFS(AK186 &gt; 1.25, "S", AK186 &gt; 1, "A", AK186 &gt; 0.75, "B", AK186 &gt; 0.5, "C", AK186 &gt; 0.25, "D", AK186 &gt; 0, "E", TRUE, "-")</f>
      </c>
      <c r="AO186" s="55">
        <f>IFS(AL186 &gt; 1.25, "S", AL186 &gt; 1, "A", AL186 &gt; 0.75, "B", AL186 &gt; 0.5, "C", AL186 &gt; 0.25, "D", AL186 &gt; 0, "E", TRUE, "-")</f>
      </c>
      <c r="AP186" s="58"/>
      <c r="AQ186" s="68"/>
      <c r="AR186" s="68"/>
      <c r="AS186" s="55"/>
      <c r="AT186" s="55"/>
      <c r="AU186" s="55"/>
      <c r="AV186" s="61">
        <f>IF(SUM(AJ186:AL186)=0, 0, (1 + F186 * 0.1) * (0.75 + 0.25 * MAX(0, MIN(1, IF(MAX(AJ186:AL186)=0, 0, (3*MAX(AJ186:AL186)-SUM(AJ186:AL186)) / (2*MAX(AJ186:AL186)))))))</f>
      </c>
      <c r="AW186" s="83">
        <f>MAX(AJ186:AL186)</f>
      </c>
      <c r="AX186" s="81">
        <f>IF(AW186=0, "", AW186 / ((1 + 0.1*N(F186))))</f>
      </c>
      <c r="AY186" s="61">
        <f>IF(SUM(AJ186:AL186)=0, 0,     (1 + F186 * 0.1) * (1 + ((SUM(AJ186:AL186) - MAX(AJ186:AL186)) / (2 * MAX(AJ186:AL186))) * (1/0.75 - 1)))</f>
      </c>
      <c r="AZ186" s="83"/>
      <c r="BA186" s="81">
        <f>IF(AZ186=0, "", AZ186 / ((1 + 0.1*N(F186))/0.75))</f>
      </c>
      <c r="BB186" s="51">
        <v>0.1</v>
      </c>
      <c r="BC186" s="1"/>
      <c r="BD186" s="54"/>
      <c r="BE186" s="54"/>
      <c r="BF186" s="74"/>
      <c r="BG186" s="64"/>
      <c r="BH186" s="69"/>
      <c r="BI186" s="45"/>
      <c r="BJ186" s="63"/>
      <c r="BK186" s="49"/>
      <c r="BL186" s="56"/>
      <c r="BM186" s="50"/>
      <c r="BN186" s="57"/>
      <c r="BO186" s="54"/>
      <c r="BP186" s="64"/>
      <c r="BQ186" s="51"/>
      <c r="BR186" s="38">
        <f>IFERROR(BQ186*100/CP186,"N/A")</f>
      </c>
      <c r="BS186" s="61"/>
      <c r="BT186" s="54"/>
      <c r="BU186" s="42"/>
      <c r="BV186" s="78"/>
      <c r="BW186" s="73"/>
      <c r="BX186" s="64"/>
      <c r="BY186" s="52"/>
      <c r="BZ186" s="1"/>
      <c r="CA186" s="62"/>
      <c r="CB186" s="51"/>
      <c r="CC186" s="51"/>
      <c r="CD186" s="58"/>
      <c r="CE186" s="58"/>
      <c r="CF186" s="58"/>
      <c r="CG186" s="58"/>
      <c r="CH186" s="58"/>
      <c r="CI186" s="58"/>
      <c r="CJ186" s="79"/>
      <c r="CK186" s="69"/>
      <c r="CL186" s="79"/>
      <c r="CM186" s="51"/>
      <c r="CN186" s="55"/>
      <c r="CO186" s="42"/>
      <c r="CP186" s="70">
        <f>CN186*BS186*BT186</f>
      </c>
      <c r="CQ186" s="52"/>
      <c r="CR186" s="64">
        <f>100/CP186</f>
      </c>
      <c r="CS186" s="82">
        <f>100/CQ186</f>
      </c>
      <c r="CT186" s="52"/>
      <c r="CU186" s="52"/>
      <c r="CV186" s="82">
        <f>BL186/T186</f>
      </c>
      <c r="CW186" s="82">
        <f>100/CV186</f>
      </c>
      <c r="CX186" s="77"/>
      <c r="CY186" s="85"/>
      <c r="CZ186" s="77"/>
      <c r="DA186" s="77"/>
      <c r="DB186" s="77"/>
      <c r="DC186" s="1"/>
      <c r="DD186" s="1"/>
    </row>
    <row r="187">
      <c r="A187" s="84"/>
      <c r="B187" s="53"/>
      <c r="C187" s="71"/>
      <c r="D187" s="71">
        <f>IF($A187="","","WPN"&amp;VLOOKUP(E187,'引用数据库'!Z:AC,4,FALSE)&amp;VLOOKUP(H187,'引用数据库'!N:P,3,FALSE)&amp;VLOOKUP(I187,'引用数据库'!S:U,3,FALSE)&amp;TEXT(F187,"00"))</f>
      </c>
      <c r="E187" s="53"/>
      <c r="F187" s="57"/>
      <c r="G187" s="84"/>
      <c r="H187" s="53"/>
      <c r="I187" s="53"/>
      <c r="J187" s="84"/>
      <c r="K187" s="84"/>
      <c r="L187" s="42"/>
      <c r="M187" s="65"/>
      <c r="N187" s="54"/>
      <c r="O187" s="54"/>
      <c r="P187" s="54"/>
      <c r="Q187" s="54"/>
      <c r="R187" s="54"/>
      <c r="S187" s="54"/>
      <c r="T187" s="54"/>
      <c r="U187" s="51">
        <f>2*T187/(15*(1+(5-BD187)*0.1))</f>
      </c>
      <c r="V187" s="1"/>
      <c r="W187" s="54"/>
      <c r="X187" s="54"/>
      <c r="Y187" s="76"/>
      <c r="Z187" s="76"/>
      <c r="AA187" s="66"/>
      <c r="AB187" s="66"/>
      <c r="AC187" s="66"/>
      <c r="AD187" s="86"/>
      <c r="AE187" s="86"/>
      <c r="AF187" s="1"/>
      <c r="AG187" s="54"/>
      <c r="AH187" s="54"/>
      <c r="AI187" s="1"/>
      <c r="AJ187" s="80"/>
      <c r="AK187" s="80"/>
      <c r="AL187" s="80"/>
      <c r="AM187" s="55">
        <f>IFS(AJ187 &gt; 1.25, "S", AJ187 &gt; 1, "A", AJ187 &gt; 0.75, "B", AJ187 &gt; 0.5, "C", AJ187 &gt; 0.25, "D", AJ187 &gt; 0, "E", TRUE, "-")</f>
      </c>
      <c r="AN187" s="55">
        <f>IFS(AK187 &gt; 1.25, "S", AK187 &gt; 1, "A", AK187 &gt; 0.75, "B", AK187 &gt; 0.5, "C", AK187 &gt; 0.25, "D", AK187 &gt; 0, "E", TRUE, "-")</f>
      </c>
      <c r="AO187" s="55">
        <f>IFS(AL187 &gt; 1.25, "S", AL187 &gt; 1, "A", AL187 &gt; 0.75, "B", AL187 &gt; 0.5, "C", AL187 &gt; 0.25, "D", AL187 &gt; 0, "E", TRUE, "-")</f>
      </c>
      <c r="AP187" s="58"/>
      <c r="AQ187" s="68"/>
      <c r="AR187" s="68"/>
      <c r="AS187" s="55"/>
      <c r="AT187" s="55"/>
      <c r="AU187" s="55"/>
      <c r="AV187" s="61">
        <f>IF(SUM(AJ187:AL187)=0, 0, (1 + F187 * 0.1) * (0.75 + 0.25 * MAX(0, MIN(1, IF(MAX(AJ187:AL187)=0, 0, (3*MAX(AJ187:AL187)-SUM(AJ187:AL187)) / (2*MAX(AJ187:AL187)))))))</f>
      </c>
      <c r="AW187" s="83">
        <f>MAX(AJ187:AL187)</f>
      </c>
      <c r="AX187" s="81">
        <f>IF(AW187=0, "", AW187 / ((1 + 0.1*N(F187))))</f>
      </c>
      <c r="AY187" s="61">
        <f>IF(SUM(AJ187:AL187)=0, 0,     (1 + F187 * 0.1) * (1 + ((SUM(AJ187:AL187) - MAX(AJ187:AL187)) / (2 * MAX(AJ187:AL187))) * (1/0.75 - 1)))</f>
      </c>
      <c r="AZ187" s="83"/>
      <c r="BA187" s="81">
        <f>IF(AZ187=0, "", AZ187 / ((1 + 0.1*N(F187))/0.75))</f>
      </c>
      <c r="BB187" s="51">
        <v>0.1</v>
      </c>
      <c r="BC187" s="1"/>
      <c r="BD187" s="54"/>
      <c r="BE187" s="54"/>
      <c r="BF187" s="74"/>
      <c r="BG187" s="64"/>
      <c r="BH187" s="69"/>
      <c r="BI187" s="45"/>
      <c r="BJ187" s="63"/>
      <c r="BK187" s="49"/>
      <c r="BL187" s="56"/>
      <c r="BM187" s="50"/>
      <c r="BN187" s="57"/>
      <c r="BO187" s="54"/>
      <c r="BP187" s="64"/>
      <c r="BQ187" s="51"/>
      <c r="BR187" s="38">
        <f>IFERROR(BQ187*100/CP187,"N/A")</f>
      </c>
      <c r="BS187" s="61"/>
      <c r="BT187" s="54"/>
      <c r="BU187" s="42"/>
      <c r="BV187" s="78"/>
      <c r="BW187" s="73"/>
      <c r="BX187" s="64"/>
      <c r="BY187" s="52"/>
      <c r="BZ187" s="1"/>
      <c r="CA187" s="62"/>
      <c r="CB187" s="51"/>
      <c r="CC187" s="51"/>
      <c r="CD187" s="58"/>
      <c r="CE187" s="58"/>
      <c r="CF187" s="58"/>
      <c r="CG187" s="58"/>
      <c r="CH187" s="58"/>
      <c r="CI187" s="58"/>
      <c r="CJ187" s="79"/>
      <c r="CK187" s="69"/>
      <c r="CL187" s="79"/>
      <c r="CM187" s="51"/>
      <c r="CN187" s="55"/>
      <c r="CO187" s="42"/>
      <c r="CP187" s="70">
        <f>CN187*BS187*BT187</f>
      </c>
      <c r="CQ187" s="52"/>
      <c r="CR187" s="64">
        <f>100/CP187</f>
      </c>
      <c r="CS187" s="82">
        <f>100/CQ187</f>
      </c>
      <c r="CT187" s="52"/>
      <c r="CU187" s="52"/>
      <c r="CV187" s="82">
        <f>BL187/T187</f>
      </c>
      <c r="CW187" s="82">
        <f>100/CV187</f>
      </c>
      <c r="CX187" s="77"/>
      <c r="CY187" s="85"/>
      <c r="CZ187" s="77"/>
      <c r="DA187" s="77"/>
      <c r="DB187" s="77"/>
      <c r="DC187" s="1"/>
      <c r="DD187" s="1"/>
    </row>
    <row r="188">
      <c r="A188" s="84"/>
      <c r="B188" s="53"/>
      <c r="C188" s="71"/>
      <c r="D188" s="71">
        <f>IF($A188="","","WPN"&amp;VLOOKUP(E188,'引用数据库'!Z:AC,4,FALSE)&amp;VLOOKUP(H188,'引用数据库'!N:P,3,FALSE)&amp;VLOOKUP(I188,'引用数据库'!S:U,3,FALSE)&amp;TEXT(F188,"00"))</f>
      </c>
      <c r="E188" s="53"/>
      <c r="F188" s="57"/>
      <c r="G188" s="84"/>
      <c r="H188" s="53"/>
      <c r="I188" s="53"/>
      <c r="J188" s="84"/>
      <c r="K188" s="84"/>
      <c r="L188" s="42"/>
      <c r="M188" s="65"/>
      <c r="N188" s="54"/>
      <c r="O188" s="54"/>
      <c r="P188" s="54"/>
      <c r="Q188" s="54"/>
      <c r="R188" s="54"/>
      <c r="S188" s="54"/>
      <c r="T188" s="54"/>
      <c r="U188" s="51">
        <f>2*T188/(15*(1+(5-BD188)*0.1))</f>
      </c>
      <c r="V188" s="1"/>
      <c r="W188" s="54"/>
      <c r="X188" s="54"/>
      <c r="Y188" s="76"/>
      <c r="Z188" s="76"/>
      <c r="AA188" s="66"/>
      <c r="AB188" s="66"/>
      <c r="AC188" s="66"/>
      <c r="AD188" s="86"/>
      <c r="AE188" s="86"/>
      <c r="AF188" s="1"/>
      <c r="AG188" s="54"/>
      <c r="AH188" s="54"/>
      <c r="AI188" s="1"/>
      <c r="AJ188" s="80"/>
      <c r="AK188" s="80"/>
      <c r="AL188" s="80"/>
      <c r="AM188" s="55">
        <f>IFS(AJ188 &gt; 1.25, "S", AJ188 &gt; 1, "A", AJ188 &gt; 0.75, "B", AJ188 &gt; 0.5, "C", AJ188 &gt; 0.25, "D", AJ188 &gt; 0, "E", TRUE, "-")</f>
      </c>
      <c r="AN188" s="55">
        <f>IFS(AK188 &gt; 1.25, "S", AK188 &gt; 1, "A", AK188 &gt; 0.75, "B", AK188 &gt; 0.5, "C", AK188 &gt; 0.25, "D", AK188 &gt; 0, "E", TRUE, "-")</f>
      </c>
      <c r="AO188" s="55">
        <f>IFS(AL188 &gt; 1.25, "S", AL188 &gt; 1, "A", AL188 &gt; 0.75, "B", AL188 &gt; 0.5, "C", AL188 &gt; 0.25, "D", AL188 &gt; 0, "E", TRUE, "-")</f>
      </c>
      <c r="AP188" s="58"/>
      <c r="AQ188" s="68"/>
      <c r="AR188" s="68"/>
      <c r="AS188" s="55"/>
      <c r="AT188" s="55"/>
      <c r="AU188" s="55"/>
      <c r="AV188" s="61">
        <f>IF(SUM(AJ188:AL188)=0, 0, (1 + F188 * 0.1) * (0.75 + 0.25 * MAX(0, MIN(1, IF(MAX(AJ188:AL188)=0, 0, (3*MAX(AJ188:AL188)-SUM(AJ188:AL188)) / (2*MAX(AJ188:AL188)))))))</f>
      </c>
      <c r="AW188" s="83">
        <f>MAX(AJ188:AL188)</f>
      </c>
      <c r="AX188" s="81">
        <f>IF(AW188=0, "", AW188 / ((1 + 0.1*N(F188))))</f>
      </c>
      <c r="AY188" s="61">
        <f>IF(SUM(AJ188:AL188)=0, 0,     (1 + F188 * 0.1) * (1 + ((SUM(AJ188:AL188) - MAX(AJ188:AL188)) / (2 * MAX(AJ188:AL188))) * (1/0.75 - 1)))</f>
      </c>
      <c r="AZ188" s="83"/>
      <c r="BA188" s="81">
        <f>IF(AZ188=0, "", AZ188 / ((1 + 0.1*N(F188))/0.75))</f>
      </c>
      <c r="BB188" s="51">
        <v>0.1</v>
      </c>
      <c r="BC188" s="1"/>
      <c r="BD188" s="54"/>
      <c r="BE188" s="54"/>
      <c r="BF188" s="74"/>
      <c r="BG188" s="64"/>
      <c r="BH188" s="69"/>
      <c r="BI188" s="45"/>
      <c r="BJ188" s="63"/>
      <c r="BK188" s="49"/>
      <c r="BL188" s="56"/>
      <c r="BM188" s="50"/>
      <c r="BN188" s="57"/>
      <c r="BO188" s="54"/>
      <c r="BP188" s="64"/>
      <c r="BQ188" s="51"/>
      <c r="BR188" s="38">
        <f>IFERROR(BQ188*100/CP188,"N/A")</f>
      </c>
      <c r="BS188" s="61"/>
      <c r="BT188" s="54"/>
      <c r="BU188" s="42"/>
      <c r="BV188" s="78"/>
      <c r="BW188" s="73"/>
      <c r="BX188" s="64"/>
      <c r="BY188" s="52"/>
      <c r="BZ188" s="1"/>
      <c r="CA188" s="62"/>
      <c r="CB188" s="51"/>
      <c r="CC188" s="51"/>
      <c r="CD188" s="58"/>
      <c r="CE188" s="58"/>
      <c r="CF188" s="58"/>
      <c r="CG188" s="58"/>
      <c r="CH188" s="58"/>
      <c r="CI188" s="58"/>
      <c r="CJ188" s="79"/>
      <c r="CK188" s="69"/>
      <c r="CL188" s="79"/>
      <c r="CM188" s="51"/>
      <c r="CN188" s="55"/>
      <c r="CO188" s="42"/>
      <c r="CP188" s="70">
        <f>CN188*BS188*BT188</f>
      </c>
      <c r="CQ188" s="52"/>
      <c r="CR188" s="64">
        <f>100/CP188</f>
      </c>
      <c r="CS188" s="82">
        <f>100/CQ188</f>
      </c>
      <c r="CT188" s="52"/>
      <c r="CU188" s="52"/>
      <c r="CV188" s="82">
        <f>BL188/T188</f>
      </c>
      <c r="CW188" s="82">
        <f>100/CV188</f>
      </c>
      <c r="CX188" s="77"/>
      <c r="CY188" s="85"/>
      <c r="CZ188" s="77"/>
      <c r="DA188" s="77"/>
      <c r="DB188" s="77"/>
      <c r="DC188" s="85"/>
    </row>
    <row r="189">
      <c r="A189" s="84"/>
      <c r="B189" s="53"/>
      <c r="C189" s="71"/>
      <c r="D189" s="71">
        <f>IF($A189="","","WPN"&amp;VLOOKUP(E189,'引用数据库'!Z:AC,4,FALSE)&amp;VLOOKUP(H189,'引用数据库'!N:P,3,FALSE)&amp;VLOOKUP(I189,'引用数据库'!S:U,3,FALSE)&amp;TEXT(F189,"00"))</f>
      </c>
      <c r="E189" s="53"/>
      <c r="F189" s="57"/>
      <c r="G189" s="84"/>
      <c r="H189" s="53"/>
      <c r="I189" s="53"/>
      <c r="J189" s="84"/>
      <c r="K189" s="84"/>
      <c r="L189" s="42"/>
      <c r="M189" s="65"/>
      <c r="N189" s="54"/>
      <c r="O189" s="54"/>
      <c r="P189" s="54"/>
      <c r="Q189" s="54"/>
      <c r="R189" s="54"/>
      <c r="S189" s="54"/>
      <c r="T189" s="54"/>
      <c r="U189" s="51">
        <f>2*T189/(15*(1+(5-BD189)*0.1))</f>
      </c>
      <c r="V189" s="1"/>
      <c r="W189" s="54"/>
      <c r="X189" s="54"/>
      <c r="Y189" s="76"/>
      <c r="Z189" s="76"/>
      <c r="AA189" s="66"/>
      <c r="AB189" s="66"/>
      <c r="AC189" s="66"/>
      <c r="AD189" s="86"/>
      <c r="AE189" s="86"/>
      <c r="AF189" s="1"/>
      <c r="AG189" s="54"/>
      <c r="AH189" s="54"/>
      <c r="AI189" s="1"/>
      <c r="AJ189" s="80"/>
      <c r="AK189" s="80"/>
      <c r="AL189" s="80"/>
      <c r="AM189" s="55">
        <f>IFS(AJ189 &gt; 1.25, "S", AJ189 &gt; 1, "A", AJ189 &gt; 0.75, "B", AJ189 &gt; 0.5, "C", AJ189 &gt; 0.25, "D", AJ189 &gt; 0, "E", TRUE, "-")</f>
      </c>
      <c r="AN189" s="55">
        <f>IFS(AK189 &gt; 1.25, "S", AK189 &gt; 1, "A", AK189 &gt; 0.75, "B", AK189 &gt; 0.5, "C", AK189 &gt; 0.25, "D", AK189 &gt; 0, "E", TRUE, "-")</f>
      </c>
      <c r="AO189" s="55">
        <f>IFS(AL189 &gt; 1.25, "S", AL189 &gt; 1, "A", AL189 &gt; 0.75, "B", AL189 &gt; 0.5, "C", AL189 &gt; 0.25, "D", AL189 &gt; 0, "E", TRUE, "-")</f>
      </c>
      <c r="AP189" s="58"/>
      <c r="AQ189" s="68"/>
      <c r="AR189" s="68"/>
      <c r="AS189" s="55"/>
      <c r="AT189" s="55"/>
      <c r="AU189" s="55"/>
      <c r="AV189" s="61">
        <f>IF(SUM(AJ189:AL189)=0, 0, (1 + F189 * 0.1) * (0.75 + 0.25 * MAX(0, MIN(1, IF(MAX(AJ189:AL189)=0, 0, (3*MAX(AJ189:AL189)-SUM(AJ189:AL189)) / (2*MAX(AJ189:AL189)))))))</f>
      </c>
      <c r="AW189" s="83">
        <f>MAX(AJ189:AL189)</f>
      </c>
      <c r="AX189" s="81">
        <f>IF(AW189=0, "", AW189 / ((1 + 0.1*N(F189))))</f>
      </c>
      <c r="AY189" s="61">
        <f>IF(SUM(AJ189:AL189)=0, 0,     (1 + F189 * 0.1) * (1 + ((SUM(AJ189:AL189) - MAX(AJ189:AL189)) / (2 * MAX(AJ189:AL189))) * (1/0.75 - 1)))</f>
      </c>
      <c r="AZ189" s="83"/>
      <c r="BA189" s="81">
        <f>IF(AZ189=0, "", AZ189 / ((1 + 0.1*N(F189))/0.75))</f>
      </c>
      <c r="BB189" s="51">
        <v>0.1</v>
      </c>
      <c r="BC189" s="1"/>
      <c r="BD189" s="54"/>
      <c r="BE189" s="54"/>
      <c r="BF189" s="74"/>
      <c r="BG189" s="64"/>
      <c r="BH189" s="69"/>
      <c r="BI189" s="45"/>
      <c r="BJ189" s="63"/>
      <c r="BK189" s="49"/>
      <c r="BL189" s="56"/>
      <c r="BM189" s="50"/>
      <c r="BN189" s="57"/>
      <c r="BO189" s="54"/>
      <c r="BP189" s="64"/>
      <c r="BQ189" s="51"/>
      <c r="BR189" s="38">
        <f>IFERROR(BQ189*100/CP189,"N/A")</f>
      </c>
      <c r="BS189" s="61"/>
      <c r="BT189" s="54"/>
      <c r="BU189" s="42"/>
      <c r="BV189" s="78"/>
      <c r="BW189" s="73"/>
      <c r="BX189" s="64"/>
      <c r="BY189" s="52"/>
      <c r="BZ189" s="1"/>
      <c r="CA189" s="62"/>
      <c r="CB189" s="51"/>
      <c r="CC189" s="51"/>
      <c r="CD189" s="58"/>
      <c r="CE189" s="58"/>
      <c r="CF189" s="58"/>
      <c r="CG189" s="58"/>
      <c r="CH189" s="58"/>
      <c r="CI189" s="58"/>
      <c r="CJ189" s="79"/>
      <c r="CK189" s="69"/>
      <c r="CL189" s="79"/>
      <c r="CM189" s="51"/>
      <c r="CN189" s="55"/>
      <c r="CO189" s="42"/>
      <c r="CP189" s="70">
        <f>CN189*BS189*BT189</f>
      </c>
      <c r="CQ189" s="52"/>
      <c r="CR189" s="64">
        <f>100/CP189</f>
      </c>
      <c r="CS189" s="82">
        <f>100/CQ189</f>
      </c>
      <c r="CT189" s="52"/>
      <c r="CU189" s="52"/>
      <c r="CV189" s="82">
        <f>BL189/T189</f>
      </c>
      <c r="CW189" s="82">
        <f>100/CV189</f>
      </c>
      <c r="CX189" s="77"/>
      <c r="CY189" s="85"/>
      <c r="CZ189" s="77"/>
      <c r="DA189" s="77"/>
      <c r="DB189" s="77"/>
      <c r="DC189" s="85"/>
    </row>
    <row r="190">
      <c r="A190" s="84"/>
      <c r="B190" s="53"/>
      <c r="C190" s="71"/>
      <c r="D190" s="71">
        <f>IF($A190="","","WPN"&amp;VLOOKUP(E190,'引用数据库'!Z:AC,4,FALSE)&amp;VLOOKUP(H190,'引用数据库'!N:P,3,FALSE)&amp;VLOOKUP(I190,'引用数据库'!S:U,3,FALSE)&amp;TEXT(F190,"00"))</f>
      </c>
      <c r="E190" s="53"/>
      <c r="F190" s="57"/>
      <c r="G190" s="84"/>
      <c r="H190" s="53"/>
      <c r="I190" s="53"/>
      <c r="J190" s="84"/>
      <c r="K190" s="84"/>
      <c r="L190" s="42"/>
      <c r="M190" s="65"/>
      <c r="N190" s="54"/>
      <c r="O190" s="54"/>
      <c r="P190" s="54"/>
      <c r="Q190" s="54"/>
      <c r="R190" s="54"/>
      <c r="S190" s="54"/>
      <c r="T190" s="54"/>
      <c r="U190" s="51">
        <f>2*T190/(15*(1+(5-BD190)*0.1))</f>
      </c>
      <c r="V190" s="1"/>
      <c r="W190" s="54"/>
      <c r="X190" s="54"/>
      <c r="Y190" s="76"/>
      <c r="Z190" s="76"/>
      <c r="AA190" s="66"/>
      <c r="AB190" s="66"/>
      <c r="AC190" s="66"/>
      <c r="AD190" s="86"/>
      <c r="AE190" s="86"/>
      <c r="AF190" s="1"/>
      <c r="AG190" s="54"/>
      <c r="AH190" s="54"/>
      <c r="AI190" s="1"/>
      <c r="AJ190" s="80"/>
      <c r="AK190" s="80"/>
      <c r="AL190" s="80"/>
      <c r="AM190" s="55">
        <f>IFS(AJ190 &gt; 1.25, "S", AJ190 &gt; 1, "A", AJ190 &gt; 0.75, "B", AJ190 &gt; 0.5, "C", AJ190 &gt; 0.25, "D", AJ190 &gt; 0, "E", TRUE, "-")</f>
      </c>
      <c r="AN190" s="55">
        <f>IFS(AK190 &gt; 1.25, "S", AK190 &gt; 1, "A", AK190 &gt; 0.75, "B", AK190 &gt; 0.5, "C", AK190 &gt; 0.25, "D", AK190 &gt; 0, "E", TRUE, "-")</f>
      </c>
      <c r="AO190" s="55">
        <f>IFS(AL190 &gt; 1.25, "S", AL190 &gt; 1, "A", AL190 &gt; 0.75, "B", AL190 &gt; 0.5, "C", AL190 &gt; 0.25, "D", AL190 &gt; 0, "E", TRUE, "-")</f>
      </c>
      <c r="AP190" s="58"/>
      <c r="AQ190" s="68"/>
      <c r="AR190" s="68"/>
      <c r="AS190" s="55"/>
      <c r="AT190" s="55"/>
      <c r="AU190" s="55"/>
      <c r="AV190" s="61">
        <f>IF(SUM(AJ190:AL190)=0, 0, (1 + F190 * 0.1) * (0.75 + 0.25 * MAX(0, MIN(1, IF(MAX(AJ190:AL190)=0, 0, (3*MAX(AJ190:AL190)-SUM(AJ190:AL190)) / (2*MAX(AJ190:AL190)))))))</f>
      </c>
      <c r="AW190" s="83">
        <f>MAX(AJ190:AL190)</f>
      </c>
      <c r="AX190" s="81">
        <f>IF(AW190=0, "", AW190 / ((1 + 0.1*N(F190))))</f>
      </c>
      <c r="AY190" s="61">
        <f>IF(SUM(AJ190:AL190)=0, 0,     (1 + F190 * 0.1) * (1 + ((SUM(AJ190:AL190) - MAX(AJ190:AL190)) / (2 * MAX(AJ190:AL190))) * (1/0.75 - 1)))</f>
      </c>
      <c r="AZ190" s="83"/>
      <c r="BA190" s="81">
        <f>IF(AZ190=0, "", AZ190 / ((1 + 0.1*N(F190))/0.75))</f>
      </c>
      <c r="BB190" s="51">
        <v>0.1</v>
      </c>
      <c r="BC190" s="1"/>
      <c r="BD190" s="54"/>
      <c r="BE190" s="54"/>
      <c r="BF190" s="74"/>
      <c r="BG190" s="64"/>
      <c r="BH190" s="69"/>
      <c r="BI190" s="45"/>
      <c r="BJ190" s="63"/>
      <c r="BK190" s="49"/>
      <c r="BL190" s="56"/>
      <c r="BM190" s="50"/>
      <c r="BN190" s="57"/>
      <c r="BO190" s="54"/>
      <c r="BP190" s="64"/>
      <c r="BQ190" s="51"/>
      <c r="BR190" s="38">
        <f>IFERROR(BQ190*100/CP190,"N/A")</f>
      </c>
      <c r="BS190" s="61"/>
      <c r="BT190" s="54"/>
      <c r="BU190" s="42"/>
      <c r="BV190" s="78"/>
      <c r="BW190" s="73"/>
      <c r="BX190" s="64"/>
      <c r="BY190" s="52"/>
      <c r="BZ190" s="1"/>
      <c r="CA190" s="62"/>
      <c r="CB190" s="51"/>
      <c r="CC190" s="51"/>
      <c r="CD190" s="58"/>
      <c r="CE190" s="58"/>
      <c r="CF190" s="58"/>
      <c r="CG190" s="58"/>
      <c r="CH190" s="58"/>
      <c r="CI190" s="58"/>
      <c r="CJ190" s="79"/>
      <c r="CK190" s="69"/>
      <c r="CL190" s="79"/>
      <c r="CM190" s="51"/>
      <c r="CN190" s="55"/>
      <c r="CO190" s="42"/>
      <c r="CP190" s="70">
        <f>CN190*BS190*BT190</f>
      </c>
      <c r="CQ190" s="52"/>
      <c r="CR190" s="64">
        <f>100/CP190</f>
      </c>
      <c r="CS190" s="82">
        <f>100/CQ190</f>
      </c>
      <c r="CT190" s="52"/>
      <c r="CU190" s="52"/>
      <c r="CV190" s="82">
        <f>BL190/T190</f>
      </c>
      <c r="CW190" s="82">
        <f>100/CV190</f>
      </c>
      <c r="CX190" s="77"/>
      <c r="CY190" s="85"/>
      <c r="CZ190" s="77"/>
      <c r="DA190" s="77"/>
      <c r="DB190" s="77"/>
      <c r="DC190" s="85"/>
    </row>
    <row r="191">
      <c r="A191" s="84"/>
      <c r="B191" s="53"/>
      <c r="C191" s="71"/>
      <c r="D191" s="71">
        <f>IF($A191="","","WPN"&amp;VLOOKUP(E191,'引用数据库'!Z:AC,4,FALSE)&amp;VLOOKUP(H191,'引用数据库'!N:P,3,FALSE)&amp;VLOOKUP(I191,'引用数据库'!S:U,3,FALSE)&amp;TEXT(F191,"00"))</f>
      </c>
      <c r="E191" s="53"/>
      <c r="F191" s="57"/>
      <c r="G191" s="84"/>
      <c r="H191" s="53"/>
      <c r="I191" s="53"/>
      <c r="J191" s="84"/>
      <c r="K191" s="84"/>
      <c r="L191" s="42"/>
      <c r="M191" s="65"/>
      <c r="N191" s="54"/>
      <c r="O191" s="54"/>
      <c r="P191" s="54"/>
      <c r="Q191" s="54"/>
      <c r="R191" s="54"/>
      <c r="S191" s="54"/>
      <c r="T191" s="54"/>
      <c r="U191" s="51">
        <f>2*T191/(15*(1+(5-BD191)*0.1))</f>
      </c>
      <c r="V191" s="1"/>
      <c r="W191" s="54"/>
      <c r="X191" s="54"/>
      <c r="Y191" s="76"/>
      <c r="Z191" s="76"/>
      <c r="AA191" s="66"/>
      <c r="AB191" s="66"/>
      <c r="AC191" s="66"/>
      <c r="AD191" s="86"/>
      <c r="AE191" s="86"/>
      <c r="AF191" s="1"/>
      <c r="AG191" s="54"/>
      <c r="AH191" s="54"/>
      <c r="AI191" s="1"/>
      <c r="AJ191" s="80"/>
      <c r="AK191" s="80"/>
      <c r="AL191" s="80"/>
      <c r="AM191" s="55">
        <f>IFS(AJ191 &gt; 1.25, "S", AJ191 &gt; 1, "A", AJ191 &gt; 0.75, "B", AJ191 &gt; 0.5, "C", AJ191 &gt; 0.25, "D", AJ191 &gt; 0, "E", TRUE, "-")</f>
      </c>
      <c r="AN191" s="55">
        <f>IFS(AK191 &gt; 1.25, "S", AK191 &gt; 1, "A", AK191 &gt; 0.75, "B", AK191 &gt; 0.5, "C", AK191 &gt; 0.25, "D", AK191 &gt; 0, "E", TRUE, "-")</f>
      </c>
      <c r="AO191" s="55">
        <f>IFS(AL191 &gt; 1.25, "S", AL191 &gt; 1, "A", AL191 &gt; 0.75, "B", AL191 &gt; 0.5, "C", AL191 &gt; 0.25, "D", AL191 &gt; 0, "E", TRUE, "-")</f>
      </c>
      <c r="AP191" s="58"/>
      <c r="AQ191" s="68"/>
      <c r="AR191" s="68"/>
      <c r="AS191" s="55"/>
      <c r="AT191" s="55"/>
      <c r="AU191" s="55"/>
      <c r="AV191" s="61">
        <f>IF(SUM(AJ191:AL191)=0, 0, (1 + F191 * 0.1) * (0.75 + 0.25 * MAX(0, MIN(1, IF(MAX(AJ191:AL191)=0, 0, (3*MAX(AJ191:AL191)-SUM(AJ191:AL191)) / (2*MAX(AJ191:AL191)))))))</f>
      </c>
      <c r="AW191" s="83">
        <f>MAX(AJ191:AL191)</f>
      </c>
      <c r="AX191" s="81">
        <f>IF(AW191=0, "", AW191 / ((1 + 0.1*N(F191))))</f>
      </c>
      <c r="AY191" s="61">
        <f>IF(SUM(AJ191:AL191)=0, 0,     (1 + F191 * 0.1) * (1 + ((SUM(AJ191:AL191) - MAX(AJ191:AL191)) / (2 * MAX(AJ191:AL191))) * (1/0.75 - 1)))</f>
      </c>
      <c r="AZ191" s="83"/>
      <c r="BA191" s="81">
        <f>IF(AZ191=0, "", AZ191 / ((1 + 0.1*N(F191))/0.75))</f>
      </c>
      <c r="BB191" s="51">
        <v>0.1</v>
      </c>
      <c r="BC191" s="1"/>
      <c r="BD191" s="54"/>
      <c r="BE191" s="54"/>
      <c r="BF191" s="74"/>
      <c r="BG191" s="64"/>
      <c r="BH191" s="69"/>
      <c r="BI191" s="45"/>
      <c r="BJ191" s="63"/>
      <c r="BK191" s="49"/>
      <c r="BL191" s="56"/>
      <c r="BM191" s="50"/>
      <c r="BN191" s="57"/>
      <c r="BO191" s="54"/>
      <c r="BP191" s="64"/>
      <c r="BQ191" s="51"/>
      <c r="BR191" s="38">
        <f>IFERROR(BQ191*100/CP191,"N/A")</f>
      </c>
      <c r="BS191" s="61"/>
      <c r="BT191" s="54"/>
      <c r="BU191" s="42"/>
      <c r="BV191" s="78"/>
      <c r="BW191" s="73"/>
      <c r="BX191" s="64"/>
      <c r="BY191" s="52"/>
      <c r="BZ191" s="1"/>
      <c r="CA191" s="62"/>
      <c r="CB191" s="51"/>
      <c r="CC191" s="51"/>
      <c r="CD191" s="58"/>
      <c r="CE191" s="58"/>
      <c r="CF191" s="58"/>
      <c r="CG191" s="58"/>
      <c r="CH191" s="58"/>
      <c r="CI191" s="58"/>
      <c r="CJ191" s="79"/>
      <c r="CK191" s="69"/>
      <c r="CL191" s="79"/>
      <c r="CM191" s="51"/>
      <c r="CN191" s="55"/>
      <c r="CO191" s="42"/>
      <c r="CP191" s="70">
        <f>CN191*BS191*BT191</f>
      </c>
      <c r="CQ191" s="52"/>
      <c r="CR191" s="64">
        <f>100/CP191</f>
      </c>
      <c r="CS191" s="82">
        <f>100/CQ191</f>
      </c>
      <c r="CT191" s="52"/>
      <c r="CU191" s="52"/>
      <c r="CV191" s="82">
        <f>BL191/T191</f>
      </c>
      <c r="CW191" s="82">
        <f>100/CV191</f>
      </c>
      <c r="CX191" s="77"/>
      <c r="CY191" s="85"/>
      <c r="CZ191" s="77"/>
      <c r="DA191" s="77"/>
      <c r="DB191" s="77"/>
      <c r="DC191" s="85"/>
    </row>
    <row r="192">
      <c r="A192" s="84"/>
      <c r="B192" s="53"/>
      <c r="C192" s="71"/>
      <c r="D192" s="71">
        <f>IF($A192="","","WPN"&amp;VLOOKUP(E192,'引用数据库'!Z:AC,4,FALSE)&amp;VLOOKUP(H192,'引用数据库'!N:P,3,FALSE)&amp;VLOOKUP(I192,'引用数据库'!S:U,3,FALSE)&amp;TEXT(F192,"00"))</f>
      </c>
      <c r="E192" s="53"/>
      <c r="F192" s="57"/>
      <c r="G192" s="84"/>
      <c r="H192" s="53"/>
      <c r="I192" s="53"/>
      <c r="J192" s="84"/>
      <c r="K192" s="84"/>
      <c r="L192" s="42"/>
      <c r="M192" s="65"/>
      <c r="N192" s="54"/>
      <c r="O192" s="54"/>
      <c r="P192" s="54"/>
      <c r="Q192" s="54"/>
      <c r="R192" s="54"/>
      <c r="S192" s="54"/>
      <c r="T192" s="54"/>
      <c r="U192" s="51">
        <f>2*T192/(15*(1+(5-BD192)*0.1))</f>
      </c>
      <c r="V192" s="1"/>
      <c r="W192" s="54"/>
      <c r="X192" s="54"/>
      <c r="Y192" s="76"/>
      <c r="Z192" s="76"/>
      <c r="AA192" s="66"/>
      <c r="AB192" s="66"/>
      <c r="AC192" s="66"/>
      <c r="AD192" s="86"/>
      <c r="AE192" s="86"/>
      <c r="AF192" s="1"/>
      <c r="AG192" s="54"/>
      <c r="AH192" s="54"/>
      <c r="AI192" s="1"/>
      <c r="AJ192" s="80"/>
      <c r="AK192" s="80"/>
      <c r="AL192" s="80"/>
      <c r="AM192" s="55">
        <f>IFS(AJ192 &gt; 1.25, "S", AJ192 &gt; 1, "A", AJ192 &gt; 0.75, "B", AJ192 &gt; 0.5, "C", AJ192 &gt; 0.25, "D", AJ192 &gt; 0, "E", TRUE, "-")</f>
      </c>
      <c r="AN192" s="55">
        <f>IFS(AK192 &gt; 1.25, "S", AK192 &gt; 1, "A", AK192 &gt; 0.75, "B", AK192 &gt; 0.5, "C", AK192 &gt; 0.25, "D", AK192 &gt; 0, "E", TRUE, "-")</f>
      </c>
      <c r="AO192" s="55">
        <f>IFS(AL192 &gt; 1.25, "S", AL192 &gt; 1, "A", AL192 &gt; 0.75, "B", AL192 &gt; 0.5, "C", AL192 &gt; 0.25, "D", AL192 &gt; 0, "E", TRUE, "-")</f>
      </c>
      <c r="AP192" s="58"/>
      <c r="AQ192" s="68"/>
      <c r="AR192" s="68"/>
      <c r="AS192" s="55"/>
      <c r="AT192" s="55"/>
      <c r="AU192" s="55"/>
      <c r="AV192" s="61">
        <f>IF(SUM(AJ192:AL192)=0, 0, (1 + F192 * 0.1) * (0.75 + 0.25 * MAX(0, MIN(1, IF(MAX(AJ192:AL192)=0, 0, (3*MAX(AJ192:AL192)-SUM(AJ192:AL192)) / (2*MAX(AJ192:AL192)))))))</f>
      </c>
      <c r="AW192" s="83">
        <f>MAX(AJ192:AL192)</f>
      </c>
      <c r="AX192" s="81">
        <f>IF(AW192=0, "", AW192 / ((1 + 0.1*N(F192))))</f>
      </c>
      <c r="AY192" s="61">
        <f>IF(SUM(AJ192:AL192)=0, 0,     (1 + F192 * 0.1) * (1 + ((SUM(AJ192:AL192) - MAX(AJ192:AL192)) / (2 * MAX(AJ192:AL192))) * (1/0.75 - 1)))</f>
      </c>
      <c r="AZ192" s="83"/>
      <c r="BA192" s="81">
        <f>IF(AZ192=0, "", AZ192 / ((1 + 0.1*N(F192))/0.75))</f>
      </c>
      <c r="BB192" s="51">
        <v>0.1</v>
      </c>
      <c r="BC192" s="1"/>
      <c r="BD192" s="54"/>
      <c r="BE192" s="54"/>
      <c r="BF192" s="74"/>
      <c r="BG192" s="64"/>
      <c r="BH192" s="69"/>
      <c r="BI192" s="45"/>
      <c r="BJ192" s="63"/>
      <c r="BK192" s="49"/>
      <c r="BL192" s="56"/>
      <c r="BM192" s="50"/>
      <c r="BN192" s="57"/>
      <c r="BO192" s="54"/>
      <c r="BP192" s="64"/>
      <c r="BQ192" s="51"/>
      <c r="BR192" s="38">
        <f>IFERROR(BQ192*100/CP192,"N/A")</f>
      </c>
      <c r="BS192" s="61"/>
      <c r="BT192" s="54"/>
      <c r="BU192" s="42"/>
      <c r="BV192" s="78"/>
      <c r="BW192" s="73"/>
      <c r="BX192" s="64"/>
      <c r="BY192" s="52"/>
      <c r="BZ192" s="1"/>
      <c r="CA192" s="62"/>
      <c r="CB192" s="51"/>
      <c r="CC192" s="51"/>
      <c r="CD192" s="58"/>
      <c r="CE192" s="58"/>
      <c r="CF192" s="58"/>
      <c r="CG192" s="58"/>
      <c r="CH192" s="58"/>
      <c r="CI192" s="58"/>
      <c r="CJ192" s="79"/>
      <c r="CK192" s="69"/>
      <c r="CL192" s="79"/>
      <c r="CM192" s="51"/>
      <c r="CN192" s="55"/>
      <c r="CO192" s="42"/>
      <c r="CP192" s="70">
        <f>CN192*BS192*BT192</f>
      </c>
      <c r="CQ192" s="52"/>
      <c r="CR192" s="64">
        <f>100/CP192</f>
      </c>
      <c r="CS192" s="82">
        <f>100/CQ192</f>
      </c>
      <c r="CT192" s="52"/>
      <c r="CU192" s="52"/>
      <c r="CV192" s="82">
        <f>BL192/T192</f>
      </c>
      <c r="CW192" s="82">
        <f>100/CV192</f>
      </c>
      <c r="CX192" s="77"/>
      <c r="CY192" s="85"/>
      <c r="CZ192" s="77"/>
      <c r="DA192" s="77"/>
      <c r="DB192" s="77"/>
      <c r="DC192" s="85"/>
    </row>
    <row r="193">
      <c r="A193" s="84"/>
      <c r="B193" s="53"/>
      <c r="C193" s="71"/>
      <c r="D193" s="71">
        <f>IF($A193="","","WPN"&amp;VLOOKUP(E193,'引用数据库'!Z:AC,4,FALSE)&amp;VLOOKUP(H193,'引用数据库'!N:P,3,FALSE)&amp;VLOOKUP(I193,'引用数据库'!S:U,3,FALSE)&amp;TEXT(F193,"00"))</f>
      </c>
      <c r="E193" s="53"/>
      <c r="F193" s="57"/>
      <c r="G193" s="84"/>
      <c r="H193" s="53"/>
      <c r="I193" s="53"/>
      <c r="J193" s="84"/>
      <c r="K193" s="84"/>
      <c r="L193" s="42"/>
      <c r="M193" s="65"/>
      <c r="N193" s="54"/>
      <c r="O193" s="54"/>
      <c r="P193" s="54"/>
      <c r="Q193" s="54"/>
      <c r="R193" s="54"/>
      <c r="S193" s="54"/>
      <c r="T193" s="54"/>
      <c r="U193" s="51">
        <f>2*T193/(15*(1+(5-BD193)*0.1))</f>
      </c>
      <c r="V193" s="1"/>
      <c r="W193" s="54"/>
      <c r="X193" s="54"/>
      <c r="Y193" s="76"/>
      <c r="Z193" s="76"/>
      <c r="AA193" s="66"/>
      <c r="AB193" s="66"/>
      <c r="AC193" s="66"/>
      <c r="AD193" s="86"/>
      <c r="AE193" s="86"/>
      <c r="AF193" s="1"/>
      <c r="AG193" s="54"/>
      <c r="AH193" s="54"/>
      <c r="AI193" s="1"/>
      <c r="AJ193" s="80"/>
      <c r="AK193" s="80"/>
      <c r="AL193" s="80"/>
      <c r="AM193" s="55">
        <f>IFS(AJ193 &gt; 1.25, "S", AJ193 &gt; 1, "A", AJ193 &gt; 0.75, "B", AJ193 &gt; 0.5, "C", AJ193 &gt; 0.25, "D", AJ193 &gt; 0, "E", TRUE, "-")</f>
      </c>
      <c r="AN193" s="55">
        <f>IFS(AK193 &gt; 1.25, "S", AK193 &gt; 1, "A", AK193 &gt; 0.75, "B", AK193 &gt; 0.5, "C", AK193 &gt; 0.25, "D", AK193 &gt; 0, "E", TRUE, "-")</f>
      </c>
      <c r="AO193" s="55">
        <f>IFS(AL193 &gt; 1.25, "S", AL193 &gt; 1, "A", AL193 &gt; 0.75, "B", AL193 &gt; 0.5, "C", AL193 &gt; 0.25, "D", AL193 &gt; 0, "E", TRUE, "-")</f>
      </c>
      <c r="AP193" s="58"/>
      <c r="AQ193" s="68"/>
      <c r="AR193" s="68"/>
      <c r="AS193" s="55"/>
      <c r="AT193" s="55"/>
      <c r="AU193" s="55"/>
      <c r="AV193" s="61">
        <f>IF(SUM(AJ193:AL193)=0, 0, (1 + F193 * 0.1) * (0.75 + 0.25 * MAX(0, MIN(1, IF(MAX(AJ193:AL193)=0, 0, (3*MAX(AJ193:AL193)-SUM(AJ193:AL193)) / (2*MAX(AJ193:AL193)))))))</f>
      </c>
      <c r="AW193" s="83">
        <f>MAX(AJ193:AL193)</f>
      </c>
      <c r="AX193" s="81">
        <f>IF(AW193=0, "", AW193 / ((1 + 0.1*N(F193))))</f>
      </c>
      <c r="AY193" s="61">
        <f>IF(SUM(AJ193:AL193)=0, 0,     (1 + F193 * 0.1) * (1 + ((SUM(AJ193:AL193) - MAX(AJ193:AL193)) / (2 * MAX(AJ193:AL193))) * (1/0.75 - 1)))</f>
      </c>
      <c r="AZ193" s="83"/>
      <c r="BA193" s="81">
        <f>IF(AZ193=0, "", AZ193 / ((1 + 0.1*N(F193))/0.75))</f>
      </c>
      <c r="BB193" s="51">
        <v>0.1</v>
      </c>
      <c r="BC193" s="1"/>
      <c r="BD193" s="54"/>
      <c r="BE193" s="54"/>
      <c r="BF193" s="74"/>
      <c r="BG193" s="64"/>
      <c r="BH193" s="69"/>
      <c r="BI193" s="45"/>
      <c r="BJ193" s="63"/>
      <c r="BK193" s="49"/>
      <c r="BL193" s="56"/>
      <c r="BM193" s="50"/>
      <c r="BN193" s="57"/>
      <c r="BO193" s="54"/>
      <c r="BP193" s="64"/>
      <c r="BQ193" s="51"/>
      <c r="BR193" s="38">
        <f>IFERROR(BQ193*100/CP193,"N/A")</f>
      </c>
      <c r="BS193" s="61"/>
      <c r="BT193" s="54"/>
      <c r="BU193" s="42"/>
      <c r="BV193" s="78"/>
      <c r="BW193" s="73"/>
      <c r="BX193" s="64"/>
      <c r="BY193" s="52"/>
      <c r="BZ193" s="1"/>
      <c r="CA193" s="62"/>
      <c r="CB193" s="51"/>
      <c r="CC193" s="51"/>
      <c r="CD193" s="58"/>
      <c r="CE193" s="58"/>
      <c r="CF193" s="58"/>
      <c r="CG193" s="58"/>
      <c r="CH193" s="58"/>
      <c r="CI193" s="58"/>
      <c r="CJ193" s="79"/>
      <c r="CK193" s="69"/>
      <c r="CL193" s="79"/>
      <c r="CM193" s="51"/>
      <c r="CN193" s="55"/>
      <c r="CO193" s="42"/>
      <c r="CP193" s="70">
        <f>CN193*BS193*BT193</f>
      </c>
      <c r="CQ193" s="52"/>
      <c r="CR193" s="64">
        <f>100/CP193</f>
      </c>
      <c r="CS193" s="82">
        <f>100/CQ193</f>
      </c>
      <c r="CT193" s="52"/>
      <c r="CU193" s="52"/>
      <c r="CV193" s="82">
        <f>BL193/T193</f>
      </c>
      <c r="CW193" s="82">
        <f>100/CV193</f>
      </c>
      <c r="CX193" s="77"/>
      <c r="CY193" s="85"/>
      <c r="CZ193" s="77"/>
      <c r="DA193" s="77"/>
      <c r="DB193" s="77"/>
      <c r="DC193" s="85"/>
    </row>
    <row r="194">
      <c r="A194" s="84"/>
      <c r="B194" s="53"/>
      <c r="C194" s="71"/>
      <c r="D194" s="71">
        <f>IF($A194="","","WPN"&amp;VLOOKUP(E194,'引用数据库'!Z:AC,4,FALSE)&amp;VLOOKUP(H194,'引用数据库'!N:P,3,FALSE)&amp;VLOOKUP(I194,'引用数据库'!S:U,3,FALSE)&amp;TEXT(F194,"00"))</f>
      </c>
      <c r="E194" s="53"/>
      <c r="F194" s="57"/>
      <c r="G194" s="84"/>
      <c r="H194" s="53"/>
      <c r="I194" s="53"/>
      <c r="J194" s="84"/>
      <c r="K194" s="84"/>
      <c r="L194" s="42"/>
      <c r="M194" s="65"/>
      <c r="N194" s="54"/>
      <c r="O194" s="54"/>
      <c r="P194" s="54"/>
      <c r="Q194" s="54"/>
      <c r="R194" s="54"/>
      <c r="S194" s="54"/>
      <c r="T194" s="54"/>
      <c r="U194" s="51">
        <f>2*T194/(15*(1+(5-BD194)*0.1))</f>
      </c>
      <c r="V194" s="1"/>
      <c r="W194" s="54"/>
      <c r="X194" s="54"/>
      <c r="Y194" s="76"/>
      <c r="Z194" s="76"/>
      <c r="AA194" s="66"/>
      <c r="AB194" s="66"/>
      <c r="AC194" s="66"/>
      <c r="AD194" s="86"/>
      <c r="AE194" s="86"/>
      <c r="AF194" s="1"/>
      <c r="AG194" s="54"/>
      <c r="AH194" s="54"/>
      <c r="AI194" s="1"/>
      <c r="AJ194" s="80"/>
      <c r="AK194" s="80"/>
      <c r="AL194" s="80"/>
      <c r="AM194" s="55">
        <f>IFS(AJ194 &gt; 1.25, "S", AJ194 &gt; 1, "A", AJ194 &gt; 0.75, "B", AJ194 &gt; 0.5, "C", AJ194 &gt; 0.25, "D", AJ194 &gt; 0, "E", TRUE, "-")</f>
      </c>
      <c r="AN194" s="55">
        <f>IFS(AK194 &gt; 1.25, "S", AK194 &gt; 1, "A", AK194 &gt; 0.75, "B", AK194 &gt; 0.5, "C", AK194 &gt; 0.25, "D", AK194 &gt; 0, "E", TRUE, "-")</f>
      </c>
      <c r="AO194" s="55">
        <f>IFS(AL194 &gt; 1.25, "S", AL194 &gt; 1, "A", AL194 &gt; 0.75, "B", AL194 &gt; 0.5, "C", AL194 &gt; 0.25, "D", AL194 &gt; 0, "E", TRUE, "-")</f>
      </c>
      <c r="AP194" s="58"/>
      <c r="AQ194" s="68"/>
      <c r="AR194" s="68"/>
      <c r="AS194" s="55"/>
      <c r="AT194" s="55"/>
      <c r="AU194" s="55"/>
      <c r="AV194" s="61">
        <f>IF(SUM(AJ194:AL194)=0, 0, (1 + F194 * 0.1) * (0.75 + 0.25 * MAX(0, MIN(1, IF(MAX(AJ194:AL194)=0, 0, (3*MAX(AJ194:AL194)-SUM(AJ194:AL194)) / (2*MAX(AJ194:AL194)))))))</f>
      </c>
      <c r="AW194" s="83">
        <f>MAX(AJ194:AL194)</f>
      </c>
      <c r="AX194" s="81">
        <f>IF(AW194=0, "", AW194 / ((1 + 0.1*N(F194))))</f>
      </c>
      <c r="AY194" s="61">
        <f>IF(SUM(AJ194:AL194)=0, 0,     (1 + F194 * 0.1) * (1 + ((SUM(AJ194:AL194) - MAX(AJ194:AL194)) / (2 * MAX(AJ194:AL194))) * (1/0.75 - 1)))</f>
      </c>
      <c r="AZ194" s="83"/>
      <c r="BA194" s="81">
        <f>IF(AZ194=0, "", AZ194 / ((1 + 0.1*N(F194))/0.75))</f>
      </c>
      <c r="BB194" s="51">
        <v>0.1</v>
      </c>
      <c r="BC194" s="1"/>
      <c r="BD194" s="54"/>
      <c r="BE194" s="54"/>
      <c r="BF194" s="74"/>
      <c r="BG194" s="64"/>
      <c r="BH194" s="69"/>
      <c r="BI194" s="45"/>
      <c r="BJ194" s="63"/>
      <c r="BK194" s="49"/>
      <c r="BL194" s="56"/>
      <c r="BM194" s="50"/>
      <c r="BN194" s="57"/>
      <c r="BO194" s="54"/>
      <c r="BP194" s="64"/>
      <c r="BQ194" s="51"/>
      <c r="BR194" s="38">
        <f>IFERROR(BQ194*100/CP194,"N/A")</f>
      </c>
      <c r="BS194" s="61"/>
      <c r="BT194" s="54"/>
      <c r="BU194" s="42"/>
      <c r="BV194" s="78"/>
      <c r="BW194" s="73"/>
      <c r="BX194" s="64"/>
      <c r="BY194" s="52"/>
      <c r="BZ194" s="1"/>
      <c r="CA194" s="62"/>
      <c r="CB194" s="51"/>
      <c r="CC194" s="51"/>
      <c r="CD194" s="58"/>
      <c r="CE194" s="58"/>
      <c r="CF194" s="58"/>
      <c r="CG194" s="58"/>
      <c r="CH194" s="58"/>
      <c r="CI194" s="58"/>
      <c r="CJ194" s="79"/>
      <c r="CK194" s="69"/>
      <c r="CL194" s="79"/>
      <c r="CM194" s="51"/>
      <c r="CN194" s="55"/>
      <c r="CO194" s="42"/>
      <c r="CP194" s="70">
        <f>CN194*BS194*BT194</f>
      </c>
      <c r="CQ194" s="52"/>
      <c r="CR194" s="64">
        <f>100/CP194</f>
      </c>
      <c r="CS194" s="82">
        <f>100/CQ194</f>
      </c>
      <c r="CT194" s="52"/>
      <c r="CU194" s="52"/>
      <c r="CV194" s="82">
        <f>BL194/T194</f>
      </c>
      <c r="CW194" s="82">
        <f>100/CV194</f>
      </c>
      <c r="CX194" s="77"/>
      <c r="CY194" s="85"/>
      <c r="CZ194" s="77"/>
      <c r="DA194" s="77"/>
      <c r="DB194" s="77"/>
      <c r="DC194" s="85"/>
    </row>
    <row r="195">
      <c r="A195" s="84"/>
      <c r="B195" s="53"/>
      <c r="C195" s="71"/>
      <c r="D195" s="71">
        <f>IF($A195="","","WPN"&amp;VLOOKUP(E195,'引用数据库'!Z:AC,4,FALSE)&amp;VLOOKUP(H195,'引用数据库'!N:P,3,FALSE)&amp;VLOOKUP(I195,'引用数据库'!S:U,3,FALSE)&amp;TEXT(F195,"00"))</f>
      </c>
      <c r="E195" s="53"/>
      <c r="F195" s="57"/>
      <c r="G195" s="84"/>
      <c r="H195" s="53"/>
      <c r="I195" s="53"/>
      <c r="J195" s="84"/>
      <c r="K195" s="84"/>
      <c r="L195" s="42"/>
      <c r="M195" s="65"/>
      <c r="N195" s="54"/>
      <c r="O195" s="54"/>
      <c r="P195" s="54"/>
      <c r="Q195" s="54"/>
      <c r="R195" s="54"/>
      <c r="S195" s="54"/>
      <c r="T195" s="54"/>
      <c r="U195" s="51">
        <f>2*T195/(15*(1+(5-BD195)*0.1))</f>
      </c>
      <c r="V195" s="1"/>
      <c r="W195" s="54"/>
      <c r="X195" s="54"/>
      <c r="Y195" s="76"/>
      <c r="Z195" s="76"/>
      <c r="AA195" s="66"/>
      <c r="AB195" s="66"/>
      <c r="AC195" s="66"/>
      <c r="AD195" s="86"/>
      <c r="AE195" s="86"/>
      <c r="AF195" s="1"/>
      <c r="AG195" s="54"/>
      <c r="AH195" s="54"/>
      <c r="AI195" s="1"/>
      <c r="AJ195" s="80"/>
      <c r="AK195" s="80"/>
      <c r="AL195" s="80"/>
      <c r="AM195" s="55">
        <f>IFS(AJ195 &gt; 1.25, "S", AJ195 &gt; 1, "A", AJ195 &gt; 0.75, "B", AJ195 &gt; 0.5, "C", AJ195 &gt; 0.25, "D", AJ195 &gt; 0, "E", TRUE, "-")</f>
      </c>
      <c r="AN195" s="55">
        <f>IFS(AK195 &gt; 1.25, "S", AK195 &gt; 1, "A", AK195 &gt; 0.75, "B", AK195 &gt; 0.5, "C", AK195 &gt; 0.25, "D", AK195 &gt; 0, "E", TRUE, "-")</f>
      </c>
      <c r="AO195" s="55">
        <f>IFS(AL195 &gt; 1.25, "S", AL195 &gt; 1, "A", AL195 &gt; 0.75, "B", AL195 &gt; 0.5, "C", AL195 &gt; 0.25, "D", AL195 &gt; 0, "E", TRUE, "-")</f>
      </c>
      <c r="AP195" s="58"/>
      <c r="AQ195" s="68"/>
      <c r="AR195" s="68"/>
      <c r="AS195" s="55"/>
      <c r="AT195" s="55"/>
      <c r="AU195" s="55"/>
      <c r="AV195" s="61">
        <f>IF(SUM(AJ195:AL195)=0, 0, (1 + F195 * 0.1) * (0.75 + 0.25 * MAX(0, MIN(1, IF(MAX(AJ195:AL195)=0, 0, (3*MAX(AJ195:AL195)-SUM(AJ195:AL195)) / (2*MAX(AJ195:AL195)))))))</f>
      </c>
      <c r="AW195" s="83">
        <f>MAX(AJ195:AL195)</f>
      </c>
      <c r="AX195" s="81">
        <f>IF(AW195=0, "", AW195 / ((1 + 0.1*N(F195))))</f>
      </c>
      <c r="AY195" s="61">
        <f>IF(SUM(AJ195:AL195)=0, 0,     (1 + F195 * 0.1) * (1 + ((SUM(AJ195:AL195) - MAX(AJ195:AL195)) / (2 * MAX(AJ195:AL195))) * (1/0.75 - 1)))</f>
      </c>
      <c r="AZ195" s="83"/>
      <c r="BA195" s="81">
        <f>IF(AZ195=0, "", AZ195 / ((1 + 0.1*N(F195))/0.75))</f>
      </c>
      <c r="BB195" s="51">
        <v>0.1</v>
      </c>
      <c r="BC195" s="1"/>
      <c r="BD195" s="54"/>
      <c r="BE195" s="54"/>
      <c r="BF195" s="74"/>
      <c r="BG195" s="64"/>
      <c r="BH195" s="69"/>
      <c r="BI195" s="45"/>
      <c r="BJ195" s="63"/>
      <c r="BK195" s="49"/>
      <c r="BL195" s="56"/>
      <c r="BM195" s="50"/>
      <c r="BN195" s="57"/>
      <c r="BO195" s="54"/>
      <c r="BP195" s="64"/>
      <c r="BQ195" s="51"/>
      <c r="BR195" s="38">
        <f>IFERROR(BQ195*100/CP195,"N/A")</f>
      </c>
      <c r="BS195" s="61"/>
      <c r="BT195" s="54"/>
      <c r="BU195" s="42"/>
      <c r="BV195" s="78"/>
      <c r="BW195" s="73"/>
      <c r="BX195" s="64"/>
      <c r="BY195" s="52"/>
      <c r="BZ195" s="1"/>
      <c r="CA195" s="62"/>
      <c r="CB195" s="51"/>
      <c r="CC195" s="51"/>
      <c r="CD195" s="58"/>
      <c r="CE195" s="58"/>
      <c r="CF195" s="58"/>
      <c r="CG195" s="58"/>
      <c r="CH195" s="58"/>
      <c r="CI195" s="58"/>
      <c r="CJ195" s="79"/>
      <c r="CK195" s="69"/>
      <c r="CL195" s="79"/>
      <c r="CM195" s="51"/>
      <c r="CN195" s="55"/>
      <c r="CO195" s="42"/>
      <c r="CP195" s="70">
        <f>CN195*BS195*BT195</f>
      </c>
      <c r="CQ195" s="52"/>
      <c r="CR195" s="64">
        <f>100/CP195</f>
      </c>
      <c r="CS195" s="82">
        <f>100/CQ195</f>
      </c>
      <c r="CT195" s="52"/>
      <c r="CU195" s="52"/>
      <c r="CV195" s="82">
        <f>BL195/T195</f>
      </c>
      <c r="CW195" s="82">
        <f>100/CV195</f>
      </c>
      <c r="CX195" s="77"/>
      <c r="CY195" s="85"/>
      <c r="CZ195" s="77"/>
      <c r="DA195" s="77"/>
      <c r="DB195" s="77"/>
      <c r="DC195" s="85"/>
    </row>
    <row r="196">
      <c r="A196" s="84"/>
      <c r="B196" s="53"/>
      <c r="C196" s="71"/>
      <c r="D196" s="71">
        <f>IF($A196="","","WPN"&amp;VLOOKUP(E196,'引用数据库'!Z:AC,4,FALSE)&amp;VLOOKUP(H196,'引用数据库'!N:P,3,FALSE)&amp;VLOOKUP(I196,'引用数据库'!S:U,3,FALSE)&amp;TEXT(F196,"00"))</f>
      </c>
      <c r="E196" s="53"/>
      <c r="F196" s="57"/>
      <c r="G196" s="84"/>
      <c r="H196" s="53"/>
      <c r="I196" s="53"/>
      <c r="J196" s="84"/>
      <c r="K196" s="84"/>
      <c r="L196" s="42"/>
      <c r="M196" s="65"/>
      <c r="N196" s="54"/>
      <c r="O196" s="54"/>
      <c r="P196" s="54"/>
      <c r="Q196" s="54"/>
      <c r="R196" s="54"/>
      <c r="S196" s="54"/>
      <c r="T196" s="54"/>
      <c r="U196" s="51">
        <f>2*T196/(15*(1+(5-BD196)*0.1))</f>
      </c>
      <c r="V196" s="1"/>
      <c r="W196" s="54"/>
      <c r="X196" s="54"/>
      <c r="Y196" s="76"/>
      <c r="Z196" s="76"/>
      <c r="AA196" s="66"/>
      <c r="AB196" s="66"/>
      <c r="AC196" s="66"/>
      <c r="AD196" s="86"/>
      <c r="AE196" s="86"/>
      <c r="AF196" s="1"/>
      <c r="AG196" s="54"/>
      <c r="AH196" s="54"/>
      <c r="AI196" s="1"/>
      <c r="AJ196" s="80"/>
      <c r="AK196" s="80"/>
      <c r="AL196" s="80"/>
      <c r="AM196" s="55">
        <f>IFS(AJ196 &gt; 1.25, "S", AJ196 &gt; 1, "A", AJ196 &gt; 0.75, "B", AJ196 &gt; 0.5, "C", AJ196 &gt; 0.25, "D", AJ196 &gt; 0, "E", TRUE, "-")</f>
      </c>
      <c r="AN196" s="55">
        <f>IFS(AK196 &gt; 1.25, "S", AK196 &gt; 1, "A", AK196 &gt; 0.75, "B", AK196 &gt; 0.5, "C", AK196 &gt; 0.25, "D", AK196 &gt; 0, "E", TRUE, "-")</f>
      </c>
      <c r="AO196" s="55">
        <f>IFS(AL196 &gt; 1.25, "S", AL196 &gt; 1, "A", AL196 &gt; 0.75, "B", AL196 &gt; 0.5, "C", AL196 &gt; 0.25, "D", AL196 &gt; 0, "E", TRUE, "-")</f>
      </c>
      <c r="AP196" s="58"/>
      <c r="AQ196" s="68"/>
      <c r="AR196" s="68"/>
      <c r="AS196" s="55"/>
      <c r="AT196" s="55"/>
      <c r="AU196" s="55"/>
      <c r="AV196" s="61">
        <f>IF(SUM(AJ196:AL196)=0, 0, (1 + F196 * 0.1) * (0.75 + 0.25 * MAX(0, MIN(1, IF(MAX(AJ196:AL196)=0, 0, (3*MAX(AJ196:AL196)-SUM(AJ196:AL196)) / (2*MAX(AJ196:AL196)))))))</f>
      </c>
      <c r="AW196" s="83">
        <f>MAX(AJ196:AL196)</f>
      </c>
      <c r="AX196" s="81">
        <f>IF(AW196=0, "", AW196 / ((1 + 0.1*N(F196))))</f>
      </c>
      <c r="AY196" s="61">
        <f>IF(SUM(AJ196:AL196)=0, 0,     (1 + F196 * 0.1) * (1 + ((SUM(AJ196:AL196) - MAX(AJ196:AL196)) / (2 * MAX(AJ196:AL196))) * (1/0.75 - 1)))</f>
      </c>
      <c r="AZ196" s="83"/>
      <c r="BA196" s="81">
        <f>IF(AZ196=0, "", AZ196 / ((1 + 0.1*N(F196))/0.75))</f>
      </c>
      <c r="BB196" s="51">
        <v>0.1</v>
      </c>
      <c r="BC196" s="1"/>
      <c r="BD196" s="54"/>
      <c r="BE196" s="54"/>
      <c r="BF196" s="74"/>
      <c r="BG196" s="64"/>
      <c r="BH196" s="69"/>
      <c r="BI196" s="45"/>
      <c r="BJ196" s="63"/>
      <c r="BK196" s="49"/>
      <c r="BL196" s="56"/>
      <c r="BM196" s="50"/>
      <c r="BN196" s="57"/>
      <c r="BO196" s="54"/>
      <c r="BP196" s="64"/>
      <c r="BQ196" s="51"/>
      <c r="BR196" s="38">
        <f>IFERROR(BQ196*100/CP196,"N/A")</f>
      </c>
      <c r="BS196" s="61"/>
      <c r="BT196" s="54"/>
      <c r="BU196" s="42"/>
      <c r="BV196" s="78"/>
      <c r="BW196" s="73"/>
      <c r="BX196" s="64"/>
      <c r="BY196" s="52"/>
      <c r="BZ196" s="1"/>
      <c r="CA196" s="62"/>
      <c r="CB196" s="51"/>
      <c r="CC196" s="51"/>
      <c r="CD196" s="58"/>
      <c r="CE196" s="58"/>
      <c r="CF196" s="58"/>
      <c r="CG196" s="58"/>
      <c r="CH196" s="58"/>
      <c r="CI196" s="58"/>
      <c r="CJ196" s="79"/>
      <c r="CK196" s="69"/>
      <c r="CL196" s="79"/>
      <c r="CM196" s="51"/>
      <c r="CN196" s="55"/>
      <c r="CO196" s="42"/>
      <c r="CP196" s="70">
        <f>CN196*BS196*BT196</f>
      </c>
      <c r="CQ196" s="52"/>
      <c r="CR196" s="64">
        <f>100/CP196</f>
      </c>
      <c r="CS196" s="82">
        <f>100/CQ196</f>
      </c>
      <c r="CT196" s="52"/>
      <c r="CU196" s="52"/>
      <c r="CV196" s="82">
        <f>BL196/T196</f>
      </c>
      <c r="CW196" s="82">
        <f>100/CV196</f>
      </c>
      <c r="CX196" s="77"/>
      <c r="CY196" s="85"/>
      <c r="CZ196" s="77"/>
      <c r="DA196" s="77"/>
      <c r="DB196" s="77"/>
      <c r="DC196" s="85"/>
    </row>
    <row r="197">
      <c r="A197" s="84"/>
      <c r="B197" s="53"/>
      <c r="C197" s="71"/>
      <c r="D197" s="71">
        <f>IF($A197="","","WPN"&amp;VLOOKUP(E197,'引用数据库'!Z:AC,4,FALSE)&amp;VLOOKUP(H197,'引用数据库'!N:P,3,FALSE)&amp;VLOOKUP(I197,'引用数据库'!S:U,3,FALSE)&amp;TEXT(F197,"00"))</f>
      </c>
      <c r="E197" s="53"/>
      <c r="F197" s="57"/>
      <c r="G197" s="84"/>
      <c r="H197" s="53"/>
      <c r="I197" s="53"/>
      <c r="J197" s="84"/>
      <c r="K197" s="84"/>
      <c r="L197" s="42"/>
      <c r="M197" s="65"/>
      <c r="N197" s="54"/>
      <c r="O197" s="54"/>
      <c r="P197" s="54"/>
      <c r="Q197" s="54"/>
      <c r="R197" s="54"/>
      <c r="S197" s="54"/>
      <c r="T197" s="54"/>
      <c r="U197" s="51">
        <f>2*T197/(15*(1+(5-BD197)*0.1))</f>
      </c>
      <c r="V197" s="1"/>
      <c r="W197" s="54"/>
      <c r="X197" s="54"/>
      <c r="Y197" s="76"/>
      <c r="Z197" s="76"/>
      <c r="AA197" s="66"/>
      <c r="AB197" s="66"/>
      <c r="AC197" s="66"/>
      <c r="AD197" s="86"/>
      <c r="AE197" s="86"/>
      <c r="AF197" s="1"/>
      <c r="AG197" s="54"/>
      <c r="AH197" s="54"/>
      <c r="AI197" s="1"/>
      <c r="AJ197" s="80"/>
      <c r="AK197" s="80"/>
      <c r="AL197" s="80"/>
      <c r="AM197" s="55">
        <f>IFS(AJ197 &gt; 1.25, "S", AJ197 &gt; 1, "A", AJ197 &gt; 0.75, "B", AJ197 &gt; 0.5, "C", AJ197 &gt; 0.25, "D", AJ197 &gt; 0, "E", TRUE, "-")</f>
      </c>
      <c r="AN197" s="55">
        <f>IFS(AK197 &gt; 1.25, "S", AK197 &gt; 1, "A", AK197 &gt; 0.75, "B", AK197 &gt; 0.5, "C", AK197 &gt; 0.25, "D", AK197 &gt; 0, "E", TRUE, "-")</f>
      </c>
      <c r="AO197" s="55">
        <f>IFS(AL197 &gt; 1.25, "S", AL197 &gt; 1, "A", AL197 &gt; 0.75, "B", AL197 &gt; 0.5, "C", AL197 &gt; 0.25, "D", AL197 &gt; 0, "E", TRUE, "-")</f>
      </c>
      <c r="AP197" s="58"/>
      <c r="AQ197" s="68"/>
      <c r="AR197" s="68"/>
      <c r="AS197" s="55"/>
      <c r="AT197" s="55"/>
      <c r="AU197" s="55"/>
      <c r="AV197" s="61">
        <f>IF(SUM(AJ197:AL197)=0, 0, (1 + F197 * 0.1) * (0.75 + 0.25 * MAX(0, MIN(1, IF(MAX(AJ197:AL197)=0, 0, (3*MAX(AJ197:AL197)-SUM(AJ197:AL197)) / (2*MAX(AJ197:AL197)))))))</f>
      </c>
      <c r="AW197" s="83">
        <f>MAX(AJ197:AL197)</f>
      </c>
      <c r="AX197" s="81">
        <f>IF(AW197=0, "", AW197 / ((1 + 0.1*N(F197))))</f>
      </c>
      <c r="AY197" s="61">
        <f>IF(SUM(AJ197:AL197)=0, 0,     (1 + F197 * 0.1) * (1 + ((SUM(AJ197:AL197) - MAX(AJ197:AL197)) / (2 * MAX(AJ197:AL197))) * (1/0.75 - 1)))</f>
      </c>
      <c r="AZ197" s="83"/>
      <c r="BA197" s="81">
        <f>IF(AZ197=0, "", AZ197 / ((1 + 0.1*N(F197))/0.75))</f>
      </c>
      <c r="BB197" s="51">
        <v>0.1</v>
      </c>
      <c r="BC197" s="1"/>
      <c r="BD197" s="54"/>
      <c r="BE197" s="54"/>
      <c r="BF197" s="74"/>
      <c r="BG197" s="64"/>
      <c r="BH197" s="69"/>
      <c r="BI197" s="45"/>
      <c r="BJ197" s="63"/>
      <c r="BK197" s="49"/>
      <c r="BL197" s="56"/>
      <c r="BM197" s="50"/>
      <c r="BN197" s="57"/>
      <c r="BO197" s="54"/>
      <c r="BP197" s="64"/>
      <c r="BQ197" s="51"/>
      <c r="BR197" s="38">
        <f>IFERROR(BQ197*100/CP197,"N/A")</f>
      </c>
      <c r="BS197" s="61"/>
      <c r="BT197" s="54"/>
      <c r="BU197" s="42"/>
      <c r="BV197" s="78"/>
      <c r="BW197" s="73"/>
      <c r="BX197" s="64"/>
      <c r="BY197" s="52"/>
      <c r="BZ197" s="1"/>
      <c r="CA197" s="62"/>
      <c r="CB197" s="51"/>
      <c r="CC197" s="51"/>
      <c r="CD197" s="58"/>
      <c r="CE197" s="58"/>
      <c r="CF197" s="58"/>
      <c r="CG197" s="58"/>
      <c r="CH197" s="58"/>
      <c r="CI197" s="58"/>
      <c r="CJ197" s="79"/>
      <c r="CK197" s="69"/>
      <c r="CL197" s="79"/>
      <c r="CM197" s="51"/>
      <c r="CN197" s="55"/>
      <c r="CO197" s="42"/>
      <c r="CP197" s="70">
        <f>CN197*BS197*BT197</f>
      </c>
      <c r="CQ197" s="52"/>
      <c r="CR197" s="64">
        <f>100/CP197</f>
      </c>
      <c r="CS197" s="82">
        <f>100/CQ197</f>
      </c>
      <c r="CT197" s="52"/>
      <c r="CU197" s="52"/>
      <c r="CV197" s="82">
        <f>BL197/T197</f>
      </c>
      <c r="CW197" s="82">
        <f>100/CV197</f>
      </c>
      <c r="CX197" s="77"/>
      <c r="CY197" s="85"/>
      <c r="CZ197" s="77"/>
      <c r="DA197" s="77"/>
      <c r="DB197" s="77"/>
      <c r="DC197" s="85"/>
    </row>
    <row r="198">
      <c r="A198" s="84"/>
      <c r="B198" s="53"/>
      <c r="C198" s="71"/>
      <c r="D198" s="71">
        <f>IF($A198="","","WPN"&amp;VLOOKUP(E198,'引用数据库'!Z:AC,4,FALSE)&amp;VLOOKUP(H198,'引用数据库'!N:P,3,FALSE)&amp;VLOOKUP(I198,'引用数据库'!S:U,3,FALSE)&amp;TEXT(F198,"00"))</f>
      </c>
      <c r="E198" s="53"/>
      <c r="F198" s="57"/>
      <c r="G198" s="84"/>
      <c r="H198" s="53"/>
      <c r="I198" s="53"/>
      <c r="J198" s="84"/>
      <c r="K198" s="84"/>
      <c r="L198" s="42"/>
      <c r="M198" s="65"/>
      <c r="N198" s="54"/>
      <c r="O198" s="54"/>
      <c r="P198" s="54"/>
      <c r="Q198" s="54"/>
      <c r="R198" s="54"/>
      <c r="S198" s="54"/>
      <c r="T198" s="54"/>
      <c r="U198" s="51">
        <f>2*T198/(15*(1+(5-BD198)*0.1))</f>
      </c>
      <c r="V198" s="1"/>
      <c r="W198" s="54"/>
      <c r="X198" s="54"/>
      <c r="Y198" s="76"/>
      <c r="Z198" s="76"/>
      <c r="AA198" s="66"/>
      <c r="AB198" s="66"/>
      <c r="AC198" s="66"/>
      <c r="AD198" s="86"/>
      <c r="AE198" s="86"/>
      <c r="AF198" s="1"/>
      <c r="AG198" s="54"/>
      <c r="AH198" s="54"/>
      <c r="AI198" s="1"/>
      <c r="AJ198" s="80"/>
      <c r="AK198" s="80"/>
      <c r="AL198" s="80"/>
      <c r="AM198" s="55">
        <f>IFS(AJ198 &gt; 1.25, "S", AJ198 &gt; 1, "A", AJ198 &gt; 0.75, "B", AJ198 &gt; 0.5, "C", AJ198 &gt; 0.25, "D", AJ198 &gt; 0, "E", TRUE, "-")</f>
      </c>
      <c r="AN198" s="55">
        <f>IFS(AK198 &gt; 1.25, "S", AK198 &gt; 1, "A", AK198 &gt; 0.75, "B", AK198 &gt; 0.5, "C", AK198 &gt; 0.25, "D", AK198 &gt; 0, "E", TRUE, "-")</f>
      </c>
      <c r="AO198" s="55">
        <f>IFS(AL198 &gt; 1.25, "S", AL198 &gt; 1, "A", AL198 &gt; 0.75, "B", AL198 &gt; 0.5, "C", AL198 &gt; 0.25, "D", AL198 &gt; 0, "E", TRUE, "-")</f>
      </c>
      <c r="AP198" s="58"/>
      <c r="AQ198" s="68"/>
      <c r="AR198" s="68"/>
      <c r="AS198" s="55"/>
      <c r="AT198" s="55"/>
      <c r="AU198" s="55"/>
      <c r="AV198" s="61">
        <f>IF(SUM(AJ198:AL198)=0, 0, (1 + F198 * 0.1) * (0.75 + 0.25 * MAX(0, MIN(1, IF(MAX(AJ198:AL198)=0, 0, (3*MAX(AJ198:AL198)-SUM(AJ198:AL198)) / (2*MAX(AJ198:AL198)))))))</f>
      </c>
      <c r="AW198" s="83">
        <f>MAX(AJ198:AL198)</f>
      </c>
      <c r="AX198" s="81">
        <f>IF(AW198=0, "", AW198 / ((1 + 0.1*N(F198))))</f>
      </c>
      <c r="AY198" s="61">
        <f>IF(SUM(AJ198:AL198)=0, 0,     (1 + F198 * 0.1) * (1 + ((SUM(AJ198:AL198) - MAX(AJ198:AL198)) / (2 * MAX(AJ198:AL198))) * (1/0.75 - 1)))</f>
      </c>
      <c r="AZ198" s="83"/>
      <c r="BA198" s="81">
        <f>IF(AZ198=0, "", AZ198 / ((1 + 0.1*N(F198))/0.75))</f>
      </c>
      <c r="BB198" s="51">
        <v>0.1</v>
      </c>
      <c r="BC198" s="1"/>
      <c r="BD198" s="54"/>
      <c r="BE198" s="54"/>
      <c r="BF198" s="74"/>
      <c r="BG198" s="64"/>
      <c r="BH198" s="69"/>
      <c r="BI198" s="45"/>
      <c r="BJ198" s="63"/>
      <c r="BK198" s="49"/>
      <c r="BL198" s="56"/>
      <c r="BM198" s="50"/>
      <c r="BN198" s="57"/>
      <c r="BO198" s="54"/>
      <c r="BP198" s="64"/>
      <c r="BQ198" s="51"/>
      <c r="BR198" s="38">
        <f>IFERROR(BQ198*100/CP198,"N/A")</f>
      </c>
      <c r="BS198" s="61"/>
      <c r="BT198" s="54"/>
      <c r="BU198" s="42"/>
      <c r="BV198" s="78"/>
      <c r="BW198" s="73"/>
      <c r="BX198" s="64"/>
      <c r="BY198" s="52"/>
      <c r="BZ198" s="1"/>
      <c r="CA198" s="62"/>
      <c r="CB198" s="51"/>
      <c r="CC198" s="51"/>
      <c r="CD198" s="58"/>
      <c r="CE198" s="58"/>
      <c r="CF198" s="58"/>
      <c r="CG198" s="58"/>
      <c r="CH198" s="58"/>
      <c r="CI198" s="58"/>
      <c r="CJ198" s="79"/>
      <c r="CK198" s="69"/>
      <c r="CL198" s="79"/>
      <c r="CM198" s="51"/>
      <c r="CN198" s="55"/>
      <c r="CO198" s="42"/>
      <c r="CP198" s="70">
        <f>CN198*BS198*BT198</f>
      </c>
      <c r="CQ198" s="52"/>
      <c r="CR198" s="64">
        <f>100/CP198</f>
      </c>
      <c r="CS198" s="82">
        <f>100/CQ198</f>
      </c>
      <c r="CT198" s="52"/>
      <c r="CU198" s="52"/>
      <c r="CV198" s="82">
        <f>BL198/T198</f>
      </c>
      <c r="CW198" s="82">
        <f>100/CV198</f>
      </c>
      <c r="CX198" s="77"/>
      <c r="CY198" s="85"/>
      <c r="CZ198" s="77"/>
      <c r="DA198" s="77"/>
      <c r="DB198" s="77"/>
      <c r="DC198" s="85"/>
    </row>
    <row r="199">
      <c r="A199" s="84"/>
      <c r="B199" s="53"/>
      <c r="C199" s="71"/>
      <c r="D199" s="71">
        <f>IF($A199="","","WPN"&amp;VLOOKUP(E199,'引用数据库'!Z:AC,4,FALSE)&amp;VLOOKUP(H199,'引用数据库'!N:P,3,FALSE)&amp;VLOOKUP(I199,'引用数据库'!S:U,3,FALSE)&amp;TEXT(F199,"00"))</f>
      </c>
      <c r="E199" s="53"/>
      <c r="F199" s="57"/>
      <c r="G199" s="84"/>
      <c r="H199" s="53"/>
      <c r="I199" s="53"/>
      <c r="J199" s="84"/>
      <c r="K199" s="84"/>
      <c r="L199" s="42"/>
      <c r="M199" s="65"/>
      <c r="N199" s="54"/>
      <c r="O199" s="54"/>
      <c r="P199" s="54"/>
      <c r="Q199" s="54"/>
      <c r="R199" s="54"/>
      <c r="S199" s="54"/>
      <c r="T199" s="54"/>
      <c r="U199" s="51">
        <f>2*T199/(15*(1+(5-BD199)*0.1))</f>
      </c>
      <c r="V199" s="1"/>
      <c r="W199" s="54"/>
      <c r="X199" s="54"/>
      <c r="Y199" s="76"/>
      <c r="Z199" s="76"/>
      <c r="AA199" s="66"/>
      <c r="AB199" s="66"/>
      <c r="AC199" s="66"/>
      <c r="AD199" s="86"/>
      <c r="AE199" s="86"/>
      <c r="AF199" s="1"/>
      <c r="AG199" s="54"/>
      <c r="AH199" s="54"/>
      <c r="AI199" s="1"/>
      <c r="AJ199" s="80"/>
      <c r="AK199" s="80"/>
      <c r="AL199" s="80"/>
      <c r="AM199" s="55">
        <f>IFS(AJ199 &gt; 1.25, "S", AJ199 &gt; 1, "A", AJ199 &gt; 0.75, "B", AJ199 &gt; 0.5, "C", AJ199 &gt; 0.25, "D", AJ199 &gt; 0, "E", TRUE, "-")</f>
      </c>
      <c r="AN199" s="55">
        <f>IFS(AK199 &gt; 1.25, "S", AK199 &gt; 1, "A", AK199 &gt; 0.75, "B", AK199 &gt; 0.5, "C", AK199 &gt; 0.25, "D", AK199 &gt; 0, "E", TRUE, "-")</f>
      </c>
      <c r="AO199" s="55">
        <f>IFS(AL199 &gt; 1.25, "S", AL199 &gt; 1, "A", AL199 &gt; 0.75, "B", AL199 &gt; 0.5, "C", AL199 &gt; 0.25, "D", AL199 &gt; 0, "E", TRUE, "-")</f>
      </c>
      <c r="AP199" s="58"/>
      <c r="AQ199" s="68"/>
      <c r="AR199" s="68"/>
      <c r="AS199" s="55"/>
      <c r="AT199" s="55"/>
      <c r="AU199" s="55"/>
      <c r="AV199" s="61">
        <f>IF(SUM(AJ199:AL199)=0, 0, (1 + F199 * 0.1) * (0.75 + 0.25 * MAX(0, MIN(1, IF(MAX(AJ199:AL199)=0, 0, (3*MAX(AJ199:AL199)-SUM(AJ199:AL199)) / (2*MAX(AJ199:AL199)))))))</f>
      </c>
      <c r="AW199" s="83">
        <f>MAX(AJ199:AL199)</f>
      </c>
      <c r="AX199" s="81">
        <f>IF(AW199=0, "", AW199 / ((1 + 0.1*N(F199))))</f>
      </c>
      <c r="AY199" s="61">
        <f>IF(SUM(AJ199:AL199)=0, 0,     (1 + F199 * 0.1) * (1 + ((SUM(AJ199:AL199) - MAX(AJ199:AL199)) / (2 * MAX(AJ199:AL199))) * (1/0.75 - 1)))</f>
      </c>
      <c r="AZ199" s="83"/>
      <c r="BA199" s="81">
        <f>IF(AZ199=0, "", AZ199 / ((1 + 0.1*N(F199))/0.75))</f>
      </c>
      <c r="BB199" s="51">
        <v>0.1</v>
      </c>
      <c r="BC199" s="1"/>
      <c r="BD199" s="54"/>
      <c r="BE199" s="54"/>
      <c r="BF199" s="74"/>
      <c r="BG199" s="64"/>
      <c r="BH199" s="69"/>
      <c r="BI199" s="45"/>
      <c r="BJ199" s="63"/>
      <c r="BK199" s="49"/>
      <c r="BL199" s="56"/>
      <c r="BM199" s="50"/>
      <c r="BN199" s="57"/>
      <c r="BO199" s="54"/>
      <c r="BP199" s="64"/>
      <c r="BQ199" s="51"/>
      <c r="BR199" s="38">
        <f>IFERROR(BQ199*100/CP199,"N/A")</f>
      </c>
      <c r="BS199" s="61"/>
      <c r="BT199" s="54"/>
      <c r="BU199" s="42"/>
      <c r="BV199" s="78"/>
      <c r="BW199" s="73"/>
      <c r="BX199" s="64"/>
      <c r="BY199" s="52"/>
      <c r="BZ199" s="1"/>
      <c r="CA199" s="62"/>
      <c r="CB199" s="51"/>
      <c r="CC199" s="51"/>
      <c r="CD199" s="58"/>
      <c r="CE199" s="58"/>
      <c r="CF199" s="58"/>
      <c r="CG199" s="58"/>
      <c r="CH199" s="58"/>
      <c r="CI199" s="58"/>
      <c r="CJ199" s="79"/>
      <c r="CK199" s="69"/>
      <c r="CL199" s="79"/>
      <c r="CM199" s="51"/>
      <c r="CN199" s="55"/>
      <c r="CO199" s="42"/>
      <c r="CP199" s="70">
        <f>CN199*BS199*BT199</f>
      </c>
      <c r="CQ199" s="52"/>
      <c r="CR199" s="64">
        <f>100/CP199</f>
      </c>
      <c r="CS199" s="82">
        <f>100/CQ199</f>
      </c>
      <c r="CT199" s="52"/>
      <c r="CU199" s="52"/>
      <c r="CV199" s="82">
        <f>BL199/T199</f>
      </c>
      <c r="CW199" s="82">
        <f>100/CV199</f>
      </c>
      <c r="CX199" s="77"/>
      <c r="CY199" s="85"/>
      <c r="CZ199" s="77"/>
      <c r="DA199" s="77"/>
      <c r="DB199" s="77"/>
      <c r="DC199" s="85"/>
    </row>
    <row r="200">
      <c r="A200" s="84"/>
      <c r="B200" s="53"/>
      <c r="C200" s="71"/>
      <c r="D200" s="71">
        <f>IF($A200="","","WPN"&amp;VLOOKUP(E200,'引用数据库'!Z:AC,4,FALSE)&amp;VLOOKUP(H200,'引用数据库'!N:P,3,FALSE)&amp;VLOOKUP(I200,'引用数据库'!S:U,3,FALSE)&amp;TEXT(F200,"00"))</f>
      </c>
      <c r="E200" s="53"/>
      <c r="F200" s="57"/>
      <c r="G200" s="84"/>
      <c r="H200" s="53"/>
      <c r="I200" s="53"/>
      <c r="J200" s="84"/>
      <c r="K200" s="84"/>
      <c r="L200" s="42"/>
      <c r="M200" s="65"/>
      <c r="N200" s="54"/>
      <c r="O200" s="54"/>
      <c r="P200" s="54"/>
      <c r="Q200" s="54"/>
      <c r="R200" s="54"/>
      <c r="S200" s="54"/>
      <c r="T200" s="54"/>
      <c r="U200" s="51">
        <f>2*T200/(15*(1+(5-BD200)*0.1))</f>
      </c>
      <c r="V200" s="1"/>
      <c r="W200" s="54"/>
      <c r="X200" s="54"/>
      <c r="Y200" s="76"/>
      <c r="Z200" s="76"/>
      <c r="AA200" s="66"/>
      <c r="AB200" s="66"/>
      <c r="AC200" s="66"/>
      <c r="AD200" s="86"/>
      <c r="AE200" s="86"/>
      <c r="AF200" s="1"/>
      <c r="AG200" s="54"/>
      <c r="AH200" s="54"/>
      <c r="AI200" s="1"/>
      <c r="AJ200" s="80"/>
      <c r="AK200" s="80"/>
      <c r="AL200" s="80"/>
      <c r="AM200" s="55">
        <f>IFS(AJ200 &gt; 1.25, "S", AJ200 &gt; 1, "A", AJ200 &gt; 0.75, "B", AJ200 &gt; 0.5, "C", AJ200 &gt; 0.25, "D", AJ200 &gt; 0, "E", TRUE, "-")</f>
      </c>
      <c r="AN200" s="55">
        <f>IFS(AK200 &gt; 1.25, "S", AK200 &gt; 1, "A", AK200 &gt; 0.75, "B", AK200 &gt; 0.5, "C", AK200 &gt; 0.25, "D", AK200 &gt; 0, "E", TRUE, "-")</f>
      </c>
      <c r="AO200" s="55">
        <f>IFS(AL200 &gt; 1.25, "S", AL200 &gt; 1, "A", AL200 &gt; 0.75, "B", AL200 &gt; 0.5, "C", AL200 &gt; 0.25, "D", AL200 &gt; 0, "E", TRUE, "-")</f>
      </c>
      <c r="AP200" s="58"/>
      <c r="AQ200" s="68"/>
      <c r="AR200" s="68"/>
      <c r="AS200" s="55"/>
      <c r="AT200" s="55"/>
      <c r="AU200" s="55"/>
      <c r="AV200" s="61">
        <f>IF(SUM(AJ200:AL200)=0, 0, (1 + F200 * 0.1) * (0.75 + 0.25 * MAX(0, MIN(1, IF(MAX(AJ200:AL200)=0, 0, (3*MAX(AJ200:AL200)-SUM(AJ200:AL200)) / (2*MAX(AJ200:AL200)))))))</f>
      </c>
      <c r="AW200" s="83">
        <f>MAX(AJ200:AL200)</f>
      </c>
      <c r="AX200" s="81">
        <f>IF(AW200=0, "", AW200 / ((1 + 0.1*N(F200))))</f>
      </c>
      <c r="AY200" s="61">
        <f>IF(SUM(AJ200:AL200)=0, 0,     (1 + F200 * 0.1) * (1 + ((SUM(AJ200:AL200) - MAX(AJ200:AL200)) / (2 * MAX(AJ200:AL200))) * (1/0.75 - 1)))</f>
      </c>
      <c r="AZ200" s="83"/>
      <c r="BA200" s="81">
        <f>IF(AZ200=0, "", AZ200 / ((1 + 0.1*N(F200))/0.75))</f>
      </c>
      <c r="BB200" s="51">
        <v>0.1</v>
      </c>
      <c r="BC200" s="1"/>
      <c r="BD200" s="54"/>
      <c r="BE200" s="54"/>
      <c r="BF200" s="74"/>
      <c r="BG200" s="64"/>
      <c r="BH200" s="69"/>
      <c r="BI200" s="45"/>
      <c r="BJ200" s="63"/>
      <c r="BK200" s="49"/>
      <c r="BL200" s="56"/>
      <c r="BM200" s="50"/>
      <c r="BN200" s="57"/>
      <c r="BO200" s="54"/>
      <c r="BP200" s="64"/>
      <c r="BQ200" s="51"/>
      <c r="BR200" s="38">
        <f>IFERROR(BQ200*100/CP200,"N/A")</f>
      </c>
      <c r="BS200" s="61"/>
      <c r="BT200" s="54"/>
      <c r="BU200" s="42"/>
      <c r="BV200" s="78"/>
      <c r="BW200" s="73"/>
      <c r="BX200" s="64"/>
      <c r="BY200" s="52"/>
      <c r="BZ200" s="1"/>
      <c r="CA200" s="62"/>
      <c r="CB200" s="51"/>
      <c r="CC200" s="51"/>
      <c r="CD200" s="58"/>
      <c r="CE200" s="58"/>
      <c r="CF200" s="58"/>
      <c r="CG200" s="58"/>
      <c r="CH200" s="58"/>
      <c r="CI200" s="58"/>
      <c r="CJ200" s="79"/>
      <c r="CK200" s="69"/>
      <c r="CL200" s="79"/>
      <c r="CM200" s="51"/>
      <c r="CN200" s="55"/>
      <c r="CO200" s="42"/>
      <c r="CP200" s="70">
        <f>CN200*BS200*BT200</f>
      </c>
      <c r="CQ200" s="52"/>
      <c r="CR200" s="64">
        <f>100/CP200</f>
      </c>
      <c r="CS200" s="82">
        <f>100/CQ200</f>
      </c>
      <c r="CT200" s="52"/>
      <c r="CU200" s="52"/>
      <c r="CV200" s="82">
        <f>BL200/T200</f>
      </c>
      <c r="CW200" s="82">
        <f>100/CV200</f>
      </c>
      <c r="CX200" s="77"/>
      <c r="CY200" s="85"/>
      <c r="CZ200" s="77"/>
      <c r="DA200" s="77"/>
      <c r="DB200" s="77"/>
      <c r="DC200" s="85"/>
    </row>
    <row r="201">
      <c r="A201" s="84"/>
      <c r="B201" s="53"/>
      <c r="C201" s="71"/>
      <c r="D201" s="71">
        <f>IF($A201="","","WPN"&amp;VLOOKUP(E201,'引用数据库'!Z:AC,4,FALSE)&amp;VLOOKUP(H201,'引用数据库'!N:P,3,FALSE)&amp;VLOOKUP(I201,'引用数据库'!S:U,3,FALSE)&amp;TEXT(F201,"00"))</f>
      </c>
      <c r="E201" s="53"/>
      <c r="F201" s="57"/>
      <c r="G201" s="84"/>
      <c r="H201" s="53"/>
      <c r="I201" s="53"/>
      <c r="J201" s="84"/>
      <c r="K201" s="84"/>
      <c r="L201" s="42"/>
      <c r="M201" s="65"/>
      <c r="N201" s="54"/>
      <c r="O201" s="54"/>
      <c r="P201" s="54"/>
      <c r="Q201" s="54"/>
      <c r="R201" s="54"/>
      <c r="S201" s="54"/>
      <c r="T201" s="54"/>
      <c r="U201" s="51">
        <f>2*T201/(15*(1+(5-BD201)*0.1))</f>
      </c>
      <c r="V201" s="1"/>
      <c r="W201" s="54"/>
      <c r="X201" s="54"/>
      <c r="Y201" s="76"/>
      <c r="Z201" s="76"/>
      <c r="AA201" s="66"/>
      <c r="AB201" s="66"/>
      <c r="AC201" s="66"/>
      <c r="AD201" s="86"/>
      <c r="AE201" s="86"/>
      <c r="AF201" s="1"/>
      <c r="AG201" s="54"/>
      <c r="AH201" s="54"/>
      <c r="AI201" s="1"/>
      <c r="AJ201" s="80"/>
      <c r="AK201" s="80"/>
      <c r="AL201" s="80"/>
      <c r="AM201" s="55">
        <f>IFS(AJ201 &gt; 1.25, "S", AJ201 &gt; 1, "A", AJ201 &gt; 0.75, "B", AJ201 &gt; 0.5, "C", AJ201 &gt; 0.25, "D", AJ201 &gt; 0, "E", TRUE, "-")</f>
      </c>
      <c r="AN201" s="55">
        <f>IFS(AK201 &gt; 1.25, "S", AK201 &gt; 1, "A", AK201 &gt; 0.75, "B", AK201 &gt; 0.5, "C", AK201 &gt; 0.25, "D", AK201 &gt; 0, "E", TRUE, "-")</f>
      </c>
      <c r="AO201" s="55">
        <f>IFS(AL201 &gt; 1.25, "S", AL201 &gt; 1, "A", AL201 &gt; 0.75, "B", AL201 &gt; 0.5, "C", AL201 &gt; 0.25, "D", AL201 &gt; 0, "E", TRUE, "-")</f>
      </c>
      <c r="AP201" s="58"/>
      <c r="AQ201" s="68"/>
      <c r="AR201" s="68"/>
      <c r="AS201" s="55"/>
      <c r="AT201" s="55"/>
      <c r="AU201" s="55"/>
      <c r="AV201" s="61">
        <f>IF(SUM(AJ201:AL201)=0, 0, (1 + F201 * 0.1) * (0.75 + 0.25 * MAX(0, MIN(1, IF(MAX(AJ201:AL201)=0, 0, (3*MAX(AJ201:AL201)-SUM(AJ201:AL201)) / (2*MAX(AJ201:AL201)))))))</f>
      </c>
      <c r="AW201" s="83">
        <f>MAX(AJ201:AL201)</f>
      </c>
      <c r="AX201" s="81">
        <f>IF(AW201=0, "", AW201 / ((1 + 0.1*N(F201))))</f>
      </c>
      <c r="AY201" s="61">
        <f>IF(SUM(AJ201:AL201)=0, 0,     (1 + F201 * 0.1) * (1 + ((SUM(AJ201:AL201) - MAX(AJ201:AL201)) / (2 * MAX(AJ201:AL201))) * (1/0.75 - 1)))</f>
      </c>
      <c r="AZ201" s="83"/>
      <c r="BA201" s="81">
        <f>IF(AZ201=0, "", AZ201 / ((1 + 0.1*N(F201))/0.75))</f>
      </c>
      <c r="BB201" s="51">
        <v>0.1</v>
      </c>
      <c r="BC201" s="1"/>
      <c r="BD201" s="54"/>
      <c r="BE201" s="54"/>
      <c r="BF201" s="74"/>
      <c r="BG201" s="64"/>
      <c r="BH201" s="69"/>
      <c r="BI201" s="45"/>
      <c r="BJ201" s="63"/>
      <c r="BK201" s="49"/>
      <c r="BL201" s="56"/>
      <c r="BM201" s="50"/>
      <c r="BN201" s="57"/>
      <c r="BO201" s="54"/>
      <c r="BP201" s="64"/>
      <c r="BQ201" s="51"/>
      <c r="BR201" s="38">
        <f>IFERROR(BQ201*100/CP201,"N/A")</f>
      </c>
      <c r="BS201" s="61"/>
      <c r="BT201" s="54"/>
      <c r="BU201" s="42"/>
      <c r="BV201" s="78"/>
      <c r="BW201" s="73"/>
      <c r="BX201" s="64"/>
      <c r="BY201" s="52"/>
      <c r="BZ201" s="1"/>
      <c r="CA201" s="62"/>
      <c r="CB201" s="51"/>
      <c r="CC201" s="51"/>
      <c r="CD201" s="58"/>
      <c r="CE201" s="58"/>
      <c r="CF201" s="58"/>
      <c r="CG201" s="58"/>
      <c r="CH201" s="58"/>
      <c r="CI201" s="58"/>
      <c r="CJ201" s="79"/>
      <c r="CK201" s="69"/>
      <c r="CL201" s="79"/>
      <c r="CM201" s="51"/>
      <c r="CN201" s="55"/>
      <c r="CO201" s="42"/>
      <c r="CP201" s="70">
        <f>CN201*BS201*BT201</f>
      </c>
      <c r="CQ201" s="52"/>
      <c r="CR201" s="64">
        <f>100/CP201</f>
      </c>
      <c r="CS201" s="82">
        <f>100/CQ201</f>
      </c>
      <c r="CT201" s="52"/>
      <c r="CU201" s="52"/>
      <c r="CV201" s="82">
        <f>BL201/T201</f>
      </c>
      <c r="CW201" s="82">
        <f>100/CV201</f>
      </c>
      <c r="CX201" s="77"/>
      <c r="CY201" s="85"/>
      <c r="CZ201" s="77"/>
      <c r="DA201" s="77"/>
      <c r="DB201" s="77"/>
      <c r="DC201" s="85"/>
    </row>
    <row r="202">
      <c r="A202" s="84"/>
      <c r="B202" s="53"/>
      <c r="C202" s="71"/>
      <c r="D202" s="71">
        <f>IF($A202="","","WPN"&amp;VLOOKUP(E202,'引用数据库'!Z:AC,4,FALSE)&amp;VLOOKUP(H202,'引用数据库'!N:P,3,FALSE)&amp;VLOOKUP(I202,'引用数据库'!S:U,3,FALSE)&amp;TEXT(F202,"00"))</f>
      </c>
      <c r="E202" s="53"/>
      <c r="F202" s="57"/>
      <c r="G202" s="84"/>
      <c r="H202" s="53"/>
      <c r="I202" s="53"/>
      <c r="J202" s="84"/>
      <c r="K202" s="84"/>
      <c r="L202" s="42"/>
      <c r="M202" s="65"/>
      <c r="N202" s="54"/>
      <c r="O202" s="54"/>
      <c r="P202" s="54"/>
      <c r="Q202" s="54"/>
      <c r="R202" s="54"/>
      <c r="S202" s="54"/>
      <c r="T202" s="54"/>
      <c r="U202" s="51">
        <f>2*T202/(15*(1+(5-BD202)*0.1))</f>
      </c>
      <c r="V202" s="1"/>
      <c r="W202" s="54"/>
      <c r="X202" s="54"/>
      <c r="Y202" s="76"/>
      <c r="Z202" s="76"/>
      <c r="AA202" s="66"/>
      <c r="AB202" s="66"/>
      <c r="AC202" s="66"/>
      <c r="AD202" s="86"/>
      <c r="AE202" s="86"/>
      <c r="AF202" s="1"/>
      <c r="AG202" s="54"/>
      <c r="AH202" s="54"/>
      <c r="AI202" s="1"/>
      <c r="AJ202" s="80"/>
      <c r="AK202" s="80"/>
      <c r="AL202" s="80"/>
      <c r="AM202" s="55">
        <f>IFS(AJ202 &gt; 1.25, "S", AJ202 &gt; 1, "A", AJ202 &gt; 0.75, "B", AJ202 &gt; 0.5, "C", AJ202 &gt; 0.25, "D", AJ202 &gt; 0, "E", TRUE, "-")</f>
      </c>
      <c r="AN202" s="55">
        <f>IFS(AK202 &gt; 1.25, "S", AK202 &gt; 1, "A", AK202 &gt; 0.75, "B", AK202 &gt; 0.5, "C", AK202 &gt; 0.25, "D", AK202 &gt; 0, "E", TRUE, "-")</f>
      </c>
      <c r="AO202" s="55">
        <f>IFS(AL202 &gt; 1.25, "S", AL202 &gt; 1, "A", AL202 &gt; 0.75, "B", AL202 &gt; 0.5, "C", AL202 &gt; 0.25, "D", AL202 &gt; 0, "E", TRUE, "-")</f>
      </c>
      <c r="AP202" s="58"/>
      <c r="AQ202" s="68"/>
      <c r="AR202" s="68"/>
      <c r="AS202" s="55"/>
      <c r="AT202" s="55"/>
      <c r="AU202" s="55"/>
      <c r="AV202" s="61">
        <f>IF(SUM(AJ202:AL202)=0, 0, (1 + F202 * 0.1) * (0.75 + 0.25 * MAX(0, MIN(1, IF(MAX(AJ202:AL202)=0, 0, (3*MAX(AJ202:AL202)-SUM(AJ202:AL202)) / (2*MAX(AJ202:AL202)))))))</f>
      </c>
      <c r="AW202" s="83">
        <f>MAX(AJ202:AL202)</f>
      </c>
      <c r="AX202" s="81">
        <f>IF(AW202=0, "", AW202 / ((1 + 0.1*N(F202))))</f>
      </c>
      <c r="AY202" s="61">
        <f>IF(SUM(AJ202:AL202)=0, 0,     (1 + F202 * 0.1) * (1 + ((SUM(AJ202:AL202) - MAX(AJ202:AL202)) / (2 * MAX(AJ202:AL202))) * (1/0.75 - 1)))</f>
      </c>
      <c r="AZ202" s="83"/>
      <c r="BA202" s="81">
        <f>IF(AZ202=0, "", AZ202 / ((1 + 0.1*N(F202))/0.75))</f>
      </c>
      <c r="BB202" s="51">
        <v>0.1</v>
      </c>
      <c r="BC202" s="1"/>
      <c r="BD202" s="54"/>
      <c r="BE202" s="54"/>
      <c r="BF202" s="74"/>
      <c r="BG202" s="64"/>
      <c r="BH202" s="69"/>
      <c r="BI202" s="45"/>
      <c r="BJ202" s="63"/>
      <c r="BK202" s="49"/>
      <c r="BL202" s="56"/>
      <c r="BM202" s="50"/>
      <c r="BN202" s="57"/>
      <c r="BO202" s="54"/>
      <c r="BP202" s="64"/>
      <c r="BQ202" s="51"/>
      <c r="BR202" s="38">
        <f>IFERROR(BQ202*100/CP202,"N/A")</f>
      </c>
      <c r="BS202" s="61"/>
      <c r="BT202" s="54"/>
      <c r="BU202" s="42"/>
      <c r="BV202" s="78"/>
      <c r="BW202" s="73"/>
      <c r="BX202" s="64"/>
      <c r="BY202" s="52"/>
      <c r="BZ202" s="1"/>
      <c r="CA202" s="62"/>
      <c r="CB202" s="51"/>
      <c r="CC202" s="51"/>
      <c r="CD202" s="58"/>
      <c r="CE202" s="58"/>
      <c r="CF202" s="58"/>
      <c r="CG202" s="58"/>
      <c r="CH202" s="58"/>
      <c r="CI202" s="58"/>
      <c r="CJ202" s="79"/>
      <c r="CK202" s="69"/>
      <c r="CL202" s="79"/>
      <c r="CM202" s="51"/>
      <c r="CN202" s="55"/>
      <c r="CO202" s="42"/>
      <c r="CP202" s="70">
        <f>CN202*BS202*BT202</f>
      </c>
      <c r="CQ202" s="52"/>
      <c r="CR202" s="64">
        <f>100/CP202</f>
      </c>
      <c r="CS202" s="82">
        <f>100/CQ202</f>
      </c>
      <c r="CT202" s="52"/>
      <c r="CU202" s="52"/>
      <c r="CV202" s="82">
        <f>BL202/T202</f>
      </c>
      <c r="CW202" s="82">
        <f>100/CV202</f>
      </c>
      <c r="CX202" s="77"/>
      <c r="CY202" s="85"/>
      <c r="CZ202" s="77"/>
      <c r="DA202" s="77"/>
      <c r="DB202" s="77"/>
      <c r="DC202" s="85"/>
    </row>
    <row r="203">
      <c r="A203" s="84"/>
      <c r="B203" s="53"/>
      <c r="C203" s="71"/>
      <c r="D203" s="71">
        <f>IF($A203="","","WPN"&amp;VLOOKUP(E203,'引用数据库'!Z:AC,4,FALSE)&amp;VLOOKUP(H203,'引用数据库'!N:P,3,FALSE)&amp;VLOOKUP(I203,'引用数据库'!S:U,3,FALSE)&amp;TEXT(F203,"00"))</f>
      </c>
      <c r="E203" s="53"/>
      <c r="F203" s="57"/>
      <c r="G203" s="84"/>
      <c r="H203" s="53"/>
      <c r="I203" s="53"/>
      <c r="J203" s="84"/>
      <c r="K203" s="84"/>
      <c r="L203" s="42"/>
      <c r="M203" s="65"/>
      <c r="N203" s="54"/>
      <c r="O203" s="54"/>
      <c r="P203" s="54"/>
      <c r="Q203" s="54"/>
      <c r="R203" s="54"/>
      <c r="S203" s="54"/>
      <c r="T203" s="54"/>
      <c r="U203" s="51">
        <f>2*T203/(15*(1+(5-BD203)*0.1))</f>
      </c>
      <c r="V203" s="1"/>
      <c r="W203" s="54"/>
      <c r="X203" s="54"/>
      <c r="Y203" s="76"/>
      <c r="Z203" s="76"/>
      <c r="AA203" s="66"/>
      <c r="AB203" s="66"/>
      <c r="AC203" s="66"/>
      <c r="AD203" s="86"/>
      <c r="AE203" s="86"/>
      <c r="AF203" s="1"/>
      <c r="AG203" s="54"/>
      <c r="AH203" s="54"/>
      <c r="AI203" s="1"/>
      <c r="AJ203" s="80"/>
      <c r="AK203" s="80"/>
      <c r="AL203" s="80"/>
      <c r="AM203" s="55">
        <f>IFS(AJ203 &gt; 1.25, "S", AJ203 &gt; 1, "A", AJ203 &gt; 0.75, "B", AJ203 &gt; 0.5, "C", AJ203 &gt; 0.25, "D", AJ203 &gt; 0, "E", TRUE, "-")</f>
      </c>
      <c r="AN203" s="55">
        <f>IFS(AK203 &gt; 1.25, "S", AK203 &gt; 1, "A", AK203 &gt; 0.75, "B", AK203 &gt; 0.5, "C", AK203 &gt; 0.25, "D", AK203 &gt; 0, "E", TRUE, "-")</f>
      </c>
      <c r="AO203" s="55">
        <f>IFS(AL203 &gt; 1.25, "S", AL203 &gt; 1, "A", AL203 &gt; 0.75, "B", AL203 &gt; 0.5, "C", AL203 &gt; 0.25, "D", AL203 &gt; 0, "E", TRUE, "-")</f>
      </c>
      <c r="AP203" s="58"/>
      <c r="AQ203" s="68"/>
      <c r="AR203" s="68"/>
      <c r="AS203" s="55"/>
      <c r="AT203" s="55"/>
      <c r="AU203" s="55"/>
      <c r="AV203" s="61">
        <f>IF(SUM(AJ203:AL203)=0, 0, (1 + F203 * 0.1) * (0.75 + 0.25 * MAX(0, MIN(1, IF(MAX(AJ203:AL203)=0, 0, (3*MAX(AJ203:AL203)-SUM(AJ203:AL203)) / (2*MAX(AJ203:AL203)))))))</f>
      </c>
      <c r="AW203" s="83">
        <f>MAX(AJ203:AL203)</f>
      </c>
      <c r="AX203" s="81">
        <f>IF(AW203=0, "", AW203 / ((1 + 0.1*N(F203))))</f>
      </c>
      <c r="AY203" s="61">
        <f>IF(SUM(AJ203:AL203)=0, 0,     (1 + F203 * 0.1) * (1 + ((SUM(AJ203:AL203) - MAX(AJ203:AL203)) / (2 * MAX(AJ203:AL203))) * (1/0.75 - 1)))</f>
      </c>
      <c r="AZ203" s="83"/>
      <c r="BA203" s="81">
        <f>IF(AZ203=0, "", AZ203 / ((1 + 0.1*N(F203))/0.75))</f>
      </c>
      <c r="BB203" s="51">
        <v>0.1</v>
      </c>
      <c r="BC203" s="1"/>
      <c r="BD203" s="54"/>
      <c r="BE203" s="54"/>
      <c r="BF203" s="74"/>
      <c r="BG203" s="64"/>
      <c r="BH203" s="69"/>
      <c r="BI203" s="45"/>
      <c r="BJ203" s="63"/>
      <c r="BK203" s="49"/>
      <c r="BL203" s="56"/>
      <c r="BM203" s="50"/>
      <c r="BN203" s="57"/>
      <c r="BO203" s="54"/>
      <c r="BP203" s="64"/>
      <c r="BQ203" s="51"/>
      <c r="BR203" s="38">
        <f>IFERROR(BQ203*100/CP203,"N/A")</f>
      </c>
      <c r="BS203" s="61"/>
      <c r="BT203" s="54"/>
      <c r="BU203" s="42"/>
      <c r="BV203" s="78"/>
      <c r="BW203" s="73"/>
      <c r="BX203" s="64"/>
      <c r="BY203" s="52"/>
      <c r="BZ203" s="1"/>
      <c r="CA203" s="62"/>
      <c r="CB203" s="51"/>
      <c r="CC203" s="51"/>
      <c r="CD203" s="58"/>
      <c r="CE203" s="58"/>
      <c r="CF203" s="58"/>
      <c r="CG203" s="58"/>
      <c r="CH203" s="58"/>
      <c r="CI203" s="58"/>
      <c r="CJ203" s="79"/>
      <c r="CK203" s="69"/>
      <c r="CL203" s="79"/>
      <c r="CM203" s="51"/>
      <c r="CN203" s="55"/>
      <c r="CO203" s="42"/>
      <c r="CP203" s="70">
        <f>CN203*BS203*BT203</f>
      </c>
      <c r="CQ203" s="52"/>
      <c r="CR203" s="64">
        <f>100/CP203</f>
      </c>
      <c r="CS203" s="82">
        <f>100/CQ203</f>
      </c>
      <c r="CT203" s="52"/>
      <c r="CU203" s="52"/>
      <c r="CV203" s="82">
        <f>BL203/T203</f>
      </c>
      <c r="CW203" s="82">
        <f>100/CV203</f>
      </c>
      <c r="CX203" s="77"/>
      <c r="CY203" s="85"/>
      <c r="CZ203" s="77"/>
      <c r="DA203" s="77"/>
      <c r="DB203" s="77"/>
      <c r="DC203" s="85"/>
    </row>
    <row r="204">
      <c r="A204" s="84"/>
      <c r="B204" s="53"/>
      <c r="C204" s="71"/>
      <c r="D204" s="71">
        <f>IF($A204="","","WPN"&amp;VLOOKUP(E204,'引用数据库'!Z:AC,4,FALSE)&amp;VLOOKUP(H204,'引用数据库'!N:P,3,FALSE)&amp;VLOOKUP(I204,'引用数据库'!S:U,3,FALSE)&amp;TEXT(F204,"00"))</f>
      </c>
      <c r="E204" s="53"/>
      <c r="F204" s="57"/>
      <c r="G204" s="84"/>
      <c r="H204" s="53"/>
      <c r="I204" s="53"/>
      <c r="J204" s="84"/>
      <c r="K204" s="84"/>
      <c r="L204" s="42"/>
      <c r="M204" s="65"/>
      <c r="N204" s="54"/>
      <c r="O204" s="54"/>
      <c r="P204" s="54"/>
      <c r="Q204" s="54"/>
      <c r="R204" s="54"/>
      <c r="S204" s="54"/>
      <c r="T204" s="54"/>
      <c r="U204" s="51">
        <f>2*T204/(15*(1+(5-BD204)*0.1))</f>
      </c>
      <c r="V204" s="1"/>
      <c r="W204" s="54"/>
      <c r="X204" s="54"/>
      <c r="Y204" s="76"/>
      <c r="Z204" s="76"/>
      <c r="AA204" s="66"/>
      <c r="AB204" s="66"/>
      <c r="AC204" s="66"/>
      <c r="AD204" s="86"/>
      <c r="AE204" s="86"/>
      <c r="AF204" s="1"/>
      <c r="AG204" s="54"/>
      <c r="AH204" s="54"/>
      <c r="AI204" s="1"/>
      <c r="AJ204" s="80"/>
      <c r="AK204" s="80"/>
      <c r="AL204" s="80"/>
      <c r="AM204" s="55">
        <f>IFS(AJ204 &gt; 1.25, "S", AJ204 &gt; 1, "A", AJ204 &gt; 0.75, "B", AJ204 &gt; 0.5, "C", AJ204 &gt; 0.25, "D", AJ204 &gt; 0, "E", TRUE, "-")</f>
      </c>
      <c r="AN204" s="55">
        <f>IFS(AK204 &gt; 1.25, "S", AK204 &gt; 1, "A", AK204 &gt; 0.75, "B", AK204 &gt; 0.5, "C", AK204 &gt; 0.25, "D", AK204 &gt; 0, "E", TRUE, "-")</f>
      </c>
      <c r="AO204" s="55">
        <f>IFS(AL204 &gt; 1.25, "S", AL204 &gt; 1, "A", AL204 &gt; 0.75, "B", AL204 &gt; 0.5, "C", AL204 &gt; 0.25, "D", AL204 &gt; 0, "E", TRUE, "-")</f>
      </c>
      <c r="AP204" s="58"/>
      <c r="AQ204" s="68"/>
      <c r="AR204" s="68"/>
      <c r="AS204" s="55"/>
      <c r="AT204" s="55"/>
      <c r="AU204" s="55"/>
      <c r="AV204" s="61">
        <f>IF(SUM(AJ204:AL204)=0, 0, (1 + F204 * 0.1) * (0.75 + 0.25 * MAX(0, MIN(1, IF(MAX(AJ204:AL204)=0, 0, (3*MAX(AJ204:AL204)-SUM(AJ204:AL204)) / (2*MAX(AJ204:AL204)))))))</f>
      </c>
      <c r="AW204" s="83">
        <f>MAX(AJ204:AL204)</f>
      </c>
      <c r="AX204" s="81">
        <f>IF(AW204=0, "", AW204 / ((1 + 0.1*N(F204))))</f>
      </c>
      <c r="AY204" s="61">
        <f>IF(SUM(AJ204:AL204)=0, 0,     (1 + F204 * 0.1) * (1 + ((SUM(AJ204:AL204) - MAX(AJ204:AL204)) / (2 * MAX(AJ204:AL204))) * (1/0.75 - 1)))</f>
      </c>
      <c r="AZ204" s="83"/>
      <c r="BA204" s="81">
        <f>IF(AZ204=0, "", AZ204 / ((1 + 0.1*N(F204))/0.75))</f>
      </c>
      <c r="BB204" s="51">
        <v>0.1</v>
      </c>
      <c r="BC204" s="1"/>
      <c r="BD204" s="54"/>
      <c r="BE204" s="54"/>
      <c r="BF204" s="74"/>
      <c r="BG204" s="64"/>
      <c r="BH204" s="69"/>
      <c r="BI204" s="45"/>
      <c r="BJ204" s="63"/>
      <c r="BK204" s="49"/>
      <c r="BL204" s="56"/>
      <c r="BM204" s="50"/>
      <c r="BN204" s="57"/>
      <c r="BO204" s="54"/>
      <c r="BP204" s="64"/>
      <c r="BQ204" s="51"/>
      <c r="BR204" s="38">
        <f>IFERROR(BQ204*100/CP204,"N/A")</f>
      </c>
      <c r="BS204" s="61"/>
      <c r="BT204" s="54"/>
      <c r="BU204" s="42"/>
      <c r="BV204" s="78"/>
      <c r="BW204" s="73"/>
      <c r="BX204" s="64"/>
      <c r="BY204" s="52"/>
      <c r="BZ204" s="1"/>
      <c r="CA204" s="62"/>
      <c r="CB204" s="51"/>
      <c r="CC204" s="51"/>
      <c r="CD204" s="58"/>
      <c r="CE204" s="58"/>
      <c r="CF204" s="58"/>
      <c r="CG204" s="58"/>
      <c r="CH204" s="58"/>
      <c r="CI204" s="58"/>
      <c r="CJ204" s="79"/>
      <c r="CK204" s="69"/>
      <c r="CL204" s="79"/>
      <c r="CM204" s="51"/>
      <c r="CN204" s="55"/>
      <c r="CO204" s="42"/>
      <c r="CP204" s="70">
        <f>CN204*BS204*BT204</f>
      </c>
      <c r="CQ204" s="52"/>
      <c r="CR204" s="64">
        <f>100/CP204</f>
      </c>
      <c r="CS204" s="82">
        <f>100/CQ204</f>
      </c>
      <c r="CT204" s="52"/>
      <c r="CU204" s="52"/>
      <c r="CV204" s="82">
        <f>BL204/T204</f>
      </c>
      <c r="CW204" s="82">
        <f>100/CV204</f>
      </c>
      <c r="CX204" s="77"/>
      <c r="CY204" s="85"/>
      <c r="CZ204" s="77"/>
      <c r="DA204" s="77"/>
      <c r="DB204" s="77"/>
      <c r="DC204" s="85"/>
    </row>
    <row r="205">
      <c r="A205" s="84"/>
      <c r="B205" s="53"/>
      <c r="C205" s="71"/>
      <c r="D205" s="71">
        <f>IF($A205="","","WPN"&amp;VLOOKUP(E205,'引用数据库'!Z:AC,4,FALSE)&amp;VLOOKUP(H205,'引用数据库'!N:P,3,FALSE)&amp;VLOOKUP(I205,'引用数据库'!S:U,3,FALSE)&amp;TEXT(F205,"00"))</f>
      </c>
      <c r="E205" s="53"/>
      <c r="F205" s="57"/>
      <c r="G205" s="84"/>
      <c r="H205" s="53"/>
      <c r="I205" s="53"/>
      <c r="J205" s="84"/>
      <c r="K205" s="84"/>
      <c r="L205" s="42"/>
      <c r="M205" s="65"/>
      <c r="N205" s="54"/>
      <c r="O205" s="54"/>
      <c r="P205" s="54"/>
      <c r="Q205" s="54"/>
      <c r="R205" s="54"/>
      <c r="S205" s="54"/>
      <c r="T205" s="54"/>
      <c r="U205" s="51">
        <f>2*T205/(15*(1+(5-BD205)*0.1))</f>
      </c>
      <c r="V205" s="1"/>
      <c r="W205" s="54"/>
      <c r="X205" s="54"/>
      <c r="Y205" s="76"/>
      <c r="Z205" s="76"/>
      <c r="AA205" s="66"/>
      <c r="AB205" s="66"/>
      <c r="AC205" s="66"/>
      <c r="AD205" s="86"/>
      <c r="AE205" s="86"/>
      <c r="AF205" s="1"/>
      <c r="AG205" s="54"/>
      <c r="AH205" s="54"/>
      <c r="AI205" s="1"/>
      <c r="AJ205" s="80"/>
      <c r="AK205" s="80"/>
      <c r="AL205" s="80"/>
      <c r="AM205" s="55">
        <f>IFS(AJ205 &gt; 1.25, "S", AJ205 &gt; 1, "A", AJ205 &gt; 0.75, "B", AJ205 &gt; 0.5, "C", AJ205 &gt; 0.25, "D", AJ205 &gt; 0, "E", TRUE, "-")</f>
      </c>
      <c r="AN205" s="55">
        <f>IFS(AK205 &gt; 1.25, "S", AK205 &gt; 1, "A", AK205 &gt; 0.75, "B", AK205 &gt; 0.5, "C", AK205 &gt; 0.25, "D", AK205 &gt; 0, "E", TRUE, "-")</f>
      </c>
      <c r="AO205" s="55">
        <f>IFS(AL205 &gt; 1.25, "S", AL205 &gt; 1, "A", AL205 &gt; 0.75, "B", AL205 &gt; 0.5, "C", AL205 &gt; 0.25, "D", AL205 &gt; 0, "E", TRUE, "-")</f>
      </c>
      <c r="AP205" s="58"/>
      <c r="AQ205" s="68"/>
      <c r="AR205" s="68"/>
      <c r="AS205" s="55"/>
      <c r="AT205" s="55"/>
      <c r="AU205" s="55"/>
      <c r="AV205" s="61">
        <f>IF(SUM(AJ205:AL205)=0, 0, (1 + F205 * 0.1) * (0.75 + 0.25 * MAX(0, MIN(1, IF(MAX(AJ205:AL205)=0, 0, (3*MAX(AJ205:AL205)-SUM(AJ205:AL205)) / (2*MAX(AJ205:AL205)))))))</f>
      </c>
      <c r="AW205" s="83">
        <f>MAX(AJ205:AL205)</f>
      </c>
      <c r="AX205" s="81">
        <f>IF(AW205=0, "", AW205 / ((1 + 0.1*N(F205))))</f>
      </c>
      <c r="AY205" s="61">
        <f>IF(SUM(AJ205:AL205)=0, 0,     (1 + F205 * 0.1) * (1 + ((SUM(AJ205:AL205) - MAX(AJ205:AL205)) / (2 * MAX(AJ205:AL205))) * (1/0.75 - 1)))</f>
      </c>
      <c r="AZ205" s="83"/>
      <c r="BA205" s="81">
        <f>IF(AZ205=0, "", AZ205 / ((1 + 0.1*N(F205))/0.75))</f>
      </c>
      <c r="BB205" s="51">
        <v>0.1</v>
      </c>
      <c r="BC205" s="1"/>
      <c r="BD205" s="54"/>
      <c r="BE205" s="54"/>
      <c r="BF205" s="74"/>
      <c r="BG205" s="64"/>
      <c r="BH205" s="69"/>
      <c r="BI205" s="45"/>
      <c r="BJ205" s="63"/>
      <c r="BK205" s="49"/>
      <c r="BL205" s="56"/>
      <c r="BM205" s="50"/>
      <c r="BN205" s="57"/>
      <c r="BO205" s="54"/>
      <c r="BP205" s="64"/>
      <c r="BQ205" s="51"/>
      <c r="BR205" s="38">
        <f>IFERROR(BQ205*100/CP205,"N/A")</f>
      </c>
      <c r="BS205" s="61"/>
      <c r="BT205" s="54"/>
      <c r="BU205" s="42"/>
      <c r="BV205" s="78"/>
      <c r="BW205" s="73"/>
      <c r="BX205" s="64"/>
      <c r="BY205" s="52"/>
      <c r="BZ205" s="1"/>
      <c r="CA205" s="62"/>
      <c r="CB205" s="51"/>
      <c r="CC205" s="51"/>
      <c r="CD205" s="58"/>
      <c r="CE205" s="58"/>
      <c r="CF205" s="58"/>
      <c r="CG205" s="58"/>
      <c r="CH205" s="58"/>
      <c r="CI205" s="58"/>
      <c r="CJ205" s="79"/>
      <c r="CK205" s="69"/>
      <c r="CL205" s="79"/>
      <c r="CM205" s="51"/>
      <c r="CN205" s="55"/>
      <c r="CO205" s="42"/>
      <c r="CP205" s="70">
        <f>CN205*BS205*BT205</f>
      </c>
      <c r="CQ205" s="52"/>
      <c r="CR205" s="64">
        <f>100/CP205</f>
      </c>
      <c r="CS205" s="82">
        <f>100/CQ205</f>
      </c>
      <c r="CT205" s="52"/>
      <c r="CU205" s="52"/>
      <c r="CV205" s="82">
        <f>BL205/T205</f>
      </c>
      <c r="CW205" s="82">
        <f>100/CV205</f>
      </c>
      <c r="CX205" s="77"/>
      <c r="CY205" s="85"/>
      <c r="CZ205" s="77"/>
      <c r="DA205" s="77"/>
      <c r="DB205" s="77"/>
      <c r="DC205" s="85"/>
    </row>
    <row r="206">
      <c r="A206" s="84"/>
      <c r="B206" s="53"/>
      <c r="C206" s="71"/>
      <c r="D206" s="71">
        <f>IF($A206="","","WPN"&amp;VLOOKUP(E206,'引用数据库'!Z:AC,4,FALSE)&amp;VLOOKUP(H206,'引用数据库'!N:P,3,FALSE)&amp;VLOOKUP(I206,'引用数据库'!S:U,3,FALSE)&amp;TEXT(F206,"00"))</f>
      </c>
      <c r="E206" s="53"/>
      <c r="F206" s="57"/>
      <c r="G206" s="84"/>
      <c r="H206" s="53"/>
      <c r="I206" s="53"/>
      <c r="J206" s="84"/>
      <c r="K206" s="84"/>
      <c r="L206" s="42"/>
      <c r="M206" s="65"/>
      <c r="N206" s="54"/>
      <c r="O206" s="54"/>
      <c r="P206" s="54"/>
      <c r="Q206" s="54"/>
      <c r="R206" s="54"/>
      <c r="S206" s="54"/>
      <c r="T206" s="54"/>
      <c r="U206" s="51">
        <f>2*T206/(15*(1+(5-BD206)*0.1))</f>
      </c>
      <c r="V206" s="1"/>
      <c r="W206" s="54"/>
      <c r="X206" s="54"/>
      <c r="Y206" s="76"/>
      <c r="Z206" s="76"/>
      <c r="AA206" s="66"/>
      <c r="AB206" s="66"/>
      <c r="AC206" s="66"/>
      <c r="AD206" s="86"/>
      <c r="AE206" s="86"/>
      <c r="AF206" s="1"/>
      <c r="AG206" s="54"/>
      <c r="AH206" s="54"/>
      <c r="AI206" s="1"/>
      <c r="AJ206" s="80"/>
      <c r="AK206" s="80"/>
      <c r="AL206" s="80"/>
      <c r="AM206" s="55">
        <f>IFS(AJ206 &gt; 1.25, "S", AJ206 &gt; 1, "A", AJ206 &gt; 0.75, "B", AJ206 &gt; 0.5, "C", AJ206 &gt; 0.25, "D", AJ206 &gt; 0, "E", TRUE, "-")</f>
      </c>
      <c r="AN206" s="55">
        <f>IFS(AK206 &gt; 1.25, "S", AK206 &gt; 1, "A", AK206 &gt; 0.75, "B", AK206 &gt; 0.5, "C", AK206 &gt; 0.25, "D", AK206 &gt; 0, "E", TRUE, "-")</f>
      </c>
      <c r="AO206" s="55">
        <f>IFS(AL206 &gt; 1.25, "S", AL206 &gt; 1, "A", AL206 &gt; 0.75, "B", AL206 &gt; 0.5, "C", AL206 &gt; 0.25, "D", AL206 &gt; 0, "E", TRUE, "-")</f>
      </c>
      <c r="AP206" s="58"/>
      <c r="AQ206" s="68"/>
      <c r="AR206" s="68"/>
      <c r="AS206" s="55"/>
      <c r="AT206" s="55"/>
      <c r="AU206" s="55"/>
      <c r="AV206" s="61">
        <f>IF(SUM(AJ206:AL206)=0, 0, (1 + F206 * 0.1) * (0.75 + 0.25 * MAX(0, MIN(1, IF(MAX(AJ206:AL206)=0, 0, (3*MAX(AJ206:AL206)-SUM(AJ206:AL206)) / (2*MAX(AJ206:AL206)))))))</f>
      </c>
      <c r="AW206" s="83">
        <f>MAX(AJ206:AL206)</f>
      </c>
      <c r="AX206" s="81">
        <f>IF(AW206=0, "", AW206 / ((1 + 0.1*N(F206))))</f>
      </c>
      <c r="AY206" s="61">
        <f>IF(SUM(AJ206:AL206)=0, 0,     (1 + F206 * 0.1) * (1 + ((SUM(AJ206:AL206) - MAX(AJ206:AL206)) / (2 * MAX(AJ206:AL206))) * (1/0.75 - 1)))</f>
      </c>
      <c r="AZ206" s="83"/>
      <c r="BA206" s="81">
        <f>IF(AZ206=0, "", AZ206 / ((1 + 0.1*N(F206))/0.75))</f>
      </c>
      <c r="BB206" s="51">
        <v>0.1</v>
      </c>
      <c r="BC206" s="1"/>
      <c r="BD206" s="54"/>
      <c r="BE206" s="54"/>
      <c r="BF206" s="74"/>
      <c r="BG206" s="64"/>
      <c r="BH206" s="69"/>
      <c r="BI206" s="45"/>
      <c r="BJ206" s="63"/>
      <c r="BK206" s="49"/>
      <c r="BL206" s="56"/>
      <c r="BM206" s="50"/>
      <c r="BN206" s="57"/>
      <c r="BO206" s="54"/>
      <c r="BP206" s="64"/>
      <c r="BQ206" s="51"/>
      <c r="BR206" s="38">
        <f>IFERROR(BQ206*100/CP206,"N/A")</f>
      </c>
      <c r="BS206" s="61"/>
      <c r="BT206" s="54"/>
      <c r="BU206" s="42"/>
      <c r="BV206" s="78"/>
      <c r="BW206" s="73"/>
      <c r="BX206" s="64"/>
      <c r="BY206" s="52"/>
      <c r="BZ206" s="1"/>
      <c r="CA206" s="62"/>
      <c r="CB206" s="51"/>
      <c r="CC206" s="51"/>
      <c r="CD206" s="58"/>
      <c r="CE206" s="58"/>
      <c r="CF206" s="58"/>
      <c r="CG206" s="58"/>
      <c r="CH206" s="58"/>
      <c r="CI206" s="58"/>
      <c r="CJ206" s="79"/>
      <c r="CK206" s="69"/>
      <c r="CL206" s="79"/>
      <c r="CM206" s="51"/>
      <c r="CN206" s="55"/>
      <c r="CO206" s="42"/>
      <c r="CP206" s="70">
        <f>CN206*BS206*BT206</f>
      </c>
      <c r="CQ206" s="52"/>
      <c r="CR206" s="64">
        <f>100/CP206</f>
      </c>
      <c r="CS206" s="82">
        <f>100/CQ206</f>
      </c>
      <c r="CT206" s="52"/>
      <c r="CU206" s="52"/>
      <c r="CV206" s="82">
        <f>BL206/T206</f>
      </c>
      <c r="CW206" s="82">
        <f>100/CV206</f>
      </c>
      <c r="CX206" s="77"/>
      <c r="CY206" s="85"/>
      <c r="CZ206" s="77"/>
      <c r="DA206" s="77"/>
      <c r="DB206" s="77"/>
      <c r="DC206" s="85"/>
    </row>
    <row r="207">
      <c r="A207" s="84"/>
      <c r="B207" s="53"/>
      <c r="C207" s="71"/>
      <c r="D207" s="71">
        <f>IF($A207="","","WPN"&amp;VLOOKUP(E207,'引用数据库'!Z:AC,4,FALSE)&amp;VLOOKUP(H207,'引用数据库'!N:P,3,FALSE)&amp;VLOOKUP(I207,'引用数据库'!S:U,3,FALSE)&amp;TEXT(F207,"00"))</f>
      </c>
      <c r="E207" s="53"/>
      <c r="F207" s="57"/>
      <c r="G207" s="84"/>
      <c r="H207" s="53"/>
      <c r="I207" s="53"/>
      <c r="J207" s="84"/>
      <c r="K207" s="84"/>
      <c r="L207" s="42"/>
      <c r="M207" s="65"/>
      <c r="N207" s="54"/>
      <c r="O207" s="54"/>
      <c r="P207" s="54"/>
      <c r="Q207" s="54"/>
      <c r="R207" s="54"/>
      <c r="S207" s="54"/>
      <c r="T207" s="54"/>
      <c r="U207" s="51">
        <f>2*T207/(15*(1+(5-BD207)*0.1))</f>
      </c>
      <c r="V207" s="1"/>
      <c r="W207" s="54"/>
      <c r="X207" s="54"/>
      <c r="Y207" s="76"/>
      <c r="Z207" s="76"/>
      <c r="AA207" s="66"/>
      <c r="AB207" s="66"/>
      <c r="AC207" s="66"/>
      <c r="AD207" s="86"/>
      <c r="AE207" s="86"/>
      <c r="AF207" s="1"/>
      <c r="AG207" s="54"/>
      <c r="AH207" s="54"/>
      <c r="AI207" s="1"/>
      <c r="AJ207" s="80"/>
      <c r="AK207" s="80"/>
      <c r="AL207" s="80"/>
      <c r="AM207" s="55">
        <f>IFS(AJ207 &gt; 1.25, "S", AJ207 &gt; 1, "A", AJ207 &gt; 0.75, "B", AJ207 &gt; 0.5, "C", AJ207 &gt; 0.25, "D", AJ207 &gt; 0, "E", TRUE, "-")</f>
      </c>
      <c r="AN207" s="55">
        <f>IFS(AK207 &gt; 1.25, "S", AK207 &gt; 1, "A", AK207 &gt; 0.75, "B", AK207 &gt; 0.5, "C", AK207 &gt; 0.25, "D", AK207 &gt; 0, "E", TRUE, "-")</f>
      </c>
      <c r="AO207" s="55">
        <f>IFS(AL207 &gt; 1.25, "S", AL207 &gt; 1, "A", AL207 &gt; 0.75, "B", AL207 &gt; 0.5, "C", AL207 &gt; 0.25, "D", AL207 &gt; 0, "E", TRUE, "-")</f>
      </c>
      <c r="AP207" s="58"/>
      <c r="AQ207" s="68"/>
      <c r="AR207" s="68"/>
      <c r="AS207" s="55"/>
      <c r="AT207" s="55"/>
      <c r="AU207" s="55"/>
      <c r="AV207" s="61">
        <f>IF(SUM(AJ207:AL207)=0, 0, (1 + F207 * 0.1) * (0.75 + 0.25 * MAX(0, MIN(1, IF(MAX(AJ207:AL207)=0, 0, (3*MAX(AJ207:AL207)-SUM(AJ207:AL207)) / (2*MAX(AJ207:AL207)))))))</f>
      </c>
      <c r="AW207" s="83">
        <f>MAX(AJ207:AL207)</f>
      </c>
      <c r="AX207" s="81">
        <f>IF(AW207=0, "", AW207 / ((1 + 0.1*N(F207))))</f>
      </c>
      <c r="AY207" s="61">
        <f>IF(SUM(AJ207:AL207)=0, 0,     (1 + F207 * 0.1) * (1 + ((SUM(AJ207:AL207) - MAX(AJ207:AL207)) / (2 * MAX(AJ207:AL207))) * (1/0.75 - 1)))</f>
      </c>
      <c r="AZ207" s="83"/>
      <c r="BA207" s="81">
        <f>IF(AZ207=0, "", AZ207 / ((1 + 0.1*N(F207))/0.75))</f>
      </c>
      <c r="BB207" s="51">
        <v>0.1</v>
      </c>
      <c r="BC207" s="1"/>
      <c r="BD207" s="54"/>
      <c r="BE207" s="54"/>
      <c r="BF207" s="74"/>
      <c r="BG207" s="64"/>
      <c r="BH207" s="69"/>
      <c r="BI207" s="45"/>
      <c r="BJ207" s="63"/>
      <c r="BK207" s="49"/>
      <c r="BL207" s="56"/>
      <c r="BM207" s="50"/>
      <c r="BN207" s="57"/>
      <c r="BO207" s="54"/>
      <c r="BP207" s="64"/>
      <c r="BQ207" s="51"/>
      <c r="BR207" s="38">
        <f>IFERROR(BQ207*100/CP207,"N/A")</f>
      </c>
      <c r="BS207" s="61"/>
      <c r="BT207" s="54"/>
      <c r="BU207" s="42"/>
      <c r="BV207" s="78"/>
      <c r="BW207" s="73"/>
      <c r="BX207" s="64"/>
      <c r="BY207" s="52"/>
      <c r="BZ207" s="1"/>
      <c r="CA207" s="62"/>
      <c r="CB207" s="51"/>
      <c r="CC207" s="51"/>
      <c r="CD207" s="58"/>
      <c r="CE207" s="58"/>
      <c r="CF207" s="58"/>
      <c r="CG207" s="58"/>
      <c r="CH207" s="58"/>
      <c r="CI207" s="58"/>
      <c r="CJ207" s="79"/>
      <c r="CK207" s="69"/>
      <c r="CL207" s="79"/>
      <c r="CM207" s="51"/>
      <c r="CN207" s="55"/>
      <c r="CO207" s="42"/>
      <c r="CP207" s="70">
        <f>CN207*BS207*BT207</f>
      </c>
      <c r="CQ207" s="52"/>
      <c r="CR207" s="64">
        <f>100/CP207</f>
      </c>
      <c r="CS207" s="82">
        <f>100/CQ207</f>
      </c>
      <c r="CT207" s="52"/>
      <c r="CU207" s="52"/>
      <c r="CV207" s="82">
        <f>BL207/T207</f>
      </c>
      <c r="CW207" s="82">
        <f>100/CV207</f>
      </c>
      <c r="CX207" s="77"/>
      <c r="CY207" s="85"/>
      <c r="CZ207" s="77"/>
      <c r="DA207" s="77"/>
      <c r="DB207" s="77"/>
      <c r="DC207" s="85"/>
    </row>
    <row r="208">
      <c r="A208" s="84"/>
      <c r="B208" s="53"/>
      <c r="C208" s="71"/>
      <c r="D208" s="71">
        <f>IF($A208="","","WPN"&amp;VLOOKUP(E208,'引用数据库'!Z:AC,4,FALSE)&amp;VLOOKUP(H208,'引用数据库'!N:P,3,FALSE)&amp;VLOOKUP(I208,'引用数据库'!S:U,3,FALSE)&amp;TEXT(F208,"00"))</f>
      </c>
      <c r="E208" s="53"/>
      <c r="F208" s="57"/>
      <c r="G208" s="84"/>
      <c r="H208" s="53"/>
      <c r="I208" s="53"/>
      <c r="J208" s="84"/>
      <c r="K208" s="84"/>
      <c r="L208" s="42"/>
      <c r="M208" s="65"/>
      <c r="N208" s="54"/>
      <c r="O208" s="54"/>
      <c r="P208" s="54"/>
      <c r="Q208" s="54"/>
      <c r="R208" s="54"/>
      <c r="S208" s="54"/>
      <c r="T208" s="54"/>
      <c r="U208" s="51">
        <f>2*T208/(15*(1+(5-BD208)*0.1))</f>
      </c>
      <c r="V208" s="1"/>
      <c r="W208" s="54"/>
      <c r="X208" s="54"/>
      <c r="Y208" s="76"/>
      <c r="Z208" s="76"/>
      <c r="AA208" s="66"/>
      <c r="AB208" s="66"/>
      <c r="AC208" s="66"/>
      <c r="AD208" s="86"/>
      <c r="AE208" s="86"/>
      <c r="AF208" s="1"/>
      <c r="AG208" s="54"/>
      <c r="AH208" s="54"/>
      <c r="AI208" s="1"/>
      <c r="AJ208" s="80"/>
      <c r="AK208" s="80"/>
      <c r="AL208" s="80"/>
      <c r="AM208" s="55">
        <f>IFS(AJ208 &gt; 1.25, "S", AJ208 &gt; 1, "A", AJ208 &gt; 0.75, "B", AJ208 &gt; 0.5, "C", AJ208 &gt; 0.25, "D", AJ208 &gt; 0, "E", TRUE, "-")</f>
      </c>
      <c r="AN208" s="55">
        <f>IFS(AK208 &gt; 1.25, "S", AK208 &gt; 1, "A", AK208 &gt; 0.75, "B", AK208 &gt; 0.5, "C", AK208 &gt; 0.25, "D", AK208 &gt; 0, "E", TRUE, "-")</f>
      </c>
      <c r="AO208" s="55">
        <f>IFS(AL208 &gt; 1.25, "S", AL208 &gt; 1, "A", AL208 &gt; 0.75, "B", AL208 &gt; 0.5, "C", AL208 &gt; 0.25, "D", AL208 &gt; 0, "E", TRUE, "-")</f>
      </c>
      <c r="AP208" s="58"/>
      <c r="AQ208" s="68"/>
      <c r="AR208" s="68"/>
      <c r="AS208" s="55"/>
      <c r="AT208" s="55"/>
      <c r="AU208" s="55"/>
      <c r="AV208" s="61">
        <f>IF(SUM(AJ208:AL208)=0, 0, (1 + F208 * 0.1) * (0.75 + 0.25 * MAX(0, MIN(1, IF(MAX(AJ208:AL208)=0, 0, (3*MAX(AJ208:AL208)-SUM(AJ208:AL208)) / (2*MAX(AJ208:AL208)))))))</f>
      </c>
      <c r="AW208" s="83">
        <f>MAX(AJ208:AL208)</f>
      </c>
      <c r="AX208" s="81">
        <f>IF(AW208=0, "", AW208 / ((1 + 0.1*N(F208))))</f>
      </c>
      <c r="AY208" s="61">
        <f>IF(SUM(AJ208:AL208)=0, 0,     (1 + F208 * 0.1) * (1 + ((SUM(AJ208:AL208) - MAX(AJ208:AL208)) / (2 * MAX(AJ208:AL208))) * (1/0.75 - 1)))</f>
      </c>
      <c r="AZ208" s="83"/>
      <c r="BA208" s="81">
        <f>IF(AZ208=0, "", AZ208 / ((1 + 0.1*N(F208))/0.75))</f>
      </c>
      <c r="BB208" s="51">
        <v>0.1</v>
      </c>
      <c r="BC208" s="1"/>
      <c r="BD208" s="54"/>
      <c r="BE208" s="54"/>
      <c r="BF208" s="74"/>
      <c r="BG208" s="64"/>
      <c r="BH208" s="69"/>
      <c r="BI208" s="45"/>
      <c r="BJ208" s="63"/>
      <c r="BK208" s="49"/>
      <c r="BL208" s="56"/>
      <c r="BM208" s="50"/>
      <c r="BN208" s="57"/>
      <c r="BO208" s="54"/>
      <c r="BP208" s="64"/>
      <c r="BQ208" s="51"/>
      <c r="BR208" s="38">
        <f>IFERROR(BQ208*100/CP208,"N/A")</f>
      </c>
      <c r="BS208" s="61"/>
      <c r="BT208" s="54"/>
      <c r="BU208" s="42"/>
      <c r="BV208" s="78"/>
      <c r="BW208" s="73"/>
      <c r="BX208" s="64"/>
      <c r="BY208" s="52"/>
      <c r="BZ208" s="1"/>
      <c r="CA208" s="62"/>
      <c r="CB208" s="51"/>
      <c r="CC208" s="51"/>
      <c r="CD208" s="58"/>
      <c r="CE208" s="58"/>
      <c r="CF208" s="58"/>
      <c r="CG208" s="58"/>
      <c r="CH208" s="58"/>
      <c r="CI208" s="58"/>
      <c r="CJ208" s="79"/>
      <c r="CK208" s="69"/>
      <c r="CL208" s="79"/>
      <c r="CM208" s="51"/>
      <c r="CN208" s="55"/>
      <c r="CO208" s="42"/>
      <c r="CP208" s="70">
        <f>CN208*BS208*BT208</f>
      </c>
      <c r="CQ208" s="52"/>
      <c r="CR208" s="64">
        <f>100/CP208</f>
      </c>
      <c r="CS208" s="82">
        <f>100/CQ208</f>
      </c>
      <c r="CT208" s="52"/>
      <c r="CU208" s="52"/>
      <c r="CV208" s="82">
        <f>BL208/T208</f>
      </c>
      <c r="CW208" s="82">
        <f>100/CV208</f>
      </c>
      <c r="CX208" s="77"/>
      <c r="CY208" s="85"/>
      <c r="CZ208" s="77"/>
      <c r="DA208" s="77"/>
      <c r="DB208" s="77"/>
      <c r="DC208" s="85"/>
    </row>
    <row r="209">
      <c r="A209" s="84"/>
      <c r="B209" s="53"/>
      <c r="C209" s="71"/>
      <c r="D209" s="71">
        <f>IF($A209="","","WPN"&amp;VLOOKUP(E209,'引用数据库'!Z:AC,4,FALSE)&amp;VLOOKUP(H209,'引用数据库'!N:P,3,FALSE)&amp;VLOOKUP(I209,'引用数据库'!S:U,3,FALSE)&amp;TEXT(F209,"00"))</f>
      </c>
      <c r="E209" s="53"/>
      <c r="F209" s="57"/>
      <c r="G209" s="84"/>
      <c r="H209" s="53"/>
      <c r="I209" s="53"/>
      <c r="J209" s="84"/>
      <c r="K209" s="84"/>
      <c r="L209" s="42"/>
      <c r="M209" s="65"/>
      <c r="N209" s="54"/>
      <c r="O209" s="54"/>
      <c r="P209" s="54"/>
      <c r="Q209" s="54"/>
      <c r="R209" s="54"/>
      <c r="S209" s="54"/>
      <c r="T209" s="54"/>
      <c r="U209" s="51">
        <f>2*T209/(15*(1+(5-BD209)*0.1))</f>
      </c>
      <c r="V209" s="1"/>
      <c r="W209" s="54"/>
      <c r="X209" s="54"/>
      <c r="Y209" s="76"/>
      <c r="Z209" s="76"/>
      <c r="AA209" s="66"/>
      <c r="AB209" s="66"/>
      <c r="AC209" s="66"/>
      <c r="AD209" s="86"/>
      <c r="AE209" s="86"/>
      <c r="AF209" s="1"/>
      <c r="AG209" s="54"/>
      <c r="AH209" s="54"/>
      <c r="AI209" s="1"/>
      <c r="AJ209" s="80"/>
      <c r="AK209" s="80"/>
      <c r="AL209" s="80"/>
      <c r="AM209" s="55">
        <f>IFS(AJ209 &gt; 1.25, "S", AJ209 &gt; 1, "A", AJ209 &gt; 0.75, "B", AJ209 &gt; 0.5, "C", AJ209 &gt; 0.25, "D", AJ209 &gt; 0, "E", TRUE, "-")</f>
      </c>
      <c r="AN209" s="55">
        <f>IFS(AK209 &gt; 1.25, "S", AK209 &gt; 1, "A", AK209 &gt; 0.75, "B", AK209 &gt; 0.5, "C", AK209 &gt; 0.25, "D", AK209 &gt; 0, "E", TRUE, "-")</f>
      </c>
      <c r="AO209" s="55">
        <f>IFS(AL209 &gt; 1.25, "S", AL209 &gt; 1, "A", AL209 &gt; 0.75, "B", AL209 &gt; 0.5, "C", AL209 &gt; 0.25, "D", AL209 &gt; 0, "E", TRUE, "-")</f>
      </c>
      <c r="AP209" s="58"/>
      <c r="AQ209" s="68"/>
      <c r="AR209" s="68"/>
      <c r="AS209" s="55"/>
      <c r="AT209" s="55"/>
      <c r="AU209" s="55"/>
      <c r="AV209" s="61">
        <f>IF(SUM(AJ209:AL209)=0, 0, (1 + F209 * 0.1) * (0.75 + 0.25 * MAX(0, MIN(1, IF(MAX(AJ209:AL209)=0, 0, (3*MAX(AJ209:AL209)-SUM(AJ209:AL209)) / (2*MAX(AJ209:AL209)))))))</f>
      </c>
      <c r="AW209" s="83">
        <f>MAX(AJ209:AL209)</f>
      </c>
      <c r="AX209" s="81">
        <f>IF(AW209=0, "", AW209 / ((1 + 0.1*N(F209))))</f>
      </c>
      <c r="AY209" s="61">
        <f>IF(SUM(AJ209:AL209)=0, 0,     (1 + F209 * 0.1) * (1 + ((SUM(AJ209:AL209) - MAX(AJ209:AL209)) / (2 * MAX(AJ209:AL209))) * (1/0.75 - 1)))</f>
      </c>
      <c r="AZ209" s="83"/>
      <c r="BA209" s="81">
        <f>IF(AZ209=0, "", AZ209 / ((1 + 0.1*N(F209))/0.75))</f>
      </c>
      <c r="BB209" s="51">
        <v>0.1</v>
      </c>
      <c r="BC209" s="1"/>
      <c r="BD209" s="54"/>
      <c r="BE209" s="54"/>
      <c r="BF209" s="74"/>
      <c r="BG209" s="64"/>
      <c r="BH209" s="69"/>
      <c r="BI209" s="45"/>
      <c r="BJ209" s="63"/>
      <c r="BK209" s="49"/>
      <c r="BL209" s="56"/>
      <c r="BM209" s="50"/>
      <c r="BN209" s="57"/>
      <c r="BO209" s="54"/>
      <c r="BP209" s="64"/>
      <c r="BQ209" s="51"/>
      <c r="BR209" s="38">
        <f>IFERROR(BQ209*100/CP209,"N/A")</f>
      </c>
      <c r="BS209" s="61"/>
      <c r="BT209" s="54"/>
      <c r="BU209" s="42"/>
      <c r="BV209" s="78"/>
      <c r="BW209" s="73"/>
      <c r="BX209" s="64"/>
      <c r="BY209" s="52"/>
      <c r="BZ209" s="1"/>
      <c r="CA209" s="62"/>
      <c r="CB209" s="51"/>
      <c r="CC209" s="51"/>
      <c r="CD209" s="58"/>
      <c r="CE209" s="58"/>
      <c r="CF209" s="58"/>
      <c r="CG209" s="58"/>
      <c r="CH209" s="58"/>
      <c r="CI209" s="58"/>
      <c r="CJ209" s="79"/>
      <c r="CK209" s="69"/>
      <c r="CL209" s="79"/>
      <c r="CM209" s="51"/>
      <c r="CN209" s="55"/>
      <c r="CO209" s="42"/>
      <c r="CP209" s="70">
        <f>CN209*BS209*BT209</f>
      </c>
      <c r="CQ209" s="52"/>
      <c r="CR209" s="64">
        <f>100/CP209</f>
      </c>
      <c r="CS209" s="82">
        <f>100/CQ209</f>
      </c>
      <c r="CT209" s="52"/>
      <c r="CU209" s="52"/>
      <c r="CV209" s="82">
        <f>BL209/T209</f>
      </c>
      <c r="CW209" s="82">
        <f>100/CV209</f>
      </c>
      <c r="CX209" s="77"/>
      <c r="CY209" s="85"/>
      <c r="CZ209" s="77"/>
      <c r="DA209" s="77"/>
      <c r="DB209" s="77"/>
      <c r="DC209" s="85"/>
    </row>
    <row r="210">
      <c r="A210" s="84"/>
      <c r="B210" s="53"/>
      <c r="C210" s="71"/>
      <c r="D210" s="71">
        <f>IF($A210="","","WPN"&amp;VLOOKUP(E210,'引用数据库'!Z:AC,4,FALSE)&amp;VLOOKUP(H210,'引用数据库'!N:P,3,FALSE)&amp;VLOOKUP(I210,'引用数据库'!S:U,3,FALSE)&amp;TEXT(F210,"00"))</f>
      </c>
      <c r="E210" s="53"/>
      <c r="F210" s="57"/>
      <c r="G210" s="84"/>
      <c r="H210" s="53"/>
      <c r="I210" s="53"/>
      <c r="J210" s="84"/>
      <c r="K210" s="84"/>
      <c r="L210" s="42"/>
      <c r="M210" s="65"/>
      <c r="N210" s="54"/>
      <c r="O210" s="54"/>
      <c r="P210" s="54"/>
      <c r="Q210" s="54"/>
      <c r="R210" s="54"/>
      <c r="S210" s="54"/>
      <c r="T210" s="54"/>
      <c r="U210" s="51">
        <f>2*T210/(15*(1+(5-BD210)*0.1))</f>
      </c>
      <c r="V210" s="1"/>
      <c r="W210" s="54"/>
      <c r="X210" s="54"/>
      <c r="Y210" s="76"/>
      <c r="Z210" s="76"/>
      <c r="AA210" s="66"/>
      <c r="AB210" s="66"/>
      <c r="AC210" s="66"/>
      <c r="AD210" s="86"/>
      <c r="AE210" s="86"/>
      <c r="AF210" s="1"/>
      <c r="AG210" s="54"/>
      <c r="AH210" s="54"/>
      <c r="AI210" s="1"/>
      <c r="AJ210" s="80"/>
      <c r="AK210" s="80"/>
      <c r="AL210" s="80"/>
      <c r="AM210" s="55">
        <f>IFS(AJ210 &gt; 1.25, "S", AJ210 &gt; 1, "A", AJ210 &gt; 0.75, "B", AJ210 &gt; 0.5, "C", AJ210 &gt; 0.25, "D", AJ210 &gt; 0, "E", TRUE, "-")</f>
      </c>
      <c r="AN210" s="55">
        <f>IFS(AK210 &gt; 1.25, "S", AK210 &gt; 1, "A", AK210 &gt; 0.75, "B", AK210 &gt; 0.5, "C", AK210 &gt; 0.25, "D", AK210 &gt; 0, "E", TRUE, "-")</f>
      </c>
      <c r="AO210" s="55">
        <f>IFS(AL210 &gt; 1.25, "S", AL210 &gt; 1, "A", AL210 &gt; 0.75, "B", AL210 &gt; 0.5, "C", AL210 &gt; 0.25, "D", AL210 &gt; 0, "E", TRUE, "-")</f>
      </c>
      <c r="AP210" s="58"/>
      <c r="AQ210" s="68"/>
      <c r="AR210" s="68"/>
      <c r="AS210" s="55"/>
      <c r="AT210" s="55"/>
      <c r="AU210" s="55"/>
      <c r="AV210" s="61">
        <f>IF(SUM(AJ210:AL210)=0, 0, (1 + F210 * 0.1) * (0.75 + 0.25 * MAX(0, MIN(1, IF(MAX(AJ210:AL210)=0, 0, (3*MAX(AJ210:AL210)-SUM(AJ210:AL210)) / (2*MAX(AJ210:AL210)))))))</f>
      </c>
      <c r="AW210" s="83">
        <f>MAX(AJ210:AL210)</f>
      </c>
      <c r="AX210" s="81">
        <f>IF(AW210=0, "", AW210 / ((1 + 0.1*N(F210))))</f>
      </c>
      <c r="AY210" s="61">
        <f>IF(SUM(AJ210:AL210)=0, 0,     (1 + F210 * 0.1) * (1 + ((SUM(AJ210:AL210) - MAX(AJ210:AL210)) / (2 * MAX(AJ210:AL210))) * (1/0.75 - 1)))</f>
      </c>
      <c r="AZ210" s="83"/>
      <c r="BA210" s="81">
        <f>IF(AZ210=0, "", AZ210 / ((1 + 0.1*N(F210))/0.75))</f>
      </c>
      <c r="BB210" s="51">
        <v>0.1</v>
      </c>
      <c r="BC210" s="1"/>
      <c r="BD210" s="54"/>
      <c r="BE210" s="54"/>
      <c r="BF210" s="74"/>
      <c r="BG210" s="64"/>
      <c r="BH210" s="69"/>
      <c r="BI210" s="45"/>
      <c r="BJ210" s="63"/>
      <c r="BK210" s="49"/>
      <c r="BL210" s="56"/>
      <c r="BM210" s="50"/>
      <c r="BN210" s="57"/>
      <c r="BO210" s="54"/>
      <c r="BP210" s="64"/>
      <c r="BQ210" s="51"/>
      <c r="BR210" s="38">
        <f>IFERROR(BQ210*100/CP210,"N/A")</f>
      </c>
      <c r="BS210" s="61"/>
      <c r="BT210" s="54"/>
      <c r="BU210" s="42"/>
      <c r="BV210" s="78"/>
      <c r="BW210" s="73"/>
      <c r="BX210" s="64"/>
      <c r="BY210" s="52"/>
      <c r="BZ210" s="1"/>
      <c r="CA210" s="62"/>
      <c r="CB210" s="51"/>
      <c r="CC210" s="51"/>
      <c r="CD210" s="58"/>
      <c r="CE210" s="58"/>
      <c r="CF210" s="58"/>
      <c r="CG210" s="58"/>
      <c r="CH210" s="58"/>
      <c r="CI210" s="58"/>
      <c r="CJ210" s="79"/>
      <c r="CK210" s="69"/>
      <c r="CL210" s="79"/>
      <c r="CM210" s="51"/>
      <c r="CN210" s="55"/>
      <c r="CO210" s="42"/>
      <c r="CP210" s="70">
        <f>CN210*BS210*BT210</f>
      </c>
      <c r="CQ210" s="52"/>
      <c r="CR210" s="64">
        <f>100/CP210</f>
      </c>
      <c r="CS210" s="82">
        <f>100/CQ210</f>
      </c>
      <c r="CT210" s="52"/>
      <c r="CU210" s="52"/>
      <c r="CV210" s="82">
        <f>BL210/T210</f>
      </c>
      <c r="CW210" s="82">
        <f>100/CV210</f>
      </c>
      <c r="CX210" s="77"/>
      <c r="CY210" s="85"/>
      <c r="CZ210" s="77"/>
      <c r="DA210" s="77"/>
      <c r="DB210" s="77"/>
      <c r="DC210" s="85"/>
    </row>
    <row r="211">
      <c r="A211" s="84"/>
      <c r="B211" s="53"/>
      <c r="C211" s="71"/>
      <c r="D211" s="71">
        <f>IF($A211="","","WPN"&amp;VLOOKUP(E211,'引用数据库'!Z:AC,4,FALSE)&amp;VLOOKUP(H211,'引用数据库'!N:P,3,FALSE)&amp;VLOOKUP(I211,'引用数据库'!S:U,3,FALSE)&amp;TEXT(F211,"00"))</f>
      </c>
      <c r="E211" s="53"/>
      <c r="F211" s="57"/>
      <c r="G211" s="84"/>
      <c r="H211" s="53"/>
      <c r="I211" s="53"/>
      <c r="J211" s="84"/>
      <c r="K211" s="84"/>
      <c r="L211" s="42"/>
      <c r="M211" s="65"/>
      <c r="N211" s="54"/>
      <c r="O211" s="54"/>
      <c r="P211" s="54"/>
      <c r="Q211" s="54"/>
      <c r="R211" s="54"/>
      <c r="S211" s="54"/>
      <c r="T211" s="54"/>
      <c r="U211" s="51">
        <f>2*T211/(15*(1+(5-BD211)*0.1))</f>
      </c>
      <c r="V211" s="1"/>
      <c r="W211" s="54"/>
      <c r="X211" s="54"/>
      <c r="Y211" s="76"/>
      <c r="Z211" s="76"/>
      <c r="AA211" s="66"/>
      <c r="AB211" s="66"/>
      <c r="AC211" s="66"/>
      <c r="AD211" s="86"/>
      <c r="AE211" s="86"/>
      <c r="AF211" s="1"/>
      <c r="AG211" s="54"/>
      <c r="AH211" s="54"/>
      <c r="AI211" s="1"/>
      <c r="AJ211" s="80"/>
      <c r="AK211" s="80"/>
      <c r="AL211" s="80"/>
      <c r="AM211" s="55">
        <f>IFS(AJ211 &gt; 1.25, "S", AJ211 &gt; 1, "A", AJ211 &gt; 0.75, "B", AJ211 &gt; 0.5, "C", AJ211 &gt; 0.25, "D", AJ211 &gt; 0, "E", TRUE, "-")</f>
      </c>
      <c r="AN211" s="55">
        <f>IFS(AK211 &gt; 1.25, "S", AK211 &gt; 1, "A", AK211 &gt; 0.75, "B", AK211 &gt; 0.5, "C", AK211 &gt; 0.25, "D", AK211 &gt; 0, "E", TRUE, "-")</f>
      </c>
      <c r="AO211" s="55">
        <f>IFS(AL211 &gt; 1.25, "S", AL211 &gt; 1, "A", AL211 &gt; 0.75, "B", AL211 &gt; 0.5, "C", AL211 &gt; 0.25, "D", AL211 &gt; 0, "E", TRUE, "-")</f>
      </c>
      <c r="AP211" s="58"/>
      <c r="AQ211" s="68"/>
      <c r="AR211" s="68"/>
      <c r="AS211" s="55"/>
      <c r="AT211" s="55"/>
      <c r="AU211" s="55"/>
      <c r="AV211" s="61">
        <f>IF(SUM(AJ211:AL211)=0, 0, (1 + F211 * 0.1) * (0.75 + 0.25 * MAX(0, MIN(1, IF(MAX(AJ211:AL211)=0, 0, (3*MAX(AJ211:AL211)-SUM(AJ211:AL211)) / (2*MAX(AJ211:AL211)))))))</f>
      </c>
      <c r="AW211" s="83">
        <f>MAX(AJ211:AL211)</f>
      </c>
      <c r="AX211" s="81">
        <f>IF(AW211=0, "", AW211 / ((1 + 0.1*N(F211))))</f>
      </c>
      <c r="AY211" s="61">
        <f>IF(SUM(AJ211:AL211)=0, 0,     (1 + F211 * 0.1) * (1 + ((SUM(AJ211:AL211) - MAX(AJ211:AL211)) / (2 * MAX(AJ211:AL211))) * (1/0.75 - 1)))</f>
      </c>
      <c r="AZ211" s="83"/>
      <c r="BA211" s="81">
        <f>IF(AZ211=0, "", AZ211 / ((1 + 0.1*N(F211))/0.75))</f>
      </c>
      <c r="BB211" s="51">
        <v>0.1</v>
      </c>
      <c r="BC211" s="1"/>
      <c r="BD211" s="54"/>
      <c r="BE211" s="54"/>
      <c r="BF211" s="74"/>
      <c r="BG211" s="64"/>
      <c r="BH211" s="69"/>
      <c r="BI211" s="45"/>
      <c r="BJ211" s="63"/>
      <c r="BK211" s="49"/>
      <c r="BL211" s="56"/>
      <c r="BM211" s="50"/>
      <c r="BN211" s="57"/>
      <c r="BO211" s="54"/>
      <c r="BP211" s="64"/>
      <c r="BQ211" s="51"/>
      <c r="BR211" s="38">
        <f>IFERROR(BQ211*100/CP211,"N/A")</f>
      </c>
      <c r="BS211" s="61"/>
      <c r="BT211" s="54"/>
      <c r="BU211" s="42"/>
      <c r="BV211" s="78"/>
      <c r="BW211" s="73"/>
      <c r="BX211" s="64"/>
      <c r="BY211" s="52"/>
      <c r="BZ211" s="1"/>
      <c r="CA211" s="62"/>
      <c r="CB211" s="51"/>
      <c r="CC211" s="51"/>
      <c r="CD211" s="58"/>
      <c r="CE211" s="58"/>
      <c r="CF211" s="58"/>
      <c r="CG211" s="58"/>
      <c r="CH211" s="58"/>
      <c r="CI211" s="58"/>
      <c r="CJ211" s="79"/>
      <c r="CK211" s="69"/>
      <c r="CL211" s="79"/>
      <c r="CM211" s="51"/>
      <c r="CN211" s="55"/>
      <c r="CO211" s="42"/>
      <c r="CP211" s="70">
        <f>CN211*BS211*BT211</f>
      </c>
      <c r="CQ211" s="52"/>
      <c r="CR211" s="64">
        <f>100/CP211</f>
      </c>
      <c r="CS211" s="82">
        <f>100/CQ211</f>
      </c>
      <c r="CT211" s="52"/>
      <c r="CU211" s="52"/>
      <c r="CV211" s="82">
        <f>BL211/T211</f>
      </c>
      <c r="CW211" s="82">
        <f>100/CV211</f>
      </c>
      <c r="CX211" s="77"/>
      <c r="CY211" s="85"/>
      <c r="CZ211" s="77"/>
      <c r="DA211" s="77"/>
      <c r="DB211" s="77"/>
      <c r="DC211" s="85"/>
    </row>
    <row r="212">
      <c r="A212" s="84"/>
      <c r="B212" s="53"/>
      <c r="C212" s="71"/>
      <c r="D212" s="71">
        <f>IF($A212="","","WPN"&amp;VLOOKUP(E212,'引用数据库'!Z:AC,4,FALSE)&amp;VLOOKUP(H212,'引用数据库'!N:P,3,FALSE)&amp;VLOOKUP(I212,'引用数据库'!S:U,3,FALSE)&amp;TEXT(F212,"00"))</f>
      </c>
      <c r="E212" s="53"/>
      <c r="F212" s="57"/>
      <c r="G212" s="84"/>
      <c r="H212" s="53"/>
      <c r="I212" s="53"/>
      <c r="J212" s="84"/>
      <c r="K212" s="84"/>
      <c r="L212" s="42"/>
      <c r="M212" s="65"/>
      <c r="N212" s="54"/>
      <c r="O212" s="54"/>
      <c r="P212" s="54"/>
      <c r="Q212" s="54"/>
      <c r="R212" s="54"/>
      <c r="S212" s="54"/>
      <c r="T212" s="54"/>
      <c r="U212" s="51">
        <f>2*T212/(15*(1+(5-BD212)*0.1))</f>
      </c>
      <c r="V212" s="1"/>
      <c r="W212" s="54"/>
      <c r="X212" s="54"/>
      <c r="Y212" s="76"/>
      <c r="Z212" s="76"/>
      <c r="AA212" s="66"/>
      <c r="AB212" s="66"/>
      <c r="AC212" s="66"/>
      <c r="AD212" s="86"/>
      <c r="AE212" s="86"/>
      <c r="AF212" s="1"/>
      <c r="AG212" s="54"/>
      <c r="AH212" s="54"/>
      <c r="AI212" s="1"/>
      <c r="AJ212" s="80"/>
      <c r="AK212" s="80"/>
      <c r="AL212" s="80"/>
      <c r="AM212" s="55">
        <f>IFS(AJ212 &gt; 1.25, "S", AJ212 &gt; 1, "A", AJ212 &gt; 0.75, "B", AJ212 &gt; 0.5, "C", AJ212 &gt; 0.25, "D", AJ212 &gt; 0, "E", TRUE, "-")</f>
      </c>
      <c r="AN212" s="55">
        <f>IFS(AK212 &gt; 1.25, "S", AK212 &gt; 1, "A", AK212 &gt; 0.75, "B", AK212 &gt; 0.5, "C", AK212 &gt; 0.25, "D", AK212 &gt; 0, "E", TRUE, "-")</f>
      </c>
      <c r="AO212" s="55">
        <f>IFS(AL212 &gt; 1.25, "S", AL212 &gt; 1, "A", AL212 &gt; 0.75, "B", AL212 &gt; 0.5, "C", AL212 &gt; 0.25, "D", AL212 &gt; 0, "E", TRUE, "-")</f>
      </c>
      <c r="AP212" s="58"/>
      <c r="AQ212" s="68"/>
      <c r="AR212" s="68"/>
      <c r="AS212" s="55"/>
      <c r="AT212" s="55"/>
      <c r="AU212" s="55"/>
      <c r="AV212" s="61">
        <f>IF(SUM(AJ212:AL212)=0, 0, (1 + F212 * 0.1) * (0.75 + 0.25 * MAX(0, MIN(1, IF(MAX(AJ212:AL212)=0, 0, (3*MAX(AJ212:AL212)-SUM(AJ212:AL212)) / (2*MAX(AJ212:AL212)))))))</f>
      </c>
      <c r="AW212" s="83">
        <f>MAX(AJ212:AL212)</f>
      </c>
      <c r="AX212" s="81">
        <f>IF(AW212=0, "", AW212 / ((1 + 0.1*N(F212))))</f>
      </c>
      <c r="AY212" s="61">
        <f>IF(SUM(AJ212:AL212)=0, 0,     (1 + F212 * 0.1) * (1 + ((SUM(AJ212:AL212) - MAX(AJ212:AL212)) / (2 * MAX(AJ212:AL212))) * (1/0.75 - 1)))</f>
      </c>
      <c r="AZ212" s="83"/>
      <c r="BA212" s="81">
        <f>IF(AZ212=0, "", AZ212 / ((1 + 0.1*N(F212))/0.75))</f>
      </c>
      <c r="BB212" s="51">
        <v>0.1</v>
      </c>
      <c r="BC212" s="1"/>
      <c r="BD212" s="54"/>
      <c r="BE212" s="54"/>
      <c r="BF212" s="74"/>
      <c r="BG212" s="64"/>
      <c r="BH212" s="69"/>
      <c r="BI212" s="45"/>
      <c r="BJ212" s="63"/>
      <c r="BK212" s="49"/>
      <c r="BL212" s="56"/>
      <c r="BM212" s="50"/>
      <c r="BN212" s="57"/>
      <c r="BO212" s="54"/>
      <c r="BP212" s="64"/>
      <c r="BQ212" s="51"/>
      <c r="BR212" s="38">
        <f>IFERROR(BQ212*100/CP212,"N/A")</f>
      </c>
      <c r="BS212" s="61"/>
      <c r="BT212" s="54"/>
      <c r="BU212" s="42"/>
      <c r="BV212" s="78"/>
      <c r="BW212" s="73"/>
      <c r="BX212" s="64"/>
      <c r="BY212" s="52"/>
      <c r="BZ212" s="1"/>
      <c r="CA212" s="62"/>
      <c r="CB212" s="51"/>
      <c r="CC212" s="51"/>
      <c r="CD212" s="58"/>
      <c r="CE212" s="58"/>
      <c r="CF212" s="58"/>
      <c r="CG212" s="58"/>
      <c r="CH212" s="58"/>
      <c r="CI212" s="58"/>
      <c r="CJ212" s="79"/>
      <c r="CK212" s="69"/>
      <c r="CL212" s="79"/>
      <c r="CM212" s="51"/>
      <c r="CN212" s="55"/>
      <c r="CO212" s="42"/>
      <c r="CP212" s="70">
        <f>CN212*BS212*BT212</f>
      </c>
      <c r="CQ212" s="52"/>
      <c r="CR212" s="64">
        <f>100/CP212</f>
      </c>
      <c r="CS212" s="82">
        <f>100/CQ212</f>
      </c>
      <c r="CT212" s="52"/>
      <c r="CU212" s="52"/>
      <c r="CV212" s="82">
        <f>BL212/T212</f>
      </c>
      <c r="CW212" s="82">
        <f>100/CV212</f>
      </c>
      <c r="CX212" s="77"/>
      <c r="CY212" s="85"/>
      <c r="CZ212" s="77"/>
      <c r="DA212" s="77"/>
      <c r="DB212" s="77"/>
      <c r="DC212" s="85"/>
    </row>
    <row r="213">
      <c r="A213" s="84"/>
      <c r="B213" s="53"/>
      <c r="C213" s="71"/>
      <c r="D213" s="71">
        <f>IF($A213="","","WPN"&amp;VLOOKUP(E213,'引用数据库'!Z:AC,4,FALSE)&amp;VLOOKUP(H213,'引用数据库'!N:P,3,FALSE)&amp;VLOOKUP(I213,'引用数据库'!S:U,3,FALSE)&amp;TEXT(F213,"00"))</f>
      </c>
      <c r="E213" s="53"/>
      <c r="F213" s="57"/>
      <c r="G213" s="84"/>
      <c r="H213" s="53"/>
      <c r="I213" s="53"/>
      <c r="J213" s="84"/>
      <c r="K213" s="84"/>
      <c r="L213" s="42"/>
      <c r="M213" s="65"/>
      <c r="N213" s="54"/>
      <c r="O213" s="54"/>
      <c r="P213" s="54"/>
      <c r="Q213" s="54"/>
      <c r="R213" s="54"/>
      <c r="S213" s="54"/>
      <c r="T213" s="54"/>
      <c r="U213" s="51">
        <f>2*T213/(15*(1+(5-BD213)*0.1))</f>
      </c>
      <c r="V213" s="1"/>
      <c r="W213" s="54"/>
      <c r="X213" s="54"/>
      <c r="Y213" s="76"/>
      <c r="Z213" s="76"/>
      <c r="AA213" s="66"/>
      <c r="AB213" s="66"/>
      <c r="AC213" s="66"/>
      <c r="AD213" s="86"/>
      <c r="AE213" s="86"/>
      <c r="AF213" s="1"/>
      <c r="AG213" s="54"/>
      <c r="AH213" s="54"/>
      <c r="AI213" s="1"/>
      <c r="AJ213" s="80"/>
      <c r="AK213" s="80"/>
      <c r="AL213" s="80"/>
      <c r="AM213" s="55">
        <f>IFS(AJ213 &gt; 1.25, "S", AJ213 &gt; 1, "A", AJ213 &gt; 0.75, "B", AJ213 &gt; 0.5, "C", AJ213 &gt; 0.25, "D", AJ213 &gt; 0, "E", TRUE, "-")</f>
      </c>
      <c r="AN213" s="55">
        <f>IFS(AK213 &gt; 1.25, "S", AK213 &gt; 1, "A", AK213 &gt; 0.75, "B", AK213 &gt; 0.5, "C", AK213 &gt; 0.25, "D", AK213 &gt; 0, "E", TRUE, "-")</f>
      </c>
      <c r="AO213" s="55">
        <f>IFS(AL213 &gt; 1.25, "S", AL213 &gt; 1, "A", AL213 &gt; 0.75, "B", AL213 &gt; 0.5, "C", AL213 &gt; 0.25, "D", AL213 &gt; 0, "E", TRUE, "-")</f>
      </c>
      <c r="AP213" s="58"/>
      <c r="AQ213" s="68"/>
      <c r="AR213" s="68"/>
      <c r="AS213" s="55"/>
      <c r="AT213" s="55"/>
      <c r="AU213" s="55"/>
      <c r="AV213" s="61">
        <f>IF(SUM(AJ213:AL213)=0, 0, (1 + F213 * 0.1) * (0.75 + 0.25 * MAX(0, MIN(1, IF(MAX(AJ213:AL213)=0, 0, (3*MAX(AJ213:AL213)-SUM(AJ213:AL213)) / (2*MAX(AJ213:AL213)))))))</f>
      </c>
      <c r="AW213" s="83">
        <f>MAX(AJ213:AL213)</f>
      </c>
      <c r="AX213" s="81">
        <f>IF(AW213=0, "", AW213 / ((1 + 0.1*N(F213))))</f>
      </c>
      <c r="AY213" s="61">
        <f>IF(SUM(AJ213:AL213)=0, 0,     (1 + F213 * 0.1) * (1 + ((SUM(AJ213:AL213) - MAX(AJ213:AL213)) / (2 * MAX(AJ213:AL213))) * (1/0.75 - 1)))</f>
      </c>
      <c r="AZ213" s="83"/>
      <c r="BA213" s="81">
        <f>IF(AZ213=0, "", AZ213 / ((1 + 0.1*N(F213))/0.75))</f>
      </c>
      <c r="BB213" s="51">
        <v>0.1</v>
      </c>
      <c r="BC213" s="1"/>
      <c r="BD213" s="54"/>
      <c r="BE213" s="54"/>
      <c r="BF213" s="74"/>
      <c r="BG213" s="64"/>
      <c r="BH213" s="69"/>
      <c r="BI213" s="45"/>
      <c r="BJ213" s="63"/>
      <c r="BK213" s="49"/>
      <c r="BL213" s="56"/>
      <c r="BM213" s="50"/>
      <c r="BN213" s="57"/>
      <c r="BO213" s="54"/>
      <c r="BP213" s="64"/>
      <c r="BQ213" s="51"/>
      <c r="BR213" s="38">
        <f>IFERROR(BQ213*100/CP213,"N/A")</f>
      </c>
      <c r="BS213" s="61"/>
      <c r="BT213" s="54"/>
      <c r="BU213" s="42"/>
      <c r="BV213" s="78"/>
      <c r="BW213" s="73"/>
      <c r="BX213" s="64"/>
      <c r="BY213" s="52"/>
      <c r="BZ213" s="1"/>
      <c r="CA213" s="62"/>
      <c r="CB213" s="51"/>
      <c r="CC213" s="51"/>
      <c r="CD213" s="58"/>
      <c r="CE213" s="58"/>
      <c r="CF213" s="58"/>
      <c r="CG213" s="58"/>
      <c r="CH213" s="58"/>
      <c r="CI213" s="58"/>
      <c r="CJ213" s="79"/>
      <c r="CK213" s="69"/>
      <c r="CL213" s="79"/>
      <c r="CM213" s="51"/>
      <c r="CN213" s="55"/>
      <c r="CO213" s="42"/>
      <c r="CP213" s="70">
        <f>CN213*BS213*BT213</f>
      </c>
      <c r="CQ213" s="52"/>
      <c r="CR213" s="64">
        <f>100/CP213</f>
      </c>
      <c r="CS213" s="82">
        <f>100/CQ213</f>
      </c>
      <c r="CT213" s="52"/>
      <c r="CU213" s="52"/>
      <c r="CV213" s="82">
        <f>BL213/T213</f>
      </c>
      <c r="CW213" s="82">
        <f>100/CV213</f>
      </c>
      <c r="CX213" s="77"/>
      <c r="CY213" s="85"/>
      <c r="CZ213" s="77"/>
      <c r="DA213" s="77"/>
      <c r="DB213" s="77"/>
      <c r="DC213" s="85"/>
    </row>
    <row r="214">
      <c r="A214" s="84"/>
      <c r="B214" s="53"/>
      <c r="C214" s="71"/>
      <c r="D214" s="71">
        <f>IF($A214="","","WPN"&amp;VLOOKUP(E214,'引用数据库'!Z:AC,4,FALSE)&amp;VLOOKUP(H214,'引用数据库'!N:P,3,FALSE)&amp;VLOOKUP(I214,'引用数据库'!S:U,3,FALSE)&amp;TEXT(F214,"00"))</f>
      </c>
      <c r="E214" s="53"/>
      <c r="F214" s="57"/>
      <c r="G214" s="84"/>
      <c r="H214" s="53"/>
      <c r="I214" s="53"/>
      <c r="J214" s="84"/>
      <c r="K214" s="84"/>
      <c r="L214" s="42"/>
      <c r="M214" s="65"/>
      <c r="N214" s="54"/>
      <c r="O214" s="54"/>
      <c r="P214" s="54"/>
      <c r="Q214" s="54"/>
      <c r="R214" s="54"/>
      <c r="S214" s="54"/>
      <c r="T214" s="54"/>
      <c r="U214" s="51">
        <f>2*T214/(15*(1+(5-BD214)*0.1))</f>
      </c>
      <c r="V214" s="1"/>
      <c r="W214" s="54"/>
      <c r="X214" s="54"/>
      <c r="Y214" s="76"/>
      <c r="Z214" s="76"/>
      <c r="AA214" s="66"/>
      <c r="AB214" s="66"/>
      <c r="AC214" s="66"/>
      <c r="AD214" s="86"/>
      <c r="AE214" s="86"/>
      <c r="AF214" s="1"/>
      <c r="AG214" s="54"/>
      <c r="AH214" s="54"/>
      <c r="AI214" s="1"/>
      <c r="AJ214" s="80"/>
      <c r="AK214" s="80"/>
      <c r="AL214" s="80"/>
      <c r="AM214" s="55">
        <f>IFS(AJ214 &gt; 1.25, "S", AJ214 &gt; 1, "A", AJ214 &gt; 0.75, "B", AJ214 &gt; 0.5, "C", AJ214 &gt; 0.25, "D", AJ214 &gt; 0, "E", TRUE, "-")</f>
      </c>
      <c r="AN214" s="55">
        <f>IFS(AK214 &gt; 1.25, "S", AK214 &gt; 1, "A", AK214 &gt; 0.75, "B", AK214 &gt; 0.5, "C", AK214 &gt; 0.25, "D", AK214 &gt; 0, "E", TRUE, "-")</f>
      </c>
      <c r="AO214" s="55">
        <f>IFS(AL214 &gt; 1.25, "S", AL214 &gt; 1, "A", AL214 &gt; 0.75, "B", AL214 &gt; 0.5, "C", AL214 &gt; 0.25, "D", AL214 &gt; 0, "E", TRUE, "-")</f>
      </c>
      <c r="AP214" s="58"/>
      <c r="AQ214" s="68"/>
      <c r="AR214" s="68"/>
      <c r="AS214" s="55"/>
      <c r="AT214" s="55"/>
      <c r="AU214" s="55"/>
      <c r="AV214" s="61">
        <f>IF(SUM(AJ214:AL214)=0, 0, (1 + F214 * 0.1) * (0.75 + 0.25 * MAX(0, MIN(1, IF(MAX(AJ214:AL214)=0, 0, (3*MAX(AJ214:AL214)-SUM(AJ214:AL214)) / (2*MAX(AJ214:AL214)))))))</f>
      </c>
      <c r="AW214" s="83">
        <f>MAX(AJ214:AL214)</f>
      </c>
      <c r="AX214" s="81">
        <f>IF(AW214=0, "", AW214 / ((1 + 0.1*N(F214))))</f>
      </c>
      <c r="AY214" s="61">
        <f>IF(SUM(AJ214:AL214)=0, 0,     (1 + F214 * 0.1) * (1 + ((SUM(AJ214:AL214) - MAX(AJ214:AL214)) / (2 * MAX(AJ214:AL214))) * (1/0.75 - 1)))</f>
      </c>
      <c r="AZ214" s="83"/>
      <c r="BA214" s="81">
        <f>IF(AZ214=0, "", AZ214 / ((1 + 0.1*N(F214))/0.75))</f>
      </c>
      <c r="BB214" s="51">
        <v>0.1</v>
      </c>
      <c r="BC214" s="1"/>
      <c r="BD214" s="54"/>
      <c r="BE214" s="54"/>
      <c r="BF214" s="74"/>
      <c r="BG214" s="64"/>
      <c r="BH214" s="69"/>
      <c r="BI214" s="45"/>
      <c r="BJ214" s="63"/>
      <c r="BK214" s="49"/>
      <c r="BL214" s="56"/>
      <c r="BM214" s="50"/>
      <c r="BN214" s="57"/>
      <c r="BO214" s="54"/>
      <c r="BP214" s="64"/>
      <c r="BQ214" s="51"/>
      <c r="BR214" s="38">
        <f>IFERROR(BQ214*100/CP214,"N/A")</f>
      </c>
      <c r="BS214" s="61"/>
      <c r="BT214" s="54"/>
      <c r="BU214" s="42"/>
      <c r="BV214" s="78"/>
      <c r="BW214" s="73"/>
      <c r="BX214" s="64"/>
      <c r="BY214" s="52"/>
      <c r="BZ214" s="1"/>
      <c r="CA214" s="62"/>
      <c r="CB214" s="51"/>
      <c r="CC214" s="51"/>
      <c r="CD214" s="58"/>
      <c r="CE214" s="58"/>
      <c r="CF214" s="58"/>
      <c r="CG214" s="58"/>
      <c r="CH214" s="58"/>
      <c r="CI214" s="58"/>
      <c r="CJ214" s="79"/>
      <c r="CK214" s="69"/>
      <c r="CL214" s="79"/>
      <c r="CM214" s="51"/>
      <c r="CN214" s="55"/>
      <c r="CO214" s="42"/>
      <c r="CP214" s="70">
        <f>CN214*BS214*BT214</f>
      </c>
      <c r="CQ214" s="52"/>
      <c r="CR214" s="64">
        <f>100/CP214</f>
      </c>
      <c r="CS214" s="82">
        <f>100/CQ214</f>
      </c>
      <c r="CT214" s="52"/>
      <c r="CU214" s="52"/>
      <c r="CV214" s="82">
        <f>BL214/T214</f>
      </c>
      <c r="CW214" s="82">
        <f>100/CV214</f>
      </c>
      <c r="CX214" s="77"/>
      <c r="CY214" s="85"/>
      <c r="CZ214" s="77"/>
      <c r="DA214" s="77"/>
      <c r="DB214" s="77"/>
      <c r="DC214" s="85"/>
    </row>
    <row r="215">
      <c r="A215" s="84"/>
      <c r="B215" s="53"/>
      <c r="C215" s="71"/>
      <c r="D215" s="71">
        <f>IF($A215="","","WPN"&amp;VLOOKUP(E215,'引用数据库'!Z:AC,4,FALSE)&amp;VLOOKUP(H215,'引用数据库'!N:P,3,FALSE)&amp;VLOOKUP(I215,'引用数据库'!S:U,3,FALSE)&amp;TEXT(F215,"00"))</f>
      </c>
      <c r="E215" s="53"/>
      <c r="F215" s="57"/>
      <c r="G215" s="84"/>
      <c r="H215" s="53"/>
      <c r="I215" s="53"/>
      <c r="J215" s="84"/>
      <c r="K215" s="84"/>
      <c r="L215" s="42"/>
      <c r="M215" s="65"/>
      <c r="N215" s="54"/>
      <c r="O215" s="54"/>
      <c r="P215" s="54"/>
      <c r="Q215" s="54"/>
      <c r="R215" s="54"/>
      <c r="S215" s="54"/>
      <c r="T215" s="54"/>
      <c r="U215" s="51">
        <f>2*T215/(15*(1+(5-BD215)*0.1))</f>
      </c>
      <c r="V215" s="1"/>
      <c r="W215" s="54"/>
      <c r="X215" s="54"/>
      <c r="Y215" s="76"/>
      <c r="Z215" s="76"/>
      <c r="AA215" s="66"/>
      <c r="AB215" s="66"/>
      <c r="AC215" s="66"/>
      <c r="AD215" s="86"/>
      <c r="AE215" s="86"/>
      <c r="AF215" s="1"/>
      <c r="AG215" s="54"/>
      <c r="AH215" s="54"/>
      <c r="AI215" s="1"/>
      <c r="AJ215" s="80"/>
      <c r="AK215" s="80"/>
      <c r="AL215" s="80"/>
      <c r="AM215" s="55">
        <f>IFS(AJ215 &gt; 1.25, "S", AJ215 &gt; 1, "A", AJ215 &gt; 0.75, "B", AJ215 &gt; 0.5, "C", AJ215 &gt; 0.25, "D", AJ215 &gt; 0, "E", TRUE, "-")</f>
      </c>
      <c r="AN215" s="55">
        <f>IFS(AK215 &gt; 1.25, "S", AK215 &gt; 1, "A", AK215 &gt; 0.75, "B", AK215 &gt; 0.5, "C", AK215 &gt; 0.25, "D", AK215 &gt; 0, "E", TRUE, "-")</f>
      </c>
      <c r="AO215" s="55">
        <f>IFS(AL215 &gt; 1.25, "S", AL215 &gt; 1, "A", AL215 &gt; 0.75, "B", AL215 &gt; 0.5, "C", AL215 &gt; 0.25, "D", AL215 &gt; 0, "E", TRUE, "-")</f>
      </c>
      <c r="AP215" s="58"/>
      <c r="AQ215" s="68"/>
      <c r="AR215" s="68"/>
      <c r="AS215" s="55"/>
      <c r="AT215" s="55"/>
      <c r="AU215" s="55"/>
      <c r="AV215" s="61">
        <f>IF(SUM(AJ215:AL215)=0, 0, (1 + F215 * 0.1) * (0.75 + 0.25 * MAX(0, MIN(1, IF(MAX(AJ215:AL215)=0, 0, (3*MAX(AJ215:AL215)-SUM(AJ215:AL215)) / (2*MAX(AJ215:AL215)))))))</f>
      </c>
      <c r="AW215" s="83">
        <f>MAX(AJ215:AL215)</f>
      </c>
      <c r="AX215" s="81">
        <f>IF(AW215=0, "", AW215 / ((1 + 0.1*N(F215))))</f>
      </c>
      <c r="AY215" s="61">
        <f>IF(SUM(AJ215:AL215)=0, 0,     (1 + F215 * 0.1) * (1 + ((SUM(AJ215:AL215) - MAX(AJ215:AL215)) / (2 * MAX(AJ215:AL215))) * (1/0.75 - 1)))</f>
      </c>
      <c r="AZ215" s="83"/>
      <c r="BA215" s="81">
        <f>IF(AZ215=0, "", AZ215 / ((1 + 0.1*N(F215))/0.75))</f>
      </c>
      <c r="BB215" s="51">
        <v>0.1</v>
      </c>
      <c r="BC215" s="1"/>
      <c r="BD215" s="54"/>
      <c r="BE215" s="54"/>
      <c r="BF215" s="74"/>
      <c r="BG215" s="64"/>
      <c r="BH215" s="69"/>
      <c r="BI215" s="45"/>
      <c r="BJ215" s="63"/>
      <c r="BK215" s="49"/>
      <c r="BL215" s="56"/>
      <c r="BM215" s="50"/>
      <c r="BN215" s="57"/>
      <c r="BO215" s="54"/>
      <c r="BP215" s="64"/>
      <c r="BQ215" s="51"/>
      <c r="BR215" s="38">
        <f>IFERROR(BQ215*100/CP215,"N/A")</f>
      </c>
      <c r="BS215" s="61"/>
      <c r="BT215" s="54"/>
      <c r="BU215" s="42"/>
      <c r="BV215" s="78"/>
      <c r="BW215" s="73"/>
      <c r="BX215" s="64"/>
      <c r="BY215" s="52"/>
      <c r="BZ215" s="1"/>
      <c r="CA215" s="62"/>
      <c r="CB215" s="51"/>
      <c r="CC215" s="51"/>
      <c r="CD215" s="58"/>
      <c r="CE215" s="58"/>
      <c r="CF215" s="58"/>
      <c r="CG215" s="58"/>
      <c r="CH215" s="58"/>
      <c r="CI215" s="58"/>
      <c r="CJ215" s="79"/>
      <c r="CK215" s="69"/>
      <c r="CL215" s="79"/>
      <c r="CM215" s="51"/>
      <c r="CN215" s="55"/>
      <c r="CO215" s="42"/>
      <c r="CP215" s="70">
        <f>CN215*BS215*BT215</f>
      </c>
      <c r="CQ215" s="52"/>
      <c r="CR215" s="64">
        <f>100/CP215</f>
      </c>
      <c r="CS215" s="82">
        <f>100/CQ215</f>
      </c>
      <c r="CT215" s="52"/>
      <c r="CU215" s="52"/>
      <c r="CV215" s="82">
        <f>BL215/T215</f>
      </c>
      <c r="CW215" s="82">
        <f>100/CV215</f>
      </c>
      <c r="CX215" s="77"/>
      <c r="CY215" s="85"/>
      <c r="CZ215" s="77"/>
      <c r="DA215" s="77"/>
      <c r="DB215" s="77"/>
      <c r="DC215" s="85"/>
    </row>
    <row r="216">
      <c r="A216" s="84"/>
      <c r="B216" s="53"/>
      <c r="C216" s="71"/>
      <c r="D216" s="71">
        <f>IF($A216="","","WPN"&amp;VLOOKUP(E216,'引用数据库'!Z:AC,4,FALSE)&amp;VLOOKUP(H216,'引用数据库'!N:P,3,FALSE)&amp;VLOOKUP(I216,'引用数据库'!S:U,3,FALSE)&amp;TEXT(F216,"00"))</f>
      </c>
      <c r="E216" s="53"/>
      <c r="F216" s="57"/>
      <c r="G216" s="84"/>
      <c r="H216" s="53"/>
      <c r="I216" s="53"/>
      <c r="J216" s="84"/>
      <c r="K216" s="84"/>
      <c r="L216" s="42"/>
      <c r="M216" s="65"/>
      <c r="N216" s="54"/>
      <c r="O216" s="54"/>
      <c r="P216" s="54"/>
      <c r="Q216" s="54"/>
      <c r="R216" s="54"/>
      <c r="S216" s="54"/>
      <c r="T216" s="54"/>
      <c r="U216" s="51">
        <f>2*T216/(15*(1+(5-BD216)*0.1))</f>
      </c>
      <c r="V216" s="1"/>
      <c r="W216" s="54"/>
      <c r="X216" s="54"/>
      <c r="Y216" s="76"/>
      <c r="Z216" s="76"/>
      <c r="AA216" s="66"/>
      <c r="AB216" s="66"/>
      <c r="AC216" s="66"/>
      <c r="AD216" s="86"/>
      <c r="AE216" s="86"/>
      <c r="AF216" s="1"/>
      <c r="AG216" s="54"/>
      <c r="AH216" s="54"/>
      <c r="AI216" s="1"/>
      <c r="AJ216" s="80"/>
      <c r="AK216" s="80"/>
      <c r="AL216" s="80"/>
      <c r="AM216" s="55">
        <f>IFS(AJ216 &gt; 1.25, "S", AJ216 &gt; 1, "A", AJ216 &gt; 0.75, "B", AJ216 &gt; 0.5, "C", AJ216 &gt; 0.25, "D", AJ216 &gt; 0, "E", TRUE, "-")</f>
      </c>
      <c r="AN216" s="55">
        <f>IFS(AK216 &gt; 1.25, "S", AK216 &gt; 1, "A", AK216 &gt; 0.75, "B", AK216 &gt; 0.5, "C", AK216 &gt; 0.25, "D", AK216 &gt; 0, "E", TRUE, "-")</f>
      </c>
      <c r="AO216" s="55">
        <f>IFS(AL216 &gt; 1.25, "S", AL216 &gt; 1, "A", AL216 &gt; 0.75, "B", AL216 &gt; 0.5, "C", AL216 &gt; 0.25, "D", AL216 &gt; 0, "E", TRUE, "-")</f>
      </c>
      <c r="AP216" s="58"/>
      <c r="AQ216" s="68"/>
      <c r="AR216" s="68"/>
      <c r="AS216" s="55"/>
      <c r="AT216" s="55"/>
      <c r="AU216" s="55"/>
      <c r="AV216" s="61">
        <f>IF(SUM(AJ216:AL216)=0, 0, (1 + F216 * 0.1) * (0.75 + 0.25 * MAX(0, MIN(1, IF(MAX(AJ216:AL216)=0, 0, (3*MAX(AJ216:AL216)-SUM(AJ216:AL216)) / (2*MAX(AJ216:AL216)))))))</f>
      </c>
      <c r="AW216" s="83">
        <f>MAX(AJ216:AL216)</f>
      </c>
      <c r="AX216" s="81">
        <f>IF(AW216=0, "", AW216 / ((1 + 0.1*N(F216))))</f>
      </c>
      <c r="AY216" s="61">
        <f>IF(SUM(AJ216:AL216)=0, 0,     (1 + F216 * 0.1) * (1 + ((SUM(AJ216:AL216) - MAX(AJ216:AL216)) / (2 * MAX(AJ216:AL216))) * (1/0.75 - 1)))</f>
      </c>
      <c r="AZ216" s="83"/>
      <c r="BA216" s="81">
        <f>IF(AZ216=0, "", AZ216 / ((1 + 0.1*N(F216))/0.75))</f>
      </c>
      <c r="BB216" s="51">
        <v>0.1</v>
      </c>
      <c r="BC216" s="1"/>
      <c r="BD216" s="54"/>
      <c r="BE216" s="54"/>
      <c r="BF216" s="74"/>
      <c r="BG216" s="64"/>
      <c r="BH216" s="69"/>
      <c r="BI216" s="45"/>
      <c r="BJ216" s="63"/>
      <c r="BK216" s="49"/>
      <c r="BL216" s="56"/>
      <c r="BM216" s="50"/>
      <c r="BN216" s="57"/>
      <c r="BO216" s="54"/>
      <c r="BP216" s="64"/>
      <c r="BQ216" s="51"/>
      <c r="BR216" s="38">
        <f>IFERROR(BQ216*100/CP216,"N/A")</f>
      </c>
      <c r="BS216" s="61"/>
      <c r="BT216" s="54"/>
      <c r="BU216" s="42"/>
      <c r="BV216" s="78"/>
      <c r="BW216" s="73"/>
      <c r="BX216" s="64"/>
      <c r="BY216" s="52"/>
      <c r="BZ216" s="1"/>
      <c r="CA216" s="62"/>
      <c r="CB216" s="51"/>
      <c r="CC216" s="51"/>
      <c r="CD216" s="58"/>
      <c r="CE216" s="58"/>
      <c r="CF216" s="58"/>
      <c r="CG216" s="58"/>
      <c r="CH216" s="58"/>
      <c r="CI216" s="58"/>
      <c r="CJ216" s="79"/>
      <c r="CK216" s="69"/>
      <c r="CL216" s="79"/>
      <c r="CM216" s="51"/>
      <c r="CN216" s="55"/>
      <c r="CO216" s="42"/>
      <c r="CP216" s="70">
        <f>CN216*BS216*BT216</f>
      </c>
      <c r="CQ216" s="52"/>
      <c r="CR216" s="64">
        <f>100/CP216</f>
      </c>
      <c r="CS216" s="82">
        <f>100/CQ216</f>
      </c>
      <c r="CT216" s="52"/>
      <c r="CU216" s="52"/>
      <c r="CV216" s="82">
        <f>BL216/T216</f>
      </c>
      <c r="CW216" s="82">
        <f>100/CV216</f>
      </c>
      <c r="CX216" s="77"/>
      <c r="CY216" s="85"/>
      <c r="CZ216" s="77"/>
      <c r="DA216" s="77"/>
      <c r="DB216" s="77"/>
      <c r="DC216" s="85"/>
    </row>
    <row r="217">
      <c r="A217" s="84"/>
      <c r="B217" s="53"/>
      <c r="C217" s="71"/>
      <c r="D217" s="71">
        <f>IF($A217="","","WPN"&amp;VLOOKUP(E217,'引用数据库'!Z:AC,4,FALSE)&amp;VLOOKUP(H217,'引用数据库'!N:P,3,FALSE)&amp;VLOOKUP(I217,'引用数据库'!S:U,3,FALSE)&amp;TEXT(F217,"00"))</f>
      </c>
      <c r="E217" s="53"/>
      <c r="F217" s="57"/>
      <c r="G217" s="84"/>
      <c r="H217" s="53"/>
      <c r="I217" s="53"/>
      <c r="J217" s="84"/>
      <c r="K217" s="84"/>
      <c r="L217" s="42"/>
      <c r="M217" s="65"/>
      <c r="N217" s="54"/>
      <c r="O217" s="54"/>
      <c r="P217" s="54"/>
      <c r="Q217" s="54"/>
      <c r="R217" s="54"/>
      <c r="S217" s="54"/>
      <c r="T217" s="54"/>
      <c r="U217" s="51">
        <f>2*T217/(15*(1+(5-BD217)*0.1))</f>
      </c>
      <c r="V217" s="1"/>
      <c r="W217" s="54"/>
      <c r="X217" s="54"/>
      <c r="Y217" s="76"/>
      <c r="Z217" s="76"/>
      <c r="AA217" s="66"/>
      <c r="AB217" s="66"/>
      <c r="AC217" s="66"/>
      <c r="AD217" s="86"/>
      <c r="AE217" s="86"/>
      <c r="AF217" s="1"/>
      <c r="AG217" s="54"/>
      <c r="AH217" s="54"/>
      <c r="AI217" s="1"/>
      <c r="AJ217" s="80"/>
      <c r="AK217" s="80"/>
      <c r="AL217" s="80"/>
      <c r="AM217" s="55">
        <f>IFS(AJ217 &gt; 1.25, "S", AJ217 &gt; 1, "A", AJ217 &gt; 0.75, "B", AJ217 &gt; 0.5, "C", AJ217 &gt; 0.25, "D", AJ217 &gt; 0, "E", TRUE, "-")</f>
      </c>
      <c r="AN217" s="55">
        <f>IFS(AK217 &gt; 1.25, "S", AK217 &gt; 1, "A", AK217 &gt; 0.75, "B", AK217 &gt; 0.5, "C", AK217 &gt; 0.25, "D", AK217 &gt; 0, "E", TRUE, "-")</f>
      </c>
      <c r="AO217" s="55">
        <f>IFS(AL217 &gt; 1.25, "S", AL217 &gt; 1, "A", AL217 &gt; 0.75, "B", AL217 &gt; 0.5, "C", AL217 &gt; 0.25, "D", AL217 &gt; 0, "E", TRUE, "-")</f>
      </c>
      <c r="AP217" s="58"/>
      <c r="AQ217" s="68"/>
      <c r="AR217" s="68"/>
      <c r="AS217" s="55"/>
      <c r="AT217" s="55"/>
      <c r="AU217" s="55"/>
      <c r="AV217" s="61">
        <f>IF(SUM(AJ217:AL217)=0, 0, (1 + F217 * 0.1) * (0.75 + 0.25 * MAX(0, MIN(1, IF(MAX(AJ217:AL217)=0, 0, (3*MAX(AJ217:AL217)-SUM(AJ217:AL217)) / (2*MAX(AJ217:AL217)))))))</f>
      </c>
      <c r="AW217" s="83">
        <f>MAX(AJ217:AL217)</f>
      </c>
      <c r="AX217" s="81">
        <f>IF(AW217=0, "", AW217 / ((1 + 0.1*N(F217))))</f>
      </c>
      <c r="AY217" s="61">
        <f>IF(SUM(AJ217:AL217)=0, 0,     (1 + F217 * 0.1) * (1 + ((SUM(AJ217:AL217) - MAX(AJ217:AL217)) / (2 * MAX(AJ217:AL217))) * (1/0.75 - 1)))</f>
      </c>
      <c r="AZ217" s="83"/>
      <c r="BA217" s="81">
        <f>IF(AZ217=0, "", AZ217 / ((1 + 0.1*N(F217))/0.75))</f>
      </c>
      <c r="BB217" s="51">
        <v>0.1</v>
      </c>
      <c r="BC217" s="1"/>
      <c r="BD217" s="54"/>
      <c r="BE217" s="54"/>
      <c r="BF217" s="74"/>
      <c r="BG217" s="64"/>
      <c r="BH217" s="69"/>
      <c r="BI217" s="45"/>
      <c r="BJ217" s="63"/>
      <c r="BK217" s="49"/>
      <c r="BL217" s="56"/>
      <c r="BM217" s="50"/>
      <c r="BN217" s="57"/>
      <c r="BO217" s="54"/>
      <c r="BP217" s="64"/>
      <c r="BQ217" s="51"/>
      <c r="BR217" s="38">
        <f>IFERROR(BQ217*100/CP217,"N/A")</f>
      </c>
      <c r="BS217" s="61"/>
      <c r="BT217" s="54"/>
      <c r="BU217" s="42"/>
      <c r="BV217" s="78"/>
      <c r="BW217" s="73"/>
      <c r="BX217" s="64"/>
      <c r="BY217" s="52"/>
      <c r="BZ217" s="1"/>
      <c r="CA217" s="62"/>
      <c r="CB217" s="51"/>
      <c r="CC217" s="51"/>
      <c r="CD217" s="58"/>
      <c r="CE217" s="58"/>
      <c r="CF217" s="58"/>
      <c r="CG217" s="58"/>
      <c r="CH217" s="58"/>
      <c r="CI217" s="58"/>
      <c r="CJ217" s="79"/>
      <c r="CK217" s="69"/>
      <c r="CL217" s="79"/>
      <c r="CM217" s="51"/>
      <c r="CN217" s="55"/>
      <c r="CO217" s="42"/>
      <c r="CP217" s="70">
        <f>CN217*BS217*BT217</f>
      </c>
      <c r="CQ217" s="52"/>
      <c r="CR217" s="64">
        <f>100/CP217</f>
      </c>
      <c r="CS217" s="82">
        <f>100/CQ217</f>
      </c>
      <c r="CT217" s="52"/>
      <c r="CU217" s="52"/>
      <c r="CV217" s="82">
        <f>BL217/T217</f>
      </c>
      <c r="CW217" s="82">
        <f>100/CV217</f>
      </c>
      <c r="CX217" s="77"/>
      <c r="CY217" s="85"/>
      <c r="CZ217" s="77"/>
      <c r="DA217" s="77"/>
      <c r="DB217" s="77"/>
      <c r="DC217" s="85"/>
    </row>
    <row r="218">
      <c r="A218" s="84"/>
      <c r="B218" s="53"/>
      <c r="C218" s="71"/>
      <c r="D218" s="71">
        <f>IF($A218="","","WPN"&amp;VLOOKUP(E218,'引用数据库'!Z:AC,4,FALSE)&amp;VLOOKUP(H218,'引用数据库'!N:P,3,FALSE)&amp;VLOOKUP(I218,'引用数据库'!S:U,3,FALSE)&amp;TEXT(F218,"00"))</f>
      </c>
      <c r="E218" s="53"/>
      <c r="F218" s="57"/>
      <c r="G218" s="84"/>
      <c r="H218" s="53"/>
      <c r="I218" s="53"/>
      <c r="J218" s="84"/>
      <c r="K218" s="84"/>
      <c r="L218" s="42"/>
      <c r="M218" s="65"/>
      <c r="N218" s="54"/>
      <c r="O218" s="54"/>
      <c r="P218" s="54"/>
      <c r="Q218" s="54"/>
      <c r="R218" s="54"/>
      <c r="S218" s="54"/>
      <c r="T218" s="54"/>
      <c r="U218" s="51">
        <f>2*T218/(15*(1+(5-BD218)*0.1))</f>
      </c>
      <c r="V218" s="1"/>
      <c r="W218" s="54"/>
      <c r="X218" s="54"/>
      <c r="Y218" s="76"/>
      <c r="Z218" s="76"/>
      <c r="AA218" s="66"/>
      <c r="AB218" s="66"/>
      <c r="AC218" s="66"/>
      <c r="AD218" s="86"/>
      <c r="AE218" s="86"/>
      <c r="AF218" s="1"/>
      <c r="AG218" s="54"/>
      <c r="AH218" s="54"/>
      <c r="AI218" s="1"/>
      <c r="AJ218" s="80"/>
      <c r="AK218" s="80"/>
      <c r="AL218" s="80"/>
      <c r="AM218" s="55">
        <f>IFS(AJ218 &gt; 1.25, "S", AJ218 &gt; 1, "A", AJ218 &gt; 0.75, "B", AJ218 &gt; 0.5, "C", AJ218 &gt; 0.25, "D", AJ218 &gt; 0, "E", TRUE, "-")</f>
      </c>
      <c r="AN218" s="55">
        <f>IFS(AK218 &gt; 1.25, "S", AK218 &gt; 1, "A", AK218 &gt; 0.75, "B", AK218 &gt; 0.5, "C", AK218 &gt; 0.25, "D", AK218 &gt; 0, "E", TRUE, "-")</f>
      </c>
      <c r="AO218" s="55">
        <f>IFS(AL218 &gt; 1.25, "S", AL218 &gt; 1, "A", AL218 &gt; 0.75, "B", AL218 &gt; 0.5, "C", AL218 &gt; 0.25, "D", AL218 &gt; 0, "E", TRUE, "-")</f>
      </c>
      <c r="AP218" s="58"/>
      <c r="AQ218" s="68"/>
      <c r="AR218" s="68"/>
      <c r="AS218" s="55"/>
      <c r="AT218" s="55"/>
      <c r="AU218" s="55"/>
      <c r="AV218" s="61">
        <f>IF(SUM(AJ218:AL218)=0, 0, (1 + F218 * 0.1) * (0.75 + 0.25 * MAX(0, MIN(1, IF(MAX(AJ218:AL218)=0, 0, (3*MAX(AJ218:AL218)-SUM(AJ218:AL218)) / (2*MAX(AJ218:AL218)))))))</f>
      </c>
      <c r="AW218" s="83">
        <f>MAX(AJ218:AL218)</f>
      </c>
      <c r="AX218" s="81">
        <f>IF(AW218=0, "", AW218 / ((1 + 0.1*N(F218))))</f>
      </c>
      <c r="AY218" s="61">
        <f>IF(SUM(AJ218:AL218)=0, 0,     (1 + F218 * 0.1) * (1 + ((SUM(AJ218:AL218) - MAX(AJ218:AL218)) / (2 * MAX(AJ218:AL218))) * (1/0.75 - 1)))</f>
      </c>
      <c r="AZ218" s="83"/>
      <c r="BA218" s="81">
        <f>IF(AZ218=0, "", AZ218 / ((1 + 0.1*N(F218))/0.75))</f>
      </c>
      <c r="BB218" s="51">
        <v>0.1</v>
      </c>
      <c r="BC218" s="1"/>
      <c r="BD218" s="54"/>
      <c r="BE218" s="54"/>
      <c r="BF218" s="74"/>
      <c r="BG218" s="64"/>
      <c r="BH218" s="69"/>
      <c r="BI218" s="45"/>
      <c r="BJ218" s="63"/>
      <c r="BK218" s="49"/>
      <c r="BL218" s="56"/>
      <c r="BM218" s="50"/>
      <c r="BN218" s="57"/>
      <c r="BO218" s="54"/>
      <c r="BP218" s="64"/>
      <c r="BQ218" s="51"/>
      <c r="BR218" s="38">
        <f>IFERROR(BQ218*100/CP218,"N/A")</f>
      </c>
      <c r="BS218" s="61"/>
      <c r="BT218" s="54"/>
      <c r="BU218" s="42"/>
      <c r="BV218" s="78"/>
      <c r="BW218" s="73"/>
      <c r="BX218" s="64"/>
      <c r="BY218" s="52"/>
      <c r="BZ218" s="1"/>
      <c r="CA218" s="62"/>
      <c r="CB218" s="51"/>
      <c r="CC218" s="51"/>
      <c r="CD218" s="58"/>
      <c r="CE218" s="58"/>
      <c r="CF218" s="58"/>
      <c r="CG218" s="58"/>
      <c r="CH218" s="58"/>
      <c r="CI218" s="58"/>
      <c r="CJ218" s="79"/>
      <c r="CK218" s="69"/>
      <c r="CL218" s="79"/>
      <c r="CM218" s="51"/>
      <c r="CN218" s="55"/>
      <c r="CO218" s="42"/>
      <c r="CP218" s="70">
        <f>CN218*BS218*BT218</f>
      </c>
      <c r="CQ218" s="52"/>
      <c r="CR218" s="64">
        <f>100/CP218</f>
      </c>
      <c r="CS218" s="82">
        <f>100/CQ218</f>
      </c>
      <c r="CT218" s="52"/>
      <c r="CU218" s="52"/>
      <c r="CV218" s="82">
        <f>BL218/T218</f>
      </c>
      <c r="CW218" s="82">
        <f>100/CV218</f>
      </c>
      <c r="CX218" s="77"/>
      <c r="CY218" s="85"/>
      <c r="CZ218" s="77"/>
      <c r="DA218" s="77"/>
      <c r="DB218" s="77"/>
      <c r="DC218" s="85"/>
    </row>
    <row r="219">
      <c r="A219" s="84"/>
      <c r="B219" s="53"/>
      <c r="C219" s="71"/>
      <c r="D219" s="71">
        <f>IF($A219="","","WPN"&amp;VLOOKUP(E219,'引用数据库'!Z:AC,4,FALSE)&amp;VLOOKUP(H219,'引用数据库'!N:P,3,FALSE)&amp;VLOOKUP(I219,'引用数据库'!S:U,3,FALSE)&amp;TEXT(F219,"00"))</f>
      </c>
      <c r="E219" s="53"/>
      <c r="F219" s="57"/>
      <c r="G219" s="84"/>
      <c r="H219" s="53"/>
      <c r="I219" s="53"/>
      <c r="J219" s="84"/>
      <c r="K219" s="84"/>
      <c r="L219" s="42"/>
      <c r="M219" s="65"/>
      <c r="N219" s="54"/>
      <c r="O219" s="54"/>
      <c r="P219" s="54"/>
      <c r="Q219" s="54"/>
      <c r="R219" s="54"/>
      <c r="S219" s="54"/>
      <c r="T219" s="54"/>
      <c r="U219" s="51">
        <f>2*T219/(15*(1+(5-BD219)*0.1))</f>
      </c>
      <c r="V219" s="1"/>
      <c r="W219" s="54"/>
      <c r="X219" s="54"/>
      <c r="Y219" s="76"/>
      <c r="Z219" s="76"/>
      <c r="AA219" s="66"/>
      <c r="AB219" s="66"/>
      <c r="AC219" s="66"/>
      <c r="AD219" s="86"/>
      <c r="AE219" s="86"/>
      <c r="AF219" s="1"/>
      <c r="AG219" s="54"/>
      <c r="AH219" s="54"/>
      <c r="AI219" s="1"/>
      <c r="AJ219" s="80"/>
      <c r="AK219" s="80"/>
      <c r="AL219" s="80"/>
      <c r="AM219" s="55">
        <f>IFS(AJ219 &gt; 1.25, "S", AJ219 &gt; 1, "A", AJ219 &gt; 0.75, "B", AJ219 &gt; 0.5, "C", AJ219 &gt; 0.25, "D", AJ219 &gt; 0, "E", TRUE, "-")</f>
      </c>
      <c r="AN219" s="55">
        <f>IFS(AK219 &gt; 1.25, "S", AK219 &gt; 1, "A", AK219 &gt; 0.75, "B", AK219 &gt; 0.5, "C", AK219 &gt; 0.25, "D", AK219 &gt; 0, "E", TRUE, "-")</f>
      </c>
      <c r="AO219" s="55">
        <f>IFS(AL219 &gt; 1.25, "S", AL219 &gt; 1, "A", AL219 &gt; 0.75, "B", AL219 &gt; 0.5, "C", AL219 &gt; 0.25, "D", AL219 &gt; 0, "E", TRUE, "-")</f>
      </c>
      <c r="AP219" s="58"/>
      <c r="AQ219" s="68"/>
      <c r="AR219" s="68"/>
      <c r="AS219" s="55"/>
      <c r="AT219" s="55"/>
      <c r="AU219" s="55"/>
      <c r="AV219" s="61">
        <f>IF(SUM(AJ219:AL219)=0, 0, (1 + F219 * 0.1) * (0.75 + 0.25 * MAX(0, MIN(1, IF(MAX(AJ219:AL219)=0, 0, (3*MAX(AJ219:AL219)-SUM(AJ219:AL219)) / (2*MAX(AJ219:AL219)))))))</f>
      </c>
      <c r="AW219" s="83">
        <f>MAX(AJ219:AL219)</f>
      </c>
      <c r="AX219" s="81">
        <f>IF(AW219=0, "", AW219 / ((1 + 0.1*N(F219))))</f>
      </c>
      <c r="AY219" s="61">
        <f>IF(SUM(AJ219:AL219)=0, 0,     (1 + F219 * 0.1) * (1 + ((SUM(AJ219:AL219) - MAX(AJ219:AL219)) / (2 * MAX(AJ219:AL219))) * (1/0.75 - 1)))</f>
      </c>
      <c r="AZ219" s="83"/>
      <c r="BA219" s="81">
        <f>IF(AZ219=0, "", AZ219 / ((1 + 0.1*N(F219))/0.75))</f>
      </c>
      <c r="BB219" s="51">
        <v>0.1</v>
      </c>
      <c r="BC219" s="1"/>
      <c r="BD219" s="54"/>
      <c r="BE219" s="54"/>
      <c r="BF219" s="74"/>
      <c r="BG219" s="64"/>
      <c r="BH219" s="69"/>
      <c r="BI219" s="45"/>
      <c r="BJ219" s="63"/>
      <c r="BK219" s="49"/>
      <c r="BL219" s="56"/>
      <c r="BM219" s="50"/>
      <c r="BN219" s="57"/>
      <c r="BO219" s="54"/>
      <c r="BP219" s="64"/>
      <c r="BQ219" s="51"/>
      <c r="BR219" s="38">
        <f>IFERROR(BQ219*100/CP219,"N/A")</f>
      </c>
      <c r="BS219" s="61"/>
      <c r="BT219" s="54"/>
      <c r="BU219" s="42"/>
      <c r="BV219" s="78"/>
      <c r="BW219" s="73"/>
      <c r="BX219" s="64"/>
      <c r="BY219" s="52"/>
      <c r="BZ219" s="1"/>
      <c r="CA219" s="62"/>
      <c r="CB219" s="51"/>
      <c r="CC219" s="51"/>
      <c r="CD219" s="58"/>
      <c r="CE219" s="58"/>
      <c r="CF219" s="58"/>
      <c r="CG219" s="58"/>
      <c r="CH219" s="58"/>
      <c r="CI219" s="58"/>
      <c r="CJ219" s="79"/>
      <c r="CK219" s="69"/>
      <c r="CL219" s="79"/>
      <c r="CM219" s="51"/>
      <c r="CN219" s="55"/>
      <c r="CO219" s="42"/>
      <c r="CP219" s="70">
        <f>CN219*BS219*BT219</f>
      </c>
      <c r="CQ219" s="52"/>
      <c r="CR219" s="64">
        <f>100/CP219</f>
      </c>
      <c r="CS219" s="82">
        <f>100/CQ219</f>
      </c>
      <c r="CT219" s="52"/>
      <c r="CU219" s="52"/>
      <c r="CV219" s="82">
        <f>BL219/T219</f>
      </c>
      <c r="CW219" s="82">
        <f>100/CV219</f>
      </c>
      <c r="CX219" s="77"/>
      <c r="CY219" s="85"/>
      <c r="CZ219" s="77"/>
      <c r="DA219" s="77"/>
      <c r="DB219" s="77"/>
      <c r="DC219" s="85"/>
    </row>
    <row r="220">
      <c r="A220" s="84"/>
      <c r="B220" s="53"/>
      <c r="C220" s="71"/>
      <c r="D220" s="71">
        <f>IF($A220="","","WPN"&amp;VLOOKUP(E220,'引用数据库'!Z:AC,4,FALSE)&amp;VLOOKUP(H220,'引用数据库'!N:P,3,FALSE)&amp;VLOOKUP(I220,'引用数据库'!S:U,3,FALSE)&amp;TEXT(F220,"00"))</f>
      </c>
      <c r="E220" s="53"/>
      <c r="F220" s="57"/>
      <c r="G220" s="84"/>
      <c r="H220" s="53"/>
      <c r="I220" s="53"/>
      <c r="J220" s="84"/>
      <c r="K220" s="84"/>
      <c r="L220" s="42"/>
      <c r="M220" s="65"/>
      <c r="N220" s="54"/>
      <c r="O220" s="54"/>
      <c r="P220" s="54"/>
      <c r="Q220" s="54"/>
      <c r="R220" s="54"/>
      <c r="S220" s="54"/>
      <c r="T220" s="54"/>
      <c r="U220" s="51">
        <f>2*T220/(15*(1+(5-BD220)*0.1))</f>
      </c>
      <c r="V220" s="1"/>
      <c r="W220" s="54"/>
      <c r="X220" s="54"/>
      <c r="Y220" s="76"/>
      <c r="Z220" s="76"/>
      <c r="AA220" s="66"/>
      <c r="AB220" s="66"/>
      <c r="AC220" s="66"/>
      <c r="AD220" s="86"/>
      <c r="AE220" s="86"/>
      <c r="AF220" s="1"/>
      <c r="AG220" s="54"/>
      <c r="AH220" s="54"/>
      <c r="AI220" s="1"/>
      <c r="AJ220" s="80"/>
      <c r="AK220" s="80"/>
      <c r="AL220" s="80"/>
      <c r="AM220" s="55">
        <f>IFS(AJ220 &gt; 1.25, "S", AJ220 &gt; 1, "A", AJ220 &gt; 0.75, "B", AJ220 &gt; 0.5, "C", AJ220 &gt; 0.25, "D", AJ220 &gt; 0, "E", TRUE, "-")</f>
      </c>
      <c r="AN220" s="55">
        <f>IFS(AK220 &gt; 1.25, "S", AK220 &gt; 1, "A", AK220 &gt; 0.75, "B", AK220 &gt; 0.5, "C", AK220 &gt; 0.25, "D", AK220 &gt; 0, "E", TRUE, "-")</f>
      </c>
      <c r="AO220" s="55">
        <f>IFS(AL220 &gt; 1.25, "S", AL220 &gt; 1, "A", AL220 &gt; 0.75, "B", AL220 &gt; 0.5, "C", AL220 &gt; 0.25, "D", AL220 &gt; 0, "E", TRUE, "-")</f>
      </c>
      <c r="AP220" s="58"/>
      <c r="AQ220" s="68"/>
      <c r="AR220" s="68"/>
      <c r="AS220" s="55"/>
      <c r="AT220" s="55"/>
      <c r="AU220" s="55"/>
      <c r="AV220" s="61">
        <f>IF(SUM(AJ220:AL220)=0, 0, (1 + F220 * 0.1) * (0.75 + 0.25 * MAX(0, MIN(1, IF(MAX(AJ220:AL220)=0, 0, (3*MAX(AJ220:AL220)-SUM(AJ220:AL220)) / (2*MAX(AJ220:AL220)))))))</f>
      </c>
      <c r="AW220" s="83">
        <f>MAX(AJ220:AL220)</f>
      </c>
      <c r="AX220" s="81">
        <f>IF(AW220=0, "", AW220 / ((1 + 0.1*N(F220))))</f>
      </c>
      <c r="AY220" s="61">
        <f>IF(SUM(AJ220:AL220)=0, 0,     (1 + F220 * 0.1) * (1 + ((SUM(AJ220:AL220) - MAX(AJ220:AL220)) / (2 * MAX(AJ220:AL220))) * (1/0.75 - 1)))</f>
      </c>
      <c r="AZ220" s="83"/>
      <c r="BA220" s="81">
        <f>IF(AZ220=0, "", AZ220 / ((1 + 0.1*N(F220))/0.75))</f>
      </c>
      <c r="BB220" s="51">
        <v>0.1</v>
      </c>
      <c r="BC220" s="1"/>
      <c r="BD220" s="54"/>
      <c r="BE220" s="54"/>
      <c r="BF220" s="74"/>
      <c r="BG220" s="64"/>
      <c r="BH220" s="69"/>
      <c r="BI220" s="45"/>
      <c r="BJ220" s="63"/>
      <c r="BK220" s="49"/>
      <c r="BL220" s="56"/>
      <c r="BM220" s="50"/>
      <c r="BN220" s="57"/>
      <c r="BO220" s="54"/>
      <c r="BP220" s="64"/>
      <c r="BQ220" s="51"/>
      <c r="BR220" s="38">
        <f>IFERROR(BQ220*100/CP220,"N/A")</f>
      </c>
      <c r="BS220" s="61"/>
      <c r="BT220" s="54"/>
      <c r="BU220" s="42"/>
      <c r="BV220" s="78"/>
      <c r="BW220" s="73"/>
      <c r="BX220" s="64"/>
      <c r="BY220" s="52"/>
      <c r="BZ220" s="1"/>
      <c r="CA220" s="62"/>
      <c r="CB220" s="51"/>
      <c r="CC220" s="51"/>
      <c r="CD220" s="58"/>
      <c r="CE220" s="58"/>
      <c r="CF220" s="58"/>
      <c r="CG220" s="58"/>
      <c r="CH220" s="58"/>
      <c r="CI220" s="58"/>
      <c r="CJ220" s="79"/>
      <c r="CK220" s="69"/>
      <c r="CL220" s="79"/>
      <c r="CM220" s="51"/>
      <c r="CN220" s="55"/>
      <c r="CO220" s="42"/>
      <c r="CP220" s="70">
        <f>CN220*BS220*BT220</f>
      </c>
      <c r="CQ220" s="52"/>
      <c r="CR220" s="64">
        <f>100/CP220</f>
      </c>
      <c r="CS220" s="82">
        <f>100/CQ220</f>
      </c>
      <c r="CT220" s="52"/>
      <c r="CU220" s="52"/>
      <c r="CV220" s="82">
        <f>BL220/T220</f>
      </c>
      <c r="CW220" s="82">
        <f>100/CV220</f>
      </c>
      <c r="CX220" s="77"/>
      <c r="CY220" s="85"/>
      <c r="CZ220" s="77"/>
      <c r="DA220" s="77"/>
      <c r="DB220" s="77"/>
      <c r="DC220" s="85"/>
    </row>
    <row r="221">
      <c r="A221" s="84"/>
      <c r="B221" s="53"/>
      <c r="C221" s="71"/>
      <c r="D221" s="71">
        <f>IF($A221="","","WPN"&amp;VLOOKUP(E221,'引用数据库'!Z:AC,4,FALSE)&amp;VLOOKUP(H221,'引用数据库'!N:P,3,FALSE)&amp;VLOOKUP(I221,'引用数据库'!S:U,3,FALSE)&amp;TEXT(F221,"00"))</f>
      </c>
      <c r="E221" s="53"/>
      <c r="F221" s="57"/>
      <c r="G221" s="84"/>
      <c r="H221" s="53"/>
      <c r="I221" s="53"/>
      <c r="J221" s="84"/>
      <c r="K221" s="84"/>
      <c r="L221" s="42"/>
      <c r="M221" s="65"/>
      <c r="N221" s="54"/>
      <c r="O221" s="54"/>
      <c r="P221" s="54"/>
      <c r="Q221" s="54"/>
      <c r="R221" s="54"/>
      <c r="S221" s="54"/>
      <c r="T221" s="54"/>
      <c r="U221" s="51">
        <f>2*T221/(15*(1+(5-BD221)*0.1))</f>
      </c>
      <c r="V221" s="1"/>
      <c r="W221" s="54"/>
      <c r="X221" s="54"/>
      <c r="Y221" s="76"/>
      <c r="Z221" s="76"/>
      <c r="AA221" s="66"/>
      <c r="AB221" s="66"/>
      <c r="AC221" s="66"/>
      <c r="AD221" s="86"/>
      <c r="AE221" s="86"/>
      <c r="AF221" s="1"/>
      <c r="AG221" s="54"/>
      <c r="AH221" s="54"/>
      <c r="AI221" s="1"/>
      <c r="AJ221" s="80"/>
      <c r="AK221" s="80"/>
      <c r="AL221" s="80"/>
      <c r="AM221" s="55">
        <f>IFS(AJ221 &gt; 1.25, "S", AJ221 &gt; 1, "A", AJ221 &gt; 0.75, "B", AJ221 &gt; 0.5, "C", AJ221 &gt; 0.25, "D", AJ221 &gt; 0, "E", TRUE, "-")</f>
      </c>
      <c r="AN221" s="55">
        <f>IFS(AK221 &gt; 1.25, "S", AK221 &gt; 1, "A", AK221 &gt; 0.75, "B", AK221 &gt; 0.5, "C", AK221 &gt; 0.25, "D", AK221 &gt; 0, "E", TRUE, "-")</f>
      </c>
      <c r="AO221" s="55">
        <f>IFS(AL221 &gt; 1.25, "S", AL221 &gt; 1, "A", AL221 &gt; 0.75, "B", AL221 &gt; 0.5, "C", AL221 &gt; 0.25, "D", AL221 &gt; 0, "E", TRUE, "-")</f>
      </c>
      <c r="AP221" s="58"/>
      <c r="AQ221" s="68"/>
      <c r="AR221" s="68"/>
      <c r="AS221" s="55"/>
      <c r="AT221" s="55"/>
      <c r="AU221" s="55"/>
      <c r="AV221" s="61">
        <f>IF(SUM(AJ221:AL221)=0, 0, (1 + F221 * 0.1) * (0.75 + 0.25 * MAX(0, MIN(1, IF(MAX(AJ221:AL221)=0, 0, (3*MAX(AJ221:AL221)-SUM(AJ221:AL221)) / (2*MAX(AJ221:AL221)))))))</f>
      </c>
      <c r="AW221" s="83">
        <f>MAX(AJ221:AL221)</f>
      </c>
      <c r="AX221" s="81">
        <f>IF(AW221=0, "", AW221 / ((1 + 0.1*N(F221))))</f>
      </c>
      <c r="AY221" s="61">
        <f>IF(SUM(AJ221:AL221)=0, 0,     (1 + F221 * 0.1) * (1 + ((SUM(AJ221:AL221) - MAX(AJ221:AL221)) / (2 * MAX(AJ221:AL221))) * (1/0.75 - 1)))</f>
      </c>
      <c r="AZ221" s="83"/>
      <c r="BA221" s="81">
        <f>IF(AZ221=0, "", AZ221 / ((1 + 0.1*N(F221))/0.75))</f>
      </c>
      <c r="BB221" s="51">
        <v>0.1</v>
      </c>
      <c r="BC221" s="1"/>
      <c r="BD221" s="54"/>
      <c r="BE221" s="54"/>
      <c r="BF221" s="74"/>
      <c r="BG221" s="64"/>
      <c r="BH221" s="69"/>
      <c r="BI221" s="45"/>
      <c r="BJ221" s="63"/>
      <c r="BK221" s="49"/>
      <c r="BL221" s="56"/>
      <c r="BM221" s="50"/>
      <c r="BN221" s="57"/>
      <c r="BO221" s="54"/>
      <c r="BP221" s="64"/>
      <c r="BQ221" s="51"/>
      <c r="BR221" s="38">
        <f>IFERROR(BQ221*100/CP221,"N/A")</f>
      </c>
      <c r="BS221" s="61"/>
      <c r="BT221" s="54"/>
      <c r="BU221" s="42"/>
      <c r="BV221" s="78"/>
      <c r="BW221" s="73"/>
      <c r="BX221" s="64"/>
      <c r="BY221" s="52"/>
      <c r="BZ221" s="1"/>
      <c r="CA221" s="62"/>
      <c r="CB221" s="51"/>
      <c r="CC221" s="51"/>
      <c r="CD221" s="58"/>
      <c r="CE221" s="58"/>
      <c r="CF221" s="58"/>
      <c r="CG221" s="58"/>
      <c r="CH221" s="58"/>
      <c r="CI221" s="58"/>
      <c r="CJ221" s="79"/>
      <c r="CK221" s="69"/>
      <c r="CL221" s="79"/>
      <c r="CM221" s="51"/>
      <c r="CN221" s="55"/>
      <c r="CO221" s="42"/>
      <c r="CP221" s="70">
        <f>CN221*BS221*BT221</f>
      </c>
      <c r="CQ221" s="52"/>
      <c r="CR221" s="64">
        <f>100/CP221</f>
      </c>
      <c r="CS221" s="82">
        <f>100/CQ221</f>
      </c>
      <c r="CT221" s="52"/>
      <c r="CU221" s="52"/>
      <c r="CV221" s="82">
        <f>BL221/T221</f>
      </c>
      <c r="CW221" s="82">
        <f>100/CV221</f>
      </c>
      <c r="CX221" s="77"/>
      <c r="CY221" s="85"/>
      <c r="CZ221" s="77"/>
      <c r="DA221" s="77"/>
      <c r="DB221" s="77"/>
      <c r="DC221" s="85"/>
    </row>
    <row r="222">
      <c r="A222" s="84"/>
      <c r="B222" s="53"/>
      <c r="C222" s="71"/>
      <c r="D222" s="71">
        <f>IF($A222="","","WPN"&amp;VLOOKUP(E222,'引用数据库'!Z:AC,4,FALSE)&amp;VLOOKUP(H222,'引用数据库'!N:P,3,FALSE)&amp;VLOOKUP(I222,'引用数据库'!S:U,3,FALSE)&amp;TEXT(F222,"00"))</f>
      </c>
      <c r="E222" s="53"/>
      <c r="F222" s="57"/>
      <c r="G222" s="84"/>
      <c r="H222" s="53"/>
      <c r="I222" s="53"/>
      <c r="J222" s="84"/>
      <c r="K222" s="84"/>
      <c r="L222" s="42"/>
      <c r="M222" s="65"/>
      <c r="N222" s="54"/>
      <c r="O222" s="54"/>
      <c r="P222" s="54"/>
      <c r="Q222" s="54"/>
      <c r="R222" s="54"/>
      <c r="S222" s="54"/>
      <c r="T222" s="54"/>
      <c r="U222" s="51">
        <f>2*T222/(15*(1+(5-BD222)*0.1))</f>
      </c>
      <c r="V222" s="1"/>
      <c r="W222" s="54"/>
      <c r="X222" s="54"/>
      <c r="Y222" s="76"/>
      <c r="Z222" s="76"/>
      <c r="AA222" s="66"/>
      <c r="AB222" s="66"/>
      <c r="AC222" s="66"/>
      <c r="AD222" s="86"/>
      <c r="AE222" s="86"/>
      <c r="AF222" s="1"/>
      <c r="AG222" s="54"/>
      <c r="AH222" s="54"/>
      <c r="AI222" s="1"/>
      <c r="AJ222" s="80"/>
      <c r="AK222" s="80"/>
      <c r="AL222" s="80"/>
      <c r="AM222" s="55">
        <f>IFS(AJ222 &gt; 1.25, "S", AJ222 &gt; 1, "A", AJ222 &gt; 0.75, "B", AJ222 &gt; 0.5, "C", AJ222 &gt; 0.25, "D", AJ222 &gt; 0, "E", TRUE, "-")</f>
      </c>
      <c r="AN222" s="55">
        <f>IFS(AK222 &gt; 1.25, "S", AK222 &gt; 1, "A", AK222 &gt; 0.75, "B", AK222 &gt; 0.5, "C", AK222 &gt; 0.25, "D", AK222 &gt; 0, "E", TRUE, "-")</f>
      </c>
      <c r="AO222" s="55">
        <f>IFS(AL222 &gt; 1.25, "S", AL222 &gt; 1, "A", AL222 &gt; 0.75, "B", AL222 &gt; 0.5, "C", AL222 &gt; 0.25, "D", AL222 &gt; 0, "E", TRUE, "-")</f>
      </c>
      <c r="AP222" s="58"/>
      <c r="AQ222" s="68"/>
      <c r="AR222" s="68"/>
      <c r="AS222" s="55"/>
      <c r="AT222" s="55"/>
      <c r="AU222" s="55"/>
      <c r="AV222" s="61">
        <f>IF(SUM(AJ222:AL222)=0, 0, (1 + F222 * 0.1) * (0.75 + 0.25 * MAX(0, MIN(1, IF(MAX(AJ222:AL222)=0, 0, (3*MAX(AJ222:AL222)-SUM(AJ222:AL222)) / (2*MAX(AJ222:AL222)))))))</f>
      </c>
      <c r="AW222" s="83">
        <f>MAX(AJ222:AL222)</f>
      </c>
      <c r="AX222" s="81">
        <f>IF(AW222=0, "", AW222 / ((1 + 0.1*N(F222))))</f>
      </c>
      <c r="AY222" s="61">
        <f>IF(SUM(AJ222:AL222)=0, 0,     (1 + F222 * 0.1) * (1 + ((SUM(AJ222:AL222) - MAX(AJ222:AL222)) / (2 * MAX(AJ222:AL222))) * (1/0.75 - 1)))</f>
      </c>
      <c r="AZ222" s="83"/>
      <c r="BA222" s="81">
        <f>IF(AZ222=0, "", AZ222 / ((1 + 0.1*N(F222))/0.75))</f>
      </c>
      <c r="BB222" s="51">
        <v>0.1</v>
      </c>
      <c r="BC222" s="1"/>
      <c r="BD222" s="54"/>
      <c r="BE222" s="54"/>
      <c r="BF222" s="74"/>
      <c r="BG222" s="64"/>
      <c r="BH222" s="69"/>
      <c r="BI222" s="45"/>
      <c r="BJ222" s="63"/>
      <c r="BK222" s="49"/>
      <c r="BL222" s="56"/>
      <c r="BM222" s="50"/>
      <c r="BN222" s="57"/>
      <c r="BO222" s="54"/>
      <c r="BP222" s="64"/>
      <c r="BQ222" s="51"/>
      <c r="BR222" s="38">
        <f>IFERROR(BQ222*100/CP222,"N/A")</f>
      </c>
      <c r="BS222" s="61"/>
      <c r="BT222" s="54"/>
      <c r="BU222" s="42"/>
      <c r="BV222" s="78"/>
      <c r="BW222" s="73"/>
      <c r="BX222" s="64"/>
      <c r="BY222" s="52"/>
      <c r="BZ222" s="1"/>
      <c r="CA222" s="62"/>
      <c r="CB222" s="51"/>
      <c r="CC222" s="51"/>
      <c r="CD222" s="58"/>
      <c r="CE222" s="58"/>
      <c r="CF222" s="58"/>
      <c r="CG222" s="58"/>
      <c r="CH222" s="58"/>
      <c r="CI222" s="58"/>
      <c r="CJ222" s="79"/>
      <c r="CK222" s="69"/>
      <c r="CL222" s="79"/>
      <c r="CM222" s="51"/>
      <c r="CN222" s="55"/>
      <c r="CO222" s="42"/>
      <c r="CP222" s="70">
        <f>CN222*BS222*BT222</f>
      </c>
      <c r="CQ222" s="52"/>
      <c r="CR222" s="64">
        <f>100/CP222</f>
      </c>
      <c r="CS222" s="82">
        <f>100/CQ222</f>
      </c>
      <c r="CT222" s="52"/>
      <c r="CU222" s="52"/>
      <c r="CV222" s="82">
        <f>BL222/T222</f>
      </c>
      <c r="CW222" s="82">
        <f>100/CV222</f>
      </c>
      <c r="CX222" s="77"/>
      <c r="CY222" s="85"/>
      <c r="CZ222" s="77"/>
      <c r="DA222" s="77"/>
      <c r="DB222" s="77"/>
      <c r="DC222" s="85"/>
    </row>
    <row r="223">
      <c r="A223" s="84"/>
      <c r="B223" s="53"/>
      <c r="C223" s="71"/>
      <c r="D223" s="71">
        <f>IF($A223="","","WPN"&amp;VLOOKUP(E223,'引用数据库'!Z:AC,4,FALSE)&amp;VLOOKUP(H223,'引用数据库'!N:P,3,FALSE)&amp;VLOOKUP(I223,'引用数据库'!S:U,3,FALSE)&amp;TEXT(F223,"00"))</f>
      </c>
      <c r="E223" s="53"/>
      <c r="F223" s="57"/>
      <c r="G223" s="84"/>
      <c r="H223" s="53"/>
      <c r="I223" s="53"/>
      <c r="J223" s="84"/>
      <c r="K223" s="84"/>
      <c r="L223" s="42"/>
      <c r="M223" s="65"/>
      <c r="N223" s="54"/>
      <c r="O223" s="54"/>
      <c r="P223" s="54"/>
      <c r="Q223" s="54"/>
      <c r="R223" s="54"/>
      <c r="S223" s="54"/>
      <c r="T223" s="54"/>
      <c r="U223" s="51">
        <f>2*T223/(15*(1+(5-BD223)*0.1))</f>
      </c>
      <c r="V223" s="1"/>
      <c r="W223" s="54"/>
      <c r="X223" s="54"/>
      <c r="Y223" s="76"/>
      <c r="Z223" s="76"/>
      <c r="AA223" s="66"/>
      <c r="AB223" s="66"/>
      <c r="AC223" s="66"/>
      <c r="AD223" s="86"/>
      <c r="AE223" s="86"/>
      <c r="AF223" s="1"/>
      <c r="AG223" s="54"/>
      <c r="AH223" s="54"/>
      <c r="AI223" s="1"/>
      <c r="AJ223" s="80"/>
      <c r="AK223" s="80"/>
      <c r="AL223" s="80"/>
      <c r="AM223" s="55">
        <f>IFS(AJ223 &gt; 1.25, "S", AJ223 &gt; 1, "A", AJ223 &gt; 0.75, "B", AJ223 &gt; 0.5, "C", AJ223 &gt; 0.25, "D", AJ223 &gt; 0, "E", TRUE, "-")</f>
      </c>
      <c r="AN223" s="55">
        <f>IFS(AK223 &gt; 1.25, "S", AK223 &gt; 1, "A", AK223 &gt; 0.75, "B", AK223 &gt; 0.5, "C", AK223 &gt; 0.25, "D", AK223 &gt; 0, "E", TRUE, "-")</f>
      </c>
      <c r="AO223" s="55">
        <f>IFS(AL223 &gt; 1.25, "S", AL223 &gt; 1, "A", AL223 &gt; 0.75, "B", AL223 &gt; 0.5, "C", AL223 &gt; 0.25, "D", AL223 &gt; 0, "E", TRUE, "-")</f>
      </c>
      <c r="AP223" s="58"/>
      <c r="AQ223" s="68"/>
      <c r="AR223" s="68"/>
      <c r="AS223" s="55"/>
      <c r="AT223" s="55"/>
      <c r="AU223" s="55"/>
      <c r="AV223" s="61">
        <f>IF(SUM(AJ223:AL223)=0, 0, (1 + F223 * 0.1) * (0.75 + 0.25 * MAX(0, MIN(1, IF(MAX(AJ223:AL223)=0, 0, (3*MAX(AJ223:AL223)-SUM(AJ223:AL223)) / (2*MAX(AJ223:AL223)))))))</f>
      </c>
      <c r="AW223" s="83">
        <f>MAX(AJ223:AL223)</f>
      </c>
      <c r="AX223" s="81">
        <f>IF(AW223=0, "", AW223 / ((1 + 0.1*N(F223))))</f>
      </c>
      <c r="AY223" s="61">
        <f>IF(SUM(AJ223:AL223)=0, 0,     (1 + F223 * 0.1) * (1 + ((SUM(AJ223:AL223) - MAX(AJ223:AL223)) / (2 * MAX(AJ223:AL223))) * (1/0.75 - 1)))</f>
      </c>
      <c r="AZ223" s="83"/>
      <c r="BA223" s="81">
        <f>IF(AZ223=0, "", AZ223 / ((1 + 0.1*N(F223))/0.75))</f>
      </c>
      <c r="BB223" s="51">
        <v>0.1</v>
      </c>
      <c r="BC223" s="1"/>
      <c r="BD223" s="54"/>
      <c r="BE223" s="54"/>
      <c r="BF223" s="74"/>
      <c r="BG223" s="64"/>
      <c r="BH223" s="69"/>
      <c r="BI223" s="45"/>
      <c r="BJ223" s="63"/>
      <c r="BK223" s="49"/>
      <c r="BL223" s="56"/>
      <c r="BM223" s="50"/>
      <c r="BN223" s="57"/>
      <c r="BO223" s="54"/>
      <c r="BP223" s="64"/>
      <c r="BQ223" s="51"/>
      <c r="BR223" s="38">
        <f>IFERROR(BQ223*100/CP223,"N/A")</f>
      </c>
      <c r="BS223" s="61"/>
      <c r="BT223" s="54"/>
      <c r="BU223" s="42"/>
      <c r="BV223" s="78"/>
      <c r="BW223" s="73"/>
      <c r="BX223" s="64"/>
      <c r="BY223" s="52"/>
      <c r="BZ223" s="1"/>
      <c r="CA223" s="62"/>
      <c r="CB223" s="51"/>
      <c r="CC223" s="51"/>
      <c r="CD223" s="58"/>
      <c r="CE223" s="58"/>
      <c r="CF223" s="58"/>
      <c r="CG223" s="58"/>
      <c r="CH223" s="58"/>
      <c r="CI223" s="58"/>
      <c r="CJ223" s="79"/>
      <c r="CK223" s="69"/>
      <c r="CL223" s="79"/>
      <c r="CM223" s="51"/>
      <c r="CN223" s="55"/>
      <c r="CO223" s="42"/>
      <c r="CP223" s="70">
        <f>CN223*BS223*BT223</f>
      </c>
      <c r="CQ223" s="52"/>
      <c r="CR223" s="64">
        <f>100/CP223</f>
      </c>
      <c r="CS223" s="82">
        <f>100/CQ223</f>
      </c>
      <c r="CT223" s="52"/>
      <c r="CU223" s="52"/>
      <c r="CV223" s="82">
        <f>BL223/T223</f>
      </c>
      <c r="CW223" s="82">
        <f>100/CV223</f>
      </c>
      <c r="CX223" s="77"/>
      <c r="CY223" s="85"/>
      <c r="CZ223" s="77"/>
      <c r="DA223" s="77"/>
      <c r="DB223" s="77"/>
      <c r="DC223" s="85"/>
    </row>
    <row r="224">
      <c r="A224" s="84"/>
      <c r="B224" s="53"/>
      <c r="C224" s="71"/>
      <c r="D224" s="71">
        <f>IF($A224="","","WPN"&amp;VLOOKUP(E224,'引用数据库'!Z:AC,4,FALSE)&amp;VLOOKUP(H224,'引用数据库'!N:P,3,FALSE)&amp;VLOOKUP(I224,'引用数据库'!S:U,3,FALSE)&amp;TEXT(F224,"00"))</f>
      </c>
      <c r="E224" s="53"/>
      <c r="F224" s="57"/>
      <c r="G224" s="84"/>
      <c r="H224" s="53"/>
      <c r="I224" s="53"/>
      <c r="J224" s="84"/>
      <c r="K224" s="84"/>
      <c r="L224" s="42"/>
      <c r="M224" s="65"/>
      <c r="N224" s="54"/>
      <c r="O224" s="54"/>
      <c r="P224" s="54"/>
      <c r="Q224" s="54"/>
      <c r="R224" s="54"/>
      <c r="S224" s="54"/>
      <c r="T224" s="54"/>
      <c r="U224" s="51">
        <f>2*T224/(15*(1+(5-BD224)*0.1))</f>
      </c>
      <c r="V224" s="1"/>
      <c r="W224" s="54"/>
      <c r="X224" s="54"/>
      <c r="Y224" s="76"/>
      <c r="Z224" s="76"/>
      <c r="AA224" s="66"/>
      <c r="AB224" s="66"/>
      <c r="AC224" s="66"/>
      <c r="AD224" s="86"/>
      <c r="AE224" s="86"/>
      <c r="AF224" s="1"/>
      <c r="AG224" s="54"/>
      <c r="AH224" s="54"/>
      <c r="AI224" s="1"/>
      <c r="AJ224" s="80"/>
      <c r="AK224" s="80"/>
      <c r="AL224" s="80"/>
      <c r="AM224" s="55">
        <f>IFS(AJ224 &gt; 1.25, "S", AJ224 &gt; 1, "A", AJ224 &gt; 0.75, "B", AJ224 &gt; 0.5, "C", AJ224 &gt; 0.25, "D", AJ224 &gt; 0, "E", TRUE, "-")</f>
      </c>
      <c r="AN224" s="55">
        <f>IFS(AK224 &gt; 1.25, "S", AK224 &gt; 1, "A", AK224 &gt; 0.75, "B", AK224 &gt; 0.5, "C", AK224 &gt; 0.25, "D", AK224 &gt; 0, "E", TRUE, "-")</f>
      </c>
      <c r="AO224" s="55">
        <f>IFS(AL224 &gt; 1.25, "S", AL224 &gt; 1, "A", AL224 &gt; 0.75, "B", AL224 &gt; 0.5, "C", AL224 &gt; 0.25, "D", AL224 &gt; 0, "E", TRUE, "-")</f>
      </c>
      <c r="AP224" s="58"/>
      <c r="AQ224" s="68"/>
      <c r="AR224" s="68"/>
      <c r="AS224" s="55"/>
      <c r="AT224" s="55"/>
      <c r="AU224" s="55"/>
      <c r="AV224" s="61">
        <f>IF(SUM(AJ224:AL224)=0, 0, (1 + F224 * 0.1) * (0.75 + 0.25 * MAX(0, MIN(1, IF(MAX(AJ224:AL224)=0, 0, (3*MAX(AJ224:AL224)-SUM(AJ224:AL224)) / (2*MAX(AJ224:AL224)))))))</f>
      </c>
      <c r="AW224" s="83">
        <f>MAX(AJ224:AL224)</f>
      </c>
      <c r="AX224" s="81">
        <f>IF(AW224=0, "", AW224 / ((1 + 0.1*N(F224))))</f>
      </c>
      <c r="AY224" s="61">
        <f>IF(SUM(AJ224:AL224)=0, 0,     (1 + F224 * 0.1) * (1 + ((SUM(AJ224:AL224) - MAX(AJ224:AL224)) / (2 * MAX(AJ224:AL224))) * (1/0.75 - 1)))</f>
      </c>
      <c r="AZ224" s="83"/>
      <c r="BA224" s="81">
        <f>IF(AZ224=0, "", AZ224 / ((1 + 0.1*N(F224))/0.75))</f>
      </c>
      <c r="BB224" s="51">
        <v>0.1</v>
      </c>
      <c r="BC224" s="1"/>
      <c r="BD224" s="54"/>
      <c r="BE224" s="54"/>
      <c r="BF224" s="74"/>
      <c r="BG224" s="64"/>
      <c r="BH224" s="69"/>
      <c r="BI224" s="45"/>
      <c r="BJ224" s="63"/>
      <c r="BK224" s="49"/>
      <c r="BL224" s="56"/>
      <c r="BM224" s="50"/>
      <c r="BN224" s="57"/>
      <c r="BO224" s="54"/>
      <c r="BP224" s="64"/>
      <c r="BQ224" s="51"/>
      <c r="BR224" s="38">
        <f>IFERROR(BQ224*100/CP224,"N/A")</f>
      </c>
      <c r="BS224" s="61"/>
      <c r="BT224" s="54"/>
      <c r="BU224" s="42"/>
      <c r="BV224" s="78"/>
      <c r="BW224" s="73"/>
      <c r="BX224" s="64"/>
      <c r="BY224" s="52"/>
      <c r="BZ224" s="1"/>
      <c r="CA224" s="62"/>
      <c r="CB224" s="51"/>
      <c r="CC224" s="51"/>
      <c r="CD224" s="58"/>
      <c r="CE224" s="58"/>
      <c r="CF224" s="58"/>
      <c r="CG224" s="58"/>
      <c r="CH224" s="58"/>
      <c r="CI224" s="58"/>
      <c r="CJ224" s="79"/>
      <c r="CK224" s="69"/>
      <c r="CL224" s="79"/>
      <c r="CM224" s="51"/>
      <c r="CN224" s="55"/>
      <c r="CO224" s="42"/>
      <c r="CP224" s="70">
        <f>CN224*BS224*BT224</f>
      </c>
      <c r="CQ224" s="52"/>
      <c r="CR224" s="64">
        <f>100/CP224</f>
      </c>
      <c r="CS224" s="82">
        <f>100/CQ224</f>
      </c>
      <c r="CT224" s="52"/>
      <c r="CU224" s="52"/>
      <c r="CV224" s="82">
        <f>BL224/T224</f>
      </c>
      <c r="CW224" s="82">
        <f>100/CV224</f>
      </c>
      <c r="CX224" s="77"/>
      <c r="CY224" s="85"/>
      <c r="CZ224" s="77"/>
      <c r="DA224" s="77"/>
      <c r="DB224" s="77"/>
      <c r="DC224" s="85"/>
    </row>
    <row r="225">
      <c r="A225" s="84"/>
      <c r="B225" s="53"/>
      <c r="C225" s="71"/>
      <c r="D225" s="71">
        <f>IF($A225="","","WPN"&amp;VLOOKUP(E225,'引用数据库'!Z:AC,4,FALSE)&amp;VLOOKUP(H225,'引用数据库'!N:P,3,FALSE)&amp;VLOOKUP(I225,'引用数据库'!S:U,3,FALSE)&amp;TEXT(F225,"00"))</f>
      </c>
      <c r="E225" s="53"/>
      <c r="F225" s="57"/>
      <c r="G225" s="84"/>
      <c r="H225" s="53"/>
      <c r="I225" s="53"/>
      <c r="J225" s="84"/>
      <c r="K225" s="84"/>
      <c r="L225" s="42"/>
      <c r="M225" s="65"/>
      <c r="N225" s="54"/>
      <c r="O225" s="54"/>
      <c r="P225" s="54"/>
      <c r="Q225" s="54"/>
      <c r="R225" s="54"/>
      <c r="S225" s="54"/>
      <c r="T225" s="54"/>
      <c r="U225" s="51">
        <f>2*T225/(15*(1+(5-BD225)*0.1))</f>
      </c>
      <c r="V225" s="1"/>
      <c r="W225" s="54"/>
      <c r="X225" s="54"/>
      <c r="Y225" s="76"/>
      <c r="Z225" s="76"/>
      <c r="AA225" s="66"/>
      <c r="AB225" s="66"/>
      <c r="AC225" s="66"/>
      <c r="AD225" s="86"/>
      <c r="AE225" s="86"/>
      <c r="AF225" s="1"/>
      <c r="AG225" s="54"/>
      <c r="AH225" s="54"/>
      <c r="AI225" s="1"/>
      <c r="AJ225" s="80"/>
      <c r="AK225" s="80"/>
      <c r="AL225" s="80"/>
      <c r="AM225" s="55">
        <f>IFS(AJ225 &gt; 1.25, "S", AJ225 &gt; 1, "A", AJ225 &gt; 0.75, "B", AJ225 &gt; 0.5, "C", AJ225 &gt; 0.25, "D", AJ225 &gt; 0, "E", TRUE, "-")</f>
      </c>
      <c r="AN225" s="55">
        <f>IFS(AK225 &gt; 1.25, "S", AK225 &gt; 1, "A", AK225 &gt; 0.75, "B", AK225 &gt; 0.5, "C", AK225 &gt; 0.25, "D", AK225 &gt; 0, "E", TRUE, "-")</f>
      </c>
      <c r="AO225" s="55">
        <f>IFS(AL225 &gt; 1.25, "S", AL225 &gt; 1, "A", AL225 &gt; 0.75, "B", AL225 &gt; 0.5, "C", AL225 &gt; 0.25, "D", AL225 &gt; 0, "E", TRUE, "-")</f>
      </c>
      <c r="AP225" s="58"/>
      <c r="AQ225" s="68"/>
      <c r="AR225" s="68"/>
      <c r="AS225" s="55"/>
      <c r="AT225" s="55"/>
      <c r="AU225" s="55"/>
      <c r="AV225" s="61">
        <f>IF(SUM(AJ225:AL225)=0, 0, (1 + F225 * 0.1) * (0.75 + 0.25 * MAX(0, MIN(1, IF(MAX(AJ225:AL225)=0, 0, (3*MAX(AJ225:AL225)-SUM(AJ225:AL225)) / (2*MAX(AJ225:AL225)))))))</f>
      </c>
      <c r="AW225" s="83">
        <f>MAX(AJ225:AL225)</f>
      </c>
      <c r="AX225" s="81">
        <f>IF(AW225=0, "", AW225 / ((1 + 0.1*N(F225))))</f>
      </c>
      <c r="AY225" s="61">
        <f>IF(SUM(AJ225:AL225)=0, 0,     (1 + F225 * 0.1) * (1 + ((SUM(AJ225:AL225) - MAX(AJ225:AL225)) / (2 * MAX(AJ225:AL225))) * (1/0.75 - 1)))</f>
      </c>
      <c r="AZ225" s="83"/>
      <c r="BA225" s="81">
        <f>IF(AZ225=0, "", AZ225 / ((1 + 0.1*N(F225))/0.75))</f>
      </c>
      <c r="BB225" s="51">
        <v>0.1</v>
      </c>
      <c r="BC225" s="1"/>
      <c r="BD225" s="54"/>
      <c r="BE225" s="54"/>
      <c r="BF225" s="74"/>
      <c r="BG225" s="64"/>
      <c r="BH225" s="69"/>
      <c r="BI225" s="45"/>
      <c r="BJ225" s="63"/>
      <c r="BK225" s="49"/>
      <c r="BL225" s="56"/>
      <c r="BM225" s="50"/>
      <c r="BN225" s="57"/>
      <c r="BO225" s="54"/>
      <c r="BP225" s="64"/>
      <c r="BQ225" s="51"/>
      <c r="BR225" s="38">
        <f>IFERROR(BQ225*100/CP225,"N/A")</f>
      </c>
      <c r="BS225" s="61"/>
      <c r="BT225" s="54"/>
      <c r="BU225" s="42"/>
      <c r="BV225" s="78"/>
      <c r="BW225" s="73"/>
      <c r="BX225" s="64"/>
      <c r="BY225" s="52"/>
      <c r="BZ225" s="1"/>
      <c r="CA225" s="62"/>
      <c r="CB225" s="51"/>
      <c r="CC225" s="51"/>
      <c r="CD225" s="58"/>
      <c r="CE225" s="58"/>
      <c r="CF225" s="58"/>
      <c r="CG225" s="58"/>
      <c r="CH225" s="58"/>
      <c r="CI225" s="58"/>
      <c r="CJ225" s="79"/>
      <c r="CK225" s="69"/>
      <c r="CL225" s="79"/>
      <c r="CM225" s="51"/>
      <c r="CN225" s="55"/>
      <c r="CO225" s="42"/>
      <c r="CP225" s="70">
        <f>CN225*BS225*BT225</f>
      </c>
      <c r="CQ225" s="52"/>
      <c r="CR225" s="64">
        <f>100/CP225</f>
      </c>
      <c r="CS225" s="82">
        <f>100/CQ225</f>
      </c>
      <c r="CT225" s="52"/>
      <c r="CU225" s="52"/>
      <c r="CV225" s="82">
        <f>BL225/T225</f>
      </c>
      <c r="CW225" s="82">
        <f>100/CV225</f>
      </c>
      <c r="CX225" s="77"/>
      <c r="CY225" s="85"/>
      <c r="CZ225" s="77"/>
      <c r="DA225" s="77"/>
      <c r="DB225" s="77"/>
      <c r="DC225" s="85"/>
    </row>
    <row r="226">
      <c r="A226" s="84"/>
      <c r="B226" s="53"/>
      <c r="C226" s="71"/>
      <c r="D226" s="71">
        <f>IF($A226="","","WPN"&amp;VLOOKUP(E226,'引用数据库'!Z:AC,4,FALSE)&amp;VLOOKUP(H226,'引用数据库'!N:P,3,FALSE)&amp;VLOOKUP(I226,'引用数据库'!S:U,3,FALSE)&amp;TEXT(F226,"00"))</f>
      </c>
      <c r="E226" s="53"/>
      <c r="F226" s="57"/>
      <c r="G226" s="84"/>
      <c r="H226" s="53"/>
      <c r="I226" s="53"/>
      <c r="J226" s="84"/>
      <c r="K226" s="84"/>
      <c r="L226" s="42"/>
      <c r="M226" s="65"/>
      <c r="N226" s="54"/>
      <c r="O226" s="54"/>
      <c r="P226" s="54"/>
      <c r="Q226" s="54"/>
      <c r="R226" s="54"/>
      <c r="S226" s="54"/>
      <c r="T226" s="54"/>
      <c r="U226" s="51">
        <f>2*T226/(15*(1+(5-BD226)*0.1))</f>
      </c>
      <c r="V226" s="1"/>
      <c r="W226" s="54"/>
      <c r="X226" s="54"/>
      <c r="Y226" s="76"/>
      <c r="Z226" s="76"/>
      <c r="AA226" s="66"/>
      <c r="AB226" s="66"/>
      <c r="AC226" s="66"/>
      <c r="AD226" s="86"/>
      <c r="AE226" s="86"/>
      <c r="AF226" s="1"/>
      <c r="AG226" s="54"/>
      <c r="AH226" s="54"/>
      <c r="AI226" s="1"/>
      <c r="AJ226" s="80"/>
      <c r="AK226" s="80"/>
      <c r="AL226" s="80"/>
      <c r="AM226" s="55">
        <f>IFS(AJ226 &gt; 1.25, "S", AJ226 &gt; 1, "A", AJ226 &gt; 0.75, "B", AJ226 &gt; 0.5, "C", AJ226 &gt; 0.25, "D", AJ226 &gt; 0, "E", TRUE, "-")</f>
      </c>
      <c r="AN226" s="55">
        <f>IFS(AK226 &gt; 1.25, "S", AK226 &gt; 1, "A", AK226 &gt; 0.75, "B", AK226 &gt; 0.5, "C", AK226 &gt; 0.25, "D", AK226 &gt; 0, "E", TRUE, "-")</f>
      </c>
      <c r="AO226" s="55">
        <f>IFS(AL226 &gt; 1.25, "S", AL226 &gt; 1, "A", AL226 &gt; 0.75, "B", AL226 &gt; 0.5, "C", AL226 &gt; 0.25, "D", AL226 &gt; 0, "E", TRUE, "-")</f>
      </c>
      <c r="AP226" s="58"/>
      <c r="AQ226" s="68"/>
      <c r="AR226" s="68"/>
      <c r="AS226" s="55"/>
      <c r="AT226" s="55"/>
      <c r="AU226" s="55"/>
      <c r="AV226" s="61">
        <f>IF(SUM(AJ226:AL226)=0, 0, (1 + F226 * 0.1) * (0.75 + 0.25 * MAX(0, MIN(1, IF(MAX(AJ226:AL226)=0, 0, (3*MAX(AJ226:AL226)-SUM(AJ226:AL226)) / (2*MAX(AJ226:AL226)))))))</f>
      </c>
      <c r="AW226" s="83">
        <f>MAX(AJ226:AL226)</f>
      </c>
      <c r="AX226" s="81">
        <f>IF(AW226=0, "", AW226 / ((1 + 0.1*N(F226))))</f>
      </c>
      <c r="AY226" s="61">
        <f>IF(SUM(AJ226:AL226)=0, 0,     (1 + F226 * 0.1) * (1 + ((SUM(AJ226:AL226) - MAX(AJ226:AL226)) / (2 * MAX(AJ226:AL226))) * (1/0.75 - 1)))</f>
      </c>
      <c r="AZ226" s="83"/>
      <c r="BA226" s="81">
        <f>IF(AZ226=0, "", AZ226 / ((1 + 0.1*N(F226))/0.75))</f>
      </c>
      <c r="BB226" s="51">
        <v>0.1</v>
      </c>
      <c r="BC226" s="1"/>
      <c r="BD226" s="54"/>
      <c r="BE226" s="54"/>
      <c r="BF226" s="74"/>
      <c r="BG226" s="64"/>
      <c r="BH226" s="69"/>
      <c r="BI226" s="45"/>
      <c r="BJ226" s="63"/>
      <c r="BK226" s="49"/>
      <c r="BL226" s="56"/>
      <c r="BM226" s="50"/>
      <c r="BN226" s="57"/>
      <c r="BO226" s="54"/>
      <c r="BP226" s="64"/>
      <c r="BQ226" s="51"/>
      <c r="BR226" s="38">
        <f>IFERROR(BQ226*100/CP226,"N/A")</f>
      </c>
      <c r="BS226" s="61"/>
      <c r="BT226" s="54"/>
      <c r="BU226" s="42"/>
      <c r="BV226" s="78"/>
      <c r="BW226" s="73"/>
      <c r="BX226" s="64"/>
      <c r="BY226" s="52"/>
      <c r="BZ226" s="1"/>
      <c r="CA226" s="62"/>
      <c r="CB226" s="51"/>
      <c r="CC226" s="51"/>
      <c r="CD226" s="58"/>
      <c r="CE226" s="58"/>
      <c r="CF226" s="58"/>
      <c r="CG226" s="58"/>
      <c r="CH226" s="58"/>
      <c r="CI226" s="58"/>
      <c r="CJ226" s="79"/>
      <c r="CK226" s="69"/>
      <c r="CL226" s="79"/>
      <c r="CM226" s="51"/>
      <c r="CN226" s="55"/>
      <c r="CO226" s="42"/>
      <c r="CP226" s="70">
        <f>CN226*BS226*BT226</f>
      </c>
      <c r="CQ226" s="52"/>
      <c r="CR226" s="64">
        <f>100/CP226</f>
      </c>
      <c r="CS226" s="82">
        <f>100/CQ226</f>
      </c>
      <c r="CT226" s="52"/>
      <c r="CU226" s="52"/>
      <c r="CV226" s="82">
        <f>BL226/T226</f>
      </c>
      <c r="CW226" s="82">
        <f>100/CV226</f>
      </c>
      <c r="CX226" s="77"/>
      <c r="CY226" s="85"/>
      <c r="CZ226" s="77"/>
      <c r="DA226" s="77"/>
      <c r="DB226" s="77"/>
      <c r="DC226" s="85"/>
    </row>
    <row r="227">
      <c r="A227" s="84"/>
      <c r="B227" s="53"/>
      <c r="C227" s="71"/>
      <c r="D227" s="71">
        <f>IF($A227="","","WPN"&amp;VLOOKUP(E227,'引用数据库'!Z:AC,4,FALSE)&amp;VLOOKUP(H227,'引用数据库'!N:P,3,FALSE)&amp;VLOOKUP(I227,'引用数据库'!S:U,3,FALSE)&amp;TEXT(F227,"00"))</f>
      </c>
      <c r="E227" s="53"/>
      <c r="F227" s="57"/>
      <c r="G227" s="84"/>
      <c r="H227" s="53"/>
      <c r="I227" s="53"/>
      <c r="J227" s="84"/>
      <c r="K227" s="84"/>
      <c r="L227" s="42"/>
      <c r="M227" s="65"/>
      <c r="N227" s="54"/>
      <c r="O227" s="54"/>
      <c r="P227" s="54"/>
      <c r="Q227" s="54"/>
      <c r="R227" s="54"/>
      <c r="S227" s="54"/>
      <c r="T227" s="54"/>
      <c r="U227" s="51">
        <f>2*T227/(15*(1+(5-BD227)*0.1))</f>
      </c>
      <c r="V227" s="1"/>
      <c r="W227" s="54"/>
      <c r="X227" s="54"/>
      <c r="Y227" s="76"/>
      <c r="Z227" s="76"/>
      <c r="AA227" s="66"/>
      <c r="AB227" s="66"/>
      <c r="AC227" s="66"/>
      <c r="AD227" s="86"/>
      <c r="AE227" s="86"/>
      <c r="AF227" s="1"/>
      <c r="AG227" s="54"/>
      <c r="AH227" s="54"/>
      <c r="AI227" s="1"/>
      <c r="AJ227" s="80"/>
      <c r="AK227" s="80"/>
      <c r="AL227" s="80"/>
      <c r="AM227" s="55">
        <f>IFS(AJ227 &gt; 1.25, "S", AJ227 &gt; 1, "A", AJ227 &gt; 0.75, "B", AJ227 &gt; 0.5, "C", AJ227 &gt; 0.25, "D", AJ227 &gt; 0, "E", TRUE, "-")</f>
      </c>
      <c r="AN227" s="55">
        <f>IFS(AK227 &gt; 1.25, "S", AK227 &gt; 1, "A", AK227 &gt; 0.75, "B", AK227 &gt; 0.5, "C", AK227 &gt; 0.25, "D", AK227 &gt; 0, "E", TRUE, "-")</f>
      </c>
      <c r="AO227" s="55">
        <f>IFS(AL227 &gt; 1.25, "S", AL227 &gt; 1, "A", AL227 &gt; 0.75, "B", AL227 &gt; 0.5, "C", AL227 &gt; 0.25, "D", AL227 &gt; 0, "E", TRUE, "-")</f>
      </c>
      <c r="AP227" s="58"/>
      <c r="AQ227" s="68"/>
      <c r="AR227" s="68"/>
      <c r="AS227" s="55"/>
      <c r="AT227" s="55"/>
      <c r="AU227" s="55"/>
      <c r="AV227" s="61">
        <f>IF(SUM(AJ227:AL227)=0, 0, (1 + F227 * 0.1) * (0.75 + 0.25 * MAX(0, MIN(1, IF(MAX(AJ227:AL227)=0, 0, (3*MAX(AJ227:AL227)-SUM(AJ227:AL227)) / (2*MAX(AJ227:AL227)))))))</f>
      </c>
      <c r="AW227" s="83">
        <f>MAX(AJ227:AL227)</f>
      </c>
      <c r="AX227" s="81">
        <f>IF(AW227=0, "", AW227 / ((1 + 0.1*N(F227))))</f>
      </c>
      <c r="AY227" s="61">
        <f>IF(SUM(AJ227:AL227)=0, 0,     (1 + F227 * 0.1) * (1 + ((SUM(AJ227:AL227) - MAX(AJ227:AL227)) / (2 * MAX(AJ227:AL227))) * (1/0.75 - 1)))</f>
      </c>
      <c r="AZ227" s="83"/>
      <c r="BA227" s="81">
        <f>IF(AZ227=0, "", AZ227 / ((1 + 0.1*N(F227))/0.75))</f>
      </c>
      <c r="BB227" s="51">
        <v>0.1</v>
      </c>
      <c r="BC227" s="1"/>
      <c r="BD227" s="54"/>
      <c r="BE227" s="54"/>
      <c r="BF227" s="74"/>
      <c r="BG227" s="64"/>
      <c r="BH227" s="69"/>
      <c r="BI227" s="45"/>
      <c r="BJ227" s="63"/>
      <c r="BK227" s="49"/>
      <c r="BL227" s="56"/>
      <c r="BM227" s="50"/>
      <c r="BN227" s="57"/>
      <c r="BO227" s="54"/>
      <c r="BP227" s="64"/>
      <c r="BQ227" s="51"/>
      <c r="BR227" s="38">
        <f>IFERROR(BQ227*100/CP227,"N/A")</f>
      </c>
      <c r="BS227" s="61"/>
      <c r="BT227" s="54"/>
      <c r="BU227" s="42"/>
      <c r="BV227" s="78"/>
      <c r="BW227" s="73"/>
      <c r="BX227" s="64"/>
      <c r="BY227" s="52"/>
      <c r="BZ227" s="1"/>
      <c r="CA227" s="62"/>
      <c r="CB227" s="51"/>
      <c r="CC227" s="51"/>
      <c r="CD227" s="58"/>
      <c r="CE227" s="58"/>
      <c r="CF227" s="58"/>
      <c r="CG227" s="58"/>
      <c r="CH227" s="58"/>
      <c r="CI227" s="58"/>
      <c r="CJ227" s="79"/>
      <c r="CK227" s="69"/>
      <c r="CL227" s="79"/>
      <c r="CM227" s="51"/>
      <c r="CN227" s="55"/>
      <c r="CO227" s="42"/>
      <c r="CP227" s="70">
        <f>CN227*BS227*BT227</f>
      </c>
      <c r="CQ227" s="52"/>
      <c r="CR227" s="64">
        <f>100/CP227</f>
      </c>
      <c r="CS227" s="82">
        <f>100/CQ227</f>
      </c>
      <c r="CT227" s="52"/>
      <c r="CU227" s="52"/>
      <c r="CV227" s="82">
        <f>BL227/T227</f>
      </c>
      <c r="CW227" s="82">
        <f>100/CV227</f>
      </c>
      <c r="CX227" s="77"/>
      <c r="CY227" s="85"/>
      <c r="CZ227" s="77"/>
      <c r="DA227" s="77"/>
      <c r="DB227" s="77"/>
      <c r="DC227" s="85"/>
    </row>
    <row r="228">
      <c r="A228" s="84"/>
      <c r="B228" s="53"/>
      <c r="C228" s="71"/>
      <c r="D228" s="71">
        <f>IF($A228="","","WPN"&amp;VLOOKUP(E228,'引用数据库'!Z:AC,4,FALSE)&amp;VLOOKUP(H228,'引用数据库'!N:P,3,FALSE)&amp;VLOOKUP(I228,'引用数据库'!S:U,3,FALSE)&amp;TEXT(F228,"00"))</f>
      </c>
      <c r="E228" s="53"/>
      <c r="F228" s="57"/>
      <c r="G228" s="84"/>
      <c r="H228" s="53"/>
      <c r="I228" s="53"/>
      <c r="J228" s="84"/>
      <c r="K228" s="84"/>
      <c r="L228" s="42"/>
      <c r="M228" s="65"/>
      <c r="N228" s="54"/>
      <c r="O228" s="54"/>
      <c r="P228" s="54"/>
      <c r="Q228" s="54"/>
      <c r="R228" s="54"/>
      <c r="S228" s="54"/>
      <c r="T228" s="54"/>
      <c r="U228" s="51">
        <f>2*T228/(15*(1+(5-BD228)*0.1))</f>
      </c>
      <c r="V228" s="1"/>
      <c r="W228" s="54"/>
      <c r="X228" s="54"/>
      <c r="Y228" s="76"/>
      <c r="Z228" s="76"/>
      <c r="AA228" s="66"/>
      <c r="AB228" s="66"/>
      <c r="AC228" s="66"/>
      <c r="AD228" s="86"/>
      <c r="AE228" s="86"/>
      <c r="AF228" s="1"/>
      <c r="AG228" s="54"/>
      <c r="AH228" s="54"/>
      <c r="AI228" s="1"/>
      <c r="AJ228" s="80"/>
      <c r="AK228" s="80"/>
      <c r="AL228" s="80"/>
      <c r="AM228" s="55">
        <f>IFS(AJ228 &gt; 1.25, "S", AJ228 &gt; 1, "A", AJ228 &gt; 0.75, "B", AJ228 &gt; 0.5, "C", AJ228 &gt; 0.25, "D", AJ228 &gt; 0, "E", TRUE, "-")</f>
      </c>
      <c r="AN228" s="55">
        <f>IFS(AK228 &gt; 1.25, "S", AK228 &gt; 1, "A", AK228 &gt; 0.75, "B", AK228 &gt; 0.5, "C", AK228 &gt; 0.25, "D", AK228 &gt; 0, "E", TRUE, "-")</f>
      </c>
      <c r="AO228" s="55">
        <f>IFS(AL228 &gt; 1.25, "S", AL228 &gt; 1, "A", AL228 &gt; 0.75, "B", AL228 &gt; 0.5, "C", AL228 &gt; 0.25, "D", AL228 &gt; 0, "E", TRUE, "-")</f>
      </c>
      <c r="AP228" s="58"/>
      <c r="AQ228" s="68"/>
      <c r="AR228" s="68"/>
      <c r="AS228" s="55"/>
      <c r="AT228" s="55"/>
      <c r="AU228" s="55"/>
      <c r="AV228" s="61">
        <f>IF(SUM(AJ228:AL228)=0, 0, (1 + F228 * 0.1) * (0.75 + 0.25 * MAX(0, MIN(1, IF(MAX(AJ228:AL228)=0, 0, (3*MAX(AJ228:AL228)-SUM(AJ228:AL228)) / (2*MAX(AJ228:AL228)))))))</f>
      </c>
      <c r="AW228" s="83">
        <f>MAX(AJ228:AL228)</f>
      </c>
      <c r="AX228" s="81">
        <f>IF(AW228=0, "", AW228 / ((1 + 0.1*N(F228))))</f>
      </c>
      <c r="AY228" s="61">
        <f>IF(SUM(AJ228:AL228)=0, 0,     (1 + F228 * 0.1) * (1 + ((SUM(AJ228:AL228) - MAX(AJ228:AL228)) / (2 * MAX(AJ228:AL228))) * (1/0.75 - 1)))</f>
      </c>
      <c r="AZ228" s="83"/>
      <c r="BA228" s="81">
        <f>IF(AZ228=0, "", AZ228 / ((1 + 0.1*N(F228))/0.75))</f>
      </c>
      <c r="BB228" s="51">
        <v>0.1</v>
      </c>
      <c r="BC228" s="1"/>
      <c r="BD228" s="54"/>
      <c r="BE228" s="54"/>
      <c r="BF228" s="74"/>
      <c r="BG228" s="64"/>
      <c r="BH228" s="69"/>
      <c r="BI228" s="45"/>
      <c r="BJ228" s="63"/>
      <c r="BK228" s="49"/>
      <c r="BL228" s="56"/>
      <c r="BM228" s="50"/>
      <c r="BN228" s="57"/>
      <c r="BO228" s="54"/>
      <c r="BP228" s="64"/>
      <c r="BQ228" s="51"/>
      <c r="BR228" s="38">
        <f>IFERROR(BQ228*100/CP228,"N/A")</f>
      </c>
      <c r="BS228" s="61"/>
      <c r="BT228" s="54"/>
      <c r="BU228" s="42"/>
      <c r="BV228" s="78"/>
      <c r="BW228" s="73"/>
      <c r="BX228" s="64"/>
      <c r="BY228" s="52"/>
      <c r="BZ228" s="1"/>
      <c r="CA228" s="62"/>
      <c r="CB228" s="51"/>
      <c r="CC228" s="51"/>
      <c r="CD228" s="58"/>
      <c r="CE228" s="58"/>
      <c r="CF228" s="58"/>
      <c r="CG228" s="58"/>
      <c r="CH228" s="58"/>
      <c r="CI228" s="58"/>
      <c r="CJ228" s="79"/>
      <c r="CK228" s="69"/>
      <c r="CL228" s="79"/>
      <c r="CM228" s="51"/>
      <c r="CN228" s="55"/>
      <c r="CO228" s="42"/>
      <c r="CP228" s="70">
        <f>CN228*BS228*BT228</f>
      </c>
      <c r="CQ228" s="52"/>
      <c r="CR228" s="64">
        <f>100/CP228</f>
      </c>
      <c r="CS228" s="82">
        <f>100/CQ228</f>
      </c>
      <c r="CT228" s="52"/>
      <c r="CU228" s="52"/>
      <c r="CV228" s="82">
        <f>BL228/T228</f>
      </c>
      <c r="CW228" s="82">
        <f>100/CV228</f>
      </c>
      <c r="CX228" s="77"/>
      <c r="CY228" s="85"/>
      <c r="CZ228" s="77"/>
      <c r="DA228" s="77"/>
      <c r="DB228" s="77"/>
      <c r="DC228" s="85"/>
    </row>
    <row r="229">
      <c r="A229" s="84"/>
      <c r="B229" s="53"/>
      <c r="C229" s="71"/>
      <c r="D229" s="71">
        <f>IF($A229="","","WPN"&amp;VLOOKUP(E229,'引用数据库'!Z:AC,4,FALSE)&amp;VLOOKUP(H229,'引用数据库'!N:P,3,FALSE)&amp;VLOOKUP(I229,'引用数据库'!S:U,3,FALSE)&amp;TEXT(F229,"00"))</f>
      </c>
      <c r="E229" s="53"/>
      <c r="F229" s="57"/>
      <c r="G229" s="84"/>
      <c r="H229" s="53"/>
      <c r="I229" s="53"/>
      <c r="J229" s="84"/>
      <c r="K229" s="84"/>
      <c r="L229" s="42"/>
      <c r="M229" s="65"/>
      <c r="N229" s="54"/>
      <c r="O229" s="54"/>
      <c r="P229" s="54"/>
      <c r="Q229" s="54"/>
      <c r="R229" s="54"/>
      <c r="S229" s="54"/>
      <c r="T229" s="54"/>
      <c r="U229" s="51">
        <f>2*T229/(15*(1+(5-BD229)*0.1))</f>
      </c>
      <c r="V229" s="1"/>
      <c r="W229" s="54"/>
      <c r="X229" s="54"/>
      <c r="Y229" s="76"/>
      <c r="Z229" s="76"/>
      <c r="AA229" s="66"/>
      <c r="AB229" s="66"/>
      <c r="AC229" s="66"/>
      <c r="AD229" s="86"/>
      <c r="AE229" s="86"/>
      <c r="AF229" s="1"/>
      <c r="AG229" s="54"/>
      <c r="AH229" s="54"/>
      <c r="AI229" s="1"/>
      <c r="AJ229" s="80"/>
      <c r="AK229" s="80"/>
      <c r="AL229" s="80"/>
      <c r="AM229" s="55">
        <f>IFS(AJ229 &gt; 1.25, "S", AJ229 &gt; 1, "A", AJ229 &gt; 0.75, "B", AJ229 &gt; 0.5, "C", AJ229 &gt; 0.25, "D", AJ229 &gt; 0, "E", TRUE, "-")</f>
      </c>
      <c r="AN229" s="55">
        <f>IFS(AK229 &gt; 1.25, "S", AK229 &gt; 1, "A", AK229 &gt; 0.75, "B", AK229 &gt; 0.5, "C", AK229 &gt; 0.25, "D", AK229 &gt; 0, "E", TRUE, "-")</f>
      </c>
      <c r="AO229" s="55">
        <f>IFS(AL229 &gt; 1.25, "S", AL229 &gt; 1, "A", AL229 &gt; 0.75, "B", AL229 &gt; 0.5, "C", AL229 &gt; 0.25, "D", AL229 &gt; 0, "E", TRUE, "-")</f>
      </c>
      <c r="AP229" s="58"/>
      <c r="AQ229" s="68"/>
      <c r="AR229" s="68"/>
      <c r="AS229" s="55"/>
      <c r="AT229" s="55"/>
      <c r="AU229" s="55"/>
      <c r="AV229" s="61">
        <f>IF(SUM(AJ229:AL229)=0, 0, (1 + F229 * 0.1) * (0.75 + 0.25 * MAX(0, MIN(1, IF(MAX(AJ229:AL229)=0, 0, (3*MAX(AJ229:AL229)-SUM(AJ229:AL229)) / (2*MAX(AJ229:AL229)))))))</f>
      </c>
      <c r="AW229" s="83">
        <f>MAX(AJ229:AL229)</f>
      </c>
      <c r="AX229" s="81">
        <f>IF(AW229=0, "", AW229 / ((1 + 0.1*N(F229))))</f>
      </c>
      <c r="AY229" s="61">
        <f>IF(SUM(AJ229:AL229)=0, 0,     (1 + F229 * 0.1) * (1 + ((SUM(AJ229:AL229) - MAX(AJ229:AL229)) / (2 * MAX(AJ229:AL229))) * (1/0.75 - 1)))</f>
      </c>
      <c r="AZ229" s="83"/>
      <c r="BA229" s="81">
        <f>IF(AZ229=0, "", AZ229 / ((1 + 0.1*N(F229))/0.75))</f>
      </c>
      <c r="BB229" s="51">
        <v>0.1</v>
      </c>
      <c r="BC229" s="1"/>
      <c r="BD229" s="54"/>
      <c r="BE229" s="54"/>
      <c r="BF229" s="74"/>
      <c r="BG229" s="64"/>
      <c r="BH229" s="69"/>
      <c r="BI229" s="45"/>
      <c r="BJ229" s="63"/>
      <c r="BK229" s="49"/>
      <c r="BL229" s="56"/>
      <c r="BM229" s="50"/>
      <c r="BN229" s="57"/>
      <c r="BO229" s="54"/>
      <c r="BP229" s="64"/>
      <c r="BQ229" s="51"/>
      <c r="BR229" s="38">
        <f>IFERROR(BQ229*100/CP229,"N/A")</f>
      </c>
      <c r="BS229" s="61"/>
      <c r="BT229" s="54"/>
      <c r="BU229" s="42"/>
      <c r="BV229" s="78"/>
      <c r="BW229" s="73"/>
      <c r="BX229" s="64"/>
      <c r="BY229" s="52"/>
      <c r="BZ229" s="1"/>
      <c r="CA229" s="62"/>
      <c r="CB229" s="51"/>
      <c r="CC229" s="51"/>
      <c r="CD229" s="58"/>
      <c r="CE229" s="58"/>
      <c r="CF229" s="58"/>
      <c r="CG229" s="58"/>
      <c r="CH229" s="58"/>
      <c r="CI229" s="58"/>
      <c r="CJ229" s="79"/>
      <c r="CK229" s="69"/>
      <c r="CL229" s="79"/>
      <c r="CM229" s="51"/>
      <c r="CN229" s="55"/>
      <c r="CO229" s="42"/>
      <c r="CP229" s="70">
        <f>CN229*BS229*BT229</f>
      </c>
      <c r="CQ229" s="52"/>
      <c r="CR229" s="64">
        <f>100/CP229</f>
      </c>
      <c r="CS229" s="82">
        <f>100/CQ229</f>
      </c>
      <c r="CT229" s="52"/>
      <c r="CU229" s="52"/>
      <c r="CV229" s="82">
        <f>BL229/T229</f>
      </c>
      <c r="CW229" s="82">
        <f>100/CV229</f>
      </c>
      <c r="CX229" s="77"/>
      <c r="CY229" s="85"/>
      <c r="CZ229" s="77"/>
      <c r="DA229" s="77"/>
      <c r="DB229" s="77"/>
      <c r="DC229" s="85"/>
    </row>
    <row r="230">
      <c r="A230" s="84"/>
      <c r="B230" s="53"/>
      <c r="C230" s="71"/>
      <c r="D230" s="71">
        <f>IF($A230="","","WPN"&amp;VLOOKUP(E230,'引用数据库'!Z:AC,4,FALSE)&amp;VLOOKUP(H230,'引用数据库'!N:P,3,FALSE)&amp;VLOOKUP(I230,'引用数据库'!S:U,3,FALSE)&amp;TEXT(F230,"00"))</f>
      </c>
      <c r="E230" s="53"/>
      <c r="F230" s="57"/>
      <c r="G230" s="84"/>
      <c r="H230" s="53"/>
      <c r="I230" s="53"/>
      <c r="J230" s="84"/>
      <c r="K230" s="84"/>
      <c r="L230" s="42"/>
      <c r="M230" s="65"/>
      <c r="N230" s="54"/>
      <c r="O230" s="54"/>
      <c r="P230" s="54"/>
      <c r="Q230" s="54"/>
      <c r="R230" s="54"/>
      <c r="S230" s="54"/>
      <c r="T230" s="54"/>
      <c r="U230" s="51">
        <f>2*T230/(15*(1+(5-BD230)*0.1))</f>
      </c>
      <c r="V230" s="1"/>
      <c r="W230" s="54"/>
      <c r="X230" s="54"/>
      <c r="Y230" s="76"/>
      <c r="Z230" s="76"/>
      <c r="AA230" s="66"/>
      <c r="AB230" s="66"/>
      <c r="AC230" s="66"/>
      <c r="AD230" s="86"/>
      <c r="AE230" s="86"/>
      <c r="AF230" s="1"/>
      <c r="AG230" s="54"/>
      <c r="AH230" s="54"/>
      <c r="AI230" s="1"/>
      <c r="AJ230" s="80"/>
      <c r="AK230" s="80"/>
      <c r="AL230" s="80"/>
      <c r="AM230" s="55">
        <f>IFS(AJ230 &gt; 1.25, "S", AJ230 &gt; 1, "A", AJ230 &gt; 0.75, "B", AJ230 &gt; 0.5, "C", AJ230 &gt; 0.25, "D", AJ230 &gt; 0, "E", TRUE, "-")</f>
      </c>
      <c r="AN230" s="55">
        <f>IFS(AK230 &gt; 1.25, "S", AK230 &gt; 1, "A", AK230 &gt; 0.75, "B", AK230 &gt; 0.5, "C", AK230 &gt; 0.25, "D", AK230 &gt; 0, "E", TRUE, "-")</f>
      </c>
      <c r="AO230" s="55">
        <f>IFS(AL230 &gt; 1.25, "S", AL230 &gt; 1, "A", AL230 &gt; 0.75, "B", AL230 &gt; 0.5, "C", AL230 &gt; 0.25, "D", AL230 &gt; 0, "E", TRUE, "-")</f>
      </c>
      <c r="AP230" s="58"/>
      <c r="AQ230" s="68"/>
      <c r="AR230" s="68"/>
      <c r="AS230" s="55"/>
      <c r="AT230" s="55"/>
      <c r="AU230" s="55"/>
      <c r="AV230" s="61">
        <f>IF(SUM(AJ230:AL230)=0, 0, (1 + F230 * 0.1) * (0.75 + 0.25 * MAX(0, MIN(1, IF(MAX(AJ230:AL230)=0, 0, (3*MAX(AJ230:AL230)-SUM(AJ230:AL230)) / (2*MAX(AJ230:AL230)))))))</f>
      </c>
      <c r="AW230" s="83">
        <f>MAX(AJ230:AL230)</f>
      </c>
      <c r="AX230" s="81">
        <f>IF(AW230=0, "", AW230 / ((1 + 0.1*N(F230))))</f>
      </c>
      <c r="AY230" s="61">
        <f>IF(SUM(AJ230:AL230)=0, 0,     (1 + F230 * 0.1) * (1 + ((SUM(AJ230:AL230) - MAX(AJ230:AL230)) / (2 * MAX(AJ230:AL230))) * (1/0.75 - 1)))</f>
      </c>
      <c r="AZ230" s="83"/>
      <c r="BA230" s="81">
        <f>IF(AZ230=0, "", AZ230 / ((1 + 0.1*N(F230))/0.75))</f>
      </c>
      <c r="BB230" s="51">
        <v>0.1</v>
      </c>
      <c r="BC230" s="1"/>
      <c r="BD230" s="54"/>
      <c r="BE230" s="54"/>
      <c r="BF230" s="74"/>
      <c r="BG230" s="64"/>
      <c r="BH230" s="69"/>
      <c r="BI230" s="45"/>
      <c r="BJ230" s="63"/>
      <c r="BK230" s="49"/>
      <c r="BL230" s="56"/>
      <c r="BM230" s="50"/>
      <c r="BN230" s="57"/>
      <c r="BO230" s="54"/>
      <c r="BP230" s="64"/>
      <c r="BQ230" s="51"/>
      <c r="BR230" s="38">
        <f>IFERROR(BQ230*100/CP230,"N/A")</f>
      </c>
      <c r="BS230" s="61"/>
      <c r="BT230" s="54"/>
      <c r="BU230" s="42"/>
      <c r="BV230" s="78"/>
      <c r="BW230" s="73"/>
      <c r="BX230" s="64"/>
      <c r="BY230" s="52"/>
      <c r="BZ230" s="1"/>
      <c r="CA230" s="62"/>
      <c r="CB230" s="51"/>
      <c r="CC230" s="51"/>
      <c r="CD230" s="58"/>
      <c r="CE230" s="58"/>
      <c r="CF230" s="58"/>
      <c r="CG230" s="58"/>
      <c r="CH230" s="58"/>
      <c r="CI230" s="58"/>
      <c r="CJ230" s="79"/>
      <c r="CK230" s="69"/>
      <c r="CL230" s="79"/>
      <c r="CM230" s="51"/>
      <c r="CN230" s="55"/>
      <c r="CO230" s="42"/>
      <c r="CP230" s="70">
        <f>CN230*BS230*BT230</f>
      </c>
      <c r="CQ230" s="52"/>
      <c r="CR230" s="64">
        <f>100/CP230</f>
      </c>
      <c r="CS230" s="82">
        <f>100/CQ230</f>
      </c>
      <c r="CT230" s="52"/>
      <c r="CU230" s="52"/>
      <c r="CV230" s="82">
        <f>BL230/T230</f>
      </c>
      <c r="CW230" s="82">
        <f>100/CV230</f>
      </c>
      <c r="CX230" s="77"/>
      <c r="CY230" s="85"/>
      <c r="CZ230" s="77"/>
      <c r="DA230" s="77"/>
      <c r="DB230" s="77"/>
      <c r="DC230" s="85"/>
    </row>
    <row r="231">
      <c r="A231" s="84"/>
      <c r="B231" s="53"/>
      <c r="C231" s="71"/>
      <c r="D231" s="71">
        <f>IF($A231="","","WPN"&amp;VLOOKUP(E231,'引用数据库'!Z:AC,4,FALSE)&amp;VLOOKUP(H231,'引用数据库'!N:P,3,FALSE)&amp;VLOOKUP(I231,'引用数据库'!S:U,3,FALSE)&amp;TEXT(F231,"00"))</f>
      </c>
      <c r="E231" s="53"/>
      <c r="F231" s="57"/>
      <c r="G231" s="84"/>
      <c r="H231" s="53"/>
      <c r="I231" s="53"/>
      <c r="J231" s="84"/>
      <c r="K231" s="84"/>
      <c r="L231" s="42"/>
      <c r="M231" s="65"/>
      <c r="N231" s="54"/>
      <c r="O231" s="54"/>
      <c r="P231" s="54"/>
      <c r="Q231" s="54"/>
      <c r="R231" s="54"/>
      <c r="S231" s="54"/>
      <c r="T231" s="54"/>
      <c r="U231" s="51">
        <f>2*T231/(15*(1+(5-BD231)*0.1))</f>
      </c>
      <c r="V231" s="1"/>
      <c r="W231" s="54"/>
      <c r="X231" s="54"/>
      <c r="Y231" s="76"/>
      <c r="Z231" s="76"/>
      <c r="AA231" s="66"/>
      <c r="AB231" s="66"/>
      <c r="AC231" s="66"/>
      <c r="AD231" s="86"/>
      <c r="AE231" s="86"/>
      <c r="AF231" s="1"/>
      <c r="AG231" s="54"/>
      <c r="AH231" s="54"/>
      <c r="AI231" s="1"/>
      <c r="AJ231" s="80"/>
      <c r="AK231" s="80"/>
      <c r="AL231" s="80"/>
      <c r="AM231" s="55">
        <f>IFS(AJ231 &gt; 1.25, "S", AJ231 &gt; 1, "A", AJ231 &gt; 0.75, "B", AJ231 &gt; 0.5, "C", AJ231 &gt; 0.25, "D", AJ231 &gt; 0, "E", TRUE, "-")</f>
      </c>
      <c r="AN231" s="55">
        <f>IFS(AK231 &gt; 1.25, "S", AK231 &gt; 1, "A", AK231 &gt; 0.75, "B", AK231 &gt; 0.5, "C", AK231 &gt; 0.25, "D", AK231 &gt; 0, "E", TRUE, "-")</f>
      </c>
      <c r="AO231" s="55">
        <f>IFS(AL231 &gt; 1.25, "S", AL231 &gt; 1, "A", AL231 &gt; 0.75, "B", AL231 &gt; 0.5, "C", AL231 &gt; 0.25, "D", AL231 &gt; 0, "E", TRUE, "-")</f>
      </c>
      <c r="AP231" s="58"/>
      <c r="AQ231" s="68"/>
      <c r="AR231" s="68"/>
      <c r="AS231" s="55"/>
      <c r="AT231" s="55"/>
      <c r="AU231" s="55"/>
      <c r="AV231" s="61">
        <f>IF(SUM(AJ231:AL231)=0, 0, (1 + F231 * 0.1) * (0.75 + 0.25 * MAX(0, MIN(1, IF(MAX(AJ231:AL231)=0, 0, (3*MAX(AJ231:AL231)-SUM(AJ231:AL231)) / (2*MAX(AJ231:AL231)))))))</f>
      </c>
      <c r="AW231" s="83">
        <f>MAX(AJ231:AL231)</f>
      </c>
      <c r="AX231" s="81">
        <f>IF(AW231=0, "", AW231 / ((1 + 0.1*N(F231))))</f>
      </c>
      <c r="AY231" s="61">
        <f>IF(SUM(AJ231:AL231)=0, 0,     (1 + F231 * 0.1) * (1 + ((SUM(AJ231:AL231) - MAX(AJ231:AL231)) / (2 * MAX(AJ231:AL231))) * (1/0.75 - 1)))</f>
      </c>
      <c r="AZ231" s="83"/>
      <c r="BA231" s="81">
        <f>IF(AZ231=0, "", AZ231 / ((1 + 0.1*N(F231))/0.75))</f>
      </c>
      <c r="BB231" s="51">
        <v>0.1</v>
      </c>
      <c r="BC231" s="1"/>
      <c r="BD231" s="54"/>
      <c r="BE231" s="54"/>
      <c r="BF231" s="74"/>
      <c r="BG231" s="64"/>
      <c r="BH231" s="69"/>
      <c r="BI231" s="45"/>
      <c r="BJ231" s="63"/>
      <c r="BK231" s="49"/>
      <c r="BL231" s="56"/>
      <c r="BM231" s="50"/>
      <c r="BN231" s="57"/>
      <c r="BO231" s="54"/>
      <c r="BP231" s="64"/>
      <c r="BQ231" s="51"/>
      <c r="BR231" s="38">
        <f>IFERROR(BQ231*100/CP231,"N/A")</f>
      </c>
      <c r="BS231" s="61"/>
      <c r="BT231" s="54"/>
      <c r="BU231" s="42"/>
      <c r="BV231" s="78"/>
      <c r="BW231" s="73"/>
      <c r="BX231" s="64"/>
      <c r="BY231" s="52"/>
      <c r="BZ231" s="1"/>
      <c r="CA231" s="62"/>
      <c r="CB231" s="51"/>
      <c r="CC231" s="51"/>
      <c r="CD231" s="58"/>
      <c r="CE231" s="58"/>
      <c r="CF231" s="58"/>
      <c r="CG231" s="58"/>
      <c r="CH231" s="58"/>
      <c r="CI231" s="58"/>
      <c r="CJ231" s="79"/>
      <c r="CK231" s="69"/>
      <c r="CL231" s="79"/>
      <c r="CM231" s="51"/>
      <c r="CN231" s="55"/>
      <c r="CO231" s="42"/>
      <c r="CP231" s="70">
        <f>CN231*BS231*BT231</f>
      </c>
      <c r="CQ231" s="52"/>
      <c r="CR231" s="64">
        <f>100/CP231</f>
      </c>
      <c r="CS231" s="82">
        <f>100/CQ231</f>
      </c>
      <c r="CT231" s="52"/>
      <c r="CU231" s="52"/>
      <c r="CV231" s="82">
        <f>BL231/T231</f>
      </c>
      <c r="CW231" s="82">
        <f>100/CV231</f>
      </c>
      <c r="CX231" s="77"/>
      <c r="CY231" s="85"/>
      <c r="CZ231" s="77"/>
      <c r="DA231" s="77"/>
      <c r="DB231" s="77"/>
      <c r="DC231" s="85"/>
    </row>
  </sheetData>
  <mergeCells>
    <mergeCell ref="DA99:DA104"/>
    <mergeCell ref="CY99:CY104"/>
    <mergeCell ref="DA93:DA98"/>
    <mergeCell ref="DA87:DA92"/>
    <mergeCell ref="DA81:DA86"/>
    <mergeCell ref="DA75:DA80"/>
    <mergeCell ref="DA69:DA74"/>
    <mergeCell ref="DA63:DA68"/>
    <mergeCell ref="DA57:DA62"/>
    <mergeCell ref="DA51:DA56"/>
    <mergeCell ref="DA45:DA50"/>
    <mergeCell ref="DA39:DA44"/>
    <mergeCell ref="DA33:DA38"/>
    <mergeCell ref="DA27:DA32"/>
    <mergeCell ref="DA21:DA26"/>
    <mergeCell ref="DA15:DA20"/>
    <mergeCell ref="DA9:DA14"/>
    <mergeCell ref="DA3:DA8"/>
    <mergeCell ref="CY3:CY8"/>
    <mergeCell ref="CY9:CY14"/>
    <mergeCell ref="CY15:CY20"/>
    <mergeCell ref="CY21:CY26"/>
    <mergeCell ref="CY27:CY32"/>
    <mergeCell ref="CY33:CY38"/>
    <mergeCell ref="CY39:CY44"/>
    <mergeCell ref="CY45:CY50"/>
    <mergeCell ref="CY51:CY56"/>
    <mergeCell ref="CY57:CY62"/>
    <mergeCell ref="CY63:CY68"/>
    <mergeCell ref="CY69:CY74"/>
    <mergeCell ref="CY75:CY80"/>
    <mergeCell ref="CY81:CY86"/>
    <mergeCell ref="CY87:CY92"/>
    <mergeCell ref="CY93:CY98"/>
  </mergeCells>
  <conditionalFormatting sqref="BF1:BF1048576">
    <cfRule priority="2" type="iconSet">
      <iconSet iconSet="5Arrows" showValue="true">
        <cfvo gte="true" type="percent" val="0"/>
        <cfvo gte="true" type="percent" val="20"/>
        <cfvo gte="true" type="percent" val="40"/>
        <cfvo gte="true" type="percent" val="60"/>
        <cfvo gte="true" type="percent" val="80"/>
      </iconSet>
    </cfRule>
  </conditionalFormatting>
  <conditionalFormatting sqref="BJ1:BJ1048576">
    <cfRule priority="3" type="iconSet">
      <iconSet iconSet="5Arrows" showValue="true">
        <cfvo gte="true" type="percent" val="0"/>
        <cfvo gte="true" type="percent" val="20"/>
        <cfvo gte="true" type="percent" val="40"/>
        <cfvo gte="true" type="percent" val="60"/>
        <cfvo gte="true" type="percent" val="80"/>
      </iconSet>
    </cfRule>
  </conditionalFormatting>
  <conditionalFormatting sqref="AX1:AX1048576">
    <cfRule priority="4" type="iconSet">
      <iconSet iconSet="5Arrows" showValue="true">
        <cfvo gte="true" type="percent" val="0"/>
        <cfvo gte="true" type="percent" val="20"/>
        <cfvo gte="true" type="percent" val="40"/>
        <cfvo gte="true" type="percent" val="60"/>
        <cfvo gte="true" type="percent" val="80"/>
      </iconSet>
    </cfRule>
  </conditionalFormatting>
  <conditionalFormatting sqref="BA1:BA1048576">
    <cfRule priority="5" type="iconSet">
      <iconSet iconSet="5Arrows" showValue="true">
        <cfvo gte="true" type="percent" val="0"/>
        <cfvo gte="true" type="percent" val="20"/>
        <cfvo gte="true" type="percent" val="40"/>
        <cfvo gte="true" type="percent" val="60"/>
        <cfvo gte="true" type="percent" val="80"/>
      </iconSet>
    </cfRule>
  </conditionalFormatting>
  <conditionalFormatting sqref="A1:XFD231">
    <cfRule dxfId="0" operator="equal" priority="6" stopIfTrue="true" type="cellIs">
      <formula>0</formula>
    </cfRule>
  </conditionalFormatting>
  <conditionalFormatting sqref="A2:XFD231">
    <cfRule dxfId="1" operator="equal" priority="7" stopIfTrue="true" type="cellIs">
      <formula>"n/a"</formula>
    </cfRule>
  </conditionalFormatting>
  <conditionalFormatting sqref="BP1:BQ1048576">
    <cfRule dxfId="2" operator="between" priority="8" stopIfTrue="true" type="cellIs">
      <formula>0</formula>
      <formula>0.9</formula>
    </cfRule>
  </conditionalFormatting>
  <conditionalFormatting sqref="BP1:BQ1048576">
    <cfRule dxfId="3" operator="greaterThan" priority="9" stopIfTrue="true" type="cellIs">
      <formula>1</formula>
    </cfRule>
  </conditionalFormatting>
  <dataValidations count="4">
    <dataValidation allowBlank="true" errorStyle="stop" showDropDown="true" showErrorMessage="true" sqref="DC3:DC231 DD3:DD187" type="list">
      <formula1>"待办,在做,要改,完成,不急"</formula1>
    </dataValidation>
    <dataValidation allowBlank="true" errorStyle="stop" showDropDown="true" showErrorMessage="true" sqref="K3:K231" type="list">
      <formula1>"1,2,3,4"</formula1>
    </dataValidation>
    <dataValidation allowBlank="true" errorStyle="stop" showDropDown="true" showErrorMessage="true" sqref="G3:G231" type="list">
      <formula1>"近战,远程"</formula1>
    </dataValidation>
    <dataValidation allowBlank="true" errorStyle="stop" showDropDown="true" showErrorMessage="true" sqref="J3:J231" type="list">
      <formula1>"手动,自动"</formula1>
    </dataValidation>
  </dataValidations>
  <legacyDrawing r:id="rId1"/>
  <extLst>
    <ext xmlns:x14="http://schemas.microsoft.com/office/spreadsheetml/2009/9/main" uri="{CCE6A557-97BC-4b89-ADB6-D9C93CAAB3DF}">
      <x14:dataValidations xmlns:xm="http://schemas.microsoft.com/office/excel/2006/main" count="3">
        <x14:dataValidation type="list" allowBlank="true" errorStyle="stop" showDropDown="true" showErrorMessage="true" xr:uid="{675C8A63-460C-4FE4-8EC8-3DC7EDC90635}">
          <x14:formula1>
            <xm:f>'阵营列表'!$B$2:$B$26</xm:f>
          </x14:formula1>
          <xm:sqref>E3:E99 E101:E231</xm:sqref>
        </x14:dataValidation>
        <x14:dataValidation type="list" allowBlank="true" errorStyle="stop" showDropDown="true" showErrorMessage="true" xr:uid="{DE39C20F-982A-424E-BE52-63E34975127B}">
          <x14:formula1>
            <xm:f>'引用数据库'!$N$2:$N$14</xm:f>
          </x14:formula1>
          <xm:sqref>H3:H231</xm:sqref>
        </x14:dataValidation>
        <x14:dataValidation type="list" allowBlank="true" errorStyle="stop" showDropDown="true" showErrorMessage="true" xr:uid="{E4A13DAC-2203-45A1-B29F-C566811B1826}">
          <x14:formula1>
            <xm:f>'引用数据库'!$S$2:$S$200</xm:f>
          </x14:formula1>
          <xm:sqref>I3:I231</xm:sqref>
        </x14:dataValidation>
      </x14:dataValidations>
    </ext>
  </extLst>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bacefd"/>
    <outlinePr summaryBelow="false" summaryRight="false"/>
  </sheetPr>
  <dimension ref="A1"/>
  <sheetViews>
    <sheetView showGridLines="true" workbookViewId="0">
      <pane state="frozen" topLeftCell="E3" xSplit="4" ySplit="2"/>
    </sheetView>
  </sheetViews>
  <sheetFormatPr defaultColWidth="14" defaultRowHeight="19"/>
  <cols>
    <col collapsed="false" customWidth="true" hidden="false" max="1" min="1" style="0" width="10"/>
    <col collapsed="false" customWidth="true" hidden="false" max="2" min="2" style="0" width="10"/>
    <col collapsed="false" customWidth="true" hidden="false" max="3" min="3" style="0" width="8"/>
    <col collapsed="false" customWidth="true" hidden="false" max="4" min="4" style="0" width="6"/>
    <col collapsed="false" customWidth="true" hidden="false" max="5" min="5" style="0" width="37"/>
    <col collapsed="false" customWidth="true" hidden="false" max="6" min="6" style="0" width="12"/>
    <col collapsed="false" customWidth="true" hidden="false" max="7" min="7" style="0" width="6"/>
    <col collapsed="false" customWidth="true" hidden="false" max="8" min="8" style="0" width="2"/>
    <col collapsed="false" customWidth="true" hidden="false" max="9" min="9" style="0" width="8"/>
    <col collapsed="false" customWidth="true" hidden="false" max="10" min="10" style="0" width="8"/>
    <col collapsed="false" customWidth="true" hidden="false" max="11" min="11" style="0" width="8"/>
    <col collapsed="false" customWidth="true" hidden="false" max="12" min="12" style="0" width="8"/>
    <col collapsed="false" customWidth="true" hidden="false" max="13" min="13" style="0" width="6"/>
    <col collapsed="false" customWidth="true" hidden="false" max="14" min="14" style="0" width="13"/>
    <col collapsed="false" customWidth="true" hidden="false" max="15" min="15" style="0" width="13"/>
    <col collapsed="false" customWidth="true" hidden="false" max="16" min="16" style="0" width="2"/>
    <col collapsed="false" customWidth="true" hidden="false" max="17" min="17" style="0" width="13"/>
    <col collapsed="false" customWidth="true" hidden="false" max="18" min="18" style="0" width="14"/>
    <col collapsed="false" customWidth="true" hidden="false" max="19" min="19" style="0" width="10"/>
    <col collapsed="false" customWidth="true" hidden="false" max="20" min="20" style="0" width="12"/>
    <col collapsed="false" customWidth="true" hidden="false" max="21" min="21" style="0" width="18"/>
    <col collapsed="false" customWidth="true" hidden="false" max="22" min="22" style="0" width="17"/>
    <col collapsed="false" customWidth="true" hidden="false" max="23" min="23" style="0" width="16"/>
    <col collapsed="false" customWidth="true" hidden="false" max="24" min="24" style="0" width="2"/>
    <col collapsed="false" customWidth="true" hidden="false" max="25" min="25" style="0" width="12"/>
    <col collapsed="false" customWidth="true" hidden="false" max="26" min="26" style="0" width="11"/>
    <col collapsed="false" customWidth="true" hidden="false" max="27" min="27" style="0" width="11"/>
    <col collapsed="false" customWidth="true" hidden="false" max="28" min="28" style="0" width="11"/>
    <col collapsed="false" customWidth="true" hidden="false" max="29" min="29" style="0" width="8"/>
    <col collapsed="false" customWidth="true" hidden="false" max="30" min="30" style="0" width="8"/>
    <col collapsed="false" customWidth="true" hidden="false" max="31" min="31" style="0" width="8"/>
    <col collapsed="false" customWidth="true" hidden="false" max="32" min="32" style="0" width="2"/>
    <col collapsed="false" customWidth="true" hidden="false" max="33" min="33" style="0" width="5"/>
    <col collapsed="false" customWidth="true" hidden="false" max="34" min="34" style="0" width="5"/>
    <col collapsed="false" customWidth="true" hidden="false" max="35" min="35" style="0" width="5"/>
    <col collapsed="false" customWidth="true" hidden="false" max="36" min="36" style="0" width="4"/>
    <col collapsed="false" customWidth="true" hidden="false" max="37" min="37" style="0" width="2"/>
    <col collapsed="false" customWidth="true" hidden="false" max="38" min="38" style="0" width="5"/>
    <col collapsed="false" customWidth="true" hidden="false" max="39" min="39" style="0" width="8"/>
    <col collapsed="false" customWidth="true" hidden="false" max="40" min="40" style="0" width="2"/>
    <col collapsed="false" customWidth="true" hidden="false" max="41" min="41" style="0" width="7"/>
    <col collapsed="false" customWidth="true" hidden="false" max="42" min="42" style="0" width="7"/>
    <col collapsed="false" customWidth="true" hidden="false" max="43" min="43" style="0" width="7"/>
    <col collapsed="false" customWidth="true" hidden="false" max="44" min="44" style="0" width="2"/>
    <col collapsed="false" customWidth="true" hidden="false" max="45" min="45" style="0" width="7"/>
    <col collapsed="false" customWidth="true" hidden="false" max="46" min="46" style="0" width="7"/>
    <col collapsed="false" customWidth="true" hidden="false" max="47" min="47" style="0" width="7"/>
    <col collapsed="false" customWidth="true" hidden="false" max="48" min="48" style="0" width="7"/>
    <col collapsed="false" customWidth="true" hidden="false" max="49" min="49" style="0" width="7"/>
    <col collapsed="false" customWidth="true" hidden="false" max="50" min="50" style="0" width="2"/>
    <col collapsed="false" customWidth="true" hidden="false" max="51" min="51" style="0" width="29"/>
    <col collapsed="false" customWidth="true" hidden="false" max="52" min="52" style="0" width="2"/>
    <col collapsed="false" customWidth="true" hidden="false" max="53" min="53" style="0" width="8"/>
    <col collapsed="false" customWidth="true" hidden="false" max="54" min="54" style="0" width="2"/>
    <col collapsed="false" customWidth="true" hidden="false" max="55" min="55" style="0" width="8"/>
    <col collapsed="false" customWidth="true" hidden="false" max="56" min="56" style="0" width="8"/>
    <col collapsed="false" customWidth="true" hidden="false" max="57" min="57" style="0" width="11"/>
    <col collapsed="false" customWidth="true" hidden="false" max="58" min="58" style="0" width="11"/>
    <col collapsed="false" customWidth="true" hidden="false" max="59" min="59" style="0" width="2"/>
    <col collapsed="false" customWidth="true" hidden="false" max="60" min="60" style="0" width="6"/>
  </cols>
  <sheetData>
    <row r="1">
      <c r="A1" s="71" t="str">
        <v>RowName</v>
      </c>
      <c r="B1" s="75" t="str">
        <v>Name</v>
      </c>
      <c r="C1" s="71"/>
      <c r="D1" s="71" t="str">
        <v>Quality</v>
      </c>
      <c r="E1" s="149"/>
      <c r="F1" s="71" t="str">
        <v>UUID</v>
      </c>
      <c r="G1" s="71" t="str">
        <v>Faction</v>
      </c>
      <c r="H1" s="10" t="str" xml:space="preserve">
        <v> </v>
      </c>
      <c r="I1" s="71" t="str">
        <v>IDReference</v>
      </c>
      <c r="J1" s="71"/>
      <c r="K1" s="75"/>
      <c r="L1" s="71"/>
      <c r="M1" s="75"/>
      <c r="N1" s="75" t="str">
        <v>InitialActionCnt</v>
      </c>
      <c r="O1" s="75"/>
      <c r="P1" s="10" t="str" xml:space="preserve">
        <v> </v>
      </c>
      <c r="Q1" s="71" t="str">
        <v>MinSpreadAngle</v>
      </c>
      <c r="R1" s="71" t="str">
        <v>MaxSpreadAngle</v>
      </c>
      <c r="S1" s="155" t="str">
        <v>SpreadDelta</v>
      </c>
      <c r="T1" s="155" t="str">
        <v>SpreadReduce</v>
      </c>
      <c r="U1" s="152" t="str">
        <v>SpreadReduceInterval</v>
      </c>
      <c r="V1" s="152" t="str">
        <v>MoveSpreadIncrease</v>
      </c>
      <c r="W1" s="152" t="str">
        <v>MoveSpreadMultiply</v>
      </c>
      <c r="X1" s="10" t="str" xml:space="preserve">
        <v> </v>
      </c>
      <c r="Y1" s="147" t="str">
        <v>WeaponFactor</v>
      </c>
      <c r="Z1" s="147" t="str">
        <v>AdjustFactor</v>
      </c>
      <c r="AA1" s="71" t="str">
        <v>BaseDamage</v>
      </c>
      <c r="AB1" s="147" t="str">
        <v>PoiseDamage</v>
      </c>
      <c r="AC1" s="71" t="str">
        <v>ImpactLevel</v>
      </c>
      <c r="AD1" s="143" t="str">
        <v>A.A.</v>
      </c>
      <c r="AE1" s="71"/>
      <c r="AF1" s="10" t="str" xml:space="preserve">
        <v> </v>
      </c>
      <c r="AG1" s="197" t="str">
        <v>Attack Pre Swing</v>
      </c>
      <c r="AH1" s="197" t="str">
        <v>Damage Event Duration</v>
      </c>
      <c r="AI1" s="197" t="str">
        <v>Attack Post Swing</v>
      </c>
      <c r="AJ1" s="71" t="str">
        <v>Attack Interval</v>
      </c>
      <c r="AK1" s="10" t="str" xml:space="preserve">
        <v> </v>
      </c>
      <c r="AL1" s="158" t="str">
        <v>MoveSpeedRate</v>
      </c>
      <c r="AM1" s="71" t="str">
        <v>AttackMode</v>
      </c>
      <c r="AN1" s="146" t="str" xml:space="preserve">
        <v> </v>
      </c>
      <c r="AO1" s="143" t="str">
        <v>Strength</v>
      </c>
      <c r="AP1" s="143" t="str">
        <v>Reflex</v>
      </c>
      <c r="AQ1" s="143" t="str">
        <v>Intelligence</v>
      </c>
      <c r="AR1" s="146" t="str" xml:space="preserve">
        <v> </v>
      </c>
      <c r="AS1" s="75" t="str">
        <v>WeaponType</v>
      </c>
      <c r="AT1" s="71" t="str">
        <v>ArmType</v>
      </c>
      <c r="AU1" s="71" t="str">
        <v>DamageRange</v>
      </c>
      <c r="AV1" s="71" t="str">
        <v>StaminaCost</v>
      </c>
      <c r="AW1" s="71" t="str">
        <v>AttackPauseSec</v>
      </c>
      <c r="AX1" s="10" t="str" xml:space="preserve">
        <v> </v>
      </c>
      <c r="AY1" s="71" t="str">
        <v>WeaponSpells</v>
      </c>
      <c r="AZ1" s="10" t="str" xml:space="preserve">
        <v> </v>
      </c>
      <c r="BA1" s="71" t="str">
        <v>Price</v>
      </c>
      <c r="BB1" s="10" t="str" xml:space="preserve">
        <v> </v>
      </c>
      <c r="BC1" s="71"/>
      <c r="BD1" s="71"/>
      <c r="BE1" s="71" t="str">
        <v>SpreadRange</v>
      </c>
      <c r="BF1" s="71"/>
      <c r="BG1" s="10" t="str" xml:space="preserve">
        <v> </v>
      </c>
      <c r="BH1" s="10">
        <f>COUNTIF(BH3:BH1031,"完成")</f>
      </c>
    </row>
    <row r="2">
      <c r="A2" s="22" t="str">
        <v>资产名称</v>
      </c>
      <c r="B2" s="19" t="str">
        <v>中文名称</v>
      </c>
      <c r="C2" s="22" t="str">
        <v>英文名称</v>
      </c>
      <c r="D2" s="22" t="str">
        <v>品质</v>
      </c>
      <c r="E2" s="140" t="str">
        <v>描述</v>
      </c>
      <c r="F2" s="22" t="str">
        <v>UUID</v>
      </c>
      <c r="G2" s="22" t="str">
        <v>阵营</v>
      </c>
      <c r="H2" s="124"/>
      <c r="I2" s="22"/>
      <c r="J2" s="22" t="str">
        <v>攻击类型</v>
      </c>
      <c r="K2" s="19" t="str">
        <v>伤害类型</v>
      </c>
      <c r="L2" s="22" t="str">
        <v>伤害角度</v>
      </c>
      <c r="M2" s="19" t="str">
        <v>装弹量</v>
      </c>
      <c r="N2" s="19" t="str">
        <v>发射弹丸</v>
      </c>
      <c r="O2" s="19" t="str">
        <v>装弹时长</v>
      </c>
      <c r="P2" s="124"/>
      <c r="Q2" s="22" t="str">
        <v>最小散布</v>
      </c>
      <c r="R2" s="22" t="str">
        <v>最大散布</v>
      </c>
      <c r="S2" s="117" t="str">
        <v>扩张速度</v>
      </c>
      <c r="T2" s="117" t="str">
        <v>回馈速度</v>
      </c>
      <c r="U2" s="123" t="str">
        <v>散布回复间隔</v>
      </c>
      <c r="V2" s="123" t="str">
        <v>移动散布增长</v>
      </c>
      <c r="W2" s="123" t="str">
        <v>移动散布倍率</v>
      </c>
      <c r="X2" s="124"/>
      <c r="Y2" s="120" t="str">
        <v>武器系数</v>
      </c>
      <c r="Z2" s="130" t="str">
        <v>补正系数</v>
      </c>
      <c r="AA2" s="22" t="str">
        <v>基础伤害</v>
      </c>
      <c r="AB2" s="120" t="str">
        <v>韧性伤害</v>
      </c>
      <c r="AC2" s="22" t="str">
        <v>冲击等级</v>
      </c>
      <c r="AD2" s="134" t="str">
        <v>异常积蓄</v>
      </c>
      <c r="AE2" s="22" t="str">
        <v>冲击类型</v>
      </c>
      <c r="AF2" s="124"/>
      <c r="AG2" s="196" t="str">
        <v>前摇</v>
      </c>
      <c r="AH2" s="195" t="str">
        <v>伤害</v>
      </c>
      <c r="AI2" s="196" t="str">
        <v>后摇</v>
      </c>
      <c r="AJ2" s="22" t="str">
        <v>间隔</v>
      </c>
      <c r="AK2" s="124"/>
      <c r="AL2" s="132" t="str">
        <v>移速</v>
      </c>
      <c r="AM2" s="22" t="str">
        <v>攻击模式</v>
      </c>
      <c r="AN2" s="131"/>
      <c r="AO2" s="118" t="str">
        <v>力量补正</v>
      </c>
      <c r="AP2" s="118" t="str">
        <v>反应补正</v>
      </c>
      <c r="AQ2" s="118" t="str">
        <v>智力补正</v>
      </c>
      <c r="AR2" s="131"/>
      <c r="AS2" s="19" t="str">
        <v>武器类型</v>
      </c>
      <c r="AT2" s="22" t="str">
        <v>动画类型</v>
      </c>
      <c r="AU2" s="22" t="str">
        <v>伤害半径</v>
      </c>
      <c r="AV2" s="22" t="str">
        <v>体力消耗</v>
      </c>
      <c r="AW2" s="22" t="str">
        <v>卡肉时长</v>
      </c>
      <c r="AX2" s="124"/>
      <c r="AY2" s="22" t="str">
        <v>武器技能</v>
      </c>
      <c r="AZ2" s="124"/>
      <c r="BA2" s="22" t="str">
        <v>基准价格</v>
      </c>
      <c r="BB2" s="124"/>
      <c r="BC2" s="22" t="str">
        <v>伤害类型</v>
      </c>
      <c r="BD2" s="22" t="str">
        <v>伤害角度</v>
      </c>
      <c r="BE2" s="22" t="str">
        <v>攻击声音范围</v>
      </c>
      <c r="BF2" s="22" t="str">
        <v>击中声音范围</v>
      </c>
      <c r="BG2" s="124"/>
      <c r="BH2" s="12" t="str">
        <v>配置</v>
      </c>
    </row>
    <row r="3">
      <c r="A3" s="193">
        <f>'武器'!A3</f>
      </c>
      <c r="B3" s="193">
        <f>'武器'!B3</f>
      </c>
      <c r="C3" s="193">
        <f>'武器'!C3</f>
      </c>
      <c r="D3" s="193">
        <f>'武器'!F3</f>
      </c>
      <c r="E3" s="187">
        <f>'武器'!CY3</f>
      </c>
      <c r="F3" s="193">
        <f>'武器'!D3</f>
      </c>
      <c r="G3" s="193">
        <f>'武器'!E3</f>
      </c>
      <c r="H3" s="193"/>
      <c r="I3" s="193"/>
      <c r="J3" s="193">
        <f>'武器'!G3</f>
      </c>
      <c r="K3" s="193">
        <f>'武器'!I3</f>
      </c>
      <c r="L3" s="193">
        <f>'武器'!O3</f>
      </c>
      <c r="M3" s="193">
        <f>'武器'!BN3</f>
      </c>
      <c r="N3" s="193">
        <f>'武器'!BS3</f>
      </c>
      <c r="O3" s="193">
        <f>'武器'!BO3</f>
      </c>
      <c r="P3" s="193"/>
      <c r="Q3" s="193">
        <f>'武器'!W3</f>
      </c>
      <c r="R3" s="193">
        <f>'武器'!X3</f>
      </c>
      <c r="S3" s="193">
        <f>'武器'!Y3</f>
      </c>
      <c r="T3" s="193">
        <f>'武器'!Z3</f>
      </c>
      <c r="U3" s="193">
        <f>'武器'!AA3</f>
      </c>
      <c r="V3" s="193">
        <f>'武器'!AB3</f>
      </c>
      <c r="W3" s="193">
        <f>'武器'!AC3</f>
      </c>
      <c r="X3" s="193"/>
      <c r="Y3" s="193">
        <f>'武器'!CK3</f>
      </c>
      <c r="Z3" s="193">
        <f>'武器'!BB3</f>
      </c>
      <c r="AA3" s="193">
        <f>'武器'!CA3</f>
      </c>
      <c r="AB3" s="193">
        <f>'武器'!BH3</f>
      </c>
      <c r="AC3" s="193">
        <f>'武器'!BD3</f>
      </c>
      <c r="AD3" s="193">
        <f>'武器'!BL3</f>
      </c>
      <c r="AE3" s="193">
        <f>'武器'!BE3</f>
      </c>
      <c r="AF3" s="193"/>
      <c r="AG3" s="194">
        <f>'武器'!P3</f>
      </c>
      <c r="AH3" s="194">
        <f>'武器'!Q3</f>
      </c>
      <c r="AI3" s="194">
        <f>'武器'!R3</f>
      </c>
      <c r="AJ3" s="193">
        <f>'武器'!S3</f>
      </c>
      <c r="AK3" s="193"/>
      <c r="AL3" s="193">
        <f>'武器'!M3</f>
      </c>
      <c r="AM3" s="193">
        <f>'武器'!J3</f>
      </c>
      <c r="AN3" s="193"/>
      <c r="AO3" s="193">
        <f>'武器'!AJ3</f>
      </c>
      <c r="AP3" s="193">
        <f>'武器'!AK3</f>
      </c>
      <c r="AQ3" s="193">
        <f>'武器'!AL3</f>
      </c>
      <c r="AR3" s="193"/>
      <c r="AS3" s="193">
        <f>'武器'!H3</f>
      </c>
      <c r="AT3" s="193"/>
      <c r="AU3" s="193">
        <f>'武器'!N3</f>
      </c>
      <c r="AV3" s="193">
        <f>'武器'!BW3</f>
      </c>
      <c r="AW3" s="193">
        <f>'武器'!U3</f>
      </c>
      <c r="AX3" s="193"/>
      <c r="AY3" s="188">
        <f>'武器'!DA3</f>
      </c>
      <c r="AZ3" s="193"/>
      <c r="BA3" s="193"/>
      <c r="BB3" s="193"/>
      <c r="BC3" s="193">
        <f>'武器'!K3</f>
      </c>
      <c r="BD3" s="193">
        <f>'武器'!O3</f>
      </c>
      <c r="BE3" s="193">
        <f>'武器'!AG3</f>
      </c>
      <c r="BF3" s="193">
        <f>'武器'!AH3</f>
      </c>
      <c r="BG3" s="193"/>
      <c r="BH3" s="27" t="str">
        <v>完成</v>
      </c>
    </row>
    <row r="4">
      <c r="A4" s="189">
        <f>'武器'!A4</f>
      </c>
      <c r="B4" s="189">
        <f>'武器'!B4</f>
      </c>
      <c r="C4" s="189">
        <f>'武器'!C4</f>
      </c>
      <c r="D4" s="189">
        <f>'武器'!F4</f>
      </c>
      <c r="E4" s="190"/>
      <c r="F4" s="189">
        <f>'武器'!D4</f>
      </c>
      <c r="G4" s="189">
        <f>'武器'!E4</f>
      </c>
      <c r="H4" s="189"/>
      <c r="I4" s="189"/>
      <c r="J4" s="189">
        <f>'武器'!G4</f>
      </c>
      <c r="K4" s="189">
        <f>'武器'!I4</f>
      </c>
      <c r="L4" s="189">
        <f>'武器'!O4</f>
      </c>
      <c r="M4" s="189">
        <f>'武器'!BN4</f>
      </c>
      <c r="N4" s="189">
        <f>'武器'!BS4</f>
      </c>
      <c r="O4" s="189">
        <f>'武器'!BO4</f>
      </c>
      <c r="P4" s="189"/>
      <c r="Q4" s="189">
        <f>'武器'!W4</f>
      </c>
      <c r="R4" s="189">
        <f>'武器'!X4</f>
      </c>
      <c r="S4" s="189">
        <f>'武器'!Y4</f>
      </c>
      <c r="T4" s="189">
        <f>'武器'!Z4</f>
      </c>
      <c r="U4" s="189">
        <f>'武器'!AA4</f>
      </c>
      <c r="V4" s="189">
        <f>'武器'!AB4</f>
      </c>
      <c r="W4" s="189">
        <f>'武器'!AC4</f>
      </c>
      <c r="X4" s="189"/>
      <c r="Y4" s="189">
        <f>'武器'!CK4</f>
      </c>
      <c r="Z4" s="189">
        <f>'武器'!BB4</f>
      </c>
      <c r="AA4" s="189">
        <f>'武器'!CA4</f>
      </c>
      <c r="AB4" s="189">
        <f>'武器'!BH4</f>
      </c>
      <c r="AC4" s="189">
        <f>'武器'!BD4</f>
      </c>
      <c r="AD4" s="189">
        <f>'武器'!BL4</f>
      </c>
      <c r="AE4" s="189">
        <f>'武器'!BE4</f>
      </c>
      <c r="AF4" s="189"/>
      <c r="AG4" s="191">
        <f>'武器'!P4</f>
      </c>
      <c r="AH4" s="191">
        <f>'武器'!Q4</f>
      </c>
      <c r="AI4" s="191">
        <f>'武器'!R4</f>
      </c>
      <c r="AJ4" s="189">
        <f>'武器'!S4</f>
      </c>
      <c r="AK4" s="189"/>
      <c r="AL4" s="189">
        <f>'武器'!M4</f>
      </c>
      <c r="AM4" s="189">
        <f>'武器'!J4</f>
      </c>
      <c r="AN4" s="189"/>
      <c r="AO4" s="189">
        <f>'武器'!AJ4</f>
      </c>
      <c r="AP4" s="189">
        <f>'武器'!AK4</f>
      </c>
      <c r="AQ4" s="189">
        <f>'武器'!AL4</f>
      </c>
      <c r="AR4" s="189"/>
      <c r="AS4" s="189">
        <f>'武器'!H4</f>
      </c>
      <c r="AT4" s="189"/>
      <c r="AU4" s="189">
        <f>'武器'!N4</f>
      </c>
      <c r="AV4" s="189">
        <f>'武器'!BW4</f>
      </c>
      <c r="AW4" s="189">
        <f>'武器'!U4</f>
      </c>
      <c r="AX4" s="189"/>
      <c r="AY4" s="192"/>
      <c r="AZ4" s="189"/>
      <c r="BA4" s="189"/>
      <c r="BB4" s="189"/>
      <c r="BC4" s="189">
        <f>'武器'!K4</f>
      </c>
      <c r="BD4" s="189">
        <f>'武器'!O4</f>
      </c>
      <c r="BE4" s="189">
        <f>'武器'!AG4</f>
      </c>
      <c r="BF4" s="189">
        <f>'武器'!AH4</f>
      </c>
      <c r="BG4" s="189"/>
      <c r="BH4" s="159" t="str">
        <v>完成</v>
      </c>
    </row>
    <row r="5">
      <c r="A5">
        <f>'武器'!A5</f>
      </c>
      <c r="B5">
        <f>'武器'!B5</f>
      </c>
      <c r="C5">
        <f>'武器'!C5</f>
      </c>
      <c r="D5" s="184">
        <f>'武器'!F5</f>
      </c>
      <c r="E5" s="185"/>
      <c r="F5" s="184">
        <f>'武器'!D5</f>
      </c>
      <c r="G5">
        <f>'武器'!E5</f>
      </c>
      <c r="H5" s="4"/>
      <c r="J5">
        <f>'武器'!G5</f>
      </c>
      <c r="K5">
        <f>'武器'!I5</f>
      </c>
      <c r="L5">
        <f>'武器'!O5</f>
      </c>
      <c r="M5">
        <f>'武器'!BN5</f>
      </c>
      <c r="N5">
        <f>'武器'!BS5</f>
      </c>
      <c r="O5">
        <f>'武器'!BO5</f>
      </c>
      <c r="P5" s="4"/>
      <c r="Q5">
        <f>'武器'!W5</f>
      </c>
      <c r="R5">
        <f>'武器'!X5</f>
      </c>
      <c r="S5">
        <f>'武器'!Y5</f>
      </c>
      <c r="T5">
        <f>'武器'!Z5</f>
      </c>
      <c r="U5">
        <f>'武器'!AA5</f>
      </c>
      <c r="V5">
        <f>'武器'!AB5</f>
      </c>
      <c r="W5">
        <f>'武器'!AC5</f>
      </c>
      <c r="X5" s="4"/>
      <c r="Y5">
        <f>'武器'!CK5</f>
      </c>
      <c r="Z5">
        <f>'武器'!BB5</f>
      </c>
      <c r="AA5" s="184">
        <f>'武器'!CA5</f>
      </c>
      <c r="AB5">
        <f>'武器'!BH5</f>
      </c>
      <c r="AC5">
        <f>'武器'!BD5</f>
      </c>
      <c r="AD5">
        <f>'武器'!BL5</f>
      </c>
      <c r="AE5">
        <f>'武器'!BE5</f>
      </c>
      <c r="AF5" s="4"/>
      <c r="AG5" s="186">
        <f>'武器'!P5</f>
      </c>
      <c r="AH5" s="186">
        <f>'武器'!Q5</f>
      </c>
      <c r="AI5" s="186">
        <f>'武器'!R5</f>
      </c>
      <c r="AJ5">
        <f>'武器'!S5</f>
      </c>
      <c r="AK5" s="4"/>
      <c r="AL5">
        <f>'武器'!M5</f>
      </c>
      <c r="AM5">
        <f>'武器'!J5</f>
      </c>
      <c r="AN5" s="4"/>
      <c r="AO5" s="184">
        <f>'武器'!AJ5</f>
      </c>
      <c r="AP5" s="184">
        <f>'武器'!AK5</f>
      </c>
      <c r="AQ5" s="184">
        <f>'武器'!AL5</f>
      </c>
      <c r="AR5" s="4"/>
      <c r="AS5">
        <f>'武器'!H5</f>
      </c>
      <c r="AU5">
        <f>'武器'!N5</f>
      </c>
      <c r="AV5">
        <f>'武器'!BW5</f>
      </c>
      <c r="AW5">
        <f>'武器'!U5</f>
      </c>
      <c r="AX5" s="4"/>
      <c r="AY5" s="26"/>
      <c r="AZ5" s="4"/>
      <c r="BA5" s="184"/>
      <c r="BB5" s="4"/>
      <c r="BC5">
        <f>'武器'!K5</f>
      </c>
      <c r="BD5">
        <f>'武器'!O5</f>
      </c>
      <c r="BE5">
        <f>'武器'!AG5</f>
      </c>
      <c r="BF5">
        <f>'武器'!AH5</f>
      </c>
      <c r="BG5" s="4"/>
      <c r="BH5" s="1" t="str">
        <v>完成</v>
      </c>
    </row>
    <row r="6">
      <c r="A6">
        <f>'武器'!A6</f>
      </c>
      <c r="B6">
        <f>'武器'!B6</f>
      </c>
      <c r="C6">
        <f>'武器'!C6</f>
      </c>
      <c r="D6" s="184">
        <f>'武器'!F6</f>
      </c>
      <c r="E6" s="185"/>
      <c r="F6" s="184">
        <f>'武器'!D6</f>
      </c>
      <c r="G6">
        <f>'武器'!E6</f>
      </c>
      <c r="H6" s="4"/>
      <c r="J6">
        <f>'武器'!G6</f>
      </c>
      <c r="K6">
        <f>'武器'!I6</f>
      </c>
      <c r="L6">
        <f>'武器'!O6</f>
      </c>
      <c r="M6">
        <f>'武器'!BN6</f>
      </c>
      <c r="N6">
        <f>'武器'!BS6</f>
      </c>
      <c r="O6">
        <f>'武器'!BO6</f>
      </c>
      <c r="P6" s="4"/>
      <c r="Q6">
        <f>'武器'!W6</f>
      </c>
      <c r="R6">
        <f>'武器'!X6</f>
      </c>
      <c r="S6">
        <f>'武器'!Y6</f>
      </c>
      <c r="T6">
        <f>'武器'!Z6</f>
      </c>
      <c r="U6">
        <f>'武器'!AA6</f>
      </c>
      <c r="V6">
        <f>'武器'!AB6</f>
      </c>
      <c r="W6">
        <f>'武器'!AC6</f>
      </c>
      <c r="X6" s="4"/>
      <c r="Y6">
        <f>'武器'!CK6</f>
      </c>
      <c r="Z6">
        <f>'武器'!BB6</f>
      </c>
      <c r="AA6" s="184">
        <f>'武器'!CA6</f>
      </c>
      <c r="AB6">
        <f>'武器'!BH6</f>
      </c>
      <c r="AC6">
        <f>'武器'!BD6</f>
      </c>
      <c r="AD6">
        <f>'武器'!BL6</f>
      </c>
      <c r="AE6">
        <f>'武器'!BE6</f>
      </c>
      <c r="AF6" s="4"/>
      <c r="AG6" s="186">
        <f>'武器'!P6</f>
      </c>
      <c r="AH6" s="186">
        <f>'武器'!Q6</f>
      </c>
      <c r="AI6" s="186">
        <f>'武器'!R6</f>
      </c>
      <c r="AJ6">
        <f>'武器'!S6</f>
      </c>
      <c r="AK6" s="4"/>
      <c r="AL6">
        <f>'武器'!M6</f>
      </c>
      <c r="AM6">
        <f>'武器'!J6</f>
      </c>
      <c r="AN6" s="4"/>
      <c r="AO6" s="184">
        <f>'武器'!AJ6</f>
      </c>
      <c r="AP6" s="184">
        <f>'武器'!AK6</f>
      </c>
      <c r="AQ6" s="184">
        <f>'武器'!AL6</f>
      </c>
      <c r="AR6" s="4"/>
      <c r="AS6">
        <f>'武器'!H6</f>
      </c>
      <c r="AU6">
        <f>'武器'!N6</f>
      </c>
      <c r="AV6">
        <f>'武器'!BW6</f>
      </c>
      <c r="AW6">
        <f>'武器'!U6</f>
      </c>
      <c r="AX6" s="4"/>
      <c r="AY6" s="26"/>
      <c r="AZ6" s="4"/>
      <c r="BA6" s="184"/>
      <c r="BB6" s="4"/>
      <c r="BC6">
        <f>'武器'!K6</f>
      </c>
      <c r="BD6">
        <f>'武器'!O6</f>
      </c>
      <c r="BE6">
        <f>'武器'!AG6</f>
      </c>
      <c r="BF6">
        <f>'武器'!AH6</f>
      </c>
      <c r="BG6" s="4"/>
      <c r="BH6" s="1" t="str">
        <v>完成</v>
      </c>
    </row>
    <row r="7">
      <c r="A7">
        <f>'武器'!A7</f>
      </c>
      <c r="B7">
        <f>'武器'!B7</f>
      </c>
      <c r="C7">
        <f>'武器'!C7</f>
      </c>
      <c r="D7" s="184">
        <f>'武器'!F7</f>
      </c>
      <c r="E7" s="185"/>
      <c r="F7" s="184">
        <f>'武器'!D7</f>
      </c>
      <c r="G7">
        <f>'武器'!E7</f>
      </c>
      <c r="H7" s="4"/>
      <c r="J7">
        <f>'武器'!G7</f>
      </c>
      <c r="K7">
        <f>'武器'!I7</f>
      </c>
      <c r="L7">
        <f>'武器'!O7</f>
      </c>
      <c r="M7">
        <f>'武器'!BN7</f>
      </c>
      <c r="N7">
        <f>'武器'!BS7</f>
      </c>
      <c r="O7">
        <f>'武器'!BO7</f>
      </c>
      <c r="P7" s="4"/>
      <c r="Q7">
        <f>'武器'!W7</f>
      </c>
      <c r="R7">
        <f>'武器'!X7</f>
      </c>
      <c r="S7">
        <f>'武器'!Y7</f>
      </c>
      <c r="T7">
        <f>'武器'!Z7</f>
      </c>
      <c r="U7">
        <f>'武器'!AA7</f>
      </c>
      <c r="V7">
        <f>'武器'!AB7</f>
      </c>
      <c r="W7">
        <f>'武器'!AC7</f>
      </c>
      <c r="X7" s="4"/>
      <c r="Y7">
        <f>'武器'!CK7</f>
      </c>
      <c r="Z7">
        <f>'武器'!BB7</f>
      </c>
      <c r="AA7" s="184">
        <f>'武器'!CA7</f>
      </c>
      <c r="AB7">
        <f>'武器'!BH7</f>
      </c>
      <c r="AC7">
        <f>'武器'!BD7</f>
      </c>
      <c r="AD7">
        <f>'武器'!BL7</f>
      </c>
      <c r="AE7">
        <f>'武器'!BE7</f>
      </c>
      <c r="AF7" s="4"/>
      <c r="AG7" s="186">
        <f>'武器'!P7</f>
      </c>
      <c r="AH7" s="186">
        <f>'武器'!Q7</f>
      </c>
      <c r="AI7" s="186">
        <f>'武器'!R7</f>
      </c>
      <c r="AJ7">
        <f>'武器'!S7</f>
      </c>
      <c r="AK7" s="4"/>
      <c r="AL7">
        <f>'武器'!M7</f>
      </c>
      <c r="AM7">
        <f>'武器'!J7</f>
      </c>
      <c r="AN7" s="4"/>
      <c r="AO7" s="184">
        <f>'武器'!AJ7</f>
      </c>
      <c r="AP7" s="184">
        <f>'武器'!AK7</f>
      </c>
      <c r="AQ7" s="184">
        <f>'武器'!AL7</f>
      </c>
      <c r="AR7" s="4"/>
      <c r="AS7">
        <f>'武器'!H7</f>
      </c>
      <c r="AU7">
        <f>'武器'!N7</f>
      </c>
      <c r="AV7">
        <f>'武器'!BW7</f>
      </c>
      <c r="AW7">
        <f>'武器'!U7</f>
      </c>
      <c r="AX7" s="4"/>
      <c r="AY7" s="26"/>
      <c r="AZ7" s="4"/>
      <c r="BA7" s="184"/>
      <c r="BB7" s="4"/>
      <c r="BC7">
        <f>'武器'!K7</f>
      </c>
      <c r="BD7">
        <f>'武器'!O7</f>
      </c>
      <c r="BE7">
        <f>'武器'!AG7</f>
      </c>
      <c r="BF7">
        <f>'武器'!AH7</f>
      </c>
      <c r="BG7" s="4"/>
      <c r="BH7" s="1" t="str">
        <v>完成</v>
      </c>
    </row>
    <row r="8">
      <c r="A8">
        <f>'武器'!A8</f>
      </c>
      <c r="B8">
        <f>'武器'!B8</f>
      </c>
      <c r="C8">
        <f>'武器'!C8</f>
      </c>
      <c r="D8" s="184">
        <f>'武器'!F8</f>
      </c>
      <c r="E8" s="185"/>
      <c r="F8" s="184">
        <f>'武器'!D8</f>
      </c>
      <c r="G8">
        <f>'武器'!E8</f>
      </c>
      <c r="H8" s="4"/>
      <c r="J8">
        <f>'武器'!G8</f>
      </c>
      <c r="K8">
        <f>'武器'!I8</f>
      </c>
      <c r="L8">
        <f>'武器'!O8</f>
      </c>
      <c r="M8">
        <f>'武器'!BN8</f>
      </c>
      <c r="N8">
        <f>'武器'!BS8</f>
      </c>
      <c r="O8">
        <f>'武器'!BO8</f>
      </c>
      <c r="P8" s="4"/>
      <c r="Q8">
        <f>'武器'!W8</f>
      </c>
      <c r="R8">
        <f>'武器'!X8</f>
      </c>
      <c r="S8">
        <f>'武器'!Y8</f>
      </c>
      <c r="T8">
        <f>'武器'!Z8</f>
      </c>
      <c r="U8">
        <f>'武器'!AA8</f>
      </c>
      <c r="V8">
        <f>'武器'!AB8</f>
      </c>
      <c r="W8">
        <f>'武器'!AC8</f>
      </c>
      <c r="X8" s="4"/>
      <c r="Y8">
        <f>'武器'!CK8</f>
      </c>
      <c r="Z8">
        <f>'武器'!BB8</f>
      </c>
      <c r="AA8" s="184">
        <f>'武器'!CA8</f>
      </c>
      <c r="AB8">
        <f>'武器'!BH8</f>
      </c>
      <c r="AC8">
        <f>'武器'!BD8</f>
      </c>
      <c r="AD8">
        <f>'武器'!BL8</f>
      </c>
      <c r="AE8">
        <f>'武器'!BE8</f>
      </c>
      <c r="AF8" s="4"/>
      <c r="AG8" s="186">
        <f>'武器'!P8</f>
      </c>
      <c r="AH8" s="186">
        <f>'武器'!Q8</f>
      </c>
      <c r="AI8" s="186">
        <f>'武器'!R8</f>
      </c>
      <c r="AJ8">
        <f>'武器'!S8</f>
      </c>
      <c r="AK8" s="4"/>
      <c r="AL8">
        <f>'武器'!M8</f>
      </c>
      <c r="AM8">
        <f>'武器'!J8</f>
      </c>
      <c r="AN8" s="4"/>
      <c r="AO8" s="184">
        <f>'武器'!AJ8</f>
      </c>
      <c r="AP8" s="184">
        <f>'武器'!AK8</f>
      </c>
      <c r="AQ8" s="184">
        <f>'武器'!AL8</f>
      </c>
      <c r="AR8" s="4"/>
      <c r="AS8">
        <f>'武器'!H8</f>
      </c>
      <c r="AU8">
        <f>'武器'!N8</f>
      </c>
      <c r="AV8">
        <f>'武器'!BW8</f>
      </c>
      <c r="AW8">
        <f>'武器'!U8</f>
      </c>
      <c r="AX8" s="4"/>
      <c r="AY8" s="26"/>
      <c r="AZ8" s="4"/>
      <c r="BA8" s="184"/>
      <c r="BB8" s="4"/>
      <c r="BC8">
        <f>'武器'!K8</f>
      </c>
      <c r="BD8">
        <f>'武器'!O8</f>
      </c>
      <c r="BE8">
        <f>'武器'!AG8</f>
      </c>
      <c r="BF8">
        <f>'武器'!AH8</f>
      </c>
      <c r="BG8" s="4"/>
      <c r="BH8" s="1" t="str">
        <v>完成</v>
      </c>
    </row>
    <row r="9">
      <c r="A9" s="193">
        <f>'武器'!A9</f>
      </c>
      <c r="B9" s="193">
        <f>'武器'!B9</f>
      </c>
      <c r="C9" s="193">
        <f>'武器'!C9</f>
      </c>
      <c r="D9" s="193">
        <f>'武器'!F9</f>
      </c>
      <c r="E9" s="187">
        <f>'武器'!CY9</f>
      </c>
      <c r="F9" s="193">
        <f>'武器'!D9</f>
      </c>
      <c r="G9" s="193">
        <f>'武器'!E9</f>
      </c>
      <c r="H9" s="193"/>
      <c r="I9" s="193"/>
      <c r="J9" s="193">
        <f>'武器'!G9</f>
      </c>
      <c r="K9" s="193">
        <f>'武器'!I9</f>
      </c>
      <c r="L9" s="193">
        <f>'武器'!O9</f>
      </c>
      <c r="M9" s="193">
        <f>'武器'!BN9</f>
      </c>
      <c r="N9" s="193">
        <f>'武器'!BS9</f>
      </c>
      <c r="O9" s="193">
        <f>'武器'!BO9</f>
      </c>
      <c r="P9" s="193"/>
      <c r="Q9" s="193">
        <f>'武器'!W9</f>
      </c>
      <c r="R9" s="193">
        <f>'武器'!X9</f>
      </c>
      <c r="S9" s="193">
        <f>'武器'!Y9</f>
      </c>
      <c r="T9" s="193">
        <f>'武器'!Z9</f>
      </c>
      <c r="U9" s="193">
        <f>'武器'!AA9</f>
      </c>
      <c r="V9" s="193">
        <f>'武器'!AB9</f>
      </c>
      <c r="W9" s="193">
        <f>'武器'!AC9</f>
      </c>
      <c r="X9" s="193"/>
      <c r="Y9" s="193">
        <f>'武器'!CK9</f>
      </c>
      <c r="Z9" s="193">
        <f>'武器'!BB9</f>
      </c>
      <c r="AA9" s="193">
        <f>'武器'!CA9</f>
      </c>
      <c r="AB9" s="193">
        <f>'武器'!BH9</f>
      </c>
      <c r="AC9" s="193">
        <f>'武器'!BD9</f>
      </c>
      <c r="AD9" s="193">
        <f>'武器'!BL9</f>
      </c>
      <c r="AE9" s="193">
        <f>'武器'!BE9</f>
      </c>
      <c r="AF9" s="193"/>
      <c r="AG9" s="194">
        <f>'武器'!P9</f>
      </c>
      <c r="AH9" s="194">
        <f>'武器'!Q9</f>
      </c>
      <c r="AI9" s="194">
        <f>'武器'!R9</f>
      </c>
      <c r="AJ9" s="193">
        <f>'武器'!S9</f>
      </c>
      <c r="AK9" s="193"/>
      <c r="AL9" s="193">
        <f>'武器'!M9</f>
      </c>
      <c r="AM9" s="193">
        <f>'武器'!J9</f>
      </c>
      <c r="AN9" s="193"/>
      <c r="AO9" s="193">
        <f>'武器'!AJ9</f>
      </c>
      <c r="AP9" s="193">
        <f>'武器'!AK9</f>
      </c>
      <c r="AQ9" s="193">
        <f>'武器'!AL9</f>
      </c>
      <c r="AR9" s="193"/>
      <c r="AS9" s="193">
        <f>'武器'!H9</f>
      </c>
      <c r="AT9" s="193"/>
      <c r="AU9" s="193">
        <f>'武器'!N9</f>
      </c>
      <c r="AV9" s="193">
        <f>'武器'!BW9</f>
      </c>
      <c r="AW9" s="193">
        <f>'武器'!U9</f>
      </c>
      <c r="AX9" s="193"/>
      <c r="AY9" s="188">
        <f>'武器'!DA9</f>
      </c>
      <c r="AZ9" s="193"/>
      <c r="BA9" s="193"/>
      <c r="BB9" s="193"/>
      <c r="BC9" s="193">
        <f>'武器'!K9</f>
      </c>
      <c r="BD9" s="193">
        <f>'武器'!O9</f>
      </c>
      <c r="BE9" s="193">
        <f>'武器'!AG9</f>
      </c>
      <c r="BF9" s="193">
        <f>'武器'!AH9</f>
      </c>
      <c r="BG9" s="193"/>
      <c r="BH9" s="27" t="str">
        <v>完成</v>
      </c>
    </row>
    <row r="10">
      <c r="A10" s="189">
        <f>'武器'!A10</f>
      </c>
      <c r="B10" s="189">
        <f>'武器'!B10</f>
      </c>
      <c r="C10" s="189">
        <f>'武器'!C10</f>
      </c>
      <c r="D10" s="189">
        <f>'武器'!F10</f>
      </c>
      <c r="E10" s="190"/>
      <c r="F10" s="189">
        <f>'武器'!D10</f>
      </c>
      <c r="G10" s="189">
        <f>'武器'!E10</f>
      </c>
      <c r="H10" s="189"/>
      <c r="I10" s="189"/>
      <c r="J10" s="189">
        <f>'武器'!G10</f>
      </c>
      <c r="K10" s="189">
        <f>'武器'!I10</f>
      </c>
      <c r="L10" s="189">
        <f>'武器'!O10</f>
      </c>
      <c r="M10" s="189">
        <f>'武器'!BN10</f>
      </c>
      <c r="N10" s="189">
        <f>'武器'!BS10</f>
      </c>
      <c r="O10" s="189">
        <f>'武器'!BO10</f>
      </c>
      <c r="P10" s="189"/>
      <c r="Q10" s="189">
        <f>'武器'!W10</f>
      </c>
      <c r="R10" s="189">
        <f>'武器'!X10</f>
      </c>
      <c r="S10" s="189">
        <f>'武器'!Y10</f>
      </c>
      <c r="T10" s="189">
        <f>'武器'!Z10</f>
      </c>
      <c r="U10" s="189">
        <f>'武器'!AA10</f>
      </c>
      <c r="V10" s="189">
        <f>'武器'!AB10</f>
      </c>
      <c r="W10" s="189">
        <f>'武器'!AC10</f>
      </c>
      <c r="X10" s="189"/>
      <c r="Y10" s="189">
        <f>'武器'!CK10</f>
      </c>
      <c r="Z10" s="189">
        <f>'武器'!BB10</f>
      </c>
      <c r="AA10" s="189">
        <f>'武器'!CA10</f>
      </c>
      <c r="AB10" s="189">
        <f>'武器'!BH10</f>
      </c>
      <c r="AC10" s="189">
        <f>'武器'!BD10</f>
      </c>
      <c r="AD10" s="189">
        <f>'武器'!BL10</f>
      </c>
      <c r="AE10" s="189">
        <f>'武器'!BE10</f>
      </c>
      <c r="AF10" s="189"/>
      <c r="AG10" s="191">
        <f>'武器'!P10</f>
      </c>
      <c r="AH10" s="191">
        <f>'武器'!Q10</f>
      </c>
      <c r="AI10" s="191">
        <f>'武器'!R10</f>
      </c>
      <c r="AJ10" s="189">
        <f>'武器'!S10</f>
      </c>
      <c r="AK10" s="189"/>
      <c r="AL10" s="189">
        <f>'武器'!M10</f>
      </c>
      <c r="AM10" s="189">
        <f>'武器'!J10</f>
      </c>
      <c r="AN10" s="189"/>
      <c r="AO10" s="189">
        <f>'武器'!AJ10</f>
      </c>
      <c r="AP10" s="189">
        <f>'武器'!AK10</f>
      </c>
      <c r="AQ10" s="189">
        <f>'武器'!AL10</f>
      </c>
      <c r="AR10" s="189"/>
      <c r="AS10" s="189">
        <f>'武器'!H10</f>
      </c>
      <c r="AT10" s="189"/>
      <c r="AU10" s="189">
        <f>'武器'!N10</f>
      </c>
      <c r="AV10" s="189">
        <f>'武器'!BW10</f>
      </c>
      <c r="AW10" s="189">
        <f>'武器'!U10</f>
      </c>
      <c r="AX10" s="189"/>
      <c r="AY10" s="192"/>
      <c r="AZ10" s="189"/>
      <c r="BA10" s="189"/>
      <c r="BB10" s="189"/>
      <c r="BC10" s="189">
        <f>'武器'!K10</f>
      </c>
      <c r="BD10" s="189">
        <f>'武器'!O10</f>
      </c>
      <c r="BE10" s="189">
        <f>'武器'!AG10</f>
      </c>
      <c r="BF10" s="189">
        <f>'武器'!AH10</f>
      </c>
      <c r="BG10" s="189"/>
      <c r="BH10" s="159" t="str">
        <v>完成</v>
      </c>
    </row>
    <row r="11">
      <c r="A11">
        <f>'武器'!A11</f>
      </c>
      <c r="B11">
        <f>'武器'!B11</f>
      </c>
      <c r="C11">
        <f>'武器'!C11</f>
      </c>
      <c r="D11" s="184">
        <f>'武器'!F11</f>
      </c>
      <c r="E11" s="185"/>
      <c r="F11" s="184">
        <f>'武器'!D11</f>
      </c>
      <c r="G11">
        <f>'武器'!E11</f>
      </c>
      <c r="H11" s="4"/>
      <c r="J11">
        <f>'武器'!G11</f>
      </c>
      <c r="K11">
        <f>'武器'!I11</f>
      </c>
      <c r="L11">
        <f>'武器'!O11</f>
      </c>
      <c r="M11">
        <f>'武器'!BN11</f>
      </c>
      <c r="N11">
        <f>'武器'!BS11</f>
      </c>
      <c r="O11">
        <f>'武器'!BO11</f>
      </c>
      <c r="P11" s="4"/>
      <c r="Q11">
        <f>'武器'!W11</f>
      </c>
      <c r="R11">
        <f>'武器'!X11</f>
      </c>
      <c r="S11">
        <f>'武器'!Y11</f>
      </c>
      <c r="T11">
        <f>'武器'!Z11</f>
      </c>
      <c r="U11">
        <f>'武器'!AA11</f>
      </c>
      <c r="V11">
        <f>'武器'!AB11</f>
      </c>
      <c r="W11">
        <f>'武器'!AC11</f>
      </c>
      <c r="X11" s="4"/>
      <c r="Y11">
        <f>'武器'!CK11</f>
      </c>
      <c r="Z11">
        <f>'武器'!BB11</f>
      </c>
      <c r="AA11" s="184">
        <f>'武器'!CA11</f>
      </c>
      <c r="AB11">
        <f>'武器'!BH11</f>
      </c>
      <c r="AC11">
        <f>'武器'!BD11</f>
      </c>
      <c r="AD11">
        <f>'武器'!BL11</f>
      </c>
      <c r="AE11">
        <f>'武器'!BE11</f>
      </c>
      <c r="AF11" s="4"/>
      <c r="AG11" s="186">
        <f>'武器'!P11</f>
      </c>
      <c r="AH11" s="186">
        <f>'武器'!Q11</f>
      </c>
      <c r="AI11" s="186">
        <f>'武器'!R11</f>
      </c>
      <c r="AJ11">
        <f>'武器'!S11</f>
      </c>
      <c r="AK11" s="4"/>
      <c r="AL11">
        <f>'武器'!M11</f>
      </c>
      <c r="AM11">
        <f>'武器'!J11</f>
      </c>
      <c r="AN11" s="4"/>
      <c r="AO11" s="184">
        <f>'武器'!AJ11</f>
      </c>
      <c r="AP11" s="184">
        <f>'武器'!AK11</f>
      </c>
      <c r="AQ11" s="184">
        <f>'武器'!AL11</f>
      </c>
      <c r="AR11" s="4"/>
      <c r="AS11">
        <f>'武器'!H11</f>
      </c>
      <c r="AU11">
        <f>'武器'!N11</f>
      </c>
      <c r="AV11">
        <f>'武器'!BW11</f>
      </c>
      <c r="AW11">
        <f>'武器'!U11</f>
      </c>
      <c r="AX11" s="4"/>
      <c r="AY11" s="26"/>
      <c r="AZ11" s="4"/>
      <c r="BA11" s="184"/>
      <c r="BB11" s="4"/>
      <c r="BC11">
        <f>'武器'!K11</f>
      </c>
      <c r="BD11">
        <f>'武器'!O11</f>
      </c>
      <c r="BE11">
        <f>'武器'!AG11</f>
      </c>
      <c r="BF11">
        <f>'武器'!AH11</f>
      </c>
      <c r="BG11" s="4"/>
      <c r="BH11" s="1" t="str">
        <v>完成</v>
      </c>
    </row>
    <row r="12">
      <c r="A12">
        <f>'武器'!A12</f>
      </c>
      <c r="B12">
        <f>'武器'!B12</f>
      </c>
      <c r="C12">
        <f>'武器'!C12</f>
      </c>
      <c r="D12" s="184">
        <f>'武器'!F12</f>
      </c>
      <c r="E12" s="185"/>
      <c r="F12" s="184">
        <f>'武器'!D12</f>
      </c>
      <c r="G12">
        <f>'武器'!E12</f>
      </c>
      <c r="H12" s="4"/>
      <c r="J12">
        <f>'武器'!G12</f>
      </c>
      <c r="K12">
        <f>'武器'!I12</f>
      </c>
      <c r="L12">
        <f>'武器'!O12</f>
      </c>
      <c r="M12">
        <f>'武器'!BN12</f>
      </c>
      <c r="N12">
        <f>'武器'!BS12</f>
      </c>
      <c r="O12">
        <f>'武器'!BO12</f>
      </c>
      <c r="P12" s="4"/>
      <c r="Q12">
        <f>'武器'!W12</f>
      </c>
      <c r="R12">
        <f>'武器'!X12</f>
      </c>
      <c r="S12">
        <f>'武器'!Y12</f>
      </c>
      <c r="T12">
        <f>'武器'!Z12</f>
      </c>
      <c r="U12">
        <f>'武器'!AA12</f>
      </c>
      <c r="V12">
        <f>'武器'!AB12</f>
      </c>
      <c r="W12">
        <f>'武器'!AC12</f>
      </c>
      <c r="X12" s="4"/>
      <c r="Y12">
        <f>'武器'!CK12</f>
      </c>
      <c r="Z12">
        <f>'武器'!BB12</f>
      </c>
      <c r="AA12" s="184">
        <f>'武器'!CA12</f>
      </c>
      <c r="AB12">
        <f>'武器'!BH12</f>
      </c>
      <c r="AC12">
        <f>'武器'!BD12</f>
      </c>
      <c r="AD12">
        <f>'武器'!BL12</f>
      </c>
      <c r="AE12">
        <f>'武器'!BE12</f>
      </c>
      <c r="AF12" s="4"/>
      <c r="AG12" s="186">
        <f>'武器'!P12</f>
      </c>
      <c r="AH12" s="186">
        <f>'武器'!Q12</f>
      </c>
      <c r="AI12" s="186">
        <f>'武器'!R12</f>
      </c>
      <c r="AJ12">
        <f>'武器'!S12</f>
      </c>
      <c r="AK12" s="4"/>
      <c r="AL12">
        <f>'武器'!M12</f>
      </c>
      <c r="AM12">
        <f>'武器'!J12</f>
      </c>
      <c r="AN12" s="4"/>
      <c r="AO12" s="184">
        <f>'武器'!AJ12</f>
      </c>
      <c r="AP12" s="184">
        <f>'武器'!AK12</f>
      </c>
      <c r="AQ12" s="184">
        <f>'武器'!AL12</f>
      </c>
      <c r="AR12" s="4"/>
      <c r="AS12">
        <f>'武器'!H12</f>
      </c>
      <c r="AU12">
        <f>'武器'!N12</f>
      </c>
      <c r="AV12">
        <f>'武器'!BW12</f>
      </c>
      <c r="AW12">
        <f>'武器'!U12</f>
      </c>
      <c r="AX12" s="4"/>
      <c r="AY12" s="26"/>
      <c r="AZ12" s="4"/>
      <c r="BA12" s="184"/>
      <c r="BB12" s="4"/>
      <c r="BC12">
        <f>'武器'!K12</f>
      </c>
      <c r="BD12">
        <f>'武器'!O12</f>
      </c>
      <c r="BE12">
        <f>'武器'!AG12</f>
      </c>
      <c r="BF12">
        <f>'武器'!AH12</f>
      </c>
      <c r="BG12" s="4"/>
      <c r="BH12" s="1" t="str">
        <v>完成</v>
      </c>
    </row>
    <row r="13">
      <c r="A13">
        <f>'武器'!A13</f>
      </c>
      <c r="B13">
        <f>'武器'!B13</f>
      </c>
      <c r="C13">
        <f>'武器'!C13</f>
      </c>
      <c r="D13" s="184">
        <f>'武器'!F13</f>
      </c>
      <c r="E13" s="185"/>
      <c r="F13" s="184">
        <f>'武器'!D13</f>
      </c>
      <c r="G13">
        <f>'武器'!E13</f>
      </c>
      <c r="H13" s="4"/>
      <c r="J13">
        <f>'武器'!G13</f>
      </c>
      <c r="K13">
        <f>'武器'!I13</f>
      </c>
      <c r="L13">
        <f>'武器'!O13</f>
      </c>
      <c r="M13">
        <f>'武器'!BN13</f>
      </c>
      <c r="N13">
        <f>'武器'!BS13</f>
      </c>
      <c r="O13">
        <f>'武器'!BO13</f>
      </c>
      <c r="P13" s="4"/>
      <c r="Q13">
        <f>'武器'!W13</f>
      </c>
      <c r="R13">
        <f>'武器'!X13</f>
      </c>
      <c r="S13">
        <f>'武器'!Y13</f>
      </c>
      <c r="T13">
        <f>'武器'!Z13</f>
      </c>
      <c r="U13">
        <f>'武器'!AA13</f>
      </c>
      <c r="V13">
        <f>'武器'!AB13</f>
      </c>
      <c r="W13">
        <f>'武器'!AC13</f>
      </c>
      <c r="X13" s="4"/>
      <c r="Y13">
        <f>'武器'!CK13</f>
      </c>
      <c r="Z13">
        <f>'武器'!BB13</f>
      </c>
      <c r="AA13" s="184">
        <f>'武器'!CA13</f>
      </c>
      <c r="AB13">
        <f>'武器'!BH13</f>
      </c>
      <c r="AC13">
        <f>'武器'!BD13</f>
      </c>
      <c r="AD13">
        <f>'武器'!BL13</f>
      </c>
      <c r="AE13">
        <f>'武器'!BE13</f>
      </c>
      <c r="AF13" s="4"/>
      <c r="AG13" s="186">
        <f>'武器'!P13</f>
      </c>
      <c r="AH13" s="186">
        <f>'武器'!Q13</f>
      </c>
      <c r="AI13" s="186">
        <f>'武器'!R13</f>
      </c>
      <c r="AJ13">
        <f>'武器'!S13</f>
      </c>
      <c r="AK13" s="4"/>
      <c r="AL13">
        <f>'武器'!M13</f>
      </c>
      <c r="AM13">
        <f>'武器'!J13</f>
      </c>
      <c r="AN13" s="4"/>
      <c r="AO13" s="184">
        <f>'武器'!AJ13</f>
      </c>
      <c r="AP13" s="184">
        <f>'武器'!AK13</f>
      </c>
      <c r="AQ13" s="184">
        <f>'武器'!AL13</f>
      </c>
      <c r="AR13" s="4"/>
      <c r="AS13">
        <f>'武器'!H13</f>
      </c>
      <c r="AU13">
        <f>'武器'!N13</f>
      </c>
      <c r="AV13">
        <f>'武器'!BW13</f>
      </c>
      <c r="AW13">
        <f>'武器'!U13</f>
      </c>
      <c r="AX13" s="4"/>
      <c r="AY13" s="26"/>
      <c r="AZ13" s="4"/>
      <c r="BA13" s="184"/>
      <c r="BB13" s="4"/>
      <c r="BC13">
        <f>'武器'!K13</f>
      </c>
      <c r="BD13">
        <f>'武器'!O13</f>
      </c>
      <c r="BE13">
        <f>'武器'!AG13</f>
      </c>
      <c r="BF13">
        <f>'武器'!AH13</f>
      </c>
      <c r="BG13" s="4"/>
      <c r="BH13" s="1" t="str">
        <v>完成</v>
      </c>
    </row>
    <row r="14">
      <c r="A14">
        <f>'武器'!A14</f>
      </c>
      <c r="B14">
        <f>'武器'!B14</f>
      </c>
      <c r="C14">
        <f>'武器'!C14</f>
      </c>
      <c r="D14" s="184">
        <f>'武器'!F14</f>
      </c>
      <c r="E14" s="185"/>
      <c r="F14" s="184">
        <f>'武器'!D14</f>
      </c>
      <c r="G14">
        <f>'武器'!E14</f>
      </c>
      <c r="H14" s="4"/>
      <c r="J14">
        <f>'武器'!G14</f>
      </c>
      <c r="K14">
        <f>'武器'!I14</f>
      </c>
      <c r="L14">
        <f>'武器'!O14</f>
      </c>
      <c r="M14">
        <f>'武器'!BN14</f>
      </c>
      <c r="N14">
        <f>'武器'!BS14</f>
      </c>
      <c r="O14">
        <f>'武器'!BO14</f>
      </c>
      <c r="P14" s="4"/>
      <c r="Q14">
        <f>'武器'!W14</f>
      </c>
      <c r="R14">
        <f>'武器'!X14</f>
      </c>
      <c r="S14">
        <f>'武器'!Y14</f>
      </c>
      <c r="T14">
        <f>'武器'!Z14</f>
      </c>
      <c r="U14">
        <f>'武器'!AA14</f>
      </c>
      <c r="V14">
        <f>'武器'!AB14</f>
      </c>
      <c r="W14">
        <f>'武器'!AC14</f>
      </c>
      <c r="X14" s="4"/>
      <c r="Y14">
        <f>'武器'!CK14</f>
      </c>
      <c r="Z14">
        <f>'武器'!BB14</f>
      </c>
      <c r="AA14" s="184">
        <f>'武器'!CA14</f>
      </c>
      <c r="AB14">
        <f>'武器'!BH14</f>
      </c>
      <c r="AC14">
        <f>'武器'!BD14</f>
      </c>
      <c r="AD14">
        <f>'武器'!BL14</f>
      </c>
      <c r="AE14">
        <f>'武器'!BE14</f>
      </c>
      <c r="AF14" s="4"/>
      <c r="AG14" s="186">
        <f>'武器'!P14</f>
      </c>
      <c r="AH14" s="186">
        <f>'武器'!Q14</f>
      </c>
      <c r="AI14" s="186">
        <f>'武器'!R14</f>
      </c>
      <c r="AJ14">
        <f>'武器'!S14</f>
      </c>
      <c r="AK14" s="4"/>
      <c r="AL14">
        <f>'武器'!M14</f>
      </c>
      <c r="AM14">
        <f>'武器'!J14</f>
      </c>
      <c r="AN14" s="4"/>
      <c r="AO14" s="184">
        <f>'武器'!AJ14</f>
      </c>
      <c r="AP14" s="184">
        <f>'武器'!AK14</f>
      </c>
      <c r="AQ14" s="184">
        <f>'武器'!AL14</f>
      </c>
      <c r="AR14" s="4"/>
      <c r="AS14">
        <f>'武器'!H14</f>
      </c>
      <c r="AU14">
        <f>'武器'!N14</f>
      </c>
      <c r="AV14">
        <f>'武器'!BW14</f>
      </c>
      <c r="AW14">
        <f>'武器'!U14</f>
      </c>
      <c r="AX14" s="4"/>
      <c r="AY14" s="26"/>
      <c r="AZ14" s="4"/>
      <c r="BA14" s="184"/>
      <c r="BB14" s="4"/>
      <c r="BC14">
        <f>'武器'!K14</f>
      </c>
      <c r="BD14">
        <f>'武器'!O14</f>
      </c>
      <c r="BE14">
        <f>'武器'!AG14</f>
      </c>
      <c r="BF14">
        <f>'武器'!AH14</f>
      </c>
      <c r="BG14" s="4"/>
      <c r="BH14" s="1" t="str">
        <v>完成</v>
      </c>
    </row>
    <row r="15">
      <c r="A15" s="193">
        <f>'武器'!A15</f>
      </c>
      <c r="B15" s="193">
        <f>'武器'!B15</f>
      </c>
      <c r="C15" s="193">
        <f>'武器'!C15</f>
      </c>
      <c r="D15" s="193">
        <f>'武器'!F15</f>
      </c>
      <c r="E15" s="187">
        <f>'武器'!CY15</f>
      </c>
      <c r="F15" s="193">
        <f>'武器'!D15</f>
      </c>
      <c r="G15" s="193">
        <f>'武器'!E15</f>
      </c>
      <c r="H15" s="193"/>
      <c r="I15" s="193"/>
      <c r="J15" s="193">
        <f>'武器'!G15</f>
      </c>
      <c r="K15" s="193">
        <f>'武器'!I15</f>
      </c>
      <c r="L15" s="193">
        <f>'武器'!O15</f>
      </c>
      <c r="M15" s="193">
        <f>'武器'!BN15</f>
      </c>
      <c r="N15" s="193">
        <f>'武器'!BS15</f>
      </c>
      <c r="O15" s="193">
        <f>'武器'!BO15</f>
      </c>
      <c r="P15" s="193"/>
      <c r="Q15" s="193">
        <f>'武器'!W15</f>
      </c>
      <c r="R15" s="193">
        <f>'武器'!X15</f>
      </c>
      <c r="S15" s="193">
        <f>'武器'!Y15</f>
      </c>
      <c r="T15" s="193">
        <f>'武器'!Z15</f>
      </c>
      <c r="U15" s="193">
        <f>'武器'!AA15</f>
      </c>
      <c r="V15" s="193">
        <f>'武器'!AB15</f>
      </c>
      <c r="W15" s="193">
        <f>'武器'!AC15</f>
      </c>
      <c r="X15" s="193"/>
      <c r="Y15" s="193">
        <f>'武器'!CK15</f>
      </c>
      <c r="Z15" s="193">
        <f>'武器'!BB15</f>
      </c>
      <c r="AA15" s="193">
        <f>'武器'!CA15</f>
      </c>
      <c r="AB15" s="193">
        <f>'武器'!BH15</f>
      </c>
      <c r="AC15" s="193">
        <f>'武器'!BD15</f>
      </c>
      <c r="AD15" s="193">
        <f>'武器'!BL15</f>
      </c>
      <c r="AE15" s="193">
        <f>'武器'!BE15</f>
      </c>
      <c r="AF15" s="193"/>
      <c r="AG15" s="194">
        <f>'武器'!P15</f>
      </c>
      <c r="AH15" s="194">
        <f>'武器'!Q15</f>
      </c>
      <c r="AI15" s="194">
        <f>'武器'!R15</f>
      </c>
      <c r="AJ15" s="193">
        <f>'武器'!S15</f>
      </c>
      <c r="AK15" s="193"/>
      <c r="AL15" s="193">
        <f>'武器'!M15</f>
      </c>
      <c r="AM15" s="193">
        <f>'武器'!J15</f>
      </c>
      <c r="AN15" s="193"/>
      <c r="AO15" s="193">
        <f>'武器'!AJ15</f>
      </c>
      <c r="AP15" s="193">
        <f>'武器'!AK15</f>
      </c>
      <c r="AQ15" s="193">
        <f>'武器'!AL15</f>
      </c>
      <c r="AR15" s="193"/>
      <c r="AS15" s="193">
        <f>'武器'!H15</f>
      </c>
      <c r="AT15" s="193"/>
      <c r="AU15" s="193">
        <f>'武器'!N15</f>
      </c>
      <c r="AV15" s="193">
        <f>'武器'!BW15</f>
      </c>
      <c r="AW15" s="193">
        <f>'武器'!U15</f>
      </c>
      <c r="AX15" s="193"/>
      <c r="AY15" s="188">
        <f>'武器'!DA15</f>
      </c>
      <c r="AZ15" s="193"/>
      <c r="BA15" s="193"/>
      <c r="BB15" s="193"/>
      <c r="BC15" s="193">
        <f>'武器'!K15</f>
      </c>
      <c r="BD15" s="193">
        <f>'武器'!O15</f>
      </c>
      <c r="BE15" s="193">
        <f>'武器'!AG15</f>
      </c>
      <c r="BF15" s="193">
        <f>'武器'!AH15</f>
      </c>
      <c r="BG15" s="193"/>
      <c r="BH15" s="27" t="str">
        <v>完成</v>
      </c>
    </row>
    <row r="16">
      <c r="A16" s="189">
        <f>'武器'!A16</f>
      </c>
      <c r="B16" s="189">
        <f>'武器'!B16</f>
      </c>
      <c r="C16" s="189">
        <f>'武器'!C16</f>
      </c>
      <c r="D16" s="189">
        <f>'武器'!F16</f>
      </c>
      <c r="E16" s="190"/>
      <c r="F16" s="189">
        <f>'武器'!D16</f>
      </c>
      <c r="G16" s="189">
        <f>'武器'!E16</f>
      </c>
      <c r="H16" s="189"/>
      <c r="I16" s="189"/>
      <c r="J16" s="189">
        <f>'武器'!G16</f>
      </c>
      <c r="K16" s="189">
        <f>'武器'!I16</f>
      </c>
      <c r="L16" s="189">
        <f>'武器'!O16</f>
      </c>
      <c r="M16" s="189">
        <f>'武器'!BN16</f>
      </c>
      <c r="N16" s="189">
        <f>'武器'!BS16</f>
      </c>
      <c r="O16" s="189">
        <f>'武器'!BO16</f>
      </c>
      <c r="P16" s="189"/>
      <c r="Q16" s="189">
        <f>'武器'!W16</f>
      </c>
      <c r="R16" s="189">
        <f>'武器'!X16</f>
      </c>
      <c r="S16" s="189">
        <f>'武器'!Y16</f>
      </c>
      <c r="T16" s="189">
        <f>'武器'!Z16</f>
      </c>
      <c r="U16" s="189">
        <f>'武器'!AA16</f>
      </c>
      <c r="V16" s="189">
        <f>'武器'!AB16</f>
      </c>
      <c r="W16" s="189">
        <f>'武器'!AC16</f>
      </c>
      <c r="X16" s="189"/>
      <c r="Y16" s="189">
        <f>'武器'!CK16</f>
      </c>
      <c r="Z16" s="189">
        <f>'武器'!BB16</f>
      </c>
      <c r="AA16" s="189">
        <f>'武器'!CA16</f>
      </c>
      <c r="AB16" s="189">
        <f>'武器'!BH16</f>
      </c>
      <c r="AC16" s="189">
        <f>'武器'!BD16</f>
      </c>
      <c r="AD16" s="189">
        <f>'武器'!BL16</f>
      </c>
      <c r="AE16" s="189">
        <f>'武器'!BE16</f>
      </c>
      <c r="AF16" s="189"/>
      <c r="AG16" s="191">
        <f>'武器'!P16</f>
      </c>
      <c r="AH16" s="191">
        <f>'武器'!Q16</f>
      </c>
      <c r="AI16" s="191">
        <f>'武器'!R16</f>
      </c>
      <c r="AJ16" s="189">
        <f>'武器'!S16</f>
      </c>
      <c r="AK16" s="189"/>
      <c r="AL16" s="189">
        <f>'武器'!M16</f>
      </c>
      <c r="AM16" s="189">
        <f>'武器'!J16</f>
      </c>
      <c r="AN16" s="189"/>
      <c r="AO16" s="189">
        <f>'武器'!AJ16</f>
      </c>
      <c r="AP16" s="189">
        <f>'武器'!AK16</f>
      </c>
      <c r="AQ16" s="189">
        <f>'武器'!AL16</f>
      </c>
      <c r="AR16" s="189"/>
      <c r="AS16" s="189">
        <f>'武器'!H16</f>
      </c>
      <c r="AT16" s="189"/>
      <c r="AU16" s="189">
        <f>'武器'!N16</f>
      </c>
      <c r="AV16" s="189">
        <f>'武器'!BW16</f>
      </c>
      <c r="AW16" s="189">
        <f>'武器'!U16</f>
      </c>
      <c r="AX16" s="189"/>
      <c r="AY16" s="192"/>
      <c r="AZ16" s="189"/>
      <c r="BA16" s="189"/>
      <c r="BB16" s="189"/>
      <c r="BC16" s="189">
        <f>'武器'!K16</f>
      </c>
      <c r="BD16" s="189">
        <f>'武器'!O16</f>
      </c>
      <c r="BE16" s="189">
        <f>'武器'!AG16</f>
      </c>
      <c r="BF16" s="189">
        <f>'武器'!AH16</f>
      </c>
      <c r="BG16" s="189"/>
      <c r="BH16" s="159" t="str">
        <v>完成</v>
      </c>
    </row>
    <row r="17">
      <c r="A17">
        <f>'武器'!A17</f>
      </c>
      <c r="B17">
        <f>'武器'!B17</f>
      </c>
      <c r="C17">
        <f>'武器'!C17</f>
      </c>
      <c r="D17" s="184">
        <f>'武器'!F17</f>
      </c>
      <c r="E17" s="185"/>
      <c r="F17" s="184">
        <f>'武器'!D17</f>
      </c>
      <c r="G17">
        <f>'武器'!E17</f>
      </c>
      <c r="H17" s="4"/>
      <c r="J17">
        <f>'武器'!G17</f>
      </c>
      <c r="K17">
        <f>'武器'!I17</f>
      </c>
      <c r="L17">
        <f>'武器'!O17</f>
      </c>
      <c r="M17">
        <f>'武器'!BN17</f>
      </c>
      <c r="N17">
        <f>'武器'!BS17</f>
      </c>
      <c r="O17">
        <f>'武器'!BO17</f>
      </c>
      <c r="P17" s="4"/>
      <c r="Q17">
        <f>'武器'!W17</f>
      </c>
      <c r="R17">
        <f>'武器'!X17</f>
      </c>
      <c r="S17">
        <f>'武器'!Y17</f>
      </c>
      <c r="T17">
        <f>'武器'!Z17</f>
      </c>
      <c r="U17">
        <f>'武器'!AA17</f>
      </c>
      <c r="V17">
        <f>'武器'!AB17</f>
      </c>
      <c r="W17">
        <f>'武器'!AC17</f>
      </c>
      <c r="X17" s="4"/>
      <c r="Y17">
        <f>'武器'!CK17</f>
      </c>
      <c r="Z17">
        <f>'武器'!BB17</f>
      </c>
      <c r="AA17" s="184">
        <f>'武器'!CA17</f>
      </c>
      <c r="AB17">
        <f>'武器'!BH17</f>
      </c>
      <c r="AC17">
        <f>'武器'!BD17</f>
      </c>
      <c r="AD17">
        <f>'武器'!BL17</f>
      </c>
      <c r="AE17">
        <f>'武器'!BE17</f>
      </c>
      <c r="AF17" s="4"/>
      <c r="AG17" s="186">
        <f>'武器'!P17</f>
      </c>
      <c r="AH17" s="186">
        <f>'武器'!Q17</f>
      </c>
      <c r="AI17" s="186">
        <f>'武器'!R17</f>
      </c>
      <c r="AJ17">
        <f>'武器'!S17</f>
      </c>
      <c r="AK17" s="4"/>
      <c r="AL17">
        <f>'武器'!M17</f>
      </c>
      <c r="AM17">
        <f>'武器'!J17</f>
      </c>
      <c r="AN17" s="4"/>
      <c r="AO17" s="184">
        <f>'武器'!AJ17</f>
      </c>
      <c r="AP17" s="184">
        <f>'武器'!AK17</f>
      </c>
      <c r="AQ17" s="184">
        <f>'武器'!AL17</f>
      </c>
      <c r="AR17" s="4"/>
      <c r="AS17">
        <f>'武器'!H17</f>
      </c>
      <c r="AU17">
        <f>'武器'!N17</f>
      </c>
      <c r="AV17">
        <f>'武器'!BW17</f>
      </c>
      <c r="AW17">
        <f>'武器'!U17</f>
      </c>
      <c r="AX17" s="4"/>
      <c r="AY17" s="26"/>
      <c r="AZ17" s="4"/>
      <c r="BA17" s="184"/>
      <c r="BB17" s="4"/>
      <c r="BC17">
        <f>'武器'!K17</f>
      </c>
      <c r="BD17">
        <f>'武器'!O17</f>
      </c>
      <c r="BE17">
        <f>'武器'!AG17</f>
      </c>
      <c r="BF17">
        <f>'武器'!AH17</f>
      </c>
      <c r="BG17" s="4"/>
      <c r="BH17" s="1" t="str">
        <v>完成</v>
      </c>
    </row>
    <row r="18">
      <c r="A18">
        <f>'武器'!A18</f>
      </c>
      <c r="B18">
        <f>'武器'!B18</f>
      </c>
      <c r="C18">
        <f>'武器'!C18</f>
      </c>
      <c r="D18" s="184">
        <f>'武器'!F18</f>
      </c>
      <c r="E18" s="185"/>
      <c r="F18" s="184">
        <f>'武器'!D18</f>
      </c>
      <c r="G18">
        <f>'武器'!E18</f>
      </c>
      <c r="H18" s="4"/>
      <c r="J18">
        <f>'武器'!G18</f>
      </c>
      <c r="K18">
        <f>'武器'!I18</f>
      </c>
      <c r="L18">
        <f>'武器'!O18</f>
      </c>
      <c r="M18">
        <f>'武器'!BN18</f>
      </c>
      <c r="N18">
        <f>'武器'!BS18</f>
      </c>
      <c r="O18">
        <f>'武器'!BO18</f>
      </c>
      <c r="P18" s="4"/>
      <c r="Q18">
        <f>'武器'!W18</f>
      </c>
      <c r="R18">
        <f>'武器'!X18</f>
      </c>
      <c r="S18">
        <f>'武器'!Y18</f>
      </c>
      <c r="T18">
        <f>'武器'!Z18</f>
      </c>
      <c r="U18">
        <f>'武器'!AA18</f>
      </c>
      <c r="V18">
        <f>'武器'!AB18</f>
      </c>
      <c r="W18">
        <f>'武器'!AC18</f>
      </c>
      <c r="X18" s="4"/>
      <c r="Y18">
        <f>'武器'!CK18</f>
      </c>
      <c r="Z18">
        <f>'武器'!BB18</f>
      </c>
      <c r="AA18" s="184">
        <f>'武器'!CA18</f>
      </c>
      <c r="AB18">
        <f>'武器'!BH18</f>
      </c>
      <c r="AC18">
        <f>'武器'!BD18</f>
      </c>
      <c r="AD18">
        <f>'武器'!BL18</f>
      </c>
      <c r="AE18">
        <f>'武器'!BE18</f>
      </c>
      <c r="AF18" s="4"/>
      <c r="AG18" s="186">
        <f>'武器'!P18</f>
      </c>
      <c r="AH18" s="186">
        <f>'武器'!Q18</f>
      </c>
      <c r="AI18" s="186">
        <f>'武器'!R18</f>
      </c>
      <c r="AJ18">
        <f>'武器'!S18</f>
      </c>
      <c r="AK18" s="4"/>
      <c r="AL18">
        <f>'武器'!M18</f>
      </c>
      <c r="AM18">
        <f>'武器'!J18</f>
      </c>
      <c r="AN18" s="4"/>
      <c r="AO18" s="184">
        <f>'武器'!AJ18</f>
      </c>
      <c r="AP18" s="184">
        <f>'武器'!AK18</f>
      </c>
      <c r="AQ18" s="184">
        <f>'武器'!AL18</f>
      </c>
      <c r="AR18" s="4"/>
      <c r="AS18">
        <f>'武器'!H18</f>
      </c>
      <c r="AU18">
        <f>'武器'!N18</f>
      </c>
      <c r="AV18">
        <f>'武器'!BW18</f>
      </c>
      <c r="AW18">
        <f>'武器'!U18</f>
      </c>
      <c r="AX18" s="4"/>
      <c r="AY18" s="26"/>
      <c r="AZ18" s="4"/>
      <c r="BA18" s="184"/>
      <c r="BB18" s="4"/>
      <c r="BC18">
        <f>'武器'!K18</f>
      </c>
      <c r="BD18">
        <f>'武器'!O18</f>
      </c>
      <c r="BE18">
        <f>'武器'!AG18</f>
      </c>
      <c r="BF18">
        <f>'武器'!AH18</f>
      </c>
      <c r="BG18" s="4"/>
      <c r="BH18" s="1" t="str">
        <v>完成</v>
      </c>
    </row>
    <row r="19">
      <c r="A19">
        <f>'武器'!A19</f>
      </c>
      <c r="B19">
        <f>'武器'!B19</f>
      </c>
      <c r="C19">
        <f>'武器'!C19</f>
      </c>
      <c r="D19" s="184">
        <f>'武器'!F19</f>
      </c>
      <c r="E19" s="185"/>
      <c r="F19" s="184">
        <f>'武器'!D19</f>
      </c>
      <c r="G19">
        <f>'武器'!E19</f>
      </c>
      <c r="H19" s="4"/>
      <c r="J19">
        <f>'武器'!G19</f>
      </c>
      <c r="K19">
        <f>'武器'!I19</f>
      </c>
      <c r="L19">
        <f>'武器'!O19</f>
      </c>
      <c r="M19">
        <f>'武器'!BN19</f>
      </c>
      <c r="N19">
        <f>'武器'!BS19</f>
      </c>
      <c r="O19">
        <f>'武器'!BO19</f>
      </c>
      <c r="P19" s="4"/>
      <c r="Q19">
        <f>'武器'!W19</f>
      </c>
      <c r="R19">
        <f>'武器'!X19</f>
      </c>
      <c r="S19">
        <f>'武器'!Y19</f>
      </c>
      <c r="T19">
        <f>'武器'!Z19</f>
      </c>
      <c r="U19">
        <f>'武器'!AA19</f>
      </c>
      <c r="V19">
        <f>'武器'!AB19</f>
      </c>
      <c r="W19">
        <f>'武器'!AC19</f>
      </c>
      <c r="X19" s="4"/>
      <c r="Y19">
        <f>'武器'!CK19</f>
      </c>
      <c r="Z19">
        <f>'武器'!BB19</f>
      </c>
      <c r="AA19" s="184">
        <f>'武器'!CA19</f>
      </c>
      <c r="AB19">
        <f>'武器'!BH19</f>
      </c>
      <c r="AC19">
        <f>'武器'!BD19</f>
      </c>
      <c r="AD19">
        <f>'武器'!BL19</f>
      </c>
      <c r="AE19">
        <f>'武器'!BE19</f>
      </c>
      <c r="AF19" s="4"/>
      <c r="AG19" s="186">
        <f>'武器'!P19</f>
      </c>
      <c r="AH19" s="186">
        <f>'武器'!Q19</f>
      </c>
      <c r="AI19" s="186">
        <f>'武器'!R19</f>
      </c>
      <c r="AJ19">
        <f>'武器'!S19</f>
      </c>
      <c r="AK19" s="4"/>
      <c r="AL19">
        <f>'武器'!M19</f>
      </c>
      <c r="AM19">
        <f>'武器'!J19</f>
      </c>
      <c r="AN19" s="4"/>
      <c r="AO19" s="184">
        <f>'武器'!AJ19</f>
      </c>
      <c r="AP19" s="184">
        <f>'武器'!AK19</f>
      </c>
      <c r="AQ19" s="184">
        <f>'武器'!AL19</f>
      </c>
      <c r="AR19" s="4"/>
      <c r="AS19">
        <f>'武器'!H19</f>
      </c>
      <c r="AU19">
        <f>'武器'!N19</f>
      </c>
      <c r="AV19">
        <f>'武器'!BW19</f>
      </c>
      <c r="AW19">
        <f>'武器'!U19</f>
      </c>
      <c r="AX19" s="4"/>
      <c r="AY19" s="26"/>
      <c r="AZ19" s="4"/>
      <c r="BA19" s="184"/>
      <c r="BB19" s="4"/>
      <c r="BC19">
        <f>'武器'!K19</f>
      </c>
      <c r="BD19">
        <f>'武器'!O19</f>
      </c>
      <c r="BE19">
        <f>'武器'!AG19</f>
      </c>
      <c r="BF19">
        <f>'武器'!AH19</f>
      </c>
      <c r="BG19" s="4"/>
      <c r="BH19" s="1" t="str">
        <v>完成</v>
      </c>
    </row>
    <row r="20">
      <c r="A20">
        <f>'武器'!A20</f>
      </c>
      <c r="B20">
        <f>'武器'!B20</f>
      </c>
      <c r="C20">
        <f>'武器'!C20</f>
      </c>
      <c r="D20" s="184">
        <f>'武器'!F20</f>
      </c>
      <c r="E20" s="185"/>
      <c r="F20" s="184">
        <f>'武器'!D20</f>
      </c>
      <c r="G20">
        <f>'武器'!E20</f>
      </c>
      <c r="H20" s="4"/>
      <c r="J20">
        <f>'武器'!G20</f>
      </c>
      <c r="K20">
        <f>'武器'!I20</f>
      </c>
      <c r="L20">
        <f>'武器'!O20</f>
      </c>
      <c r="M20">
        <f>'武器'!BN20</f>
      </c>
      <c r="N20">
        <f>'武器'!BS20</f>
      </c>
      <c r="O20">
        <f>'武器'!BO20</f>
      </c>
      <c r="P20" s="4"/>
      <c r="Q20">
        <f>'武器'!W20</f>
      </c>
      <c r="R20">
        <f>'武器'!X20</f>
      </c>
      <c r="S20">
        <f>'武器'!Y20</f>
      </c>
      <c r="T20">
        <f>'武器'!Z20</f>
      </c>
      <c r="U20">
        <f>'武器'!AA20</f>
      </c>
      <c r="V20">
        <f>'武器'!AB20</f>
      </c>
      <c r="W20">
        <f>'武器'!AC20</f>
      </c>
      <c r="X20" s="4"/>
      <c r="Y20">
        <f>'武器'!CK20</f>
      </c>
      <c r="Z20">
        <f>'武器'!BB20</f>
      </c>
      <c r="AA20" s="184">
        <f>'武器'!CA20</f>
      </c>
      <c r="AB20">
        <f>'武器'!BH20</f>
      </c>
      <c r="AC20">
        <f>'武器'!BD20</f>
      </c>
      <c r="AD20">
        <f>'武器'!BL20</f>
      </c>
      <c r="AE20">
        <f>'武器'!BE20</f>
      </c>
      <c r="AF20" s="4"/>
      <c r="AG20" s="186">
        <f>'武器'!P20</f>
      </c>
      <c r="AH20" s="186">
        <f>'武器'!Q20</f>
      </c>
      <c r="AI20" s="186">
        <f>'武器'!R20</f>
      </c>
      <c r="AJ20">
        <f>'武器'!S20</f>
      </c>
      <c r="AK20" s="4"/>
      <c r="AL20">
        <f>'武器'!M20</f>
      </c>
      <c r="AM20">
        <f>'武器'!J20</f>
      </c>
      <c r="AN20" s="4"/>
      <c r="AO20" s="184">
        <f>'武器'!AJ20</f>
      </c>
      <c r="AP20" s="184">
        <f>'武器'!AK20</f>
      </c>
      <c r="AQ20" s="184">
        <f>'武器'!AL20</f>
      </c>
      <c r="AR20" s="4"/>
      <c r="AS20">
        <f>'武器'!H20</f>
      </c>
      <c r="AU20">
        <f>'武器'!N20</f>
      </c>
      <c r="AV20">
        <f>'武器'!BW20</f>
      </c>
      <c r="AW20">
        <f>'武器'!U20</f>
      </c>
      <c r="AX20" s="4"/>
      <c r="AY20" s="26"/>
      <c r="AZ20" s="4"/>
      <c r="BA20" s="184"/>
      <c r="BB20" s="4"/>
      <c r="BC20">
        <f>'武器'!K20</f>
      </c>
      <c r="BD20">
        <f>'武器'!O20</f>
      </c>
      <c r="BE20">
        <f>'武器'!AG20</f>
      </c>
      <c r="BF20">
        <f>'武器'!AH20</f>
      </c>
      <c r="BG20" s="4"/>
      <c r="BH20" s="1" t="str">
        <v>完成</v>
      </c>
    </row>
    <row r="21">
      <c r="A21" s="193">
        <f>'武器'!A21</f>
      </c>
      <c r="B21" s="193">
        <f>'武器'!B21</f>
      </c>
      <c r="C21" s="193">
        <f>'武器'!C21</f>
      </c>
      <c r="D21" s="193">
        <f>'武器'!F21</f>
      </c>
      <c r="E21" s="187">
        <f>'武器'!CY21</f>
      </c>
      <c r="F21" s="193">
        <f>'武器'!D21</f>
      </c>
      <c r="G21" s="193">
        <f>'武器'!E21</f>
      </c>
      <c r="H21" s="193"/>
      <c r="I21" s="193"/>
      <c r="J21" s="193">
        <f>'武器'!G21</f>
      </c>
      <c r="K21" s="193">
        <f>'武器'!I21</f>
      </c>
      <c r="L21" s="193">
        <f>'武器'!O21</f>
      </c>
      <c r="M21" s="193">
        <f>'武器'!BN21</f>
      </c>
      <c r="N21" s="193">
        <f>'武器'!BS21</f>
      </c>
      <c r="O21" s="193">
        <f>'武器'!BO21</f>
      </c>
      <c r="P21" s="193"/>
      <c r="Q21" s="193">
        <f>'武器'!W21</f>
      </c>
      <c r="R21" s="193">
        <f>'武器'!X21</f>
      </c>
      <c r="S21" s="193">
        <f>'武器'!Y21</f>
      </c>
      <c r="T21" s="193">
        <f>'武器'!Z21</f>
      </c>
      <c r="U21" s="193">
        <f>'武器'!AA21</f>
      </c>
      <c r="V21" s="193">
        <f>'武器'!AB21</f>
      </c>
      <c r="W21" s="193">
        <f>'武器'!AC21</f>
      </c>
      <c r="X21" s="193"/>
      <c r="Y21" s="193">
        <f>'武器'!CK21</f>
      </c>
      <c r="Z21" s="193">
        <f>'武器'!BB21</f>
      </c>
      <c r="AA21" s="193">
        <f>'武器'!CA21</f>
      </c>
      <c r="AB21" s="193">
        <f>'武器'!BH21</f>
      </c>
      <c r="AC21" s="193">
        <f>'武器'!BD21</f>
      </c>
      <c r="AD21" s="193">
        <f>'武器'!BL21</f>
      </c>
      <c r="AE21" s="193">
        <f>'武器'!BE21</f>
      </c>
      <c r="AF21" s="193"/>
      <c r="AG21" s="194">
        <f>'武器'!P21</f>
      </c>
      <c r="AH21" s="194">
        <f>'武器'!Q21</f>
      </c>
      <c r="AI21" s="194">
        <f>'武器'!R21</f>
      </c>
      <c r="AJ21" s="193">
        <f>'武器'!S21</f>
      </c>
      <c r="AK21" s="193"/>
      <c r="AL21" s="193">
        <f>'武器'!M21</f>
      </c>
      <c r="AM21" s="193">
        <f>'武器'!J21</f>
      </c>
      <c r="AN21" s="4"/>
      <c r="AO21" s="193">
        <f>'武器'!AJ21</f>
      </c>
      <c r="AP21" s="193">
        <f>'武器'!AK21</f>
      </c>
      <c r="AQ21" s="193">
        <f>'武器'!AL21</f>
      </c>
      <c r="AR21" s="4"/>
      <c r="AS21" s="193">
        <f>'武器'!H21</f>
      </c>
      <c r="AT21" s="193"/>
      <c r="AU21" s="193">
        <f>'武器'!N21</f>
      </c>
      <c r="AV21" s="193">
        <f>'武器'!BW21</f>
      </c>
      <c r="AW21" s="193">
        <f>'武器'!U21</f>
      </c>
      <c r="AX21" s="4"/>
      <c r="AY21" s="188">
        <f>'武器'!DA21</f>
      </c>
      <c r="AZ21" s="4"/>
      <c r="BA21" s="193"/>
      <c r="BB21" s="193"/>
      <c r="BC21" s="193">
        <f>'武器'!K21</f>
      </c>
      <c r="BD21" s="193">
        <f>'武器'!O21</f>
      </c>
      <c r="BE21" s="193">
        <f>'武器'!AG21</f>
      </c>
      <c r="BF21" s="193">
        <f>'武器'!AH21</f>
      </c>
      <c r="BG21" s="193"/>
      <c r="BH21" s="27" t="str">
        <v>完成</v>
      </c>
    </row>
    <row r="22">
      <c r="A22" s="189">
        <f>'武器'!A22</f>
      </c>
      <c r="B22" s="189">
        <f>'武器'!B22</f>
      </c>
      <c r="C22" s="189">
        <f>'武器'!C22</f>
      </c>
      <c r="D22" s="189">
        <f>'武器'!F22</f>
      </c>
      <c r="E22" s="190"/>
      <c r="F22" s="189">
        <f>'武器'!D22</f>
      </c>
      <c r="G22" s="189">
        <f>'武器'!E22</f>
      </c>
      <c r="H22" s="189"/>
      <c r="I22" s="189"/>
      <c r="J22" s="189">
        <f>'武器'!G22</f>
      </c>
      <c r="K22" s="189">
        <f>'武器'!I22</f>
      </c>
      <c r="L22" s="189">
        <f>'武器'!O22</f>
      </c>
      <c r="M22" s="189">
        <f>'武器'!BN22</f>
      </c>
      <c r="N22" s="189">
        <f>'武器'!BS22</f>
      </c>
      <c r="O22" s="189">
        <f>'武器'!BO22</f>
      </c>
      <c r="P22" s="189"/>
      <c r="Q22" s="189">
        <f>'武器'!W22</f>
      </c>
      <c r="R22" s="189">
        <f>'武器'!X22</f>
      </c>
      <c r="S22" s="189">
        <f>'武器'!Y22</f>
      </c>
      <c r="T22" s="189">
        <f>'武器'!Z22</f>
      </c>
      <c r="U22" s="189">
        <f>'武器'!AA22</f>
      </c>
      <c r="V22" s="189">
        <f>'武器'!AB22</f>
      </c>
      <c r="W22" s="189">
        <f>'武器'!AC22</f>
      </c>
      <c r="X22" s="189"/>
      <c r="Y22" s="189">
        <f>'武器'!CK22</f>
      </c>
      <c r="Z22" s="189">
        <f>'武器'!BB22</f>
      </c>
      <c r="AA22" s="189">
        <f>'武器'!CA22</f>
      </c>
      <c r="AB22" s="189">
        <f>'武器'!BH22</f>
      </c>
      <c r="AC22" s="189">
        <f>'武器'!BD22</f>
      </c>
      <c r="AD22" s="189">
        <f>'武器'!BL22</f>
      </c>
      <c r="AE22" s="189">
        <f>'武器'!BE22</f>
      </c>
      <c r="AF22" s="189"/>
      <c r="AG22" s="191">
        <f>'武器'!P22</f>
      </c>
      <c r="AH22" s="191">
        <f>'武器'!Q22</f>
      </c>
      <c r="AI22" s="191">
        <f>'武器'!R22</f>
      </c>
      <c r="AJ22" s="189">
        <f>'武器'!S22</f>
      </c>
      <c r="AK22" s="189"/>
      <c r="AL22" s="189">
        <f>'武器'!M22</f>
      </c>
      <c r="AM22" s="189">
        <f>'武器'!J22</f>
      </c>
      <c r="AN22" s="4"/>
      <c r="AO22" s="189">
        <f>'武器'!AJ22</f>
      </c>
      <c r="AP22" s="189">
        <f>'武器'!AK22</f>
      </c>
      <c r="AQ22" s="189">
        <f>'武器'!AL22</f>
      </c>
      <c r="AR22" s="4"/>
      <c r="AS22" s="189">
        <f>'武器'!H22</f>
      </c>
      <c r="AT22" s="189"/>
      <c r="AU22" s="189">
        <f>'武器'!N22</f>
      </c>
      <c r="AV22" s="189">
        <f>'武器'!BW22</f>
      </c>
      <c r="AW22" s="189">
        <f>'武器'!U22</f>
      </c>
      <c r="AX22" s="4"/>
      <c r="AY22" s="192"/>
      <c r="AZ22" s="4"/>
      <c r="BA22" s="189"/>
      <c r="BB22" s="189"/>
      <c r="BC22" s="189">
        <f>'武器'!K22</f>
      </c>
      <c r="BD22" s="189">
        <f>'武器'!O22</f>
      </c>
      <c r="BE22" s="189">
        <f>'武器'!AG22</f>
      </c>
      <c r="BF22" s="189">
        <f>'武器'!AH22</f>
      </c>
      <c r="BG22" s="189"/>
      <c r="BH22" s="159" t="str">
        <v>完成</v>
      </c>
    </row>
    <row r="23">
      <c r="A23">
        <f>'武器'!A23</f>
      </c>
      <c r="B23">
        <f>'武器'!B23</f>
      </c>
      <c r="C23">
        <f>'武器'!C23</f>
      </c>
      <c r="D23" s="184">
        <f>'武器'!F23</f>
      </c>
      <c r="E23" s="185"/>
      <c r="F23" s="184">
        <f>'武器'!D23</f>
      </c>
      <c r="G23">
        <f>'武器'!E23</f>
      </c>
      <c r="H23" s="4"/>
      <c r="J23">
        <f>'武器'!G23</f>
      </c>
      <c r="K23">
        <f>'武器'!I23</f>
      </c>
      <c r="L23">
        <f>'武器'!O23</f>
      </c>
      <c r="M23">
        <f>'武器'!BN23</f>
      </c>
      <c r="N23">
        <f>'武器'!BS23</f>
      </c>
      <c r="O23">
        <f>'武器'!BO23</f>
      </c>
      <c r="P23" s="4"/>
      <c r="Q23">
        <f>'武器'!W23</f>
      </c>
      <c r="R23">
        <f>'武器'!X23</f>
      </c>
      <c r="S23">
        <f>'武器'!Y23</f>
      </c>
      <c r="T23">
        <f>'武器'!Z23</f>
      </c>
      <c r="U23">
        <f>'武器'!AA23</f>
      </c>
      <c r="V23">
        <f>'武器'!AB23</f>
      </c>
      <c r="W23">
        <f>'武器'!AC23</f>
      </c>
      <c r="X23" s="4"/>
      <c r="Y23">
        <f>'武器'!CK23</f>
      </c>
      <c r="Z23">
        <f>'武器'!BB23</f>
      </c>
      <c r="AA23" s="184">
        <f>'武器'!CA23</f>
      </c>
      <c r="AB23">
        <f>'武器'!BH23</f>
      </c>
      <c r="AC23">
        <f>'武器'!BD23</f>
      </c>
      <c r="AD23">
        <f>'武器'!BL23</f>
      </c>
      <c r="AE23">
        <f>'武器'!BE23</f>
      </c>
      <c r="AF23" s="4"/>
      <c r="AG23" s="186">
        <f>'武器'!P23</f>
      </c>
      <c r="AH23" s="186">
        <f>'武器'!Q23</f>
      </c>
      <c r="AI23" s="186">
        <f>'武器'!R23</f>
      </c>
      <c r="AJ23">
        <f>'武器'!S23</f>
      </c>
      <c r="AK23" s="4"/>
      <c r="AL23">
        <f>'武器'!M23</f>
      </c>
      <c r="AM23">
        <f>'武器'!J23</f>
      </c>
      <c r="AN23" s="4"/>
      <c r="AO23" s="184">
        <f>'武器'!AJ23</f>
      </c>
      <c r="AP23" s="184">
        <f>'武器'!AK23</f>
      </c>
      <c r="AQ23" s="184">
        <f>'武器'!AL23</f>
      </c>
      <c r="AR23" s="4"/>
      <c r="AS23">
        <f>'武器'!H23</f>
      </c>
      <c r="AU23">
        <f>'武器'!N23</f>
      </c>
      <c r="AV23">
        <f>'武器'!BW23</f>
      </c>
      <c r="AW23">
        <f>'武器'!U23</f>
      </c>
      <c r="AX23" s="4"/>
      <c r="AY23" s="26"/>
      <c r="AZ23" s="4"/>
      <c r="BA23" s="184"/>
      <c r="BB23" s="4"/>
      <c r="BC23">
        <f>'武器'!K23</f>
      </c>
      <c r="BD23">
        <f>'武器'!O23</f>
      </c>
      <c r="BE23">
        <f>'武器'!AG23</f>
      </c>
      <c r="BF23">
        <f>'武器'!AH23</f>
      </c>
      <c r="BG23" s="4"/>
      <c r="BH23" s="1" t="str">
        <v>完成</v>
      </c>
    </row>
    <row r="24">
      <c r="A24">
        <f>'武器'!A24</f>
      </c>
      <c r="B24">
        <f>'武器'!B24</f>
      </c>
      <c r="C24">
        <f>'武器'!C24</f>
      </c>
      <c r="D24" s="184">
        <f>'武器'!F24</f>
      </c>
      <c r="E24" s="185"/>
      <c r="F24" s="184">
        <f>'武器'!D24</f>
      </c>
      <c r="G24">
        <f>'武器'!E24</f>
      </c>
      <c r="H24" s="4"/>
      <c r="J24">
        <f>'武器'!G24</f>
      </c>
      <c r="K24">
        <f>'武器'!I24</f>
      </c>
      <c r="L24">
        <f>'武器'!O24</f>
      </c>
      <c r="M24">
        <f>'武器'!BN24</f>
      </c>
      <c r="N24">
        <f>'武器'!BS24</f>
      </c>
      <c r="O24">
        <f>'武器'!BO24</f>
      </c>
      <c r="P24" s="4"/>
      <c r="Q24">
        <f>'武器'!W24</f>
      </c>
      <c r="R24">
        <f>'武器'!X24</f>
      </c>
      <c r="S24">
        <f>'武器'!Y24</f>
      </c>
      <c r="T24">
        <f>'武器'!Z24</f>
      </c>
      <c r="U24">
        <f>'武器'!AA24</f>
      </c>
      <c r="V24">
        <f>'武器'!AB24</f>
      </c>
      <c r="W24">
        <f>'武器'!AC24</f>
      </c>
      <c r="X24" s="4"/>
      <c r="Y24">
        <f>'武器'!CK24</f>
      </c>
      <c r="Z24">
        <f>'武器'!BB24</f>
      </c>
      <c r="AA24" s="184">
        <f>'武器'!CA24</f>
      </c>
      <c r="AB24">
        <f>'武器'!BH24</f>
      </c>
      <c r="AC24">
        <f>'武器'!BD24</f>
      </c>
      <c r="AD24">
        <f>'武器'!BL24</f>
      </c>
      <c r="AE24">
        <f>'武器'!BE24</f>
      </c>
      <c r="AF24" s="4"/>
      <c r="AG24" s="186">
        <f>'武器'!P24</f>
      </c>
      <c r="AH24" s="186">
        <f>'武器'!Q24</f>
      </c>
      <c r="AI24" s="186">
        <f>'武器'!R24</f>
      </c>
      <c r="AJ24">
        <f>'武器'!S24</f>
      </c>
      <c r="AK24" s="4"/>
      <c r="AL24">
        <f>'武器'!M24</f>
      </c>
      <c r="AM24">
        <f>'武器'!J24</f>
      </c>
      <c r="AN24" s="4"/>
      <c r="AO24" s="184">
        <f>'武器'!AJ24</f>
      </c>
      <c r="AP24" s="184">
        <f>'武器'!AK24</f>
      </c>
      <c r="AQ24" s="184">
        <f>'武器'!AL24</f>
      </c>
      <c r="AR24" s="4"/>
      <c r="AS24">
        <f>'武器'!H24</f>
      </c>
      <c r="AU24">
        <f>'武器'!N24</f>
      </c>
      <c r="AV24">
        <f>'武器'!BW24</f>
      </c>
      <c r="AW24">
        <f>'武器'!U24</f>
      </c>
      <c r="AX24" s="4"/>
      <c r="AY24" s="26"/>
      <c r="AZ24" s="4"/>
      <c r="BA24" s="184"/>
      <c r="BB24" s="4"/>
      <c r="BC24">
        <f>'武器'!K24</f>
      </c>
      <c r="BD24">
        <f>'武器'!O24</f>
      </c>
      <c r="BE24">
        <f>'武器'!AG24</f>
      </c>
      <c r="BF24">
        <f>'武器'!AH24</f>
      </c>
      <c r="BG24" s="4"/>
      <c r="BH24" s="1" t="str">
        <v>完成</v>
      </c>
    </row>
    <row r="25">
      <c r="A25">
        <f>'武器'!A25</f>
      </c>
      <c r="B25">
        <f>'武器'!B25</f>
      </c>
      <c r="C25">
        <f>'武器'!C25</f>
      </c>
      <c r="D25" s="184">
        <f>'武器'!F25</f>
      </c>
      <c r="E25" s="185"/>
      <c r="F25" s="184">
        <f>'武器'!D25</f>
      </c>
      <c r="G25">
        <f>'武器'!E25</f>
      </c>
      <c r="H25" s="4"/>
      <c r="J25">
        <f>'武器'!G25</f>
      </c>
      <c r="K25">
        <f>'武器'!I25</f>
      </c>
      <c r="L25">
        <f>'武器'!O25</f>
      </c>
      <c r="M25">
        <f>'武器'!BN25</f>
      </c>
      <c r="N25">
        <f>'武器'!BS25</f>
      </c>
      <c r="O25">
        <f>'武器'!BO25</f>
      </c>
      <c r="P25" s="4"/>
      <c r="Q25">
        <f>'武器'!W25</f>
      </c>
      <c r="R25">
        <f>'武器'!X25</f>
      </c>
      <c r="S25">
        <f>'武器'!Y25</f>
      </c>
      <c r="T25">
        <f>'武器'!Z25</f>
      </c>
      <c r="U25">
        <f>'武器'!AA25</f>
      </c>
      <c r="V25">
        <f>'武器'!AB25</f>
      </c>
      <c r="W25">
        <f>'武器'!AC25</f>
      </c>
      <c r="X25" s="4"/>
      <c r="Y25">
        <f>'武器'!CK25</f>
      </c>
      <c r="Z25">
        <f>'武器'!BB25</f>
      </c>
      <c r="AA25" s="184">
        <f>'武器'!CA25</f>
      </c>
      <c r="AB25">
        <f>'武器'!BH25</f>
      </c>
      <c r="AC25">
        <f>'武器'!BD25</f>
      </c>
      <c r="AD25">
        <f>'武器'!BL25</f>
      </c>
      <c r="AE25">
        <f>'武器'!BE25</f>
      </c>
      <c r="AF25" s="4"/>
      <c r="AG25" s="186">
        <f>'武器'!P25</f>
      </c>
      <c r="AH25" s="186">
        <f>'武器'!Q25</f>
      </c>
      <c r="AI25" s="186">
        <f>'武器'!R25</f>
      </c>
      <c r="AJ25">
        <f>'武器'!S25</f>
      </c>
      <c r="AK25" s="4"/>
      <c r="AL25">
        <f>'武器'!M25</f>
      </c>
      <c r="AM25">
        <f>'武器'!J25</f>
      </c>
      <c r="AN25" s="4"/>
      <c r="AO25" s="184">
        <f>'武器'!AJ25</f>
      </c>
      <c r="AP25" s="184">
        <f>'武器'!AK25</f>
      </c>
      <c r="AQ25" s="184">
        <f>'武器'!AL25</f>
      </c>
      <c r="AR25" s="4"/>
      <c r="AS25">
        <f>'武器'!H25</f>
      </c>
      <c r="AU25">
        <f>'武器'!N25</f>
      </c>
      <c r="AV25">
        <f>'武器'!BW25</f>
      </c>
      <c r="AW25">
        <f>'武器'!U25</f>
      </c>
      <c r="AX25" s="4"/>
      <c r="AY25" s="26"/>
      <c r="AZ25" s="4"/>
      <c r="BA25" s="184"/>
      <c r="BB25" s="4"/>
      <c r="BC25">
        <f>'武器'!K25</f>
      </c>
      <c r="BD25">
        <f>'武器'!O25</f>
      </c>
      <c r="BE25">
        <f>'武器'!AG25</f>
      </c>
      <c r="BF25">
        <f>'武器'!AH25</f>
      </c>
      <c r="BG25" s="4"/>
      <c r="BH25" s="1" t="str">
        <v>完成</v>
      </c>
    </row>
    <row r="26">
      <c r="A26">
        <f>'武器'!A26</f>
      </c>
      <c r="B26">
        <f>'武器'!B26</f>
      </c>
      <c r="C26">
        <f>'武器'!C26</f>
      </c>
      <c r="D26" s="184">
        <f>'武器'!F26</f>
      </c>
      <c r="E26" s="185"/>
      <c r="F26" s="184">
        <f>'武器'!D26</f>
      </c>
      <c r="G26">
        <f>'武器'!E26</f>
      </c>
      <c r="H26" s="4"/>
      <c r="J26">
        <f>'武器'!G26</f>
      </c>
      <c r="K26">
        <f>'武器'!I26</f>
      </c>
      <c r="L26">
        <f>'武器'!O26</f>
      </c>
      <c r="M26">
        <f>'武器'!BN26</f>
      </c>
      <c r="N26">
        <f>'武器'!BS26</f>
      </c>
      <c r="O26">
        <f>'武器'!BO26</f>
      </c>
      <c r="P26" s="4"/>
      <c r="Q26">
        <f>'武器'!W26</f>
      </c>
      <c r="R26">
        <f>'武器'!X26</f>
      </c>
      <c r="S26">
        <f>'武器'!Y26</f>
      </c>
      <c r="T26">
        <f>'武器'!Z26</f>
      </c>
      <c r="U26">
        <f>'武器'!AA26</f>
      </c>
      <c r="V26">
        <f>'武器'!AB26</f>
      </c>
      <c r="W26">
        <f>'武器'!AC26</f>
      </c>
      <c r="X26" s="4"/>
      <c r="Y26">
        <f>'武器'!CK26</f>
      </c>
      <c r="Z26">
        <f>'武器'!BB26</f>
      </c>
      <c r="AA26" s="184">
        <f>'武器'!CA26</f>
      </c>
      <c r="AB26">
        <f>'武器'!BH26</f>
      </c>
      <c r="AC26">
        <f>'武器'!BD26</f>
      </c>
      <c r="AD26">
        <f>'武器'!BL26</f>
      </c>
      <c r="AE26">
        <f>'武器'!BE26</f>
      </c>
      <c r="AF26" s="4"/>
      <c r="AG26" s="186">
        <f>'武器'!P26</f>
      </c>
      <c r="AH26" s="186">
        <f>'武器'!Q26</f>
      </c>
      <c r="AI26" s="186">
        <f>'武器'!R26</f>
      </c>
      <c r="AJ26">
        <f>'武器'!S26</f>
      </c>
      <c r="AK26" s="4"/>
      <c r="AL26">
        <f>'武器'!M26</f>
      </c>
      <c r="AM26">
        <f>'武器'!J26</f>
      </c>
      <c r="AN26" s="4"/>
      <c r="AO26" s="184">
        <f>'武器'!AJ26</f>
      </c>
      <c r="AP26" s="184">
        <f>'武器'!AK26</f>
      </c>
      <c r="AQ26" s="184">
        <f>'武器'!AL26</f>
      </c>
      <c r="AR26" s="4"/>
      <c r="AS26">
        <f>'武器'!H26</f>
      </c>
      <c r="AU26">
        <f>'武器'!N26</f>
      </c>
      <c r="AV26">
        <f>'武器'!BW26</f>
      </c>
      <c r="AW26">
        <f>'武器'!U26</f>
      </c>
      <c r="AX26" s="4"/>
      <c r="AY26" s="26"/>
      <c r="AZ26" s="4"/>
      <c r="BA26" s="184"/>
      <c r="BB26" s="4"/>
      <c r="BC26">
        <f>'武器'!K26</f>
      </c>
      <c r="BD26">
        <f>'武器'!O26</f>
      </c>
      <c r="BE26">
        <f>'武器'!AG26</f>
      </c>
      <c r="BF26">
        <f>'武器'!AH26</f>
      </c>
      <c r="BG26" s="4"/>
      <c r="BH26" s="1" t="str">
        <v>完成</v>
      </c>
    </row>
    <row r="27">
      <c r="A27" s="193">
        <f>'武器'!A27</f>
      </c>
      <c r="B27" s="193">
        <f>'武器'!B27</f>
      </c>
      <c r="C27" s="193">
        <f>'武器'!C27</f>
      </c>
      <c r="D27" s="193">
        <f>'武器'!F27</f>
      </c>
      <c r="E27" s="187">
        <f>'武器'!CY27</f>
      </c>
      <c r="F27" s="193">
        <f>'武器'!D27</f>
      </c>
      <c r="G27" s="193">
        <f>'武器'!E27</f>
      </c>
      <c r="H27" s="193"/>
      <c r="I27" s="193"/>
      <c r="J27" s="193">
        <f>'武器'!G27</f>
      </c>
      <c r="K27" s="193">
        <f>'武器'!I27</f>
      </c>
      <c r="L27" s="193">
        <f>'武器'!O27</f>
      </c>
      <c r="M27" s="193">
        <f>'武器'!BN27</f>
      </c>
      <c r="N27" s="193">
        <f>'武器'!BS27</f>
      </c>
      <c r="O27" s="193">
        <f>'武器'!BO27</f>
      </c>
      <c r="P27" s="193"/>
      <c r="Q27" s="193">
        <f>'武器'!W27</f>
      </c>
      <c r="R27" s="193">
        <f>'武器'!X27</f>
      </c>
      <c r="S27" s="193">
        <f>'武器'!Y27</f>
      </c>
      <c r="T27" s="193">
        <f>'武器'!Z27</f>
      </c>
      <c r="U27" s="193">
        <f>'武器'!AA27</f>
      </c>
      <c r="V27" s="193">
        <f>'武器'!AB27</f>
      </c>
      <c r="W27" s="193">
        <f>'武器'!AC27</f>
      </c>
      <c r="X27" s="193"/>
      <c r="Y27" s="193">
        <f>'武器'!CK27</f>
      </c>
      <c r="Z27" s="193">
        <f>'武器'!BB27</f>
      </c>
      <c r="AA27" s="193">
        <f>'武器'!CA27</f>
      </c>
      <c r="AB27" s="193">
        <f>'武器'!BH27</f>
      </c>
      <c r="AC27" s="193">
        <f>'武器'!BD27</f>
      </c>
      <c r="AD27" s="193">
        <f>'武器'!BL27</f>
      </c>
      <c r="AE27" s="193">
        <f>'武器'!BE27</f>
      </c>
      <c r="AF27" s="193"/>
      <c r="AG27" s="194">
        <f>'武器'!P27</f>
      </c>
      <c r="AH27" s="194">
        <f>'武器'!Q27</f>
      </c>
      <c r="AI27" s="194">
        <f>'武器'!R27</f>
      </c>
      <c r="AJ27" s="193">
        <f>'武器'!S27</f>
      </c>
      <c r="AK27" s="193"/>
      <c r="AL27" s="193">
        <f>'武器'!M27</f>
      </c>
      <c r="AM27" s="193">
        <f>'武器'!J27</f>
      </c>
      <c r="AN27" s="193"/>
      <c r="AO27" s="193">
        <f>'武器'!AJ27</f>
      </c>
      <c r="AP27" s="193">
        <f>'武器'!AK27</f>
      </c>
      <c r="AQ27" s="193">
        <f>'武器'!AL27</f>
      </c>
      <c r="AR27" s="193"/>
      <c r="AS27" s="193">
        <f>'武器'!H27</f>
      </c>
      <c r="AT27" s="193"/>
      <c r="AU27" s="193">
        <f>'武器'!N27</f>
      </c>
      <c r="AV27" s="193">
        <f>'武器'!BW27</f>
      </c>
      <c r="AW27" s="193">
        <f>'武器'!U27</f>
      </c>
      <c r="AX27" s="193"/>
      <c r="AY27" s="188">
        <f>'武器'!DA27</f>
      </c>
      <c r="AZ27" s="193"/>
      <c r="BA27" s="193"/>
      <c r="BB27" s="193"/>
      <c r="BC27" s="193">
        <f>'武器'!K27</f>
      </c>
      <c r="BD27" s="193">
        <f>'武器'!O27</f>
      </c>
      <c r="BE27" s="193">
        <f>'武器'!AG27</f>
      </c>
      <c r="BF27" s="193">
        <f>'武器'!AH27</f>
      </c>
      <c r="BG27" s="193"/>
      <c r="BH27" s="27" t="str">
        <v>完成</v>
      </c>
    </row>
    <row r="28">
      <c r="A28" s="189">
        <f>'武器'!A28</f>
      </c>
      <c r="B28" s="189">
        <f>'武器'!B28</f>
      </c>
      <c r="C28" s="189">
        <f>'武器'!C28</f>
      </c>
      <c r="D28" s="189">
        <f>'武器'!F28</f>
      </c>
      <c r="E28" s="190"/>
      <c r="F28" s="189">
        <f>'武器'!D28</f>
      </c>
      <c r="G28" s="189">
        <f>'武器'!E28</f>
      </c>
      <c r="H28" s="189"/>
      <c r="I28" s="189"/>
      <c r="J28" s="189">
        <f>'武器'!G28</f>
      </c>
      <c r="K28" s="189">
        <f>'武器'!I28</f>
      </c>
      <c r="L28" s="189">
        <f>'武器'!O28</f>
      </c>
      <c r="M28" s="189">
        <f>'武器'!BN28</f>
      </c>
      <c r="N28" s="189">
        <f>'武器'!BS28</f>
      </c>
      <c r="O28" s="189">
        <f>'武器'!BO28</f>
      </c>
      <c r="P28" s="189"/>
      <c r="Q28" s="189">
        <f>'武器'!W28</f>
      </c>
      <c r="R28" s="189">
        <f>'武器'!X28</f>
      </c>
      <c r="S28" s="189">
        <f>'武器'!Y28</f>
      </c>
      <c r="T28" s="189">
        <f>'武器'!Z28</f>
      </c>
      <c r="U28" s="189">
        <f>'武器'!AA28</f>
      </c>
      <c r="V28" s="189">
        <f>'武器'!AB28</f>
      </c>
      <c r="W28" s="189">
        <f>'武器'!AC28</f>
      </c>
      <c r="X28" s="189"/>
      <c r="Y28" s="189">
        <f>'武器'!CK28</f>
      </c>
      <c r="Z28" s="189">
        <f>'武器'!BB28</f>
      </c>
      <c r="AA28" s="189">
        <f>'武器'!CA28</f>
      </c>
      <c r="AB28" s="189">
        <f>'武器'!BH28</f>
      </c>
      <c r="AC28" s="189">
        <f>'武器'!BD28</f>
      </c>
      <c r="AD28" s="189">
        <f>'武器'!BL28</f>
      </c>
      <c r="AE28" s="189">
        <f>'武器'!BE28</f>
      </c>
      <c r="AF28" s="189"/>
      <c r="AG28" s="191">
        <f>'武器'!P28</f>
      </c>
      <c r="AH28" s="191">
        <f>'武器'!Q28</f>
      </c>
      <c r="AI28" s="191">
        <f>'武器'!R28</f>
      </c>
      <c r="AJ28" s="189">
        <f>'武器'!S28</f>
      </c>
      <c r="AK28" s="189"/>
      <c r="AL28" s="189">
        <f>'武器'!M28</f>
      </c>
      <c r="AM28" s="189">
        <f>'武器'!J28</f>
      </c>
      <c r="AN28" s="189"/>
      <c r="AO28" s="189">
        <f>'武器'!AJ28</f>
      </c>
      <c r="AP28" s="189">
        <f>'武器'!AK28</f>
      </c>
      <c r="AQ28" s="189">
        <f>'武器'!AL28</f>
      </c>
      <c r="AR28" s="189"/>
      <c r="AS28" s="189">
        <f>'武器'!H28</f>
      </c>
      <c r="AT28" s="189"/>
      <c r="AU28" s="189">
        <f>'武器'!N28</f>
      </c>
      <c r="AV28" s="189">
        <f>'武器'!BW28</f>
      </c>
      <c r="AW28" s="189">
        <f>'武器'!U28</f>
      </c>
      <c r="AX28" s="189"/>
      <c r="AY28" s="192"/>
      <c r="AZ28" s="189"/>
      <c r="BA28" s="189"/>
      <c r="BB28" s="189"/>
      <c r="BC28" s="189">
        <f>'武器'!K28</f>
      </c>
      <c r="BD28" s="189">
        <f>'武器'!O28</f>
      </c>
      <c r="BE28" s="189">
        <f>'武器'!AG28</f>
      </c>
      <c r="BF28" s="189">
        <f>'武器'!AH28</f>
      </c>
      <c r="BG28" s="189"/>
      <c r="BH28" s="159" t="str">
        <v>完成</v>
      </c>
    </row>
    <row r="29">
      <c r="A29">
        <f>'武器'!A29</f>
      </c>
      <c r="B29">
        <f>'武器'!B29</f>
      </c>
      <c r="C29">
        <f>'武器'!C29</f>
      </c>
      <c r="D29" s="184">
        <f>'武器'!F29</f>
      </c>
      <c r="E29" s="185"/>
      <c r="F29" s="184">
        <f>'武器'!D29</f>
      </c>
      <c r="G29">
        <f>'武器'!E29</f>
      </c>
      <c r="H29" s="4"/>
      <c r="J29">
        <f>'武器'!G29</f>
      </c>
      <c r="K29">
        <f>'武器'!I29</f>
      </c>
      <c r="L29">
        <f>'武器'!O29</f>
      </c>
      <c r="M29">
        <f>'武器'!BN29</f>
      </c>
      <c r="N29">
        <f>'武器'!BS29</f>
      </c>
      <c r="O29">
        <f>'武器'!BO29</f>
      </c>
      <c r="P29" s="4"/>
      <c r="Q29">
        <f>'武器'!W29</f>
      </c>
      <c r="R29">
        <f>'武器'!X29</f>
      </c>
      <c r="S29">
        <f>'武器'!Y29</f>
      </c>
      <c r="T29">
        <f>'武器'!Z29</f>
      </c>
      <c r="U29">
        <f>'武器'!AA29</f>
      </c>
      <c r="V29">
        <f>'武器'!AB29</f>
      </c>
      <c r="W29">
        <f>'武器'!AC29</f>
      </c>
      <c r="X29" s="4"/>
      <c r="Y29">
        <f>'武器'!CK29</f>
      </c>
      <c r="Z29">
        <f>'武器'!BB29</f>
      </c>
      <c r="AA29" s="184">
        <f>'武器'!CA29</f>
      </c>
      <c r="AB29">
        <f>'武器'!BH29</f>
      </c>
      <c r="AC29">
        <f>'武器'!BD29</f>
      </c>
      <c r="AD29">
        <f>'武器'!BL29</f>
      </c>
      <c r="AE29">
        <f>'武器'!BE29</f>
      </c>
      <c r="AF29" s="4"/>
      <c r="AG29" s="186">
        <f>'武器'!P29</f>
      </c>
      <c r="AH29" s="186">
        <f>'武器'!Q29</f>
      </c>
      <c r="AI29" s="186">
        <f>'武器'!R29</f>
      </c>
      <c r="AJ29">
        <f>'武器'!S29</f>
      </c>
      <c r="AK29" s="4"/>
      <c r="AL29">
        <f>'武器'!M29</f>
      </c>
      <c r="AM29">
        <f>'武器'!J29</f>
      </c>
      <c r="AN29" s="4"/>
      <c r="AO29" s="184">
        <f>'武器'!AJ29</f>
      </c>
      <c r="AP29" s="184">
        <f>'武器'!AK29</f>
      </c>
      <c r="AQ29" s="184">
        <f>'武器'!AL29</f>
      </c>
      <c r="AR29" s="4"/>
      <c r="AS29">
        <f>'武器'!H29</f>
      </c>
      <c r="AU29">
        <f>'武器'!N29</f>
      </c>
      <c r="AV29">
        <f>'武器'!BW29</f>
      </c>
      <c r="AW29">
        <f>'武器'!U29</f>
      </c>
      <c r="AX29" s="4"/>
      <c r="AY29" s="26"/>
      <c r="AZ29" s="4"/>
      <c r="BA29" s="184"/>
      <c r="BB29" s="4"/>
      <c r="BC29">
        <f>'武器'!K29</f>
      </c>
      <c r="BD29">
        <f>'武器'!O29</f>
      </c>
      <c r="BE29">
        <f>'武器'!AG29</f>
      </c>
      <c r="BF29">
        <f>'武器'!AH29</f>
      </c>
      <c r="BG29" s="4"/>
      <c r="BH29" s="1" t="str">
        <v>完成</v>
      </c>
    </row>
    <row r="30">
      <c r="A30">
        <f>'武器'!A30</f>
      </c>
      <c r="B30">
        <f>'武器'!B30</f>
      </c>
      <c r="C30">
        <f>'武器'!C30</f>
      </c>
      <c r="D30" s="184">
        <f>'武器'!F30</f>
      </c>
      <c r="E30" s="185"/>
      <c r="F30" s="184">
        <f>'武器'!D30</f>
      </c>
      <c r="G30">
        <f>'武器'!E30</f>
      </c>
      <c r="H30" s="4"/>
      <c r="J30">
        <f>'武器'!G30</f>
      </c>
      <c r="K30">
        <f>'武器'!I30</f>
      </c>
      <c r="L30">
        <f>'武器'!O30</f>
      </c>
      <c r="M30">
        <f>'武器'!BN30</f>
      </c>
      <c r="N30">
        <f>'武器'!BS30</f>
      </c>
      <c r="O30">
        <f>'武器'!BO30</f>
      </c>
      <c r="P30" s="4"/>
      <c r="Q30">
        <f>'武器'!W30</f>
      </c>
      <c r="R30">
        <f>'武器'!X30</f>
      </c>
      <c r="S30">
        <f>'武器'!Y30</f>
      </c>
      <c r="T30">
        <f>'武器'!Z30</f>
      </c>
      <c r="U30">
        <f>'武器'!AA30</f>
      </c>
      <c r="V30">
        <f>'武器'!AB30</f>
      </c>
      <c r="W30">
        <f>'武器'!AC30</f>
      </c>
      <c r="X30" s="4"/>
      <c r="Y30">
        <f>'武器'!CK30</f>
      </c>
      <c r="Z30">
        <f>'武器'!BB30</f>
      </c>
      <c r="AA30" s="184">
        <f>'武器'!CA30</f>
      </c>
      <c r="AB30">
        <f>'武器'!BH30</f>
      </c>
      <c r="AC30">
        <f>'武器'!BD30</f>
      </c>
      <c r="AD30">
        <f>'武器'!BL30</f>
      </c>
      <c r="AE30">
        <f>'武器'!BE30</f>
      </c>
      <c r="AF30" s="4"/>
      <c r="AG30" s="186">
        <f>'武器'!P30</f>
      </c>
      <c r="AH30" s="186">
        <f>'武器'!Q30</f>
      </c>
      <c r="AI30" s="186">
        <f>'武器'!R30</f>
      </c>
      <c r="AJ30">
        <f>'武器'!S30</f>
      </c>
      <c r="AK30" s="4"/>
      <c r="AL30">
        <f>'武器'!M30</f>
      </c>
      <c r="AM30">
        <f>'武器'!J30</f>
      </c>
      <c r="AN30" s="4"/>
      <c r="AO30" s="184">
        <f>'武器'!AJ30</f>
      </c>
      <c r="AP30" s="184">
        <f>'武器'!AK30</f>
      </c>
      <c r="AQ30" s="184">
        <f>'武器'!AL30</f>
      </c>
      <c r="AR30" s="4"/>
      <c r="AS30">
        <f>'武器'!H30</f>
      </c>
      <c r="AU30">
        <f>'武器'!N30</f>
      </c>
      <c r="AV30">
        <f>'武器'!BW30</f>
      </c>
      <c r="AW30">
        <f>'武器'!U30</f>
      </c>
      <c r="AX30" s="4"/>
      <c r="AY30" s="26"/>
      <c r="AZ30" s="4"/>
      <c r="BA30" s="184"/>
      <c r="BB30" s="4"/>
      <c r="BC30">
        <f>'武器'!K30</f>
      </c>
      <c r="BD30">
        <f>'武器'!O30</f>
      </c>
      <c r="BE30">
        <f>'武器'!AG30</f>
      </c>
      <c r="BF30">
        <f>'武器'!AH30</f>
      </c>
      <c r="BG30" s="4"/>
      <c r="BH30" s="1" t="str">
        <v>完成</v>
      </c>
    </row>
    <row r="31">
      <c r="A31">
        <f>'武器'!A31</f>
      </c>
      <c r="B31">
        <f>'武器'!B31</f>
      </c>
      <c r="C31">
        <f>'武器'!C31</f>
      </c>
      <c r="D31" s="184">
        <f>'武器'!F31</f>
      </c>
      <c r="E31" s="185"/>
      <c r="F31" s="184">
        <f>'武器'!D31</f>
      </c>
      <c r="G31">
        <f>'武器'!E31</f>
      </c>
      <c r="H31" s="4"/>
      <c r="J31">
        <f>'武器'!G31</f>
      </c>
      <c r="K31">
        <f>'武器'!I31</f>
      </c>
      <c r="L31">
        <f>'武器'!O31</f>
      </c>
      <c r="M31">
        <f>'武器'!BN31</f>
      </c>
      <c r="N31">
        <f>'武器'!BS31</f>
      </c>
      <c r="O31">
        <f>'武器'!BO31</f>
      </c>
      <c r="P31" s="4"/>
      <c r="Q31">
        <f>'武器'!W31</f>
      </c>
      <c r="R31">
        <f>'武器'!X31</f>
      </c>
      <c r="S31">
        <f>'武器'!Y31</f>
      </c>
      <c r="T31">
        <f>'武器'!Z31</f>
      </c>
      <c r="U31">
        <f>'武器'!AA31</f>
      </c>
      <c r="V31">
        <f>'武器'!AB31</f>
      </c>
      <c r="W31">
        <f>'武器'!AC31</f>
      </c>
      <c r="X31" s="4"/>
      <c r="Y31">
        <f>'武器'!CK31</f>
      </c>
      <c r="Z31">
        <f>'武器'!BB31</f>
      </c>
      <c r="AA31" s="184">
        <f>'武器'!CA31</f>
      </c>
      <c r="AB31">
        <f>'武器'!BH31</f>
      </c>
      <c r="AC31">
        <f>'武器'!BD31</f>
      </c>
      <c r="AD31">
        <f>'武器'!BL31</f>
      </c>
      <c r="AE31">
        <f>'武器'!BE31</f>
      </c>
      <c r="AF31" s="4"/>
      <c r="AG31" s="186">
        <f>'武器'!P31</f>
      </c>
      <c r="AH31" s="186">
        <f>'武器'!Q31</f>
      </c>
      <c r="AI31" s="186">
        <f>'武器'!R31</f>
      </c>
      <c r="AJ31">
        <f>'武器'!S31</f>
      </c>
      <c r="AK31" s="4"/>
      <c r="AL31">
        <f>'武器'!M31</f>
      </c>
      <c r="AM31">
        <f>'武器'!J31</f>
      </c>
      <c r="AN31" s="4"/>
      <c r="AO31" s="184">
        <f>'武器'!AJ31</f>
      </c>
      <c r="AP31" s="184">
        <f>'武器'!AK31</f>
      </c>
      <c r="AQ31" s="184">
        <f>'武器'!AL31</f>
      </c>
      <c r="AR31" s="4"/>
      <c r="AS31">
        <f>'武器'!H31</f>
      </c>
      <c r="AU31">
        <f>'武器'!N31</f>
      </c>
      <c r="AV31">
        <f>'武器'!BW31</f>
      </c>
      <c r="AW31">
        <f>'武器'!U31</f>
      </c>
      <c r="AX31" s="4"/>
      <c r="AY31" s="26"/>
      <c r="AZ31" s="4"/>
      <c r="BA31" s="184"/>
      <c r="BB31" s="4"/>
      <c r="BC31">
        <f>'武器'!K31</f>
      </c>
      <c r="BD31">
        <f>'武器'!O31</f>
      </c>
      <c r="BE31">
        <f>'武器'!AG31</f>
      </c>
      <c r="BF31">
        <f>'武器'!AH31</f>
      </c>
      <c r="BG31" s="4"/>
      <c r="BH31" s="1" t="str">
        <v>完成</v>
      </c>
    </row>
    <row r="32">
      <c r="A32">
        <f>'武器'!A32</f>
      </c>
      <c r="B32">
        <f>'武器'!B32</f>
      </c>
      <c r="C32">
        <f>'武器'!C32</f>
      </c>
      <c r="D32" s="184">
        <f>'武器'!F32</f>
      </c>
      <c r="E32" s="185"/>
      <c r="F32" s="184">
        <f>'武器'!D32</f>
      </c>
      <c r="G32">
        <f>'武器'!E32</f>
      </c>
      <c r="H32" s="4"/>
      <c r="J32">
        <f>'武器'!G32</f>
      </c>
      <c r="K32">
        <f>'武器'!I32</f>
      </c>
      <c r="L32">
        <f>'武器'!O32</f>
      </c>
      <c r="M32">
        <f>'武器'!BN32</f>
      </c>
      <c r="N32">
        <f>'武器'!BS32</f>
      </c>
      <c r="O32">
        <f>'武器'!BO32</f>
      </c>
      <c r="P32" s="4"/>
      <c r="Q32">
        <f>'武器'!W32</f>
      </c>
      <c r="R32">
        <f>'武器'!X32</f>
      </c>
      <c r="S32">
        <f>'武器'!Y32</f>
      </c>
      <c r="T32">
        <f>'武器'!Z32</f>
      </c>
      <c r="U32">
        <f>'武器'!AA32</f>
      </c>
      <c r="V32">
        <f>'武器'!AB32</f>
      </c>
      <c r="W32">
        <f>'武器'!AC32</f>
      </c>
      <c r="X32" s="4"/>
      <c r="Y32">
        <f>'武器'!CK32</f>
      </c>
      <c r="Z32">
        <f>'武器'!BB32</f>
      </c>
      <c r="AA32" s="184">
        <f>'武器'!CA32</f>
      </c>
      <c r="AB32">
        <f>'武器'!BH32</f>
      </c>
      <c r="AC32">
        <f>'武器'!BD32</f>
      </c>
      <c r="AD32">
        <f>'武器'!BL32</f>
      </c>
      <c r="AE32">
        <f>'武器'!BE32</f>
      </c>
      <c r="AF32" s="4"/>
      <c r="AG32" s="186">
        <f>'武器'!P32</f>
      </c>
      <c r="AH32" s="186">
        <f>'武器'!Q32</f>
      </c>
      <c r="AI32" s="186">
        <f>'武器'!R32</f>
      </c>
      <c r="AJ32">
        <f>'武器'!S32</f>
      </c>
      <c r="AK32" s="4"/>
      <c r="AL32">
        <f>'武器'!M32</f>
      </c>
      <c r="AM32">
        <f>'武器'!J32</f>
      </c>
      <c r="AN32" s="4"/>
      <c r="AO32" s="184">
        <f>'武器'!AJ32</f>
      </c>
      <c r="AP32" s="184">
        <f>'武器'!AK32</f>
      </c>
      <c r="AQ32" s="184">
        <f>'武器'!AL32</f>
      </c>
      <c r="AR32" s="4"/>
      <c r="AS32">
        <f>'武器'!H32</f>
      </c>
      <c r="AU32">
        <f>'武器'!N32</f>
      </c>
      <c r="AV32">
        <f>'武器'!BW32</f>
      </c>
      <c r="AW32">
        <f>'武器'!U32</f>
      </c>
      <c r="AX32" s="4"/>
      <c r="AY32" s="26"/>
      <c r="AZ32" s="4"/>
      <c r="BA32" s="184"/>
      <c r="BB32" s="4"/>
      <c r="BC32">
        <f>'武器'!K32</f>
      </c>
      <c r="BD32">
        <f>'武器'!O32</f>
      </c>
      <c r="BE32">
        <f>'武器'!AG32</f>
      </c>
      <c r="BF32">
        <f>'武器'!AH32</f>
      </c>
      <c r="BG32" s="4"/>
      <c r="BH32" s="1" t="str">
        <v>完成</v>
      </c>
    </row>
    <row r="33">
      <c r="A33" s="193">
        <f>'武器'!A33</f>
      </c>
      <c r="B33" s="193">
        <f>'武器'!B33</f>
      </c>
      <c r="C33" s="193">
        <f>'武器'!C33</f>
      </c>
      <c r="D33" s="193">
        <f>'武器'!F33</f>
      </c>
      <c r="E33" s="187">
        <f>'武器'!CY33</f>
      </c>
      <c r="F33" s="193">
        <f>'武器'!D33</f>
      </c>
      <c r="G33" s="193">
        <f>'武器'!E33</f>
      </c>
      <c r="H33" s="193"/>
      <c r="I33" s="193"/>
      <c r="J33" s="193">
        <f>'武器'!G33</f>
      </c>
      <c r="K33" s="193">
        <f>'武器'!I33</f>
      </c>
      <c r="L33" s="193">
        <f>'武器'!O33</f>
      </c>
      <c r="M33" s="193">
        <f>'武器'!BN33</f>
      </c>
      <c r="N33" s="193">
        <f>'武器'!BS33</f>
      </c>
      <c r="O33" s="193">
        <f>'武器'!BO33</f>
      </c>
      <c r="P33" s="193"/>
      <c r="Q33" s="193">
        <f>'武器'!W33</f>
      </c>
      <c r="R33" s="193">
        <f>'武器'!X33</f>
      </c>
      <c r="S33" s="193">
        <f>'武器'!Y33</f>
      </c>
      <c r="T33" s="193">
        <f>'武器'!Z33</f>
      </c>
      <c r="U33" s="193">
        <f>'武器'!AA33</f>
      </c>
      <c r="V33" s="193">
        <f>'武器'!AB33</f>
      </c>
      <c r="W33" s="193">
        <f>'武器'!AC33</f>
      </c>
      <c r="X33" s="193"/>
      <c r="Y33" s="193">
        <f>'武器'!CK33</f>
      </c>
      <c r="Z33" s="193">
        <f>'武器'!BB33</f>
      </c>
      <c r="AA33" s="193">
        <f>'武器'!CA33</f>
      </c>
      <c r="AB33" s="193">
        <f>'武器'!BH33</f>
      </c>
      <c r="AC33" s="193">
        <f>'武器'!BD33</f>
      </c>
      <c r="AD33" s="193">
        <f>'武器'!BL33</f>
      </c>
      <c r="AE33" s="193">
        <f>'武器'!BE33</f>
      </c>
      <c r="AF33" s="193"/>
      <c r="AG33" s="194">
        <f>'武器'!P33</f>
      </c>
      <c r="AH33" s="194">
        <f>'武器'!Q33</f>
      </c>
      <c r="AI33" s="194">
        <f>'武器'!R33</f>
      </c>
      <c r="AJ33" s="193">
        <f>'武器'!S33</f>
      </c>
      <c r="AK33" s="193"/>
      <c r="AL33" s="193">
        <f>'武器'!M33</f>
      </c>
      <c r="AM33" s="193">
        <f>'武器'!J33</f>
      </c>
      <c r="AN33" s="193"/>
      <c r="AO33" s="193">
        <f>'武器'!AJ33</f>
      </c>
      <c r="AP33" s="193">
        <f>'武器'!AK33</f>
      </c>
      <c r="AQ33" s="193">
        <f>'武器'!AL33</f>
      </c>
      <c r="AR33" s="193"/>
      <c r="AS33" s="193">
        <f>'武器'!H33</f>
      </c>
      <c r="AT33" s="193"/>
      <c r="AU33" s="193">
        <f>'武器'!N33</f>
      </c>
      <c r="AV33" s="193">
        <f>'武器'!BW33</f>
      </c>
      <c r="AW33" s="193">
        <f>'武器'!U33</f>
      </c>
      <c r="AX33" s="193"/>
      <c r="AY33" s="188">
        <f>'武器'!DA33</f>
      </c>
      <c r="AZ33" s="193"/>
      <c r="BA33" s="193"/>
      <c r="BB33" s="193"/>
      <c r="BC33" s="193">
        <f>'武器'!K33</f>
      </c>
      <c r="BD33" s="193">
        <f>'武器'!O33</f>
      </c>
      <c r="BE33" s="193">
        <f>'武器'!AG33</f>
      </c>
      <c r="BF33" s="193">
        <f>'武器'!AH33</f>
      </c>
      <c r="BG33" s="193"/>
      <c r="BH33" s="27" t="str">
        <v>完成</v>
      </c>
    </row>
    <row r="34">
      <c r="A34" s="189">
        <f>'武器'!A34</f>
      </c>
      <c r="B34" s="189">
        <f>'武器'!B34</f>
      </c>
      <c r="C34" s="189">
        <f>'武器'!C34</f>
      </c>
      <c r="D34" s="189">
        <f>'武器'!F34</f>
      </c>
      <c r="E34" s="190"/>
      <c r="F34" s="189">
        <f>'武器'!D34</f>
      </c>
      <c r="G34" s="189">
        <f>'武器'!E34</f>
      </c>
      <c r="H34" s="189"/>
      <c r="I34" s="189"/>
      <c r="J34" s="189">
        <f>'武器'!G34</f>
      </c>
      <c r="K34" s="189">
        <f>'武器'!I34</f>
      </c>
      <c r="L34" s="189">
        <f>'武器'!O34</f>
      </c>
      <c r="M34" s="189">
        <f>'武器'!BN34</f>
      </c>
      <c r="N34" s="189">
        <f>'武器'!BS34</f>
      </c>
      <c r="O34" s="189">
        <f>'武器'!BO34</f>
      </c>
      <c r="P34" s="189"/>
      <c r="Q34" s="189">
        <f>'武器'!W34</f>
      </c>
      <c r="R34" s="189">
        <f>'武器'!X34</f>
      </c>
      <c r="S34" s="189">
        <f>'武器'!Y34</f>
      </c>
      <c r="T34" s="189">
        <f>'武器'!Z34</f>
      </c>
      <c r="U34" s="189">
        <f>'武器'!AA34</f>
      </c>
      <c r="V34" s="189">
        <f>'武器'!AB34</f>
      </c>
      <c r="W34" s="189">
        <f>'武器'!AC34</f>
      </c>
      <c r="X34" s="189"/>
      <c r="Y34" s="189">
        <f>'武器'!CK34</f>
      </c>
      <c r="Z34" s="189">
        <f>'武器'!BB34</f>
      </c>
      <c r="AA34" s="189">
        <f>'武器'!CA34</f>
      </c>
      <c r="AB34" s="189">
        <f>'武器'!BH34</f>
      </c>
      <c r="AC34" s="189">
        <f>'武器'!BD34</f>
      </c>
      <c r="AD34" s="189">
        <f>'武器'!BL34</f>
      </c>
      <c r="AE34" s="189">
        <f>'武器'!BE34</f>
      </c>
      <c r="AF34" s="189"/>
      <c r="AG34" s="191">
        <f>'武器'!P34</f>
      </c>
      <c r="AH34" s="191">
        <f>'武器'!Q34</f>
      </c>
      <c r="AI34" s="191">
        <f>'武器'!R34</f>
      </c>
      <c r="AJ34" s="189">
        <f>'武器'!S34</f>
      </c>
      <c r="AK34" s="189"/>
      <c r="AL34" s="189">
        <f>'武器'!M34</f>
      </c>
      <c r="AM34" s="189">
        <f>'武器'!J34</f>
      </c>
      <c r="AN34" s="189"/>
      <c r="AO34" s="189">
        <f>'武器'!AJ34</f>
      </c>
      <c r="AP34" s="189">
        <f>'武器'!AK34</f>
      </c>
      <c r="AQ34" s="189">
        <f>'武器'!AL34</f>
      </c>
      <c r="AR34" s="189"/>
      <c r="AS34" s="189">
        <f>'武器'!H34</f>
      </c>
      <c r="AT34" s="189"/>
      <c r="AU34" s="189">
        <f>'武器'!N34</f>
      </c>
      <c r="AV34" s="189">
        <f>'武器'!BW34</f>
      </c>
      <c r="AW34" s="189">
        <f>'武器'!U34</f>
      </c>
      <c r="AX34" s="189"/>
      <c r="AY34" s="192"/>
      <c r="AZ34" s="189"/>
      <c r="BA34" s="189"/>
      <c r="BB34" s="189"/>
      <c r="BC34" s="189">
        <f>'武器'!K34</f>
      </c>
      <c r="BD34" s="189">
        <f>'武器'!O34</f>
      </c>
      <c r="BE34" s="189">
        <f>'武器'!AG34</f>
      </c>
      <c r="BF34" s="189">
        <f>'武器'!AH34</f>
      </c>
      <c r="BG34" s="189"/>
      <c r="BH34" s="159" t="str">
        <v>在做</v>
      </c>
    </row>
    <row r="35">
      <c r="A35">
        <f>'武器'!A35</f>
      </c>
      <c r="B35">
        <f>'武器'!B35</f>
      </c>
      <c r="C35">
        <f>'武器'!C35</f>
      </c>
      <c r="D35" s="184">
        <f>'武器'!F35</f>
      </c>
      <c r="E35" s="185"/>
      <c r="F35" s="184">
        <f>'武器'!D35</f>
      </c>
      <c r="G35">
        <f>'武器'!E35</f>
      </c>
      <c r="H35" s="4"/>
      <c r="J35">
        <f>'武器'!G35</f>
      </c>
      <c r="K35">
        <f>'武器'!I35</f>
      </c>
      <c r="L35">
        <f>'武器'!O35</f>
      </c>
      <c r="M35">
        <f>'武器'!BN35</f>
      </c>
      <c r="N35">
        <f>'武器'!BS35</f>
      </c>
      <c r="O35">
        <f>'武器'!BO35</f>
      </c>
      <c r="P35" s="4"/>
      <c r="Q35">
        <f>'武器'!W35</f>
      </c>
      <c r="R35">
        <f>'武器'!X35</f>
      </c>
      <c r="S35">
        <f>'武器'!Y35</f>
      </c>
      <c r="T35">
        <f>'武器'!Z35</f>
      </c>
      <c r="U35">
        <f>'武器'!AA35</f>
      </c>
      <c r="V35">
        <f>'武器'!AB35</f>
      </c>
      <c r="W35">
        <f>'武器'!AC35</f>
      </c>
      <c r="X35" s="4"/>
      <c r="Y35">
        <f>'武器'!CK35</f>
      </c>
      <c r="Z35">
        <f>'武器'!BB35</f>
      </c>
      <c r="AA35" s="184">
        <f>'武器'!CA35</f>
      </c>
      <c r="AB35">
        <f>'武器'!BH35</f>
      </c>
      <c r="AC35">
        <f>'武器'!BD35</f>
      </c>
      <c r="AD35">
        <f>'武器'!BL35</f>
      </c>
      <c r="AE35">
        <f>'武器'!BE35</f>
      </c>
      <c r="AF35" s="4"/>
      <c r="AG35" s="186">
        <f>'武器'!P35</f>
      </c>
      <c r="AH35" s="186">
        <f>'武器'!Q35</f>
      </c>
      <c r="AI35" s="186">
        <f>'武器'!R35</f>
      </c>
      <c r="AJ35">
        <f>'武器'!S35</f>
      </c>
      <c r="AK35" s="4"/>
      <c r="AL35">
        <f>'武器'!M35</f>
      </c>
      <c r="AM35">
        <f>'武器'!J35</f>
      </c>
      <c r="AN35" s="4"/>
      <c r="AO35" s="184">
        <f>'武器'!AJ35</f>
      </c>
      <c r="AP35" s="184">
        <f>'武器'!AK35</f>
      </c>
      <c r="AQ35" s="184">
        <f>'武器'!AL35</f>
      </c>
      <c r="AR35" s="4"/>
      <c r="AS35">
        <f>'武器'!H35</f>
      </c>
      <c r="AU35">
        <f>'武器'!N35</f>
      </c>
      <c r="AV35">
        <f>'武器'!BW35</f>
      </c>
      <c r="AW35">
        <f>'武器'!U35</f>
      </c>
      <c r="AX35" s="4"/>
      <c r="AY35" s="26"/>
      <c r="AZ35" s="4"/>
      <c r="BA35" s="184"/>
      <c r="BB35" s="4"/>
      <c r="BC35">
        <f>'武器'!K35</f>
      </c>
      <c r="BD35">
        <f>'武器'!O35</f>
      </c>
      <c r="BE35">
        <f>'武器'!AG35</f>
      </c>
      <c r="BF35">
        <f>'武器'!AH35</f>
      </c>
      <c r="BG35" s="4"/>
      <c r="BH35" s="1" t="str">
        <v>完成</v>
      </c>
    </row>
    <row r="36">
      <c r="A36">
        <f>'武器'!A36</f>
      </c>
      <c r="B36">
        <f>'武器'!B36</f>
      </c>
      <c r="C36">
        <f>'武器'!C36</f>
      </c>
      <c r="D36" s="184">
        <f>'武器'!F36</f>
      </c>
      <c r="E36" s="185"/>
      <c r="F36" s="184">
        <f>'武器'!D36</f>
      </c>
      <c r="G36">
        <f>'武器'!E36</f>
      </c>
      <c r="H36" s="4"/>
      <c r="J36">
        <f>'武器'!G36</f>
      </c>
      <c r="K36">
        <f>'武器'!I36</f>
      </c>
      <c r="L36">
        <f>'武器'!O36</f>
      </c>
      <c r="M36">
        <f>'武器'!BN36</f>
      </c>
      <c r="N36">
        <f>'武器'!BS36</f>
      </c>
      <c r="O36">
        <f>'武器'!BO36</f>
      </c>
      <c r="P36" s="4"/>
      <c r="Q36">
        <f>'武器'!W36</f>
      </c>
      <c r="R36">
        <f>'武器'!X36</f>
      </c>
      <c r="S36">
        <f>'武器'!Y36</f>
      </c>
      <c r="T36">
        <f>'武器'!Z36</f>
      </c>
      <c r="U36">
        <f>'武器'!AA36</f>
      </c>
      <c r="V36">
        <f>'武器'!AB36</f>
      </c>
      <c r="W36">
        <f>'武器'!AC36</f>
      </c>
      <c r="X36" s="4"/>
      <c r="Y36">
        <f>'武器'!CK36</f>
      </c>
      <c r="Z36">
        <f>'武器'!BB36</f>
      </c>
      <c r="AA36" s="184">
        <f>'武器'!CA36</f>
      </c>
      <c r="AB36">
        <f>'武器'!BH36</f>
      </c>
      <c r="AC36">
        <f>'武器'!BD36</f>
      </c>
      <c r="AD36">
        <f>'武器'!BL36</f>
      </c>
      <c r="AE36">
        <f>'武器'!BE36</f>
      </c>
      <c r="AF36" s="4"/>
      <c r="AG36" s="186">
        <f>'武器'!P36</f>
      </c>
      <c r="AH36" s="186">
        <f>'武器'!Q36</f>
      </c>
      <c r="AI36" s="186">
        <f>'武器'!R36</f>
      </c>
      <c r="AJ36">
        <f>'武器'!S36</f>
      </c>
      <c r="AK36" s="4"/>
      <c r="AL36">
        <f>'武器'!M36</f>
      </c>
      <c r="AM36">
        <f>'武器'!J36</f>
      </c>
      <c r="AN36" s="4"/>
      <c r="AO36" s="184">
        <f>'武器'!AJ36</f>
      </c>
      <c r="AP36" s="184">
        <f>'武器'!AK36</f>
      </c>
      <c r="AQ36" s="184">
        <f>'武器'!AL36</f>
      </c>
      <c r="AR36" s="4"/>
      <c r="AS36">
        <f>'武器'!H36</f>
      </c>
      <c r="AU36">
        <f>'武器'!N36</f>
      </c>
      <c r="AV36">
        <f>'武器'!BW36</f>
      </c>
      <c r="AW36">
        <f>'武器'!U36</f>
      </c>
      <c r="AX36" s="4"/>
      <c r="AY36" s="26"/>
      <c r="AZ36" s="4"/>
      <c r="BA36" s="184"/>
      <c r="BB36" s="4"/>
      <c r="BC36">
        <f>'武器'!K36</f>
      </c>
      <c r="BD36">
        <f>'武器'!O36</f>
      </c>
      <c r="BE36">
        <f>'武器'!AG36</f>
      </c>
      <c r="BF36">
        <f>'武器'!AH36</f>
      </c>
      <c r="BG36" s="4"/>
      <c r="BH36" s="1" t="str">
        <v>完成</v>
      </c>
    </row>
    <row r="37">
      <c r="A37">
        <f>'武器'!A37</f>
      </c>
      <c r="B37">
        <f>'武器'!B37</f>
      </c>
      <c r="C37">
        <f>'武器'!C37</f>
      </c>
      <c r="D37" s="184">
        <f>'武器'!F37</f>
      </c>
      <c r="E37" s="185"/>
      <c r="F37" s="184">
        <f>'武器'!D37</f>
      </c>
      <c r="G37">
        <f>'武器'!E37</f>
      </c>
      <c r="H37" s="4"/>
      <c r="J37">
        <f>'武器'!G37</f>
      </c>
      <c r="K37">
        <f>'武器'!I37</f>
      </c>
      <c r="L37">
        <f>'武器'!O37</f>
      </c>
      <c r="M37">
        <f>'武器'!BN37</f>
      </c>
      <c r="N37">
        <f>'武器'!BS37</f>
      </c>
      <c r="O37">
        <f>'武器'!BO37</f>
      </c>
      <c r="P37" s="4"/>
      <c r="Q37">
        <f>'武器'!W37</f>
      </c>
      <c r="R37">
        <f>'武器'!X37</f>
      </c>
      <c r="S37">
        <f>'武器'!Y37</f>
      </c>
      <c r="T37">
        <f>'武器'!Z37</f>
      </c>
      <c r="U37">
        <f>'武器'!AA37</f>
      </c>
      <c r="V37">
        <f>'武器'!AB37</f>
      </c>
      <c r="W37">
        <f>'武器'!AC37</f>
      </c>
      <c r="X37" s="4"/>
      <c r="Y37">
        <f>'武器'!CK37</f>
      </c>
      <c r="Z37">
        <f>'武器'!BB37</f>
      </c>
      <c r="AA37" s="184">
        <f>'武器'!CA37</f>
      </c>
      <c r="AB37">
        <f>'武器'!BH37</f>
      </c>
      <c r="AC37">
        <f>'武器'!BD37</f>
      </c>
      <c r="AD37">
        <f>'武器'!BL37</f>
      </c>
      <c r="AE37">
        <f>'武器'!BE37</f>
      </c>
      <c r="AF37" s="4"/>
      <c r="AG37" s="186">
        <f>'武器'!P37</f>
      </c>
      <c r="AH37" s="186">
        <f>'武器'!Q37</f>
      </c>
      <c r="AI37" s="186">
        <f>'武器'!R37</f>
      </c>
      <c r="AJ37">
        <f>'武器'!S37</f>
      </c>
      <c r="AK37" s="4"/>
      <c r="AL37">
        <f>'武器'!M37</f>
      </c>
      <c r="AM37">
        <f>'武器'!J37</f>
      </c>
      <c r="AN37" s="4"/>
      <c r="AO37" s="184">
        <f>'武器'!AJ37</f>
      </c>
      <c r="AP37" s="184">
        <f>'武器'!AK37</f>
      </c>
      <c r="AQ37" s="184">
        <f>'武器'!AL37</f>
      </c>
      <c r="AR37" s="4"/>
      <c r="AS37">
        <f>'武器'!H37</f>
      </c>
      <c r="AU37">
        <f>'武器'!N37</f>
      </c>
      <c r="AV37">
        <f>'武器'!BW37</f>
      </c>
      <c r="AW37">
        <f>'武器'!U37</f>
      </c>
      <c r="AX37" s="4"/>
      <c r="AY37" s="26"/>
      <c r="AZ37" s="4"/>
      <c r="BA37" s="184"/>
      <c r="BB37" s="4"/>
      <c r="BC37">
        <f>'武器'!K37</f>
      </c>
      <c r="BD37">
        <f>'武器'!O37</f>
      </c>
      <c r="BE37">
        <f>'武器'!AG37</f>
      </c>
      <c r="BF37">
        <f>'武器'!AH37</f>
      </c>
      <c r="BG37" s="4"/>
      <c r="BH37" s="1" t="str">
        <v>完成</v>
      </c>
    </row>
    <row r="38">
      <c r="A38">
        <f>'武器'!A38</f>
      </c>
      <c r="B38">
        <f>'武器'!B38</f>
      </c>
      <c r="C38">
        <f>'武器'!C38</f>
      </c>
      <c r="D38" s="184">
        <f>'武器'!F38</f>
      </c>
      <c r="E38" s="185"/>
      <c r="F38" s="184">
        <f>'武器'!D38</f>
      </c>
      <c r="G38">
        <f>'武器'!E38</f>
      </c>
      <c r="H38" s="4"/>
      <c r="J38">
        <f>'武器'!G38</f>
      </c>
      <c r="K38">
        <f>'武器'!I38</f>
      </c>
      <c r="L38">
        <f>'武器'!O38</f>
      </c>
      <c r="M38">
        <f>'武器'!BN38</f>
      </c>
      <c r="N38">
        <f>'武器'!BS38</f>
      </c>
      <c r="O38">
        <f>'武器'!BO38</f>
      </c>
      <c r="P38" s="4"/>
      <c r="Q38">
        <f>'武器'!W38</f>
      </c>
      <c r="R38">
        <f>'武器'!X38</f>
      </c>
      <c r="S38">
        <f>'武器'!Y38</f>
      </c>
      <c r="T38">
        <f>'武器'!Z38</f>
      </c>
      <c r="U38">
        <f>'武器'!AA38</f>
      </c>
      <c r="V38">
        <f>'武器'!AB38</f>
      </c>
      <c r="W38">
        <f>'武器'!AC38</f>
      </c>
      <c r="X38" s="4"/>
      <c r="Y38">
        <f>'武器'!CK38</f>
      </c>
      <c r="Z38">
        <f>'武器'!BB38</f>
      </c>
      <c r="AA38" s="184">
        <f>'武器'!CA38</f>
      </c>
      <c r="AB38">
        <f>'武器'!BH38</f>
      </c>
      <c r="AC38">
        <f>'武器'!BD38</f>
      </c>
      <c r="AD38">
        <f>'武器'!BL38</f>
      </c>
      <c r="AE38">
        <f>'武器'!BE38</f>
      </c>
      <c r="AF38" s="4"/>
      <c r="AG38" s="186">
        <f>'武器'!P38</f>
      </c>
      <c r="AH38" s="186">
        <f>'武器'!Q38</f>
      </c>
      <c r="AI38" s="186">
        <f>'武器'!R38</f>
      </c>
      <c r="AJ38">
        <f>'武器'!S38</f>
      </c>
      <c r="AK38" s="4"/>
      <c r="AL38">
        <f>'武器'!M38</f>
      </c>
      <c r="AM38">
        <f>'武器'!J38</f>
      </c>
      <c r="AN38" s="4"/>
      <c r="AO38" s="184">
        <f>'武器'!AJ38</f>
      </c>
      <c r="AP38" s="184">
        <f>'武器'!AK38</f>
      </c>
      <c r="AQ38" s="184">
        <f>'武器'!AL38</f>
      </c>
      <c r="AR38" s="4"/>
      <c r="AS38">
        <f>'武器'!H38</f>
      </c>
      <c r="AU38">
        <f>'武器'!N38</f>
      </c>
      <c r="AV38">
        <f>'武器'!BW38</f>
      </c>
      <c r="AW38">
        <f>'武器'!U38</f>
      </c>
      <c r="AX38" s="4"/>
      <c r="AY38" s="26"/>
      <c r="AZ38" s="4"/>
      <c r="BA38" s="184"/>
      <c r="BB38" s="4"/>
      <c r="BC38">
        <f>'武器'!K38</f>
      </c>
      <c r="BD38">
        <f>'武器'!O38</f>
      </c>
      <c r="BE38">
        <f>'武器'!AG38</f>
      </c>
      <c r="BF38">
        <f>'武器'!AH38</f>
      </c>
      <c r="BG38" s="4"/>
      <c r="BH38" s="1" t="str">
        <v>完成</v>
      </c>
    </row>
    <row r="39">
      <c r="A39" s="193">
        <f>'武器'!A39</f>
      </c>
      <c r="B39" s="193">
        <f>'武器'!B39</f>
      </c>
      <c r="C39" s="193">
        <f>'武器'!C39</f>
      </c>
      <c r="D39" s="193">
        <f>'武器'!F39</f>
      </c>
      <c r="E39" s="187">
        <f>'武器'!CY39</f>
      </c>
      <c r="F39" s="193">
        <f>'武器'!D39</f>
      </c>
      <c r="G39" s="193">
        <f>'武器'!E39</f>
      </c>
      <c r="H39" s="193"/>
      <c r="I39" s="193"/>
      <c r="J39" s="193">
        <f>'武器'!G39</f>
      </c>
      <c r="K39" s="193">
        <f>'武器'!I39</f>
      </c>
      <c r="L39" s="193">
        <f>'武器'!O39</f>
      </c>
      <c r="M39" s="193">
        <f>'武器'!BN39</f>
      </c>
      <c r="N39" s="193">
        <f>'武器'!BS39</f>
      </c>
      <c r="O39" s="193">
        <f>'武器'!BO39</f>
      </c>
      <c r="P39" s="193"/>
      <c r="Q39" s="193">
        <f>'武器'!W39</f>
      </c>
      <c r="R39" s="193">
        <f>'武器'!X39</f>
      </c>
      <c r="S39" s="193">
        <f>'武器'!Y39</f>
      </c>
      <c r="T39" s="193">
        <f>'武器'!Z39</f>
      </c>
      <c r="U39" s="193">
        <f>'武器'!AA39</f>
      </c>
      <c r="V39" s="193">
        <f>'武器'!AB39</f>
      </c>
      <c r="W39" s="193">
        <f>'武器'!AC39</f>
      </c>
      <c r="X39" s="193"/>
      <c r="Y39" s="193">
        <f>'武器'!CK39</f>
      </c>
      <c r="Z39" s="193">
        <f>'武器'!BB39</f>
      </c>
      <c r="AA39" s="193">
        <f>'武器'!CA39</f>
      </c>
      <c r="AB39" s="193">
        <f>'武器'!BH39</f>
      </c>
      <c r="AC39" s="193">
        <f>'武器'!BD39</f>
      </c>
      <c r="AD39" s="193">
        <f>'武器'!BL39</f>
      </c>
      <c r="AE39" s="193">
        <f>'武器'!BE39</f>
      </c>
      <c r="AF39" s="193"/>
      <c r="AG39" s="194">
        <f>'武器'!P39</f>
      </c>
      <c r="AH39" s="194">
        <f>'武器'!Q39</f>
      </c>
      <c r="AI39" s="194">
        <f>'武器'!R39</f>
      </c>
      <c r="AJ39" s="193">
        <f>'武器'!S39</f>
      </c>
      <c r="AK39" s="193"/>
      <c r="AL39" s="193">
        <f>'武器'!M39</f>
      </c>
      <c r="AM39" s="193">
        <f>'武器'!J39</f>
      </c>
      <c r="AN39" s="193"/>
      <c r="AO39" s="193">
        <f>'武器'!AJ39</f>
      </c>
      <c r="AP39" s="193">
        <f>'武器'!AK39</f>
      </c>
      <c r="AQ39" s="193">
        <f>'武器'!AL39</f>
      </c>
      <c r="AR39" s="193"/>
      <c r="AS39" s="193">
        <f>'武器'!H39</f>
      </c>
      <c r="AT39" s="193"/>
      <c r="AU39" s="193">
        <f>'武器'!N39</f>
      </c>
      <c r="AV39" s="193">
        <f>'武器'!BW39</f>
      </c>
      <c r="AW39" s="193">
        <f>'武器'!U39</f>
      </c>
      <c r="AX39" s="193"/>
      <c r="AY39" s="188">
        <f>'武器'!DA39</f>
      </c>
      <c r="AZ39" s="193"/>
      <c r="BA39" s="193"/>
      <c r="BB39" s="193"/>
      <c r="BC39" s="193">
        <f>'武器'!K39</f>
      </c>
      <c r="BD39" s="193">
        <f>'武器'!O39</f>
      </c>
      <c r="BE39" s="193">
        <f>'武器'!AG39</f>
      </c>
      <c r="BF39" s="193">
        <f>'武器'!AH39</f>
      </c>
      <c r="BG39" s="193"/>
      <c r="BH39" s="27" t="str">
        <v>完成</v>
      </c>
    </row>
    <row r="40">
      <c r="A40" s="189">
        <f>'武器'!A40</f>
      </c>
      <c r="B40" s="189">
        <f>'武器'!B40</f>
      </c>
      <c r="C40" s="189">
        <f>'武器'!C40</f>
      </c>
      <c r="D40" s="189">
        <f>'武器'!F40</f>
      </c>
      <c r="E40" s="190"/>
      <c r="F40" s="189">
        <f>'武器'!D40</f>
      </c>
      <c r="G40" s="189">
        <f>'武器'!E40</f>
      </c>
      <c r="H40" s="189"/>
      <c r="I40" s="189"/>
      <c r="J40" s="189">
        <f>'武器'!G40</f>
      </c>
      <c r="K40" s="189">
        <f>'武器'!I40</f>
      </c>
      <c r="L40" s="189">
        <f>'武器'!O40</f>
      </c>
      <c r="M40" s="189">
        <f>'武器'!BN40</f>
      </c>
      <c r="N40" s="189">
        <f>'武器'!BS40</f>
      </c>
      <c r="O40" s="189">
        <f>'武器'!BO40</f>
      </c>
      <c r="P40" s="189"/>
      <c r="Q40" s="189">
        <f>'武器'!W40</f>
      </c>
      <c r="R40" s="189">
        <f>'武器'!X40</f>
      </c>
      <c r="S40" s="189">
        <f>'武器'!Y40</f>
      </c>
      <c r="T40" s="189">
        <f>'武器'!Z40</f>
      </c>
      <c r="U40" s="189">
        <f>'武器'!AA40</f>
      </c>
      <c r="V40" s="189">
        <f>'武器'!AB40</f>
      </c>
      <c r="W40" s="189">
        <f>'武器'!AC40</f>
      </c>
      <c r="X40" s="189"/>
      <c r="Y40" s="189">
        <f>'武器'!CK40</f>
      </c>
      <c r="Z40" s="189">
        <f>'武器'!BB40</f>
      </c>
      <c r="AA40" s="189">
        <f>'武器'!CA40</f>
      </c>
      <c r="AB40" s="189">
        <f>'武器'!BH40</f>
      </c>
      <c r="AC40" s="189">
        <f>'武器'!BD40</f>
      </c>
      <c r="AD40" s="189">
        <f>'武器'!BL40</f>
      </c>
      <c r="AE40" s="189">
        <f>'武器'!BE40</f>
      </c>
      <c r="AF40" s="189"/>
      <c r="AG40" s="191">
        <f>'武器'!P40</f>
      </c>
      <c r="AH40" s="191">
        <f>'武器'!Q40</f>
      </c>
      <c r="AI40" s="191">
        <f>'武器'!R40</f>
      </c>
      <c r="AJ40" s="189">
        <f>'武器'!S40</f>
      </c>
      <c r="AK40" s="189"/>
      <c r="AL40" s="189">
        <f>'武器'!M40</f>
      </c>
      <c r="AM40" s="189">
        <f>'武器'!J40</f>
      </c>
      <c r="AN40" s="189"/>
      <c r="AO40" s="189">
        <f>'武器'!AJ40</f>
      </c>
      <c r="AP40" s="189">
        <f>'武器'!AK40</f>
      </c>
      <c r="AQ40" s="189">
        <f>'武器'!AL40</f>
      </c>
      <c r="AR40" s="189"/>
      <c r="AS40" s="189">
        <f>'武器'!H40</f>
      </c>
      <c r="AT40" s="189"/>
      <c r="AU40" s="189">
        <f>'武器'!N40</f>
      </c>
      <c r="AV40" s="189">
        <f>'武器'!BW40</f>
      </c>
      <c r="AW40" s="189">
        <f>'武器'!U40</f>
      </c>
      <c r="AX40" s="189"/>
      <c r="AY40" s="192"/>
      <c r="AZ40" s="189"/>
      <c r="BA40" s="189"/>
      <c r="BB40" s="189"/>
      <c r="BC40" s="189">
        <f>'武器'!K40</f>
      </c>
      <c r="BD40" s="189">
        <f>'武器'!O40</f>
      </c>
      <c r="BE40" s="189">
        <f>'武器'!AG40</f>
      </c>
      <c r="BF40" s="189">
        <f>'武器'!AH40</f>
      </c>
      <c r="BG40" s="189"/>
      <c r="BH40" s="159" t="str">
        <v>完成</v>
      </c>
    </row>
    <row r="41">
      <c r="A41" s="4">
        <f>'武器'!A41</f>
      </c>
      <c r="B41" s="4">
        <f>'武器'!B41</f>
      </c>
      <c r="C41" s="4">
        <f>'武器'!C41</f>
      </c>
      <c r="D41" s="4">
        <f>'武器'!F41</f>
      </c>
      <c r="E41" s="185"/>
      <c r="F41" s="4">
        <f>'武器'!D41</f>
      </c>
      <c r="G41" s="4">
        <f>'武器'!E41</f>
      </c>
      <c r="H41" s="4"/>
      <c r="I41" s="4"/>
      <c r="J41" s="4">
        <f>'武器'!G41</f>
      </c>
      <c r="K41" s="4">
        <f>'武器'!I41</f>
      </c>
      <c r="L41" s="4">
        <f>'武器'!O41</f>
      </c>
      <c r="M41" s="4">
        <f>'武器'!BN41</f>
      </c>
      <c r="N41" s="4">
        <f>'武器'!BS41</f>
      </c>
      <c r="O41" s="4">
        <f>'武器'!BO41</f>
      </c>
      <c r="P41" s="4"/>
      <c r="Q41" s="4">
        <f>'武器'!W41</f>
      </c>
      <c r="R41" s="4">
        <f>'武器'!X41</f>
      </c>
      <c r="S41" s="4">
        <f>'武器'!Y41</f>
      </c>
      <c r="T41" s="4">
        <f>'武器'!Z41</f>
      </c>
      <c r="U41" s="4">
        <f>'武器'!AA41</f>
      </c>
      <c r="V41" s="4">
        <f>'武器'!AB41</f>
      </c>
      <c r="W41" s="4">
        <f>'武器'!AC41</f>
      </c>
      <c r="X41" s="4"/>
      <c r="Y41" s="4">
        <f>'武器'!CK41</f>
      </c>
      <c r="Z41" s="4">
        <f>'武器'!BB41</f>
      </c>
      <c r="AA41" s="4">
        <f>'武器'!CA41</f>
      </c>
      <c r="AB41" s="4">
        <f>'武器'!BH41</f>
      </c>
      <c r="AC41" s="4">
        <f>'武器'!BD41</f>
      </c>
      <c r="AD41" s="4">
        <f>'武器'!BL41</f>
      </c>
      <c r="AE41" s="4">
        <f>'武器'!BE41</f>
      </c>
      <c r="AF41" s="4"/>
      <c r="AG41" s="186">
        <f>'武器'!P41</f>
      </c>
      <c r="AH41" s="186">
        <f>'武器'!Q41</f>
      </c>
      <c r="AI41" s="186">
        <f>'武器'!R41</f>
      </c>
      <c r="AJ41" s="4">
        <f>'武器'!S41</f>
      </c>
      <c r="AK41" s="4"/>
      <c r="AL41" s="4">
        <f>'武器'!M41</f>
      </c>
      <c r="AM41" s="4">
        <f>'武器'!J41</f>
      </c>
      <c r="AN41" s="4"/>
      <c r="AO41" s="4">
        <f>'武器'!AJ41</f>
      </c>
      <c r="AP41" s="4">
        <f>'武器'!AK41</f>
      </c>
      <c r="AQ41" s="4">
        <f>'武器'!AL41</f>
      </c>
      <c r="AR41" s="4"/>
      <c r="AS41" s="4">
        <f>'武器'!H41</f>
      </c>
      <c r="AT41" s="4"/>
      <c r="AU41" s="4">
        <f>'武器'!N41</f>
      </c>
      <c r="AV41" s="4">
        <f>'武器'!BW41</f>
      </c>
      <c r="AW41" s="4">
        <f>'武器'!U41</f>
      </c>
      <c r="AX41" s="4"/>
      <c r="AY41" s="26"/>
      <c r="AZ41" s="4"/>
      <c r="BA41" s="4"/>
      <c r="BB41" s="4"/>
      <c r="BC41" s="4">
        <f>'武器'!K41</f>
      </c>
      <c r="BD41" s="4">
        <f>'武器'!O41</f>
      </c>
      <c r="BE41" s="4">
        <f>'武器'!AG41</f>
      </c>
      <c r="BF41" s="4">
        <f>'武器'!AH41</f>
      </c>
      <c r="BG41" s="4"/>
      <c r="BH41" s="1" t="str">
        <v>完成</v>
      </c>
    </row>
    <row r="42">
      <c r="A42">
        <f>'武器'!A42</f>
      </c>
      <c r="B42">
        <f>'武器'!B42</f>
      </c>
      <c r="C42">
        <f>'武器'!C42</f>
      </c>
      <c r="D42" s="184">
        <f>'武器'!F42</f>
      </c>
      <c r="E42" s="185"/>
      <c r="F42" s="184">
        <f>'武器'!D42</f>
      </c>
      <c r="G42">
        <f>'武器'!E42</f>
      </c>
      <c r="H42" s="4"/>
      <c r="J42">
        <f>'武器'!G42</f>
      </c>
      <c r="K42">
        <f>'武器'!I42</f>
      </c>
      <c r="L42">
        <f>'武器'!O42</f>
      </c>
      <c r="M42">
        <f>'武器'!BN42</f>
      </c>
      <c r="N42">
        <f>'武器'!BS42</f>
      </c>
      <c r="O42">
        <f>'武器'!BO42</f>
      </c>
      <c r="P42" s="4"/>
      <c r="Q42">
        <f>'武器'!W42</f>
      </c>
      <c r="R42">
        <f>'武器'!X42</f>
      </c>
      <c r="S42">
        <f>'武器'!Y42</f>
      </c>
      <c r="T42">
        <f>'武器'!Z42</f>
      </c>
      <c r="U42">
        <f>'武器'!AA42</f>
      </c>
      <c r="V42">
        <f>'武器'!AB42</f>
      </c>
      <c r="W42">
        <f>'武器'!AC42</f>
      </c>
      <c r="X42" s="4"/>
      <c r="Y42">
        <f>'武器'!CK42</f>
      </c>
      <c r="Z42">
        <f>'武器'!BB42</f>
      </c>
      <c r="AA42" s="184">
        <f>'武器'!CA42</f>
      </c>
      <c r="AB42">
        <f>'武器'!BH42</f>
      </c>
      <c r="AC42">
        <f>'武器'!BD42</f>
      </c>
      <c r="AD42">
        <f>'武器'!BL42</f>
      </c>
      <c r="AE42">
        <f>'武器'!BE42</f>
      </c>
      <c r="AF42" s="4"/>
      <c r="AG42" s="186">
        <f>'武器'!P42</f>
      </c>
      <c r="AH42" s="186">
        <f>'武器'!Q42</f>
      </c>
      <c r="AI42" s="186">
        <f>'武器'!R42</f>
      </c>
      <c r="AJ42">
        <f>'武器'!S42</f>
      </c>
      <c r="AK42" s="4"/>
      <c r="AL42">
        <f>'武器'!M42</f>
      </c>
      <c r="AM42">
        <f>'武器'!J42</f>
      </c>
      <c r="AN42" s="4"/>
      <c r="AO42" s="184">
        <f>'武器'!AJ42</f>
      </c>
      <c r="AP42" s="184">
        <f>'武器'!AK42</f>
      </c>
      <c r="AQ42" s="184">
        <f>'武器'!AL42</f>
      </c>
      <c r="AR42" s="4"/>
      <c r="AS42">
        <f>'武器'!H42</f>
      </c>
      <c r="AU42">
        <f>'武器'!N42</f>
      </c>
      <c r="AV42">
        <f>'武器'!BW42</f>
      </c>
      <c r="AW42">
        <f>'武器'!U42</f>
      </c>
      <c r="AX42" s="4"/>
      <c r="AY42" s="26"/>
      <c r="AZ42" s="4"/>
      <c r="BA42" s="184"/>
      <c r="BB42" s="4"/>
      <c r="BC42">
        <f>'武器'!K42</f>
      </c>
      <c r="BD42">
        <f>'武器'!O42</f>
      </c>
      <c r="BE42">
        <f>'武器'!AG42</f>
      </c>
      <c r="BF42">
        <f>'武器'!AH42</f>
      </c>
      <c r="BG42" s="4"/>
      <c r="BH42" s="1" t="str">
        <v>完成</v>
      </c>
    </row>
    <row r="43">
      <c r="A43">
        <f>'武器'!A43</f>
      </c>
      <c r="B43">
        <f>'武器'!B43</f>
      </c>
      <c r="C43">
        <f>'武器'!C43</f>
      </c>
      <c r="D43" s="184">
        <f>'武器'!F43</f>
      </c>
      <c r="E43" s="185"/>
      <c r="F43" s="184">
        <f>'武器'!D43</f>
      </c>
      <c r="G43">
        <f>'武器'!E43</f>
      </c>
      <c r="H43" s="4"/>
      <c r="J43">
        <f>'武器'!G43</f>
      </c>
      <c r="K43">
        <f>'武器'!I43</f>
      </c>
      <c r="L43">
        <f>'武器'!O43</f>
      </c>
      <c r="M43">
        <f>'武器'!BN43</f>
      </c>
      <c r="N43">
        <f>'武器'!BS43</f>
      </c>
      <c r="O43">
        <f>'武器'!BO43</f>
      </c>
      <c r="P43" s="4"/>
      <c r="Q43">
        <f>'武器'!W43</f>
      </c>
      <c r="R43">
        <f>'武器'!X43</f>
      </c>
      <c r="S43">
        <f>'武器'!Y43</f>
      </c>
      <c r="T43">
        <f>'武器'!Z43</f>
      </c>
      <c r="U43">
        <f>'武器'!AA43</f>
      </c>
      <c r="V43">
        <f>'武器'!AB43</f>
      </c>
      <c r="W43">
        <f>'武器'!AC43</f>
      </c>
      <c r="X43" s="4"/>
      <c r="Y43">
        <f>'武器'!CK43</f>
      </c>
      <c r="Z43">
        <f>'武器'!BB43</f>
      </c>
      <c r="AA43" s="184">
        <f>'武器'!CA43</f>
      </c>
      <c r="AB43">
        <f>'武器'!BH43</f>
      </c>
      <c r="AC43">
        <f>'武器'!BD43</f>
      </c>
      <c r="AD43">
        <f>'武器'!BL43</f>
      </c>
      <c r="AE43">
        <f>'武器'!BE43</f>
      </c>
      <c r="AF43" s="4"/>
      <c r="AG43" s="186">
        <f>'武器'!P43</f>
      </c>
      <c r="AH43" s="186">
        <f>'武器'!Q43</f>
      </c>
      <c r="AI43" s="186">
        <f>'武器'!R43</f>
      </c>
      <c r="AJ43">
        <f>'武器'!S43</f>
      </c>
      <c r="AK43" s="4"/>
      <c r="AL43">
        <f>'武器'!M43</f>
      </c>
      <c r="AM43">
        <f>'武器'!J43</f>
      </c>
      <c r="AN43" s="4"/>
      <c r="AO43" s="184">
        <f>'武器'!AJ43</f>
      </c>
      <c r="AP43" s="184">
        <f>'武器'!AK43</f>
      </c>
      <c r="AQ43" s="184">
        <f>'武器'!AL43</f>
      </c>
      <c r="AR43" s="4"/>
      <c r="AS43">
        <f>'武器'!H43</f>
      </c>
      <c r="AU43">
        <f>'武器'!N43</f>
      </c>
      <c r="AV43">
        <f>'武器'!BW43</f>
      </c>
      <c r="AW43">
        <f>'武器'!U43</f>
      </c>
      <c r="AX43" s="4"/>
      <c r="AY43" s="26"/>
      <c r="AZ43" s="4"/>
      <c r="BA43" s="184"/>
      <c r="BB43" s="4"/>
      <c r="BC43">
        <f>'武器'!K43</f>
      </c>
      <c r="BD43">
        <f>'武器'!O43</f>
      </c>
      <c r="BE43">
        <f>'武器'!AG43</f>
      </c>
      <c r="BF43">
        <f>'武器'!AH43</f>
      </c>
      <c r="BG43" s="4"/>
      <c r="BH43" s="1" t="str">
        <v>完成</v>
      </c>
    </row>
    <row r="44">
      <c r="A44">
        <f>'武器'!A44</f>
      </c>
      <c r="B44">
        <f>'武器'!B44</f>
      </c>
      <c r="C44">
        <f>'武器'!C44</f>
      </c>
      <c r="D44" s="184">
        <f>'武器'!F44</f>
      </c>
      <c r="E44" s="185"/>
      <c r="F44" s="184">
        <f>'武器'!D44</f>
      </c>
      <c r="G44">
        <f>'武器'!E44</f>
      </c>
      <c r="H44" s="4"/>
      <c r="J44">
        <f>'武器'!G44</f>
      </c>
      <c r="K44">
        <f>'武器'!I44</f>
      </c>
      <c r="L44">
        <f>'武器'!O44</f>
      </c>
      <c r="M44">
        <f>'武器'!BN44</f>
      </c>
      <c r="N44">
        <f>'武器'!BS44</f>
      </c>
      <c r="O44">
        <f>'武器'!BO44</f>
      </c>
      <c r="P44" s="4"/>
      <c r="Q44">
        <f>'武器'!W44</f>
      </c>
      <c r="R44">
        <f>'武器'!X44</f>
      </c>
      <c r="S44">
        <f>'武器'!Y44</f>
      </c>
      <c r="T44">
        <f>'武器'!Z44</f>
      </c>
      <c r="U44">
        <f>'武器'!AA44</f>
      </c>
      <c r="V44">
        <f>'武器'!AB44</f>
      </c>
      <c r="W44">
        <f>'武器'!AC44</f>
      </c>
      <c r="X44" s="4"/>
      <c r="Y44">
        <f>'武器'!CK44</f>
      </c>
      <c r="Z44">
        <f>'武器'!BB44</f>
      </c>
      <c r="AA44" s="184">
        <f>'武器'!CA44</f>
      </c>
      <c r="AB44">
        <f>'武器'!BH44</f>
      </c>
      <c r="AC44">
        <f>'武器'!BD44</f>
      </c>
      <c r="AD44">
        <f>'武器'!BL44</f>
      </c>
      <c r="AE44">
        <f>'武器'!BE44</f>
      </c>
      <c r="AF44" s="4"/>
      <c r="AG44" s="186">
        <f>'武器'!P44</f>
      </c>
      <c r="AH44" s="186">
        <f>'武器'!Q44</f>
      </c>
      <c r="AI44" s="186">
        <f>'武器'!R44</f>
      </c>
      <c r="AJ44">
        <f>'武器'!S44</f>
      </c>
      <c r="AK44" s="4"/>
      <c r="AL44">
        <f>'武器'!M44</f>
      </c>
      <c r="AM44">
        <f>'武器'!J44</f>
      </c>
      <c r="AN44" s="4"/>
      <c r="AO44" s="184">
        <f>'武器'!AJ44</f>
      </c>
      <c r="AP44" s="184">
        <f>'武器'!AK44</f>
      </c>
      <c r="AQ44" s="184">
        <f>'武器'!AL44</f>
      </c>
      <c r="AR44" s="4"/>
      <c r="AS44">
        <f>'武器'!H44</f>
      </c>
      <c r="AU44">
        <f>'武器'!N44</f>
      </c>
      <c r="AV44">
        <f>'武器'!BW44</f>
      </c>
      <c r="AW44">
        <f>'武器'!U44</f>
      </c>
      <c r="AX44" s="4"/>
      <c r="AY44" s="26"/>
      <c r="AZ44" s="4"/>
      <c r="BA44" s="184"/>
      <c r="BB44" s="4"/>
      <c r="BC44">
        <f>'武器'!K44</f>
      </c>
      <c r="BD44">
        <f>'武器'!O44</f>
      </c>
      <c r="BE44">
        <f>'武器'!AG44</f>
      </c>
      <c r="BF44">
        <f>'武器'!AH44</f>
      </c>
      <c r="BG44" s="4"/>
      <c r="BH44" s="1" t="str">
        <v>完成</v>
      </c>
    </row>
    <row r="45">
      <c r="A45" s="193">
        <f>'武器'!A45</f>
      </c>
      <c r="B45" s="193">
        <f>'武器'!B45</f>
      </c>
      <c r="C45" s="193">
        <f>'武器'!C45</f>
      </c>
      <c r="D45" s="193">
        <f>'武器'!F45</f>
      </c>
      <c r="E45" s="187">
        <f>'武器'!CY45</f>
      </c>
      <c r="F45" s="193">
        <f>'武器'!D45</f>
      </c>
      <c r="G45" s="193">
        <f>'武器'!E45</f>
      </c>
      <c r="H45" s="193"/>
      <c r="I45" s="193"/>
      <c r="J45" s="193">
        <f>'武器'!G45</f>
      </c>
      <c r="K45" s="193">
        <f>'武器'!I45</f>
      </c>
      <c r="L45" s="193">
        <f>'武器'!O45</f>
      </c>
      <c r="M45" s="193">
        <f>'武器'!BN45</f>
      </c>
      <c r="N45" s="193">
        <f>'武器'!BS45</f>
      </c>
      <c r="O45" s="193">
        <f>'武器'!BO45</f>
      </c>
      <c r="P45" s="193"/>
      <c r="Q45" s="193">
        <f>'武器'!W45</f>
      </c>
      <c r="R45" s="193">
        <f>'武器'!X45</f>
      </c>
      <c r="S45" s="193">
        <f>'武器'!Y45</f>
      </c>
      <c r="T45" s="193">
        <f>'武器'!Z45</f>
      </c>
      <c r="U45" s="193">
        <f>'武器'!AA45</f>
      </c>
      <c r="V45" s="193">
        <f>'武器'!AB45</f>
      </c>
      <c r="W45" s="193">
        <f>'武器'!AC45</f>
      </c>
      <c r="X45" s="193"/>
      <c r="Y45" s="193">
        <f>'武器'!CK45</f>
      </c>
      <c r="Z45" s="193">
        <f>'武器'!BB45</f>
      </c>
      <c r="AA45" s="193">
        <f>'武器'!CA45</f>
      </c>
      <c r="AB45" s="193">
        <f>'武器'!BH45</f>
      </c>
      <c r="AC45" s="193">
        <f>'武器'!BD45</f>
      </c>
      <c r="AD45" s="193">
        <f>'武器'!BL45</f>
      </c>
      <c r="AE45" s="193">
        <f>'武器'!BE45</f>
      </c>
      <c r="AF45" s="193"/>
      <c r="AG45" s="194">
        <f>'武器'!P45</f>
      </c>
      <c r="AH45" s="194">
        <f>'武器'!Q45</f>
      </c>
      <c r="AI45" s="194">
        <f>'武器'!R45</f>
      </c>
      <c r="AJ45" s="193">
        <f>'武器'!S45</f>
      </c>
      <c r="AK45" s="193"/>
      <c r="AL45" s="193">
        <f>'武器'!M45</f>
      </c>
      <c r="AM45" s="193">
        <f>'武器'!J45</f>
      </c>
      <c r="AN45" s="193"/>
      <c r="AO45" s="193">
        <f>'武器'!AJ45</f>
      </c>
      <c r="AP45" s="193">
        <f>'武器'!AK45</f>
      </c>
      <c r="AQ45" s="193">
        <f>'武器'!AL45</f>
      </c>
      <c r="AR45" s="193"/>
      <c r="AS45" s="193">
        <f>'武器'!H45</f>
      </c>
      <c r="AT45" s="193"/>
      <c r="AU45" s="193">
        <f>'武器'!N45</f>
      </c>
      <c r="AV45" s="193">
        <f>'武器'!BW45</f>
      </c>
      <c r="AW45" s="193">
        <f>'武器'!U45</f>
      </c>
      <c r="AX45" s="193"/>
      <c r="AY45" s="188">
        <f>'武器'!DA45</f>
      </c>
      <c r="AZ45" s="193"/>
      <c r="BA45" s="193"/>
      <c r="BB45" s="193"/>
      <c r="BC45" s="193">
        <f>'武器'!K45</f>
      </c>
      <c r="BD45" s="193">
        <f>'武器'!O45</f>
      </c>
      <c r="BE45" s="193">
        <f>'武器'!AG45</f>
      </c>
      <c r="BF45" s="193">
        <f>'武器'!AH45</f>
      </c>
      <c r="BG45" s="193"/>
      <c r="BH45" s="27" t="str">
        <v>完成</v>
      </c>
    </row>
    <row r="46">
      <c r="A46" s="189">
        <f>'武器'!A46</f>
      </c>
      <c r="B46" s="189">
        <f>'武器'!B46</f>
      </c>
      <c r="C46" s="189">
        <f>'武器'!C46</f>
      </c>
      <c r="D46" s="189">
        <f>'武器'!F46</f>
      </c>
      <c r="E46" s="190"/>
      <c r="F46" s="189">
        <f>'武器'!D46</f>
      </c>
      <c r="G46" s="189">
        <f>'武器'!E46</f>
      </c>
      <c r="H46" s="189"/>
      <c r="I46" s="189"/>
      <c r="J46" s="189">
        <f>'武器'!G46</f>
      </c>
      <c r="K46" s="189">
        <f>'武器'!I46</f>
      </c>
      <c r="L46" s="189">
        <f>'武器'!O46</f>
      </c>
      <c r="M46" s="189">
        <f>'武器'!BN46</f>
      </c>
      <c r="N46" s="189">
        <f>'武器'!BS46</f>
      </c>
      <c r="O46" s="189">
        <f>'武器'!BO46</f>
      </c>
      <c r="P46" s="189"/>
      <c r="Q46" s="189">
        <f>'武器'!W46</f>
      </c>
      <c r="R46" s="189">
        <f>'武器'!X46</f>
      </c>
      <c r="S46" s="189">
        <f>'武器'!Y46</f>
      </c>
      <c r="T46" s="189">
        <f>'武器'!Z46</f>
      </c>
      <c r="U46" s="189">
        <f>'武器'!AA46</f>
      </c>
      <c r="V46" s="189">
        <f>'武器'!AB46</f>
      </c>
      <c r="W46" s="189">
        <f>'武器'!AC46</f>
      </c>
      <c r="X46" s="189"/>
      <c r="Y46" s="189">
        <f>'武器'!CK46</f>
      </c>
      <c r="Z46" s="189">
        <f>'武器'!BB46</f>
      </c>
      <c r="AA46" s="189">
        <f>'武器'!CA46</f>
      </c>
      <c r="AB46" s="189">
        <f>'武器'!BH46</f>
      </c>
      <c r="AC46" s="189">
        <f>'武器'!BD46</f>
      </c>
      <c r="AD46" s="189">
        <f>'武器'!BL46</f>
      </c>
      <c r="AE46" s="189">
        <f>'武器'!BE46</f>
      </c>
      <c r="AF46" s="189"/>
      <c r="AG46" s="191">
        <f>'武器'!P46</f>
      </c>
      <c r="AH46" s="191">
        <f>'武器'!Q46</f>
      </c>
      <c r="AI46" s="191">
        <f>'武器'!R46</f>
      </c>
      <c r="AJ46" s="189">
        <f>'武器'!S46</f>
      </c>
      <c r="AK46" s="189"/>
      <c r="AL46" s="189">
        <f>'武器'!M46</f>
      </c>
      <c r="AM46" s="189">
        <f>'武器'!J46</f>
      </c>
      <c r="AN46" s="189"/>
      <c r="AO46" s="189">
        <f>'武器'!AJ46</f>
      </c>
      <c r="AP46" s="189">
        <f>'武器'!AK46</f>
      </c>
      <c r="AQ46" s="189">
        <f>'武器'!AL46</f>
      </c>
      <c r="AR46" s="189"/>
      <c r="AS46" s="189">
        <f>'武器'!H46</f>
      </c>
      <c r="AT46" s="189"/>
      <c r="AU46" s="189">
        <f>'武器'!N46</f>
      </c>
      <c r="AV46" s="189">
        <f>'武器'!BW46</f>
      </c>
      <c r="AW46" s="189">
        <f>'武器'!U46</f>
      </c>
      <c r="AX46" s="189"/>
      <c r="AY46" s="192"/>
      <c r="AZ46" s="189"/>
      <c r="BA46" s="189"/>
      <c r="BB46" s="189"/>
      <c r="BC46" s="189">
        <f>'武器'!K46</f>
      </c>
      <c r="BD46" s="189">
        <f>'武器'!O46</f>
      </c>
      <c r="BE46" s="189">
        <f>'武器'!AG46</f>
      </c>
      <c r="BF46" s="189">
        <f>'武器'!AH46</f>
      </c>
      <c r="BG46" s="189"/>
      <c r="BH46" s="159" t="str">
        <v>完成</v>
      </c>
    </row>
    <row r="47">
      <c r="A47">
        <f>'武器'!A47</f>
      </c>
      <c r="B47">
        <f>'武器'!B47</f>
      </c>
      <c r="C47">
        <f>'武器'!C47</f>
      </c>
      <c r="D47" s="184">
        <f>'武器'!F47</f>
      </c>
      <c r="E47" s="185"/>
      <c r="F47" s="184">
        <f>'武器'!D47</f>
      </c>
      <c r="G47">
        <f>'武器'!E47</f>
      </c>
      <c r="H47" s="4"/>
      <c r="J47">
        <f>'武器'!G47</f>
      </c>
      <c r="K47">
        <f>'武器'!I47</f>
      </c>
      <c r="L47">
        <f>'武器'!O47</f>
      </c>
      <c r="M47">
        <f>'武器'!BN47</f>
      </c>
      <c r="N47">
        <f>'武器'!BS47</f>
      </c>
      <c r="O47">
        <f>'武器'!BO47</f>
      </c>
      <c r="P47" s="4"/>
      <c r="Q47">
        <f>'武器'!W47</f>
      </c>
      <c r="R47">
        <f>'武器'!X47</f>
      </c>
      <c r="S47">
        <f>'武器'!Y47</f>
      </c>
      <c r="T47">
        <f>'武器'!Z47</f>
      </c>
      <c r="U47">
        <f>'武器'!AA47</f>
      </c>
      <c r="V47">
        <f>'武器'!AB47</f>
      </c>
      <c r="W47">
        <f>'武器'!AC47</f>
      </c>
      <c r="X47" s="4"/>
      <c r="Y47">
        <f>'武器'!CK47</f>
      </c>
      <c r="Z47">
        <f>'武器'!BB47</f>
      </c>
      <c r="AA47" s="184">
        <f>'武器'!CA47</f>
      </c>
      <c r="AB47">
        <f>'武器'!BH47</f>
      </c>
      <c r="AC47">
        <f>'武器'!BD47</f>
      </c>
      <c r="AD47">
        <f>'武器'!BL47</f>
      </c>
      <c r="AE47">
        <f>'武器'!BE47</f>
      </c>
      <c r="AF47" s="4"/>
      <c r="AG47" s="186">
        <f>'武器'!P47</f>
      </c>
      <c r="AH47" s="186">
        <f>'武器'!Q47</f>
      </c>
      <c r="AI47" s="186">
        <f>'武器'!R47</f>
      </c>
      <c r="AJ47">
        <f>'武器'!S47</f>
      </c>
      <c r="AK47" s="4"/>
      <c r="AL47">
        <f>'武器'!M47</f>
      </c>
      <c r="AM47">
        <f>'武器'!J47</f>
      </c>
      <c r="AN47" s="4"/>
      <c r="AO47" s="184">
        <f>'武器'!AJ47</f>
      </c>
      <c r="AP47" s="184">
        <f>'武器'!AK47</f>
      </c>
      <c r="AQ47" s="184">
        <f>'武器'!AL47</f>
      </c>
      <c r="AR47" s="4"/>
      <c r="AS47">
        <f>'武器'!H47</f>
      </c>
      <c r="AU47">
        <f>'武器'!N47</f>
      </c>
      <c r="AV47">
        <f>'武器'!BW47</f>
      </c>
      <c r="AW47">
        <f>'武器'!U47</f>
      </c>
      <c r="AX47" s="4"/>
      <c r="AY47" s="26"/>
      <c r="AZ47" s="4"/>
      <c r="BA47" s="184"/>
      <c r="BB47" s="4"/>
      <c r="BC47">
        <f>'武器'!K47</f>
      </c>
      <c r="BD47">
        <f>'武器'!O47</f>
      </c>
      <c r="BE47">
        <f>'武器'!AG47</f>
      </c>
      <c r="BF47">
        <f>'武器'!AH47</f>
      </c>
      <c r="BG47" s="4"/>
      <c r="BH47" s="1" t="str">
        <v>完成</v>
      </c>
    </row>
    <row r="48">
      <c r="A48">
        <f>'武器'!A48</f>
      </c>
      <c r="B48">
        <f>'武器'!B48</f>
      </c>
      <c r="C48">
        <f>'武器'!C48</f>
      </c>
      <c r="D48" s="184">
        <f>'武器'!F48</f>
      </c>
      <c r="E48" s="185"/>
      <c r="F48" s="184">
        <f>'武器'!D48</f>
      </c>
      <c r="G48">
        <f>'武器'!E48</f>
      </c>
      <c r="H48" s="4"/>
      <c r="J48">
        <f>'武器'!G48</f>
      </c>
      <c r="K48">
        <f>'武器'!I48</f>
      </c>
      <c r="L48">
        <f>'武器'!O48</f>
      </c>
      <c r="M48">
        <f>'武器'!BN48</f>
      </c>
      <c r="N48">
        <f>'武器'!BS48</f>
      </c>
      <c r="O48">
        <f>'武器'!BO48</f>
      </c>
      <c r="P48" s="4"/>
      <c r="Q48">
        <f>'武器'!W48</f>
      </c>
      <c r="R48">
        <f>'武器'!X48</f>
      </c>
      <c r="S48">
        <f>'武器'!Y48</f>
      </c>
      <c r="T48">
        <f>'武器'!Z48</f>
      </c>
      <c r="U48">
        <f>'武器'!AA48</f>
      </c>
      <c r="V48">
        <f>'武器'!AB48</f>
      </c>
      <c r="W48">
        <f>'武器'!AC48</f>
      </c>
      <c r="X48" s="4"/>
      <c r="Y48">
        <f>'武器'!CK48</f>
      </c>
      <c r="Z48">
        <f>'武器'!BB48</f>
      </c>
      <c r="AA48" s="184">
        <f>'武器'!CA48</f>
      </c>
      <c r="AB48">
        <f>'武器'!BH48</f>
      </c>
      <c r="AC48">
        <f>'武器'!BD48</f>
      </c>
      <c r="AD48">
        <f>'武器'!BL48</f>
      </c>
      <c r="AE48">
        <f>'武器'!BE48</f>
      </c>
      <c r="AF48" s="4"/>
      <c r="AG48" s="186">
        <f>'武器'!P48</f>
      </c>
      <c r="AH48" s="186">
        <f>'武器'!Q48</f>
      </c>
      <c r="AI48" s="186">
        <f>'武器'!R48</f>
      </c>
      <c r="AJ48">
        <f>'武器'!S48</f>
      </c>
      <c r="AK48" s="4"/>
      <c r="AL48">
        <f>'武器'!M48</f>
      </c>
      <c r="AM48">
        <f>'武器'!J48</f>
      </c>
      <c r="AN48" s="4"/>
      <c r="AO48" s="184">
        <f>'武器'!AJ48</f>
      </c>
      <c r="AP48" s="184">
        <f>'武器'!AK48</f>
      </c>
      <c r="AQ48" s="184">
        <f>'武器'!AL48</f>
      </c>
      <c r="AR48" s="4"/>
      <c r="AS48">
        <f>'武器'!H48</f>
      </c>
      <c r="AU48">
        <f>'武器'!N48</f>
      </c>
      <c r="AV48">
        <f>'武器'!BW48</f>
      </c>
      <c r="AW48">
        <f>'武器'!U48</f>
      </c>
      <c r="AX48" s="4"/>
      <c r="AY48" s="26"/>
      <c r="AZ48" s="4"/>
      <c r="BA48" s="184"/>
      <c r="BB48" s="4"/>
      <c r="BC48">
        <f>'武器'!K48</f>
      </c>
      <c r="BD48">
        <f>'武器'!O48</f>
      </c>
      <c r="BE48">
        <f>'武器'!AG48</f>
      </c>
      <c r="BF48">
        <f>'武器'!AH48</f>
      </c>
      <c r="BG48" s="4"/>
      <c r="BH48" s="1" t="str">
        <v>完成</v>
      </c>
    </row>
    <row r="49">
      <c r="A49">
        <f>'武器'!A49</f>
      </c>
      <c r="B49">
        <f>'武器'!B49</f>
      </c>
      <c r="C49">
        <f>'武器'!C49</f>
      </c>
      <c r="D49" s="184">
        <f>'武器'!F49</f>
      </c>
      <c r="E49" s="185"/>
      <c r="F49" s="184">
        <f>'武器'!D49</f>
      </c>
      <c r="G49">
        <f>'武器'!E49</f>
      </c>
      <c r="H49" s="4"/>
      <c r="J49">
        <f>'武器'!G49</f>
      </c>
      <c r="K49">
        <f>'武器'!I49</f>
      </c>
      <c r="L49">
        <f>'武器'!O49</f>
      </c>
      <c r="M49">
        <f>'武器'!BN49</f>
      </c>
      <c r="N49">
        <f>'武器'!BS49</f>
      </c>
      <c r="O49">
        <f>'武器'!BO49</f>
      </c>
      <c r="P49" s="4"/>
      <c r="Q49">
        <f>'武器'!W49</f>
      </c>
      <c r="R49">
        <f>'武器'!X49</f>
      </c>
      <c r="S49">
        <f>'武器'!Y49</f>
      </c>
      <c r="T49">
        <f>'武器'!Z49</f>
      </c>
      <c r="U49">
        <f>'武器'!AA49</f>
      </c>
      <c r="V49">
        <f>'武器'!AB49</f>
      </c>
      <c r="W49">
        <f>'武器'!AC49</f>
      </c>
      <c r="X49" s="4"/>
      <c r="Y49">
        <f>'武器'!CK49</f>
      </c>
      <c r="Z49">
        <f>'武器'!BB49</f>
      </c>
      <c r="AA49" s="184">
        <f>'武器'!CA49</f>
      </c>
      <c r="AB49">
        <f>'武器'!BH49</f>
      </c>
      <c r="AC49">
        <f>'武器'!BD49</f>
      </c>
      <c r="AD49">
        <f>'武器'!BL49</f>
      </c>
      <c r="AE49">
        <f>'武器'!BE49</f>
      </c>
      <c r="AF49" s="4"/>
      <c r="AG49" s="186">
        <f>'武器'!P49</f>
      </c>
      <c r="AH49" s="186">
        <f>'武器'!Q49</f>
      </c>
      <c r="AI49" s="186">
        <f>'武器'!R49</f>
      </c>
      <c r="AJ49">
        <f>'武器'!S49</f>
      </c>
      <c r="AK49" s="4"/>
      <c r="AL49">
        <f>'武器'!M49</f>
      </c>
      <c r="AM49">
        <f>'武器'!J49</f>
      </c>
      <c r="AN49" s="4"/>
      <c r="AO49" s="184">
        <f>'武器'!AJ49</f>
      </c>
      <c r="AP49" s="184">
        <f>'武器'!AK49</f>
      </c>
      <c r="AQ49" s="184">
        <f>'武器'!AL49</f>
      </c>
      <c r="AR49" s="4"/>
      <c r="AS49">
        <f>'武器'!H49</f>
      </c>
      <c r="AU49">
        <f>'武器'!N49</f>
      </c>
      <c r="AV49">
        <f>'武器'!BW49</f>
      </c>
      <c r="AW49">
        <f>'武器'!U49</f>
      </c>
      <c r="AX49" s="4"/>
      <c r="AY49" s="26"/>
      <c r="AZ49" s="4"/>
      <c r="BA49" s="184"/>
      <c r="BB49" s="4"/>
      <c r="BC49">
        <f>'武器'!K49</f>
      </c>
      <c r="BD49">
        <f>'武器'!O49</f>
      </c>
      <c r="BE49">
        <f>'武器'!AG49</f>
      </c>
      <c r="BF49">
        <f>'武器'!AH49</f>
      </c>
      <c r="BG49" s="4"/>
      <c r="BH49" s="1" t="str">
        <v>完成</v>
      </c>
    </row>
    <row r="50">
      <c r="A50">
        <f>'武器'!A50</f>
      </c>
      <c r="B50">
        <f>'武器'!B50</f>
      </c>
      <c r="C50">
        <f>'武器'!C50</f>
      </c>
      <c r="D50" s="184">
        <f>'武器'!F50</f>
      </c>
      <c r="E50" s="185"/>
      <c r="F50" s="184">
        <f>'武器'!D50</f>
      </c>
      <c r="G50">
        <f>'武器'!E50</f>
      </c>
      <c r="H50" s="4"/>
      <c r="J50">
        <f>'武器'!G50</f>
      </c>
      <c r="K50">
        <f>'武器'!I50</f>
      </c>
      <c r="L50">
        <f>'武器'!O50</f>
      </c>
      <c r="M50">
        <f>'武器'!BN50</f>
      </c>
      <c r="N50">
        <f>'武器'!BS50</f>
      </c>
      <c r="O50">
        <f>'武器'!BO50</f>
      </c>
      <c r="P50" s="4"/>
      <c r="Q50">
        <f>'武器'!W50</f>
      </c>
      <c r="R50">
        <f>'武器'!X50</f>
      </c>
      <c r="S50">
        <f>'武器'!Y50</f>
      </c>
      <c r="T50">
        <f>'武器'!Z50</f>
      </c>
      <c r="U50">
        <f>'武器'!AA50</f>
      </c>
      <c r="V50">
        <f>'武器'!AB50</f>
      </c>
      <c r="W50">
        <f>'武器'!AC50</f>
      </c>
      <c r="X50" s="4"/>
      <c r="Y50">
        <f>'武器'!CK50</f>
      </c>
      <c r="Z50">
        <f>'武器'!BB50</f>
      </c>
      <c r="AA50" s="184">
        <f>'武器'!CA50</f>
      </c>
      <c r="AB50">
        <f>'武器'!BH50</f>
      </c>
      <c r="AC50">
        <f>'武器'!BD50</f>
      </c>
      <c r="AD50">
        <f>'武器'!BL50</f>
      </c>
      <c r="AE50">
        <f>'武器'!BE50</f>
      </c>
      <c r="AF50" s="4"/>
      <c r="AG50" s="186">
        <f>'武器'!P50</f>
      </c>
      <c r="AH50" s="186">
        <f>'武器'!Q50</f>
      </c>
      <c r="AI50" s="186">
        <f>'武器'!R50</f>
      </c>
      <c r="AJ50">
        <f>'武器'!S50</f>
      </c>
      <c r="AK50" s="4"/>
      <c r="AL50">
        <f>'武器'!M50</f>
      </c>
      <c r="AM50">
        <f>'武器'!J50</f>
      </c>
      <c r="AN50" s="4"/>
      <c r="AO50" s="184">
        <f>'武器'!AJ50</f>
      </c>
      <c r="AP50" s="184">
        <f>'武器'!AK50</f>
      </c>
      <c r="AQ50" s="184">
        <f>'武器'!AL50</f>
      </c>
      <c r="AR50" s="4"/>
      <c r="AS50">
        <f>'武器'!H50</f>
      </c>
      <c r="AU50">
        <f>'武器'!N50</f>
      </c>
      <c r="AV50">
        <f>'武器'!BW50</f>
      </c>
      <c r="AW50">
        <f>'武器'!U50</f>
      </c>
      <c r="AX50" s="4"/>
      <c r="AY50" s="26"/>
      <c r="AZ50" s="4"/>
      <c r="BA50" s="184"/>
      <c r="BB50" s="4"/>
      <c r="BC50">
        <f>'武器'!K50</f>
      </c>
      <c r="BD50">
        <f>'武器'!O50</f>
      </c>
      <c r="BE50">
        <f>'武器'!AG50</f>
      </c>
      <c r="BF50">
        <f>'武器'!AH50</f>
      </c>
      <c r="BG50" s="4"/>
      <c r="BH50" s="1" t="str">
        <v>完成</v>
      </c>
    </row>
    <row r="51">
      <c r="A51" s="193">
        <f>'武器'!A51</f>
      </c>
      <c r="B51" s="193">
        <f>'武器'!B51</f>
      </c>
      <c r="C51" s="193">
        <f>'武器'!C51</f>
      </c>
      <c r="D51" s="193">
        <f>'武器'!F51</f>
      </c>
      <c r="E51" s="187">
        <f>'武器'!CY51</f>
      </c>
      <c r="F51" s="193">
        <f>'武器'!D51</f>
      </c>
      <c r="G51" s="193">
        <f>'武器'!E51</f>
      </c>
      <c r="H51" s="193"/>
      <c r="I51" s="193"/>
      <c r="J51" s="193">
        <f>'武器'!G51</f>
      </c>
      <c r="K51" s="193">
        <f>'武器'!I51</f>
      </c>
      <c r="L51" s="193">
        <f>'武器'!O51</f>
      </c>
      <c r="M51" s="193">
        <f>'武器'!BN51</f>
      </c>
      <c r="N51" s="193">
        <f>'武器'!BS51</f>
      </c>
      <c r="O51" s="193">
        <f>'武器'!BO51</f>
      </c>
      <c r="P51" s="193"/>
      <c r="Q51" s="193">
        <f>'武器'!W51</f>
      </c>
      <c r="R51" s="193">
        <f>'武器'!X51</f>
      </c>
      <c r="S51" s="193">
        <f>'武器'!Y51</f>
      </c>
      <c r="T51" s="193">
        <f>'武器'!Z51</f>
      </c>
      <c r="U51" s="193">
        <f>'武器'!AA51</f>
      </c>
      <c r="V51" s="193">
        <f>'武器'!AB51</f>
      </c>
      <c r="W51" s="193">
        <f>'武器'!AC51</f>
      </c>
      <c r="X51" s="193"/>
      <c r="Y51" s="193">
        <f>'武器'!CK51</f>
      </c>
      <c r="Z51" s="193">
        <f>'武器'!BB51</f>
      </c>
      <c r="AA51" s="193">
        <f>'武器'!CA51</f>
      </c>
      <c r="AB51" s="193">
        <f>'武器'!BH51</f>
      </c>
      <c r="AC51" s="193">
        <f>'武器'!BD51</f>
      </c>
      <c r="AD51" s="193">
        <f>'武器'!BL51</f>
      </c>
      <c r="AE51" s="193">
        <f>'武器'!BE51</f>
      </c>
      <c r="AF51" s="193"/>
      <c r="AG51" s="194">
        <f>'武器'!P51</f>
      </c>
      <c r="AH51" s="194">
        <f>'武器'!Q51</f>
      </c>
      <c r="AI51" s="194">
        <f>'武器'!R51</f>
      </c>
      <c r="AJ51" s="193">
        <f>'武器'!S51</f>
      </c>
      <c r="AK51" s="193"/>
      <c r="AL51" s="193">
        <f>'武器'!M51</f>
      </c>
      <c r="AM51" s="193">
        <f>'武器'!J51</f>
      </c>
      <c r="AN51" s="193"/>
      <c r="AO51" s="193">
        <f>'武器'!AJ51</f>
      </c>
      <c r="AP51" s="193">
        <f>'武器'!AK51</f>
      </c>
      <c r="AQ51" s="193">
        <f>'武器'!AL51</f>
      </c>
      <c r="AR51" s="193"/>
      <c r="AS51" s="193">
        <f>'武器'!H51</f>
      </c>
      <c r="AT51" s="193"/>
      <c r="AU51" s="193">
        <f>'武器'!N51</f>
      </c>
      <c r="AV51" s="193">
        <f>'武器'!BW51</f>
      </c>
      <c r="AW51" s="193">
        <f>'武器'!U51</f>
      </c>
      <c r="AX51" s="193"/>
      <c r="AY51" s="188">
        <f>'武器'!DA51</f>
      </c>
      <c r="AZ51" s="193"/>
      <c r="BA51" s="193"/>
      <c r="BB51" s="193"/>
      <c r="BC51" s="193">
        <f>'武器'!K51</f>
      </c>
      <c r="BD51" s="193">
        <f>'武器'!O51</f>
      </c>
      <c r="BE51" s="193">
        <f>'武器'!AG51</f>
      </c>
      <c r="BF51" s="193">
        <f>'武器'!AH51</f>
      </c>
      <c r="BG51" s="193"/>
      <c r="BH51" s="27" t="str">
        <v>完成</v>
      </c>
    </row>
    <row r="52">
      <c r="A52" s="189">
        <f>'武器'!A52</f>
      </c>
      <c r="B52" s="189">
        <f>'武器'!B52</f>
      </c>
      <c r="C52" s="189">
        <f>'武器'!C52</f>
      </c>
      <c r="D52" s="189">
        <f>'武器'!F52</f>
      </c>
      <c r="E52" s="190"/>
      <c r="F52" s="189">
        <f>'武器'!D52</f>
      </c>
      <c r="G52" s="189">
        <f>'武器'!E52</f>
      </c>
      <c r="H52" s="189"/>
      <c r="I52" s="189"/>
      <c r="J52" s="189">
        <f>'武器'!G52</f>
      </c>
      <c r="K52" s="189">
        <f>'武器'!I52</f>
      </c>
      <c r="L52" s="189">
        <f>'武器'!O52</f>
      </c>
      <c r="M52" s="189">
        <f>'武器'!BN52</f>
      </c>
      <c r="N52" s="189">
        <f>'武器'!BS52</f>
      </c>
      <c r="O52" s="189">
        <f>'武器'!BO52</f>
      </c>
      <c r="P52" s="189"/>
      <c r="Q52" s="189">
        <f>'武器'!W52</f>
      </c>
      <c r="R52" s="189">
        <f>'武器'!X52</f>
      </c>
      <c r="S52" s="189">
        <f>'武器'!Y52</f>
      </c>
      <c r="T52" s="189">
        <f>'武器'!Z52</f>
      </c>
      <c r="U52" s="189">
        <f>'武器'!AA52</f>
      </c>
      <c r="V52" s="189">
        <f>'武器'!AB52</f>
      </c>
      <c r="W52" s="189">
        <f>'武器'!AC52</f>
      </c>
      <c r="X52" s="189"/>
      <c r="Y52" s="189">
        <f>'武器'!CK52</f>
      </c>
      <c r="Z52" s="189">
        <f>'武器'!BB52</f>
      </c>
      <c r="AA52" s="189">
        <f>'武器'!CA52</f>
      </c>
      <c r="AB52" s="189">
        <f>'武器'!BH52</f>
      </c>
      <c r="AC52" s="189">
        <f>'武器'!BD52</f>
      </c>
      <c r="AD52" s="189">
        <f>'武器'!BL52</f>
      </c>
      <c r="AE52" s="189">
        <f>'武器'!BE52</f>
      </c>
      <c r="AF52" s="189"/>
      <c r="AG52" s="191">
        <f>'武器'!P52</f>
      </c>
      <c r="AH52" s="191">
        <f>'武器'!Q52</f>
      </c>
      <c r="AI52" s="191">
        <f>'武器'!R52</f>
      </c>
      <c r="AJ52" s="189">
        <f>'武器'!S52</f>
      </c>
      <c r="AK52" s="189"/>
      <c r="AL52" s="189">
        <f>'武器'!M52</f>
      </c>
      <c r="AM52" s="189">
        <f>'武器'!J52</f>
      </c>
      <c r="AN52" s="189"/>
      <c r="AO52" s="189">
        <f>'武器'!AJ52</f>
      </c>
      <c r="AP52" s="189">
        <f>'武器'!AK52</f>
      </c>
      <c r="AQ52" s="189">
        <f>'武器'!AL52</f>
      </c>
      <c r="AR52" s="189"/>
      <c r="AS52" s="189">
        <f>'武器'!H52</f>
      </c>
      <c r="AT52" s="189"/>
      <c r="AU52" s="189">
        <f>'武器'!N52</f>
      </c>
      <c r="AV52" s="189">
        <f>'武器'!BW52</f>
      </c>
      <c r="AW52" s="189">
        <f>'武器'!U52</f>
      </c>
      <c r="AX52" s="189"/>
      <c r="AY52" s="192"/>
      <c r="AZ52" s="189"/>
      <c r="BA52" s="189"/>
      <c r="BB52" s="189"/>
      <c r="BC52" s="189">
        <f>'武器'!K52</f>
      </c>
      <c r="BD52" s="189">
        <f>'武器'!O52</f>
      </c>
      <c r="BE52" s="189">
        <f>'武器'!AG52</f>
      </c>
      <c r="BF52" s="189">
        <f>'武器'!AH52</f>
      </c>
      <c r="BG52" s="189"/>
      <c r="BH52" s="159" t="str">
        <v>完成</v>
      </c>
    </row>
    <row r="53">
      <c r="A53">
        <f>'武器'!A53</f>
      </c>
      <c r="B53">
        <f>'武器'!B53</f>
      </c>
      <c r="C53">
        <f>'武器'!C53</f>
      </c>
      <c r="D53" s="184">
        <f>'武器'!F53</f>
      </c>
      <c r="E53" s="185"/>
      <c r="F53" s="184">
        <f>'武器'!D53</f>
      </c>
      <c r="G53">
        <f>'武器'!E53</f>
      </c>
      <c r="H53" s="4"/>
      <c r="J53">
        <f>'武器'!G53</f>
      </c>
      <c r="K53">
        <f>'武器'!I53</f>
      </c>
      <c r="L53">
        <f>'武器'!O53</f>
      </c>
      <c r="M53">
        <f>'武器'!BN53</f>
      </c>
      <c r="N53">
        <f>'武器'!BS53</f>
      </c>
      <c r="O53">
        <f>'武器'!BO53</f>
      </c>
      <c r="P53" s="4"/>
      <c r="Q53">
        <f>'武器'!W53</f>
      </c>
      <c r="R53">
        <f>'武器'!X53</f>
      </c>
      <c r="S53">
        <f>'武器'!Y53</f>
      </c>
      <c r="T53">
        <f>'武器'!Z53</f>
      </c>
      <c r="U53">
        <f>'武器'!AA53</f>
      </c>
      <c r="V53">
        <f>'武器'!AB53</f>
      </c>
      <c r="W53">
        <f>'武器'!AC53</f>
      </c>
      <c r="X53" s="4"/>
      <c r="Y53">
        <f>'武器'!CK53</f>
      </c>
      <c r="Z53">
        <f>'武器'!BB53</f>
      </c>
      <c r="AA53" s="184">
        <f>'武器'!CA53</f>
      </c>
      <c r="AB53">
        <f>'武器'!BH53</f>
      </c>
      <c r="AC53">
        <f>'武器'!BD53</f>
      </c>
      <c r="AD53">
        <f>'武器'!BL53</f>
      </c>
      <c r="AE53">
        <f>'武器'!BE53</f>
      </c>
      <c r="AF53" s="4"/>
      <c r="AG53" s="186">
        <f>'武器'!P53</f>
      </c>
      <c r="AH53" s="186">
        <f>'武器'!Q53</f>
      </c>
      <c r="AI53" s="186">
        <f>'武器'!R53</f>
      </c>
      <c r="AJ53">
        <f>'武器'!S53</f>
      </c>
      <c r="AK53" s="4"/>
      <c r="AL53">
        <f>'武器'!M53</f>
      </c>
      <c r="AM53">
        <f>'武器'!J53</f>
      </c>
      <c r="AN53" s="4"/>
      <c r="AO53" s="184">
        <f>'武器'!AJ53</f>
      </c>
      <c r="AP53" s="184">
        <f>'武器'!AK53</f>
      </c>
      <c r="AQ53" s="184">
        <f>'武器'!AL53</f>
      </c>
      <c r="AR53" s="4"/>
      <c r="AS53">
        <f>'武器'!H53</f>
      </c>
      <c r="AU53">
        <f>'武器'!N53</f>
      </c>
      <c r="AV53">
        <f>'武器'!BW53</f>
      </c>
      <c r="AW53">
        <f>'武器'!U53</f>
      </c>
      <c r="AX53" s="4"/>
      <c r="AY53" s="26"/>
      <c r="AZ53" s="4"/>
      <c r="BA53" s="184"/>
      <c r="BB53" s="4"/>
      <c r="BC53">
        <f>'武器'!K53</f>
      </c>
      <c r="BD53">
        <f>'武器'!O53</f>
      </c>
      <c r="BE53">
        <f>'武器'!AG53</f>
      </c>
      <c r="BF53">
        <f>'武器'!AH53</f>
      </c>
      <c r="BG53" s="4"/>
      <c r="BH53" s="1" t="str">
        <v>完成</v>
      </c>
    </row>
    <row r="54">
      <c r="A54">
        <f>'武器'!A54</f>
      </c>
      <c r="B54">
        <f>'武器'!B54</f>
      </c>
      <c r="C54">
        <f>'武器'!C54</f>
      </c>
      <c r="D54" s="184">
        <f>'武器'!F54</f>
      </c>
      <c r="E54" s="185"/>
      <c r="F54" s="184">
        <f>'武器'!D54</f>
      </c>
      <c r="G54">
        <f>'武器'!E54</f>
      </c>
      <c r="H54" s="4"/>
      <c r="J54">
        <f>'武器'!G54</f>
      </c>
      <c r="K54">
        <f>'武器'!I54</f>
      </c>
      <c r="L54">
        <f>'武器'!O54</f>
      </c>
      <c r="M54">
        <f>'武器'!BN54</f>
      </c>
      <c r="N54">
        <f>'武器'!BS54</f>
      </c>
      <c r="O54">
        <f>'武器'!BO54</f>
      </c>
      <c r="P54" s="4"/>
      <c r="Q54">
        <f>'武器'!W54</f>
      </c>
      <c r="R54">
        <f>'武器'!X54</f>
      </c>
      <c r="S54">
        <f>'武器'!Y54</f>
      </c>
      <c r="T54">
        <f>'武器'!Z54</f>
      </c>
      <c r="U54">
        <f>'武器'!AA54</f>
      </c>
      <c r="V54">
        <f>'武器'!AB54</f>
      </c>
      <c r="W54">
        <f>'武器'!AC54</f>
      </c>
      <c r="X54" s="4"/>
      <c r="Y54">
        <f>'武器'!CK54</f>
      </c>
      <c r="Z54">
        <f>'武器'!BB54</f>
      </c>
      <c r="AA54" s="184">
        <f>'武器'!CA54</f>
      </c>
      <c r="AB54">
        <f>'武器'!BH54</f>
      </c>
      <c r="AC54">
        <f>'武器'!BD54</f>
      </c>
      <c r="AD54">
        <f>'武器'!BL54</f>
      </c>
      <c r="AE54">
        <f>'武器'!BE54</f>
      </c>
      <c r="AF54" s="4"/>
      <c r="AG54" s="186">
        <f>'武器'!P54</f>
      </c>
      <c r="AH54" s="186">
        <f>'武器'!Q54</f>
      </c>
      <c r="AI54" s="186">
        <f>'武器'!R54</f>
      </c>
      <c r="AJ54">
        <f>'武器'!S54</f>
      </c>
      <c r="AK54" s="4"/>
      <c r="AL54">
        <f>'武器'!M54</f>
      </c>
      <c r="AM54">
        <f>'武器'!J54</f>
      </c>
      <c r="AN54" s="4"/>
      <c r="AO54" s="184">
        <f>'武器'!AJ54</f>
      </c>
      <c r="AP54" s="184">
        <f>'武器'!AK54</f>
      </c>
      <c r="AQ54" s="184">
        <f>'武器'!AL54</f>
      </c>
      <c r="AR54" s="4"/>
      <c r="AS54">
        <f>'武器'!H54</f>
      </c>
      <c r="AU54">
        <f>'武器'!N54</f>
      </c>
      <c r="AV54">
        <f>'武器'!BW54</f>
      </c>
      <c r="AW54">
        <f>'武器'!U54</f>
      </c>
      <c r="AX54" s="4"/>
      <c r="AY54" s="26"/>
      <c r="AZ54" s="4"/>
      <c r="BA54" s="184"/>
      <c r="BB54" s="4"/>
      <c r="BC54">
        <f>'武器'!K54</f>
      </c>
      <c r="BD54">
        <f>'武器'!O54</f>
      </c>
      <c r="BE54">
        <f>'武器'!AG54</f>
      </c>
      <c r="BF54">
        <f>'武器'!AH54</f>
      </c>
      <c r="BG54" s="4"/>
      <c r="BH54" s="1" t="str">
        <v>完成</v>
      </c>
    </row>
    <row r="55">
      <c r="A55">
        <f>'武器'!A55</f>
      </c>
      <c r="B55">
        <f>'武器'!B55</f>
      </c>
      <c r="C55">
        <f>'武器'!C55</f>
      </c>
      <c r="D55" s="184">
        <f>'武器'!F55</f>
      </c>
      <c r="E55" s="185"/>
      <c r="F55" s="184">
        <f>'武器'!D55</f>
      </c>
      <c r="G55">
        <f>'武器'!E55</f>
      </c>
      <c r="H55" s="4"/>
      <c r="J55">
        <f>'武器'!G55</f>
      </c>
      <c r="K55">
        <f>'武器'!I55</f>
      </c>
      <c r="L55">
        <f>'武器'!O55</f>
      </c>
      <c r="M55">
        <f>'武器'!BN55</f>
      </c>
      <c r="N55">
        <f>'武器'!BS55</f>
      </c>
      <c r="O55">
        <f>'武器'!BO55</f>
      </c>
      <c r="P55" s="4"/>
      <c r="Q55">
        <f>'武器'!W55</f>
      </c>
      <c r="R55">
        <f>'武器'!X55</f>
      </c>
      <c r="S55">
        <f>'武器'!Y55</f>
      </c>
      <c r="T55">
        <f>'武器'!Z55</f>
      </c>
      <c r="U55">
        <f>'武器'!AA55</f>
      </c>
      <c r="V55">
        <f>'武器'!AB55</f>
      </c>
      <c r="W55">
        <f>'武器'!AC55</f>
      </c>
      <c r="X55" s="4"/>
      <c r="Y55">
        <f>'武器'!CK55</f>
      </c>
      <c r="Z55">
        <f>'武器'!BB55</f>
      </c>
      <c r="AA55" s="184">
        <f>'武器'!CA55</f>
      </c>
      <c r="AB55">
        <f>'武器'!BH55</f>
      </c>
      <c r="AC55">
        <f>'武器'!BD55</f>
      </c>
      <c r="AD55">
        <f>'武器'!BL55</f>
      </c>
      <c r="AE55">
        <f>'武器'!BE55</f>
      </c>
      <c r="AF55" s="4"/>
      <c r="AG55" s="186">
        <f>'武器'!P55</f>
      </c>
      <c r="AH55" s="186">
        <f>'武器'!Q55</f>
      </c>
      <c r="AI55" s="186">
        <f>'武器'!R55</f>
      </c>
      <c r="AJ55">
        <f>'武器'!S55</f>
      </c>
      <c r="AK55" s="4"/>
      <c r="AL55">
        <f>'武器'!M55</f>
      </c>
      <c r="AM55">
        <f>'武器'!J55</f>
      </c>
      <c r="AN55" s="4"/>
      <c r="AO55" s="184">
        <f>'武器'!AJ55</f>
      </c>
      <c r="AP55" s="184">
        <f>'武器'!AK55</f>
      </c>
      <c r="AQ55" s="184">
        <f>'武器'!AL55</f>
      </c>
      <c r="AR55" s="4"/>
      <c r="AS55">
        <f>'武器'!H55</f>
      </c>
      <c r="AU55">
        <f>'武器'!N55</f>
      </c>
      <c r="AV55">
        <f>'武器'!BW55</f>
      </c>
      <c r="AW55">
        <f>'武器'!U55</f>
      </c>
      <c r="AX55" s="4"/>
      <c r="AY55" s="26"/>
      <c r="AZ55" s="4"/>
      <c r="BA55" s="184"/>
      <c r="BB55" s="4"/>
      <c r="BC55">
        <f>'武器'!K55</f>
      </c>
      <c r="BD55">
        <f>'武器'!O55</f>
      </c>
      <c r="BE55">
        <f>'武器'!AG55</f>
      </c>
      <c r="BF55">
        <f>'武器'!AH55</f>
      </c>
      <c r="BG55" s="4"/>
      <c r="BH55" s="1" t="str">
        <v>完成</v>
      </c>
    </row>
    <row r="56">
      <c r="A56">
        <f>'武器'!A56</f>
      </c>
      <c r="B56">
        <f>'武器'!B56</f>
      </c>
      <c r="C56">
        <f>'武器'!C56</f>
      </c>
      <c r="D56" s="184">
        <f>'武器'!F56</f>
      </c>
      <c r="E56" s="185"/>
      <c r="F56" s="184">
        <f>'武器'!D56</f>
      </c>
      <c r="G56">
        <f>'武器'!E56</f>
      </c>
      <c r="H56" s="4"/>
      <c r="J56">
        <f>'武器'!G56</f>
      </c>
      <c r="K56">
        <f>'武器'!I56</f>
      </c>
      <c r="L56">
        <f>'武器'!O56</f>
      </c>
      <c r="M56">
        <f>'武器'!BN56</f>
      </c>
      <c r="N56">
        <f>'武器'!BS56</f>
      </c>
      <c r="O56">
        <f>'武器'!BO56</f>
      </c>
      <c r="P56" s="4"/>
      <c r="Q56">
        <f>'武器'!W56</f>
      </c>
      <c r="R56">
        <f>'武器'!X56</f>
      </c>
      <c r="S56">
        <f>'武器'!Y56</f>
      </c>
      <c r="T56">
        <f>'武器'!Z56</f>
      </c>
      <c r="U56">
        <f>'武器'!AA56</f>
      </c>
      <c r="V56">
        <f>'武器'!AB56</f>
      </c>
      <c r="W56">
        <f>'武器'!AC56</f>
      </c>
      <c r="X56" s="4"/>
      <c r="Y56">
        <f>'武器'!CK56</f>
      </c>
      <c r="Z56">
        <f>'武器'!BB56</f>
      </c>
      <c r="AA56" s="184">
        <f>'武器'!CA56</f>
      </c>
      <c r="AB56">
        <f>'武器'!BH56</f>
      </c>
      <c r="AC56">
        <f>'武器'!BD56</f>
      </c>
      <c r="AD56">
        <f>'武器'!BL56</f>
      </c>
      <c r="AE56">
        <f>'武器'!BE56</f>
      </c>
      <c r="AF56" s="4"/>
      <c r="AG56" s="186">
        <f>'武器'!P56</f>
      </c>
      <c r="AH56" s="186">
        <f>'武器'!Q56</f>
      </c>
      <c r="AI56" s="186">
        <f>'武器'!R56</f>
      </c>
      <c r="AJ56">
        <f>'武器'!S56</f>
      </c>
      <c r="AK56" s="4"/>
      <c r="AL56">
        <f>'武器'!M56</f>
      </c>
      <c r="AM56">
        <f>'武器'!J56</f>
      </c>
      <c r="AN56" s="4"/>
      <c r="AO56" s="184">
        <f>'武器'!AJ56</f>
      </c>
      <c r="AP56" s="184">
        <f>'武器'!AK56</f>
      </c>
      <c r="AQ56" s="184">
        <f>'武器'!AL56</f>
      </c>
      <c r="AR56" s="4"/>
      <c r="AS56">
        <f>'武器'!H56</f>
      </c>
      <c r="AU56">
        <f>'武器'!N56</f>
      </c>
      <c r="AV56">
        <f>'武器'!BW56</f>
      </c>
      <c r="AW56">
        <f>'武器'!U56</f>
      </c>
      <c r="AX56" s="4"/>
      <c r="AY56" s="26"/>
      <c r="AZ56" s="4"/>
      <c r="BA56" s="184"/>
      <c r="BB56" s="4"/>
      <c r="BC56">
        <f>'武器'!K56</f>
      </c>
      <c r="BD56">
        <f>'武器'!O56</f>
      </c>
      <c r="BE56">
        <f>'武器'!AG56</f>
      </c>
      <c r="BF56">
        <f>'武器'!AH56</f>
      </c>
      <c r="BG56" s="4"/>
      <c r="BH56" s="1" t="str">
        <v>完成</v>
      </c>
    </row>
    <row r="57">
      <c r="A57" s="193">
        <f>'武器'!A57</f>
      </c>
      <c r="B57" s="193">
        <f>'武器'!B57</f>
      </c>
      <c r="C57" s="193">
        <f>'武器'!C57</f>
      </c>
      <c r="D57" s="193">
        <f>'武器'!F57</f>
      </c>
      <c r="E57" s="187">
        <f>'武器'!CY57</f>
      </c>
      <c r="F57" s="193">
        <f>'武器'!D57</f>
      </c>
      <c r="G57" s="193">
        <f>'武器'!E57</f>
      </c>
      <c r="H57" s="193"/>
      <c r="I57" s="193"/>
      <c r="J57" s="193">
        <f>'武器'!G57</f>
      </c>
      <c r="K57" s="193">
        <f>'武器'!I57</f>
      </c>
      <c r="L57" s="193">
        <f>'武器'!O57</f>
      </c>
      <c r="M57" s="193">
        <f>'武器'!BN57</f>
      </c>
      <c r="N57" s="193">
        <f>'武器'!BS57</f>
      </c>
      <c r="O57" s="193">
        <f>'武器'!BO57</f>
      </c>
      <c r="P57" s="193"/>
      <c r="Q57" s="193">
        <f>'武器'!W57</f>
      </c>
      <c r="R57" s="193">
        <f>'武器'!X57</f>
      </c>
      <c r="S57" s="193">
        <f>'武器'!Y57</f>
      </c>
      <c r="T57" s="193">
        <f>'武器'!Z57</f>
      </c>
      <c r="U57" s="193">
        <f>'武器'!AA57</f>
      </c>
      <c r="V57" s="193">
        <f>'武器'!AB57</f>
      </c>
      <c r="W57" s="193">
        <f>'武器'!AC57</f>
      </c>
      <c r="X57" s="193"/>
      <c r="Y57" s="193">
        <f>'武器'!CK57</f>
      </c>
      <c r="Z57" s="193">
        <f>'武器'!BB57</f>
      </c>
      <c r="AA57" s="193">
        <f>'武器'!CA57</f>
      </c>
      <c r="AB57" s="193">
        <f>'武器'!BH57</f>
      </c>
      <c r="AC57" s="193">
        <f>'武器'!BD57</f>
      </c>
      <c r="AD57" s="193">
        <f>'武器'!BL57</f>
      </c>
      <c r="AE57" s="193">
        <f>'武器'!BE57</f>
      </c>
      <c r="AF57" s="193"/>
      <c r="AG57" s="194">
        <f>'武器'!P57</f>
      </c>
      <c r="AH57" s="194">
        <f>'武器'!Q57</f>
      </c>
      <c r="AI57" s="194">
        <f>'武器'!R57</f>
      </c>
      <c r="AJ57" s="193">
        <f>'武器'!S57</f>
      </c>
      <c r="AK57" s="193"/>
      <c r="AL57" s="193">
        <f>'武器'!M57</f>
      </c>
      <c r="AM57" s="193">
        <f>'武器'!J57</f>
      </c>
      <c r="AN57" s="193"/>
      <c r="AO57" s="193">
        <f>'武器'!AJ57</f>
      </c>
      <c r="AP57" s="193">
        <f>'武器'!AK57</f>
      </c>
      <c r="AQ57" s="193">
        <f>'武器'!AL57</f>
      </c>
      <c r="AR57" s="193"/>
      <c r="AS57" s="193">
        <f>'武器'!H57</f>
      </c>
      <c r="AT57" s="193"/>
      <c r="AU57" s="193">
        <f>'武器'!N57</f>
      </c>
      <c r="AV57" s="193">
        <f>'武器'!BW57</f>
      </c>
      <c r="AW57" s="193">
        <f>'武器'!U57</f>
      </c>
      <c r="AX57" s="193"/>
      <c r="AY57" s="188">
        <f>'武器'!DA57</f>
      </c>
      <c r="AZ57" s="193"/>
      <c r="BA57" s="193"/>
      <c r="BB57" s="193"/>
      <c r="BC57" s="193">
        <f>'武器'!K57</f>
      </c>
      <c r="BD57" s="193">
        <f>'武器'!O57</f>
      </c>
      <c r="BE57" s="193">
        <f>'武器'!AG57</f>
      </c>
      <c r="BF57" s="193">
        <f>'武器'!AH57</f>
      </c>
      <c r="BG57" s="193"/>
      <c r="BH57" s="27" t="str">
        <v>完成</v>
      </c>
    </row>
    <row r="58">
      <c r="A58" s="189">
        <f>'武器'!A58</f>
      </c>
      <c r="B58" s="189">
        <f>'武器'!B58</f>
      </c>
      <c r="C58" s="189">
        <f>'武器'!C58</f>
      </c>
      <c r="D58" s="189">
        <f>'武器'!F58</f>
      </c>
      <c r="E58" s="190"/>
      <c r="F58" s="189">
        <f>'武器'!D58</f>
      </c>
      <c r="G58" s="189">
        <f>'武器'!E58</f>
      </c>
      <c r="H58" s="189"/>
      <c r="I58" s="189"/>
      <c r="J58" s="189">
        <f>'武器'!G58</f>
      </c>
      <c r="K58" s="189">
        <f>'武器'!I58</f>
      </c>
      <c r="L58" s="189">
        <f>'武器'!O58</f>
      </c>
      <c r="M58" s="189">
        <f>'武器'!BN58</f>
      </c>
      <c r="N58" s="189">
        <f>'武器'!BS58</f>
      </c>
      <c r="O58" s="189">
        <f>'武器'!BO58</f>
      </c>
      <c r="P58" s="189"/>
      <c r="Q58" s="189">
        <f>'武器'!W58</f>
      </c>
      <c r="R58" s="189">
        <f>'武器'!X58</f>
      </c>
      <c r="S58" s="189">
        <f>'武器'!Y58</f>
      </c>
      <c r="T58" s="189">
        <f>'武器'!Z58</f>
      </c>
      <c r="U58" s="189">
        <f>'武器'!AA58</f>
      </c>
      <c r="V58" s="189">
        <f>'武器'!AB58</f>
      </c>
      <c r="W58" s="189">
        <f>'武器'!AC58</f>
      </c>
      <c r="X58" s="189"/>
      <c r="Y58" s="189">
        <f>'武器'!CK58</f>
      </c>
      <c r="Z58" s="189">
        <f>'武器'!BB58</f>
      </c>
      <c r="AA58" s="189">
        <f>'武器'!CA58</f>
      </c>
      <c r="AB58" s="189">
        <f>'武器'!BH58</f>
      </c>
      <c r="AC58" s="189">
        <f>'武器'!BD58</f>
      </c>
      <c r="AD58" s="189">
        <f>'武器'!BL58</f>
      </c>
      <c r="AE58" s="189">
        <f>'武器'!BE58</f>
      </c>
      <c r="AF58" s="189"/>
      <c r="AG58" s="191">
        <f>'武器'!P58</f>
      </c>
      <c r="AH58" s="191">
        <f>'武器'!Q58</f>
      </c>
      <c r="AI58" s="191">
        <f>'武器'!R58</f>
      </c>
      <c r="AJ58" s="189">
        <f>'武器'!S58</f>
      </c>
      <c r="AK58" s="189"/>
      <c r="AL58" s="189">
        <f>'武器'!M58</f>
      </c>
      <c r="AM58" s="189">
        <f>'武器'!J58</f>
      </c>
      <c r="AN58" s="189"/>
      <c r="AO58" s="189">
        <f>'武器'!AJ58</f>
      </c>
      <c r="AP58" s="189">
        <f>'武器'!AK58</f>
      </c>
      <c r="AQ58" s="189">
        <f>'武器'!AL58</f>
      </c>
      <c r="AR58" s="189"/>
      <c r="AS58" s="189">
        <f>'武器'!H58</f>
      </c>
      <c r="AT58" s="189"/>
      <c r="AU58" s="189">
        <f>'武器'!N58</f>
      </c>
      <c r="AV58" s="189">
        <f>'武器'!BW58</f>
      </c>
      <c r="AW58" s="189">
        <f>'武器'!U58</f>
      </c>
      <c r="AX58" s="189"/>
      <c r="AY58" s="192"/>
      <c r="AZ58" s="189"/>
      <c r="BA58" s="189"/>
      <c r="BB58" s="189"/>
      <c r="BC58" s="189">
        <f>'武器'!K58</f>
      </c>
      <c r="BD58" s="189">
        <f>'武器'!O58</f>
      </c>
      <c r="BE58" s="189">
        <f>'武器'!AG58</f>
      </c>
      <c r="BF58" s="189">
        <f>'武器'!AH58</f>
      </c>
      <c r="BG58" s="189"/>
      <c r="BH58" s="159" t="str">
        <v>完成</v>
      </c>
    </row>
    <row r="59">
      <c r="A59">
        <f>'武器'!A59</f>
      </c>
      <c r="B59">
        <f>'武器'!B59</f>
      </c>
      <c r="C59">
        <f>'武器'!C59</f>
      </c>
      <c r="D59" s="184">
        <f>'武器'!F59</f>
      </c>
      <c r="E59" s="185"/>
      <c r="F59" s="184">
        <f>'武器'!D59</f>
      </c>
      <c r="G59">
        <f>'武器'!E59</f>
      </c>
      <c r="H59" s="4"/>
      <c r="J59">
        <f>'武器'!G59</f>
      </c>
      <c r="K59">
        <f>'武器'!I59</f>
      </c>
      <c r="L59">
        <f>'武器'!O59</f>
      </c>
      <c r="M59">
        <f>'武器'!BN59</f>
      </c>
      <c r="N59">
        <f>'武器'!BS59</f>
      </c>
      <c r="O59">
        <f>'武器'!BO59</f>
      </c>
      <c r="P59" s="4"/>
      <c r="Q59">
        <f>'武器'!W59</f>
      </c>
      <c r="R59">
        <f>'武器'!X59</f>
      </c>
      <c r="S59">
        <f>'武器'!Y59</f>
      </c>
      <c r="T59">
        <f>'武器'!Z59</f>
      </c>
      <c r="U59">
        <f>'武器'!AA59</f>
      </c>
      <c r="V59">
        <f>'武器'!AB59</f>
      </c>
      <c r="W59">
        <f>'武器'!AC59</f>
      </c>
      <c r="X59" s="4"/>
      <c r="Y59">
        <f>'武器'!CK59</f>
      </c>
      <c r="Z59">
        <f>'武器'!BB59</f>
      </c>
      <c r="AA59" s="184">
        <f>'武器'!CA59</f>
      </c>
      <c r="AB59">
        <f>'武器'!BH59</f>
      </c>
      <c r="AC59">
        <f>'武器'!BD59</f>
      </c>
      <c r="AD59">
        <f>'武器'!BL59</f>
      </c>
      <c r="AE59">
        <f>'武器'!BE59</f>
      </c>
      <c r="AF59" s="4"/>
      <c r="AG59" s="186">
        <f>'武器'!P59</f>
      </c>
      <c r="AH59" s="186">
        <f>'武器'!Q59</f>
      </c>
      <c r="AI59" s="186">
        <f>'武器'!R59</f>
      </c>
      <c r="AJ59">
        <f>'武器'!S59</f>
      </c>
      <c r="AK59" s="4"/>
      <c r="AL59">
        <f>'武器'!M59</f>
      </c>
      <c r="AM59">
        <f>'武器'!J59</f>
      </c>
      <c r="AN59" s="4"/>
      <c r="AO59" s="184">
        <f>'武器'!AJ59</f>
      </c>
      <c r="AP59" s="184">
        <f>'武器'!AK59</f>
      </c>
      <c r="AQ59" s="184">
        <f>'武器'!AL59</f>
      </c>
      <c r="AR59" s="4"/>
      <c r="AS59">
        <f>'武器'!H59</f>
      </c>
      <c r="AU59">
        <f>'武器'!N59</f>
      </c>
      <c r="AV59">
        <f>'武器'!BW59</f>
      </c>
      <c r="AW59">
        <f>'武器'!U59</f>
      </c>
      <c r="AX59" s="4"/>
      <c r="AY59" s="26"/>
      <c r="AZ59" s="4"/>
      <c r="BA59" s="184"/>
      <c r="BB59" s="4"/>
      <c r="BC59">
        <f>'武器'!K59</f>
      </c>
      <c r="BD59">
        <f>'武器'!O59</f>
      </c>
      <c r="BE59">
        <f>'武器'!AG59</f>
      </c>
      <c r="BF59">
        <f>'武器'!AH59</f>
      </c>
      <c r="BG59" s="4"/>
      <c r="BH59" s="1" t="str">
        <v>完成</v>
      </c>
    </row>
    <row r="60">
      <c r="A60">
        <f>'武器'!A60</f>
      </c>
      <c r="B60">
        <f>'武器'!B60</f>
      </c>
      <c r="C60">
        <f>'武器'!C60</f>
      </c>
      <c r="D60" s="184">
        <f>'武器'!F60</f>
      </c>
      <c r="E60" s="185"/>
      <c r="F60" s="184">
        <f>'武器'!D60</f>
      </c>
      <c r="G60">
        <f>'武器'!E60</f>
      </c>
      <c r="H60" s="4"/>
      <c r="J60">
        <f>'武器'!G60</f>
      </c>
      <c r="K60">
        <f>'武器'!I60</f>
      </c>
      <c r="L60">
        <f>'武器'!O60</f>
      </c>
      <c r="M60">
        <f>'武器'!BN60</f>
      </c>
      <c r="N60">
        <f>'武器'!BS60</f>
      </c>
      <c r="O60">
        <f>'武器'!BO60</f>
      </c>
      <c r="P60" s="4"/>
      <c r="Q60">
        <f>'武器'!W60</f>
      </c>
      <c r="R60">
        <f>'武器'!X60</f>
      </c>
      <c r="S60">
        <f>'武器'!Y60</f>
      </c>
      <c r="T60">
        <f>'武器'!Z60</f>
      </c>
      <c r="U60">
        <f>'武器'!AA60</f>
      </c>
      <c r="V60">
        <f>'武器'!AB60</f>
      </c>
      <c r="W60">
        <f>'武器'!AC60</f>
      </c>
      <c r="X60" s="4"/>
      <c r="Y60">
        <f>'武器'!CK60</f>
      </c>
      <c r="Z60">
        <f>'武器'!BB60</f>
      </c>
      <c r="AA60" s="184">
        <f>'武器'!CA60</f>
      </c>
      <c r="AB60">
        <f>'武器'!BH60</f>
      </c>
      <c r="AC60">
        <f>'武器'!BD60</f>
      </c>
      <c r="AD60">
        <f>'武器'!BL60</f>
      </c>
      <c r="AE60">
        <f>'武器'!BE60</f>
      </c>
      <c r="AF60" s="4"/>
      <c r="AG60" s="186">
        <f>'武器'!P60</f>
      </c>
      <c r="AH60" s="186">
        <f>'武器'!Q60</f>
      </c>
      <c r="AI60" s="186">
        <f>'武器'!R60</f>
      </c>
      <c r="AJ60">
        <f>'武器'!S60</f>
      </c>
      <c r="AK60" s="4"/>
      <c r="AL60">
        <f>'武器'!M60</f>
      </c>
      <c r="AM60">
        <f>'武器'!J60</f>
      </c>
      <c r="AN60" s="4"/>
      <c r="AO60" s="184">
        <f>'武器'!AJ60</f>
      </c>
      <c r="AP60" s="184">
        <f>'武器'!AK60</f>
      </c>
      <c r="AQ60" s="184">
        <f>'武器'!AL60</f>
      </c>
      <c r="AR60" s="4"/>
      <c r="AS60">
        <f>'武器'!H60</f>
      </c>
      <c r="AU60">
        <f>'武器'!N60</f>
      </c>
      <c r="AV60">
        <f>'武器'!BW60</f>
      </c>
      <c r="AW60">
        <f>'武器'!U60</f>
      </c>
      <c r="AX60" s="4"/>
      <c r="AY60" s="26"/>
      <c r="AZ60" s="4"/>
      <c r="BA60" s="184"/>
      <c r="BB60" s="4"/>
      <c r="BC60">
        <f>'武器'!K60</f>
      </c>
      <c r="BD60">
        <f>'武器'!O60</f>
      </c>
      <c r="BE60">
        <f>'武器'!AG60</f>
      </c>
      <c r="BF60">
        <f>'武器'!AH60</f>
      </c>
      <c r="BG60" s="4"/>
      <c r="BH60" s="1" t="str">
        <v>完成</v>
      </c>
    </row>
    <row r="61">
      <c r="A61">
        <f>'武器'!A61</f>
      </c>
      <c r="B61">
        <f>'武器'!B61</f>
      </c>
      <c r="C61">
        <f>'武器'!C61</f>
      </c>
      <c r="D61" s="184">
        <f>'武器'!F61</f>
      </c>
      <c r="E61" s="185"/>
      <c r="F61" s="184">
        <f>'武器'!D61</f>
      </c>
      <c r="G61">
        <f>'武器'!E61</f>
      </c>
      <c r="H61" s="4"/>
      <c r="J61">
        <f>'武器'!G61</f>
      </c>
      <c r="K61">
        <f>'武器'!I61</f>
      </c>
      <c r="L61">
        <f>'武器'!O61</f>
      </c>
      <c r="M61">
        <f>'武器'!BN61</f>
      </c>
      <c r="N61">
        <f>'武器'!BS61</f>
      </c>
      <c r="O61">
        <f>'武器'!BO61</f>
      </c>
      <c r="P61" s="4"/>
      <c r="Q61">
        <f>'武器'!W61</f>
      </c>
      <c r="R61">
        <f>'武器'!X61</f>
      </c>
      <c r="S61">
        <f>'武器'!Y61</f>
      </c>
      <c r="T61">
        <f>'武器'!Z61</f>
      </c>
      <c r="U61">
        <f>'武器'!AA61</f>
      </c>
      <c r="V61">
        <f>'武器'!AB61</f>
      </c>
      <c r="W61">
        <f>'武器'!AC61</f>
      </c>
      <c r="X61" s="4"/>
      <c r="Y61">
        <f>'武器'!CK61</f>
      </c>
      <c r="Z61">
        <f>'武器'!BB61</f>
      </c>
      <c r="AA61" s="184">
        <f>'武器'!CA61</f>
      </c>
      <c r="AB61">
        <f>'武器'!BH61</f>
      </c>
      <c r="AC61">
        <f>'武器'!BD61</f>
      </c>
      <c r="AD61">
        <f>'武器'!BL61</f>
      </c>
      <c r="AE61">
        <f>'武器'!BE61</f>
      </c>
      <c r="AF61" s="4"/>
      <c r="AG61" s="186">
        <f>'武器'!P61</f>
      </c>
      <c r="AH61" s="186">
        <f>'武器'!Q61</f>
      </c>
      <c r="AI61" s="186">
        <f>'武器'!R61</f>
      </c>
      <c r="AJ61">
        <f>'武器'!S61</f>
      </c>
      <c r="AK61" s="4"/>
      <c r="AL61">
        <f>'武器'!M61</f>
      </c>
      <c r="AM61">
        <f>'武器'!J61</f>
      </c>
      <c r="AN61" s="4"/>
      <c r="AO61" s="184">
        <f>'武器'!AJ61</f>
      </c>
      <c r="AP61" s="184">
        <f>'武器'!AK61</f>
      </c>
      <c r="AQ61" s="184">
        <f>'武器'!AL61</f>
      </c>
      <c r="AR61" s="4"/>
      <c r="AS61">
        <f>'武器'!H61</f>
      </c>
      <c r="AU61">
        <f>'武器'!N61</f>
      </c>
      <c r="AV61">
        <f>'武器'!BW61</f>
      </c>
      <c r="AW61">
        <f>'武器'!U61</f>
      </c>
      <c r="AX61" s="4"/>
      <c r="AY61" s="26"/>
      <c r="AZ61" s="4"/>
      <c r="BA61" s="184"/>
      <c r="BB61" s="4"/>
      <c r="BC61">
        <f>'武器'!K61</f>
      </c>
      <c r="BD61">
        <f>'武器'!O61</f>
      </c>
      <c r="BE61">
        <f>'武器'!AG61</f>
      </c>
      <c r="BF61">
        <f>'武器'!AH61</f>
      </c>
      <c r="BG61" s="4"/>
      <c r="BH61" s="1" t="str">
        <v>完成</v>
      </c>
    </row>
    <row r="62">
      <c r="A62">
        <f>'武器'!A62</f>
      </c>
      <c r="B62">
        <f>'武器'!B62</f>
      </c>
      <c r="C62">
        <f>'武器'!C62</f>
      </c>
      <c r="D62" s="184">
        <f>'武器'!F62</f>
      </c>
      <c r="E62" s="185"/>
      <c r="F62" s="184">
        <f>'武器'!D62</f>
      </c>
      <c r="G62">
        <f>'武器'!E62</f>
      </c>
      <c r="H62" s="4"/>
      <c r="J62">
        <f>'武器'!G62</f>
      </c>
      <c r="K62">
        <f>'武器'!I62</f>
      </c>
      <c r="L62">
        <f>'武器'!O62</f>
      </c>
      <c r="M62">
        <f>'武器'!BN62</f>
      </c>
      <c r="N62">
        <f>'武器'!BS62</f>
      </c>
      <c r="O62">
        <f>'武器'!BO62</f>
      </c>
      <c r="P62" s="4"/>
      <c r="Q62">
        <f>'武器'!W62</f>
      </c>
      <c r="R62">
        <f>'武器'!X62</f>
      </c>
      <c r="S62">
        <f>'武器'!Y62</f>
      </c>
      <c r="T62">
        <f>'武器'!Z62</f>
      </c>
      <c r="U62">
        <f>'武器'!AA62</f>
      </c>
      <c r="V62">
        <f>'武器'!AB62</f>
      </c>
      <c r="W62">
        <f>'武器'!AC62</f>
      </c>
      <c r="X62" s="4"/>
      <c r="Y62">
        <f>'武器'!CK62</f>
      </c>
      <c r="Z62">
        <f>'武器'!BB62</f>
      </c>
      <c r="AA62" s="184">
        <f>'武器'!CA62</f>
      </c>
      <c r="AB62">
        <f>'武器'!BH62</f>
      </c>
      <c r="AC62">
        <f>'武器'!BD62</f>
      </c>
      <c r="AD62">
        <f>'武器'!BL62</f>
      </c>
      <c r="AE62">
        <f>'武器'!BE62</f>
      </c>
      <c r="AF62" s="4"/>
      <c r="AG62" s="186">
        <f>'武器'!P62</f>
      </c>
      <c r="AH62" s="186">
        <f>'武器'!Q62</f>
      </c>
      <c r="AI62" s="186">
        <f>'武器'!R62</f>
      </c>
      <c r="AJ62">
        <f>'武器'!S62</f>
      </c>
      <c r="AK62" s="4"/>
      <c r="AL62">
        <f>'武器'!M62</f>
      </c>
      <c r="AM62">
        <f>'武器'!J62</f>
      </c>
      <c r="AN62" s="4"/>
      <c r="AO62" s="184">
        <f>'武器'!AJ62</f>
      </c>
      <c r="AP62" s="184">
        <f>'武器'!AK62</f>
      </c>
      <c r="AQ62" s="184">
        <f>'武器'!AL62</f>
      </c>
      <c r="AR62" s="4"/>
      <c r="AS62">
        <f>'武器'!H62</f>
      </c>
      <c r="AU62">
        <f>'武器'!N62</f>
      </c>
      <c r="AV62">
        <f>'武器'!BW62</f>
      </c>
      <c r="AW62">
        <f>'武器'!U62</f>
      </c>
      <c r="AX62" s="4"/>
      <c r="AY62" s="26"/>
      <c r="AZ62" s="4"/>
      <c r="BA62" s="184"/>
      <c r="BB62" s="4"/>
      <c r="BC62">
        <f>'武器'!K62</f>
      </c>
      <c r="BD62">
        <f>'武器'!O62</f>
      </c>
      <c r="BE62">
        <f>'武器'!AG62</f>
      </c>
      <c r="BF62">
        <f>'武器'!AH62</f>
      </c>
      <c r="BG62" s="4"/>
      <c r="BH62" s="1" t="str">
        <v>完成</v>
      </c>
    </row>
    <row r="63">
      <c r="A63" s="193">
        <f>'武器'!A63</f>
      </c>
      <c r="B63" s="193">
        <f>'武器'!B63</f>
      </c>
      <c r="C63" s="193">
        <f>'武器'!C63</f>
      </c>
      <c r="D63" s="193">
        <f>'武器'!F63</f>
      </c>
      <c r="E63" s="187">
        <f>'武器'!CY63</f>
      </c>
      <c r="F63" s="193">
        <f>'武器'!D63</f>
      </c>
      <c r="G63" s="193">
        <f>'武器'!E63</f>
      </c>
      <c r="H63" s="193"/>
      <c r="I63" s="193"/>
      <c r="J63" s="193">
        <f>'武器'!G63</f>
      </c>
      <c r="K63" s="193">
        <f>'武器'!I63</f>
      </c>
      <c r="L63" s="193">
        <f>'武器'!O63</f>
      </c>
      <c r="M63" s="193">
        <f>'武器'!BN63</f>
      </c>
      <c r="N63" s="193">
        <f>'武器'!BS63</f>
      </c>
      <c r="O63" s="193">
        <f>'武器'!BO63</f>
      </c>
      <c r="P63" s="193"/>
      <c r="Q63" s="193">
        <f>'武器'!W63</f>
      </c>
      <c r="R63" s="193">
        <f>'武器'!X63</f>
      </c>
      <c r="S63" s="193">
        <f>'武器'!Y63</f>
      </c>
      <c r="T63" s="193">
        <f>'武器'!Z63</f>
      </c>
      <c r="U63" s="193">
        <f>'武器'!AA63</f>
      </c>
      <c r="V63" s="193">
        <f>'武器'!AB63</f>
      </c>
      <c r="W63" s="193">
        <f>'武器'!AC63</f>
      </c>
      <c r="X63" s="193"/>
      <c r="Y63" s="193">
        <f>'武器'!CK63</f>
      </c>
      <c r="Z63" s="193">
        <f>'武器'!BB63</f>
      </c>
      <c r="AA63" s="193">
        <f>'武器'!CA63</f>
      </c>
      <c r="AB63" s="193">
        <f>'武器'!BH63</f>
      </c>
      <c r="AC63" s="193">
        <f>'武器'!BD63</f>
      </c>
      <c r="AD63" s="193">
        <f>'武器'!BL63</f>
      </c>
      <c r="AE63" s="193">
        <f>'武器'!BE63</f>
      </c>
      <c r="AF63" s="193"/>
      <c r="AG63" s="194">
        <f>'武器'!P63</f>
      </c>
      <c r="AH63" s="194">
        <f>'武器'!Q63</f>
      </c>
      <c r="AI63" s="194">
        <f>'武器'!R63</f>
      </c>
      <c r="AJ63" s="193">
        <f>'武器'!S63</f>
      </c>
      <c r="AK63" s="193"/>
      <c r="AL63" s="193">
        <f>'武器'!M63</f>
      </c>
      <c r="AM63" s="193">
        <f>'武器'!J63</f>
      </c>
      <c r="AN63" s="193"/>
      <c r="AO63" s="193">
        <f>'武器'!AJ63</f>
      </c>
      <c r="AP63" s="193">
        <f>'武器'!AK63</f>
      </c>
      <c r="AQ63" s="193">
        <f>'武器'!AL63</f>
      </c>
      <c r="AR63" s="193"/>
      <c r="AS63" s="193">
        <f>'武器'!H63</f>
      </c>
      <c r="AT63" s="193"/>
      <c r="AU63" s="193">
        <f>'武器'!N63</f>
      </c>
      <c r="AV63" s="193">
        <f>'武器'!BW63</f>
      </c>
      <c r="AW63" s="193">
        <f>'武器'!U63</f>
      </c>
      <c r="AX63" s="193"/>
      <c r="AY63" s="188">
        <f>'武器'!DA63</f>
      </c>
      <c r="AZ63" s="193"/>
      <c r="BA63" s="193"/>
      <c r="BB63" s="193"/>
      <c r="BC63" s="193">
        <f>'武器'!K63</f>
      </c>
      <c r="BD63" s="193">
        <f>'武器'!O63</f>
      </c>
      <c r="BE63" s="193">
        <f>'武器'!AG63</f>
      </c>
      <c r="BF63" s="193">
        <f>'武器'!AH63</f>
      </c>
      <c r="BG63" s="193"/>
      <c r="BH63" s="27" t="str">
        <v>完成</v>
      </c>
    </row>
    <row r="64">
      <c r="A64" s="189">
        <f>'武器'!A64</f>
      </c>
      <c r="B64" s="189">
        <f>'武器'!B64</f>
      </c>
      <c r="C64" s="189">
        <f>'武器'!C64</f>
      </c>
      <c r="D64" s="189">
        <f>'武器'!F64</f>
      </c>
      <c r="E64" s="187"/>
      <c r="F64" s="189">
        <f>'武器'!D64</f>
      </c>
      <c r="G64" s="189">
        <f>'武器'!E64</f>
      </c>
      <c r="H64" s="189"/>
      <c r="I64" s="189"/>
      <c r="J64" s="189">
        <f>'武器'!G64</f>
      </c>
      <c r="K64" s="189">
        <f>'武器'!I64</f>
      </c>
      <c r="L64" s="189">
        <f>'武器'!O64</f>
      </c>
      <c r="M64" s="189">
        <f>'武器'!BN64</f>
      </c>
      <c r="N64" s="189">
        <f>'武器'!BS64</f>
      </c>
      <c r="O64" s="189">
        <f>'武器'!BO64</f>
      </c>
      <c r="P64" s="189"/>
      <c r="Q64" s="189">
        <f>'武器'!W64</f>
      </c>
      <c r="R64" s="189">
        <f>'武器'!X64</f>
      </c>
      <c r="S64" s="189">
        <f>'武器'!Y64</f>
      </c>
      <c r="T64" s="189">
        <f>'武器'!Z64</f>
      </c>
      <c r="U64" s="189">
        <f>'武器'!AA64</f>
      </c>
      <c r="V64" s="189">
        <f>'武器'!AB64</f>
      </c>
      <c r="W64" s="189">
        <f>'武器'!AC64</f>
      </c>
      <c r="X64" s="189"/>
      <c r="Y64" s="189">
        <f>'武器'!CK64</f>
      </c>
      <c r="Z64" s="189">
        <f>'武器'!BB64</f>
      </c>
      <c r="AA64" s="189">
        <f>'武器'!CA64</f>
      </c>
      <c r="AB64" s="189">
        <f>'武器'!BH64</f>
      </c>
      <c r="AC64" s="189">
        <f>'武器'!BD64</f>
      </c>
      <c r="AD64" s="189">
        <f>'武器'!BL64</f>
      </c>
      <c r="AE64" s="189">
        <f>'武器'!BE64</f>
      </c>
      <c r="AF64" s="189"/>
      <c r="AG64" s="191">
        <f>'武器'!P64</f>
      </c>
      <c r="AH64" s="191">
        <f>'武器'!Q64</f>
      </c>
      <c r="AI64" s="191">
        <f>'武器'!R64</f>
      </c>
      <c r="AJ64" s="189">
        <f>'武器'!S64</f>
      </c>
      <c r="AK64" s="189"/>
      <c r="AL64" s="189">
        <f>'武器'!M64</f>
      </c>
      <c r="AM64" s="189">
        <f>'武器'!J64</f>
      </c>
      <c r="AN64" s="189"/>
      <c r="AO64" s="189">
        <f>'武器'!AJ64</f>
      </c>
      <c r="AP64" s="189">
        <f>'武器'!AK64</f>
      </c>
      <c r="AQ64" s="189">
        <f>'武器'!AL64</f>
      </c>
      <c r="AR64" s="189"/>
      <c r="AS64" s="189">
        <f>'武器'!H64</f>
      </c>
      <c r="AT64" s="189"/>
      <c r="AU64" s="189">
        <f>'武器'!N64</f>
      </c>
      <c r="AV64" s="189">
        <f>'武器'!BW64</f>
      </c>
      <c r="AW64" s="189">
        <f>'武器'!U64</f>
      </c>
      <c r="AX64" s="189"/>
      <c r="AY64" s="188"/>
      <c r="AZ64" s="189"/>
      <c r="BA64" s="189"/>
      <c r="BB64" s="189"/>
      <c r="BC64" s="189">
        <f>'武器'!K64</f>
      </c>
      <c r="BD64" s="189">
        <f>'武器'!O64</f>
      </c>
      <c r="BE64" s="189">
        <f>'武器'!AG64</f>
      </c>
      <c r="BF64" s="189">
        <f>'武器'!AH64</f>
      </c>
      <c r="BG64" s="189"/>
      <c r="BH64" s="159" t="str">
        <v>完成</v>
      </c>
    </row>
    <row r="65">
      <c r="A65">
        <f>'武器'!A65</f>
      </c>
      <c r="B65">
        <f>'武器'!B65</f>
      </c>
      <c r="C65">
        <f>'武器'!C65</f>
      </c>
      <c r="D65" s="184">
        <f>'武器'!F65</f>
      </c>
      <c r="E65" s="187"/>
      <c r="F65" s="184">
        <f>'武器'!D65</f>
      </c>
      <c r="G65">
        <f>'武器'!E65</f>
      </c>
      <c r="H65" s="4"/>
      <c r="J65">
        <f>'武器'!G65</f>
      </c>
      <c r="K65">
        <f>'武器'!I65</f>
      </c>
      <c r="L65">
        <f>'武器'!O65</f>
      </c>
      <c r="M65">
        <f>'武器'!BN65</f>
      </c>
      <c r="N65">
        <f>'武器'!BS65</f>
      </c>
      <c r="O65">
        <f>'武器'!BO65</f>
      </c>
      <c r="P65" s="4"/>
      <c r="Q65">
        <f>'武器'!W65</f>
      </c>
      <c r="R65">
        <f>'武器'!X65</f>
      </c>
      <c r="S65">
        <f>'武器'!Y65</f>
      </c>
      <c r="T65">
        <f>'武器'!Z65</f>
      </c>
      <c r="U65">
        <f>'武器'!AA65</f>
      </c>
      <c r="V65">
        <f>'武器'!AB65</f>
      </c>
      <c r="W65">
        <f>'武器'!AC65</f>
      </c>
      <c r="X65" s="4"/>
      <c r="Y65">
        <f>'武器'!CK65</f>
      </c>
      <c r="Z65">
        <f>'武器'!BB65</f>
      </c>
      <c r="AA65" s="184">
        <f>'武器'!CA65</f>
      </c>
      <c r="AB65">
        <f>'武器'!BH65</f>
      </c>
      <c r="AC65">
        <f>'武器'!BD65</f>
      </c>
      <c r="AD65">
        <f>'武器'!BL65</f>
      </c>
      <c r="AE65">
        <f>'武器'!BE65</f>
      </c>
      <c r="AF65" s="4"/>
      <c r="AG65" s="186">
        <f>'武器'!P65</f>
      </c>
      <c r="AH65" s="186">
        <f>'武器'!Q65</f>
      </c>
      <c r="AI65" s="186">
        <f>'武器'!R65</f>
      </c>
      <c r="AJ65">
        <f>'武器'!S65</f>
      </c>
      <c r="AK65" s="4"/>
      <c r="AL65">
        <f>'武器'!M65</f>
      </c>
      <c r="AM65">
        <f>'武器'!J65</f>
      </c>
      <c r="AN65" s="4"/>
      <c r="AO65" s="184">
        <f>'武器'!AJ65</f>
      </c>
      <c r="AP65" s="184">
        <f>'武器'!AK65</f>
      </c>
      <c r="AQ65" s="184">
        <f>'武器'!AL65</f>
      </c>
      <c r="AR65" s="4"/>
      <c r="AS65">
        <f>'武器'!H65</f>
      </c>
      <c r="AU65">
        <f>'武器'!N65</f>
      </c>
      <c r="AV65">
        <f>'武器'!BW65</f>
      </c>
      <c r="AW65">
        <f>'武器'!U65</f>
      </c>
      <c r="AX65" s="4"/>
      <c r="AY65" s="188"/>
      <c r="AZ65" s="4"/>
      <c r="BA65" s="184"/>
      <c r="BB65" s="4"/>
      <c r="BC65">
        <f>'武器'!K65</f>
      </c>
      <c r="BD65">
        <f>'武器'!O65</f>
      </c>
      <c r="BE65">
        <f>'武器'!AG65</f>
      </c>
      <c r="BF65">
        <f>'武器'!AH65</f>
      </c>
      <c r="BG65" s="4"/>
      <c r="BH65" s="1" t="str">
        <v>完成</v>
      </c>
    </row>
    <row r="66">
      <c r="A66">
        <f>'武器'!A66</f>
      </c>
      <c r="B66">
        <f>'武器'!B66</f>
      </c>
      <c r="C66">
        <f>'武器'!C66</f>
      </c>
      <c r="D66" s="184">
        <f>'武器'!F66</f>
      </c>
      <c r="E66" s="187"/>
      <c r="F66" s="184">
        <f>'武器'!D66</f>
      </c>
      <c r="G66">
        <f>'武器'!E66</f>
      </c>
      <c r="H66" s="4"/>
      <c r="J66">
        <f>'武器'!G66</f>
      </c>
      <c r="K66">
        <f>'武器'!I66</f>
      </c>
      <c r="L66">
        <f>'武器'!O66</f>
      </c>
      <c r="M66">
        <f>'武器'!BN66</f>
      </c>
      <c r="N66">
        <f>'武器'!BS66</f>
      </c>
      <c r="O66">
        <f>'武器'!BO66</f>
      </c>
      <c r="P66" s="4"/>
      <c r="Q66">
        <f>'武器'!W66</f>
      </c>
      <c r="R66">
        <f>'武器'!X66</f>
      </c>
      <c r="S66">
        <f>'武器'!Y66</f>
      </c>
      <c r="T66">
        <f>'武器'!Z66</f>
      </c>
      <c r="U66">
        <f>'武器'!AA66</f>
      </c>
      <c r="V66">
        <f>'武器'!AB66</f>
      </c>
      <c r="W66">
        <f>'武器'!AC66</f>
      </c>
      <c r="X66" s="4"/>
      <c r="Y66">
        <f>'武器'!CK66</f>
      </c>
      <c r="Z66">
        <f>'武器'!BB66</f>
      </c>
      <c r="AA66" s="184">
        <f>'武器'!CA66</f>
      </c>
      <c r="AB66">
        <f>'武器'!BH66</f>
      </c>
      <c r="AC66">
        <f>'武器'!BD66</f>
      </c>
      <c r="AD66">
        <f>'武器'!BL66</f>
      </c>
      <c r="AE66">
        <f>'武器'!BE66</f>
      </c>
      <c r="AF66" s="4"/>
      <c r="AG66" s="186">
        <f>'武器'!P66</f>
      </c>
      <c r="AH66" s="186">
        <f>'武器'!Q66</f>
      </c>
      <c r="AI66" s="186">
        <f>'武器'!R66</f>
      </c>
      <c r="AJ66">
        <f>'武器'!S66</f>
      </c>
      <c r="AK66" s="4"/>
      <c r="AL66">
        <f>'武器'!M66</f>
      </c>
      <c r="AM66">
        <f>'武器'!J66</f>
      </c>
      <c r="AN66" s="4"/>
      <c r="AO66" s="184">
        <f>'武器'!AJ66</f>
      </c>
      <c r="AP66" s="184">
        <f>'武器'!AK66</f>
      </c>
      <c r="AQ66" s="184">
        <f>'武器'!AL66</f>
      </c>
      <c r="AR66" s="4"/>
      <c r="AS66">
        <f>'武器'!H66</f>
      </c>
      <c r="AU66">
        <f>'武器'!N66</f>
      </c>
      <c r="AV66">
        <f>'武器'!BW66</f>
      </c>
      <c r="AW66">
        <f>'武器'!U66</f>
      </c>
      <c r="AX66" s="4"/>
      <c r="AY66" s="188"/>
      <c r="AZ66" s="4"/>
      <c r="BA66" s="184"/>
      <c r="BB66" s="4"/>
      <c r="BC66">
        <f>'武器'!K66</f>
      </c>
      <c r="BD66">
        <f>'武器'!O66</f>
      </c>
      <c r="BE66">
        <f>'武器'!AG66</f>
      </c>
      <c r="BF66">
        <f>'武器'!AH66</f>
      </c>
      <c r="BG66" s="4"/>
      <c r="BH66" s="1" t="str">
        <v>完成</v>
      </c>
    </row>
    <row r="67">
      <c r="A67">
        <f>'武器'!A67</f>
      </c>
      <c r="B67">
        <f>'武器'!B67</f>
      </c>
      <c r="C67">
        <f>'武器'!C67</f>
      </c>
      <c r="D67" s="184">
        <f>'武器'!F67</f>
      </c>
      <c r="E67" s="187"/>
      <c r="F67" s="184">
        <f>'武器'!D67</f>
      </c>
      <c r="G67">
        <f>'武器'!E67</f>
      </c>
      <c r="H67" s="4"/>
      <c r="J67">
        <f>'武器'!G67</f>
      </c>
      <c r="K67">
        <f>'武器'!I67</f>
      </c>
      <c r="L67">
        <f>'武器'!O67</f>
      </c>
      <c r="M67">
        <f>'武器'!BN67</f>
      </c>
      <c r="N67">
        <f>'武器'!BS67</f>
      </c>
      <c r="O67">
        <f>'武器'!BO67</f>
      </c>
      <c r="P67" s="4"/>
      <c r="Q67">
        <f>'武器'!W67</f>
      </c>
      <c r="R67">
        <f>'武器'!X67</f>
      </c>
      <c r="S67">
        <f>'武器'!Y67</f>
      </c>
      <c r="T67">
        <f>'武器'!Z67</f>
      </c>
      <c r="U67">
        <f>'武器'!AA67</f>
      </c>
      <c r="V67">
        <f>'武器'!AB67</f>
      </c>
      <c r="W67">
        <f>'武器'!AC67</f>
      </c>
      <c r="X67" s="4"/>
      <c r="Y67">
        <f>'武器'!CK67</f>
      </c>
      <c r="Z67">
        <f>'武器'!BB67</f>
      </c>
      <c r="AA67" s="184">
        <f>'武器'!CA67</f>
      </c>
      <c r="AB67">
        <f>'武器'!BH67</f>
      </c>
      <c r="AC67">
        <f>'武器'!BD67</f>
      </c>
      <c r="AD67">
        <f>'武器'!BL67</f>
      </c>
      <c r="AE67">
        <f>'武器'!BE67</f>
      </c>
      <c r="AF67" s="4"/>
      <c r="AG67" s="186">
        <f>'武器'!P67</f>
      </c>
      <c r="AH67" s="186">
        <f>'武器'!Q67</f>
      </c>
      <c r="AI67" s="186">
        <f>'武器'!R67</f>
      </c>
      <c r="AJ67">
        <f>'武器'!S67</f>
      </c>
      <c r="AK67" s="4"/>
      <c r="AL67">
        <f>'武器'!M67</f>
      </c>
      <c r="AM67">
        <f>'武器'!J67</f>
      </c>
      <c r="AN67" s="4"/>
      <c r="AO67" s="184">
        <f>'武器'!AJ67</f>
      </c>
      <c r="AP67" s="184">
        <f>'武器'!AK67</f>
      </c>
      <c r="AQ67" s="184">
        <f>'武器'!AL67</f>
      </c>
      <c r="AR67" s="4"/>
      <c r="AS67">
        <f>'武器'!H67</f>
      </c>
      <c r="AU67">
        <f>'武器'!N67</f>
      </c>
      <c r="AV67">
        <f>'武器'!BW67</f>
      </c>
      <c r="AW67">
        <f>'武器'!U67</f>
      </c>
      <c r="AX67" s="4"/>
      <c r="AY67" s="188"/>
      <c r="AZ67" s="4"/>
      <c r="BA67" s="184"/>
      <c r="BB67" s="4"/>
      <c r="BC67">
        <f>'武器'!K67</f>
      </c>
      <c r="BD67">
        <f>'武器'!O67</f>
      </c>
      <c r="BE67">
        <f>'武器'!AG67</f>
      </c>
      <c r="BF67">
        <f>'武器'!AH67</f>
      </c>
      <c r="BG67" s="4"/>
      <c r="BH67" s="1" t="str">
        <v>完成</v>
      </c>
    </row>
    <row r="68">
      <c r="A68">
        <f>'武器'!A68</f>
      </c>
      <c r="B68">
        <f>'武器'!B68</f>
      </c>
      <c r="C68">
        <f>'武器'!C68</f>
      </c>
      <c r="D68" s="184">
        <f>'武器'!F68</f>
      </c>
      <c r="E68" s="187"/>
      <c r="F68" s="184">
        <f>'武器'!D68</f>
      </c>
      <c r="G68">
        <f>'武器'!E68</f>
      </c>
      <c r="H68" s="4"/>
      <c r="J68">
        <f>'武器'!G68</f>
      </c>
      <c r="K68">
        <f>'武器'!I68</f>
      </c>
      <c r="L68">
        <f>'武器'!O68</f>
      </c>
      <c r="M68">
        <f>'武器'!BN68</f>
      </c>
      <c r="N68">
        <f>'武器'!BS68</f>
      </c>
      <c r="O68">
        <f>'武器'!BO68</f>
      </c>
      <c r="P68" s="4"/>
      <c r="Q68">
        <f>'武器'!W68</f>
      </c>
      <c r="R68">
        <f>'武器'!X68</f>
      </c>
      <c r="S68">
        <f>'武器'!Y68</f>
      </c>
      <c r="T68">
        <f>'武器'!Z68</f>
      </c>
      <c r="U68">
        <f>'武器'!AA68</f>
      </c>
      <c r="V68">
        <f>'武器'!AB68</f>
      </c>
      <c r="W68">
        <f>'武器'!AC68</f>
      </c>
      <c r="X68" s="4"/>
      <c r="Y68">
        <f>'武器'!CK68</f>
      </c>
      <c r="Z68">
        <f>'武器'!BB68</f>
      </c>
      <c r="AA68" s="184">
        <f>'武器'!CA68</f>
      </c>
      <c r="AB68">
        <f>'武器'!BH68</f>
      </c>
      <c r="AC68">
        <f>'武器'!BD68</f>
      </c>
      <c r="AD68">
        <f>'武器'!BL68</f>
      </c>
      <c r="AE68">
        <f>'武器'!BE68</f>
      </c>
      <c r="AF68" s="4"/>
      <c r="AG68" s="186">
        <f>'武器'!P68</f>
      </c>
      <c r="AH68" s="186">
        <f>'武器'!Q68</f>
      </c>
      <c r="AI68" s="186">
        <f>'武器'!R68</f>
      </c>
      <c r="AJ68">
        <f>'武器'!S68</f>
      </c>
      <c r="AK68" s="4"/>
      <c r="AL68">
        <f>'武器'!M68</f>
      </c>
      <c r="AM68">
        <f>'武器'!J68</f>
      </c>
      <c r="AN68" s="4"/>
      <c r="AO68" s="184">
        <f>'武器'!AJ68</f>
      </c>
      <c r="AP68" s="184">
        <f>'武器'!AK68</f>
      </c>
      <c r="AQ68" s="184">
        <f>'武器'!AL68</f>
      </c>
      <c r="AR68" s="4"/>
      <c r="AS68">
        <f>'武器'!H68</f>
      </c>
      <c r="AU68">
        <f>'武器'!N68</f>
      </c>
      <c r="AV68">
        <f>'武器'!BW68</f>
      </c>
      <c r="AW68">
        <f>'武器'!U68</f>
      </c>
      <c r="AX68" s="4"/>
      <c r="AY68" s="188"/>
      <c r="AZ68" s="4"/>
      <c r="BA68" s="184"/>
      <c r="BB68" s="4"/>
      <c r="BC68">
        <f>'武器'!K68</f>
      </c>
      <c r="BD68">
        <f>'武器'!O68</f>
      </c>
      <c r="BE68">
        <f>'武器'!AG68</f>
      </c>
      <c r="BF68">
        <f>'武器'!AH68</f>
      </c>
      <c r="BG68" s="4"/>
      <c r="BH68" s="1" t="str">
        <v>完成</v>
      </c>
    </row>
    <row r="69">
      <c r="A69" s="193">
        <f>'武器'!A69</f>
      </c>
      <c r="B69" s="193">
        <f>'武器'!B69</f>
      </c>
      <c r="C69" s="193">
        <f>'武器'!C69</f>
      </c>
      <c r="D69" s="193">
        <f>'武器'!F69</f>
      </c>
      <c r="E69" s="187">
        <f>'武器'!CY69</f>
      </c>
      <c r="F69" s="193">
        <f>'武器'!D69</f>
      </c>
      <c r="G69" s="193">
        <f>'武器'!E69</f>
      </c>
      <c r="H69" s="193"/>
      <c r="I69" s="193"/>
      <c r="J69" s="193">
        <f>'武器'!G69</f>
      </c>
      <c r="K69" s="193">
        <f>'武器'!I69</f>
      </c>
      <c r="L69" s="193">
        <f>'武器'!O69</f>
      </c>
      <c r="M69" s="193">
        <f>'武器'!BN69</f>
      </c>
      <c r="N69" s="193">
        <f>'武器'!BS69</f>
      </c>
      <c r="O69" s="193">
        <f>'武器'!BO69</f>
      </c>
      <c r="P69" s="193"/>
      <c r="Q69" s="193">
        <f>'武器'!W69</f>
      </c>
      <c r="R69" s="193">
        <f>'武器'!X69</f>
      </c>
      <c r="S69" s="193">
        <f>'武器'!Y69</f>
      </c>
      <c r="T69" s="193">
        <f>'武器'!Z69</f>
      </c>
      <c r="U69" s="193">
        <f>'武器'!AA69</f>
      </c>
      <c r="V69" s="193">
        <f>'武器'!AB69</f>
      </c>
      <c r="W69" s="193">
        <f>'武器'!AC69</f>
      </c>
      <c r="X69" s="193"/>
      <c r="Y69" s="193">
        <f>'武器'!CK69</f>
      </c>
      <c r="Z69" s="193">
        <f>'武器'!BB69</f>
      </c>
      <c r="AA69" s="193">
        <f>'武器'!CA69</f>
      </c>
      <c r="AB69" s="193">
        <f>'武器'!BH69</f>
      </c>
      <c r="AC69" s="193">
        <f>'武器'!BD69</f>
      </c>
      <c r="AD69" s="193">
        <f>'武器'!BL69</f>
      </c>
      <c r="AE69" s="193">
        <f>'武器'!BE69</f>
      </c>
      <c r="AF69" s="193"/>
      <c r="AG69" s="194">
        <f>'武器'!P69</f>
      </c>
      <c r="AH69" s="194">
        <f>'武器'!Q69</f>
      </c>
      <c r="AI69" s="194">
        <f>'武器'!R69</f>
      </c>
      <c r="AJ69" s="193">
        <f>'武器'!S69</f>
      </c>
      <c r="AK69" s="193"/>
      <c r="AL69" s="193">
        <f>'武器'!M69</f>
      </c>
      <c r="AM69" s="193">
        <f>'武器'!J69</f>
      </c>
      <c r="AN69" s="193"/>
      <c r="AO69" s="193">
        <f>'武器'!AJ69</f>
      </c>
      <c r="AP69" s="193">
        <f>'武器'!AK69</f>
      </c>
      <c r="AQ69" s="193">
        <f>'武器'!AL69</f>
      </c>
      <c r="AR69" s="193"/>
      <c r="AS69" s="193">
        <f>'武器'!H69</f>
      </c>
      <c r="AT69" s="193"/>
      <c r="AU69" s="193">
        <f>'武器'!N69</f>
      </c>
      <c r="AV69" s="193">
        <f>'武器'!BW69</f>
      </c>
      <c r="AW69" s="193">
        <f>'武器'!U69</f>
      </c>
      <c r="AX69" s="193"/>
      <c r="AY69" s="188">
        <f>'武器'!DA69</f>
      </c>
      <c r="AZ69" s="193"/>
      <c r="BA69" s="193"/>
      <c r="BB69" s="193"/>
      <c r="BC69" s="193">
        <f>'武器'!K69</f>
      </c>
      <c r="BD69" s="193">
        <f>'武器'!O69</f>
      </c>
      <c r="BE69" s="193">
        <f>'武器'!AG69</f>
      </c>
      <c r="BF69" s="193">
        <f>'武器'!AH69</f>
      </c>
      <c r="BG69" s="193"/>
      <c r="BH69" s="27" t="str">
        <v>完成</v>
      </c>
    </row>
    <row r="70">
      <c r="A70" s="189">
        <f>'武器'!A70</f>
      </c>
      <c r="B70" s="189">
        <f>'武器'!B70</f>
      </c>
      <c r="C70" s="189">
        <f>'武器'!C70</f>
      </c>
      <c r="D70" s="189">
        <f>'武器'!F70</f>
      </c>
      <c r="E70" s="187"/>
      <c r="F70" s="189">
        <f>'武器'!D70</f>
      </c>
      <c r="G70" s="189">
        <f>'武器'!E70</f>
      </c>
      <c r="H70" s="189"/>
      <c r="I70" s="189"/>
      <c r="J70" s="189">
        <f>'武器'!G70</f>
      </c>
      <c r="K70" s="189">
        <f>'武器'!I70</f>
      </c>
      <c r="L70" s="189">
        <f>'武器'!O70</f>
      </c>
      <c r="M70" s="189">
        <f>'武器'!BN70</f>
      </c>
      <c r="N70" s="189">
        <f>'武器'!BS70</f>
      </c>
      <c r="O70" s="189">
        <f>'武器'!BO70</f>
      </c>
      <c r="P70" s="189"/>
      <c r="Q70" s="189">
        <f>'武器'!W70</f>
      </c>
      <c r="R70" s="189">
        <f>'武器'!X70</f>
      </c>
      <c r="S70" s="189">
        <f>'武器'!Y70</f>
      </c>
      <c r="T70" s="189">
        <f>'武器'!Z70</f>
      </c>
      <c r="U70" s="189">
        <f>'武器'!AA70</f>
      </c>
      <c r="V70" s="189">
        <f>'武器'!AB70</f>
      </c>
      <c r="W70" s="189">
        <f>'武器'!AC70</f>
      </c>
      <c r="X70" s="189"/>
      <c r="Y70" s="189">
        <f>'武器'!CK70</f>
      </c>
      <c r="Z70" s="189">
        <f>'武器'!BB70</f>
      </c>
      <c r="AA70" s="189">
        <f>'武器'!CA70</f>
      </c>
      <c r="AB70" s="189">
        <f>'武器'!BH70</f>
      </c>
      <c r="AC70" s="189">
        <f>'武器'!BD70</f>
      </c>
      <c r="AD70" s="189">
        <f>'武器'!BL70</f>
      </c>
      <c r="AE70" s="189">
        <f>'武器'!BE70</f>
      </c>
      <c r="AF70" s="189"/>
      <c r="AG70" s="191">
        <f>'武器'!P70</f>
      </c>
      <c r="AH70" s="191">
        <f>'武器'!Q70</f>
      </c>
      <c r="AI70" s="191">
        <f>'武器'!R70</f>
      </c>
      <c r="AJ70" s="189">
        <f>'武器'!S70</f>
      </c>
      <c r="AK70" s="189"/>
      <c r="AL70" s="189">
        <f>'武器'!M70</f>
      </c>
      <c r="AM70" s="189">
        <f>'武器'!J70</f>
      </c>
      <c r="AN70" s="189"/>
      <c r="AO70" s="189">
        <f>'武器'!AJ70</f>
      </c>
      <c r="AP70" s="189">
        <f>'武器'!AK70</f>
      </c>
      <c r="AQ70" s="189">
        <f>'武器'!AL70</f>
      </c>
      <c r="AR70" s="189"/>
      <c r="AS70" s="189">
        <f>'武器'!H70</f>
      </c>
      <c r="AT70" s="189"/>
      <c r="AU70" s="189">
        <f>'武器'!N70</f>
      </c>
      <c r="AV70" s="189">
        <f>'武器'!BW70</f>
      </c>
      <c r="AW70" s="189">
        <f>'武器'!U70</f>
      </c>
      <c r="AX70" s="189"/>
      <c r="AY70" s="188"/>
      <c r="AZ70" s="189"/>
      <c r="BA70" s="189"/>
      <c r="BB70" s="189"/>
      <c r="BC70" s="189">
        <f>'武器'!K70</f>
      </c>
      <c r="BD70" s="189">
        <f>'武器'!O70</f>
      </c>
      <c r="BE70" s="189">
        <f>'武器'!AG70</f>
      </c>
      <c r="BF70" s="189">
        <f>'武器'!AH70</f>
      </c>
      <c r="BG70" s="189"/>
      <c r="BH70" s="159" t="str">
        <v>完成</v>
      </c>
    </row>
    <row r="71">
      <c r="A71">
        <f>'武器'!A71</f>
      </c>
      <c r="B71">
        <f>'武器'!B71</f>
      </c>
      <c r="C71">
        <f>'武器'!C71</f>
      </c>
      <c r="D71" s="184">
        <f>'武器'!F71</f>
      </c>
      <c r="E71" s="187"/>
      <c r="F71" s="184">
        <f>'武器'!D71</f>
      </c>
      <c r="G71">
        <f>'武器'!E71</f>
      </c>
      <c r="H71" s="4"/>
      <c r="J71">
        <f>'武器'!G71</f>
      </c>
      <c r="K71">
        <f>'武器'!I71</f>
      </c>
      <c r="L71">
        <f>'武器'!O71</f>
      </c>
      <c r="M71">
        <f>'武器'!BN71</f>
      </c>
      <c r="N71">
        <f>'武器'!BS71</f>
      </c>
      <c r="O71">
        <f>'武器'!BO71</f>
      </c>
      <c r="P71" s="4"/>
      <c r="Q71">
        <f>'武器'!W71</f>
      </c>
      <c r="R71">
        <f>'武器'!X71</f>
      </c>
      <c r="S71">
        <f>'武器'!Y71</f>
      </c>
      <c r="T71">
        <f>'武器'!Z71</f>
      </c>
      <c r="U71">
        <f>'武器'!AA71</f>
      </c>
      <c r="V71">
        <f>'武器'!AB71</f>
      </c>
      <c r="W71">
        <f>'武器'!AC71</f>
      </c>
      <c r="X71" s="4"/>
      <c r="Y71">
        <f>'武器'!CK71</f>
      </c>
      <c r="Z71">
        <f>'武器'!BB71</f>
      </c>
      <c r="AA71" s="184">
        <f>'武器'!CA71</f>
      </c>
      <c r="AB71">
        <f>'武器'!BH71</f>
      </c>
      <c r="AC71">
        <f>'武器'!BD71</f>
      </c>
      <c r="AD71">
        <f>'武器'!BL71</f>
      </c>
      <c r="AE71">
        <f>'武器'!BE71</f>
      </c>
      <c r="AF71" s="4"/>
      <c r="AG71" s="186">
        <f>'武器'!P71</f>
      </c>
      <c r="AH71" s="186">
        <f>'武器'!Q71</f>
      </c>
      <c r="AI71" s="186">
        <f>'武器'!R71</f>
      </c>
      <c r="AJ71">
        <f>'武器'!S71</f>
      </c>
      <c r="AK71" s="4"/>
      <c r="AL71">
        <f>'武器'!M71</f>
      </c>
      <c r="AM71">
        <f>'武器'!J71</f>
      </c>
      <c r="AN71" s="4"/>
      <c r="AO71" s="184">
        <f>'武器'!AJ71</f>
      </c>
      <c r="AP71" s="184">
        <f>'武器'!AK71</f>
      </c>
      <c r="AQ71" s="184">
        <f>'武器'!AL71</f>
      </c>
      <c r="AR71" s="4"/>
      <c r="AS71">
        <f>'武器'!H71</f>
      </c>
      <c r="AU71">
        <f>'武器'!N71</f>
      </c>
      <c r="AV71">
        <f>'武器'!BW71</f>
      </c>
      <c r="AW71">
        <f>'武器'!U71</f>
      </c>
      <c r="AX71" s="4"/>
      <c r="AY71" s="188"/>
      <c r="AZ71" s="4"/>
      <c r="BA71" s="184"/>
      <c r="BB71" s="4"/>
      <c r="BC71">
        <f>'武器'!K71</f>
      </c>
      <c r="BD71">
        <f>'武器'!O71</f>
      </c>
      <c r="BE71">
        <f>'武器'!AG71</f>
      </c>
      <c r="BF71">
        <f>'武器'!AH71</f>
      </c>
      <c r="BG71" s="4"/>
      <c r="BH71" s="1" t="str">
        <v>完成</v>
      </c>
    </row>
    <row r="72">
      <c r="A72">
        <f>'武器'!A72</f>
      </c>
      <c r="B72">
        <f>'武器'!B72</f>
      </c>
      <c r="C72">
        <f>'武器'!C72</f>
      </c>
      <c r="D72" s="184">
        <f>'武器'!F72</f>
      </c>
      <c r="E72" s="187"/>
      <c r="F72" s="184">
        <f>'武器'!D72</f>
      </c>
      <c r="G72">
        <f>'武器'!E72</f>
      </c>
      <c r="H72" s="4"/>
      <c r="J72">
        <f>'武器'!G72</f>
      </c>
      <c r="K72">
        <f>'武器'!I72</f>
      </c>
      <c r="L72">
        <f>'武器'!O72</f>
      </c>
      <c r="M72">
        <f>'武器'!BN72</f>
      </c>
      <c r="N72">
        <f>'武器'!BS72</f>
      </c>
      <c r="O72">
        <f>'武器'!BO72</f>
      </c>
      <c r="P72" s="4"/>
      <c r="Q72">
        <f>'武器'!W72</f>
      </c>
      <c r="R72">
        <f>'武器'!X72</f>
      </c>
      <c r="S72">
        <f>'武器'!Y72</f>
      </c>
      <c r="T72">
        <f>'武器'!Z72</f>
      </c>
      <c r="U72">
        <f>'武器'!AA72</f>
      </c>
      <c r="V72">
        <f>'武器'!AB72</f>
      </c>
      <c r="W72">
        <f>'武器'!AC72</f>
      </c>
      <c r="X72" s="4"/>
      <c r="Y72">
        <f>'武器'!CK72</f>
      </c>
      <c r="Z72">
        <f>'武器'!BB72</f>
      </c>
      <c r="AA72" s="184">
        <f>'武器'!CA72</f>
      </c>
      <c r="AB72">
        <f>'武器'!BH72</f>
      </c>
      <c r="AC72">
        <f>'武器'!BD72</f>
      </c>
      <c r="AD72">
        <f>'武器'!BL72</f>
      </c>
      <c r="AE72">
        <f>'武器'!BE72</f>
      </c>
      <c r="AF72" s="4"/>
      <c r="AG72" s="186">
        <f>'武器'!P72</f>
      </c>
      <c r="AH72" s="186">
        <f>'武器'!Q72</f>
      </c>
      <c r="AI72" s="186">
        <f>'武器'!R72</f>
      </c>
      <c r="AJ72">
        <f>'武器'!S72</f>
      </c>
      <c r="AK72" s="4"/>
      <c r="AL72">
        <f>'武器'!M72</f>
      </c>
      <c r="AM72">
        <f>'武器'!J72</f>
      </c>
      <c r="AN72" s="4"/>
      <c r="AO72" s="184">
        <f>'武器'!AJ72</f>
      </c>
      <c r="AP72" s="184">
        <f>'武器'!AK72</f>
      </c>
      <c r="AQ72" s="184">
        <f>'武器'!AL72</f>
      </c>
      <c r="AR72" s="4"/>
      <c r="AS72">
        <f>'武器'!H72</f>
      </c>
      <c r="AU72">
        <f>'武器'!N72</f>
      </c>
      <c r="AV72">
        <f>'武器'!BW72</f>
      </c>
      <c r="AW72">
        <f>'武器'!U72</f>
      </c>
      <c r="AX72" s="4"/>
      <c r="AY72" s="188"/>
      <c r="AZ72" s="4"/>
      <c r="BA72" s="184"/>
      <c r="BB72" s="4"/>
      <c r="BC72">
        <f>'武器'!K72</f>
      </c>
      <c r="BD72">
        <f>'武器'!O72</f>
      </c>
      <c r="BE72">
        <f>'武器'!AG72</f>
      </c>
      <c r="BF72">
        <f>'武器'!AH72</f>
      </c>
      <c r="BG72" s="4"/>
      <c r="BH72" s="1" t="str">
        <v>完成</v>
      </c>
    </row>
    <row r="73">
      <c r="A73">
        <f>'武器'!A73</f>
      </c>
      <c r="B73">
        <f>'武器'!B73</f>
      </c>
      <c r="C73">
        <f>'武器'!C73</f>
      </c>
      <c r="D73" s="184">
        <f>'武器'!F73</f>
      </c>
      <c r="E73" s="187"/>
      <c r="F73" s="184">
        <f>'武器'!D73</f>
      </c>
      <c r="G73">
        <f>'武器'!E73</f>
      </c>
      <c r="H73" s="4"/>
      <c r="J73">
        <f>'武器'!G73</f>
      </c>
      <c r="K73">
        <f>'武器'!I73</f>
      </c>
      <c r="L73">
        <f>'武器'!O73</f>
      </c>
      <c r="M73">
        <f>'武器'!BN73</f>
      </c>
      <c r="N73">
        <f>'武器'!BS73</f>
      </c>
      <c r="O73">
        <f>'武器'!BO73</f>
      </c>
      <c r="P73" s="4"/>
      <c r="Q73">
        <f>'武器'!W73</f>
      </c>
      <c r="R73">
        <f>'武器'!X73</f>
      </c>
      <c r="S73">
        <f>'武器'!Y73</f>
      </c>
      <c r="T73">
        <f>'武器'!Z73</f>
      </c>
      <c r="U73">
        <f>'武器'!AA73</f>
      </c>
      <c r="V73">
        <f>'武器'!AB73</f>
      </c>
      <c r="W73">
        <f>'武器'!AC73</f>
      </c>
      <c r="X73" s="4"/>
      <c r="Y73">
        <f>'武器'!CK73</f>
      </c>
      <c r="Z73">
        <f>'武器'!BB73</f>
      </c>
      <c r="AA73" s="184">
        <f>'武器'!CA73</f>
      </c>
      <c r="AB73">
        <f>'武器'!BH73</f>
      </c>
      <c r="AC73">
        <f>'武器'!BD73</f>
      </c>
      <c r="AD73">
        <f>'武器'!BL73</f>
      </c>
      <c r="AE73">
        <f>'武器'!BE73</f>
      </c>
      <c r="AF73" s="4"/>
      <c r="AG73" s="186">
        <f>'武器'!P73</f>
      </c>
      <c r="AH73" s="186">
        <f>'武器'!Q73</f>
      </c>
      <c r="AI73" s="186">
        <f>'武器'!R73</f>
      </c>
      <c r="AJ73">
        <f>'武器'!S73</f>
      </c>
      <c r="AK73" s="4"/>
      <c r="AL73">
        <f>'武器'!M73</f>
      </c>
      <c r="AM73">
        <f>'武器'!J73</f>
      </c>
      <c r="AN73" s="4"/>
      <c r="AO73" s="184">
        <f>'武器'!AJ73</f>
      </c>
      <c r="AP73" s="184">
        <f>'武器'!AK73</f>
      </c>
      <c r="AQ73" s="184">
        <f>'武器'!AL73</f>
      </c>
      <c r="AR73" s="4"/>
      <c r="AS73">
        <f>'武器'!H73</f>
      </c>
      <c r="AU73">
        <f>'武器'!N73</f>
      </c>
      <c r="AV73">
        <f>'武器'!BW73</f>
      </c>
      <c r="AW73">
        <f>'武器'!U73</f>
      </c>
      <c r="AX73" s="4"/>
      <c r="AY73" s="188"/>
      <c r="AZ73" s="4"/>
      <c r="BA73" s="184"/>
      <c r="BB73" s="4"/>
      <c r="BC73">
        <f>'武器'!K73</f>
      </c>
      <c r="BD73">
        <f>'武器'!O73</f>
      </c>
      <c r="BE73">
        <f>'武器'!AG73</f>
      </c>
      <c r="BF73">
        <f>'武器'!AH73</f>
      </c>
      <c r="BG73" s="4"/>
      <c r="BH73" s="1" t="str">
        <v>完成</v>
      </c>
    </row>
    <row r="74">
      <c r="A74">
        <f>'武器'!A74</f>
      </c>
      <c r="B74">
        <f>'武器'!B74</f>
      </c>
      <c r="C74">
        <f>'武器'!C74</f>
      </c>
      <c r="D74" s="184">
        <f>'武器'!F74</f>
      </c>
      <c r="E74" s="187"/>
      <c r="F74" s="184">
        <f>'武器'!D74</f>
      </c>
      <c r="G74">
        <f>'武器'!E74</f>
      </c>
      <c r="H74" s="4"/>
      <c r="J74">
        <f>'武器'!G74</f>
      </c>
      <c r="K74">
        <f>'武器'!I74</f>
      </c>
      <c r="L74">
        <f>'武器'!O74</f>
      </c>
      <c r="M74">
        <f>'武器'!BN74</f>
      </c>
      <c r="N74">
        <f>'武器'!BS74</f>
      </c>
      <c r="O74">
        <f>'武器'!BO74</f>
      </c>
      <c r="P74" s="4"/>
      <c r="Q74">
        <f>'武器'!W74</f>
      </c>
      <c r="R74">
        <f>'武器'!X74</f>
      </c>
      <c r="S74">
        <f>'武器'!Y74</f>
      </c>
      <c r="T74">
        <f>'武器'!Z74</f>
      </c>
      <c r="U74">
        <f>'武器'!AA74</f>
      </c>
      <c r="V74">
        <f>'武器'!AB74</f>
      </c>
      <c r="W74">
        <f>'武器'!AC74</f>
      </c>
      <c r="X74" s="4"/>
      <c r="Y74">
        <f>'武器'!CK74</f>
      </c>
      <c r="Z74">
        <f>'武器'!BB74</f>
      </c>
      <c r="AA74" s="184">
        <f>'武器'!CA74</f>
      </c>
      <c r="AB74">
        <f>'武器'!BH74</f>
      </c>
      <c r="AC74">
        <f>'武器'!BD74</f>
      </c>
      <c r="AD74">
        <f>'武器'!BL74</f>
      </c>
      <c r="AE74">
        <f>'武器'!BE74</f>
      </c>
      <c r="AF74" s="4"/>
      <c r="AG74" s="186">
        <f>'武器'!P74</f>
      </c>
      <c r="AH74" s="186">
        <f>'武器'!Q74</f>
      </c>
      <c r="AI74" s="186">
        <f>'武器'!R74</f>
      </c>
      <c r="AJ74">
        <f>'武器'!S74</f>
      </c>
      <c r="AK74" s="4"/>
      <c r="AL74">
        <f>'武器'!M74</f>
      </c>
      <c r="AM74">
        <f>'武器'!J74</f>
      </c>
      <c r="AN74" s="4"/>
      <c r="AO74" s="184">
        <f>'武器'!AJ74</f>
      </c>
      <c r="AP74" s="184">
        <f>'武器'!AK74</f>
      </c>
      <c r="AQ74" s="184">
        <f>'武器'!AL74</f>
      </c>
      <c r="AR74" s="4"/>
      <c r="AS74">
        <f>'武器'!H74</f>
      </c>
      <c r="AU74">
        <f>'武器'!N74</f>
      </c>
      <c r="AV74">
        <f>'武器'!BW74</f>
      </c>
      <c r="AW74">
        <f>'武器'!U74</f>
      </c>
      <c r="AX74" s="4"/>
      <c r="AY74" s="188"/>
      <c r="AZ74" s="4"/>
      <c r="BA74" s="184"/>
      <c r="BB74" s="4"/>
      <c r="BC74">
        <f>'武器'!K74</f>
      </c>
      <c r="BD74">
        <f>'武器'!O74</f>
      </c>
      <c r="BE74">
        <f>'武器'!AG74</f>
      </c>
      <c r="BF74">
        <f>'武器'!AH74</f>
      </c>
      <c r="BG74" s="4"/>
      <c r="BH74" s="1" t="str">
        <v>完成</v>
      </c>
    </row>
    <row r="75">
      <c r="A75" s="193">
        <f>'武器'!A75</f>
      </c>
      <c r="B75" s="193">
        <f>'武器'!B75</f>
      </c>
      <c r="C75" s="193">
        <f>'武器'!C75</f>
      </c>
      <c r="D75" s="193">
        <f>'武器'!F75</f>
      </c>
      <c r="E75" s="187">
        <f>'武器'!CY75</f>
      </c>
      <c r="F75" s="193">
        <f>'武器'!D75</f>
      </c>
      <c r="G75" s="193">
        <f>'武器'!E75</f>
      </c>
      <c r="H75" s="193"/>
      <c r="I75" s="193"/>
      <c r="J75" s="193">
        <f>'武器'!G75</f>
      </c>
      <c r="K75" s="193">
        <f>'武器'!I75</f>
      </c>
      <c r="L75" s="193">
        <f>'武器'!O75</f>
      </c>
      <c r="M75" s="193">
        <f>'武器'!BN75</f>
      </c>
      <c r="N75" s="193">
        <f>'武器'!BS75</f>
      </c>
      <c r="O75" s="193">
        <f>'武器'!BO75</f>
      </c>
      <c r="P75" s="193"/>
      <c r="Q75" s="193">
        <f>'武器'!W75</f>
      </c>
      <c r="R75" s="193">
        <f>'武器'!X75</f>
      </c>
      <c r="S75" s="193">
        <f>'武器'!Y75</f>
      </c>
      <c r="T75" s="193">
        <f>'武器'!Z75</f>
      </c>
      <c r="U75" s="193">
        <f>'武器'!AA75</f>
      </c>
      <c r="V75" s="193">
        <f>'武器'!AB75</f>
      </c>
      <c r="W75" s="193">
        <f>'武器'!AC75</f>
      </c>
      <c r="X75" s="193"/>
      <c r="Y75" s="193">
        <f>'武器'!CK75</f>
      </c>
      <c r="Z75" s="193">
        <f>'武器'!BB75</f>
      </c>
      <c r="AA75" s="193">
        <f>'武器'!CA75</f>
      </c>
      <c r="AB75" s="193">
        <f>'武器'!BH75</f>
      </c>
      <c r="AC75" s="193">
        <f>'武器'!BD75</f>
      </c>
      <c r="AD75" s="193">
        <f>'武器'!BL75</f>
      </c>
      <c r="AE75" s="193">
        <f>'武器'!BE75</f>
      </c>
      <c r="AF75" s="193"/>
      <c r="AG75" s="194">
        <f>'武器'!P75</f>
      </c>
      <c r="AH75" s="194">
        <f>'武器'!Q75</f>
      </c>
      <c r="AI75" s="194">
        <f>'武器'!R75</f>
      </c>
      <c r="AJ75" s="193">
        <f>'武器'!S75</f>
      </c>
      <c r="AK75" s="193"/>
      <c r="AL75" s="193">
        <f>'武器'!M75</f>
      </c>
      <c r="AM75" s="193">
        <f>'武器'!J75</f>
      </c>
      <c r="AN75" s="193"/>
      <c r="AO75" s="193">
        <f>'武器'!AJ75</f>
      </c>
      <c r="AP75" s="193">
        <f>'武器'!AK75</f>
      </c>
      <c r="AQ75" s="193">
        <f>'武器'!AL75</f>
      </c>
      <c r="AR75" s="193"/>
      <c r="AS75" s="193">
        <f>'武器'!H75</f>
      </c>
      <c r="AT75" s="193"/>
      <c r="AU75" s="193">
        <f>'武器'!N75</f>
      </c>
      <c r="AV75" s="193">
        <f>'武器'!BW75</f>
      </c>
      <c r="AW75" s="193">
        <f>'武器'!U75</f>
      </c>
      <c r="AX75" s="193"/>
      <c r="AY75" s="188">
        <f>'武器'!DA75</f>
      </c>
      <c r="AZ75" s="193"/>
      <c r="BA75" s="193"/>
      <c r="BB75" s="193"/>
      <c r="BC75" s="193">
        <f>'武器'!K75</f>
      </c>
      <c r="BD75" s="193">
        <f>'武器'!O75</f>
      </c>
      <c r="BE75" s="193">
        <f>'武器'!AG75</f>
      </c>
      <c r="BF75" s="193">
        <f>'武器'!AH75</f>
      </c>
      <c r="BG75" s="193"/>
      <c r="BH75" s="27" t="str">
        <v>完成</v>
      </c>
    </row>
    <row r="76">
      <c r="A76" s="189">
        <f>'武器'!A76</f>
      </c>
      <c r="B76" s="189">
        <f>'武器'!B76</f>
      </c>
      <c r="C76" s="189">
        <f>'武器'!C76</f>
      </c>
      <c r="D76" s="189">
        <f>'武器'!F76</f>
      </c>
      <c r="E76" s="187"/>
      <c r="F76" s="189">
        <f>'武器'!D76</f>
      </c>
      <c r="G76" s="189">
        <f>'武器'!E76</f>
      </c>
      <c r="H76" s="189"/>
      <c r="I76" s="189"/>
      <c r="J76" s="189">
        <f>'武器'!G76</f>
      </c>
      <c r="K76" s="189">
        <f>'武器'!I76</f>
      </c>
      <c r="L76" s="189">
        <f>'武器'!O76</f>
      </c>
      <c r="M76" s="189">
        <f>'武器'!BN76</f>
      </c>
      <c r="N76" s="189">
        <f>'武器'!BS76</f>
      </c>
      <c r="O76" s="189">
        <f>'武器'!BO76</f>
      </c>
      <c r="P76" s="189"/>
      <c r="Q76" s="189">
        <f>'武器'!W76</f>
      </c>
      <c r="R76" s="189">
        <f>'武器'!X76</f>
      </c>
      <c r="S76" s="189">
        <f>'武器'!Y76</f>
      </c>
      <c r="T76" s="189">
        <f>'武器'!Z76</f>
      </c>
      <c r="U76" s="189">
        <f>'武器'!AA76</f>
      </c>
      <c r="V76" s="189">
        <f>'武器'!AB76</f>
      </c>
      <c r="W76" s="189">
        <f>'武器'!AC76</f>
      </c>
      <c r="X76" s="189"/>
      <c r="Y76" s="189">
        <f>'武器'!CK76</f>
      </c>
      <c r="Z76" s="189">
        <f>'武器'!BB76</f>
      </c>
      <c r="AA76" s="189">
        <f>'武器'!CA76</f>
      </c>
      <c r="AB76" s="189">
        <f>'武器'!BH76</f>
      </c>
      <c r="AC76" s="189">
        <f>'武器'!BD76</f>
      </c>
      <c r="AD76" s="189">
        <f>'武器'!BL76</f>
      </c>
      <c r="AE76" s="189">
        <f>'武器'!BE76</f>
      </c>
      <c r="AF76" s="189"/>
      <c r="AG76" s="191">
        <f>'武器'!P76</f>
      </c>
      <c r="AH76" s="191">
        <f>'武器'!Q76</f>
      </c>
      <c r="AI76" s="191">
        <f>'武器'!R76</f>
      </c>
      <c r="AJ76" s="189">
        <f>'武器'!S76</f>
      </c>
      <c r="AK76" s="189"/>
      <c r="AL76" s="189">
        <f>'武器'!M76</f>
      </c>
      <c r="AM76" s="189">
        <f>'武器'!J76</f>
      </c>
      <c r="AN76" s="189"/>
      <c r="AO76" s="189">
        <f>'武器'!AJ76</f>
      </c>
      <c r="AP76" s="189">
        <f>'武器'!AK76</f>
      </c>
      <c r="AQ76" s="189">
        <f>'武器'!AL76</f>
      </c>
      <c r="AR76" s="189"/>
      <c r="AS76" s="189">
        <f>'武器'!H76</f>
      </c>
      <c r="AT76" s="189"/>
      <c r="AU76" s="189">
        <f>'武器'!N76</f>
      </c>
      <c r="AV76" s="189">
        <f>'武器'!BW76</f>
      </c>
      <c r="AW76" s="189">
        <f>'武器'!U76</f>
      </c>
      <c r="AX76" s="189"/>
      <c r="AY76" s="188"/>
      <c r="AZ76" s="189"/>
      <c r="BA76" s="189"/>
      <c r="BB76" s="189"/>
      <c r="BC76" s="189">
        <f>'武器'!K76</f>
      </c>
      <c r="BD76" s="189">
        <f>'武器'!O76</f>
      </c>
      <c r="BE76" s="189">
        <f>'武器'!AG76</f>
      </c>
      <c r="BF76" s="189">
        <f>'武器'!AH76</f>
      </c>
      <c r="BG76" s="189"/>
      <c r="BH76" s="159" t="str">
        <v>完成</v>
      </c>
    </row>
    <row r="77">
      <c r="A77">
        <f>'武器'!A77</f>
      </c>
      <c r="B77">
        <f>'武器'!B77</f>
      </c>
      <c r="C77">
        <f>'武器'!C77</f>
      </c>
      <c r="D77" s="184">
        <f>'武器'!F77</f>
      </c>
      <c r="E77" s="187"/>
      <c r="F77" s="184">
        <f>'武器'!D77</f>
      </c>
      <c r="G77">
        <f>'武器'!E77</f>
      </c>
      <c r="H77" s="4"/>
      <c r="J77">
        <f>'武器'!G77</f>
      </c>
      <c r="K77">
        <f>'武器'!I77</f>
      </c>
      <c r="L77">
        <f>'武器'!O77</f>
      </c>
      <c r="M77">
        <f>'武器'!BN77</f>
      </c>
      <c r="N77">
        <f>'武器'!BS77</f>
      </c>
      <c r="O77">
        <f>'武器'!BO77</f>
      </c>
      <c r="P77" s="4"/>
      <c r="Q77">
        <f>'武器'!W77</f>
      </c>
      <c r="R77">
        <f>'武器'!X77</f>
      </c>
      <c r="S77">
        <f>'武器'!Y77</f>
      </c>
      <c r="T77">
        <f>'武器'!Z77</f>
      </c>
      <c r="U77">
        <f>'武器'!AA77</f>
      </c>
      <c r="V77">
        <f>'武器'!AB77</f>
      </c>
      <c r="W77">
        <f>'武器'!AC77</f>
      </c>
      <c r="X77" s="4"/>
      <c r="Y77">
        <f>'武器'!CK77</f>
      </c>
      <c r="Z77">
        <f>'武器'!BB77</f>
      </c>
      <c r="AA77" s="184">
        <f>'武器'!CA77</f>
      </c>
      <c r="AB77">
        <f>'武器'!BH77</f>
      </c>
      <c r="AC77">
        <f>'武器'!BD77</f>
      </c>
      <c r="AD77">
        <f>'武器'!BL77</f>
      </c>
      <c r="AE77">
        <f>'武器'!BE77</f>
      </c>
      <c r="AF77" s="4"/>
      <c r="AG77" s="186">
        <f>'武器'!P77</f>
      </c>
      <c r="AH77" s="186">
        <f>'武器'!Q77</f>
      </c>
      <c r="AI77" s="186">
        <f>'武器'!R77</f>
      </c>
      <c r="AJ77">
        <f>'武器'!S77</f>
      </c>
      <c r="AK77" s="4"/>
      <c r="AL77">
        <f>'武器'!M77</f>
      </c>
      <c r="AM77">
        <f>'武器'!J77</f>
      </c>
      <c r="AN77" s="4"/>
      <c r="AO77" s="184">
        <f>'武器'!AJ77</f>
      </c>
      <c r="AP77" s="184">
        <f>'武器'!AK77</f>
      </c>
      <c r="AQ77" s="184">
        <f>'武器'!AL77</f>
      </c>
      <c r="AR77" s="4"/>
      <c r="AS77">
        <f>'武器'!H77</f>
      </c>
      <c r="AU77">
        <f>'武器'!N77</f>
      </c>
      <c r="AV77">
        <f>'武器'!BW77</f>
      </c>
      <c r="AW77">
        <f>'武器'!U77</f>
      </c>
      <c r="AX77" s="4"/>
      <c r="AY77" s="188"/>
      <c r="AZ77" s="4"/>
      <c r="BA77" s="184"/>
      <c r="BB77" s="4"/>
      <c r="BC77">
        <f>'武器'!K77</f>
      </c>
      <c r="BD77">
        <f>'武器'!O77</f>
      </c>
      <c r="BE77">
        <f>'武器'!AG77</f>
      </c>
      <c r="BF77">
        <f>'武器'!AH77</f>
      </c>
      <c r="BG77" s="4"/>
      <c r="BH77" s="1" t="str">
        <v>完成</v>
      </c>
    </row>
    <row r="78">
      <c r="A78">
        <f>'武器'!A78</f>
      </c>
      <c r="B78">
        <f>'武器'!B78</f>
      </c>
      <c r="C78">
        <f>'武器'!C78</f>
      </c>
      <c r="D78" s="184">
        <f>'武器'!F78</f>
      </c>
      <c r="E78" s="187"/>
      <c r="F78" s="184">
        <f>'武器'!D78</f>
      </c>
      <c r="G78">
        <f>'武器'!E78</f>
      </c>
      <c r="H78" s="4"/>
      <c r="J78">
        <f>'武器'!G78</f>
      </c>
      <c r="K78">
        <f>'武器'!I78</f>
      </c>
      <c r="L78">
        <f>'武器'!O78</f>
      </c>
      <c r="M78">
        <f>'武器'!BN78</f>
      </c>
      <c r="N78">
        <f>'武器'!BS78</f>
      </c>
      <c r="O78">
        <f>'武器'!BO78</f>
      </c>
      <c r="P78" s="4"/>
      <c r="Q78">
        <f>'武器'!W78</f>
      </c>
      <c r="R78">
        <f>'武器'!X78</f>
      </c>
      <c r="S78">
        <f>'武器'!Y78</f>
      </c>
      <c r="T78">
        <f>'武器'!Z78</f>
      </c>
      <c r="U78">
        <f>'武器'!AA78</f>
      </c>
      <c r="V78">
        <f>'武器'!AB78</f>
      </c>
      <c r="W78">
        <f>'武器'!AC78</f>
      </c>
      <c r="X78" s="4"/>
      <c r="Y78">
        <f>'武器'!CK78</f>
      </c>
      <c r="Z78">
        <f>'武器'!BB78</f>
      </c>
      <c r="AA78" s="184">
        <f>'武器'!CA78</f>
      </c>
      <c r="AB78">
        <f>'武器'!BH78</f>
      </c>
      <c r="AC78">
        <f>'武器'!BD78</f>
      </c>
      <c r="AD78">
        <f>'武器'!BL78</f>
      </c>
      <c r="AE78">
        <f>'武器'!BE78</f>
      </c>
      <c r="AF78" s="4"/>
      <c r="AG78" s="186">
        <f>'武器'!P78</f>
      </c>
      <c r="AH78" s="186">
        <f>'武器'!Q78</f>
      </c>
      <c r="AI78" s="186">
        <f>'武器'!R78</f>
      </c>
      <c r="AJ78">
        <f>'武器'!S78</f>
      </c>
      <c r="AK78" s="4"/>
      <c r="AL78">
        <f>'武器'!M78</f>
      </c>
      <c r="AM78">
        <f>'武器'!J78</f>
      </c>
      <c r="AN78" s="4"/>
      <c r="AO78" s="184">
        <f>'武器'!AJ78</f>
      </c>
      <c r="AP78" s="184">
        <f>'武器'!AK78</f>
      </c>
      <c r="AQ78" s="184">
        <f>'武器'!AL78</f>
      </c>
      <c r="AR78" s="4"/>
      <c r="AS78">
        <f>'武器'!H78</f>
      </c>
      <c r="AU78">
        <f>'武器'!N78</f>
      </c>
      <c r="AV78">
        <f>'武器'!BW78</f>
      </c>
      <c r="AW78">
        <f>'武器'!U78</f>
      </c>
      <c r="AX78" s="4"/>
      <c r="AY78" s="188"/>
      <c r="AZ78" s="4"/>
      <c r="BA78" s="184"/>
      <c r="BB78" s="4"/>
      <c r="BC78">
        <f>'武器'!K78</f>
      </c>
      <c r="BD78">
        <f>'武器'!O78</f>
      </c>
      <c r="BE78">
        <f>'武器'!AG78</f>
      </c>
      <c r="BF78">
        <f>'武器'!AH78</f>
      </c>
      <c r="BG78" s="4"/>
      <c r="BH78" s="1" t="str">
        <v>完成</v>
      </c>
    </row>
    <row r="79">
      <c r="A79">
        <f>'武器'!A79</f>
      </c>
      <c r="B79">
        <f>'武器'!B79</f>
      </c>
      <c r="C79">
        <f>'武器'!C79</f>
      </c>
      <c r="D79" s="184">
        <f>'武器'!F79</f>
      </c>
      <c r="E79" s="187"/>
      <c r="F79" s="184">
        <f>'武器'!D79</f>
      </c>
      <c r="G79">
        <f>'武器'!E79</f>
      </c>
      <c r="H79" s="4"/>
      <c r="J79">
        <f>'武器'!G79</f>
      </c>
      <c r="K79">
        <f>'武器'!I79</f>
      </c>
      <c r="L79">
        <f>'武器'!O79</f>
      </c>
      <c r="M79">
        <f>'武器'!BN79</f>
      </c>
      <c r="N79">
        <f>'武器'!BS79</f>
      </c>
      <c r="O79">
        <f>'武器'!BO79</f>
      </c>
      <c r="P79" s="4"/>
      <c r="Q79">
        <f>'武器'!W79</f>
      </c>
      <c r="R79">
        <f>'武器'!X79</f>
      </c>
      <c r="S79">
        <f>'武器'!Y79</f>
      </c>
      <c r="T79">
        <f>'武器'!Z79</f>
      </c>
      <c r="U79">
        <f>'武器'!AA79</f>
      </c>
      <c r="V79">
        <f>'武器'!AB79</f>
      </c>
      <c r="W79">
        <f>'武器'!AC79</f>
      </c>
      <c r="X79" s="4"/>
      <c r="Y79">
        <f>'武器'!CK79</f>
      </c>
      <c r="Z79">
        <f>'武器'!BB79</f>
      </c>
      <c r="AA79" s="184">
        <f>'武器'!CA79</f>
      </c>
      <c r="AB79">
        <f>'武器'!BH79</f>
      </c>
      <c r="AC79">
        <f>'武器'!BD79</f>
      </c>
      <c r="AD79">
        <f>'武器'!BL79</f>
      </c>
      <c r="AE79">
        <f>'武器'!BE79</f>
      </c>
      <c r="AF79" s="4"/>
      <c r="AG79" s="186">
        <f>'武器'!P79</f>
      </c>
      <c r="AH79" s="186">
        <f>'武器'!Q79</f>
      </c>
      <c r="AI79" s="186">
        <f>'武器'!R79</f>
      </c>
      <c r="AJ79">
        <f>'武器'!S79</f>
      </c>
      <c r="AK79" s="4"/>
      <c r="AL79">
        <f>'武器'!M79</f>
      </c>
      <c r="AM79">
        <f>'武器'!J79</f>
      </c>
      <c r="AN79" s="4"/>
      <c r="AO79" s="184">
        <f>'武器'!AJ79</f>
      </c>
      <c r="AP79" s="184">
        <f>'武器'!AK79</f>
      </c>
      <c r="AQ79" s="184">
        <f>'武器'!AL79</f>
      </c>
      <c r="AR79" s="4"/>
      <c r="AS79">
        <f>'武器'!H79</f>
      </c>
      <c r="AU79">
        <f>'武器'!N79</f>
      </c>
      <c r="AV79">
        <f>'武器'!BW79</f>
      </c>
      <c r="AW79">
        <f>'武器'!U79</f>
      </c>
      <c r="AX79" s="4"/>
      <c r="AY79" s="188"/>
      <c r="AZ79" s="4"/>
      <c r="BA79" s="184"/>
      <c r="BB79" s="4"/>
      <c r="BC79">
        <f>'武器'!K79</f>
      </c>
      <c r="BD79">
        <f>'武器'!O79</f>
      </c>
      <c r="BE79">
        <f>'武器'!AG79</f>
      </c>
      <c r="BF79">
        <f>'武器'!AH79</f>
      </c>
      <c r="BG79" s="4"/>
      <c r="BH79" s="1" t="str">
        <v>完成</v>
      </c>
    </row>
    <row r="80">
      <c r="A80">
        <f>'武器'!A80</f>
      </c>
      <c r="B80">
        <f>'武器'!B80</f>
      </c>
      <c r="C80">
        <f>'武器'!C80</f>
      </c>
      <c r="D80" s="184">
        <f>'武器'!F80</f>
      </c>
      <c r="E80" s="187"/>
      <c r="F80" s="184">
        <f>'武器'!D80</f>
      </c>
      <c r="G80">
        <f>'武器'!E80</f>
      </c>
      <c r="H80" s="4"/>
      <c r="J80">
        <f>'武器'!G80</f>
      </c>
      <c r="K80">
        <f>'武器'!I80</f>
      </c>
      <c r="L80">
        <f>'武器'!O80</f>
      </c>
      <c r="M80">
        <f>'武器'!BN80</f>
      </c>
      <c r="N80">
        <f>'武器'!BS80</f>
      </c>
      <c r="O80">
        <f>'武器'!BO80</f>
      </c>
      <c r="P80" s="4"/>
      <c r="Q80">
        <f>'武器'!W80</f>
      </c>
      <c r="R80">
        <f>'武器'!X80</f>
      </c>
      <c r="S80">
        <f>'武器'!Y80</f>
      </c>
      <c r="T80">
        <f>'武器'!Z80</f>
      </c>
      <c r="U80">
        <f>'武器'!AA80</f>
      </c>
      <c r="V80">
        <f>'武器'!AB80</f>
      </c>
      <c r="W80">
        <f>'武器'!AC80</f>
      </c>
      <c r="X80" s="4"/>
      <c r="Y80">
        <f>'武器'!CK80</f>
      </c>
      <c r="Z80">
        <f>'武器'!BB80</f>
      </c>
      <c r="AA80" s="184">
        <f>'武器'!CA80</f>
      </c>
      <c r="AB80">
        <f>'武器'!BH80</f>
      </c>
      <c r="AC80">
        <f>'武器'!BD80</f>
      </c>
      <c r="AD80">
        <f>'武器'!BL80</f>
      </c>
      <c r="AE80">
        <f>'武器'!BE80</f>
      </c>
      <c r="AF80" s="4"/>
      <c r="AG80" s="186">
        <f>'武器'!P80</f>
      </c>
      <c r="AH80" s="186">
        <f>'武器'!Q80</f>
      </c>
      <c r="AI80" s="186">
        <f>'武器'!R80</f>
      </c>
      <c r="AJ80">
        <f>'武器'!S80</f>
      </c>
      <c r="AK80" s="4"/>
      <c r="AL80">
        <f>'武器'!M80</f>
      </c>
      <c r="AM80">
        <f>'武器'!J80</f>
      </c>
      <c r="AN80" s="4"/>
      <c r="AO80" s="184">
        <f>'武器'!AJ80</f>
      </c>
      <c r="AP80" s="184">
        <f>'武器'!AK80</f>
      </c>
      <c r="AQ80" s="184">
        <f>'武器'!AL80</f>
      </c>
      <c r="AR80" s="4"/>
      <c r="AS80">
        <f>'武器'!H80</f>
      </c>
      <c r="AU80">
        <f>'武器'!N80</f>
      </c>
      <c r="AV80">
        <f>'武器'!BW80</f>
      </c>
      <c r="AW80">
        <f>'武器'!U80</f>
      </c>
      <c r="AX80" s="4"/>
      <c r="AY80" s="188"/>
      <c r="AZ80" s="4"/>
      <c r="BA80" s="184"/>
      <c r="BB80" s="4"/>
      <c r="BC80">
        <f>'武器'!K80</f>
      </c>
      <c r="BD80">
        <f>'武器'!O80</f>
      </c>
      <c r="BE80">
        <f>'武器'!AG80</f>
      </c>
      <c r="BF80">
        <f>'武器'!AH80</f>
      </c>
      <c r="BG80" s="4"/>
      <c r="BH80" s="1" t="str">
        <v>完成</v>
      </c>
    </row>
    <row r="81">
      <c r="A81" s="193">
        <f>'武器'!A81</f>
      </c>
      <c r="B81" s="193">
        <f>'武器'!B81</f>
      </c>
      <c r="C81" s="193">
        <f>'武器'!C81</f>
      </c>
      <c r="D81" s="193">
        <f>'武器'!F81</f>
      </c>
      <c r="E81" s="187">
        <f>'武器'!CY81</f>
      </c>
      <c r="F81" s="193">
        <f>'武器'!D81</f>
      </c>
      <c r="G81" s="193">
        <f>'武器'!E81</f>
      </c>
      <c r="H81" s="193"/>
      <c r="I81" s="193"/>
      <c r="J81" s="193">
        <f>'武器'!G81</f>
      </c>
      <c r="K81" s="193">
        <f>'武器'!I81</f>
      </c>
      <c r="L81" s="193">
        <f>'武器'!O81</f>
      </c>
      <c r="M81" s="193">
        <f>'武器'!BN81</f>
      </c>
      <c r="N81" s="193">
        <f>'武器'!BS81</f>
      </c>
      <c r="O81" s="193">
        <f>'武器'!BO81</f>
      </c>
      <c r="P81" s="193"/>
      <c r="Q81" s="193">
        <f>'武器'!W81</f>
      </c>
      <c r="R81" s="193">
        <f>'武器'!X81</f>
      </c>
      <c r="S81" s="193">
        <f>'武器'!Y81</f>
      </c>
      <c r="T81" s="193">
        <f>'武器'!Z81</f>
      </c>
      <c r="U81" s="193">
        <f>'武器'!AA81</f>
      </c>
      <c r="V81" s="193">
        <f>'武器'!AB81</f>
      </c>
      <c r="W81" s="193">
        <f>'武器'!AC81</f>
      </c>
      <c r="X81" s="193"/>
      <c r="Y81" s="193">
        <f>'武器'!CK81</f>
      </c>
      <c r="Z81" s="193">
        <f>'武器'!BB81</f>
      </c>
      <c r="AA81" s="193">
        <f>'武器'!CA81</f>
      </c>
      <c r="AB81" s="193">
        <f>'武器'!BH81</f>
      </c>
      <c r="AC81" s="193">
        <f>'武器'!BD81</f>
      </c>
      <c r="AD81" s="193">
        <f>'武器'!BL81</f>
      </c>
      <c r="AE81" s="193">
        <f>'武器'!BE81</f>
      </c>
      <c r="AF81" s="193"/>
      <c r="AG81" s="194">
        <f>'武器'!P81</f>
      </c>
      <c r="AH81" s="194">
        <f>'武器'!Q81</f>
      </c>
      <c r="AI81" s="194">
        <f>'武器'!R81</f>
      </c>
      <c r="AJ81" s="193">
        <f>'武器'!S81</f>
      </c>
      <c r="AK81" s="193"/>
      <c r="AL81" s="193">
        <f>'武器'!M81</f>
      </c>
      <c r="AM81" s="193">
        <f>'武器'!J81</f>
      </c>
      <c r="AN81" s="193"/>
      <c r="AO81" s="193">
        <f>'武器'!AJ81</f>
      </c>
      <c r="AP81" s="193">
        <f>'武器'!AK81</f>
      </c>
      <c r="AQ81" s="193">
        <f>'武器'!AL81</f>
      </c>
      <c r="AR81" s="193"/>
      <c r="AS81" s="193">
        <f>'武器'!H81</f>
      </c>
      <c r="AT81" s="193"/>
      <c r="AU81" s="193">
        <f>'武器'!N81</f>
      </c>
      <c r="AV81" s="193">
        <f>'武器'!BW81</f>
      </c>
      <c r="AW81" s="193">
        <f>'武器'!U81</f>
      </c>
      <c r="AX81" s="193"/>
      <c r="AY81" s="188">
        <f>'武器'!DA81</f>
      </c>
      <c r="AZ81" s="193"/>
      <c r="BA81" s="193"/>
      <c r="BB81" s="193"/>
      <c r="BC81" s="193">
        <f>'武器'!K81</f>
      </c>
      <c r="BD81" s="193">
        <f>'武器'!O81</f>
      </c>
      <c r="BE81" s="193">
        <f>'武器'!AG81</f>
      </c>
      <c r="BF81" s="193">
        <f>'武器'!AH81</f>
      </c>
      <c r="BG81" s="193"/>
      <c r="BH81" s="27" t="str">
        <v>完成</v>
      </c>
    </row>
    <row r="82">
      <c r="A82" s="189">
        <f>'武器'!A82</f>
      </c>
      <c r="B82" s="189">
        <f>'武器'!B82</f>
      </c>
      <c r="C82" s="189">
        <f>'武器'!C82</f>
      </c>
      <c r="D82" s="189">
        <f>'武器'!F82</f>
      </c>
      <c r="E82" s="187"/>
      <c r="F82" s="189">
        <f>'武器'!D82</f>
      </c>
      <c r="G82" s="189">
        <f>'武器'!E82</f>
      </c>
      <c r="H82" s="189"/>
      <c r="I82" s="189"/>
      <c r="J82" s="189">
        <f>'武器'!G82</f>
      </c>
      <c r="K82" s="189">
        <f>'武器'!I82</f>
      </c>
      <c r="L82" s="189">
        <f>'武器'!O82</f>
      </c>
      <c r="M82" s="189">
        <f>'武器'!BN82</f>
      </c>
      <c r="N82" s="189">
        <f>'武器'!BS82</f>
      </c>
      <c r="O82" s="189">
        <f>'武器'!BO82</f>
      </c>
      <c r="P82" s="189"/>
      <c r="Q82" s="189">
        <f>'武器'!W82</f>
      </c>
      <c r="R82" s="189">
        <f>'武器'!X82</f>
      </c>
      <c r="S82" s="189">
        <f>'武器'!Y82</f>
      </c>
      <c r="T82" s="189">
        <f>'武器'!Z82</f>
      </c>
      <c r="U82" s="189">
        <f>'武器'!AA82</f>
      </c>
      <c r="V82" s="189">
        <f>'武器'!AB82</f>
      </c>
      <c r="W82" s="189">
        <f>'武器'!AC82</f>
      </c>
      <c r="X82" s="189"/>
      <c r="Y82" s="189">
        <f>'武器'!CK82</f>
      </c>
      <c r="Z82" s="189">
        <f>'武器'!BB82</f>
      </c>
      <c r="AA82" s="189">
        <f>'武器'!CA82</f>
      </c>
      <c r="AB82" s="189">
        <f>'武器'!BH82</f>
      </c>
      <c r="AC82" s="189">
        <f>'武器'!BD82</f>
      </c>
      <c r="AD82" s="189">
        <f>'武器'!BL82</f>
      </c>
      <c r="AE82" s="189">
        <f>'武器'!BE82</f>
      </c>
      <c r="AF82" s="189"/>
      <c r="AG82" s="191">
        <f>'武器'!P82</f>
      </c>
      <c r="AH82" s="191">
        <f>'武器'!Q82</f>
      </c>
      <c r="AI82" s="191">
        <f>'武器'!R82</f>
      </c>
      <c r="AJ82" s="189">
        <f>'武器'!S82</f>
      </c>
      <c r="AK82" s="189"/>
      <c r="AL82" s="189">
        <f>'武器'!M82</f>
      </c>
      <c r="AM82" s="189">
        <f>'武器'!J82</f>
      </c>
      <c r="AN82" s="189"/>
      <c r="AO82" s="189">
        <f>'武器'!AJ82</f>
      </c>
      <c r="AP82" s="189">
        <f>'武器'!AK82</f>
      </c>
      <c r="AQ82" s="189">
        <f>'武器'!AL82</f>
      </c>
      <c r="AR82" s="189"/>
      <c r="AS82" s="189">
        <f>'武器'!H82</f>
      </c>
      <c r="AT82" s="189"/>
      <c r="AU82" s="189">
        <f>'武器'!N82</f>
      </c>
      <c r="AV82" s="189">
        <f>'武器'!BW82</f>
      </c>
      <c r="AW82" s="189">
        <f>'武器'!U82</f>
      </c>
      <c r="AX82" s="189"/>
      <c r="AY82" s="188"/>
      <c r="AZ82" s="189"/>
      <c r="BA82" s="189"/>
      <c r="BB82" s="189"/>
      <c r="BC82" s="189">
        <f>'武器'!K82</f>
      </c>
      <c r="BD82" s="189">
        <f>'武器'!O82</f>
      </c>
      <c r="BE82" s="189">
        <f>'武器'!AG82</f>
      </c>
      <c r="BF82" s="189">
        <f>'武器'!AH82</f>
      </c>
      <c r="BG82" s="189"/>
      <c r="BH82" s="159" t="str">
        <v>完成</v>
      </c>
    </row>
    <row r="83">
      <c r="A83">
        <f>'武器'!A83</f>
      </c>
      <c r="B83">
        <f>'武器'!B83</f>
      </c>
      <c r="C83">
        <f>'武器'!C83</f>
      </c>
      <c r="D83" s="184">
        <f>'武器'!F83</f>
      </c>
      <c r="E83" s="187"/>
      <c r="F83" s="184">
        <f>'武器'!D83</f>
      </c>
      <c r="G83">
        <f>'武器'!E83</f>
      </c>
      <c r="H83" s="4"/>
      <c r="J83">
        <f>'武器'!G83</f>
      </c>
      <c r="K83">
        <f>'武器'!I83</f>
      </c>
      <c r="L83">
        <f>'武器'!O83</f>
      </c>
      <c r="M83">
        <f>'武器'!BN83</f>
      </c>
      <c r="N83">
        <f>'武器'!BS83</f>
      </c>
      <c r="O83">
        <f>'武器'!BO83</f>
      </c>
      <c r="P83" s="4"/>
      <c r="Q83">
        <f>'武器'!W83</f>
      </c>
      <c r="R83">
        <f>'武器'!X83</f>
      </c>
      <c r="S83">
        <f>'武器'!Y83</f>
      </c>
      <c r="T83">
        <f>'武器'!Z83</f>
      </c>
      <c r="U83">
        <f>'武器'!AA83</f>
      </c>
      <c r="V83">
        <f>'武器'!AB83</f>
      </c>
      <c r="W83">
        <f>'武器'!AC83</f>
      </c>
      <c r="X83" s="4"/>
      <c r="Y83">
        <f>'武器'!CK83</f>
      </c>
      <c r="Z83">
        <f>'武器'!BB83</f>
      </c>
      <c r="AA83" s="184">
        <f>'武器'!CA83</f>
      </c>
      <c r="AB83">
        <f>'武器'!BH83</f>
      </c>
      <c r="AC83">
        <f>'武器'!BD83</f>
      </c>
      <c r="AD83">
        <f>'武器'!BL83</f>
      </c>
      <c r="AE83">
        <f>'武器'!BE83</f>
      </c>
      <c r="AF83" s="4"/>
      <c r="AG83" s="186">
        <f>'武器'!P83</f>
      </c>
      <c r="AH83" s="186">
        <f>'武器'!Q83</f>
      </c>
      <c r="AI83" s="186">
        <f>'武器'!R83</f>
      </c>
      <c r="AJ83">
        <f>'武器'!S83</f>
      </c>
      <c r="AK83" s="4"/>
      <c r="AL83">
        <f>'武器'!M83</f>
      </c>
      <c r="AM83">
        <f>'武器'!J83</f>
      </c>
      <c r="AN83" s="4"/>
      <c r="AO83" s="184">
        <f>'武器'!AJ83</f>
      </c>
      <c r="AP83" s="184">
        <f>'武器'!AK83</f>
      </c>
      <c r="AQ83" s="184">
        <f>'武器'!AL83</f>
      </c>
      <c r="AR83" s="4"/>
      <c r="AS83">
        <f>'武器'!H83</f>
      </c>
      <c r="AU83">
        <f>'武器'!N83</f>
      </c>
      <c r="AV83">
        <f>'武器'!BW83</f>
      </c>
      <c r="AW83">
        <f>'武器'!U83</f>
      </c>
      <c r="AX83" s="4"/>
      <c r="AY83" s="188"/>
      <c r="AZ83" s="4"/>
      <c r="BA83" s="184"/>
      <c r="BB83" s="4"/>
      <c r="BC83">
        <f>'武器'!K83</f>
      </c>
      <c r="BD83">
        <f>'武器'!O83</f>
      </c>
      <c r="BE83">
        <f>'武器'!AG83</f>
      </c>
      <c r="BF83">
        <f>'武器'!AH83</f>
      </c>
      <c r="BG83" s="4"/>
      <c r="BH83" s="1" t="str">
        <v>完成</v>
      </c>
    </row>
    <row r="84">
      <c r="A84">
        <f>'武器'!A84</f>
      </c>
      <c r="B84">
        <f>'武器'!B84</f>
      </c>
      <c r="C84">
        <f>'武器'!C84</f>
      </c>
      <c r="D84" s="184">
        <f>'武器'!F84</f>
      </c>
      <c r="E84" s="187"/>
      <c r="F84" s="184">
        <f>'武器'!D84</f>
      </c>
      <c r="G84">
        <f>'武器'!E84</f>
      </c>
      <c r="H84" s="4"/>
      <c r="J84">
        <f>'武器'!G84</f>
      </c>
      <c r="K84">
        <f>'武器'!I84</f>
      </c>
      <c r="L84">
        <f>'武器'!O84</f>
      </c>
      <c r="M84">
        <f>'武器'!BN84</f>
      </c>
      <c r="N84">
        <f>'武器'!BS84</f>
      </c>
      <c r="O84">
        <f>'武器'!BO84</f>
      </c>
      <c r="P84" s="4"/>
      <c r="Q84">
        <f>'武器'!W84</f>
      </c>
      <c r="R84">
        <f>'武器'!X84</f>
      </c>
      <c r="S84">
        <f>'武器'!Y84</f>
      </c>
      <c r="T84">
        <f>'武器'!Z84</f>
      </c>
      <c r="U84">
        <f>'武器'!AA84</f>
      </c>
      <c r="V84">
        <f>'武器'!AB84</f>
      </c>
      <c r="W84">
        <f>'武器'!AC84</f>
      </c>
      <c r="X84" s="4"/>
      <c r="Y84">
        <f>'武器'!CK84</f>
      </c>
      <c r="Z84">
        <f>'武器'!BB84</f>
      </c>
      <c r="AA84" s="184">
        <f>'武器'!CA84</f>
      </c>
      <c r="AB84">
        <f>'武器'!BH84</f>
      </c>
      <c r="AC84">
        <f>'武器'!BD84</f>
      </c>
      <c r="AD84">
        <f>'武器'!BL84</f>
      </c>
      <c r="AE84">
        <f>'武器'!BE84</f>
      </c>
      <c r="AF84" s="4"/>
      <c r="AG84" s="186">
        <f>'武器'!P84</f>
      </c>
      <c r="AH84" s="186">
        <f>'武器'!Q84</f>
      </c>
      <c r="AI84" s="186">
        <f>'武器'!R84</f>
      </c>
      <c r="AJ84">
        <f>'武器'!S84</f>
      </c>
      <c r="AK84" s="4"/>
      <c r="AL84">
        <f>'武器'!M84</f>
      </c>
      <c r="AM84">
        <f>'武器'!J84</f>
      </c>
      <c r="AN84" s="4"/>
      <c r="AO84" s="184">
        <f>'武器'!AJ84</f>
      </c>
      <c r="AP84" s="184">
        <f>'武器'!AK84</f>
      </c>
      <c r="AQ84" s="184">
        <f>'武器'!AL84</f>
      </c>
      <c r="AR84" s="4"/>
      <c r="AS84">
        <f>'武器'!H84</f>
      </c>
      <c r="AU84">
        <f>'武器'!N84</f>
      </c>
      <c r="AV84">
        <f>'武器'!BW84</f>
      </c>
      <c r="AW84">
        <f>'武器'!U84</f>
      </c>
      <c r="AX84" s="4"/>
      <c r="AY84" s="188"/>
      <c r="AZ84" s="4"/>
      <c r="BA84" s="184"/>
      <c r="BB84" s="4"/>
      <c r="BC84">
        <f>'武器'!K84</f>
      </c>
      <c r="BD84">
        <f>'武器'!O84</f>
      </c>
      <c r="BE84">
        <f>'武器'!AG84</f>
      </c>
      <c r="BF84">
        <f>'武器'!AH84</f>
      </c>
      <c r="BG84" s="4"/>
      <c r="BH84" s="1" t="str">
        <v>完成</v>
      </c>
    </row>
    <row r="85">
      <c r="A85">
        <f>'武器'!A85</f>
      </c>
      <c r="B85">
        <f>'武器'!B85</f>
      </c>
      <c r="C85">
        <f>'武器'!C85</f>
      </c>
      <c r="D85" s="184">
        <f>'武器'!F85</f>
      </c>
      <c r="E85" s="187"/>
      <c r="F85" s="184">
        <f>'武器'!D85</f>
      </c>
      <c r="G85">
        <f>'武器'!E85</f>
      </c>
      <c r="H85" s="4"/>
      <c r="J85">
        <f>'武器'!G85</f>
      </c>
      <c r="K85">
        <f>'武器'!I85</f>
      </c>
      <c r="L85">
        <f>'武器'!O85</f>
      </c>
      <c r="M85">
        <f>'武器'!BN85</f>
      </c>
      <c r="N85">
        <f>'武器'!BS85</f>
      </c>
      <c r="O85">
        <f>'武器'!BO85</f>
      </c>
      <c r="P85" s="4"/>
      <c r="Q85">
        <f>'武器'!W85</f>
      </c>
      <c r="R85">
        <f>'武器'!X85</f>
      </c>
      <c r="S85">
        <f>'武器'!Y85</f>
      </c>
      <c r="T85">
        <f>'武器'!Z85</f>
      </c>
      <c r="U85">
        <f>'武器'!AA85</f>
      </c>
      <c r="V85">
        <f>'武器'!AB85</f>
      </c>
      <c r="W85">
        <f>'武器'!AC85</f>
      </c>
      <c r="X85" s="4"/>
      <c r="Y85">
        <f>'武器'!CK85</f>
      </c>
      <c r="Z85">
        <f>'武器'!BB85</f>
      </c>
      <c r="AA85" s="184">
        <f>'武器'!CA85</f>
      </c>
      <c r="AB85">
        <f>'武器'!BH85</f>
      </c>
      <c r="AC85">
        <f>'武器'!BD85</f>
      </c>
      <c r="AD85">
        <f>'武器'!BL85</f>
      </c>
      <c r="AE85">
        <f>'武器'!BE85</f>
      </c>
      <c r="AF85" s="4"/>
      <c r="AG85" s="186">
        <f>'武器'!P85</f>
      </c>
      <c r="AH85" s="186">
        <f>'武器'!Q85</f>
      </c>
      <c r="AI85" s="186">
        <f>'武器'!R85</f>
      </c>
      <c r="AJ85">
        <f>'武器'!S85</f>
      </c>
      <c r="AK85" s="4"/>
      <c r="AL85">
        <f>'武器'!M85</f>
      </c>
      <c r="AM85">
        <f>'武器'!J85</f>
      </c>
      <c r="AN85" s="4"/>
      <c r="AO85" s="184">
        <f>'武器'!AJ85</f>
      </c>
      <c r="AP85" s="184">
        <f>'武器'!AK85</f>
      </c>
      <c r="AQ85" s="184">
        <f>'武器'!AL85</f>
      </c>
      <c r="AR85" s="4"/>
      <c r="AS85">
        <f>'武器'!H85</f>
      </c>
      <c r="AU85">
        <f>'武器'!N85</f>
      </c>
      <c r="AV85">
        <f>'武器'!BW85</f>
      </c>
      <c r="AW85">
        <f>'武器'!U85</f>
      </c>
      <c r="AX85" s="4"/>
      <c r="AY85" s="188"/>
      <c r="AZ85" s="4"/>
      <c r="BA85" s="184"/>
      <c r="BB85" s="4"/>
      <c r="BC85">
        <f>'武器'!K85</f>
      </c>
      <c r="BD85">
        <f>'武器'!O85</f>
      </c>
      <c r="BE85">
        <f>'武器'!AG85</f>
      </c>
      <c r="BF85">
        <f>'武器'!AH85</f>
      </c>
      <c r="BG85" s="4"/>
      <c r="BH85" s="1" t="str">
        <v>完成</v>
      </c>
    </row>
    <row r="86">
      <c r="A86">
        <f>'武器'!A86</f>
      </c>
      <c r="B86">
        <f>'武器'!B86</f>
      </c>
      <c r="C86">
        <f>'武器'!C86</f>
      </c>
      <c r="D86" s="184">
        <f>'武器'!F86</f>
      </c>
      <c r="E86" s="187"/>
      <c r="F86" s="184">
        <f>'武器'!D86</f>
      </c>
      <c r="G86">
        <f>'武器'!E86</f>
      </c>
      <c r="H86" s="4"/>
      <c r="J86">
        <f>'武器'!G86</f>
      </c>
      <c r="K86">
        <f>'武器'!I86</f>
      </c>
      <c r="L86">
        <f>'武器'!O86</f>
      </c>
      <c r="M86">
        <f>'武器'!BN86</f>
      </c>
      <c r="N86">
        <f>'武器'!BS86</f>
      </c>
      <c r="O86">
        <f>'武器'!BO86</f>
      </c>
      <c r="P86" s="4"/>
      <c r="Q86">
        <f>'武器'!W86</f>
      </c>
      <c r="R86">
        <f>'武器'!X86</f>
      </c>
      <c r="S86">
        <f>'武器'!Y86</f>
      </c>
      <c r="T86">
        <f>'武器'!Z86</f>
      </c>
      <c r="U86">
        <f>'武器'!AA86</f>
      </c>
      <c r="V86">
        <f>'武器'!AB86</f>
      </c>
      <c r="W86">
        <f>'武器'!AC86</f>
      </c>
      <c r="X86" s="4"/>
      <c r="Y86">
        <f>'武器'!CK86</f>
      </c>
      <c r="Z86">
        <f>'武器'!BB86</f>
      </c>
      <c r="AA86" s="184">
        <f>'武器'!CA86</f>
      </c>
      <c r="AB86">
        <f>'武器'!BH86</f>
      </c>
      <c r="AC86">
        <f>'武器'!BD86</f>
      </c>
      <c r="AD86">
        <f>'武器'!BL86</f>
      </c>
      <c r="AE86">
        <f>'武器'!BE86</f>
      </c>
      <c r="AF86" s="4"/>
      <c r="AG86" s="186">
        <f>'武器'!P86</f>
      </c>
      <c r="AH86" s="186">
        <f>'武器'!Q86</f>
      </c>
      <c r="AI86" s="186">
        <f>'武器'!R86</f>
      </c>
      <c r="AJ86">
        <f>'武器'!S86</f>
      </c>
      <c r="AK86" s="4"/>
      <c r="AL86">
        <f>'武器'!M86</f>
      </c>
      <c r="AM86">
        <f>'武器'!J86</f>
      </c>
      <c r="AN86" s="4"/>
      <c r="AO86" s="184">
        <f>'武器'!AJ86</f>
      </c>
      <c r="AP86" s="184">
        <f>'武器'!AK86</f>
      </c>
      <c r="AQ86" s="184">
        <f>'武器'!AL86</f>
      </c>
      <c r="AR86" s="4"/>
      <c r="AS86">
        <f>'武器'!H86</f>
      </c>
      <c r="AU86">
        <f>'武器'!N86</f>
      </c>
      <c r="AV86">
        <f>'武器'!BW86</f>
      </c>
      <c r="AW86">
        <f>'武器'!U86</f>
      </c>
      <c r="AX86" s="4"/>
      <c r="AY86" s="188"/>
      <c r="AZ86" s="4"/>
      <c r="BA86" s="184"/>
      <c r="BB86" s="4"/>
      <c r="BC86">
        <f>'武器'!K86</f>
      </c>
      <c r="BD86">
        <f>'武器'!O86</f>
      </c>
      <c r="BE86">
        <f>'武器'!AG86</f>
      </c>
      <c r="BF86">
        <f>'武器'!AH86</f>
      </c>
      <c r="BG86" s="4"/>
      <c r="BH86" s="1" t="str">
        <v>完成</v>
      </c>
    </row>
    <row r="87">
      <c r="A87" s="193">
        <f>'武器'!A87</f>
      </c>
      <c r="B87" s="193">
        <f>'武器'!B87</f>
      </c>
      <c r="C87" s="193">
        <f>'武器'!C87</f>
      </c>
      <c r="D87" s="193">
        <f>'武器'!F87</f>
      </c>
      <c r="E87" s="187">
        <f>'武器'!CY87</f>
      </c>
      <c r="F87" s="193">
        <f>'武器'!D87</f>
      </c>
      <c r="G87" s="193">
        <f>'武器'!E87</f>
      </c>
      <c r="H87" s="193"/>
      <c r="I87" s="193"/>
      <c r="J87" s="193">
        <f>'武器'!G87</f>
      </c>
      <c r="K87" s="193">
        <f>'武器'!I87</f>
      </c>
      <c r="L87" s="193">
        <f>'武器'!O87</f>
      </c>
      <c r="M87" s="193">
        <f>'武器'!BN87</f>
      </c>
      <c r="N87" s="193">
        <f>'武器'!BS87</f>
      </c>
      <c r="O87" s="193">
        <f>'武器'!BO87</f>
      </c>
      <c r="P87" s="193"/>
      <c r="Q87" s="193">
        <f>'武器'!W87</f>
      </c>
      <c r="R87" s="193">
        <f>'武器'!X87</f>
      </c>
      <c r="S87" s="193">
        <f>'武器'!Y87</f>
      </c>
      <c r="T87" s="193">
        <f>'武器'!Z87</f>
      </c>
      <c r="U87" s="193">
        <f>'武器'!AA87</f>
      </c>
      <c r="V87" s="193">
        <f>'武器'!AB87</f>
      </c>
      <c r="W87" s="193">
        <f>'武器'!AC87</f>
      </c>
      <c r="X87" s="193"/>
      <c r="Y87" s="193">
        <f>'武器'!CK87</f>
      </c>
      <c r="Z87" s="193">
        <f>'武器'!BB87</f>
      </c>
      <c r="AA87" s="193">
        <f>'武器'!CA87</f>
      </c>
      <c r="AB87" s="193">
        <f>'武器'!BH87</f>
      </c>
      <c r="AC87" s="193">
        <f>'武器'!BD87</f>
      </c>
      <c r="AD87" s="193">
        <f>'武器'!BL87</f>
      </c>
      <c r="AE87" s="193">
        <f>'武器'!BE87</f>
      </c>
      <c r="AF87" s="193"/>
      <c r="AG87" s="194">
        <f>'武器'!P87</f>
      </c>
      <c r="AH87" s="194">
        <f>'武器'!Q87</f>
      </c>
      <c r="AI87" s="194">
        <f>'武器'!R87</f>
      </c>
      <c r="AJ87" s="193">
        <f>'武器'!S87</f>
      </c>
      <c r="AK87" s="193"/>
      <c r="AL87" s="193">
        <f>'武器'!M87</f>
      </c>
      <c r="AM87" s="193">
        <f>'武器'!J87</f>
      </c>
      <c r="AN87" s="193"/>
      <c r="AO87" s="193">
        <f>'武器'!AJ87</f>
      </c>
      <c r="AP87" s="193">
        <f>'武器'!AK87</f>
      </c>
      <c r="AQ87" s="193">
        <f>'武器'!AL87</f>
      </c>
      <c r="AR87" s="193"/>
      <c r="AS87" s="193">
        <f>'武器'!H87</f>
      </c>
      <c r="AT87" s="193"/>
      <c r="AU87" s="193">
        <f>'武器'!N87</f>
      </c>
      <c r="AV87" s="193">
        <f>'武器'!BW87</f>
      </c>
      <c r="AW87" s="193">
        <f>'武器'!U87</f>
      </c>
      <c r="AX87" s="193"/>
      <c r="AY87" s="188">
        <f>'武器'!DA87</f>
      </c>
      <c r="AZ87" s="193"/>
      <c r="BA87" s="193"/>
      <c r="BB87" s="193"/>
      <c r="BC87" s="193">
        <f>'武器'!K87</f>
      </c>
      <c r="BD87" s="193">
        <f>'武器'!O87</f>
      </c>
      <c r="BE87" s="193">
        <f>'武器'!AG87</f>
      </c>
      <c r="BF87" s="193">
        <f>'武器'!AH87</f>
      </c>
      <c r="BG87" s="193"/>
      <c r="BH87" s="27" t="str">
        <v>完成</v>
      </c>
    </row>
    <row r="88">
      <c r="A88" s="189">
        <f>'武器'!A88</f>
      </c>
      <c r="B88" s="189">
        <f>'武器'!B88</f>
      </c>
      <c r="C88" s="189">
        <f>'武器'!C88</f>
      </c>
      <c r="D88" s="189">
        <f>'武器'!F88</f>
      </c>
      <c r="E88" s="187"/>
      <c r="F88" s="189">
        <f>'武器'!D88</f>
      </c>
      <c r="G88" s="189">
        <f>'武器'!E88</f>
      </c>
      <c r="H88" s="189"/>
      <c r="I88" s="189"/>
      <c r="J88" s="189">
        <f>'武器'!G88</f>
      </c>
      <c r="K88" s="189">
        <f>'武器'!I88</f>
      </c>
      <c r="L88" s="189">
        <f>'武器'!O88</f>
      </c>
      <c r="M88" s="189">
        <f>'武器'!BN88</f>
      </c>
      <c r="N88" s="189">
        <f>'武器'!BS88</f>
      </c>
      <c r="O88" s="189">
        <f>'武器'!BO88</f>
      </c>
      <c r="P88" s="189"/>
      <c r="Q88" s="189">
        <f>'武器'!W88</f>
      </c>
      <c r="R88" s="189">
        <f>'武器'!X88</f>
      </c>
      <c r="S88" s="189">
        <f>'武器'!Y88</f>
      </c>
      <c r="T88" s="189">
        <f>'武器'!Z88</f>
      </c>
      <c r="U88" s="189">
        <f>'武器'!AA88</f>
      </c>
      <c r="V88" s="189">
        <f>'武器'!AB88</f>
      </c>
      <c r="W88" s="189">
        <f>'武器'!AC88</f>
      </c>
      <c r="X88" s="189"/>
      <c r="Y88" s="189">
        <f>'武器'!CK88</f>
      </c>
      <c r="Z88" s="189">
        <f>'武器'!BB88</f>
      </c>
      <c r="AA88" s="189">
        <f>'武器'!CA88</f>
      </c>
      <c r="AB88" s="189">
        <f>'武器'!BH88</f>
      </c>
      <c r="AC88" s="189">
        <f>'武器'!BD88</f>
      </c>
      <c r="AD88" s="189">
        <f>'武器'!BL88</f>
      </c>
      <c r="AE88" s="189">
        <f>'武器'!BE88</f>
      </c>
      <c r="AF88" s="189"/>
      <c r="AG88" s="191">
        <f>'武器'!P88</f>
      </c>
      <c r="AH88" s="191">
        <f>'武器'!Q88</f>
      </c>
      <c r="AI88" s="191">
        <f>'武器'!R88</f>
      </c>
      <c r="AJ88" s="189">
        <f>'武器'!S88</f>
      </c>
      <c r="AK88" s="189"/>
      <c r="AL88" s="189">
        <f>'武器'!M88</f>
      </c>
      <c r="AM88" s="189">
        <f>'武器'!J88</f>
      </c>
      <c r="AN88" s="189"/>
      <c r="AO88" s="189">
        <f>'武器'!AJ88</f>
      </c>
      <c r="AP88" s="189">
        <f>'武器'!AK88</f>
      </c>
      <c r="AQ88" s="189">
        <f>'武器'!AL88</f>
      </c>
      <c r="AR88" s="189"/>
      <c r="AS88" s="189">
        <f>'武器'!H88</f>
      </c>
      <c r="AT88" s="189"/>
      <c r="AU88" s="189">
        <f>'武器'!N88</f>
      </c>
      <c r="AV88" s="189">
        <f>'武器'!BW88</f>
      </c>
      <c r="AW88" s="189">
        <f>'武器'!U88</f>
      </c>
      <c r="AX88" s="189"/>
      <c r="AY88" s="188"/>
      <c r="AZ88" s="189"/>
      <c r="BA88" s="189"/>
      <c r="BB88" s="189"/>
      <c r="BC88" s="189">
        <f>'武器'!K88</f>
      </c>
      <c r="BD88" s="189">
        <f>'武器'!O88</f>
      </c>
      <c r="BE88" s="189">
        <f>'武器'!AG88</f>
      </c>
      <c r="BF88" s="189">
        <f>'武器'!AH88</f>
      </c>
      <c r="BG88" s="189"/>
      <c r="BH88" s="159" t="str">
        <v>完成</v>
      </c>
    </row>
    <row r="89">
      <c r="A89">
        <f>'武器'!A89</f>
      </c>
      <c r="B89">
        <f>'武器'!B89</f>
      </c>
      <c r="C89">
        <f>'武器'!C89</f>
      </c>
      <c r="D89" s="184">
        <f>'武器'!F89</f>
      </c>
      <c r="E89" s="187"/>
      <c r="F89" s="184">
        <f>'武器'!D89</f>
      </c>
      <c r="G89">
        <f>'武器'!E89</f>
      </c>
      <c r="H89" s="4"/>
      <c r="J89">
        <f>'武器'!G89</f>
      </c>
      <c r="K89">
        <f>'武器'!I89</f>
      </c>
      <c r="L89">
        <f>'武器'!O89</f>
      </c>
      <c r="M89">
        <f>'武器'!BN89</f>
      </c>
      <c r="N89">
        <f>'武器'!BS89</f>
      </c>
      <c r="O89">
        <f>'武器'!BO89</f>
      </c>
      <c r="P89" s="4"/>
      <c r="Q89">
        <f>'武器'!W89</f>
      </c>
      <c r="R89">
        <f>'武器'!X89</f>
      </c>
      <c r="S89">
        <f>'武器'!Y89</f>
      </c>
      <c r="T89">
        <f>'武器'!Z89</f>
      </c>
      <c r="U89">
        <f>'武器'!AA89</f>
      </c>
      <c r="V89">
        <f>'武器'!AB89</f>
      </c>
      <c r="W89">
        <f>'武器'!AC89</f>
      </c>
      <c r="X89" s="4"/>
      <c r="Y89">
        <f>'武器'!CK89</f>
      </c>
      <c r="Z89">
        <f>'武器'!BB89</f>
      </c>
      <c r="AA89" s="184">
        <f>'武器'!CA89</f>
      </c>
      <c r="AB89">
        <f>'武器'!BH89</f>
      </c>
      <c r="AC89">
        <f>'武器'!BD89</f>
      </c>
      <c r="AD89">
        <f>'武器'!BL89</f>
      </c>
      <c r="AE89">
        <f>'武器'!BE89</f>
      </c>
      <c r="AF89" s="4"/>
      <c r="AG89" s="186">
        <f>'武器'!P89</f>
      </c>
      <c r="AH89" s="186">
        <f>'武器'!Q89</f>
      </c>
      <c r="AI89" s="186">
        <f>'武器'!R89</f>
      </c>
      <c r="AJ89">
        <f>'武器'!S89</f>
      </c>
      <c r="AK89" s="4"/>
      <c r="AL89">
        <f>'武器'!M89</f>
      </c>
      <c r="AM89">
        <f>'武器'!J89</f>
      </c>
      <c r="AN89" s="4"/>
      <c r="AO89" s="184">
        <f>'武器'!AJ89</f>
      </c>
      <c r="AP89" s="184">
        <f>'武器'!AK89</f>
      </c>
      <c r="AQ89" s="184">
        <f>'武器'!AL89</f>
      </c>
      <c r="AR89" s="4"/>
      <c r="AS89">
        <f>'武器'!H89</f>
      </c>
      <c r="AU89">
        <f>'武器'!N89</f>
      </c>
      <c r="AV89">
        <f>'武器'!BW89</f>
      </c>
      <c r="AW89">
        <f>'武器'!U89</f>
      </c>
      <c r="AX89" s="4"/>
      <c r="AY89" s="188"/>
      <c r="AZ89" s="4"/>
      <c r="BA89" s="184"/>
      <c r="BB89" s="4"/>
      <c r="BC89">
        <f>'武器'!K89</f>
      </c>
      <c r="BD89">
        <f>'武器'!O89</f>
      </c>
      <c r="BE89">
        <f>'武器'!AG89</f>
      </c>
      <c r="BF89">
        <f>'武器'!AH89</f>
      </c>
      <c r="BG89" s="4"/>
      <c r="BH89" s="1" t="str">
        <v>完成</v>
      </c>
    </row>
    <row r="90">
      <c r="A90">
        <f>'武器'!A90</f>
      </c>
      <c r="B90">
        <f>'武器'!B90</f>
      </c>
      <c r="C90">
        <f>'武器'!C90</f>
      </c>
      <c r="D90" s="184">
        <f>'武器'!F90</f>
      </c>
      <c r="E90" s="187"/>
      <c r="F90" s="184">
        <f>'武器'!D90</f>
      </c>
      <c r="G90">
        <f>'武器'!E90</f>
      </c>
      <c r="H90" s="4"/>
      <c r="J90">
        <f>'武器'!G90</f>
      </c>
      <c r="K90">
        <f>'武器'!I90</f>
      </c>
      <c r="L90">
        <f>'武器'!O90</f>
      </c>
      <c r="M90">
        <f>'武器'!BN90</f>
      </c>
      <c r="N90">
        <f>'武器'!BS90</f>
      </c>
      <c r="O90">
        <f>'武器'!BO90</f>
      </c>
      <c r="P90" s="4"/>
      <c r="Q90">
        <f>'武器'!W90</f>
      </c>
      <c r="R90">
        <f>'武器'!X90</f>
      </c>
      <c r="S90">
        <f>'武器'!Y90</f>
      </c>
      <c r="T90">
        <f>'武器'!Z90</f>
      </c>
      <c r="U90">
        <f>'武器'!AA90</f>
      </c>
      <c r="V90">
        <f>'武器'!AB90</f>
      </c>
      <c r="W90">
        <f>'武器'!AC90</f>
      </c>
      <c r="X90" s="4"/>
      <c r="Y90">
        <f>'武器'!CK90</f>
      </c>
      <c r="Z90">
        <f>'武器'!BB90</f>
      </c>
      <c r="AA90" s="184">
        <f>'武器'!CA90</f>
      </c>
      <c r="AB90">
        <f>'武器'!BH90</f>
      </c>
      <c r="AC90">
        <f>'武器'!BD90</f>
      </c>
      <c r="AD90">
        <f>'武器'!BL90</f>
      </c>
      <c r="AE90">
        <f>'武器'!BE90</f>
      </c>
      <c r="AF90" s="4"/>
      <c r="AG90" s="186">
        <f>'武器'!P90</f>
      </c>
      <c r="AH90" s="186">
        <f>'武器'!Q90</f>
      </c>
      <c r="AI90" s="186">
        <f>'武器'!R90</f>
      </c>
      <c r="AJ90">
        <f>'武器'!S90</f>
      </c>
      <c r="AK90" s="4"/>
      <c r="AL90">
        <f>'武器'!M90</f>
      </c>
      <c r="AM90">
        <f>'武器'!J90</f>
      </c>
      <c r="AN90" s="4"/>
      <c r="AO90" s="184">
        <f>'武器'!AJ90</f>
      </c>
      <c r="AP90" s="184">
        <f>'武器'!AK90</f>
      </c>
      <c r="AQ90" s="184">
        <f>'武器'!AL90</f>
      </c>
      <c r="AR90" s="4"/>
      <c r="AS90">
        <f>'武器'!H90</f>
      </c>
      <c r="AU90">
        <f>'武器'!N90</f>
      </c>
      <c r="AV90">
        <f>'武器'!BW90</f>
      </c>
      <c r="AW90">
        <f>'武器'!U90</f>
      </c>
      <c r="AX90" s="4"/>
      <c r="AY90" s="188"/>
      <c r="AZ90" s="4"/>
      <c r="BA90" s="184"/>
      <c r="BB90" s="4"/>
      <c r="BC90">
        <f>'武器'!K90</f>
      </c>
      <c r="BD90">
        <f>'武器'!O90</f>
      </c>
      <c r="BE90">
        <f>'武器'!AG90</f>
      </c>
      <c r="BF90">
        <f>'武器'!AH90</f>
      </c>
      <c r="BG90" s="4"/>
      <c r="BH90" s="1" t="str">
        <v>完成</v>
      </c>
    </row>
    <row r="91">
      <c r="A91">
        <f>'武器'!A91</f>
      </c>
      <c r="B91">
        <f>'武器'!B91</f>
      </c>
      <c r="C91">
        <f>'武器'!C91</f>
      </c>
      <c r="D91" s="184">
        <f>'武器'!F91</f>
      </c>
      <c r="E91" s="187"/>
      <c r="F91" s="184">
        <f>'武器'!D91</f>
      </c>
      <c r="G91">
        <f>'武器'!E91</f>
      </c>
      <c r="H91" s="4"/>
      <c r="J91">
        <f>'武器'!G91</f>
      </c>
      <c r="K91">
        <f>'武器'!I91</f>
      </c>
      <c r="L91">
        <f>'武器'!O91</f>
      </c>
      <c r="M91">
        <f>'武器'!BN91</f>
      </c>
      <c r="N91">
        <f>'武器'!BS91</f>
      </c>
      <c r="O91">
        <f>'武器'!BO91</f>
      </c>
      <c r="P91" s="4"/>
      <c r="Q91">
        <f>'武器'!W91</f>
      </c>
      <c r="R91">
        <f>'武器'!X91</f>
      </c>
      <c r="S91">
        <f>'武器'!Y91</f>
      </c>
      <c r="T91">
        <f>'武器'!Z91</f>
      </c>
      <c r="U91">
        <f>'武器'!AA91</f>
      </c>
      <c r="V91">
        <f>'武器'!AB91</f>
      </c>
      <c r="W91">
        <f>'武器'!AC91</f>
      </c>
      <c r="X91" s="4"/>
      <c r="Y91">
        <f>'武器'!CK91</f>
      </c>
      <c r="Z91">
        <f>'武器'!BB91</f>
      </c>
      <c r="AA91" s="184">
        <f>'武器'!CA91</f>
      </c>
      <c r="AB91">
        <f>'武器'!BH91</f>
      </c>
      <c r="AC91">
        <f>'武器'!BD91</f>
      </c>
      <c r="AD91">
        <f>'武器'!BL91</f>
      </c>
      <c r="AE91">
        <f>'武器'!BE91</f>
      </c>
      <c r="AF91" s="4"/>
      <c r="AG91" s="186">
        <f>'武器'!P91</f>
      </c>
      <c r="AH91" s="186">
        <f>'武器'!Q91</f>
      </c>
      <c r="AI91" s="186">
        <f>'武器'!R91</f>
      </c>
      <c r="AJ91">
        <f>'武器'!S91</f>
      </c>
      <c r="AK91" s="4"/>
      <c r="AL91">
        <f>'武器'!M91</f>
      </c>
      <c r="AM91">
        <f>'武器'!J91</f>
      </c>
      <c r="AN91" s="4"/>
      <c r="AO91" s="184">
        <f>'武器'!AJ91</f>
      </c>
      <c r="AP91" s="184">
        <f>'武器'!AK91</f>
      </c>
      <c r="AQ91" s="184">
        <f>'武器'!AL91</f>
      </c>
      <c r="AR91" s="4"/>
      <c r="AS91">
        <f>'武器'!H91</f>
      </c>
      <c r="AU91">
        <f>'武器'!N91</f>
      </c>
      <c r="AV91">
        <f>'武器'!BW91</f>
      </c>
      <c r="AW91">
        <f>'武器'!U91</f>
      </c>
      <c r="AX91" s="4"/>
      <c r="AY91" s="188"/>
      <c r="AZ91" s="4"/>
      <c r="BA91" s="184"/>
      <c r="BB91" s="4"/>
      <c r="BC91">
        <f>'武器'!K91</f>
      </c>
      <c r="BD91">
        <f>'武器'!O91</f>
      </c>
      <c r="BE91">
        <f>'武器'!AG91</f>
      </c>
      <c r="BF91">
        <f>'武器'!AH91</f>
      </c>
      <c r="BG91" s="4"/>
      <c r="BH91" s="1" t="str">
        <v>完成</v>
      </c>
    </row>
    <row r="92">
      <c r="A92">
        <f>'武器'!A92</f>
      </c>
      <c r="B92">
        <f>'武器'!B92</f>
      </c>
      <c r="C92">
        <f>'武器'!C92</f>
      </c>
      <c r="D92" s="184">
        <f>'武器'!F92</f>
      </c>
      <c r="E92" s="187"/>
      <c r="F92" s="184">
        <f>'武器'!D92</f>
      </c>
      <c r="G92">
        <f>'武器'!E92</f>
      </c>
      <c r="H92" s="4"/>
      <c r="J92">
        <f>'武器'!G92</f>
      </c>
      <c r="K92">
        <f>'武器'!I92</f>
      </c>
      <c r="L92">
        <f>'武器'!O92</f>
      </c>
      <c r="M92">
        <f>'武器'!BN92</f>
      </c>
      <c r="N92">
        <f>'武器'!BS92</f>
      </c>
      <c r="O92">
        <f>'武器'!BO92</f>
      </c>
      <c r="P92" s="4"/>
      <c r="Q92">
        <f>'武器'!W92</f>
      </c>
      <c r="R92">
        <f>'武器'!X92</f>
      </c>
      <c r="S92">
        <f>'武器'!Y92</f>
      </c>
      <c r="T92">
        <f>'武器'!Z92</f>
      </c>
      <c r="U92">
        <f>'武器'!AA92</f>
      </c>
      <c r="V92">
        <f>'武器'!AB92</f>
      </c>
      <c r="W92">
        <f>'武器'!AC92</f>
      </c>
      <c r="X92" s="4"/>
      <c r="Y92">
        <f>'武器'!CK92</f>
      </c>
      <c r="Z92">
        <f>'武器'!BB92</f>
      </c>
      <c r="AA92" s="184">
        <f>'武器'!CA92</f>
      </c>
      <c r="AB92">
        <f>'武器'!BH92</f>
      </c>
      <c r="AC92">
        <f>'武器'!BD92</f>
      </c>
      <c r="AD92">
        <f>'武器'!BL92</f>
      </c>
      <c r="AE92">
        <f>'武器'!BE92</f>
      </c>
      <c r="AF92" s="4"/>
      <c r="AG92" s="186">
        <f>'武器'!P92</f>
      </c>
      <c r="AH92" s="186">
        <f>'武器'!Q92</f>
      </c>
      <c r="AI92" s="186">
        <f>'武器'!R92</f>
      </c>
      <c r="AJ92">
        <f>'武器'!S92</f>
      </c>
      <c r="AK92" s="4"/>
      <c r="AL92">
        <f>'武器'!M92</f>
      </c>
      <c r="AM92">
        <f>'武器'!J92</f>
      </c>
      <c r="AN92" s="4"/>
      <c r="AO92" s="184">
        <f>'武器'!AJ92</f>
      </c>
      <c r="AP92" s="184">
        <f>'武器'!AK92</f>
      </c>
      <c r="AQ92" s="184">
        <f>'武器'!AL92</f>
      </c>
      <c r="AR92" s="4"/>
      <c r="AS92">
        <f>'武器'!H92</f>
      </c>
      <c r="AU92">
        <f>'武器'!N92</f>
      </c>
      <c r="AV92">
        <f>'武器'!BW92</f>
      </c>
      <c r="AW92">
        <f>'武器'!U92</f>
      </c>
      <c r="AX92" s="4"/>
      <c r="AY92" s="188"/>
      <c r="AZ92" s="4"/>
      <c r="BA92" s="184"/>
      <c r="BB92" s="4"/>
      <c r="BC92">
        <f>'武器'!K92</f>
      </c>
      <c r="BD92">
        <f>'武器'!O92</f>
      </c>
      <c r="BE92">
        <f>'武器'!AG92</f>
      </c>
      <c r="BF92">
        <f>'武器'!AH92</f>
      </c>
      <c r="BG92" s="4"/>
      <c r="BH92" s="1" t="str">
        <v>完成</v>
      </c>
    </row>
    <row r="93">
      <c r="A93" s="193">
        <f>'武器'!A93</f>
      </c>
      <c r="B93" s="193">
        <f>'武器'!B93</f>
      </c>
      <c r="C93" s="193">
        <f>'武器'!C93</f>
      </c>
      <c r="D93" s="193">
        <f>'武器'!F93</f>
      </c>
      <c r="E93" s="187">
        <f>'武器'!CY93</f>
      </c>
      <c r="F93" s="193">
        <f>'武器'!D93</f>
      </c>
      <c r="G93" s="193">
        <f>'武器'!E93</f>
      </c>
      <c r="H93" s="193"/>
      <c r="I93" s="193"/>
      <c r="J93" s="193">
        <f>'武器'!G93</f>
      </c>
      <c r="K93" s="193">
        <f>'武器'!I93</f>
      </c>
      <c r="L93" s="193">
        <f>'武器'!O93</f>
      </c>
      <c r="M93" s="193">
        <f>'武器'!BN93</f>
      </c>
      <c r="N93" s="193">
        <f>'武器'!BS93</f>
      </c>
      <c r="O93" s="193">
        <f>'武器'!BO93</f>
      </c>
      <c r="P93" s="193"/>
      <c r="Q93" s="193">
        <f>'武器'!W93</f>
      </c>
      <c r="R93" s="193">
        <f>'武器'!X93</f>
      </c>
      <c r="S93" s="193">
        <f>'武器'!Y93</f>
      </c>
      <c r="T93" s="193">
        <f>'武器'!Z93</f>
      </c>
      <c r="U93" s="193">
        <f>'武器'!AA93</f>
      </c>
      <c r="V93" s="193">
        <f>'武器'!AB93</f>
      </c>
      <c r="W93" s="193">
        <f>'武器'!AC93</f>
      </c>
      <c r="X93" s="193"/>
      <c r="Y93" s="193">
        <f>'武器'!CK93</f>
      </c>
      <c r="Z93" s="193">
        <f>'武器'!BB93</f>
      </c>
      <c r="AA93" s="193">
        <f>'武器'!CA93</f>
      </c>
      <c r="AB93" s="193">
        <f>'武器'!BH93</f>
      </c>
      <c r="AC93" s="193">
        <f>'武器'!BD93</f>
      </c>
      <c r="AD93" s="193">
        <f>'武器'!BL93</f>
      </c>
      <c r="AE93" s="193">
        <f>'武器'!BE93</f>
      </c>
      <c r="AF93" s="193"/>
      <c r="AG93" s="194">
        <f>'武器'!P93</f>
      </c>
      <c r="AH93" s="194">
        <f>'武器'!Q93</f>
      </c>
      <c r="AI93" s="194">
        <f>'武器'!R93</f>
      </c>
      <c r="AJ93" s="193">
        <f>'武器'!S93</f>
      </c>
      <c r="AK93" s="193"/>
      <c r="AL93" s="193">
        <f>'武器'!M93</f>
      </c>
      <c r="AM93" s="193">
        <f>'武器'!J93</f>
      </c>
      <c r="AN93" s="193"/>
      <c r="AO93" s="193">
        <f>'武器'!AJ93</f>
      </c>
      <c r="AP93" s="193">
        <f>'武器'!AK93</f>
      </c>
      <c r="AQ93" s="193">
        <f>'武器'!AL93</f>
      </c>
      <c r="AR93" s="193"/>
      <c r="AS93" s="193">
        <f>'武器'!H93</f>
      </c>
      <c r="AT93" s="193"/>
      <c r="AU93" s="193">
        <f>'武器'!N93</f>
      </c>
      <c r="AV93" s="193">
        <f>'武器'!BW93</f>
      </c>
      <c r="AW93" s="193">
        <f>'武器'!U93</f>
      </c>
      <c r="AX93" s="193"/>
      <c r="AY93" s="188">
        <f>'武器'!DA93</f>
      </c>
      <c r="AZ93" s="193"/>
      <c r="BA93" s="193"/>
      <c r="BB93" s="193"/>
      <c r="BC93" s="193">
        <f>'武器'!K93</f>
      </c>
      <c r="BD93" s="193">
        <f>'武器'!O93</f>
      </c>
      <c r="BE93" s="193">
        <f>'武器'!AG93</f>
      </c>
      <c r="BF93" s="193">
        <f>'武器'!AH93</f>
      </c>
      <c r="BG93" s="193"/>
      <c r="BH93" s="27" t="str">
        <v>完成</v>
      </c>
    </row>
    <row r="94">
      <c r="A94" s="189">
        <f>'武器'!A94</f>
      </c>
      <c r="B94" s="189">
        <f>'武器'!B94</f>
      </c>
      <c r="C94" s="189">
        <f>'武器'!C94</f>
      </c>
      <c r="D94" s="189">
        <f>'武器'!F94</f>
      </c>
      <c r="E94" s="187"/>
      <c r="F94" s="189">
        <f>'武器'!D94</f>
      </c>
      <c r="G94" s="189">
        <f>'武器'!E94</f>
      </c>
      <c r="H94" s="189"/>
      <c r="I94" s="189"/>
      <c r="J94" s="189">
        <f>'武器'!G94</f>
      </c>
      <c r="K94" s="189">
        <f>'武器'!I94</f>
      </c>
      <c r="L94" s="189">
        <f>'武器'!O94</f>
      </c>
      <c r="M94" s="189">
        <f>'武器'!BN94</f>
      </c>
      <c r="N94" s="189">
        <f>'武器'!BS94</f>
      </c>
      <c r="O94" s="189">
        <f>'武器'!BO94</f>
      </c>
      <c r="P94" s="189"/>
      <c r="Q94" s="189">
        <f>'武器'!W94</f>
      </c>
      <c r="R94" s="189">
        <f>'武器'!X94</f>
      </c>
      <c r="S94" s="189">
        <f>'武器'!Y94</f>
      </c>
      <c r="T94" s="189">
        <f>'武器'!Z94</f>
      </c>
      <c r="U94" s="189">
        <f>'武器'!AA94</f>
      </c>
      <c r="V94" s="189">
        <f>'武器'!AB94</f>
      </c>
      <c r="W94" s="189">
        <f>'武器'!AC94</f>
      </c>
      <c r="X94" s="189"/>
      <c r="Y94" s="189">
        <f>'武器'!CK94</f>
      </c>
      <c r="Z94" s="189">
        <f>'武器'!BB94</f>
      </c>
      <c r="AA94" s="189">
        <f>'武器'!CA94</f>
      </c>
      <c r="AB94" s="189">
        <f>'武器'!BH94</f>
      </c>
      <c r="AC94" s="189">
        <f>'武器'!BD94</f>
      </c>
      <c r="AD94" s="189">
        <f>'武器'!BL94</f>
      </c>
      <c r="AE94" s="189">
        <f>'武器'!BE94</f>
      </c>
      <c r="AF94" s="189"/>
      <c r="AG94" s="191">
        <f>'武器'!P94</f>
      </c>
      <c r="AH94" s="191">
        <f>'武器'!Q94</f>
      </c>
      <c r="AI94" s="191">
        <f>'武器'!R94</f>
      </c>
      <c r="AJ94" s="189">
        <f>'武器'!S94</f>
      </c>
      <c r="AK94" s="189"/>
      <c r="AL94" s="189">
        <f>'武器'!M94</f>
      </c>
      <c r="AM94" s="189">
        <f>'武器'!J94</f>
      </c>
      <c r="AN94" s="189"/>
      <c r="AO94" s="189">
        <f>'武器'!AJ94</f>
      </c>
      <c r="AP94" s="189">
        <f>'武器'!AK94</f>
      </c>
      <c r="AQ94" s="189">
        <f>'武器'!AL94</f>
      </c>
      <c r="AR94" s="189"/>
      <c r="AS94" s="189">
        <f>'武器'!H94</f>
      </c>
      <c r="AT94" s="189"/>
      <c r="AU94" s="189">
        <f>'武器'!N94</f>
      </c>
      <c r="AV94" s="189">
        <f>'武器'!BW94</f>
      </c>
      <c r="AW94" s="189">
        <f>'武器'!U94</f>
      </c>
      <c r="AX94" s="189"/>
      <c r="AY94" s="188"/>
      <c r="AZ94" s="189"/>
      <c r="BA94" s="189"/>
      <c r="BB94" s="189"/>
      <c r="BC94" s="189">
        <f>'武器'!K94</f>
      </c>
      <c r="BD94" s="189">
        <f>'武器'!O94</f>
      </c>
      <c r="BE94" s="189">
        <f>'武器'!AG94</f>
      </c>
      <c r="BF94" s="189">
        <f>'武器'!AH94</f>
      </c>
      <c r="BG94" s="189"/>
      <c r="BH94" s="159" t="str">
        <v>完成</v>
      </c>
    </row>
    <row r="95">
      <c r="A95">
        <f>'武器'!A95</f>
      </c>
      <c r="B95">
        <f>'武器'!B95</f>
      </c>
      <c r="C95">
        <f>'武器'!C95</f>
      </c>
      <c r="D95" s="184">
        <f>'武器'!F95</f>
      </c>
      <c r="E95" s="187"/>
      <c r="F95" s="184">
        <f>'武器'!D95</f>
      </c>
      <c r="G95">
        <f>'武器'!E95</f>
      </c>
      <c r="H95" s="4"/>
      <c r="J95">
        <f>'武器'!G95</f>
      </c>
      <c r="K95">
        <f>'武器'!I95</f>
      </c>
      <c r="L95">
        <f>'武器'!O95</f>
      </c>
      <c r="M95">
        <f>'武器'!BN95</f>
      </c>
      <c r="N95">
        <f>'武器'!BS95</f>
      </c>
      <c r="O95">
        <f>'武器'!BO95</f>
      </c>
      <c r="P95" s="4"/>
      <c r="Q95">
        <f>'武器'!W95</f>
      </c>
      <c r="R95">
        <f>'武器'!X95</f>
      </c>
      <c r="S95">
        <f>'武器'!Y95</f>
      </c>
      <c r="T95">
        <f>'武器'!Z95</f>
      </c>
      <c r="U95">
        <f>'武器'!AA95</f>
      </c>
      <c r="V95">
        <f>'武器'!AB95</f>
      </c>
      <c r="W95">
        <f>'武器'!AC95</f>
      </c>
      <c r="X95" s="4"/>
      <c r="Y95">
        <f>'武器'!CK95</f>
      </c>
      <c r="Z95">
        <f>'武器'!BB95</f>
      </c>
      <c r="AA95" s="184">
        <f>'武器'!CA95</f>
      </c>
      <c r="AB95">
        <f>'武器'!BH95</f>
      </c>
      <c r="AC95">
        <f>'武器'!BD95</f>
      </c>
      <c r="AD95">
        <f>'武器'!BL95</f>
      </c>
      <c r="AE95">
        <f>'武器'!BE95</f>
      </c>
      <c r="AF95" s="4"/>
      <c r="AG95" s="186">
        <f>'武器'!P95</f>
      </c>
      <c r="AH95" s="186">
        <f>'武器'!Q95</f>
      </c>
      <c r="AI95" s="186">
        <f>'武器'!R95</f>
      </c>
      <c r="AJ95">
        <f>'武器'!S95</f>
      </c>
      <c r="AK95" s="4"/>
      <c r="AL95">
        <f>'武器'!M95</f>
      </c>
      <c r="AM95">
        <f>'武器'!J95</f>
      </c>
      <c r="AN95" s="4"/>
      <c r="AO95" s="184">
        <f>'武器'!AJ95</f>
      </c>
      <c r="AP95" s="184">
        <f>'武器'!AK95</f>
      </c>
      <c r="AQ95" s="184">
        <f>'武器'!AL95</f>
      </c>
      <c r="AR95" s="4"/>
      <c r="AS95">
        <f>'武器'!H95</f>
      </c>
      <c r="AU95">
        <f>'武器'!N95</f>
      </c>
      <c r="AV95">
        <f>'武器'!BW95</f>
      </c>
      <c r="AW95">
        <f>'武器'!U95</f>
      </c>
      <c r="AX95" s="4"/>
      <c r="AY95" s="188"/>
      <c r="AZ95" s="4"/>
      <c r="BA95" s="184"/>
      <c r="BB95" s="4"/>
      <c r="BC95">
        <f>'武器'!K95</f>
      </c>
      <c r="BD95">
        <f>'武器'!O95</f>
      </c>
      <c r="BE95">
        <f>'武器'!AG95</f>
      </c>
      <c r="BF95">
        <f>'武器'!AH95</f>
      </c>
      <c r="BG95" s="4"/>
      <c r="BH95" s="1" t="str">
        <v>完成</v>
      </c>
    </row>
    <row r="96">
      <c r="A96">
        <f>'武器'!A96</f>
      </c>
      <c r="B96">
        <f>'武器'!B96</f>
      </c>
      <c r="C96">
        <f>'武器'!C96</f>
      </c>
      <c r="D96" s="184">
        <f>'武器'!F96</f>
      </c>
      <c r="E96" s="187"/>
      <c r="F96" s="184">
        <f>'武器'!D96</f>
      </c>
      <c r="G96">
        <f>'武器'!E96</f>
      </c>
      <c r="H96" s="4"/>
      <c r="J96">
        <f>'武器'!G96</f>
      </c>
      <c r="K96">
        <f>'武器'!I96</f>
      </c>
      <c r="L96">
        <f>'武器'!O96</f>
      </c>
      <c r="M96">
        <f>'武器'!BN96</f>
      </c>
      <c r="N96">
        <f>'武器'!BS96</f>
      </c>
      <c r="O96">
        <f>'武器'!BO96</f>
      </c>
      <c r="P96" s="4"/>
      <c r="Q96">
        <f>'武器'!W96</f>
      </c>
      <c r="R96">
        <f>'武器'!X96</f>
      </c>
      <c r="S96">
        <f>'武器'!Y96</f>
      </c>
      <c r="T96">
        <f>'武器'!Z96</f>
      </c>
      <c r="U96">
        <f>'武器'!AA96</f>
      </c>
      <c r="V96">
        <f>'武器'!AB96</f>
      </c>
      <c r="W96">
        <f>'武器'!AC96</f>
      </c>
      <c r="X96" s="4"/>
      <c r="Y96">
        <f>'武器'!CK96</f>
      </c>
      <c r="Z96">
        <f>'武器'!BB96</f>
      </c>
      <c r="AA96" s="184">
        <f>'武器'!CA96</f>
      </c>
      <c r="AB96">
        <f>'武器'!BH96</f>
      </c>
      <c r="AC96">
        <f>'武器'!BD96</f>
      </c>
      <c r="AD96">
        <f>'武器'!BL96</f>
      </c>
      <c r="AE96">
        <f>'武器'!BE96</f>
      </c>
      <c r="AF96" s="4"/>
      <c r="AG96" s="186">
        <f>'武器'!P96</f>
      </c>
      <c r="AH96" s="186">
        <f>'武器'!Q96</f>
      </c>
      <c r="AI96" s="186">
        <f>'武器'!R96</f>
      </c>
      <c r="AJ96">
        <f>'武器'!S96</f>
      </c>
      <c r="AK96" s="4"/>
      <c r="AL96">
        <f>'武器'!M96</f>
      </c>
      <c r="AM96">
        <f>'武器'!J96</f>
      </c>
      <c r="AN96" s="4"/>
      <c r="AO96" s="184">
        <f>'武器'!AJ96</f>
      </c>
      <c r="AP96" s="184">
        <f>'武器'!AK96</f>
      </c>
      <c r="AQ96" s="184">
        <f>'武器'!AL96</f>
      </c>
      <c r="AR96" s="4"/>
      <c r="AS96">
        <f>'武器'!H96</f>
      </c>
      <c r="AU96">
        <f>'武器'!N96</f>
      </c>
      <c r="AV96">
        <f>'武器'!BW96</f>
      </c>
      <c r="AW96">
        <f>'武器'!U96</f>
      </c>
      <c r="AX96" s="4"/>
      <c r="AY96" s="188"/>
      <c r="AZ96" s="4"/>
      <c r="BA96" s="184"/>
      <c r="BB96" s="4"/>
      <c r="BC96">
        <f>'武器'!K96</f>
      </c>
      <c r="BD96">
        <f>'武器'!O96</f>
      </c>
      <c r="BE96">
        <f>'武器'!AG96</f>
      </c>
      <c r="BF96">
        <f>'武器'!AH96</f>
      </c>
      <c r="BG96" s="4"/>
      <c r="BH96" s="1" t="str">
        <v>完成</v>
      </c>
    </row>
    <row r="97">
      <c r="A97">
        <f>'武器'!A97</f>
      </c>
      <c r="B97">
        <f>'武器'!B97</f>
      </c>
      <c r="C97">
        <f>'武器'!C97</f>
      </c>
      <c r="D97" s="184">
        <f>'武器'!F97</f>
      </c>
      <c r="E97" s="187"/>
      <c r="F97" s="184">
        <f>'武器'!D97</f>
      </c>
      <c r="G97">
        <f>'武器'!E97</f>
      </c>
      <c r="H97" s="4"/>
      <c r="J97">
        <f>'武器'!G97</f>
      </c>
      <c r="K97">
        <f>'武器'!I97</f>
      </c>
      <c r="L97">
        <f>'武器'!O97</f>
      </c>
      <c r="M97">
        <f>'武器'!BN97</f>
      </c>
      <c r="N97">
        <f>'武器'!BS97</f>
      </c>
      <c r="O97">
        <f>'武器'!BO97</f>
      </c>
      <c r="P97" s="4"/>
      <c r="Q97">
        <f>'武器'!W97</f>
      </c>
      <c r="R97">
        <f>'武器'!X97</f>
      </c>
      <c r="S97">
        <f>'武器'!Y97</f>
      </c>
      <c r="T97">
        <f>'武器'!Z97</f>
      </c>
      <c r="U97">
        <f>'武器'!AA97</f>
      </c>
      <c r="V97">
        <f>'武器'!AB97</f>
      </c>
      <c r="W97">
        <f>'武器'!AC97</f>
      </c>
      <c r="X97" s="4"/>
      <c r="Y97">
        <f>'武器'!CK97</f>
      </c>
      <c r="Z97">
        <f>'武器'!BB97</f>
      </c>
      <c r="AA97" s="184">
        <f>'武器'!CA97</f>
      </c>
      <c r="AB97">
        <f>'武器'!BH97</f>
      </c>
      <c r="AC97">
        <f>'武器'!BD97</f>
      </c>
      <c r="AD97">
        <f>'武器'!BL97</f>
      </c>
      <c r="AE97">
        <f>'武器'!BE97</f>
      </c>
      <c r="AF97" s="4"/>
      <c r="AG97" s="186">
        <f>'武器'!P97</f>
      </c>
      <c r="AH97" s="186">
        <f>'武器'!Q97</f>
      </c>
      <c r="AI97" s="186">
        <f>'武器'!R97</f>
      </c>
      <c r="AJ97">
        <f>'武器'!S97</f>
      </c>
      <c r="AK97" s="4"/>
      <c r="AL97">
        <f>'武器'!M97</f>
      </c>
      <c r="AM97">
        <f>'武器'!J97</f>
      </c>
      <c r="AN97" s="4"/>
      <c r="AO97" s="184">
        <f>'武器'!AJ97</f>
      </c>
      <c r="AP97" s="184">
        <f>'武器'!AK97</f>
      </c>
      <c r="AQ97" s="184">
        <f>'武器'!AL97</f>
      </c>
      <c r="AR97" s="4"/>
      <c r="AS97">
        <f>'武器'!H97</f>
      </c>
      <c r="AU97">
        <f>'武器'!N97</f>
      </c>
      <c r="AV97">
        <f>'武器'!BW97</f>
      </c>
      <c r="AW97">
        <f>'武器'!U97</f>
      </c>
      <c r="AX97" s="4"/>
      <c r="AY97" s="188"/>
      <c r="AZ97" s="4"/>
      <c r="BA97" s="184"/>
      <c r="BB97" s="4"/>
      <c r="BC97">
        <f>'武器'!K97</f>
      </c>
      <c r="BD97">
        <f>'武器'!O97</f>
      </c>
      <c r="BE97">
        <f>'武器'!AG97</f>
      </c>
      <c r="BF97">
        <f>'武器'!AH97</f>
      </c>
      <c r="BG97" s="4"/>
      <c r="BH97" s="1" t="str">
        <v>完成</v>
      </c>
    </row>
    <row r="98">
      <c r="A98">
        <f>'武器'!A98</f>
      </c>
      <c r="B98">
        <f>'武器'!B98</f>
      </c>
      <c r="C98">
        <f>'武器'!C98</f>
      </c>
      <c r="D98" s="184">
        <f>'武器'!F98</f>
      </c>
      <c r="E98" s="187"/>
      <c r="F98" s="184">
        <f>'武器'!D98</f>
      </c>
      <c r="G98">
        <f>'武器'!E98</f>
      </c>
      <c r="H98" s="4"/>
      <c r="J98">
        <f>'武器'!G98</f>
      </c>
      <c r="K98">
        <f>'武器'!I98</f>
      </c>
      <c r="L98">
        <f>'武器'!O98</f>
      </c>
      <c r="M98">
        <f>'武器'!BN98</f>
      </c>
      <c r="N98">
        <f>'武器'!BS98</f>
      </c>
      <c r="O98">
        <f>'武器'!BO98</f>
      </c>
      <c r="P98" s="4"/>
      <c r="Q98">
        <f>'武器'!W98</f>
      </c>
      <c r="R98">
        <f>'武器'!X98</f>
      </c>
      <c r="S98">
        <f>'武器'!Y98</f>
      </c>
      <c r="T98">
        <f>'武器'!Z98</f>
      </c>
      <c r="U98">
        <f>'武器'!AA98</f>
      </c>
      <c r="V98">
        <f>'武器'!AB98</f>
      </c>
      <c r="W98">
        <f>'武器'!AC98</f>
      </c>
      <c r="X98" s="4"/>
      <c r="Y98">
        <f>'武器'!CK98</f>
      </c>
      <c r="Z98">
        <f>'武器'!BB98</f>
      </c>
      <c r="AA98" s="184">
        <f>'武器'!CA98</f>
      </c>
      <c r="AB98">
        <f>'武器'!BH98</f>
      </c>
      <c r="AC98">
        <f>'武器'!BD98</f>
      </c>
      <c r="AD98">
        <f>'武器'!BL98</f>
      </c>
      <c r="AE98">
        <f>'武器'!BE98</f>
      </c>
      <c r="AF98" s="4"/>
      <c r="AG98" s="186">
        <f>'武器'!P98</f>
      </c>
      <c r="AH98" s="186">
        <f>'武器'!Q98</f>
      </c>
      <c r="AI98" s="186">
        <f>'武器'!R98</f>
      </c>
      <c r="AJ98">
        <f>'武器'!S98</f>
      </c>
      <c r="AK98" s="4"/>
      <c r="AL98">
        <f>'武器'!M98</f>
      </c>
      <c r="AM98">
        <f>'武器'!J98</f>
      </c>
      <c r="AN98" s="4"/>
      <c r="AO98" s="184">
        <f>'武器'!AJ98</f>
      </c>
      <c r="AP98" s="184">
        <f>'武器'!AK98</f>
      </c>
      <c r="AQ98" s="184">
        <f>'武器'!AL98</f>
      </c>
      <c r="AR98" s="4"/>
      <c r="AS98">
        <f>'武器'!H98</f>
      </c>
      <c r="AU98">
        <f>'武器'!N98</f>
      </c>
      <c r="AV98">
        <f>'武器'!BW98</f>
      </c>
      <c r="AW98">
        <f>'武器'!U98</f>
      </c>
      <c r="AX98" s="4"/>
      <c r="AY98" s="188"/>
      <c r="AZ98" s="4"/>
      <c r="BA98" s="184"/>
      <c r="BB98" s="4"/>
      <c r="BC98">
        <f>'武器'!K98</f>
      </c>
      <c r="BD98">
        <f>'武器'!O98</f>
      </c>
      <c r="BE98">
        <f>'武器'!AG98</f>
      </c>
      <c r="BF98">
        <f>'武器'!AH98</f>
      </c>
      <c r="BG98" s="4"/>
      <c r="BH98" s="1" t="str">
        <v>完成</v>
      </c>
    </row>
    <row r="99">
      <c r="A99" s="193">
        <f>'武器'!A99</f>
      </c>
      <c r="B99" s="193">
        <f>'武器'!B99</f>
      </c>
      <c r="C99" s="193">
        <f>'武器'!C99</f>
      </c>
      <c r="D99" s="193">
        <f>'武器'!F99</f>
      </c>
      <c r="E99" s="187">
        <f>'武器'!CY99</f>
      </c>
      <c r="F99" s="193">
        <f>'武器'!D99</f>
      </c>
      <c r="G99" s="193">
        <f>'武器'!E99</f>
      </c>
      <c r="H99" s="193"/>
      <c r="I99" s="193"/>
      <c r="J99" s="193">
        <f>'武器'!G99</f>
      </c>
      <c r="K99" s="193">
        <f>'武器'!I99</f>
      </c>
      <c r="L99" s="193">
        <f>'武器'!O99</f>
      </c>
      <c r="M99" s="193">
        <f>'武器'!BN99</f>
      </c>
      <c r="N99" s="193">
        <f>'武器'!BS99</f>
      </c>
      <c r="O99" s="193">
        <f>'武器'!BO99</f>
      </c>
      <c r="P99" s="193"/>
      <c r="Q99" s="193">
        <f>'武器'!W99</f>
      </c>
      <c r="R99" s="193">
        <f>'武器'!X99</f>
      </c>
      <c r="S99" s="193">
        <f>'武器'!Y99</f>
      </c>
      <c r="T99" s="193">
        <f>'武器'!Z99</f>
      </c>
      <c r="U99" s="193">
        <f>'武器'!AA99</f>
      </c>
      <c r="V99" s="193">
        <f>'武器'!AB99</f>
      </c>
      <c r="W99" s="193">
        <f>'武器'!AC99</f>
      </c>
      <c r="X99" s="193"/>
      <c r="Y99" s="193">
        <f>'武器'!CK99</f>
      </c>
      <c r="Z99" s="193">
        <f>'武器'!BB99</f>
      </c>
      <c r="AA99" s="193">
        <f>'武器'!CA99</f>
      </c>
      <c r="AB99" s="193">
        <f>'武器'!BH99</f>
      </c>
      <c r="AC99" s="193">
        <f>'武器'!BD99</f>
      </c>
      <c r="AD99" s="193">
        <f>'武器'!BL99</f>
      </c>
      <c r="AE99" s="193">
        <f>'武器'!BE99</f>
      </c>
      <c r="AF99" s="193"/>
      <c r="AG99" s="194">
        <f>'武器'!P99</f>
      </c>
      <c r="AH99" s="194">
        <f>'武器'!Q99</f>
      </c>
      <c r="AI99" s="194">
        <f>'武器'!R99</f>
      </c>
      <c r="AJ99" s="193">
        <f>'武器'!S99</f>
      </c>
      <c r="AK99" s="193"/>
      <c r="AL99" s="193">
        <f>'武器'!M99</f>
      </c>
      <c r="AM99" s="193">
        <f>'武器'!J99</f>
      </c>
      <c r="AN99" s="193"/>
      <c r="AO99" s="193">
        <f>'武器'!AJ99</f>
      </c>
      <c r="AP99" s="193">
        <f>'武器'!AK99</f>
      </c>
      <c r="AQ99" s="193">
        <f>'武器'!AL99</f>
      </c>
      <c r="AR99" s="193"/>
      <c r="AS99" s="193">
        <f>'武器'!H99</f>
      </c>
      <c r="AT99" s="193"/>
      <c r="AU99" s="193">
        <f>'武器'!N99</f>
      </c>
      <c r="AV99" s="193">
        <f>'武器'!BW99</f>
      </c>
      <c r="AW99" s="193">
        <f>'武器'!U99</f>
      </c>
      <c r="AX99" s="193"/>
      <c r="AY99" s="188">
        <f>'武器'!DA99</f>
      </c>
      <c r="AZ99" s="193"/>
      <c r="BA99" s="193"/>
      <c r="BB99" s="193"/>
      <c r="BC99" s="193">
        <f>'武器'!K99</f>
      </c>
      <c r="BD99" s="193">
        <f>'武器'!O99</f>
      </c>
      <c r="BE99" s="193">
        <f>'武器'!AG99</f>
      </c>
      <c r="BF99" s="193">
        <f>'武器'!AH99</f>
      </c>
      <c r="BG99" s="193"/>
      <c r="BH99" s="27" t="str">
        <v>完成</v>
      </c>
    </row>
    <row r="100">
      <c r="A100" s="189">
        <f>'武器'!A100</f>
      </c>
      <c r="B100" s="189">
        <f>'武器'!B100</f>
      </c>
      <c r="C100" s="189">
        <f>'武器'!C100</f>
      </c>
      <c r="D100" s="189">
        <f>'武器'!F100</f>
      </c>
      <c r="E100" s="187"/>
      <c r="F100" s="189">
        <f>'武器'!D100</f>
      </c>
      <c r="G100" s="189">
        <f>'武器'!E100</f>
      </c>
      <c r="H100" s="189"/>
      <c r="I100" s="189"/>
      <c r="J100" s="189">
        <f>'武器'!G100</f>
      </c>
      <c r="K100" s="189">
        <f>'武器'!I100</f>
      </c>
      <c r="L100" s="189">
        <f>'武器'!O100</f>
      </c>
      <c r="M100" s="189">
        <f>'武器'!BN100</f>
      </c>
      <c r="N100" s="189">
        <f>'武器'!BS100</f>
      </c>
      <c r="O100" s="189">
        <f>'武器'!BO100</f>
      </c>
      <c r="P100" s="189"/>
      <c r="Q100" s="189">
        <f>'武器'!W100</f>
      </c>
      <c r="R100" s="189">
        <f>'武器'!X100</f>
      </c>
      <c r="S100" s="189">
        <f>'武器'!Y100</f>
      </c>
      <c r="T100" s="189">
        <f>'武器'!Z100</f>
      </c>
      <c r="U100" s="189">
        <f>'武器'!AA100</f>
      </c>
      <c r="V100" s="189">
        <f>'武器'!AB100</f>
      </c>
      <c r="W100" s="189">
        <f>'武器'!AC100</f>
      </c>
      <c r="X100" s="189"/>
      <c r="Y100" s="189">
        <f>'武器'!CK100</f>
      </c>
      <c r="Z100" s="189">
        <f>'武器'!BB100</f>
      </c>
      <c r="AA100" s="189">
        <f>'武器'!CA100</f>
      </c>
      <c r="AB100" s="189">
        <f>'武器'!BH100</f>
      </c>
      <c r="AC100" s="189">
        <f>'武器'!BD100</f>
      </c>
      <c r="AD100" s="189">
        <f>'武器'!BL100</f>
      </c>
      <c r="AE100" s="189">
        <f>'武器'!BE100</f>
      </c>
      <c r="AF100" s="189"/>
      <c r="AG100" s="191">
        <f>'武器'!P100</f>
      </c>
      <c r="AH100" s="191">
        <f>'武器'!Q100</f>
      </c>
      <c r="AI100" s="191">
        <f>'武器'!R100</f>
      </c>
      <c r="AJ100" s="189">
        <f>'武器'!S100</f>
      </c>
      <c r="AK100" s="189"/>
      <c r="AL100" s="189">
        <f>'武器'!M100</f>
      </c>
      <c r="AM100" s="189">
        <f>'武器'!J100</f>
      </c>
      <c r="AN100" s="189"/>
      <c r="AO100" s="189">
        <f>'武器'!AJ100</f>
      </c>
      <c r="AP100" s="189">
        <f>'武器'!AK100</f>
      </c>
      <c r="AQ100" s="189">
        <f>'武器'!AL100</f>
      </c>
      <c r="AR100" s="189"/>
      <c r="AS100" s="189">
        <f>'武器'!H100</f>
      </c>
      <c r="AT100" s="189"/>
      <c r="AU100" s="189">
        <f>'武器'!N100</f>
      </c>
      <c r="AV100" s="189">
        <f>'武器'!BW100</f>
      </c>
      <c r="AW100" s="189">
        <f>'武器'!U100</f>
      </c>
      <c r="AX100" s="189"/>
      <c r="AY100" s="188"/>
      <c r="AZ100" s="189"/>
      <c r="BA100" s="189"/>
      <c r="BB100" s="189"/>
      <c r="BC100" s="189">
        <f>'武器'!K100</f>
      </c>
      <c r="BD100" s="189">
        <f>'武器'!O100</f>
      </c>
      <c r="BE100" s="189">
        <f>'武器'!AG100</f>
      </c>
      <c r="BF100" s="189">
        <f>'武器'!AH100</f>
      </c>
      <c r="BG100" s="189"/>
      <c r="BH100" s="159" t="str">
        <v>完成</v>
      </c>
    </row>
    <row r="101">
      <c r="A101">
        <f>'武器'!A101</f>
      </c>
      <c r="B101">
        <f>'武器'!B101</f>
      </c>
      <c r="C101">
        <f>'武器'!C101</f>
      </c>
      <c r="D101" s="184">
        <f>'武器'!F101</f>
      </c>
      <c r="E101" s="187"/>
      <c r="F101" s="184">
        <f>'武器'!D101</f>
      </c>
      <c r="G101">
        <f>'武器'!E101</f>
      </c>
      <c r="H101" s="4"/>
      <c r="J101">
        <f>'武器'!G101</f>
      </c>
      <c r="K101">
        <f>'武器'!I101</f>
      </c>
      <c r="L101">
        <f>'武器'!O101</f>
      </c>
      <c r="M101">
        <f>'武器'!BN101</f>
      </c>
      <c r="N101">
        <f>'武器'!BS101</f>
      </c>
      <c r="O101">
        <f>'武器'!BO101</f>
      </c>
      <c r="P101" s="4"/>
      <c r="Q101">
        <f>'武器'!W101</f>
      </c>
      <c r="R101">
        <f>'武器'!X101</f>
      </c>
      <c r="S101">
        <f>'武器'!Y101</f>
      </c>
      <c r="T101">
        <f>'武器'!Z101</f>
      </c>
      <c r="U101">
        <f>'武器'!AA101</f>
      </c>
      <c r="V101">
        <f>'武器'!AB101</f>
      </c>
      <c r="W101">
        <f>'武器'!AC101</f>
      </c>
      <c r="X101" s="4"/>
      <c r="Y101">
        <f>'武器'!CK101</f>
      </c>
      <c r="Z101">
        <f>'武器'!BB101</f>
      </c>
      <c r="AA101" s="184">
        <f>'武器'!CA101</f>
      </c>
      <c r="AB101">
        <f>'武器'!BH101</f>
      </c>
      <c r="AC101">
        <f>'武器'!BD101</f>
      </c>
      <c r="AD101">
        <f>'武器'!BL101</f>
      </c>
      <c r="AE101">
        <f>'武器'!BE101</f>
      </c>
      <c r="AF101" s="4"/>
      <c r="AG101" s="186">
        <f>'武器'!P101</f>
      </c>
      <c r="AH101" s="186">
        <f>'武器'!Q101</f>
      </c>
      <c r="AI101" s="186">
        <f>'武器'!R101</f>
      </c>
      <c r="AJ101">
        <f>'武器'!S101</f>
      </c>
      <c r="AK101" s="4"/>
      <c r="AL101">
        <f>'武器'!M101</f>
      </c>
      <c r="AM101">
        <f>'武器'!J101</f>
      </c>
      <c r="AN101" s="4"/>
      <c r="AO101" s="184">
        <f>'武器'!AJ101</f>
      </c>
      <c r="AP101" s="184">
        <f>'武器'!AK101</f>
      </c>
      <c r="AQ101" s="184">
        <f>'武器'!AL101</f>
      </c>
      <c r="AR101" s="4"/>
      <c r="AS101">
        <f>'武器'!H101</f>
      </c>
      <c r="AU101">
        <f>'武器'!N101</f>
      </c>
      <c r="AV101">
        <f>'武器'!BW101</f>
      </c>
      <c r="AW101">
        <f>'武器'!U101</f>
      </c>
      <c r="AX101" s="4"/>
      <c r="AY101" s="188"/>
      <c r="AZ101" s="4"/>
      <c r="BA101" s="184"/>
      <c r="BB101" s="4"/>
      <c r="BC101">
        <f>'武器'!K101</f>
      </c>
      <c r="BD101">
        <f>'武器'!O101</f>
      </c>
      <c r="BE101">
        <f>'武器'!AG101</f>
      </c>
      <c r="BF101">
        <f>'武器'!AH101</f>
      </c>
      <c r="BG101" s="4"/>
      <c r="BH101" s="1" t="str">
        <v>完成</v>
      </c>
    </row>
    <row r="102">
      <c r="A102">
        <f>'武器'!A102</f>
      </c>
      <c r="B102">
        <f>'武器'!B102</f>
      </c>
      <c r="C102">
        <f>'武器'!C102</f>
      </c>
      <c r="D102" s="184">
        <f>'武器'!F102</f>
      </c>
      <c r="E102" s="187"/>
      <c r="F102" s="184">
        <f>'武器'!D102</f>
      </c>
      <c r="G102">
        <f>'武器'!E102</f>
      </c>
      <c r="H102" s="4"/>
      <c r="J102">
        <f>'武器'!G102</f>
      </c>
      <c r="K102">
        <f>'武器'!I102</f>
      </c>
      <c r="L102">
        <f>'武器'!O102</f>
      </c>
      <c r="M102">
        <f>'武器'!BN102</f>
      </c>
      <c r="N102">
        <f>'武器'!BS102</f>
      </c>
      <c r="O102">
        <f>'武器'!BO102</f>
      </c>
      <c r="P102" s="4"/>
      <c r="Q102">
        <f>'武器'!W102</f>
      </c>
      <c r="R102">
        <f>'武器'!X102</f>
      </c>
      <c r="S102">
        <f>'武器'!Y102</f>
      </c>
      <c r="T102">
        <f>'武器'!Z102</f>
      </c>
      <c r="U102">
        <f>'武器'!AA102</f>
      </c>
      <c r="V102">
        <f>'武器'!AB102</f>
      </c>
      <c r="W102">
        <f>'武器'!AC102</f>
      </c>
      <c r="X102" s="4"/>
      <c r="Y102">
        <f>'武器'!CK102</f>
      </c>
      <c r="Z102">
        <f>'武器'!BB102</f>
      </c>
      <c r="AA102" s="184">
        <f>'武器'!CA102</f>
      </c>
      <c r="AB102">
        <f>'武器'!BH102</f>
      </c>
      <c r="AC102">
        <f>'武器'!BD102</f>
      </c>
      <c r="AD102">
        <f>'武器'!BL102</f>
      </c>
      <c r="AE102">
        <f>'武器'!BE102</f>
      </c>
      <c r="AF102" s="4"/>
      <c r="AG102" s="186">
        <f>'武器'!P102</f>
      </c>
      <c r="AH102" s="186">
        <f>'武器'!Q102</f>
      </c>
      <c r="AI102" s="186">
        <f>'武器'!R102</f>
      </c>
      <c r="AJ102">
        <f>'武器'!S102</f>
      </c>
      <c r="AK102" s="4"/>
      <c r="AL102">
        <f>'武器'!M102</f>
      </c>
      <c r="AM102">
        <f>'武器'!J102</f>
      </c>
      <c r="AN102" s="4"/>
      <c r="AO102" s="184">
        <f>'武器'!AJ102</f>
      </c>
      <c r="AP102" s="184">
        <f>'武器'!AK102</f>
      </c>
      <c r="AQ102" s="184">
        <f>'武器'!AL102</f>
      </c>
      <c r="AR102" s="4"/>
      <c r="AS102">
        <f>'武器'!H102</f>
      </c>
      <c r="AU102">
        <f>'武器'!N102</f>
      </c>
      <c r="AV102">
        <f>'武器'!BW102</f>
      </c>
      <c r="AW102">
        <f>'武器'!U102</f>
      </c>
      <c r="AX102" s="4"/>
      <c r="AY102" s="188"/>
      <c r="AZ102" s="4"/>
      <c r="BA102" s="184"/>
      <c r="BB102" s="4"/>
      <c r="BC102">
        <f>'武器'!K102</f>
      </c>
      <c r="BD102">
        <f>'武器'!O102</f>
      </c>
      <c r="BE102">
        <f>'武器'!AG102</f>
      </c>
      <c r="BF102">
        <f>'武器'!AH102</f>
      </c>
      <c r="BG102" s="4"/>
      <c r="BH102" s="1" t="str">
        <v>完成</v>
      </c>
    </row>
    <row r="103">
      <c r="A103">
        <f>'武器'!A103</f>
      </c>
      <c r="B103">
        <f>'武器'!B103</f>
      </c>
      <c r="C103">
        <f>'武器'!C103</f>
      </c>
      <c r="D103" s="184">
        <f>'武器'!F103</f>
      </c>
      <c r="E103" s="187"/>
      <c r="F103" s="184">
        <f>'武器'!D103</f>
      </c>
      <c r="G103">
        <f>'武器'!E103</f>
      </c>
      <c r="H103" s="4"/>
      <c r="J103">
        <f>'武器'!G103</f>
      </c>
      <c r="K103">
        <f>'武器'!I103</f>
      </c>
      <c r="L103">
        <f>'武器'!O103</f>
      </c>
      <c r="M103">
        <f>'武器'!BN103</f>
      </c>
      <c r="N103">
        <f>'武器'!BS103</f>
      </c>
      <c r="O103">
        <f>'武器'!BO103</f>
      </c>
      <c r="P103" s="4"/>
      <c r="Q103">
        <f>'武器'!W103</f>
      </c>
      <c r="R103">
        <f>'武器'!X103</f>
      </c>
      <c r="S103">
        <f>'武器'!Y103</f>
      </c>
      <c r="T103">
        <f>'武器'!Z103</f>
      </c>
      <c r="U103">
        <f>'武器'!AA103</f>
      </c>
      <c r="V103">
        <f>'武器'!AB103</f>
      </c>
      <c r="W103">
        <f>'武器'!AC103</f>
      </c>
      <c r="X103" s="4"/>
      <c r="Y103">
        <f>'武器'!CK103</f>
      </c>
      <c r="Z103">
        <f>'武器'!BB103</f>
      </c>
      <c r="AA103" s="184">
        <f>'武器'!CA103</f>
      </c>
      <c r="AB103">
        <f>'武器'!BH103</f>
      </c>
      <c r="AC103">
        <f>'武器'!BD103</f>
      </c>
      <c r="AD103">
        <f>'武器'!BL103</f>
      </c>
      <c r="AE103">
        <f>'武器'!BE103</f>
      </c>
      <c r="AF103" s="4"/>
      <c r="AG103" s="186">
        <f>'武器'!P103</f>
      </c>
      <c r="AH103" s="186">
        <f>'武器'!Q103</f>
      </c>
      <c r="AI103" s="186">
        <f>'武器'!R103</f>
      </c>
      <c r="AJ103">
        <f>'武器'!S103</f>
      </c>
      <c r="AK103" s="4"/>
      <c r="AL103">
        <f>'武器'!M103</f>
      </c>
      <c r="AM103">
        <f>'武器'!J103</f>
      </c>
      <c r="AN103" s="4"/>
      <c r="AO103" s="184">
        <f>'武器'!AJ103</f>
      </c>
      <c r="AP103" s="184">
        <f>'武器'!AK103</f>
      </c>
      <c r="AQ103" s="184">
        <f>'武器'!AL103</f>
      </c>
      <c r="AR103" s="4"/>
      <c r="AS103">
        <f>'武器'!H103</f>
      </c>
      <c r="AU103">
        <f>'武器'!N103</f>
      </c>
      <c r="AV103">
        <f>'武器'!BW103</f>
      </c>
      <c r="AW103">
        <f>'武器'!U103</f>
      </c>
      <c r="AX103" s="4"/>
      <c r="AY103" s="188"/>
      <c r="AZ103" s="4"/>
      <c r="BA103" s="184"/>
      <c r="BB103" s="4"/>
      <c r="BC103">
        <f>'武器'!K103</f>
      </c>
      <c r="BD103">
        <f>'武器'!O103</f>
      </c>
      <c r="BE103">
        <f>'武器'!AG103</f>
      </c>
      <c r="BF103">
        <f>'武器'!AH103</f>
      </c>
      <c r="BG103" s="4"/>
      <c r="BH103" s="1" t="str">
        <v>完成</v>
      </c>
    </row>
    <row r="104">
      <c r="A104">
        <f>'武器'!A104</f>
      </c>
      <c r="B104">
        <f>'武器'!B104</f>
      </c>
      <c r="C104">
        <f>'武器'!C104</f>
      </c>
      <c r="D104" s="184">
        <f>'武器'!F104</f>
      </c>
      <c r="E104" s="187"/>
      <c r="F104" s="184">
        <f>'武器'!D104</f>
      </c>
      <c r="G104">
        <f>'武器'!E104</f>
      </c>
      <c r="H104" s="4"/>
      <c r="J104">
        <f>'武器'!G104</f>
      </c>
      <c r="K104">
        <f>'武器'!I104</f>
      </c>
      <c r="L104">
        <f>'武器'!O104</f>
      </c>
      <c r="M104">
        <f>'武器'!BN104</f>
      </c>
      <c r="N104">
        <f>'武器'!BS104</f>
      </c>
      <c r="O104">
        <f>'武器'!BO104</f>
      </c>
      <c r="P104" s="4"/>
      <c r="Q104">
        <f>'武器'!W104</f>
      </c>
      <c r="R104">
        <f>'武器'!X104</f>
      </c>
      <c r="S104">
        <f>'武器'!Y104</f>
      </c>
      <c r="T104">
        <f>'武器'!Z104</f>
      </c>
      <c r="U104">
        <f>'武器'!AA104</f>
      </c>
      <c r="V104">
        <f>'武器'!AB104</f>
      </c>
      <c r="W104">
        <f>'武器'!AC104</f>
      </c>
      <c r="X104" s="4"/>
      <c r="Y104">
        <f>'武器'!CK104</f>
      </c>
      <c r="Z104">
        <f>'武器'!BB104</f>
      </c>
      <c r="AA104" s="184">
        <f>'武器'!CA104</f>
      </c>
      <c r="AB104">
        <f>'武器'!BH104</f>
      </c>
      <c r="AC104">
        <f>'武器'!BD104</f>
      </c>
      <c r="AD104">
        <f>'武器'!BL104</f>
      </c>
      <c r="AE104">
        <f>'武器'!BE104</f>
      </c>
      <c r="AF104" s="4"/>
      <c r="AG104" s="186">
        <f>'武器'!P104</f>
      </c>
      <c r="AH104" s="186">
        <f>'武器'!Q104</f>
      </c>
      <c r="AI104" s="186">
        <f>'武器'!R104</f>
      </c>
      <c r="AJ104">
        <f>'武器'!S104</f>
      </c>
      <c r="AK104" s="4"/>
      <c r="AL104">
        <f>'武器'!M104</f>
      </c>
      <c r="AM104">
        <f>'武器'!J104</f>
      </c>
      <c r="AN104" s="4"/>
      <c r="AO104" s="184">
        <f>'武器'!AJ104</f>
      </c>
      <c r="AP104" s="184">
        <f>'武器'!AK104</f>
      </c>
      <c r="AQ104" s="184">
        <f>'武器'!AL104</f>
      </c>
      <c r="AR104" s="4"/>
      <c r="AS104">
        <f>'武器'!H104</f>
      </c>
      <c r="AU104">
        <f>'武器'!N104</f>
      </c>
      <c r="AV104">
        <f>'武器'!BW104</f>
      </c>
      <c r="AW104">
        <f>'武器'!U104</f>
      </c>
      <c r="AX104" s="4"/>
      <c r="AY104" s="188"/>
      <c r="AZ104" s="4"/>
      <c r="BA104" s="184"/>
      <c r="BB104" s="4"/>
      <c r="BC104">
        <f>'武器'!K104</f>
      </c>
      <c r="BD104">
        <f>'武器'!O104</f>
      </c>
      <c r="BE104">
        <f>'武器'!AG104</f>
      </c>
      <c r="BF104">
        <f>'武器'!AH104</f>
      </c>
      <c r="BG104" s="4"/>
      <c r="BH104" s="1" t="str">
        <v>完成</v>
      </c>
    </row>
    <row r="105">
      <c r="D105" s="184"/>
      <c r="F105" s="184"/>
      <c r="H105" s="4"/>
      <c r="L105">
        <f>'武器'!O105</f>
      </c>
      <c r="O105">
        <f>'武器'!BO105</f>
      </c>
      <c r="P105" s="4"/>
      <c r="X105" s="4"/>
      <c r="AA105" s="184"/>
      <c r="AF105" s="4"/>
      <c r="AG105" s="186"/>
      <c r="AH105" s="186"/>
      <c r="AI105" s="186"/>
      <c r="AK105" s="4"/>
      <c r="AN105" s="4"/>
      <c r="AO105" s="184"/>
      <c r="AP105" s="184"/>
      <c r="AQ105" s="184"/>
      <c r="AR105" s="4"/>
      <c r="AX105" s="4"/>
      <c r="AZ105" s="4"/>
      <c r="BA105" s="184"/>
      <c r="BB105" s="4"/>
      <c r="BG105" s="4"/>
      <c r="BH105" s="1"/>
    </row>
    <row r="106">
      <c r="D106" s="184"/>
      <c r="F106" s="184"/>
      <c r="H106" s="4"/>
      <c r="L106">
        <f>'武器'!O106</f>
      </c>
      <c r="O106">
        <f>'武器'!BO106</f>
      </c>
      <c r="P106" s="4"/>
      <c r="X106" s="4"/>
      <c r="AA106" s="184"/>
      <c r="AF106" s="4"/>
      <c r="AG106" s="186"/>
      <c r="AH106" s="186"/>
      <c r="AI106" s="186"/>
      <c r="AK106" s="4"/>
      <c r="AN106" s="4"/>
      <c r="AO106" s="184"/>
      <c r="AP106" s="184"/>
      <c r="AQ106" s="184"/>
      <c r="AR106" s="4"/>
      <c r="AX106" s="4"/>
      <c r="AZ106" s="4"/>
      <c r="BA106" s="184"/>
      <c r="BB106" s="4"/>
      <c r="BG106" s="4"/>
      <c r="BH106" s="1"/>
    </row>
    <row r="107">
      <c r="D107" s="184"/>
      <c r="F107" s="184"/>
      <c r="H107" s="4"/>
      <c r="L107">
        <f>'武器'!O107</f>
      </c>
      <c r="O107">
        <f>'武器'!BO107</f>
      </c>
      <c r="P107" s="4"/>
      <c r="X107" s="4"/>
      <c r="AA107" s="184"/>
      <c r="AF107" s="4"/>
      <c r="AG107" s="186"/>
      <c r="AH107" s="186"/>
      <c r="AI107" s="186"/>
      <c r="AK107" s="4"/>
      <c r="AN107" s="4"/>
      <c r="AO107" s="184"/>
      <c r="AP107" s="184"/>
      <c r="AQ107" s="184"/>
      <c r="AR107" s="4"/>
      <c r="AX107" s="4"/>
      <c r="AZ107" s="4"/>
      <c r="BA107" s="184"/>
      <c r="BB107" s="4"/>
      <c r="BG107" s="4"/>
      <c r="BH107" s="1"/>
    </row>
    <row r="108">
      <c r="D108" s="184"/>
      <c r="F108" s="184"/>
      <c r="H108" s="4"/>
      <c r="L108">
        <f>'武器'!O108</f>
      </c>
      <c r="O108">
        <f>'武器'!BO108</f>
      </c>
      <c r="P108" s="4"/>
      <c r="X108" s="4"/>
      <c r="AA108" s="184"/>
      <c r="AF108" s="4"/>
      <c r="AG108" s="186"/>
      <c r="AH108" s="186"/>
      <c r="AI108" s="186"/>
      <c r="AK108" s="4"/>
      <c r="AN108" s="4"/>
      <c r="AO108" s="184"/>
      <c r="AP108" s="184"/>
      <c r="AQ108" s="184"/>
      <c r="AR108" s="4"/>
      <c r="AX108" s="4"/>
      <c r="AZ108" s="4"/>
      <c r="BA108" s="184"/>
      <c r="BB108" s="4"/>
      <c r="BG108" s="4"/>
      <c r="BH108" s="1"/>
    </row>
    <row r="109">
      <c r="D109" s="184"/>
      <c r="F109" s="184"/>
      <c r="H109" s="4"/>
      <c r="L109">
        <f>'武器'!O109</f>
      </c>
      <c r="O109">
        <f>'武器'!BO109</f>
      </c>
      <c r="P109" s="4"/>
      <c r="X109" s="4"/>
      <c r="AA109" s="184"/>
      <c r="AF109" s="4"/>
      <c r="AG109" s="186"/>
      <c r="AH109" s="186"/>
      <c r="AI109" s="186"/>
      <c r="AK109" s="4"/>
      <c r="AN109" s="4"/>
      <c r="AO109" s="184"/>
      <c r="AP109" s="184"/>
      <c r="AQ109" s="184"/>
      <c r="AR109" s="4"/>
      <c r="AX109" s="4"/>
      <c r="AZ109" s="4"/>
      <c r="BA109" s="184"/>
      <c r="BB109" s="4"/>
      <c r="BG109" s="4"/>
      <c r="BH109" s="1"/>
    </row>
    <row r="110">
      <c r="D110" s="184"/>
      <c r="F110" s="184"/>
      <c r="H110" s="4"/>
      <c r="L110">
        <f>'武器'!O110</f>
      </c>
      <c r="O110">
        <f>'武器'!BO110</f>
      </c>
      <c r="P110" s="4"/>
      <c r="X110" s="4"/>
      <c r="AA110" s="184"/>
      <c r="AF110" s="4"/>
      <c r="AG110" s="186"/>
      <c r="AH110" s="186"/>
      <c r="AI110" s="186"/>
      <c r="AK110" s="4"/>
      <c r="AN110" s="4"/>
      <c r="AO110" s="184"/>
      <c r="AP110" s="184"/>
      <c r="AQ110" s="184"/>
      <c r="AR110" s="4"/>
      <c r="AX110" s="4"/>
      <c r="AZ110" s="4"/>
      <c r="BA110" s="184"/>
      <c r="BB110" s="4"/>
      <c r="BG110" s="4"/>
      <c r="BH110" s="1"/>
    </row>
    <row r="111">
      <c r="D111" s="184"/>
      <c r="F111" s="184"/>
      <c r="H111" s="4"/>
      <c r="L111">
        <f>'武器'!O111</f>
      </c>
      <c r="O111">
        <f>'武器'!BO111</f>
      </c>
      <c r="P111" s="4"/>
      <c r="X111" s="4"/>
      <c r="AA111" s="184"/>
      <c r="AF111" s="4"/>
      <c r="AG111" s="186"/>
      <c r="AH111" s="186"/>
      <c r="AI111" s="186"/>
      <c r="AK111" s="4"/>
      <c r="AN111" s="4"/>
      <c r="AO111" s="184"/>
      <c r="AP111" s="184"/>
      <c r="AQ111" s="184"/>
      <c r="AR111" s="4"/>
      <c r="AX111" s="4"/>
      <c r="AZ111" s="4"/>
      <c r="BA111" s="184"/>
      <c r="BB111" s="4"/>
      <c r="BG111" s="4"/>
      <c r="BH111" s="1"/>
    </row>
    <row r="112">
      <c r="D112" s="184"/>
      <c r="F112" s="184"/>
      <c r="H112" s="4"/>
      <c r="L112">
        <f>'武器'!O112</f>
      </c>
      <c r="O112">
        <f>'武器'!BO112</f>
      </c>
      <c r="P112" s="4"/>
      <c r="X112" s="4"/>
      <c r="AA112" s="184"/>
      <c r="AF112" s="4"/>
      <c r="AG112" s="186"/>
      <c r="AH112" s="186"/>
      <c r="AI112" s="186"/>
      <c r="AK112" s="4"/>
      <c r="AN112" s="4"/>
      <c r="AO112" s="184"/>
      <c r="AP112" s="184"/>
      <c r="AQ112" s="184"/>
      <c r="AR112" s="4"/>
      <c r="AX112" s="4"/>
      <c r="AZ112" s="4"/>
      <c r="BA112" s="184"/>
      <c r="BB112" s="4"/>
      <c r="BG112" s="4"/>
      <c r="BH112" s="1"/>
    </row>
    <row r="113">
      <c r="D113" s="184"/>
      <c r="F113" s="184"/>
      <c r="H113" s="4"/>
      <c r="L113">
        <f>'武器'!O113</f>
      </c>
      <c r="O113">
        <f>'武器'!BO113</f>
      </c>
      <c r="P113" s="4"/>
      <c r="X113" s="4"/>
      <c r="AA113" s="184"/>
      <c r="AF113" s="4"/>
      <c r="AG113" s="186"/>
      <c r="AH113" s="186"/>
      <c r="AI113" s="186"/>
      <c r="AK113" s="4"/>
      <c r="AN113" s="4"/>
      <c r="AO113" s="184"/>
      <c r="AP113" s="184"/>
      <c r="AQ113" s="184"/>
      <c r="AR113" s="4"/>
      <c r="AX113" s="4"/>
      <c r="AZ113" s="4"/>
      <c r="BA113" s="184"/>
      <c r="BB113" s="4"/>
      <c r="BG113" s="4"/>
      <c r="BH113" s="1"/>
    </row>
    <row r="114">
      <c r="D114" s="184"/>
      <c r="F114" s="184"/>
      <c r="H114" s="4"/>
      <c r="L114">
        <f>'武器'!O114</f>
      </c>
      <c r="O114">
        <f>'武器'!BO114</f>
      </c>
      <c r="P114" s="4"/>
      <c r="X114" s="4"/>
      <c r="AA114" s="184"/>
      <c r="AF114" s="4"/>
      <c r="AG114" s="186"/>
      <c r="AH114" s="186"/>
      <c r="AI114" s="186"/>
      <c r="AK114" s="4"/>
      <c r="AN114" s="4"/>
      <c r="AO114" s="184"/>
      <c r="AP114" s="184"/>
      <c r="AQ114" s="184"/>
      <c r="AR114" s="4"/>
      <c r="AX114" s="4"/>
      <c r="AZ114" s="4"/>
      <c r="BA114" s="184"/>
      <c r="BB114" s="4"/>
      <c r="BG114" s="4"/>
      <c r="BH114" s="1"/>
    </row>
    <row r="115">
      <c r="D115" s="184"/>
      <c r="F115" s="184"/>
      <c r="H115" s="4"/>
      <c r="L115">
        <f>'武器'!O115</f>
      </c>
      <c r="O115">
        <f>'武器'!BO115</f>
      </c>
      <c r="P115" s="4"/>
      <c r="X115" s="4"/>
      <c r="AA115" s="184"/>
      <c r="AF115" s="4"/>
      <c r="AG115" s="186"/>
      <c r="AH115" s="186"/>
      <c r="AI115" s="186"/>
      <c r="AK115" s="4"/>
      <c r="AN115" s="4"/>
      <c r="AO115" s="184"/>
      <c r="AP115" s="184"/>
      <c r="AQ115" s="184"/>
      <c r="AR115" s="4"/>
      <c r="AX115" s="4"/>
      <c r="AZ115" s="4"/>
      <c r="BA115" s="184"/>
      <c r="BB115" s="4"/>
      <c r="BG115" s="4"/>
      <c r="BH115" s="1"/>
    </row>
    <row r="116">
      <c r="D116" s="184"/>
      <c r="F116" s="184"/>
      <c r="H116" s="4"/>
      <c r="L116">
        <f>'武器'!O116</f>
      </c>
      <c r="O116">
        <f>'武器'!BO116</f>
      </c>
      <c r="P116" s="4"/>
      <c r="X116" s="4"/>
      <c r="AA116" s="184"/>
      <c r="AF116" s="4"/>
      <c r="AG116" s="186"/>
      <c r="AH116" s="186"/>
      <c r="AI116" s="186"/>
      <c r="AK116" s="4"/>
      <c r="AN116" s="4"/>
      <c r="AO116" s="184"/>
      <c r="AP116" s="184"/>
      <c r="AQ116" s="184"/>
      <c r="AR116" s="4"/>
      <c r="AX116" s="4"/>
      <c r="AZ116" s="4"/>
      <c r="BA116" s="184"/>
      <c r="BB116" s="4"/>
      <c r="BG116" s="4"/>
      <c r="BH116" s="1"/>
    </row>
    <row r="117">
      <c r="D117" s="184"/>
      <c r="F117" s="184"/>
      <c r="H117" s="4"/>
      <c r="L117">
        <f>'武器'!O117</f>
      </c>
      <c r="O117">
        <f>'武器'!BO117</f>
      </c>
      <c r="P117" s="4"/>
      <c r="X117" s="4"/>
      <c r="AA117" s="184"/>
      <c r="AF117" s="4"/>
      <c r="AG117" s="186"/>
      <c r="AH117" s="186"/>
      <c r="AI117" s="186"/>
      <c r="AK117" s="4"/>
      <c r="AN117" s="4"/>
      <c r="AO117" s="184"/>
      <c r="AP117" s="184"/>
      <c r="AQ117" s="184"/>
      <c r="AR117" s="4"/>
      <c r="AX117" s="4"/>
      <c r="AZ117" s="4"/>
      <c r="BA117" s="184"/>
      <c r="BB117" s="4"/>
      <c r="BG117" s="4"/>
      <c r="BH117" s="1"/>
    </row>
    <row r="118">
      <c r="D118" s="184"/>
      <c r="F118" s="184"/>
      <c r="H118" s="4"/>
      <c r="L118">
        <f>'武器'!O118</f>
      </c>
      <c r="O118">
        <f>'武器'!BO118</f>
      </c>
      <c r="P118" s="4"/>
      <c r="X118" s="4"/>
      <c r="AA118" s="184"/>
      <c r="AF118" s="4"/>
      <c r="AG118" s="186"/>
      <c r="AH118" s="186"/>
      <c r="AI118" s="186"/>
      <c r="AK118" s="4"/>
      <c r="AN118" s="4"/>
      <c r="AO118" s="184"/>
      <c r="AP118" s="184"/>
      <c r="AQ118" s="184"/>
      <c r="AR118" s="4"/>
      <c r="AX118" s="4"/>
      <c r="AZ118" s="4"/>
      <c r="BA118" s="184"/>
      <c r="BB118" s="4"/>
      <c r="BG118" s="4"/>
      <c r="BH118" s="1"/>
    </row>
    <row r="119">
      <c r="D119" s="184"/>
      <c r="F119" s="184"/>
      <c r="H119" s="4"/>
      <c r="L119">
        <f>'武器'!O119</f>
      </c>
      <c r="O119">
        <f>'武器'!BO119</f>
      </c>
      <c r="P119" s="4"/>
      <c r="X119" s="4"/>
      <c r="AA119" s="184"/>
      <c r="AF119" s="4"/>
      <c r="AG119" s="186"/>
      <c r="AH119" s="186"/>
      <c r="AI119" s="186"/>
      <c r="AK119" s="4"/>
      <c r="AN119" s="4"/>
      <c r="AO119" s="184"/>
      <c r="AP119" s="184"/>
      <c r="AQ119" s="184"/>
      <c r="AR119" s="4"/>
      <c r="AX119" s="4"/>
      <c r="AZ119" s="4"/>
      <c r="BA119" s="184"/>
      <c r="BB119" s="4"/>
      <c r="BG119" s="4"/>
      <c r="BH119" s="1"/>
    </row>
    <row r="120">
      <c r="D120" s="184"/>
      <c r="F120" s="184"/>
      <c r="H120" s="4"/>
      <c r="L120">
        <f>'武器'!O120</f>
      </c>
      <c r="O120">
        <f>'武器'!BO120</f>
      </c>
      <c r="P120" s="4"/>
      <c r="X120" s="4"/>
      <c r="AA120" s="184"/>
      <c r="AF120" s="4"/>
      <c r="AG120" s="186"/>
      <c r="AH120" s="186"/>
      <c r="AI120" s="186"/>
      <c r="AK120" s="4"/>
      <c r="AN120" s="4"/>
      <c r="AO120" s="184"/>
      <c r="AP120" s="184"/>
      <c r="AQ120" s="184"/>
      <c r="AR120" s="4"/>
      <c r="AX120" s="4"/>
      <c r="AZ120" s="4"/>
      <c r="BA120" s="184"/>
      <c r="BB120" s="4"/>
      <c r="BG120" s="4"/>
      <c r="BH120" s="1"/>
    </row>
    <row r="121">
      <c r="D121" s="184"/>
      <c r="F121" s="184"/>
      <c r="H121" s="4"/>
      <c r="L121">
        <f>'武器'!O121</f>
      </c>
      <c r="O121">
        <f>'武器'!BO121</f>
      </c>
      <c r="P121" s="4"/>
      <c r="X121" s="4"/>
      <c r="AA121" s="184"/>
      <c r="AF121" s="4"/>
      <c r="AG121" s="186"/>
      <c r="AH121" s="186"/>
      <c r="AI121" s="186"/>
      <c r="AK121" s="4"/>
      <c r="AN121" s="4"/>
      <c r="AO121" s="184"/>
      <c r="AP121" s="184"/>
      <c r="AQ121" s="184"/>
      <c r="AR121" s="4"/>
      <c r="AX121" s="4"/>
      <c r="AZ121" s="4"/>
      <c r="BA121" s="184"/>
      <c r="BB121" s="4"/>
      <c r="BG121" s="4"/>
      <c r="BH121" s="1"/>
    </row>
    <row r="122">
      <c r="D122" s="184"/>
      <c r="F122" s="184"/>
      <c r="H122" s="4"/>
      <c r="L122">
        <f>'武器'!O122</f>
      </c>
      <c r="O122">
        <f>'武器'!BO122</f>
      </c>
      <c r="P122" s="4"/>
      <c r="X122" s="4"/>
      <c r="AA122" s="184"/>
      <c r="AF122" s="4"/>
      <c r="AG122" s="186"/>
      <c r="AH122" s="186"/>
      <c r="AI122" s="186"/>
      <c r="AK122" s="4"/>
      <c r="AN122" s="4"/>
      <c r="AO122" s="184"/>
      <c r="AP122" s="184"/>
      <c r="AQ122" s="184"/>
      <c r="AR122" s="4"/>
      <c r="AX122" s="4"/>
      <c r="AZ122" s="4"/>
      <c r="BA122" s="184"/>
      <c r="BB122" s="4"/>
      <c r="BG122" s="4"/>
      <c r="BH122" s="1"/>
    </row>
    <row r="123">
      <c r="D123" s="184"/>
      <c r="F123" s="184"/>
      <c r="H123" s="4"/>
      <c r="L123">
        <f>'武器'!O123</f>
      </c>
      <c r="O123">
        <f>'武器'!BO123</f>
      </c>
      <c r="P123" s="4"/>
      <c r="X123" s="4"/>
      <c r="AA123" s="184"/>
      <c r="AF123" s="4"/>
      <c r="AG123" s="186"/>
      <c r="AH123" s="186"/>
      <c r="AI123" s="186"/>
      <c r="AK123" s="4"/>
      <c r="AN123" s="4"/>
      <c r="AO123" s="184"/>
      <c r="AP123" s="184"/>
      <c r="AQ123" s="184"/>
      <c r="AR123" s="4"/>
      <c r="AX123" s="4"/>
      <c r="AZ123" s="4"/>
      <c r="BA123" s="184"/>
      <c r="BB123" s="4"/>
      <c r="BG123" s="4"/>
      <c r="BH123" s="1"/>
    </row>
    <row r="124">
      <c r="D124" s="184"/>
      <c r="F124" s="184"/>
      <c r="H124" s="4"/>
      <c r="L124">
        <f>'武器'!O124</f>
      </c>
      <c r="O124">
        <f>'武器'!BO124</f>
      </c>
      <c r="P124" s="4"/>
      <c r="X124" s="4"/>
      <c r="AA124" s="184"/>
      <c r="AF124" s="4"/>
      <c r="AG124" s="186"/>
      <c r="AH124" s="186"/>
      <c r="AI124" s="186"/>
      <c r="AK124" s="4"/>
      <c r="AN124" s="4"/>
      <c r="AO124" s="184"/>
      <c r="AP124" s="184"/>
      <c r="AQ124" s="184"/>
      <c r="AR124" s="4"/>
      <c r="AX124" s="4"/>
      <c r="AZ124" s="4"/>
      <c r="BA124" s="184"/>
      <c r="BB124" s="4"/>
      <c r="BG124" s="4"/>
      <c r="BH124" s="1"/>
    </row>
    <row r="125">
      <c r="D125" s="184"/>
      <c r="F125" s="184"/>
      <c r="H125" s="4"/>
      <c r="L125">
        <f>'武器'!O125</f>
      </c>
      <c r="O125">
        <f>'武器'!BO125</f>
      </c>
      <c r="P125" s="4"/>
      <c r="X125" s="4"/>
      <c r="AA125" s="184"/>
      <c r="AF125" s="4"/>
      <c r="AG125" s="186"/>
      <c r="AH125" s="186"/>
      <c r="AI125" s="186"/>
      <c r="AK125" s="4"/>
      <c r="AN125" s="4"/>
      <c r="AO125" s="184"/>
      <c r="AP125" s="184"/>
      <c r="AQ125" s="184"/>
      <c r="AR125" s="4"/>
      <c r="AX125" s="4"/>
      <c r="AZ125" s="4"/>
      <c r="BA125" s="184"/>
      <c r="BB125" s="4"/>
      <c r="BG125" s="4"/>
      <c r="BH125" s="1"/>
    </row>
    <row r="126">
      <c r="D126" s="184"/>
      <c r="F126" s="184"/>
      <c r="H126" s="4"/>
      <c r="L126">
        <f>'武器'!O126</f>
      </c>
      <c r="O126">
        <f>'武器'!BO126</f>
      </c>
      <c r="P126" s="4"/>
      <c r="X126" s="4"/>
      <c r="AA126" s="184"/>
      <c r="AF126" s="4"/>
      <c r="AG126" s="186"/>
      <c r="AH126" s="186"/>
      <c r="AI126" s="186"/>
      <c r="AK126" s="4"/>
      <c r="AN126" s="4"/>
      <c r="AO126" s="184"/>
      <c r="AP126" s="184"/>
      <c r="AQ126" s="184"/>
      <c r="AR126" s="4"/>
      <c r="AX126" s="4"/>
      <c r="AZ126" s="4"/>
      <c r="BA126" s="184"/>
      <c r="BB126" s="4"/>
      <c r="BG126" s="4"/>
      <c r="BH126" s="1"/>
    </row>
    <row r="127">
      <c r="D127" s="184"/>
      <c r="F127" s="184"/>
      <c r="H127" s="4"/>
      <c r="L127">
        <f>'武器'!O127</f>
      </c>
      <c r="O127">
        <f>'武器'!BO127</f>
      </c>
      <c r="P127" s="4"/>
      <c r="X127" s="4"/>
      <c r="AA127" s="184"/>
      <c r="AF127" s="4"/>
      <c r="AG127" s="186"/>
      <c r="AH127" s="186"/>
      <c r="AI127" s="186"/>
      <c r="AK127" s="4"/>
      <c r="AN127" s="4"/>
      <c r="AO127" s="184"/>
      <c r="AP127" s="184"/>
      <c r="AQ127" s="184"/>
      <c r="AR127" s="4"/>
      <c r="AX127" s="4"/>
      <c r="AZ127" s="4"/>
      <c r="BA127" s="184"/>
      <c r="BB127" s="4"/>
      <c r="BG127" s="4"/>
      <c r="BH127" s="1"/>
    </row>
    <row r="128">
      <c r="D128" s="184"/>
      <c r="F128" s="184"/>
      <c r="H128" s="4"/>
      <c r="L128">
        <f>'武器'!O128</f>
      </c>
      <c r="O128">
        <f>'武器'!BO128</f>
      </c>
      <c r="P128" s="4"/>
      <c r="X128" s="4"/>
      <c r="AA128" s="184"/>
      <c r="AF128" s="4"/>
      <c r="AG128" s="186"/>
      <c r="AH128" s="186"/>
      <c r="AI128" s="186"/>
      <c r="AK128" s="4"/>
      <c r="AN128" s="4"/>
      <c r="AO128" s="184"/>
      <c r="AP128" s="184"/>
      <c r="AQ128" s="184"/>
      <c r="AR128" s="4"/>
      <c r="AX128" s="4"/>
      <c r="AZ128" s="4"/>
      <c r="BA128" s="184"/>
      <c r="BB128" s="4"/>
      <c r="BG128" s="4"/>
      <c r="BH128" s="1"/>
    </row>
    <row r="129">
      <c r="D129" s="184"/>
      <c r="F129" s="184"/>
      <c r="H129" s="4"/>
      <c r="L129">
        <f>'武器'!O129</f>
      </c>
      <c r="O129">
        <f>'武器'!BO129</f>
      </c>
      <c r="P129" s="4"/>
      <c r="X129" s="4"/>
      <c r="AA129" s="184"/>
      <c r="AF129" s="4"/>
      <c r="AG129" s="186"/>
      <c r="AH129" s="186"/>
      <c r="AI129" s="186"/>
      <c r="AK129" s="4"/>
      <c r="AN129" s="4"/>
      <c r="AO129" s="184"/>
      <c r="AP129" s="184"/>
      <c r="AQ129" s="184"/>
      <c r="AR129" s="4"/>
      <c r="AX129" s="4"/>
      <c r="AZ129" s="4"/>
      <c r="BA129" s="184"/>
      <c r="BB129" s="4"/>
      <c r="BG129" s="4"/>
      <c r="BH129" s="1"/>
    </row>
    <row r="130">
      <c r="D130" s="184"/>
      <c r="F130" s="184"/>
      <c r="H130" s="4"/>
      <c r="L130">
        <f>'武器'!O130</f>
      </c>
      <c r="O130">
        <f>'武器'!BO130</f>
      </c>
      <c r="P130" s="4"/>
      <c r="X130" s="4"/>
      <c r="AA130" s="184"/>
      <c r="AF130" s="4"/>
      <c r="AG130" s="186"/>
      <c r="AH130" s="186"/>
      <c r="AI130" s="186"/>
      <c r="AK130" s="4"/>
      <c r="AN130" s="4"/>
      <c r="AO130" s="184"/>
      <c r="AP130" s="184"/>
      <c r="AQ130" s="184"/>
      <c r="AR130" s="4"/>
      <c r="AX130" s="4"/>
      <c r="AZ130" s="4"/>
      <c r="BA130" s="184"/>
      <c r="BB130" s="4"/>
      <c r="BG130" s="4"/>
      <c r="BH130" s="1"/>
    </row>
    <row r="131">
      <c r="D131" s="184"/>
      <c r="F131" s="184"/>
      <c r="H131" s="4"/>
      <c r="L131">
        <f>'武器'!O131</f>
      </c>
      <c r="O131">
        <f>'武器'!BO131</f>
      </c>
      <c r="P131" s="4"/>
      <c r="X131" s="4"/>
      <c r="AA131" s="184"/>
      <c r="AF131" s="4"/>
      <c r="AG131" s="186"/>
      <c r="AH131" s="186"/>
      <c r="AI131" s="186"/>
      <c r="AK131" s="4"/>
      <c r="AN131" s="4"/>
      <c r="AO131" s="184"/>
      <c r="AP131" s="184"/>
      <c r="AQ131" s="184"/>
      <c r="AR131" s="4"/>
      <c r="AX131" s="4"/>
      <c r="AZ131" s="4"/>
      <c r="BA131" s="184"/>
      <c r="BB131" s="4"/>
      <c r="BG131" s="4"/>
      <c r="BH131" s="1"/>
    </row>
    <row r="132">
      <c r="D132" s="184"/>
      <c r="F132" s="184"/>
      <c r="H132" s="4"/>
      <c r="L132">
        <f>'武器'!O132</f>
      </c>
      <c r="O132">
        <f>'武器'!BO132</f>
      </c>
      <c r="P132" s="4"/>
      <c r="X132" s="4"/>
      <c r="AA132" s="184"/>
      <c r="AF132" s="4"/>
      <c r="AG132" s="186"/>
      <c r="AH132" s="186"/>
      <c r="AI132" s="186"/>
      <c r="AK132" s="4"/>
      <c r="AN132" s="4"/>
      <c r="AO132" s="184"/>
      <c r="AP132" s="184"/>
      <c r="AQ132" s="184"/>
      <c r="AR132" s="4"/>
      <c r="AX132" s="4"/>
      <c r="AZ132" s="4"/>
      <c r="BA132" s="184"/>
      <c r="BB132" s="4"/>
      <c r="BG132" s="4"/>
      <c r="BH132" s="1"/>
    </row>
    <row r="133">
      <c r="D133" s="184"/>
      <c r="F133" s="184"/>
      <c r="H133" s="4"/>
      <c r="L133">
        <f>'武器'!O133</f>
      </c>
      <c r="O133">
        <f>'武器'!BO133</f>
      </c>
      <c r="P133" s="4"/>
      <c r="X133" s="4"/>
      <c r="AA133" s="184"/>
      <c r="AF133" s="4"/>
      <c r="AG133" s="186"/>
      <c r="AH133" s="186"/>
      <c r="AI133" s="186"/>
      <c r="AK133" s="4"/>
      <c r="AN133" s="4"/>
      <c r="AO133" s="184"/>
      <c r="AP133" s="184"/>
      <c r="AQ133" s="184"/>
      <c r="AR133" s="4"/>
      <c r="AX133" s="4"/>
      <c r="AZ133" s="4"/>
      <c r="BA133" s="184"/>
      <c r="BB133" s="4"/>
      <c r="BG133" s="4"/>
      <c r="BH133" s="1"/>
    </row>
    <row r="134">
      <c r="D134" s="184"/>
      <c r="F134" s="184"/>
      <c r="H134" s="4"/>
      <c r="L134">
        <f>'武器'!O134</f>
      </c>
      <c r="O134">
        <f>'武器'!BO134</f>
      </c>
      <c r="P134" s="4"/>
      <c r="X134" s="4"/>
      <c r="AA134" s="184"/>
      <c r="AF134" s="4"/>
      <c r="AG134" s="186"/>
      <c r="AH134" s="186"/>
      <c r="AI134" s="186"/>
      <c r="AK134" s="4"/>
      <c r="AN134" s="4"/>
      <c r="AO134" s="184"/>
      <c r="AP134" s="184"/>
      <c r="AQ134" s="184"/>
      <c r="AR134" s="4"/>
      <c r="AX134" s="4"/>
      <c r="AZ134" s="4"/>
      <c r="BA134" s="184"/>
      <c r="BB134" s="4"/>
      <c r="BG134" s="4"/>
      <c r="BH134" s="1"/>
    </row>
    <row r="135">
      <c r="D135" s="184"/>
      <c r="F135" s="184"/>
      <c r="H135" s="4"/>
      <c r="L135">
        <f>'武器'!O135</f>
      </c>
      <c r="O135">
        <f>'武器'!BO135</f>
      </c>
      <c r="P135" s="4"/>
      <c r="X135" s="4"/>
      <c r="AA135" s="184"/>
      <c r="AF135" s="4"/>
      <c r="AG135" s="186"/>
      <c r="AH135" s="186"/>
      <c r="AI135" s="186"/>
      <c r="AK135" s="4"/>
      <c r="AN135" s="4"/>
      <c r="AO135" s="184"/>
      <c r="AP135" s="184"/>
      <c r="AQ135" s="184"/>
      <c r="AR135" s="4"/>
      <c r="AX135" s="4"/>
      <c r="AZ135" s="4"/>
      <c r="BA135" s="184"/>
      <c r="BB135" s="4"/>
      <c r="BG135" s="4"/>
      <c r="BH135" s="1"/>
    </row>
    <row r="136">
      <c r="D136" s="184"/>
      <c r="F136" s="184"/>
      <c r="H136" s="4"/>
      <c r="L136">
        <f>'武器'!O136</f>
      </c>
      <c r="O136">
        <f>'武器'!BO136</f>
      </c>
      <c r="P136" s="4"/>
      <c r="X136" s="4"/>
      <c r="AA136" s="184"/>
      <c r="AF136" s="4"/>
      <c r="AG136" s="186"/>
      <c r="AH136" s="186"/>
      <c r="AI136" s="186"/>
      <c r="AK136" s="4"/>
      <c r="AN136" s="4"/>
      <c r="AO136" s="184"/>
      <c r="AP136" s="184"/>
      <c r="AQ136" s="184"/>
      <c r="AR136" s="4"/>
      <c r="AX136" s="4"/>
      <c r="AZ136" s="4"/>
      <c r="BA136" s="184"/>
      <c r="BB136" s="4"/>
      <c r="BG136" s="4"/>
      <c r="BH136" s="1"/>
    </row>
    <row r="137">
      <c r="D137" s="184"/>
      <c r="F137" s="184"/>
      <c r="H137" s="4"/>
      <c r="L137">
        <f>'武器'!O137</f>
      </c>
      <c r="O137">
        <f>'武器'!BO137</f>
      </c>
      <c r="P137" s="4"/>
      <c r="X137" s="4"/>
      <c r="AA137" s="184"/>
      <c r="AF137" s="4"/>
      <c r="AG137" s="186"/>
      <c r="AH137" s="186"/>
      <c r="AI137" s="186"/>
      <c r="AK137" s="4"/>
      <c r="AN137" s="4"/>
      <c r="AO137" s="184"/>
      <c r="AP137" s="184"/>
      <c r="AQ137" s="184"/>
      <c r="AR137" s="4"/>
      <c r="AX137" s="4"/>
      <c r="AZ137" s="4"/>
      <c r="BA137" s="184"/>
      <c r="BB137" s="4"/>
      <c r="BG137" s="4"/>
      <c r="BH137" s="1"/>
    </row>
    <row r="138">
      <c r="D138" s="184"/>
      <c r="F138" s="184"/>
      <c r="H138" s="4"/>
      <c r="L138">
        <f>'武器'!O138</f>
      </c>
      <c r="O138">
        <f>'武器'!BO138</f>
      </c>
      <c r="P138" s="4"/>
      <c r="X138" s="4"/>
      <c r="AA138" s="184"/>
      <c r="AF138" s="4"/>
      <c r="AG138" s="186"/>
      <c r="AH138" s="186"/>
      <c r="AI138" s="186"/>
      <c r="AK138" s="4"/>
      <c r="AN138" s="4"/>
      <c r="AO138" s="184"/>
      <c r="AP138" s="184"/>
      <c r="AQ138" s="184"/>
      <c r="AR138" s="4"/>
      <c r="AX138" s="4"/>
      <c r="AZ138" s="4"/>
      <c r="BA138" s="184"/>
      <c r="BB138" s="4"/>
      <c r="BG138" s="4"/>
      <c r="BH138" s="1"/>
    </row>
    <row r="139">
      <c r="D139" s="184"/>
      <c r="F139" s="184"/>
      <c r="H139" s="4"/>
      <c r="L139">
        <f>'武器'!O139</f>
      </c>
      <c r="O139">
        <f>'武器'!BO139</f>
      </c>
      <c r="P139" s="4"/>
      <c r="X139" s="4"/>
      <c r="AA139" s="184"/>
      <c r="AF139" s="4"/>
      <c r="AG139" s="186"/>
      <c r="AH139" s="186"/>
      <c r="AI139" s="186"/>
      <c r="AK139" s="4"/>
      <c r="AN139" s="4"/>
      <c r="AO139" s="184"/>
      <c r="AP139" s="184"/>
      <c r="AQ139" s="184"/>
      <c r="AR139" s="4"/>
      <c r="AX139" s="4"/>
      <c r="AZ139" s="4"/>
      <c r="BA139" s="184"/>
      <c r="BB139" s="4"/>
      <c r="BG139" s="4"/>
      <c r="BH139" s="1"/>
    </row>
    <row r="140">
      <c r="D140" s="184"/>
      <c r="F140" s="184"/>
      <c r="H140" s="4"/>
      <c r="L140">
        <f>'武器'!O140</f>
      </c>
      <c r="O140">
        <f>'武器'!BO140</f>
      </c>
      <c r="P140" s="4"/>
      <c r="X140" s="4"/>
      <c r="AA140" s="184"/>
      <c r="AF140" s="4"/>
      <c r="AG140" s="186"/>
      <c r="AH140" s="186"/>
      <c r="AI140" s="186"/>
      <c r="AK140" s="4"/>
      <c r="AN140" s="4"/>
      <c r="AO140" s="184"/>
      <c r="AP140" s="184"/>
      <c r="AQ140" s="184"/>
      <c r="AR140" s="4"/>
      <c r="AX140" s="4"/>
      <c r="AZ140" s="4"/>
      <c r="BA140" s="184"/>
      <c r="BB140" s="4"/>
      <c r="BG140" s="4"/>
      <c r="BH140" s="1"/>
    </row>
    <row r="141">
      <c r="D141" s="184"/>
      <c r="F141" s="184"/>
      <c r="H141" s="4"/>
      <c r="L141">
        <f>'武器'!O141</f>
      </c>
      <c r="O141">
        <f>'武器'!BO141</f>
      </c>
      <c r="P141" s="4"/>
      <c r="X141" s="4"/>
      <c r="AA141" s="184"/>
      <c r="AF141" s="4"/>
      <c r="AG141" s="186"/>
      <c r="AH141" s="186"/>
      <c r="AI141" s="186"/>
      <c r="AK141" s="4"/>
      <c r="AN141" s="4"/>
      <c r="AO141" s="184"/>
      <c r="AP141" s="184"/>
      <c r="AQ141" s="184"/>
      <c r="AR141" s="4"/>
      <c r="AX141" s="4"/>
      <c r="AZ141" s="4"/>
      <c r="BA141" s="184"/>
      <c r="BB141" s="4"/>
      <c r="BG141" s="4"/>
      <c r="BH141" s="1"/>
    </row>
    <row r="142">
      <c r="D142" s="184"/>
      <c r="F142" s="184"/>
      <c r="H142" s="4"/>
      <c r="L142">
        <f>'武器'!O142</f>
      </c>
      <c r="O142">
        <f>'武器'!BO142</f>
      </c>
      <c r="P142" s="4"/>
      <c r="X142" s="4"/>
      <c r="AA142" s="184"/>
      <c r="AF142" s="4"/>
      <c r="AG142" s="186"/>
      <c r="AH142" s="186"/>
      <c r="AI142" s="186"/>
      <c r="AK142" s="4"/>
      <c r="AN142" s="4"/>
      <c r="AO142" s="184"/>
      <c r="AP142" s="184"/>
      <c r="AQ142" s="184"/>
      <c r="AR142" s="4"/>
      <c r="AX142" s="4"/>
      <c r="AZ142" s="4"/>
      <c r="BA142" s="184"/>
      <c r="BB142" s="4"/>
      <c r="BG142" s="4"/>
      <c r="BH142" s="1"/>
    </row>
    <row r="143">
      <c r="D143" s="184"/>
      <c r="F143" s="184"/>
      <c r="H143" s="4"/>
      <c r="L143">
        <f>'武器'!O143</f>
      </c>
      <c r="O143">
        <f>'武器'!BO143</f>
      </c>
      <c r="P143" s="4"/>
      <c r="X143" s="4"/>
      <c r="AA143" s="184"/>
      <c r="AF143" s="4"/>
      <c r="AG143" s="186"/>
      <c r="AH143" s="186"/>
      <c r="AI143" s="186"/>
      <c r="AK143" s="4"/>
      <c r="AN143" s="4"/>
      <c r="AO143" s="184"/>
      <c r="AP143" s="184"/>
      <c r="AQ143" s="184"/>
      <c r="AR143" s="4"/>
      <c r="AX143" s="4"/>
      <c r="AZ143" s="4"/>
      <c r="BA143" s="184"/>
      <c r="BB143" s="4"/>
      <c r="BG143" s="4"/>
      <c r="BH143" s="1"/>
    </row>
    <row r="144">
      <c r="D144" s="184"/>
      <c r="F144" s="184"/>
      <c r="H144" s="4"/>
      <c r="L144">
        <f>'武器'!O144</f>
      </c>
      <c r="O144">
        <f>'武器'!BO144</f>
      </c>
      <c r="P144" s="4"/>
      <c r="X144" s="4"/>
      <c r="AA144" s="184"/>
      <c r="AF144" s="4"/>
      <c r="AG144" s="186"/>
      <c r="AH144" s="186"/>
      <c r="AI144" s="186"/>
      <c r="AK144" s="4"/>
      <c r="AN144" s="4"/>
      <c r="AO144" s="184"/>
      <c r="AP144" s="184"/>
      <c r="AQ144" s="184"/>
      <c r="AR144" s="4"/>
      <c r="AX144" s="4"/>
      <c r="AZ144" s="4"/>
      <c r="BA144" s="184"/>
      <c r="BB144" s="4"/>
      <c r="BG144" s="4"/>
      <c r="BH144" s="1"/>
    </row>
    <row r="145">
      <c r="D145" s="184"/>
      <c r="F145" s="184"/>
      <c r="H145" s="4"/>
      <c r="L145">
        <f>'武器'!O145</f>
      </c>
      <c r="O145">
        <f>'武器'!BO145</f>
      </c>
      <c r="P145" s="4"/>
      <c r="X145" s="4"/>
      <c r="AA145" s="184"/>
      <c r="AF145" s="4"/>
      <c r="AG145" s="186"/>
      <c r="AH145" s="186"/>
      <c r="AI145" s="186"/>
      <c r="AK145" s="4"/>
      <c r="AN145" s="4"/>
      <c r="AO145" s="184"/>
      <c r="AP145" s="184"/>
      <c r="AQ145" s="184"/>
      <c r="AR145" s="4"/>
      <c r="AX145" s="4"/>
      <c r="AZ145" s="4"/>
      <c r="BA145" s="184"/>
      <c r="BB145" s="4"/>
      <c r="BG145" s="4"/>
      <c r="BH145" s="1"/>
    </row>
    <row r="146">
      <c r="D146" s="184"/>
      <c r="F146" s="184"/>
      <c r="H146" s="4"/>
      <c r="L146">
        <f>'武器'!O146</f>
      </c>
      <c r="O146">
        <f>'武器'!BO146</f>
      </c>
      <c r="P146" s="4"/>
      <c r="X146" s="4"/>
      <c r="AA146" s="184"/>
      <c r="AF146" s="4"/>
      <c r="AG146" s="186"/>
      <c r="AH146" s="186"/>
      <c r="AI146" s="186"/>
      <c r="AK146" s="4"/>
      <c r="AN146" s="4"/>
      <c r="AO146" s="184"/>
      <c r="AP146" s="184"/>
      <c r="AQ146" s="184"/>
      <c r="AR146" s="4"/>
      <c r="AX146" s="4"/>
      <c r="AZ146" s="4"/>
      <c r="BA146" s="184"/>
      <c r="BB146" s="4"/>
      <c r="BG146" s="4"/>
      <c r="BH146" s="1"/>
    </row>
    <row r="147">
      <c r="D147" s="184"/>
      <c r="F147" s="184"/>
      <c r="H147" s="4"/>
      <c r="L147">
        <f>'武器'!O147</f>
      </c>
      <c r="O147">
        <f>'武器'!BO147</f>
      </c>
      <c r="P147" s="4"/>
      <c r="X147" s="4"/>
      <c r="AA147" s="184"/>
      <c r="AF147" s="4"/>
      <c r="AG147" s="186"/>
      <c r="AH147" s="186"/>
      <c r="AI147" s="186"/>
      <c r="AK147" s="4"/>
      <c r="AN147" s="4"/>
      <c r="AO147" s="184"/>
      <c r="AP147" s="184"/>
      <c r="AQ147" s="184"/>
      <c r="AR147" s="4"/>
      <c r="AX147" s="4"/>
      <c r="AZ147" s="4"/>
      <c r="BA147" s="184"/>
      <c r="BB147" s="4"/>
      <c r="BG147" s="4"/>
      <c r="BH147" s="1"/>
    </row>
    <row r="148">
      <c r="D148" s="184"/>
      <c r="F148" s="184"/>
      <c r="H148" s="4"/>
      <c r="L148">
        <f>'武器'!O148</f>
      </c>
      <c r="O148">
        <f>'武器'!BO148</f>
      </c>
      <c r="P148" s="4"/>
      <c r="X148" s="4"/>
      <c r="AA148" s="184"/>
      <c r="AF148" s="4"/>
      <c r="AG148" s="186"/>
      <c r="AH148" s="186"/>
      <c r="AI148" s="186"/>
      <c r="AK148" s="4"/>
      <c r="AN148" s="4"/>
      <c r="AO148" s="184"/>
      <c r="AP148" s="184"/>
      <c r="AQ148" s="184"/>
      <c r="AR148" s="4"/>
      <c r="AX148" s="4"/>
      <c r="AZ148" s="4"/>
      <c r="BA148" s="184"/>
      <c r="BB148" s="4"/>
      <c r="BG148" s="4"/>
      <c r="BH148" s="1"/>
    </row>
    <row r="149">
      <c r="D149" s="184"/>
      <c r="F149" s="184"/>
      <c r="H149" s="4"/>
      <c r="L149">
        <f>'武器'!O149</f>
      </c>
      <c r="O149">
        <f>'武器'!BO149</f>
      </c>
      <c r="P149" s="4"/>
      <c r="X149" s="4"/>
      <c r="AA149" s="184"/>
      <c r="AF149" s="4"/>
      <c r="AG149" s="186"/>
      <c r="AH149" s="186"/>
      <c r="AI149" s="186"/>
      <c r="AK149" s="4"/>
      <c r="AN149" s="4"/>
      <c r="AO149" s="184"/>
      <c r="AP149" s="184"/>
      <c r="AQ149" s="184"/>
      <c r="AR149" s="4"/>
      <c r="AX149" s="4"/>
      <c r="AZ149" s="4"/>
      <c r="BA149" s="184"/>
      <c r="BB149" s="4"/>
      <c r="BG149" s="4"/>
      <c r="BH149" s="1"/>
    </row>
    <row r="150">
      <c r="D150" s="184"/>
      <c r="F150" s="184"/>
      <c r="H150" s="4"/>
      <c r="L150">
        <f>'武器'!O150</f>
      </c>
      <c r="O150">
        <f>'武器'!BO150</f>
      </c>
      <c r="P150" s="4"/>
      <c r="X150" s="4"/>
      <c r="AA150" s="184"/>
      <c r="AF150" s="4"/>
      <c r="AG150" s="186"/>
      <c r="AH150" s="186"/>
      <c r="AI150" s="186"/>
      <c r="AK150" s="4"/>
      <c r="AN150" s="4"/>
      <c r="AO150" s="184"/>
      <c r="AP150" s="184"/>
      <c r="AQ150" s="184"/>
      <c r="AR150" s="4"/>
      <c r="AX150" s="4"/>
      <c r="AZ150" s="4"/>
      <c r="BA150" s="184"/>
      <c r="BB150" s="4"/>
      <c r="BG150" s="4"/>
      <c r="BH150" s="1"/>
    </row>
    <row r="151">
      <c r="D151" s="184"/>
      <c r="F151" s="184"/>
      <c r="H151" s="4"/>
      <c r="L151">
        <f>'武器'!O151</f>
      </c>
      <c r="O151">
        <f>'武器'!BO151</f>
      </c>
      <c r="P151" s="4"/>
      <c r="X151" s="4"/>
      <c r="AA151" s="184"/>
      <c r="AF151" s="4"/>
      <c r="AG151" s="186"/>
      <c r="AH151" s="186"/>
      <c r="AI151" s="186"/>
      <c r="AK151" s="4"/>
      <c r="AN151" s="4"/>
      <c r="AO151" s="184"/>
      <c r="AP151" s="184"/>
      <c r="AQ151" s="184"/>
      <c r="AR151" s="4"/>
      <c r="AX151" s="4"/>
      <c r="AZ151" s="4"/>
      <c r="BA151" s="184"/>
      <c r="BB151" s="4"/>
      <c r="BG151" s="4"/>
      <c r="BH151" s="1"/>
    </row>
    <row r="152">
      <c r="D152" s="184"/>
      <c r="F152" s="184"/>
      <c r="H152" s="4"/>
      <c r="L152">
        <f>'武器'!O152</f>
      </c>
      <c r="O152">
        <f>'武器'!BO152</f>
      </c>
      <c r="P152" s="4"/>
      <c r="X152" s="4"/>
      <c r="AA152" s="184"/>
      <c r="AF152" s="4"/>
      <c r="AG152" s="186"/>
      <c r="AH152" s="186"/>
      <c r="AI152" s="186"/>
      <c r="AK152" s="4"/>
      <c r="AN152" s="4"/>
      <c r="AO152" s="184"/>
      <c r="AP152" s="184"/>
      <c r="AQ152" s="184"/>
      <c r="AR152" s="4"/>
      <c r="AX152" s="4"/>
      <c r="AZ152" s="4"/>
      <c r="BA152" s="184"/>
      <c r="BB152" s="4"/>
      <c r="BG152" s="4"/>
      <c r="BH152" s="1"/>
    </row>
    <row r="153">
      <c r="D153" s="184"/>
      <c r="F153" s="184"/>
      <c r="H153" s="4"/>
      <c r="L153">
        <f>'武器'!O153</f>
      </c>
      <c r="O153">
        <f>'武器'!BO153</f>
      </c>
      <c r="P153" s="4"/>
      <c r="X153" s="4"/>
      <c r="AA153" s="184"/>
      <c r="AF153" s="4"/>
      <c r="AG153" s="186"/>
      <c r="AH153" s="186"/>
      <c r="AI153" s="186"/>
      <c r="AK153" s="4"/>
      <c r="AN153" s="4"/>
      <c r="AO153" s="184"/>
      <c r="AP153" s="184"/>
      <c r="AQ153" s="184"/>
      <c r="AR153" s="4"/>
      <c r="AX153" s="4"/>
      <c r="AZ153" s="4"/>
      <c r="BA153" s="184"/>
      <c r="BB153" s="4"/>
      <c r="BG153" s="4"/>
      <c r="BH153" s="1"/>
    </row>
    <row r="154">
      <c r="D154" s="184"/>
      <c r="F154" s="184"/>
      <c r="H154" s="4"/>
      <c r="L154">
        <f>'武器'!O154</f>
      </c>
      <c r="O154">
        <f>'武器'!BO154</f>
      </c>
      <c r="P154" s="4"/>
      <c r="X154" s="4"/>
      <c r="AA154" s="184"/>
      <c r="AF154" s="4"/>
      <c r="AG154" s="186"/>
      <c r="AH154" s="186"/>
      <c r="AI154" s="186"/>
      <c r="AK154" s="4"/>
      <c r="AN154" s="4"/>
      <c r="AO154" s="184"/>
      <c r="AP154" s="184"/>
      <c r="AQ154" s="184"/>
      <c r="AR154" s="4"/>
      <c r="AX154" s="4"/>
      <c r="AZ154" s="4"/>
      <c r="BA154" s="184"/>
      <c r="BB154" s="4"/>
      <c r="BG154" s="4"/>
      <c r="BH154" s="1"/>
    </row>
    <row r="155">
      <c r="D155" s="184"/>
      <c r="F155" s="184"/>
      <c r="H155" s="4"/>
      <c r="L155">
        <f>'武器'!O155</f>
      </c>
      <c r="O155">
        <f>'武器'!BO155</f>
      </c>
      <c r="P155" s="4"/>
      <c r="X155" s="4"/>
      <c r="AA155" s="184"/>
      <c r="AF155" s="4"/>
      <c r="AG155" s="186"/>
      <c r="AH155" s="186"/>
      <c r="AI155" s="186"/>
      <c r="AK155" s="4"/>
      <c r="AN155" s="4"/>
      <c r="AO155" s="184"/>
      <c r="AP155" s="184"/>
      <c r="AQ155" s="184"/>
      <c r="AR155" s="4"/>
      <c r="AX155" s="4"/>
      <c r="AZ155" s="4"/>
      <c r="BA155" s="184"/>
      <c r="BB155" s="4"/>
      <c r="BG155" s="4"/>
      <c r="BH155" s="1"/>
    </row>
    <row r="156">
      <c r="D156" s="184"/>
      <c r="F156" s="184"/>
      <c r="H156" s="4"/>
      <c r="L156">
        <f>'武器'!O156</f>
      </c>
      <c r="O156">
        <f>'武器'!BO156</f>
      </c>
      <c r="P156" s="4"/>
      <c r="X156" s="4"/>
      <c r="AA156" s="184"/>
      <c r="AF156" s="4"/>
      <c r="AG156" s="186"/>
      <c r="AH156" s="186"/>
      <c r="AI156" s="186"/>
      <c r="AK156" s="4"/>
      <c r="AN156" s="4"/>
      <c r="AO156" s="184"/>
      <c r="AP156" s="184"/>
      <c r="AQ156" s="184"/>
      <c r="AR156" s="4"/>
      <c r="AX156" s="4"/>
      <c r="AZ156" s="4"/>
      <c r="BA156" s="184"/>
      <c r="BB156" s="4"/>
      <c r="BG156" s="4"/>
      <c r="BH156" s="1"/>
    </row>
    <row r="157">
      <c r="D157" s="184"/>
      <c r="F157" s="184"/>
      <c r="H157" s="4"/>
      <c r="L157">
        <f>'武器'!O157</f>
      </c>
      <c r="O157">
        <f>'武器'!BO157</f>
      </c>
      <c r="P157" s="4"/>
      <c r="X157" s="4"/>
      <c r="AA157" s="184"/>
      <c r="AF157" s="4"/>
      <c r="AG157" s="186"/>
      <c r="AH157" s="186"/>
      <c r="AI157" s="186"/>
      <c r="AK157" s="4"/>
      <c r="AN157" s="4"/>
      <c r="AO157" s="184"/>
      <c r="AP157" s="184"/>
      <c r="AQ157" s="184"/>
      <c r="AR157" s="4"/>
      <c r="AX157" s="4"/>
      <c r="AZ157" s="4"/>
      <c r="BA157" s="184"/>
      <c r="BB157" s="4"/>
      <c r="BG157" s="4"/>
      <c r="BH157" s="1"/>
    </row>
    <row r="158">
      <c r="D158" s="184"/>
      <c r="F158" s="184"/>
      <c r="H158" s="4"/>
      <c r="L158">
        <f>'武器'!O158</f>
      </c>
      <c r="O158">
        <f>'武器'!BO158</f>
      </c>
      <c r="P158" s="4"/>
      <c r="X158" s="4"/>
      <c r="AA158" s="184"/>
      <c r="AF158" s="4"/>
      <c r="AG158" s="186"/>
      <c r="AH158" s="186"/>
      <c r="AI158" s="186"/>
      <c r="AK158" s="4"/>
      <c r="AN158" s="4"/>
      <c r="AO158" s="184"/>
      <c r="AP158" s="184"/>
      <c r="AQ158" s="184"/>
      <c r="AR158" s="4"/>
      <c r="AX158" s="4"/>
      <c r="AZ158" s="4"/>
      <c r="BA158" s="184"/>
      <c r="BB158" s="4"/>
      <c r="BG158" s="4"/>
      <c r="BH158" s="1"/>
    </row>
    <row r="159">
      <c r="D159" s="184"/>
      <c r="F159" s="184"/>
      <c r="H159" s="4"/>
      <c r="L159">
        <f>'武器'!O159</f>
      </c>
      <c r="O159">
        <f>'武器'!BO159</f>
      </c>
      <c r="P159" s="4"/>
      <c r="X159" s="4"/>
      <c r="AA159" s="184"/>
      <c r="AF159" s="4"/>
      <c r="AG159" s="186"/>
      <c r="AH159" s="186"/>
      <c r="AI159" s="186"/>
      <c r="AK159" s="4"/>
      <c r="AN159" s="4"/>
      <c r="AO159" s="184"/>
      <c r="AP159" s="184"/>
      <c r="AQ159" s="184"/>
      <c r="AR159" s="4"/>
      <c r="AX159" s="4"/>
      <c r="AZ159" s="4"/>
      <c r="BA159" s="184"/>
      <c r="BB159" s="4"/>
      <c r="BG159" s="4"/>
      <c r="BH159" s="1"/>
    </row>
    <row r="160">
      <c r="D160" s="184"/>
      <c r="F160" s="184"/>
      <c r="H160" s="4"/>
      <c r="L160">
        <f>'武器'!O160</f>
      </c>
      <c r="O160">
        <f>'武器'!BO160</f>
      </c>
      <c r="P160" s="4"/>
      <c r="X160" s="4"/>
      <c r="AA160" s="184"/>
      <c r="AF160" s="4"/>
      <c r="AG160" s="186"/>
      <c r="AH160" s="186"/>
      <c r="AI160" s="186"/>
      <c r="AK160" s="4"/>
      <c r="AN160" s="4"/>
      <c r="AO160" s="184"/>
      <c r="AP160" s="184"/>
      <c r="AQ160" s="184"/>
      <c r="AR160" s="4"/>
      <c r="AX160" s="4"/>
      <c r="AZ160" s="4"/>
      <c r="BA160" s="184"/>
      <c r="BB160" s="4"/>
      <c r="BG160" s="4"/>
      <c r="BH160" s="1"/>
    </row>
    <row r="161">
      <c r="D161" s="184"/>
      <c r="F161" s="184"/>
      <c r="H161" s="4"/>
      <c r="L161">
        <f>'武器'!O161</f>
      </c>
      <c r="O161">
        <f>'武器'!BO161</f>
      </c>
      <c r="P161" s="4"/>
      <c r="X161" s="4"/>
      <c r="AA161" s="184"/>
      <c r="AF161" s="4"/>
      <c r="AG161" s="186"/>
      <c r="AH161" s="186"/>
      <c r="AI161" s="186"/>
      <c r="AK161" s="4"/>
      <c r="AN161" s="4"/>
      <c r="AO161" s="184"/>
      <c r="AP161" s="184"/>
      <c r="AQ161" s="184"/>
      <c r="AR161" s="4"/>
      <c r="AX161" s="4"/>
      <c r="AZ161" s="4"/>
      <c r="BA161" s="184"/>
      <c r="BB161" s="4"/>
      <c r="BG161" s="4"/>
      <c r="BH161" s="1"/>
    </row>
    <row r="162">
      <c r="D162" s="184"/>
      <c r="F162" s="184"/>
      <c r="H162" s="4"/>
      <c r="L162">
        <f>'武器'!O162</f>
      </c>
      <c r="O162">
        <f>'武器'!BO162</f>
      </c>
      <c r="P162" s="4"/>
      <c r="X162" s="4"/>
      <c r="AA162" s="184"/>
      <c r="AF162" s="4"/>
      <c r="AG162" s="186"/>
      <c r="AH162" s="186"/>
      <c r="AI162" s="186"/>
      <c r="AK162" s="4"/>
      <c r="AN162" s="4"/>
      <c r="AO162" s="184"/>
      <c r="AP162" s="184"/>
      <c r="AQ162" s="184"/>
      <c r="AR162" s="4"/>
      <c r="AX162" s="4"/>
      <c r="AZ162" s="4"/>
      <c r="BA162" s="184"/>
      <c r="BB162" s="4"/>
      <c r="BG162" s="4"/>
      <c r="BH162" s="1"/>
    </row>
    <row r="163">
      <c r="D163" s="184"/>
      <c r="F163" s="184"/>
      <c r="H163" s="4"/>
      <c r="L163">
        <f>'武器'!O163</f>
      </c>
      <c r="O163">
        <f>'武器'!BO163</f>
      </c>
      <c r="P163" s="4"/>
      <c r="X163" s="4"/>
      <c r="AA163" s="184"/>
      <c r="AF163" s="4"/>
      <c r="AG163" s="186"/>
      <c r="AH163" s="186"/>
      <c r="AI163" s="186"/>
      <c r="AK163" s="4"/>
      <c r="AN163" s="4"/>
      <c r="AO163" s="184"/>
      <c r="AP163" s="184"/>
      <c r="AQ163" s="184"/>
      <c r="AR163" s="4"/>
      <c r="AX163" s="4"/>
      <c r="AZ163" s="4"/>
      <c r="BA163" s="184"/>
      <c r="BB163" s="4"/>
      <c r="BG163" s="4"/>
      <c r="BH163" s="1"/>
    </row>
    <row r="164">
      <c r="D164" s="184"/>
      <c r="F164" s="184"/>
      <c r="H164" s="4"/>
      <c r="L164">
        <f>'武器'!O164</f>
      </c>
      <c r="O164">
        <f>'武器'!BO164</f>
      </c>
      <c r="P164" s="4"/>
      <c r="X164" s="4"/>
      <c r="AA164" s="184"/>
      <c r="AF164" s="4"/>
      <c r="AG164" s="186"/>
      <c r="AH164" s="186"/>
      <c r="AI164" s="186"/>
      <c r="AK164" s="4"/>
      <c r="AN164" s="4"/>
      <c r="AO164" s="184"/>
      <c r="AP164" s="184"/>
      <c r="AQ164" s="184"/>
      <c r="AR164" s="4"/>
      <c r="AX164" s="4"/>
      <c r="AZ164" s="4"/>
      <c r="BA164" s="184"/>
      <c r="BB164" s="4"/>
      <c r="BG164" s="4"/>
      <c r="BH164" s="1"/>
    </row>
    <row r="165">
      <c r="D165" s="184"/>
      <c r="F165" s="184"/>
      <c r="H165" s="4"/>
      <c r="L165">
        <f>'武器'!O165</f>
      </c>
      <c r="O165">
        <f>'武器'!BO165</f>
      </c>
      <c r="P165" s="4"/>
      <c r="X165" s="4"/>
      <c r="AA165" s="184"/>
      <c r="AF165" s="4"/>
      <c r="AG165" s="186"/>
      <c r="AH165" s="186"/>
      <c r="AI165" s="186"/>
      <c r="AK165" s="4"/>
      <c r="AN165" s="4"/>
      <c r="AO165" s="184"/>
      <c r="AP165" s="184"/>
      <c r="AQ165" s="184"/>
      <c r="AR165" s="4"/>
      <c r="AX165" s="4"/>
      <c r="AZ165" s="4"/>
      <c r="BA165" s="184"/>
      <c r="BB165" s="4"/>
      <c r="BG165" s="4"/>
      <c r="BH165" s="1"/>
    </row>
    <row r="166">
      <c r="D166" s="184"/>
      <c r="F166" s="184"/>
      <c r="H166" s="4"/>
      <c r="L166">
        <f>'武器'!O166</f>
      </c>
      <c r="O166">
        <f>'武器'!BO166</f>
      </c>
      <c r="P166" s="4"/>
      <c r="X166" s="4"/>
      <c r="AA166" s="184"/>
      <c r="AF166" s="4"/>
      <c r="AG166" s="186"/>
      <c r="AH166" s="186"/>
      <c r="AI166" s="186"/>
      <c r="AK166" s="4"/>
      <c r="AN166" s="4"/>
      <c r="AO166" s="184"/>
      <c r="AP166" s="184"/>
      <c r="AQ166" s="184"/>
      <c r="AR166" s="4"/>
      <c r="AX166" s="4"/>
      <c r="AZ166" s="4"/>
      <c r="BA166" s="184"/>
      <c r="BB166" s="4"/>
      <c r="BG166" s="4"/>
      <c r="BH166" s="1"/>
    </row>
    <row r="167">
      <c r="D167" s="184"/>
      <c r="F167" s="184"/>
      <c r="H167" s="4"/>
      <c r="L167">
        <f>'武器'!O167</f>
      </c>
      <c r="O167">
        <f>'武器'!BO167</f>
      </c>
      <c r="P167" s="4"/>
      <c r="X167" s="4"/>
      <c r="AA167" s="184"/>
      <c r="AF167" s="4"/>
      <c r="AG167" s="186"/>
      <c r="AH167" s="186"/>
      <c r="AI167" s="186"/>
      <c r="AK167" s="4"/>
      <c r="AN167" s="4"/>
      <c r="AO167" s="184"/>
      <c r="AP167" s="184"/>
      <c r="AQ167" s="184"/>
      <c r="AR167" s="4"/>
      <c r="AX167" s="4"/>
      <c r="AZ167" s="4"/>
      <c r="BA167" s="184"/>
      <c r="BB167" s="4"/>
      <c r="BG167" s="4"/>
      <c r="BH167" s="1"/>
    </row>
    <row r="168">
      <c r="D168" s="184"/>
      <c r="F168" s="184"/>
      <c r="H168" s="4"/>
      <c r="L168">
        <f>'武器'!O168</f>
      </c>
      <c r="O168">
        <f>'武器'!BO168</f>
      </c>
      <c r="P168" s="4"/>
      <c r="X168" s="4"/>
      <c r="AA168" s="184"/>
      <c r="AF168" s="4"/>
      <c r="AG168" s="186"/>
      <c r="AH168" s="186"/>
      <c r="AI168" s="186"/>
      <c r="AK168" s="4"/>
      <c r="AN168" s="4"/>
      <c r="AO168" s="184"/>
      <c r="AP168" s="184"/>
      <c r="AQ168" s="184"/>
      <c r="AR168" s="4"/>
      <c r="AX168" s="4"/>
      <c r="AZ168" s="4"/>
      <c r="BA168" s="184"/>
      <c r="BB168" s="4"/>
      <c r="BG168" s="4"/>
      <c r="BH168" s="1"/>
    </row>
    <row r="169">
      <c r="D169" s="184"/>
      <c r="F169" s="184"/>
      <c r="H169" s="4"/>
      <c r="L169">
        <f>'武器'!O169</f>
      </c>
      <c r="O169">
        <f>'武器'!BO169</f>
      </c>
      <c r="P169" s="4"/>
      <c r="X169" s="4"/>
      <c r="AA169" s="184"/>
      <c r="AF169" s="4"/>
      <c r="AG169" s="186"/>
      <c r="AH169" s="186"/>
      <c r="AI169" s="186"/>
      <c r="AK169" s="4"/>
      <c r="AN169" s="4"/>
      <c r="AO169" s="184"/>
      <c r="AP169" s="184"/>
      <c r="AQ169" s="184"/>
      <c r="AR169" s="4"/>
      <c r="AX169" s="4"/>
      <c r="AZ169" s="4"/>
      <c r="BA169" s="184"/>
      <c r="BB169" s="4"/>
      <c r="BG169" s="4"/>
      <c r="BH169" s="1"/>
    </row>
    <row r="170">
      <c r="D170" s="184"/>
      <c r="F170" s="184"/>
      <c r="H170" s="4"/>
      <c r="L170">
        <f>'武器'!O170</f>
      </c>
      <c r="O170">
        <f>'武器'!BO170</f>
      </c>
      <c r="P170" s="4"/>
      <c r="X170" s="4"/>
      <c r="AA170" s="184"/>
      <c r="AF170" s="4"/>
      <c r="AG170" s="186"/>
      <c r="AH170" s="186"/>
      <c r="AI170" s="186"/>
      <c r="AK170" s="4"/>
      <c r="AN170" s="4"/>
      <c r="AO170" s="184"/>
      <c r="AP170" s="184"/>
      <c r="AQ170" s="184"/>
      <c r="AR170" s="4"/>
      <c r="AX170" s="4"/>
      <c r="AZ170" s="4"/>
      <c r="BA170" s="184"/>
      <c r="BB170" s="4"/>
      <c r="BG170" s="4"/>
      <c r="BH170" s="1"/>
    </row>
    <row r="171">
      <c r="D171" s="184"/>
      <c r="F171" s="184"/>
      <c r="H171" s="4"/>
      <c r="L171">
        <f>'武器'!O171</f>
      </c>
      <c r="O171">
        <f>'武器'!BO171</f>
      </c>
      <c r="P171" s="4"/>
      <c r="X171" s="4"/>
      <c r="AA171" s="184"/>
      <c r="AF171" s="4"/>
      <c r="AG171" s="186"/>
      <c r="AH171" s="186"/>
      <c r="AI171" s="186"/>
      <c r="AK171" s="4"/>
      <c r="AN171" s="4"/>
      <c r="AO171" s="184"/>
      <c r="AP171" s="184"/>
      <c r="AQ171" s="184"/>
      <c r="AR171" s="4"/>
      <c r="AX171" s="4"/>
      <c r="AZ171" s="4"/>
      <c r="BA171" s="184"/>
      <c r="BB171" s="4"/>
      <c r="BG171" s="4"/>
      <c r="BH171" s="1"/>
    </row>
    <row r="172">
      <c r="D172" s="184"/>
      <c r="F172" s="184"/>
      <c r="H172" s="4"/>
      <c r="L172">
        <f>'武器'!O172</f>
      </c>
      <c r="O172">
        <f>'武器'!BO172</f>
      </c>
      <c r="P172" s="4"/>
      <c r="X172" s="4"/>
      <c r="AA172" s="184"/>
      <c r="AF172" s="4"/>
      <c r="AG172" s="186"/>
      <c r="AH172" s="186"/>
      <c r="AI172" s="186"/>
      <c r="AK172" s="4"/>
      <c r="AN172" s="4"/>
      <c r="AO172" s="184"/>
      <c r="AP172" s="184"/>
      <c r="AQ172" s="184"/>
      <c r="AR172" s="4"/>
      <c r="AX172" s="4"/>
      <c r="AZ172" s="4"/>
      <c r="BA172" s="184"/>
      <c r="BB172" s="4"/>
      <c r="BG172" s="4"/>
      <c r="BH172" s="1"/>
    </row>
    <row r="173">
      <c r="D173" s="184"/>
      <c r="F173" s="184"/>
      <c r="H173" s="4"/>
      <c r="L173">
        <f>'武器'!O173</f>
      </c>
      <c r="O173">
        <f>'武器'!BO173</f>
      </c>
      <c r="P173" s="4"/>
      <c r="X173" s="4"/>
      <c r="AA173" s="184"/>
      <c r="AF173" s="4"/>
      <c r="AG173" s="186"/>
      <c r="AH173" s="186"/>
      <c r="AI173" s="186"/>
      <c r="AK173" s="4"/>
      <c r="AN173" s="4"/>
      <c r="AO173" s="184"/>
      <c r="AP173" s="184"/>
      <c r="AQ173" s="184"/>
      <c r="AR173" s="4"/>
      <c r="AX173" s="4"/>
      <c r="AZ173" s="4"/>
      <c r="BA173" s="184"/>
      <c r="BB173" s="4"/>
      <c r="BG173" s="4"/>
      <c r="BH173" s="1"/>
    </row>
    <row r="174">
      <c r="D174" s="184"/>
      <c r="F174" s="184"/>
      <c r="H174" s="4"/>
      <c r="L174">
        <f>'武器'!O174</f>
      </c>
      <c r="O174">
        <f>'武器'!BO174</f>
      </c>
      <c r="P174" s="4"/>
      <c r="X174" s="4"/>
      <c r="AA174" s="184"/>
      <c r="AF174" s="4"/>
      <c r="AG174" s="186"/>
      <c r="AH174" s="186"/>
      <c r="AI174" s="186"/>
      <c r="AK174" s="4"/>
      <c r="AN174" s="4"/>
      <c r="AO174" s="184"/>
      <c r="AP174" s="184"/>
      <c r="AQ174" s="184"/>
      <c r="AR174" s="4"/>
      <c r="AX174" s="4"/>
      <c r="AZ174" s="4"/>
      <c r="BA174" s="184"/>
      <c r="BB174" s="4"/>
      <c r="BG174" s="4"/>
      <c r="BH174" s="1"/>
    </row>
    <row r="175">
      <c r="D175" s="184"/>
      <c r="F175" s="184"/>
      <c r="H175" s="4"/>
      <c r="L175">
        <f>'武器'!O175</f>
      </c>
      <c r="O175">
        <f>'武器'!BO175</f>
      </c>
      <c r="P175" s="4"/>
      <c r="X175" s="4"/>
      <c r="AA175" s="184"/>
      <c r="AF175" s="4"/>
      <c r="AG175" s="186"/>
      <c r="AH175" s="186"/>
      <c r="AI175" s="186"/>
      <c r="AK175" s="4"/>
      <c r="AN175" s="4"/>
      <c r="AO175" s="184"/>
      <c r="AP175" s="184"/>
      <c r="AQ175" s="184"/>
      <c r="AR175" s="4"/>
      <c r="AX175" s="4"/>
      <c r="AZ175" s="4"/>
      <c r="BA175" s="184"/>
      <c r="BB175" s="4"/>
      <c r="BG175" s="4"/>
      <c r="BH175" s="1"/>
    </row>
    <row r="176">
      <c r="D176" s="184"/>
      <c r="F176" s="184"/>
      <c r="H176" s="4"/>
      <c r="L176">
        <f>'武器'!O176</f>
      </c>
      <c r="O176">
        <f>'武器'!BO176</f>
      </c>
      <c r="P176" s="4"/>
      <c r="X176" s="4"/>
      <c r="AA176" s="184"/>
      <c r="AF176" s="4"/>
      <c r="AG176" s="186"/>
      <c r="AH176" s="186"/>
      <c r="AI176" s="186"/>
      <c r="AK176" s="4"/>
      <c r="AN176" s="4"/>
      <c r="AO176" s="184"/>
      <c r="AP176" s="184"/>
      <c r="AQ176" s="184"/>
      <c r="AR176" s="4"/>
      <c r="AX176" s="4"/>
      <c r="AZ176" s="4"/>
      <c r="BA176" s="184"/>
      <c r="BB176" s="4"/>
      <c r="BG176" s="4"/>
      <c r="BH176" s="1"/>
    </row>
    <row r="177">
      <c r="D177" s="184"/>
      <c r="F177" s="184"/>
      <c r="H177" s="4"/>
      <c r="L177">
        <f>'武器'!O177</f>
      </c>
      <c r="O177">
        <f>'武器'!BO177</f>
      </c>
      <c r="P177" s="4"/>
      <c r="X177" s="4"/>
      <c r="AA177" s="184"/>
      <c r="AF177" s="4"/>
      <c r="AG177" s="186"/>
      <c r="AH177" s="186"/>
      <c r="AI177" s="186"/>
      <c r="AK177" s="4"/>
      <c r="AN177" s="4"/>
      <c r="AO177" s="184"/>
      <c r="AP177" s="184"/>
      <c r="AQ177" s="184"/>
      <c r="AR177" s="4"/>
      <c r="AX177" s="4"/>
      <c r="AZ177" s="4"/>
      <c r="BA177" s="184"/>
      <c r="BB177" s="4"/>
      <c r="BG177" s="4"/>
      <c r="BH177" s="1"/>
    </row>
    <row r="178">
      <c r="D178" s="184"/>
      <c r="F178" s="184"/>
      <c r="H178" s="4"/>
      <c r="L178">
        <f>'武器'!O178</f>
      </c>
      <c r="O178">
        <f>'武器'!BO178</f>
      </c>
      <c r="P178" s="4"/>
      <c r="X178" s="4"/>
      <c r="AA178" s="184"/>
      <c r="AF178" s="4"/>
      <c r="AG178" s="186"/>
      <c r="AH178" s="186"/>
      <c r="AI178" s="186"/>
      <c r="AK178" s="4"/>
      <c r="AN178" s="4"/>
      <c r="AO178" s="184"/>
      <c r="AP178" s="184"/>
      <c r="AQ178" s="184"/>
      <c r="AR178" s="4"/>
      <c r="AX178" s="4"/>
      <c r="AZ178" s="4"/>
      <c r="BA178" s="184"/>
      <c r="BB178" s="4"/>
      <c r="BG178" s="4"/>
      <c r="BH178" s="1"/>
    </row>
    <row r="179">
      <c r="D179" s="184"/>
      <c r="F179" s="184"/>
      <c r="H179" s="4"/>
      <c r="L179">
        <f>'武器'!O179</f>
      </c>
      <c r="O179">
        <f>'武器'!BO179</f>
      </c>
      <c r="P179" s="4"/>
      <c r="X179" s="4"/>
      <c r="AA179" s="184"/>
      <c r="AF179" s="4"/>
      <c r="AG179" s="186"/>
      <c r="AH179" s="186"/>
      <c r="AI179" s="186"/>
      <c r="AK179" s="4"/>
      <c r="AN179" s="4"/>
      <c r="AO179" s="184"/>
      <c r="AP179" s="184"/>
      <c r="AQ179" s="184"/>
      <c r="AR179" s="4"/>
      <c r="AX179" s="4"/>
      <c r="AZ179" s="4"/>
      <c r="BA179" s="184"/>
      <c r="BB179" s="4"/>
      <c r="BG179" s="4"/>
      <c r="BH179" s="1"/>
    </row>
    <row r="180">
      <c r="D180" s="184"/>
      <c r="F180" s="184"/>
      <c r="H180" s="4"/>
      <c r="L180">
        <f>'武器'!O180</f>
      </c>
      <c r="O180">
        <f>'武器'!BO180</f>
      </c>
      <c r="P180" s="4"/>
      <c r="X180" s="4"/>
      <c r="AA180" s="184"/>
      <c r="AF180" s="4"/>
      <c r="AG180" s="186"/>
      <c r="AH180" s="186"/>
      <c r="AI180" s="186"/>
      <c r="AK180" s="4"/>
      <c r="AN180" s="4"/>
      <c r="AO180" s="184"/>
      <c r="AP180" s="184"/>
      <c r="AQ180" s="184"/>
      <c r="AR180" s="4"/>
      <c r="AX180" s="4"/>
      <c r="AZ180" s="4"/>
      <c r="BA180" s="184"/>
      <c r="BB180" s="4"/>
      <c r="BG180" s="4"/>
      <c r="BH180" s="1"/>
    </row>
    <row r="181">
      <c r="D181" s="184"/>
      <c r="F181" s="184"/>
      <c r="H181" s="4"/>
      <c r="L181">
        <f>'武器'!O181</f>
      </c>
      <c r="O181">
        <f>'武器'!BO181</f>
      </c>
      <c r="P181" s="4"/>
      <c r="X181" s="4"/>
      <c r="AA181" s="184"/>
      <c r="AF181" s="4"/>
      <c r="AG181" s="186"/>
      <c r="AH181" s="186"/>
      <c r="AI181" s="186"/>
      <c r="AK181" s="4"/>
      <c r="AN181" s="4"/>
      <c r="AO181" s="184"/>
      <c r="AP181" s="184"/>
      <c r="AQ181" s="184"/>
      <c r="AR181" s="4"/>
      <c r="AX181" s="4"/>
      <c r="AZ181" s="4"/>
      <c r="BA181" s="184"/>
      <c r="BB181" s="4"/>
      <c r="BG181" s="4"/>
      <c r="BH181" s="1"/>
    </row>
    <row r="182">
      <c r="D182" s="184"/>
      <c r="F182" s="184"/>
      <c r="H182" s="4"/>
      <c r="L182">
        <f>'武器'!O182</f>
      </c>
      <c r="O182">
        <f>'武器'!BO182</f>
      </c>
      <c r="P182" s="4"/>
      <c r="X182" s="4"/>
      <c r="AA182" s="184"/>
      <c r="AF182" s="4"/>
      <c r="AG182" s="186"/>
      <c r="AH182" s="186"/>
      <c r="AI182" s="186"/>
      <c r="AK182" s="4"/>
      <c r="AN182" s="4"/>
      <c r="AO182" s="184"/>
      <c r="AP182" s="184"/>
      <c r="AQ182" s="184"/>
      <c r="AR182" s="4"/>
      <c r="AX182" s="4"/>
      <c r="AZ182" s="4"/>
      <c r="BA182" s="184"/>
      <c r="BB182" s="4"/>
      <c r="BG182" s="4"/>
      <c r="BH182" s="1"/>
    </row>
    <row r="183">
      <c r="D183" s="184"/>
      <c r="F183" s="184"/>
      <c r="H183" s="4"/>
      <c r="L183">
        <f>'武器'!O183</f>
      </c>
      <c r="O183">
        <f>'武器'!BO183</f>
      </c>
      <c r="P183" s="4"/>
      <c r="X183" s="4"/>
      <c r="AA183" s="184"/>
      <c r="AF183" s="4"/>
      <c r="AG183" s="186"/>
      <c r="AH183" s="186"/>
      <c r="AI183" s="186"/>
      <c r="AK183" s="4"/>
      <c r="AN183" s="4"/>
      <c r="AO183" s="184"/>
      <c r="AP183" s="184"/>
      <c r="AQ183" s="184"/>
      <c r="AR183" s="4"/>
      <c r="AX183" s="4"/>
      <c r="AZ183" s="4"/>
      <c r="BA183" s="184"/>
      <c r="BB183" s="4"/>
      <c r="BG183" s="4"/>
      <c r="BH183" s="1"/>
    </row>
    <row r="184">
      <c r="D184" s="184"/>
      <c r="F184" s="184"/>
      <c r="H184" s="4"/>
      <c r="L184">
        <f>'武器'!O184</f>
      </c>
      <c r="O184">
        <f>'武器'!BO184</f>
      </c>
      <c r="P184" s="4"/>
      <c r="X184" s="4"/>
      <c r="AA184" s="184"/>
      <c r="AF184" s="4"/>
      <c r="AG184" s="186"/>
      <c r="AH184" s="186"/>
      <c r="AI184" s="186"/>
      <c r="AK184" s="4"/>
      <c r="AN184" s="4"/>
      <c r="AO184" s="184"/>
      <c r="AP184" s="184"/>
      <c r="AQ184" s="184"/>
      <c r="AR184" s="4"/>
      <c r="AX184" s="4"/>
      <c r="AZ184" s="4"/>
      <c r="BA184" s="184"/>
      <c r="BB184" s="4"/>
      <c r="BG184" s="4"/>
      <c r="BH184" s="1"/>
    </row>
    <row r="185">
      <c r="D185" s="184"/>
      <c r="F185" s="184"/>
      <c r="H185" s="4"/>
      <c r="L185">
        <f>'武器'!O185</f>
      </c>
      <c r="O185">
        <f>'武器'!BO185</f>
      </c>
      <c r="P185" s="4"/>
      <c r="X185" s="4"/>
      <c r="AA185" s="184"/>
      <c r="AF185" s="4"/>
      <c r="AG185" s="186"/>
      <c r="AH185" s="186"/>
      <c r="AI185" s="186"/>
      <c r="AK185" s="4"/>
      <c r="AN185" s="4"/>
      <c r="AO185" s="184"/>
      <c r="AP185" s="184"/>
      <c r="AQ185" s="184"/>
      <c r="AR185" s="4"/>
      <c r="AX185" s="4"/>
      <c r="AZ185" s="4"/>
      <c r="BA185" s="184"/>
      <c r="BB185" s="4"/>
      <c r="BG185" s="4"/>
      <c r="BH185" s="1"/>
    </row>
    <row r="186">
      <c r="D186" s="184"/>
      <c r="F186" s="184"/>
      <c r="H186" s="4"/>
      <c r="L186">
        <f>'武器'!O186</f>
      </c>
      <c r="O186">
        <f>'武器'!BO186</f>
      </c>
      <c r="P186" s="4"/>
      <c r="X186" s="4"/>
      <c r="AA186" s="184"/>
      <c r="AF186" s="4"/>
      <c r="AG186" s="186"/>
      <c r="AH186" s="186"/>
      <c r="AI186" s="186"/>
      <c r="AK186" s="4"/>
      <c r="AN186" s="4"/>
      <c r="AO186" s="184"/>
      <c r="AP186" s="184"/>
      <c r="AQ186" s="184"/>
      <c r="AR186" s="4"/>
      <c r="AX186" s="4"/>
      <c r="AZ186" s="4"/>
      <c r="BA186" s="184"/>
      <c r="BB186" s="4"/>
      <c r="BG186" s="4"/>
      <c r="BH186" s="1"/>
    </row>
    <row r="187">
      <c r="D187" s="184"/>
      <c r="F187" s="184"/>
      <c r="H187" s="4"/>
      <c r="L187">
        <f>'武器'!O187</f>
      </c>
      <c r="O187">
        <f>'武器'!BO187</f>
      </c>
      <c r="P187" s="4"/>
      <c r="X187" s="4"/>
      <c r="AA187" s="184"/>
      <c r="AF187" s="4"/>
      <c r="AG187" s="186"/>
      <c r="AH187" s="186"/>
      <c r="AI187" s="186"/>
      <c r="AK187" s="4"/>
      <c r="AN187" s="4"/>
      <c r="AO187" s="184"/>
      <c r="AP187" s="184"/>
      <c r="AQ187" s="184"/>
      <c r="AR187" s="4"/>
      <c r="AX187" s="4"/>
      <c r="AZ187" s="4"/>
      <c r="BA187" s="184"/>
      <c r="BB187" s="4"/>
      <c r="BG187" s="4"/>
      <c r="BH187" s="1"/>
    </row>
    <row r="188">
      <c r="D188" s="184"/>
      <c r="F188" s="184"/>
      <c r="H188" s="4"/>
      <c r="L188">
        <f>'武器'!O188</f>
      </c>
      <c r="O188">
        <f>'武器'!BO188</f>
      </c>
      <c r="P188" s="4"/>
      <c r="X188" s="4"/>
      <c r="AA188" s="184"/>
      <c r="AF188" s="4"/>
      <c r="AG188" s="186"/>
      <c r="AH188" s="186"/>
      <c r="AI188" s="186"/>
      <c r="AK188" s="4"/>
      <c r="AN188" s="4"/>
      <c r="AO188" s="184"/>
      <c r="AP188" s="184"/>
      <c r="AQ188" s="184"/>
      <c r="AR188" s="4"/>
      <c r="AX188" s="4"/>
      <c r="AZ188" s="4"/>
      <c r="BA188" s="184"/>
      <c r="BB188" s="4"/>
      <c r="BG188" s="4"/>
    </row>
    <row r="189">
      <c r="D189" s="184"/>
      <c r="F189" s="184"/>
      <c r="H189" s="4"/>
      <c r="L189">
        <f>'武器'!O189</f>
      </c>
      <c r="O189">
        <f>'武器'!BO189</f>
      </c>
      <c r="P189" s="4"/>
      <c r="X189" s="4"/>
      <c r="AA189" s="184"/>
      <c r="AF189" s="4"/>
      <c r="AG189" s="186"/>
      <c r="AH189" s="186"/>
      <c r="AI189" s="186"/>
      <c r="AK189" s="4"/>
      <c r="AN189" s="4"/>
      <c r="AO189" s="184"/>
      <c r="AP189" s="184"/>
      <c r="AQ189" s="184"/>
      <c r="AR189" s="4"/>
      <c r="AX189" s="4"/>
      <c r="AZ189" s="4"/>
      <c r="BA189" s="184"/>
      <c r="BB189" s="4"/>
      <c r="BG189" s="4"/>
    </row>
    <row r="190">
      <c r="D190" s="184"/>
      <c r="F190" s="184"/>
      <c r="H190" s="4"/>
      <c r="L190">
        <f>'武器'!O190</f>
      </c>
      <c r="O190">
        <f>'武器'!BO190</f>
      </c>
      <c r="P190" s="4"/>
      <c r="X190" s="4"/>
      <c r="AA190" s="184"/>
      <c r="AF190" s="4"/>
      <c r="AG190" s="186"/>
      <c r="AH190" s="186"/>
      <c r="AI190" s="186"/>
      <c r="AK190" s="4"/>
      <c r="AN190" s="4"/>
      <c r="AO190" s="184"/>
      <c r="AP190" s="184"/>
      <c r="AQ190" s="184"/>
      <c r="AR190" s="4"/>
      <c r="AX190" s="4"/>
      <c r="AZ190" s="4"/>
      <c r="BA190" s="184"/>
      <c r="BB190" s="4"/>
      <c r="BG190" s="4"/>
    </row>
    <row r="191">
      <c r="D191" s="184"/>
      <c r="F191" s="184"/>
      <c r="H191" s="4"/>
      <c r="L191">
        <f>'武器'!O191</f>
      </c>
      <c r="O191">
        <f>'武器'!BO191</f>
      </c>
      <c r="P191" s="4"/>
      <c r="X191" s="4"/>
      <c r="AA191" s="184"/>
      <c r="AF191" s="4"/>
      <c r="AG191" s="186"/>
      <c r="AH191" s="186"/>
      <c r="AI191" s="186"/>
      <c r="AK191" s="4"/>
      <c r="AN191" s="4"/>
      <c r="AO191" s="184"/>
      <c r="AP191" s="184"/>
      <c r="AQ191" s="184"/>
      <c r="AR191" s="4"/>
      <c r="AX191" s="4"/>
      <c r="AZ191" s="4"/>
      <c r="BA191" s="184"/>
      <c r="BB191" s="4"/>
      <c r="BG191" s="4"/>
    </row>
    <row r="192">
      <c r="D192" s="184"/>
      <c r="F192" s="184"/>
      <c r="H192" s="4"/>
      <c r="L192">
        <f>'武器'!O192</f>
      </c>
      <c r="O192">
        <f>'武器'!BO192</f>
      </c>
      <c r="P192" s="4"/>
      <c r="X192" s="4"/>
      <c r="AA192" s="184"/>
      <c r="AF192" s="4"/>
      <c r="AG192" s="186"/>
      <c r="AH192" s="186"/>
      <c r="AI192" s="186"/>
      <c r="AK192" s="4"/>
      <c r="AN192" s="4"/>
      <c r="AO192" s="184"/>
      <c r="AP192" s="184"/>
      <c r="AQ192" s="184"/>
      <c r="AR192" s="4"/>
      <c r="AX192" s="4"/>
      <c r="AZ192" s="4"/>
      <c r="BA192" s="184"/>
      <c r="BB192" s="4"/>
      <c r="BG192" s="4"/>
    </row>
    <row r="193">
      <c r="D193" s="184"/>
      <c r="F193" s="184"/>
      <c r="H193" s="4"/>
      <c r="L193">
        <f>'武器'!O193</f>
      </c>
      <c r="O193">
        <f>'武器'!BO193</f>
      </c>
      <c r="P193" s="4"/>
      <c r="X193" s="4"/>
      <c r="AA193" s="184"/>
      <c r="AF193" s="4"/>
      <c r="AG193" s="186"/>
      <c r="AH193" s="186"/>
      <c r="AI193" s="186"/>
      <c r="AK193" s="4"/>
      <c r="AN193" s="4"/>
      <c r="AO193" s="184"/>
      <c r="AP193" s="184"/>
      <c r="AQ193" s="184"/>
      <c r="AR193" s="4"/>
      <c r="AX193" s="4"/>
      <c r="AZ193" s="4"/>
      <c r="BA193" s="184"/>
      <c r="BB193" s="4"/>
      <c r="BG193" s="4"/>
    </row>
    <row r="194">
      <c r="D194" s="184"/>
      <c r="F194" s="184"/>
      <c r="H194" s="4"/>
      <c r="L194">
        <f>'武器'!O194</f>
      </c>
      <c r="O194">
        <f>'武器'!BO194</f>
      </c>
      <c r="P194" s="4"/>
      <c r="X194" s="4"/>
      <c r="AA194" s="184"/>
      <c r="AF194" s="4"/>
      <c r="AG194" s="186"/>
      <c r="AH194" s="186"/>
      <c r="AI194" s="186"/>
      <c r="AK194" s="4"/>
      <c r="AN194" s="4"/>
      <c r="AO194" s="184"/>
      <c r="AP194" s="184"/>
      <c r="AQ194" s="184"/>
      <c r="AR194" s="4"/>
      <c r="AX194" s="4"/>
      <c r="AZ194" s="4"/>
      <c r="BA194" s="184"/>
      <c r="BB194" s="4"/>
      <c r="BG194" s="4"/>
    </row>
    <row r="195">
      <c r="D195" s="184"/>
      <c r="F195" s="184"/>
      <c r="H195" s="4"/>
      <c r="L195">
        <f>'武器'!O195</f>
      </c>
      <c r="O195">
        <f>'武器'!BO195</f>
      </c>
      <c r="P195" s="4"/>
      <c r="X195" s="4"/>
      <c r="AA195" s="184"/>
      <c r="AF195" s="4"/>
      <c r="AG195" s="186"/>
      <c r="AH195" s="186"/>
      <c r="AI195" s="186"/>
      <c r="AK195" s="4"/>
      <c r="AN195" s="4"/>
      <c r="AO195" s="184"/>
      <c r="AP195" s="184"/>
      <c r="AQ195" s="184"/>
      <c r="AR195" s="4"/>
      <c r="AX195" s="4"/>
      <c r="AZ195" s="4"/>
      <c r="BA195" s="184"/>
      <c r="BB195" s="4"/>
      <c r="BG195" s="4"/>
    </row>
    <row r="196">
      <c r="D196" s="184"/>
      <c r="F196" s="184"/>
      <c r="H196" s="4"/>
      <c r="L196">
        <f>'武器'!O196</f>
      </c>
      <c r="O196">
        <f>'武器'!BO196</f>
      </c>
      <c r="P196" s="4"/>
      <c r="X196" s="4"/>
      <c r="AA196" s="184"/>
      <c r="AF196" s="4"/>
      <c r="AG196" s="186"/>
      <c r="AH196" s="186"/>
      <c r="AI196" s="186"/>
      <c r="AK196" s="4"/>
      <c r="AN196" s="4"/>
      <c r="AO196" s="184"/>
      <c r="AP196" s="184"/>
      <c r="AQ196" s="184"/>
      <c r="AR196" s="4"/>
      <c r="AX196" s="4"/>
      <c r="AZ196" s="4"/>
      <c r="BA196" s="184"/>
      <c r="BB196" s="4"/>
      <c r="BG196" s="4"/>
    </row>
    <row r="197">
      <c r="D197" s="184"/>
      <c r="F197" s="184"/>
      <c r="H197" s="4"/>
      <c r="L197">
        <f>'武器'!O197</f>
      </c>
      <c r="O197">
        <f>'武器'!BO197</f>
      </c>
      <c r="P197" s="4"/>
      <c r="X197" s="4"/>
      <c r="AA197" s="184"/>
      <c r="AF197" s="4"/>
      <c r="AG197" s="186"/>
      <c r="AH197" s="186"/>
      <c r="AI197" s="186"/>
      <c r="AK197" s="4"/>
      <c r="AN197" s="4"/>
      <c r="AO197" s="184"/>
      <c r="AP197" s="184"/>
      <c r="AQ197" s="184"/>
      <c r="AR197" s="4"/>
      <c r="AX197" s="4"/>
      <c r="AZ197" s="4"/>
      <c r="BA197" s="184"/>
      <c r="BB197" s="4"/>
      <c r="BG197" s="4"/>
    </row>
    <row r="198">
      <c r="D198" s="184"/>
      <c r="F198" s="184"/>
      <c r="H198" s="4"/>
      <c r="L198">
        <f>'武器'!O198</f>
      </c>
      <c r="O198">
        <f>'武器'!BO198</f>
      </c>
      <c r="P198" s="4"/>
      <c r="X198" s="4"/>
      <c r="AA198" s="184"/>
      <c r="AF198" s="4"/>
      <c r="AG198" s="186"/>
      <c r="AH198" s="186"/>
      <c r="AI198" s="186"/>
      <c r="AK198" s="4"/>
      <c r="AN198" s="4"/>
      <c r="AO198" s="184"/>
      <c r="AP198" s="184"/>
      <c r="AQ198" s="184"/>
      <c r="AR198" s="4"/>
      <c r="AX198" s="4"/>
      <c r="AZ198" s="4"/>
      <c r="BA198" s="184"/>
      <c r="BB198" s="4"/>
      <c r="BG198" s="4"/>
    </row>
    <row r="199">
      <c r="D199" s="184"/>
      <c r="F199" s="184"/>
      <c r="H199" s="4"/>
      <c r="L199">
        <f>'武器'!O199</f>
      </c>
      <c r="O199">
        <f>'武器'!BO199</f>
      </c>
      <c r="P199" s="4"/>
      <c r="X199" s="4"/>
      <c r="AA199" s="184"/>
      <c r="AF199" s="4"/>
      <c r="AG199" s="186"/>
      <c r="AH199" s="186"/>
      <c r="AI199" s="186"/>
      <c r="AK199" s="4"/>
      <c r="AN199" s="4"/>
      <c r="AO199" s="184"/>
      <c r="AP199" s="184"/>
      <c r="AQ199" s="184"/>
      <c r="AR199" s="4"/>
      <c r="AX199" s="4"/>
      <c r="AZ199" s="4"/>
      <c r="BA199" s="184"/>
      <c r="BB199" s="4"/>
      <c r="BG199" s="4"/>
    </row>
    <row r="200">
      <c r="D200" s="184"/>
      <c r="F200" s="184"/>
      <c r="H200" s="4"/>
      <c r="L200">
        <f>'武器'!O200</f>
      </c>
      <c r="O200">
        <f>'武器'!BO200</f>
      </c>
      <c r="P200" s="4"/>
      <c r="X200" s="4"/>
      <c r="AA200" s="184"/>
      <c r="AF200" s="4"/>
      <c r="AG200" s="186"/>
      <c r="AH200" s="186"/>
      <c r="AI200" s="186"/>
      <c r="AK200" s="4"/>
      <c r="AN200" s="4"/>
      <c r="AO200" s="184"/>
      <c r="AP200" s="184"/>
      <c r="AQ200" s="184"/>
      <c r="AR200" s="4"/>
      <c r="AX200" s="4"/>
      <c r="AZ200" s="4"/>
      <c r="BA200" s="184"/>
      <c r="BB200" s="4"/>
      <c r="BG200" s="4"/>
    </row>
    <row r="201">
      <c r="L201">
        <f>'武器'!O201</f>
      </c>
      <c r="O201">
        <f>'武器'!BO201</f>
      </c>
      <c r="AG201" s="186"/>
      <c r="AH201" s="186"/>
      <c r="AI201" s="186"/>
      <c r="AN201" s="4"/>
      <c r="AR201" s="4"/>
      <c r="AX201" s="4"/>
      <c r="AZ201" s="4"/>
    </row>
    <row r="202">
      <c r="L202">
        <f>'武器'!O202</f>
      </c>
      <c r="O202">
        <f>'武器'!BO202</f>
      </c>
      <c r="AG202" s="186"/>
      <c r="AH202" s="186"/>
      <c r="AI202" s="186"/>
      <c r="AN202" s="4"/>
      <c r="AR202" s="4"/>
      <c r="AX202" s="4"/>
      <c r="AZ202" s="4"/>
    </row>
    <row r="203">
      <c r="L203">
        <f>'武器'!O203</f>
      </c>
      <c r="O203">
        <f>'武器'!BO203</f>
      </c>
      <c r="AG203" s="186"/>
      <c r="AH203" s="186"/>
      <c r="AI203" s="186"/>
      <c r="AN203" s="4"/>
      <c r="AR203" s="4"/>
      <c r="AX203" s="4"/>
      <c r="AZ203" s="4"/>
    </row>
    <row r="204">
      <c r="L204">
        <f>'武器'!O204</f>
      </c>
      <c r="O204">
        <f>'武器'!BO204</f>
      </c>
      <c r="AG204" s="186"/>
      <c r="AH204" s="186"/>
      <c r="AI204" s="186"/>
      <c r="AN204" s="4"/>
      <c r="AR204" s="4"/>
      <c r="AX204" s="4"/>
      <c r="AZ204" s="4"/>
    </row>
    <row r="205">
      <c r="L205">
        <f>'武器'!O205</f>
      </c>
      <c r="O205">
        <f>'武器'!BO205</f>
      </c>
      <c r="AG205" s="186"/>
      <c r="AH205" s="186"/>
      <c r="AI205" s="186"/>
      <c r="AN205" s="4"/>
      <c r="AR205" s="4"/>
      <c r="AX205" s="4"/>
      <c r="AZ205" s="4"/>
    </row>
    <row r="206">
      <c r="L206">
        <f>'武器'!O206</f>
      </c>
      <c r="O206">
        <f>'武器'!BO206</f>
      </c>
      <c r="AG206" s="186"/>
      <c r="AH206" s="186"/>
      <c r="AI206" s="186"/>
      <c r="AN206" s="4"/>
      <c r="AR206" s="4"/>
      <c r="AX206" s="4"/>
      <c r="AZ206" s="4"/>
    </row>
    <row r="207">
      <c r="L207">
        <f>'武器'!O207</f>
      </c>
      <c r="O207">
        <f>'武器'!BO207</f>
      </c>
      <c r="AG207" s="186"/>
      <c r="AH207" s="186"/>
      <c r="AI207" s="186"/>
      <c r="AN207" s="4"/>
      <c r="AR207" s="4"/>
      <c r="AX207" s="4"/>
      <c r="AZ207" s="4"/>
    </row>
    <row r="208">
      <c r="L208">
        <f>'武器'!O208</f>
      </c>
      <c r="O208">
        <f>'武器'!BO208</f>
      </c>
      <c r="AG208" s="186"/>
      <c r="AH208" s="186"/>
      <c r="AI208" s="186"/>
      <c r="AN208" s="4"/>
      <c r="AR208" s="4"/>
      <c r="AX208" s="4"/>
      <c r="AZ208" s="4"/>
    </row>
    <row r="209">
      <c r="L209">
        <f>'武器'!O209</f>
      </c>
      <c r="O209">
        <f>'武器'!BO209</f>
      </c>
      <c r="AG209" s="186"/>
      <c r="AH209" s="186"/>
      <c r="AI209" s="186"/>
      <c r="AN209" s="4"/>
      <c r="AR209" s="4"/>
      <c r="AX209" s="4"/>
      <c r="AZ209" s="4"/>
    </row>
    <row r="210">
      <c r="L210">
        <f>'武器'!O210</f>
      </c>
      <c r="O210">
        <f>'武器'!BO210</f>
      </c>
      <c r="AG210" s="186"/>
      <c r="AH210" s="186"/>
      <c r="AI210" s="186"/>
      <c r="AN210" s="4"/>
      <c r="AR210" s="4"/>
      <c r="AX210" s="4"/>
      <c r="AZ210" s="4"/>
    </row>
    <row r="211">
      <c r="L211">
        <f>'武器'!O211</f>
      </c>
      <c r="O211">
        <f>'武器'!BO211</f>
      </c>
      <c r="AG211" s="186"/>
      <c r="AH211" s="186"/>
      <c r="AI211" s="186"/>
      <c r="AN211" s="4"/>
      <c r="AR211" s="4"/>
      <c r="AX211" s="4"/>
      <c r="AZ211" s="4"/>
    </row>
    <row r="212">
      <c r="L212">
        <f>'武器'!O212</f>
      </c>
      <c r="O212">
        <f>'武器'!BO212</f>
      </c>
      <c r="AG212" s="186"/>
      <c r="AH212" s="186"/>
      <c r="AI212" s="186"/>
      <c r="AN212" s="4"/>
      <c r="AR212" s="4"/>
      <c r="AX212" s="4"/>
      <c r="AZ212" s="4"/>
    </row>
    <row r="213">
      <c r="L213">
        <f>'武器'!O213</f>
      </c>
      <c r="O213">
        <f>'武器'!BO213</f>
      </c>
      <c r="AG213" s="186"/>
      <c r="AH213" s="186"/>
      <c r="AI213" s="186"/>
      <c r="AN213" s="4"/>
      <c r="AR213" s="4"/>
      <c r="AX213" s="4"/>
      <c r="AZ213" s="4"/>
    </row>
    <row r="214">
      <c r="L214">
        <f>'武器'!O214</f>
      </c>
      <c r="O214">
        <f>'武器'!BO214</f>
      </c>
      <c r="AG214" s="186"/>
      <c r="AH214" s="186"/>
      <c r="AI214" s="186"/>
      <c r="AN214" s="4"/>
      <c r="AR214" s="4"/>
      <c r="AX214" s="4"/>
      <c r="AZ214" s="4"/>
    </row>
    <row r="215">
      <c r="L215">
        <f>'武器'!O215</f>
      </c>
      <c r="O215">
        <f>'武器'!BO215</f>
      </c>
      <c r="AG215" s="186"/>
      <c r="AH215" s="186"/>
      <c r="AI215" s="186"/>
      <c r="AN215" s="4"/>
      <c r="AR215" s="4"/>
      <c r="AX215" s="4"/>
      <c r="AZ215" s="4"/>
    </row>
    <row r="216">
      <c r="L216">
        <f>'武器'!O216</f>
      </c>
      <c r="O216">
        <f>'武器'!BO216</f>
      </c>
      <c r="AG216" s="186"/>
      <c r="AH216" s="186"/>
      <c r="AI216" s="186"/>
      <c r="AN216" s="4"/>
      <c r="AR216" s="4"/>
      <c r="AX216" s="4"/>
      <c r="AZ216" s="4"/>
    </row>
    <row r="217">
      <c r="L217">
        <f>'武器'!O217</f>
      </c>
      <c r="O217">
        <f>'武器'!BO217</f>
      </c>
      <c r="AG217" s="186"/>
      <c r="AH217" s="186"/>
      <c r="AI217" s="186"/>
      <c r="AN217" s="4"/>
      <c r="AR217" s="4"/>
      <c r="AX217" s="4"/>
      <c r="AZ217" s="4"/>
    </row>
    <row r="218">
      <c r="L218">
        <f>'武器'!O218</f>
      </c>
      <c r="O218">
        <f>'武器'!BO218</f>
      </c>
      <c r="AG218" s="186"/>
      <c r="AH218" s="186"/>
      <c r="AI218" s="186"/>
      <c r="AN218" s="4"/>
      <c r="AR218" s="4"/>
      <c r="AX218" s="4"/>
      <c r="AZ218" s="4"/>
    </row>
    <row r="219">
      <c r="L219">
        <f>'武器'!O219</f>
      </c>
      <c r="O219">
        <f>'武器'!BO219</f>
      </c>
      <c r="AG219" s="186"/>
      <c r="AH219" s="186"/>
      <c r="AI219" s="186"/>
      <c r="AN219" s="4"/>
      <c r="AR219" s="4"/>
      <c r="AX219" s="4"/>
      <c r="AZ219" s="4"/>
    </row>
    <row r="220">
      <c r="L220">
        <f>'武器'!O220</f>
      </c>
      <c r="O220">
        <f>'武器'!BO220</f>
      </c>
      <c r="AG220" s="186"/>
      <c r="AH220" s="186"/>
      <c r="AI220" s="186"/>
      <c r="AN220" s="4"/>
      <c r="AR220" s="4"/>
      <c r="AX220" s="4"/>
      <c r="AZ220" s="4"/>
    </row>
    <row r="221">
      <c r="L221">
        <f>'武器'!O221</f>
      </c>
      <c r="O221">
        <f>'武器'!BO221</f>
      </c>
      <c r="AG221" s="186"/>
      <c r="AH221" s="186"/>
      <c r="AI221" s="186"/>
      <c r="AN221" s="4"/>
      <c r="AR221" s="4"/>
      <c r="AX221" s="4"/>
      <c r="AZ221" s="4"/>
    </row>
    <row r="222">
      <c r="L222">
        <f>'武器'!O222</f>
      </c>
      <c r="O222">
        <f>'武器'!BO222</f>
      </c>
      <c r="AG222" s="186"/>
      <c r="AH222" s="186"/>
      <c r="AI222" s="186"/>
      <c r="AN222" s="4"/>
      <c r="AR222" s="4"/>
      <c r="AX222" s="4"/>
      <c r="AZ222" s="4"/>
    </row>
    <row r="223">
      <c r="L223">
        <f>'武器'!O223</f>
      </c>
      <c r="O223">
        <f>'武器'!BO223</f>
      </c>
      <c r="AG223" s="186"/>
      <c r="AH223" s="186"/>
      <c r="AI223" s="186"/>
      <c r="AN223" s="4"/>
      <c r="AR223" s="4"/>
      <c r="AX223" s="4"/>
      <c r="AZ223" s="4"/>
    </row>
    <row r="224">
      <c r="L224">
        <f>'武器'!O224</f>
      </c>
      <c r="O224">
        <f>'武器'!BO224</f>
      </c>
      <c r="AG224" s="186"/>
      <c r="AH224" s="186"/>
      <c r="AI224" s="186"/>
      <c r="AN224" s="4"/>
      <c r="AR224" s="4"/>
      <c r="AX224" s="4"/>
      <c r="AZ224" s="4"/>
    </row>
    <row r="225">
      <c r="L225">
        <f>'武器'!O225</f>
      </c>
      <c r="O225">
        <f>'武器'!BO225</f>
      </c>
      <c r="AG225" s="186"/>
      <c r="AH225" s="186"/>
      <c r="AI225" s="186"/>
      <c r="AN225" s="4"/>
      <c r="AR225" s="4"/>
      <c r="AX225" s="4"/>
      <c r="AZ225" s="4"/>
    </row>
    <row r="226">
      <c r="L226">
        <f>'武器'!O226</f>
      </c>
      <c r="O226">
        <f>'武器'!BO226</f>
      </c>
      <c r="AG226" s="186"/>
      <c r="AH226" s="186"/>
      <c r="AI226" s="186"/>
      <c r="AN226" s="4"/>
      <c r="AR226" s="4"/>
      <c r="AX226" s="4"/>
      <c r="AZ226" s="4"/>
    </row>
    <row r="227">
      <c r="L227">
        <f>'武器'!O227</f>
      </c>
      <c r="O227">
        <f>'武器'!BO227</f>
      </c>
      <c r="AG227" s="186"/>
      <c r="AH227" s="186"/>
      <c r="AI227" s="186"/>
      <c r="AN227" s="4"/>
      <c r="AR227" s="4"/>
      <c r="AX227" s="4"/>
      <c r="AZ227" s="4"/>
    </row>
    <row r="228">
      <c r="L228">
        <f>'武器'!O228</f>
      </c>
      <c r="O228">
        <f>'武器'!BO228</f>
      </c>
      <c r="AG228" s="186"/>
      <c r="AH228" s="186"/>
      <c r="AI228" s="186"/>
      <c r="AN228" s="4"/>
      <c r="AR228" s="4"/>
      <c r="AX228" s="4"/>
      <c r="AZ228" s="4"/>
    </row>
    <row r="229">
      <c r="L229">
        <f>'武器'!O229</f>
      </c>
      <c r="O229">
        <f>'武器'!BO229</f>
      </c>
      <c r="AG229" s="186"/>
      <c r="AH229" s="186"/>
      <c r="AI229" s="186"/>
      <c r="AN229" s="4"/>
      <c r="AR229" s="4"/>
      <c r="AX229" s="4"/>
      <c r="AZ229" s="4"/>
    </row>
    <row r="230">
      <c r="L230">
        <f>'武器'!O230</f>
      </c>
      <c r="O230">
        <f>'武器'!BO230</f>
      </c>
      <c r="AG230" s="186"/>
      <c r="AH230" s="186"/>
      <c r="AI230" s="186"/>
      <c r="AN230" s="4"/>
      <c r="AR230" s="4"/>
      <c r="AX230" s="4"/>
      <c r="AZ230" s="4"/>
    </row>
    <row r="231">
      <c r="L231">
        <f>'武器'!O231</f>
      </c>
      <c r="O231">
        <f>'武器'!BO231</f>
      </c>
      <c r="AG231" s="186"/>
      <c r="AH231" s="186"/>
      <c r="AI231" s="186"/>
      <c r="AN231" s="4"/>
      <c r="AR231" s="4"/>
      <c r="AX231" s="4"/>
      <c r="AZ231" s="4"/>
    </row>
  </sheetData>
  <mergeCells>
    <mergeCell ref="E57:E62"/>
    <mergeCell ref="E51:E56"/>
    <mergeCell ref="E45:E50"/>
    <mergeCell ref="E39:E44"/>
    <mergeCell ref="E33:E38"/>
    <mergeCell ref="E27:E32"/>
    <mergeCell ref="E21:E26"/>
    <mergeCell ref="E3:E8"/>
    <mergeCell ref="E9:E14"/>
    <mergeCell ref="E15:E20"/>
    <mergeCell ref="E63:E68"/>
    <mergeCell ref="E69:E74"/>
    <mergeCell ref="E75:E80"/>
    <mergeCell ref="E81:E86"/>
    <mergeCell ref="E87:E92"/>
    <mergeCell ref="E93:E98"/>
    <mergeCell ref="E99:E104"/>
    <mergeCell ref="AY99:AY104"/>
    <mergeCell ref="AY93:AY98"/>
    <mergeCell ref="AY87:AY92"/>
    <mergeCell ref="AY81:AY86"/>
    <mergeCell ref="AY75:AY80"/>
    <mergeCell ref="AY69:AY74"/>
    <mergeCell ref="AY63:AY68"/>
    <mergeCell ref="AY3:AY8"/>
    <mergeCell ref="AY9:AY14"/>
    <mergeCell ref="AY15:AY20"/>
    <mergeCell ref="AY21:AY26"/>
    <mergeCell ref="AY27:AY32"/>
    <mergeCell ref="AY33:AY38"/>
    <mergeCell ref="AY39:AY44"/>
    <mergeCell ref="AY45:AY50"/>
    <mergeCell ref="AY51:AY56"/>
    <mergeCell ref="AY57:AY62"/>
  </mergeCells>
  <dataValidations count="1">
    <dataValidation allowBlank="true" errorStyle="stop" showDropDown="true" showErrorMessage="true" sqref="BH3:BH187" type="list">
      <formula1>"待办,在做,要改,完成,不急"</formula1>
    </dataValidation>
  </dataValidation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bacefd"/>
    <outlinePr summaryBelow="false" summaryRight="false"/>
  </sheetPr>
  <dimension ref="A1"/>
  <sheetViews>
    <sheetView showGridLines="true" workbookViewId="0">
      <pane state="frozen" topLeftCell="H2" xSplit="7" ySplit="1"/>
    </sheetView>
  </sheetViews>
  <sheetFormatPr defaultColWidth="14" defaultRowHeight="19"/>
  <cols>
    <col collapsed="false" customWidth="true" hidden="false" max="1" min="1" style="0" width="4"/>
    <col collapsed="false" customWidth="true" hidden="false" max="2" min="2" style="0" width="18"/>
    <col collapsed="false" customWidth="true" hidden="false" max="3" min="3" style="0" width="8"/>
    <col collapsed="false" customWidth="true" hidden="false" max="4" min="4" style="0" width="18"/>
    <col collapsed="false" customWidth="true" hidden="false" max="5" min="5" style="0" width="14"/>
    <col collapsed="false" customWidth="true" hidden="false" max="6" min="6" style="0" width="12"/>
    <col collapsed="false" customWidth="true" hidden="false" max="7" min="7" style="0" width="12"/>
    <col collapsed="false" customWidth="true" hidden="false" max="8" min="8" style="0" width="10"/>
    <col collapsed="false" customWidth="true" hidden="false" max="9" min="9" style="0" width="11"/>
    <col collapsed="false" hidden="false" max="10" min="10" style="0" width="8"/>
    <col collapsed="false" customWidth="true" hidden="false" max="11" min="11" outlineLevel="1" style="0" width="8"/>
    <col collapsed="false" customWidth="true" hidden="false" max="12" min="12" outlineLevel="1" style="0" width="8"/>
    <col collapsed="false" customWidth="true" hidden="false" max="13" min="13" outlineLevel="1" style="0" width="4"/>
    <col collapsed="false" customWidth="true" hidden="false" max="14" min="14" outlineLevel="1" style="0" width="4"/>
    <col collapsed="false" customWidth="true" hidden="false" max="15" min="15" outlineLevel="1" style="0" width="8"/>
    <col collapsed="false" hidden="false" max="16" min="16" outlineLevel="1" style="0" width="4"/>
    <col collapsed="false" customWidth="true" hidden="false" max="17" min="17" outlineLevel="2" style="0" width="4"/>
    <col collapsed="false" customWidth="true" hidden="false" max="18" min="18" outlineLevel="2" style="0" width="4"/>
    <col collapsed="false" customWidth="true" hidden="false" max="19" min="19" outlineLevel="2" style="0" width="4"/>
    <col collapsed="false" customWidth="true" hidden="false" max="20" min="20" outlineLevel="2" style="0" width="8"/>
    <col collapsed="false" customWidth="true" hidden="false" max="21" min="21" outlineLevel="2" style="0" width="9"/>
    <col collapsed="false" customWidth="true" hidden="false" max="22" min="22" outlineLevel="2" style="0" width="8"/>
    <col collapsed="false" customWidth="true" hidden="false" max="23" min="23" outlineLevel="2" style="0" width="8"/>
    <col collapsed="false" customWidth="true" hidden="false" max="24" min="24" style="0" width="4"/>
    <col collapsed="false" hidden="false" max="25" min="25" style="0" width="32"/>
    <col collapsed="false" customWidth="true" hidden="false" max="26" min="26" outlineLevel="1" style="0" width="32"/>
    <col collapsed="false" customWidth="true" hidden="true" max="27" min="27" outlineLevel="1" style="0" width="32"/>
    <col collapsed="false" customWidth="true" hidden="true" max="28" min="28" outlineLevel="1" style="0" width="32"/>
    <col collapsed="false" customWidth="true" hidden="false" max="29" min="29" style="0" width="1"/>
    <col collapsed="false" customWidth="true" hidden="false" max="30" min="30" style="0" width="4"/>
    <col collapsed="false" customWidth="true" hidden="false" max="31" min="31" style="0" width="6"/>
    <col collapsed="false" customWidth="true" hidden="false" max="32" min="32" style="0" width="6"/>
    <col collapsed="false" customWidth="true" hidden="false" max="33" min="33" style="0" width="6"/>
    <col collapsed="false" customWidth="true" hidden="false" max="34" min="34" style="0" width="30"/>
  </cols>
  <sheetData>
    <row r="1">
      <c r="A1" s="124" t="str">
        <v>NO.</v>
      </c>
      <c r="B1" s="124" t="str">
        <v>资产名称</v>
      </c>
      <c r="C1" s="202" t="str">
        <v>名称</v>
      </c>
      <c r="D1" s="19" t="str">
        <v>Name</v>
      </c>
      <c r="E1" s="199" t="str">
        <v>武器类型</v>
      </c>
      <c r="F1" s="124" t="str">
        <v>技能类型</v>
      </c>
      <c r="G1" s="22" t="str">
        <v>UUID</v>
      </c>
      <c r="H1" s="124" t="str">
        <v>释放类型</v>
      </c>
      <c r="I1" s="124" t="str">
        <v>适用具体武器</v>
      </c>
      <c r="J1" s="124" t="str">
        <v>释放类型</v>
      </c>
      <c r="K1" s="153" t="str">
        <v>瞄准类型</v>
      </c>
      <c r="L1" s="153" t="str">
        <v>范围类型</v>
      </c>
      <c r="M1" s="153" t="str">
        <v>角度</v>
      </c>
      <c r="N1" s="153" t="str">
        <v>宽度</v>
      </c>
      <c r="O1" s="153" t="str">
        <v>伤害距离</v>
      </c>
      <c r="P1" s="153" t="str">
        <v>瞄准距离</v>
      </c>
      <c r="Q1" s="200" t="str">
        <v>前摇</v>
      </c>
      <c r="R1" s="124" t="str">
        <v>间隔</v>
      </c>
      <c r="S1" s="124" t="str">
        <v>后摇</v>
      </c>
      <c r="T1" s="124" t="str">
        <v>释放时长</v>
      </c>
      <c r="U1" s="124" t="str">
        <v>冷却时间</v>
      </c>
      <c r="V1" s="124" t="str">
        <v>体力消耗</v>
      </c>
      <c r="W1" s="124" t="str">
        <v>能量消耗</v>
      </c>
      <c r="X1" s="139" t="str" xml:space="preserve">
        <v> </v>
      </c>
      <c r="Y1" s="140" t="str">
        <v>技能描述</v>
      </c>
      <c r="Z1" s="201" t="str">
        <v>显性数值</v>
      </c>
      <c r="AA1" s="201" t="str">
        <v>引用数值</v>
      </c>
      <c r="AB1" s="198" t="str">
        <v>隐性数值</v>
      </c>
      <c r="AC1" s="3" t="str" xml:space="preserve">
        <v> </v>
      </c>
      <c r="AD1" s="153" t="str">
        <v>AI</v>
      </c>
      <c r="AE1" s="153" t="str">
        <v>开发</v>
      </c>
      <c r="AF1" s="153" t="str">
        <v>配置</v>
      </c>
      <c r="AG1" s="153" t="str">
        <v>文案</v>
      </c>
      <c r="AH1" s="153" t="str">
        <v>修改Comment</v>
      </c>
    </row>
    <row r="2">
      <c r="A2" s="15">
        <v>1</v>
      </c>
      <c r="B2" s="15">
        <f>SUBSTITUTE(SUBSTITUTE(D2," ",""),"'","")</f>
      </c>
      <c r="C2" s="75" t="str">
        <v>自动制导</v>
      </c>
      <c r="D2" s="75" t="str">
        <v>Auto Guidance</v>
      </c>
      <c r="E2" s="207" t="str">
        <v>步枪</v>
      </c>
      <c r="F2" s="1" t="str">
        <v>武器技能</v>
      </c>
      <c r="G2" s="206">
        <f>IF($B2="","","SKL"&amp;IF(H2="主动","01",IF(H2="被动","02","00"))&amp;LET(  arr, TEXTSPLIT(E2, ","),  vals, XLOOKUP(TRIM(arr), '引用数据库'!N:N, '引用数据库'!P:P, 0),  TEXT(MOD(SUM(--vals),100),"00"))&amp;IF(F2="武器技能","01",IF(F2="武器特技","02",IF(F2="义体技能","03",IF(F2="智脑技能","04","00"))))&amp;BASE(CODE(MID(B2,1,1))*1+CODE(MID(B2,2,1))*2+CODE(MID(B2,3,1))*3,36,2))</f>
      </c>
      <c r="H2" s="204" t="str">
        <v>主动</v>
      </c>
      <c r="I2" s="10"/>
      <c r="J2" s="11" t="str">
        <v>瞬发</v>
      </c>
      <c r="K2" s="11" t="str">
        <v>N/A</v>
      </c>
      <c r="L2" s="11" t="str">
        <v>N/A</v>
      </c>
      <c r="M2" s="11"/>
      <c r="N2" s="11"/>
      <c r="O2" s="11"/>
      <c r="P2" s="11"/>
      <c r="Q2" s="204"/>
      <c r="R2" s="11"/>
      <c r="S2" s="11"/>
      <c r="T2" s="11">
        <f>SUM(Q2:S2)</f>
      </c>
      <c r="U2" s="11">
        <v>5</v>
      </c>
      <c r="V2" s="11">
        <v>10</v>
      </c>
      <c r="W2" s="11"/>
      <c r="X2" s="40"/>
      <c r="Y2" s="205" t="str">
        <v>使用后一段时间内，子弹自动追踪**它认为最合适的**敌人。</v>
      </c>
      <c r="Z2" s="203" t="str">
        <v>持续时间：4/5/6/7/8s</v>
      </c>
      <c r="AA2" s="203"/>
      <c r="AB2" s="209"/>
      <c r="AC2" s="4"/>
      <c r="AD2" s="11"/>
      <c r="AE2" s="11" t="str">
        <v>要改</v>
      </c>
      <c r="AF2" s="11" t="str">
        <v>完成</v>
      </c>
      <c r="AG2" s="11"/>
      <c r="AH2" s="40" t="str">
        <v>11/27：这个技能改成单次消耗体力的，否则很奇怪</v>
      </c>
    </row>
    <row r="3">
      <c r="A3" s="15">
        <f>IF(ISBLANK(B3),"",A2+1)</f>
      </c>
      <c r="B3" s="15">
        <f>SUBSTITUTE(SUBSTITUTE(D3," ",""),"'","")</f>
      </c>
      <c r="C3" s="75" t="str">
        <v>后坐力</v>
      </c>
      <c r="D3" s="75" t="str">
        <v>Back Fire</v>
      </c>
      <c r="E3" s="207" t="str">
        <v>冲锋枪</v>
      </c>
      <c r="F3" s="1" t="str">
        <v>武器技能</v>
      </c>
      <c r="G3" s="206">
        <f>IF($B3="","","SKL"&amp;IF(H3="主动","01",IF(H3="被动","02","00"))&amp;LET(  arr, TEXTSPLIT(E3, ","),  vals, XLOOKUP(TRIM(arr), '引用数据库'!N:N, '引用数据库'!P:P, 0),  TEXT(MOD(SUM(--vals),100),"00"))&amp;IF(F3="武器技能","01",IF(F3="武器特技","02",IF(F3="义体技能","03",IF(F3="智脑技能","04","00"))))&amp;BASE(CODE(MID(B3,1,1))*1+CODE(MID(B3,2,1))*2+CODE(MID(B3,3,1))*3,36,2))</f>
      </c>
      <c r="H3" s="204" t="str">
        <v>主动</v>
      </c>
      <c r="I3" s="10"/>
      <c r="J3" s="11" t="str">
        <v>瞬发</v>
      </c>
      <c r="K3" s="11" t="str">
        <v>N/A</v>
      </c>
      <c r="L3" s="11" t="str">
        <v>N/A</v>
      </c>
      <c r="M3" s="11"/>
      <c r="N3" s="11"/>
      <c r="O3" s="11"/>
      <c r="P3" s="11"/>
      <c r="Q3" s="204"/>
      <c r="R3" s="11"/>
      <c r="S3" s="11"/>
      <c r="T3" s="11"/>
      <c r="U3" s="11">
        <v>10</v>
      </c>
      <c r="V3" s="11">
        <v>10</v>
      </c>
      <c r="W3" s="11"/>
      <c r="X3" s="205"/>
      <c r="Y3" s="205" t="str">
        <v>使用后，在原地发起不消耗备弹的攻击。可发射的子弹数量，取决于你在过去一段时间内已发射的子弹数量。</v>
      </c>
      <c r="Z3" s="203" t="str">
        <v>持续时间：5s
冷却时间：10s</v>
      </c>
      <c r="AA3" s="203" t="str">
        <v>回溯时长：5s</v>
      </c>
      <c r="AB3" s="209"/>
      <c r="AC3" s="4"/>
      <c r="AD3" s="11"/>
      <c r="AE3" s="11" t="str">
        <v>完成</v>
      </c>
      <c r="AF3" s="11" t="str">
        <v>完成</v>
      </c>
      <c r="AG3" s="11"/>
      <c r="AH3" s="150" t="str">
        <v>11/27：没能正确进入冷却</v>
      </c>
    </row>
    <row r="4">
      <c r="A4" s="15">
        <f>IF(ISBLANK(B4),"",A3+1)</f>
      </c>
      <c r="B4" s="15">
        <f>SUBSTITUTE(SUBSTITUTE(D4," ",""),"'","")</f>
      </c>
      <c r="C4" s="75" t="str">
        <v>冷静射击</v>
      </c>
      <c r="D4" s="75" t="str">
        <v>Steady Aim</v>
      </c>
      <c r="E4" s="207" t="str">
        <v>冲锋枪</v>
      </c>
      <c r="F4" s="1" t="str">
        <v>武器技能</v>
      </c>
      <c r="G4" s="206">
        <f>IF($B4="","","SKL"&amp;IF(H4="主动","01",IF(H4="被动","02","00"))&amp;LET(  arr, TEXTSPLIT(E4, ","),  vals, XLOOKUP(TRIM(arr), '引用数据库'!N:N, '引用数据库'!P:P, 0),  TEXT(MOD(SUM(--vals),100),"00"))&amp;IF(F4="武器技能","01",IF(F4="武器特技","02",IF(F4="义体技能","03",IF(F4="智脑技能","04","00"))))&amp;BASE(CODE(MID(B4,1,1))*1+CODE(MID(B4,2,1))*2+CODE(MID(B4,3,1))*3,36,2))</f>
      </c>
      <c r="H4" s="204" t="str">
        <v>主动</v>
      </c>
      <c r="I4" s="10"/>
      <c r="J4" s="11" t="str">
        <v>切换</v>
      </c>
      <c r="K4" s="11" t="str">
        <v>N/A</v>
      </c>
      <c r="L4" s="11" t="str">
        <v>N/A</v>
      </c>
      <c r="M4" s="11"/>
      <c r="N4" s="11"/>
      <c r="O4" s="11"/>
      <c r="P4" s="11"/>
      <c r="Q4" s="204"/>
      <c r="R4" s="11"/>
      <c r="S4" s="11"/>
      <c r="T4" s="11">
        <f>SUM(Q4:S4)</f>
      </c>
      <c r="U4" s="11">
        <v>5</v>
      </c>
      <c r="V4" s="11" t="str">
        <v>10/s</v>
      </c>
      <c r="W4" s="11"/>
      <c r="X4" s="205"/>
      <c r="Y4" s="205" t="str">
        <v>集中视线，精确瞄准敌人，减少射击后坐力。</v>
      </c>
      <c r="Z4" s="203" t="str">
        <v>最小武器散布：-100%；武器散布增加：-50%；最大武器散布：-50%；战争迷雾角度：-50%；相机高度：+50%</v>
      </c>
      <c r="AA4" s="203"/>
      <c r="AB4" s="209"/>
      <c r="AC4" s="4"/>
      <c r="AD4" s="11"/>
      <c r="AE4" s="11" t="str">
        <v>完成</v>
      </c>
      <c r="AF4" s="11" t="str">
        <v>完成</v>
      </c>
      <c r="AG4" s="11"/>
      <c r="AH4" s="40" t="str">
        <v>11/27：这个技能本身没问题，但是引出2个问题：体力消耗和能量消耗，我们现在是用一个格子填写的，但是有些技能是触发消耗，有些技能是持续消耗，我觉得最简单是不是可以给两个variante；另外，这个技能是启用后进入CD状态，但CD不计算，效果结束了才计算，我觉得这是个很棒的射击，但是后坐力没能沿用这个设计，可能是BUG，另外就是是否效果结束才计算可能要给个bool让我开关？再就是”怎么样算效果结束“持续效果倒还好，如果是一次性的，放出去的一瞬间就结束还是有个时长的，比如动画时长，这个我只是关心一下设计情况</v>
      </c>
    </row>
    <row r="5">
      <c r="A5" s="15">
        <f>IF(ISBLANK(B5),"",A4+1)</f>
      </c>
      <c r="B5" s="15">
        <f>SUBSTITUTE(SUBSTITUTE(D5," ",""),"'","")</f>
      </c>
      <c r="C5" s="75" t="str">
        <v>宣泄</v>
      </c>
      <c r="D5" s="75" t="str">
        <v>Unleash</v>
      </c>
      <c r="E5" s="207" t="str">
        <v>冲锋枪</v>
      </c>
      <c r="F5" s="1" t="str">
        <v>武器技能</v>
      </c>
      <c r="G5" s="206">
        <f>IF($B5="","","SKL"&amp;IF(H5="主动","01",IF(H5="被动","02","00"))&amp;LET(  arr, TEXTSPLIT(E5, ","),  vals, XLOOKUP(TRIM(arr), '引用数据库'!N:N, '引用数据库'!P:P, 0),  TEXT(MOD(SUM(--vals),100),"00"))&amp;IF(F5="武器技能","01",IF(F5="武器特技","02",IF(F5="义体技能","03",IF(F5="智脑技能","04","00"))))&amp;BASE(CODE(MID(B5,1,1))*1+CODE(MID(B5,2,1))*2+CODE(MID(B5,3,1))*3,36,2))</f>
      </c>
      <c r="H5" s="204" t="str">
        <v>主动</v>
      </c>
      <c r="I5" s="10"/>
      <c r="J5" s="11" t="str">
        <v>瞬发</v>
      </c>
      <c r="K5" s="11" t="str">
        <v>N/A</v>
      </c>
      <c r="L5" s="11" t="str">
        <v>N/A</v>
      </c>
      <c r="M5" s="11"/>
      <c r="N5" s="11"/>
      <c r="O5" s="11"/>
      <c r="P5" s="11"/>
      <c r="Q5" s="204"/>
      <c r="R5" s="11"/>
      <c r="S5" s="11"/>
      <c r="T5" s="11">
        <f>SUM(Q5:S5)</f>
      </c>
      <c r="U5" s="11"/>
      <c r="V5" s="11"/>
      <c r="W5" s="11"/>
      <c r="X5" s="40"/>
      <c r="Y5" s="205" t="str">
        <v>使用后，直接使用储备弹药攻击，无需换弹。</v>
      </c>
      <c r="Z5" s="203" t="str">
        <v>持续时间：4/5/6/7/8/9s。</v>
      </c>
      <c r="AA5" s="203"/>
      <c r="AB5" s="209"/>
      <c r="AC5" s="4"/>
      <c r="AD5" s="11"/>
      <c r="AE5" s="11" t="str">
        <v>完成</v>
      </c>
      <c r="AF5" s="11" t="str">
        <v>完成</v>
      </c>
      <c r="AG5" s="11"/>
      <c r="AH5" s="150"/>
    </row>
    <row r="6">
      <c r="A6" s="15">
        <f>IF(ISBLANK(B6),"",A5+1)</f>
      </c>
      <c r="B6" s="15">
        <f>SUBSTITUTE(SUBSTITUTE(D6," ",""),"'","")</f>
      </c>
      <c r="C6" s="53" t="str">
        <v>全垒打</v>
      </c>
      <c r="D6" s="53" t="str">
        <v>Home Run</v>
      </c>
      <c r="E6" s="207" t="str">
        <v>锤</v>
      </c>
      <c r="F6" s="1" t="str">
        <v>武器技能</v>
      </c>
      <c r="G6" s="206">
        <f>IF($B6="","","SKL"&amp;IF(H6="主动","01",IF(H6="被动","02","00"))&amp;LET(  arr, TEXTSPLIT(E6, ","),  vals, XLOOKUP(TRIM(arr), '引用数据库'!N:N, '引用数据库'!P:P, 0),  TEXT(MOD(SUM(--vals),100),"00"))&amp;IF(F6="武器技能","01",IF(F6="武器特技","02",IF(F6="义体技能","03",IF(F6="智脑技能","04","00"))))&amp;BASE(CODE(MID(B6,1,1))*1+CODE(MID(B6,2,1))*2+CODE(MID(B6,3,1))*3,36,2))</f>
      </c>
      <c r="H6" s="204" t="str">
        <v>主动</v>
      </c>
      <c r="I6" s="3"/>
      <c r="J6" s="11" t="str">
        <v>蓄力</v>
      </c>
      <c r="K6" s="11" t="str">
        <v>定向</v>
      </c>
      <c r="L6" s="11" t="str">
        <v>扇形</v>
      </c>
      <c r="M6" s="11">
        <v>60</v>
      </c>
      <c r="N6" s="11"/>
      <c r="O6" s="11"/>
      <c r="P6" s="11" t="str">
        <v>♾️</v>
      </c>
      <c r="Q6" s="204"/>
      <c r="R6" s="11"/>
      <c r="S6" s="11"/>
      <c r="T6" s="11"/>
      <c r="U6" s="11"/>
      <c r="V6" s="11"/>
      <c r="W6" s="11"/>
      <c r="X6" s="205"/>
      <c r="Y6" s="205" t="str">
        <v>猛击你面前最近的敌人，造成{A}伤害并将其击退，如果途中碰撞到其他敌人，对双方都额外{B}造成伤害。</v>
      </c>
      <c r="Z6" s="203"/>
      <c r="AA6" s="203" t="str">
        <v>A {Spell Damage}：150% * {PostCorrectDamage}；
B: 300% * {PostCorrectDamage}</v>
      </c>
      <c r="AB6" s="209"/>
      <c r="AC6" s="4"/>
      <c r="AD6" s="11"/>
      <c r="AE6" s="11" t="str">
        <v>完成</v>
      </c>
      <c r="AF6" s="11" t="str">
        <v>在做</v>
      </c>
      <c r="AG6" s="11"/>
      <c r="AH6" s="150"/>
    </row>
    <row r="7">
      <c r="A7" s="15">
        <f>IF(ISBLANK(B7),"",A6+1)</f>
      </c>
      <c r="B7" s="15">
        <f>SUBSTITUTE(SUBSTITUTE(D7," ",""),"'","")</f>
      </c>
      <c r="C7" s="75" t="str">
        <v>牵引打击</v>
      </c>
      <c r="D7" s="75" t="str">
        <v>Traction Strike</v>
      </c>
      <c r="E7" s="207" t="str">
        <v>锤</v>
      </c>
      <c r="F7" s="1" t="str">
        <v>武器技能</v>
      </c>
      <c r="G7" s="206">
        <f>IF($B7="","","SKL"&amp;IF(H7="主动","01",IF(H7="被动","02","00"))&amp;LET(  arr, TEXTSPLIT(E7, ","),  vals, XLOOKUP(TRIM(arr), '引用数据库'!N:N, '引用数据库'!P:P, 0),  TEXT(MOD(SUM(--vals),100),"00"))&amp;IF(F7="武器技能","01",IF(F7="武器特技","02",IF(F7="义体技能","03",IF(F7="智脑技能","04","00"))))&amp;BASE(CODE(MID(B7,1,1))*1+CODE(MID(B7,2,1))*2+CODE(MID(B7,3,1))*3,36,2))</f>
      </c>
      <c r="H7" s="204" t="str">
        <v>主动</v>
      </c>
      <c r="I7" s="10"/>
      <c r="J7" s="11" t="str">
        <v>瞄准</v>
      </c>
      <c r="K7" s="11" t="str">
        <v>定向</v>
      </c>
      <c r="L7" s="11" t="str">
        <v>扇形</v>
      </c>
      <c r="M7" s="11">
        <v>90</v>
      </c>
      <c r="N7" s="11"/>
      <c r="O7" s="11"/>
      <c r="P7" s="11" t="str">
        <v>♾️</v>
      </c>
      <c r="Q7" s="204"/>
      <c r="R7" s="11"/>
      <c r="S7" s="11"/>
      <c r="T7" s="11">
        <f>SUM(Q7:S7)</f>
      </c>
      <c r="U7" s="11">
        <v>2</v>
      </c>
      <c r="V7" s="11">
        <v>30</v>
      </c>
      <c r="W7" s="11"/>
      <c r="X7" s="40"/>
      <c r="Y7" s="205" t="str">
        <v>将面前的敌人向你牵引，然后造成一次伤害。</v>
      </c>
      <c r="Z7" s="203" t="str">
        <v>牵引范围：前方4m半径120度扇形内的；打击伤害：150%武器伤害；蓄力期间移速：-100%</v>
      </c>
      <c r="AA7" s="203" t="str" xml:space="preserve">
        <v>{SpellDamage} = </v>
      </c>
      <c r="AB7" s="209"/>
      <c r="AC7" s="208"/>
      <c r="AD7" s="11" t="str">
        <v>YES</v>
      </c>
      <c r="AE7" s="11" t="str">
        <v>要改</v>
      </c>
      <c r="AF7" s="11" t="str">
        <v>完成</v>
      </c>
      <c r="AG7" s="11"/>
      <c r="AH7" s="150" t="str">
        <v>11/27：数值显示有问题</v>
      </c>
    </row>
    <row r="8">
      <c r="A8" s="15">
        <f>IF(ISBLANK(B8),"",A7+1)</f>
      </c>
      <c r="B8" s="15">
        <f>SUBSTITUTE(SUBSTITUTE(D8," ",""),"'","")</f>
      </c>
      <c r="C8" s="53" t="str">
        <v>偷袭</v>
      </c>
      <c r="D8" s="53" t="str">
        <v>Ambush</v>
      </c>
      <c r="E8" s="207" t="str">
        <v>短刀</v>
      </c>
      <c r="F8" s="1" t="str">
        <v>武器技能</v>
      </c>
      <c r="G8" s="206">
        <f>IF($B8="","","SKL"&amp;IF(H8="主动","01",IF(H8="被动","02","00"))&amp;LET(  arr, TEXTSPLIT(E8, ","),  vals, XLOOKUP(TRIM(arr), '引用数据库'!N:N, '引用数据库'!P:P, 0),  TEXT(MOD(SUM(--vals),100),"00"))&amp;IF(F8="武器技能","01",IF(F8="武器特技","02",IF(F8="义体技能","03",IF(F8="智脑技能","04","00"))))&amp;BASE(CODE(MID(B8,1,1))*1+CODE(MID(B8,2,1))*2+CODE(MID(B8,3,1))*3,36,2))</f>
      </c>
      <c r="H8" s="204" t="str">
        <v>主动</v>
      </c>
      <c r="I8" s="3"/>
      <c r="J8" s="11" t="str">
        <v>瞄准</v>
      </c>
      <c r="K8" s="11"/>
      <c r="L8" s="11"/>
      <c r="M8" s="11"/>
      <c r="N8" s="11"/>
      <c r="O8" s="11"/>
      <c r="P8" s="11"/>
      <c r="Q8" s="204"/>
      <c r="R8" s="11"/>
      <c r="S8" s="11"/>
      <c r="T8" s="11"/>
      <c r="U8" s="11"/>
      <c r="V8" s="11"/>
      <c r="W8" s="11"/>
      <c r="X8" s="40"/>
      <c r="Y8" s="205" t="str">
        <v>快速释放一次刺击，对面前的敌人造成伤害。如果敌人没有注意到或背对你，造成额外伤害。</v>
      </c>
      <c r="Z8" s="203" t="str">
        <v>冷却时间：6/5/4/3/2s；伤害：150/200/250/300/350%武器伤害；背身伤害：翻倍</v>
      </c>
      <c r="AA8" s="203"/>
      <c r="AB8" s="209"/>
      <c r="AC8" s="208"/>
      <c r="AD8" s="11"/>
      <c r="AE8" s="11" t="str">
        <v>完成</v>
      </c>
      <c r="AF8" s="11" t="str">
        <v>完成</v>
      </c>
      <c r="AG8" s="11"/>
      <c r="AH8" s="150"/>
    </row>
    <row r="9">
      <c r="A9" s="15">
        <f>IF(ISBLANK(B9),"",A8+1)</f>
      </c>
      <c r="B9" s="15">
        <f>SUBSTITUTE(SUBSTITUTE(D9," ",""),"'","")</f>
      </c>
      <c r="C9" s="53" t="str">
        <v>顺劈斩</v>
      </c>
      <c r="D9" s="53" t="str">
        <v>Cleave</v>
      </c>
      <c r="E9" s="207" t="str">
        <v>短刀</v>
      </c>
      <c r="F9" s="1" t="str">
        <v>武器技能</v>
      </c>
      <c r="G9" s="206">
        <f>IF($B9="","","SKL"&amp;IF(H9="主动","01",IF(H9="被动","02","00"))&amp;LET(  arr, TEXTSPLIT(E9, ","),  vals, XLOOKUP(TRIM(arr), '引用数据库'!N:N, '引用数据库'!P:P, 0),  TEXT(MOD(SUM(--vals),100),"00"))&amp;IF(F9="武器技能","01",IF(F9="武器特技","02",IF(F9="义体技能","03",IF(F9="智脑技能","04","00"))))&amp;BASE(CODE(MID(B9,1,1))*1+CODE(MID(B9,2,1))*2+CODE(MID(B9,3,1))*3,36,2))</f>
      </c>
      <c r="H9" s="204" t="str">
        <v>主动</v>
      </c>
      <c r="I9" s="3"/>
      <c r="J9" s="11" t="str">
        <v>瞬发</v>
      </c>
      <c r="K9" s="11" t="str">
        <v>定向</v>
      </c>
      <c r="L9" s="11" t="str">
        <v>圆形</v>
      </c>
      <c r="M9" s="11">
        <v>360</v>
      </c>
      <c r="N9" s="11"/>
      <c r="O9" s="11"/>
      <c r="P9" s="11">
        <v>0</v>
      </c>
      <c r="Q9" s="204"/>
      <c r="R9" s="11"/>
      <c r="S9" s="11"/>
      <c r="T9" s="11"/>
      <c r="U9" s="11"/>
      <c r="V9" s="11"/>
      <c r="W9" s="11"/>
      <c r="X9" s="40"/>
      <c r="Y9" s="205" t="str">
        <v>快速释放一次回旋攻击，对身边的敌人造成伤害。</v>
      </c>
      <c r="Z9" s="203" t="str">
        <v>冷却时间：6/5/4/3/2s；伤害：200%武器伤害；伤害半径：武器攻击半径；</v>
      </c>
      <c r="AA9" s="203"/>
      <c r="AB9" s="209"/>
      <c r="AC9" s="208"/>
      <c r="AD9" s="11" t="str">
        <v>YES</v>
      </c>
      <c r="AE9" s="11" t="str">
        <v>完成</v>
      </c>
      <c r="AF9" s="11" t="str">
        <v>在做</v>
      </c>
      <c r="AG9" s="11"/>
      <c r="AH9" s="150"/>
    </row>
    <row r="10">
      <c r="A10" s="15">
        <f>IF(ISBLANK(B10),"",A9+1)</f>
      </c>
      <c r="B10" s="15">
        <f>SUBSTITUTE(SUBSTITUTE(D10," ",""),"'","")</f>
      </c>
      <c r="C10" s="53" t="str">
        <v>电磁护盾</v>
      </c>
      <c r="D10" s="53" t="str">
        <v>Electromagnetic Shield</v>
      </c>
      <c r="E10" s="207" t="str">
        <v>巨锤</v>
      </c>
      <c r="F10" s="1" t="str">
        <v>武器技能</v>
      </c>
      <c r="G10" s="206">
        <f>IF($B10="","","SKL"&amp;IF(H10="主动","01",IF(H10="被动","02","00"))&amp;LET(  arr, TEXTSPLIT(E10, ","),  vals, XLOOKUP(TRIM(arr), '引用数据库'!N:N, '引用数据库'!P:P, 0),  TEXT(MOD(SUM(--vals),100),"00"))&amp;IF(F10="武器技能","01",IF(F10="武器特技","02",IF(F10="义体技能","03",IF(F10="智脑技能","04","00"))))&amp;BASE(CODE(MID(B10,1,1))*1+CODE(MID(B10,2,1))*2+CODE(MID(B10,3,1))*3,36,2))</f>
      </c>
      <c r="H10" s="204" t="str">
        <v>主动</v>
      </c>
      <c r="I10" s="3"/>
      <c r="J10" s="11" t="str">
        <v>切换</v>
      </c>
      <c r="K10" s="1" t="str">
        <v>N/A</v>
      </c>
      <c r="L10" s="1" t="str">
        <v>N/A</v>
      </c>
      <c r="M10" s="1"/>
      <c r="N10" s="1"/>
      <c r="O10" s="1"/>
      <c r="P10" s="1"/>
      <c r="Q10" s="204"/>
      <c r="R10" s="11"/>
      <c r="S10" s="11"/>
      <c r="T10" s="11">
        <f>SUM(Q10:S10)</f>
      </c>
      <c r="U10" s="11"/>
      <c r="V10" s="11"/>
      <c r="W10" s="11"/>
      <c r="X10" s="40"/>
      <c r="Y10" s="205" t="str">
        <v>撑起电磁护盾，阻挡前方子弹的攻击。</v>
      </c>
      <c r="Z10" s="203" t="str">
        <v>护盾生命值：200/300/400/500/600；</v>
      </c>
      <c r="AA10" s="203"/>
      <c r="AB10" s="209"/>
      <c r="AC10" s="208"/>
      <c r="AD10" s="1" t="str">
        <v>YES</v>
      </c>
      <c r="AE10" s="1" t="str">
        <v>完成</v>
      </c>
      <c r="AF10" s="11" t="str">
        <v>在做</v>
      </c>
      <c r="AG10" s="11"/>
      <c r="AH10" s="150"/>
    </row>
    <row r="11">
      <c r="A11" s="15">
        <f>IF(ISBLANK(B11),"",A10+1)</f>
      </c>
      <c r="B11" s="15">
        <f>SUBSTITUTE(SUBSTITUTE(D11," ",""),"'","")</f>
      </c>
      <c r="C11" s="75" t="str">
        <v>火箭冲刺</v>
      </c>
      <c r="D11" s="75" t="str">
        <v>Rocket Dash</v>
      </c>
      <c r="E11" s="207" t="str">
        <v>巨锤</v>
      </c>
      <c r="F11" s="1" t="str">
        <v>武器技能</v>
      </c>
      <c r="G11" s="206">
        <f>IF($B11="","","SKL"&amp;IF(H11="主动","01",IF(H11="被动","02","00"))&amp;LET(  arr, TEXTSPLIT(E11, ","),  vals, XLOOKUP(TRIM(arr), '引用数据库'!N:N, '引用数据库'!P:P, 0),  TEXT(MOD(SUM(--vals),100),"00"))&amp;IF(F11="武器技能","01",IF(F11="武器特技","02",IF(F11="义体技能","03",IF(F11="智脑技能","04","00"))))&amp;BASE(CODE(MID(B11,1,1))*1+CODE(MID(B11,2,1))*2+CODE(MID(B11,3,1))*3,36,2))</f>
      </c>
      <c r="H11" s="204" t="str">
        <v>主动</v>
      </c>
      <c r="I11" s="10"/>
      <c r="J11" s="11" t="str">
        <v>瞄准</v>
      </c>
      <c r="K11" s="11"/>
      <c r="L11" s="11"/>
      <c r="M11" s="11"/>
      <c r="N11" s="11"/>
      <c r="O11" s="11"/>
      <c r="P11" s="11"/>
      <c r="Q11" s="204"/>
      <c r="R11" s="11"/>
      <c r="S11" s="11"/>
      <c r="T11" s="11">
        <f>SUM(Q11:S11)</f>
      </c>
      <c r="U11" s="11"/>
      <c r="V11" s="11"/>
      <c r="W11" s="11"/>
      <c r="X11" s="40"/>
      <c r="Y11" s="205" t="str">
        <v>蓄力后向目标方向冲刺，途径的所有单位都会被你压在面前一同冲刺，如果冲刺撞击到墙壁，造成伤害。</v>
      </c>
      <c r="Z11" s="203" t="str">
        <v>冲刺距离；12m
伤害：300/400/500/600/700%武器伤害
CD：15/14/13/12/11s</v>
      </c>
      <c r="AA11" s="203"/>
      <c r="AB11" s="209"/>
      <c r="AC11" s="4"/>
      <c r="AD11" s="11" t="str">
        <v>YES</v>
      </c>
      <c r="AE11" s="11" t="str">
        <v>完成</v>
      </c>
      <c r="AF11" s="11" t="str">
        <v>在做</v>
      </c>
      <c r="AG11" s="11"/>
      <c r="AH11" s="40" t="str">
        <v>没办法正确引用伤害（description）也没办法设置。另外也没办法正确和敌人碰撞（通道问题？）以及会被打开的门挡住</v>
      </c>
    </row>
    <row r="12">
      <c r="A12" s="15">
        <f>IF(ISBLANK(B12),"",A11+1)</f>
      </c>
      <c r="B12" s="15">
        <f>SUBSTITUTE(SUBSTITUTE(D12," ",""),"'","")</f>
      </c>
      <c r="C12" s="53" t="str">
        <v>震荡波</v>
      </c>
      <c r="D12" s="53" t="str">
        <v>Shock Wave</v>
      </c>
      <c r="E12" s="207" t="str">
        <v>巨锤</v>
      </c>
      <c r="F12" s="1" t="str">
        <v>武器技能</v>
      </c>
      <c r="G12" s="206">
        <f>IF($B12="","","SKL"&amp;IF(H12="主动","01",IF(H12="被动","02","00"))&amp;LET(  arr, TEXTSPLIT(E12, ","),  vals, XLOOKUP(TRIM(arr), '引用数据库'!N:N, '引用数据库'!P:P, 0),  TEXT(MOD(SUM(--vals),100),"00"))&amp;IF(F12="武器技能","01",IF(F12="武器特技","02",IF(F12="义体技能","03",IF(F12="智脑技能","04","00"))))&amp;BASE(CODE(MID(B12,1,1))*1+CODE(MID(B12,2,1))*2+CODE(MID(B12,3,1))*3,36,2))</f>
      </c>
      <c r="H12" s="204" t="str">
        <v>主动</v>
      </c>
      <c r="I12" s="3"/>
      <c r="J12" s="11" t="str">
        <v>瞬发</v>
      </c>
      <c r="K12" s="11" t="str">
        <v>N/A</v>
      </c>
      <c r="L12" s="11" t="str">
        <v>圆形</v>
      </c>
      <c r="M12" s="11"/>
      <c r="N12" s="11"/>
      <c r="O12" s="11"/>
      <c r="P12" s="11"/>
      <c r="Q12" s="204"/>
      <c r="R12" s="11"/>
      <c r="S12" s="11"/>
      <c r="T12" s="11"/>
      <c r="U12" s="11"/>
      <c r="V12" s="11"/>
      <c r="W12" s="11"/>
      <c r="X12" s="40"/>
      <c r="Y12" s="205" t="str">
        <v>反复敲击地面，对附近造成范围伤害，期间可以缓慢移动</v>
      </c>
      <c r="Z12" s="203"/>
      <c r="AA12" s="203"/>
      <c r="AB12" s="209"/>
      <c r="AC12" s="208"/>
      <c r="AD12" s="11" t="str">
        <v>YES</v>
      </c>
      <c r="AE12" s="11" t="str">
        <v>完成</v>
      </c>
      <c r="AF12" s="11" t="str">
        <v>在做</v>
      </c>
      <c r="AG12" s="11"/>
      <c r="AH12" s="150"/>
    </row>
    <row r="13">
      <c r="A13" s="15">
        <f>IF(ISBLANK(B13),"",A12+1)</f>
      </c>
      <c r="B13" s="15" t="str">
        <v>BrilliantDebut</v>
      </c>
      <c r="C13" s="75" t="str">
        <v>闪亮登场</v>
      </c>
      <c r="D13" s="75" t="str">
        <v>Brilliant Debut</v>
      </c>
      <c r="E13" s="207" t="str">
        <v>巨剑</v>
      </c>
      <c r="F13" s="1" t="str">
        <v>武器技能</v>
      </c>
      <c r="G13" s="206">
        <f>IF($B13="","","SKL"&amp;IF(H13="主动","01",IF(H13="被动","02","00"))&amp;LET(  arr, TEXTSPLIT(E13, ","),  vals, XLOOKUP(TRIM(arr), '引用数据库'!N:N, '引用数据库'!P:P, 0),  TEXT(MOD(SUM(--vals),100),"00"))&amp;IF(F13="武器技能","01",IF(F13="武器特技","02",IF(F13="义体技能","03",IF(F13="智脑技能","04","00"))))&amp;BASE(CODE(MID(B13,1,1))*1+CODE(MID(B13,2,1))*2+CODE(MID(B13,3,1))*3,36,2))</f>
      </c>
      <c r="H13" s="204" t="str">
        <v>主动</v>
      </c>
      <c r="I13" s="10"/>
      <c r="J13" s="11" t="str">
        <v>瞄准</v>
      </c>
      <c r="K13" s="11" t="str">
        <v>定点</v>
      </c>
      <c r="L13" s="11" t="str">
        <v>圆形</v>
      </c>
      <c r="M13" s="11">
        <v>360</v>
      </c>
      <c r="N13" s="11"/>
      <c r="O13" s="11"/>
      <c r="P13" s="11"/>
      <c r="Q13" s="204"/>
      <c r="R13" s="11"/>
      <c r="S13" s="11"/>
      <c r="T13" s="11">
        <f>SUM(Q13:S13)</f>
      </c>
      <c r="U13" s="11"/>
      <c r="V13" s="11"/>
      <c r="W13" s="11"/>
      <c r="X13" s="40"/>
      <c r="Y13" s="205" t="str">
        <v>按下瞄准，释放后跳到目标位置，对范围内的敌人造成武器伤害。</v>
      </c>
      <c r="Z13" s="203" t="str">
        <v>造成伤害：300%武器伤害；伤害范围：3m；跳跃距离极限：6m</v>
      </c>
      <c r="AA13" s="203"/>
      <c r="AB13" s="209"/>
      <c r="AC13" s="4"/>
      <c r="AD13" s="11" t="str">
        <v>YES</v>
      </c>
      <c r="AE13" s="11" t="str">
        <v>完成</v>
      </c>
      <c r="AF13" s="11" t="str">
        <v>在做</v>
      </c>
      <c r="AG13" s="11"/>
      <c r="AH13" s="150"/>
    </row>
    <row r="14">
      <c r="A14" s="15">
        <f>IF(ISBLANK(B14),"",A13+1)</f>
      </c>
      <c r="B14" s="15">
        <f>SUBSTITUTE(SUBSTITUTE(D14," ",""),"'","")</f>
      </c>
      <c r="C14" s="53" t="str">
        <v>旋风斩</v>
      </c>
      <c r="D14" s="53" t="str">
        <v>Whirlwind</v>
      </c>
      <c r="E14" s="207" t="str">
        <v>巨剑</v>
      </c>
      <c r="F14" s="1" t="str">
        <v>武器技能</v>
      </c>
      <c r="G14" s="206">
        <f>IF($B14="","","SKL"&amp;IF(H14="主动","01",IF(H14="被动","02","00"))&amp;LET(  arr, TEXTSPLIT(E14, ","),  vals, XLOOKUP(TRIM(arr), '引用数据库'!N:N, '引用数据库'!P:P, 0),  TEXT(MOD(SUM(--vals),100),"00"))&amp;IF(F14="武器技能","01",IF(F14="武器特技","02",IF(F14="义体技能","03",IF(F14="智脑技能","04","00"))))&amp;BASE(CODE(MID(B14,1,1))*1+CODE(MID(B14,2,1))*2+CODE(MID(B14,3,1))*3,36,2))</f>
      </c>
      <c r="H14" s="204" t="str">
        <v>主动</v>
      </c>
      <c r="I14" s="3"/>
      <c r="J14" s="11" t="str">
        <v>蓄力</v>
      </c>
      <c r="K14" s="11"/>
      <c r="L14" s="11"/>
      <c r="M14" s="11"/>
      <c r="N14" s="11"/>
      <c r="O14" s="11"/>
      <c r="P14" s="11"/>
      <c r="Q14" s="204"/>
      <c r="R14" s="11"/>
      <c r="S14" s="11"/>
      <c r="T14" s="11"/>
      <c r="U14" s="11"/>
      <c r="V14" s="11"/>
      <c r="W14" s="11"/>
      <c r="X14" s="40"/>
      <c r="Y14" s="205" t="str">
        <v>蓄力准备，释放后开始边旋转武器边移动，对附近的敌人造成伤害。</v>
      </c>
      <c r="Z14" s="203" t="str">
        <v>持续时间：3/4/5/6/7s；伤害半径：武器攻击半径；伤害：150%武器伤害/0.5s；最小蓄力时长：3s；</v>
      </c>
      <c r="AA14" s="203"/>
      <c r="AB14" s="209"/>
      <c r="AC14" s="208"/>
      <c r="AD14" s="11" t="str">
        <v>YES</v>
      </c>
      <c r="AE14" s="11" t="str">
        <v>完成</v>
      </c>
      <c r="AF14" s="11" t="str">
        <v>在做</v>
      </c>
      <c r="AG14" s="11"/>
      <c r="AH14" s="150" t="str">
        <v>存在韧性/冲击判定相关的问题</v>
      </c>
    </row>
    <row r="15">
      <c r="A15" s="15">
        <f>IF(ISBLANK(B15),"",A14+1)</f>
      </c>
      <c r="B15" s="15">
        <f>SUBSTITUTE(SUBSTITUTE(D15," ",""),"'","")</f>
      </c>
      <c r="C15" s="75" t="str">
        <v>集中喷射</v>
      </c>
      <c r="D15" s="75" t="str">
        <v>Focused Spray</v>
      </c>
      <c r="E15" s="207" t="str">
        <v>喷射器</v>
      </c>
      <c r="F15" s="1" t="str">
        <v>武器技能</v>
      </c>
      <c r="G15" s="206">
        <f>IF($B15="","","SKL"&amp;IF(H15="主动","01",IF(H15="被动","02","00"))&amp;LET(  arr, TEXTSPLIT(E15, ","),  vals, XLOOKUP(TRIM(arr), '引用数据库'!N:N, '引用数据库'!P:P, 0),  TEXT(MOD(SUM(--vals),100),"00"))&amp;IF(F15="武器技能","01",IF(F15="武器特技","02",IF(F15="义体技能","03",IF(F15="智脑技能","04","00"))))&amp;BASE(CODE(MID(B15,1,1))*1+CODE(MID(B15,2,1))*2+CODE(MID(B15,3,1))*3,36,2))</f>
      </c>
      <c r="H15" s="204" t="str">
        <v>主动</v>
      </c>
      <c r="I15" s="10"/>
      <c r="J15" s="11" t="str">
        <v>瞬发</v>
      </c>
      <c r="K15" s="11"/>
      <c r="L15" s="11"/>
      <c r="M15" s="11"/>
      <c r="N15" s="11"/>
      <c r="O15" s="11"/>
      <c r="P15" s="11"/>
      <c r="Q15" s="204"/>
      <c r="R15" s="11"/>
      <c r="S15" s="11"/>
      <c r="T15" s="11"/>
      <c r="U15" s="11"/>
      <c r="V15" s="11"/>
      <c r="W15" s="11"/>
      <c r="X15" s="40"/>
      <c r="Y15" s="205" t="str">
        <v>使用后视野与子弹散布角度减小，射程延长，并造成【伤害增加】伤害。</v>
      </c>
      <c r="Z15" s="203" t="str">
        <v>持续时间：6/8/10/12/14s
角度缩小：-80%
射程延长：+200%</v>
      </c>
      <c r="AA15" s="203" t="str">
        <v>伤害增加：+25/30/35/40/45%</v>
      </c>
      <c r="AB15" s="209"/>
      <c r="AC15" s="4"/>
      <c r="AD15" s="11"/>
      <c r="AE15" s="11" t="str">
        <v>完成</v>
      </c>
      <c r="AF15" s="11" t="str">
        <v>在做</v>
      </c>
      <c r="AG15" s="11"/>
      <c r="AH15" s="150"/>
    </row>
    <row r="16">
      <c r="A16" s="15">
        <f>IF(ISBLANK(B16),"",A15+1)</f>
      </c>
      <c r="B16" s="15">
        <f>SUBSTITUTE(SUBSTITUTE(D16," ",""),"'","")</f>
      </c>
      <c r="C16" s="75" t="str">
        <v>自爆</v>
      </c>
      <c r="D16" s="75" t="str">
        <v>Self Explode</v>
      </c>
      <c r="E16" s="207" t="str">
        <v>喷射器</v>
      </c>
      <c r="F16" s="1" t="str">
        <v>武器技能</v>
      </c>
      <c r="G16" s="206">
        <f>IF($B16="","","SKL"&amp;IF(H16="主动","01",IF(H16="被动","02","00"))&amp;LET(  arr, TEXTSPLIT(E16, ","),  vals, XLOOKUP(TRIM(arr), '引用数据库'!N:N, '引用数据库'!P:P, 0),  TEXT(MOD(SUM(--vals),100),"00"))&amp;IF(F16="武器技能","01",IF(F16="武器特技","02",IF(F16="义体技能","03",IF(F16="智脑技能","04","00"))))&amp;BASE(CODE(MID(B16,1,1))*1+CODE(MID(B16,2,1))*2+CODE(MID(B16,3,1))*3,36,2))</f>
      </c>
      <c r="H16" s="204" t="str">
        <v>主动</v>
      </c>
      <c r="I16" s="10"/>
      <c r="J16" s="11" t="str">
        <v>蓄力</v>
      </c>
      <c r="K16" s="11"/>
      <c r="L16" s="11"/>
      <c r="M16" s="11"/>
      <c r="N16" s="11"/>
      <c r="O16" s="11"/>
      <c r="P16" s="11"/>
      <c r="Q16" s="204"/>
      <c r="R16" s="11"/>
      <c r="S16" s="11"/>
      <c r="T16" s="11"/>
      <c r="U16" s="11"/>
      <c r="V16" s="11"/>
      <c r="W16" s="11"/>
      <c r="X16" s="40"/>
      <c r="Y16" s="205" t="str">
        <v>蓄力后爆炸，以你自己为中心造成大额范围伤害，该伤害会被护甲吸收。</v>
      </c>
      <c r="Z16" s="203"/>
      <c r="AA16" s="203"/>
      <c r="AB16" s="209"/>
      <c r="AC16" s="4"/>
      <c r="AD16" s="11" t="str">
        <v>YES</v>
      </c>
      <c r="AE16" s="11" t="str">
        <v>完成</v>
      </c>
      <c r="AF16" s="11" t="str">
        <v>在做</v>
      </c>
      <c r="AG16" s="11"/>
      <c r="AH16" s="150"/>
    </row>
    <row r="17">
      <c r="A17" s="15">
        <f>IF(ISBLANK(B17),"",A16+1)</f>
      </c>
      <c r="B17" s="15">
        <f>SUBSTITUTE(SUBSTITUTE(D17," ",""),"'","")</f>
      </c>
      <c r="C17" s="75" t="str">
        <v>定点引爆</v>
      </c>
      <c r="D17" s="75" t="str">
        <v>Targeted Detonation</v>
      </c>
      <c r="E17" s="207" t="str">
        <v>喷射器</v>
      </c>
      <c r="F17" s="1" t="str">
        <v>武器技能</v>
      </c>
      <c r="G17" s="206">
        <f>IF($B17="","","SKL"&amp;IF(H17="主动","01",IF(H17="被动","02","00"))&amp;LET(  arr, TEXTSPLIT(E17, ","),  vals, XLOOKUP(TRIM(arr), '引用数据库'!N:N, '引用数据库'!P:P, 0),  TEXT(MOD(SUM(--vals),100),"00"))&amp;IF(F17="武器技能","01",IF(F17="武器特技","02",IF(F17="义体技能","03",IF(F17="智脑技能","04","00"))))&amp;BASE(CODE(MID(B17,1,1))*1+CODE(MID(B17,2,1))*2+CODE(MID(B17,3,1))*3,36,2))</f>
      </c>
      <c r="H17" s="204" t="str">
        <v>主动</v>
      </c>
      <c r="I17" s="10"/>
      <c r="J17" s="11" t="str">
        <v>瞬发</v>
      </c>
      <c r="K17" s="11"/>
      <c r="L17" s="11"/>
      <c r="M17" s="11"/>
      <c r="N17" s="11"/>
      <c r="O17" s="11"/>
      <c r="P17" s="11"/>
      <c r="Q17" s="204"/>
      <c r="R17" s="11"/>
      <c r="S17" s="11"/>
      <c r="T17" s="11"/>
      <c r="U17" s="11"/>
      <c r="V17" s="11"/>
      <c r="W17" s="11"/>
      <c r="X17" s="205"/>
      <c r="Y17" s="205" t="str">
        <v>对脚下发射一次攻击，对范围内的敌人造成伤害，并将包括你在内的所有对象击退。</v>
      </c>
      <c r="Z17" s="203" t="str">
        <v>伤害：150/200/250/300/350%武器伤害；CD：10s</v>
      </c>
      <c r="AA17" s="203"/>
      <c r="AB17" s="209"/>
      <c r="AC17" s="4"/>
      <c r="AD17" s="11"/>
      <c r="AE17" s="11" t="str">
        <v>待办</v>
      </c>
      <c r="AF17" s="11" t="str">
        <v>不急</v>
      </c>
      <c r="AG17" s="11"/>
      <c r="AH17" s="150"/>
    </row>
    <row r="18">
      <c r="A18" s="15">
        <f>IF(ISBLANK(B18),"",A17+1)</f>
      </c>
      <c r="B18" s="15">
        <f>SUBSTITUTE(SUBSTITUTE(D18," ",""),"'","")</f>
      </c>
      <c r="C18" s="75" t="str">
        <v>牛仔</v>
      </c>
      <c r="D18" s="75" t="str">
        <v>Cowboy</v>
      </c>
      <c r="E18" s="207" t="str">
        <v>手枪</v>
      </c>
      <c r="F18" s="1" t="str">
        <v>武器技能</v>
      </c>
      <c r="G18" s="206">
        <f>IF($B18="","","SKL"&amp;IF(H18="主动","01",IF(H18="被动","02","00"))&amp;LET(  arr, TEXTSPLIT(E18, ","),  vals, XLOOKUP(TRIM(arr), '引用数据库'!N:N, '引用数据库'!P:P, 0),  TEXT(MOD(SUM(--vals),100),"00"))&amp;IF(F18="武器技能","01",IF(F18="武器特技","02",IF(F18="义体技能","03",IF(F18="智脑技能","04","00"))))&amp;BASE(CODE(MID(B18,1,1))*1+CODE(MID(B18,2,1))*2+CODE(MID(B18,3,1))*3,36,2))</f>
      </c>
      <c r="H18" s="204" t="str">
        <v>主动</v>
      </c>
      <c r="I18" s="10"/>
      <c r="J18" s="11" t="str">
        <v>瞬发</v>
      </c>
      <c r="K18" s="11"/>
      <c r="L18" s="11"/>
      <c r="M18" s="11"/>
      <c r="N18" s="11"/>
      <c r="O18" s="11"/>
      <c r="P18" s="11"/>
      <c r="Q18" s="204"/>
      <c r="R18" s="11"/>
      <c r="S18" s="11"/>
      <c r="T18" s="11">
        <f>SUM(Q18:S18)</f>
      </c>
      <c r="U18" s="11" t="str">
        <v>8/7/6/5/4</v>
      </c>
      <c r="V18" s="11"/>
      <c r="W18" s="11"/>
      <c r="X18" s="205"/>
      <c r="Y18" s="205" t="str">
        <v>无法移动，但手中的武器可以手动极快发射，伤害提升，直至弹夹耗尽。</v>
      </c>
      <c r="Z18" s="203" t="str">
        <v>武器切换为：半自动；
攻击前摇、后摇、间隔：-100%；</v>
      </c>
      <c r="AA18" s="203"/>
      <c r="AB18" s="209"/>
      <c r="AC18" s="4"/>
      <c r="AD18" s="11"/>
      <c r="AE18" s="11" t="str">
        <v>完成</v>
      </c>
      <c r="AF18" s="11" t="str">
        <v>在做</v>
      </c>
      <c r="AG18" s="11"/>
      <c r="AH18" s="150"/>
    </row>
    <row r="19">
      <c r="A19" s="15">
        <f>IF(ISBLANK(B19),"",A18+1)</f>
      </c>
      <c r="B19" s="15">
        <f>SUBSTITUTE(SUBSTITUTE(D19," ",""),"'","")</f>
      </c>
      <c r="C19" s="75" t="str">
        <v>快速换弹</v>
      </c>
      <c r="D19" s="75" t="str">
        <v>Fast Reload</v>
      </c>
      <c r="E19" s="207" t="str">
        <v>手枪</v>
      </c>
      <c r="F19" s="1" t="str">
        <v>武器技能</v>
      </c>
      <c r="G19" s="206">
        <f>IF($B19="","","SKL"&amp;IF(H19="主动","01",IF(H19="被动","02","00"))&amp;LET(  arr, TEXTSPLIT(E19, ","),  vals, XLOOKUP(TRIM(arr), '引用数据库'!N:N, '引用数据库'!P:P, 0),  TEXT(MOD(SUM(--vals),100),"00"))&amp;IF(F19="武器技能","01",IF(F19="武器特技","02",IF(F19="义体技能","03",IF(F19="智脑技能","04","00"))))&amp;BASE(CODE(MID(B19,1,1))*1+CODE(MID(B19,2,1))*2+CODE(MID(B19,3,1))*3,36,2))</f>
      </c>
      <c r="H19" s="204" t="str">
        <v>主动</v>
      </c>
      <c r="I19" s="10"/>
      <c r="J19" s="11" t="str">
        <v>瞬发</v>
      </c>
      <c r="K19" s="11"/>
      <c r="L19" s="11"/>
      <c r="M19" s="11"/>
      <c r="N19" s="11"/>
      <c r="O19" s="11"/>
      <c r="P19" s="11"/>
      <c r="Q19" s="204"/>
      <c r="R19" s="11"/>
      <c r="S19" s="11"/>
      <c r="T19" s="11">
        <f>SUM(Q19:S19)</f>
      </c>
      <c r="U19" s="11" t="str">
        <v>8/7/6/5/4</v>
      </c>
      <c r="V19" s="11">
        <v>20</v>
      </c>
      <c r="W19" s="11"/>
      <c r="X19" s="40"/>
      <c r="Y19" s="205" t="str">
        <v>立刻补满当前武器的弹夹。</v>
      </c>
      <c r="Z19" s="203"/>
      <c r="AA19" s="203"/>
      <c r="AB19" s="209"/>
      <c r="AC19" s="4"/>
      <c r="AD19" s="11"/>
      <c r="AE19" s="11" t="str">
        <v>完成</v>
      </c>
      <c r="AF19" s="11" t="str">
        <v>在做</v>
      </c>
      <c r="AG19" s="11"/>
      <c r="AH19" s="150"/>
    </row>
    <row r="20">
      <c r="A20" s="15">
        <f>IF(ISBLANK(B20),"",A19+1)</f>
      </c>
      <c r="B20" s="15">
        <f>SUBSTITUTE(SUBSTITUTE(D20," ",""),"'","")</f>
      </c>
      <c r="C20" s="75" t="str">
        <v>麻痹射击</v>
      </c>
      <c r="D20" s="75" t="str">
        <v>Paralysis Shot</v>
      </c>
      <c r="E20" s="207" t="str">
        <v>手枪</v>
      </c>
      <c r="F20" s="1" t="str">
        <v>武器技能</v>
      </c>
      <c r="G20" s="206">
        <f>IF($B20="","","SKL"&amp;IF(H20="主动","01",IF(H20="被动","02","00"))&amp;LET(  arr, TEXTSPLIT(E20, ","),  vals, XLOOKUP(TRIM(arr), '引用数据库'!N:N, '引用数据库'!P:P, 0),  TEXT(MOD(SUM(--vals),100),"00"))&amp;IF(F20="武器技能","01",IF(F20="武器特技","02",IF(F20="义体技能","03",IF(F20="智脑技能","04","00"))))&amp;BASE(CODE(MID(B20,1,1))*1+CODE(MID(B20,2,1))*2+CODE(MID(B20,3,1))*3,36,2))</f>
      </c>
      <c r="H20" s="204" t="str">
        <v>主动</v>
      </c>
      <c r="I20" s="10"/>
      <c r="J20" s="11" t="str">
        <v>瞄准</v>
      </c>
      <c r="K20" s="11"/>
      <c r="L20" s="11"/>
      <c r="M20" s="11"/>
      <c r="N20" s="11"/>
      <c r="O20" s="11"/>
      <c r="P20" s="11"/>
      <c r="Q20" s="204"/>
      <c r="R20" s="11"/>
      <c r="S20" s="11"/>
      <c r="T20" s="11">
        <f>SUM(Q20:S20)</f>
      </c>
      <c r="U20" s="11" t="str">
        <v>10/8/6/4/2</v>
      </c>
      <c r="V20" s="11"/>
      <c r="W20" s="11"/>
      <c r="X20" s="24"/>
      <c r="Y20" s="213" t="str">
        <v>发射一发麻痹弹，对击中的第一个敌人造成武器伤害，以及额外电磁异常。</v>
      </c>
      <c r="Z20" s="212" t="str">
        <v>伤害：150/200/250/300/350%
电磁异常：150
CD：10/8/6/4/2s</v>
      </c>
      <c r="AA20" s="212"/>
      <c r="AB20" s="211"/>
      <c r="AC20" s="4"/>
      <c r="AD20" s="11" t="str">
        <v>YES</v>
      </c>
      <c r="AE20" s="11" t="str">
        <v>完成</v>
      </c>
      <c r="AF20" s="11" t="str">
        <v>在做</v>
      </c>
      <c r="AG20" s="11"/>
      <c r="AH20" s="150"/>
    </row>
    <row r="21">
      <c r="A21" s="15">
        <f>IF(ISBLANK(B21),"",A20+1)</f>
      </c>
      <c r="B21" s="15">
        <f>SUBSTITUTE(SUBSTITUTE(D21," ",""),"'","")</f>
      </c>
      <c r="C21" s="75" t="str">
        <v>刃反</v>
      </c>
      <c r="D21" s="75" t="str">
        <v>Blade Reflect</v>
      </c>
      <c r="E21" s="207" t="str">
        <v>武士刀</v>
      </c>
      <c r="F21" s="1" t="str">
        <v>武器技能</v>
      </c>
      <c r="G21" s="206">
        <f>IF($B21="","","SKL"&amp;IF(H21="主动","01",IF(H21="被动","02","00"))&amp;LET(  arr, TEXTSPLIT(E21, ","),  vals, XLOOKUP(TRIM(arr), '引用数据库'!N:N, '引用数据库'!P:P, 0),  TEXT(MOD(SUM(--vals),100),"00"))&amp;IF(F21="武器技能","01",IF(F21="武器特技","02",IF(F21="义体技能","03",IF(F21="智脑技能","04","00"))))&amp;BASE(CODE(MID(B21,1,1))*1+CODE(MID(B21,2,1))*2+CODE(MID(B21,3,1))*3,36,2))</f>
      </c>
      <c r="H21" s="204" t="str">
        <v>主动</v>
      </c>
      <c r="I21" s="10"/>
      <c r="J21" s="11" t="str">
        <v>引导</v>
      </c>
      <c r="K21" s="11"/>
      <c r="L21" s="11"/>
      <c r="M21" s="11"/>
      <c r="N21" s="11"/>
      <c r="O21" s="11"/>
      <c r="P21" s="11"/>
      <c r="Q21" s="204"/>
      <c r="R21" s="11"/>
      <c r="S21" s="11"/>
      <c r="T21" s="11">
        <f>SUM(Q21:S21)</f>
      </c>
      <c r="U21" s="11"/>
      <c r="V21" s="11"/>
      <c r="W21" s="11"/>
      <c r="X21" s="40"/>
      <c r="Y21" s="205" t="str">
        <v>举起武器格挡子弹，反射来自你面前的远程攻击。</v>
      </c>
      <c r="Z21" s="203" t="str">
        <v>反射范围：120度；持续时间：5s</v>
      </c>
      <c r="AA21" s="203"/>
      <c r="AB21" s="209"/>
      <c r="AC21" s="4"/>
      <c r="AD21" s="11"/>
      <c r="AE21" s="11" t="str">
        <v>完成</v>
      </c>
      <c r="AF21" s="11" t="str">
        <v>在做</v>
      </c>
      <c r="AG21" s="11"/>
      <c r="AH21" s="150"/>
    </row>
    <row r="22">
      <c r="A22" s="15">
        <f>IF(ISBLANK(B22),"",A21+1)</f>
      </c>
      <c r="B22" s="15">
        <f>SUBSTITUTE(SUBSTITUTE(D22," ",""),"'","")</f>
      </c>
      <c r="C22" s="75" t="str">
        <v>居合斩</v>
      </c>
      <c r="D22" s="75" t="str">
        <v>Laigiri</v>
      </c>
      <c r="E22" s="207" t="str">
        <v>武士刀</v>
      </c>
      <c r="F22" s="1" t="str">
        <v>武器技能</v>
      </c>
      <c r="G22" s="206">
        <f>IF($B22="","","SKL"&amp;IF(H22="主动","01",IF(H22="被动","02","00"))&amp;LET(  arr, TEXTSPLIT(E22, ","),  vals, XLOOKUP(TRIM(arr), '引用数据库'!N:N, '引用数据库'!P:P, 0),  TEXT(MOD(SUM(--vals),100),"00"))&amp;IF(F22="武器技能","01",IF(F22="武器特技","02",IF(F22="义体技能","03",IF(F22="智脑技能","04","00"))))&amp;BASE(CODE(MID(B22,1,1))*1+CODE(MID(B22,2,1))*2+CODE(MID(B22,3,1))*3,36,2))</f>
      </c>
      <c r="H22" s="204" t="str">
        <v>主动</v>
      </c>
      <c r="I22" s="10"/>
      <c r="J22" s="11" t="str">
        <v>蓄力</v>
      </c>
      <c r="K22" s="11"/>
      <c r="L22" s="11"/>
      <c r="M22" s="11"/>
      <c r="N22" s="11"/>
      <c r="O22" s="11"/>
      <c r="P22" s="11"/>
      <c r="Q22" s="204"/>
      <c r="R22" s="11"/>
      <c r="S22" s="11"/>
      <c r="T22" s="11">
        <f>SUM(Q22:S22)</f>
      </c>
      <c r="U22" s="11">
        <v>5</v>
      </c>
      <c r="V22" s="11">
        <v>50</v>
      </c>
      <c r="W22" s="11"/>
      <c r="X22" s="40"/>
      <c r="Y22" s="205" t="str">
        <v>使用后蓄力，释放后向前冲刺，并对途经的敌人造成武器伤害。</v>
      </c>
      <c r="Z22" s="203" t="str">
        <v>冲刺距离：6m；伤害：200%武器伤害；蓄力期间移速：-100%</v>
      </c>
      <c r="AA22" s="203"/>
      <c r="AB22" s="209"/>
      <c r="AC22" s="4"/>
      <c r="AD22" s="11"/>
      <c r="AE22" s="11" t="str">
        <v>完成</v>
      </c>
      <c r="AF22" s="11" t="str">
        <v>在做</v>
      </c>
      <c r="AG22" s="11"/>
      <c r="AH22" s="150"/>
    </row>
    <row r="23">
      <c r="A23" s="15">
        <f>IF(ISBLANK(B23),"",A22+1)</f>
      </c>
      <c r="B23" s="15">
        <f>SUBSTITUTE(SUBSTITUTE(D23," ",""),"'","")</f>
      </c>
      <c r="C23" s="75" t="str">
        <v>龙息弹</v>
      </c>
      <c r="D23" s="75" t="str">
        <v>Dragon's Breath Shot</v>
      </c>
      <c r="E23" s="207" t="str">
        <v>霰弹枪</v>
      </c>
      <c r="F23" s="1" t="str">
        <v>武器技能</v>
      </c>
      <c r="G23" s="206">
        <f>IF($B23="","","SKL"&amp;IF(H23="主动","01",IF(H23="被动","02","00"))&amp;LET(  arr, TEXTSPLIT(E23, ","),  vals, XLOOKUP(TRIM(arr), '引用数据库'!N:N, '引用数据库'!P:P, 0),  TEXT(MOD(SUM(--vals),100),"00"))&amp;IF(F23="武器技能","01",IF(F23="武器特技","02",IF(F23="义体技能","03",IF(F23="智脑技能","04","00"))))&amp;BASE(CODE(MID(B23,1,1))*1+CODE(MID(B23,2,1))*2+CODE(MID(B23,3,1))*3,36,2))</f>
      </c>
      <c r="H23" s="204" t="str">
        <v>主动</v>
      </c>
      <c r="I23" s="10"/>
      <c r="J23" s="11" t="str">
        <v>瞬发</v>
      </c>
      <c r="K23" s="11"/>
      <c r="L23" s="11"/>
      <c r="M23" s="11"/>
      <c r="N23" s="11"/>
      <c r="O23" s="11"/>
      <c r="P23" s="11"/>
      <c r="Q23" s="204"/>
      <c r="R23" s="11"/>
      <c r="S23" s="11"/>
      <c r="T23" s="11"/>
      <c r="U23" s="11"/>
      <c r="V23" s="11"/>
      <c r="W23" s="11"/>
      <c r="X23" s="40"/>
      <c r="Y23" s="205" t="str">
        <v>发射一颗龙息弹，对面前范围内所有敌人造成伤害，将你自己向后击退。</v>
      </c>
      <c r="Z23" s="203" t="str">
        <v>造成伤害：100% (武器伤害 x 弹丸数量)；子弹消耗：1</v>
      </c>
      <c r="AA23" s="203"/>
      <c r="AB23" s="209"/>
      <c r="AC23" s="4"/>
      <c r="AD23" s="11"/>
      <c r="AE23" s="11" t="str">
        <v>要改</v>
      </c>
      <c r="AF23" s="11" t="str">
        <v>在做</v>
      </c>
      <c r="AG23" s="11"/>
      <c r="AH23" s="150" t="str">
        <v>加一个后退位移的效果，否则太没用了</v>
      </c>
    </row>
    <row r="24">
      <c r="A24" s="15">
        <f>IF(ISBLANK(B24),"",A23+1)</f>
      </c>
      <c r="B24" s="15">
        <f>SUBSTITUTE(SUBSTITUTE(D24," ",""),"'","")</f>
      </c>
      <c r="C24" s="75" t="str">
        <v>独头弹</v>
      </c>
      <c r="D24" s="75" t="str">
        <v>Slug Shot</v>
      </c>
      <c r="E24" s="207" t="str">
        <v>霰弹枪</v>
      </c>
      <c r="F24" s="1" t="str">
        <v>武器技能</v>
      </c>
      <c r="G24" s="206">
        <f>IF($B24="","","SKL"&amp;IF(H24="主动","01",IF(H24="被动","02","00"))&amp;LET(  arr, TEXTSPLIT(E24, ","),  vals, XLOOKUP(TRIM(arr), '引用数据库'!N:N, '引用数据库'!P:P, 0),  TEXT(MOD(SUM(--vals),100),"00"))&amp;IF(F24="武器技能","01",IF(F24="武器特技","02",IF(F24="义体技能","03",IF(F24="智脑技能","04","00"))))&amp;BASE(CODE(MID(B24,1,1))*1+CODE(MID(B24,2,1))*2+CODE(MID(B24,3,1))*3,36,2))</f>
      </c>
      <c r="H24" s="204" t="str">
        <v>主动</v>
      </c>
      <c r="I24" s="10"/>
      <c r="J24" s="11" t="str">
        <v>瞄准</v>
      </c>
      <c r="K24" s="11"/>
      <c r="L24" s="11"/>
      <c r="M24" s="11"/>
      <c r="N24" s="11"/>
      <c r="O24" s="11"/>
      <c r="P24" s="11"/>
      <c r="Q24" s="204"/>
      <c r="R24" s="11"/>
      <c r="S24" s="11"/>
      <c r="T24" s="11">
        <f>SUM(Q24:S24)</f>
      </c>
      <c r="U24" s="11" t="str">
        <v>10/8/6/4/2s</v>
      </c>
      <c r="V24" s="11"/>
      <c r="W24" s="11"/>
      <c r="X24" s="40"/>
      <c r="Y24" s="205" t="str">
        <v>消耗弹夹内所有子弹，发射一颗独头弹，造成高额伤害。</v>
      </c>
      <c r="Z24" s="203" t="str">
        <v>造成伤害：100% (武器伤害 x 弹丸数量)；子弹消耗：1</v>
      </c>
      <c r="AA24" s="203"/>
      <c r="AB24" s="209"/>
      <c r="AC24" s="4"/>
      <c r="AD24" s="11"/>
      <c r="AE24" s="11" t="str">
        <v>完成</v>
      </c>
      <c r="AF24" s="11" t="str">
        <v>在做</v>
      </c>
      <c r="AG24" s="11"/>
      <c r="AH24" s="150"/>
    </row>
    <row r="25">
      <c r="A25" s="15">
        <f>IF(ISBLANK(B25),"",A24+1)</f>
      </c>
      <c r="B25" s="15">
        <f>SUBSTITUTE(SUBSTITUTE(D25," ",""),"'","")</f>
      </c>
      <c r="C25" s="53" t="str">
        <v>战术翻滚</v>
      </c>
      <c r="D25" s="53" t="str">
        <v>Tactical Roll</v>
      </c>
      <c r="E25" s="207" t="str">
        <v>霰弹枪</v>
      </c>
      <c r="F25" s="1" t="str">
        <v>武器技能</v>
      </c>
      <c r="G25" s="206">
        <f>IF($B25="","","SKL"&amp;IF(H25="主动","01",IF(H25="被动","02","00"))&amp;LET(  arr, TEXTSPLIT(E25, ","),  vals, XLOOKUP(TRIM(arr), '引用数据库'!N:N, '引用数据库'!P:P, 0),  TEXT(MOD(SUM(--vals),100),"00"))&amp;IF(F25="武器技能","01",IF(F25="武器特技","02",IF(F25="义体技能","03",IF(F25="智脑技能","04","00"))))&amp;BASE(CODE(MID(B25,1,1))*1+CODE(MID(B25,2,1))*2+CODE(MID(B25,3,1))*3,36,2))</f>
      </c>
      <c r="H25" s="204" t="str">
        <v>主动</v>
      </c>
      <c r="I25" s="3"/>
      <c r="J25" s="11" t="str">
        <v>瞬发</v>
      </c>
      <c r="K25" s="11"/>
      <c r="L25" s="11"/>
      <c r="M25" s="11"/>
      <c r="N25" s="11"/>
      <c r="O25" s="11"/>
      <c r="P25" s="11"/>
      <c r="Q25" s="204"/>
      <c r="R25" s="11"/>
      <c r="S25" s="11"/>
      <c r="T25" s="11"/>
      <c r="U25" s="11"/>
      <c r="V25" s="11"/>
      <c r="W25" s="11"/>
      <c r="X25" s="40"/>
      <c r="Y25" s="205" t="s">
        <v>9</v>
      </c>
      <c r="Z25" s="203"/>
      <c r="AA25" s="203"/>
      <c r="AB25" s="209"/>
      <c r="AC25" s="208"/>
      <c r="AD25" s="11"/>
      <c r="AE25" s="11" t="str">
        <v>完成</v>
      </c>
      <c r="AF25" s="11" t="str">
        <v>在做</v>
      </c>
      <c r="AG25" s="11"/>
      <c r="AH25" s="150"/>
    </row>
    <row r="26">
      <c r="A26" s="15">
        <f>IF(ISBLANK(B26),"",A25+1)</f>
      </c>
      <c r="B26" s="15">
        <f>SUBSTITUTE(SUBSTITUTE(D26," ",""),"'","")</f>
      </c>
      <c r="C26" s="53" t="str">
        <v>达姆弹</v>
      </c>
      <c r="D26" s="53" t="str">
        <v>Dum-dum Bullet</v>
      </c>
      <c r="E26" s="207" t="str">
        <v>步枪</v>
      </c>
      <c r="F26" s="1" t="str">
        <v>武器技能</v>
      </c>
      <c r="G26" s="206">
        <f>IF($B26="","","SKL"&amp;IF(H26="主动","01",IF(H26="被动","02","00"))&amp;LET(  arr, TEXTSPLIT(E26, ","),  vals, XLOOKUP(TRIM(arr), '引用数据库'!N:N, '引用数据库'!P:P, 0),  TEXT(MOD(SUM(--vals),100),"00"))&amp;IF(F26="武器技能","01",IF(F26="武器特技","02",IF(F26="义体技能","03",IF(F26="智脑技能","04","00"))))&amp;BASE(CODE(MID(B26,1,1))*1+CODE(MID(B26,2,1))*2+CODE(MID(B26,3,1))*3,36,2))</f>
      </c>
      <c r="H26" s="1" t="str">
        <v>主动</v>
      </c>
      <c r="I26" s="3"/>
      <c r="J26" s="1" t="str">
        <v>瞄准</v>
      </c>
      <c r="K26" s="11"/>
      <c r="L26" s="11"/>
      <c r="M26" s="11"/>
      <c r="N26" s="11"/>
      <c r="O26" s="11"/>
      <c r="P26" s="11"/>
      <c r="Q26" s="204"/>
      <c r="R26" s="1"/>
      <c r="S26" s="1"/>
      <c r="T26" s="11">
        <f>SUM(Q26:S26)</f>
      </c>
      <c r="U26" s="1"/>
      <c r="V26" s="1"/>
      <c r="W26" s="1"/>
      <c r="X26" s="203"/>
      <c r="Y26" s="203" t="s">
        <v>10</v>
      </c>
      <c r="Z26" s="203" t="str">
        <v>流血伤害：{200%}武器面板伤害。
直接伤害：{200%}武器面板伤害。</v>
      </c>
      <c r="AA26" s="203"/>
      <c r="AB26" s="209"/>
      <c r="AC26" s="4"/>
      <c r="AD26" s="11"/>
      <c r="AE26" s="11" t="str">
        <v>待办</v>
      </c>
      <c r="AF26" s="11" t="str">
        <v>不急</v>
      </c>
      <c r="AG26" s="11"/>
      <c r="AH26" s="150"/>
    </row>
    <row r="27">
      <c r="A27" s="15">
        <f>IF(ISBLANK(B27),"",A26+1)</f>
      </c>
      <c r="B27" s="15">
        <f>SUBSTITUTE(SUBSTITUTE(D27," ",""),"'","")</f>
      </c>
      <c r="C27" s="75" t="str">
        <v>登龙斩</v>
      </c>
      <c r="D27" s="75" t="str">
        <v>Rising Dragon Slash</v>
      </c>
      <c r="E27" s="207" t="str">
        <v>武士刀</v>
      </c>
      <c r="F27" s="1" t="str">
        <v>武器技能</v>
      </c>
      <c r="G27" s="206">
        <f>IF($B27="","","SKL"&amp;IF(H27="主动","01",IF(H27="被动","02","00"))&amp;LET(  arr, TEXTSPLIT(E27, ","),  vals, XLOOKUP(TRIM(arr), '引用数据库'!N:N, '引用数据库'!P:P, 0),  TEXT(MOD(SUM(--vals),100),"00"))&amp;IF(F27="武器技能","01",IF(F27="武器特技","02",IF(F27="义体技能","03",IF(F27="智脑技能","04","00"))))&amp;BASE(CODE(MID(B27,1,1))*1+CODE(MID(B27,2,1))*2+CODE(MID(B27,3,1))*3,36,2))</f>
      </c>
      <c r="H27" s="204" t="str">
        <v>主动</v>
      </c>
      <c r="I27" s="10"/>
      <c r="J27" s="11" t="str">
        <v>蓄力</v>
      </c>
      <c r="K27" s="11"/>
      <c r="L27" s="11"/>
      <c r="M27" s="11"/>
      <c r="N27" s="11"/>
      <c r="O27" s="11"/>
      <c r="P27" s="11"/>
      <c r="Q27" s="204"/>
      <c r="R27" s="11"/>
      <c r="S27" s="11"/>
      <c r="T27" s="11">
        <f>SUM(Q27:S27)</f>
      </c>
      <c r="U27" s="11"/>
      <c r="V27" s="11"/>
      <c r="W27" s="11"/>
      <c r="X27" s="205"/>
      <c r="Y27" s="205" t="str">
        <v>高高跃起后落下，对落点位置的敌人造成多次武器伤害。</v>
      </c>
      <c r="Z27" s="203" t="str">
        <v>跃起持续时间：1.5s；造成伤害：5 x 100%武器伤害，间隔0.15s；伤害范围：2m；跳跃期间可以使用移动改变落点，移动速度 - 50%</v>
      </c>
      <c r="AA27" s="203"/>
      <c r="AB27" s="209"/>
      <c r="AC27" s="4"/>
      <c r="AD27" s="11"/>
      <c r="AE27" s="11" t="str">
        <v>待办</v>
      </c>
      <c r="AF27" s="11" t="str">
        <v>不急</v>
      </c>
      <c r="AG27" s="11"/>
      <c r="AH27" s="150"/>
    </row>
    <row r="28">
      <c r="A28" s="15">
        <f>IF(ISBLANK(B28),"",A27+1)</f>
      </c>
      <c r="B28" s="15">
        <f>SUBSTITUTE(SUBSTITUTE(D28," ",""),"'","")</f>
      </c>
      <c r="C28" s="75" t="str">
        <v>蓄能攻击</v>
      </c>
      <c r="D28" s="75" t="str">
        <v>Charged Attack</v>
      </c>
      <c r="E28" s="207" t="str">
        <v>狙击枪</v>
      </c>
      <c r="F28" s="1" t="str">
        <v>武器技能</v>
      </c>
      <c r="G28" s="206">
        <f>IF($B28="","","SKL"&amp;IF(H28="主动","01",IF(H28="被动","02","00"))&amp;LET(  arr, TEXTSPLIT(E28, ","),  vals, XLOOKUP(TRIM(arr), '引用数据库'!N:N, '引用数据库'!P:P, 0),  TEXT(MOD(SUM(--vals),100),"00"))&amp;IF(F28="武器技能","01",IF(F28="武器特技","02",IF(F28="义体技能","03",IF(F28="智脑技能","04","00"))))&amp;BASE(CODE(MID(B28,1,1))*1+CODE(MID(B28,2,1))*2+CODE(MID(B28,3,1))*3,36,2))</f>
      </c>
      <c r="H28" s="204" t="str">
        <v>主动</v>
      </c>
      <c r="I28" s="10"/>
      <c r="J28" s="11" t="str">
        <v>切换</v>
      </c>
      <c r="K28" s="11"/>
      <c r="L28" s="11"/>
      <c r="M28" s="11"/>
      <c r="N28" s="11"/>
      <c r="O28" s="11"/>
      <c r="P28" s="11"/>
      <c r="Q28" s="204"/>
      <c r="R28" s="11"/>
      <c r="S28" s="11"/>
      <c r="T28" s="11">
        <f>SUM(Q28:S28)</f>
      </c>
      <c r="U28" s="11">
        <v>10</v>
      </c>
      <c r="V28" s="11">
        <v>20</v>
      </c>
      <c r="W28" s="11"/>
      <c r="X28" s="205"/>
      <c r="Y28" s="205" t="s">
        <v>11</v>
      </c>
      <c r="Z28" s="203" t="str">
        <v>蓄能伤害：100%武器伤害/s；伤害上限：400/600/800/1000/1200%武器伤害；蓄力期间移速：-50%</v>
      </c>
      <c r="AA28" s="203"/>
      <c r="AB28" s="209"/>
      <c r="AC28" s="4"/>
      <c r="AD28" s="11"/>
      <c r="AE28" s="11" t="str">
        <v>待办</v>
      </c>
      <c r="AF28" s="11" t="str">
        <v>不急</v>
      </c>
      <c r="AG28" s="11"/>
      <c r="AH28" s="150"/>
    </row>
    <row r="29">
      <c r="A29" s="15">
        <f>IF(ISBLANK(B29),"",A28+1)</f>
      </c>
      <c r="B29" s="15">
        <f>SUBSTITUTE(SUBSTITUTE(D29," ",""),"'","")</f>
      </c>
      <c r="C29" s="75" t="str">
        <v>猎手标记</v>
      </c>
      <c r="D29" s="75" t="str">
        <v>HunterTagging</v>
      </c>
      <c r="E29" s="207" t="str">
        <v>狙击枪</v>
      </c>
      <c r="F29" s="1" t="str">
        <v>武器技能</v>
      </c>
      <c r="G29" s="206">
        <f>IF($B29="","","SKL"&amp;IF(H29="主动","01",IF(H29="被动","02","00"))&amp;LET(  arr, TEXTSPLIT(E29, ","),  vals, XLOOKUP(TRIM(arr), '引用数据库'!N:N, '引用数据库'!P:P, 0),  TEXT(MOD(SUM(--vals),100),"00"))&amp;IF(F29="武器技能","01",IF(F29="武器特技","02",IF(F29="义体技能","03",IF(F29="智脑技能","04","00"))))&amp;BASE(CODE(MID(B29,1,1))*1+CODE(MID(B29,2,1))*2+CODE(MID(B29,3,1))*3,36,2))</f>
      </c>
      <c r="H29" s="204" t="str">
        <v>主动</v>
      </c>
      <c r="I29" s="10"/>
      <c r="J29" s="11" t="str">
        <v>瞄准</v>
      </c>
      <c r="K29" s="11"/>
      <c r="L29" s="11"/>
      <c r="M29" s="11"/>
      <c r="N29" s="11"/>
      <c r="O29" s="11"/>
      <c r="P29" s="11"/>
      <c r="Q29" s="204"/>
      <c r="R29" s="11"/>
      <c r="S29" s="11"/>
      <c r="T29" s="11">
        <f>SUM(Q29:S29)</f>
      </c>
      <c r="U29" s="11" t="str">
        <v>8/7/6/5/4</v>
      </c>
      <c r="V29" s="11">
        <v>20</v>
      </c>
      <c r="W29" s="11"/>
      <c r="X29" s="205"/>
      <c r="Y29" s="205" t="str">
        <v>对目标发射一发没有伤害的标记弹，并施加{X}层[[易伤]]状态。</v>
      </c>
      <c r="Z29" s="203"/>
      <c r="AA29" s="203"/>
      <c r="AB29" s="209"/>
      <c r="AC29" s="4"/>
      <c r="AD29" s="11"/>
      <c r="AE29" s="11" t="str">
        <v>待办</v>
      </c>
      <c r="AF29" s="11" t="str">
        <v>不急</v>
      </c>
      <c r="AG29" s="11"/>
      <c r="AH29" s="150"/>
    </row>
    <row r="30">
      <c r="A30" s="15">
        <f>IF(ISBLANK(B30),"",A29+1)</f>
      </c>
      <c r="B30" s="15">
        <f>SUBSTITUTE(SUBSTITUTE(D30," ",""),"'","")</f>
      </c>
      <c r="C30" s="53" t="str">
        <v>初次见面</v>
      </c>
      <c r="D30" s="53" t="str">
        <v>First Contact</v>
      </c>
      <c r="E30" s="210"/>
      <c r="F30" s="1" t="str">
        <v>武器特技</v>
      </c>
      <c r="G30" s="206">
        <f>IF($B30="","","SKL"&amp;IF(H30="主动","01",IF(H30="被动","02","00"))&amp;LET(  arr, TEXTSPLIT(E30, ","),  vals, XLOOKUP(TRIM(arr), '引用数据库'!N:N, '引用数据库'!P:P, 0),  TEXT(MOD(SUM(--vals),100),"00"))&amp;IF(F30="武器技能","01",IF(F30="武器特技","02",IF(F30="义体技能","03",IF(F30="智脑技能","04","00"))))&amp;BASE(CODE(MID(B30,1,1))*1+CODE(MID(B30,2,1))*2+CODE(MID(B30,3,1))*3,36,2))</f>
      </c>
      <c r="H30" s="1" t="str">
        <v>被动</v>
      </c>
      <c r="I30" s="3" t="str">
        <v>DS左轮</v>
      </c>
      <c r="J30" s="1"/>
      <c r="K30" s="1"/>
      <c r="L30" s="1"/>
      <c r="M30" s="1"/>
      <c r="N30" s="1"/>
      <c r="O30" s="1"/>
      <c r="P30" s="1"/>
      <c r="Q30" s="204"/>
      <c r="R30" s="1"/>
      <c r="S30" s="1"/>
      <c r="T30" s="11"/>
      <c r="U30" s="1"/>
      <c r="V30" s="1"/>
      <c r="W30" s="1"/>
      <c r="X30" s="203"/>
      <c r="Y30" s="203" t="str">
        <v>该武器被切换到手中的第一次攻击，造成+300%伤害。</v>
      </c>
      <c r="Z30" s="203"/>
      <c r="AA30" s="203"/>
      <c r="AB30" s="209"/>
      <c r="AC30" s="4"/>
      <c r="AD30" s="1"/>
      <c r="AE30" s="11" t="str">
        <v>待办</v>
      </c>
      <c r="AF30" s="1"/>
      <c r="AG30" s="1"/>
      <c r="AH30" s="2"/>
    </row>
    <row r="31">
      <c r="A31" s="15">
        <f>IF(ISBLANK(B31),"",A30+1)</f>
      </c>
      <c r="B31" s="15">
        <f>SUBSTITUTE(SUBSTITUTE(D31," ",""),"'","")</f>
      </c>
      <c r="C31" s="53" t="str">
        <v>炎尽于此</v>
      </c>
      <c r="D31" s="53" t="str">
        <v>Flame's End</v>
      </c>
      <c r="E31" s="210"/>
      <c r="F31" s="1" t="str">
        <v>武器特技</v>
      </c>
      <c r="G31" s="206">
        <f>IF($B31="","","SKL"&amp;IF(H31="主动","01",IF(H31="被动","02","00"))&amp;LET(  arr, TEXTSPLIT(E31, ","),  vals, XLOOKUP(TRIM(arr), '引用数据库'!N:N, '引用数据库'!P:P, 0),  TEXT(MOD(SUM(--vals),100),"00"))&amp;IF(F31="武器技能","01",IF(F31="武器特技","02",IF(F31="义体技能","03",IF(F31="智脑技能","04","00"))))&amp;BASE(CODE(MID(B31,1,1))*1+CODE(MID(B31,2,1))*2+CODE(MID(B31,3,1))*3,36,2))</f>
      </c>
      <c r="H31" s="1" t="str">
        <v>被动</v>
      </c>
      <c r="I31" s="3" t="str">
        <v>若火</v>
      </c>
      <c r="J31" s="1"/>
      <c r="K31" s="1"/>
      <c r="L31" s="1"/>
      <c r="M31" s="1"/>
      <c r="N31" s="1"/>
      <c r="O31" s="1"/>
      <c r="P31" s="1"/>
      <c r="Q31" s="204"/>
      <c r="R31" s="1"/>
      <c r="S31" s="1"/>
      <c r="T31" s="11">
        <f>SUM(Q31:S31)</f>
      </c>
      <c r="U31" s="1"/>
      <c r="V31" s="1"/>
      <c r="W31" s="1"/>
      <c r="X31" s="203"/>
      <c r="Y31" s="203" t="str">
        <v>被攻击的对象如果受到“灼烧”效果，移除该效果，并造成伤害。</v>
      </c>
      <c r="Z31" s="203" t="str">
        <v>造成伤害：被移除的“灼烧”效果的全额伤害</v>
      </c>
      <c r="AA31" s="203"/>
      <c r="AB31" s="209"/>
      <c r="AC31" s="4"/>
      <c r="AD31" s="1"/>
      <c r="AE31" s="11" t="str">
        <v>待办</v>
      </c>
      <c r="AF31" s="1"/>
      <c r="AG31" s="1"/>
      <c r="AH31" s="2"/>
    </row>
    <row r="32">
      <c r="A32" s="15">
        <f>IF(ISBLANK(B32),"",A31+1)</f>
      </c>
      <c r="B32" s="15">
        <f>SUBSTITUTE(SUBSTITUTE(D32," ",""),"'","")</f>
      </c>
      <c r="C32" s="53" t="str">
        <v>赌客</v>
      </c>
      <c r="D32" s="53" t="str">
        <v>Gambler</v>
      </c>
      <c r="E32" s="210"/>
      <c r="F32" s="1" t="str">
        <v>武器特技</v>
      </c>
      <c r="G32" s="206">
        <f>IF($B32="","","SKL"&amp;IF(H32="主动","01",IF(H32="被动","02","00"))&amp;LET(  arr, TEXTSPLIT(E32, ","),  vals, XLOOKUP(TRIM(arr), '引用数据库'!N:N, '引用数据库'!P:P, 0),  TEXT(MOD(SUM(--vals),100),"00"))&amp;IF(F32="武器技能","01",IF(F32="武器特技","02",IF(F32="义体技能","03",IF(F32="智脑技能","04","00"))))&amp;BASE(CODE(MID(B32,1,1))*1+CODE(MID(B32,2,1))*2+CODE(MID(B32,3,1))*3,36,2))</f>
      </c>
      <c r="H32" s="1" t="str">
        <v>被动</v>
      </c>
      <c r="I32" s="3" t="str">
        <v>幸运39</v>
      </c>
      <c r="J32" s="1"/>
      <c r="K32" s="1"/>
      <c r="L32" s="1"/>
      <c r="M32" s="1"/>
      <c r="N32" s="1"/>
      <c r="O32" s="1"/>
      <c r="P32" s="1"/>
      <c r="Q32" s="204"/>
      <c r="R32" s="1"/>
      <c r="S32" s="1"/>
      <c r="T32" s="11"/>
      <c r="U32" s="1"/>
      <c r="V32" s="1"/>
      <c r="W32" s="1"/>
      <c r="X32" s="203"/>
      <c r="Y32" s="203" t="str">
        <v>该武器有33%的概率，造成+333%伤害，但有33%的概率炸膛，对自己造成33伤害。</v>
      </c>
      <c r="Z32" s="203"/>
      <c r="AA32" s="203"/>
      <c r="AB32" s="209"/>
      <c r="AC32" s="4"/>
      <c r="AD32" s="1"/>
      <c r="AE32" s="11" t="str">
        <v>待办</v>
      </c>
      <c r="AF32" s="1"/>
      <c r="AG32" s="1"/>
      <c r="AH32" s="2"/>
    </row>
    <row r="33">
      <c r="A33" s="15">
        <f>IF(ISBLANK(B33),"",A32+1)</f>
      </c>
      <c r="B33" s="15">
        <f>SUBSTITUTE(SUBSTITUTE(D33," ",""),"'","")</f>
      </c>
      <c r="C33" s="53" t="str">
        <v>火神开道</v>
      </c>
      <c r="D33" s="53" t="str">
        <v>Partis Temporus</v>
      </c>
      <c r="E33" s="210"/>
      <c r="F33" s="1" t="str">
        <v>武器特技</v>
      </c>
      <c r="G33" s="206">
        <f>IF($B33="","","SKL"&amp;IF(H33="主动","01",IF(H33="被动","02","00"))&amp;LET(  arr, TEXTSPLIT(E33, ","),  vals, XLOOKUP(TRIM(arr), '引用数据库'!N:N, '引用数据库'!P:P, 0),  TEXT(MOD(SUM(--vals),100),"00"))&amp;IF(F33="武器技能","01",IF(F33="武器特技","02",IF(F33="义体技能","03",IF(F33="智脑技能","04","00"))))&amp;BASE(CODE(MID(B33,1,1))*1+CODE(MID(B33,2,1))*2+CODE(MID(B33,3,1))*3,36,2))</f>
      </c>
      <c r="H33" s="1" t="str">
        <v>被动</v>
      </c>
      <c r="I33" s="3" t="str">
        <v>火舌</v>
      </c>
      <c r="J33" s="1"/>
      <c r="K33" s="1"/>
      <c r="L33" s="1"/>
      <c r="M33" s="1"/>
      <c r="N33" s="1"/>
      <c r="O33" s="1"/>
      <c r="P33" s="1"/>
      <c r="Q33" s="204"/>
      <c r="R33" s="1"/>
      <c r="S33" s="1"/>
      <c r="T33" s="11">
        <f>SUM(Q33:S33)</f>
      </c>
      <c r="U33" s="1"/>
      <c r="V33" s="1"/>
      <c r="W33" s="1"/>
      <c r="X33" s="203"/>
      <c r="Y33" s="203" t="str">
        <v>移动时攻击，有【触发概率】会在子弹轨迹上留下火焰道路，对道路内的角色频繁造成伤害和属性积累，火焰道路持续一段时间后逐渐消失。</v>
      </c>
      <c r="Z33" s="203" t="str">
        <v>持续时间：5s；</v>
      </c>
      <c r="AA33" s="203" t="str">
        <v>触发概率：30%</v>
      </c>
      <c r="AB33" s="209" t="str">
        <v>伤害间隔：0.1s 全局
每跳伤害：10%武器伤害；
每跳积累：50%武器属性积累；</v>
      </c>
      <c r="AC33" s="4"/>
      <c r="AD33" s="1"/>
      <c r="AE33" s="11" t="str">
        <v>待办</v>
      </c>
      <c r="AF33" s="1"/>
      <c r="AG33" s="1"/>
      <c r="AH33" s="2"/>
    </row>
    <row r="34">
      <c r="A34" s="15">
        <f>IF(ISBLANK(B34),"",A33+1)</f>
      </c>
      <c r="B34" s="15">
        <f>SUBSTITUTE(SUBSTITUTE(D34," ",""),"'","")</f>
      </c>
      <c r="C34" s="53" t="str">
        <v>灵活补给</v>
      </c>
      <c r="D34" s="53" t="str">
        <v>Quick Resupply</v>
      </c>
      <c r="E34" s="210"/>
      <c r="F34" s="1" t="str">
        <v>武器特技</v>
      </c>
      <c r="G34" s="206">
        <f>IF($B34="","","SKL"&amp;IF(H34="主动","01",IF(H34="被动","02","00"))&amp;LET(  arr, TEXTSPLIT(E34, ","),  vals, XLOOKUP(TRIM(arr), '引用数据库'!N:N, '引用数据库'!P:P, 0),  TEXT(MOD(SUM(--vals),100),"00"))&amp;IF(F34="武器技能","01",IF(F34="武器特技","02",IF(F34="义体技能","03",IF(F34="智脑技能","04","00"))))&amp;BASE(CODE(MID(B34,1,1))*1+CODE(MID(B34,2,1))*2+CODE(MID(B34,3,1))*3,36,2))</f>
      </c>
      <c r="H34" s="1" t="str">
        <v>被动</v>
      </c>
      <c r="I34" s="3" t="str">
        <v>火舌</v>
      </c>
      <c r="J34" s="1"/>
      <c r="K34" s="1"/>
      <c r="L34" s="1"/>
      <c r="M34" s="1"/>
      <c r="N34" s="1"/>
      <c r="O34" s="1"/>
      <c r="P34" s="1"/>
      <c r="Q34" s="204"/>
      <c r="R34" s="1"/>
      <c r="S34" s="1"/>
      <c r="T34" s="11"/>
      <c r="U34" s="1"/>
      <c r="V34" s="1"/>
      <c r="W34" s="1"/>
      <c r="X34" s="203"/>
      <c r="Y34" s="203" t="str">
        <v>该武器有50%的概率，攻击时不消耗子弹。</v>
      </c>
      <c r="Z34" s="203"/>
      <c r="AA34" s="203"/>
      <c r="AB34" s="209"/>
      <c r="AC34" s="4"/>
      <c r="AD34" s="1"/>
      <c r="AE34" s="11" t="str">
        <v>待办</v>
      </c>
      <c r="AF34" s="1"/>
      <c r="AG34" s="1"/>
      <c r="AH34" s="2"/>
    </row>
    <row r="35">
      <c r="A35" s="15">
        <f>IF(ISBLANK(B35),"",A34+1)</f>
      </c>
      <c r="B35" s="15">
        <f>SUBSTITUTE(SUBSTITUTE(D35," ",""),"'","")</f>
      </c>
      <c r="C35" s="53" t="str">
        <v>焦土行动</v>
      </c>
      <c r="D35" s="53" t="str">
        <v>Scorched Earth</v>
      </c>
      <c r="E35" s="210"/>
      <c r="F35" s="1" t="str">
        <v>武器特技</v>
      </c>
      <c r="G35" s="206">
        <f>IF($B35="","","SKL"&amp;IF(H35="主动","01",IF(H35="被动","02","00"))&amp;LET(  arr, TEXTSPLIT(E35, ","),  vals, XLOOKUP(TRIM(arr), '引用数据库'!N:N, '引用数据库'!P:P, 0),  TEXT(MOD(SUM(--vals),100),"00"))&amp;IF(F35="武器技能","01",IF(F35="武器特技","02",IF(F35="义体技能","03",IF(F35="智脑技能","04","00"))))&amp;BASE(CODE(MID(B35,1,1))*1+CODE(MID(B35,2,1))*2+CODE(MID(B35,3,1))*3,36,2))</f>
      </c>
      <c r="H35" s="1" t="str">
        <v>被动</v>
      </c>
      <c r="I35" s="3" t="str">
        <v>若火</v>
      </c>
      <c r="J35" s="1"/>
      <c r="K35" s="1"/>
      <c r="L35" s="1"/>
      <c r="M35" s="1"/>
      <c r="N35" s="1"/>
      <c r="O35" s="1"/>
      <c r="P35" s="1"/>
      <c r="Q35" s="204"/>
      <c r="R35" s="1"/>
      <c r="S35" s="1"/>
      <c r="T35" s="11">
        <f>SUM(Q35:S35)</f>
      </c>
      <c r="U35" s="1"/>
      <c r="V35" s="1"/>
      <c r="W35" s="1"/>
      <c r="X35" s="203"/>
      <c r="Y35" s="203" t="str">
        <v>攻击后移动时，有【触发概率】会在移动轨迹上留下火焰道路，对道路内的角色频繁造成伤害和属性积累，火焰道路持续一段时间后逐渐消失。</v>
      </c>
      <c r="Z35" s="203" t="str">
        <v>伤害间隔：0.5s攻击间隔；每跳伤害：10%武器伤害；每跳属性积累：5；
持续时间：5s；火团生成间距：0.5m；生成间隔：2s</v>
      </c>
      <c r="AA35" s="203" t="str">
        <v>触发概率：30%</v>
      </c>
      <c r="AB35" s="209" t="str">
        <v>伤害间隔：0.1s 全局
每跳伤害：10%武器伤害；
每跳积累：50%武器属性积累；</v>
      </c>
      <c r="AC35" s="4"/>
      <c r="AD35" s="1"/>
      <c r="AE35" s="11" t="str">
        <v>待办</v>
      </c>
      <c r="AF35" s="1"/>
      <c r="AG35" s="1"/>
      <c r="AH35" s="2"/>
    </row>
    <row r="36">
      <c r="A36" s="15">
        <f>IF(ISBLANK(B36),"",A35+1)</f>
      </c>
      <c r="B36" s="15">
        <f>SUBSTITUTE(SUBSTITUTE(D36," ",""),"'","")</f>
      </c>
      <c r="C36" s="53" t="str">
        <v>引火烧身</v>
      </c>
      <c r="D36" s="53" t="str">
        <v>Self Ignition</v>
      </c>
      <c r="E36" s="210"/>
      <c r="F36" s="1" t="str">
        <v>武器特技</v>
      </c>
      <c r="G36" s="206">
        <f>IF($B36="","","SKL"&amp;IF(H36="主动","01",IF(H36="被动","02","00"))&amp;LET(  arr, TEXTSPLIT(E36, ","),  vals, XLOOKUP(TRIM(arr), '引用数据库'!N:N, '引用数据库'!P:P, 0),  TEXT(MOD(SUM(--vals),100),"00"))&amp;IF(F36="武器技能","01",IF(F36="武器特技","02",IF(F36="义体技能","03",IF(F36="智脑技能","04","00"))))&amp;BASE(CODE(MID(B36,1,1))*1+CODE(MID(B36,2,1))*2+CODE(MID(B36,3,1))*3,36,2))</f>
      </c>
      <c r="H36" s="1" t="str">
        <v>被动</v>
      </c>
      <c r="I36" s="3"/>
      <c r="J36" s="1"/>
      <c r="K36" s="1"/>
      <c r="L36" s="1"/>
      <c r="M36" s="1"/>
      <c r="N36" s="1"/>
      <c r="O36" s="1"/>
      <c r="P36" s="1"/>
      <c r="Q36" s="204"/>
      <c r="R36" s="1"/>
      <c r="S36" s="1"/>
      <c r="T36" s="11">
        <f>SUM(Q36:S36)</f>
      </c>
      <c r="U36" s="1"/>
      <c r="V36" s="1"/>
      <c r="W36" s="1"/>
      <c r="X36" s="203"/>
      <c r="Y36" s="203" t="str">
        <v>每次攻击，对你自己也造成属性积累，但对敌人造成的属性积累翻倍。</v>
      </c>
      <c r="Z36" s="203"/>
      <c r="AA36" s="203"/>
      <c r="AB36" s="209"/>
      <c r="AC36" s="4"/>
      <c r="AD36" s="1"/>
      <c r="AE36" s="11" t="str">
        <v>待办</v>
      </c>
      <c r="AF36" s="1"/>
      <c r="AG36" s="1"/>
      <c r="AH36" s="2"/>
    </row>
  </sheetData>
  <dataValidations count="6">
    <dataValidation allowBlank="true" errorStyle="stop" showDropDown="true" showErrorMessage="true" sqref="AF2:AF36 AE2:AE36" type="list">
      <formula1>"待办,要改,在做,完成,不急"</formula1>
    </dataValidation>
    <dataValidation allowBlank="true" errorStyle="stop" showDropDown="true" showErrorMessage="true" sqref="L2:L36" type="list">
      <formula1>"扇形,线性,圆形,N/A"</formula1>
    </dataValidation>
    <dataValidation allowBlank="true" errorStyle="stop" showDropDown="true" showErrorMessage="true" sqref="J2:J36" type="list">
      <formula1>"瞬发,切换,瞄准,蓄力,引导"</formula1>
    </dataValidation>
    <dataValidation allowBlank="true" errorStyle="stop" showDropDown="true" showErrorMessage="true" sqref="H2:H36" type="list">
      <formula1>"主动,被动"</formula1>
    </dataValidation>
    <dataValidation allowBlank="true" errorStyle="stop" showDropDown="true" showErrorMessage="true" sqref="F2:F36" type="list">
      <formula1>"武器技能,智脑技能,武器特技"</formula1>
    </dataValidation>
    <dataValidation allowBlank="true" errorStyle="stop" showDropDown="true" showErrorMessage="true" sqref="K2:K36" type="list">
      <formula1>"定点,定向,N/A"</formula1>
    </dataValidation>
  </dataValidations>
  <legacyDrawing r:id="rId1"/>
  <extLst>
    <ext xmlns:x14="http://schemas.microsoft.com/office/spreadsheetml/2009/9/main" uri="{CCE6A557-97BC-4b89-ADB6-D9C93CAAB3DF}">
      <x14:dataValidations xmlns:xm="http://schemas.microsoft.com/office/excel/2006/main" count="2">
        <x14:dataValidation type="list" allowBlank="true" errorStyle="stop" showDropDown="true" showErrorMessage="true" xr:uid="{E01BB332-3B1C-45C5-B488-87D5E4981DAA}">
          <x14:formula1>
            <xm:f>'引用数据库'!$N$2:$N$25</xm:f>
          </x14:formula1>
          <xm:sqref>E2:E36</xm:sqref>
        </x14:dataValidation>
        <x14:dataValidation type="list" allowBlank="true" errorStyle="stop" showDropDown="true" showErrorMessage="true" xr:uid="{A23909F6-9A6E-4535-BCD2-54D2441E418F}">
          <x14:formula1>
            <xm:f>'武器'!$B$4:$B$107</xm:f>
          </x14:formula1>
          <xm:sqref>I30:I36</xm:sqref>
        </x14:dataValidation>
      </x14:dataValidations>
    </ext>
  </extLst>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7edafb"/>
    <outlinePr summaryBelow="false" summaryRight="false"/>
  </sheetPr>
  <dimension ref="A1"/>
  <sheetViews>
    <sheetView showGridLines="true" workbookViewId="0">
      <pane state="frozen" topLeftCell="D2" xSplit="3" ySplit="1"/>
    </sheetView>
  </sheetViews>
  <sheetFormatPr defaultColWidth="14" defaultRowHeight="19"/>
  <cols>
    <col collapsed="false" customWidth="true" hidden="false" max="1" min="1" style="0" width="3"/>
    <col collapsed="false" customWidth="true" hidden="false" max="2" min="2" style="0" width="17"/>
    <col collapsed="false" customWidth="true" hidden="false" max="3" min="3" style="0" width="8"/>
    <col collapsed="false" customWidth="true" hidden="false" max="4" min="4" style="0" width="17"/>
    <col collapsed="false" customWidth="true" hidden="false" max="5" min="5" style="0" width="10"/>
    <col collapsed="false" customWidth="true" hidden="false" max="6" min="6" style="0" width="40"/>
    <col collapsed="false" customWidth="true" hidden="false" max="7" min="7" style="0" width="12"/>
    <col collapsed="false" customWidth="true" hidden="false" max="8" min="8" style="0" width="11"/>
    <col collapsed="true" hidden="false" max="9" min="9" style="0" width="8"/>
    <col collapsed="false" customWidth="true" hidden="true" max="10" min="10" outlineLevel="1" style="0" width="8"/>
    <col collapsed="false" customWidth="true" hidden="true" max="11" min="11" outlineLevel="1" style="0" width="8"/>
    <col collapsed="false" customWidth="true" hidden="true" max="12" min="12" outlineLevel="1" style="0" width="4"/>
    <col collapsed="false" customWidth="true" hidden="true" max="13" min="13" outlineLevel="1" style="0" width="4"/>
    <col collapsed="false" customWidth="true" hidden="true" max="14" min="14" outlineLevel="1" style="0" width="8"/>
    <col collapsed="false" hidden="true" max="15" min="15" outlineLevel="1" style="0" width="4"/>
    <col collapsed="false" customWidth="true" hidden="true" max="16" min="16" outlineLevel="2" style="0" width="4"/>
    <col collapsed="false" customWidth="true" hidden="true" max="17" min="17" outlineLevel="2" style="0" width="4"/>
    <col collapsed="false" customWidth="true" hidden="true" max="18" min="18" outlineLevel="2" style="0" width="4"/>
    <col collapsed="false" customWidth="true" hidden="true" max="19" min="19" outlineLevel="2" style="0" width="8"/>
    <col collapsed="false" customWidth="true" hidden="true" max="20" min="20" outlineLevel="2" style="0" width="8"/>
    <col collapsed="false" customWidth="true" hidden="true" max="21" min="21" outlineLevel="2" style="0" width="8"/>
    <col collapsed="false" customWidth="true" hidden="false" max="22" min="22" style="0" width="40"/>
    <col collapsed="false" customWidth="true" hidden="false" max="23" min="23" style="0" width="40"/>
    <col collapsed="false" customWidth="true" hidden="false" max="24" min="24" style="0" width="40"/>
    <col collapsed="false" customWidth="true" hidden="false" max="25" min="25" style="0" width="40"/>
    <col collapsed="false" customWidth="true" hidden="false" max="26" min="26" style="0" width="1"/>
    <col collapsed="false" customWidth="true" hidden="false" max="27" min="27" style="0" width="7"/>
    <col collapsed="false" customWidth="true" hidden="false" max="28" min="28" style="0" width="6"/>
    <col collapsed="false" customWidth="true" hidden="false" max="29" min="29" style="0" width="6"/>
    <col collapsed="false" customWidth="true" hidden="false" max="30" min="30" style="0" width="8"/>
    <col collapsed="false" customWidth="true" hidden="false" max="31" min="31" style="0" width="8"/>
    <col collapsed="false" customWidth="true" hidden="false" max="32" min="32" style="0" width="8"/>
  </cols>
  <sheetData>
    <row r="1">
      <c r="A1" s="219"/>
      <c r="B1" s="75" t="str" xml:space="preserve">
        <v> </v>
      </c>
      <c r="C1" s="149" t="str">
        <v>String</v>
      </c>
      <c r="D1" s="149"/>
      <c r="E1" s="75"/>
      <c r="F1" s="205"/>
      <c r="G1" s="220"/>
      <c r="H1" s="220"/>
      <c r="I1" s="11"/>
      <c r="J1" s="150"/>
      <c r="K1" s="150"/>
      <c r="L1" s="150"/>
      <c r="M1" s="150"/>
      <c r="N1" s="150"/>
      <c r="O1" s="150"/>
      <c r="P1" s="10"/>
      <c r="Q1" s="10"/>
      <c r="R1" s="10"/>
      <c r="S1" s="10"/>
      <c r="T1" s="10"/>
      <c r="U1" s="10"/>
      <c r="V1" s="85"/>
      <c r="W1" s="222"/>
      <c r="X1" s="221"/>
      <c r="Y1" s="3"/>
      <c r="Z1" s="11"/>
      <c r="AA1" s="11">
        <f>COUNTIF(AA5:AA1016,"完成") + COUNTIF(AA5:AA1016,"在做") + COUNTIF(AA5:AA1016,"待办")+ COUNTIF(AA5:AA1016,"要改")</f>
      </c>
      <c r="AB1" s="11">
        <f>COUNTIF(AB5:AB1016,"完成") + COUNTIF(AB5:AB1016,"在做") + COUNTIF(AB5:AB1016,"待办")+ COUNTIF(AB5:AB1016,"要改")</f>
      </c>
      <c r="AC1" s="11">
        <f>COUNTIF(AC5:AC1016,"完成") + COUNTIF(AC5:AC1016,"在做") + COUNTIF(AC5:AC1016,"待办")+ COUNTIF(AC5:AC1016,"要改")</f>
      </c>
      <c r="AD1" s="3"/>
      <c r="AE1" s="3"/>
      <c r="AF1" s="3"/>
    </row>
    <row r="2">
      <c r="A2" s="224"/>
      <c r="B2" s="19" t="str">
        <v>Name</v>
      </c>
      <c r="C2" s="202" t="str">
        <v>名称</v>
      </c>
      <c r="D2" s="202" t="str">
        <v>英文名</v>
      </c>
      <c r="E2" s="19" t="str">
        <v>阵营</v>
      </c>
      <c r="F2" s="140" t="str">
        <v>技能描述</v>
      </c>
      <c r="G2" s="223" t="str">
        <v>技能UUID</v>
      </c>
      <c r="H2" s="223" t="str">
        <v>装备UUID</v>
      </c>
      <c r="I2" s="124" t="str">
        <v>释放类型</v>
      </c>
      <c r="J2" s="153" t="str">
        <v>瞄准类型</v>
      </c>
      <c r="K2" s="153" t="str">
        <v>范围类型</v>
      </c>
      <c r="L2" s="153" t="str">
        <v>角度</v>
      </c>
      <c r="M2" s="153" t="str">
        <v>宽度</v>
      </c>
      <c r="N2" s="153" t="str">
        <v>伤害距离</v>
      </c>
      <c r="O2" s="153" t="str">
        <v>瞄准距离</v>
      </c>
      <c r="P2" s="200" t="str">
        <v>前摇</v>
      </c>
      <c r="Q2" s="124" t="str">
        <v>间隔</v>
      </c>
      <c r="R2" s="124" t="str">
        <v>后摇</v>
      </c>
      <c r="S2" s="124" t="str">
        <v>释放时长</v>
      </c>
      <c r="T2" s="124" t="str">
        <v>冷却时间</v>
      </c>
      <c r="U2" s="124" t="str">
        <v>体力消耗</v>
      </c>
      <c r="V2" s="201" t="str">
        <v>显性数值</v>
      </c>
      <c r="W2" s="201" t="str">
        <v>引用数值</v>
      </c>
      <c r="X2" s="198" t="str">
        <v>隐性数值</v>
      </c>
      <c r="Y2" s="14" t="str">
        <v>装备描述</v>
      </c>
      <c r="Z2" s="225" t="str" xml:space="preserve">
        <v> </v>
      </c>
      <c r="AA2" s="225" t="str">
        <v>开发</v>
      </c>
      <c r="AB2" s="225" t="str">
        <v>配置</v>
      </c>
      <c r="AC2" s="225" t="str">
        <v>文案</v>
      </c>
      <c r="AD2" s="14" t="str">
        <v>开发者</v>
      </c>
      <c r="AE2" s="14"/>
      <c r="AF2" s="14"/>
    </row>
    <row r="3">
      <c r="A3" s="219">
        <v>1</v>
      </c>
      <c r="B3" s="75" t="str">
        <v>PositioningTrap</v>
      </c>
      <c r="C3" s="75" t="str">
        <v>定位陷阱</v>
      </c>
      <c r="D3" s="75" t="str">
        <v>Positioning Trap</v>
      </c>
      <c r="E3" s="53" t="str">
        <v>纪念碑</v>
      </c>
      <c r="F3" s="205" t="str">
        <v>在当前位置留下一个陷阱，对效果范围内的敌人持续造成{A}电磁伤害。</v>
      </c>
      <c r="G3" s="72">
        <f>IF($B3="","","SKL"&amp;"01"&amp;IF(I3="瞬发","01",IF(I3="切换","02",IF(I3="瞄准","03",IF(I3="蓄力","04",IF(I3="引导","05","00")))))&amp;"04"&amp;BASE(CODE(MID(B3,1,1))*1+CODE(MID(B3,2,1))*2+CODE(MID(B3,3,1))*3,36,2))</f>
      </c>
      <c r="H3" s="72">
        <f>IF($B3="","","ITB"&amp;VLOOKUP(E3,'引用数据库'!Z:AC,4,FALSE)&amp;"0000"&amp;BASE(CODE(MID(B3,1,1))*1+CODE(MID(B3,2,1))*2+CODE(MID(B3,3,1))*3,36,2))</f>
      </c>
      <c r="I3" s="11" t="str">
        <v>瞬发</v>
      </c>
      <c r="J3" s="11"/>
      <c r="K3" s="11"/>
      <c r="L3" s="11"/>
      <c r="M3" s="11"/>
      <c r="N3" s="11"/>
      <c r="O3" s="11"/>
      <c r="P3" s="204"/>
      <c r="Q3" s="11"/>
      <c r="R3" s="11"/>
      <c r="S3" s="11">
        <f>SUM(P3:R3)</f>
      </c>
      <c r="T3" s="11"/>
      <c r="U3" s="11"/>
      <c r="V3" s="217" t="str">
        <v>持续时间：{10}s；
冷却时间：{10}s</v>
      </c>
      <c r="W3" s="203" t="str">
        <v>A = {200% x 反应}；</v>
      </c>
      <c r="X3" s="209" t="str">
        <v>伤害半径：{3m}；
伤害间隔：{0.5s}</v>
      </c>
      <c r="Y3" s="24" t="str">
        <v>「纪念碑」早期用于城市建设安全监测的电磁定位装置， 后被地下势力改造为战术陷阱，能对范围内的敌人持续释放高压电击。
「纪念碑」早期的设备几乎都具有“自我学习”倾向，这枚陷阱或许正在记录它击中过的每一个生命信号。</v>
      </c>
      <c r="Z3" s="11"/>
      <c r="AA3" s="11" t="str">
        <v>完成</v>
      </c>
      <c r="AB3" s="11" t="str">
        <v>完成</v>
      </c>
      <c r="AC3" s="11"/>
      <c r="AD3" s="218" t="s">
        <v>12</v>
      </c>
      <c r="AE3" s="4"/>
      <c r="AF3" s="4"/>
    </row>
    <row r="4">
      <c r="A4" s="15">
        <f>IF(ISBLANK(B4),"",A3+1)</f>
      </c>
      <c r="B4" s="75" t="str">
        <v>StasisArmor</v>
      </c>
      <c r="C4" s="75" t="str">
        <v>静滞护甲</v>
      </c>
      <c r="D4" s="75" t="str">
        <v>Stasis Armor</v>
      </c>
      <c r="E4" s="53" t="str">
        <v>洛克海德</v>
      </c>
      <c r="F4" s="205" t="str">
        <v>使你无法作出任何动作，免疫所有伤害。</v>
      </c>
      <c r="G4" s="72">
        <f>IF($B4="","","SKL"&amp;"01"&amp;IF(I4="瞬发","01",IF(I4="切换","02",IF(I4="瞄准","03",IF(I4="蓄力","04",IF(I4="引导","05","00")))))&amp;"04"&amp;BASE(CODE(MID(B4,1,1))*1+CODE(MID(B4,2,1))*2+CODE(MID(B4,3,1))*3,36,2))</f>
      </c>
      <c r="H4" s="72">
        <f>IF($B4="","","ITB"&amp;VLOOKUP(E4,'引用数据库'!Z:AC,4,FALSE)&amp;"0000"&amp;BASE(CODE(MID(B4,1,1))*1+CODE(MID(B4,2,1))*2+CODE(MID(B4,3,1))*3,36,2))</f>
      </c>
      <c r="I4" s="11" t="str">
        <v>瞬发</v>
      </c>
      <c r="J4" s="11"/>
      <c r="K4" s="11"/>
      <c r="L4" s="11"/>
      <c r="M4" s="11"/>
      <c r="N4" s="11"/>
      <c r="O4" s="11"/>
      <c r="P4" s="204"/>
      <c r="Q4" s="11"/>
      <c r="R4" s="11"/>
      <c r="S4" s="11">
        <f>SUM(P4:R4)</f>
      </c>
      <c r="T4" s="11">
        <v>20</v>
      </c>
      <c r="U4" s="11">
        <v>20</v>
      </c>
      <c r="V4" s="203" t="str">
        <v>持续时间：{5s}；
冷却时间：{20}s</v>
      </c>
      <c r="W4" s="214"/>
      <c r="X4" s="215"/>
      <c r="Y4" s="24" t="str">
        <v>「洛克海德」研发部为前线重装部队打造的实验型防护系统。
激活后，使用者进入能量锁定状态，隔绝一切外部冲击与信号干扰。</v>
      </c>
      <c r="Z4" s="11"/>
      <c r="AA4" s="11" t="str">
        <v>完成</v>
      </c>
      <c r="AB4" s="11" t="str">
        <v>完成</v>
      </c>
      <c r="AC4" s="11"/>
      <c r="AD4" s="3" t="str">
        <v>@小唐</v>
      </c>
      <c r="AE4" s="4"/>
      <c r="AF4" s="4"/>
    </row>
    <row r="5">
      <c r="A5" s="15">
        <f>IF(ISBLANK(B5),"",A4+1)</f>
      </c>
      <c r="B5" s="53" t="str">
        <v>ContinuousBurning</v>
      </c>
      <c r="C5" s="53" t="str">
        <v>持续燃烧</v>
      </c>
      <c r="D5" s="53" t="str">
        <v>Continuous Burning</v>
      </c>
      <c r="E5" s="53" t="str">
        <v>致远生物</v>
      </c>
      <c r="F5" s="205" t="str">
        <v>开启后进入过热状态，每秒获得额外攻击速度，如果开启时长过长，每秒消耗生命值。</v>
      </c>
      <c r="G5" s="72">
        <f>IF($B5="","","SKL"&amp;"01"&amp;IF(I5="瞬发","01",IF(I5="切换","02",IF(I5="瞄准","03",IF(I5="蓄力","04",IF(I5="引导","05","00")))))&amp;"04"&amp;BASE(CODE(MID(B5,1,1))*1+CODE(MID(B5,2,1))*2+CODE(MID(B5,3,1))*3,36,2))</f>
      </c>
      <c r="H5" s="72">
        <f>IF($B5="","","ITB"&amp;VLOOKUP(E5,'引用数据库'!Z:AC,4,FALSE)&amp;"0000"&amp;BASE(CODE(MID(B5,1,1))*1+CODE(MID(B5,2,1))*2+CODE(MID(B5,3,1))*3,36,2))</f>
      </c>
      <c r="I5" s="11" t="str">
        <v>切换</v>
      </c>
      <c r="J5" s="1"/>
      <c r="K5" s="1"/>
      <c r="L5" s="1"/>
      <c r="M5" s="1"/>
      <c r="N5" s="1"/>
      <c r="O5" s="1"/>
      <c r="P5" s="204"/>
      <c r="Q5" s="11"/>
      <c r="R5" s="11"/>
      <c r="S5" s="11">
        <f>SUM(P5:R5)</f>
      </c>
      <c r="T5" s="11">
        <v>15</v>
      </c>
      <c r="U5" s="11">
        <v>20</v>
      </c>
      <c r="V5" s="203" t="str">
        <v>每秒消耗生命值：10/15/20/25/30；
每秒攻击速度增加：10/20/30/40/50；
过热阈值：3/4/5/6/7s</v>
      </c>
      <c r="W5" s="214"/>
      <c r="X5" s="215"/>
      <c r="Y5" s="4"/>
      <c r="Z5" s="11"/>
      <c r="AA5" s="11"/>
      <c r="AB5" s="11"/>
      <c r="AC5" s="11"/>
      <c r="AD5" s="3"/>
      <c r="AE5" s="4"/>
      <c r="AF5" s="4"/>
    </row>
    <row r="6">
      <c r="A6" s="15">
        <f>IF(ISBLANK(B6),"",A5+1)</f>
      </c>
      <c r="B6" s="53" t="str">
        <v>PanoramaScan</v>
      </c>
      <c r="C6" s="53" t="str">
        <v>全景扫描</v>
      </c>
      <c r="D6" s="53" t="str">
        <v>Panorama Scan</v>
      </c>
      <c r="E6" s="53" t="str">
        <v>寰宇</v>
      </c>
      <c r="F6" s="203" t="str">
        <v>临时获得360度的视野。</v>
      </c>
      <c r="G6" s="72">
        <f>IF($B6="","","SKL"&amp;"01"&amp;IF(I6="瞬发","01",IF(I6="切换","02",IF(I6="瞄准","03",IF(I6="蓄力","04",IF(I6="引导","05","00")))))&amp;"04"&amp;BASE(CODE(MID(B6,1,1))*1+CODE(MID(B6,2,1))*2+CODE(MID(B6,3,1))*3,36,2))</f>
      </c>
      <c r="H6" s="72">
        <f>IF($B6="","","ITB"&amp;VLOOKUP(E6,'引用数据库'!Z:AC,4,FALSE)&amp;"0000"&amp;BASE(CODE(MID(B6,1,1))*1+CODE(MID(B6,2,1))*2+CODE(MID(B6,3,1))*3,36,2))</f>
      </c>
      <c r="I6" s="1" t="str">
        <v>瞬发</v>
      </c>
      <c r="J6" s="1"/>
      <c r="K6" s="1"/>
      <c r="L6" s="1"/>
      <c r="M6" s="1"/>
      <c r="N6" s="1"/>
      <c r="O6" s="1"/>
      <c r="P6" s="204"/>
      <c r="Q6" s="1"/>
      <c r="R6" s="1"/>
      <c r="S6" s="11">
        <f>SUM(P6:R6)</f>
      </c>
      <c r="T6" s="1">
        <v>20</v>
      </c>
      <c r="U6" s="1">
        <v>30</v>
      </c>
      <c r="V6" s="203" t="str">
        <v>持续时间：2/3/4/5/6s；</v>
      </c>
      <c r="W6" s="214"/>
      <c r="X6" s="215"/>
      <c r="Y6" s="4"/>
      <c r="Z6" s="11"/>
      <c r="AA6" s="11"/>
      <c r="AB6" s="11"/>
      <c r="AC6" s="11"/>
      <c r="AD6" s="3"/>
      <c r="AE6" s="4"/>
      <c r="AF6" s="4"/>
    </row>
    <row r="7">
      <c r="A7" s="15">
        <f>IF(ISBLANK(B7),"",A6+1)</f>
      </c>
      <c r="B7" s="53" t="str">
        <v>PhaseMove</v>
      </c>
      <c r="C7" s="53" t="str">
        <v>相位移动</v>
      </c>
      <c r="D7" s="53" t="str">
        <v>Phase Move</v>
      </c>
      <c r="E7" s="53" t="str">
        <v>律动智能</v>
      </c>
      <c r="F7" s="203" t="str">
        <v>移动速度增加，并且能够穿过敌人。</v>
      </c>
      <c r="G7" s="72">
        <f>IF($B7="","","SKL"&amp;"01"&amp;IF(I7="瞬发","01",IF(I7="切换","02",IF(I7="瞄准","03",IF(I7="蓄力","04",IF(I7="引导","05","00")))))&amp;"04"&amp;BASE(CODE(MID(B7,1,1))*1+CODE(MID(B7,2,1))*2+CODE(MID(B7,3,1))*3,36,2))</f>
      </c>
      <c r="H7" s="72">
        <f>IF($B7="","","ITB"&amp;VLOOKUP(E7,'引用数据库'!Z:AC,4,FALSE)&amp;"0000"&amp;BASE(CODE(MID(B7,1,1))*1+CODE(MID(B7,2,1))*2+CODE(MID(B7,3,1))*3,36,2))</f>
      </c>
      <c r="I7" s="1" t="str">
        <v>瞬发</v>
      </c>
      <c r="J7" s="1"/>
      <c r="K7" s="1"/>
      <c r="L7" s="1"/>
      <c r="M7" s="1"/>
      <c r="N7" s="1"/>
      <c r="O7" s="1"/>
      <c r="P7" s="204"/>
      <c r="Q7" s="1"/>
      <c r="R7" s="1"/>
      <c r="S7" s="11">
        <f>SUM(P7:R7)</f>
      </c>
      <c r="T7" s="1">
        <v>25</v>
      </c>
      <c r="U7" s="1">
        <v>25</v>
      </c>
      <c r="V7" s="203" t="str">
        <v>持续时间：{6s}；
移速增加：{40%}</v>
      </c>
      <c r="W7" s="227"/>
      <c r="X7" s="228"/>
      <c r="Y7" s="208"/>
      <c r="Z7" s="11"/>
      <c r="AA7" s="11"/>
      <c r="AB7" s="11"/>
      <c r="AC7" s="11"/>
      <c r="AD7" s="226"/>
      <c r="AE7" s="208"/>
      <c r="AF7" s="208"/>
    </row>
    <row r="8">
      <c r="A8" s="15">
        <f>IF(ISBLANK(B8),"",A7+1)</f>
      </c>
      <c r="B8" s="53" t="str">
        <v>Retrace</v>
      </c>
      <c r="C8" s="53" t="str">
        <v>回溯</v>
      </c>
      <c r="D8" s="53" t="str">
        <v>Retrace</v>
      </c>
      <c r="E8" s="53" t="str">
        <v>洛克海德</v>
      </c>
      <c r="F8" s="203" t="str">
        <v>按下后，在原地留下一个可被攻击的残影，再次按下后，瞬间回到残影的位置。如果不按，残影到期会消失。</v>
      </c>
      <c r="G8" s="72">
        <f>IF($B8="","","SKL"&amp;"01"&amp;IF(I8="瞬发","01",IF(I8="切换","02",IF(I8="瞄准","03",IF(I8="蓄力","04",IF(I8="引导","05","00")))))&amp;"04"&amp;BASE(CODE(MID(B8,1,1))*1+CODE(MID(B8,2,1))*2+CODE(MID(B8,3,1))*3,36,2))</f>
      </c>
      <c r="H8" s="72">
        <f>IF($B8="","","ITB"&amp;VLOOKUP(E8,'引用数据库'!Z:AC,4,FALSE)&amp;"0000"&amp;BASE(CODE(MID(B8,1,1))*1+CODE(MID(B8,2,1))*2+CODE(MID(B8,3,1))*3,36,2))</f>
      </c>
      <c r="I8" s="1" t="str">
        <v>瞬发</v>
      </c>
      <c r="J8" s="11"/>
      <c r="K8" s="11"/>
      <c r="L8" s="11"/>
      <c r="M8" s="11"/>
      <c r="N8" s="11"/>
      <c r="O8" s="11"/>
      <c r="P8" s="204"/>
      <c r="Q8" s="1"/>
      <c r="R8" s="1"/>
      <c r="S8" s="11"/>
      <c r="T8" s="1"/>
      <c r="U8" s="1"/>
      <c r="V8" s="203" t="str">
        <v>残影也会受到伤害，回复可能导致血变少。
冷却时间：{35/30/25/20/15s}</v>
      </c>
      <c r="W8" s="214"/>
      <c r="X8" s="215"/>
      <c r="Y8" s="4"/>
      <c r="Z8" s="11"/>
      <c r="AA8" s="11"/>
      <c r="AB8" s="11"/>
      <c r="AC8" s="11"/>
      <c r="AD8" s="3"/>
      <c r="AE8" s="4"/>
      <c r="AF8" s="4"/>
    </row>
    <row r="9">
      <c r="A9" s="15">
        <f>IF(ISBLANK(B9),"",A8+1)</f>
      </c>
      <c r="B9" s="53" t="str">
        <v>FragGrenade</v>
      </c>
      <c r="C9" s="53" t="str">
        <v>破片手雷</v>
      </c>
      <c r="D9" s="53" t="str">
        <v>Frag Grenade</v>
      </c>
      <c r="E9" s="53" t="str">
        <v>洛克海德</v>
      </c>
      <c r="F9" s="203" t="str">
        <v>投掷一枚破片手雷，在投出后2s爆炸，对附近造成100动能伤害。你可以储存最多3枚手雷。</v>
      </c>
      <c r="G9" s="72">
        <f>IF($B9="","","SKL"&amp;"01"&amp;IF(I9="瞬发","01",IF(I9="切换","02",IF(I9="瞄准","03",IF(I9="蓄力","04",IF(I9="引导","05","00")))))&amp;"04"&amp;BASE(CODE(MID(B9,1,1))*1+CODE(MID(B9,2,1))*2+CODE(MID(B9,3,1))*3,36,2))</f>
      </c>
      <c r="H9" s="72">
        <f>IF($B9="","","ITB"&amp;VLOOKUP(E9,'引用数据库'!Z:AC,4,FALSE)&amp;"0000"&amp;BASE(CODE(MID(B9,1,1))*1+CODE(MID(B9,2,1))*2+CODE(MID(B9,3,1))*3,36,2))</f>
      </c>
      <c r="I9" s="1" t="str">
        <v>瞬发</v>
      </c>
      <c r="J9" s="1"/>
      <c r="K9" s="1"/>
      <c r="L9" s="1"/>
      <c r="M9" s="1"/>
      <c r="N9" s="1"/>
      <c r="O9" s="1"/>
      <c r="P9" s="204"/>
      <c r="Q9" s="1"/>
      <c r="R9" s="1"/>
      <c r="S9" s="1"/>
      <c r="T9" s="1"/>
      <c r="U9" s="1"/>
      <c r="V9" s="203"/>
      <c r="W9" s="214"/>
      <c r="X9" s="215"/>
      <c r="Y9" s="4"/>
      <c r="Z9" s="11"/>
      <c r="AA9" s="11"/>
      <c r="AB9" s="11"/>
      <c r="AC9" s="11"/>
      <c r="AD9" s="3"/>
      <c r="AE9" s="4"/>
      <c r="AF9" s="4"/>
    </row>
    <row r="10">
      <c r="A10" s="15">
        <f>IF(ISBLANK(B10),"",A9+1)</f>
      </c>
      <c r="B10" s="53" t="str">
        <v>Reboot</v>
      </c>
      <c r="C10" s="53" t="str">
        <v>重启</v>
      </c>
      <c r="D10" s="53" t="str">
        <v>Reboot</v>
      </c>
      <c r="E10" s="53" t="str">
        <v>野望</v>
      </c>
      <c r="F10" s="203" t="s">
        <v>14</v>
      </c>
      <c r="G10" s="72">
        <f>IF($B10="","","SKL"&amp;"01"&amp;IF(I10="瞬发","01",IF(I10="切换","02",IF(I10="瞄准","03",IF(I10="蓄力","04",IF(I10="引导","05","00")))))&amp;"04"&amp;BASE(CODE(MID(B10,1,1))*1+CODE(MID(B10,2,1))*2+CODE(MID(B10,3,1))*3,36,2))</f>
      </c>
      <c r="H10" s="72">
        <f>IF($B10="","","ITB"&amp;VLOOKUP(E10,'引用数据库'!Z:AC,4,FALSE)&amp;"0000"&amp;BASE(CODE(MID(B10,1,1))*1+CODE(MID(B10,2,1))*2+CODE(MID(B10,3,1))*3,36,2))</f>
      </c>
      <c r="I10" s="1" t="str">
        <v>瞬发</v>
      </c>
      <c r="J10" s="11"/>
      <c r="K10" s="11"/>
      <c r="L10" s="11"/>
      <c r="M10" s="11"/>
      <c r="N10" s="11"/>
      <c r="O10" s="11"/>
      <c r="P10" s="204"/>
      <c r="Q10" s="1"/>
      <c r="R10" s="1"/>
      <c r="S10" s="11"/>
      <c r="T10" s="1"/>
      <c r="U10" s="1"/>
      <c r="V10" s="203" t="str">
        <v>冷却时间：{8/7/6/5/4s}；</v>
      </c>
      <c r="W10" s="214"/>
      <c r="X10" s="215"/>
      <c r="Y10" s="4"/>
      <c r="Z10" s="11"/>
      <c r="AA10" s="11"/>
      <c r="AB10" s="11"/>
      <c r="AC10" s="11"/>
      <c r="AD10" s="3"/>
      <c r="AE10" s="4"/>
      <c r="AF10" s="4"/>
    </row>
    <row r="11">
      <c r="A11" s="15">
        <f>IF(ISBLANK(B11),"",A10+1)</f>
      </c>
      <c r="B11" s="53" t="str">
        <v>ToughSkin</v>
      </c>
      <c r="C11" s="53" t="str">
        <v>韧性皮肤</v>
      </c>
      <c r="D11" s="53" t="str">
        <v>Tough Skin</v>
      </c>
      <c r="E11" s="53" t="str">
        <v>劳旅</v>
      </c>
      <c r="F11" s="203" t="s">
        <v>13</v>
      </c>
      <c r="G11" s="72">
        <f>IF($B11="","","SKL"&amp;"01"&amp;IF(I11="瞬发","01",IF(I11="切换","02",IF(I11="瞄准","03",IF(I11="蓄力","04",IF(I11="引导","05","00")))))&amp;"04"&amp;BASE(CODE(MID(B11,1,1))*1+CODE(MID(B11,2,1))*2+CODE(MID(B11,3,1))*3,36,2))</f>
      </c>
      <c r="H11" s="72">
        <f>IF($B11="","","ITB"&amp;VLOOKUP(E11,'引用数据库'!Z:AC,4,FALSE)&amp;"0000"&amp;BASE(CODE(MID(B11,1,1))*1+CODE(MID(B11,2,1))*2+CODE(MID(B11,3,1))*3,36,2))</f>
      </c>
      <c r="I11" s="1" t="str">
        <v>切换</v>
      </c>
      <c r="J11" s="11"/>
      <c r="K11" s="11"/>
      <c r="L11" s="11"/>
      <c r="M11" s="11"/>
      <c r="N11" s="11"/>
      <c r="O11" s="11"/>
      <c r="P11" s="204"/>
      <c r="Q11" s="1"/>
      <c r="R11" s="1"/>
      <c r="S11" s="11">
        <f>SUM(P11:R11)</f>
      </c>
      <c r="T11" s="1">
        <v>15</v>
      </c>
      <c r="U11" s="1">
        <v>25</v>
      </c>
      <c r="V11" s="203" t="str">
        <v>造成伤害：{200%}反应；
伤害半径：{3m}；
持续时间：{10s}；</v>
      </c>
      <c r="W11" s="214"/>
      <c r="X11" s="215"/>
      <c r="Y11" s="4"/>
      <c r="Z11" s="11"/>
      <c r="AA11" s="11"/>
      <c r="AB11" s="11"/>
      <c r="AC11" s="11"/>
      <c r="AD11" s="3"/>
      <c r="AE11" s="4"/>
      <c r="AF11" s="4"/>
    </row>
    <row r="12">
      <c r="A12" s="15">
        <f>IF(ISBLANK(B12),"",A11+1)</f>
      </c>
      <c r="B12" s="53" t="str">
        <v>RecoilControl</v>
      </c>
      <c r="C12" s="53" t="str">
        <v>增稳</v>
      </c>
      <c r="D12" s="53" t="str">
        <v>Recoil Control</v>
      </c>
      <c r="E12" s="53" t="str">
        <v>洛克海德</v>
      </c>
      <c r="F12" s="205" t="str">
        <v>开启后，最大散布张角减小50%，每次射击额外消耗200%体力</v>
      </c>
      <c r="G12" s="72">
        <f>IF($B12="","","SKL"&amp;"01"&amp;IF(I12="瞬发","01",IF(I12="切换","02",IF(I12="瞄准","03",IF(I12="蓄力","04",IF(I12="引导","05","00")))))&amp;"04"&amp;BASE(CODE(MID(B12,1,1))*1+CODE(MID(B12,2,1))*2+CODE(MID(B12,3,1))*3,36,2))</f>
      </c>
      <c r="H12" s="72">
        <f>IF($B12="","","ITB"&amp;VLOOKUP(E12,'引用数据库'!Z:AC,4,FALSE)&amp;"0000"&amp;BASE(CODE(MID(B12,1,1))*1+CODE(MID(B12,2,1))*2+CODE(MID(B12,3,1))*3,36,2))</f>
      </c>
      <c r="I12" s="1" t="str">
        <v>切换</v>
      </c>
      <c r="J12" s="1"/>
      <c r="K12" s="1"/>
      <c r="L12" s="1"/>
      <c r="M12" s="1"/>
      <c r="N12" s="1"/>
      <c r="O12" s="1"/>
      <c r="P12" s="204"/>
      <c r="Q12" s="1"/>
      <c r="R12" s="1"/>
      <c r="S12" s="11">
        <f>SUM(P12:R12)</f>
      </c>
      <c r="T12" s="1">
        <v>15</v>
      </c>
      <c r="U12" s="1"/>
      <c r="V12" s="203"/>
      <c r="W12" s="214"/>
      <c r="X12" s="215"/>
      <c r="Y12" s="4"/>
      <c r="Z12" s="11"/>
      <c r="AA12" s="11"/>
      <c r="AB12" s="11"/>
      <c r="AC12" s="11"/>
      <c r="AD12" s="3"/>
      <c r="AE12" s="4"/>
      <c r="AF12" s="4"/>
    </row>
    <row r="13">
      <c r="A13" s="15">
        <f>IF(ISBLANK(B13),"",A12+1)</f>
      </c>
      <c r="B13" s="53" t="str">
        <v>KineticAbsorption</v>
      </c>
      <c r="C13" s="53" t="str">
        <v>动能吸收</v>
      </c>
      <c r="D13" s="53" t="str">
        <v>Kinetic Absorption</v>
      </c>
      <c r="E13" s="53" t="str">
        <v>劳旅</v>
      </c>
      <c r="F13" s="203" t="str">
        <v>受到的动能伤害被吸收，50%转化为恢复生命值。</v>
      </c>
      <c r="G13" s="72">
        <f>IF($B13="","","SKL"&amp;"01"&amp;IF(I13="瞬发","01",IF(I13="切换","02",IF(I13="瞄准","03",IF(I13="蓄力","04",IF(I13="引导","05","00")))))&amp;"04"&amp;BASE(CODE(MID(B13,1,1))*1+CODE(MID(B13,2,1))*2+CODE(MID(B13,3,1))*3,36,2))</f>
      </c>
      <c r="H13" s="72">
        <f>IF($B13="","","ITB"&amp;VLOOKUP(E13,'引用数据库'!Z:AC,4,FALSE)&amp;"0000"&amp;BASE(CODE(MID(B13,1,1))*1+CODE(MID(B13,2,1))*2+CODE(MID(B13,3,1))*3,36,2))</f>
      </c>
      <c r="I13" s="1" t="str">
        <v>瞬发</v>
      </c>
      <c r="J13" s="1"/>
      <c r="K13" s="1"/>
      <c r="L13" s="1"/>
      <c r="M13" s="1"/>
      <c r="N13" s="1"/>
      <c r="O13" s="1"/>
      <c r="P13" s="204"/>
      <c r="Q13" s="1"/>
      <c r="R13" s="1"/>
      <c r="S13" s="1"/>
      <c r="T13" s="1"/>
      <c r="U13" s="1"/>
      <c r="V13" s="203"/>
      <c r="W13" s="214"/>
      <c r="X13" s="215"/>
      <c r="Y13" s="4"/>
      <c r="Z13" s="11"/>
      <c r="AA13" s="11"/>
      <c r="AB13" s="11"/>
      <c r="AC13" s="11"/>
      <c r="AD13" s="3"/>
      <c r="AE13" s="4"/>
      <c r="AF13" s="4"/>
    </row>
    <row r="14">
      <c r="A14" s="15">
        <f>IF(ISBLANK(B14),"",A13+1)</f>
      </c>
      <c r="B14" s="53" t="str">
        <v>ElectricAbsorption</v>
      </c>
      <c r="C14" s="53" t="str">
        <v>电磁吸收</v>
      </c>
      <c r="D14" s="53" t="str">
        <v>Electric Absorption</v>
      </c>
      <c r="E14" s="53" t="str">
        <v>洛克海德</v>
      </c>
      <c r="F14" s="203" t="str">
        <v>受到的电磁伤害被吸收，50%转化为恢复生命值。</v>
      </c>
      <c r="G14" s="72">
        <f>IF($B14="","","SKL"&amp;"01"&amp;IF(I14="瞬发","01",IF(I14="切换","02",IF(I14="瞄准","03",IF(I14="蓄力","04",IF(I14="引导","05","00")))))&amp;"04"&amp;BASE(CODE(MID(B14,1,1))*1+CODE(MID(B14,2,1))*2+CODE(MID(B14,3,1))*3,36,2))</f>
      </c>
      <c r="H14" s="72">
        <f>IF($B14="","","ITB"&amp;VLOOKUP(E14,'引用数据库'!Z:AC,4,FALSE)&amp;"0000"&amp;BASE(CODE(MID(B14,1,1))*1+CODE(MID(B14,2,1))*2+CODE(MID(B14,3,1))*3,36,2))</f>
      </c>
      <c r="I14" s="1" t="str">
        <v>瞬发</v>
      </c>
      <c r="J14" s="1"/>
      <c r="K14" s="1"/>
      <c r="L14" s="1"/>
      <c r="M14" s="1"/>
      <c r="N14" s="1"/>
      <c r="O14" s="1"/>
      <c r="P14" s="204"/>
      <c r="Q14" s="1"/>
      <c r="R14" s="1"/>
      <c r="S14" s="1"/>
      <c r="T14" s="1"/>
      <c r="U14" s="1"/>
      <c r="V14" s="203"/>
      <c r="W14" s="214"/>
      <c r="X14" s="215"/>
      <c r="Y14" s="4"/>
      <c r="Z14" s="11"/>
      <c r="AA14" s="11"/>
      <c r="AB14" s="11"/>
      <c r="AC14" s="11"/>
      <c r="AD14" s="3"/>
      <c r="AE14" s="4"/>
      <c r="AF14" s="4"/>
    </row>
    <row r="15">
      <c r="A15" s="15">
        <f>IF(ISBLANK(B15),"",A14+1)</f>
      </c>
      <c r="B15" s="53" t="str">
        <v>ThermalAbsorb</v>
      </c>
      <c r="C15" s="53" t="str">
        <v>热能吸收</v>
      </c>
      <c r="D15" s="53" t="str">
        <v>Thermal Absorb</v>
      </c>
      <c r="E15" s="53" t="str">
        <v>新浦会</v>
      </c>
      <c r="F15" s="203" t="str">
        <v>受到的热能伤害被吸收，50%转化为恢复生命值。</v>
      </c>
      <c r="G15" s="72">
        <f>IF($B15="","","SKL"&amp;"01"&amp;IF(I15="瞬发","01",IF(I15="切换","02",IF(I15="瞄准","03",IF(I15="蓄力","04",IF(I15="引导","05","00")))))&amp;"04"&amp;BASE(CODE(MID(B15,1,1))*1+CODE(MID(B15,2,1))*2+CODE(MID(B15,3,1))*3,36,2))</f>
      </c>
      <c r="H15" s="72">
        <f>IF($B15="","","ITB"&amp;VLOOKUP(E15,'引用数据库'!Z:AC,4,FALSE)&amp;"0000"&amp;BASE(CODE(MID(B15,1,1))*1+CODE(MID(B15,2,1))*2+CODE(MID(B15,3,1))*3,36,2))</f>
      </c>
      <c r="I15" s="1" t="str">
        <v>瞬发</v>
      </c>
      <c r="J15" s="1"/>
      <c r="K15" s="1"/>
      <c r="L15" s="1"/>
      <c r="M15" s="1"/>
      <c r="N15" s="1"/>
      <c r="O15" s="1"/>
      <c r="P15" s="204"/>
      <c r="Q15" s="1"/>
      <c r="R15" s="1"/>
      <c r="S15" s="1"/>
      <c r="T15" s="1"/>
      <c r="U15" s="1"/>
      <c r="V15" s="203"/>
      <c r="W15" s="214"/>
      <c r="X15" s="215"/>
      <c r="Y15" s="4"/>
      <c r="Z15" s="11"/>
      <c r="AA15" s="11"/>
      <c r="AB15" s="11"/>
      <c r="AC15" s="11"/>
      <c r="AD15" s="3"/>
      <c r="AE15" s="4"/>
      <c r="AF15" s="4"/>
    </row>
    <row r="16">
      <c r="A16" s="15">
        <f>IF(ISBLANK(B16),"",A15+1)</f>
      </c>
      <c r="B16" s="53" t="str">
        <v>CriticalInsight</v>
      </c>
      <c r="C16" s="53" t="str">
        <v>弱点识别</v>
      </c>
      <c r="D16" s="53" t="str">
        <v>Critical Insight</v>
      </c>
      <c r="E16" s="53" t="str">
        <v>律动智能</v>
      </c>
      <c r="F16" s="203" t="str">
        <v>暴击率增加50%，持续5s</v>
      </c>
      <c r="G16" s="72">
        <f>IF($B16="","","SKL"&amp;"01"&amp;IF(I16="瞬发","01",IF(I16="切换","02",IF(I16="瞄准","03",IF(I16="蓄力","04",IF(I16="引导","05","00")))))&amp;"04"&amp;BASE(CODE(MID(B16,1,1))*1+CODE(MID(B16,2,1))*2+CODE(MID(B16,3,1))*3,36,2))</f>
      </c>
      <c r="H16" s="72">
        <f>IF($B16="","","ITB"&amp;VLOOKUP(E16,'引用数据库'!Z:AC,4,FALSE)&amp;"0000"&amp;BASE(CODE(MID(B16,1,1))*1+CODE(MID(B16,2,1))*2+CODE(MID(B16,3,1))*3,36,2))</f>
      </c>
      <c r="I16" s="1" t="str">
        <v>瞬发</v>
      </c>
      <c r="J16" s="1"/>
      <c r="K16" s="1"/>
      <c r="L16" s="1"/>
      <c r="M16" s="1"/>
      <c r="N16" s="1"/>
      <c r="O16" s="1"/>
      <c r="P16" s="204"/>
      <c r="Q16" s="1"/>
      <c r="R16" s="1"/>
      <c r="S16" s="1"/>
      <c r="T16" s="1"/>
      <c r="U16" s="1"/>
      <c r="V16" s="203"/>
      <c r="W16" s="214"/>
      <c r="X16" s="215"/>
      <c r="Y16" s="4"/>
      <c r="Z16" s="11"/>
      <c r="AA16" s="11"/>
      <c r="AB16" s="11"/>
      <c r="AC16" s="11"/>
      <c r="AD16" s="3"/>
      <c r="AE16" s="4"/>
      <c r="AF16" s="4"/>
    </row>
    <row r="17">
      <c r="A17" s="15">
        <f>IF(ISBLANK(B17),"",A16+1)</f>
      </c>
      <c r="B17" s="53" t="str">
        <v>Deathmatch</v>
      </c>
      <c r="C17" s="53" t="str">
        <v>死斗</v>
      </c>
      <c r="D17" s="53" t="str">
        <v>Deathmatch</v>
      </c>
      <c r="E17" s="53" t="str">
        <v>纪念碑</v>
      </c>
      <c r="F17" s="203" t="str">
        <v>你的造成和受到的伤害增加100%，持续5s</v>
      </c>
      <c r="G17" s="72">
        <f>IF($B17="","","SKL"&amp;"01"&amp;IF(I17="瞬发","01",IF(I17="切换","02",IF(I17="瞄准","03",IF(I17="蓄力","04",IF(I17="引导","05","00")))))&amp;"04"&amp;BASE(CODE(MID(B17,1,1))*1+CODE(MID(B17,2,1))*2+CODE(MID(B17,3,1))*3,36,2))</f>
      </c>
      <c r="H17" s="72">
        <f>IF($B17="","","ITB"&amp;VLOOKUP(E17,'引用数据库'!Z:AC,4,FALSE)&amp;"0000"&amp;BASE(CODE(MID(B17,1,1))*1+CODE(MID(B17,2,1))*2+CODE(MID(B17,3,1))*3,36,2))</f>
      </c>
      <c r="I17" s="1" t="str">
        <v>瞬发</v>
      </c>
      <c r="J17" s="1"/>
      <c r="K17" s="1"/>
      <c r="L17" s="1"/>
      <c r="M17" s="1"/>
      <c r="N17" s="1"/>
      <c r="O17" s="1"/>
      <c r="P17" s="204"/>
      <c r="Q17" s="1"/>
      <c r="R17" s="1"/>
      <c r="S17" s="1"/>
      <c r="T17" s="1"/>
      <c r="U17" s="1"/>
      <c r="V17" s="203"/>
      <c r="W17" s="214"/>
      <c r="X17" s="215"/>
      <c r="Y17" s="4"/>
      <c r="Z17" s="11"/>
      <c r="AA17" s="11"/>
      <c r="AB17" s="11"/>
      <c r="AC17" s="11"/>
      <c r="AD17" s="3"/>
      <c r="AE17" s="4"/>
      <c r="AF17" s="4"/>
    </row>
    <row r="18">
      <c r="A18" s="15">
        <f>IF(ISBLANK(B18),"",A17+1)</f>
      </c>
      <c r="B18" s="53" t="str">
        <v>Rotation</v>
      </c>
      <c r="C18" s="53" t="str">
        <v>车轮战</v>
      </c>
      <c r="D18" s="53" t="str">
        <v>Rotation</v>
      </c>
      <c r="E18" s="53" t="str">
        <v>野望</v>
      </c>
      <c r="F18" s="203" t="str">
        <v>造成的伤害增加200%，持续1s。在此期间如果击杀了敌人，持续时间延长1s</v>
      </c>
      <c r="G18" s="72">
        <f>IF($B18="","","SKL"&amp;"01"&amp;IF(I18="瞬发","01",IF(I18="切换","02",IF(I18="瞄准","03",IF(I18="蓄力","04",IF(I18="引导","05","00")))))&amp;"04"&amp;BASE(CODE(MID(B18,1,1))*1+CODE(MID(B18,2,1))*2+CODE(MID(B18,3,1))*3,36,2))</f>
      </c>
      <c r="H18" s="72">
        <f>IF($B18="","","ITB"&amp;VLOOKUP(E18,'引用数据库'!Z:AC,4,FALSE)&amp;"0000"&amp;BASE(CODE(MID(B18,1,1))*1+CODE(MID(B18,2,1))*2+CODE(MID(B18,3,1))*3,36,2))</f>
      </c>
      <c r="I18" s="1" t="str">
        <v>瞬发</v>
      </c>
      <c r="J18" s="1"/>
      <c r="K18" s="1"/>
      <c r="L18" s="1"/>
      <c r="M18" s="1"/>
      <c r="N18" s="1"/>
      <c r="O18" s="1"/>
      <c r="P18" s="204"/>
      <c r="Q18" s="1"/>
      <c r="R18" s="1"/>
      <c r="S18" s="1"/>
      <c r="T18" s="1"/>
      <c r="U18" s="1"/>
      <c r="V18" s="203"/>
      <c r="W18" s="214"/>
      <c r="X18" s="215"/>
      <c r="Y18" s="4"/>
      <c r="Z18" s="11"/>
      <c r="AA18" s="11"/>
      <c r="AB18" s="11"/>
      <c r="AC18" s="11"/>
      <c r="AD18" s="3"/>
      <c r="AE18" s="4"/>
      <c r="AF18" s="4"/>
    </row>
    <row r="19">
      <c r="A19" s="15">
        <f>IF(ISBLANK(B19),"",A18+1)</f>
      </c>
      <c r="B19" s="53" t="str">
        <v>SynapseStim</v>
      </c>
      <c r="C19" s="53" t="str">
        <v>突触强化</v>
      </c>
      <c r="D19" s="53" t="str">
        <v>Synapse Stim</v>
      </c>
      <c r="E19" s="53" t="str">
        <v>致远生物</v>
      </c>
      <c r="F19" s="203" t="str">
        <v>开启后，移动速度和装填速度提升30%，但每秒增加5%受到的伤害（最高叠加至50%）。关闭后负面效果在3s内逐渐消退。</v>
      </c>
      <c r="G19" s="72">
        <f>IF($B19="","","SKL"&amp;"01"&amp;IF(I19="瞬发","01",IF(I19="切换","02",IF(I19="瞄准","03",IF(I19="蓄力","04",IF(I19="引导","05","00")))))&amp;"04"&amp;BASE(CODE(MID(B19,1,1))*1+CODE(MID(B19,2,1))*2+CODE(MID(B19,3,1))*3,36,2))</f>
      </c>
      <c r="H19" s="72">
        <f>IF($B19="","","ITB"&amp;VLOOKUP(E19,'引用数据库'!Z:AC,4,FALSE)&amp;"0000"&amp;BASE(CODE(MID(B19,1,1))*1+CODE(MID(B19,2,1))*2+CODE(MID(B19,3,1))*3,36,2))</f>
      </c>
      <c r="I19" s="1" t="str">
        <v>切换</v>
      </c>
      <c r="J19" s="1"/>
      <c r="K19" s="1"/>
      <c r="L19" s="1"/>
      <c r="M19" s="1"/>
      <c r="N19" s="1"/>
      <c r="O19" s="1"/>
      <c r="P19" s="204"/>
      <c r="Q19" s="1"/>
      <c r="R19" s="1"/>
      <c r="S19" s="1"/>
      <c r="T19" s="1"/>
      <c r="U19" s="1"/>
      <c r="V19" s="203"/>
      <c r="W19" s="214"/>
      <c r="X19" s="215"/>
      <c r="Y19" s="4"/>
      <c r="Z19" s="11"/>
      <c r="AA19" s="11"/>
      <c r="AB19" s="11"/>
      <c r="AC19" s="11"/>
      <c r="AD19" s="3"/>
      <c r="AE19" s="4"/>
      <c r="AF19" s="4"/>
    </row>
    <row r="20">
      <c r="A20" s="15">
        <f>IF(ISBLANK(B20),"",A19+1)</f>
      </c>
      <c r="B20" s="53" t="str">
        <v>AcidGrenade</v>
      </c>
      <c r="C20" s="53" t="str">
        <v>酸性手雷</v>
      </c>
      <c r="D20" s="53" t="str">
        <v>Acid Grenade</v>
      </c>
      <c r="E20" s="53" t="str">
        <v>致远生物</v>
      </c>
      <c r="F20" s="203" t="str">
        <v>投掷一枚酸性手雷，在投出后2s爆炸，爆开后形成半径{A}米的酸雾，处于其中的单位每秒损失20%护甲。你可以储存最多3枚手雷。</v>
      </c>
      <c r="G20" s="72">
        <f>IF($B20="","","SKL"&amp;"01"&amp;IF(I20="瞬发","01",IF(I20="切换","02",IF(I20="瞄准","03",IF(I20="蓄力","04",IF(I20="引导","05","00")))))&amp;"04"&amp;BASE(CODE(MID(B20,1,1))*1+CODE(MID(B20,2,1))*2+CODE(MID(B20,3,1))*3,36,2))</f>
      </c>
      <c r="H20" s="72">
        <f>IF($B20="","","ITB"&amp;VLOOKUP(E20,'引用数据库'!Z:AC,4,FALSE)&amp;"0000"&amp;BASE(CODE(MID(B20,1,1))*1+CODE(MID(B20,2,1))*2+CODE(MID(B20,3,1))*3,36,2))</f>
      </c>
      <c r="I20" s="1" t="str">
        <v>瞬发</v>
      </c>
      <c r="J20" s="1"/>
      <c r="K20" s="1"/>
      <c r="L20" s="1"/>
      <c r="M20" s="1"/>
      <c r="N20" s="1"/>
      <c r="O20" s="1"/>
      <c r="P20" s="204"/>
      <c r="Q20" s="1"/>
      <c r="R20" s="1"/>
      <c r="S20" s="1"/>
      <c r="T20" s="1"/>
      <c r="U20" s="1"/>
      <c r="V20" s="203"/>
      <c r="W20" s="214"/>
      <c r="X20" s="215"/>
      <c r="Y20" s="4"/>
      <c r="Z20" s="11"/>
      <c r="AA20" s="11"/>
      <c r="AB20" s="11"/>
      <c r="AC20" s="11"/>
      <c r="AD20" s="3"/>
      <c r="AE20" s="4"/>
      <c r="AF20" s="4"/>
    </row>
    <row r="21">
      <c r="A21" s="15">
        <f>IF(ISBLANK(B21),"",A20+1)</f>
      </c>
      <c r="B21" s="53" t="str">
        <v>ThermalBarrier</v>
      </c>
      <c r="C21" s="53" t="str">
        <v>热能护盾</v>
      </c>
      <c r="D21" s="53" t="str">
        <v>Thermal Barrier</v>
      </c>
      <c r="E21" s="53" t="str">
        <v>新浦会</v>
      </c>
      <c r="F21" s="203" t="str">
        <v>开启一个能吸收伤害的护盾。护盾破碎或手动关闭时，向周围释放热浪，造成等同于吸收量的热能伤害并击退敌人。护盾最多吸收{生命值上限}的伤害。</v>
      </c>
      <c r="G21" s="72">
        <f>IF($B21="","","SKL"&amp;"01"&amp;IF(I21="瞬发","01",IF(I21="切换","02",IF(I21="瞄准","03",IF(I21="蓄力","04",IF(I21="引导","05","00")))))&amp;"04"&amp;BASE(CODE(MID(B21,1,1))*1+CODE(MID(B21,2,1))*2+CODE(MID(B21,3,1))*3,36,2))</f>
      </c>
      <c r="H21" s="72">
        <f>IF($B21="","","ITB"&amp;VLOOKUP(E21,'引用数据库'!Z:AC,4,FALSE)&amp;"0000"&amp;BASE(CODE(MID(B21,1,1))*1+CODE(MID(B21,2,1))*2+CODE(MID(B21,3,1))*3,36,2))</f>
      </c>
      <c r="I21" s="1" t="str">
        <v>瞬发</v>
      </c>
      <c r="J21" s="1"/>
      <c r="K21" s="1"/>
      <c r="L21" s="1"/>
      <c r="M21" s="1"/>
      <c r="N21" s="1"/>
      <c r="O21" s="1"/>
      <c r="P21" s="204"/>
      <c r="Q21" s="1"/>
      <c r="R21" s="1"/>
      <c r="S21" s="1"/>
      <c r="T21" s="1"/>
      <c r="U21" s="1"/>
      <c r="V21" s="203"/>
      <c r="W21" s="214"/>
      <c r="X21" s="215"/>
      <c r="Y21" s="4"/>
      <c r="Z21" s="11"/>
      <c r="AA21" s="11"/>
      <c r="AB21" s="11"/>
      <c r="AC21" s="11"/>
      <c r="AD21" s="3"/>
      <c r="AE21" s="4"/>
      <c r="AF21" s="4"/>
    </row>
    <row r="22">
      <c r="A22" s="15">
        <f>IF(ISBLANK(B22),"",A21+1)</f>
      </c>
      <c r="B22" s="53" t="str">
        <v>EnergySurge</v>
      </c>
      <c r="C22" s="53" t="str">
        <v>电磁脉冲</v>
      </c>
      <c r="D22" s="53" t="str">
        <v>Energy Surge</v>
      </c>
      <c r="E22" s="53" t="str">
        <v>新浦会</v>
      </c>
      <c r="F22" s="203" t="str">
        <v>向周围{A}米范围释放电磁脉冲，造成{反应*10}电磁伤害并使其进入3s的沉默状态。</v>
      </c>
      <c r="G22" s="72">
        <f>IF($B22="","","SKL"&amp;"01"&amp;IF(I22="瞬发","01",IF(I22="切换","02",IF(I22="瞄准","03",IF(I22="蓄力","04",IF(I22="引导","05","00")))))&amp;"04"&amp;BASE(CODE(MID(B22,1,1))*1+CODE(MID(B22,2,1))*2+CODE(MID(B22,3,1))*3,36,2))</f>
      </c>
      <c r="H22" s="72">
        <f>IF($B22="","","ITB"&amp;VLOOKUP(E22,'引用数据库'!Z:AC,4,FALSE)&amp;"0000"&amp;BASE(CODE(MID(B22,1,1))*1+CODE(MID(B22,2,1))*2+CODE(MID(B22,3,1))*3,36,2))</f>
      </c>
      <c r="I22" s="1" t="str">
        <v>瞬发</v>
      </c>
      <c r="J22" s="1"/>
      <c r="K22" s="1"/>
      <c r="L22" s="1"/>
      <c r="M22" s="1"/>
      <c r="N22" s="1"/>
      <c r="O22" s="1"/>
      <c r="P22" s="204"/>
      <c r="Q22" s="1"/>
      <c r="R22" s="1"/>
      <c r="S22" s="1"/>
      <c r="T22" s="1"/>
      <c r="U22" s="1"/>
      <c r="V22" s="203"/>
      <c r="W22" s="214"/>
      <c r="X22" s="215"/>
      <c r="Y22" s="4"/>
      <c r="Z22" s="11"/>
      <c r="AA22" s="11"/>
      <c r="AB22" s="11"/>
      <c r="AC22" s="11"/>
      <c r="AD22" s="3"/>
      <c r="AE22" s="4"/>
      <c r="AF22" s="4"/>
    </row>
    <row r="23">
      <c r="A23" s="15">
        <f>IF(ISBLANK(B23),"",A22+1)</f>
      </c>
      <c r="B23" s="53" t="str">
        <v>GravitySingularity</v>
      </c>
      <c r="C23" s="53" t="str">
        <v>引力奇点</v>
      </c>
      <c r="D23" s="53" t="str">
        <v>Gravity Singularity</v>
      </c>
      <c r="E23" s="53" t="str">
        <v>纪念碑</v>
      </c>
      <c r="F23" s="203" t="str">
        <v>部署一个引力发生器，将半径{A}米内的所有单位牵引至中心点，发生器的引力和作用范围在持续期间逐步增大。</v>
      </c>
      <c r="G23" s="72">
        <f>IF($B23="","","SKL"&amp;"01"&amp;IF(I23="瞬发","01",IF(I23="切换","02",IF(I23="瞄准","03",IF(I23="蓄力","04",IF(I23="引导","05","00")))))&amp;"04"&amp;BASE(CODE(MID(B23,1,1))*1+CODE(MID(B23,2,1))*2+CODE(MID(B23,3,1))*3,36,2))</f>
      </c>
      <c r="H23" s="72">
        <f>IF($B23="","","ITB"&amp;VLOOKUP(E23,'引用数据库'!Z:AC,4,FALSE)&amp;"0000"&amp;BASE(CODE(MID(B23,1,1))*1+CODE(MID(B23,2,1))*2+CODE(MID(B23,3,1))*3,36,2))</f>
      </c>
      <c r="I23" s="1" t="str">
        <v>瞬发</v>
      </c>
      <c r="J23" s="1"/>
      <c r="K23" s="1"/>
      <c r="L23" s="1"/>
      <c r="M23" s="1"/>
      <c r="N23" s="1"/>
      <c r="O23" s="1"/>
      <c r="P23" s="204"/>
      <c r="Q23" s="1"/>
      <c r="R23" s="1"/>
      <c r="S23" s="1"/>
      <c r="T23" s="1"/>
      <c r="U23" s="1"/>
      <c r="V23" s="203"/>
      <c r="W23" s="214"/>
      <c r="X23" s="215"/>
      <c r="Y23" s="4"/>
      <c r="Z23" s="11"/>
      <c r="AA23" s="11"/>
      <c r="AB23" s="11"/>
      <c r="AC23" s="11"/>
      <c r="AD23" s="3"/>
      <c r="AE23" s="4"/>
      <c r="AF23" s="4"/>
    </row>
    <row r="24">
      <c r="A24" s="15">
        <f>IF(ISBLANK(B24),"",A23+1)</f>
      </c>
      <c r="B24" s="53" t="str">
        <v>SmartCover</v>
      </c>
      <c r="C24" s="53" t="str">
        <v>智能掩体</v>
      </c>
      <c r="D24" s="53" t="str">
        <v>Smart Cover</v>
      </c>
      <c r="E24" s="53" t="str">
        <v>纪念碑</v>
      </c>
      <c r="F24" s="203" t="str">
        <v>在身前部署一个单向能量墙，子弹和投射物只能单向穿透。</v>
      </c>
      <c r="G24" s="72">
        <f>IF($B24="","","SKL"&amp;"01"&amp;IF(I24="瞬发","01",IF(I24="切换","02",IF(I24="瞄准","03",IF(I24="蓄力","04",IF(I24="引导","05","00")))))&amp;"04"&amp;BASE(CODE(MID(B24,1,1))*1+CODE(MID(B24,2,1))*2+CODE(MID(B24,3,1))*3,36,2))</f>
      </c>
      <c r="H24" s="72">
        <f>IF($B24="","","ITB"&amp;VLOOKUP(E24,'引用数据库'!Z:AC,4,FALSE)&amp;"0000"&amp;BASE(CODE(MID(B24,1,1))*1+CODE(MID(B24,2,1))*2+CODE(MID(B24,3,1))*3,36,2))</f>
      </c>
      <c r="I24" s="1" t="str">
        <v>瞬发</v>
      </c>
      <c r="J24" s="1"/>
      <c r="K24" s="1"/>
      <c r="L24" s="1"/>
      <c r="M24" s="1"/>
      <c r="N24" s="1"/>
      <c r="O24" s="1"/>
      <c r="P24" s="204"/>
      <c r="Q24" s="1"/>
      <c r="R24" s="1"/>
      <c r="S24" s="1"/>
      <c r="T24" s="1"/>
      <c r="U24" s="1"/>
      <c r="V24" s="203"/>
      <c r="W24" s="214"/>
      <c r="X24" s="215"/>
      <c r="Y24" s="4"/>
      <c r="Z24" s="11"/>
      <c r="AA24" s="11"/>
      <c r="AB24" s="11"/>
      <c r="AC24" s="11"/>
      <c r="AD24" s="3"/>
      <c r="AE24" s="4"/>
      <c r="AF24" s="4"/>
    </row>
    <row r="25">
      <c r="A25" s="15">
        <f>IF(ISBLANK(B25),"",A24+1)</f>
      </c>
      <c r="B25" s="53" t="str">
        <v>AreaDenial</v>
      </c>
      <c r="C25" s="53" t="str">
        <v>区域封锁</v>
      </c>
      <c r="D25" s="53" t="str">
        <v>Area Denial</v>
      </c>
      <c r="E25" s="53" t="str">
        <v>纪念碑</v>
      </c>
      <c r="F25" s="203" t="str">
        <v>放置1枚微型地雷。敌人踩中或接近时引爆，在{3}m范围内造成{力量*10}动能伤害，并使其移动速度降低50%，持续4s。地雷本身会持续存在。</v>
      </c>
      <c r="G25" s="72">
        <f>IF($B25="","","SKL"&amp;"01"&amp;IF(I25="瞬发","01",IF(I25="切换","02",IF(I25="瞄准","03",IF(I25="蓄力","04",IF(I25="引导","05","00")))))&amp;"04"&amp;BASE(CODE(MID(B25,1,1))*1+CODE(MID(B25,2,1))*2+CODE(MID(B25,3,1))*3,36,2))</f>
      </c>
      <c r="H25" s="72">
        <f>IF($B25="","","ITB"&amp;VLOOKUP(E25,'引用数据库'!Z:AC,4,FALSE)&amp;"0000"&amp;BASE(CODE(MID(B25,1,1))*1+CODE(MID(B25,2,1))*2+CODE(MID(B25,3,1))*3,36,2))</f>
      </c>
      <c r="I25" s="1" t="str">
        <v>瞬发</v>
      </c>
      <c r="J25" s="1"/>
      <c r="K25" s="1"/>
      <c r="L25" s="1"/>
      <c r="M25" s="1"/>
      <c r="N25" s="1"/>
      <c r="O25" s="1"/>
      <c r="P25" s="204"/>
      <c r="Q25" s="1"/>
      <c r="R25" s="1"/>
      <c r="S25" s="1"/>
      <c r="T25" s="1"/>
      <c r="U25" s="1"/>
      <c r="V25" s="203"/>
      <c r="W25" s="214"/>
      <c r="X25" s="215"/>
      <c r="Y25" s="4"/>
      <c r="Z25" s="11"/>
      <c r="AA25" s="11"/>
      <c r="AB25" s="11"/>
      <c r="AC25" s="11"/>
      <c r="AD25" s="3"/>
      <c r="AE25" s="4"/>
      <c r="AF25" s="4"/>
    </row>
    <row r="26">
      <c r="A26" s="15">
        <f>IF(ISBLANK(B26),"",A25+1)</f>
      </c>
      <c r="B26" s="53" t="str">
        <v>SentryTurret</v>
      </c>
      <c r="C26" s="53" t="str">
        <v>哨戒机枪</v>
      </c>
      <c r="D26" s="53" t="str">
        <v>Sentry Turret</v>
      </c>
      <c r="E26" s="53" t="str">
        <v>纪念碑</v>
      </c>
      <c r="F26" s="203" t="str">
        <v>部署一台自动攻击敌人的轻型机枪塔，持续15s。机枪塔获得释放时角色武器的攻击属性，不可移动。</v>
      </c>
      <c r="G26" s="72">
        <f>IF($B26="","","SKL"&amp;"01"&amp;IF(I26="瞬发","01",IF(I26="切换","02",IF(I26="瞄准","03",IF(I26="蓄力","04",IF(I26="引导","05","00")))))&amp;"04"&amp;BASE(CODE(MID(B26,1,1))*1+CODE(MID(B26,2,1))*2+CODE(MID(B26,3,1))*3,36,2))</f>
      </c>
      <c r="H26" s="72">
        <f>IF($B26="","","ITB"&amp;VLOOKUP(E26,'引用数据库'!Z:AC,4,FALSE)&amp;"0000"&amp;BASE(CODE(MID(B26,1,1))*1+CODE(MID(B26,2,1))*2+CODE(MID(B26,3,1))*3,36,2))</f>
      </c>
      <c r="I26" s="1" t="str">
        <v>瞬发</v>
      </c>
      <c r="J26" s="1"/>
      <c r="K26" s="1"/>
      <c r="L26" s="1"/>
      <c r="M26" s="1"/>
      <c r="N26" s="1"/>
      <c r="O26" s="1"/>
      <c r="P26" s="204"/>
      <c r="Q26" s="1"/>
      <c r="R26" s="1"/>
      <c r="S26" s="1"/>
      <c r="T26" s="1"/>
      <c r="U26" s="1"/>
      <c r="V26" s="203"/>
      <c r="W26" s="214"/>
      <c r="X26" s="215"/>
      <c r="Y26" s="4"/>
      <c r="Z26" s="11"/>
      <c r="AA26" s="11"/>
      <c r="AB26" s="11"/>
      <c r="AC26" s="11"/>
      <c r="AD26" s="3"/>
      <c r="AE26" s="4"/>
      <c r="AF26" s="4"/>
    </row>
    <row r="27">
      <c r="A27" s="15">
        <f>IF(ISBLANK(B27),"",A26+1)</f>
      </c>
      <c r="B27" s="53" t="str">
        <v>QuantumVision</v>
      </c>
      <c r="C27" s="53" t="str">
        <v>量子透视</v>
      </c>
      <c r="D27" s="53" t="str">
        <v>Quantum Vision</v>
      </c>
      <c r="E27" s="53" t="str">
        <v>寰宇</v>
      </c>
      <c r="F27" s="203" t="str">
        <v>开启后，可以透过墙壁看到敌人轮廓，且你的子弹获得轻微的穿墙能力（伤害衰减50%）。</v>
      </c>
      <c r="G27" s="72">
        <f>IF($B27="","","SKL"&amp;"01"&amp;IF(I27="瞬发","01",IF(I27="切换","02",IF(I27="瞄准","03",IF(I27="蓄力","04",IF(I27="引导","05","00")))))&amp;"04"&amp;BASE(CODE(MID(B27,1,1))*1+CODE(MID(B27,2,1))*2+CODE(MID(B27,3,1))*3,36,2))</f>
      </c>
      <c r="H27" s="72">
        <f>IF($B27="","","ITB"&amp;VLOOKUP(E27,'引用数据库'!Z:AC,4,FALSE)&amp;"0000"&amp;BASE(CODE(MID(B27,1,1))*1+CODE(MID(B27,2,1))*2+CODE(MID(B27,3,1))*3,36,2))</f>
      </c>
      <c r="I27" s="1" t="str">
        <v>瞬发</v>
      </c>
      <c r="J27" s="1"/>
      <c r="K27" s="1"/>
      <c r="L27" s="1"/>
      <c r="M27" s="1"/>
      <c r="N27" s="1"/>
      <c r="O27" s="1"/>
      <c r="P27" s="204"/>
      <c r="Q27" s="1"/>
      <c r="R27" s="1"/>
      <c r="S27" s="1"/>
      <c r="T27" s="1"/>
      <c r="U27" s="1"/>
      <c r="V27" s="203"/>
      <c r="W27" s="214"/>
      <c r="X27" s="215"/>
      <c r="Y27" s="4"/>
      <c r="Z27" s="11"/>
      <c r="AA27" s="11"/>
      <c r="AB27" s="11"/>
      <c r="AC27" s="11"/>
      <c r="AD27" s="3"/>
      <c r="AE27" s="4"/>
      <c r="AF27" s="4"/>
    </row>
    <row r="28">
      <c r="A28" s="15">
        <f>IF(ISBLANK(B28),"",A27+1)</f>
      </c>
      <c r="B28" s="53" t="str">
        <v>DataFlood</v>
      </c>
      <c r="C28" s="53" t="str">
        <v>数据洪流</v>
      </c>
      <c r="D28" s="53" t="str">
        <v>Data Flood</v>
      </c>
      <c r="E28" s="53" t="str">
        <v>寰宇</v>
      </c>
      <c r="F28" s="203" t="str">
        <v>向一名敌人上传病毒，迫使其为你作战，持续10s。如果目标死亡，病毒会传染给最近的敌人并刷新持续时间。</v>
      </c>
      <c r="G28" s="72">
        <f>IF($B28="","","SKL"&amp;"01"&amp;IF(I28="瞬发","01",IF(I28="切换","02",IF(I28="瞄准","03",IF(I28="蓄力","04",IF(I28="引导","05","00")))))&amp;"04"&amp;BASE(CODE(MID(B28,1,1))*1+CODE(MID(B28,2,1))*2+CODE(MID(B28,3,1))*3,36,2))</f>
      </c>
      <c r="H28" s="72">
        <f>IF($B28="","","ITB"&amp;VLOOKUP(E28,'引用数据库'!Z:AC,4,FALSE)&amp;"0000"&amp;BASE(CODE(MID(B28,1,1))*1+CODE(MID(B28,2,1))*2+CODE(MID(B28,3,1))*3,36,2))</f>
      </c>
      <c r="I28" s="1" t="str">
        <v>瞄准</v>
      </c>
      <c r="J28" s="1"/>
      <c r="K28" s="1"/>
      <c r="L28" s="1"/>
      <c r="M28" s="1"/>
      <c r="N28" s="1"/>
      <c r="O28" s="1"/>
      <c r="P28" s="204"/>
      <c r="Q28" s="1"/>
      <c r="R28" s="1"/>
      <c r="S28" s="1"/>
      <c r="T28" s="1"/>
      <c r="U28" s="1"/>
      <c r="V28" s="203"/>
      <c r="W28" s="214"/>
      <c r="X28" s="215"/>
      <c r="Y28" s="4"/>
      <c r="Z28" s="11"/>
      <c r="AA28" s="11"/>
      <c r="AB28" s="11"/>
      <c r="AC28" s="11"/>
      <c r="AD28" s="3"/>
      <c r="AE28" s="4"/>
      <c r="AF28" s="4"/>
    </row>
    <row r="29">
      <c r="A29" s="15">
        <f>IF(ISBLANK(B29),"",A28+1)</f>
      </c>
      <c r="B29" s="53" t="str">
        <v>SignalHijack</v>
      </c>
      <c r="C29" s="53" t="str">
        <v>信号劫持</v>
      </c>
      <c r="D29" s="53" t="str">
        <v>Signal Hijack</v>
      </c>
      <c r="E29" s="53" t="str">
        <v>寰宇</v>
      </c>
      <c r="F29" s="203" t="str">
        <v>向一名敌人上传病毒，控制其行为。如果在控制期间你受到伤害，效果终止。</v>
      </c>
      <c r="G29" s="72">
        <f>IF($B29="","","SKL"&amp;"01"&amp;IF(I29="瞬发","01",IF(I29="切换","02",IF(I29="瞄准","03",IF(I29="蓄力","04",IF(I29="引导","05","00")))))&amp;"04"&amp;BASE(CODE(MID(B29,1,1))*1+CODE(MID(B29,2,1))*2+CODE(MID(B29,3,1))*3,36,2))</f>
      </c>
      <c r="H29" s="72">
        <f>IF($B29="","","ITB"&amp;VLOOKUP(E29,'引用数据库'!Z:AC,4,FALSE)&amp;"0000"&amp;BASE(CODE(MID(B29,1,1))*1+CODE(MID(B29,2,1))*2+CODE(MID(B29,3,1))*3,36,2))</f>
      </c>
      <c r="I29" s="1" t="str">
        <v>瞄准</v>
      </c>
      <c r="J29" s="1"/>
      <c r="K29" s="1"/>
      <c r="L29" s="1"/>
      <c r="M29" s="1"/>
      <c r="N29" s="1"/>
      <c r="O29" s="1"/>
      <c r="P29" s="204"/>
      <c r="Q29" s="1"/>
      <c r="R29" s="1"/>
      <c r="S29" s="1"/>
      <c r="T29" s="1"/>
      <c r="U29" s="1"/>
      <c r="V29" s="203"/>
      <c r="W29" s="214"/>
      <c r="X29" s="215"/>
      <c r="Y29" s="4"/>
      <c r="Z29" s="11"/>
      <c r="AA29" s="11"/>
      <c r="AB29" s="11"/>
      <c r="AC29" s="11"/>
      <c r="AD29" s="3"/>
      <c r="AE29" s="4"/>
      <c r="AF29" s="4"/>
    </row>
    <row r="30">
      <c r="A30" s="15">
        <f>IF(ISBLANK(B30),"",A29+1)</f>
      </c>
      <c r="B30" s="53" t="str">
        <v>AndGate</v>
      </c>
      <c r="C30" s="53" t="str">
        <v>与门</v>
      </c>
      <c r="D30" s="53" t="str">
        <v>And Gate</v>
      </c>
      <c r="E30" s="75" t="str">
        <v>律动智能</v>
      </c>
      <c r="F30" s="203" t="str">
        <v>在2个位置分别放置传送门，持续10s。任何单位（包括子弹）均可双向穿过。</v>
      </c>
      <c r="G30" s="72">
        <f>IF($B30="","","SKL"&amp;"01"&amp;IF(I30="瞬发","01",IF(I30="切换","02",IF(I30="瞄准","03",IF(I30="蓄力","04",IF(I30="引导","05","00")))))&amp;"04"&amp;BASE(CODE(MID(B30,1,1))*1+CODE(MID(B30,2,1))*2+CODE(MID(B30,3,1))*3,36,2))</f>
      </c>
      <c r="H30" s="72">
        <f>IF($B30="","","ITB"&amp;VLOOKUP(E30,'引用数据库'!Z:AC,4,FALSE)&amp;"0000"&amp;BASE(CODE(MID(B30,1,1))*1+CODE(MID(B30,2,1))*2+CODE(MID(B30,3,1))*3,36,2))</f>
      </c>
      <c r="I30" s="1" t="str">
        <v>瞬发</v>
      </c>
      <c r="J30" s="1"/>
      <c r="K30" s="1"/>
      <c r="L30" s="1"/>
      <c r="M30" s="1"/>
      <c r="N30" s="1"/>
      <c r="O30" s="1"/>
      <c r="P30" s="204"/>
      <c r="Q30" s="1"/>
      <c r="R30" s="1"/>
      <c r="S30" s="1"/>
      <c r="T30" s="1"/>
      <c r="U30" s="1"/>
      <c r="V30" s="203"/>
      <c r="W30" s="214"/>
      <c r="X30" s="215"/>
      <c r="Y30" s="4"/>
      <c r="Z30" s="11"/>
      <c r="AA30" s="11"/>
      <c r="AB30" s="11"/>
      <c r="AC30" s="11"/>
      <c r="AD30" s="3"/>
      <c r="AE30" s="4"/>
      <c r="AF30" s="4"/>
    </row>
    <row r="31">
      <c r="A31" s="15">
        <f>IF(ISBLANK(B31),"",A30+1)</f>
      </c>
      <c r="B31" s="53" t="str">
        <v>OrGate</v>
      </c>
      <c r="C31" s="53" t="str">
        <v>或门</v>
      </c>
      <c r="D31" s="53" t="str">
        <v>Or Gate</v>
      </c>
      <c r="E31" s="75" t="str">
        <v>律动智能</v>
      </c>
      <c r="F31" s="203" t="str">
        <v>在3个位置分别放置传送门，持续10s。任何单位（包括子弹）均可进入，并随机从另一个门离开。</v>
      </c>
      <c r="G31" s="72">
        <f>IF($B31="","","SKL"&amp;"01"&amp;IF(I31="瞬发","01",IF(I31="切换","02",IF(I31="瞄准","03",IF(I31="蓄力","04",IF(I31="引导","05","00")))))&amp;"04"&amp;BASE(CODE(MID(B31,1,1))*1+CODE(MID(B31,2,1))*2+CODE(MID(B31,3,1))*3,36,2))</f>
      </c>
      <c r="H31" s="72">
        <f>IF($B31="","","ITB"&amp;VLOOKUP(E31,'引用数据库'!Z:AC,4,FALSE)&amp;"0000"&amp;BASE(CODE(MID(B31,1,1))*1+CODE(MID(B31,2,1))*2+CODE(MID(B31,3,1))*3,36,2))</f>
      </c>
      <c r="I31" s="1" t="str">
        <v>瞬发</v>
      </c>
      <c r="J31" s="1"/>
      <c r="K31" s="1"/>
      <c r="L31" s="1"/>
      <c r="M31" s="1"/>
      <c r="N31" s="1"/>
      <c r="O31" s="1"/>
      <c r="P31" s="204"/>
      <c r="Q31" s="1"/>
      <c r="R31" s="1"/>
      <c r="S31" s="1"/>
      <c r="T31" s="1"/>
      <c r="U31" s="1"/>
      <c r="V31" s="203"/>
      <c r="W31" s="214"/>
      <c r="X31" s="215"/>
      <c r="Y31" s="4"/>
      <c r="Z31" s="11"/>
      <c r="AA31" s="11"/>
      <c r="AB31" s="11"/>
      <c r="AC31" s="11"/>
      <c r="AD31" s="3"/>
      <c r="AE31" s="4"/>
      <c r="AF31" s="4"/>
    </row>
    <row r="32">
      <c r="A32" s="15">
        <f>IF(ISBLANK(B32),"",A31+1)</f>
      </c>
      <c r="B32" s="53" t="str">
        <v>NotGate</v>
      </c>
      <c r="C32" s="53" t="str">
        <v>非门</v>
      </c>
      <c r="D32" s="53" t="str">
        <v>Not Gate</v>
      </c>
      <c r="E32" s="75" t="str">
        <v>律动智能</v>
      </c>
      <c r="F32" s="203" t="str">
        <v>在1个位置放置传送门，持续10s。子弹和投掷物会被该门反射。</v>
      </c>
      <c r="G32" s="72">
        <f>IF($B32="","","SKL"&amp;"01"&amp;IF(I32="瞬发","01",IF(I32="切换","02",IF(I32="瞄准","03",IF(I32="蓄力","04",IF(I32="引导","05","00")))))&amp;"04"&amp;BASE(CODE(MID(B32,1,1))*1+CODE(MID(B32,2,1))*2+CODE(MID(B32,3,1))*3,36,2))</f>
      </c>
      <c r="H32" s="72">
        <f>IF($B32="","","ITB"&amp;VLOOKUP(E32,'引用数据库'!Z:AC,4,FALSE)&amp;"0000"&amp;BASE(CODE(MID(B32,1,1))*1+CODE(MID(B32,2,1))*2+CODE(MID(B32,3,1))*3,36,2))</f>
      </c>
      <c r="I32" s="1" t="str">
        <v>瞬发</v>
      </c>
      <c r="J32" s="1"/>
      <c r="K32" s="1"/>
      <c r="L32" s="1"/>
      <c r="M32" s="1"/>
      <c r="N32" s="1"/>
      <c r="O32" s="1"/>
      <c r="P32" s="204"/>
      <c r="Q32" s="1"/>
      <c r="R32" s="1"/>
      <c r="S32" s="1"/>
      <c r="T32" s="1"/>
      <c r="U32" s="1"/>
      <c r="V32" s="203"/>
      <c r="W32" s="214"/>
      <c r="X32" s="215"/>
      <c r="Y32" s="4"/>
      <c r="Z32" s="11"/>
      <c r="AA32" s="11"/>
      <c r="AB32" s="11"/>
      <c r="AC32" s="11"/>
      <c r="AD32" s="3"/>
      <c r="AE32" s="4"/>
      <c r="AF32" s="4"/>
    </row>
    <row r="33">
      <c r="A33" s="15">
        <f>IF(ISBLANK(B33),"",A32+1)</f>
      </c>
      <c r="B33" s="53" t="str">
        <v>DataHarvest</v>
      </c>
      <c r="C33" s="53" t="str">
        <v>数据收割</v>
      </c>
      <c r="D33" s="53" t="str">
        <v>Data Harvest</v>
      </c>
      <c r="E33" s="53" t="str">
        <v>律动智能</v>
      </c>
      <c r="F33" s="203" t="str">
        <v>进入5s的数据收割状态。如果你击杀了任何单位，刷新你的武器技能。刷新可以在持续时间内反复生效。</v>
      </c>
      <c r="G33" s="72">
        <f>IF($B33="","","SKL"&amp;"01"&amp;IF(I33="瞬发","01",IF(I33="切换","02",IF(I33="瞄准","03",IF(I33="蓄力","04",IF(I33="引导","05","00")))))&amp;"04"&amp;BASE(CODE(MID(B33,1,1))*1+CODE(MID(B33,2,1))*2+CODE(MID(B33,3,1))*3,36,2))</f>
      </c>
      <c r="H33" s="72">
        <f>IF($B33="","","ITB"&amp;VLOOKUP(E33,'引用数据库'!Z:AC,4,FALSE)&amp;"0000"&amp;BASE(CODE(MID(B33,1,1))*1+CODE(MID(B33,2,1))*2+CODE(MID(B33,3,1))*3,36,2))</f>
      </c>
      <c r="I33" s="1" t="str">
        <v>瞬发</v>
      </c>
      <c r="J33" s="1"/>
      <c r="K33" s="1"/>
      <c r="L33" s="1"/>
      <c r="M33" s="1"/>
      <c r="N33" s="1"/>
      <c r="O33" s="1"/>
      <c r="P33" s="204"/>
      <c r="Q33" s="1"/>
      <c r="R33" s="1"/>
      <c r="S33" s="1"/>
      <c r="T33" s="1"/>
      <c r="U33" s="1"/>
      <c r="V33" s="203"/>
      <c r="W33" s="214"/>
      <c r="X33" s="215"/>
      <c r="Y33" s="4"/>
      <c r="Z33" s="11"/>
      <c r="AA33" s="11"/>
      <c r="AB33" s="11"/>
      <c r="AC33" s="11"/>
      <c r="AD33" s="3"/>
      <c r="AE33" s="4"/>
      <c r="AF33" s="4"/>
    </row>
    <row r="34">
      <c r="A34" s="15">
        <f>IF(ISBLANK(B34),"",A33+1)</f>
      </c>
      <c r="B34" s="53" t="str">
        <v>GhostProtocol</v>
      </c>
      <c r="C34" s="53" t="str">
        <v>幽灵协议</v>
      </c>
      <c r="D34" s="53" t="str">
        <v>Ghost Protocol</v>
      </c>
      <c r="E34" s="53" t="str">
        <v>律动智能</v>
      </c>
      <c r="F34" s="203" t="str">
        <v>开启后，你的身体进入半虚化状态，免疫所有控制效果，且移动可以穿过敌人，但在状态期间无法攻击。</v>
      </c>
      <c r="G34" s="72">
        <f>IF($B34="","","SKL"&amp;"01"&amp;IF(I34="瞬发","01",IF(I34="切换","02",IF(I34="瞄准","03",IF(I34="蓄力","04",IF(I34="引导","05","00")))))&amp;"04"&amp;BASE(CODE(MID(B34,1,1))*1+CODE(MID(B34,2,1))*2+CODE(MID(B34,3,1))*3,36,2))</f>
      </c>
      <c r="H34" s="72">
        <f>IF($B34="","","ITB"&amp;VLOOKUP(E34,'引用数据库'!Z:AC,4,FALSE)&amp;"0000"&amp;BASE(CODE(MID(B34,1,1))*1+CODE(MID(B34,2,1))*2+CODE(MID(B34,3,1))*3,36,2))</f>
      </c>
      <c r="I34" s="1" t="str">
        <v>瞬发</v>
      </c>
      <c r="J34" s="1"/>
      <c r="K34" s="1"/>
      <c r="L34" s="1"/>
      <c r="M34" s="1"/>
      <c r="N34" s="1"/>
      <c r="O34" s="1"/>
      <c r="P34" s="204"/>
      <c r="Q34" s="1"/>
      <c r="R34" s="1"/>
      <c r="S34" s="1"/>
      <c r="T34" s="1"/>
      <c r="U34" s="1"/>
      <c r="V34" s="203"/>
      <c r="W34" s="214"/>
      <c r="X34" s="215"/>
      <c r="Y34" s="4"/>
      <c r="Z34" s="11"/>
      <c r="AA34" s="11"/>
      <c r="AB34" s="11"/>
      <c r="AC34" s="11"/>
      <c r="AD34" s="3"/>
      <c r="AE34" s="4"/>
      <c r="AF34" s="4"/>
    </row>
    <row r="35">
      <c r="A35" s="15">
        <f>IF(ISBLANK(B35),"",A34+1)</f>
      </c>
      <c r="B35" s="53" t="str">
        <v>KillingSpree</v>
      </c>
      <c r="C35" s="53" t="str">
        <v>杀戮欲望</v>
      </c>
      <c r="D35" s="53" t="str">
        <v>Killing Spree</v>
      </c>
      <c r="E35" s="53" t="str">
        <v>野望</v>
      </c>
      <c r="F35" s="203" t="str">
        <v>攻击速度提升50%，持续2s。每击杀一个敌人，持续时间延长2s。技能效果结束后，移动速度降低50%，持续{N}s，N = 10-持续期间击杀的敌人数量。</v>
      </c>
      <c r="G35" s="72">
        <f>IF($B35="","","SKL"&amp;"01"&amp;IF(I35="瞬发","01",IF(I35="切换","02",IF(I35="瞄准","03",IF(I35="蓄力","04",IF(I35="引导","05","00")))))&amp;"04"&amp;BASE(CODE(MID(B35,1,1))*1+CODE(MID(B35,2,1))*2+CODE(MID(B35,3,1))*3,36,2))</f>
      </c>
      <c r="H35" s="72">
        <f>IF($B35="","","ITB"&amp;VLOOKUP(E35,'引用数据库'!Z:AC,4,FALSE)&amp;"0000"&amp;BASE(CODE(MID(B35,1,1))*1+CODE(MID(B35,2,1))*2+CODE(MID(B35,3,1))*3,36,2))</f>
      </c>
      <c r="I35" s="1" t="str">
        <v>瞬发</v>
      </c>
      <c r="J35" s="1"/>
      <c r="K35" s="1"/>
      <c r="L35" s="1"/>
      <c r="M35" s="1"/>
      <c r="N35" s="1"/>
      <c r="O35" s="1"/>
      <c r="P35" s="204"/>
      <c r="Q35" s="1"/>
      <c r="R35" s="1"/>
      <c r="S35" s="1"/>
      <c r="T35" s="1"/>
      <c r="U35" s="1"/>
      <c r="V35" s="203"/>
      <c r="W35" s="214"/>
      <c r="X35" s="215"/>
      <c r="Y35" s="4"/>
      <c r="Z35" s="11"/>
      <c r="AA35" s="11"/>
      <c r="AB35" s="11"/>
      <c r="AC35" s="11"/>
      <c r="AD35" s="3"/>
      <c r="AE35" s="4"/>
      <c r="AF35" s="4"/>
    </row>
    <row r="36">
      <c r="A36" s="15">
        <f>IF(ISBLANK(B36),"",A35+1)</f>
      </c>
      <c r="B36" s="53" t="str">
        <v>DividedWeStand</v>
      </c>
      <c r="C36" s="53" t="str">
        <v>分则能成</v>
      </c>
      <c r="D36" s="53" t="str">
        <v>Divided We Stand</v>
      </c>
      <c r="E36" s="53" t="str">
        <v>野望</v>
      </c>
      <c r="F36" s="203" t="str">
        <v>消耗所有护甲，创建一个辅助无人机。无人机继承创建时你手持的武器，拥有与你消耗的护甲相同的护甲值，没有生命值。</v>
      </c>
      <c r="G36" s="72">
        <f>IF($B36="","","SKL"&amp;"01"&amp;IF(I36="瞬发","01",IF(I36="切换","02",IF(I36="瞄准","03",IF(I36="蓄力","04",IF(I36="引导","05","00")))))&amp;"04"&amp;BASE(CODE(MID(B36,1,1))*1+CODE(MID(B36,2,1))*2+CODE(MID(B36,3,1))*3,36,2))</f>
      </c>
      <c r="H36" s="72">
        <f>IF($B36="","","ITB"&amp;VLOOKUP(E36,'引用数据库'!Z:AC,4,FALSE)&amp;"0000"&amp;BASE(CODE(MID(B36,1,1))*1+CODE(MID(B36,2,1))*2+CODE(MID(B36,3,1))*3,36,2))</f>
      </c>
      <c r="I36" s="1" t="str">
        <v>瞬发</v>
      </c>
      <c r="J36" s="1"/>
      <c r="K36" s="1"/>
      <c r="L36" s="1"/>
      <c r="M36" s="1"/>
      <c r="N36" s="1"/>
      <c r="O36" s="1"/>
      <c r="P36" s="204"/>
      <c r="Q36" s="1"/>
      <c r="R36" s="1"/>
      <c r="S36" s="1"/>
      <c r="T36" s="1"/>
      <c r="U36" s="1"/>
      <c r="V36" s="203"/>
      <c r="W36" s="214"/>
      <c r="X36" s="215"/>
      <c r="Y36" s="4"/>
      <c r="Z36" s="11"/>
      <c r="AA36" s="11"/>
      <c r="AB36" s="11"/>
      <c r="AC36" s="11"/>
      <c r="AD36" s="3"/>
      <c r="AE36" s="4"/>
      <c r="AF36" s="4"/>
    </row>
    <row r="37">
      <c r="A37" s="15">
        <f>IF(ISBLANK(B37),"",A36+1)</f>
      </c>
      <c r="B37" s="53" t="str">
        <v>StimInjector</v>
      </c>
      <c r="C37" s="53" t="str">
        <v>兴奋剂注射</v>
      </c>
      <c r="D37" s="53" t="str">
        <v>Stim Injector</v>
      </c>
      <c r="E37" s="53" t="str">
        <v>致远生物</v>
      </c>
      <c r="F37" s="203" t="str">
        <v>立即移除身上的所有的负面效果。</v>
      </c>
      <c r="G37" s="72">
        <f>IF($B37="","","SKL"&amp;"01"&amp;IF(I37="瞬发","01",IF(I37="切换","02",IF(I37="瞄准","03",IF(I37="蓄力","04",IF(I37="引导","05","00")))))&amp;"04"&amp;BASE(CODE(MID(B37,1,1))*1+CODE(MID(B37,2,1))*2+CODE(MID(B37,3,1))*3,36,2))</f>
      </c>
      <c r="H37" s="72">
        <f>IF($B37="","","ITB"&amp;VLOOKUP(E37,'引用数据库'!Z:AC,4,FALSE)&amp;"0000"&amp;BASE(CODE(MID(B37,1,1))*1+CODE(MID(B37,2,1))*2+CODE(MID(B37,3,1))*3,36,2))</f>
      </c>
      <c r="I37" s="1" t="str">
        <v>瞬发</v>
      </c>
      <c r="J37" s="1"/>
      <c r="K37" s="1"/>
      <c r="L37" s="1"/>
      <c r="M37" s="1"/>
      <c r="N37" s="1"/>
      <c r="O37" s="1"/>
      <c r="P37" s="204"/>
      <c r="Q37" s="1"/>
      <c r="R37" s="1"/>
      <c r="S37" s="1"/>
      <c r="T37" s="1"/>
      <c r="U37" s="1"/>
      <c r="V37" s="203"/>
      <c r="W37" s="214"/>
      <c r="X37" s="215"/>
      <c r="Y37" s="4"/>
      <c r="Z37" s="11"/>
      <c r="AA37" s="11"/>
      <c r="AB37" s="11"/>
      <c r="AC37" s="11"/>
      <c r="AD37" s="3"/>
      <c r="AE37" s="4"/>
      <c r="AF37" s="4"/>
    </row>
    <row r="38">
      <c r="A38" s="15">
        <f>IF(ISBLANK(B38),"",A37+1)</f>
      </c>
      <c r="B38" s="53" t="str">
        <v>FlashGrenade</v>
      </c>
      <c r="C38" s="53" t="str">
        <v>闪光弹</v>
      </c>
      <c r="D38" s="53" t="str">
        <v>Flash Grenade</v>
      </c>
      <c r="E38" s="53" t="str">
        <v>洛克海德</v>
      </c>
      <c r="F38" s="203" t="str">
        <v>投掷一枚闪光手雷，在投出后2s爆炸，使附近的单位致盲。你可以储存最多3枚手雷。</v>
      </c>
      <c r="G38" s="72">
        <f>IF($B38="","","SKL"&amp;"01"&amp;IF(I38="瞬发","01",IF(I38="切换","02",IF(I38="瞄准","03",IF(I38="蓄力","04",IF(I38="引导","05","00")))))&amp;"04"&amp;BASE(CODE(MID(B38,1,1))*1+CODE(MID(B38,2,1))*2+CODE(MID(B38,3,1))*3,36,2))</f>
      </c>
      <c r="H38" s="72">
        <f>IF($B38="","","ITB"&amp;VLOOKUP(E38,'引用数据库'!Z:AC,4,FALSE)&amp;"0000"&amp;BASE(CODE(MID(B38,1,1))*1+CODE(MID(B38,2,1))*2+CODE(MID(B38,3,1))*3,36,2))</f>
      </c>
      <c r="I38" s="1" t="str">
        <v>瞬发</v>
      </c>
      <c r="J38" s="1"/>
      <c r="K38" s="1"/>
      <c r="L38" s="1"/>
      <c r="M38" s="1"/>
      <c r="N38" s="1"/>
      <c r="O38" s="1"/>
      <c r="P38" s="204"/>
      <c r="Q38" s="1"/>
      <c r="R38" s="1"/>
      <c r="S38" s="1"/>
      <c r="T38" s="1"/>
      <c r="U38" s="1"/>
      <c r="V38" s="203"/>
      <c r="W38" s="214"/>
      <c r="X38" s="215"/>
      <c r="Y38" s="4"/>
      <c r="Z38" s="11"/>
      <c r="AA38" s="11"/>
      <c r="AB38" s="11"/>
      <c r="AC38" s="11"/>
      <c r="AD38" s="3"/>
      <c r="AE38" s="4"/>
      <c r="AF38" s="4"/>
    </row>
    <row r="39">
      <c r="A39" s="15">
        <f>IF(ISBLANK(B39),"",A38+1)</f>
      </c>
      <c r="B39" s="53" t="str">
        <v>SmokeGrenade</v>
      </c>
      <c r="C39" s="53" t="str">
        <v>烟雾弹</v>
      </c>
      <c r="D39" s="53" t="str">
        <v>Smoke Grenade</v>
      </c>
      <c r="E39" s="53" t="str">
        <v>洛克海德</v>
      </c>
      <c r="F39" s="203" t="str">
        <v>投掷一枚烟雾手雷，在投出后2s爆炸，在附近创造一片视野无法穿透的烟雾，持续10s。你可以储存最多3枚手雷。</v>
      </c>
      <c r="G39" s="72">
        <f>IF($B39="","","SKL"&amp;"01"&amp;IF(I39="瞬发","01",IF(I39="切换","02",IF(I39="瞄准","03",IF(I39="蓄力","04",IF(I39="引导","05","00")))))&amp;"04"&amp;BASE(CODE(MID(B39,1,1))*1+CODE(MID(B39,2,1))*2+CODE(MID(B39,3,1))*3,36,2))</f>
      </c>
      <c r="H39" s="72">
        <f>IF($B39="","","ITB"&amp;VLOOKUP(E39,'引用数据库'!Z:AC,4,FALSE)&amp;"0000"&amp;BASE(CODE(MID(B39,1,1))*1+CODE(MID(B39,2,1))*2+CODE(MID(B39,3,1))*3,36,2))</f>
      </c>
      <c r="I39" s="1" t="str">
        <v>瞬发</v>
      </c>
      <c r="J39" s="1"/>
      <c r="K39" s="1"/>
      <c r="L39" s="1"/>
      <c r="M39" s="1"/>
      <c r="N39" s="1"/>
      <c r="O39" s="1"/>
      <c r="P39" s="204"/>
      <c r="Q39" s="1"/>
      <c r="R39" s="1"/>
      <c r="S39" s="1"/>
      <c r="T39" s="1"/>
      <c r="U39" s="1"/>
      <c r="V39" s="203"/>
      <c r="W39" s="214"/>
      <c r="X39" s="215"/>
      <c r="Y39" s="4"/>
      <c r="Z39" s="11"/>
      <c r="AA39" s="11"/>
      <c r="AB39" s="11"/>
      <c r="AC39" s="11"/>
      <c r="AD39" s="3"/>
      <c r="AE39" s="4"/>
      <c r="AF39" s="4"/>
    </row>
    <row r="40">
      <c r="A40" s="15">
        <f>IF(ISBLANK(B40),"",A39+1)</f>
      </c>
      <c r="B40" s="53" t="str">
        <v>BloodWager</v>
      </c>
      <c r="C40" s="53" t="str">
        <v>鲜血赌注</v>
      </c>
      <c r="D40" s="53" t="str">
        <v>Blood Wager</v>
      </c>
      <c r="E40" s="53" t="str">
        <v>野望</v>
      </c>
      <c r="F40" s="203" t="str">
        <v>扣除当前50%的生命值，恢复扣除血量200%的护甲。</v>
      </c>
      <c r="G40" s="72">
        <f>IF($B40="","","SKL"&amp;"01"&amp;IF(I40="瞬发","01",IF(I40="切换","02",IF(I40="瞄准","03",IF(I40="蓄力","04",IF(I40="引导","05","00")))))&amp;"04"&amp;BASE(CODE(MID(B40,1,1))*1+CODE(MID(B40,2,1))*2+CODE(MID(B40,3,1))*3,36,2))</f>
      </c>
      <c r="H40" s="72">
        <f>IF($B40="","","ITB"&amp;VLOOKUP(E40,'引用数据库'!Z:AC,4,FALSE)&amp;"0000"&amp;BASE(CODE(MID(B40,1,1))*1+CODE(MID(B40,2,1))*2+CODE(MID(B40,3,1))*3,36,2))</f>
      </c>
      <c r="I40" s="1" t="str">
        <v>瞬发</v>
      </c>
      <c r="J40" s="1"/>
      <c r="K40" s="1"/>
      <c r="L40" s="1"/>
      <c r="M40" s="1"/>
      <c r="N40" s="1"/>
      <c r="O40" s="1"/>
      <c r="P40" s="204"/>
      <c r="Q40" s="1"/>
      <c r="R40" s="1"/>
      <c r="S40" s="1"/>
      <c r="T40" s="1"/>
      <c r="U40" s="1"/>
      <c r="V40" s="203"/>
      <c r="W40" s="214"/>
      <c r="X40" s="215"/>
      <c r="Y40" s="4"/>
      <c r="Z40" s="11"/>
      <c r="AA40" s="11"/>
      <c r="AB40" s="11"/>
      <c r="AC40" s="11"/>
      <c r="AD40" s="3"/>
      <c r="AE40" s="4"/>
      <c r="AF40" s="4"/>
    </row>
    <row r="41">
      <c r="A41" s="15">
        <f>IF(ISBLANK(B41),"",A40+1)</f>
      </c>
      <c r="B41" s="53"/>
      <c r="C41" s="53"/>
      <c r="D41" s="53"/>
      <c r="E41" s="53"/>
      <c r="F41" s="203"/>
      <c r="G41" s="72">
        <f>IF($B41="","","SKL"&amp;"01"&amp;IF(I41="瞬发","01",IF(I41="切换","02",IF(I41="瞄准","03",IF(I41="蓄力","04",IF(I41="引导","05","00")))))&amp;"04"&amp;BASE(CODE(MID(B41,1,1))*1+CODE(MID(B41,2,1))*2+CODE(MID(B41,3,1))*3,36,2))</f>
      </c>
      <c r="H41" s="72">
        <f>IF($B41="","","ITB"&amp;VLOOKUP(E41,'引用数据库'!Z:AC,4,FALSE)&amp;"0000"&amp;BASE(CODE(MID(B41,1,1))*1+CODE(MID(B41,2,1))*2+CODE(MID(B41,3,1))*3,36,2))</f>
      </c>
      <c r="I41" s="1"/>
      <c r="J41" s="1"/>
      <c r="K41" s="1"/>
      <c r="L41" s="1"/>
      <c r="M41" s="1"/>
      <c r="N41" s="1"/>
      <c r="O41" s="1"/>
      <c r="P41" s="204"/>
      <c r="Q41" s="1"/>
      <c r="R41" s="1"/>
      <c r="S41" s="1"/>
      <c r="T41" s="1"/>
      <c r="U41" s="1"/>
      <c r="V41" s="203"/>
      <c r="W41" s="214"/>
      <c r="X41" s="215"/>
      <c r="Y41" s="4"/>
      <c r="Z41" s="11"/>
      <c r="AA41" s="11"/>
      <c r="AB41" s="11"/>
      <c r="AC41" s="11"/>
      <c r="AD41" s="3"/>
      <c r="AE41" s="4"/>
      <c r="AF41" s="4"/>
    </row>
    <row r="42">
      <c r="A42" s="15">
        <f>IF(ISBLANK(B42),"",A41+1)</f>
      </c>
      <c r="B42" s="53"/>
      <c r="C42" s="53"/>
      <c r="D42" s="53"/>
      <c r="E42" s="53"/>
      <c r="F42" s="203"/>
      <c r="G42" s="72">
        <f>IF($B42="","","SKL"&amp;"01"&amp;IF(I42="瞬发","01",IF(I42="切换","02",IF(I42="瞄准","03",IF(I42="蓄力","04",IF(I42="引导","05","00")))))&amp;"04"&amp;BASE(CODE(MID(B42,1,1))*1+CODE(MID(B42,2,1))*2+CODE(MID(B42,3,1))*3,36,2))</f>
      </c>
      <c r="H42" s="72">
        <f>IF($B42="","","ITB"&amp;VLOOKUP(E42,'引用数据库'!Z:AC,4,FALSE)&amp;"0000"&amp;BASE(CODE(MID(B42,1,1))*1+CODE(MID(B42,2,1))*2+CODE(MID(B42,3,1))*3,36,2))</f>
      </c>
      <c r="I42" s="1"/>
      <c r="J42" s="1"/>
      <c r="K42" s="1"/>
      <c r="L42" s="1"/>
      <c r="M42" s="1"/>
      <c r="N42" s="1"/>
      <c r="O42" s="1"/>
      <c r="P42" s="204"/>
      <c r="Q42" s="1"/>
      <c r="R42" s="1"/>
      <c r="S42" s="1"/>
      <c r="T42" s="1"/>
      <c r="U42" s="1"/>
      <c r="V42" s="203"/>
      <c r="W42" s="214"/>
      <c r="X42" s="215"/>
      <c r="Y42" s="4"/>
      <c r="Z42" s="11"/>
      <c r="AA42" s="11"/>
      <c r="AB42" s="11"/>
      <c r="AC42" s="11"/>
      <c r="AD42" s="3"/>
      <c r="AE42" s="4"/>
      <c r="AF42" s="4"/>
    </row>
    <row r="43">
      <c r="A43" s="15">
        <f>IF(ISBLANK(B43),"",A42+1)</f>
      </c>
      <c r="B43" s="53"/>
      <c r="C43" s="53"/>
      <c r="D43" s="53"/>
      <c r="E43" s="53"/>
      <c r="F43" s="203"/>
      <c r="G43" s="72">
        <f>IF($B43="","","SKL"&amp;"01"&amp;IF(I43="瞬发","01",IF(I43="切换","02",IF(I43="瞄准","03",IF(I43="蓄力","04",IF(I43="引导","05","00")))))&amp;"04"&amp;BASE(CODE(MID(B43,1,1))*1+CODE(MID(B43,2,1))*2+CODE(MID(B43,3,1))*3,36,2))</f>
      </c>
      <c r="H43" s="72">
        <f>IF($B43="","","ITB"&amp;VLOOKUP(E43,'引用数据库'!Z:AC,4,FALSE)&amp;"0000"&amp;BASE(CODE(MID(B43,1,1))*1+CODE(MID(B43,2,1))*2+CODE(MID(B43,3,1))*3,36,2))</f>
      </c>
      <c r="I43" s="1"/>
      <c r="J43" s="1"/>
      <c r="K43" s="1"/>
      <c r="L43" s="1"/>
      <c r="M43" s="1"/>
      <c r="N43" s="1"/>
      <c r="O43" s="1"/>
      <c r="P43" s="204"/>
      <c r="Q43" s="1"/>
      <c r="R43" s="1"/>
      <c r="S43" s="1"/>
      <c r="T43" s="1"/>
      <c r="U43" s="1"/>
      <c r="V43" s="203"/>
      <c r="W43" s="214"/>
      <c r="X43" s="215"/>
      <c r="Y43" s="4"/>
      <c r="Z43" s="11"/>
      <c r="AA43" s="11"/>
      <c r="AB43" s="11"/>
      <c r="AC43" s="11"/>
      <c r="AD43" s="3"/>
      <c r="AE43" s="4"/>
      <c r="AF43" s="4"/>
    </row>
    <row r="44">
      <c r="A44" s="15">
        <f>IF(ISBLANK(B44),"",A43+1)</f>
      </c>
      <c r="B44" s="53"/>
      <c r="C44" s="53"/>
      <c r="D44" s="53"/>
      <c r="E44" s="53"/>
      <c r="F44" s="203"/>
      <c r="G44" s="72">
        <f>IF($B44="","","SKL"&amp;"01"&amp;IF(I44="瞬发","01",IF(I44="切换","02",IF(I44="瞄准","03",IF(I44="蓄力","04",IF(I44="引导","05","00")))))&amp;"04"&amp;BASE(CODE(MID(B44,1,1))*1+CODE(MID(B44,2,1))*2+CODE(MID(B44,3,1))*3,36,2))</f>
      </c>
      <c r="H44" s="72">
        <f>IF($B44="","","ITB"&amp;VLOOKUP(E44,'引用数据库'!Z:AC,4,FALSE)&amp;"0000"&amp;BASE(CODE(MID(B44,1,1))*1+CODE(MID(B44,2,1))*2+CODE(MID(B44,3,1))*3,36,2))</f>
      </c>
      <c r="I44" s="1"/>
      <c r="J44" s="1"/>
      <c r="K44" s="1"/>
      <c r="L44" s="1"/>
      <c r="M44" s="1"/>
      <c r="N44" s="1"/>
      <c r="O44" s="1"/>
      <c r="P44" s="204"/>
      <c r="Q44" s="1"/>
      <c r="R44" s="1"/>
      <c r="S44" s="1"/>
      <c r="T44" s="1"/>
      <c r="U44" s="1"/>
      <c r="V44" s="203"/>
      <c r="W44" s="214"/>
      <c r="X44" s="215"/>
      <c r="Y44" s="4"/>
      <c r="Z44" s="11"/>
      <c r="AA44" s="11"/>
      <c r="AB44" s="11"/>
      <c r="AC44" s="11"/>
      <c r="AD44" s="3"/>
      <c r="AE44" s="4"/>
      <c r="AF44" s="4"/>
    </row>
    <row r="45">
      <c r="A45" s="15">
        <f>IF(ISBLANK(B45),"",A44+1)</f>
      </c>
      <c r="B45" s="53"/>
      <c r="C45" s="53"/>
      <c r="D45" s="53"/>
      <c r="E45" s="53"/>
      <c r="F45" s="203"/>
      <c r="G45" s="72">
        <f>IF($B45="","","SKL"&amp;"01"&amp;IF(I45="瞬发","01",IF(I45="切换","02",IF(I45="瞄准","03",IF(I45="蓄力","04",IF(I45="引导","05","00")))))&amp;"04"&amp;BASE(CODE(MID(B45,1,1))*1+CODE(MID(B45,2,1))*2+CODE(MID(B45,3,1))*3,36,2))</f>
      </c>
      <c r="H45" s="72">
        <f>IF($B45="","","ITB"&amp;VLOOKUP(E45,'引用数据库'!Z:AC,4,FALSE)&amp;"0000"&amp;BASE(CODE(MID(B45,1,1))*1+CODE(MID(B45,2,1))*2+CODE(MID(B45,3,1))*3,36,2))</f>
      </c>
      <c r="I45" s="1"/>
      <c r="J45" s="1"/>
      <c r="K45" s="1"/>
      <c r="L45" s="1"/>
      <c r="M45" s="1"/>
      <c r="N45" s="1"/>
      <c r="O45" s="1"/>
      <c r="P45" s="204"/>
      <c r="Q45" s="1"/>
      <c r="R45" s="1"/>
      <c r="S45" s="1"/>
      <c r="T45" s="1"/>
      <c r="U45" s="1"/>
      <c r="V45" s="203"/>
      <c r="W45" s="214"/>
      <c r="X45" s="215"/>
      <c r="Y45" s="4"/>
      <c r="Z45" s="11"/>
      <c r="AA45" s="11"/>
      <c r="AB45" s="11"/>
      <c r="AC45" s="11"/>
      <c r="AD45" s="3"/>
      <c r="AE45" s="4"/>
      <c r="AF45" s="4"/>
    </row>
    <row r="46">
      <c r="A46" s="15">
        <f>IF(ISBLANK(B46),"",A45+1)</f>
      </c>
      <c r="B46" s="53"/>
      <c r="C46" s="53"/>
      <c r="D46" s="53"/>
      <c r="E46" s="53"/>
      <c r="F46" s="203"/>
      <c r="G46" s="72">
        <f>IF($B46="","","SKL"&amp;"01"&amp;IF(I46="瞬发","01",IF(I46="切换","02",IF(I46="瞄准","03",IF(I46="蓄力","04",IF(I46="引导","05","00")))))&amp;"04"&amp;BASE(CODE(MID(B46,1,1))*1+CODE(MID(B46,2,1))*2+CODE(MID(B46,3,1))*3,36,2))</f>
      </c>
      <c r="H46" s="72">
        <f>IF($B46="","","ITB"&amp;VLOOKUP(E46,'引用数据库'!Z:AC,4,FALSE)&amp;"0000"&amp;BASE(CODE(MID(B46,1,1))*1+CODE(MID(B46,2,1))*2+CODE(MID(B46,3,1))*3,36,2))</f>
      </c>
      <c r="I46" s="1"/>
      <c r="J46" s="1"/>
      <c r="K46" s="1"/>
      <c r="L46" s="1"/>
      <c r="M46" s="1"/>
      <c r="N46" s="1"/>
      <c r="O46" s="1"/>
      <c r="P46" s="204"/>
      <c r="Q46" s="1"/>
      <c r="R46" s="1"/>
      <c r="S46" s="1"/>
      <c r="T46" s="1"/>
      <c r="U46" s="1"/>
      <c r="V46" s="203"/>
      <c r="W46" s="214"/>
      <c r="X46" s="215"/>
      <c r="Y46" s="4"/>
      <c r="Z46" s="11"/>
      <c r="AA46" s="11"/>
      <c r="AB46" s="11"/>
      <c r="AC46" s="11"/>
      <c r="AD46" s="3"/>
      <c r="AE46" s="4"/>
      <c r="AF46" s="4"/>
    </row>
    <row r="47">
      <c r="A47" s="15">
        <f>IF(ISBLANK(B47),"",A46+1)</f>
      </c>
      <c r="B47" s="53"/>
      <c r="C47" s="53"/>
      <c r="D47" s="53"/>
      <c r="E47" s="53"/>
      <c r="F47" s="203"/>
      <c r="G47" s="72">
        <f>IF($B47="","","SKL"&amp;"01"&amp;IF(I47="瞬发","01",IF(I47="切换","02",IF(I47="瞄准","03",IF(I47="蓄力","04",IF(I47="引导","05","00")))))&amp;"04"&amp;BASE(CODE(MID(B47,1,1))*1+CODE(MID(B47,2,1))*2+CODE(MID(B47,3,1))*3,36,2))</f>
      </c>
      <c r="H47" s="72">
        <f>IF($B47="","","ITB"&amp;VLOOKUP(E47,'引用数据库'!Z:AC,4,FALSE)&amp;"0000"&amp;BASE(CODE(MID(B47,1,1))*1+CODE(MID(B47,2,1))*2+CODE(MID(B47,3,1))*3,36,2))</f>
      </c>
      <c r="I47" s="1"/>
      <c r="J47" s="1"/>
      <c r="K47" s="1"/>
      <c r="L47" s="1"/>
      <c r="M47" s="1"/>
      <c r="N47" s="1"/>
      <c r="O47" s="1"/>
      <c r="P47" s="204"/>
      <c r="Q47" s="1"/>
      <c r="R47" s="1"/>
      <c r="S47" s="1"/>
      <c r="T47" s="1"/>
      <c r="U47" s="1"/>
      <c r="V47" s="203"/>
      <c r="W47" s="214"/>
      <c r="X47" s="215"/>
      <c r="Y47" s="4"/>
      <c r="Z47" s="11"/>
      <c r="AA47" s="11"/>
      <c r="AB47" s="11"/>
      <c r="AC47" s="11"/>
      <c r="AD47" s="3"/>
      <c r="AE47" s="4"/>
      <c r="AF47" s="4"/>
    </row>
    <row r="48">
      <c r="A48" s="15">
        <f>IF(ISBLANK(B48),"",A47+1)</f>
      </c>
      <c r="B48" s="53"/>
      <c r="C48" s="53"/>
      <c r="D48" s="53"/>
      <c r="E48" s="53"/>
      <c r="F48" s="203"/>
      <c r="G48" s="72">
        <f>IF($B48="","","SKL"&amp;"01"&amp;IF(I48="瞬发","01",IF(I48="切换","02",IF(I48="瞄准","03",IF(I48="蓄力","04",IF(I48="引导","05","00")))))&amp;"04"&amp;BASE(CODE(MID(B48,1,1))*1+CODE(MID(B48,2,1))*2+CODE(MID(B48,3,1))*3,36,2))</f>
      </c>
      <c r="H48" s="72">
        <f>IF($B48="","","ITB"&amp;VLOOKUP(E48,'引用数据库'!Z:AC,4,FALSE)&amp;"0000"&amp;BASE(CODE(MID(B48,1,1))*1+CODE(MID(B48,2,1))*2+CODE(MID(B48,3,1))*3,36,2))</f>
      </c>
      <c r="I48" s="1"/>
      <c r="J48" s="1"/>
      <c r="K48" s="1"/>
      <c r="L48" s="1"/>
      <c r="M48" s="1"/>
      <c r="N48" s="1"/>
      <c r="O48" s="1"/>
      <c r="P48" s="204"/>
      <c r="Q48" s="1"/>
      <c r="R48" s="1"/>
      <c r="S48" s="1"/>
      <c r="T48" s="1"/>
      <c r="U48" s="1"/>
      <c r="V48" s="203"/>
      <c r="W48" s="214"/>
      <c r="X48" s="215"/>
      <c r="Y48" s="4"/>
      <c r="Z48" s="11"/>
      <c r="AA48" s="11"/>
      <c r="AB48" s="11"/>
      <c r="AC48" s="11"/>
      <c r="AD48" s="3"/>
      <c r="AE48" s="4"/>
      <c r="AF48" s="4"/>
    </row>
    <row r="49">
      <c r="A49" s="15">
        <f>IF(ISBLANK(B49),"",A48+1)</f>
      </c>
      <c r="B49" s="53"/>
      <c r="C49" s="53"/>
      <c r="D49" s="53"/>
      <c r="E49" s="53"/>
      <c r="F49" s="203"/>
      <c r="G49" s="72">
        <f>IF($B49="","","SKL"&amp;"01"&amp;IF(I49="瞬发","01",IF(I49="切换","02",IF(I49="瞄准","03",IF(I49="蓄力","04",IF(I49="引导","05","00")))))&amp;"04"&amp;BASE(CODE(MID(B49,1,1))*1+CODE(MID(B49,2,1))*2+CODE(MID(B49,3,1))*3,36,2))</f>
      </c>
      <c r="H49" s="72">
        <f>IF($B49="","","ITB"&amp;VLOOKUP(E49,'引用数据库'!Z:AC,4,FALSE)&amp;"0000"&amp;BASE(CODE(MID(B49,1,1))*1+CODE(MID(B49,2,1))*2+CODE(MID(B49,3,1))*3,36,2))</f>
      </c>
      <c r="I49" s="1"/>
      <c r="J49" s="1"/>
      <c r="K49" s="1"/>
      <c r="L49" s="1"/>
      <c r="M49" s="1"/>
      <c r="N49" s="1"/>
      <c r="O49" s="1"/>
      <c r="P49" s="204"/>
      <c r="Q49" s="1"/>
      <c r="R49" s="1"/>
      <c r="S49" s="1"/>
      <c r="T49" s="1"/>
      <c r="U49" s="1"/>
      <c r="V49" s="203"/>
      <c r="W49" s="214"/>
      <c r="X49" s="215"/>
      <c r="Y49" s="4"/>
      <c r="Z49" s="11"/>
      <c r="AA49" s="11"/>
      <c r="AB49" s="11"/>
      <c r="AC49" s="11"/>
      <c r="AD49" s="3"/>
      <c r="AE49" s="4"/>
      <c r="AF49" s="4"/>
    </row>
    <row r="50">
      <c r="A50" s="15">
        <f>IF(ISBLANK(B50),"",A49+1)</f>
      </c>
      <c r="B50" s="53"/>
      <c r="C50" s="53"/>
      <c r="D50" s="53"/>
      <c r="E50" s="53"/>
      <c r="F50" s="203"/>
      <c r="G50" s="72">
        <f>IF($B50="","","SKL"&amp;"01"&amp;IF(I50="瞬发","01",IF(I50="切换","02",IF(I50="瞄准","03",IF(I50="蓄力","04",IF(I50="引导","05","00")))))&amp;"04"&amp;BASE(CODE(MID(B50,1,1))*1+CODE(MID(B50,2,1))*2+CODE(MID(B50,3,1))*3,36,2))</f>
      </c>
      <c r="H50" s="72">
        <f>IF($B50="","","ITB"&amp;VLOOKUP(E50,'引用数据库'!Z:AC,4,FALSE)&amp;"0000"&amp;BASE(CODE(MID(B50,1,1))*1+CODE(MID(B50,2,1))*2+CODE(MID(B50,3,1))*3,36,2))</f>
      </c>
      <c r="I50" s="1"/>
      <c r="J50" s="1"/>
      <c r="K50" s="1"/>
      <c r="L50" s="1"/>
      <c r="M50" s="1"/>
      <c r="N50" s="1"/>
      <c r="O50" s="1"/>
      <c r="P50" s="204"/>
      <c r="Q50" s="1"/>
      <c r="R50" s="1"/>
      <c r="S50" s="1"/>
      <c r="T50" s="1"/>
      <c r="U50" s="1"/>
      <c r="V50" s="203"/>
      <c r="W50" s="214"/>
      <c r="X50" s="215"/>
      <c r="Y50" s="4"/>
      <c r="Z50" s="11"/>
      <c r="AA50" s="11"/>
      <c r="AB50" s="11"/>
      <c r="AC50" s="11"/>
      <c r="AD50" s="3"/>
      <c r="AE50" s="4"/>
      <c r="AF50" s="4"/>
    </row>
    <row r="51">
      <c r="A51" s="15">
        <f>IF(ISBLANK(B51),"",A50+1)</f>
      </c>
      <c r="B51" s="53"/>
      <c r="C51" s="53"/>
      <c r="D51" s="53"/>
      <c r="E51" s="53"/>
      <c r="F51" s="203"/>
      <c r="G51" s="72">
        <f>IF($B51="","","SKL"&amp;"01"&amp;IF(I51="瞬发","01",IF(I51="切换","02",IF(I51="瞄准","03",IF(I51="蓄力","04",IF(I51="引导","05","00")))))&amp;"04"&amp;BASE(CODE(MID(B51,1,1))*1+CODE(MID(B51,2,1))*2+CODE(MID(B51,3,1))*3,36,2))</f>
      </c>
      <c r="H51" s="72">
        <f>IF($B51="","","ITB"&amp;VLOOKUP(E51,'引用数据库'!Z:AC,4,FALSE)&amp;"0000"&amp;BASE(CODE(MID(B51,1,1))*1+CODE(MID(B51,2,1))*2+CODE(MID(B51,3,1))*3,36,2))</f>
      </c>
      <c r="I51" s="1"/>
      <c r="J51" s="1"/>
      <c r="K51" s="1"/>
      <c r="L51" s="1"/>
      <c r="M51" s="1"/>
      <c r="N51" s="1"/>
      <c r="O51" s="1"/>
      <c r="P51" s="204"/>
      <c r="Q51" s="1"/>
      <c r="R51" s="1"/>
      <c r="S51" s="1"/>
      <c r="T51" s="1"/>
      <c r="U51" s="1"/>
      <c r="V51" s="203"/>
      <c r="W51" s="214"/>
      <c r="X51" s="215"/>
      <c r="Y51" s="4"/>
      <c r="Z51" s="11"/>
      <c r="AA51" s="11"/>
      <c r="AB51" s="11"/>
      <c r="AC51" s="11"/>
      <c r="AD51" s="3"/>
      <c r="AE51" s="4"/>
      <c r="AF51" s="4"/>
    </row>
    <row r="52">
      <c r="A52" s="15">
        <f>IF(ISBLANK(B52),"",A51+1)</f>
      </c>
      <c r="B52" s="53"/>
      <c r="C52" s="53"/>
      <c r="D52" s="53"/>
      <c r="E52" s="53"/>
      <c r="F52" s="203"/>
      <c r="G52" s="72">
        <f>IF($B52="","","SKL"&amp;"01"&amp;IF(I52="瞬发","01",IF(I52="切换","02",IF(I52="瞄准","03",IF(I52="蓄力","04",IF(I52="引导","05","00")))))&amp;"04"&amp;BASE(CODE(MID(B52,1,1))*1+CODE(MID(B52,2,1))*2+CODE(MID(B52,3,1))*3,36,2))</f>
      </c>
      <c r="H52" s="72">
        <f>IF($B52="","","ITB"&amp;VLOOKUP(E52,'引用数据库'!Z:AC,4,FALSE)&amp;"0000"&amp;BASE(CODE(MID(B52,1,1))*1+CODE(MID(B52,2,1))*2+CODE(MID(B52,3,1))*3,36,2))</f>
      </c>
      <c r="I52" s="1"/>
      <c r="J52" s="1"/>
      <c r="K52" s="1"/>
      <c r="L52" s="1"/>
      <c r="M52" s="1"/>
      <c r="N52" s="1"/>
      <c r="O52" s="1"/>
      <c r="P52" s="204"/>
      <c r="Q52" s="1"/>
      <c r="R52" s="1"/>
      <c r="S52" s="1"/>
      <c r="T52" s="1"/>
      <c r="U52" s="1"/>
      <c r="V52" s="203"/>
      <c r="W52" s="214"/>
      <c r="X52" s="215"/>
      <c r="Y52" s="4"/>
      <c r="Z52" s="11"/>
      <c r="AA52" s="11"/>
      <c r="AB52" s="11"/>
      <c r="AC52" s="11"/>
      <c r="AD52" s="3"/>
      <c r="AE52" s="4"/>
      <c r="AF52" s="4"/>
    </row>
    <row r="53">
      <c r="A53" s="15">
        <f>IF(ISBLANK(B53),"",A52+1)</f>
      </c>
      <c r="B53" s="53"/>
      <c r="C53" s="53"/>
      <c r="D53" s="53"/>
      <c r="E53" s="53"/>
      <c r="F53" s="203"/>
      <c r="G53" s="72">
        <f>IF($B53="","","SKL"&amp;"01"&amp;IF(I53="瞬发","01",IF(I53="切换","02",IF(I53="瞄准","03",IF(I53="蓄力","04",IF(I53="引导","05","00")))))&amp;"04"&amp;BASE(CODE(MID(B53,1,1))*1+CODE(MID(B53,2,1))*2+CODE(MID(B53,3,1))*3,36,2))</f>
      </c>
      <c r="H53" s="72">
        <f>IF($B53="","","ITB"&amp;VLOOKUP(E53,'引用数据库'!Z:AC,4,FALSE)&amp;"0000"&amp;BASE(CODE(MID(B53,1,1))*1+CODE(MID(B53,2,1))*2+CODE(MID(B53,3,1))*3,36,2))</f>
      </c>
      <c r="I53" s="1"/>
      <c r="J53" s="1"/>
      <c r="K53" s="1"/>
      <c r="L53" s="1"/>
      <c r="M53" s="1"/>
      <c r="N53" s="1"/>
      <c r="O53" s="1"/>
      <c r="P53" s="204"/>
      <c r="Q53" s="1"/>
      <c r="R53" s="1"/>
      <c r="S53" s="1"/>
      <c r="T53" s="1"/>
      <c r="U53" s="1"/>
      <c r="V53" s="203"/>
      <c r="W53" s="214"/>
      <c r="X53" s="215"/>
      <c r="Y53" s="4"/>
      <c r="Z53" s="11"/>
      <c r="AA53" s="11"/>
      <c r="AB53" s="11"/>
      <c r="AC53" s="11"/>
      <c r="AD53" s="3"/>
      <c r="AE53" s="4"/>
      <c r="AF53" s="4"/>
    </row>
    <row r="54">
      <c r="A54" s="15">
        <f>IF(ISBLANK(B54),"",A53+1)</f>
      </c>
      <c r="B54" s="53"/>
      <c r="C54" s="53"/>
      <c r="D54" s="53"/>
      <c r="E54" s="53"/>
      <c r="F54" s="203"/>
      <c r="G54" s="72">
        <f>IF($B54="","","SKL"&amp;"01"&amp;IF(I54="瞬发","01",IF(I54="切换","02",IF(I54="瞄准","03",IF(I54="蓄力","04",IF(I54="引导","05","00")))))&amp;"04"&amp;BASE(CODE(MID(B54,1,1))*1+CODE(MID(B54,2,1))*2+CODE(MID(B54,3,1))*3,36,2))</f>
      </c>
      <c r="H54" s="72">
        <f>IF($B54="","","ITB"&amp;VLOOKUP(E54,'引用数据库'!Z:AC,4,FALSE)&amp;"0000"&amp;BASE(CODE(MID(B54,1,1))*1+CODE(MID(B54,2,1))*2+CODE(MID(B54,3,1))*3,36,2))</f>
      </c>
      <c r="I54" s="1"/>
      <c r="J54" s="1"/>
      <c r="K54" s="1"/>
      <c r="L54" s="1"/>
      <c r="M54" s="1"/>
      <c r="N54" s="1"/>
      <c r="O54" s="1"/>
      <c r="P54" s="204"/>
      <c r="Q54" s="1"/>
      <c r="R54" s="1"/>
      <c r="S54" s="1"/>
      <c r="T54" s="1"/>
      <c r="U54" s="1"/>
      <c r="V54" s="203"/>
      <c r="W54" s="214"/>
      <c r="X54" s="215"/>
      <c r="Y54" s="4"/>
      <c r="Z54" s="11"/>
      <c r="AA54" s="11"/>
      <c r="AB54" s="11"/>
      <c r="AC54" s="11"/>
      <c r="AD54" s="3"/>
      <c r="AE54" s="4"/>
      <c r="AF54" s="4"/>
    </row>
    <row r="55">
      <c r="A55" s="15">
        <f>IF(ISBLANK(B55),"",A54+1)</f>
      </c>
      <c r="B55" s="53"/>
      <c r="C55" s="53"/>
      <c r="D55" s="53"/>
      <c r="E55" s="53"/>
      <c r="F55" s="203"/>
      <c r="G55" s="72">
        <f>IF($B55="","","SKL"&amp;"01"&amp;IF(I55="瞬发","01",IF(I55="切换","02",IF(I55="瞄准","03",IF(I55="蓄力","04",IF(I55="引导","05","00")))))&amp;"04"&amp;BASE(CODE(MID(B55,1,1))*1+CODE(MID(B55,2,1))*2+CODE(MID(B55,3,1))*3,36,2))</f>
      </c>
      <c r="H55" s="72">
        <f>IF($B55="","","ITB"&amp;VLOOKUP(E55,'引用数据库'!Z:AC,4,FALSE)&amp;"0000"&amp;BASE(CODE(MID(B55,1,1))*1+CODE(MID(B55,2,1))*2+CODE(MID(B55,3,1))*3,36,2))</f>
      </c>
      <c r="I55" s="1"/>
      <c r="J55" s="1"/>
      <c r="K55" s="1"/>
      <c r="L55" s="1"/>
      <c r="M55" s="1"/>
      <c r="N55" s="1"/>
      <c r="O55" s="1"/>
      <c r="P55" s="204"/>
      <c r="Q55" s="1"/>
      <c r="R55" s="1"/>
      <c r="S55" s="1"/>
      <c r="T55" s="1"/>
      <c r="U55" s="1"/>
      <c r="V55" s="203"/>
      <c r="W55" s="214"/>
      <c r="X55" s="215"/>
      <c r="Y55" s="4"/>
      <c r="Z55" s="11"/>
      <c r="AA55" s="11"/>
      <c r="AB55" s="11"/>
      <c r="AC55" s="11"/>
      <c r="AD55" s="3"/>
      <c r="AE55" s="4"/>
      <c r="AF55" s="4"/>
    </row>
    <row r="56">
      <c r="A56" s="15">
        <f>IF(ISBLANK(B56),"",A55+1)</f>
      </c>
      <c r="B56" s="53"/>
      <c r="C56" s="53"/>
      <c r="D56" s="53"/>
      <c r="E56" s="53"/>
      <c r="F56" s="203"/>
      <c r="G56" s="72">
        <f>IF($B56="","","SKL"&amp;"01"&amp;IF(I56="瞬发","01",IF(I56="切换","02",IF(I56="瞄准","03",IF(I56="蓄力","04",IF(I56="引导","05","00")))))&amp;"04"&amp;BASE(CODE(MID(B56,1,1))*1+CODE(MID(B56,2,1))*2+CODE(MID(B56,3,1))*3,36,2))</f>
      </c>
      <c r="H56" s="72">
        <f>IF($B56="","","ITB"&amp;VLOOKUP(E56,'引用数据库'!Z:AC,4,FALSE)&amp;"0000"&amp;BASE(CODE(MID(B56,1,1))*1+CODE(MID(B56,2,1))*2+CODE(MID(B56,3,1))*3,36,2))</f>
      </c>
      <c r="I56" s="1"/>
      <c r="J56" s="1"/>
      <c r="K56" s="1"/>
      <c r="L56" s="1"/>
      <c r="M56" s="1"/>
      <c r="N56" s="1"/>
      <c r="O56" s="1"/>
      <c r="P56" s="204"/>
      <c r="Q56" s="1"/>
      <c r="R56" s="1"/>
      <c r="S56" s="1"/>
      <c r="T56" s="1"/>
      <c r="U56" s="1"/>
      <c r="V56" s="203"/>
      <c r="W56" s="214"/>
      <c r="X56" s="215"/>
      <c r="Y56" s="4"/>
      <c r="Z56" s="11"/>
      <c r="AA56" s="11"/>
      <c r="AB56" s="11"/>
      <c r="AC56" s="11"/>
      <c r="AD56" s="3"/>
      <c r="AE56" s="4"/>
      <c r="AF56" s="4"/>
    </row>
    <row r="57">
      <c r="A57" s="15">
        <f>IF(ISBLANK(B57),"",A56+1)</f>
      </c>
      <c r="B57" s="53"/>
      <c r="C57" s="53"/>
      <c r="D57" s="53"/>
      <c r="E57" s="53"/>
      <c r="F57" s="203"/>
      <c r="G57" s="72">
        <f>IF($B57="","","SKL"&amp;"01"&amp;IF(I57="瞬发","01",IF(I57="切换","02",IF(I57="瞄准","03",IF(I57="蓄力","04",IF(I57="引导","05","00")))))&amp;"04"&amp;BASE(CODE(MID(B57,1,1))*1+CODE(MID(B57,2,1))*2+CODE(MID(B57,3,1))*3,36,2))</f>
      </c>
      <c r="H57" s="72">
        <f>IF($B57="","","ITB"&amp;VLOOKUP(E57,'引用数据库'!Z:AC,4,FALSE)&amp;"0000"&amp;BASE(CODE(MID(B57,1,1))*1+CODE(MID(B57,2,1))*2+CODE(MID(B57,3,1))*3,36,2))</f>
      </c>
      <c r="I57" s="1"/>
      <c r="J57" s="1"/>
      <c r="K57" s="1"/>
      <c r="L57" s="1"/>
      <c r="M57" s="1"/>
      <c r="N57" s="1"/>
      <c r="O57" s="1"/>
      <c r="P57" s="204"/>
      <c r="Q57" s="1"/>
      <c r="R57" s="1"/>
      <c r="S57" s="1"/>
      <c r="T57" s="1"/>
      <c r="U57" s="1"/>
      <c r="V57" s="203"/>
      <c r="W57" s="214"/>
      <c r="X57" s="215"/>
      <c r="Y57" s="4"/>
      <c r="Z57" s="11"/>
      <c r="AA57" s="11"/>
      <c r="AB57" s="11"/>
      <c r="AC57" s="11"/>
      <c r="AD57" s="3"/>
      <c r="AE57" s="4"/>
      <c r="AF57" s="4"/>
    </row>
    <row r="58">
      <c r="A58" s="15">
        <f>IF(ISBLANK(B58),"",A57+1)</f>
      </c>
      <c r="B58" s="53"/>
      <c r="C58" s="53"/>
      <c r="D58" s="53"/>
      <c r="E58" s="53"/>
      <c r="F58" s="203"/>
      <c r="G58" s="72">
        <f>IF($B58="","","SKL"&amp;"01"&amp;IF(I58="瞬发","01",IF(I58="切换","02",IF(I58="瞄准","03",IF(I58="蓄力","04",IF(I58="引导","05","00")))))&amp;"04"&amp;BASE(CODE(MID(B58,1,1))*1+CODE(MID(B58,2,1))*2+CODE(MID(B58,3,1))*3,36,2))</f>
      </c>
      <c r="H58" s="72">
        <f>IF($B58="","","ITB"&amp;VLOOKUP(E58,'引用数据库'!Z:AC,4,FALSE)&amp;"0000"&amp;BASE(CODE(MID(B58,1,1))*1+CODE(MID(B58,2,1))*2+CODE(MID(B58,3,1))*3,36,2))</f>
      </c>
      <c r="I58" s="1"/>
      <c r="J58" s="1"/>
      <c r="K58" s="1"/>
      <c r="L58" s="1"/>
      <c r="M58" s="1"/>
      <c r="N58" s="1"/>
      <c r="O58" s="1"/>
      <c r="P58" s="204"/>
      <c r="Q58" s="1"/>
      <c r="R58" s="1"/>
      <c r="S58" s="1"/>
      <c r="T58" s="1"/>
      <c r="U58" s="1"/>
      <c r="V58" s="203"/>
      <c r="W58" s="214"/>
      <c r="X58" s="215"/>
      <c r="Y58" s="4"/>
      <c r="Z58" s="11"/>
      <c r="AA58" s="11"/>
      <c r="AB58" s="11"/>
      <c r="AC58" s="11"/>
      <c r="AD58" s="3"/>
      <c r="AE58" s="4"/>
      <c r="AF58" s="4"/>
    </row>
    <row r="59">
      <c r="A59" s="15">
        <f>IF(ISBLANK(B59),"",A58+1)</f>
      </c>
      <c r="B59" s="53"/>
      <c r="C59" s="53"/>
      <c r="D59" s="53"/>
      <c r="E59" s="53"/>
      <c r="F59" s="203"/>
      <c r="G59" s="72">
        <f>IF($B59="","","SKL"&amp;"01"&amp;IF(I59="瞬发","01",IF(I59="切换","02",IF(I59="瞄准","03",IF(I59="蓄力","04",IF(I59="引导","05","00")))))&amp;"04"&amp;BASE(CODE(MID(B59,1,1))*1+CODE(MID(B59,2,1))*2+CODE(MID(B59,3,1))*3,36,2))</f>
      </c>
      <c r="H59" s="72">
        <f>IF($B59="","","ITB"&amp;VLOOKUP(E59,'引用数据库'!Z:AC,4,FALSE)&amp;"0000"&amp;BASE(CODE(MID(B59,1,1))*1+CODE(MID(B59,2,1))*2+CODE(MID(B59,3,1))*3,36,2))</f>
      </c>
      <c r="I59" s="1"/>
      <c r="J59" s="1"/>
      <c r="K59" s="1"/>
      <c r="L59" s="1"/>
      <c r="M59" s="1"/>
      <c r="N59" s="1"/>
      <c r="O59" s="1"/>
      <c r="P59" s="204"/>
      <c r="Q59" s="1"/>
      <c r="R59" s="1"/>
      <c r="S59" s="1"/>
      <c r="T59" s="1"/>
      <c r="U59" s="1"/>
      <c r="V59" s="203"/>
      <c r="W59" s="214"/>
      <c r="X59" s="215"/>
      <c r="Y59" s="4"/>
      <c r="Z59" s="11"/>
      <c r="AA59" s="11"/>
      <c r="AB59" s="11"/>
      <c r="AC59" s="11"/>
      <c r="AD59" s="3"/>
      <c r="AE59" s="4"/>
      <c r="AF59" s="4"/>
    </row>
    <row r="60">
      <c r="A60" s="15">
        <f>IF(ISBLANK(B60),"",A59+1)</f>
      </c>
      <c r="B60" s="53"/>
      <c r="C60" s="53"/>
      <c r="D60" s="53"/>
      <c r="E60" s="53"/>
      <c r="F60" s="203"/>
      <c r="G60" s="72">
        <f>IF($B60="","","SKL"&amp;"01"&amp;IF(I60="瞬发","01",IF(I60="切换","02",IF(I60="瞄准","03",IF(I60="蓄力","04",IF(I60="引导","05","00")))))&amp;"04"&amp;BASE(CODE(MID(B60,1,1))*1+CODE(MID(B60,2,1))*2+CODE(MID(B60,3,1))*3,36,2))</f>
      </c>
      <c r="H60" s="72">
        <f>IF($B60="","","ITB"&amp;VLOOKUP(E60,'引用数据库'!Z:AC,4,FALSE)&amp;"0000"&amp;BASE(CODE(MID(B60,1,1))*1+CODE(MID(B60,2,1))*2+CODE(MID(B60,3,1))*3,36,2))</f>
      </c>
      <c r="I60" s="1"/>
      <c r="J60" s="1"/>
      <c r="K60" s="1"/>
      <c r="L60" s="1"/>
      <c r="M60" s="1"/>
      <c r="N60" s="1"/>
      <c r="O60" s="1"/>
      <c r="P60" s="204"/>
      <c r="Q60" s="1"/>
      <c r="R60" s="1"/>
      <c r="S60" s="1"/>
      <c r="T60" s="1"/>
      <c r="U60" s="1"/>
      <c r="V60" s="203"/>
      <c r="W60" s="214"/>
      <c r="X60" s="215"/>
      <c r="Y60" s="4"/>
      <c r="Z60" s="11"/>
      <c r="AA60" s="11"/>
      <c r="AB60" s="11"/>
      <c r="AC60" s="11"/>
      <c r="AD60" s="3"/>
      <c r="AE60" s="4"/>
      <c r="AF60" s="4"/>
    </row>
    <row r="61">
      <c r="A61" s="15">
        <f>IF(ISBLANK(B61),"",A60+1)</f>
      </c>
      <c r="B61" s="53"/>
      <c r="C61" s="53"/>
      <c r="D61" s="53"/>
      <c r="E61" s="53"/>
      <c r="F61" s="203"/>
      <c r="G61" s="72">
        <f>IF($B61="","","SKL"&amp;"01"&amp;IF(I61="瞬发","01",IF(I61="切换","02",IF(I61="瞄准","03",IF(I61="蓄力","04",IF(I61="引导","05","00")))))&amp;"04"&amp;BASE(CODE(MID(B61,1,1))*1+CODE(MID(B61,2,1))*2+CODE(MID(B61,3,1))*3,36,2))</f>
      </c>
      <c r="H61" s="72">
        <f>IF($B61="","","ITB"&amp;VLOOKUP(E61,'引用数据库'!Z:AC,4,FALSE)&amp;"0000"&amp;BASE(CODE(MID(B61,1,1))*1+CODE(MID(B61,2,1))*2+CODE(MID(B61,3,1))*3,36,2))</f>
      </c>
      <c r="I61" s="1"/>
      <c r="J61" s="1"/>
      <c r="K61" s="1"/>
      <c r="L61" s="1"/>
      <c r="M61" s="1"/>
      <c r="N61" s="1"/>
      <c r="O61" s="1"/>
      <c r="P61" s="204"/>
      <c r="Q61" s="1"/>
      <c r="R61" s="1"/>
      <c r="S61" s="1"/>
      <c r="T61" s="1"/>
      <c r="U61" s="1"/>
      <c r="V61" s="203"/>
      <c r="W61" s="214"/>
      <c r="X61" s="215"/>
      <c r="Y61" s="4"/>
      <c r="Z61" s="11"/>
      <c r="AA61" s="11"/>
      <c r="AB61" s="11"/>
      <c r="AC61" s="11"/>
      <c r="AD61" s="3"/>
      <c r="AE61" s="4"/>
      <c r="AF61" s="4"/>
    </row>
    <row r="62">
      <c r="A62" s="15">
        <f>IF(ISBLANK(B62),"",A61+1)</f>
      </c>
      <c r="B62" s="53"/>
      <c r="C62" s="53"/>
      <c r="D62" s="53"/>
      <c r="E62" s="53"/>
      <c r="F62" s="203"/>
      <c r="G62" s="72">
        <f>IF($B62="","","SKL"&amp;"01"&amp;IF(I62="瞬发","01",IF(I62="切换","02",IF(I62="瞄准","03",IF(I62="蓄力","04",IF(I62="引导","05","00")))))&amp;"04"&amp;BASE(CODE(MID(B62,1,1))*1+CODE(MID(B62,2,1))*2+CODE(MID(B62,3,1))*3,36,2))</f>
      </c>
      <c r="H62" s="72">
        <f>IF($B62="","","ITB"&amp;VLOOKUP(E62,'引用数据库'!Z:AC,4,FALSE)&amp;"0000"&amp;BASE(CODE(MID(B62,1,1))*1+CODE(MID(B62,2,1))*2+CODE(MID(B62,3,1))*3,36,2))</f>
      </c>
      <c r="I62" s="1"/>
      <c r="J62" s="1"/>
      <c r="K62" s="1"/>
      <c r="L62" s="1"/>
      <c r="M62" s="1"/>
      <c r="N62" s="1"/>
      <c r="O62" s="1"/>
      <c r="P62" s="204"/>
      <c r="Q62" s="1"/>
      <c r="R62" s="1"/>
      <c r="S62" s="1"/>
      <c r="T62" s="1"/>
      <c r="U62" s="1"/>
      <c r="V62" s="203"/>
      <c r="W62" s="214"/>
      <c r="X62" s="215"/>
      <c r="Y62" s="4"/>
      <c r="Z62" s="11"/>
      <c r="AA62" s="11"/>
      <c r="AB62" s="11"/>
      <c r="AC62" s="11"/>
      <c r="AD62" s="3"/>
      <c r="AE62" s="4"/>
      <c r="AF62" s="4"/>
    </row>
    <row r="63">
      <c r="A63" s="15">
        <f>IF(ISBLANK(B63),"",A62+1)</f>
      </c>
      <c r="B63" s="53"/>
      <c r="C63" s="53"/>
      <c r="D63" s="53"/>
      <c r="E63" s="53"/>
      <c r="F63" s="203"/>
      <c r="G63" s="72">
        <f>IF($B63="","","SKL"&amp;"01"&amp;IF(I63="瞬发","01",IF(I63="切换","02",IF(I63="瞄准","03",IF(I63="蓄力","04",IF(I63="引导","05","00")))))&amp;"04"&amp;BASE(CODE(MID(B63,1,1))*1+CODE(MID(B63,2,1))*2+CODE(MID(B63,3,1))*3,36,2))</f>
      </c>
      <c r="H63" s="72">
        <f>IF($B63="","","ITB"&amp;VLOOKUP(E63,'引用数据库'!Z:AC,4,FALSE)&amp;"0000"&amp;BASE(CODE(MID(B63,1,1))*1+CODE(MID(B63,2,1))*2+CODE(MID(B63,3,1))*3,36,2))</f>
      </c>
      <c r="I63" s="1"/>
      <c r="J63" s="1"/>
      <c r="K63" s="1"/>
      <c r="L63" s="1"/>
      <c r="M63" s="1"/>
      <c r="N63" s="1"/>
      <c r="O63" s="1"/>
      <c r="P63" s="204"/>
      <c r="Q63" s="1"/>
      <c r="R63" s="1"/>
      <c r="S63" s="1"/>
      <c r="T63" s="1"/>
      <c r="U63" s="1"/>
      <c r="V63" s="203"/>
      <c r="W63" s="214"/>
      <c r="X63" s="215"/>
      <c r="Y63" s="4"/>
      <c r="Z63" s="11"/>
      <c r="AA63" s="11"/>
      <c r="AB63" s="11"/>
      <c r="AC63" s="11"/>
      <c r="AD63" s="3"/>
      <c r="AE63" s="4"/>
      <c r="AF63" s="4"/>
    </row>
    <row r="64">
      <c r="A64" s="15">
        <f>IF(ISBLANK(B64),"",A63+1)</f>
      </c>
      <c r="B64" s="53"/>
      <c r="C64" s="53"/>
      <c r="D64" s="53"/>
      <c r="E64" s="53"/>
      <c r="F64" s="203"/>
      <c r="G64" s="72">
        <f>IF($B64="","","SKL"&amp;"01"&amp;IF(I64="瞬发","01",IF(I64="切换","02",IF(I64="瞄准","03",IF(I64="蓄力","04",IF(I64="引导","05","00")))))&amp;"04"&amp;BASE(CODE(MID(B64,1,1))*1+CODE(MID(B64,2,1))*2+CODE(MID(B64,3,1))*3,36,2))</f>
      </c>
      <c r="H64" s="72">
        <f>IF($B64="","","ITB"&amp;VLOOKUP(E64,'引用数据库'!Z:AC,4,FALSE)&amp;"0000"&amp;BASE(CODE(MID(B64,1,1))*1+CODE(MID(B64,2,1))*2+CODE(MID(B64,3,1))*3,36,2))</f>
      </c>
      <c r="I64" s="1"/>
      <c r="J64" s="1"/>
      <c r="K64" s="1"/>
      <c r="L64" s="1"/>
      <c r="M64" s="1"/>
      <c r="N64" s="1"/>
      <c r="O64" s="1"/>
      <c r="P64" s="204"/>
      <c r="Q64" s="1"/>
      <c r="R64" s="1"/>
      <c r="S64" s="1"/>
      <c r="T64" s="1"/>
      <c r="U64" s="1"/>
      <c r="V64" s="203"/>
      <c r="W64" s="214"/>
      <c r="X64" s="215"/>
      <c r="Y64" s="4"/>
      <c r="Z64" s="11"/>
      <c r="AA64" s="11"/>
      <c r="AB64" s="11"/>
      <c r="AC64" s="11"/>
      <c r="AD64" s="3"/>
      <c r="AE64" s="4"/>
      <c r="AF64" s="4"/>
    </row>
    <row r="65">
      <c r="A65" s="15">
        <f>IF(ISBLANK(B65),"",A64+1)</f>
      </c>
      <c r="B65" s="53"/>
      <c r="C65" s="53"/>
      <c r="D65" s="53"/>
      <c r="E65" s="53"/>
      <c r="F65" s="203"/>
      <c r="G65" s="72">
        <f>IF($B65="","","SKL"&amp;"01"&amp;IF(I65="瞬发","01",IF(I65="切换","02",IF(I65="瞄准","03",IF(I65="蓄力","04",IF(I65="引导","05","00")))))&amp;"04"&amp;BASE(CODE(MID(B65,1,1))*1+CODE(MID(B65,2,1))*2+CODE(MID(B65,3,1))*3,36,2))</f>
      </c>
      <c r="H65" s="72">
        <f>IF($B65="","","ITB"&amp;VLOOKUP(E65,'引用数据库'!Z:AC,4,FALSE)&amp;"0000"&amp;BASE(CODE(MID(B65,1,1))*1+CODE(MID(B65,2,1))*2+CODE(MID(B65,3,1))*3,36,2))</f>
      </c>
      <c r="I65" s="1"/>
      <c r="J65" s="1"/>
      <c r="K65" s="1"/>
      <c r="L65" s="1"/>
      <c r="M65" s="1"/>
      <c r="N65" s="1"/>
      <c r="O65" s="1"/>
      <c r="P65" s="204"/>
      <c r="Q65" s="1"/>
      <c r="R65" s="1"/>
      <c r="S65" s="1"/>
      <c r="T65" s="1"/>
      <c r="U65" s="1"/>
      <c r="V65" s="203"/>
      <c r="W65" s="214"/>
      <c r="X65" s="215"/>
      <c r="Y65" s="4"/>
      <c r="Z65" s="11"/>
      <c r="AA65" s="11"/>
      <c r="AB65" s="11"/>
      <c r="AC65" s="11"/>
      <c r="AD65" s="3"/>
      <c r="AE65" s="4"/>
      <c r="AF65" s="4"/>
    </row>
    <row r="66">
      <c r="A66" s="15">
        <f>IF(ISBLANK(B66),"",A65+1)</f>
      </c>
      <c r="B66" s="53"/>
      <c r="C66" s="53"/>
      <c r="D66" s="53"/>
      <c r="E66" s="53"/>
      <c r="F66" s="203"/>
      <c r="G66" s="72">
        <f>IF($B66="","","SKL"&amp;"01"&amp;IF(I66="瞬发","01",IF(I66="切换","02",IF(I66="瞄准","03",IF(I66="蓄力","04",IF(I66="引导","05","00")))))&amp;"04"&amp;BASE(CODE(MID(B66,1,1))*1+CODE(MID(B66,2,1))*2+CODE(MID(B66,3,1))*3,36,2))</f>
      </c>
      <c r="H66" s="72">
        <f>IF($B66="","","ITB"&amp;VLOOKUP(E66,'引用数据库'!Z:AC,4,FALSE)&amp;"0000"&amp;BASE(CODE(MID(B66,1,1))*1+CODE(MID(B66,2,1))*2+CODE(MID(B66,3,1))*3,36,2))</f>
      </c>
      <c r="I66" s="1"/>
      <c r="J66" s="1"/>
      <c r="K66" s="1"/>
      <c r="L66" s="1"/>
      <c r="M66" s="1"/>
      <c r="N66" s="1"/>
      <c r="O66" s="1"/>
      <c r="P66" s="204"/>
      <c r="Q66" s="1"/>
      <c r="R66" s="1"/>
      <c r="S66" s="1"/>
      <c r="T66" s="1"/>
      <c r="U66" s="1"/>
      <c r="V66" s="203"/>
      <c r="W66" s="214"/>
      <c r="X66" s="215"/>
      <c r="Y66" s="4"/>
      <c r="Z66" s="11"/>
      <c r="AA66" s="11"/>
      <c r="AB66" s="11"/>
      <c r="AC66" s="11"/>
      <c r="AD66" s="3"/>
      <c r="AE66" s="4"/>
      <c r="AF66" s="4"/>
    </row>
    <row r="67">
      <c r="A67" s="15">
        <f>IF(ISBLANK(B67),"",A66+1)</f>
      </c>
      <c r="B67" s="53"/>
      <c r="C67" s="53"/>
      <c r="D67" s="53"/>
      <c r="E67" s="53"/>
      <c r="F67" s="203"/>
      <c r="G67" s="72">
        <f>IF($B67="","","SKL"&amp;"01"&amp;IF(I67="瞬发","01",IF(I67="切换","02",IF(I67="瞄准","03",IF(I67="蓄力","04",IF(I67="引导","05","00")))))&amp;"04"&amp;BASE(CODE(MID(B67,1,1))*1+CODE(MID(B67,2,1))*2+CODE(MID(B67,3,1))*3,36,2))</f>
      </c>
      <c r="H67" s="72">
        <f>IF($B67="","","ITB"&amp;VLOOKUP(E67,'引用数据库'!Z:AC,4,FALSE)&amp;"0000"&amp;BASE(CODE(MID(B67,1,1))*1+CODE(MID(B67,2,1))*2+CODE(MID(B67,3,1))*3,36,2))</f>
      </c>
      <c r="I67" s="1"/>
      <c r="J67" s="1"/>
      <c r="K67" s="1"/>
      <c r="L67" s="1"/>
      <c r="M67" s="1"/>
      <c r="N67" s="1"/>
      <c r="O67" s="1"/>
      <c r="P67" s="204"/>
      <c r="Q67" s="1"/>
      <c r="R67" s="1"/>
      <c r="S67" s="1"/>
      <c r="T67" s="1"/>
      <c r="U67" s="1"/>
      <c r="V67" s="203"/>
      <c r="W67" s="214"/>
      <c r="X67" s="215"/>
      <c r="Y67" s="4"/>
      <c r="Z67" s="11"/>
      <c r="AA67" s="11"/>
      <c r="AB67" s="11"/>
      <c r="AC67" s="11"/>
      <c r="AD67" s="3"/>
      <c r="AE67" s="4"/>
      <c r="AF67" s="4"/>
    </row>
    <row r="68">
      <c r="A68" s="15">
        <f>IF(ISBLANK(B68),"",A67+1)</f>
      </c>
      <c r="B68" s="53"/>
      <c r="C68" s="53"/>
      <c r="D68" s="53"/>
      <c r="E68" s="53"/>
      <c r="F68" s="203"/>
      <c r="G68" s="72">
        <f>IF($B68="","","SKL"&amp;"01"&amp;IF(I68="瞬发","01",IF(I68="切换","02",IF(I68="瞄准","03",IF(I68="蓄力","04",IF(I68="引导","05","00")))))&amp;"04"&amp;BASE(CODE(MID(B68,1,1))*1+CODE(MID(B68,2,1))*2+CODE(MID(B68,3,1))*3,36,2))</f>
      </c>
      <c r="H68" s="72">
        <f>IF($B68="","","ITB"&amp;VLOOKUP(E68,'引用数据库'!Z:AC,4,FALSE)&amp;"0000"&amp;BASE(CODE(MID(B68,1,1))*1+CODE(MID(B68,2,1))*2+CODE(MID(B68,3,1))*3,36,2))</f>
      </c>
      <c r="I68" s="1"/>
      <c r="J68" s="1"/>
      <c r="K68" s="1"/>
      <c r="L68" s="1"/>
      <c r="M68" s="1"/>
      <c r="N68" s="1"/>
      <c r="O68" s="1"/>
      <c r="P68" s="204"/>
      <c r="Q68" s="1"/>
      <c r="R68" s="1"/>
      <c r="S68" s="1"/>
      <c r="T68" s="1"/>
      <c r="U68" s="1"/>
      <c r="V68" s="203"/>
      <c r="W68" s="214"/>
      <c r="X68" s="215"/>
      <c r="Y68" s="4"/>
      <c r="Z68" s="11"/>
      <c r="AA68" s="11"/>
      <c r="AB68" s="11"/>
      <c r="AC68" s="11"/>
      <c r="AD68" s="3"/>
      <c r="AE68" s="4"/>
      <c r="AF68" s="4"/>
    </row>
    <row r="69">
      <c r="A69" s="15">
        <f>IF(ISBLANK(B69),"",A68+1)</f>
      </c>
      <c r="B69" s="53"/>
      <c r="C69" s="53"/>
      <c r="D69" s="53"/>
      <c r="E69" s="53"/>
      <c r="F69" s="203"/>
      <c r="G69" s="72">
        <f>IF($B69="","","SKL"&amp;"01"&amp;IF(I69="瞬发","01",IF(I69="切换","02",IF(I69="瞄准","03",IF(I69="蓄力","04",IF(I69="引导","05","00")))))&amp;"04"&amp;BASE(CODE(MID(B69,1,1))*1+CODE(MID(B69,2,1))*2+CODE(MID(B69,3,1))*3,36,2))</f>
      </c>
      <c r="H69" s="72">
        <f>IF($B69="","","ITB"&amp;VLOOKUP(E69,'引用数据库'!Z:AC,4,FALSE)&amp;"0000"&amp;BASE(CODE(MID(B69,1,1))*1+CODE(MID(B69,2,1))*2+CODE(MID(B69,3,1))*3,36,2))</f>
      </c>
      <c r="I69" s="1"/>
      <c r="J69" s="1"/>
      <c r="K69" s="1"/>
      <c r="L69" s="1"/>
      <c r="M69" s="1"/>
      <c r="N69" s="1"/>
      <c r="O69" s="1"/>
      <c r="P69" s="204"/>
      <c r="Q69" s="1"/>
      <c r="R69" s="1"/>
      <c r="S69" s="1"/>
      <c r="T69" s="1"/>
      <c r="U69" s="1"/>
      <c r="V69" s="203"/>
      <c r="W69" s="214"/>
      <c r="X69" s="215"/>
      <c r="Y69" s="4"/>
      <c r="Z69" s="11"/>
      <c r="AA69" s="11"/>
      <c r="AB69" s="11"/>
      <c r="AC69" s="11"/>
      <c r="AD69" s="3"/>
      <c r="AE69" s="4"/>
      <c r="AF69" s="4"/>
    </row>
    <row r="70">
      <c r="A70" s="15">
        <f>IF(ISBLANK(B70),"",A69+1)</f>
      </c>
      <c r="B70" s="53"/>
      <c r="C70" s="53"/>
      <c r="D70" s="53"/>
      <c r="E70" s="53"/>
      <c r="F70" s="203"/>
      <c r="G70" s="72">
        <f>IF($B70="","","SKL"&amp;"01"&amp;IF(I70="瞬发","01",IF(I70="切换","02",IF(I70="瞄准","03",IF(I70="蓄力","04",IF(I70="引导","05","00")))))&amp;"04"&amp;BASE(CODE(MID(B70,1,1))*1+CODE(MID(B70,2,1))*2+CODE(MID(B70,3,1))*3,36,2))</f>
      </c>
      <c r="H70" s="72">
        <f>IF($B70="","","ITB"&amp;VLOOKUP(E70,'引用数据库'!Z:AC,4,FALSE)&amp;"0000"&amp;BASE(CODE(MID(B70,1,1))*1+CODE(MID(B70,2,1))*2+CODE(MID(B70,3,1))*3,36,2))</f>
      </c>
      <c r="I70" s="1"/>
      <c r="J70" s="1"/>
      <c r="K70" s="1"/>
      <c r="L70" s="1"/>
      <c r="M70" s="1"/>
      <c r="N70" s="1"/>
      <c r="O70" s="1"/>
      <c r="P70" s="204"/>
      <c r="Q70" s="1"/>
      <c r="R70" s="1"/>
      <c r="S70" s="1"/>
      <c r="T70" s="1"/>
      <c r="U70" s="1"/>
      <c r="V70" s="203"/>
      <c r="W70" s="214"/>
      <c r="X70" s="215"/>
      <c r="Y70" s="4"/>
      <c r="Z70" s="11"/>
      <c r="AA70" s="11"/>
      <c r="AB70" s="11"/>
      <c r="AC70" s="11"/>
      <c r="AD70" s="3"/>
      <c r="AE70" s="4"/>
      <c r="AF70" s="4"/>
    </row>
    <row r="71">
      <c r="A71" s="15">
        <f>IF(ISBLANK(B71),"",A70+1)</f>
      </c>
      <c r="B71" s="53"/>
      <c r="C71" s="53"/>
      <c r="D71" s="53"/>
      <c r="E71" s="53"/>
      <c r="F71" s="203"/>
      <c r="G71" s="72">
        <f>IF($B71="","","SKL"&amp;"01"&amp;IF(I71="瞬发","01",IF(I71="切换","02",IF(I71="瞄准","03",IF(I71="蓄力","04",IF(I71="引导","05","00")))))&amp;"04"&amp;BASE(CODE(MID(B71,1,1))*1+CODE(MID(B71,2,1))*2+CODE(MID(B71,3,1))*3,36,2))</f>
      </c>
      <c r="H71" s="72">
        <f>IF($B71="","","ITB"&amp;VLOOKUP(E71,'引用数据库'!Z:AC,4,FALSE)&amp;"0000"&amp;BASE(CODE(MID(B71,1,1))*1+CODE(MID(B71,2,1))*2+CODE(MID(B71,3,1))*3,36,2))</f>
      </c>
      <c r="I71" s="1"/>
      <c r="J71" s="1"/>
      <c r="K71" s="1"/>
      <c r="L71" s="1"/>
      <c r="M71" s="1"/>
      <c r="N71" s="1"/>
      <c r="O71" s="1"/>
      <c r="P71" s="204"/>
      <c r="Q71" s="1"/>
      <c r="R71" s="1"/>
      <c r="S71" s="1"/>
      <c r="T71" s="1"/>
      <c r="U71" s="1"/>
      <c r="V71" s="203"/>
      <c r="W71" s="214"/>
      <c r="X71" s="215"/>
      <c r="Y71" s="4"/>
      <c r="Z71" s="11"/>
      <c r="AA71" s="11"/>
      <c r="AB71" s="11"/>
      <c r="AC71" s="11"/>
      <c r="AD71" s="3"/>
      <c r="AE71" s="4"/>
      <c r="AF71" s="4"/>
    </row>
    <row r="72">
      <c r="A72" s="15">
        <f>IF(ISBLANK(B72),"",A71+1)</f>
      </c>
      <c r="B72" s="53"/>
      <c r="C72" s="53"/>
      <c r="D72" s="53"/>
      <c r="E72" s="53"/>
      <c r="F72" s="203"/>
      <c r="G72" s="72">
        <f>IF($B72="","","SKL"&amp;"01"&amp;IF(I72="瞬发","01",IF(I72="切换","02",IF(I72="瞄准","03",IF(I72="蓄力","04",IF(I72="引导","05","00")))))&amp;"04"&amp;BASE(CODE(MID(B72,1,1))*1+CODE(MID(B72,2,1))*2+CODE(MID(B72,3,1))*3,36,2))</f>
      </c>
      <c r="H72" s="72">
        <f>IF($B72="","","ITB"&amp;VLOOKUP(E72,'引用数据库'!Z:AC,4,FALSE)&amp;"0000"&amp;BASE(CODE(MID(B72,1,1))*1+CODE(MID(B72,2,1))*2+CODE(MID(B72,3,1))*3,36,2))</f>
      </c>
      <c r="I72" s="1"/>
      <c r="J72" s="1"/>
      <c r="K72" s="1"/>
      <c r="L72" s="1"/>
      <c r="M72" s="1"/>
      <c r="N72" s="1"/>
      <c r="O72" s="1"/>
      <c r="P72" s="204"/>
      <c r="Q72" s="1"/>
      <c r="R72" s="1"/>
      <c r="S72" s="1"/>
      <c r="T72" s="1"/>
      <c r="U72" s="1"/>
      <c r="V72" s="203"/>
      <c r="W72" s="214"/>
      <c r="X72" s="215"/>
      <c r="Y72" s="4"/>
      <c r="Z72" s="11"/>
      <c r="AA72" s="11"/>
      <c r="AB72" s="11"/>
      <c r="AC72" s="11"/>
      <c r="AD72" s="3"/>
      <c r="AE72" s="4"/>
      <c r="AF72" s="4"/>
    </row>
    <row r="73">
      <c r="A73" s="15">
        <f>IF(ISBLANK(B73),"",A72+1)</f>
      </c>
      <c r="B73" s="53"/>
      <c r="C73" s="53"/>
      <c r="D73" s="53"/>
      <c r="E73" s="53"/>
      <c r="F73" s="203"/>
      <c r="G73" s="72">
        <f>IF($B73="","","SKL"&amp;"01"&amp;IF(I73="瞬发","01",IF(I73="切换","02",IF(I73="瞄准","03",IF(I73="蓄力","04",IF(I73="引导","05","00")))))&amp;"04"&amp;BASE(CODE(MID(B73,1,1))*1+CODE(MID(B73,2,1))*2+CODE(MID(B73,3,1))*3,36,2))</f>
      </c>
      <c r="H73" s="72">
        <f>IF($B73="","","ITB"&amp;VLOOKUP(E73,'引用数据库'!Z:AC,4,FALSE)&amp;"0000"&amp;BASE(CODE(MID(B73,1,1))*1+CODE(MID(B73,2,1))*2+CODE(MID(B73,3,1))*3,36,2))</f>
      </c>
      <c r="I73" s="1"/>
      <c r="J73" s="1"/>
      <c r="K73" s="1"/>
      <c r="L73" s="1"/>
      <c r="M73" s="1"/>
      <c r="N73" s="1"/>
      <c r="O73" s="1"/>
      <c r="P73" s="204"/>
      <c r="Q73" s="1"/>
      <c r="R73" s="1"/>
      <c r="S73" s="1"/>
      <c r="T73" s="1"/>
      <c r="U73" s="1"/>
      <c r="V73" s="203"/>
      <c r="W73" s="214"/>
      <c r="X73" s="215"/>
      <c r="Y73" s="4"/>
      <c r="Z73" s="11"/>
      <c r="AA73" s="11"/>
      <c r="AB73" s="11"/>
      <c r="AC73" s="11"/>
      <c r="AD73" s="3"/>
      <c r="AE73" s="4"/>
      <c r="AF73" s="4"/>
    </row>
    <row r="74">
      <c r="A74" s="15">
        <f>IF(ISBLANK(B74),"",A73+1)</f>
      </c>
      <c r="B74" s="53"/>
      <c r="C74" s="53"/>
      <c r="D74" s="53"/>
      <c r="E74" s="53"/>
      <c r="F74" s="203"/>
      <c r="G74" s="72">
        <f>IF($B74="","","SKL"&amp;"01"&amp;IF(I74="瞬发","01",IF(I74="切换","02",IF(I74="瞄准","03",IF(I74="蓄力","04",IF(I74="引导","05","00")))))&amp;"04"&amp;BASE(CODE(MID(B74,1,1))*1+CODE(MID(B74,2,1))*2+CODE(MID(B74,3,1))*3,36,2))</f>
      </c>
      <c r="H74" s="72">
        <f>IF($B74="","","ITB"&amp;VLOOKUP(E74,'引用数据库'!Z:AC,4,FALSE)&amp;"0000"&amp;BASE(CODE(MID(B74,1,1))*1+CODE(MID(B74,2,1))*2+CODE(MID(B74,3,1))*3,36,2))</f>
      </c>
      <c r="I74" s="1"/>
      <c r="J74" s="1"/>
      <c r="K74" s="1"/>
      <c r="L74" s="1"/>
      <c r="M74" s="1"/>
      <c r="N74" s="1"/>
      <c r="O74" s="1"/>
      <c r="P74" s="204"/>
      <c r="Q74" s="1"/>
      <c r="R74" s="1"/>
      <c r="S74" s="1"/>
      <c r="T74" s="1"/>
      <c r="U74" s="1"/>
      <c r="V74" s="203"/>
      <c r="W74" s="214"/>
      <c r="X74" s="215"/>
      <c r="Y74" s="4"/>
      <c r="Z74" s="11"/>
      <c r="AA74" s="11"/>
      <c r="AB74" s="11"/>
      <c r="AC74" s="11"/>
      <c r="AD74" s="3"/>
      <c r="AE74" s="4"/>
      <c r="AF74" s="4"/>
    </row>
    <row r="75">
      <c r="A75" s="15">
        <f>IF(ISBLANK(B75),"",A74+1)</f>
      </c>
      <c r="B75" s="53"/>
      <c r="C75" s="53"/>
      <c r="D75" s="53"/>
      <c r="E75" s="53"/>
      <c r="F75" s="203"/>
      <c r="G75" s="72">
        <f>IF($B75="","","SKL"&amp;"01"&amp;IF(I75="瞬发","01",IF(I75="切换","02",IF(I75="瞄准","03",IF(I75="蓄力","04",IF(I75="引导","05","00")))))&amp;"04"&amp;BASE(CODE(MID(B75,1,1))*1+CODE(MID(B75,2,1))*2+CODE(MID(B75,3,1))*3,36,2))</f>
      </c>
      <c r="H75" s="72">
        <f>IF($B75="","","ITB"&amp;VLOOKUP(E75,'引用数据库'!Z:AC,4,FALSE)&amp;"0000"&amp;BASE(CODE(MID(B75,1,1))*1+CODE(MID(B75,2,1))*2+CODE(MID(B75,3,1))*3,36,2))</f>
      </c>
      <c r="I75" s="1"/>
      <c r="J75" s="1"/>
      <c r="K75" s="1"/>
      <c r="L75" s="1"/>
      <c r="M75" s="1"/>
      <c r="N75" s="1"/>
      <c r="O75" s="1"/>
      <c r="P75" s="204"/>
      <c r="Q75" s="1"/>
      <c r="R75" s="1"/>
      <c r="S75" s="1"/>
      <c r="T75" s="1"/>
      <c r="U75" s="1"/>
      <c r="V75" s="203"/>
      <c r="W75" s="214"/>
      <c r="X75" s="215"/>
      <c r="Y75" s="4"/>
      <c r="Z75" s="11"/>
      <c r="AA75" s="11"/>
      <c r="AB75" s="11"/>
      <c r="AC75" s="11"/>
      <c r="AD75" s="3"/>
      <c r="AE75" s="4"/>
      <c r="AF75" s="4"/>
    </row>
    <row r="76">
      <c r="A76" s="15">
        <f>IF(ISBLANK(B76),"",A75+1)</f>
      </c>
      <c r="B76" s="53"/>
      <c r="C76" s="53"/>
      <c r="D76" s="53"/>
      <c r="E76" s="53"/>
      <c r="F76" s="203"/>
      <c r="G76" s="72">
        <f>IF($B76="","","SKL"&amp;"01"&amp;IF(I76="瞬发","01",IF(I76="切换","02",IF(I76="瞄准","03",IF(I76="蓄力","04",IF(I76="引导","05","00")))))&amp;"04"&amp;BASE(CODE(MID(B76,1,1))*1+CODE(MID(B76,2,1))*2+CODE(MID(B76,3,1))*3,36,2))</f>
      </c>
      <c r="H76" s="72">
        <f>IF($B76="","","ITB"&amp;VLOOKUP(E76,'引用数据库'!Z:AC,4,FALSE)&amp;"0000"&amp;BASE(CODE(MID(B76,1,1))*1+CODE(MID(B76,2,1))*2+CODE(MID(B76,3,1))*3,36,2))</f>
      </c>
      <c r="I76" s="1"/>
      <c r="J76" s="1"/>
      <c r="K76" s="1"/>
      <c r="L76" s="1"/>
      <c r="M76" s="1"/>
      <c r="N76" s="1"/>
      <c r="O76" s="1"/>
      <c r="P76" s="204"/>
      <c r="Q76" s="1"/>
      <c r="R76" s="1"/>
      <c r="S76" s="1"/>
      <c r="T76" s="1"/>
      <c r="U76" s="1"/>
      <c r="V76" s="203"/>
      <c r="W76" s="214"/>
      <c r="X76" s="215"/>
      <c r="Y76" s="4"/>
      <c r="Z76" s="11"/>
      <c r="AA76" s="11"/>
      <c r="AB76" s="11"/>
      <c r="AC76" s="11"/>
      <c r="AD76" s="3"/>
      <c r="AE76" s="4"/>
      <c r="AF76" s="4"/>
    </row>
    <row r="77">
      <c r="A77" s="15">
        <f>IF(ISBLANK(B77),"",A76+1)</f>
      </c>
      <c r="B77" s="53"/>
      <c r="C77" s="53"/>
      <c r="D77" s="53"/>
      <c r="E77" s="53"/>
      <c r="F77" s="203"/>
      <c r="G77" s="72">
        <f>IF($B77="","","SKL"&amp;"01"&amp;IF(I77="瞬发","01",IF(I77="切换","02",IF(I77="瞄准","03",IF(I77="蓄力","04",IF(I77="引导","05","00")))))&amp;"04"&amp;BASE(CODE(MID(B77,1,1))*1+CODE(MID(B77,2,1))*2+CODE(MID(B77,3,1))*3,36,2))</f>
      </c>
      <c r="H77" s="72">
        <f>IF($B77="","","ITB"&amp;VLOOKUP(E77,'引用数据库'!Z:AC,4,FALSE)&amp;"0000"&amp;BASE(CODE(MID(B77,1,1))*1+CODE(MID(B77,2,1))*2+CODE(MID(B77,3,1))*3,36,2))</f>
      </c>
      <c r="I77" s="1"/>
      <c r="J77" s="1"/>
      <c r="K77" s="1"/>
      <c r="L77" s="1"/>
      <c r="M77" s="1"/>
      <c r="N77" s="1"/>
      <c r="O77" s="1"/>
      <c r="P77" s="204"/>
      <c r="Q77" s="1"/>
      <c r="R77" s="1"/>
      <c r="S77" s="1"/>
      <c r="T77" s="1"/>
      <c r="U77" s="1"/>
      <c r="V77" s="203"/>
      <c r="W77" s="214"/>
      <c r="X77" s="215"/>
      <c r="Y77" s="4"/>
      <c r="Z77" s="11"/>
      <c r="AA77" s="11"/>
      <c r="AB77" s="11"/>
      <c r="AC77" s="11"/>
      <c r="AD77" s="3"/>
      <c r="AE77" s="4"/>
      <c r="AF77" s="4"/>
    </row>
    <row r="78">
      <c r="A78" s="15">
        <f>IF(ISBLANK(B78),"",A77+1)</f>
      </c>
      <c r="B78" s="53"/>
      <c r="C78" s="53"/>
      <c r="D78" s="53"/>
      <c r="E78" s="53"/>
      <c r="F78" s="203"/>
      <c r="G78" s="72">
        <f>IF($B78="","","SKL"&amp;"01"&amp;IF(I78="瞬发","01",IF(I78="切换","02",IF(I78="瞄准","03",IF(I78="蓄力","04",IF(I78="引导","05","00")))))&amp;"04"&amp;BASE(CODE(MID(B78,1,1))*1+CODE(MID(B78,2,1))*2+CODE(MID(B78,3,1))*3,36,2))</f>
      </c>
      <c r="H78" s="72">
        <f>IF($B78="","","ITB"&amp;VLOOKUP(E78,'引用数据库'!Z:AC,4,FALSE)&amp;"0000"&amp;BASE(CODE(MID(B78,1,1))*1+CODE(MID(B78,2,1))*2+CODE(MID(B78,3,1))*3,36,2))</f>
      </c>
      <c r="I78" s="1"/>
      <c r="J78" s="1"/>
      <c r="K78" s="1"/>
      <c r="L78" s="1"/>
      <c r="M78" s="1"/>
      <c r="N78" s="1"/>
      <c r="O78" s="1"/>
      <c r="P78" s="204"/>
      <c r="Q78" s="1"/>
      <c r="R78" s="1"/>
      <c r="S78" s="1"/>
      <c r="T78" s="1"/>
      <c r="U78" s="1"/>
      <c r="V78" s="203"/>
      <c r="W78" s="214"/>
      <c r="X78" s="215"/>
      <c r="Y78" s="4"/>
      <c r="Z78" s="11"/>
      <c r="AA78" s="11"/>
      <c r="AB78" s="11"/>
      <c r="AC78" s="11"/>
      <c r="AD78" s="3"/>
      <c r="AE78" s="4"/>
      <c r="AF78" s="4"/>
    </row>
    <row r="79">
      <c r="A79" s="15">
        <f>IF(ISBLANK(B79),"",A78+1)</f>
      </c>
      <c r="B79" s="53"/>
      <c r="C79" s="53"/>
      <c r="D79" s="53"/>
      <c r="E79" s="53"/>
      <c r="F79" s="203"/>
      <c r="G79" s="72">
        <f>IF($B79="","","SKL"&amp;"01"&amp;IF(I79="瞬发","01",IF(I79="切换","02",IF(I79="瞄准","03",IF(I79="蓄力","04",IF(I79="引导","05","00")))))&amp;"04"&amp;BASE(CODE(MID(B79,1,1))*1+CODE(MID(B79,2,1))*2+CODE(MID(B79,3,1))*3,36,2))</f>
      </c>
      <c r="H79" s="72">
        <f>IF($B79="","","ITB"&amp;VLOOKUP(E79,'引用数据库'!Z:AC,4,FALSE)&amp;"0000"&amp;BASE(CODE(MID(B79,1,1))*1+CODE(MID(B79,2,1))*2+CODE(MID(B79,3,1))*3,36,2))</f>
      </c>
      <c r="I79" s="1"/>
      <c r="J79" s="1"/>
      <c r="K79" s="1"/>
      <c r="L79" s="1"/>
      <c r="M79" s="1"/>
      <c r="N79" s="1"/>
      <c r="O79" s="1"/>
      <c r="P79" s="204"/>
      <c r="Q79" s="1"/>
      <c r="R79" s="1"/>
      <c r="S79" s="1"/>
      <c r="T79" s="1"/>
      <c r="U79" s="1"/>
      <c r="V79" s="203"/>
      <c r="W79" s="214"/>
      <c r="X79" s="215"/>
      <c r="Y79" s="4"/>
      <c r="Z79" s="11"/>
      <c r="AA79" s="11"/>
      <c r="AB79" s="11"/>
      <c r="AC79" s="11"/>
      <c r="AD79" s="3"/>
      <c r="AE79" s="4"/>
      <c r="AF79" s="4"/>
    </row>
    <row r="80">
      <c r="A80" s="15">
        <f>IF(ISBLANK(B80),"",A79+1)</f>
      </c>
      <c r="B80" s="53"/>
      <c r="C80" s="53"/>
      <c r="D80" s="53"/>
      <c r="E80" s="53"/>
      <c r="F80" s="203"/>
      <c r="G80" s="72">
        <f>IF($B80="","","SKL"&amp;"01"&amp;IF(I80="瞬发","01",IF(I80="切换","02",IF(I80="瞄准","03",IF(I80="蓄力","04",IF(I80="引导","05","00")))))&amp;"04"&amp;BASE(CODE(MID(B80,1,1))*1+CODE(MID(B80,2,1))*2+CODE(MID(B80,3,1))*3,36,2))</f>
      </c>
      <c r="H80" s="72">
        <f>IF($B80="","","ITB"&amp;VLOOKUP(E80,'引用数据库'!Z:AC,4,FALSE)&amp;"0000"&amp;BASE(CODE(MID(B80,1,1))*1+CODE(MID(B80,2,1))*2+CODE(MID(B80,3,1))*3,36,2))</f>
      </c>
      <c r="I80" s="1"/>
      <c r="J80" s="1"/>
      <c r="K80" s="1"/>
      <c r="L80" s="1"/>
      <c r="M80" s="1"/>
      <c r="N80" s="1"/>
      <c r="O80" s="1"/>
      <c r="P80" s="204"/>
      <c r="Q80" s="1"/>
      <c r="R80" s="1"/>
      <c r="S80" s="1"/>
      <c r="T80" s="1"/>
      <c r="U80" s="1"/>
      <c r="V80" s="203"/>
      <c r="W80" s="214"/>
      <c r="X80" s="215"/>
      <c r="Y80" s="4"/>
      <c r="Z80" s="11"/>
      <c r="AA80" s="11"/>
      <c r="AB80" s="11"/>
      <c r="AC80" s="11"/>
      <c r="AD80" s="3"/>
      <c r="AE80" s="4"/>
      <c r="AF80" s="4"/>
    </row>
    <row r="81">
      <c r="A81" s="15">
        <f>IF(ISBLANK(B81),"",A80+1)</f>
      </c>
      <c r="B81" s="53"/>
      <c r="C81" s="53"/>
      <c r="D81" s="53"/>
      <c r="E81" s="53"/>
      <c r="F81" s="203"/>
      <c r="G81" s="72">
        <f>IF($B81="","","SKL"&amp;"01"&amp;IF(I81="瞬发","01",IF(I81="切换","02",IF(I81="瞄准","03",IF(I81="蓄力","04",IF(I81="引导","05","00")))))&amp;"04"&amp;BASE(CODE(MID(B81,1,1))*1+CODE(MID(B81,2,1))*2+CODE(MID(B81,3,1))*3,36,2))</f>
      </c>
      <c r="H81" s="72">
        <f>IF($B81="","","ITB"&amp;VLOOKUP(E81,'引用数据库'!Z:AC,4,FALSE)&amp;"0000"&amp;BASE(CODE(MID(B81,1,1))*1+CODE(MID(B81,2,1))*2+CODE(MID(B81,3,1))*3,36,2))</f>
      </c>
      <c r="I81" s="1"/>
      <c r="J81" s="1"/>
      <c r="K81" s="1"/>
      <c r="L81" s="1"/>
      <c r="M81" s="1"/>
      <c r="N81" s="1"/>
      <c r="O81" s="1"/>
      <c r="P81" s="204"/>
      <c r="Q81" s="1"/>
      <c r="R81" s="1"/>
      <c r="S81" s="1"/>
      <c r="T81" s="1"/>
      <c r="U81" s="1"/>
      <c r="V81" s="203"/>
      <c r="W81" s="214"/>
      <c r="X81" s="215"/>
      <c r="Y81" s="4"/>
      <c r="Z81" s="11"/>
      <c r="AA81" s="11"/>
      <c r="AB81" s="11"/>
      <c r="AC81" s="11"/>
      <c r="AD81" s="3"/>
      <c r="AE81" s="4"/>
      <c r="AF81" s="4"/>
    </row>
    <row r="82">
      <c r="A82" s="15">
        <f>IF(ISBLANK(B82),"",A81+1)</f>
      </c>
      <c r="B82" s="53"/>
      <c r="C82" s="53"/>
      <c r="D82" s="53"/>
      <c r="E82" s="53"/>
      <c r="F82" s="203"/>
      <c r="G82" s="72">
        <f>IF($B82="","","SKL"&amp;"01"&amp;IF(I82="瞬发","01",IF(I82="切换","02",IF(I82="瞄准","03",IF(I82="蓄力","04",IF(I82="引导","05","00")))))&amp;"04"&amp;BASE(CODE(MID(B82,1,1))*1+CODE(MID(B82,2,1))*2+CODE(MID(B82,3,1))*3,36,2))</f>
      </c>
      <c r="H82" s="72">
        <f>IF($B82="","","ITB"&amp;VLOOKUP(E82,'引用数据库'!Z:AC,4,FALSE)&amp;"0000"&amp;BASE(CODE(MID(B82,1,1))*1+CODE(MID(B82,2,1))*2+CODE(MID(B82,3,1))*3,36,2))</f>
      </c>
      <c r="I82" s="1"/>
      <c r="J82" s="1"/>
      <c r="K82" s="1"/>
      <c r="L82" s="1"/>
      <c r="M82" s="1"/>
      <c r="N82" s="1"/>
      <c r="O82" s="1"/>
      <c r="P82" s="204"/>
      <c r="Q82" s="1"/>
      <c r="R82" s="1"/>
      <c r="S82" s="1"/>
      <c r="T82" s="1"/>
      <c r="U82" s="1"/>
      <c r="V82" s="203"/>
      <c r="W82" s="214"/>
      <c r="X82" s="215"/>
      <c r="Y82" s="4"/>
      <c r="Z82" s="11"/>
      <c r="AA82" s="11"/>
      <c r="AB82" s="11"/>
      <c r="AC82" s="11"/>
      <c r="AD82" s="3"/>
      <c r="AE82" s="4"/>
      <c r="AF82" s="4"/>
    </row>
    <row r="83">
      <c r="A83" s="15">
        <f>IF(ISBLANK(B83),"",A82+1)</f>
      </c>
      <c r="B83" s="53"/>
      <c r="C83" s="53"/>
      <c r="D83" s="53"/>
      <c r="E83" s="53"/>
      <c r="F83" s="203"/>
      <c r="G83" s="72">
        <f>IF($B83="","","SKL"&amp;"01"&amp;IF(I83="瞬发","01",IF(I83="切换","02",IF(I83="瞄准","03",IF(I83="蓄力","04",IF(I83="引导","05","00")))))&amp;"04"&amp;BASE(CODE(MID(B83,1,1))*1+CODE(MID(B83,2,1))*2+CODE(MID(B83,3,1))*3,36,2))</f>
      </c>
      <c r="H83" s="72">
        <f>IF($B83="","","ITB"&amp;VLOOKUP(E83,'引用数据库'!Z:AC,4,FALSE)&amp;"0000"&amp;BASE(CODE(MID(B83,1,1))*1+CODE(MID(B83,2,1))*2+CODE(MID(B83,3,1))*3,36,2))</f>
      </c>
      <c r="I83" s="1"/>
      <c r="J83" s="1"/>
      <c r="K83" s="1"/>
      <c r="L83" s="1"/>
      <c r="M83" s="1"/>
      <c r="N83" s="1"/>
      <c r="O83" s="1"/>
      <c r="P83" s="204"/>
      <c r="Q83" s="1"/>
      <c r="R83" s="1"/>
      <c r="S83" s="1"/>
      <c r="T83" s="1"/>
      <c r="U83" s="1"/>
      <c r="V83" s="203"/>
      <c r="W83" s="214"/>
      <c r="X83" s="215"/>
      <c r="Y83" s="4"/>
      <c r="Z83" s="11"/>
      <c r="AA83" s="11"/>
      <c r="AB83" s="11"/>
      <c r="AC83" s="11"/>
      <c r="AD83" s="3"/>
      <c r="AE83" s="4"/>
      <c r="AF83" s="4"/>
    </row>
    <row r="84">
      <c r="A84" s="15">
        <f>IF(ISBLANK(B84),"",A83+1)</f>
      </c>
      <c r="B84" s="53"/>
      <c r="C84" s="53"/>
      <c r="D84" s="53"/>
      <c r="E84" s="53"/>
      <c r="F84" s="203"/>
      <c r="G84" s="72">
        <f>IF($B84="","","SKL"&amp;"01"&amp;IF(I84="瞬发","01",IF(I84="切换","02",IF(I84="瞄准","03",IF(I84="蓄力","04",IF(I84="引导","05","00")))))&amp;"04"&amp;BASE(CODE(MID(B84,1,1))*1+CODE(MID(B84,2,1))*2+CODE(MID(B84,3,1))*3,36,2))</f>
      </c>
      <c r="H84" s="72">
        <f>IF($B84="","","ITB"&amp;VLOOKUP(E84,'引用数据库'!Z:AC,4,FALSE)&amp;"0000"&amp;BASE(CODE(MID(B84,1,1))*1+CODE(MID(B84,2,1))*2+CODE(MID(B84,3,1))*3,36,2))</f>
      </c>
      <c r="I84" s="1"/>
      <c r="J84" s="1"/>
      <c r="K84" s="1"/>
      <c r="L84" s="1"/>
      <c r="M84" s="1"/>
      <c r="N84" s="1"/>
      <c r="O84" s="1"/>
      <c r="P84" s="204"/>
      <c r="Q84" s="1"/>
      <c r="R84" s="1"/>
      <c r="S84" s="1"/>
      <c r="T84" s="1"/>
      <c r="U84" s="1"/>
      <c r="V84" s="203"/>
      <c r="W84" s="214"/>
      <c r="X84" s="215"/>
      <c r="Y84" s="4"/>
      <c r="Z84" s="11"/>
      <c r="AA84" s="11"/>
      <c r="AB84" s="11"/>
      <c r="AC84" s="11"/>
      <c r="AD84" s="3"/>
      <c r="AE84" s="4"/>
      <c r="AF84" s="4"/>
    </row>
    <row r="85">
      <c r="A85" s="15">
        <f>IF(ISBLANK(B85),"",A84+1)</f>
      </c>
      <c r="B85" s="53"/>
      <c r="C85" s="53"/>
      <c r="D85" s="53"/>
      <c r="E85" s="53"/>
      <c r="F85" s="203"/>
      <c r="G85" s="72">
        <f>IF($B85="","","SKL"&amp;"01"&amp;IF(I85="瞬发","01",IF(I85="切换","02",IF(I85="瞄准","03",IF(I85="蓄力","04",IF(I85="引导","05","00")))))&amp;"04"&amp;BASE(CODE(MID(B85,1,1))*1+CODE(MID(B85,2,1))*2+CODE(MID(B85,3,1))*3,36,2))</f>
      </c>
      <c r="H85" s="72">
        <f>IF($B85="","","ITB"&amp;VLOOKUP(E85,'引用数据库'!Z:AC,4,FALSE)&amp;"0000"&amp;BASE(CODE(MID(B85,1,1))*1+CODE(MID(B85,2,1))*2+CODE(MID(B85,3,1))*3,36,2))</f>
      </c>
      <c r="I85" s="1"/>
      <c r="J85" s="1"/>
      <c r="K85" s="1"/>
      <c r="L85" s="1"/>
      <c r="M85" s="1"/>
      <c r="N85" s="1"/>
      <c r="O85" s="1"/>
      <c r="P85" s="204"/>
      <c r="Q85" s="1"/>
      <c r="R85" s="1"/>
      <c r="S85" s="1"/>
      <c r="T85" s="1"/>
      <c r="U85" s="1"/>
      <c r="V85" s="203"/>
      <c r="W85" s="214"/>
      <c r="X85" s="215"/>
      <c r="Y85" s="4"/>
      <c r="Z85" s="11"/>
      <c r="AA85" s="11"/>
      <c r="AB85" s="11"/>
      <c r="AC85" s="11"/>
      <c r="AD85" s="3"/>
      <c r="AE85" s="4"/>
      <c r="AF85" s="4"/>
    </row>
    <row r="86">
      <c r="A86" s="15">
        <f>IF(ISBLANK(B86),"",A85+1)</f>
      </c>
      <c r="B86" s="53"/>
      <c r="C86" s="53"/>
      <c r="D86" s="53"/>
      <c r="E86" s="53"/>
      <c r="F86" s="203"/>
      <c r="G86" s="72">
        <f>IF($B86="","","SKL"&amp;"01"&amp;IF(I86="瞬发","01",IF(I86="切换","02",IF(I86="瞄准","03",IF(I86="蓄力","04",IF(I86="引导","05","00")))))&amp;"04"&amp;BASE(CODE(MID(B86,1,1))*1+CODE(MID(B86,2,1))*2+CODE(MID(B86,3,1))*3,36,2))</f>
      </c>
      <c r="H86" s="72">
        <f>IF($B86="","","ITB"&amp;VLOOKUP(E86,'引用数据库'!Z:AC,4,FALSE)&amp;"0000"&amp;BASE(CODE(MID(B86,1,1))*1+CODE(MID(B86,2,1))*2+CODE(MID(B86,3,1))*3,36,2))</f>
      </c>
      <c r="I86" s="1"/>
      <c r="J86" s="1"/>
      <c r="K86" s="1"/>
      <c r="L86" s="1"/>
      <c r="M86" s="1"/>
      <c r="N86" s="1"/>
      <c r="O86" s="1"/>
      <c r="P86" s="204"/>
      <c r="Q86" s="1"/>
      <c r="R86" s="1"/>
      <c r="S86" s="1"/>
      <c r="T86" s="1"/>
      <c r="U86" s="1"/>
      <c r="V86" s="203"/>
      <c r="W86" s="214"/>
      <c r="X86" s="215"/>
      <c r="Y86" s="4"/>
      <c r="Z86" s="11"/>
      <c r="AA86" s="11"/>
      <c r="AB86" s="11"/>
      <c r="AC86" s="11"/>
      <c r="AD86" s="3"/>
      <c r="AE86" s="4"/>
      <c r="AF86" s="4"/>
    </row>
    <row r="87">
      <c r="A87" s="15">
        <f>IF(ISBLANK(B87),"",A86+1)</f>
      </c>
      <c r="B87" s="53"/>
      <c r="C87" s="53"/>
      <c r="D87" s="53"/>
      <c r="E87" s="53"/>
      <c r="F87" s="203"/>
      <c r="G87" s="72">
        <f>IF($B87="","","SKL"&amp;"01"&amp;IF(I87="瞬发","01",IF(I87="切换","02",IF(I87="瞄准","03",IF(I87="蓄力","04",IF(I87="引导","05","00")))))&amp;"04"&amp;BASE(CODE(MID(B87,1,1))*1+CODE(MID(B87,2,1))*2+CODE(MID(B87,3,1))*3,36,2))</f>
      </c>
      <c r="H87" s="72">
        <f>IF($B87="","","ITB"&amp;VLOOKUP(E87,'引用数据库'!Z:AC,4,FALSE)&amp;"0000"&amp;BASE(CODE(MID(B87,1,1))*1+CODE(MID(B87,2,1))*2+CODE(MID(B87,3,1))*3,36,2))</f>
      </c>
      <c r="I87" s="1"/>
      <c r="J87" s="1"/>
      <c r="K87" s="1"/>
      <c r="L87" s="1"/>
      <c r="M87" s="1"/>
      <c r="N87" s="1"/>
      <c r="O87" s="1"/>
      <c r="P87" s="204"/>
      <c r="Q87" s="1"/>
      <c r="R87" s="1"/>
      <c r="S87" s="1"/>
      <c r="T87" s="1"/>
      <c r="U87" s="1"/>
      <c r="V87" s="203"/>
      <c r="W87" s="214"/>
      <c r="X87" s="215"/>
      <c r="Y87" s="4"/>
      <c r="Z87" s="11"/>
      <c r="AA87" s="11"/>
      <c r="AB87" s="11"/>
      <c r="AC87" s="11"/>
      <c r="AD87" s="3"/>
      <c r="AE87" s="4"/>
      <c r="AF87" s="4"/>
    </row>
    <row r="88">
      <c r="A88" s="15">
        <f>IF(ISBLANK(B88),"",A87+1)</f>
      </c>
      <c r="B88" s="53"/>
      <c r="C88" s="53"/>
      <c r="D88" s="53"/>
      <c r="E88" s="53"/>
      <c r="F88" s="203"/>
      <c r="G88" s="72">
        <f>IF($B88="","","SKL"&amp;"01"&amp;IF(I88="瞬发","01",IF(I88="切换","02",IF(I88="瞄准","03",IF(I88="蓄力","04",IF(I88="引导","05","00")))))&amp;"04"&amp;BASE(CODE(MID(B88,1,1))*1+CODE(MID(B88,2,1))*2+CODE(MID(B88,3,1))*3,36,2))</f>
      </c>
      <c r="H88" s="72">
        <f>IF($B88="","","ITB"&amp;VLOOKUP(E88,'引用数据库'!Z:AC,4,FALSE)&amp;"0000"&amp;BASE(CODE(MID(B88,1,1))*1+CODE(MID(B88,2,1))*2+CODE(MID(B88,3,1))*3,36,2))</f>
      </c>
      <c r="I88" s="1"/>
      <c r="J88" s="1"/>
      <c r="K88" s="1"/>
      <c r="L88" s="1"/>
      <c r="M88" s="1"/>
      <c r="N88" s="1"/>
      <c r="O88" s="1"/>
      <c r="P88" s="204"/>
      <c r="Q88" s="1"/>
      <c r="R88" s="1"/>
      <c r="S88" s="1"/>
      <c r="T88" s="1"/>
      <c r="U88" s="1"/>
      <c r="V88" s="203"/>
      <c r="W88" s="214"/>
      <c r="X88" s="215"/>
      <c r="Y88" s="4"/>
      <c r="Z88" s="11"/>
      <c r="AA88" s="11"/>
      <c r="AB88" s="11"/>
      <c r="AC88" s="11"/>
      <c r="AD88" s="3"/>
      <c r="AE88" s="4"/>
      <c r="AF88" s="4"/>
    </row>
    <row r="89">
      <c r="A89" s="15">
        <f>IF(ISBLANK(B89),"",A88+1)</f>
      </c>
      <c r="B89" s="53"/>
      <c r="C89" s="53"/>
      <c r="D89" s="53"/>
      <c r="E89" s="53"/>
      <c r="F89" s="203"/>
      <c r="G89" s="72">
        <f>IF($B89="","","SKL"&amp;"01"&amp;IF(I89="瞬发","01",IF(I89="切换","02",IF(I89="瞄准","03",IF(I89="蓄力","04",IF(I89="引导","05","00")))))&amp;"04"&amp;BASE(CODE(MID(B89,1,1))*1+CODE(MID(B89,2,1))*2+CODE(MID(B89,3,1))*3,36,2))</f>
      </c>
      <c r="H89" s="72">
        <f>IF($B89="","","ITB"&amp;VLOOKUP(E89,'引用数据库'!Z:AC,4,FALSE)&amp;"0000"&amp;BASE(CODE(MID(B89,1,1))*1+CODE(MID(B89,2,1))*2+CODE(MID(B89,3,1))*3,36,2))</f>
      </c>
      <c r="I89" s="1"/>
      <c r="J89" s="1"/>
      <c r="K89" s="1"/>
      <c r="L89" s="1"/>
      <c r="M89" s="1"/>
      <c r="N89" s="1"/>
      <c r="O89" s="1"/>
      <c r="P89" s="204"/>
      <c r="Q89" s="1"/>
      <c r="R89" s="1"/>
      <c r="S89" s="1"/>
      <c r="T89" s="1"/>
      <c r="U89" s="1"/>
      <c r="V89" s="203"/>
      <c r="W89" s="214"/>
      <c r="X89" s="215"/>
      <c r="Y89" s="4"/>
      <c r="Z89" s="11"/>
      <c r="AA89" s="11"/>
      <c r="AB89" s="11"/>
      <c r="AC89" s="11"/>
      <c r="AD89" s="3"/>
      <c r="AE89" s="4"/>
      <c r="AF89" s="4"/>
    </row>
    <row r="90">
      <c r="A90" s="15">
        <f>IF(ISBLANK(B90),"",A89+1)</f>
      </c>
      <c r="B90" s="53"/>
      <c r="C90" s="53"/>
      <c r="D90" s="53"/>
      <c r="E90" s="53"/>
      <c r="F90" s="203"/>
      <c r="G90" s="72">
        <f>IF($B90="","","SKL"&amp;"01"&amp;IF(I90="瞬发","01",IF(I90="切换","02",IF(I90="瞄准","03",IF(I90="蓄力","04",IF(I90="引导","05","00")))))&amp;"04"&amp;BASE(CODE(MID(B90,1,1))*1+CODE(MID(B90,2,1))*2+CODE(MID(B90,3,1))*3,36,2))</f>
      </c>
      <c r="H90" s="72">
        <f>IF($B90="","","ITB"&amp;VLOOKUP(E90,'引用数据库'!Z:AC,4,FALSE)&amp;"0000"&amp;BASE(CODE(MID(B90,1,1))*1+CODE(MID(B90,2,1))*2+CODE(MID(B90,3,1))*3,36,2))</f>
      </c>
      <c r="I90" s="1"/>
      <c r="J90" s="1"/>
      <c r="K90" s="1"/>
      <c r="L90" s="1"/>
      <c r="M90" s="1"/>
      <c r="N90" s="1"/>
      <c r="O90" s="1"/>
      <c r="P90" s="204"/>
      <c r="Q90" s="1"/>
      <c r="R90" s="1"/>
      <c r="S90" s="1"/>
      <c r="T90" s="1"/>
      <c r="U90" s="1"/>
      <c r="V90" s="203"/>
      <c r="W90" s="214"/>
      <c r="X90" s="215"/>
      <c r="Y90" s="4"/>
      <c r="Z90" s="11"/>
      <c r="AA90" s="11"/>
      <c r="AB90" s="11"/>
      <c r="AC90" s="11"/>
      <c r="AD90" s="3"/>
      <c r="AE90" s="4"/>
      <c r="AF90" s="4"/>
    </row>
    <row r="91">
      <c r="A91" s="15">
        <f>IF(ISBLANK(B91),"",A90+1)</f>
      </c>
      <c r="B91" s="53"/>
      <c r="C91" s="53"/>
      <c r="D91" s="53"/>
      <c r="E91" s="53"/>
      <c r="F91" s="203"/>
      <c r="G91" s="72">
        <f>IF($B91="","","SKL"&amp;"01"&amp;IF(I91="瞬发","01",IF(I91="切换","02",IF(I91="瞄准","03",IF(I91="蓄力","04",IF(I91="引导","05","00")))))&amp;"04"&amp;BASE(CODE(MID(B91,1,1))*1+CODE(MID(B91,2,1))*2+CODE(MID(B91,3,1))*3,36,2))</f>
      </c>
      <c r="H91" s="72">
        <f>IF($B91="","","ITB"&amp;VLOOKUP(E91,'引用数据库'!Z:AC,4,FALSE)&amp;"0000"&amp;BASE(CODE(MID(B91,1,1))*1+CODE(MID(B91,2,1))*2+CODE(MID(B91,3,1))*3,36,2))</f>
      </c>
      <c r="I91" s="1"/>
      <c r="J91" s="1"/>
      <c r="K91" s="1"/>
      <c r="L91" s="1"/>
      <c r="M91" s="1"/>
      <c r="N91" s="1"/>
      <c r="O91" s="1"/>
      <c r="P91" s="204"/>
      <c r="Q91" s="1"/>
      <c r="R91" s="1"/>
      <c r="S91" s="1"/>
      <c r="T91" s="1"/>
      <c r="U91" s="1"/>
      <c r="V91" s="203"/>
      <c r="W91" s="214"/>
      <c r="X91" s="215"/>
      <c r="Y91" s="4"/>
      <c r="Z91" s="11"/>
      <c r="AA91" s="11"/>
      <c r="AB91" s="11"/>
      <c r="AC91" s="11"/>
      <c r="AD91" s="3"/>
      <c r="AE91" s="4"/>
      <c r="AF91" s="4"/>
    </row>
    <row r="92">
      <c r="A92" s="15">
        <f>IF(ISBLANK(B92),"",A91+1)</f>
      </c>
      <c r="B92" s="53"/>
      <c r="C92" s="53"/>
      <c r="D92" s="53"/>
      <c r="E92" s="53"/>
      <c r="F92" s="203"/>
      <c r="G92" s="72">
        <f>IF($B92="","","SKL"&amp;"01"&amp;IF(I92="瞬发","01",IF(I92="切换","02",IF(I92="瞄准","03",IF(I92="蓄力","04",IF(I92="引导","05","00")))))&amp;"04"&amp;BASE(CODE(MID(B92,1,1))*1+CODE(MID(B92,2,1))*2+CODE(MID(B92,3,1))*3,36,2))</f>
      </c>
      <c r="H92" s="72">
        <f>IF($B92="","","ITB"&amp;VLOOKUP(E92,'引用数据库'!Z:AC,4,FALSE)&amp;"0000"&amp;BASE(CODE(MID(B92,1,1))*1+CODE(MID(B92,2,1))*2+CODE(MID(B92,3,1))*3,36,2))</f>
      </c>
      <c r="I92" s="1"/>
      <c r="J92" s="1"/>
      <c r="K92" s="1"/>
      <c r="L92" s="1"/>
      <c r="M92" s="1"/>
      <c r="N92" s="1"/>
      <c r="O92" s="1"/>
      <c r="P92" s="204"/>
      <c r="Q92" s="1"/>
      <c r="R92" s="1"/>
      <c r="S92" s="1"/>
      <c r="T92" s="1"/>
      <c r="U92" s="1"/>
      <c r="V92" s="203"/>
      <c r="W92" s="214"/>
      <c r="X92" s="215"/>
      <c r="Y92" s="4"/>
      <c r="Z92" s="11"/>
      <c r="AA92" s="11"/>
      <c r="AB92" s="11"/>
      <c r="AC92" s="11"/>
      <c r="AD92" s="3"/>
      <c r="AE92" s="4"/>
      <c r="AF92" s="4"/>
    </row>
    <row r="93">
      <c r="A93" s="15">
        <f>IF(ISBLANK(B93),"",A92+1)</f>
      </c>
      <c r="B93" s="53"/>
      <c r="C93" s="53"/>
      <c r="D93" s="53"/>
      <c r="E93" s="53"/>
      <c r="F93" s="203"/>
      <c r="G93" s="72">
        <f>IF($B93="","","SKL"&amp;"01"&amp;IF(I93="瞬发","01",IF(I93="切换","02",IF(I93="瞄准","03",IF(I93="蓄力","04",IF(I93="引导","05","00")))))&amp;"04"&amp;BASE(CODE(MID(B93,1,1))*1+CODE(MID(B93,2,1))*2+CODE(MID(B93,3,1))*3,36,2))</f>
      </c>
      <c r="H93" s="72">
        <f>IF($B93="","","ITB"&amp;VLOOKUP(E93,'引用数据库'!Z:AC,4,FALSE)&amp;"0000"&amp;BASE(CODE(MID(B93,1,1))*1+CODE(MID(B93,2,1))*2+CODE(MID(B93,3,1))*3,36,2))</f>
      </c>
      <c r="I93" s="1"/>
      <c r="J93" s="1"/>
      <c r="K93" s="1"/>
      <c r="L93" s="1"/>
      <c r="M93" s="1"/>
      <c r="N93" s="1"/>
      <c r="O93" s="1"/>
      <c r="P93" s="204"/>
      <c r="Q93" s="1"/>
      <c r="R93" s="1"/>
      <c r="S93" s="1"/>
      <c r="T93" s="1"/>
      <c r="U93" s="1"/>
      <c r="V93" s="203"/>
      <c r="W93" s="214"/>
      <c r="X93" s="215"/>
      <c r="Y93" s="4"/>
      <c r="Z93" s="11"/>
      <c r="AA93" s="11"/>
      <c r="AB93" s="11"/>
      <c r="AC93" s="11"/>
      <c r="AD93" s="3"/>
      <c r="AE93" s="4"/>
      <c r="AF93" s="4"/>
    </row>
    <row r="94">
      <c r="A94" s="15">
        <f>IF(ISBLANK(B94),"",A93+1)</f>
      </c>
      <c r="B94" s="53"/>
      <c r="C94" s="53"/>
      <c r="D94" s="53"/>
      <c r="E94" s="53"/>
      <c r="F94" s="203"/>
      <c r="G94" s="72">
        <f>IF($B94="","","SKL"&amp;"01"&amp;IF(I94="瞬发","01",IF(I94="切换","02",IF(I94="瞄准","03",IF(I94="蓄力","04",IF(I94="引导","05","00")))))&amp;"04"&amp;BASE(CODE(MID(B94,1,1))*1+CODE(MID(B94,2,1))*2+CODE(MID(B94,3,1))*3,36,2))</f>
      </c>
      <c r="H94" s="72">
        <f>IF($B94="","","ITB"&amp;VLOOKUP(E94,'引用数据库'!Z:AC,4,FALSE)&amp;"0000"&amp;BASE(CODE(MID(B94,1,1))*1+CODE(MID(B94,2,1))*2+CODE(MID(B94,3,1))*3,36,2))</f>
      </c>
      <c r="I94" s="1"/>
      <c r="J94" s="1"/>
      <c r="K94" s="1"/>
      <c r="L94" s="1"/>
      <c r="M94" s="1"/>
      <c r="N94" s="1"/>
      <c r="O94" s="1"/>
      <c r="P94" s="204"/>
      <c r="Q94" s="1"/>
      <c r="R94" s="1"/>
      <c r="S94" s="1"/>
      <c r="T94" s="1"/>
      <c r="U94" s="1"/>
      <c r="V94" s="203"/>
      <c r="W94" s="214"/>
      <c r="X94" s="215"/>
      <c r="Y94" s="4"/>
      <c r="Z94" s="11"/>
      <c r="AA94" s="11"/>
      <c r="AB94" s="11"/>
      <c r="AC94" s="11"/>
      <c r="AD94" s="3"/>
      <c r="AE94" s="4"/>
      <c r="AF94" s="4"/>
    </row>
    <row r="95">
      <c r="A95" s="15">
        <f>IF(ISBLANK(B95),"",A94+1)</f>
      </c>
      <c r="B95" s="53"/>
      <c r="C95" s="53"/>
      <c r="D95" s="53"/>
      <c r="E95" s="53"/>
      <c r="F95" s="203"/>
      <c r="G95" s="72">
        <f>IF($B95="","","SKL"&amp;"01"&amp;IF(I95="瞬发","01",IF(I95="切换","02",IF(I95="瞄准","03",IF(I95="蓄力","04",IF(I95="引导","05","00")))))&amp;"04"&amp;BASE(CODE(MID(B95,1,1))*1+CODE(MID(B95,2,1))*2+CODE(MID(B95,3,1))*3,36,2))</f>
      </c>
      <c r="H95" s="72">
        <f>IF($B95="","","ITB"&amp;VLOOKUP(E95,'引用数据库'!Z:AC,4,FALSE)&amp;"0000"&amp;BASE(CODE(MID(B95,1,1))*1+CODE(MID(B95,2,1))*2+CODE(MID(B95,3,1))*3,36,2))</f>
      </c>
      <c r="I95" s="1"/>
      <c r="J95" s="1"/>
      <c r="K95" s="1"/>
      <c r="L95" s="1"/>
      <c r="M95" s="1"/>
      <c r="N95" s="1"/>
      <c r="O95" s="1"/>
      <c r="P95" s="204"/>
      <c r="Q95" s="1"/>
      <c r="R95" s="1"/>
      <c r="S95" s="1"/>
      <c r="T95" s="1"/>
      <c r="U95" s="1"/>
      <c r="V95" s="203"/>
      <c r="W95" s="214"/>
      <c r="X95" s="215"/>
      <c r="Y95" s="4"/>
      <c r="Z95" s="11"/>
      <c r="AA95" s="11"/>
      <c r="AB95" s="11"/>
      <c r="AC95" s="11"/>
      <c r="AD95" s="3"/>
      <c r="AE95" s="4"/>
      <c r="AF95" s="4"/>
    </row>
    <row r="96">
      <c r="A96" s="15">
        <f>IF(ISBLANK(B96),"",A95+1)</f>
      </c>
      <c r="B96" s="53"/>
      <c r="C96" s="53"/>
      <c r="D96" s="53"/>
      <c r="E96" s="53"/>
      <c r="F96" s="203"/>
      <c r="G96" s="72">
        <f>IF($B96="","","SKL"&amp;"01"&amp;IF(I96="瞬发","01",IF(I96="切换","02",IF(I96="瞄准","03",IF(I96="蓄力","04",IF(I96="引导","05","00")))))&amp;"04"&amp;BASE(CODE(MID(B96,1,1))*1+CODE(MID(B96,2,1))*2+CODE(MID(B96,3,1))*3,36,2))</f>
      </c>
      <c r="H96" s="72">
        <f>IF($B96="","","ITB"&amp;VLOOKUP(E96,'引用数据库'!Z:AC,4,FALSE)&amp;"0000"&amp;BASE(CODE(MID(B96,1,1))*1+CODE(MID(B96,2,1))*2+CODE(MID(B96,3,1))*3,36,2))</f>
      </c>
      <c r="I96" s="1"/>
      <c r="J96" s="1"/>
      <c r="K96" s="1"/>
      <c r="L96" s="1"/>
      <c r="M96" s="1"/>
      <c r="N96" s="1"/>
      <c r="O96" s="1"/>
      <c r="P96" s="204"/>
      <c r="Q96" s="1"/>
      <c r="R96" s="1"/>
      <c r="S96" s="1"/>
      <c r="T96" s="1"/>
      <c r="U96" s="1"/>
      <c r="V96" s="203"/>
      <c r="W96" s="214"/>
      <c r="X96" s="215"/>
      <c r="Y96" s="4"/>
      <c r="Z96" s="11"/>
      <c r="AA96" s="11"/>
      <c r="AB96" s="11"/>
      <c r="AC96" s="11"/>
      <c r="AD96" s="3"/>
      <c r="AE96" s="4"/>
      <c r="AF96" s="4"/>
    </row>
    <row r="97">
      <c r="A97" s="15">
        <f>IF(ISBLANK(B97),"",A96+1)</f>
      </c>
      <c r="B97" s="53"/>
      <c r="C97" s="53"/>
      <c r="D97" s="53"/>
      <c r="E97" s="53"/>
      <c r="F97" s="203"/>
      <c r="G97" s="72">
        <f>IF($B97="","","SKL"&amp;"01"&amp;IF(I97="瞬发","01",IF(I97="切换","02",IF(I97="瞄准","03",IF(I97="蓄力","04",IF(I97="引导","05","00")))))&amp;"04"&amp;BASE(CODE(MID(B97,1,1))*1+CODE(MID(B97,2,1))*2+CODE(MID(B97,3,1))*3,36,2))</f>
      </c>
      <c r="H97" s="72">
        <f>IF($B97="","","ITB"&amp;VLOOKUP(E97,'引用数据库'!Z:AC,4,FALSE)&amp;"0000"&amp;BASE(CODE(MID(B97,1,1))*1+CODE(MID(B97,2,1))*2+CODE(MID(B97,3,1))*3,36,2))</f>
      </c>
      <c r="I97" s="1"/>
      <c r="J97" s="1"/>
      <c r="K97" s="1"/>
      <c r="L97" s="1"/>
      <c r="M97" s="1"/>
      <c r="N97" s="1"/>
      <c r="O97" s="1"/>
      <c r="P97" s="204"/>
      <c r="Q97" s="1"/>
      <c r="R97" s="1"/>
      <c r="S97" s="1"/>
      <c r="T97" s="1"/>
      <c r="U97" s="1"/>
      <c r="V97" s="203"/>
      <c r="W97" s="214"/>
      <c r="X97" s="215"/>
      <c r="Y97" s="4"/>
      <c r="Z97" s="11"/>
      <c r="AA97" s="11"/>
      <c r="AB97" s="11"/>
      <c r="AC97" s="11"/>
      <c r="AD97" s="3"/>
      <c r="AE97" s="4"/>
      <c r="AF97" s="4"/>
    </row>
    <row r="98">
      <c r="A98" s="15">
        <f>IF(ISBLANK(B98),"",A97+1)</f>
      </c>
      <c r="B98" s="53"/>
      <c r="C98" s="53"/>
      <c r="D98" s="53"/>
      <c r="E98" s="53"/>
      <c r="F98" s="203"/>
      <c r="G98" s="72">
        <f>IF($B98="","","SKL"&amp;"01"&amp;IF(I98="瞬发","01",IF(I98="切换","02",IF(I98="瞄准","03",IF(I98="蓄力","04",IF(I98="引导","05","00")))))&amp;"04"&amp;BASE(CODE(MID(B98,1,1))*1+CODE(MID(B98,2,1))*2+CODE(MID(B98,3,1))*3,36,2))</f>
      </c>
      <c r="H98" s="72">
        <f>IF($B98="","","ITB"&amp;VLOOKUP(E98,'引用数据库'!Z:AC,4,FALSE)&amp;"0000"&amp;BASE(CODE(MID(B98,1,1))*1+CODE(MID(B98,2,1))*2+CODE(MID(B98,3,1))*3,36,2))</f>
      </c>
      <c r="I98" s="1"/>
      <c r="J98" s="1"/>
      <c r="K98" s="1"/>
      <c r="L98" s="1"/>
      <c r="M98" s="1"/>
      <c r="N98" s="1"/>
      <c r="O98" s="1"/>
      <c r="P98" s="204"/>
      <c r="Q98" s="1"/>
      <c r="R98" s="1"/>
      <c r="S98" s="1"/>
      <c r="T98" s="1"/>
      <c r="U98" s="1"/>
      <c r="V98" s="203"/>
      <c r="W98" s="214"/>
      <c r="X98" s="215"/>
      <c r="Y98" s="4"/>
      <c r="Z98" s="11"/>
      <c r="AA98" s="11"/>
      <c r="AB98" s="11"/>
      <c r="AC98" s="11"/>
      <c r="AD98" s="3"/>
      <c r="AE98" s="4"/>
      <c r="AF98" s="4"/>
    </row>
    <row r="99">
      <c r="A99" s="15">
        <f>IF(ISBLANK(B99),"",A98+1)</f>
      </c>
      <c r="B99" s="53"/>
      <c r="C99" s="53"/>
      <c r="D99" s="53"/>
      <c r="E99" s="53"/>
      <c r="F99" s="203"/>
      <c r="G99" s="72">
        <f>IF($B99="","","SKL"&amp;"01"&amp;IF(I99="瞬发","01",IF(I99="切换","02",IF(I99="瞄准","03",IF(I99="蓄力","04",IF(I99="引导","05","00")))))&amp;"04"&amp;BASE(CODE(MID(B99,1,1))*1+CODE(MID(B99,2,1))*2+CODE(MID(B99,3,1))*3,36,2))</f>
      </c>
      <c r="H99" s="72">
        <f>IF($B99="","","ITB"&amp;VLOOKUP(E99,'引用数据库'!Z:AC,4,FALSE)&amp;"0000"&amp;BASE(CODE(MID(B99,1,1))*1+CODE(MID(B99,2,1))*2+CODE(MID(B99,3,1))*3,36,2))</f>
      </c>
      <c r="I99" s="1"/>
      <c r="J99" s="1"/>
      <c r="K99" s="1"/>
      <c r="L99" s="1"/>
      <c r="M99" s="1"/>
      <c r="N99" s="1"/>
      <c r="O99" s="1"/>
      <c r="P99" s="204"/>
      <c r="Q99" s="1"/>
      <c r="R99" s="1"/>
      <c r="S99" s="1"/>
      <c r="T99" s="1"/>
      <c r="U99" s="1"/>
      <c r="V99" s="203"/>
      <c r="W99" s="214"/>
      <c r="X99" s="215"/>
      <c r="Y99" s="4"/>
      <c r="Z99" s="11"/>
      <c r="AA99" s="11"/>
      <c r="AB99" s="11"/>
      <c r="AC99" s="11"/>
      <c r="AD99" s="3"/>
      <c r="AE99" s="4"/>
      <c r="AF99" s="4"/>
    </row>
    <row r="100">
      <c r="A100" s="15">
        <f>IF(ISBLANK(B100),"",A99+1)</f>
      </c>
      <c r="B100" s="53"/>
      <c r="C100" s="53"/>
      <c r="D100" s="53"/>
      <c r="E100" s="53"/>
      <c r="F100" s="203"/>
      <c r="G100" s="72">
        <f>IF($B100="","","SKL"&amp;"01"&amp;IF(I100="瞬发","01",IF(I100="切换","02",IF(I100="瞄准","03",IF(I100="蓄力","04",IF(I100="引导","05","00")))))&amp;"04"&amp;BASE(CODE(MID(B100,1,1))*1+CODE(MID(B100,2,1))*2+CODE(MID(B100,3,1))*3,36,2))</f>
      </c>
      <c r="H100" s="72">
        <f>IF($B100="","","ITB"&amp;VLOOKUP(E100,'引用数据库'!Z:AC,4,FALSE)&amp;"0000"&amp;BASE(CODE(MID(B100,1,1))*1+CODE(MID(B100,2,1))*2+CODE(MID(B100,3,1))*3,36,2))</f>
      </c>
      <c r="I100" s="1"/>
      <c r="J100" s="1"/>
      <c r="K100" s="1"/>
      <c r="L100" s="1"/>
      <c r="M100" s="1"/>
      <c r="N100" s="1"/>
      <c r="O100" s="1"/>
      <c r="P100" s="204"/>
      <c r="Q100" s="1"/>
      <c r="R100" s="1"/>
      <c r="S100" s="1"/>
      <c r="T100" s="1"/>
      <c r="U100" s="1"/>
      <c r="V100" s="203"/>
      <c r="W100" s="214"/>
      <c r="X100" s="215"/>
      <c r="Y100" s="4"/>
      <c r="Z100" s="11"/>
      <c r="AA100" s="11"/>
      <c r="AB100" s="11"/>
      <c r="AC100" s="11"/>
      <c r="AD100" s="3"/>
      <c r="AE100" s="4"/>
      <c r="AF100" s="4"/>
    </row>
    <row r="101">
      <c r="A101" s="15">
        <f>IF(ISBLANK(B101),"",A100+1)</f>
      </c>
      <c r="B101" s="53"/>
      <c r="C101" s="53"/>
      <c r="D101" s="53"/>
      <c r="E101" s="53"/>
      <c r="F101" s="203"/>
      <c r="G101" s="72">
        <f>IF($B101="","","SKL"&amp;"01"&amp;IF(I101="瞬发","01",IF(I101="切换","02",IF(I101="瞄准","03",IF(I101="蓄力","04",IF(I101="引导","05","00")))))&amp;"04"&amp;BASE(CODE(MID(B101,1,1))*1+CODE(MID(B101,2,1))*2+CODE(MID(B101,3,1))*3,36,2))</f>
      </c>
      <c r="H101" s="72">
        <f>IF($B101="","","ITB"&amp;VLOOKUP(E101,'引用数据库'!Z:AC,4,FALSE)&amp;"0000"&amp;BASE(CODE(MID(B101,1,1))*1+CODE(MID(B101,2,1))*2+CODE(MID(B101,3,1))*3,36,2))</f>
      </c>
      <c r="I101" s="1"/>
      <c r="J101" s="1"/>
      <c r="K101" s="1"/>
      <c r="L101" s="1"/>
      <c r="M101" s="1"/>
      <c r="N101" s="1"/>
      <c r="O101" s="1"/>
      <c r="P101" s="204"/>
      <c r="Q101" s="1"/>
      <c r="R101" s="1"/>
      <c r="S101" s="1"/>
      <c r="T101" s="1"/>
      <c r="U101" s="1"/>
      <c r="V101" s="203"/>
      <c r="W101" s="214"/>
      <c r="X101" s="215"/>
      <c r="Y101" s="4"/>
      <c r="Z101" s="11"/>
      <c r="AA101" s="11"/>
      <c r="AB101" s="11"/>
      <c r="AC101" s="11"/>
      <c r="AD101" s="3"/>
      <c r="AE101" s="4"/>
      <c r="AF101" s="4"/>
    </row>
    <row r="102">
      <c r="A102" s="15">
        <f>IF(ISBLANK(B102),"",A101+1)</f>
      </c>
      <c r="B102" s="53"/>
      <c r="C102" s="53"/>
      <c r="D102" s="53"/>
      <c r="E102" s="53"/>
      <c r="F102" s="203"/>
      <c r="G102" s="72">
        <f>IF($B102="","","SKL"&amp;"01"&amp;IF(I102="瞬发","01",IF(I102="切换","02",IF(I102="瞄准","03",IF(I102="蓄力","04",IF(I102="引导","05","00")))))&amp;"04"&amp;BASE(CODE(MID(B102,1,1))*1+CODE(MID(B102,2,1))*2+CODE(MID(B102,3,1))*3,36,2))</f>
      </c>
      <c r="H102" s="72">
        <f>IF($B102="","","ITB"&amp;VLOOKUP(E102,'引用数据库'!Z:AC,4,FALSE)&amp;"0000"&amp;BASE(CODE(MID(B102,1,1))*1+CODE(MID(B102,2,1))*2+CODE(MID(B102,3,1))*3,36,2))</f>
      </c>
      <c r="I102" s="1"/>
      <c r="J102" s="1"/>
      <c r="K102" s="1"/>
      <c r="L102" s="1"/>
      <c r="M102" s="1"/>
      <c r="N102" s="1"/>
      <c r="O102" s="1"/>
      <c r="P102" s="204"/>
      <c r="Q102" s="1"/>
      <c r="R102" s="1"/>
      <c r="S102" s="1"/>
      <c r="T102" s="1"/>
      <c r="U102" s="1"/>
      <c r="V102" s="203"/>
      <c r="W102" s="214"/>
      <c r="X102" s="215"/>
      <c r="Y102" s="4"/>
      <c r="Z102" s="11"/>
      <c r="AA102" s="11"/>
      <c r="AB102" s="11"/>
      <c r="AC102" s="11"/>
      <c r="AD102" s="3"/>
      <c r="AE102" s="4"/>
      <c r="AF102" s="4"/>
    </row>
    <row r="103">
      <c r="A103" s="15">
        <f>IF(ISBLANK(B103),"",A102+1)</f>
      </c>
      <c r="B103" s="53"/>
      <c r="C103" s="53"/>
      <c r="D103" s="53"/>
      <c r="E103" s="53"/>
      <c r="F103" s="203"/>
      <c r="G103" s="72">
        <f>IF($B103="","","SKL"&amp;"01"&amp;IF(I103="瞬发","01",IF(I103="切换","02",IF(I103="瞄准","03",IF(I103="蓄力","04",IF(I103="引导","05","00")))))&amp;"04"&amp;BASE(CODE(MID(B103,1,1))*1+CODE(MID(B103,2,1))*2+CODE(MID(B103,3,1))*3,36,2))</f>
      </c>
      <c r="H103" s="72">
        <f>IF($B103="","","ITB"&amp;VLOOKUP(E103,'引用数据库'!Z:AC,4,FALSE)&amp;"0000"&amp;BASE(CODE(MID(B103,1,1))*1+CODE(MID(B103,2,1))*2+CODE(MID(B103,3,1))*3,36,2))</f>
      </c>
      <c r="I103" s="1"/>
      <c r="J103" s="1"/>
      <c r="K103" s="1"/>
      <c r="L103" s="1"/>
      <c r="M103" s="1"/>
      <c r="N103" s="1"/>
      <c r="O103" s="1"/>
      <c r="P103" s="204"/>
      <c r="Q103" s="1"/>
      <c r="R103" s="1"/>
      <c r="S103" s="1"/>
      <c r="T103" s="1"/>
      <c r="U103" s="1"/>
      <c r="V103" s="203"/>
      <c r="W103" s="214"/>
      <c r="X103" s="215"/>
      <c r="Y103" s="4"/>
      <c r="Z103" s="11"/>
      <c r="AA103" s="11"/>
      <c r="AB103" s="11"/>
      <c r="AC103" s="11"/>
      <c r="AD103" s="3"/>
      <c r="AE103" s="4"/>
      <c r="AF103" s="4"/>
    </row>
    <row r="104">
      <c r="A104" s="15">
        <f>IF(ISBLANK(B104),"",A103+1)</f>
      </c>
      <c r="B104" s="53"/>
      <c r="C104" s="53"/>
      <c r="D104" s="53"/>
      <c r="E104" s="53"/>
      <c r="F104" s="203"/>
      <c r="G104" s="72">
        <f>IF($B104="","","SKL"&amp;"01"&amp;IF(I104="瞬发","01",IF(I104="切换","02",IF(I104="瞄准","03",IF(I104="蓄力","04",IF(I104="引导","05","00")))))&amp;"04"&amp;BASE(CODE(MID(B104,1,1))*1+CODE(MID(B104,2,1))*2+CODE(MID(B104,3,1))*3,36,2))</f>
      </c>
      <c r="H104" s="72">
        <f>IF($B104="","","ITB"&amp;VLOOKUP(E104,'引用数据库'!Z:AC,4,FALSE)&amp;"0000"&amp;BASE(CODE(MID(B104,1,1))*1+CODE(MID(B104,2,1))*2+CODE(MID(B104,3,1))*3,36,2))</f>
      </c>
      <c r="I104" s="1"/>
      <c r="J104" s="1"/>
      <c r="K104" s="1"/>
      <c r="L104" s="1"/>
      <c r="M104" s="1"/>
      <c r="N104" s="1"/>
      <c r="O104" s="1"/>
      <c r="P104" s="204"/>
      <c r="Q104" s="1"/>
      <c r="R104" s="1"/>
      <c r="S104" s="1"/>
      <c r="T104" s="1"/>
      <c r="U104" s="1"/>
      <c r="V104" s="203"/>
      <c r="W104" s="214"/>
      <c r="X104" s="215"/>
      <c r="Y104" s="4"/>
      <c r="Z104" s="11"/>
      <c r="AA104" s="11"/>
      <c r="AB104" s="11"/>
      <c r="AC104" s="11"/>
      <c r="AD104" s="3"/>
      <c r="AE104" s="4"/>
      <c r="AF104" s="4"/>
    </row>
    <row r="105">
      <c r="A105" s="15">
        <f>IF(ISBLANK(B105),"",A104+1)</f>
      </c>
      <c r="B105" s="53"/>
      <c r="C105" s="53"/>
      <c r="D105" s="53"/>
      <c r="E105" s="53"/>
      <c r="F105" s="203"/>
      <c r="G105" s="72">
        <f>IF($B105="","","SKL"&amp;"01"&amp;IF(I105="瞬发","01",IF(I105="切换","02",IF(I105="瞄准","03",IF(I105="蓄力","04",IF(I105="引导","05","00")))))&amp;"04"&amp;BASE(CODE(MID(B105,1,1))*1+CODE(MID(B105,2,1))*2+CODE(MID(B105,3,1))*3,36,2))</f>
      </c>
      <c r="H105" s="72">
        <f>IF($B105="","","ITB"&amp;VLOOKUP(E105,'引用数据库'!Z:AC,4,FALSE)&amp;"0000"&amp;BASE(CODE(MID(B105,1,1))*1+CODE(MID(B105,2,1))*2+CODE(MID(B105,3,1))*3,36,2))</f>
      </c>
      <c r="I105" s="1"/>
      <c r="J105" s="1"/>
      <c r="K105" s="1"/>
      <c r="L105" s="1"/>
      <c r="M105" s="1"/>
      <c r="N105" s="1"/>
      <c r="O105" s="1"/>
      <c r="P105" s="204"/>
      <c r="Q105" s="1"/>
      <c r="R105" s="1"/>
      <c r="S105" s="1"/>
      <c r="T105" s="1"/>
      <c r="U105" s="1"/>
      <c r="V105" s="203"/>
      <c r="W105" s="214"/>
      <c r="X105" s="215"/>
      <c r="Y105" s="4"/>
      <c r="Z105" s="11"/>
      <c r="AA105" s="11"/>
      <c r="AB105" s="11"/>
      <c r="AC105" s="11"/>
      <c r="AD105" s="3"/>
      <c r="AE105" s="4"/>
      <c r="AF105" s="4"/>
    </row>
    <row r="106">
      <c r="A106" s="15">
        <f>IF(ISBLANK(B106),"",A105+1)</f>
      </c>
      <c r="B106" s="53"/>
      <c r="C106" s="53"/>
      <c r="D106" s="53"/>
      <c r="E106" s="53"/>
      <c r="F106" s="203"/>
      <c r="G106" s="72">
        <f>IF($B106="","","SKL"&amp;"01"&amp;IF(I106="瞬发","01",IF(I106="切换","02",IF(I106="瞄准","03",IF(I106="蓄力","04",IF(I106="引导","05","00")))))&amp;"04"&amp;BASE(CODE(MID(B106,1,1))*1+CODE(MID(B106,2,1))*2+CODE(MID(B106,3,1))*3,36,2))</f>
      </c>
      <c r="H106" s="72">
        <f>IF($B106="","","ITB"&amp;VLOOKUP(E106,'引用数据库'!Z:AC,4,FALSE)&amp;"0000"&amp;BASE(CODE(MID(B106,1,1))*1+CODE(MID(B106,2,1))*2+CODE(MID(B106,3,1))*3,36,2))</f>
      </c>
      <c r="I106" s="1"/>
      <c r="J106" s="1"/>
      <c r="K106" s="1"/>
      <c r="L106" s="1"/>
      <c r="M106" s="1"/>
      <c r="N106" s="1"/>
      <c r="O106" s="1"/>
      <c r="P106" s="204"/>
      <c r="Q106" s="1"/>
      <c r="R106" s="1"/>
      <c r="S106" s="1"/>
      <c r="T106" s="1"/>
      <c r="U106" s="1"/>
      <c r="V106" s="203"/>
      <c r="W106" s="214"/>
      <c r="X106" s="215"/>
      <c r="Y106" s="4"/>
      <c r="Z106" s="11"/>
      <c r="AA106" s="11"/>
      <c r="AB106" s="11"/>
      <c r="AC106" s="11"/>
      <c r="AD106" s="3"/>
      <c r="AE106" s="4"/>
      <c r="AF106" s="4"/>
    </row>
    <row r="107">
      <c r="A107" s="15">
        <f>IF(ISBLANK(B107),"",A106+1)</f>
      </c>
      <c r="B107" s="53"/>
      <c r="C107" s="53"/>
      <c r="D107" s="53"/>
      <c r="E107" s="53"/>
      <c r="F107" s="203"/>
      <c r="G107" s="72">
        <f>IF($B107="","","SKL"&amp;"01"&amp;IF(I107="瞬发","01",IF(I107="切换","02",IF(I107="瞄准","03",IF(I107="蓄力","04",IF(I107="引导","05","00")))))&amp;"04"&amp;BASE(CODE(MID(B107,1,1))*1+CODE(MID(B107,2,1))*2+CODE(MID(B107,3,1))*3,36,2))</f>
      </c>
      <c r="H107" s="72">
        <f>IF($B107="","","ITB"&amp;VLOOKUP(E107,'引用数据库'!Z:AC,4,FALSE)&amp;"0000"&amp;BASE(CODE(MID(B107,1,1))*1+CODE(MID(B107,2,1))*2+CODE(MID(B107,3,1))*3,36,2))</f>
      </c>
      <c r="I107" s="1"/>
      <c r="J107" s="1"/>
      <c r="K107" s="1"/>
      <c r="L107" s="1"/>
      <c r="M107" s="1"/>
      <c r="N107" s="1"/>
      <c r="O107" s="1"/>
      <c r="P107" s="204"/>
      <c r="Q107" s="1"/>
      <c r="R107" s="1"/>
      <c r="S107" s="1"/>
      <c r="T107" s="1"/>
      <c r="U107" s="1"/>
      <c r="V107" s="203"/>
      <c r="W107" s="214"/>
      <c r="X107" s="215"/>
      <c r="Y107" s="4"/>
      <c r="Z107" s="11"/>
      <c r="AA107" s="11"/>
      <c r="AB107" s="11"/>
      <c r="AC107" s="11"/>
      <c r="AD107" s="3"/>
      <c r="AE107" s="4"/>
      <c r="AF107" s="4"/>
    </row>
    <row r="108">
      <c r="A108" s="15">
        <f>IF(ISBLANK(B108),"",A107+1)</f>
      </c>
      <c r="B108" s="53"/>
      <c r="C108" s="53"/>
      <c r="D108" s="53"/>
      <c r="E108" s="53"/>
      <c r="F108" s="203"/>
      <c r="G108" s="72">
        <f>IF($B108="","","SKL"&amp;"01"&amp;IF(I108="瞬发","01",IF(I108="切换","02",IF(I108="瞄准","03",IF(I108="蓄力","04",IF(I108="引导","05","00")))))&amp;"04"&amp;BASE(CODE(MID(B108,1,1))*1+CODE(MID(B108,2,1))*2+CODE(MID(B108,3,1))*3,36,2))</f>
      </c>
      <c r="H108" s="72">
        <f>IF($B108="","","ITB"&amp;VLOOKUP(E108,'引用数据库'!Z:AC,4,FALSE)&amp;"0000"&amp;BASE(CODE(MID(B108,1,1))*1+CODE(MID(B108,2,1))*2+CODE(MID(B108,3,1))*3,36,2))</f>
      </c>
      <c r="I108" s="1"/>
      <c r="J108" s="1"/>
      <c r="K108" s="1"/>
      <c r="L108" s="1"/>
      <c r="M108" s="1"/>
      <c r="N108" s="1"/>
      <c r="O108" s="1"/>
      <c r="P108" s="204"/>
      <c r="Q108" s="1"/>
      <c r="R108" s="1"/>
      <c r="S108" s="1"/>
      <c r="T108" s="1"/>
      <c r="U108" s="1"/>
      <c r="V108" s="203"/>
      <c r="W108" s="214"/>
      <c r="X108" s="215"/>
      <c r="Y108" s="4"/>
      <c r="Z108" s="11"/>
      <c r="AA108" s="11"/>
      <c r="AB108" s="11"/>
      <c r="AC108" s="11"/>
      <c r="AD108" s="3"/>
      <c r="AE108" s="4"/>
      <c r="AF108" s="4"/>
    </row>
    <row r="109">
      <c r="A109" s="15">
        <f>IF(ISBLANK(B109),"",A108+1)</f>
      </c>
      <c r="B109" s="53"/>
      <c r="C109" s="53"/>
      <c r="D109" s="53"/>
      <c r="E109" s="53"/>
      <c r="F109" s="203"/>
      <c r="G109" s="72">
        <f>IF($B109="","","SKL"&amp;"01"&amp;IF(I109="瞬发","01",IF(I109="切换","02",IF(I109="瞄准","03",IF(I109="蓄力","04",IF(I109="引导","05","00")))))&amp;"04"&amp;BASE(CODE(MID(B109,1,1))*1+CODE(MID(B109,2,1))*2+CODE(MID(B109,3,1))*3,36,2))</f>
      </c>
      <c r="H109" s="72">
        <f>IF($B109="","","ITB"&amp;VLOOKUP(E109,'引用数据库'!Z:AC,4,FALSE)&amp;"0000"&amp;BASE(CODE(MID(B109,1,1))*1+CODE(MID(B109,2,1))*2+CODE(MID(B109,3,1))*3,36,2))</f>
      </c>
      <c r="I109" s="1"/>
      <c r="J109" s="1"/>
      <c r="K109" s="1"/>
      <c r="L109" s="1"/>
      <c r="M109" s="1"/>
      <c r="N109" s="1"/>
      <c r="O109" s="1"/>
      <c r="P109" s="204"/>
      <c r="Q109" s="1"/>
      <c r="R109" s="1"/>
      <c r="S109" s="1"/>
      <c r="T109" s="1"/>
      <c r="U109" s="1"/>
      <c r="V109" s="203"/>
      <c r="W109" s="214"/>
      <c r="X109" s="215"/>
      <c r="Y109" s="4"/>
      <c r="Z109" s="11"/>
      <c r="AA109" s="11"/>
      <c r="AB109" s="11"/>
      <c r="AC109" s="11"/>
      <c r="AD109" s="3"/>
      <c r="AE109" s="4"/>
      <c r="AF109" s="4"/>
    </row>
    <row r="110">
      <c r="A110" s="15">
        <f>IF(ISBLANK(B110),"",A109+1)</f>
      </c>
      <c r="B110" s="53"/>
      <c r="C110" s="53"/>
      <c r="D110" s="53"/>
      <c r="E110" s="53"/>
      <c r="F110" s="203"/>
      <c r="G110" s="72">
        <f>IF($B110="","","SKL"&amp;"01"&amp;IF(I110="瞬发","01",IF(I110="切换","02",IF(I110="瞄准","03",IF(I110="蓄力","04",IF(I110="引导","05","00")))))&amp;"04"&amp;BASE(CODE(MID(B110,1,1))*1+CODE(MID(B110,2,1))*2+CODE(MID(B110,3,1))*3,36,2))</f>
      </c>
      <c r="H110" s="72">
        <f>IF($B110="","","ITB"&amp;VLOOKUP(E110,'引用数据库'!Z:AC,4,FALSE)&amp;"0000"&amp;BASE(CODE(MID(B110,1,1))*1+CODE(MID(B110,2,1))*2+CODE(MID(B110,3,1))*3,36,2))</f>
      </c>
      <c r="I110" s="1"/>
      <c r="J110" s="1"/>
      <c r="K110" s="1"/>
      <c r="L110" s="1"/>
      <c r="M110" s="1"/>
      <c r="N110" s="1"/>
      <c r="O110" s="1"/>
      <c r="P110" s="204"/>
      <c r="Q110" s="1"/>
      <c r="R110" s="1"/>
      <c r="S110" s="1"/>
      <c r="T110" s="1"/>
      <c r="U110" s="1"/>
      <c r="V110" s="203"/>
      <c r="W110" s="214"/>
      <c r="X110" s="215"/>
      <c r="Y110" s="4"/>
      <c r="Z110" s="11"/>
      <c r="AA110" s="11"/>
      <c r="AB110" s="11"/>
      <c r="AC110" s="11"/>
      <c r="AD110" s="3"/>
      <c r="AE110" s="4"/>
      <c r="AF110" s="4"/>
    </row>
    <row r="111">
      <c r="A111" s="15">
        <f>IF(ISBLANK(B111),"",A110+1)</f>
      </c>
      <c r="B111" s="53"/>
      <c r="C111" s="53"/>
      <c r="D111" s="53"/>
      <c r="E111" s="53"/>
      <c r="F111" s="203"/>
      <c r="G111" s="72">
        <f>IF($B111="","","SKL"&amp;"01"&amp;IF(I111="瞬发","01",IF(I111="切换","02",IF(I111="瞄准","03",IF(I111="蓄力","04",IF(I111="引导","05","00")))))&amp;"04"&amp;BASE(CODE(MID(B111,1,1))*1+CODE(MID(B111,2,1))*2+CODE(MID(B111,3,1))*3,36,2))</f>
      </c>
      <c r="H111" s="72">
        <f>IF($B111="","","ITB"&amp;VLOOKUP(E111,'引用数据库'!Z:AC,4,FALSE)&amp;"0000"&amp;BASE(CODE(MID(B111,1,1))*1+CODE(MID(B111,2,1))*2+CODE(MID(B111,3,1))*3,36,2))</f>
      </c>
      <c r="I111" s="1"/>
      <c r="J111" s="1"/>
      <c r="K111" s="1"/>
      <c r="L111" s="1"/>
      <c r="M111" s="1"/>
      <c r="N111" s="1"/>
      <c r="O111" s="1"/>
      <c r="P111" s="204"/>
      <c r="Q111" s="1"/>
      <c r="R111" s="1"/>
      <c r="S111" s="1"/>
      <c r="T111" s="1"/>
      <c r="U111" s="1"/>
      <c r="V111" s="203"/>
      <c r="W111" s="214"/>
      <c r="X111" s="215"/>
      <c r="Y111" s="4"/>
      <c r="Z111" s="11"/>
      <c r="AA111" s="11"/>
      <c r="AB111" s="11"/>
      <c r="AC111" s="11"/>
      <c r="AD111" s="3"/>
      <c r="AE111" s="4"/>
      <c r="AF111" s="4"/>
    </row>
    <row r="112">
      <c r="A112" s="15">
        <f>IF(ISBLANK(B112),"",A111+1)</f>
      </c>
      <c r="B112" s="53"/>
      <c r="C112" s="53"/>
      <c r="D112" s="53"/>
      <c r="E112" s="53"/>
      <c r="F112" s="203"/>
      <c r="G112" s="72">
        <f>IF($B112="","","SKL"&amp;"01"&amp;IF(I112="瞬发","01",IF(I112="切换","02",IF(I112="瞄准","03",IF(I112="蓄力","04",IF(I112="引导","05","00")))))&amp;"04"&amp;BASE(CODE(MID(B112,1,1))*1+CODE(MID(B112,2,1))*2+CODE(MID(B112,3,1))*3,36,2))</f>
      </c>
      <c r="H112" s="72">
        <f>IF($B112="","","ITB"&amp;VLOOKUP(E112,'引用数据库'!Z:AC,4,FALSE)&amp;"0000"&amp;BASE(CODE(MID(B112,1,1))*1+CODE(MID(B112,2,1))*2+CODE(MID(B112,3,1))*3,36,2))</f>
      </c>
      <c r="I112" s="1"/>
      <c r="J112" s="1"/>
      <c r="K112" s="1"/>
      <c r="L112" s="1"/>
      <c r="M112" s="1"/>
      <c r="N112" s="1"/>
      <c r="O112" s="1"/>
      <c r="P112" s="204"/>
      <c r="Q112" s="1"/>
      <c r="R112" s="1"/>
      <c r="S112" s="1"/>
      <c r="T112" s="1"/>
      <c r="U112" s="1"/>
      <c r="V112" s="203"/>
      <c r="W112" s="214"/>
      <c r="X112" s="215"/>
      <c r="Y112" s="4"/>
      <c r="Z112" s="11"/>
      <c r="AA112" s="11"/>
      <c r="AB112" s="11"/>
      <c r="AC112" s="11"/>
      <c r="AD112" s="3"/>
      <c r="AE112" s="4"/>
      <c r="AF112" s="4"/>
    </row>
    <row r="113">
      <c r="A113" s="15">
        <f>IF(ISBLANK(B113),"",A112+1)</f>
      </c>
      <c r="B113" s="53"/>
      <c r="C113" s="53"/>
      <c r="D113" s="53"/>
      <c r="E113" s="53"/>
      <c r="F113" s="203"/>
      <c r="G113" s="72">
        <f>IF($B113="","","SKL"&amp;"01"&amp;IF(I113="瞬发","01",IF(I113="切换","02",IF(I113="瞄准","03",IF(I113="蓄力","04",IF(I113="引导","05","00")))))&amp;"04"&amp;BASE(CODE(MID(B113,1,1))*1+CODE(MID(B113,2,1))*2+CODE(MID(B113,3,1))*3,36,2))</f>
      </c>
      <c r="H113" s="72">
        <f>IF($B113="","","ITB"&amp;VLOOKUP(E113,'引用数据库'!Z:AC,4,FALSE)&amp;"0000"&amp;BASE(CODE(MID(B113,1,1))*1+CODE(MID(B113,2,1))*2+CODE(MID(B113,3,1))*3,36,2))</f>
      </c>
      <c r="I113" s="1"/>
      <c r="J113" s="1"/>
      <c r="K113" s="1"/>
      <c r="L113" s="1"/>
      <c r="M113" s="1"/>
      <c r="N113" s="1"/>
      <c r="O113" s="1"/>
      <c r="P113" s="204"/>
      <c r="Q113" s="1"/>
      <c r="R113" s="1"/>
      <c r="S113" s="1"/>
      <c r="T113" s="1"/>
      <c r="U113" s="1"/>
      <c r="V113" s="203"/>
      <c r="W113" s="214"/>
      <c r="X113" s="215"/>
      <c r="Y113" s="4"/>
      <c r="Z113" s="11"/>
      <c r="AA113" s="11"/>
      <c r="AB113" s="11"/>
      <c r="AC113" s="11"/>
      <c r="AD113" s="3"/>
      <c r="AE113" s="4"/>
      <c r="AF113" s="4"/>
    </row>
    <row r="114">
      <c r="A114" s="15">
        <f>IF(ISBLANK(B114),"",A113+1)</f>
      </c>
      <c r="B114" s="53"/>
      <c r="C114" s="53"/>
      <c r="D114" s="53"/>
      <c r="E114" s="53"/>
      <c r="F114" s="203"/>
      <c r="G114" s="72">
        <f>IF($B114="","","SKL"&amp;"01"&amp;IF(I114="瞬发","01",IF(I114="切换","02",IF(I114="瞄准","03",IF(I114="蓄力","04",IF(I114="引导","05","00")))))&amp;"04"&amp;BASE(CODE(MID(B114,1,1))*1+CODE(MID(B114,2,1))*2+CODE(MID(B114,3,1))*3,36,2))</f>
      </c>
      <c r="H114" s="72">
        <f>IF($B114="","","ITB"&amp;VLOOKUP(E114,'引用数据库'!Z:AC,4,FALSE)&amp;"0000"&amp;BASE(CODE(MID(B114,1,1))*1+CODE(MID(B114,2,1))*2+CODE(MID(B114,3,1))*3,36,2))</f>
      </c>
      <c r="I114" s="1"/>
      <c r="J114" s="1"/>
      <c r="K114" s="1"/>
      <c r="L114" s="1"/>
      <c r="M114" s="1"/>
      <c r="N114" s="1"/>
      <c r="O114" s="1"/>
      <c r="P114" s="204"/>
      <c r="Q114" s="1"/>
      <c r="R114" s="1"/>
      <c r="S114" s="1"/>
      <c r="T114" s="1"/>
      <c r="U114" s="1"/>
      <c r="V114" s="203"/>
      <c r="W114" s="214"/>
      <c r="X114" s="215"/>
      <c r="Y114" s="4"/>
      <c r="Z114" s="11"/>
      <c r="AA114" s="11"/>
      <c r="AB114" s="11"/>
      <c r="AC114" s="11"/>
      <c r="AD114" s="3"/>
      <c r="AE114" s="4"/>
      <c r="AF114" s="4"/>
    </row>
    <row r="115">
      <c r="A115" s="15">
        <f>IF(ISBLANK(B115),"",A114+1)</f>
      </c>
      <c r="B115" s="53"/>
      <c r="C115" s="53"/>
      <c r="D115" s="53"/>
      <c r="E115" s="53"/>
      <c r="F115" s="203"/>
      <c r="G115" s="72">
        <f>IF($B115="","","SKL"&amp;"01"&amp;IF(I115="瞬发","01",IF(I115="切换","02",IF(I115="瞄准","03",IF(I115="蓄力","04",IF(I115="引导","05","00")))))&amp;"04"&amp;BASE(CODE(MID(B115,1,1))*1+CODE(MID(B115,2,1))*2+CODE(MID(B115,3,1))*3,36,2))</f>
      </c>
      <c r="H115" s="72">
        <f>IF($B115="","","ITB"&amp;VLOOKUP(E115,'引用数据库'!Z:AC,4,FALSE)&amp;"0000"&amp;BASE(CODE(MID(B115,1,1))*1+CODE(MID(B115,2,1))*2+CODE(MID(B115,3,1))*3,36,2))</f>
      </c>
      <c r="I115" s="1"/>
      <c r="J115" s="1"/>
      <c r="K115" s="1"/>
      <c r="L115" s="1"/>
      <c r="M115" s="1"/>
      <c r="N115" s="1"/>
      <c r="O115" s="1"/>
      <c r="P115" s="204"/>
      <c r="Q115" s="1"/>
      <c r="R115" s="1"/>
      <c r="S115" s="1"/>
      <c r="T115" s="1"/>
      <c r="U115" s="1"/>
      <c r="V115" s="203"/>
      <c r="W115" s="214"/>
      <c r="X115" s="215"/>
      <c r="Y115" s="4"/>
      <c r="Z115" s="11"/>
      <c r="AA115" s="11"/>
      <c r="AB115" s="11"/>
      <c r="AC115" s="11"/>
      <c r="AD115" s="3"/>
      <c r="AE115" s="4"/>
      <c r="AF115" s="4"/>
    </row>
    <row r="116">
      <c r="A116" s="15">
        <f>IF(ISBLANK(B116),"",A115+1)</f>
      </c>
      <c r="B116" s="53"/>
      <c r="C116" s="53"/>
      <c r="D116" s="53"/>
      <c r="E116" s="53"/>
      <c r="F116" s="203"/>
      <c r="G116" s="72">
        <f>IF($B116="","","SKL"&amp;"01"&amp;IF(I116="瞬发","01",IF(I116="切换","02",IF(I116="瞄准","03",IF(I116="蓄力","04",IF(I116="引导","05","00")))))&amp;"04"&amp;BASE(CODE(MID(B116,1,1))*1+CODE(MID(B116,2,1))*2+CODE(MID(B116,3,1))*3,36,2))</f>
      </c>
      <c r="H116" s="72">
        <f>IF($B116="","","ITB"&amp;VLOOKUP(E116,'引用数据库'!Z:AC,4,FALSE)&amp;"0000"&amp;BASE(CODE(MID(B116,1,1))*1+CODE(MID(B116,2,1))*2+CODE(MID(B116,3,1))*3,36,2))</f>
      </c>
      <c r="I116" s="1"/>
      <c r="J116" s="1"/>
      <c r="K116" s="1"/>
      <c r="L116" s="1"/>
      <c r="M116" s="1"/>
      <c r="N116" s="1"/>
      <c r="O116" s="1"/>
      <c r="P116" s="204"/>
      <c r="Q116" s="1"/>
      <c r="R116" s="1"/>
      <c r="S116" s="1"/>
      <c r="T116" s="1"/>
      <c r="U116" s="1"/>
      <c r="V116" s="203"/>
      <c r="W116" s="214"/>
      <c r="X116" s="215"/>
      <c r="Y116" s="4"/>
      <c r="Z116" s="11"/>
      <c r="AA116" s="11"/>
      <c r="AB116" s="11"/>
      <c r="AC116" s="11"/>
      <c r="AD116" s="3"/>
      <c r="AE116" s="4"/>
      <c r="AF116" s="4"/>
    </row>
    <row r="117">
      <c r="A117" s="15">
        <f>IF(ISBLANK(B117),"",A116+1)</f>
      </c>
      <c r="B117" s="53"/>
      <c r="C117" s="53"/>
      <c r="D117" s="53"/>
      <c r="E117" s="53"/>
      <c r="F117" s="203"/>
      <c r="G117" s="72">
        <f>IF($B117="","","SKL"&amp;"01"&amp;IF(I117="瞬发","01",IF(I117="切换","02",IF(I117="瞄准","03",IF(I117="蓄力","04",IF(I117="引导","05","00")))))&amp;"04"&amp;BASE(CODE(MID(B117,1,1))*1+CODE(MID(B117,2,1))*2+CODE(MID(B117,3,1))*3,36,2))</f>
      </c>
      <c r="H117" s="72">
        <f>IF($B117="","","ITB"&amp;VLOOKUP(E117,'引用数据库'!Z:AC,4,FALSE)&amp;"0000"&amp;BASE(CODE(MID(B117,1,1))*1+CODE(MID(B117,2,1))*2+CODE(MID(B117,3,1))*3,36,2))</f>
      </c>
      <c r="I117" s="1"/>
      <c r="J117" s="1"/>
      <c r="K117" s="1"/>
      <c r="L117" s="1"/>
      <c r="M117" s="1"/>
      <c r="N117" s="1"/>
      <c r="O117" s="1"/>
      <c r="P117" s="204"/>
      <c r="Q117" s="1"/>
      <c r="R117" s="1"/>
      <c r="S117" s="1"/>
      <c r="T117" s="1"/>
      <c r="U117" s="1"/>
      <c r="V117" s="203"/>
      <c r="W117" s="214"/>
      <c r="X117" s="215"/>
      <c r="Y117" s="4"/>
      <c r="Z117" s="11"/>
      <c r="AA117" s="11"/>
      <c r="AB117" s="11"/>
      <c r="AC117" s="11"/>
      <c r="AD117" s="3"/>
      <c r="AE117" s="4"/>
      <c r="AF117" s="4"/>
    </row>
    <row r="118">
      <c r="A118" s="15">
        <f>IF(ISBLANK(B118),"",A117+1)</f>
      </c>
      <c r="B118" s="53"/>
      <c r="C118" s="53"/>
      <c r="D118" s="53"/>
      <c r="E118" s="53"/>
      <c r="F118" s="203"/>
      <c r="G118" s="72">
        <f>IF($B118="","","SKL"&amp;"01"&amp;IF(I118="瞬发","01",IF(I118="切换","02",IF(I118="瞄准","03",IF(I118="蓄力","04",IF(I118="引导","05","00")))))&amp;"04"&amp;BASE(CODE(MID(B118,1,1))*1+CODE(MID(B118,2,1))*2+CODE(MID(B118,3,1))*3,36,2))</f>
      </c>
      <c r="H118" s="72">
        <f>IF($B118="","","ITB"&amp;VLOOKUP(E118,'引用数据库'!Z:AC,4,FALSE)&amp;"0000"&amp;BASE(CODE(MID(B118,1,1))*1+CODE(MID(B118,2,1))*2+CODE(MID(B118,3,1))*3,36,2))</f>
      </c>
      <c r="I118" s="1"/>
      <c r="J118" s="1"/>
      <c r="K118" s="1"/>
      <c r="L118" s="1"/>
      <c r="M118" s="1"/>
      <c r="N118" s="1"/>
      <c r="O118" s="1"/>
      <c r="P118" s="204"/>
      <c r="Q118" s="1"/>
      <c r="R118" s="1"/>
      <c r="S118" s="1"/>
      <c r="T118" s="1"/>
      <c r="U118" s="1"/>
      <c r="V118" s="203"/>
      <c r="W118" s="214"/>
      <c r="X118" s="215"/>
      <c r="Y118" s="4"/>
      <c r="Z118" s="11"/>
      <c r="AA118" s="11"/>
      <c r="AB118" s="11"/>
      <c r="AC118" s="11"/>
      <c r="AD118" s="3"/>
      <c r="AE118" s="4"/>
      <c r="AF118" s="4"/>
    </row>
    <row r="119">
      <c r="A119" s="15">
        <f>IF(ISBLANK(B119),"",A118+1)</f>
      </c>
      <c r="B119" s="53"/>
      <c r="C119" s="53"/>
      <c r="D119" s="53"/>
      <c r="E119" s="53"/>
      <c r="F119" s="203"/>
      <c r="G119" s="72">
        <f>IF($B119="","","SKL"&amp;"01"&amp;IF(I119="瞬发","01",IF(I119="切换","02",IF(I119="瞄准","03",IF(I119="蓄力","04",IF(I119="引导","05","00")))))&amp;"04"&amp;BASE(CODE(MID(B119,1,1))*1+CODE(MID(B119,2,1))*2+CODE(MID(B119,3,1))*3,36,2))</f>
      </c>
      <c r="H119" s="72">
        <f>IF($B119="","","ITB"&amp;VLOOKUP(E119,'引用数据库'!Z:AC,4,FALSE)&amp;"0000"&amp;BASE(CODE(MID(B119,1,1))*1+CODE(MID(B119,2,1))*2+CODE(MID(B119,3,1))*3,36,2))</f>
      </c>
      <c r="I119" s="1"/>
      <c r="J119" s="1"/>
      <c r="K119" s="1"/>
      <c r="L119" s="1"/>
      <c r="M119" s="1"/>
      <c r="N119" s="1"/>
      <c r="O119" s="1"/>
      <c r="P119" s="204"/>
      <c r="Q119" s="1"/>
      <c r="R119" s="1"/>
      <c r="S119" s="1"/>
      <c r="T119" s="1"/>
      <c r="U119" s="1"/>
      <c r="V119" s="203"/>
      <c r="W119" s="214"/>
      <c r="X119" s="215"/>
      <c r="Y119" s="4"/>
      <c r="Z119" s="11"/>
      <c r="AA119" s="11"/>
      <c r="AB119" s="11"/>
      <c r="AC119" s="11"/>
      <c r="AD119" s="3"/>
      <c r="AE119" s="4"/>
      <c r="AF119" s="4"/>
    </row>
    <row r="120">
      <c r="A120" s="15">
        <f>IF(ISBLANK(B120),"",A119+1)</f>
      </c>
      <c r="B120" s="53"/>
      <c r="C120" s="53"/>
      <c r="D120" s="53"/>
      <c r="E120" s="53"/>
      <c r="F120" s="203"/>
      <c r="G120" s="72">
        <f>IF($B120="","","SKL"&amp;"01"&amp;IF(I120="瞬发","01",IF(I120="切换","02",IF(I120="瞄准","03",IF(I120="蓄力","04",IF(I120="引导","05","00")))))&amp;"04"&amp;BASE(CODE(MID(B120,1,1))*1+CODE(MID(B120,2,1))*2+CODE(MID(B120,3,1))*3,36,2))</f>
      </c>
      <c r="H120" s="72">
        <f>IF($B120="","","ITB"&amp;VLOOKUP(E120,'引用数据库'!Z:AC,4,FALSE)&amp;"0000"&amp;BASE(CODE(MID(B120,1,1))*1+CODE(MID(B120,2,1))*2+CODE(MID(B120,3,1))*3,36,2))</f>
      </c>
      <c r="I120" s="1"/>
      <c r="J120" s="1"/>
      <c r="K120" s="1"/>
      <c r="L120" s="1"/>
      <c r="M120" s="1"/>
      <c r="N120" s="1"/>
      <c r="O120" s="1"/>
      <c r="P120" s="204"/>
      <c r="Q120" s="1"/>
      <c r="R120" s="1"/>
      <c r="S120" s="1"/>
      <c r="T120" s="1"/>
      <c r="U120" s="1"/>
      <c r="V120" s="203"/>
      <c r="W120" s="214"/>
      <c r="X120" s="215"/>
      <c r="Y120" s="4"/>
      <c r="Z120" s="11"/>
      <c r="AA120" s="11"/>
      <c r="AB120" s="11"/>
      <c r="AC120" s="11"/>
      <c r="AD120" s="3"/>
      <c r="AE120" s="4"/>
      <c r="AF120" s="4"/>
    </row>
    <row r="121">
      <c r="A121" s="15">
        <f>IF(ISBLANK(B121),"",A120+1)</f>
      </c>
      <c r="B121" s="53"/>
      <c r="C121" s="53"/>
      <c r="D121" s="53"/>
      <c r="E121" s="53"/>
      <c r="F121" s="203"/>
      <c r="G121" s="72">
        <f>IF($B121="","","SKL"&amp;"01"&amp;IF(I121="瞬发","01",IF(I121="切换","02",IF(I121="瞄准","03",IF(I121="蓄力","04",IF(I121="引导","05","00")))))&amp;"04"&amp;BASE(CODE(MID(B121,1,1))*1+CODE(MID(B121,2,1))*2+CODE(MID(B121,3,1))*3,36,2))</f>
      </c>
      <c r="H121" s="72">
        <f>IF($B121="","","ITB"&amp;VLOOKUP(E121,'引用数据库'!Z:AC,4,FALSE)&amp;"0000"&amp;BASE(CODE(MID(B121,1,1))*1+CODE(MID(B121,2,1))*2+CODE(MID(B121,3,1))*3,36,2))</f>
      </c>
      <c r="I121" s="1"/>
      <c r="J121" s="1"/>
      <c r="K121" s="1"/>
      <c r="L121" s="1"/>
      <c r="M121" s="1"/>
      <c r="N121" s="1"/>
      <c r="O121" s="1"/>
      <c r="P121" s="204"/>
      <c r="Q121" s="1"/>
      <c r="R121" s="1"/>
      <c r="S121" s="1"/>
      <c r="T121" s="1"/>
      <c r="U121" s="1"/>
      <c r="V121" s="203"/>
      <c r="W121" s="214"/>
      <c r="X121" s="215"/>
      <c r="Y121" s="4"/>
      <c r="Z121" s="11"/>
      <c r="AA121" s="11"/>
      <c r="AB121" s="11"/>
      <c r="AC121" s="11"/>
      <c r="AD121" s="3"/>
      <c r="AE121" s="4"/>
      <c r="AF121" s="4"/>
    </row>
    <row r="122">
      <c r="A122" s="15">
        <f>IF(ISBLANK(B122),"",A121+1)</f>
      </c>
      <c r="B122" s="53"/>
      <c r="C122" s="53"/>
      <c r="D122" s="53"/>
      <c r="E122" s="53"/>
      <c r="F122" s="203"/>
      <c r="G122" s="72">
        <f>IF($B122="","","SKL"&amp;"01"&amp;IF(I122="瞬发","01",IF(I122="切换","02",IF(I122="瞄准","03",IF(I122="蓄力","04",IF(I122="引导","05","00")))))&amp;"04"&amp;BASE(CODE(MID(B122,1,1))*1+CODE(MID(B122,2,1))*2+CODE(MID(B122,3,1))*3,36,2))</f>
      </c>
      <c r="H122" s="72">
        <f>IF($B122="","","ITB"&amp;VLOOKUP(E122,'引用数据库'!Z:AC,4,FALSE)&amp;"0000"&amp;BASE(CODE(MID(B122,1,1))*1+CODE(MID(B122,2,1))*2+CODE(MID(B122,3,1))*3,36,2))</f>
      </c>
      <c r="I122" s="1"/>
      <c r="J122" s="1"/>
      <c r="K122" s="1"/>
      <c r="L122" s="1"/>
      <c r="M122" s="1"/>
      <c r="N122" s="1"/>
      <c r="O122" s="1"/>
      <c r="P122" s="204"/>
      <c r="Q122" s="1"/>
      <c r="R122" s="1"/>
      <c r="S122" s="1"/>
      <c r="T122" s="1"/>
      <c r="U122" s="1"/>
      <c r="V122" s="203"/>
      <c r="W122" s="214"/>
      <c r="X122" s="215"/>
      <c r="Y122" s="4"/>
      <c r="Z122" s="11"/>
      <c r="AA122" s="11"/>
      <c r="AB122" s="11"/>
      <c r="AC122" s="11"/>
      <c r="AD122" s="3"/>
      <c r="AE122" s="4"/>
      <c r="AF122" s="4"/>
    </row>
    <row r="123">
      <c r="A123" s="15">
        <f>IF(ISBLANK(B123),"",A122+1)</f>
      </c>
      <c r="B123" s="53"/>
      <c r="C123" s="53"/>
      <c r="D123" s="53"/>
      <c r="E123" s="53"/>
      <c r="F123" s="203"/>
      <c r="G123" s="72">
        <f>IF($B123="","","SKL"&amp;"01"&amp;IF(I123="瞬发","01",IF(I123="切换","02",IF(I123="瞄准","03",IF(I123="蓄力","04",IF(I123="引导","05","00")))))&amp;"04"&amp;BASE(CODE(MID(B123,1,1))*1+CODE(MID(B123,2,1))*2+CODE(MID(B123,3,1))*3,36,2))</f>
      </c>
      <c r="H123" s="72">
        <f>IF($B123="","","ITB"&amp;VLOOKUP(E123,'引用数据库'!Z:AC,4,FALSE)&amp;"0000"&amp;BASE(CODE(MID(B123,1,1))*1+CODE(MID(B123,2,1))*2+CODE(MID(B123,3,1))*3,36,2))</f>
      </c>
      <c r="I123" s="1"/>
      <c r="J123" s="1"/>
      <c r="K123" s="1"/>
      <c r="L123" s="1"/>
      <c r="M123" s="1"/>
      <c r="N123" s="1"/>
      <c r="O123" s="1"/>
      <c r="P123" s="204"/>
      <c r="Q123" s="1"/>
      <c r="R123" s="1"/>
      <c r="S123" s="1"/>
      <c r="T123" s="1"/>
      <c r="U123" s="1"/>
      <c r="V123" s="203"/>
      <c r="W123" s="214"/>
      <c r="X123" s="215"/>
      <c r="Y123" s="4"/>
      <c r="Z123" s="11"/>
      <c r="AA123" s="11"/>
      <c r="AB123" s="11"/>
      <c r="AC123" s="11"/>
      <c r="AD123" s="3"/>
      <c r="AE123" s="4"/>
      <c r="AF123" s="4"/>
    </row>
    <row r="124">
      <c r="A124" s="15">
        <f>IF(ISBLANK(B124),"",A123+1)</f>
      </c>
      <c r="B124" s="53"/>
      <c r="C124" s="53"/>
      <c r="D124" s="53"/>
      <c r="E124" s="53"/>
      <c r="F124" s="203"/>
      <c r="G124" s="72">
        <f>IF($B124="","","SKL"&amp;"01"&amp;IF(I124="瞬发","01",IF(I124="切换","02",IF(I124="瞄准","03",IF(I124="蓄力","04",IF(I124="引导","05","00")))))&amp;"04"&amp;BASE(CODE(MID(B124,1,1))*1+CODE(MID(B124,2,1))*2+CODE(MID(B124,3,1))*3,36,2))</f>
      </c>
      <c r="H124" s="72">
        <f>IF($B124="","","ITB"&amp;VLOOKUP(E124,'引用数据库'!Z:AC,4,FALSE)&amp;"0000"&amp;BASE(CODE(MID(B124,1,1))*1+CODE(MID(B124,2,1))*2+CODE(MID(B124,3,1))*3,36,2))</f>
      </c>
      <c r="I124" s="1"/>
      <c r="J124" s="1"/>
      <c r="K124" s="1"/>
      <c r="L124" s="1"/>
      <c r="M124" s="1"/>
      <c r="N124" s="1"/>
      <c r="O124" s="1"/>
      <c r="P124" s="204"/>
      <c r="Q124" s="1"/>
      <c r="R124" s="1"/>
      <c r="S124" s="1"/>
      <c r="T124" s="1"/>
      <c r="U124" s="1"/>
      <c r="V124" s="203"/>
      <c r="W124" s="214"/>
      <c r="X124" s="215"/>
      <c r="Y124" s="4"/>
      <c r="Z124" s="11"/>
      <c r="AA124" s="11"/>
      <c r="AB124" s="11"/>
      <c r="AC124" s="11"/>
      <c r="AD124" s="3"/>
      <c r="AE124" s="4"/>
      <c r="AF124" s="4"/>
    </row>
    <row r="125">
      <c r="A125" s="15">
        <f>IF(ISBLANK(B125),"",A124+1)</f>
      </c>
      <c r="B125" s="53"/>
      <c r="C125" s="53"/>
      <c r="D125" s="53"/>
      <c r="E125" s="53"/>
      <c r="F125" s="203"/>
      <c r="G125" s="72">
        <f>IF($B125="","","SKL"&amp;"01"&amp;IF(I125="瞬发","01",IF(I125="切换","02",IF(I125="瞄准","03",IF(I125="蓄力","04",IF(I125="引导","05","00")))))&amp;"04"&amp;BASE(CODE(MID(B125,1,1))*1+CODE(MID(B125,2,1))*2+CODE(MID(B125,3,1))*3,36,2))</f>
      </c>
      <c r="H125" s="72">
        <f>IF($B125="","","ITB"&amp;VLOOKUP(E125,'引用数据库'!Z:AC,4,FALSE)&amp;"0000"&amp;BASE(CODE(MID(B125,1,1))*1+CODE(MID(B125,2,1))*2+CODE(MID(B125,3,1))*3,36,2))</f>
      </c>
      <c r="I125" s="1"/>
      <c r="J125" s="1"/>
      <c r="K125" s="1"/>
      <c r="L125" s="1"/>
      <c r="M125" s="1"/>
      <c r="N125" s="1"/>
      <c r="O125" s="1"/>
      <c r="P125" s="204"/>
      <c r="Q125" s="1"/>
      <c r="R125" s="1"/>
      <c r="S125" s="1"/>
      <c r="T125" s="1"/>
      <c r="U125" s="1"/>
      <c r="V125" s="203"/>
      <c r="W125" s="214"/>
      <c r="X125" s="215"/>
      <c r="Y125" s="4"/>
      <c r="Z125" s="11"/>
      <c r="AA125" s="11"/>
      <c r="AB125" s="11"/>
      <c r="AC125" s="11"/>
      <c r="AD125" s="3"/>
      <c r="AE125" s="4"/>
      <c r="AF125" s="4"/>
    </row>
    <row r="126">
      <c r="A126" s="15">
        <f>IF(ISBLANK(B126),"",A125+1)</f>
      </c>
      <c r="B126" s="53"/>
      <c r="C126" s="53"/>
      <c r="D126" s="53"/>
      <c r="E126" s="53"/>
      <c r="F126" s="203"/>
      <c r="G126" s="72">
        <f>IF($B126="","","SKL"&amp;"01"&amp;IF(I126="瞬发","01",IF(I126="切换","02",IF(I126="瞄准","03",IF(I126="蓄力","04",IF(I126="引导","05","00")))))&amp;"04"&amp;BASE(CODE(MID(B126,1,1))*1+CODE(MID(B126,2,1))*2+CODE(MID(B126,3,1))*3,36,2))</f>
      </c>
      <c r="H126" s="72">
        <f>IF($B126="","","ITB"&amp;VLOOKUP(E126,'引用数据库'!Z:AC,4,FALSE)&amp;"0000"&amp;BASE(CODE(MID(B126,1,1))*1+CODE(MID(B126,2,1))*2+CODE(MID(B126,3,1))*3,36,2))</f>
      </c>
      <c r="I126" s="1"/>
      <c r="J126" s="1"/>
      <c r="K126" s="1"/>
      <c r="L126" s="1"/>
      <c r="M126" s="1"/>
      <c r="N126" s="1"/>
      <c r="O126" s="1"/>
      <c r="P126" s="204"/>
      <c r="Q126" s="1"/>
      <c r="R126" s="1"/>
      <c r="S126" s="1"/>
      <c r="T126" s="1"/>
      <c r="U126" s="1"/>
      <c r="V126" s="203"/>
      <c r="W126" s="214"/>
      <c r="X126" s="215"/>
      <c r="Y126" s="4"/>
      <c r="Z126" s="11"/>
      <c r="AA126" s="11"/>
      <c r="AB126" s="11"/>
      <c r="AC126" s="11"/>
      <c r="AD126" s="3"/>
      <c r="AE126" s="4"/>
      <c r="AF126" s="4"/>
    </row>
    <row r="127">
      <c r="A127" s="15">
        <f>IF(ISBLANK(B127),"",A126+1)</f>
      </c>
      <c r="B127" s="53"/>
      <c r="C127" s="53"/>
      <c r="D127" s="53"/>
      <c r="E127" s="53"/>
      <c r="F127" s="203"/>
      <c r="G127" s="72">
        <f>IF($B127="","","SKL"&amp;"01"&amp;IF(I127="瞬发","01",IF(I127="切换","02",IF(I127="瞄准","03",IF(I127="蓄力","04",IF(I127="引导","05","00")))))&amp;"04"&amp;BASE(CODE(MID(B127,1,1))*1+CODE(MID(B127,2,1))*2+CODE(MID(B127,3,1))*3,36,2))</f>
      </c>
      <c r="H127" s="72">
        <f>IF($B127="","","ITB"&amp;VLOOKUP(E127,'引用数据库'!Z:AC,4,FALSE)&amp;"0000"&amp;BASE(CODE(MID(B127,1,1))*1+CODE(MID(B127,2,1))*2+CODE(MID(B127,3,1))*3,36,2))</f>
      </c>
      <c r="I127" s="1"/>
      <c r="J127" s="1"/>
      <c r="K127" s="1"/>
      <c r="L127" s="1"/>
      <c r="M127" s="1"/>
      <c r="N127" s="1"/>
      <c r="O127" s="1"/>
      <c r="P127" s="204"/>
      <c r="Q127" s="1"/>
      <c r="R127" s="1"/>
      <c r="S127" s="1"/>
      <c r="T127" s="1"/>
      <c r="U127" s="1"/>
      <c r="V127" s="203"/>
      <c r="W127" s="214"/>
      <c r="X127" s="215"/>
      <c r="Y127" s="4"/>
      <c r="Z127" s="11"/>
      <c r="AA127" s="11"/>
      <c r="AB127" s="11"/>
      <c r="AC127" s="11"/>
      <c r="AD127" s="3"/>
      <c r="AE127" s="4"/>
      <c r="AF127" s="4"/>
    </row>
    <row r="128">
      <c r="A128" s="15">
        <f>IF(ISBLANK(B128),"",A127+1)</f>
      </c>
      <c r="B128" s="53"/>
      <c r="C128" s="53"/>
      <c r="D128" s="53"/>
      <c r="E128" s="53"/>
      <c r="F128" s="203"/>
      <c r="G128" s="72">
        <f>IF($B128="","","SKL"&amp;"01"&amp;IF(I128="瞬发","01",IF(I128="切换","02",IF(I128="瞄准","03",IF(I128="蓄力","04",IF(I128="引导","05","00")))))&amp;"04"&amp;BASE(CODE(MID(B128,1,1))*1+CODE(MID(B128,2,1))*2+CODE(MID(B128,3,1))*3,36,2))</f>
      </c>
      <c r="H128" s="72">
        <f>IF($B128="","","ITB"&amp;VLOOKUP(E128,'引用数据库'!Z:AC,4,FALSE)&amp;"0000"&amp;BASE(CODE(MID(B128,1,1))*1+CODE(MID(B128,2,1))*2+CODE(MID(B128,3,1))*3,36,2))</f>
      </c>
      <c r="I128" s="1"/>
      <c r="J128" s="1"/>
      <c r="K128" s="1"/>
      <c r="L128" s="1"/>
      <c r="M128" s="1"/>
      <c r="N128" s="1"/>
      <c r="O128" s="1"/>
      <c r="P128" s="204"/>
      <c r="Q128" s="1"/>
      <c r="R128" s="1"/>
      <c r="S128" s="1"/>
      <c r="T128" s="1"/>
      <c r="U128" s="1"/>
      <c r="V128" s="203"/>
      <c r="W128" s="214"/>
      <c r="X128" s="215"/>
      <c r="Y128" s="4"/>
      <c r="Z128" s="11"/>
      <c r="AA128" s="11"/>
      <c r="AB128" s="11"/>
      <c r="AC128" s="11"/>
      <c r="AD128" s="3"/>
      <c r="AE128" s="4"/>
      <c r="AF128" s="4"/>
    </row>
    <row r="129">
      <c r="A129" s="15">
        <f>IF(ISBLANK(B129),"",A128+1)</f>
      </c>
      <c r="B129" s="53"/>
      <c r="C129" s="53"/>
      <c r="D129" s="53"/>
      <c r="E129" s="53"/>
      <c r="F129" s="203"/>
      <c r="G129" s="72">
        <f>IF($B129="","","SKL"&amp;"01"&amp;IF(I129="瞬发","01",IF(I129="切换","02",IF(I129="瞄准","03",IF(I129="蓄力","04",IF(I129="引导","05","00")))))&amp;"04"&amp;BASE(CODE(MID(B129,1,1))*1+CODE(MID(B129,2,1))*2+CODE(MID(B129,3,1))*3,36,2))</f>
      </c>
      <c r="H129" s="72">
        <f>IF($B129="","","ITB"&amp;VLOOKUP(E129,'引用数据库'!Z:AC,4,FALSE)&amp;"0000"&amp;BASE(CODE(MID(B129,1,1))*1+CODE(MID(B129,2,1))*2+CODE(MID(B129,3,1))*3,36,2))</f>
      </c>
      <c r="I129" s="1"/>
      <c r="J129" s="1"/>
      <c r="K129" s="1"/>
      <c r="L129" s="1"/>
      <c r="M129" s="1"/>
      <c r="N129" s="1"/>
      <c r="O129" s="1"/>
      <c r="P129" s="204"/>
      <c r="Q129" s="1"/>
      <c r="R129" s="1"/>
      <c r="S129" s="1"/>
      <c r="T129" s="1"/>
      <c r="U129" s="1"/>
      <c r="V129" s="203"/>
      <c r="W129" s="214"/>
      <c r="X129" s="215"/>
      <c r="Y129" s="4"/>
      <c r="Z129" s="216"/>
      <c r="AA129" s="216"/>
      <c r="AB129" s="216"/>
      <c r="AC129" s="216"/>
      <c r="AD129" s="3"/>
      <c r="AE129" s="4"/>
      <c r="AF129" s="4"/>
    </row>
    <row r="130">
      <c r="A130" s="15">
        <f>IF(ISBLANK(B130),"",A129+1)</f>
      </c>
      <c r="B130" s="53"/>
      <c r="C130" s="53"/>
      <c r="D130" s="53"/>
      <c r="E130" s="53"/>
      <c r="F130" s="203"/>
      <c r="G130" s="72">
        <f>IF($B130="","","SKL"&amp;"01"&amp;IF(I130="瞬发","01",IF(I130="切换","02",IF(I130="瞄准","03",IF(I130="蓄力","04",IF(I130="引导","05","00")))))&amp;"04"&amp;BASE(CODE(MID(B130,1,1))*1+CODE(MID(B130,2,1))*2+CODE(MID(B130,3,1))*3,36,2))</f>
      </c>
      <c r="H130" s="72">
        <f>IF($B130="","","ITB"&amp;VLOOKUP(E130,'引用数据库'!Z:AC,4,FALSE)&amp;"0000"&amp;BASE(CODE(MID(B130,1,1))*1+CODE(MID(B130,2,1))*2+CODE(MID(B130,3,1))*3,36,2))</f>
      </c>
      <c r="I130" s="1"/>
      <c r="J130" s="1"/>
      <c r="K130" s="1"/>
      <c r="L130" s="1"/>
      <c r="M130" s="1"/>
      <c r="N130" s="1"/>
      <c r="O130" s="1"/>
      <c r="P130" s="204"/>
      <c r="Q130" s="1"/>
      <c r="R130" s="1"/>
      <c r="S130" s="1"/>
      <c r="T130" s="1"/>
      <c r="U130" s="1"/>
      <c r="V130" s="203"/>
      <c r="W130" s="214"/>
      <c r="X130" s="215"/>
      <c r="Y130" s="4"/>
      <c r="Z130" s="216"/>
      <c r="AA130" s="216"/>
      <c r="AB130" s="216"/>
      <c r="AC130" s="216"/>
      <c r="AD130" s="3"/>
      <c r="AE130" s="4"/>
      <c r="AF130" s="4"/>
    </row>
    <row r="131">
      <c r="A131" s="15">
        <f>IF(ISBLANK(B131),"",A130+1)</f>
      </c>
      <c r="B131" s="53"/>
      <c r="C131" s="53"/>
      <c r="D131" s="53"/>
      <c r="E131" s="53"/>
      <c r="F131" s="203"/>
      <c r="G131" s="72">
        <f>IF($B131="","","SKL"&amp;"01"&amp;IF(I131="瞬发","01",IF(I131="切换","02",IF(I131="瞄准","03",IF(I131="蓄力","04",IF(I131="引导","05","00")))))&amp;"04"&amp;BASE(CODE(MID(B131,1,1))*1+CODE(MID(B131,2,1))*2+CODE(MID(B131,3,1))*3,36,2))</f>
      </c>
      <c r="H131" s="72">
        <f>IF($B131="","","ITB"&amp;VLOOKUP(E131,'引用数据库'!Z:AC,4,FALSE)&amp;"0000"&amp;BASE(CODE(MID(B131,1,1))*1+CODE(MID(B131,2,1))*2+CODE(MID(B131,3,1))*3,36,2))</f>
      </c>
      <c r="I131" s="1"/>
      <c r="J131" s="1"/>
      <c r="K131" s="1"/>
      <c r="L131" s="1"/>
      <c r="M131" s="1"/>
      <c r="N131" s="1"/>
      <c r="O131" s="1"/>
      <c r="P131" s="204"/>
      <c r="Q131" s="1"/>
      <c r="R131" s="1"/>
      <c r="S131" s="1"/>
      <c r="T131" s="1"/>
      <c r="U131" s="1"/>
      <c r="V131" s="203"/>
      <c r="W131" s="214"/>
      <c r="X131" s="215"/>
      <c r="Y131" s="4"/>
      <c r="Z131" s="216"/>
      <c r="AA131" s="216"/>
      <c r="AB131" s="216"/>
      <c r="AC131" s="216"/>
      <c r="AD131" s="3"/>
      <c r="AE131" s="4"/>
      <c r="AF131" s="4"/>
    </row>
    <row r="132">
      <c r="A132" s="15">
        <f>IF(ISBLANK(B132),"",A131+1)</f>
      </c>
      <c r="B132" s="53"/>
      <c r="C132" s="53"/>
      <c r="D132" s="53"/>
      <c r="E132" s="53"/>
      <c r="F132" s="203"/>
      <c r="G132" s="72">
        <f>IF($B132="","","SKL"&amp;"01"&amp;IF(I132="瞬发","01",IF(I132="切换","02",IF(I132="瞄准","03",IF(I132="蓄力","04",IF(I132="引导","05","00")))))&amp;"04"&amp;BASE(CODE(MID(B132,1,1))*1+CODE(MID(B132,2,1))*2+CODE(MID(B132,3,1))*3,36,2))</f>
      </c>
      <c r="H132" s="72">
        <f>IF($B132="","","ITB"&amp;VLOOKUP(E132,'引用数据库'!Z:AC,4,FALSE)&amp;"0000"&amp;BASE(CODE(MID(B132,1,1))*1+CODE(MID(B132,2,1))*2+CODE(MID(B132,3,1))*3,36,2))</f>
      </c>
      <c r="I132" s="1"/>
      <c r="J132" s="1"/>
      <c r="K132" s="1"/>
      <c r="L132" s="1"/>
      <c r="M132" s="1"/>
      <c r="N132" s="1"/>
      <c r="O132" s="1"/>
      <c r="P132" s="204"/>
      <c r="Q132" s="1"/>
      <c r="R132" s="1"/>
      <c r="S132" s="1"/>
      <c r="T132" s="1"/>
      <c r="U132" s="1"/>
      <c r="V132" s="203"/>
      <c r="W132" s="214"/>
      <c r="X132" s="215"/>
      <c r="Y132" s="4"/>
      <c r="Z132" s="216"/>
      <c r="AA132" s="216"/>
      <c r="AB132" s="216"/>
      <c r="AC132" s="216"/>
      <c r="AD132" s="3"/>
      <c r="AE132" s="4"/>
      <c r="AF132" s="4"/>
    </row>
    <row r="133">
      <c r="A133" s="15">
        <f>IF(ISBLANK(B133),"",A132+1)</f>
      </c>
      <c r="B133" s="53"/>
      <c r="C133" s="53"/>
      <c r="D133" s="53"/>
      <c r="E133" s="53"/>
      <c r="F133" s="203"/>
      <c r="G133" s="72">
        <f>IF($B133="","","SKL"&amp;"01"&amp;IF(I133="瞬发","01",IF(I133="切换","02",IF(I133="瞄准","03",IF(I133="蓄力","04",IF(I133="引导","05","00")))))&amp;"04"&amp;BASE(CODE(MID(B133,1,1))*1+CODE(MID(B133,2,1))*2+CODE(MID(B133,3,1))*3,36,2))</f>
      </c>
      <c r="H133" s="72">
        <f>IF($B133="","","ITB"&amp;VLOOKUP(E133,'引用数据库'!Z:AC,4,FALSE)&amp;"0000"&amp;BASE(CODE(MID(B133,1,1))*1+CODE(MID(B133,2,1))*2+CODE(MID(B133,3,1))*3,36,2))</f>
      </c>
      <c r="I133" s="1"/>
      <c r="J133" s="1"/>
      <c r="K133" s="1"/>
      <c r="L133" s="1"/>
      <c r="M133" s="1"/>
      <c r="N133" s="1"/>
      <c r="O133" s="1"/>
      <c r="P133" s="204"/>
      <c r="Q133" s="1"/>
      <c r="R133" s="1"/>
      <c r="S133" s="1"/>
      <c r="T133" s="1"/>
      <c r="U133" s="1"/>
      <c r="V133" s="203"/>
      <c r="W133" s="214"/>
      <c r="X133" s="215"/>
      <c r="Y133" s="4"/>
      <c r="Z133" s="216"/>
      <c r="AA133" s="216"/>
      <c r="AB133" s="216"/>
      <c r="AC133" s="216"/>
      <c r="AD133" s="3"/>
      <c r="AE133" s="4"/>
      <c r="AF133" s="4"/>
    </row>
    <row r="134">
      <c r="A134" s="15">
        <f>IF(ISBLANK(B134),"",A133+1)</f>
      </c>
      <c r="B134" s="53"/>
      <c r="C134" s="53"/>
      <c r="D134" s="53"/>
      <c r="E134" s="53"/>
      <c r="F134" s="203"/>
      <c r="G134" s="72">
        <f>IF($B134="","","SKL"&amp;"01"&amp;IF(I134="瞬发","01",IF(I134="切换","02",IF(I134="瞄准","03",IF(I134="蓄力","04",IF(I134="引导","05","00")))))&amp;"04"&amp;BASE(CODE(MID(B134,1,1))*1+CODE(MID(B134,2,1))*2+CODE(MID(B134,3,1))*3,36,2))</f>
      </c>
      <c r="H134" s="72">
        <f>IF($B134="","","ITB"&amp;VLOOKUP(E134,'引用数据库'!Z:AC,4,FALSE)&amp;"0000"&amp;BASE(CODE(MID(B134,1,1))*1+CODE(MID(B134,2,1))*2+CODE(MID(B134,3,1))*3,36,2))</f>
      </c>
      <c r="I134" s="1"/>
      <c r="J134" s="1"/>
      <c r="K134" s="1"/>
      <c r="L134" s="1"/>
      <c r="M134" s="1"/>
      <c r="N134" s="1"/>
      <c r="O134" s="1"/>
      <c r="P134" s="204"/>
      <c r="Q134" s="1"/>
      <c r="R134" s="1"/>
      <c r="S134" s="1"/>
      <c r="T134" s="1"/>
      <c r="U134" s="1"/>
      <c r="V134" s="203"/>
      <c r="W134" s="214"/>
      <c r="X134" s="215"/>
      <c r="Y134" s="4"/>
      <c r="Z134" s="216"/>
      <c r="AA134" s="216"/>
      <c r="AB134" s="216"/>
      <c r="AC134" s="216"/>
      <c r="AD134" s="3"/>
      <c r="AE134" s="4"/>
      <c r="AF134" s="4"/>
    </row>
    <row r="135">
      <c r="A135" s="15">
        <f>IF(ISBLANK(B135),"",A134+1)</f>
      </c>
      <c r="B135" s="53"/>
      <c r="C135" s="53"/>
      <c r="D135" s="53"/>
      <c r="E135" s="53"/>
      <c r="F135" s="203"/>
      <c r="G135" s="72">
        <f>IF($B135="","","SKL"&amp;"01"&amp;IF(I135="瞬发","01",IF(I135="切换","02",IF(I135="瞄准","03",IF(I135="蓄力","04",IF(I135="引导","05","00")))))&amp;"04"&amp;BASE(CODE(MID(B135,1,1))*1+CODE(MID(B135,2,1))*2+CODE(MID(B135,3,1))*3,36,2))</f>
      </c>
      <c r="H135" s="72">
        <f>IF($B135="","","ITB"&amp;VLOOKUP(E135,'引用数据库'!Z:AC,4,FALSE)&amp;"0000"&amp;BASE(CODE(MID(B135,1,1))*1+CODE(MID(B135,2,1))*2+CODE(MID(B135,3,1))*3,36,2))</f>
      </c>
      <c r="I135" s="1"/>
      <c r="J135" s="1"/>
      <c r="K135" s="1"/>
      <c r="L135" s="1"/>
      <c r="M135" s="1"/>
      <c r="N135" s="1"/>
      <c r="O135" s="1"/>
      <c r="P135" s="204"/>
      <c r="Q135" s="1"/>
      <c r="R135" s="1"/>
      <c r="S135" s="1"/>
      <c r="T135" s="1"/>
      <c r="U135" s="1"/>
      <c r="V135" s="203"/>
      <c r="W135" s="214"/>
      <c r="X135" s="215"/>
      <c r="Y135" s="4"/>
      <c r="Z135" s="216"/>
      <c r="AA135" s="216"/>
      <c r="AB135" s="216"/>
      <c r="AC135" s="216"/>
      <c r="AD135" s="3"/>
      <c r="AE135" s="4"/>
      <c r="AF135" s="4"/>
    </row>
    <row r="136">
      <c r="A136" s="15">
        <f>IF(ISBLANK(B136),"",A135+1)</f>
      </c>
      <c r="B136" s="53"/>
      <c r="C136" s="53"/>
      <c r="D136" s="53"/>
      <c r="E136" s="53"/>
      <c r="F136" s="203"/>
      <c r="G136" s="72">
        <f>IF($B136="","","SKL"&amp;"01"&amp;IF(I136="瞬发","01",IF(I136="切换","02",IF(I136="瞄准","03",IF(I136="蓄力","04",IF(I136="引导","05","00")))))&amp;"04"&amp;BASE(CODE(MID(B136,1,1))*1+CODE(MID(B136,2,1))*2+CODE(MID(B136,3,1))*3,36,2))</f>
      </c>
      <c r="H136" s="72">
        <f>IF($B136="","","ITB"&amp;VLOOKUP(E136,'引用数据库'!Z:AC,4,FALSE)&amp;"0000"&amp;BASE(CODE(MID(B136,1,1))*1+CODE(MID(B136,2,1))*2+CODE(MID(B136,3,1))*3,36,2))</f>
      </c>
      <c r="I136" s="1"/>
      <c r="J136" s="1"/>
      <c r="K136" s="1"/>
      <c r="L136" s="1"/>
      <c r="M136" s="1"/>
      <c r="N136" s="1"/>
      <c r="O136" s="1"/>
      <c r="P136" s="204"/>
      <c r="Q136" s="1"/>
      <c r="R136" s="1"/>
      <c r="S136" s="1"/>
      <c r="T136" s="1"/>
      <c r="U136" s="1"/>
      <c r="V136" s="203"/>
      <c r="W136" s="214"/>
      <c r="X136" s="215"/>
      <c r="Y136" s="4"/>
      <c r="Z136" s="216"/>
      <c r="AA136" s="216"/>
      <c r="AB136" s="216"/>
      <c r="AC136" s="216"/>
      <c r="AD136" s="3"/>
      <c r="AE136" s="4"/>
      <c r="AF136" s="4"/>
    </row>
    <row r="137">
      <c r="A137" s="15">
        <f>IF(ISBLANK(B137),"",A136+1)</f>
      </c>
      <c r="B137" s="53"/>
      <c r="C137" s="53"/>
      <c r="D137" s="53"/>
      <c r="E137" s="53"/>
      <c r="F137" s="203"/>
      <c r="G137" s="72">
        <f>IF($B137="","","SKL"&amp;"01"&amp;IF(I137="瞬发","01",IF(I137="切换","02",IF(I137="瞄准","03",IF(I137="蓄力","04",IF(I137="引导","05","00")))))&amp;"04"&amp;BASE(CODE(MID(B137,1,1))*1+CODE(MID(B137,2,1))*2+CODE(MID(B137,3,1))*3,36,2))</f>
      </c>
      <c r="H137" s="72">
        <f>IF($B137="","","ITB"&amp;VLOOKUP(E137,'引用数据库'!Z:AC,4,FALSE)&amp;"0000"&amp;BASE(CODE(MID(B137,1,1))*1+CODE(MID(B137,2,1))*2+CODE(MID(B137,3,1))*3,36,2))</f>
      </c>
      <c r="I137" s="1"/>
      <c r="J137" s="1"/>
      <c r="K137" s="1"/>
      <c r="L137" s="1"/>
      <c r="M137" s="1"/>
      <c r="N137" s="1"/>
      <c r="O137" s="1"/>
      <c r="P137" s="204"/>
      <c r="Q137" s="1"/>
      <c r="R137" s="1"/>
      <c r="S137" s="1"/>
      <c r="T137" s="1"/>
      <c r="U137" s="1"/>
      <c r="V137" s="203"/>
      <c r="W137" s="214"/>
      <c r="X137" s="215"/>
      <c r="Y137" s="4"/>
      <c r="Z137" s="216"/>
      <c r="AA137" s="216"/>
      <c r="AB137" s="216"/>
      <c r="AC137" s="216"/>
      <c r="AD137" s="3"/>
      <c r="AE137" s="4"/>
      <c r="AF137" s="4"/>
    </row>
    <row r="138">
      <c r="A138" s="15">
        <f>IF(ISBLANK(B138),"",A137+1)</f>
      </c>
      <c r="B138" s="53"/>
      <c r="C138" s="53"/>
      <c r="D138" s="53"/>
      <c r="E138" s="53"/>
      <c r="F138" s="203"/>
      <c r="G138" s="72">
        <f>IF($B138="","","SKL"&amp;"01"&amp;IF(I138="瞬发","01",IF(I138="切换","02",IF(I138="瞄准","03",IF(I138="蓄力","04",IF(I138="引导","05","00")))))&amp;"04"&amp;BASE(CODE(MID(B138,1,1))*1+CODE(MID(B138,2,1))*2+CODE(MID(B138,3,1))*3,36,2))</f>
      </c>
      <c r="H138" s="72">
        <f>IF($B138="","","ITB"&amp;VLOOKUP(E138,'引用数据库'!Z:AC,4,FALSE)&amp;"0000"&amp;BASE(CODE(MID(B138,1,1))*1+CODE(MID(B138,2,1))*2+CODE(MID(B138,3,1))*3,36,2))</f>
      </c>
      <c r="I138" s="1"/>
      <c r="J138" s="1"/>
      <c r="K138" s="1"/>
      <c r="L138" s="1"/>
      <c r="M138" s="1"/>
      <c r="N138" s="1"/>
      <c r="O138" s="1"/>
      <c r="P138" s="204"/>
      <c r="Q138" s="1"/>
      <c r="R138" s="1"/>
      <c r="S138" s="1"/>
      <c r="T138" s="1"/>
      <c r="U138" s="1"/>
      <c r="V138" s="203"/>
      <c r="W138" s="214"/>
      <c r="X138" s="215"/>
      <c r="Y138" s="4"/>
      <c r="Z138" s="216"/>
      <c r="AA138" s="216"/>
      <c r="AB138" s="216"/>
      <c r="AC138" s="216"/>
      <c r="AD138" s="3"/>
      <c r="AE138" s="4"/>
      <c r="AF138" s="4"/>
    </row>
    <row r="139">
      <c r="A139" s="15">
        <f>IF(ISBLANK(B139),"",A138+1)</f>
      </c>
      <c r="B139" s="53"/>
      <c r="C139" s="53"/>
      <c r="D139" s="53"/>
      <c r="E139" s="53"/>
      <c r="F139" s="203"/>
      <c r="G139" s="72">
        <f>IF($B139="","","SKL"&amp;"01"&amp;IF(I139="瞬发","01",IF(I139="切换","02",IF(I139="瞄准","03",IF(I139="蓄力","04",IF(I139="引导","05","00")))))&amp;"04"&amp;BASE(CODE(MID(B139,1,1))*1+CODE(MID(B139,2,1))*2+CODE(MID(B139,3,1))*3,36,2))</f>
      </c>
      <c r="H139" s="72">
        <f>IF($B139="","","ITB"&amp;VLOOKUP(E139,'引用数据库'!Z:AC,4,FALSE)&amp;"0000"&amp;BASE(CODE(MID(B139,1,1))*1+CODE(MID(B139,2,1))*2+CODE(MID(B139,3,1))*3,36,2))</f>
      </c>
      <c r="I139" s="1"/>
      <c r="J139" s="1"/>
      <c r="K139" s="1"/>
      <c r="L139" s="1"/>
      <c r="M139" s="1"/>
      <c r="N139" s="1"/>
      <c r="O139" s="1"/>
      <c r="P139" s="204"/>
      <c r="Q139" s="1"/>
      <c r="R139" s="1"/>
      <c r="S139" s="1"/>
      <c r="T139" s="1"/>
      <c r="U139" s="1"/>
      <c r="V139" s="203"/>
      <c r="W139" s="214"/>
      <c r="X139" s="215"/>
      <c r="Y139" s="4"/>
      <c r="Z139" s="216"/>
      <c r="AA139" s="216"/>
      <c r="AB139" s="216"/>
      <c r="AC139" s="216"/>
      <c r="AD139" s="3"/>
      <c r="AE139" s="4"/>
      <c r="AF139" s="4"/>
    </row>
    <row r="140">
      <c r="A140" s="15">
        <f>IF(ISBLANK(B140),"",A139+1)</f>
      </c>
      <c r="B140" s="53"/>
      <c r="C140" s="53"/>
      <c r="D140" s="53"/>
      <c r="E140" s="53"/>
      <c r="F140" s="203"/>
      <c r="G140" s="72">
        <f>IF($B140="","","SKL"&amp;"01"&amp;IF(I140="瞬发","01",IF(I140="切换","02",IF(I140="瞄准","03",IF(I140="蓄力","04",IF(I140="引导","05","00")))))&amp;"04"&amp;BASE(CODE(MID(B140,1,1))*1+CODE(MID(B140,2,1))*2+CODE(MID(B140,3,1))*3,36,2))</f>
      </c>
      <c r="H140" s="72">
        <f>IF($B140="","","ITB"&amp;VLOOKUP(E140,'引用数据库'!Z:AC,4,FALSE)&amp;"0000"&amp;BASE(CODE(MID(B140,1,1))*1+CODE(MID(B140,2,1))*2+CODE(MID(B140,3,1))*3,36,2))</f>
      </c>
      <c r="I140" s="1"/>
      <c r="J140" s="1"/>
      <c r="K140" s="1"/>
      <c r="L140" s="1"/>
      <c r="M140" s="1"/>
      <c r="N140" s="1"/>
      <c r="O140" s="1"/>
      <c r="P140" s="204"/>
      <c r="Q140" s="1"/>
      <c r="R140" s="1"/>
      <c r="S140" s="1"/>
      <c r="T140" s="1"/>
      <c r="U140" s="1"/>
      <c r="V140" s="203"/>
      <c r="W140" s="214"/>
      <c r="X140" s="215"/>
      <c r="Y140" s="4"/>
      <c r="Z140" s="216"/>
      <c r="AA140" s="216"/>
      <c r="AB140" s="216"/>
      <c r="AC140" s="216"/>
      <c r="AD140" s="3"/>
      <c r="AE140" s="4"/>
      <c r="AF140" s="4"/>
    </row>
    <row r="141">
      <c r="A141" s="15">
        <f>IF(ISBLANK(B141),"",A140+1)</f>
      </c>
      <c r="B141" s="53"/>
      <c r="C141" s="53"/>
      <c r="D141" s="53"/>
      <c r="E141" s="53"/>
      <c r="F141" s="203"/>
      <c r="G141" s="72">
        <f>IF($B141="","","SKL"&amp;"01"&amp;IF(I141="瞬发","01",IF(I141="切换","02",IF(I141="瞄准","03",IF(I141="蓄力","04",IF(I141="引导","05","00")))))&amp;"04"&amp;BASE(CODE(MID(B141,1,1))*1+CODE(MID(B141,2,1))*2+CODE(MID(B141,3,1))*3,36,2))</f>
      </c>
      <c r="H141" s="72">
        <f>IF($B141="","","ITB"&amp;VLOOKUP(E141,'引用数据库'!Z:AC,4,FALSE)&amp;"0000"&amp;BASE(CODE(MID(B141,1,1))*1+CODE(MID(B141,2,1))*2+CODE(MID(B141,3,1))*3,36,2))</f>
      </c>
      <c r="I141" s="1"/>
      <c r="J141" s="1"/>
      <c r="K141" s="1"/>
      <c r="L141" s="1"/>
      <c r="M141" s="1"/>
      <c r="N141" s="1"/>
      <c r="O141" s="1"/>
      <c r="P141" s="204"/>
      <c r="Q141" s="1"/>
      <c r="R141" s="1"/>
      <c r="S141" s="1"/>
      <c r="T141" s="1"/>
      <c r="U141" s="1"/>
      <c r="V141" s="203"/>
      <c r="W141" s="214"/>
      <c r="X141" s="215"/>
      <c r="Y141" s="4"/>
      <c r="Z141" s="216"/>
      <c r="AA141" s="216"/>
      <c r="AB141" s="216"/>
      <c r="AC141" s="216"/>
      <c r="AD141" s="3"/>
      <c r="AE141" s="4"/>
      <c r="AF141" s="4"/>
    </row>
    <row r="142">
      <c r="A142" s="15">
        <f>IF(ISBLANK(B142),"",A141+1)</f>
      </c>
      <c r="B142" s="53"/>
      <c r="C142" s="53"/>
      <c r="D142" s="53"/>
      <c r="E142" s="53"/>
      <c r="F142" s="203"/>
      <c r="G142" s="72">
        <f>IF($B142="","","SKL"&amp;"01"&amp;IF(I142="瞬发","01",IF(I142="切换","02",IF(I142="瞄准","03",IF(I142="蓄力","04",IF(I142="引导","05","00")))))&amp;"04"&amp;BASE(CODE(MID(B142,1,1))*1+CODE(MID(B142,2,1))*2+CODE(MID(B142,3,1))*3,36,2))</f>
      </c>
      <c r="H142" s="72">
        <f>IF($B142="","","ITB"&amp;VLOOKUP(E142,'引用数据库'!Z:AC,4,FALSE)&amp;"0000"&amp;BASE(CODE(MID(B142,1,1))*1+CODE(MID(B142,2,1))*2+CODE(MID(B142,3,1))*3,36,2))</f>
      </c>
      <c r="I142" s="1"/>
      <c r="J142" s="1"/>
      <c r="K142" s="1"/>
      <c r="L142" s="1"/>
      <c r="M142" s="1"/>
      <c r="N142" s="1"/>
      <c r="O142" s="1"/>
      <c r="P142" s="204"/>
      <c r="Q142" s="1"/>
      <c r="R142" s="1"/>
      <c r="S142" s="1"/>
      <c r="T142" s="1"/>
      <c r="U142" s="1"/>
      <c r="V142" s="203"/>
      <c r="W142" s="214"/>
      <c r="X142" s="215"/>
      <c r="Y142" s="4"/>
      <c r="Z142" s="216"/>
      <c r="AA142" s="216"/>
      <c r="AB142" s="216"/>
      <c r="AC142" s="216"/>
      <c r="AD142" s="3"/>
      <c r="AE142" s="4"/>
      <c r="AF142" s="4"/>
    </row>
    <row r="143">
      <c r="A143" s="15">
        <f>IF(ISBLANK(B143),"",A142+1)</f>
      </c>
      <c r="B143" s="53"/>
      <c r="C143" s="53"/>
      <c r="D143" s="53"/>
      <c r="E143" s="53"/>
      <c r="F143" s="203"/>
      <c r="G143" s="72">
        <f>IF($B143="","","SKL"&amp;"01"&amp;IF(I143="瞬发","01",IF(I143="切换","02",IF(I143="瞄准","03",IF(I143="蓄力","04",IF(I143="引导","05","00")))))&amp;"04"&amp;BASE(CODE(MID(B143,1,1))*1+CODE(MID(B143,2,1))*2+CODE(MID(B143,3,1))*3,36,2))</f>
      </c>
      <c r="H143" s="72">
        <f>IF($B143="","","ITB"&amp;VLOOKUP(E143,'引用数据库'!Z:AC,4,FALSE)&amp;"0000"&amp;BASE(CODE(MID(B143,1,1))*1+CODE(MID(B143,2,1))*2+CODE(MID(B143,3,1))*3,36,2))</f>
      </c>
      <c r="I143" s="1"/>
      <c r="J143" s="1"/>
      <c r="K143" s="1"/>
      <c r="L143" s="1"/>
      <c r="M143" s="1"/>
      <c r="N143" s="1"/>
      <c r="O143" s="1"/>
      <c r="P143" s="204"/>
      <c r="Q143" s="1"/>
      <c r="R143" s="1"/>
      <c r="S143" s="1"/>
      <c r="T143" s="1"/>
      <c r="U143" s="1"/>
      <c r="V143" s="203"/>
      <c r="W143" s="214"/>
      <c r="X143" s="215"/>
      <c r="Y143" s="4"/>
      <c r="Z143" s="216"/>
      <c r="AA143" s="216"/>
      <c r="AB143" s="216"/>
      <c r="AC143" s="216"/>
      <c r="AD143" s="3"/>
      <c r="AE143" s="4"/>
      <c r="AF143" s="4"/>
    </row>
    <row r="144">
      <c r="A144" s="15">
        <f>IF(ISBLANK(B144),"",A143+1)</f>
      </c>
      <c r="B144" s="53"/>
      <c r="C144" s="53"/>
      <c r="D144" s="53"/>
      <c r="E144" s="53"/>
      <c r="F144" s="203"/>
      <c r="G144" s="72">
        <f>IF($B144="","","SKL"&amp;"01"&amp;IF(I144="瞬发","01",IF(I144="切换","02",IF(I144="瞄准","03",IF(I144="蓄力","04",IF(I144="引导","05","00")))))&amp;"04"&amp;BASE(CODE(MID(B144,1,1))*1+CODE(MID(B144,2,1))*2+CODE(MID(B144,3,1))*3,36,2))</f>
      </c>
      <c r="H144" s="72">
        <f>IF($B144="","","ITB"&amp;VLOOKUP(E144,'引用数据库'!Z:AC,4,FALSE)&amp;"0000"&amp;BASE(CODE(MID(B144,1,1))*1+CODE(MID(B144,2,1))*2+CODE(MID(B144,3,1))*3,36,2))</f>
      </c>
      <c r="I144" s="1"/>
      <c r="J144" s="1"/>
      <c r="K144" s="1"/>
      <c r="L144" s="1"/>
      <c r="M144" s="1"/>
      <c r="N144" s="1"/>
      <c r="O144" s="1"/>
      <c r="P144" s="204"/>
      <c r="Q144" s="1"/>
      <c r="R144" s="1"/>
      <c r="S144" s="1"/>
      <c r="T144" s="1"/>
      <c r="U144" s="1"/>
      <c r="V144" s="203"/>
      <c r="W144" s="214"/>
      <c r="X144" s="215"/>
      <c r="Y144" s="4"/>
      <c r="Z144" s="216"/>
      <c r="AA144" s="216"/>
      <c r="AB144" s="216"/>
      <c r="AC144" s="216"/>
      <c r="AD144" s="3"/>
      <c r="AE144" s="4"/>
      <c r="AF144" s="4"/>
    </row>
    <row r="145">
      <c r="A145" s="15">
        <f>IF(ISBLANK(B145),"",A144+1)</f>
      </c>
      <c r="B145" s="53"/>
      <c r="C145" s="53"/>
      <c r="D145" s="53"/>
      <c r="E145" s="53"/>
      <c r="F145" s="203"/>
      <c r="G145" s="72">
        <f>IF($B145="","","SKL"&amp;"01"&amp;IF(I145="瞬发","01",IF(I145="切换","02",IF(I145="瞄准","03",IF(I145="蓄力","04",IF(I145="引导","05","00")))))&amp;"04"&amp;BASE(CODE(MID(B145,1,1))*1+CODE(MID(B145,2,1))*2+CODE(MID(B145,3,1))*3,36,2))</f>
      </c>
      <c r="H145" s="72">
        <f>IF($B145="","","ITB"&amp;VLOOKUP(E145,'引用数据库'!Z:AC,4,FALSE)&amp;"0000"&amp;BASE(CODE(MID(B145,1,1))*1+CODE(MID(B145,2,1))*2+CODE(MID(B145,3,1))*3,36,2))</f>
      </c>
      <c r="I145" s="1"/>
      <c r="J145" s="1"/>
      <c r="K145" s="1"/>
      <c r="L145" s="1"/>
      <c r="M145" s="1"/>
      <c r="N145" s="1"/>
      <c r="O145" s="1"/>
      <c r="P145" s="204"/>
      <c r="Q145" s="1"/>
      <c r="R145" s="1"/>
      <c r="S145" s="1"/>
      <c r="T145" s="1"/>
      <c r="U145" s="1"/>
      <c r="V145" s="203"/>
      <c r="W145" s="214"/>
      <c r="X145" s="215"/>
      <c r="Y145" s="4"/>
      <c r="Z145" s="216"/>
      <c r="AA145" s="216"/>
      <c r="AB145" s="216"/>
      <c r="AC145" s="216"/>
      <c r="AD145" s="3"/>
      <c r="AE145" s="4"/>
      <c r="AF145" s="4"/>
    </row>
    <row r="146">
      <c r="A146" s="15">
        <f>IF(ISBLANK(B146),"",A145+1)</f>
      </c>
      <c r="B146" s="53"/>
      <c r="C146" s="53"/>
      <c r="D146" s="53"/>
      <c r="E146" s="53"/>
      <c r="F146" s="203"/>
      <c r="G146" s="72">
        <f>IF($B146="","","SKL"&amp;"01"&amp;IF(I146="瞬发","01",IF(I146="切换","02",IF(I146="瞄准","03",IF(I146="蓄力","04",IF(I146="引导","05","00")))))&amp;"04"&amp;BASE(CODE(MID(B146,1,1))*1+CODE(MID(B146,2,1))*2+CODE(MID(B146,3,1))*3,36,2))</f>
      </c>
      <c r="H146" s="72">
        <f>IF($B146="","","ITB"&amp;VLOOKUP(E146,'引用数据库'!Z:AC,4,FALSE)&amp;"0000"&amp;BASE(CODE(MID(B146,1,1))*1+CODE(MID(B146,2,1))*2+CODE(MID(B146,3,1))*3,36,2))</f>
      </c>
      <c r="I146" s="1"/>
      <c r="J146" s="1"/>
      <c r="K146" s="1"/>
      <c r="L146" s="1"/>
      <c r="M146" s="1"/>
      <c r="N146" s="1"/>
      <c r="O146" s="1"/>
      <c r="P146" s="204"/>
      <c r="Q146" s="1"/>
      <c r="R146" s="1"/>
      <c r="S146" s="1"/>
      <c r="T146" s="1"/>
      <c r="U146" s="1"/>
      <c r="V146" s="203"/>
      <c r="W146" s="214"/>
      <c r="X146" s="215"/>
      <c r="Y146" s="4"/>
      <c r="Z146" s="216"/>
      <c r="AA146" s="216"/>
      <c r="AB146" s="216"/>
      <c r="AC146" s="216"/>
      <c r="AD146" s="3"/>
      <c r="AE146" s="4"/>
      <c r="AF146" s="4"/>
    </row>
    <row r="147">
      <c r="A147" s="15">
        <f>IF(ISBLANK(B147),"",A146+1)</f>
      </c>
      <c r="B147" s="53"/>
      <c r="C147" s="53"/>
      <c r="D147" s="53"/>
      <c r="E147" s="53"/>
      <c r="F147" s="203"/>
      <c r="G147" s="72">
        <f>IF($B147="","","SKL"&amp;"01"&amp;IF(I147="瞬发","01",IF(I147="切换","02",IF(I147="瞄准","03",IF(I147="蓄力","04",IF(I147="引导","05","00")))))&amp;"04"&amp;BASE(CODE(MID(B147,1,1))*1+CODE(MID(B147,2,1))*2+CODE(MID(B147,3,1))*3,36,2))</f>
      </c>
      <c r="H147" s="72">
        <f>IF($B147="","","ITB"&amp;VLOOKUP(E147,'引用数据库'!Z:AC,4,FALSE)&amp;"0000"&amp;BASE(CODE(MID(B147,1,1))*1+CODE(MID(B147,2,1))*2+CODE(MID(B147,3,1))*3,36,2))</f>
      </c>
      <c r="I147" s="1"/>
      <c r="J147" s="1"/>
      <c r="K147" s="1"/>
      <c r="L147" s="1"/>
      <c r="M147" s="1"/>
      <c r="N147" s="1"/>
      <c r="O147" s="1"/>
      <c r="P147" s="204"/>
      <c r="Q147" s="1"/>
      <c r="R147" s="1"/>
      <c r="S147" s="1"/>
      <c r="T147" s="1"/>
      <c r="U147" s="1"/>
      <c r="V147" s="203"/>
      <c r="W147" s="214"/>
      <c r="X147" s="215"/>
      <c r="Y147" s="4"/>
      <c r="Z147" s="216"/>
      <c r="AA147" s="216"/>
      <c r="AB147" s="216"/>
      <c r="AC147" s="216"/>
      <c r="AD147" s="3"/>
      <c r="AE147" s="4"/>
      <c r="AF147" s="4"/>
    </row>
    <row r="148">
      <c r="A148" s="15">
        <f>IF(ISBLANK(B148),"",A147+1)</f>
      </c>
      <c r="B148" s="53"/>
      <c r="C148" s="53"/>
      <c r="D148" s="53"/>
      <c r="E148" s="53"/>
      <c r="F148" s="203"/>
      <c r="G148" s="72">
        <f>IF($B148="","","SKL"&amp;"01"&amp;IF(I148="瞬发","01",IF(I148="切换","02",IF(I148="瞄准","03",IF(I148="蓄力","04",IF(I148="引导","05","00")))))&amp;"04"&amp;BASE(CODE(MID(B148,1,1))*1+CODE(MID(B148,2,1))*2+CODE(MID(B148,3,1))*3,36,2))</f>
      </c>
      <c r="H148" s="72">
        <f>IF($B148="","","ITB"&amp;VLOOKUP(E148,'引用数据库'!Z:AC,4,FALSE)&amp;"0000"&amp;BASE(CODE(MID(B148,1,1))*1+CODE(MID(B148,2,1))*2+CODE(MID(B148,3,1))*3,36,2))</f>
      </c>
      <c r="I148" s="1"/>
      <c r="J148" s="1"/>
      <c r="K148" s="1"/>
      <c r="L148" s="1"/>
      <c r="M148" s="1"/>
      <c r="N148" s="1"/>
      <c r="O148" s="1"/>
      <c r="P148" s="204"/>
      <c r="Q148" s="1"/>
      <c r="R148" s="1"/>
      <c r="S148" s="1"/>
      <c r="T148" s="1"/>
      <c r="U148" s="1"/>
      <c r="V148" s="203"/>
      <c r="W148" s="214"/>
      <c r="X148" s="215"/>
      <c r="Y148" s="4"/>
      <c r="Z148" s="216"/>
      <c r="AA148" s="216"/>
      <c r="AB148" s="216"/>
      <c r="AC148" s="216"/>
      <c r="AD148" s="3"/>
      <c r="AE148" s="4"/>
      <c r="AF148" s="4"/>
    </row>
    <row r="149">
      <c r="A149" s="15">
        <f>IF(ISBLANK(B149),"",A148+1)</f>
      </c>
      <c r="B149" s="53"/>
      <c r="C149" s="53"/>
      <c r="D149" s="53"/>
      <c r="E149" s="53"/>
      <c r="F149" s="203"/>
      <c r="G149" s="72">
        <f>IF($B149="","","SKL"&amp;"01"&amp;IF(I149="瞬发","01",IF(I149="切换","02",IF(I149="瞄准","03",IF(I149="蓄力","04",IF(I149="引导","05","00")))))&amp;"04"&amp;BASE(CODE(MID(B149,1,1))*1+CODE(MID(B149,2,1))*2+CODE(MID(B149,3,1))*3,36,2))</f>
      </c>
      <c r="H149" s="72">
        <f>IF($B149="","","ITB"&amp;VLOOKUP(E149,'引用数据库'!Z:AC,4,FALSE)&amp;"0000"&amp;BASE(CODE(MID(B149,1,1))*1+CODE(MID(B149,2,1))*2+CODE(MID(B149,3,1))*3,36,2))</f>
      </c>
      <c r="I149" s="1"/>
      <c r="J149" s="1"/>
      <c r="K149" s="1"/>
      <c r="L149" s="1"/>
      <c r="M149" s="1"/>
      <c r="N149" s="1"/>
      <c r="O149" s="1"/>
      <c r="P149" s="204"/>
      <c r="Q149" s="1"/>
      <c r="R149" s="1"/>
      <c r="S149" s="1"/>
      <c r="T149" s="1"/>
      <c r="U149" s="1"/>
      <c r="V149" s="203"/>
      <c r="W149" s="214"/>
      <c r="X149" s="215"/>
      <c r="Y149" s="4"/>
      <c r="Z149" s="216"/>
      <c r="AA149" s="216"/>
      <c r="AB149" s="216"/>
      <c r="AC149" s="216"/>
      <c r="AD149" s="3"/>
      <c r="AE149" s="4"/>
      <c r="AF149" s="4"/>
    </row>
    <row r="150">
      <c r="A150" s="15">
        <f>IF(ISBLANK(B150),"",A149+1)</f>
      </c>
      <c r="B150" s="53"/>
      <c r="C150" s="53"/>
      <c r="D150" s="53"/>
      <c r="E150" s="53"/>
      <c r="F150" s="203"/>
      <c r="G150" s="72">
        <f>IF($B150="","","SKL"&amp;"01"&amp;IF(I150="瞬发","01",IF(I150="切换","02",IF(I150="瞄准","03",IF(I150="蓄力","04",IF(I150="引导","05","00")))))&amp;"04"&amp;BASE(CODE(MID(B150,1,1))*1+CODE(MID(B150,2,1))*2+CODE(MID(B150,3,1))*3,36,2))</f>
      </c>
      <c r="H150" s="72">
        <f>IF($B150="","","ITB"&amp;VLOOKUP(E150,'引用数据库'!Z:AC,4,FALSE)&amp;"0000"&amp;BASE(CODE(MID(B150,1,1))*1+CODE(MID(B150,2,1))*2+CODE(MID(B150,3,1))*3,36,2))</f>
      </c>
      <c r="I150" s="1"/>
      <c r="J150" s="1"/>
      <c r="K150" s="1"/>
      <c r="L150" s="1"/>
      <c r="M150" s="1"/>
      <c r="N150" s="1"/>
      <c r="O150" s="1"/>
      <c r="P150" s="204"/>
      <c r="Q150" s="1"/>
      <c r="R150" s="1"/>
      <c r="S150" s="1"/>
      <c r="T150" s="1"/>
      <c r="U150" s="1"/>
      <c r="V150" s="203"/>
      <c r="W150" s="214"/>
      <c r="X150" s="215"/>
      <c r="Y150" s="4"/>
      <c r="Z150" s="216"/>
      <c r="AA150" s="216"/>
      <c r="AB150" s="216"/>
      <c r="AC150" s="216"/>
      <c r="AD150" s="3"/>
      <c r="AE150" s="4"/>
      <c r="AF150" s="4"/>
    </row>
    <row r="151">
      <c r="A151" s="15">
        <f>IF(ISBLANK(B151),"",A150+1)</f>
      </c>
      <c r="B151" s="53"/>
      <c r="C151" s="53"/>
      <c r="D151" s="53"/>
      <c r="E151" s="53"/>
      <c r="F151" s="203"/>
      <c r="G151" s="72">
        <f>IF($B151="","","SKL"&amp;"01"&amp;IF(I151="瞬发","01",IF(I151="切换","02",IF(I151="瞄准","03",IF(I151="蓄力","04",IF(I151="引导","05","00")))))&amp;"04"&amp;BASE(CODE(MID(B151,1,1))*1+CODE(MID(B151,2,1))*2+CODE(MID(B151,3,1))*3,36,2))</f>
      </c>
      <c r="H151" s="72">
        <f>IF($B151="","","ITB"&amp;VLOOKUP(E151,'引用数据库'!Z:AC,4,FALSE)&amp;"0000"&amp;BASE(CODE(MID(B151,1,1))*1+CODE(MID(B151,2,1))*2+CODE(MID(B151,3,1))*3,36,2))</f>
      </c>
      <c r="I151" s="1"/>
      <c r="J151" s="1"/>
      <c r="K151" s="1"/>
      <c r="L151" s="1"/>
      <c r="M151" s="1"/>
      <c r="N151" s="1"/>
      <c r="O151" s="1"/>
      <c r="P151" s="204"/>
      <c r="Q151" s="1"/>
      <c r="R151" s="1"/>
      <c r="S151" s="1"/>
      <c r="T151" s="1"/>
      <c r="U151" s="1"/>
      <c r="V151" s="203"/>
      <c r="W151" s="214"/>
      <c r="X151" s="215"/>
      <c r="Y151" s="4"/>
      <c r="Z151" s="216"/>
      <c r="AA151" s="216"/>
      <c r="AB151" s="216"/>
      <c r="AC151" s="216"/>
      <c r="AD151" s="3"/>
      <c r="AE151" s="4"/>
      <c r="AF151" s="4"/>
    </row>
    <row r="152">
      <c r="A152" s="15">
        <f>IF(ISBLANK(B152),"",A151+1)</f>
      </c>
      <c r="B152" s="53"/>
      <c r="C152" s="53"/>
      <c r="D152" s="53"/>
      <c r="E152" s="53"/>
      <c r="F152" s="203"/>
      <c r="G152" s="72">
        <f>IF($B152="","","SKL"&amp;"01"&amp;IF(I152="瞬发","01",IF(I152="切换","02",IF(I152="瞄准","03",IF(I152="蓄力","04",IF(I152="引导","05","00")))))&amp;"04"&amp;BASE(CODE(MID(B152,1,1))*1+CODE(MID(B152,2,1))*2+CODE(MID(B152,3,1))*3,36,2))</f>
      </c>
      <c r="H152" s="72">
        <f>IF($B152="","","ITB"&amp;VLOOKUP(E152,'引用数据库'!Z:AC,4,FALSE)&amp;"0000"&amp;BASE(CODE(MID(B152,1,1))*1+CODE(MID(B152,2,1))*2+CODE(MID(B152,3,1))*3,36,2))</f>
      </c>
      <c r="I152" s="1"/>
      <c r="J152" s="1"/>
      <c r="K152" s="1"/>
      <c r="L152" s="1"/>
      <c r="M152" s="1"/>
      <c r="N152" s="1"/>
      <c r="O152" s="1"/>
      <c r="P152" s="204"/>
      <c r="Q152" s="1"/>
      <c r="R152" s="1"/>
      <c r="S152" s="1"/>
      <c r="T152" s="1"/>
      <c r="U152" s="1"/>
      <c r="V152" s="203"/>
      <c r="W152" s="214"/>
      <c r="X152" s="215"/>
      <c r="Y152" s="4"/>
      <c r="Z152" s="216"/>
      <c r="AA152" s="216"/>
      <c r="AB152" s="216"/>
      <c r="AC152" s="216"/>
      <c r="AD152" s="3"/>
      <c r="AE152" s="4"/>
      <c r="AF152" s="4"/>
    </row>
    <row r="153">
      <c r="A153" s="15">
        <f>IF(ISBLANK(B153),"",A152+1)</f>
      </c>
      <c r="B153" s="53"/>
      <c r="C153" s="53"/>
      <c r="D153" s="53"/>
      <c r="E153" s="53"/>
      <c r="F153" s="203"/>
      <c r="G153" s="72">
        <f>IF($B153="","","SKL"&amp;"01"&amp;IF(I153="瞬发","01",IF(I153="切换","02",IF(I153="瞄准","03",IF(I153="蓄力","04",IF(I153="引导","05","00")))))&amp;"04"&amp;BASE(CODE(MID(B153,1,1))*1+CODE(MID(B153,2,1))*2+CODE(MID(B153,3,1))*3,36,2))</f>
      </c>
      <c r="H153" s="72">
        <f>IF($B153="","","ITB"&amp;VLOOKUP(E153,'引用数据库'!Z:AC,4,FALSE)&amp;"0000"&amp;BASE(CODE(MID(B153,1,1))*1+CODE(MID(B153,2,1))*2+CODE(MID(B153,3,1))*3,36,2))</f>
      </c>
      <c r="I153" s="1"/>
      <c r="J153" s="1"/>
      <c r="K153" s="1"/>
      <c r="L153" s="1"/>
      <c r="M153" s="1"/>
      <c r="N153" s="1"/>
      <c r="O153" s="1"/>
      <c r="P153" s="204"/>
      <c r="Q153" s="1"/>
      <c r="R153" s="1"/>
      <c r="S153" s="1"/>
      <c r="T153" s="1"/>
      <c r="U153" s="1"/>
      <c r="V153" s="203"/>
      <c r="W153" s="214"/>
      <c r="X153" s="215"/>
      <c r="Y153" s="4"/>
      <c r="Z153" s="216"/>
      <c r="AA153" s="216"/>
      <c r="AB153" s="216"/>
      <c r="AC153" s="216"/>
      <c r="AD153" s="3"/>
      <c r="AE153" s="4"/>
      <c r="AF153" s="4"/>
    </row>
    <row r="154">
      <c r="A154" s="15">
        <f>IF(ISBLANK(B154),"",A153+1)</f>
      </c>
      <c r="B154" s="53"/>
      <c r="C154" s="53"/>
      <c r="D154" s="53"/>
      <c r="E154" s="53"/>
      <c r="F154" s="203"/>
      <c r="G154" s="72">
        <f>IF($B154="","","SKL"&amp;"01"&amp;IF(I154="瞬发","01",IF(I154="切换","02",IF(I154="瞄准","03",IF(I154="蓄力","04",IF(I154="引导","05","00")))))&amp;"04"&amp;BASE(CODE(MID(B154,1,1))*1+CODE(MID(B154,2,1))*2+CODE(MID(B154,3,1))*3,36,2))</f>
      </c>
      <c r="H154" s="72">
        <f>IF($B154="","","ITB"&amp;VLOOKUP(E154,'引用数据库'!Z:AC,4,FALSE)&amp;"0000"&amp;BASE(CODE(MID(B154,1,1))*1+CODE(MID(B154,2,1))*2+CODE(MID(B154,3,1))*3,36,2))</f>
      </c>
      <c r="I154" s="1"/>
      <c r="J154" s="1"/>
      <c r="K154" s="1"/>
      <c r="L154" s="1"/>
      <c r="M154" s="1"/>
      <c r="N154" s="1"/>
      <c r="O154" s="1"/>
      <c r="P154" s="204"/>
      <c r="Q154" s="1"/>
      <c r="R154" s="1"/>
      <c r="S154" s="1"/>
      <c r="T154" s="1"/>
      <c r="U154" s="1"/>
      <c r="V154" s="203"/>
      <c r="W154" s="214"/>
      <c r="X154" s="215"/>
      <c r="Y154" s="4"/>
      <c r="Z154" s="216"/>
      <c r="AA154" s="216"/>
      <c r="AB154" s="216"/>
      <c r="AC154" s="216"/>
      <c r="AD154" s="3"/>
      <c r="AE154" s="4"/>
      <c r="AF154" s="4"/>
    </row>
    <row r="155">
      <c r="A155" s="15">
        <f>IF(ISBLANK(B155),"",A154+1)</f>
      </c>
      <c r="B155" s="53"/>
      <c r="C155" s="53"/>
      <c r="D155" s="53"/>
      <c r="E155" s="53"/>
      <c r="F155" s="203"/>
      <c r="G155" s="72">
        <f>IF($B155="","","SKL"&amp;"01"&amp;IF(I155="瞬发","01",IF(I155="切换","02",IF(I155="瞄准","03",IF(I155="蓄力","04",IF(I155="引导","05","00")))))&amp;"04"&amp;BASE(CODE(MID(B155,1,1))*1+CODE(MID(B155,2,1))*2+CODE(MID(B155,3,1))*3,36,2))</f>
      </c>
      <c r="H155" s="72">
        <f>IF($B155="","","ITB"&amp;VLOOKUP(E155,'引用数据库'!Z:AC,4,FALSE)&amp;"0000"&amp;BASE(CODE(MID(B155,1,1))*1+CODE(MID(B155,2,1))*2+CODE(MID(B155,3,1))*3,36,2))</f>
      </c>
      <c r="I155" s="1"/>
      <c r="J155" s="1"/>
      <c r="K155" s="1"/>
      <c r="L155" s="1"/>
      <c r="M155" s="1"/>
      <c r="N155" s="1"/>
      <c r="O155" s="1"/>
      <c r="P155" s="204"/>
      <c r="Q155" s="1"/>
      <c r="R155" s="1"/>
      <c r="S155" s="1"/>
      <c r="T155" s="1"/>
      <c r="U155" s="1"/>
      <c r="V155" s="203"/>
      <c r="W155" s="214"/>
      <c r="X155" s="215"/>
      <c r="Y155" s="4"/>
      <c r="Z155" s="216"/>
      <c r="AA155" s="216"/>
      <c r="AB155" s="216"/>
      <c r="AC155" s="216"/>
      <c r="AD155" s="3"/>
      <c r="AE155" s="4"/>
      <c r="AF155" s="4"/>
    </row>
    <row r="156">
      <c r="A156" s="15">
        <f>IF(ISBLANK(B156),"",A155+1)</f>
      </c>
      <c r="B156" s="53"/>
      <c r="C156" s="53"/>
      <c r="D156" s="53"/>
      <c r="E156" s="53"/>
      <c r="F156" s="203"/>
      <c r="G156" s="72">
        <f>IF($B156="","","SKL"&amp;"01"&amp;IF(I156="瞬发","01",IF(I156="切换","02",IF(I156="瞄准","03",IF(I156="蓄力","04",IF(I156="引导","05","00")))))&amp;"04"&amp;BASE(CODE(MID(B156,1,1))*1+CODE(MID(B156,2,1))*2+CODE(MID(B156,3,1))*3,36,2))</f>
      </c>
      <c r="H156" s="72">
        <f>IF($B156="","","ITB"&amp;VLOOKUP(E156,'引用数据库'!Z:AC,4,FALSE)&amp;"0000"&amp;BASE(CODE(MID(B156,1,1))*1+CODE(MID(B156,2,1))*2+CODE(MID(B156,3,1))*3,36,2))</f>
      </c>
      <c r="I156" s="1"/>
      <c r="J156" s="1"/>
      <c r="K156" s="1"/>
      <c r="L156" s="1"/>
      <c r="M156" s="1"/>
      <c r="N156" s="1"/>
      <c r="O156" s="1"/>
      <c r="P156" s="204"/>
      <c r="Q156" s="1"/>
      <c r="R156" s="1"/>
      <c r="S156" s="1"/>
      <c r="T156" s="1"/>
      <c r="U156" s="1"/>
      <c r="V156" s="203"/>
      <c r="W156" s="214"/>
      <c r="X156" s="215"/>
      <c r="Y156" s="4"/>
      <c r="Z156" s="216"/>
      <c r="AA156" s="216"/>
      <c r="AB156" s="216"/>
      <c r="AC156" s="216"/>
      <c r="AD156" s="3"/>
      <c r="AE156" s="4"/>
      <c r="AF156" s="4"/>
    </row>
    <row r="157">
      <c r="A157" s="15">
        <f>IF(ISBLANK(B157),"",A156+1)</f>
      </c>
      <c r="B157" s="53"/>
      <c r="C157" s="53"/>
      <c r="D157" s="53"/>
      <c r="E157" s="53"/>
      <c r="F157" s="203"/>
      <c r="G157" s="72">
        <f>IF($B157="","","SKL"&amp;"01"&amp;IF(I157="瞬发","01",IF(I157="切换","02",IF(I157="瞄准","03",IF(I157="蓄力","04",IF(I157="引导","05","00")))))&amp;"04"&amp;BASE(CODE(MID(B157,1,1))*1+CODE(MID(B157,2,1))*2+CODE(MID(B157,3,1))*3,36,2))</f>
      </c>
      <c r="H157" s="72">
        <f>IF($B157="","","ITB"&amp;VLOOKUP(E157,'引用数据库'!Z:AC,4,FALSE)&amp;"0000"&amp;BASE(CODE(MID(B157,1,1))*1+CODE(MID(B157,2,1))*2+CODE(MID(B157,3,1))*3,36,2))</f>
      </c>
      <c r="I157" s="1"/>
      <c r="J157" s="1"/>
      <c r="K157" s="1"/>
      <c r="L157" s="1"/>
      <c r="M157" s="1"/>
      <c r="N157" s="1"/>
      <c r="O157" s="1"/>
      <c r="P157" s="204"/>
      <c r="Q157" s="1"/>
      <c r="R157" s="1"/>
      <c r="S157" s="1"/>
      <c r="T157" s="1"/>
      <c r="U157" s="1"/>
      <c r="V157" s="203"/>
      <c r="W157" s="214"/>
      <c r="X157" s="215"/>
      <c r="Y157" s="4"/>
      <c r="Z157" s="216"/>
      <c r="AA157" s="216"/>
      <c r="AB157" s="216"/>
      <c r="AC157" s="216"/>
      <c r="AD157" s="3"/>
      <c r="AE157" s="4"/>
      <c r="AF157" s="4"/>
    </row>
    <row r="158">
      <c r="A158" s="15">
        <f>IF(ISBLANK(B158),"",A157+1)</f>
      </c>
      <c r="B158" s="53"/>
      <c r="C158" s="53"/>
      <c r="D158" s="53"/>
      <c r="E158" s="53"/>
      <c r="F158" s="203"/>
      <c r="G158" s="72">
        <f>IF($B158="","","SKL"&amp;"01"&amp;IF(I158="瞬发","01",IF(I158="切换","02",IF(I158="瞄准","03",IF(I158="蓄力","04",IF(I158="引导","05","00")))))&amp;"04"&amp;BASE(CODE(MID(B158,1,1))*1+CODE(MID(B158,2,1))*2+CODE(MID(B158,3,1))*3,36,2))</f>
      </c>
      <c r="H158" s="72">
        <f>IF($B158="","","ITB"&amp;VLOOKUP(E158,'引用数据库'!Z:AC,4,FALSE)&amp;"0000"&amp;BASE(CODE(MID(B158,1,1))*1+CODE(MID(B158,2,1))*2+CODE(MID(B158,3,1))*3,36,2))</f>
      </c>
      <c r="I158" s="1"/>
      <c r="J158" s="1"/>
      <c r="K158" s="1"/>
      <c r="L158" s="1"/>
      <c r="M158" s="1"/>
      <c r="N158" s="1"/>
      <c r="O158" s="1"/>
      <c r="P158" s="204"/>
      <c r="Q158" s="1"/>
      <c r="R158" s="1"/>
      <c r="S158" s="1"/>
      <c r="T158" s="1"/>
      <c r="U158" s="1"/>
      <c r="V158" s="203"/>
      <c r="W158" s="214"/>
      <c r="X158" s="215"/>
      <c r="Y158" s="4"/>
      <c r="Z158" s="216"/>
      <c r="AA158" s="216"/>
      <c r="AB158" s="216"/>
      <c r="AC158" s="216"/>
      <c r="AD158" s="3"/>
      <c r="AE158" s="4"/>
      <c r="AF158" s="4"/>
    </row>
    <row r="159">
      <c r="A159" s="15">
        <f>IF(ISBLANK(B159),"",A158+1)</f>
      </c>
      <c r="B159" s="3"/>
      <c r="E159" s="53"/>
      <c r="F159" s="185"/>
      <c r="G159" s="72">
        <f>IF($B159="","","SKL"&amp;"01"&amp;IF(I159="瞬发","01",IF(I159="切换","02",IF(I159="瞄准","03",IF(I159="蓄力","04",IF(I159="引导","05","00")))))&amp;"04"&amp;BASE(CODE(MID(B159,1,1))*1+CODE(MID(B159,2,1))*2+CODE(MID(B159,3,1))*3,36,2))</f>
      </c>
      <c r="H159" s="72">
        <f>IF($B159="","","ITB"&amp;VLOOKUP(E159,'引用数据库'!Z:AC,4,FALSE)&amp;"0000"&amp;BASE(CODE(MID(B159,1,1))*1+CODE(MID(B159,2,1))*2+CODE(MID(B159,3,1))*3,36,2))</f>
      </c>
      <c r="V159" s="214"/>
      <c r="W159" s="214"/>
      <c r="X159" s="215"/>
      <c r="Z159" s="216"/>
      <c r="AA159" s="216"/>
      <c r="AB159" s="216"/>
      <c r="AC159" s="216"/>
      <c r="AD159" s="3"/>
    </row>
    <row r="160">
      <c r="A160" s="15">
        <f>IF(ISBLANK(B160),"",A159+1)</f>
      </c>
      <c r="B160" s="3"/>
      <c r="E160" s="53"/>
      <c r="F160" s="185"/>
      <c r="G160" s="72">
        <f>IF($B160="","","SKL"&amp;"01"&amp;IF(I160="瞬发","01",IF(I160="切换","02",IF(I160="瞄准","03",IF(I160="蓄力","04",IF(I160="引导","05","00")))))&amp;"04"&amp;BASE(CODE(MID(B160,1,1))*1+CODE(MID(B160,2,1))*2+CODE(MID(B160,3,1))*3,36,2))</f>
      </c>
      <c r="H160" s="72">
        <f>IF($B160="","","ITB"&amp;VLOOKUP(E160,'引用数据库'!Z:AC,4,FALSE)&amp;"0000"&amp;BASE(CODE(MID(B160,1,1))*1+CODE(MID(B160,2,1))*2+CODE(MID(B160,3,1))*3,36,2))</f>
      </c>
      <c r="V160" s="214"/>
      <c r="W160" s="214"/>
      <c r="X160" s="215"/>
      <c r="Z160" s="216"/>
      <c r="AA160" s="216"/>
      <c r="AB160" s="216"/>
      <c r="AC160" s="216"/>
      <c r="AD160" s="3"/>
    </row>
    <row r="161">
      <c r="A161" s="15">
        <f>IF(ISBLANK(B161),"",A160+1)</f>
      </c>
      <c r="B161" s="3"/>
      <c r="E161" s="53"/>
      <c r="F161" s="185"/>
      <c r="G161" s="72">
        <f>IF($B161="","","SKL"&amp;"01"&amp;IF(I161="瞬发","01",IF(I161="切换","02",IF(I161="瞄准","03",IF(I161="蓄力","04",IF(I161="引导","05","00")))))&amp;"04"&amp;BASE(CODE(MID(B161,1,1))*1+CODE(MID(B161,2,1))*2+CODE(MID(B161,3,1))*3,36,2))</f>
      </c>
      <c r="H161" s="72">
        <f>IF($B161="","","ITB"&amp;VLOOKUP(E161,'引用数据库'!Z:AC,4,FALSE)&amp;"0000"&amp;BASE(CODE(MID(B161,1,1))*1+CODE(MID(B161,2,1))*2+CODE(MID(B161,3,1))*3,36,2))</f>
      </c>
      <c r="V161" s="214"/>
      <c r="W161" s="214"/>
      <c r="X161" s="215"/>
      <c r="Z161" s="216"/>
      <c r="AA161" s="216"/>
      <c r="AB161" s="216"/>
      <c r="AC161" s="216"/>
      <c r="AD161" s="3"/>
    </row>
    <row r="162">
      <c r="A162" s="15">
        <f>IF(ISBLANK(B162),"",A161+1)</f>
      </c>
      <c r="B162" s="3"/>
      <c r="E162" s="53"/>
      <c r="F162" s="185"/>
      <c r="G162" s="72">
        <f>IF($B162="","","SKL"&amp;"01"&amp;IF(I162="瞬发","01",IF(I162="切换","02",IF(I162="瞄准","03",IF(I162="蓄力","04",IF(I162="引导","05","00")))))&amp;"04"&amp;BASE(CODE(MID(B162,1,1))*1+CODE(MID(B162,2,1))*2+CODE(MID(B162,3,1))*3,36,2))</f>
      </c>
      <c r="H162" s="72">
        <f>IF($B162="","","ITB"&amp;VLOOKUP(E162,'引用数据库'!Z:AC,4,FALSE)&amp;"0000"&amp;BASE(CODE(MID(B162,1,1))*1+CODE(MID(B162,2,1))*2+CODE(MID(B162,3,1))*3,36,2))</f>
      </c>
      <c r="V162" s="214"/>
      <c r="W162" s="214"/>
      <c r="X162" s="215"/>
      <c r="Z162" s="216"/>
      <c r="AA162" s="216"/>
      <c r="AB162" s="216"/>
      <c r="AC162" s="216"/>
      <c r="AD162" s="3"/>
    </row>
    <row r="163">
      <c r="A163" s="15">
        <f>IF(ISBLANK(B163),"",A162+1)</f>
      </c>
      <c r="B163" s="3"/>
      <c r="E163" s="53"/>
      <c r="F163" s="185"/>
      <c r="G163" s="72">
        <f>IF($B163="","","SKL"&amp;"01"&amp;IF(I163="瞬发","01",IF(I163="切换","02",IF(I163="瞄准","03",IF(I163="蓄力","04",IF(I163="引导","05","00")))))&amp;"04"&amp;BASE(CODE(MID(B163,1,1))*1+CODE(MID(B163,2,1))*2+CODE(MID(B163,3,1))*3,36,2))</f>
      </c>
      <c r="H163" s="72">
        <f>IF($B163="","","ITB"&amp;VLOOKUP(E163,'引用数据库'!Z:AC,4,FALSE)&amp;"0000"&amp;BASE(CODE(MID(B163,1,1))*1+CODE(MID(B163,2,1))*2+CODE(MID(B163,3,1))*3,36,2))</f>
      </c>
      <c r="V163" s="214"/>
      <c r="W163" s="214"/>
      <c r="X163" s="215"/>
      <c r="Z163" s="216"/>
      <c r="AA163" s="216"/>
      <c r="AB163" s="216"/>
      <c r="AC163" s="216"/>
      <c r="AD163" s="3"/>
    </row>
    <row r="164">
      <c r="A164" s="15">
        <f>IF(ISBLANK(B164),"",A163+1)</f>
      </c>
      <c r="B164" s="3"/>
      <c r="E164" s="53"/>
      <c r="F164" s="185"/>
      <c r="G164" s="72">
        <f>IF($B164="","","SKL"&amp;"01"&amp;IF(I164="瞬发","01",IF(I164="切换","02",IF(I164="瞄准","03",IF(I164="蓄力","04",IF(I164="引导","05","00")))))&amp;"04"&amp;BASE(CODE(MID(B164,1,1))*1+CODE(MID(B164,2,1))*2+CODE(MID(B164,3,1))*3,36,2))</f>
      </c>
      <c r="H164" s="72">
        <f>IF($B164="","","ITB"&amp;VLOOKUP(E164,'引用数据库'!Z:AC,4,FALSE)&amp;"0000"&amp;BASE(CODE(MID(B164,1,1))*1+CODE(MID(B164,2,1))*2+CODE(MID(B164,3,1))*3,36,2))</f>
      </c>
      <c r="V164" s="214"/>
      <c r="W164" s="214"/>
      <c r="X164" s="215"/>
    </row>
    <row r="165">
      <c r="A165" s="15">
        <f>IF(ISBLANK(B165),"",A164+1)</f>
      </c>
      <c r="B165" s="3"/>
      <c r="E165" s="53"/>
      <c r="F165" s="185"/>
      <c r="G165" s="72">
        <f>IF($B165="","","SKL"&amp;"01"&amp;IF(I165="瞬发","01",IF(I165="切换","02",IF(I165="瞄准","03",IF(I165="蓄力","04",IF(I165="引导","05","00")))))&amp;"04"&amp;BASE(CODE(MID(B165,1,1))*1+CODE(MID(B165,2,1))*2+CODE(MID(B165,3,1))*3,36,2))</f>
      </c>
      <c r="H165" s="72">
        <f>IF($B165="","","ITB"&amp;VLOOKUP(E165,'引用数据库'!Z:AC,4,FALSE)&amp;"0000"&amp;BASE(CODE(MID(B165,1,1))*1+CODE(MID(B165,2,1))*2+CODE(MID(B165,3,1))*3,36,2))</f>
      </c>
      <c r="V165" s="214"/>
      <c r="W165" s="214"/>
      <c r="X165" s="215"/>
    </row>
    <row r="166">
      <c r="A166" s="15">
        <f>IF(ISBLANK(B166),"",A165+1)</f>
      </c>
      <c r="B166" s="3"/>
      <c r="E166" s="53"/>
      <c r="F166" s="185"/>
      <c r="G166" s="72">
        <f>IF($B166="","","SKL"&amp;"01"&amp;IF(I166="瞬发","01",IF(I166="切换","02",IF(I166="瞄准","03",IF(I166="蓄力","04",IF(I166="引导","05","00")))))&amp;"04"&amp;BASE(CODE(MID(B166,1,1))*1+CODE(MID(B166,2,1))*2+CODE(MID(B166,3,1))*3,36,2))</f>
      </c>
      <c r="H166" s="72">
        <f>IF($B166="","","ITB"&amp;VLOOKUP(E166,'引用数据库'!Z:AC,4,FALSE)&amp;"0000"&amp;BASE(CODE(MID(B166,1,1))*1+CODE(MID(B166,2,1))*2+CODE(MID(B166,3,1))*3,36,2))</f>
      </c>
      <c r="V166" s="214"/>
      <c r="W166" s="214"/>
      <c r="X166" s="215"/>
    </row>
    <row r="167">
      <c r="A167" s="15">
        <f>IF(ISBLANK(B167),"",A166+1)</f>
      </c>
      <c r="B167" s="3"/>
      <c r="E167" s="53"/>
      <c r="F167" s="185"/>
      <c r="G167" s="72">
        <f>IF($B167="","","SKL"&amp;"01"&amp;IF(I167="瞬发","01",IF(I167="切换","02",IF(I167="瞄准","03",IF(I167="蓄力","04",IF(I167="引导","05","00")))))&amp;"04"&amp;BASE(CODE(MID(B167,1,1))*1+CODE(MID(B167,2,1))*2+CODE(MID(B167,3,1))*3,36,2))</f>
      </c>
      <c r="H167" s="72">
        <f>IF($B167="","","ITB"&amp;VLOOKUP(E167,'引用数据库'!Z:AC,4,FALSE)&amp;"0000"&amp;BASE(CODE(MID(B167,1,1))*1+CODE(MID(B167,2,1))*2+CODE(MID(B167,3,1))*3,36,2))</f>
      </c>
      <c r="V167" s="214"/>
      <c r="W167" s="214"/>
      <c r="X167" s="215"/>
    </row>
    <row r="168">
      <c r="A168" s="15">
        <f>IF(ISBLANK(B168),"",A167+1)</f>
      </c>
      <c r="B168" s="3"/>
      <c r="E168" s="53"/>
      <c r="F168" s="185"/>
      <c r="G168" s="72">
        <f>IF($B168="","","SKL"&amp;"01"&amp;IF(I168="瞬发","01",IF(I168="切换","02",IF(I168="瞄准","03",IF(I168="蓄力","04",IF(I168="引导","05","00")))))&amp;"04"&amp;BASE(CODE(MID(B168,1,1))*1+CODE(MID(B168,2,1))*2+CODE(MID(B168,3,1))*3,36,2))</f>
      </c>
      <c r="H168" s="72">
        <f>IF($B168="","","ITB"&amp;VLOOKUP(E168,'引用数据库'!Z:AC,4,FALSE)&amp;"0000"&amp;BASE(CODE(MID(B168,1,1))*1+CODE(MID(B168,2,1))*2+CODE(MID(B168,3,1))*3,36,2))</f>
      </c>
      <c r="V168" s="214"/>
      <c r="W168" s="214"/>
      <c r="X168" s="215"/>
    </row>
    <row r="169">
      <c r="A169" s="15">
        <f>IF(ISBLANK(B169),"",A168+1)</f>
      </c>
      <c r="B169" s="3"/>
      <c r="E169" s="53"/>
      <c r="F169" s="185"/>
      <c r="G169" s="72">
        <f>IF($B169="","","SKL"&amp;"01"&amp;IF(I169="瞬发","01",IF(I169="切换","02",IF(I169="瞄准","03",IF(I169="蓄力","04",IF(I169="引导","05","00")))))&amp;"04"&amp;BASE(CODE(MID(B169,1,1))*1+CODE(MID(B169,2,1))*2+CODE(MID(B169,3,1))*3,36,2))</f>
      </c>
      <c r="H169" s="72">
        <f>IF($B169="","","ITB"&amp;VLOOKUP(E169,'引用数据库'!Z:AC,4,FALSE)&amp;"0000"&amp;BASE(CODE(MID(B169,1,1))*1+CODE(MID(B169,2,1))*2+CODE(MID(B169,3,1))*3,36,2))</f>
      </c>
      <c r="V169" s="214"/>
      <c r="W169" s="214"/>
      <c r="X169" s="215"/>
    </row>
    <row r="170">
      <c r="A170" s="15">
        <f>IF(ISBLANK(B170),"",A169+1)</f>
      </c>
      <c r="B170" s="3"/>
      <c r="E170" s="53"/>
      <c r="F170" s="185"/>
      <c r="G170" s="72">
        <f>IF($B170="","","SKL"&amp;"01"&amp;IF(I170="瞬发","01",IF(I170="切换","02",IF(I170="瞄准","03",IF(I170="蓄力","04",IF(I170="引导","05","00")))))&amp;"04"&amp;BASE(CODE(MID(B170,1,1))*1+CODE(MID(B170,2,1))*2+CODE(MID(B170,3,1))*3,36,2))</f>
      </c>
      <c r="H170" s="72">
        <f>IF($B170="","","ITB"&amp;VLOOKUP(E170,'引用数据库'!Z:AC,4,FALSE)&amp;"0000"&amp;BASE(CODE(MID(B170,1,1))*1+CODE(MID(B170,2,1))*2+CODE(MID(B170,3,1))*3,36,2))</f>
      </c>
      <c r="V170" s="214"/>
      <c r="W170" s="214"/>
      <c r="X170" s="215"/>
    </row>
    <row r="171">
      <c r="A171" s="15">
        <f>IF(ISBLANK(B171),"",A170+1)</f>
      </c>
      <c r="B171" s="3"/>
      <c r="E171" s="53"/>
      <c r="F171" s="185"/>
      <c r="G171" s="72">
        <f>IF($B171="","","SKL"&amp;"01"&amp;IF(I171="瞬发","01",IF(I171="切换","02",IF(I171="瞄准","03",IF(I171="蓄力","04",IF(I171="引导","05","00")))))&amp;"04"&amp;BASE(CODE(MID(B171,1,1))*1+CODE(MID(B171,2,1))*2+CODE(MID(B171,3,1))*3,36,2))</f>
      </c>
      <c r="H171" s="72">
        <f>IF($B171="","","ITB"&amp;VLOOKUP(E171,'引用数据库'!Z:AC,4,FALSE)&amp;"0000"&amp;BASE(CODE(MID(B171,1,1))*1+CODE(MID(B171,2,1))*2+CODE(MID(B171,3,1))*3,36,2))</f>
      </c>
      <c r="V171" s="214"/>
      <c r="W171" s="214"/>
      <c r="X171" s="215"/>
    </row>
    <row r="172">
      <c r="A172" s="15">
        <f>IF(ISBLANK(B172),"",A171+1)</f>
      </c>
      <c r="B172" s="3"/>
      <c r="E172" s="53"/>
      <c r="F172" s="185"/>
      <c r="G172" s="72">
        <f>IF($B172="","","SKL"&amp;"01"&amp;IF(I172="瞬发","01",IF(I172="切换","02",IF(I172="瞄准","03",IF(I172="蓄力","04",IF(I172="引导","05","00")))))&amp;"04"&amp;BASE(CODE(MID(B172,1,1))*1+CODE(MID(B172,2,1))*2+CODE(MID(B172,3,1))*3,36,2))</f>
      </c>
      <c r="H172" s="72">
        <f>IF($B172="","","ITB"&amp;VLOOKUP(E172,'引用数据库'!Z:AC,4,FALSE)&amp;"0000"&amp;BASE(CODE(MID(B172,1,1))*1+CODE(MID(B172,2,1))*2+CODE(MID(B172,3,1))*3,36,2))</f>
      </c>
      <c r="V172" s="214"/>
      <c r="W172" s="214"/>
      <c r="X172" s="215"/>
    </row>
    <row r="173">
      <c r="A173" s="15">
        <f>IF(ISBLANK(B173),"",A172+1)</f>
      </c>
      <c r="B173" s="3"/>
      <c r="E173" s="53"/>
      <c r="F173" s="185"/>
      <c r="G173" s="72">
        <f>IF($B173="","","SKL"&amp;"01"&amp;IF(I173="瞬发","01",IF(I173="切换","02",IF(I173="瞄准","03",IF(I173="蓄力","04",IF(I173="引导","05","00")))))&amp;"04"&amp;BASE(CODE(MID(B173,1,1))*1+CODE(MID(B173,2,1))*2+CODE(MID(B173,3,1))*3,36,2))</f>
      </c>
      <c r="H173" s="72">
        <f>IF($B173="","","ITB"&amp;VLOOKUP(E173,'引用数据库'!Z:AC,4,FALSE)&amp;"0000"&amp;BASE(CODE(MID(B173,1,1))*1+CODE(MID(B173,2,1))*2+CODE(MID(B173,3,1))*3,36,2))</f>
      </c>
      <c r="V173" s="214"/>
      <c r="W173" s="214"/>
      <c r="X173" s="215"/>
    </row>
    <row r="174">
      <c r="A174" s="15">
        <f>IF(ISBLANK(B174),"",A173+1)</f>
      </c>
      <c r="B174" s="3"/>
      <c r="E174" s="53"/>
      <c r="F174" s="185"/>
      <c r="G174" s="72">
        <f>IF($B174="","","SKL"&amp;"01"&amp;IF(I174="瞬发","01",IF(I174="切换","02",IF(I174="瞄准","03",IF(I174="蓄力","04",IF(I174="引导","05","00")))))&amp;"04"&amp;BASE(CODE(MID(B174,1,1))*1+CODE(MID(B174,2,1))*2+CODE(MID(B174,3,1))*3,36,2))</f>
      </c>
      <c r="H174" s="72">
        <f>IF($B174="","","ITB"&amp;VLOOKUP(E174,'引用数据库'!Z:AC,4,FALSE)&amp;"0000"&amp;BASE(CODE(MID(B174,1,1))*1+CODE(MID(B174,2,1))*2+CODE(MID(B174,3,1))*3,36,2))</f>
      </c>
      <c r="V174" s="214"/>
      <c r="W174" s="214"/>
      <c r="X174" s="215"/>
    </row>
    <row r="175">
      <c r="A175" s="15">
        <f>IF(ISBLANK(B175),"",A174+1)</f>
      </c>
      <c r="B175" s="3"/>
      <c r="E175" s="53"/>
      <c r="F175" s="185"/>
      <c r="G175" s="72">
        <f>IF($B175="","","SKL"&amp;"01"&amp;IF(I175="瞬发","01",IF(I175="切换","02",IF(I175="瞄准","03",IF(I175="蓄力","04",IF(I175="引导","05","00")))))&amp;"04"&amp;BASE(CODE(MID(B175,1,1))*1+CODE(MID(B175,2,1))*2+CODE(MID(B175,3,1))*3,36,2))</f>
      </c>
      <c r="H175" s="72">
        <f>IF($B175="","","ITB"&amp;VLOOKUP(E175,'引用数据库'!Z:AC,4,FALSE)&amp;"0000"&amp;BASE(CODE(MID(B175,1,1))*1+CODE(MID(B175,2,1))*2+CODE(MID(B175,3,1))*3,36,2))</f>
      </c>
      <c r="V175" s="214"/>
      <c r="W175" s="214"/>
      <c r="X175" s="215"/>
    </row>
    <row r="176">
      <c r="A176" s="15">
        <f>IF(ISBLANK(B176),"",A175+1)</f>
      </c>
      <c r="B176" s="3"/>
      <c r="E176" s="53"/>
      <c r="F176" s="185"/>
      <c r="G176" s="72">
        <f>IF($B176="","","SKL"&amp;"01"&amp;IF(I176="瞬发","01",IF(I176="切换","02",IF(I176="瞄准","03",IF(I176="蓄力","04",IF(I176="引导","05","00")))))&amp;"04"&amp;BASE(CODE(MID(B176,1,1))*1+CODE(MID(B176,2,1))*2+CODE(MID(B176,3,1))*3,36,2))</f>
      </c>
      <c r="H176" s="72">
        <f>IF($B176="","","ITB"&amp;VLOOKUP(E176,'引用数据库'!Z:AC,4,FALSE)&amp;"0000"&amp;BASE(CODE(MID(B176,1,1))*1+CODE(MID(B176,2,1))*2+CODE(MID(B176,3,1))*3,36,2))</f>
      </c>
      <c r="V176" s="214"/>
      <c r="W176" s="214"/>
      <c r="X176" s="215"/>
    </row>
    <row r="177">
      <c r="A177" s="15">
        <f>IF(ISBLANK(B177),"",A176+1)</f>
      </c>
      <c r="B177" s="3"/>
      <c r="E177" s="53"/>
      <c r="F177" s="185"/>
      <c r="G177" s="72">
        <f>IF($B177="","","SKL"&amp;"01"&amp;IF(I177="瞬发","01",IF(I177="切换","02",IF(I177="瞄准","03",IF(I177="蓄力","04",IF(I177="引导","05","00")))))&amp;"04"&amp;BASE(CODE(MID(B177,1,1))*1+CODE(MID(B177,2,1))*2+CODE(MID(B177,3,1))*3,36,2))</f>
      </c>
      <c r="H177" s="72">
        <f>IF($B177="","","ITB"&amp;VLOOKUP(E177,'引用数据库'!Z:AC,4,FALSE)&amp;"0000"&amp;BASE(CODE(MID(B177,1,1))*1+CODE(MID(B177,2,1))*2+CODE(MID(B177,3,1))*3,36,2))</f>
      </c>
      <c r="V177" s="214"/>
      <c r="W177" s="214"/>
      <c r="X177" s="215"/>
    </row>
    <row r="178">
      <c r="A178" s="15">
        <f>IF(ISBLANK(B178),"",A177+1)</f>
      </c>
      <c r="B178" s="3"/>
      <c r="E178" s="53"/>
      <c r="F178" s="185"/>
      <c r="G178" s="72">
        <f>IF($B178="","","SKL"&amp;"01"&amp;IF(I178="瞬发","01",IF(I178="切换","02",IF(I178="瞄准","03",IF(I178="蓄力","04",IF(I178="引导","05","00")))))&amp;"04"&amp;BASE(CODE(MID(B178,1,1))*1+CODE(MID(B178,2,1))*2+CODE(MID(B178,3,1))*3,36,2))</f>
      </c>
      <c r="H178" s="72">
        <f>IF($B178="","","ITB"&amp;VLOOKUP(E178,'引用数据库'!Z:AC,4,FALSE)&amp;"0000"&amp;BASE(CODE(MID(B178,1,1))*1+CODE(MID(B178,2,1))*2+CODE(MID(B178,3,1))*3,36,2))</f>
      </c>
      <c r="V178" s="214"/>
      <c r="W178" s="214"/>
      <c r="X178" s="215"/>
    </row>
    <row r="179">
      <c r="A179" s="15">
        <f>IF(ISBLANK(B179),"",A178+1)</f>
      </c>
      <c r="B179" s="3"/>
      <c r="E179" s="53"/>
      <c r="F179" s="185"/>
      <c r="G179" s="72">
        <f>IF($B179="","","SKL"&amp;"01"&amp;IF(I179="瞬发","01",IF(I179="切换","02",IF(I179="瞄准","03",IF(I179="蓄力","04",IF(I179="引导","05","00")))))&amp;"04"&amp;BASE(CODE(MID(B179,1,1))*1+CODE(MID(B179,2,1))*2+CODE(MID(B179,3,1))*3,36,2))</f>
      </c>
      <c r="H179" s="72">
        <f>IF($B179="","","ITB"&amp;VLOOKUP(E179,'引用数据库'!Z:AC,4,FALSE)&amp;"0000"&amp;BASE(CODE(MID(B179,1,1))*1+CODE(MID(B179,2,1))*2+CODE(MID(B179,3,1))*3,36,2))</f>
      </c>
      <c r="V179" s="214"/>
      <c r="W179" s="214"/>
      <c r="X179" s="215"/>
    </row>
    <row r="180">
      <c r="A180" s="15">
        <f>IF(ISBLANK(B180),"",A179+1)</f>
      </c>
      <c r="B180" s="3"/>
      <c r="E180" s="53"/>
      <c r="F180" s="185"/>
      <c r="G180" s="72">
        <f>IF($B180="","","SKL"&amp;"01"&amp;IF(I180="瞬发","01",IF(I180="切换","02",IF(I180="瞄准","03",IF(I180="蓄力","04",IF(I180="引导","05","00")))))&amp;"04"&amp;BASE(CODE(MID(B180,1,1))*1+CODE(MID(B180,2,1))*2+CODE(MID(B180,3,1))*3,36,2))</f>
      </c>
      <c r="H180" s="72">
        <f>IF($B180="","","ITB"&amp;VLOOKUP(E180,'引用数据库'!Z:AC,4,FALSE)&amp;"0000"&amp;BASE(CODE(MID(B180,1,1))*1+CODE(MID(B180,2,1))*2+CODE(MID(B180,3,1))*3,36,2))</f>
      </c>
      <c r="V180" s="214"/>
      <c r="W180" s="214"/>
      <c r="X180" s="215"/>
    </row>
    <row r="181">
      <c r="A181" s="15">
        <f>IF(ISBLANK(B181),"",A180+1)</f>
      </c>
      <c r="B181" s="3"/>
      <c r="E181" s="53"/>
      <c r="F181" s="185"/>
      <c r="G181" s="72">
        <f>IF($B181="","","SKL"&amp;"01"&amp;IF(I181="瞬发","01",IF(I181="切换","02",IF(I181="瞄准","03",IF(I181="蓄力","04",IF(I181="引导","05","00")))))&amp;"04"&amp;BASE(CODE(MID(B181,1,1))*1+CODE(MID(B181,2,1))*2+CODE(MID(B181,3,1))*3,36,2))</f>
      </c>
      <c r="H181" s="72">
        <f>IF($B181="","","ITB"&amp;VLOOKUP(E181,'引用数据库'!Z:AC,4,FALSE)&amp;"0000"&amp;BASE(CODE(MID(B181,1,1))*1+CODE(MID(B181,2,1))*2+CODE(MID(B181,3,1))*3,36,2))</f>
      </c>
      <c r="V181" s="214"/>
      <c r="W181" s="214"/>
      <c r="X181" s="215"/>
    </row>
    <row r="182">
      <c r="A182" s="15">
        <f>IF(ISBLANK(B182),"",A181+1)</f>
      </c>
      <c r="B182" s="3"/>
      <c r="E182" s="53"/>
      <c r="F182" s="185"/>
      <c r="G182" s="72">
        <f>IF($B182="","","SKL"&amp;"01"&amp;IF(I182="瞬发","01",IF(I182="切换","02",IF(I182="瞄准","03",IF(I182="蓄力","04",IF(I182="引导","05","00")))))&amp;"04"&amp;BASE(CODE(MID(B182,1,1))*1+CODE(MID(B182,2,1))*2+CODE(MID(B182,3,1))*3,36,2))</f>
      </c>
      <c r="H182" s="72">
        <f>IF($B182="","","ITB"&amp;VLOOKUP(E182,'引用数据库'!Z:AC,4,FALSE)&amp;"0000"&amp;BASE(CODE(MID(B182,1,1))*1+CODE(MID(B182,2,1))*2+CODE(MID(B182,3,1))*3,36,2))</f>
      </c>
      <c r="V182" s="214"/>
      <c r="W182" s="214"/>
      <c r="X182" s="215"/>
    </row>
    <row r="183">
      <c r="A183" s="15">
        <f>IF(ISBLANK(B183),"",A182+1)</f>
      </c>
      <c r="B183" s="3"/>
      <c r="E183" s="53"/>
      <c r="F183" s="185"/>
      <c r="G183" s="72">
        <f>IF($B183="","","SKL"&amp;"01"&amp;IF(I183="瞬发","01",IF(I183="切换","02",IF(I183="瞄准","03",IF(I183="蓄力","04",IF(I183="引导","05","00")))))&amp;"04"&amp;BASE(CODE(MID(B183,1,1))*1+CODE(MID(B183,2,1))*2+CODE(MID(B183,3,1))*3,36,2))</f>
      </c>
      <c r="H183" s="72">
        <f>IF($B183="","","ITB"&amp;VLOOKUP(E183,'引用数据库'!Z:AC,4,FALSE)&amp;"0000"&amp;BASE(CODE(MID(B183,1,1))*1+CODE(MID(B183,2,1))*2+CODE(MID(B183,3,1))*3,36,2))</f>
      </c>
      <c r="V183" s="214"/>
      <c r="W183" s="214"/>
      <c r="X183" s="215"/>
    </row>
    <row r="184">
      <c r="A184" s="15">
        <f>IF(ISBLANK(B184),"",A183+1)</f>
      </c>
      <c r="B184" s="3"/>
      <c r="E184" s="53"/>
      <c r="F184" s="185"/>
      <c r="G184" s="72">
        <f>IF($B184="","","SKL"&amp;"01"&amp;IF(I184="瞬发","01",IF(I184="切换","02",IF(I184="瞄准","03",IF(I184="蓄力","04",IF(I184="引导","05","00")))))&amp;"04"&amp;BASE(CODE(MID(B184,1,1))*1+CODE(MID(B184,2,1))*2+CODE(MID(B184,3,1))*3,36,2))</f>
      </c>
      <c r="H184" s="72">
        <f>IF($B184="","","ITB"&amp;VLOOKUP(E184,'引用数据库'!Z:AC,4,FALSE)&amp;"0000"&amp;BASE(CODE(MID(B184,1,1))*1+CODE(MID(B184,2,1))*2+CODE(MID(B184,3,1))*3,36,2))</f>
      </c>
      <c r="V184" s="214"/>
      <c r="W184" s="214"/>
      <c r="X184" s="215"/>
    </row>
    <row r="185">
      <c r="A185" s="15">
        <f>IF(ISBLANK(B185),"",A184+1)</f>
      </c>
      <c r="B185" s="3"/>
      <c r="E185" s="53"/>
      <c r="F185" s="185"/>
      <c r="G185" s="72">
        <f>IF($B185="","","SKL"&amp;"01"&amp;IF(I185="瞬发","01",IF(I185="切换","02",IF(I185="瞄准","03",IF(I185="蓄力","04",IF(I185="引导","05","00")))))&amp;"04"&amp;BASE(CODE(MID(B185,1,1))*1+CODE(MID(B185,2,1))*2+CODE(MID(B185,3,1))*3,36,2))</f>
      </c>
      <c r="H185" s="72">
        <f>IF($B185="","","ITB"&amp;VLOOKUP(E185,'引用数据库'!Z:AC,4,FALSE)&amp;"0000"&amp;BASE(CODE(MID(B185,1,1))*1+CODE(MID(B185,2,1))*2+CODE(MID(B185,3,1))*3,36,2))</f>
      </c>
      <c r="V185" s="214"/>
      <c r="W185" s="214"/>
      <c r="X185" s="215"/>
    </row>
    <row r="186">
      <c r="A186" s="15">
        <f>IF(ISBLANK(B186),"",A185+1)</f>
      </c>
      <c r="B186" s="3"/>
      <c r="E186" s="53"/>
      <c r="F186" s="185"/>
      <c r="G186" s="72">
        <f>IF($B186="","","SKL"&amp;"01"&amp;IF(I186="瞬发","01",IF(I186="切换","02",IF(I186="瞄准","03",IF(I186="蓄力","04",IF(I186="引导","05","00")))))&amp;"04"&amp;BASE(CODE(MID(B186,1,1))*1+CODE(MID(B186,2,1))*2+CODE(MID(B186,3,1))*3,36,2))</f>
      </c>
      <c r="H186" s="72">
        <f>IF($B186="","","ITB"&amp;VLOOKUP(E186,'引用数据库'!Z:AC,4,FALSE)&amp;"0000"&amp;BASE(CODE(MID(B186,1,1))*1+CODE(MID(B186,2,1))*2+CODE(MID(B186,3,1))*3,36,2))</f>
      </c>
      <c r="V186" s="214"/>
      <c r="W186" s="214"/>
      <c r="X186" s="215"/>
    </row>
    <row r="187">
      <c r="A187" s="15">
        <f>IF(ISBLANK(B187),"",A186+1)</f>
      </c>
      <c r="B187" s="3"/>
      <c r="E187" s="53"/>
      <c r="F187" s="185"/>
      <c r="G187" s="72">
        <f>IF($B187="","","SKL"&amp;"01"&amp;IF(I187="瞬发","01",IF(I187="切换","02",IF(I187="瞄准","03",IF(I187="蓄力","04",IF(I187="引导","05","00")))))&amp;"04"&amp;BASE(CODE(MID(B187,1,1))*1+CODE(MID(B187,2,1))*2+CODE(MID(B187,3,1))*3,36,2))</f>
      </c>
      <c r="H187" s="72">
        <f>IF($B187="","","ITB"&amp;VLOOKUP(E187,'引用数据库'!Z:AC,4,FALSE)&amp;"0000"&amp;BASE(CODE(MID(B187,1,1))*1+CODE(MID(B187,2,1))*2+CODE(MID(B187,3,1))*3,36,2))</f>
      </c>
      <c r="V187" s="214"/>
      <c r="W187" s="214"/>
      <c r="X187" s="215"/>
    </row>
    <row r="188">
      <c r="A188" s="15">
        <f>IF(ISBLANK(B188),"",A187+1)</f>
      </c>
      <c r="B188" s="3"/>
      <c r="E188" s="53"/>
      <c r="F188" s="185"/>
      <c r="G188" s="72">
        <f>IF($B188="","","SKL"&amp;"01"&amp;IF(I188="瞬发","01",IF(I188="切换","02",IF(I188="瞄准","03",IF(I188="蓄力","04",IF(I188="引导","05","00")))))&amp;"04"&amp;BASE(CODE(MID(B188,1,1))*1+CODE(MID(B188,2,1))*2+CODE(MID(B188,3,1))*3,36,2))</f>
      </c>
      <c r="H188" s="72">
        <f>IF($B188="","","ITB"&amp;VLOOKUP(E188,'引用数据库'!Z:AC,4,FALSE)&amp;"0000"&amp;BASE(CODE(MID(B188,1,1))*1+CODE(MID(B188,2,1))*2+CODE(MID(B188,3,1))*3,36,2))</f>
      </c>
      <c r="V188" s="214"/>
      <c r="W188" s="214"/>
      <c r="X188" s="215"/>
    </row>
    <row r="189">
      <c r="A189" s="15">
        <f>IF(ISBLANK(B189),"",A188+1)</f>
      </c>
      <c r="B189" s="3"/>
      <c r="E189" s="53"/>
      <c r="F189" s="185"/>
      <c r="G189" s="72">
        <f>IF($B189="","","SKL"&amp;"01"&amp;IF(I189="瞬发","01",IF(I189="切换","02",IF(I189="瞄准","03",IF(I189="蓄力","04",IF(I189="引导","05","00")))))&amp;"04"&amp;BASE(CODE(MID(B189,1,1))*1+CODE(MID(B189,2,1))*2+CODE(MID(B189,3,1))*3,36,2))</f>
      </c>
      <c r="H189" s="72">
        <f>IF($B189="","","ITB"&amp;VLOOKUP(E189,'引用数据库'!Z:AC,4,FALSE)&amp;"0000"&amp;BASE(CODE(MID(B189,1,1))*1+CODE(MID(B189,2,1))*2+CODE(MID(B189,3,1))*3,36,2))</f>
      </c>
      <c r="V189" s="214"/>
      <c r="W189" s="214"/>
      <c r="X189" s="215"/>
    </row>
    <row r="190">
      <c r="A190" s="15">
        <f>IF(ISBLANK(B190),"",A189+1)</f>
      </c>
      <c r="B190" s="3"/>
      <c r="E190" s="53"/>
      <c r="F190" s="185"/>
      <c r="G190" s="72">
        <f>IF($B190="","","SKL"&amp;"01"&amp;IF(I190="瞬发","01",IF(I190="切换","02",IF(I190="瞄准","03",IF(I190="蓄力","04",IF(I190="引导","05","00")))))&amp;"04"&amp;BASE(CODE(MID(B190,1,1))*1+CODE(MID(B190,2,1))*2+CODE(MID(B190,3,1))*3,36,2))</f>
      </c>
      <c r="H190" s="72">
        <f>IF($B190="","","ITB"&amp;VLOOKUP(E190,'引用数据库'!Z:AC,4,FALSE)&amp;"0000"&amp;BASE(CODE(MID(B190,1,1))*1+CODE(MID(B190,2,1))*2+CODE(MID(B190,3,1))*3,36,2))</f>
      </c>
      <c r="V190" s="214"/>
      <c r="W190" s="214"/>
      <c r="X190" s="215"/>
    </row>
    <row r="191">
      <c r="A191" s="15">
        <f>IF(ISBLANK(B191),"",A190+1)</f>
      </c>
      <c r="B191" s="3"/>
      <c r="E191" s="53"/>
      <c r="F191" s="185"/>
      <c r="G191" s="72">
        <f>IF($B191="","","SKL"&amp;"01"&amp;IF(I191="瞬发","01",IF(I191="切换","02",IF(I191="瞄准","03",IF(I191="蓄力","04",IF(I191="引导","05","00")))))&amp;"04"&amp;BASE(CODE(MID(B191,1,1))*1+CODE(MID(B191,2,1))*2+CODE(MID(B191,3,1))*3,36,2))</f>
      </c>
      <c r="H191" s="72">
        <f>IF($B191="","","ITB"&amp;VLOOKUP(E191,'引用数据库'!Z:AC,4,FALSE)&amp;"0000"&amp;BASE(CODE(MID(B191,1,1))*1+CODE(MID(B191,2,1))*2+CODE(MID(B191,3,1))*3,36,2))</f>
      </c>
      <c r="V191" s="214"/>
      <c r="W191" s="214"/>
      <c r="X191" s="215"/>
    </row>
    <row r="192">
      <c r="A192" s="15">
        <f>IF(ISBLANK(B192),"",A191+1)</f>
      </c>
      <c r="B192" s="3"/>
      <c r="E192" s="53"/>
      <c r="F192" s="185"/>
      <c r="G192" s="72">
        <f>IF($B192="","","SKL"&amp;"01"&amp;IF(I192="瞬发","01",IF(I192="切换","02",IF(I192="瞄准","03",IF(I192="蓄力","04",IF(I192="引导","05","00")))))&amp;"04"&amp;BASE(CODE(MID(B192,1,1))*1+CODE(MID(B192,2,1))*2+CODE(MID(B192,3,1))*3,36,2))</f>
      </c>
      <c r="H192" s="72">
        <f>IF($B192="","","ITB"&amp;VLOOKUP(E192,'引用数据库'!Z:AC,4,FALSE)&amp;"0000"&amp;BASE(CODE(MID(B192,1,1))*1+CODE(MID(B192,2,1))*2+CODE(MID(B192,3,1))*3,36,2))</f>
      </c>
      <c r="V192" s="214"/>
      <c r="W192" s="214"/>
      <c r="X192" s="215"/>
    </row>
    <row r="193">
      <c r="A193" s="15">
        <f>IF(ISBLANK(B193),"",A192+1)</f>
      </c>
      <c r="B193" s="3"/>
      <c r="E193" s="53"/>
      <c r="F193" s="185"/>
      <c r="G193" s="72">
        <f>IF($B193="","","SKL"&amp;"01"&amp;IF(I193="瞬发","01",IF(I193="切换","02",IF(I193="瞄准","03",IF(I193="蓄力","04",IF(I193="引导","05","00")))))&amp;"04"&amp;BASE(CODE(MID(B193,1,1))*1+CODE(MID(B193,2,1))*2+CODE(MID(B193,3,1))*3,36,2))</f>
      </c>
      <c r="H193" s="72">
        <f>IF($B193="","","ITB"&amp;VLOOKUP(E193,'引用数据库'!Z:AC,4,FALSE)&amp;"0000"&amp;BASE(CODE(MID(B193,1,1))*1+CODE(MID(B193,2,1))*2+CODE(MID(B193,3,1))*3,36,2))</f>
      </c>
      <c r="V193" s="214"/>
      <c r="W193" s="214"/>
      <c r="X193" s="215"/>
    </row>
    <row r="194">
      <c r="A194" s="15">
        <f>IF(ISBLANK(B194),"",A193+1)</f>
      </c>
      <c r="B194" s="3"/>
      <c r="E194" s="53"/>
      <c r="F194" s="185"/>
      <c r="G194" s="72">
        <f>IF($B194="","","SKL"&amp;"01"&amp;IF(I194="瞬发","01",IF(I194="切换","02",IF(I194="瞄准","03",IF(I194="蓄力","04",IF(I194="引导","05","00")))))&amp;"04"&amp;BASE(CODE(MID(B194,1,1))*1+CODE(MID(B194,2,1))*2+CODE(MID(B194,3,1))*3,36,2))</f>
      </c>
      <c r="H194" s="72">
        <f>IF($B194="","","ITB"&amp;VLOOKUP(E194,'引用数据库'!Z:AC,4,FALSE)&amp;"0000"&amp;BASE(CODE(MID(B194,1,1))*1+CODE(MID(B194,2,1))*2+CODE(MID(B194,3,1))*3,36,2))</f>
      </c>
      <c r="V194" s="214"/>
      <c r="W194" s="214"/>
      <c r="X194" s="215"/>
    </row>
    <row r="195">
      <c r="A195" s="15">
        <f>IF(ISBLANK(B195),"",A194+1)</f>
      </c>
      <c r="B195" s="3"/>
      <c r="E195" s="53"/>
      <c r="F195" s="185"/>
      <c r="G195" s="72">
        <f>IF($B195="","","SKL"&amp;"01"&amp;IF(I195="瞬发","01",IF(I195="切换","02",IF(I195="瞄准","03",IF(I195="蓄力","04",IF(I195="引导","05","00")))))&amp;"04"&amp;BASE(CODE(MID(B195,1,1))*1+CODE(MID(B195,2,1))*2+CODE(MID(B195,3,1))*3,36,2))</f>
      </c>
      <c r="H195" s="72">
        <f>IF($B195="","","ITB"&amp;VLOOKUP(E195,'引用数据库'!Z:AC,4,FALSE)&amp;"0000"&amp;BASE(CODE(MID(B195,1,1))*1+CODE(MID(B195,2,1))*2+CODE(MID(B195,3,1))*3,36,2))</f>
      </c>
      <c r="V195" s="214"/>
      <c r="W195" s="214"/>
      <c r="X195" s="215"/>
    </row>
    <row r="196">
      <c r="A196" s="15">
        <f>IF(ISBLANK(B196),"",A195+1)</f>
      </c>
      <c r="B196" s="3"/>
      <c r="E196" s="53"/>
      <c r="F196" s="185"/>
      <c r="G196" s="72">
        <f>IF($B196="","","SKL"&amp;"01"&amp;IF(I196="瞬发","01",IF(I196="切换","02",IF(I196="瞄准","03",IF(I196="蓄力","04",IF(I196="引导","05","00")))))&amp;"04"&amp;BASE(CODE(MID(B196,1,1))*1+CODE(MID(B196,2,1))*2+CODE(MID(B196,3,1))*3,36,2))</f>
      </c>
      <c r="H196" s="72">
        <f>IF($B196="","","ITB"&amp;VLOOKUP(E196,'引用数据库'!Z:AC,4,FALSE)&amp;"0000"&amp;BASE(CODE(MID(B196,1,1))*1+CODE(MID(B196,2,1))*2+CODE(MID(B196,3,1))*3,36,2))</f>
      </c>
      <c r="V196" s="214"/>
      <c r="W196" s="214"/>
      <c r="X196" s="215"/>
    </row>
    <row r="197">
      <c r="A197" s="15">
        <f>IF(ISBLANK(B197),"",A196+1)</f>
      </c>
      <c r="B197" s="3"/>
      <c r="E197" s="53"/>
      <c r="F197" s="185"/>
      <c r="G197" s="72">
        <f>IF($B197="","","SKL"&amp;"01"&amp;IF(I197="瞬发","01",IF(I197="切换","02",IF(I197="瞄准","03",IF(I197="蓄力","04",IF(I197="引导","05","00")))))&amp;"04"&amp;BASE(CODE(MID(B197,1,1))*1+CODE(MID(B197,2,1))*2+CODE(MID(B197,3,1))*3,36,2))</f>
      </c>
      <c r="H197" s="72">
        <f>IF($B197="","","ITB"&amp;VLOOKUP(E197,'引用数据库'!Z:AC,4,FALSE)&amp;"0000"&amp;BASE(CODE(MID(B197,1,1))*1+CODE(MID(B197,2,1))*2+CODE(MID(B197,3,1))*3,36,2))</f>
      </c>
      <c r="V197" s="214"/>
      <c r="W197" s="214"/>
      <c r="X197" s="215"/>
    </row>
    <row r="198">
      <c r="A198" s="15">
        <f>IF(ISBLANK(B198),"",A197+1)</f>
      </c>
      <c r="B198" s="3"/>
      <c r="E198" s="53"/>
      <c r="F198" s="185"/>
      <c r="G198" s="72">
        <f>IF($B198="","","SKL"&amp;"01"&amp;IF(I198="瞬发","01",IF(I198="切换","02",IF(I198="瞄准","03",IF(I198="蓄力","04",IF(I198="引导","05","00")))))&amp;"04"&amp;BASE(CODE(MID(B198,1,1))*1+CODE(MID(B198,2,1))*2+CODE(MID(B198,3,1))*3,36,2))</f>
      </c>
      <c r="H198" s="72">
        <f>IF($B198="","","ITB"&amp;VLOOKUP(E198,'引用数据库'!Z:AC,4,FALSE)&amp;"0000"&amp;BASE(CODE(MID(B198,1,1))*1+CODE(MID(B198,2,1))*2+CODE(MID(B198,3,1))*3,36,2))</f>
      </c>
      <c r="V198" s="214"/>
      <c r="W198" s="214"/>
      <c r="X198" s="215"/>
    </row>
    <row r="199">
      <c r="A199" s="15">
        <f>IF(ISBLANK(B199),"",A198+1)</f>
      </c>
      <c r="B199" s="3"/>
      <c r="E199" s="53"/>
      <c r="F199" s="185"/>
      <c r="G199" s="72">
        <f>IF($B199="","","SKL"&amp;"01"&amp;IF(I199="瞬发","01",IF(I199="切换","02",IF(I199="瞄准","03",IF(I199="蓄力","04",IF(I199="引导","05","00")))))&amp;"04"&amp;BASE(CODE(MID(B199,1,1))*1+CODE(MID(B199,2,1))*2+CODE(MID(B199,3,1))*3,36,2))</f>
      </c>
      <c r="H199" s="72">
        <f>IF($B199="","","ITB"&amp;VLOOKUP(E199,'引用数据库'!Z:AC,4,FALSE)&amp;"0000"&amp;BASE(CODE(MID(B199,1,1))*1+CODE(MID(B199,2,1))*2+CODE(MID(B199,3,1))*3,36,2))</f>
      </c>
      <c r="V199" s="214"/>
      <c r="W199" s="214"/>
      <c r="X199" s="215"/>
    </row>
    <row r="200">
      <c r="A200" s="15">
        <f>IF(ISBLANK(B200),"",A199+1)</f>
      </c>
      <c r="B200" s="3"/>
      <c r="E200" s="53"/>
      <c r="F200" s="185"/>
      <c r="G200" s="72">
        <f>IF($B200="","","SKL"&amp;"01"&amp;IF(I200="瞬发","01",IF(I200="切换","02",IF(I200="瞄准","03",IF(I200="蓄力","04",IF(I200="引导","05","00")))))&amp;"04"&amp;BASE(CODE(MID(B200,1,1))*1+CODE(MID(B200,2,1))*2+CODE(MID(B200,3,1))*3,36,2))</f>
      </c>
      <c r="H200" s="72">
        <f>IF($B200="","","ITB"&amp;VLOOKUP(E200,'引用数据库'!Z:AC,4,FALSE)&amp;"0000"&amp;BASE(CODE(MID(B200,1,1))*1+CODE(MID(B200,2,1))*2+CODE(MID(B200,3,1))*3,36,2))</f>
      </c>
      <c r="V200" s="214"/>
      <c r="W200" s="214"/>
      <c r="X200" s="215"/>
    </row>
    <row r="201">
      <c r="A201" s="15">
        <f>IF(ISBLANK(B201),"",A200+1)</f>
      </c>
      <c r="B201" s="3"/>
      <c r="E201" s="53"/>
      <c r="F201" s="185"/>
      <c r="G201" s="72">
        <f>IF($B201="","","SKL"&amp;"01"&amp;IF(I201="瞬发","01",IF(I201="切换","02",IF(I201="瞄准","03",IF(I201="蓄力","04",IF(I201="引导","05","00")))))&amp;"04"&amp;BASE(CODE(MID(B201,1,1))*1+CODE(MID(B201,2,1))*2+CODE(MID(B201,3,1))*3,36,2))</f>
      </c>
      <c r="H201" s="72">
        <f>IF($B201="","","ITB"&amp;VLOOKUP(E201,'引用数据库'!Z:AC,4,FALSE)&amp;"0000"&amp;BASE(CODE(MID(B201,1,1))*1+CODE(MID(B201,2,1))*2+CODE(MID(B201,3,1))*3,36,2))</f>
      </c>
      <c r="V201" s="214"/>
      <c r="W201" s="214"/>
      <c r="X201" s="215"/>
    </row>
    <row r="202">
      <c r="A202" s="15">
        <f>IF(ISBLANK(B202),"",A201+1)</f>
      </c>
      <c r="B202" s="3"/>
      <c r="E202" s="53"/>
      <c r="F202" s="185"/>
      <c r="G202" s="72">
        <f>IF($B202="","","SKL"&amp;"01"&amp;IF(I202="瞬发","01",IF(I202="切换","02",IF(I202="瞄准","03",IF(I202="蓄力","04",IF(I202="引导","05","00")))))&amp;"04"&amp;BASE(CODE(MID(B202,1,1))*1+CODE(MID(B202,2,1))*2+CODE(MID(B202,3,1))*3,36,2))</f>
      </c>
      <c r="H202" s="72">
        <f>IF($B202="","","ITB"&amp;VLOOKUP(E202,'引用数据库'!Z:AC,4,FALSE)&amp;"0000"&amp;BASE(CODE(MID(B202,1,1))*1+CODE(MID(B202,2,1))*2+CODE(MID(B202,3,1))*3,36,2))</f>
      </c>
      <c r="V202" s="214"/>
      <c r="W202" s="214"/>
      <c r="X202" s="215"/>
    </row>
    <row r="203">
      <c r="A203" s="15">
        <f>IF(ISBLANK(B203),"",A202+1)</f>
      </c>
      <c r="B203" s="3"/>
      <c r="E203" s="53"/>
      <c r="F203" s="185"/>
      <c r="G203" s="72">
        <f>IF($B203="","","SKL"&amp;"01"&amp;IF(I203="瞬发","01",IF(I203="切换","02",IF(I203="瞄准","03",IF(I203="蓄力","04",IF(I203="引导","05","00")))))&amp;"04"&amp;BASE(CODE(MID(B203,1,1))*1+CODE(MID(B203,2,1))*2+CODE(MID(B203,3,1))*3,36,2))</f>
      </c>
      <c r="H203" s="72">
        <f>IF($B203="","","ITB"&amp;VLOOKUP(E203,'引用数据库'!Z:AC,4,FALSE)&amp;"0000"&amp;BASE(CODE(MID(B203,1,1))*1+CODE(MID(B203,2,1))*2+CODE(MID(B203,3,1))*3,36,2))</f>
      </c>
      <c r="V203" s="214"/>
      <c r="W203" s="214"/>
      <c r="X203" s="215"/>
    </row>
    <row r="204">
      <c r="A204" s="15">
        <f>IF(ISBLANK(B204),"",A203+1)</f>
      </c>
      <c r="B204" s="3"/>
      <c r="E204" s="53"/>
      <c r="F204" s="185"/>
      <c r="G204" s="72">
        <f>IF($B204="","","SKL"&amp;"01"&amp;IF(I204="瞬发","01",IF(I204="切换","02",IF(I204="瞄准","03",IF(I204="蓄力","04",IF(I204="引导","05","00")))))&amp;"04"&amp;BASE(CODE(MID(B204,1,1))*1+CODE(MID(B204,2,1))*2+CODE(MID(B204,3,1))*3,36,2))</f>
      </c>
      <c r="H204" s="72">
        <f>IF($B204="","","ITB"&amp;VLOOKUP(E204,'引用数据库'!Z:AC,4,FALSE)&amp;"0000"&amp;BASE(CODE(MID(B204,1,1))*1+CODE(MID(B204,2,1))*2+CODE(MID(B204,3,1))*3,36,2))</f>
      </c>
      <c r="V204" s="214"/>
      <c r="W204" s="214"/>
      <c r="X204" s="215"/>
    </row>
    <row r="205">
      <c r="A205" s="15">
        <f>IF(ISBLANK(B205),"",A204+1)</f>
      </c>
      <c r="B205" s="3"/>
      <c r="E205" s="53"/>
      <c r="F205" s="185"/>
      <c r="G205" s="72">
        <f>IF($B205="","","SKL"&amp;"01"&amp;IF(I205="瞬发","01",IF(I205="切换","02",IF(I205="瞄准","03",IF(I205="蓄力","04",IF(I205="引导","05","00")))))&amp;"04"&amp;BASE(CODE(MID(B205,1,1))*1+CODE(MID(B205,2,1))*2+CODE(MID(B205,3,1))*3,36,2))</f>
      </c>
      <c r="H205" s="72">
        <f>IF($B205="","","ITB"&amp;VLOOKUP(E205,'引用数据库'!Z:AC,4,FALSE)&amp;"0000"&amp;BASE(CODE(MID(B205,1,1))*1+CODE(MID(B205,2,1))*2+CODE(MID(B205,3,1))*3,36,2))</f>
      </c>
      <c r="V205" s="214"/>
      <c r="W205" s="214"/>
      <c r="X205" s="215"/>
    </row>
    <row r="206">
      <c r="A206" s="15">
        <f>IF(ISBLANK(B206),"",A205+1)</f>
      </c>
      <c r="B206" s="3"/>
      <c r="E206" s="53"/>
      <c r="F206" s="185"/>
      <c r="G206" s="72">
        <f>IF($B206="","","SKL"&amp;"01"&amp;IF(I206="瞬发","01",IF(I206="切换","02",IF(I206="瞄准","03",IF(I206="蓄力","04",IF(I206="引导","05","00")))))&amp;"04"&amp;BASE(CODE(MID(B206,1,1))*1+CODE(MID(B206,2,1))*2+CODE(MID(B206,3,1))*3,36,2))</f>
      </c>
      <c r="H206" s="72">
        <f>IF($B206="","","ITB"&amp;VLOOKUP(E206,'引用数据库'!Z:AC,4,FALSE)&amp;"0000"&amp;BASE(CODE(MID(B206,1,1))*1+CODE(MID(B206,2,1))*2+CODE(MID(B206,3,1))*3,36,2))</f>
      </c>
      <c r="V206" s="214"/>
      <c r="W206" s="214"/>
      <c r="X206" s="215"/>
    </row>
    <row r="207">
      <c r="A207" s="15">
        <f>IF(ISBLANK(B207),"",A206+1)</f>
      </c>
      <c r="B207" s="3"/>
      <c r="E207" s="53"/>
      <c r="F207" s="185"/>
      <c r="G207" s="72">
        <f>IF($B207="","","SKL"&amp;"01"&amp;IF(I207="瞬发","01",IF(I207="切换","02",IF(I207="瞄准","03",IF(I207="蓄力","04",IF(I207="引导","05","00")))))&amp;"04"&amp;BASE(CODE(MID(B207,1,1))*1+CODE(MID(B207,2,1))*2+CODE(MID(B207,3,1))*3,36,2))</f>
      </c>
      <c r="H207" s="72">
        <f>IF($B207="","","ITB"&amp;VLOOKUP(E207,'引用数据库'!Z:AC,4,FALSE)&amp;"0000"&amp;BASE(CODE(MID(B207,1,1))*1+CODE(MID(B207,2,1))*2+CODE(MID(B207,3,1))*3,36,2))</f>
      </c>
      <c r="V207" s="214"/>
      <c r="W207" s="214"/>
      <c r="X207" s="215"/>
    </row>
    <row r="208">
      <c r="A208" s="15">
        <f>IF(ISBLANK(B208),"",A207+1)</f>
      </c>
      <c r="B208" s="3"/>
      <c r="E208" s="53"/>
      <c r="F208" s="185"/>
      <c r="G208" s="72">
        <f>IF($B208="","","SKL"&amp;"01"&amp;IF(I208="瞬发","01",IF(I208="切换","02",IF(I208="瞄准","03",IF(I208="蓄力","04",IF(I208="引导","05","00")))))&amp;"04"&amp;BASE(CODE(MID(B208,1,1))*1+CODE(MID(B208,2,1))*2+CODE(MID(B208,3,1))*3,36,2))</f>
      </c>
      <c r="H208" s="72">
        <f>IF($B208="","","ITB"&amp;VLOOKUP(E208,'引用数据库'!Z:AC,4,FALSE)&amp;"0000"&amp;BASE(CODE(MID(B208,1,1))*1+CODE(MID(B208,2,1))*2+CODE(MID(B208,3,1))*3,36,2))</f>
      </c>
      <c r="V208" s="214"/>
      <c r="W208" s="214"/>
      <c r="X208" s="215"/>
    </row>
    <row r="209">
      <c r="A209" s="15">
        <f>IF(ISBLANK(B209),"",A208+1)</f>
      </c>
      <c r="B209" s="3"/>
      <c r="E209" s="53"/>
      <c r="F209" s="185"/>
      <c r="G209" s="72">
        <f>IF($B209="","","SKL"&amp;"01"&amp;IF(I209="瞬发","01",IF(I209="切换","02",IF(I209="瞄准","03",IF(I209="蓄力","04",IF(I209="引导","05","00")))))&amp;"04"&amp;BASE(CODE(MID(B209,1,1))*1+CODE(MID(B209,2,1))*2+CODE(MID(B209,3,1))*3,36,2))</f>
      </c>
      <c r="H209" s="72">
        <f>IF($B209="","","ITB"&amp;VLOOKUP(E209,'引用数据库'!Z:AC,4,FALSE)&amp;"0000"&amp;BASE(CODE(MID(B209,1,1))*1+CODE(MID(B209,2,1))*2+CODE(MID(B209,3,1))*3,36,2))</f>
      </c>
      <c r="V209" s="214"/>
      <c r="W209" s="214"/>
      <c r="X209" s="215"/>
    </row>
    <row r="210">
      <c r="A210" s="15">
        <f>IF(ISBLANK(B210),"",A209+1)</f>
      </c>
      <c r="B210" s="3"/>
      <c r="E210" s="53"/>
      <c r="F210" s="185"/>
      <c r="G210" s="72">
        <f>IF($B210="","","SKL"&amp;"01"&amp;IF(I210="瞬发","01",IF(I210="切换","02",IF(I210="瞄准","03",IF(I210="蓄力","04",IF(I210="引导","05","00")))))&amp;"04"&amp;BASE(CODE(MID(B210,1,1))*1+CODE(MID(B210,2,1))*2+CODE(MID(B210,3,1))*3,36,2))</f>
      </c>
      <c r="H210" s="72">
        <f>IF($B210="","","ITB"&amp;VLOOKUP(E210,'引用数据库'!Z:AC,4,FALSE)&amp;"0000"&amp;BASE(CODE(MID(B210,1,1))*1+CODE(MID(B210,2,1))*2+CODE(MID(B210,3,1))*3,36,2))</f>
      </c>
      <c r="V210" s="214"/>
      <c r="W210" s="214"/>
      <c r="X210" s="215"/>
    </row>
    <row r="211">
      <c r="A211" s="15">
        <f>IF(ISBLANK(B211),"",A210+1)</f>
      </c>
      <c r="B211" s="3"/>
      <c r="E211" s="53"/>
      <c r="F211" s="185"/>
      <c r="G211" s="72">
        <f>IF($B211="","","SKL"&amp;"01"&amp;IF(I211="瞬发","01",IF(I211="切换","02",IF(I211="瞄准","03",IF(I211="蓄力","04",IF(I211="引导","05","00")))))&amp;"04"&amp;BASE(CODE(MID(B211,1,1))*1+CODE(MID(B211,2,1))*2+CODE(MID(B211,3,1))*3,36,2))</f>
      </c>
      <c r="H211" s="72">
        <f>IF($B211="","","ITB"&amp;VLOOKUP(E211,'引用数据库'!Z:AC,4,FALSE)&amp;"0000"&amp;BASE(CODE(MID(B211,1,1))*1+CODE(MID(B211,2,1))*2+CODE(MID(B211,3,1))*3,36,2))</f>
      </c>
      <c r="V211" s="214"/>
      <c r="W211" s="214"/>
      <c r="X211" s="215"/>
    </row>
    <row r="212">
      <c r="A212" s="15">
        <f>IF(ISBLANK(B212),"",A211+1)</f>
      </c>
      <c r="B212" s="3"/>
      <c r="E212" s="53"/>
      <c r="F212" s="185"/>
      <c r="G212" s="72">
        <f>IF($B212="","","SKL"&amp;"01"&amp;IF(I212="瞬发","01",IF(I212="切换","02",IF(I212="瞄准","03",IF(I212="蓄力","04",IF(I212="引导","05","00")))))&amp;"04"&amp;BASE(CODE(MID(B212,1,1))*1+CODE(MID(B212,2,1))*2+CODE(MID(B212,3,1))*3,36,2))</f>
      </c>
      <c r="H212" s="72">
        <f>IF($B212="","","ITB"&amp;VLOOKUP(E212,'引用数据库'!Z:AC,4,FALSE)&amp;"0000"&amp;BASE(CODE(MID(B212,1,1))*1+CODE(MID(B212,2,1))*2+CODE(MID(B212,3,1))*3,36,2))</f>
      </c>
      <c r="V212" s="214"/>
      <c r="W212" s="214"/>
      <c r="X212" s="215"/>
    </row>
    <row r="213">
      <c r="A213" s="15">
        <f>IF(ISBLANK(B213),"",A212+1)</f>
      </c>
      <c r="B213" s="3"/>
      <c r="E213" s="53"/>
      <c r="F213" s="185"/>
      <c r="G213" s="72">
        <f>IF($B213="","","SKL"&amp;"01"&amp;IF(I213="瞬发","01",IF(I213="切换","02",IF(I213="瞄准","03",IF(I213="蓄力","04",IF(I213="引导","05","00")))))&amp;"04"&amp;BASE(CODE(MID(B213,1,1))*1+CODE(MID(B213,2,1))*2+CODE(MID(B213,3,1))*3,36,2))</f>
      </c>
      <c r="H213" s="72">
        <f>IF($B213="","","ITB"&amp;VLOOKUP(E213,'引用数据库'!Z:AC,4,FALSE)&amp;"0000"&amp;BASE(CODE(MID(B213,1,1))*1+CODE(MID(B213,2,1))*2+CODE(MID(B213,3,1))*3,36,2))</f>
      </c>
      <c r="V213" s="214"/>
      <c r="W213" s="214"/>
      <c r="X213" s="215"/>
    </row>
    <row r="214">
      <c r="A214" s="15">
        <f>IF(ISBLANK(B214),"",A213+1)</f>
      </c>
      <c r="B214" s="3"/>
      <c r="E214" s="53"/>
      <c r="F214" s="185"/>
      <c r="G214" s="72">
        <f>IF($B214="","","SKL"&amp;"01"&amp;IF(I214="瞬发","01",IF(I214="切换","02",IF(I214="瞄准","03",IF(I214="蓄力","04",IF(I214="引导","05","00")))))&amp;"04"&amp;BASE(CODE(MID(B214,1,1))*1+CODE(MID(B214,2,1))*2+CODE(MID(B214,3,1))*3,36,2))</f>
      </c>
      <c r="H214" s="72">
        <f>IF($B214="","","ITB"&amp;VLOOKUP(E214,'引用数据库'!Z:AC,4,FALSE)&amp;"0000"&amp;BASE(CODE(MID(B214,1,1))*1+CODE(MID(B214,2,1))*2+CODE(MID(B214,3,1))*3,36,2))</f>
      </c>
      <c r="V214" s="214"/>
      <c r="W214" s="214"/>
      <c r="X214" s="215"/>
    </row>
    <row r="215">
      <c r="A215" s="15">
        <f>IF(ISBLANK(B215),"",A214+1)</f>
      </c>
      <c r="B215" s="3"/>
      <c r="E215" s="53"/>
      <c r="F215" s="185"/>
      <c r="G215" s="72">
        <f>IF($B215="","","SKL"&amp;"01"&amp;IF(I215="瞬发","01",IF(I215="切换","02",IF(I215="瞄准","03",IF(I215="蓄力","04",IF(I215="引导","05","00")))))&amp;"04"&amp;BASE(CODE(MID(B215,1,1))*1+CODE(MID(B215,2,1))*2+CODE(MID(B215,3,1))*3,36,2))</f>
      </c>
      <c r="H215" s="72">
        <f>IF($B215="","","ITB"&amp;VLOOKUP(E215,'引用数据库'!Z:AC,4,FALSE)&amp;"0000"&amp;BASE(CODE(MID(B215,1,1))*1+CODE(MID(B215,2,1))*2+CODE(MID(B215,3,1))*3,36,2))</f>
      </c>
      <c r="V215" s="214"/>
      <c r="W215" s="214"/>
      <c r="X215" s="215"/>
    </row>
    <row r="216">
      <c r="A216" s="15">
        <f>IF(ISBLANK(B216),"",A215+1)</f>
      </c>
      <c r="B216" s="3"/>
      <c r="E216" s="53"/>
      <c r="F216" s="185"/>
      <c r="G216" s="72">
        <f>IF($B216="","","SKL"&amp;"01"&amp;IF(I216="瞬发","01",IF(I216="切换","02",IF(I216="瞄准","03",IF(I216="蓄力","04",IF(I216="引导","05","00")))))&amp;"04"&amp;BASE(CODE(MID(B216,1,1))*1+CODE(MID(B216,2,1))*2+CODE(MID(B216,3,1))*3,36,2))</f>
      </c>
      <c r="H216" s="72">
        <f>IF($B216="","","ITB"&amp;VLOOKUP(E216,'引用数据库'!Z:AC,4,FALSE)&amp;"0000"&amp;BASE(CODE(MID(B216,1,1))*1+CODE(MID(B216,2,1))*2+CODE(MID(B216,3,1))*3,36,2))</f>
      </c>
      <c r="V216" s="214"/>
      <c r="W216" s="214"/>
      <c r="X216" s="215"/>
    </row>
    <row r="217">
      <c r="A217" s="15">
        <f>IF(ISBLANK(B217),"",A216+1)</f>
      </c>
      <c r="B217" s="3"/>
      <c r="E217" s="53"/>
      <c r="F217" s="185"/>
      <c r="G217" s="72">
        <f>IF($B217="","","SKL"&amp;"01"&amp;IF(I217="瞬发","01",IF(I217="切换","02",IF(I217="瞄准","03",IF(I217="蓄力","04",IF(I217="引导","05","00")))))&amp;"04"&amp;BASE(CODE(MID(B217,1,1))*1+CODE(MID(B217,2,1))*2+CODE(MID(B217,3,1))*3,36,2))</f>
      </c>
      <c r="H217" s="72">
        <f>IF($B217="","","ITB"&amp;VLOOKUP(E217,'引用数据库'!Z:AC,4,FALSE)&amp;"0000"&amp;BASE(CODE(MID(B217,1,1))*1+CODE(MID(B217,2,1))*2+CODE(MID(B217,3,1))*3,36,2))</f>
      </c>
      <c r="V217" s="214"/>
      <c r="W217" s="214"/>
      <c r="X217" s="215"/>
    </row>
    <row r="218">
      <c r="A218" s="15">
        <f>IF(ISBLANK(B218),"",A217+1)</f>
      </c>
      <c r="B218" s="3"/>
      <c r="E218" s="53"/>
      <c r="F218" s="185"/>
      <c r="G218" s="72">
        <f>IF($B218="","","SKL"&amp;"01"&amp;IF(I218="瞬发","01",IF(I218="切换","02",IF(I218="瞄准","03",IF(I218="蓄力","04",IF(I218="引导","05","00")))))&amp;"04"&amp;BASE(CODE(MID(B218,1,1))*1+CODE(MID(B218,2,1))*2+CODE(MID(B218,3,1))*3,36,2))</f>
      </c>
      <c r="H218" s="72">
        <f>IF($B218="","","ITB"&amp;VLOOKUP(E218,'引用数据库'!Z:AC,4,FALSE)&amp;"0000"&amp;BASE(CODE(MID(B218,1,1))*1+CODE(MID(B218,2,1))*2+CODE(MID(B218,3,1))*3,36,2))</f>
      </c>
      <c r="V218" s="214"/>
      <c r="W218" s="214"/>
      <c r="X218" s="215"/>
    </row>
    <row r="219">
      <c r="A219" s="15">
        <f>IF(ISBLANK(B219),"",A218+1)</f>
      </c>
      <c r="B219" s="3"/>
      <c r="E219" s="53"/>
      <c r="F219" s="185"/>
      <c r="G219" s="72">
        <f>IF($B219="","","SKL"&amp;"01"&amp;IF(I219="瞬发","01",IF(I219="切换","02",IF(I219="瞄准","03",IF(I219="蓄力","04",IF(I219="引导","05","00")))))&amp;"04"&amp;BASE(CODE(MID(B219,1,1))*1+CODE(MID(B219,2,1))*2+CODE(MID(B219,3,1))*3,36,2))</f>
      </c>
      <c r="H219" s="72">
        <f>IF($B219="","","ITB"&amp;VLOOKUP(E219,'引用数据库'!Z:AC,4,FALSE)&amp;"0000"&amp;BASE(CODE(MID(B219,1,1))*1+CODE(MID(B219,2,1))*2+CODE(MID(B219,3,1))*3,36,2))</f>
      </c>
      <c r="V219" s="214"/>
      <c r="W219" s="214"/>
      <c r="X219" s="215"/>
    </row>
    <row r="220">
      <c r="A220" s="15">
        <f>IF(ISBLANK(B220),"",A219+1)</f>
      </c>
      <c r="B220" s="3"/>
      <c r="E220" s="53"/>
      <c r="F220" s="185"/>
      <c r="G220" s="72">
        <f>IF($B220="","","SKL"&amp;"01"&amp;IF(I220="瞬发","01",IF(I220="切换","02",IF(I220="瞄准","03",IF(I220="蓄力","04",IF(I220="引导","05","00")))))&amp;"04"&amp;BASE(CODE(MID(B220,1,1))*1+CODE(MID(B220,2,1))*2+CODE(MID(B220,3,1))*3,36,2))</f>
      </c>
      <c r="H220" s="72">
        <f>IF($B220="","","ITB"&amp;VLOOKUP(E220,'引用数据库'!Z:AC,4,FALSE)&amp;"0000"&amp;BASE(CODE(MID(B220,1,1))*1+CODE(MID(B220,2,1))*2+CODE(MID(B220,3,1))*3,36,2))</f>
      </c>
      <c r="V220" s="214"/>
      <c r="W220" s="214"/>
      <c r="X220" s="215"/>
    </row>
    <row r="221">
      <c r="A221" s="15">
        <f>IF(ISBLANK(B221),"",A220+1)</f>
      </c>
      <c r="B221" s="3"/>
      <c r="E221" s="53"/>
      <c r="F221" s="185"/>
      <c r="G221" s="72">
        <f>IF($B221="","","SKL"&amp;"01"&amp;IF(I221="瞬发","01",IF(I221="切换","02",IF(I221="瞄准","03",IF(I221="蓄力","04",IF(I221="引导","05","00")))))&amp;"04"&amp;BASE(CODE(MID(B221,1,1))*1+CODE(MID(B221,2,1))*2+CODE(MID(B221,3,1))*3,36,2))</f>
      </c>
      <c r="H221" s="72">
        <f>IF($B221="","","ITB"&amp;VLOOKUP(E221,'引用数据库'!Z:AC,4,FALSE)&amp;"0000"&amp;BASE(CODE(MID(B221,1,1))*1+CODE(MID(B221,2,1))*2+CODE(MID(B221,3,1))*3,36,2))</f>
      </c>
      <c r="V221" s="214"/>
      <c r="W221" s="214"/>
      <c r="X221" s="215"/>
    </row>
    <row r="222">
      <c r="A222" s="15">
        <f>IF(ISBLANK(B222),"",A221+1)</f>
      </c>
      <c r="B222" s="3"/>
      <c r="E222" s="53"/>
      <c r="F222" s="185"/>
      <c r="G222" s="72">
        <f>IF($B222="","","SKL"&amp;"01"&amp;IF(I222="瞬发","01",IF(I222="切换","02",IF(I222="瞄准","03",IF(I222="蓄力","04",IF(I222="引导","05","00")))))&amp;"04"&amp;BASE(CODE(MID(B222,1,1))*1+CODE(MID(B222,2,1))*2+CODE(MID(B222,3,1))*3,36,2))</f>
      </c>
      <c r="H222" s="72">
        <f>IF($B222="","","ITB"&amp;VLOOKUP(E222,'引用数据库'!Z:AC,4,FALSE)&amp;"0000"&amp;BASE(CODE(MID(B222,1,1))*1+CODE(MID(B222,2,1))*2+CODE(MID(B222,3,1))*3,36,2))</f>
      </c>
      <c r="V222" s="214"/>
      <c r="W222" s="214"/>
      <c r="X222" s="215"/>
    </row>
    <row r="223">
      <c r="A223" s="15">
        <f>IF(ISBLANK(B223),"",A222+1)</f>
      </c>
      <c r="B223" s="3"/>
      <c r="E223" s="53"/>
      <c r="F223" s="185"/>
      <c r="G223" s="72">
        <f>IF($B223="","","SKL"&amp;"01"&amp;IF(I223="瞬发","01",IF(I223="切换","02",IF(I223="瞄准","03",IF(I223="蓄力","04",IF(I223="引导","05","00")))))&amp;"04"&amp;BASE(CODE(MID(B223,1,1))*1+CODE(MID(B223,2,1))*2+CODE(MID(B223,3,1))*3,36,2))</f>
      </c>
      <c r="H223" s="72">
        <f>IF($B223="","","ITB"&amp;VLOOKUP(E223,'引用数据库'!Z:AC,4,FALSE)&amp;"0000"&amp;BASE(CODE(MID(B223,1,1))*1+CODE(MID(B223,2,1))*2+CODE(MID(B223,3,1))*3,36,2))</f>
      </c>
      <c r="V223" s="214"/>
      <c r="W223" s="214"/>
      <c r="X223" s="215"/>
    </row>
    <row r="224">
      <c r="A224" s="15">
        <f>IF(ISBLANK(B224),"",A223+1)</f>
      </c>
      <c r="B224" s="3"/>
      <c r="E224" s="53"/>
      <c r="F224" s="185"/>
      <c r="G224" s="72">
        <f>IF($B224="","","SKL"&amp;"01"&amp;IF(I224="瞬发","01",IF(I224="切换","02",IF(I224="瞄准","03",IF(I224="蓄力","04",IF(I224="引导","05","00")))))&amp;"04"&amp;BASE(CODE(MID(B224,1,1))*1+CODE(MID(B224,2,1))*2+CODE(MID(B224,3,1))*3,36,2))</f>
      </c>
      <c r="H224" s="72">
        <f>IF($B224="","","ITB"&amp;VLOOKUP(E224,'引用数据库'!Z:AC,4,FALSE)&amp;"0000"&amp;BASE(CODE(MID(B224,1,1))*1+CODE(MID(B224,2,1))*2+CODE(MID(B224,3,1))*3,36,2))</f>
      </c>
      <c r="V224" s="214"/>
      <c r="W224" s="214"/>
      <c r="X224" s="215"/>
    </row>
    <row r="225">
      <c r="A225" s="15">
        <f>IF(ISBLANK(B225),"",A224+1)</f>
      </c>
      <c r="B225" s="3"/>
      <c r="E225" s="53"/>
      <c r="F225" s="185"/>
      <c r="G225" s="72">
        <f>IF($B225="","","SKL"&amp;"01"&amp;IF(I225="瞬发","01",IF(I225="切换","02",IF(I225="瞄准","03",IF(I225="蓄力","04",IF(I225="引导","05","00")))))&amp;"04"&amp;BASE(CODE(MID(B225,1,1))*1+CODE(MID(B225,2,1))*2+CODE(MID(B225,3,1))*3,36,2))</f>
      </c>
      <c r="H225" s="72">
        <f>IF($B225="","","ITB"&amp;VLOOKUP(E225,'引用数据库'!Z:AC,4,FALSE)&amp;"0000"&amp;BASE(CODE(MID(B225,1,1))*1+CODE(MID(B225,2,1))*2+CODE(MID(B225,3,1))*3,36,2))</f>
      </c>
      <c r="V225" s="214"/>
      <c r="W225" s="214"/>
      <c r="X225" s="215"/>
    </row>
    <row r="226">
      <c r="A226" s="15">
        <f>IF(ISBLANK(B226),"",A225+1)</f>
      </c>
      <c r="B226" s="3"/>
      <c r="E226" s="53"/>
      <c r="F226" s="185"/>
      <c r="G226" s="72">
        <f>IF($B226="","","SKL"&amp;"01"&amp;IF(I226="瞬发","01",IF(I226="切换","02",IF(I226="瞄准","03",IF(I226="蓄力","04",IF(I226="引导","05","00")))))&amp;"04"&amp;BASE(CODE(MID(B226,1,1))*1+CODE(MID(B226,2,1))*2+CODE(MID(B226,3,1))*3,36,2))</f>
      </c>
      <c r="H226" s="72">
        <f>IF($B226="","","ITB"&amp;VLOOKUP(E226,'引用数据库'!Z:AC,4,FALSE)&amp;"0000"&amp;BASE(CODE(MID(B226,1,1))*1+CODE(MID(B226,2,1))*2+CODE(MID(B226,3,1))*3,36,2))</f>
      </c>
      <c r="V226" s="214"/>
      <c r="W226" s="214"/>
      <c r="X226" s="215"/>
    </row>
    <row r="227">
      <c r="A227" s="15">
        <f>IF(ISBLANK(B227),"",A226+1)</f>
      </c>
      <c r="B227" s="3"/>
      <c r="E227" s="53"/>
      <c r="F227" s="185"/>
      <c r="G227" s="72">
        <f>IF($B227="","","SKL"&amp;"01"&amp;IF(I227="瞬发","01",IF(I227="切换","02",IF(I227="瞄准","03",IF(I227="蓄力","04",IF(I227="引导","05","00")))))&amp;"04"&amp;BASE(CODE(MID(B227,1,1))*1+CODE(MID(B227,2,1))*2+CODE(MID(B227,3,1))*3,36,2))</f>
      </c>
      <c r="H227" s="72">
        <f>IF($B227="","","ITB"&amp;VLOOKUP(E227,'引用数据库'!Z:AC,4,FALSE)&amp;"0000"&amp;BASE(CODE(MID(B227,1,1))*1+CODE(MID(B227,2,1))*2+CODE(MID(B227,3,1))*3,36,2))</f>
      </c>
      <c r="V227" s="214"/>
      <c r="W227" s="214"/>
      <c r="X227" s="215"/>
    </row>
    <row r="228">
      <c r="A228" s="15">
        <f>IF(ISBLANK(B228),"",A227+1)</f>
      </c>
      <c r="B228" s="3"/>
      <c r="E228" s="53"/>
      <c r="F228" s="185"/>
      <c r="G228" s="72">
        <f>IF($B228="","","SKL"&amp;"01"&amp;IF(I228="瞬发","01",IF(I228="切换","02",IF(I228="瞄准","03",IF(I228="蓄力","04",IF(I228="引导","05","00")))))&amp;"04"&amp;BASE(CODE(MID(B228,1,1))*1+CODE(MID(B228,2,1))*2+CODE(MID(B228,3,1))*3,36,2))</f>
      </c>
      <c r="H228" s="72">
        <f>IF($B228="","","ITB"&amp;VLOOKUP(E228,'引用数据库'!Z:AC,4,FALSE)&amp;"0000"&amp;BASE(CODE(MID(B228,1,1))*1+CODE(MID(B228,2,1))*2+CODE(MID(B228,3,1))*3,36,2))</f>
      </c>
      <c r="V228" s="214"/>
      <c r="W228" s="214"/>
      <c r="X228" s="215"/>
    </row>
    <row r="229">
      <c r="A229" s="15">
        <f>IF(ISBLANK(B229),"",A228+1)</f>
      </c>
      <c r="B229" s="3"/>
      <c r="E229" s="53"/>
      <c r="F229" s="185"/>
      <c r="G229" s="72">
        <f>IF($B229="","","SKL"&amp;"01"&amp;IF(I229="瞬发","01",IF(I229="切换","02",IF(I229="瞄准","03",IF(I229="蓄力","04",IF(I229="引导","05","00")))))&amp;"04"&amp;BASE(CODE(MID(B229,1,1))*1+CODE(MID(B229,2,1))*2+CODE(MID(B229,3,1))*3,36,2))</f>
      </c>
      <c r="H229" s="72">
        <f>IF($B229="","","ITB"&amp;VLOOKUP(E229,'引用数据库'!Z:AC,4,FALSE)&amp;"0000"&amp;BASE(CODE(MID(B229,1,1))*1+CODE(MID(B229,2,1))*2+CODE(MID(B229,3,1))*3,36,2))</f>
      </c>
      <c r="V229" s="214"/>
      <c r="W229" s="214"/>
      <c r="X229" s="215"/>
    </row>
    <row r="230">
      <c r="A230" s="15">
        <f>IF(ISBLANK(B230),"",A229+1)</f>
      </c>
      <c r="B230" s="3"/>
      <c r="E230" s="53"/>
      <c r="F230" s="185"/>
      <c r="G230" s="72">
        <f>IF($B230="","","SKL"&amp;"01"&amp;IF(I230="瞬发","01",IF(I230="切换","02",IF(I230="瞄准","03",IF(I230="蓄力","04",IF(I230="引导","05","00")))))&amp;"04"&amp;BASE(CODE(MID(B230,1,1))*1+CODE(MID(B230,2,1))*2+CODE(MID(B230,3,1))*3,36,2))</f>
      </c>
      <c r="H230" s="72">
        <f>IF($B230="","","ITB"&amp;VLOOKUP(E230,'引用数据库'!Z:AC,4,FALSE)&amp;"0000"&amp;BASE(CODE(MID(B230,1,1))*1+CODE(MID(B230,2,1))*2+CODE(MID(B230,3,1))*3,36,2))</f>
      </c>
      <c r="V230" s="214"/>
      <c r="W230" s="214"/>
      <c r="X230" s="215"/>
    </row>
    <row r="231">
      <c r="A231" s="15">
        <f>IF(ISBLANK(B231),"",A230+1)</f>
      </c>
      <c r="B231" s="3"/>
      <c r="E231" s="53"/>
      <c r="F231" s="185"/>
      <c r="G231" s="72">
        <f>IF($B231="","","SKL"&amp;"01"&amp;IF(I231="瞬发","01",IF(I231="切换","02",IF(I231="瞄准","03",IF(I231="蓄力","04",IF(I231="引导","05","00")))))&amp;"04"&amp;BASE(CODE(MID(B231,1,1))*1+CODE(MID(B231,2,1))*2+CODE(MID(B231,3,1))*3,36,2))</f>
      </c>
      <c r="H231" s="72">
        <f>IF($B231="","","ITB"&amp;VLOOKUP(E231,'引用数据库'!Z:AC,4,FALSE)&amp;"0000"&amp;BASE(CODE(MID(B231,1,1))*1+CODE(MID(B231,2,1))*2+CODE(MID(B231,3,1))*3,36,2))</f>
      </c>
      <c r="V231" s="214"/>
      <c r="W231" s="214"/>
      <c r="X231" s="215"/>
    </row>
    <row r="232">
      <c r="A232" s="15">
        <f>IF(ISBLANK(B232),"",A231+1)</f>
      </c>
      <c r="B232" s="3"/>
      <c r="E232" s="53"/>
      <c r="F232" s="185"/>
      <c r="G232" s="72">
        <f>IF($B232="","","SKL"&amp;"01"&amp;IF(I232="瞬发","01",IF(I232="切换","02",IF(I232="瞄准","03",IF(I232="蓄力","04",IF(I232="引导","05","00")))))&amp;"04"&amp;BASE(CODE(MID(B232,1,1))*1+CODE(MID(B232,2,1))*2+CODE(MID(B232,3,1))*3,36,2))</f>
      </c>
      <c r="H232" s="72">
        <f>IF($B232="","","ITB"&amp;VLOOKUP(E232,'引用数据库'!Z:AC,4,FALSE)&amp;"0000"&amp;BASE(CODE(MID(B232,1,1))*1+CODE(MID(B232,2,1))*2+CODE(MID(B232,3,1))*3,36,2))</f>
      </c>
      <c r="V232" s="214"/>
      <c r="W232" s="214"/>
      <c r="X232" s="215"/>
    </row>
    <row r="233">
      <c r="A233" s="15">
        <f>IF(ISBLANK(B233),"",A232+1)</f>
      </c>
      <c r="B233" s="3"/>
      <c r="E233" s="53"/>
      <c r="F233" s="185"/>
      <c r="G233" s="72">
        <f>IF($B233="","","SKL"&amp;"01"&amp;IF(I233="瞬发","01",IF(I233="切换","02",IF(I233="瞄准","03",IF(I233="蓄力","04",IF(I233="引导","05","00")))))&amp;"04"&amp;BASE(CODE(MID(B233,1,1))*1+CODE(MID(B233,2,1))*2+CODE(MID(B233,3,1))*3,36,2))</f>
      </c>
      <c r="H233" s="72">
        <f>IF($B233="","","ITB"&amp;VLOOKUP(E233,'引用数据库'!Z:AC,4,FALSE)&amp;"0000"&amp;BASE(CODE(MID(B233,1,1))*1+CODE(MID(B233,2,1))*2+CODE(MID(B233,3,1))*3,36,2))</f>
      </c>
      <c r="V233" s="214"/>
      <c r="W233" s="214"/>
      <c r="X233" s="215"/>
    </row>
    <row r="234">
      <c r="A234" s="15">
        <f>IF(ISBLANK(B234),"",A233+1)</f>
      </c>
      <c r="B234" s="3"/>
      <c r="E234" s="53"/>
      <c r="F234" s="185"/>
      <c r="G234" s="72">
        <f>IF($B234="","","SKL"&amp;"01"&amp;IF(I234="瞬发","01",IF(I234="切换","02",IF(I234="瞄准","03",IF(I234="蓄力","04",IF(I234="引导","05","00")))))&amp;"04"&amp;BASE(CODE(MID(B234,1,1))*1+CODE(MID(B234,2,1))*2+CODE(MID(B234,3,1))*3,36,2))</f>
      </c>
      <c r="H234" s="72">
        <f>IF($B234="","","ITB"&amp;VLOOKUP(E234,'引用数据库'!Z:AC,4,FALSE)&amp;"0000"&amp;BASE(CODE(MID(B234,1,1))*1+CODE(MID(B234,2,1))*2+CODE(MID(B234,3,1))*3,36,2))</f>
      </c>
      <c r="V234" s="214"/>
      <c r="W234" s="214"/>
      <c r="X234" s="215"/>
    </row>
    <row r="235">
      <c r="A235" s="15">
        <f>IF(ISBLANK(B235),"",A234+1)</f>
      </c>
      <c r="B235" s="3"/>
      <c r="E235" s="53"/>
      <c r="F235" s="185"/>
      <c r="G235" s="72">
        <f>IF($B235="","","SKL"&amp;"01"&amp;IF(I235="瞬发","01",IF(I235="切换","02",IF(I235="瞄准","03",IF(I235="蓄力","04",IF(I235="引导","05","00")))))&amp;"04"&amp;BASE(CODE(MID(B235,1,1))*1+CODE(MID(B235,2,1))*2+CODE(MID(B235,3,1))*3,36,2))</f>
      </c>
      <c r="H235" s="72">
        <f>IF($B235="","","ITB"&amp;VLOOKUP(E235,'引用数据库'!Z:AC,4,FALSE)&amp;"0000"&amp;BASE(CODE(MID(B235,1,1))*1+CODE(MID(B235,2,1))*2+CODE(MID(B235,3,1))*3,36,2))</f>
      </c>
      <c r="V235" s="214"/>
      <c r="W235" s="214"/>
      <c r="X235" s="215"/>
    </row>
    <row r="236">
      <c r="A236" s="15">
        <f>IF(ISBLANK(B236),"",A235+1)</f>
      </c>
      <c r="B236" s="3"/>
      <c r="E236" s="53"/>
      <c r="F236" s="185"/>
      <c r="G236" s="72">
        <f>IF($B236="","","SKL"&amp;"01"&amp;IF(I236="瞬发","01",IF(I236="切换","02",IF(I236="瞄准","03",IF(I236="蓄力","04",IF(I236="引导","05","00")))))&amp;"04"&amp;BASE(CODE(MID(B236,1,1))*1+CODE(MID(B236,2,1))*2+CODE(MID(B236,3,1))*3,36,2))</f>
      </c>
      <c r="H236" s="72">
        <f>IF($B236="","","ITB"&amp;VLOOKUP(E236,'引用数据库'!Z:AC,4,FALSE)&amp;"0000"&amp;BASE(CODE(MID(B236,1,1))*1+CODE(MID(B236,2,1))*2+CODE(MID(B236,3,1))*3,36,2))</f>
      </c>
      <c r="V236" s="214"/>
      <c r="W236" s="214"/>
      <c r="X236" s="215"/>
    </row>
    <row r="237">
      <c r="A237" s="15">
        <f>IF(ISBLANK(B237),"",A236+1)</f>
      </c>
      <c r="B237" s="3"/>
      <c r="E237" s="53"/>
      <c r="F237" s="185"/>
      <c r="G237" s="72">
        <f>IF($B237="","","SKL"&amp;"01"&amp;IF(I237="瞬发","01",IF(I237="切换","02",IF(I237="瞄准","03",IF(I237="蓄力","04",IF(I237="引导","05","00")))))&amp;"04"&amp;BASE(CODE(MID(B237,1,1))*1+CODE(MID(B237,2,1))*2+CODE(MID(B237,3,1))*3,36,2))</f>
      </c>
      <c r="H237" s="72">
        <f>IF($B237="","","ITB"&amp;VLOOKUP(E237,'引用数据库'!Z:AC,4,FALSE)&amp;"0000"&amp;BASE(CODE(MID(B237,1,1))*1+CODE(MID(B237,2,1))*2+CODE(MID(B237,3,1))*3,36,2))</f>
      </c>
      <c r="V237" s="214"/>
      <c r="W237" s="214"/>
      <c r="X237" s="215"/>
    </row>
    <row r="238">
      <c r="A238" s="15">
        <f>IF(ISBLANK(B238),"",A237+1)</f>
      </c>
      <c r="B238" s="3"/>
      <c r="E238" s="53"/>
      <c r="F238" s="185"/>
      <c r="G238" s="72">
        <f>IF($B238="","","SKL"&amp;"01"&amp;IF(I238="瞬发","01",IF(I238="切换","02",IF(I238="瞄准","03",IF(I238="蓄力","04",IF(I238="引导","05","00")))))&amp;"04"&amp;BASE(CODE(MID(B238,1,1))*1+CODE(MID(B238,2,1))*2+CODE(MID(B238,3,1))*3,36,2))</f>
      </c>
      <c r="H238" s="72">
        <f>IF($B238="","","ITB"&amp;VLOOKUP(E238,'引用数据库'!Z:AC,4,FALSE)&amp;"0000"&amp;BASE(CODE(MID(B238,1,1))*1+CODE(MID(B238,2,1))*2+CODE(MID(B238,3,1))*3,36,2))</f>
      </c>
      <c r="V238" s="214"/>
      <c r="W238" s="214"/>
      <c r="X238" s="215"/>
    </row>
    <row r="239">
      <c r="A239" s="15">
        <f>IF(ISBLANK(B239),"",A238+1)</f>
      </c>
      <c r="B239" s="3"/>
      <c r="E239" s="53"/>
      <c r="F239" s="185"/>
      <c r="G239" s="72">
        <f>IF($B239="","","SKL"&amp;"01"&amp;IF(I239="瞬发","01",IF(I239="切换","02",IF(I239="瞄准","03",IF(I239="蓄力","04",IF(I239="引导","05","00")))))&amp;"04"&amp;BASE(CODE(MID(B239,1,1))*1+CODE(MID(B239,2,1))*2+CODE(MID(B239,3,1))*3,36,2))</f>
      </c>
      <c r="H239" s="72">
        <f>IF($B239="","","ITB"&amp;VLOOKUP(E239,'引用数据库'!Z:AC,4,FALSE)&amp;"0000"&amp;BASE(CODE(MID(B239,1,1))*1+CODE(MID(B239,2,1))*2+CODE(MID(B239,3,1))*3,36,2))</f>
      </c>
      <c r="V239" s="214"/>
      <c r="W239" s="214"/>
      <c r="X239" s="215"/>
    </row>
    <row r="240">
      <c r="A240" s="15">
        <f>IF(ISBLANK(B240),"",A239+1)</f>
      </c>
      <c r="B240" s="3"/>
      <c r="E240" s="53"/>
      <c r="F240" s="185"/>
      <c r="G240" s="72">
        <f>IF($B240="","","SKL"&amp;"01"&amp;IF(I240="瞬发","01",IF(I240="切换","02",IF(I240="瞄准","03",IF(I240="蓄力","04",IF(I240="引导","05","00")))))&amp;"04"&amp;BASE(CODE(MID(B240,1,1))*1+CODE(MID(B240,2,1))*2+CODE(MID(B240,3,1))*3,36,2))</f>
      </c>
      <c r="H240" s="72">
        <f>IF($B240="","","ITB"&amp;VLOOKUP(E240,'引用数据库'!Z:AC,4,FALSE)&amp;"0000"&amp;BASE(CODE(MID(B240,1,1))*1+CODE(MID(B240,2,1))*2+CODE(MID(B240,3,1))*3,36,2))</f>
      </c>
      <c r="V240" s="214"/>
      <c r="W240" s="214"/>
      <c r="X240" s="215"/>
    </row>
    <row r="241">
      <c r="A241" s="15">
        <f>IF(ISBLANK(B241),"",A240+1)</f>
      </c>
      <c r="B241" s="3"/>
      <c r="E241" s="53"/>
      <c r="F241" s="185"/>
      <c r="G241" s="72">
        <f>IF($B241="","","SKL"&amp;"01"&amp;IF(I241="瞬发","01",IF(I241="切换","02",IF(I241="瞄准","03",IF(I241="蓄力","04",IF(I241="引导","05","00")))))&amp;"04"&amp;BASE(CODE(MID(B241,1,1))*1+CODE(MID(B241,2,1))*2+CODE(MID(B241,3,1))*3,36,2))</f>
      </c>
      <c r="H241" s="72">
        <f>IF($B241="","","ITB"&amp;VLOOKUP(E241,'引用数据库'!Z:AC,4,FALSE)&amp;"0000"&amp;BASE(CODE(MID(B241,1,1))*1+CODE(MID(B241,2,1))*2+CODE(MID(B241,3,1))*3,36,2))</f>
      </c>
      <c r="V241" s="214"/>
      <c r="W241" s="214"/>
      <c r="X241" s="215"/>
    </row>
    <row r="242">
      <c r="A242" s="15">
        <f>IF(ISBLANK(B242),"",A241+1)</f>
      </c>
      <c r="B242" s="3"/>
      <c r="E242" s="53"/>
      <c r="F242" s="185"/>
      <c r="G242" s="72">
        <f>IF($B242="","","SKL"&amp;"01"&amp;IF(I242="瞬发","01",IF(I242="切换","02",IF(I242="瞄准","03",IF(I242="蓄力","04",IF(I242="引导","05","00")))))&amp;"04"&amp;BASE(CODE(MID(B242,1,1))*1+CODE(MID(B242,2,1))*2+CODE(MID(B242,3,1))*3,36,2))</f>
      </c>
      <c r="H242" s="72">
        <f>IF($B242="","","ITB"&amp;VLOOKUP(E242,'引用数据库'!Z:AC,4,FALSE)&amp;"0000"&amp;BASE(CODE(MID(B242,1,1))*1+CODE(MID(B242,2,1))*2+CODE(MID(B242,3,1))*3,36,2))</f>
      </c>
      <c r="V242" s="214"/>
      <c r="W242" s="214"/>
      <c r="X242" s="215"/>
    </row>
  </sheetData>
  <dataValidations count="5">
    <dataValidation allowBlank="true" errorStyle="stop" showDropDown="true" showErrorMessage="true" sqref="AA3:AA128 AB3:AB128 AC3:AC128" type="list">
      <formula1>"待办,要改,在做,测试,完成,不急"</formula1>
    </dataValidation>
    <dataValidation allowBlank="true" errorStyle="stop" showDropDown="true" showErrorMessage="true" sqref="AD3:AD163" type="list">
      <formula1>"@阿之,@Decay,@小唐"</formula1>
    </dataValidation>
    <dataValidation allowBlank="true" errorStyle="stop" showDropDown="true" showErrorMessage="true" sqref="K3:K158" type="list">
      <formula1>"扇形,线性,圆形,N/A"</formula1>
    </dataValidation>
    <dataValidation allowBlank="true" errorStyle="stop" showDropDown="true" showErrorMessage="true" sqref="I3:I158" type="list">
      <formula1>"瞬发,切换,瞄准,蓄力,引导"</formula1>
    </dataValidation>
    <dataValidation allowBlank="true" errorStyle="stop" showDropDown="true" showErrorMessage="true" sqref="J3:J158" type="list">
      <formula1>"定点,定向,N/A"</formula1>
    </dataValidation>
  </dataValidations>
  <extLst>
    <ext xmlns:x14="http://schemas.microsoft.com/office/spreadsheetml/2009/9/main" uri="{CCE6A557-97BC-4b89-ADB6-D9C93CAAB3DF}">
      <x14:dataValidations xmlns:xm="http://schemas.microsoft.com/office/excel/2006/main" count="1">
        <x14:dataValidation type="list" allowBlank="true" errorStyle="stop" showDropDown="true" showErrorMessage="true" xr:uid="{F6034FE3-A88F-4F69-8172-556D2523E736}">
          <x14:formula1>
            <xm:f>'引用数据库'!$Z$2:$Z$20</xm:f>
          </x14:formula1>
          <xm:sqref>E3:E242</xm:sqref>
        </x14:dataValidation>
      </x14:dataValidations>
    </ext>
  </extLst>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64e8d6"/>
    <outlinePr summaryBelow="false" summaryRight="false"/>
  </sheetPr>
  <dimension ref="A1"/>
  <sheetViews>
    <sheetView showGridLines="true" workbookViewId="0">
      <pane state="frozen" topLeftCell="F2" xSplit="5" ySplit="1"/>
    </sheetView>
  </sheetViews>
  <sheetFormatPr defaultColWidth="14" defaultRowHeight="19"/>
  <cols>
    <col collapsed="false" hidden="false" max="1" min="1" style="0" width="13"/>
    <col collapsed="false" customWidth="true" hidden="false" max="2" min="2" outlineLevel="1" style="0" width="13"/>
    <col collapsed="false" customWidth="true" hidden="false" max="3" min="3" outlineLevel="1" style="0" width="13"/>
    <col collapsed="false" customWidth="true" hidden="false" max="4" min="4" outlineLevel="1" style="0" width="13"/>
    <col collapsed="false" customWidth="true" hidden="false" max="5" min="5" outlineLevel="1" style="0" width="10"/>
    <col collapsed="false" customWidth="true" hidden="false" max="6" min="6" outlineLevel="1" style="0" width="10"/>
    <col collapsed="false" customWidth="true" hidden="false" max="7" min="7" outlineLevel="1" style="0" width="6"/>
    <col collapsed="false" customWidth="true" hidden="false" max="8" min="8" outlineLevel="1" style="0" width="13"/>
    <col collapsed="false" hidden="false" max="9" min="9" outlineLevel="1" style="0" width="1"/>
    <col collapsed="false" customWidth="true" hidden="false" max="10" min="10" outlineLevel="2" style="0" width="1"/>
    <col collapsed="false" customWidth="true" hidden="false" max="11" min="11" outlineLevel="2" style="0" width="7"/>
    <col collapsed="false" customWidth="true" hidden="false" max="12" min="12" outlineLevel="2" style="0" width="7"/>
    <col collapsed="false" customWidth="true" hidden="false" max="13" min="13" outlineLevel="2" style="0" width="7"/>
    <col collapsed="false" customWidth="true" hidden="false" max="14" min="14" outlineLevel="1" style="0" width="10"/>
    <col collapsed="false" customWidth="true" hidden="false" max="15" min="15" outlineLevel="1" style="0" width="10"/>
    <col collapsed="false" customWidth="true" hidden="false" max="16" min="16" outlineLevel="1" style="0" width="9"/>
    <col collapsed="false" customWidth="true" hidden="false" max="17" min="17" outlineLevel="1" style="0" width="9"/>
    <col collapsed="false" customWidth="true" hidden="false" max="18" min="18" outlineLevel="1" style="0" width="9"/>
    <col collapsed="false" hidden="false" max="19" min="19" style="0" width="33"/>
    <col collapsed="true" hidden="false" max="20" min="20" outlineLevel="1" style="0" width="33"/>
    <col collapsed="false" customWidth="true" hidden="true" max="21" min="21" outlineLevel="2" style="0" width="33"/>
    <col collapsed="false" customWidth="true" hidden="true" max="22" min="22" outlineLevel="2" style="0" width="33"/>
    <col collapsed="false" customWidth="true" hidden="true" max="23" min="23" outlineLevel="2" style="0" width="33"/>
    <col collapsed="false" customWidth="true" hidden="false" max="24" min="24" outlineLevel="1" style="0" width="33"/>
    <col collapsed="false" customWidth="true" hidden="false" max="25" min="25" style="0" width="1"/>
    <col collapsed="true" hidden="false" max="26" min="26" style="0" width="10"/>
    <col collapsed="false" customWidth="true" hidden="true" max="27" min="27" outlineLevel="1" style="0" width="10"/>
    <col collapsed="false" customWidth="true" hidden="true" max="28" min="28" outlineLevel="1" style="0" width="10"/>
    <col collapsed="false" customWidth="true" hidden="true" max="29" min="29" outlineLevel="1" style="0" width="10"/>
    <col collapsed="false" customWidth="true" hidden="true" max="30" min="30" outlineLevel="1" style="0" width="10"/>
    <col collapsed="true" hidden="false" max="31" min="31" style="0" width="6"/>
    <col collapsed="false" customWidth="true" hidden="true" max="32" min="32" outlineLevel="1" style="0" width="6"/>
    <col collapsed="false" customWidth="true" hidden="true" max="33" min="33" outlineLevel="1" style="0" width="6"/>
    <col collapsed="false" customWidth="true" hidden="true" max="34" min="34" outlineLevel="1" style="0" width="6"/>
    <col collapsed="false" customWidth="true" hidden="false" max="35" min="35" style="0" width="1"/>
    <col collapsed="false" customWidth="true" hidden="false" max="36" min="36" style="0" width="8"/>
    <col collapsed="false" customWidth="true" hidden="false" max="37" min="37" style="0" width="7"/>
    <col collapsed="false" customWidth="true" hidden="false" max="38" min="38" style="0" width="6"/>
    <col collapsed="false" customWidth="true" hidden="false" max="39" min="39" style="0" width="6"/>
    <col collapsed="false" hidden="false" max="40" min="40" style="0" width="8"/>
    <col collapsed="false" customWidth="true" hidden="false" max="41" min="41" outlineLevel="1" style="0" width="8"/>
  </cols>
  <sheetData>
    <row r="1">
      <c r="A1" s="239" t="str">
        <v>Name Config</v>
      </c>
      <c r="B1" s="239" t="str">
        <v>Name EN</v>
      </c>
      <c r="C1" s="239" t="str">
        <v>中文名称</v>
      </c>
      <c r="D1" s="239" t="str">
        <v>技能名称</v>
      </c>
      <c r="E1" s="19" t="str">
        <v>阵营</v>
      </c>
      <c r="F1" s="19" t="str">
        <v>类型</v>
      </c>
      <c r="G1" s="239" t="str">
        <v>Idx</v>
      </c>
      <c r="H1" s="223" t="str">
        <v>技能UUID</v>
      </c>
      <c r="I1" s="223" t="str">
        <v>装备UUID</v>
      </c>
      <c r="J1" s="124"/>
      <c r="K1" s="19" t="str">
        <v>力量</v>
      </c>
      <c r="L1" s="19" t="str">
        <v>反应</v>
      </c>
      <c r="M1" s="19" t="str">
        <v>智力</v>
      </c>
      <c r="N1" s="106" t="str">
        <v>目标单项</v>
      </c>
      <c r="O1" s="235" t="str">
        <v>最大单项</v>
      </c>
      <c r="P1" s="106" t="str">
        <v>目标和</v>
      </c>
      <c r="Q1" s="235" t="str">
        <v>属性和</v>
      </c>
      <c r="R1" s="106" t="str">
        <v>惩罚率</v>
      </c>
      <c r="S1" s="139"/>
      <c r="T1" s="140" t="str">
        <v>技能描述</v>
      </c>
      <c r="U1" s="201" t="str">
        <v>显性数值</v>
      </c>
      <c r="V1" s="201" t="str">
        <v>引用数值</v>
      </c>
      <c r="W1" s="198" t="str">
        <v>隐性数值</v>
      </c>
      <c r="X1" s="239" t="str">
        <v>义体描述</v>
      </c>
      <c r="Y1" s="199"/>
      <c r="Z1" s="199" t="str">
        <v>装备系列</v>
      </c>
      <c r="AA1" s="199" t="str">
        <v>行为TAG</v>
      </c>
      <c r="AB1" s="199" t="str">
        <v>状态TAG</v>
      </c>
      <c r="AC1" s="199" t="str">
        <v>异常TAG</v>
      </c>
      <c r="AD1" s="199" t="str">
        <v>属性TAG</v>
      </c>
      <c r="AE1" s="199" t="str">
        <v>效果TAG</v>
      </c>
      <c r="AF1" s="124" t="str">
        <v>DS</v>
      </c>
      <c r="AG1" s="124" t="str">
        <v>GG</v>
      </c>
      <c r="AH1" s="124" t="str">
        <v>OAI</v>
      </c>
      <c r="AI1" s="124"/>
      <c r="AJ1" s="124" t="str">
        <v>待办</v>
      </c>
      <c r="AK1" s="124" t="str">
        <v>开发</v>
      </c>
      <c r="AL1" s="124" t="str">
        <v>配置</v>
      </c>
      <c r="AM1" s="124" t="str">
        <v>GUI</v>
      </c>
      <c r="AN1" s="225" t="str">
        <v>文案</v>
      </c>
      <c r="AO1" s="240" t="str">
        <v>开发者</v>
      </c>
    </row>
    <row r="2">
      <c r="A2" s="203"/>
      <c r="B2" s="203" t="str">
        <v>DH 'Specialist'</v>
      </c>
      <c r="C2" s="203" t="str">
        <v>专精掌握</v>
      </c>
      <c r="D2" s="203">
        <f>IFERROR(SUBSTITUTE(MID(C2,FIND("“",C2)+1,FIND("”",C2,FIND("“",C2)+1)-FIND("“",C2)-1)," ",""),"")</f>
      </c>
      <c r="E2" s="53" t="str">
        <v>东海工业</v>
      </c>
      <c r="F2" s="53" t="str">
        <v>行为芯片</v>
      </c>
      <c r="G2" s="213">
        <f>VLOOKUP(F2,'引用数据库'!AL:AN,3,FALSE)</f>
      </c>
      <c r="H2" s="209"/>
      <c r="I2" s="209"/>
      <c r="J2" s="1"/>
      <c r="K2" s="57">
        <v>0</v>
      </c>
      <c r="L2" s="57">
        <v>0</v>
      </c>
      <c r="M2" s="57">
        <v>0</v>
      </c>
      <c r="N2" s="172">
        <f>IF(    SUM(K2:M2)=0,    0,    8 + (        MAX(            0,            MIN(                1,                IF(                    MAX(K2:M2)=0,                    0,                    (3*MAX(K2:M2) - SUM(K2:M2)) / (2*MAX(K2:M2))                )            )        ) * 4    ))</f>
      </c>
      <c r="O2" s="231">
        <f>MAX(K2:M2)</f>
      </c>
      <c r="P2" s="172">
        <f>IF(    MAX(K2:M2) &lt;= 0,    0,    MIN(        24,        MAX(            12,            48 - 3 * MAX(K2:M2)        )    ))</f>
      </c>
      <c r="Q2" s="231">
        <f>SUM(K2:M2)</f>
      </c>
      <c r="R2" s="232">
        <f>IF(Q2/24=0,"",Q2/24)</f>
      </c>
      <c r="S2" s="77"/>
      <c r="T2" s="85" t="str">
        <v>随机1个主动技能，使其技能伤害提升。该效果每{5}秒重新随机一次。</v>
      </c>
      <c r="U2" s="85" t="str">
        <v>武器技能效果增强：{+25%}</v>
      </c>
      <c r="V2" s="229"/>
      <c r="W2" s="229"/>
      <c r="X2" s="85" t="str">
        <v>短暂地将运算资源集中于单一技能模块，周期性地爆发性强化特定技能。</v>
      </c>
      <c r="Y2" s="210"/>
      <c r="Z2" s="210" t="str">
        <v>基石</v>
      </c>
      <c r="AA2" s="210"/>
      <c r="AB2" s="210"/>
      <c r="AC2" s="210"/>
      <c r="AD2" s="210"/>
      <c r="AE2" s="210" t="str">
        <v>片手限定, 武器技能强化</v>
      </c>
      <c r="AF2" s="11" t="str">
        <v>不急</v>
      </c>
      <c r="AG2" s="11" t="str">
        <v>待办</v>
      </c>
      <c r="AH2" s="11" t="str">
        <v>不急</v>
      </c>
      <c r="AI2" s="11"/>
      <c r="AJ2" s="11"/>
      <c r="AK2" s="11" t="str">
        <v>不急</v>
      </c>
      <c r="AL2" s="11" t="str">
        <v>不急</v>
      </c>
      <c r="AM2" s="11"/>
      <c r="AN2" s="50"/>
      <c r="AO2" s="50"/>
    </row>
    <row r="3">
      <c r="A3" s="203"/>
      <c r="B3" s="203" t="str">
        <v>DH 'Point of No Return'</v>
      </c>
      <c r="C3" s="203" t="str">
        <v>破釜沉舟</v>
      </c>
      <c r="D3" s="203">
        <f>IFERROR(SUBSTITUTE(MID(C3,FIND("“",C3)+1,FIND("”",C3,FIND("“",C3)+1)-FIND("“",C3)-1)," ",""),"")</f>
      </c>
      <c r="E3" s="53" t="str">
        <v>东海工业</v>
      </c>
      <c r="F3" s="53" t="str">
        <v>行为芯片</v>
      </c>
      <c r="G3" s="213">
        <f>VLOOKUP(F3,'引用数据库'!AL:AN,3,FALSE)</f>
      </c>
      <c r="H3" s="209"/>
      <c r="I3" s="209"/>
      <c r="J3" s="1"/>
      <c r="K3" s="57">
        <v>0</v>
      </c>
      <c r="L3" s="57">
        <v>0</v>
      </c>
      <c r="M3" s="57">
        <v>0</v>
      </c>
      <c r="N3" s="172">
        <f>IF(    SUM(K3:M3)=0,    0,    8 + (        MAX(            0,            MIN(                1,                IF(                    MAX(K3:M3)=0,                    0,                    (3*MAX(K3:M3) - SUM(K3:M3)) / (2*MAX(K3:M3))                )            )        ) * 4    ))</f>
      </c>
      <c r="O3" s="231">
        <f>MAX(K3:M3)</f>
      </c>
      <c r="P3" s="172">
        <f>IF(    MAX(K3:M3) &lt;= 0,    0,    MIN(        24,        MAX(            12,            48 - 3 * MAX(K3:M3)        )    ))</f>
      </c>
      <c r="Q3" s="231">
        <f>SUM(K3:M3)</f>
      </c>
      <c r="R3" s="232">
        <f>IF(Q3/24=0,"",Q3/24)</f>
      </c>
      <c r="S3" s="77"/>
      <c r="T3" s="85" t="str">
        <v>体力低于 {20%} 时，随机2把武器中的1把，使其基础伤害大幅提升。该效果每{5}秒重新随机一次。</v>
      </c>
      <c r="U3" s="85" t="str">
        <v>伤害加成：{+50%}; 
生效条件：{低于20%体力}</v>
      </c>
      <c r="V3" s="229"/>
      <c r="W3" s="229"/>
      <c r="X3" s="85" t="str">
        <v>在体力耗尽的边缘激发肾上腺素，随机将残余能量灌注到一把武器中，孤注一掷。</v>
      </c>
      <c r="Y3" s="210"/>
      <c r="Z3" s="210" t="str">
        <v>海啸</v>
      </c>
      <c r="AA3" s="210"/>
      <c r="AB3" s="210"/>
      <c r="AC3" s="210"/>
      <c r="AD3" s="210"/>
      <c r="AE3" s="210" t="str">
        <v>片手限定, 低体力增益, 增伤</v>
      </c>
      <c r="AF3" s="11" t="str">
        <v>待办</v>
      </c>
      <c r="AG3" s="11" t="str">
        <v>不急</v>
      </c>
      <c r="AH3" s="11" t="str">
        <v>不急</v>
      </c>
      <c r="AI3" s="11"/>
      <c r="AJ3" s="11"/>
      <c r="AK3" s="11" t="str">
        <v>不急</v>
      </c>
      <c r="AL3" s="11" t="str">
        <v>不急</v>
      </c>
      <c r="AM3" s="11"/>
      <c r="AN3" s="50"/>
      <c r="AO3" s="50"/>
    </row>
    <row r="4">
      <c r="A4" s="203"/>
      <c r="B4" s="203" t="str">
        <v>DH 'Bedrock' Stabilizer</v>
      </c>
      <c r="C4" s="203" t="str">
        <v>东海“基岩”稳定器</v>
      </c>
      <c r="D4" s="203">
        <f>IFERROR(SUBSTITUTE(MID(C4,FIND("“",C4)+1,FIND("”",C4,FIND("“",C4)+1)-FIND("“",C4)-1)," ",""),"")</f>
      </c>
      <c r="E4" s="53" t="str">
        <v>东海工业</v>
      </c>
      <c r="F4" s="53" t="str">
        <v>主手</v>
      </c>
      <c r="G4" s="213">
        <f>VLOOKUP(F4,'引用数据库'!AL:AN,3,FALSE)</f>
      </c>
      <c r="H4" s="209"/>
      <c r="I4" s="209"/>
      <c r="J4" s="1"/>
      <c r="K4" s="57">
        <v>12</v>
      </c>
      <c r="L4" s="57">
        <v>-3</v>
      </c>
      <c r="M4" s="57">
        <v>3</v>
      </c>
      <c r="N4" s="172">
        <f>IF(    SUM(K4:M4)=0,    0,    8 + (        MAX(            0,            MIN(                1,                IF(                    MAX(K4:M4)=0,                    0,                    (3*MAX(K4:M4) - SUM(K4:M4)) / (2*MAX(K4:M4))                )            )        ) * 4    ))</f>
      </c>
      <c r="O4" s="231">
        <f>MAX(K4:M4)</f>
      </c>
      <c r="P4" s="172">
        <f>IF(    MAX(K4:M4) &lt;= 0,    0,    MIN(        24,        MAX(            12,            48 - 3 * MAX(K4:M4)        )    ))</f>
      </c>
      <c r="Q4" s="231">
        <f>SUM(K4:M4)</f>
      </c>
      <c r="R4" s="232">
        <f>IF(Q4/24=0,"",Q4/24)</f>
      </c>
      <c r="S4" s="77"/>
      <c r="T4" s="85" t="str">
        <v>移动速度低于50%时，降低武器攻击的扩散范围。</v>
      </c>
      <c r="U4" s="85" t="str">
        <v>散射范围降低：{-20%}</v>
      </c>
      <c r="V4" s="229"/>
      <c r="W4" s="229"/>
      <c r="X4" s="85" t="str">
        <v>东海工业的重装设计典范。“壁垒”系列将建筑的坚固理念融入人体改造。这款“基岩”稳定器内置了微型陀螺仪，即使是巨兽般的武器也能稳稳掌控。</v>
      </c>
      <c r="Y4" s="210"/>
      <c r="Z4" s="210" t="str">
        <v>阵地</v>
      </c>
      <c r="AA4" s="210"/>
      <c r="AB4" s="210"/>
      <c r="AC4" s="210"/>
      <c r="AD4" s="210"/>
      <c r="AE4" s="210" t="str">
        <v>普攻强化, 稳定性</v>
      </c>
      <c r="AF4" s="11" t="str">
        <v>不急</v>
      </c>
      <c r="AG4" s="11" t="str">
        <v>不急</v>
      </c>
      <c r="AH4" s="11" t="str">
        <v>不急</v>
      </c>
      <c r="AI4" s="11"/>
      <c r="AJ4" s="11"/>
      <c r="AK4" s="11" t="str">
        <v>不急</v>
      </c>
      <c r="AL4" s="11" t="str">
        <v>不急</v>
      </c>
      <c r="AM4" s="11"/>
      <c r="AN4" s="50"/>
      <c r="AO4" s="50"/>
    </row>
    <row r="5">
      <c r="A5" s="203"/>
      <c r="B5" s="203" t="str">
        <v>DH 'Anchor' System Mk.II</v>
      </c>
      <c r="C5" s="203" t="str">
        <v>东海“地锚”二型</v>
      </c>
      <c r="D5" s="203">
        <f>IFERROR(SUBSTITUTE(MID(C5,FIND("“",C5)+1,FIND("”",C5,FIND("“",C5)+1)-FIND("“",C5)-1)," ",""),"")</f>
      </c>
      <c r="E5" s="53" t="str">
        <v>东海工业</v>
      </c>
      <c r="F5" s="53" t="str">
        <v>腿部</v>
      </c>
      <c r="G5" s="213">
        <f>VLOOKUP(F5,'引用数据库'!AL:AN,3,FALSE)</f>
      </c>
      <c r="H5" s="209"/>
      <c r="I5" s="209"/>
      <c r="J5" s="1"/>
      <c r="K5" s="57">
        <v>12</v>
      </c>
      <c r="L5" s="57">
        <v>-5</v>
      </c>
      <c r="M5" s="57">
        <v>5</v>
      </c>
      <c r="N5" s="172">
        <f>IF(    SUM(K5:M5)=0,    0,    8 + (        MAX(            0,            MIN(                1,                IF(                    MAX(K5:M5)=0,                    0,                    (3*MAX(K5:M5) - SUM(K5:M5)) / (2*MAX(K5:M5))                )            )        ) * 4    ))</f>
      </c>
      <c r="O5" s="231">
        <f>MAX(K5:M5)</f>
      </c>
      <c r="P5" s="172">
        <f>IF(    MAX(K5:M5) &lt;= 0,    0,    MIN(        24,        MAX(            12,            48 - 3 * MAX(K5:M5)        )    ))</f>
      </c>
      <c r="Q5" s="231">
        <f>SUM(K5:M5)</f>
      </c>
      <c r="R5" s="232">
        <f>IF(Q5/24=0,"",Q5/24)</f>
      </c>
      <c r="S5" s="77"/>
      <c r="T5" s="85" t="str">
        <v>移速降低，韧性提升，且翻滚冷却时间减少。</v>
      </c>
      <c r="U5" s="85" t="str">
        <v>移动速度惩罚：{-50%}; 
韧性等级: {+1}
翻滚冷却: {-1s}</v>
      </c>
      <c r="V5" s="229"/>
      <c r="W5" s="229"/>
      <c r="X5" s="85" t="str">
        <v>东海工业的抗震建筑技术变种。“壁垒”系列的腿部改造。“地锚”腿甲牺牲了机动性，换来的是磐石般的稳定性，启动地锚，你就是不可撼动的堡垒。二型强化了固定效果。</v>
      </c>
      <c r="Y5" s="210"/>
      <c r="Z5" s="210" t="str">
        <v>阵地</v>
      </c>
      <c r="AA5" s="210"/>
      <c r="AB5" s="210"/>
      <c r="AC5" s="210"/>
      <c r="AD5" s="210"/>
      <c r="AE5" s="210" t="str">
        <v>防御姿态, 霸体, 稳定性</v>
      </c>
      <c r="AF5" s="11" t="str">
        <v>不急</v>
      </c>
      <c r="AG5" s="11" t="str">
        <v>不急</v>
      </c>
      <c r="AH5" s="11" t="str">
        <v>不急</v>
      </c>
      <c r="AI5" s="11"/>
      <c r="AJ5" s="11"/>
      <c r="AK5" s="11" t="str">
        <v>不急</v>
      </c>
      <c r="AL5" s="11" t="str">
        <v>不急</v>
      </c>
      <c r="AM5" s="11"/>
      <c r="AN5" s="50"/>
      <c r="AO5" s="50"/>
    </row>
    <row r="6">
      <c r="A6" s="203"/>
      <c r="B6" s="203" t="str">
        <v>DH 'Aegis' Frame</v>
      </c>
      <c r="C6" s="203" t="str">
        <v>“神盾”骨架</v>
      </c>
      <c r="D6" s="203">
        <f>IFERROR(SUBSTITUTE(MID(C6,FIND("“",C6)+1,FIND("”",C6,FIND("“",C6)+1)-FIND("“",C6)-1)," ",""),"")</f>
      </c>
      <c r="E6" s="53" t="str">
        <v>东海工业</v>
      </c>
      <c r="F6" s="53" t="str">
        <v>骨骼</v>
      </c>
      <c r="G6" s="213">
        <f>VLOOKUP(F6,'引用数据库'!AL:AN,3,FALSE)</f>
      </c>
      <c r="H6" s="209"/>
      <c r="I6" s="209"/>
      <c r="J6" s="1"/>
      <c r="K6" s="57">
        <v>11</v>
      </c>
      <c r="L6" s="57">
        <v>2</v>
      </c>
      <c r="M6" s="57">
        <v>5</v>
      </c>
      <c r="N6" s="172">
        <f>IF(    SUM(K6:M6)=0,    0,    8 + (        MAX(            0,            MIN(                1,                IF(                    MAX(K6:M6)=0,                    0,                    (3*MAX(K6:M6) - SUM(K6:M6)) / (2*MAX(K6:M6))                )            )        ) * 4    ))</f>
      </c>
      <c r="O6" s="231">
        <f>MAX(K6:M6)</f>
      </c>
      <c r="P6" s="172">
        <f>IF(    MAX(K6:M6) &lt;= 0,    0,    MIN(        24,        MAX(            12,            48 - 3 * MAX(K6:M6)        )    ))</f>
      </c>
      <c r="Q6" s="231">
        <f>SUM(K6:M6)</f>
      </c>
      <c r="R6" s="232">
        <f>IF(Q6/24=0,"",Q6/24)</f>
      </c>
      <c r="S6" s="77"/>
      <c r="T6" s="85" t="str">
        <v>获得护甲值时，减少相当于50%获取量的生命值上限，提升100%获取到的护甲值。减少的生命值在移除此义体后归还。</v>
      </c>
      <c r="U6" s="85"/>
      <c r="V6" s="229"/>
      <c r="W6" s="229"/>
      <c r="X6" s="85" t="str">
        <v>重型工业外骨骼技术应用。“壁垒”系列的核心。“神盾”骨架采用最新复合材料打造，将工业级的防护能力赋予血肉之躯，代价是重量和牺牲部分灵活性。</v>
      </c>
      <c r="Y6" s="210"/>
      <c r="Z6" s="210" t="str">
        <v>基石</v>
      </c>
      <c r="AA6" s="210"/>
      <c r="AB6" s="210"/>
      <c r="AC6" s="210"/>
      <c r="AD6" s="210"/>
      <c r="AE6" s="210" t="str">
        <v>生存, 护甲</v>
      </c>
      <c r="AF6" s="11" t="str">
        <v>待办</v>
      </c>
      <c r="AG6" s="11" t="str">
        <v>不急</v>
      </c>
      <c r="AH6" s="11" t="str">
        <v>不急</v>
      </c>
      <c r="AI6" s="11"/>
      <c r="AJ6" s="11"/>
      <c r="AK6" s="11" t="str">
        <v>不急</v>
      </c>
      <c r="AL6" s="11" t="str">
        <v>不急</v>
      </c>
      <c r="AM6" s="11"/>
      <c r="AN6" s="50"/>
      <c r="AO6" s="50"/>
    </row>
    <row r="7">
      <c r="A7" s="203"/>
      <c r="B7" s="203" t="str">
        <v>DH 'Adamant' Frame</v>
      </c>
      <c r="C7" s="203" t="str">
        <v>“金刚”骨架</v>
      </c>
      <c r="D7" s="203">
        <f>IFERROR(SUBSTITUTE(MID(C7,FIND("“",C7)+1,FIND("”",C7,FIND("“",C7)+1)-FIND("“",C7)-1)," ",""),"")</f>
      </c>
      <c r="E7" s="53" t="str">
        <v>东海工业</v>
      </c>
      <c r="F7" s="53" t="str">
        <v>骨骼</v>
      </c>
      <c r="G7" s="213">
        <f>VLOOKUP(F7,'引用数据库'!AL:AN,3,FALSE)</f>
      </c>
      <c r="H7" s="209"/>
      <c r="I7" s="209"/>
      <c r="J7" s="1"/>
      <c r="K7" s="57">
        <v>11</v>
      </c>
      <c r="L7" s="57">
        <v>4</v>
      </c>
      <c r="M7" s="57">
        <v>3</v>
      </c>
      <c r="N7" s="172">
        <f>IF(    SUM(K7:M7)=0,    0,    8 + (        MAX(            0,            MIN(                1,                IF(                    MAX(K7:M7)=0,                    0,                    (3*MAX(K7:M7) - SUM(K7:M7)) / (2*MAX(K7:M7))                )            )        ) * 4    ))</f>
      </c>
      <c r="O7" s="231">
        <f>MAX(K7:M7)</f>
      </c>
      <c r="P7" s="172">
        <f>IF(    MAX(K7:M7) &lt;= 0,    0,    MIN(        24,        MAX(            12,            48 - 3 * MAX(K7:M7)        )    ))</f>
      </c>
      <c r="Q7" s="231">
        <f>SUM(K7:M7)</f>
      </c>
      <c r="R7" s="232">
        <f>IF(Q7/24=0,"",Q7/24)</f>
      </c>
      <c r="S7" s="77"/>
      <c r="T7" s="85" t="str">
        <v>提升护甲的减伤和抗冲击能力。格挡或完美闪避成功时，短时间获得“霸体“效果。</v>
      </c>
      <c r="U7" s="85" t="str">
        <v>护甲减伤：{+100%}; 
抗冲击等级：{+2}; 
触发霸体持续：{2s}</v>
      </c>
      <c r="V7" s="229"/>
      <c r="W7" s="229"/>
      <c r="X7" s="85" t="str">
        <v>东海工业为近身肉搏单位设计的重型骨架。“不坏”骨架让你如同坚不可摧的堡垒，而“金刚”型号更是在成功防御或闪避时赋予你短暂的、不可阻挡的冲击力。</v>
      </c>
      <c r="Y7" s="210"/>
      <c r="Z7" s="210" t="str">
        <v>基石</v>
      </c>
      <c r="AA7" s="210"/>
      <c r="AB7" s="210"/>
      <c r="AC7" s="210"/>
      <c r="AD7" s="210"/>
      <c r="AE7" s="210" t="str">
        <v>护甲, 生存, 霸体, 格挡/闪避</v>
      </c>
      <c r="AF7" s="11" t="str">
        <v>待办</v>
      </c>
      <c r="AG7" s="11" t="str">
        <v>待办</v>
      </c>
      <c r="AH7" s="11" t="str">
        <v>不急</v>
      </c>
      <c r="AI7" s="11"/>
      <c r="AJ7" s="11"/>
      <c r="AK7" s="11" t="str">
        <v>不急</v>
      </c>
      <c r="AL7" s="11" t="str">
        <v>不急</v>
      </c>
      <c r="AM7" s="11"/>
      <c r="AN7" s="50"/>
      <c r="AO7" s="50"/>
    </row>
    <row r="8">
      <c r="A8" s="203"/>
      <c r="B8" s="203" t="str">
        <v>DH 'Capacitor' Armor</v>
      </c>
      <c r="C8" s="203" t="str">
        <v>“电容”骨架</v>
      </c>
      <c r="D8" s="203">
        <f>IFERROR(SUBSTITUTE(MID(C8,FIND("“",C8)+1,FIND("”",C8,FIND("“",C8)+1)-FIND("“",C8)-1)," ",""),"")</f>
      </c>
      <c r="E8" s="53" t="str">
        <v>东海工业</v>
      </c>
      <c r="F8" s="53" t="str">
        <v>骨骼</v>
      </c>
      <c r="G8" s="213">
        <f>VLOOKUP(F8,'引用数据库'!AL:AN,3,FALSE)</f>
      </c>
      <c r="H8" s="209"/>
      <c r="I8" s="209"/>
      <c r="J8" s="1"/>
      <c r="K8" s="57">
        <v>6</v>
      </c>
      <c r="L8" s="57">
        <v>7</v>
      </c>
      <c r="M8" s="57">
        <v>5</v>
      </c>
      <c r="N8" s="172">
        <f>IF(    SUM(K8:M8)=0,    0,    8 + (        MAX(            0,            MIN(                1,                IF(                    MAX(K8:M8)=0,                    0,                    (3*MAX(K8:M8) - SUM(K8:M8)) / (2*MAX(K8:M8))                )            )        ) * 4    ))</f>
      </c>
      <c r="O8" s="231">
        <f>MAX(K8:M8)</f>
      </c>
      <c r="P8" s="172">
        <f>IF(    MAX(K8:M8) &lt;= 0,    0,    MIN(        24,        MAX(            12,            48 - 3 * MAX(K8:M8)        )    ))</f>
      </c>
      <c r="Q8" s="231">
        <f>SUM(K8:M8)</f>
      </c>
      <c r="R8" s="232">
        <f>IF(Q8/24=0,"",Q8/24)</f>
      </c>
      <c r="S8" s="77"/>
      <c r="T8" s="85" t="str">
        <v>每损失 {20} 点护甲值，永久提升 {1%} 攻击速度。此效果在此义体被移除后移除。</v>
      </c>
      <c r="U8" s="85"/>
      <c r="V8" s="229"/>
      <c r="W8" s="229"/>
      <c r="X8" s="85" t="str">
        <v>东海工业的实验性储能骨架。“聚能”系列产品。它将护甲承受的冲击能量转化为对武器系统的超频，护甲越是残破，你的攻击就越是迅猛。</v>
      </c>
      <c r="Y8" s="210"/>
      <c r="Z8" s="210" t="str">
        <v>反应堆</v>
      </c>
      <c r="AA8" s="210"/>
      <c r="AB8" s="210"/>
      <c r="AC8" s="210"/>
      <c r="AD8" s="210"/>
      <c r="AE8" s="210" t="str">
        <v>护甲关联, 攻速, 成长</v>
      </c>
      <c r="AF8" s="11" t="str">
        <v>待办</v>
      </c>
      <c r="AG8" s="11" t="str">
        <v>待办</v>
      </c>
      <c r="AH8" s="11" t="str">
        <v>不急</v>
      </c>
      <c r="AI8" s="11"/>
      <c r="AJ8" s="11"/>
      <c r="AK8" s="11" t="str">
        <v>不急</v>
      </c>
      <c r="AL8" s="11" t="str">
        <v>不急</v>
      </c>
      <c r="AM8" s="11"/>
      <c r="AN8" s="50"/>
      <c r="AO8" s="50"/>
    </row>
    <row r="9">
      <c r="A9" s="203"/>
      <c r="B9" s="203" t="str">
        <v>DH 'Kinetic Absorber' Fiber</v>
      </c>
      <c r="C9" s="203" t="str">
        <v>“动能吸收”纤维</v>
      </c>
      <c r="D9" s="203">
        <f>IFERROR(SUBSTITUTE(MID(C9,FIND("“",C9)+1,FIND("”",C9,FIND("“",C9)+1)-FIND("“",C9)-1)," ",""),"")</f>
      </c>
      <c r="E9" s="53" t="str">
        <v>东海工业</v>
      </c>
      <c r="F9" s="53" t="str">
        <v>皮肤</v>
      </c>
      <c r="G9" s="213">
        <f>VLOOKUP(F9,'引用数据库'!AL:AN,3,FALSE)</f>
      </c>
      <c r="H9" s="209"/>
      <c r="I9" s="209"/>
      <c r="J9" s="1"/>
      <c r="K9" s="57">
        <v>10</v>
      </c>
      <c r="L9" s="57">
        <v>3</v>
      </c>
      <c r="M9" s="57">
        <v>5</v>
      </c>
      <c r="N9" s="172">
        <f>IF(    SUM(K9:M9)=0,    0,    8 + (        MAX(            0,            MIN(                1,                IF(                    MAX(K9:M9)=0,                    0,                    (3*MAX(K9:M9) - SUM(K9:M9)) / (2*MAX(K9:M9))                )            )        ) * 4    ))</f>
      </c>
      <c r="O9" s="231">
        <f>MAX(K9:M9)</f>
      </c>
      <c r="P9" s="172">
        <f>IF(    MAX(K9:M9) &lt;= 0,    0,    MIN(        24,        MAX(            12,            48 - 3 * MAX(K9:M9)        )    ))</f>
      </c>
      <c r="Q9" s="231">
        <f>SUM(K9:M9)</f>
      </c>
      <c r="R9" s="232">
        <f>IF(Q9/24=0,"",Q9/24)</f>
      </c>
      <c r="S9" s="77"/>
      <c r="T9" s="85" t="str">
        <v>受到近战攻击时，减免一部分伤害，储能到你的下一次“V键肘击”。该储能存在上限。</v>
      </c>
      <c r="U9" s="85" t="str">
        <v>近战伤害减免：{+25%}; 
储能上限: {力量 x 10}</v>
      </c>
      <c r="V9" s="229"/>
      <c r="W9" s="229"/>
      <c r="X9" s="85" t="str">
        <v>东海工业的建筑抗震技术应用于人体。“冲击吸收”纤维能有效缓冲近战打击，并将吸收的能量直接导入你的手臂，强化你的下一次肘击反击。</v>
      </c>
      <c r="Y9" s="210"/>
      <c r="Z9" s="210" t="str">
        <v>海啸</v>
      </c>
      <c r="AA9" s="210"/>
      <c r="AB9" s="210"/>
      <c r="AC9" s="210"/>
      <c r="AD9" s="210"/>
      <c r="AE9" s="210" t="str">
        <v>生存, 受击反馈, 肘击强化</v>
      </c>
      <c r="AF9" s="11" t="str">
        <v>待办</v>
      </c>
      <c r="AG9" s="11" t="str">
        <v>待办</v>
      </c>
      <c r="AH9" s="11" t="str">
        <v>不急</v>
      </c>
      <c r="AI9" s="11"/>
      <c r="AJ9" s="11"/>
      <c r="AK9" s="11" t="str">
        <v>不急</v>
      </c>
      <c r="AL9" s="11" t="str">
        <v>不急</v>
      </c>
      <c r="AM9" s="11"/>
      <c r="AN9" s="50"/>
      <c r="AO9" s="50"/>
    </row>
    <row r="10">
      <c r="A10" s="203"/>
      <c r="B10" s="203" t="str">
        <v>DH 'Titanium Forearm' Frame</v>
      </c>
      <c r="C10" s="203" t="str">
        <v>“钛合金前臂”骨架</v>
      </c>
      <c r="D10" s="203">
        <f>IFERROR(SUBSTITUTE(MID(C10,FIND("“",C10)+1,FIND("”",C10,FIND("“",C10)+1)-FIND("“",C10)-1)," ",""),"")</f>
      </c>
      <c r="E10" s="53" t="str">
        <v>东海工业</v>
      </c>
      <c r="F10" s="53" t="str">
        <v>骨骼</v>
      </c>
      <c r="G10" s="213">
        <f>VLOOKUP(F10,'引用数据库'!AL:AN,3,FALSE)</f>
      </c>
      <c r="H10" s="209"/>
      <c r="I10" s="209"/>
      <c r="J10" s="1"/>
      <c r="K10" s="57">
        <v>12</v>
      </c>
      <c r="L10" s="57">
        <v>2</v>
      </c>
      <c r="M10" s="57">
        <v>4</v>
      </c>
      <c r="N10" s="172">
        <f>IF(    SUM(K10:M10)=0,    0,    8 + (        MAX(            0,            MIN(                1,                IF(                    MAX(K10:M10)=0,                    0,                    (3*MAX(K10:M10) - SUM(K10:M10)) / (2*MAX(K10:M10))                )            )        ) * 4    ))</f>
      </c>
      <c r="O10" s="231">
        <f>MAX(K10:M10)</f>
      </c>
      <c r="P10" s="172">
        <f>IF(    MAX(K10:M10) &lt;= 0,    0,    MIN(        24,        MAX(            12,            48 - 3 * MAX(K10:M10)        )    ))</f>
      </c>
      <c r="Q10" s="231">
        <f>SUM(K10:M10)</f>
      </c>
      <c r="R10" s="232">
        <f>IF(Q10/24=0,"",Q10/24)</f>
      </c>
      <c r="S10" s="77"/>
      <c r="T10" s="85" t="str">
        <v>你的“V键肘击”命中时，会偷取目标少量护甲值，临时增加自身护甲，持续{5s}。</v>
      </c>
      <c r="U10" s="85" t="str">
        <v>每次肘击偷取护甲：{目标当前护甲的10%}; 
每次偷取护甲上限：{力量 x 2}; 
持续时间：{5s}</v>
      </c>
      <c r="V10" s="229"/>
      <c r="W10" s="229"/>
      <c r="X10" s="85" t="str">
        <v>东海工业为需要进行近距离破拆作业的工人设计的强化骨架。“钛合金前臂”骨架不仅坚固，其特殊的冲击传导还能剥离敌人的防御，化为己用。</v>
      </c>
      <c r="Y10" s="210"/>
      <c r="Z10" s="210" t="str">
        <v>阵地</v>
      </c>
      <c r="AA10" s="210"/>
      <c r="AB10" s="210"/>
      <c r="AC10" s="210"/>
      <c r="AD10" s="210"/>
      <c r="AE10" s="210" t="str">
        <v>肘击强化, 偷取护甲, 生存</v>
      </c>
      <c r="AF10" s="11" t="str">
        <v>不急</v>
      </c>
      <c r="AG10" s="11" t="str">
        <v>待办</v>
      </c>
      <c r="AH10" s="11" t="str">
        <v>不急</v>
      </c>
      <c r="AI10" s="11"/>
      <c r="AJ10" s="11"/>
      <c r="AK10" s="11" t="str">
        <v>不急</v>
      </c>
      <c r="AL10" s="11" t="str">
        <v>不急</v>
      </c>
      <c r="AM10" s="11"/>
      <c r="AN10" s="50"/>
      <c r="AO10" s="50"/>
    </row>
    <row r="11">
      <c r="A11" s="203"/>
      <c r="B11" s="203" t="str">
        <v>DH Fortress' Protocol Chip</v>
      </c>
      <c r="C11" s="203" t="str">
        <v>“堡垒协议”芯片</v>
      </c>
      <c r="D11" s="203">
        <f>IFERROR(SUBSTITUTE(MID(C11,FIND("“",C11)+1,FIND("”",C11,FIND("“",C11)+1)-FIND("“",C11)-1)," ",""),"")</f>
      </c>
      <c r="E11" s="53" t="str">
        <v>东海工业</v>
      </c>
      <c r="F11" s="53" t="str">
        <v>行为芯片</v>
      </c>
      <c r="G11" s="213">
        <f>VLOOKUP(F11,'引用数据库'!AL:AN,3,FALSE)</f>
      </c>
      <c r="H11" s="209"/>
      <c r="I11" s="209"/>
      <c r="J11" s="1"/>
      <c r="K11" s="57">
        <v>0</v>
      </c>
      <c r="L11" s="57">
        <v>0</v>
      </c>
      <c r="M11" s="57">
        <v>0</v>
      </c>
      <c r="N11" s="172">
        <f>IF(    SUM(K11:M11)=0,    0,    8 + (        MAX(            0,            MIN(                1,                IF(                    MAX(K11:M11)=0,                    0,                    (3*MAX(K11:M11) - SUM(K11:M11)) / (2*MAX(K11:M11))                )            )        ) * 4    ))</f>
      </c>
      <c r="O11" s="231">
        <f>MAX(K11:M11)</f>
      </c>
      <c r="P11" s="172">
        <f>IF(    MAX(K11:M11) &lt;= 0,    0,    MIN(        24,        MAX(            12,            48 - 3 * MAX(K11:M11)        )    ))</f>
      </c>
      <c r="Q11" s="231">
        <f>SUM(K11:M11)</f>
      </c>
      <c r="R11" s="232">
        <f>IF(Q11/24=0,"",Q11/24)</f>
      </c>
      <c r="S11" s="77"/>
      <c r="T11" s="85" t="str">
        <v>在原地静止不动超过{2}秒后，获得“阵地”效果。阵地：获得伤害减免，且普通攻击散射范围降低。</v>
      </c>
      <c r="U11" s="85" t="str">
        <v>阵地：伤害减免：{-20%}; 
普通攻击散射降低：{-30%}
持续时间：{2s}</v>
      </c>
      <c r="V11" s="229"/>
      <c r="W11" s="229"/>
      <c r="X11" s="85" t="str">
        <v>源自固定炮台的设计理念。“堡垒协议”芯片奖励那些懂得寻找掩护和稳定输出的战士。</v>
      </c>
      <c r="Y11" s="210"/>
      <c r="Z11" s="210" t="str">
        <v>阵地</v>
      </c>
      <c r="AA11" s="210"/>
      <c r="AB11" s="210"/>
      <c r="AC11" s="210"/>
      <c r="AD11" s="210"/>
      <c r="AE11" s="210" t="str">
        <v>防御姿态, 生存, 稳定性</v>
      </c>
      <c r="AF11" s="11" t="str">
        <v>不急</v>
      </c>
      <c r="AG11" s="11" t="str">
        <v>不急</v>
      </c>
      <c r="AH11" s="11" t="str">
        <v>不急</v>
      </c>
      <c r="AI11" s="11"/>
      <c r="AJ11" s="11"/>
      <c r="AK11" s="11" t="str">
        <v>不急</v>
      </c>
      <c r="AL11" s="11" t="str">
        <v>不急</v>
      </c>
      <c r="AM11" s="11"/>
      <c r="AN11" s="50"/>
      <c r="AO11" s="50"/>
    </row>
    <row r="12">
      <c r="A12" s="203">
        <f>"ID"&amp;"_"&amp;IF(F12="行为芯片","CHP","CYB")&amp;"_"&amp;IFERROR(SUBSTITUTE(MID(B12,FIND("'",B12)+1,FIND("'",B12,FIND("'",B12)+1)-FIND("'",B12)-1)," ",""),"")&amp;"_1"</f>
      </c>
      <c r="B12" s="203" t="str">
        <v>RI 'Tesla Coil' Emitter</v>
      </c>
      <c r="C12" s="203" t="str">
        <v>寰宇“特斯拉线圈”发射器</v>
      </c>
      <c r="D12" s="203">
        <f>IFERROR(SUBSTITUTE(MID(C12,FIND("“",C12)+1,FIND("”",C12,FIND("“",C12)+1)-FIND("“",C12)-1)," ",""),"")</f>
      </c>
      <c r="E12" s="53" t="str">
        <v>寰宇</v>
      </c>
      <c r="F12" s="53" t="str">
        <v>主手</v>
      </c>
      <c r="G12" s="213">
        <f>VLOOKUP(F12,'引用数据库'!AL:AN,3,FALSE)</f>
      </c>
      <c r="H12" s="230">
        <f>IF($B12="","","SKL"&amp;"02"&amp;G12&amp;VLOOKUP(F12,'引用数据库'!AL:AN,3,FALSE)&amp;BASE(CODE(MID($B12,5,1))*1+CODE(MID($B12,6,1))*2+CODE(MID($B12,7,1))*3,36,2))</f>
      </c>
      <c r="I12" s="72">
        <f>IF($B12="","","CYB"&amp;VLOOKUP(E12,'引用数据库'!Z:AC,4,FALSE)&amp;VLOOKUP(F12,'引用数据库'!AL:AN,3,FALSE)&amp;VLOOKUP(Z12,'引用数据库'!AF:AG,2,FALSE)&amp;BASE(CODE(MID($B12,5,1))*1+CODE(MID($B12,6,1))*2+CODE(MID($B12,7,1))*3,36,2))</f>
      </c>
      <c r="J12" s="1"/>
      <c r="K12" s="57">
        <v>3</v>
      </c>
      <c r="L12" s="57">
        <v>9</v>
      </c>
      <c r="M12" s="57">
        <v>9</v>
      </c>
      <c r="N12" s="64">
        <f>IF(    SUM(K12:M12)=0,    0,    8 + (        MAX(            0,            MIN(                1,                IF(                    MAX(K12:M12)=0,                    0,                    (3*MAX(K12:M12) - SUM(K12:M12)) / (2*MAX(K12:M12))                )            )        ) * 4    ))</f>
      </c>
      <c r="O12" s="231">
        <f>MAX(K12:M12)</f>
      </c>
      <c r="P12" s="172">
        <f>IF(    MAX(K12:M12) &lt;= 0,    0,    MIN(        24,        MAX(            12,            48 - 3 * MAX(K12:M12)        )    ))</f>
      </c>
      <c r="Q12" s="231">
        <f>SUM(K12:M12)</f>
      </c>
      <c r="R12" s="232">
        <f>IF(Q12/24=0,"",Q12/24)</f>
      </c>
      <c r="S12" s="77"/>
      <c r="T12" s="85" t="s">
        <v>27</v>
      </c>
      <c r="U12" s="85" t="str">
        <v>弹跳次数：{2}; 
弹跳范围：{5m};</v>
      </c>
      <c r="V12" s="85" t="str">
        <v>A：50% * {PostCorrectDamage}</v>
      </c>
      <c r="W12" s="229"/>
      <c r="X12" s="85" t="str">
        <v>应用了的高效能量传导技术的军事化义体，能改变普通武器，使其可以在目标间形成高压电弧，尤其擅长处理集群的单位。</v>
      </c>
      <c r="Y12" s="210"/>
      <c r="Z12" s="210" t="str">
        <v>法拉第笼</v>
      </c>
      <c r="AA12" s="210" t="str">
        <v>普攻</v>
      </c>
      <c r="AB12" s="210"/>
      <c r="AC12" s="210" t="str">
        <v>电磁</v>
      </c>
      <c r="AD12" s="210"/>
      <c r="AE12" s="210" t="str">
        <v>扩散</v>
      </c>
      <c r="AF12" s="11" t="str">
        <v>待办</v>
      </c>
      <c r="AG12" s="11" t="str">
        <v>不急</v>
      </c>
      <c r="AH12" s="11" t="str">
        <v>待办</v>
      </c>
      <c r="AI12" s="11"/>
      <c r="AJ12" s="11" t="str">
        <v>v0.0.5</v>
      </c>
      <c r="AK12" s="11" t="str">
        <v>完成</v>
      </c>
      <c r="AL12" s="11" t="str">
        <v>完成</v>
      </c>
      <c r="AM12" s="11" t="str">
        <v>待办</v>
      </c>
      <c r="AN12" s="11"/>
      <c r="AO12" s="50" t="s">
        <v>12</v>
      </c>
    </row>
    <row r="13">
      <c r="A13" s="203">
        <f>"ID"&amp;"_"&amp;IF(F13="行为芯片","CHP","CYB")&amp;"_"&amp;IFERROR(SUBSTITUTE(MID(B13,FIND("'",B13)+1,FIND("'",B13,FIND("'",B13)+1)-FIND("'",B13)-1)," ",""),"")&amp;"_1"</f>
      </c>
      <c r="B13" s="203" t="str">
        <v>OV 'ShortCircuit' Module</v>
      </c>
      <c r="C13" s="203" t="str">
        <v>寰宇“短路”模块</v>
      </c>
      <c r="D13" s="203">
        <f>IFERROR(SUBSTITUTE(MID(C13,FIND("“",C13)+1,FIND("”",C13,FIND("“",C13)+1)-FIND("“",C13)-1)," ",""),"")</f>
      </c>
      <c r="E13" s="53" t="str">
        <v>寰宇</v>
      </c>
      <c r="F13" s="53" t="str">
        <v>副手</v>
      </c>
      <c r="G13" s="213">
        <f>VLOOKUP(F13,'引用数据库'!AL:AN,3,FALSE)</f>
      </c>
      <c r="H13" s="230">
        <f>IF($B13="","","SKL"&amp;"02"&amp;G13&amp;VLOOKUP(F13,'引用数据库'!AL:AN,3,FALSE)&amp;BASE(CODE(MID($B13,5,1))*1+CODE(MID($B13,6,1))*2+CODE(MID($B13,7,1))*3,36,2))</f>
      </c>
      <c r="I13" s="72">
        <f>IF($B13="","","CYB"&amp;VLOOKUP(E13,'引用数据库'!Z:AC,4,FALSE)&amp;VLOOKUP(F13,'引用数据库'!AL:AN,3,FALSE)&amp;VLOOKUP(Z13,'引用数据库'!AF:AG,2,FALSE)&amp;BASE(CODE(MID($B13,5,1))*1+CODE(MID($B13,6,1))*2+CODE(MID($B13,7,1))*3,36,2))</f>
      </c>
      <c r="J13" s="1"/>
      <c r="K13" s="57">
        <v>4</v>
      </c>
      <c r="L13" s="57">
        <v>4</v>
      </c>
      <c r="M13" s="57">
        <v>10</v>
      </c>
      <c r="N13" s="64">
        <f>IF(    SUM(K13:M13)=0,    0,    8 + (        MAX(            0,            MIN(                1,                IF(                    MAX(K13:M13)=0,                    0,                    (3*MAX(K13:M13) - SUM(K13:M13)) / (2*MAX(K13:M13))                )            )        ) * 4    ))</f>
      </c>
      <c r="O13" s="231">
        <f>MAX(K13:M13)</f>
      </c>
      <c r="P13" s="172">
        <f>IF(    MAX(K13:M13) &lt;= 0,    0,    MIN(        24,        MAX(            12,            48 - 3 * MAX(K13:M13)        )    ))</f>
      </c>
      <c r="Q13" s="231">
        <f>SUM(K13:M13)</f>
      </c>
      <c r="R13" s="232">
        <f>IF(Q13/24=0,"",Q13/24)</f>
      </c>
      <c r="S13" s="77"/>
      <c r="T13" s="85" t="s">
        <v>29</v>
      </c>
      <c r="U13" s="85" t="str">
        <v>弹跳次数：{2}; 
弹跳范围：{5m};</v>
      </c>
      <c r="V13" s="85" t="str">
        <v>A：50% * {SpelltDamage}</v>
      </c>
      <c r="W13" s="229"/>
      <c r="X13" s="85" t="str">
        <v>寰宇的网络战装备，能瞬间过载敌人的电子系统，让他们的先进武器变成一堆废铁。</v>
      </c>
      <c r="Y13" s="210"/>
      <c r="Z13" s="210" t="str">
        <v>法拉第笼</v>
      </c>
      <c r="AA13" s="210" t="str">
        <v>移动,武器技能</v>
      </c>
      <c r="AB13" s="210"/>
      <c r="AC13" s="210" t="str">
        <v>电磁</v>
      </c>
      <c r="AD13" s="210"/>
      <c r="AE13" s="210" t="str">
        <v>扩散</v>
      </c>
      <c r="AF13" s="11" t="str">
        <v>不急</v>
      </c>
      <c r="AG13" s="11" t="str">
        <v>不急</v>
      </c>
      <c r="AH13" s="11" t="str">
        <v>待办</v>
      </c>
      <c r="AI13" s="11"/>
      <c r="AJ13" s="11" t="str">
        <v>v0.0.5</v>
      </c>
      <c r="AK13" s="11" t="str">
        <v>完成</v>
      </c>
      <c r="AL13" s="11" t="str">
        <v>完成</v>
      </c>
      <c r="AM13" s="11" t="str">
        <v>待办</v>
      </c>
      <c r="AN13" s="11"/>
      <c r="AO13" s="50" t="str">
        <v>@阿之</v>
      </c>
    </row>
    <row r="14">
      <c r="A14" s="203">
        <f>"ID"&amp;"_"&amp;IF(F14="行为芯片","CHP","CYB")&amp;"_"&amp;IFERROR(SUBSTITUTE(MID(B14,FIND("'",B14)+1,FIND("'",B14,FIND("'",B14)+1)-FIND("'",B14)-1)," ",""),"")&amp;"_1"</f>
      </c>
      <c r="B14" s="203" t="str">
        <v>RI 'Electromagnetic Drive' Thrusters</v>
      </c>
      <c r="C14" s="203" t="str">
        <v>'电磁驱动' 推进器</v>
      </c>
      <c r="D14" s="203">
        <f>IFERROR(SUBSTITUTE(MID(C14,FIND("“",C14)+1,FIND("”",C14,FIND("“",C14)+1)-FIND("“",C14)-1)," ",""),"")</f>
      </c>
      <c r="E14" s="53" t="str">
        <v>寰宇</v>
      </c>
      <c r="F14" s="53" t="str">
        <v>腿部</v>
      </c>
      <c r="G14" s="213">
        <f>VLOOKUP(F14,'引用数据库'!AL:AN,3,FALSE)</f>
      </c>
      <c r="H14" s="230">
        <f>IF($B14="","","SKL"&amp;"02"&amp;G14&amp;VLOOKUP(F14,'引用数据库'!AL:AN,3,FALSE)&amp;BASE(CODE(MID($B14,5,1))*1+CODE(MID($B14,6,1))*2+CODE(MID($B14,7,1))*3,36,2))</f>
      </c>
      <c r="I14" s="72">
        <f>IF($B14="","","CYB"&amp;VLOOKUP(E14,'引用数据库'!Z:AC,4,FALSE)&amp;VLOOKUP(F14,'引用数据库'!AL:AN,3,FALSE)&amp;VLOOKUP(Z14,'引用数据库'!AF:AG,2,FALSE)&amp;BASE(CODE(MID($B14,5,1))*1+CODE(MID($B14,6,1))*2+CODE(MID($B14,7,1))*3,36,2))</f>
      </c>
      <c r="J14" s="1"/>
      <c r="K14" s="57">
        <v>4</v>
      </c>
      <c r="L14" s="57">
        <v>12</v>
      </c>
      <c r="M14" s="57">
        <v>7</v>
      </c>
      <c r="N14" s="172">
        <f>IF(    SUM(K14:M14)=0,    0,    8 + (        MAX(            0,            MIN(                1,                IF(                    MAX(K14:M14)=0,                    0,                    (3*MAX(K14:M14) - SUM(K14:M14)) / (2*MAX(K14:M14))                )            )        ) * 4    ))</f>
      </c>
      <c r="O14" s="231">
        <f>MAX(K14:M14)</f>
      </c>
      <c r="P14" s="172">
        <f>IF(    MAX(K14:M14) &lt;= 0,    0,    MIN(        24,        MAX(            12,            48 - 3 * MAX(K14:M14)        )    ))</f>
      </c>
      <c r="Q14" s="231">
        <f>SUM(K14:M14)</f>
      </c>
      <c r="R14" s="232">
        <f>IF(Q14/24=0,"",Q14/24)</f>
      </c>
      <c r="S14" s="77"/>
      <c r="T14" s="85" t="s">
        <v>30</v>
      </c>
      <c r="U14" s="85" t="str">
        <v>连锁闪电伤害：[智力]*{150%}[电磁]伤害; 
弹跳次数：{2}; 
弹跳范围：{5m};</v>
      </c>
      <c r="V14" s="85"/>
      <c r="W14" s="229"/>
      <c r="X14" s="85" t="str">
        <v>寰宇的特殊腿部义体。“电磁驱动”推进器不对移动能力产生任何增益效果，反而是专注于提升避让动作的战术压制性能。</v>
      </c>
      <c r="Y14" s="210"/>
      <c r="Z14" s="210" t="str">
        <v>法拉第笼</v>
      </c>
      <c r="AA14" s="210" t="str">
        <v>翻滚</v>
      </c>
      <c r="AB14" s="210"/>
      <c r="AC14" s="210"/>
      <c r="AD14" s="210"/>
      <c r="AE14" s="210" t="str">
        <v>扩散</v>
      </c>
      <c r="AF14" s="11"/>
      <c r="AG14" s="11"/>
      <c r="AH14" s="11"/>
      <c r="AI14" s="11"/>
      <c r="AJ14" s="11" t="str">
        <v>v0.0.5</v>
      </c>
      <c r="AK14" s="11" t="str">
        <v>待办</v>
      </c>
      <c r="AL14" s="11" t="str">
        <v>不急</v>
      </c>
      <c r="AM14" s="11"/>
      <c r="AN14" s="50"/>
      <c r="AO14" s="50"/>
    </row>
    <row r="15">
      <c r="A15" s="203">
        <f>"ID"&amp;"_"&amp;IF(F15="行为芯片","CHP","CYB")&amp;"_"&amp;IFERROR(SUBSTITUTE(MID(B15,FIND("'",B15)+1,FIND("'",B15,FIND("'",B15)+1)-FIND("'",B15)-1)," ",""),"")&amp;"_1"</f>
      </c>
      <c r="B15" s="203" t="str">
        <v>OV 'Faraday' Cage Mesh</v>
      </c>
      <c r="C15" s="203" t="str">
        <v>“法拉第笼”网格</v>
      </c>
      <c r="D15" s="203">
        <f>IFERROR(SUBSTITUTE(MID(C15,FIND("“",C15)+1,FIND("”",C15,FIND("“",C15)+1)-FIND("“",C15)-1)," ",""),"")</f>
      </c>
      <c r="E15" s="53" t="str">
        <v>寰宇</v>
      </c>
      <c r="F15" s="53" t="str">
        <v>皮肤</v>
      </c>
      <c r="G15" s="213">
        <f>VLOOKUP(F15,'引用数据库'!AL:AN,3,FALSE)</f>
      </c>
      <c r="H15" s="230">
        <f>IF($B15="","","SKL"&amp;"02"&amp;G15&amp;VLOOKUP(F15,'引用数据库'!AL:AN,3,FALSE)&amp;BASE(CODE(MID($B15,5,1))*1+CODE(MID($B15,6,1))*2+CODE(MID($B15,7,1))*3,36,2))</f>
      </c>
      <c r="I15" s="72">
        <f>IF($B15="","","CYB"&amp;VLOOKUP(E15,'引用数据库'!Z:AC,4,FALSE)&amp;VLOOKUP(F15,'引用数据库'!AL:AN,3,FALSE)&amp;VLOOKUP(Z15,'引用数据库'!AF:AG,2,FALSE)&amp;BASE(CODE(MID($B15,5,1))*1+CODE(MID($B15,6,1))*2+CODE(MID($B15,7,1))*3,36,2))</f>
      </c>
      <c r="J15" s="1"/>
      <c r="K15" s="57">
        <v>5</v>
      </c>
      <c r="L15" s="57">
        <v>4</v>
      </c>
      <c r="M15" s="57">
        <v>9</v>
      </c>
      <c r="N15" s="172">
        <f>IF(    SUM(K15:M15)=0,    0,    8 + (        MAX(            0,            MIN(                1,                IF(                    MAX(K15:M15)=0,                    0,                    (3*MAX(K15:M15) - SUM(K15:M15)) / (2*MAX(K15:M15))                )            )        ) * 4    ))</f>
      </c>
      <c r="O15" s="231">
        <f>MAX(K15:M15)</f>
      </c>
      <c r="P15" s="172">
        <f>IF(    MAX(K15:M15) &lt;= 0,    0,    MIN(        24,        MAX(            12,            48 - 3 * MAX(K15:M15)        )    ))</f>
      </c>
      <c r="Q15" s="231">
        <f>SUM(K15:M15)</f>
      </c>
      <c r="R15" s="232">
        <f>IF(Q15/24=0,"",Q15/24)</f>
      </c>
      <c r="S15" s="77"/>
      <c r="T15" s="85" t="s">
        <v>32</v>
      </c>
      <c r="U15" s="85" t="str">
        <v>电击伤害减免：{+40%}; 
能量转化率：{20%}</v>
      </c>
      <c r="V15" s="85"/>
      <c r="W15" s="229"/>
      <c r="X15" s="85" t="str">
        <v>寰宇的数据中心防护技术个人版。“屏护”系列皮肤的核心。皮肤表层动态形成的法拉第笼能有效偏转和吸收电磁能量，甚至将其化为己用。</v>
      </c>
      <c r="Y15" s="210"/>
      <c r="Z15" s="210" t="str">
        <v>法拉第笼</v>
      </c>
      <c r="AA15" s="210" t="str">
        <v>受击</v>
      </c>
      <c r="AB15" s="210"/>
      <c r="AC15" s="210" t="str">
        <v>电磁</v>
      </c>
      <c r="AD15" s="210" t="str">
        <v>能量</v>
      </c>
      <c r="AE15" s="210" t="str">
        <v>减伤</v>
      </c>
      <c r="AF15" s="11" t="str">
        <v>不急</v>
      </c>
      <c r="AG15" s="11" t="str">
        <v>不急</v>
      </c>
      <c r="AH15" s="11" t="str">
        <v>不急</v>
      </c>
      <c r="AI15" s="11"/>
      <c r="AJ15" s="11" t="str">
        <v>v0.0.5</v>
      </c>
      <c r="AK15" s="11" t="str">
        <v>待办</v>
      </c>
      <c r="AL15" s="11" t="str">
        <v>不急</v>
      </c>
      <c r="AM15" s="11"/>
      <c r="AN15" s="50"/>
      <c r="AO15" s="50"/>
    </row>
    <row r="16">
      <c r="A16" s="203">
        <f>"ID"&amp;"_"&amp;IF(F16="行为芯片","CHP","CYB")&amp;"_"&amp;IFERROR(SUBSTITUTE(MID(B16,FIND("'",B16)+1,FIND("'",B16,FIND("'",B16)+1)-FIND("'",B16)-1)," ",""),"")&amp;"_1"</f>
      </c>
      <c r="B16" s="203" t="str">
        <v>OV 'Grounding Mesh'</v>
      </c>
      <c r="C16" s="203" t="str">
        <v>“接地网格”</v>
      </c>
      <c r="D16" s="203">
        <f>IFERROR(SUBSTITUTE(MID(C16,FIND("“",C16)+1,FIND("”",C16,FIND("“",C16)+1)-FIND("“",C16)-1)," ",""),"")</f>
      </c>
      <c r="E16" s="53" t="str">
        <v>寰宇</v>
      </c>
      <c r="F16" s="53" t="str">
        <v>骨骼</v>
      </c>
      <c r="G16" s="213">
        <f>VLOOKUP(F16,'引用数据库'!AL:AN,3,FALSE)</f>
      </c>
      <c r="H16" s="230">
        <f>IF($B16="","","SKL"&amp;"02"&amp;G16&amp;VLOOKUP(F16,'引用数据库'!AL:AN,3,FALSE)&amp;BASE(CODE(MID($B16,5,1))*1+CODE(MID($B16,6,1))*2+CODE(MID($B16,7,1))*3,36,2))</f>
      </c>
      <c r="I16" s="72">
        <f>IF($B16="","","CYB"&amp;VLOOKUP(E16,'引用数据库'!Z:AC,4,FALSE)&amp;VLOOKUP(F16,'引用数据库'!AL:AN,3,FALSE)&amp;VLOOKUP(Z16,'引用数据库'!AF:AG,2,FALSE)&amp;BASE(CODE(MID($B16,5,1))*1+CODE(MID($B16,6,1))*2+CODE(MID($B16,7,1))*3,36,2))</f>
      </c>
      <c r="J16" s="1"/>
      <c r="K16" s="57">
        <v>7</v>
      </c>
      <c r="L16" s="57">
        <v>5</v>
      </c>
      <c r="M16" s="57">
        <v>6</v>
      </c>
      <c r="N16" s="172">
        <f>IF(    SUM(K16:M16)=0,    0,    8 + (        MAX(            0,            MIN(                1,                IF(                    MAX(K16:M16)=0,                    0,                    (3*MAX(K16:M16) - SUM(K16:M16)) / (2*MAX(K16:M16))                )            )        ) * 4    ))</f>
      </c>
      <c r="O16" s="231">
        <f>MAX(K16:M16)</f>
      </c>
      <c r="P16" s="172">
        <f>IF(    MAX(K16:M16) &lt;= 0,    0,    MIN(        24,        MAX(            12,            48 - 3 * MAX(K16:M16)        )    ))</f>
      </c>
      <c r="Q16" s="231">
        <f>SUM(K16:M16)</f>
      </c>
      <c r="R16" s="232">
        <f>IF(Q16/24=0,"",Q16/24)</f>
      </c>
      <c r="S16" s="77"/>
      <c r="T16" s="85" t="str">
        <v>你每秒增加{10}电磁异常积蓄。你受到伤害或接触到其他对象时，将你受到的“麻痹”异常转移给该对象。</v>
      </c>
      <c r="U16" s="85"/>
      <c r="V16" s="85"/>
      <c r="W16" s="229"/>
      <c r="X16" s="85" t="str">
        <v>寰宇的数据中心防静电技术个人版。“屏护”系列骨骼。“接地网格”能有效中和并导出过量电流，保护你的电子义体和神经系统免受电磁干扰。</v>
      </c>
      <c r="Y16" s="210"/>
      <c r="Z16" s="210" t="str">
        <v>法拉第笼</v>
      </c>
      <c r="AA16" s="210"/>
      <c r="AB16" s="210"/>
      <c r="AC16" s="210"/>
      <c r="AD16" s="210"/>
      <c r="AE16" s="210"/>
      <c r="AF16" s="11" t="str">
        <v>不急</v>
      </c>
      <c r="AG16" s="11" t="str">
        <v>不急</v>
      </c>
      <c r="AH16" s="11" t="str">
        <v>不急</v>
      </c>
      <c r="AI16" s="11"/>
      <c r="AJ16" s="11" t="str">
        <v>v0.0.5</v>
      </c>
      <c r="AK16" s="11" t="str">
        <v>待办</v>
      </c>
      <c r="AL16" s="11" t="str">
        <v>不急</v>
      </c>
      <c r="AM16" s="11"/>
      <c r="AN16" s="50"/>
      <c r="AO16" s="50"/>
    </row>
    <row r="17">
      <c r="A17" s="203">
        <f>"ID"&amp;"_"&amp;IF(F17="行为芯片","CHP","CYB")&amp;"_"&amp;IFERROR(SUBSTITUTE(MID(B17,FIND("'",B17)+1,FIND("'",B17,FIND("'",B17)+1)-FIND("'",B17)-1)," ",""),"")&amp;"_1"</f>
      </c>
      <c r="B17" s="203" t="str">
        <v>OV 'Data Chain' Emitter</v>
      </c>
      <c r="C17" s="203" t="str">
        <v>寰宇“数据链”发射器</v>
      </c>
      <c r="D17" s="203">
        <f>IFERROR(SUBSTITUTE(MID(C17,FIND("“",C17)+1,FIND("”",C17,FIND("“",C17)+1)-FIND("“",C17)-1)," ",""),"")</f>
      </c>
      <c r="E17" s="53" t="str">
        <v>寰宇</v>
      </c>
      <c r="F17" s="53" t="str">
        <v>主手</v>
      </c>
      <c r="G17" s="213">
        <f>VLOOKUP(F17,'引用数据库'!AL:AN,3,FALSE)</f>
      </c>
      <c r="H17" s="230">
        <f>IF($B17="","","SKL"&amp;"02"&amp;G17&amp;VLOOKUP(F17,'引用数据库'!AL:AN,3,FALSE)&amp;BASE(CODE(MID($B17,5,1))*1+CODE(MID($B17,6,1))*2+CODE(MID($B17,7,1))*3,36,2))</f>
      </c>
      <c r="I17" s="72">
        <f>IF($B17="","","CYB"&amp;VLOOKUP(E17,'引用数据库'!Z:AC,4,FALSE)&amp;VLOOKUP(F17,'引用数据库'!AL:AN,3,FALSE)&amp;VLOOKUP(Z17,'引用数据库'!AF:AG,2,FALSE)&amp;BASE(CODE(MID($B17,5,1))*1+CODE(MID($B17,6,1))*2+CODE(MID($B17,7,1))*3,36,2))</f>
      </c>
      <c r="J17" s="1"/>
      <c r="K17" s="57">
        <v>5</v>
      </c>
      <c r="L17" s="57">
        <v>9</v>
      </c>
      <c r="M17" s="57">
        <v>7</v>
      </c>
      <c r="N17" s="64">
        <f>IF(    SUM(K17:M17)=0,    0,    8 + (        MAX(            0,            MIN(                1,                IF(                    MAX(K17:M17)=0,                    0,                    (3*MAX(K17:M17) - SUM(K17:M17)) / (2*MAX(K17:M17))                )            )        ) * 4    ))</f>
      </c>
      <c r="O17" s="231">
        <f>MAX(K17:M17)</f>
      </c>
      <c r="P17" s="172">
        <f>IF(    MAX(K17:M17) &lt;= 0,    0,    MIN(        24,        MAX(            12,            48 - 3 * MAX(K17:M17)        )    ))</f>
      </c>
      <c r="Q17" s="231">
        <f>SUM(K17:M17)</f>
      </c>
      <c r="R17" s="232">
        <f>IF(Q17/24=0,"",Q17/24)</f>
      </c>
      <c r="S17" s="77"/>
      <c r="T17" s="85" t="s">
        <v>18</v>
      </c>
      <c r="U17" s="85"/>
      <c r="V17" s="85"/>
      <c r="W17" s="229"/>
      <c r="X17" s="85" t="str">
        <v>寰宇的网络技术实体化。“链接者”系列产品。“数据链”发射器将你的攻击转化为数据信标，在敌人之间建立不稳定的链接，一个崩溃，全体遭殃。</v>
      </c>
      <c r="Y17" s="207"/>
      <c r="Z17" s="207" t="str">
        <v>链接者</v>
      </c>
      <c r="AA17" s="207" t="str">
        <v>普攻</v>
      </c>
      <c r="AB17" s="207" t="str">
        <v>株连</v>
      </c>
      <c r="AC17" s="207"/>
      <c r="AD17" s="207"/>
      <c r="AE17" s="207" t="str">
        <v>增伤,扩散</v>
      </c>
      <c r="AF17" s="11" t="str">
        <v>待办</v>
      </c>
      <c r="AG17" s="11" t="str">
        <v>待办</v>
      </c>
      <c r="AH17" s="11" t="str">
        <v>待办</v>
      </c>
      <c r="AI17" s="11"/>
      <c r="AJ17" s="11" t="str">
        <v>v0.0.5</v>
      </c>
      <c r="AK17" s="11" t="str">
        <v>完成</v>
      </c>
      <c r="AL17" s="11" t="str">
        <v>完成</v>
      </c>
      <c r="AM17" s="11"/>
      <c r="AN17" s="11"/>
      <c r="AO17" s="50" t="s">
        <v>19</v>
      </c>
    </row>
    <row customHeight="true" ht="57" r="18">
      <c r="A18" s="203">
        <f>"ID"&amp;"_"&amp;IF(F18="行为芯片","CHP","CYB")&amp;"_"&amp;IFERROR(SUBSTITUTE(MID(B18,FIND("'",B18)+1,FIND("'",B18,FIND("'",B18)+1)-FIND("'",B18)-1)," ",""),"")&amp;"_1"</f>
      </c>
      <c r="B18" s="203" t="str">
        <v>OV 'Protocol Contagion'</v>
      </c>
      <c r="C18" s="203" t="str">
        <v>寰宇“协议传染”编译器</v>
      </c>
      <c r="D18" s="203">
        <f>IFERROR(SUBSTITUTE(MID(C18,FIND("“",C18)+1,FIND("”",C18,FIND("“",C18)+1)-FIND("“",C18)-1)," ",""),"")</f>
      </c>
      <c r="E18" s="53" t="str">
        <v>寰宇</v>
      </c>
      <c r="F18" s="53" t="str">
        <v>副手</v>
      </c>
      <c r="G18" s="213">
        <f>VLOOKUP(F18,'引用数据库'!AL:AN,3,FALSE)</f>
      </c>
      <c r="H18" s="230">
        <f>IF($B18="","","SKL"&amp;"02"&amp;G18&amp;VLOOKUP(F18,'引用数据库'!AL:AN,3,FALSE)&amp;BASE(CODE(MID($B18,5,1))*1+CODE(MID($B18,6,1))*2+CODE(MID($B18,7,1))*3,36,2))</f>
      </c>
      <c r="I18" s="72">
        <f>IF($B18="","","CYB"&amp;VLOOKUP(E18,'引用数据库'!Z:AC,4,FALSE)&amp;VLOOKUP(F18,'引用数据库'!AL:AN,3,FALSE)&amp;VLOOKUP(Z18,'引用数据库'!AF:AG,2,FALSE)&amp;BASE(CODE(MID($B18,5,1))*1+CODE(MID($B18,6,1))*2+CODE(MID($B18,7,1))*3,36,2))</f>
      </c>
      <c r="J18" s="1"/>
      <c r="K18" s="57">
        <v>6</v>
      </c>
      <c r="L18" s="57">
        <v>9</v>
      </c>
      <c r="M18" s="57">
        <v>6</v>
      </c>
      <c r="N18" s="64">
        <f>IF(    SUM(K18:M18)=0,    0,    8 + (        MAX(            0,            MIN(                1,                IF(                    MAX(K18:M18)=0,                    0,                    (3*MAX(K18:M18) - SUM(K18:M18)) / (2*MAX(K18:M18))                )            )        ) * 4    ))</f>
      </c>
      <c r="O18" s="231">
        <f>MAX(K18:M18)</f>
      </c>
      <c r="P18" s="172">
        <f>IF(    MAX(K18:M18) &lt;= 0,    0,    MIN(        24,        MAX(            12,            48 - 3 * MAX(K18:M18)        )    ))</f>
      </c>
      <c r="Q18" s="231">
        <f>SUM(K18:M18)</f>
      </c>
      <c r="R18" s="232">
        <f>IF(Q18/24=0,"",Q18/24)</f>
      </c>
      <c r="S18" s="77"/>
      <c r="T18" s="85" t="s">
        <v>20</v>
      </c>
      <c r="U18" s="85" t="str">
        <v>伤害增加：[武器矫正后伤害]*{40%}</v>
      </c>
      <c r="V18" s="85"/>
      <c r="W18" s="229"/>
      <c r="X18" s="85" t="str">
        <v>“链接者”系列的武器技能模块。“协议传染”利用武器技能的高能量瞬间，强行在目标身上植入链接协议，将其纳入毁灭网络。</v>
      </c>
      <c r="Y18" s="207"/>
      <c r="Z18" s="207" t="str">
        <v>链接者</v>
      </c>
      <c r="AA18" s="207" t="str">
        <v>移动,武器技能</v>
      </c>
      <c r="AB18" s="207" t="str">
        <v>株连</v>
      </c>
      <c r="AC18" s="207"/>
      <c r="AD18" s="207"/>
      <c r="AE18" s="207" t="str">
        <v>增伤,扩散</v>
      </c>
      <c r="AF18" s="11" t="str">
        <v>待办</v>
      </c>
      <c r="AG18" s="11" t="str">
        <v>待办</v>
      </c>
      <c r="AH18" s="11" t="str">
        <v>待办</v>
      </c>
      <c r="AI18" s="11"/>
      <c r="AJ18" s="11" t="str">
        <v>v0.0.5</v>
      </c>
      <c r="AK18" s="11" t="str">
        <v>完成</v>
      </c>
      <c r="AL18" s="11" t="str">
        <v>完成</v>
      </c>
      <c r="AM18" s="11"/>
      <c r="AN18" s="11"/>
      <c r="AO18" s="50" t="s">
        <v>19</v>
      </c>
    </row>
    <row r="19">
      <c r="A19" s="203">
        <f>"ID"&amp;"_"&amp;IF(F19="行为芯片","CHP","CYB")&amp;"_"&amp;IFERROR(SUBSTITUTE(MID(B19,FIND("'",B19)+1,FIND("'",B19,FIND("'",B19)+1)-FIND("'",B19)-1)," ",""),"")&amp;"_1"</f>
      </c>
      <c r="B19" s="203" t="str">
        <v>OV 'Pulse Relay' Node</v>
      </c>
      <c r="C19" s="203" t="str">
        <v>寰宇“脉冲中继”节点</v>
      </c>
      <c r="D19" s="203">
        <f>IFERROR(SUBSTITUTE(MID(C19,FIND("“",C19)+1,FIND("”",C19,FIND("“",C19)+1)-FIND("“",C19)-1)," ",""),"")</f>
      </c>
      <c r="E19" s="53" t="str">
        <v>寰宇</v>
      </c>
      <c r="F19" s="53" t="str">
        <v>腿部</v>
      </c>
      <c r="G19" s="213">
        <f>VLOOKUP(F19,'引用数据库'!AL:AN,3,FALSE)</f>
      </c>
      <c r="H19" s="230">
        <f>IF($B19="","","SKL"&amp;"02"&amp;G19&amp;VLOOKUP(F19,'引用数据库'!AL:AN,3,FALSE)&amp;BASE(CODE(MID($B19,5,1))*1+CODE(MID($B19,6,1))*2+CODE(MID($B19,7,1))*3,36,2))</f>
      </c>
      <c r="I19" s="72">
        <f>IF($B19="","","CYB"&amp;VLOOKUP(E19,'引用数据库'!Z:AC,4,FALSE)&amp;VLOOKUP(F19,'引用数据库'!AL:AN,3,FALSE)&amp;VLOOKUP(Z19,'引用数据库'!AF:AG,2,FALSE)&amp;BASE(CODE(MID($B19,5,1))*1+CODE(MID($B19,6,1))*2+CODE(MID($B19,7,1))*3,36,2))</f>
      </c>
      <c r="J19" s="1"/>
      <c r="K19" s="57">
        <v>8</v>
      </c>
      <c r="L19" s="57">
        <v>8</v>
      </c>
      <c r="M19" s="57">
        <v>8</v>
      </c>
      <c r="N19" s="64">
        <f>IF(    SUM(K19:M19)=0,    0,    8 + (        MAX(            0,            MIN(                1,                IF(                    MAX(K19:M19)=0,                    0,                    (3*MAX(K19:M19) - SUM(K19:M19)) / (2*MAX(K19:M19))                )            )        ) * 4    ))</f>
      </c>
      <c r="O19" s="231">
        <f>MAX(K19:M19)</f>
      </c>
      <c r="P19" s="172">
        <f>IF(    MAX(K19:M19) &lt;= 0,    0,    MIN(        24,        MAX(            12,            48 - 3 * MAX(K19:M19)        )    ))</f>
      </c>
      <c r="Q19" s="231">
        <f>SUM(K19:M19)</f>
      </c>
      <c r="R19" s="232">
        <f>IF(Q19/24=0,"",Q19/24)</f>
      </c>
      <c r="S19" s="77"/>
      <c r="T19" s="85" t="s">
        <v>22</v>
      </c>
      <c r="U19" s="85" t="str">
        <v>影响数量：{6}; 
范围: {4m}</v>
      </c>
      <c r="V19" s="85"/>
      <c r="W19" s="229"/>
      <c r="X19" s="85" t="str">
        <v>“链接者”系列的腿部组件。“脉冲中继”节点在你翻滚路径的终点释放一次数据脉冲，将周围的敌人强行拉入株连网络，为你的下一次攻击制造完美的连锁反应。</v>
      </c>
      <c r="Y19" s="207"/>
      <c r="Z19" s="207" t="str">
        <v>链接者</v>
      </c>
      <c r="AA19" s="207" t="str">
        <v>翻滚</v>
      </c>
      <c r="AB19" s="207" t="str">
        <v>株连</v>
      </c>
      <c r="AC19" s="207"/>
      <c r="AD19" s="207"/>
      <c r="AE19" s="207" t="str">
        <v>扩散,位移</v>
      </c>
      <c r="AF19" s="11" t="str">
        <v>待办</v>
      </c>
      <c r="AG19" s="11" t="str">
        <v>待办</v>
      </c>
      <c r="AH19" s="11" t="str">
        <v>待办</v>
      </c>
      <c r="AI19" s="11"/>
      <c r="AJ19" s="11" t="str">
        <v>v0.0.5</v>
      </c>
      <c r="AK19" s="11" t="str">
        <v>完成</v>
      </c>
      <c r="AL19" s="11" t="str">
        <v>完成</v>
      </c>
      <c r="AM19" s="11"/>
      <c r="AN19" s="11"/>
      <c r="AO19" s="50" t="s">
        <v>19</v>
      </c>
    </row>
    <row customHeight="true" ht="57" r="20">
      <c r="A20" s="203">
        <f>"ID"&amp;"_"&amp;IF(F20="行为芯片","CHP","CYB")&amp;"_"&amp;IFERROR(SUBSTITUTE(MID(B20,FIND("'",B20)+1,FIND("'",B20,FIND("'",B20)+1)-FIND("'",B20)-1)," ",""),"")&amp;"_1"</f>
      </c>
      <c r="B20" s="203" t="str">
        <v>OV 'ICE Counter' Mesh</v>
      </c>
      <c r="C20" s="203" t="str">
        <v>“破冰反制”网格</v>
      </c>
      <c r="D20" s="203">
        <f>IFERROR(SUBSTITUTE(MID(C20,FIND("“",C20)+1,FIND("”",C20,FIND("“",C20)+1)-FIND("“",C20)-1)," ",""),"")</f>
      </c>
      <c r="E20" s="53" t="str">
        <v>寰宇</v>
      </c>
      <c r="F20" s="53" t="str">
        <v>皮肤</v>
      </c>
      <c r="G20" s="213">
        <f>VLOOKUP(F20,'引用数据库'!AL:AN,3,FALSE)</f>
      </c>
      <c r="H20" s="230">
        <f>IF($B20="","","SKL"&amp;"02"&amp;G20&amp;VLOOKUP(F20,'引用数据库'!AL:AN,3,FALSE)&amp;BASE(CODE(MID($B20,5,1))*1+CODE(MID($B20,6,1))*2+CODE(MID($B20,7,1))*3,36,2))</f>
      </c>
      <c r="I20" s="72">
        <f>IF($B20="","","CYB"&amp;VLOOKUP(E20,'引用数据库'!Z:AC,4,FALSE)&amp;VLOOKUP(F20,'引用数据库'!AL:AN,3,FALSE)&amp;VLOOKUP(Z20,'引用数据库'!AF:AG,2,FALSE)&amp;BASE(CODE(MID($B20,5,1))*1+CODE(MID($B20,6,1))*2+CODE(MID($B20,7,1))*3,36,2))</f>
      </c>
      <c r="J20" s="1"/>
      <c r="K20" s="57">
        <f>+6</f>
      </c>
      <c r="L20" s="57">
        <f>+7</f>
      </c>
      <c r="M20" s="57">
        <f>+5</f>
      </c>
      <c r="N20" s="172">
        <f>IF(    SUM(K20:M20)=0,    0,    8 + (        MAX(            0,            MIN(                1,                IF(                    MAX(K20:M20)=0,                    0,                    (3*MAX(K20:M20) - SUM(K20:M20)) / (2*MAX(K20:M20))                )            )        ) * 4    ))</f>
      </c>
      <c r="O20" s="231">
        <f>MAX(K20:M20)</f>
      </c>
      <c r="P20" s="172">
        <f>IF(    MAX(K20:M20) &lt;= 0,    0,    MIN(        24,        MAX(            12,            48 - 3 * MAX(K20:M20)        )    ))</f>
      </c>
      <c r="Q20" s="231">
        <f>SUM(K20:M20)</f>
      </c>
      <c r="R20" s="232">
        <f>IF(Q20/24=0,"",Q20/24)</f>
      </c>
      <c r="S20" s="77"/>
      <c r="T20" s="85" t="str">
        <v>受到任何类型的攻击时，对攻击来源施加“株连”效果。</v>
      </c>
      <c r="U20" s="85"/>
      <c r="V20" s="85"/>
      <c r="W20" s="229"/>
      <c r="X20" s="85" t="str">
        <v>“链接者”系列皮肤的高级版本。不仅能反制近战攻击，更能追踪远程攻击和技能来源，将任何胆敢攻击你的人都拉入危险的数据网络中。</v>
      </c>
      <c r="Y20" s="207"/>
      <c r="Z20" s="207" t="str">
        <v>链接者</v>
      </c>
      <c r="AA20" s="207" t="str">
        <v>受击</v>
      </c>
      <c r="AB20" s="207" t="str">
        <v>株连</v>
      </c>
      <c r="AC20" s="207"/>
      <c r="AD20" s="207"/>
      <c r="AE20" s="207" t="str">
        <v>扩散</v>
      </c>
      <c r="AF20" s="11" t="str">
        <v>不急</v>
      </c>
      <c r="AG20" s="11" t="str">
        <v>待办</v>
      </c>
      <c r="AH20" s="11" t="str">
        <v>不急</v>
      </c>
      <c r="AI20" s="11"/>
      <c r="AJ20" s="11" t="str">
        <v>v0.0.5</v>
      </c>
      <c r="AK20" s="11" t="str">
        <v>待办</v>
      </c>
      <c r="AL20" s="11" t="str">
        <v>待办</v>
      </c>
      <c r="AM20" s="11"/>
      <c r="AN20" s="50"/>
      <c r="AO20" s="50"/>
    </row>
    <row r="21">
      <c r="A21" s="203">
        <f>"ID"&amp;"_"&amp;IF(F21="行为芯片","CHP","CYB")&amp;"_"&amp;IFERROR(SUBSTITUTE(MID(B21,FIND("'",B21)+1,FIND("'",B21,FIND("'",B21)+1)-FIND("'",B21)-1)," ",""),"")&amp;"_1"</f>
      </c>
      <c r="B21" s="203" t="str">
        <v>OV 'Damage Router' Frame</v>
      </c>
      <c r="C21" s="203" t="str">
        <v>“伤害路由”骨架</v>
      </c>
      <c r="D21" s="203">
        <f>IFERROR(SUBSTITUTE(MID(C21,FIND("“",C21)+1,FIND("”",C21,FIND("“",C21)+1)-FIND("“",C21)-1)," ",""),"")</f>
      </c>
      <c r="E21" s="53" t="str">
        <v>寰宇</v>
      </c>
      <c r="F21" s="53" t="str">
        <v>骨骼</v>
      </c>
      <c r="G21" s="213">
        <f>VLOOKUP(F21,'引用数据库'!AL:AN,3,FALSE)</f>
      </c>
      <c r="H21" s="230">
        <f>IF($B21="","","SKL"&amp;"02"&amp;G21&amp;VLOOKUP(F21,'引用数据库'!AL:AN,3,FALSE)&amp;BASE(CODE(MID($B21,5,1))*1+CODE(MID($B21,6,1))*2+CODE(MID($B21,7,1))*3,36,2))</f>
      </c>
      <c r="I21" s="72">
        <f>IF($B21="","","CYB"&amp;VLOOKUP(E21,'引用数据库'!Z:AC,4,FALSE)&amp;VLOOKUP(F21,'引用数据库'!AL:AN,3,FALSE)&amp;VLOOKUP(Z21,'引用数据库'!AF:AG,2,FALSE)&amp;BASE(CODE(MID($B21,5,1))*1+CODE(MID($B21,6,1))*2+CODE(MID($B21,7,1))*3,36,2))</f>
      </c>
      <c r="J21" s="1"/>
      <c r="K21" s="57">
        <f>+7</f>
      </c>
      <c r="L21" s="57">
        <f>+5</f>
      </c>
      <c r="M21" s="57">
        <f>+6</f>
      </c>
      <c r="N21" s="172">
        <f>IF(    SUM(K21:M21)=0,    0,    8 + (        MAX(            0,            MIN(                1,                IF(                    MAX(K21:M21)=0,                    0,                    (3*MAX(K21:M21) - SUM(K21:M21)) / (2*MAX(K21:M21))                )            )        ) * 4    ))</f>
      </c>
      <c r="O21" s="231">
        <f>MAX(K21:M21)</f>
      </c>
      <c r="P21" s="172">
        <f>IF(    MAX(K21:M21) &lt;= 0,    0,    MIN(        24,        MAX(            12,            48 - 3 * MAX(K21:M21)        )    ))</f>
      </c>
      <c r="Q21" s="231">
        <f>SUM(K21:M21)</f>
      </c>
      <c r="R21" s="232">
        <f>IF(Q21/24=0,"",Q21/24)</f>
      </c>
      <c r="S21" s="77"/>
      <c r="T21" s="85" t="str">
        <v>如果你拥有护甲，受到的伤害的 {30%} 将被分摊给所有带有“株连”效果的敌人。</v>
      </c>
      <c r="U21" s="85" t="str">
        <v>伤害转移比例：{30%}</v>
      </c>
      <c r="V21" s="85"/>
      <c r="W21" s="229"/>
      <c r="X21" s="85" t="str">
        <v>“链接者”系列骨架的升级版。“伤害路由”骨架能更高效地将过载伤害通过数据链路分流出去，让你的敌人替你承受更多痛苦。</v>
      </c>
      <c r="Y21" s="207"/>
      <c r="Z21" s="207" t="str">
        <v>链接者</v>
      </c>
      <c r="AA21" s="207" t="str">
        <v>受击</v>
      </c>
      <c r="AB21" s="207" t="str">
        <v>株连</v>
      </c>
      <c r="AC21" s="207"/>
      <c r="AD21" s="207" t="str">
        <v>高护甲</v>
      </c>
      <c r="AE21" s="207" t="str">
        <v>扩散</v>
      </c>
      <c r="AF21" s="11" t="str">
        <v>不急</v>
      </c>
      <c r="AG21" s="11" t="str">
        <v>待办</v>
      </c>
      <c r="AH21" s="11" t="str">
        <v>不急</v>
      </c>
      <c r="AI21" s="11"/>
      <c r="AJ21" s="11" t="str">
        <v>v0.0.5</v>
      </c>
      <c r="AK21" s="11" t="str">
        <v>待办</v>
      </c>
      <c r="AL21" s="11" t="str">
        <v>待办</v>
      </c>
      <c r="AM21" s="11"/>
      <c r="AN21" s="50"/>
      <c r="AO21" s="50"/>
    </row>
    <row r="22">
      <c r="A22" s="203">
        <f>"ID"&amp;"_"&amp;IF(F22="行为芯片","CHP","CYB")&amp;"_"&amp;IFERROR(SUBSTITUTE(MID(B22,FIND("'",B22)+1,FIND("'",B22,FIND("'",B22)+1)-FIND("'",B22)-1)," ",""),"")&amp;"_1"</f>
      </c>
      <c r="B22" s="203" t="str">
        <v>OV 'Resonance Kill' Chip</v>
      </c>
      <c r="C22" s="203" t="str">
        <v>寰宇“共振击杀”芯片</v>
      </c>
      <c r="D22" s="203">
        <f>IFERROR(SUBSTITUTE(MID(C22,FIND("“",C22)+1,FIND("”",C22,FIND("“",C22)+1)-FIND("“",C22)-1)," ",""),"")</f>
      </c>
      <c r="E22" s="53" t="str">
        <v>寰宇</v>
      </c>
      <c r="F22" s="53" t="str">
        <v>行为芯片</v>
      </c>
      <c r="G22" s="213">
        <f>VLOOKUP(F22,'引用数据库'!AL:AN,3,FALSE)</f>
      </c>
      <c r="H22" s="230">
        <f>IF($B22="","","SKL"&amp;"02"&amp;G22&amp;VLOOKUP(F22,'引用数据库'!AL:AN,3,FALSE)&amp;BASE(CODE(MID($B22,5,1))*1+CODE(MID($B22,6,1))*2+CODE(MID($B22,7,1))*3,36,2))</f>
      </c>
      <c r="I22" s="72">
        <f>IF($B22="","","CYB"&amp;VLOOKUP(E22,'引用数据库'!Z:AC,4,FALSE)&amp;VLOOKUP(F22,'引用数据库'!AL:AN,3,FALSE)&amp;VLOOKUP(Z22,'引用数据库'!AF:AG,2,FALSE)&amp;BASE(CODE(MID($B22,5,1))*1+CODE(MID($B22,6,1))*2+CODE(MID($B22,7,1))*3,36,2))</f>
      </c>
      <c r="J22" s="1"/>
      <c r="K22" s="57">
        <v>0</v>
      </c>
      <c r="L22" s="57">
        <v>0</v>
      </c>
      <c r="M22" s="57">
        <v>0</v>
      </c>
      <c r="N22" s="64">
        <f>IF(    SUM(K22:M22)=0,    0,    8 + (        MAX(            0,            MIN(                1,                IF(                    MAX(K22:M22)=0,                    0,                    (3*MAX(K22:M22) - SUM(K22:M22)) / (2*MAX(K22:M22))                )            )        ) * 4    ))</f>
      </c>
      <c r="O22" s="231">
        <f>MAX(K22:M22)</f>
      </c>
      <c r="P22" s="172">
        <f>IF(    MAX(K22:M22) &lt;= 0,    0,    MIN(        24,        MAX(            12,            48 - 3 * MAX(K22:M22)        )    ))</f>
      </c>
      <c r="Q22" s="231">
        <f>SUM(K22:M22)</f>
      </c>
      <c r="R22" s="232">
        <f>IF(Q22/24=0,"",Q22/24)</f>
      </c>
      <c r="S22" s="77"/>
      <c r="T22" s="85" t="str">
        <v>击杀带有[株连]效果的敌人时，对所有其他带有[株连]效果的敌人造成一次基于智力的伤害，并移除所有[株连]效果。</v>
      </c>
      <c r="U22" s="85" t="str">
        <v>伤害：{智力 x 66} 电磁伤害</v>
      </c>
      <c r="V22" s="85"/>
      <c r="W22" s="229"/>
      <c r="X22" s="85" t="str">
        <v>寰宇的高级杀伤链程序。“共振击杀”芯片能在智脑清除关键节点时，引发整个株连网络的殉爆。</v>
      </c>
      <c r="Y22" s="207"/>
      <c r="Z22" s="207" t="str">
        <v>链接者</v>
      </c>
      <c r="AA22" s="207" t="str">
        <v>移动,智脑技能</v>
      </c>
      <c r="AB22" s="207" t="str">
        <v>株连</v>
      </c>
      <c r="AC22" s="207" t="str">
        <v>电磁</v>
      </c>
      <c r="AD22" s="207" t="str">
        <v>智力</v>
      </c>
      <c r="AE22" s="207" t="str">
        <v>扩散</v>
      </c>
      <c r="AF22" s="11" t="str">
        <v>待办</v>
      </c>
      <c r="AG22" s="11" t="str">
        <v>待办</v>
      </c>
      <c r="AH22" s="11" t="str">
        <v>待办</v>
      </c>
      <c r="AI22" s="11"/>
      <c r="AJ22" s="11" t="str">
        <v>v0.0.5</v>
      </c>
      <c r="AK22" s="11" t="str">
        <v>完成</v>
      </c>
      <c r="AL22" s="11" t="str">
        <v>完成</v>
      </c>
      <c r="AM22" s="11"/>
      <c r="AN22" s="11"/>
      <c r="AO22" s="50" t="s">
        <v>19</v>
      </c>
    </row>
    <row r="23">
      <c r="A23" s="203">
        <f>"ID"&amp;"_"&amp;IF(F23="行为芯片","CHP","CYB")&amp;"_"&amp;IFERROR(SUBSTITUTE(MID(B23,FIND("'",B23)+1,FIND("'",B23,FIND("'",B23)+1)-FIND("'",B23)-1)," ",""),"")&amp;"_1"</f>
      </c>
      <c r="B23" s="203" t="str">
        <v>OV 'HotSwap' Amplifier</v>
      </c>
      <c r="C23" s="203" t="str">
        <v>“热切换”增幅器</v>
      </c>
      <c r="D23" s="203">
        <f>IFERROR(SUBSTITUTE(MID(C23,FIND("“",C23)+1,FIND("”",C23,FIND("“",C23)+1)-FIND("“",C23)-1)," ",""),"")</f>
      </c>
      <c r="E23" s="53" t="str">
        <v>寰宇</v>
      </c>
      <c r="F23" s="53" t="str">
        <v>主手</v>
      </c>
      <c r="G23" s="213">
        <f>VLOOKUP(F23,'引用数据库'!AL:AN,3,FALSE)</f>
      </c>
      <c r="H23" s="230">
        <f>IF($B23="","","SKL"&amp;"02"&amp;G23&amp;VLOOKUP(F23,'引用数据库'!AL:AN,3,FALSE)&amp;BASE(CODE(MID($B23,5,1))*1+CODE(MID($B23,6,1))*2+CODE(MID($B23,7,1))*3,36,2))</f>
      </c>
      <c r="I23" s="72">
        <f>IF($B23="","","CYB"&amp;VLOOKUP(E23,'引用数据库'!Z:AC,4,FALSE)&amp;VLOOKUP(F23,'引用数据库'!AL:AN,3,FALSE)&amp;VLOOKUP(Z23,'引用数据库'!AF:AG,2,FALSE)&amp;BASE(CODE(MID($B23,5,1))*1+CODE(MID($B23,6,1))*2+CODE(MID($B23,7,1))*3,36,2))</f>
      </c>
      <c r="J23" s="1"/>
      <c r="K23" s="57">
        <v>4</v>
      </c>
      <c r="L23" s="57">
        <v>9</v>
      </c>
      <c r="M23" s="57">
        <v>5</v>
      </c>
      <c r="N23" s="172">
        <f>IF(    SUM(K23:M23)=0,    0,    8 + (        MAX(            0,            MIN(                1,                IF(                    MAX(K23:M23)=0,                    0,                    (3*MAX(K23:M23) - SUM(K23:M23)) / (2*MAX(K23:M23))                )            )        ) * 4    ))</f>
      </c>
      <c r="O23" s="231">
        <f>MAX(K23:M23)</f>
      </c>
      <c r="P23" s="172">
        <f>IF(    MAX(K23:M23) &lt;= 0,    0,    MIN(        24,        MAX(            12,            48 - 3 * MAX(K23:M23)        )    ))</f>
      </c>
      <c r="Q23" s="231">
        <f>SUM(K23:M23)</f>
      </c>
      <c r="R23" s="232">
        <f>IF(Q23/24=0,"",Q23/24)</f>
      </c>
      <c r="S23" s="77"/>
      <c r="T23" s="85" t="str">
        <v>切换武器后的 {3s} 内，你的普通攻击伤害增加 {+30%} 。如果你切换武器后使用普通攻击击中过敌人，则该效果可叠加额外{1}层。</v>
      </c>
      <c r="U23" s="85" t="str">
        <v>持续时间：{3s}; 
增加伤害：{+60%}</v>
      </c>
      <c r="V23" s="85"/>
      <c r="W23" s="229"/>
      <c r="X23" s="85" t="str">
        <v>寰宇的快速任务切换技术。“切换”系列主手组件。它能在你切换武器的瞬间，将武器接口的能量短暂超载，为你的下一次攻击注入额外动力。</v>
      </c>
      <c r="Y23" s="210"/>
      <c r="Z23" s="210" t="str">
        <v>临时任务</v>
      </c>
      <c r="AA23" s="210" t="str">
        <v>切换武器</v>
      </c>
      <c r="AB23" s="210"/>
      <c r="AC23" s="210"/>
      <c r="AD23" s="210"/>
      <c r="AE23" s="210" t="str">
        <v>增伤</v>
      </c>
      <c r="AF23" s="11" t="str">
        <v>不急</v>
      </c>
      <c r="AG23" s="11" t="str">
        <v>不急</v>
      </c>
      <c r="AH23" s="11" t="str">
        <v>待办</v>
      </c>
      <c r="AI23" s="11"/>
      <c r="AJ23" s="11" t="str">
        <v>v0.0.5</v>
      </c>
      <c r="AK23" s="11" t="str">
        <v>待办</v>
      </c>
      <c r="AL23" s="11" t="str">
        <v>不急</v>
      </c>
      <c r="AM23" s="11"/>
      <c r="AN23" s="50"/>
      <c r="AO23" s="50"/>
    </row>
    <row r="24">
      <c r="A24" s="203">
        <f>"ID"&amp;"_"&amp;IF(F24="行为芯片","CHP","CYB")&amp;"_"&amp;IFERROR(SUBSTITUTE(MID(B24,FIND("'",B24)+1,FIND("'",B24,FIND("'",B24)+1)-FIND("'",B24)-1)," ",""),"")&amp;"_1"</f>
      </c>
      <c r="B24" s="203" t="str">
        <v>OV 'Synergy' Matrix</v>
      </c>
      <c r="C24" s="203" t="str">
        <v>“协同矩阵”</v>
      </c>
      <c r="D24" s="203">
        <f>IFERROR(SUBSTITUTE(MID(C24,FIND("“",C24)+1,FIND("”",C24,FIND("“",C24)+1)-FIND("“",C24)-1)," ",""),"")</f>
      </c>
      <c r="E24" s="53" t="str">
        <v>寰宇</v>
      </c>
      <c r="F24" s="53" t="str">
        <v>副手</v>
      </c>
      <c r="G24" s="213">
        <f>VLOOKUP(F24,'引用数据库'!AL:AN,3,FALSE)</f>
      </c>
      <c r="H24" s="230">
        <f>IF($B24="","","SKL"&amp;"02"&amp;G24&amp;VLOOKUP(F24,'引用数据库'!AL:AN,3,FALSE)&amp;BASE(CODE(MID($B24,5,1))*1+CODE(MID($B24,6,1))*2+CODE(MID($B24,7,1))*3,36,2))</f>
      </c>
      <c r="I24" s="72">
        <f>IF($B24="","","CYB"&amp;VLOOKUP(E24,'引用数据库'!Z:AC,4,FALSE)&amp;VLOOKUP(F24,'引用数据库'!AL:AN,3,FALSE)&amp;VLOOKUP(Z24,'引用数据库'!AF:AG,2,FALSE)&amp;BASE(CODE(MID($B24,5,1))*1+CODE(MID($B24,6,1))*2+CODE(MID($B24,7,1))*3,36,2))</f>
      </c>
      <c r="J24" s="1"/>
      <c r="K24" s="57">
        <v>3</v>
      </c>
      <c r="L24" s="57">
        <v>8</v>
      </c>
      <c r="M24" s="57">
        <v>7</v>
      </c>
      <c r="N24" s="172">
        <f>IF(    SUM(K24:M24)=0,    0,    8 + (        MAX(            0,            MIN(                1,                IF(                    MAX(K24:M24)=0,                    0,                    (3*MAX(K24:M24) - SUM(K24:M24)) / (2*MAX(K24:M24))                )            )        ) * 4    ))</f>
      </c>
      <c r="O24" s="231">
        <f>MAX(K24:M24)</f>
      </c>
      <c r="P24" s="172">
        <f>IF(    MAX(K24:M24) &lt;= 0,    0,    MIN(        24,        MAX(            12,            48 - 3 * MAX(K24:M24)        )    ))</f>
      </c>
      <c r="Q24" s="231">
        <f>SUM(K24:M24)</f>
      </c>
      <c r="R24" s="232">
        <f>IF(Q24/24=0,"",Q24/24)</f>
      </c>
      <c r="S24" s="77"/>
      <c r="T24" s="85" t="str">
        <v>切换武器后的 {3s} 内，你的主动技能伤害提升 {+60%}。如果你切换武器后使用武器技能击中过敌人，则该效果可叠加额外{1}层。</v>
      </c>
      <c r="U24" s="85" t="str">
        <v>增益持续：{3s}; 
技能伤害加成：{+60%};</v>
      </c>
      <c r="V24" s="85"/>
      <c r="W24" s="229"/>
      <c r="X24" s="85" t="str">
        <v>“切换”系列的副手模块。“协同矩阵”在你切换武器时激活，强化你紧随其后的技能打击，并标记敌人弱点，为后续输出创造条件。</v>
      </c>
      <c r="Y24" s="210"/>
      <c r="Z24" s="210" t="str">
        <v>临时任务</v>
      </c>
      <c r="AA24" s="210" t="str">
        <v>切换武器</v>
      </c>
      <c r="AB24" s="210"/>
      <c r="AC24" s="210"/>
      <c r="AD24" s="210"/>
      <c r="AE24" s="210" t="str">
        <v>增伤</v>
      </c>
      <c r="AF24" s="11" t="str">
        <v>不急</v>
      </c>
      <c r="AG24" s="11" t="str">
        <v>不急</v>
      </c>
      <c r="AH24" s="11" t="str">
        <v>待办</v>
      </c>
      <c r="AI24" s="11"/>
      <c r="AJ24" s="11" t="str">
        <v>v0.0.5</v>
      </c>
      <c r="AK24" s="11" t="str">
        <v>待办</v>
      </c>
      <c r="AL24" s="11" t="str">
        <v>不急</v>
      </c>
      <c r="AM24" s="11"/>
      <c r="AN24" s="50"/>
      <c r="AO24" s="50"/>
    </row>
    <row r="25">
      <c r="A25" s="203">
        <f>"ID"&amp;"_"&amp;IF(F25="行为芯片","CHP","CYB")&amp;"_"&amp;IFERROR(SUBSTITUTE(MID(B25,FIND("'",B25)+1,FIND("'",B25,FIND("'",B25)+1)-FIND("'",B25)-1)," ",""),"")&amp;"_1"</f>
      </c>
      <c r="B25" s="203" t="str">
        <v>RI 'FlowShift' Actuators</v>
      </c>
      <c r="C25" s="203" t="str">
        <v>“流转换”执行器</v>
      </c>
      <c r="D25" s="203">
        <f>IFERROR(SUBSTITUTE(MID(C25,FIND("“",C25)+1,FIND("”",C25,FIND("“",C25)+1)-FIND("“",C25)-1)," ",""),"")</f>
      </c>
      <c r="E25" s="53" t="str">
        <v>寰宇</v>
      </c>
      <c r="F25" s="53" t="str">
        <v>腿部</v>
      </c>
      <c r="G25" s="213">
        <f>VLOOKUP(F25,'引用数据库'!AL:AN,3,FALSE)</f>
      </c>
      <c r="H25" s="230">
        <f>IF($B25="","","SKL"&amp;"02"&amp;G25&amp;VLOOKUP(F25,'引用数据库'!AL:AN,3,FALSE)&amp;BASE(CODE(MID($B25,5,1))*1+CODE(MID($B25,6,1))*2+CODE(MID($B25,7,1))*3,36,2))</f>
      </c>
      <c r="I25" s="72">
        <f>IF($B25="","","CYB"&amp;VLOOKUP(E25,'引用数据库'!Z:AC,4,FALSE)&amp;VLOOKUP(F25,'引用数据库'!AL:AN,3,FALSE)&amp;VLOOKUP(Z25,'引用数据库'!AF:AG,2,FALSE)&amp;BASE(CODE(MID($B25,5,1))*1+CODE(MID($B25,6,1))*2+CODE(MID($B25,7,1))*3,36,2))</f>
      </c>
      <c r="J25" s="1"/>
      <c r="K25" s="57">
        <v>5</v>
      </c>
      <c r="L25" s="57">
        <v>10</v>
      </c>
      <c r="M25" s="57">
        <v>3</v>
      </c>
      <c r="N25" s="172">
        <f>IF(    SUM(K25:M25)=0,    0,    8 + (        MAX(            0,            MIN(                1,                IF(                    MAX(K25:M25)=0,                    0,                    (3*MAX(K25:M25) - SUM(K25:M25)) / (2*MAX(K25:M25))                )            )        ) * 4    ))</f>
      </c>
      <c r="O25" s="231">
        <f>MAX(K25:M25)</f>
      </c>
      <c r="P25" s="172">
        <f>IF(    MAX(K25:M25) &lt;= 0,    0,    MIN(        24,        MAX(            12,            48 - 3 * MAX(K25:M25)        )    ))</f>
      </c>
      <c r="Q25" s="231">
        <f>SUM(K25:M25)</f>
      </c>
      <c r="R25" s="232">
        <f>IF(Q25/24=0,"",Q25/24)</f>
      </c>
      <c r="S25" s="77"/>
      <c r="T25" s="85" t="str">
        <v>每次切换武器时，获得一次免费的短距离冲刺。</v>
      </c>
      <c r="U25" s="85" t="str">
        <v>免费冲刺距离：300;
内置冷却：{2s}
持续时间：{2s}</v>
      </c>
      <c r="V25" s="85"/>
      <c r="W25" s="229"/>
      <c r="X25" s="85" t="str">
        <v>寰宇的动作捕捉与预测技术。“转换”系列腿部组件。“流转换”执行器将武器切换动作转化为流畅的位移，让你在变换火力的同时调整身位，保持战斗节奏。</v>
      </c>
      <c r="Y25" s="210"/>
      <c r="Z25" s="210" t="str">
        <v>临时任务</v>
      </c>
      <c r="AA25" s="210" t="str">
        <v>切换武器</v>
      </c>
      <c r="AB25" s="210"/>
      <c r="AC25" s="210"/>
      <c r="AD25" s="210"/>
      <c r="AE25" s="210" t="str">
        <v>位移</v>
      </c>
      <c r="AF25" s="11" t="str">
        <v>待办</v>
      </c>
      <c r="AG25" s="11" t="str">
        <v>不急</v>
      </c>
      <c r="AH25" s="11" t="str">
        <v>不急</v>
      </c>
      <c r="AI25" s="11"/>
      <c r="AJ25" s="11" t="str">
        <v>v0.0.5</v>
      </c>
      <c r="AK25" s="11" t="str">
        <v>待办</v>
      </c>
      <c r="AL25" s="11" t="str">
        <v>不急</v>
      </c>
      <c r="AM25" s="11"/>
      <c r="AN25" s="50"/>
      <c r="AO25" s="50"/>
    </row>
    <row r="26">
      <c r="A26" s="203">
        <f>"ID"&amp;"_"&amp;IF(F26="行为芯片","CHP","CYB")&amp;"_"&amp;IFERROR(SUBSTITUTE(MID(B26,FIND("'",B26)+1,FIND("'",B26,FIND("'",B26)+1)-FIND("'",B26)-1)," ",""),"")&amp;"_1"</f>
      </c>
      <c r="B26" s="203" t="str">
        <v>JC 'Momentum' Barrier</v>
      </c>
      <c r="C26" s="203" t="str">
        <v>“动量屏障”</v>
      </c>
      <c r="D26" s="203">
        <f>IFERROR(SUBSTITUTE(MID(C26,FIND("“",C26)+1,FIND("”",C26,FIND("“",C26)+1)-FIND("“",C26)-1)," ",""),"")</f>
      </c>
      <c r="E26" s="53" t="str">
        <v>寰宇</v>
      </c>
      <c r="F26" s="53" t="str">
        <v>皮肤</v>
      </c>
      <c r="G26" s="213">
        <f>VLOOKUP(F26,'引用数据库'!AL:AN,3,FALSE)</f>
      </c>
      <c r="H26" s="230">
        <f>IF($B26="","","SKL"&amp;"02"&amp;G26&amp;VLOOKUP(F26,'引用数据库'!AL:AN,3,FALSE)&amp;BASE(CODE(MID($B26,5,1))*1+CODE(MID($B26,6,1))*2+CODE(MID($B26,7,1))*3,36,2))</f>
      </c>
      <c r="I26" s="72">
        <f>IF($B26="","","CYB"&amp;VLOOKUP(E26,'引用数据库'!Z:AC,4,FALSE)&amp;VLOOKUP(F26,'引用数据库'!AL:AN,3,FALSE)&amp;VLOOKUP(Z26,'引用数据库'!AF:AG,2,FALSE)&amp;BASE(CODE(MID($B26,5,1))*1+CODE(MID($B26,6,1))*2+CODE(MID($B26,7,1))*3,36,2))</f>
      </c>
      <c r="J26" s="1"/>
      <c r="K26" s="57">
        <v>6</v>
      </c>
      <c r="L26" s="57">
        <v>6</v>
      </c>
      <c r="M26" s="57">
        <v>6</v>
      </c>
      <c r="N26" s="172">
        <f>IF(    SUM(K26:M26)=0,    0,    8 + (        MAX(            0,            MIN(                1,                IF(                    MAX(K26:M26)=0,                    0,                    (3*MAX(K26:M26) - SUM(K26:M26)) / (2*MAX(K26:M26))                )            )        ) * 4    ))</f>
      </c>
      <c r="O26" s="231">
        <f>MAX(K26:M26)</f>
      </c>
      <c r="P26" s="172">
        <f>IF(    MAX(K26:M26) &lt;= 0,    0,    MIN(        24,        MAX(            12,            48 - 3 * MAX(K26:M26)        )    ))</f>
      </c>
      <c r="Q26" s="231">
        <f>SUM(K26:M26)</f>
      </c>
      <c r="R26" s="232">
        <f>IF(Q26/24=0,"",Q26/24)</f>
      </c>
      <c r="S26" s="77"/>
      <c r="T26" s="85" t="str">
        <v>每次切换武器时，获得一个临时护盾。护盾持续 {2s} 或被打破后消失。</v>
      </c>
      <c r="U26" s="85" t="str">
        <v>护盾吸收量：{当前生命值 x 50%}; 
持续时间：{2s}
内置冷却：{5s}</v>
      </c>
      <c r="V26" s="85"/>
      <c r="W26" s="229"/>
      <c r="X26" s="85" t="str">
        <v>耶利哥将生物动能转化为防御力场的技术。“动量屏障”在你切换武器、改变战斗“势头”时最为活跃，将你未消耗的体力转化为一层短暂但关键的保护。</v>
      </c>
      <c r="Y26" s="210"/>
      <c r="Z26" s="210" t="str">
        <v>临时任务</v>
      </c>
      <c r="AA26" s="210" t="str">
        <v>切换武器</v>
      </c>
      <c r="AB26" s="210"/>
      <c r="AC26" s="210"/>
      <c r="AD26" s="210"/>
      <c r="AE26" s="210" t="str">
        <v>减伤</v>
      </c>
      <c r="AF26" s="11" t="str">
        <v>不急</v>
      </c>
      <c r="AG26" s="11" t="str">
        <v>不急</v>
      </c>
      <c r="AH26" s="11" t="str">
        <v>不急</v>
      </c>
      <c r="AI26" s="11"/>
      <c r="AJ26" s="11" t="str">
        <v>v0.0.5</v>
      </c>
      <c r="AK26" s="11" t="str">
        <v>待办</v>
      </c>
      <c r="AL26" s="11" t="str">
        <v>不急</v>
      </c>
      <c r="AM26" s="11"/>
      <c r="AN26" s="50"/>
      <c r="AO26" s="50"/>
    </row>
    <row r="27">
      <c r="A27" s="203">
        <f>"ID"&amp;"_"&amp;IF(F27="行为芯片","CHP","CYB")&amp;"_"&amp;IFERROR(SUBSTITUTE(MID(B27,FIND("'",B27)+1,FIND("'",B27,FIND("'",B27)+1)-FIND("'",B27)-1)," ",""),"")&amp;"_1"</f>
      </c>
      <c r="B27" s="203" t="str">
        <v>LH 'Juggler's Poise' Frame</v>
      </c>
      <c r="C27" s="203" t="str">
        <v>“戏法”平衡骨架</v>
      </c>
      <c r="D27" s="203">
        <f>IFERROR(SUBSTITUTE(MID(C27,FIND("“",C27)+1,FIND("”",C27,FIND("“",C27)+1)-FIND("“",C27)-1)," ",""),"")</f>
      </c>
      <c r="E27" s="53" t="str">
        <v>寰宇</v>
      </c>
      <c r="F27" s="53" t="str">
        <v>骨骼</v>
      </c>
      <c r="G27" s="213">
        <f>VLOOKUP(F27,'引用数据库'!AL:AN,3,FALSE)</f>
      </c>
      <c r="H27" s="230">
        <f>IF($B27="","","SKL"&amp;"02"&amp;G27&amp;VLOOKUP(F27,'引用数据库'!AL:AN,3,FALSE)&amp;BASE(CODE(MID($B27,5,1))*1+CODE(MID($B27,6,1))*2+CODE(MID($B27,7,1))*3,36,2))</f>
      </c>
      <c r="I27" s="72">
        <f>IF($B27="","","CYB"&amp;VLOOKUP(E27,'引用数据库'!Z:AC,4,FALSE)&amp;VLOOKUP(F27,'引用数据库'!AL:AN,3,FALSE)&amp;VLOOKUP(Z27,'引用数据库'!AF:AG,2,FALSE)&amp;BASE(CODE(MID($B27,5,1))*1+CODE(MID($B27,6,1))*2+CODE(MID($B27,7,1))*3,36,2))</f>
      </c>
      <c r="J27" s="1"/>
      <c r="K27" s="57">
        <v>7</v>
      </c>
      <c r="L27" s="57">
        <v>7</v>
      </c>
      <c r="M27" s="57">
        <v>4</v>
      </c>
      <c r="N27" s="172">
        <f>IF(    SUM(K27:M27)=0,    0,    8 + (        MAX(            0,            MIN(                1,                IF(                    MAX(K27:M27)=0,                    0,                    (3*MAX(K27:M27) - SUM(K27:M27)) / (2*MAX(K27:M27))                )            )        ) * 4    ))</f>
      </c>
      <c r="O27" s="231">
        <f>MAX(K27:M27)</f>
      </c>
      <c r="P27" s="172">
        <f>IF(    MAX(K27:M27) &lt;= 0,    0,    MIN(        24,        MAX(            12,            48 - 3 * MAX(K27:M27)        )    ))</f>
      </c>
      <c r="Q27" s="231">
        <f>SUM(K27:M27)</f>
      </c>
      <c r="R27" s="232">
        <f>IF(Q27/24=0,"",Q27/24)</f>
      </c>
      <c r="S27" s="77"/>
      <c r="T27" s="85" t="str">
        <v>切换武器后，获得额外的攻击速度。</v>
      </c>
      <c r="U27" s="85" t="str">
        <v>攻速加成：30%；
持续时间：5s; 
内置冷却：5s</v>
      </c>
      <c r="V27" s="85"/>
      <c r="W27" s="229"/>
      <c r="X27" s="85" t="str">
        <v>寰宇为需要同时操控多种武器系统的战斗人员设计。“戏法”平衡骨架确保那些能在不同武器间娴熟切换的特种人员尽情施展自己的技能。</v>
      </c>
      <c r="Y27" s="210"/>
      <c r="Z27" s="210" t="str">
        <v>临时任务</v>
      </c>
      <c r="AA27" s="210" t="str">
        <v>切换武器</v>
      </c>
      <c r="AB27" s="210"/>
      <c r="AC27" s="210"/>
      <c r="AD27" s="210"/>
      <c r="AE27" s="210" t="str">
        <v>攻速</v>
      </c>
      <c r="AF27" s="11" t="str">
        <v>不急</v>
      </c>
      <c r="AG27" s="11" t="str">
        <v>不急</v>
      </c>
      <c r="AH27" s="11" t="str">
        <v>不急</v>
      </c>
      <c r="AI27" s="11"/>
      <c r="AJ27" s="11" t="str">
        <v>v0.0.5</v>
      </c>
      <c r="AK27" s="11" t="str">
        <v>待办</v>
      </c>
      <c r="AL27" s="11" t="str">
        <v>不急</v>
      </c>
      <c r="AM27" s="11"/>
      <c r="AN27" s="50"/>
      <c r="AO27" s="50"/>
    </row>
    <row r="28">
      <c r="A28" s="203">
        <f>"ID"&amp;"_"&amp;IF(F28="行为芯片","CHP","CYB")&amp;"_"&amp;IFERROR(SUBSTITUTE(MID(B28,FIND("'",B28)+1,FIND("'",B28,FIND("'",B28)+1)-FIND("'",B28)-1)," ",""),"")&amp;"_1"</f>
      </c>
      <c r="B28" s="203" t="str">
        <v>OV 'Quick Adjust' Loader</v>
      </c>
      <c r="C28" s="203" t="str" xml:space="preserve">
        <v>快速调整 </v>
      </c>
      <c r="D28" s="203">
        <f>IFERROR(SUBSTITUTE(MID(C28,FIND("“",C28)+1,FIND("”",C28,FIND("“",C28)+1)-FIND("“",C28)-1)," ",""),"")</f>
      </c>
      <c r="E28" s="53" t="str">
        <v>寰宇</v>
      </c>
      <c r="F28" s="53" t="str">
        <v>行为芯片</v>
      </c>
      <c r="G28" s="213">
        <f>VLOOKUP(F28,'引用数据库'!AL:AN,3,FALSE)</f>
      </c>
      <c r="H28" s="230">
        <f>IF($B28="","","SKL"&amp;"02"&amp;G28&amp;VLOOKUP(F28,'引用数据库'!AL:AN,3,FALSE)&amp;BASE(CODE(MID($B28,5,1))*1+CODE(MID($B28,6,1))*2+CODE(MID($B28,7,1))*3,36,2))</f>
      </c>
      <c r="I28" s="72">
        <f>IF($B28="","","CYB"&amp;VLOOKUP(E28,'引用数据库'!Z:AC,4,FALSE)&amp;VLOOKUP(F28,'引用数据库'!AL:AN,3,FALSE)&amp;VLOOKUP(Z28,'引用数据库'!AF:AG,2,FALSE)&amp;BASE(CODE(MID($B28,5,1))*1+CODE(MID($B28,6,1))*2+CODE(MID($B28,7,1))*3,36,2))</f>
      </c>
      <c r="J28" s="1"/>
      <c r="K28" s="57">
        <v>0</v>
      </c>
      <c r="L28" s="57">
        <v>0</v>
      </c>
      <c r="M28" s="57">
        <v>0</v>
      </c>
      <c r="N28" s="172">
        <f>IF(    SUM(K28:M28)=0,    0,    8 + (        MAX(            0,            MIN(                1,                IF(                    MAX(K28:M28)=0,                    0,                    (3*MAX(K28:M28) - SUM(K28:M28)) / (2*MAX(K28:M28))                )            )        ) * 4    ))</f>
      </c>
      <c r="O28" s="231">
        <f>MAX(K28:M28)</f>
      </c>
      <c r="P28" s="172">
        <f>IF(    MAX(K28:M28) &lt;= 0,    0,    MIN(        24,        MAX(            12,            48 - 3 * MAX(K28:M28)        )    ))</f>
      </c>
      <c r="Q28" s="231">
        <f>SUM(K28:M28)</f>
      </c>
      <c r="R28" s="232">
        <f>IF(Q28/24=0,"",Q28/24)</f>
      </c>
      <c r="S28" s="77"/>
      <c r="T28" s="85" t="s">
        <v>15</v>
      </c>
      <c r="U28" s="85" t="str">
        <v>弹药装填比例：{15%}</v>
      </c>
      <c r="V28" s="85"/>
      <c r="W28" s="229"/>
      <c r="X28" s="85" t="str">
        <v>寰宇的多任务处理优化，利用切换间隙自动执行快速装填程序。</v>
      </c>
      <c r="Y28" s="210"/>
      <c r="Z28" s="210" t="str">
        <v>临时任务</v>
      </c>
      <c r="AA28" s="210" t="str">
        <v>换弹,切换武器</v>
      </c>
      <c r="AB28" s="210"/>
      <c r="AC28" s="210"/>
      <c r="AD28" s="210"/>
      <c r="AE28" s="210"/>
      <c r="AF28" s="11" t="str">
        <v>待办</v>
      </c>
      <c r="AG28" s="11" t="str">
        <v>待办</v>
      </c>
      <c r="AH28" s="11" t="str">
        <v>待办</v>
      </c>
      <c r="AI28" s="11"/>
      <c r="AJ28" s="11" t="str">
        <v>v0.0.5</v>
      </c>
      <c r="AK28" s="11" t="str">
        <v>在做</v>
      </c>
      <c r="AL28" s="11" t="str">
        <v>在做</v>
      </c>
      <c r="AM28" s="11"/>
      <c r="AN28" s="50"/>
      <c r="AO28" s="50"/>
    </row>
    <row r="29">
      <c r="A29" s="203">
        <f>"ID"&amp;"_"&amp;IF(F29="行为芯片","CHP","CYB")&amp;"_"&amp;IFERROR(SUBSTITUTE(MID(B29,FIND("'",B29)+1,FIND("'",B29,FIND("'",B29)+1)-FIND("'",B29)-1)," ",""),"")&amp;"_1"</f>
      </c>
      <c r="B29" s="203" t="str">
        <v>OV 'Safe Distance' Protocol</v>
      </c>
      <c r="C29" s="203" t="str">
        <v>“安全距离”协议</v>
      </c>
      <c r="D29" s="203">
        <f>IFERROR(SUBSTITUTE(MID(C29,FIND("“",C29)+1,FIND("”",C29,FIND("“",C29)+1)-FIND("“",C29)-1)," ",""),"")</f>
      </c>
      <c r="E29" s="53" t="str">
        <v>寰宇</v>
      </c>
      <c r="F29" s="53" t="str">
        <v>皮肤</v>
      </c>
      <c r="G29" s="213">
        <f>VLOOKUP(F29,'引用数据库'!AL:AN,3,FALSE)</f>
      </c>
      <c r="H29" s="209"/>
      <c r="I29" s="209"/>
      <c r="J29" s="1"/>
      <c r="K29" s="57">
        <v>5</v>
      </c>
      <c r="L29" s="57">
        <v>6</v>
      </c>
      <c r="M29" s="57">
        <v>7</v>
      </c>
      <c r="N29" s="172">
        <f>IF(    SUM(K29:M29)=0,    0,    8 + (        MAX(            0,            MIN(                1,                IF(                    MAX(K29:M29)=0,                    0,                    (3*MAX(K29:M29) - SUM(K29:M29)) / (2*MAX(K29:M29))                )            )        ) * 4    ))</f>
      </c>
      <c r="O29" s="231">
        <f>MAX(K29:M29)</f>
      </c>
      <c r="P29" s="172">
        <f>IF(    MAX(K29:M29) &lt;= 0,    0,    MIN(        24,        MAX(            12,            48 - 3 * MAX(K29:M29)        )    ))</f>
      </c>
      <c r="Q29" s="231">
        <f>SUM(K29:M29)</f>
      </c>
      <c r="R29" s="232">
        <f>IF(Q29/24=0,"",Q29/24)</f>
      </c>
      <c r="S29" s="77"/>
      <c r="T29" s="85" t="str">
        <v>当你周围 {5m} 内没有敌人时，你的装填和体力恢复速度提升。</v>
      </c>
      <c r="U29" s="85" t="str">
        <v>装填速度加成：{+30%}; 
每秒体力恢复：{+100%}; 
生效范围：{周围10m无敌人}</v>
      </c>
      <c r="V29" s="229"/>
      <c r="W29" s="229"/>
      <c r="X29" s="85" t="str">
        <v>寰宇的战场信息优势体现。“远距网络”皮肤能实时扫描周围环境，当你处于安全的远程位置时，它会优化你的后勤和恢复能力，鼓励你保持距离。</v>
      </c>
      <c r="Y29" s="210"/>
      <c r="Z29" s="210" t="str">
        <v>防火墙</v>
      </c>
      <c r="AA29" s="210"/>
      <c r="AB29" s="210"/>
      <c r="AC29" s="210"/>
      <c r="AD29" s="210"/>
      <c r="AE29" s="210" t="str">
        <v>距离维持, 装填, 回复, 生存</v>
      </c>
      <c r="AF29" s="11" t="str">
        <v>不急</v>
      </c>
      <c r="AG29" s="11" t="str">
        <v>待办</v>
      </c>
      <c r="AH29" s="11" t="str">
        <v>不急</v>
      </c>
      <c r="AI29" s="11"/>
      <c r="AJ29" s="11"/>
      <c r="AK29" s="11" t="str">
        <v>不急</v>
      </c>
      <c r="AL29" s="11" t="str">
        <v>不急</v>
      </c>
      <c r="AM29" s="11"/>
      <c r="AN29" s="50"/>
      <c r="AO29" s="50"/>
    </row>
    <row r="30">
      <c r="A30" s="203">
        <f>"ID"&amp;"_"&amp;IF(F30="行为芯片","CHP","CYB")&amp;"_"&amp;IFERROR(SUBSTITUTE(MID(B30,FIND("'",B30)+1,FIND("'",B30,FIND("'",B30)+1)-FIND("'",B30)-1)," ",""),"")&amp;"_1"</f>
      </c>
      <c r="B30" s="203" t="str">
        <v>OV 'Focused Mind' Field</v>
      </c>
      <c r="C30" s="203" t="str">
        <v>“专注心智”力场</v>
      </c>
      <c r="D30" s="203">
        <f>IFERROR(SUBSTITUTE(MID(C30,FIND("“",C30)+1,FIND("”",C30,FIND("“",C30)+1)-FIND("“",C30)-1)," ",""),"")</f>
      </c>
      <c r="E30" s="53" t="str">
        <v>寰宇</v>
      </c>
      <c r="F30" s="53" t="str">
        <v>皮肤</v>
      </c>
      <c r="G30" s="213">
        <f>VLOOKUP(F30,'引用数据库'!AL:AN,3,FALSE)</f>
      </c>
      <c r="H30" s="209"/>
      <c r="I30" s="209"/>
      <c r="J30" s="1"/>
      <c r="K30" s="57">
        <v>7</v>
      </c>
      <c r="L30" s="57">
        <v>6</v>
      </c>
      <c r="M30" s="57">
        <v>5</v>
      </c>
      <c r="N30" s="172">
        <f>IF(    SUM(K30:M30)=0,    0,    8 + (        MAX(            0,            MIN(                1,                IF(                    MAX(K30:M30)=0,                    0,                    (3*MAX(K30:M30) - SUM(K30:M30)) / (2*MAX(K30:M30))                )            )        ) * 4    ))</f>
      </c>
      <c r="O30" s="231">
        <f>MAX(K30:M30)</f>
      </c>
      <c r="P30" s="172">
        <f>IF(    MAX(K30:M30) &lt;= 0,    0,    MIN(        24,        MAX(            12,            48 - 3 * MAX(K30:M30)        )    ))</f>
      </c>
      <c r="Q30" s="231">
        <f>SUM(K30:M30)</f>
      </c>
      <c r="R30" s="232">
        <f>IF(Q30/24=0,"",Q30/24)</f>
      </c>
      <c r="S30" s="77"/>
      <c r="T30" s="85" t="str">
        <v>只装备一把武器时，受到的所有伤害降低。</v>
      </c>
      <c r="U30" s="85" t="str" xml:space="preserve">
        <v>伤害减免：{+20%}; </v>
      </c>
      <c r="V30" s="229"/>
      <c r="W30" s="229"/>
      <c r="X30" s="85" t="str">
        <v>寰宇的能量场技术。“专注心智”力场认为更少的装备负担能让使用者精神更集中，不仅提升防御效率，还能加速能量循环。</v>
      </c>
      <c r="Y30" s="210"/>
      <c r="Z30" s="210" t="str">
        <v>超频</v>
      </c>
      <c r="AA30" s="210"/>
      <c r="AB30" s="210"/>
      <c r="AC30" s="210"/>
      <c r="AD30" s="210"/>
      <c r="AE30" s="210" t="str">
        <v>片手限定, 生存, 伤害减免, 能量回复</v>
      </c>
      <c r="AF30" s="11" t="str">
        <v>待办</v>
      </c>
      <c r="AG30" s="11" t="str">
        <v>待办</v>
      </c>
      <c r="AH30" s="11" t="str">
        <v>不急</v>
      </c>
      <c r="AI30" s="11"/>
      <c r="AJ30" s="11"/>
      <c r="AK30" s="11" t="str">
        <v>不急</v>
      </c>
      <c r="AL30" s="11" t="str">
        <v>不急</v>
      </c>
      <c r="AM30" s="11"/>
      <c r="AN30" s="50"/>
      <c r="AO30" s="50"/>
    </row>
    <row r="31">
      <c r="A31" s="203">
        <f>"ID"&amp;"_"&amp;IF(F31="行为芯片","CHP","CYB")&amp;"_"&amp;IFERROR(SUBSTITUTE(MID(B31,FIND("'",B31)+1,FIND("'",B31,FIND("'",B31)+1)-FIND("'",B31)-1)," ",""),"")&amp;"_1"</f>
      </c>
      <c r="B31" s="203" t="str">
        <v>OV 'Reflex' Accelerator Chip</v>
      </c>
      <c r="C31" s="203" t="str">
        <v>“反应”加速芯片</v>
      </c>
      <c r="D31" s="203">
        <f>IFERROR(SUBSTITUTE(MID(C31,FIND("“",C31)+1,FIND("”",C31,FIND("“",C31)+1)-FIND("“",C31)-1)," ",""),"")</f>
      </c>
      <c r="E31" s="53" t="str">
        <v>寰宇</v>
      </c>
      <c r="F31" s="53" t="str">
        <v>行为芯片</v>
      </c>
      <c r="G31" s="213">
        <f>VLOOKUP(F31,'引用数据库'!AL:AN,3,FALSE)</f>
      </c>
      <c r="H31" s="209"/>
      <c r="I31" s="209"/>
      <c r="J31" s="1"/>
      <c r="K31" s="57">
        <v>0</v>
      </c>
      <c r="L31" s="57">
        <v>0</v>
      </c>
      <c r="M31" s="57">
        <v>0</v>
      </c>
      <c r="N31" s="172">
        <f>IF(    SUM(K31:M31)=0,    0,    8 + (        MAX(            0,            MIN(                1,                IF(                    MAX(K31:M31)=0,                    0,                    (3*MAX(K31:M31) - SUM(K31:M31)) / (2*MAX(K31:M31))                )            )        ) * 4    ))</f>
      </c>
      <c r="O31" s="231">
        <f>MAX(K31:M31)</f>
      </c>
      <c r="P31" s="172">
        <f>IF(    MAX(K31:M31) &lt;= 0,    0,    MIN(        24,        MAX(            12,            48 - 3 * MAX(K31:M31)        )    ))</f>
      </c>
      <c r="Q31" s="231">
        <f>SUM(K31:M31)</f>
      </c>
      <c r="R31" s="232">
        <f>IF(Q31/24=0,"",Q31/24)</f>
      </c>
      <c r="S31" s="77"/>
      <c r="T31" s="85" t="str">
        <v>基于你的反应属性，提升武器换弹速度。</v>
      </c>
      <c r="U31" s="85" t="str">
        <v>换弹速度加成：{反应 x 1.5}%</v>
      </c>
      <c r="V31" s="229"/>
      <c r="W31" s="229"/>
      <c r="X31" s="85" t="str">
        <v>寰宇的网络延迟优化技术应用于神经传导。“反应”加速芯片缩短了你的感知与行动之间的延迟，最直观的体现就是换弹速度的提升。</v>
      </c>
      <c r="Y31" s="207"/>
      <c r="Z31" s="207"/>
      <c r="AA31" s="207" t="str">
        <v>换弹</v>
      </c>
      <c r="AB31" s="207"/>
      <c r="AC31" s="207"/>
      <c r="AD31" s="207" t="str">
        <v>反应</v>
      </c>
      <c r="AE31" s="207" t="str">
        <v>攻速</v>
      </c>
      <c r="AF31" s="11" t="str">
        <v>不急</v>
      </c>
      <c r="AG31" s="11" t="str">
        <v>待办</v>
      </c>
      <c r="AH31" s="11" t="str">
        <v>不急</v>
      </c>
      <c r="AI31" s="11"/>
      <c r="AJ31" s="11"/>
      <c r="AK31" s="11" t="str">
        <v>不急</v>
      </c>
      <c r="AL31" s="11" t="str">
        <v>不急</v>
      </c>
      <c r="AM31" s="11"/>
      <c r="AN31" s="50"/>
      <c r="AO31" s="50"/>
    </row>
    <row r="32">
      <c r="A32" s="203"/>
      <c r="B32" s="203" t="str">
        <v>MM 'Four Leaf Clover' Protocol</v>
      </c>
      <c r="C32" s="203" t="str">
        <v>四叶草协议</v>
      </c>
      <c r="D32" s="203">
        <f>IFERROR(SUBSTITUTE(MID(C32,FIND("“",C32)+1,FIND("”",C32,FIND("“",C32)+1)-FIND("“",C32)-1)," ",""),"")</f>
      </c>
      <c r="E32" s="53" t="str">
        <v>纪念碑</v>
      </c>
      <c r="F32" s="53" t="str">
        <v>行为芯片</v>
      </c>
      <c r="G32" s="213">
        <f>VLOOKUP(F32,'引用数据库'!AL:AN,3,FALSE)</f>
      </c>
      <c r="H32" s="209"/>
      <c r="I32" s="209"/>
      <c r="J32" s="1"/>
      <c r="K32" s="57">
        <v>0</v>
      </c>
      <c r="L32" s="57">
        <v>0</v>
      </c>
      <c r="M32" s="57">
        <v>0</v>
      </c>
      <c r="N32" s="172">
        <f>IF(    SUM(K32:M32)=0,    0,    8 + (        MAX(            0,            MIN(                1,                IF(                    MAX(K32:M32)=0,                    0,                    (3*MAX(K32:M32) - SUM(K32:M32)) / (2*MAX(K32:M32))                )            )        ) * 4    ))</f>
      </c>
      <c r="O32" s="231">
        <f>MAX(K32:M32)</f>
      </c>
      <c r="P32" s="172">
        <f>IF(    MAX(K32:M32) &lt;= 0,    0,    MIN(        24,        MAX(            12,            48 - 3 * MAX(K32:M32)        )    ))</f>
      </c>
      <c r="Q32" s="231">
        <f>SUM(K32:M32)</f>
      </c>
      <c r="R32" s="232">
        <f>IF(Q32/24=0,"",Q32/24)</f>
      </c>
      <c r="S32" s="77"/>
      <c r="T32" s="85" t="str">
        <v>所有来自装备的概率性事件（如暴击、触发状态等）如果判定失败，则立即重新判定一次。</v>
      </c>
      <c r="U32" s="85" t="str">
        <v>重判定次数：{1}</v>
      </c>
      <c r="V32" s="229"/>
      <c r="W32" s="229"/>
      <c r="X32" s="85" t="str">
        <v>一个来源不明的概率稳定器，传说能带来好运，也有人说，这只是安慰剂效应，但传说带来的自信给使用者提供了帮助。</v>
      </c>
      <c r="Y32" s="210"/>
      <c r="Z32" s="210"/>
      <c r="AA32" s="210"/>
      <c r="AB32" s="210"/>
      <c r="AC32" s="210"/>
      <c r="AD32" s="210"/>
      <c r="AE32" s="210" t="str">
        <v>概率修正, 幸运</v>
      </c>
      <c r="AF32" s="11" t="str">
        <v>待办</v>
      </c>
      <c r="AG32" s="11" t="str">
        <v>待办</v>
      </c>
      <c r="AH32" s="11" t="str">
        <v>不急</v>
      </c>
      <c r="AI32" s="11"/>
      <c r="AJ32" s="11"/>
      <c r="AK32" s="11" t="str">
        <v>不急</v>
      </c>
      <c r="AL32" s="11" t="str">
        <v>不急</v>
      </c>
      <c r="AM32" s="11"/>
      <c r="AN32" s="50"/>
      <c r="AO32" s="50"/>
    </row>
    <row r="33">
      <c r="A33" s="203"/>
      <c r="B33" s="203" t="str">
        <v>MM 'Odyssey' Protective Weave</v>
      </c>
      <c r="C33" s="203" t="str">
        <v>“奥德赛”防护编织</v>
      </c>
      <c r="D33" s="203">
        <f>IFERROR(SUBSTITUTE(MID(C33,FIND("“",C33)+1,FIND("”",C33,FIND("“",C33)+1)-FIND("“",C33)-1)," ",""),"")</f>
      </c>
      <c r="E33" s="75" t="str">
        <v>纪念碑</v>
      </c>
      <c r="F33" s="53" t="str">
        <v>皮肤</v>
      </c>
      <c r="G33" s="213">
        <f>VLOOKUP(F33,'引用数据库'!AL:AN,3,FALSE)</f>
      </c>
      <c r="H33" s="209"/>
      <c r="I33" s="209"/>
      <c r="J33" s="1"/>
      <c r="K33" s="57">
        <f>+6</f>
      </c>
      <c r="L33" s="57">
        <f>+7</f>
      </c>
      <c r="M33" s="57">
        <f>+5</f>
      </c>
      <c r="N33" s="172">
        <f>IF(    SUM(K33:M33)=0,    0,    8 + (        MAX(            0,            MIN(                1,                IF(                    MAX(K33:M33)=0,                    0,                    (3*MAX(K33:M33) - SUM(K33:M33)) / (2*MAX(K33:M33))                )            )        ) * 4    ))</f>
      </c>
      <c r="O33" s="231">
        <f>MAX(K33:M33)</f>
      </c>
      <c r="P33" s="172">
        <f>IF(    MAX(K33:M33) &lt;= 0,    0,    MIN(        24,        MAX(            12,            48 - 3 * MAX(K33:M33)        )    ))</f>
      </c>
      <c r="Q33" s="231">
        <f>SUM(K33:M33)</f>
      </c>
      <c r="R33" s="232">
        <f>IF(Q33/24=0,"",Q33/24)</f>
      </c>
      <c r="S33" s="77"/>
      <c r="T33" s="85" t="str">
        <v>受到的伤害减少 {+10%}。</v>
      </c>
      <c r="U33" s="85" t="str">
        <v>伤害减免：{+10%}</v>
      </c>
      <c r="V33" s="229"/>
      <c r="W33" s="229"/>
      <c r="X33" s="85" t="str">
        <v>数据隔离时代前的经典义体。“奥德赛”系列注重对使用者的全面保护，体现了和平年代的技术风格。这款皮肤编织层采用了当时最先进的复合材料，虽然没有特殊功能，但足够坚韧可靠。</v>
      </c>
      <c r="Y33" s="207"/>
      <c r="Z33" s="207" t="str">
        <v>奥德赛</v>
      </c>
      <c r="AA33" s="207"/>
      <c r="AB33" s="207"/>
      <c r="AC33" s="207"/>
      <c r="AD33" s="207"/>
      <c r="AE33" s="207" t="str">
        <v>减伤</v>
      </c>
      <c r="AF33" s="11" t="str">
        <v>不急</v>
      </c>
      <c r="AG33" s="11" t="str">
        <v>不急</v>
      </c>
      <c r="AH33" s="11" t="str">
        <v>不急</v>
      </c>
      <c r="AI33" s="11"/>
      <c r="AJ33" s="11"/>
      <c r="AK33" s="11" t="str">
        <v>不急</v>
      </c>
      <c r="AL33" s="11" t="str">
        <v>不急</v>
      </c>
      <c r="AM33" s="11"/>
      <c r="AN33" s="50"/>
      <c r="AO33" s="50"/>
    </row>
    <row r="34">
      <c r="A34" s="203"/>
      <c r="B34" s="203" t="str">
        <v>MM "Classc"Empower Strength</v>
      </c>
      <c r="C34" s="203" t="str">
        <v>“经典”力量强化</v>
      </c>
      <c r="D34" s="203" t="str">
        <v>经典力量强化</v>
      </c>
      <c r="E34" s="53" t="str">
        <v>纪念碑</v>
      </c>
      <c r="F34" s="53" t="str">
        <v>行为芯片</v>
      </c>
      <c r="G34" s="213">
        <f>VLOOKUP(F34,'引用数据库'!AL:AN,3,FALSE)</f>
      </c>
      <c r="H34" s="209"/>
      <c r="I34" s="209"/>
      <c r="J34" s="1"/>
      <c r="K34" s="57">
        <v>0</v>
      </c>
      <c r="L34" s="57">
        <v>0</v>
      </c>
      <c r="M34" s="57">
        <v>0</v>
      </c>
      <c r="N34" s="172">
        <f>IF(    SUM(K34:M34)=0,    0,    8 + (        MAX(            0,            MIN(                1,                IF(                    MAX(K34:M34)=0,                    0,                    (3*MAX(K34:M34) - SUM(K34:M34)) / (2*MAX(K34:M34))                )            )        ) * 4    ))</f>
      </c>
      <c r="O34" s="231">
        <f>MAX(K34:M34)</f>
      </c>
      <c r="P34" s="172">
        <f>IF(    MAX(K34:M34) &lt;= 0,    0,    MIN(        24,        MAX(            12,            48 - 3 * MAX(K34:M34)        )    ))</f>
      </c>
      <c r="Q34" s="231">
        <f>SUM(K34:M34)</f>
      </c>
      <c r="R34" s="232">
        <f>IF(Q34/24=0,"",Q34/24)</f>
      </c>
      <c r="S34" s="77"/>
      <c r="T34" s="85" t="str">
        <v>力量增加。</v>
      </c>
      <c r="U34" s="85" t="str">
        <v>力量增加: {+15%}</v>
      </c>
      <c r="V34" s="229"/>
      <c r="W34" s="229"/>
      <c r="X34" s="85" t="str">
        <v>纪念碑基金会保存的标准力量增幅协议，稳定可靠的基础强化。</v>
      </c>
      <c r="Y34" s="207"/>
      <c r="Z34" s="207" t="str">
        <v>奥德赛</v>
      </c>
      <c r="AA34" s="207"/>
      <c r="AB34" s="207"/>
      <c r="AC34" s="207"/>
      <c r="AD34" s="207"/>
      <c r="AE34" s="207"/>
      <c r="AF34" s="11" t="str">
        <v>不急</v>
      </c>
      <c r="AG34" s="11" t="str">
        <v>不急</v>
      </c>
      <c r="AH34" s="11" t="str">
        <v>不急</v>
      </c>
      <c r="AI34" s="11"/>
      <c r="AJ34" s="11"/>
      <c r="AK34" s="11" t="str">
        <v>不急</v>
      </c>
      <c r="AL34" s="11" t="str">
        <v>不急</v>
      </c>
      <c r="AM34" s="11"/>
      <c r="AN34" s="50"/>
      <c r="AO34" s="50"/>
    </row>
    <row r="35">
      <c r="A35" s="203"/>
      <c r="B35" s="203" t="str">
        <v>MM "Classc" Empower Reflex</v>
      </c>
      <c r="C35" s="203" t="str">
        <v>“经典”反应强化</v>
      </c>
      <c r="D35" s="203" t="str">
        <v>经典反应强化</v>
      </c>
      <c r="E35" s="53" t="str">
        <v>纪念碑</v>
      </c>
      <c r="F35" s="53" t="str">
        <v>行为芯片</v>
      </c>
      <c r="G35" s="213">
        <f>VLOOKUP(F35,'引用数据库'!AL:AN,3,FALSE)</f>
      </c>
      <c r="H35" s="209"/>
      <c r="I35" s="209"/>
      <c r="J35" s="1"/>
      <c r="K35" s="57">
        <v>0</v>
      </c>
      <c r="L35" s="57">
        <v>0</v>
      </c>
      <c r="M35" s="57">
        <v>0</v>
      </c>
      <c r="N35" s="172">
        <f>IF(    SUM(K35:M35)=0,    0,    8 + (        MAX(            0,            MIN(                1,                IF(                    MAX(K35:M35)=0,                    0,                    (3*MAX(K35:M35) - SUM(K35:M35)) / (2*MAX(K35:M35))                )            )        ) * 4    ))</f>
      </c>
      <c r="O35" s="231">
        <f>MAX(K35:M35)</f>
      </c>
      <c r="P35" s="172">
        <f>IF(    MAX(K35:M35) &lt;= 0,    0,    MIN(        24,        MAX(            12,            48 - 3 * MAX(K35:M35)        )    ))</f>
      </c>
      <c r="Q35" s="231">
        <f>SUM(K35:M35)</f>
      </c>
      <c r="R35" s="232">
        <f>IF(Q35/24=0,"",Q35/24)</f>
      </c>
      <c r="S35" s="77"/>
      <c r="T35" s="85" t="str">
        <v>反应增加。</v>
      </c>
      <c r="U35" s="85" t="str">
        <v>反应增加: {+15%}</v>
      </c>
      <c r="V35" s="229"/>
      <c r="W35" s="229"/>
      <c r="X35" s="85" t="str">
        <v>纪念碑基金会保存的标准反应加速协议，提升使用者的神经传导速度。</v>
      </c>
      <c r="Y35" s="207"/>
      <c r="Z35" s="207" t="str">
        <v>奥德赛</v>
      </c>
      <c r="AA35" s="207"/>
      <c r="AB35" s="207"/>
      <c r="AC35" s="207"/>
      <c r="AD35" s="207"/>
      <c r="AE35" s="207"/>
      <c r="AF35" s="11" t="str">
        <v>不急</v>
      </c>
      <c r="AG35" s="11" t="str">
        <v>不急</v>
      </c>
      <c r="AH35" s="11" t="str">
        <v>不急</v>
      </c>
      <c r="AI35" s="11"/>
      <c r="AJ35" s="11"/>
      <c r="AK35" s="11" t="str">
        <v>不急</v>
      </c>
      <c r="AL35" s="11" t="str">
        <v>不急</v>
      </c>
      <c r="AM35" s="11"/>
      <c r="AN35" s="50"/>
      <c r="AO35" s="50"/>
    </row>
    <row r="36">
      <c r="A36" s="203"/>
      <c r="B36" s="203" t="str">
        <v>MM "Classc" Empower Intelligence</v>
      </c>
      <c r="C36" s="203" t="str">
        <v>“经典”智力强化</v>
      </c>
      <c r="D36" s="203" t="str">
        <v>经典智力强化</v>
      </c>
      <c r="E36" s="53" t="str">
        <v>纪念碑</v>
      </c>
      <c r="F36" s="53" t="str">
        <v>行为芯片</v>
      </c>
      <c r="G36" s="213">
        <f>VLOOKUP(F36,'引用数据库'!AL:AN,3,FALSE)</f>
      </c>
      <c r="H36" s="209"/>
      <c r="I36" s="209"/>
      <c r="J36" s="1"/>
      <c r="K36" s="57">
        <v>0</v>
      </c>
      <c r="L36" s="57">
        <v>0</v>
      </c>
      <c r="M36" s="57">
        <v>0</v>
      </c>
      <c r="N36" s="172">
        <f>IF(    SUM(K36:M36)=0,    0,    8 + (        MAX(            0,            MIN(                1,                IF(                    MAX(K36:M36)=0,                    0,                    (3*MAX(K36:M36) - SUM(K36:M36)) / (2*MAX(K36:M36))                )            )        ) * 4    ))</f>
      </c>
      <c r="O36" s="231">
        <f>MAX(K36:M36)</f>
      </c>
      <c r="P36" s="172">
        <f>IF(    MAX(K36:M36) &lt;= 0,    0,    MIN(        24,        MAX(            12,            48 - 3 * MAX(K36:M36)        )    ))</f>
      </c>
      <c r="Q36" s="231">
        <f>SUM(K36:M36)</f>
      </c>
      <c r="R36" s="232">
        <f>IF(Q36/24=0,"",Q36/24)</f>
      </c>
      <c r="S36" s="77"/>
      <c r="T36" s="85" t="str">
        <v>智力增加。</v>
      </c>
      <c r="U36" s="85" t="str">
        <v>智力增加: {+15%}</v>
      </c>
      <c r="V36" s="229"/>
      <c r="W36" s="229"/>
      <c r="X36" s="85" t="str">
        <v>纪念碑基金会保存的标准认知增强协议，强化信息处理与运算能力。</v>
      </c>
      <c r="Y36" s="207"/>
      <c r="Z36" s="207" t="str">
        <v>奥德赛</v>
      </c>
      <c r="AA36" s="207"/>
      <c r="AB36" s="207"/>
      <c r="AC36" s="207"/>
      <c r="AD36" s="207"/>
      <c r="AE36" s="207"/>
      <c r="AF36" s="11" t="str">
        <v>不急</v>
      </c>
      <c r="AG36" s="11" t="str">
        <v>不急</v>
      </c>
      <c r="AH36" s="11" t="str">
        <v>不急</v>
      </c>
      <c r="AI36" s="11"/>
      <c r="AJ36" s="11"/>
      <c r="AK36" s="11" t="str">
        <v>不急</v>
      </c>
      <c r="AL36" s="11" t="str">
        <v>不急</v>
      </c>
      <c r="AM36" s="11"/>
      <c r="AN36" s="50"/>
      <c r="AO36" s="50"/>
    </row>
    <row r="37">
      <c r="A37" s="203">
        <f>"ID"&amp;"_"&amp;IF(F37="行为芯片","CHP","CYB")&amp;"_"&amp;IFERROR(SUBSTITUTE(MID(B37,FIND("'",B37)+1,FIND("'",B37,FIND("'",B37)+1)-FIND("'",B37)-1)," ",""),"")&amp;"_1"</f>
      </c>
      <c r="B37" s="203" t="str">
        <v>MM 'Weeping Angle' Footsteps</v>
      </c>
      <c r="C37" s="203" t="str">
        <v>“哭泣天使”步伐</v>
      </c>
      <c r="D37" s="203">
        <f>IFERROR(SUBSTITUTE(MID(C37,FIND("“",C37)+1,FIND("”",C37,FIND("“",C37)+1)-FIND("“",C37)-1)," ",""),"")</f>
      </c>
      <c r="E37" s="53" t="str">
        <v>纪念碑</v>
      </c>
      <c r="F37" s="53" t="str">
        <v>腿部</v>
      </c>
      <c r="G37" s="213">
        <f>VLOOKUP(F37,'引用数据库'!AL:AN,3,FALSE)</f>
      </c>
      <c r="H37" s="230">
        <f>IF($B37="","","SKL"&amp;"02"&amp;G37&amp;VLOOKUP(F37,'引用数据库'!AL:AN,3,FALSE)&amp;BASE(CODE(MID($B37,5,1))*1+CODE(MID($B37,6,1))*2+CODE(MID($B37,7,1))*3,36,2))</f>
      </c>
      <c r="I37" s="72">
        <f>IF($B37="","","CYB"&amp;VLOOKUP(E37,'引用数据库'!Z:AC,4,FALSE)&amp;VLOOKUP(F37,'引用数据库'!AL:AN,3,FALSE)&amp;VLOOKUP(Z37,'引用数据库'!AF:AG,2,FALSE)&amp;BASE(CODE(MID($B37,5,1))*1+CODE(MID($B37,6,1))*2+CODE(MID($B37,7,1))*3,36,2))</f>
      </c>
      <c r="J37" s="1"/>
      <c r="K37" s="57">
        <v>3</v>
      </c>
      <c r="L37" s="57">
        <v>12</v>
      </c>
      <c r="M37" s="57">
        <v>3</v>
      </c>
      <c r="N37" s="172">
        <f>IF(    SUM(K37:M37)=0,    0,    8 + (        MAX(            0,            MIN(                1,                IF(                    MAX(K37:M37)=0,                    0,                    (3*MAX(K37:M37) - SUM(K37:M37)) / (2*MAX(K37:M37))                )            )        ) * 4    ))</f>
      </c>
      <c r="O37" s="231">
        <f>MAX(K37:M37)</f>
      </c>
      <c r="P37" s="172">
        <f>IF(    MAX(K37:M37) &lt;= 0,    0,    MIN(        24,        MAX(            12,            48 - 3 * MAX(K37:M37)        )    ))</f>
      </c>
      <c r="Q37" s="231">
        <f>SUM(K37:M37)</f>
      </c>
      <c r="R37" s="232">
        <f>IF(Q37/24=0,"",Q37/24)</f>
      </c>
      <c r="S37" s="77"/>
      <c r="T37" s="85" t="s">
        <v>34</v>
      </c>
      <c r="U37" s="85" t="str">
        <v>基础移速减少到：{50%};
不被目击时移速增加: {30%/s}
最高移速: {300%}</v>
      </c>
      <c r="V37" s="85"/>
      <c r="W37" s="229"/>
      <c r="X37" s="85" t="str">
        <v>来自AI梦时代的实验性义体。基于某种古老的量子观测理论设计的腿部改造，其相位驱动器仅在脱离直接感知时才能达到最高效率，一旦落入视线，便会强制切换到静默模式。</v>
      </c>
      <c r="Y37" s="210"/>
      <c r="Z37" s="210" t="str">
        <v>奥德赛</v>
      </c>
      <c r="AA37" s="210"/>
      <c r="AB37" s="210"/>
      <c r="AC37" s="210"/>
      <c r="AD37" s="210"/>
      <c r="AE37" s="210" t="str">
        <v>潜行,位移</v>
      </c>
      <c r="AF37" s="11" t="str">
        <v>待办</v>
      </c>
      <c r="AG37" s="11" t="str">
        <v>待办</v>
      </c>
      <c r="AH37" s="11" t="str">
        <v>待办</v>
      </c>
      <c r="AI37" s="11"/>
      <c r="AJ37" s="11" t="str">
        <v>v0.0.5</v>
      </c>
      <c r="AK37" s="11" t="str">
        <v>在做</v>
      </c>
      <c r="AL37" s="11" t="str">
        <v>在做</v>
      </c>
      <c r="AM37" s="11"/>
      <c r="AN37" s="50"/>
      <c r="AO37" s="50"/>
    </row>
    <row r="38">
      <c r="A38" s="203"/>
      <c r="B38" s="203" t="str">
        <v>MM 'Zenith Guard' Stance</v>
      </c>
      <c r="C38" s="203" t="str">
        <v>“天顶架势”</v>
      </c>
      <c r="D38" s="203">
        <f>IFERROR(SUBSTITUTE(MID(C38,FIND("“",C38)+1,FIND("”",C38,FIND("“",C38)+1)-FIND("“",C38)-1)," ",""),"")</f>
      </c>
      <c r="E38" s="53" t="str">
        <v>纪念碑</v>
      </c>
      <c r="F38" s="53" t="str">
        <v>主手</v>
      </c>
      <c r="G38" s="213">
        <f>VLOOKUP(F38,'引用数据库'!AL:AN,3,FALSE)</f>
      </c>
      <c r="H38" s="209"/>
      <c r="I38" s="209"/>
      <c r="J38" s="1"/>
      <c r="K38" s="57">
        <v>8</v>
      </c>
      <c r="L38" s="57">
        <v>8</v>
      </c>
      <c r="M38" s="57">
        <v>2</v>
      </c>
      <c r="N38" s="172">
        <f>IF(    SUM(K38:M38)=0,    0,    8 + (        MAX(            0,            MIN(                1,                IF(                    MAX(K38:M38)=0,                    0,                    (3*MAX(K38:M38) - SUM(K38:M38)) / (2*MAX(K38:M38))                )            )        ) * 4    ))</f>
      </c>
      <c r="O38" s="231">
        <f>MAX(K38:M38)</f>
      </c>
      <c r="P38" s="172">
        <f>IF(    MAX(K38:M38) &lt;= 0,    0,    MIN(        24,        MAX(            12,            48 - 3 * MAX(K38:M38)        )    ))</f>
      </c>
      <c r="Q38" s="231">
        <f>SUM(K38:M38)</f>
      </c>
      <c r="R38" s="232">
        <f>IF(Q38/24=0,"",Q38/24)</f>
      </c>
      <c r="S38" s="77"/>
      <c r="T38" s="85" t="str">
        <v>只装备一把武器时，另一武器攻击会触发“快速格挡”。可对面前的近战攻击者造成巨大冲击，并反弹面前的远程弹丸。</v>
      </c>
      <c r="U38" s="85" t="str">
        <v>格挡窗口：{0.5s}; 
近战冲击伤害: {100}; 
反弹弹丸伤害：{100%主武器伤害}</v>
      </c>
      <c r="V38" s="229"/>
      <c r="W38" s="229"/>
      <c r="X38" s="85" t="str">
        <v>当你的另一只手空闲时，“天顶架势”让你能集中精神进行防御，化解敌人的攻击甚至反戈一击。</v>
      </c>
      <c r="Y38" s="210"/>
      <c r="Z38" s="210" t="str">
        <v>图灵</v>
      </c>
      <c r="AA38" s="210"/>
      <c r="AB38" s="210"/>
      <c r="AC38" s="210"/>
      <c r="AD38" s="210"/>
      <c r="AE38" s="210" t="str">
        <v>片手限定, 普攻强化, 增伤, 攻速</v>
      </c>
      <c r="AF38" s="11" t="str">
        <v>待办</v>
      </c>
      <c r="AG38" s="11" t="str">
        <v>待办</v>
      </c>
      <c r="AH38" s="11" t="str">
        <v>不急</v>
      </c>
      <c r="AI38" s="11"/>
      <c r="AJ38" s="11"/>
      <c r="AK38" s="11" t="str">
        <v>不急</v>
      </c>
      <c r="AL38" s="11" t="str">
        <v>不急</v>
      </c>
      <c r="AM38" s="11"/>
      <c r="AN38" s="50"/>
      <c r="AO38" s="50"/>
    </row>
    <row r="39">
      <c r="A39" s="203"/>
      <c r="B39" s="203" t="str">
        <v>MM 'Soloist Supreme' Grip</v>
      </c>
      <c r="C39" s="203" t="str">
        <v>“独奏大师”握把</v>
      </c>
      <c r="D39" s="203">
        <f>IFERROR(SUBSTITUTE(MID(C39,FIND("“",C39)+1,FIND("”",C39,FIND("“",C39)+1)-FIND("“",C39)-1)," ",""),"")</f>
      </c>
      <c r="E39" s="53" t="str">
        <v>纪念碑</v>
      </c>
      <c r="F39" s="53" t="str">
        <v>副手</v>
      </c>
      <c r="G39" s="213">
        <f>VLOOKUP(F39,'引用数据库'!AL:AN,3,FALSE)</f>
      </c>
      <c r="H39" s="209"/>
      <c r="I39" s="209"/>
      <c r="J39" s="1"/>
      <c r="K39" s="57">
        <v>7</v>
      </c>
      <c r="L39" s="57">
        <v>7</v>
      </c>
      <c r="M39" s="57">
        <v>4</v>
      </c>
      <c r="N39" s="172">
        <f>IF(    SUM(K39:M39)=0,    0,    8 + (        MAX(            0,            MIN(                1,                IF(                    MAX(K39:M39)=0,                    0,                    (3*MAX(K39:M39) - SUM(K39:M39)) / (2*MAX(K39:M39))                )            )        ) * 4    ))</f>
      </c>
      <c r="O39" s="231">
        <f>MAX(K39:M39)</f>
      </c>
      <c r="P39" s="172">
        <f>IF(    MAX(K39:M39) &lt;= 0,    0,    MIN(        24,        MAX(            12,            48 - 3 * MAX(K39:M39)        )    ))</f>
      </c>
      <c r="Q39" s="231">
        <f>SUM(K39:M39)</f>
      </c>
      <c r="R39" s="232">
        <f>IF(Q39/24=0,"",Q39/24)</f>
      </c>
      <c r="S39" s="77"/>
      <c r="T39" s="85" t="str">
        <v>所有主动技能处于冷却时，增加普通攻击伤害。所有主动技能的冷却时间减少。</v>
      </c>
      <c r="U39" s="85" t="str">
        <v>普攻伤害加成：{+20%}; 
冷却减少：{+30%}，由3个主动技能均摊</v>
      </c>
      <c r="V39" s="229"/>
      <c r="W39" s="229"/>
      <c r="X39" s="85" t="str">
        <v>当你专注于一件事，这件事就会做得更好。</v>
      </c>
      <c r="Y39" s="210"/>
      <c r="Z39" s="210" t="str">
        <v>图灵</v>
      </c>
      <c r="AA39" s="210"/>
      <c r="AB39" s="210"/>
      <c r="AC39" s="210"/>
      <c r="AD39" s="210"/>
      <c r="AE39" s="210" t="str">
        <v>片手限定, 格挡, 防御, 控制</v>
      </c>
      <c r="AF39" s="11" t="str">
        <v>不急</v>
      </c>
      <c r="AG39" s="11" t="str">
        <v>待办</v>
      </c>
      <c r="AH39" s="11" t="str">
        <v>不急</v>
      </c>
      <c r="AI39" s="11"/>
      <c r="AJ39" s="11"/>
      <c r="AK39" s="11" t="str">
        <v>不急</v>
      </c>
      <c r="AL39" s="11" t="str">
        <v>不急</v>
      </c>
      <c r="AM39" s="11"/>
      <c r="AN39" s="50"/>
      <c r="AO39" s="50"/>
    </row>
    <row r="40">
      <c r="A40" s="203"/>
      <c r="B40" s="203" t="str">
        <v>MM 'Status Reset' Purifier</v>
      </c>
      <c r="C40" s="203" t="str">
        <v>状态重置</v>
      </c>
      <c r="D40" s="203">
        <f>IFERROR(SUBSTITUTE(MID(C40,FIND("“",C40)+1,FIND("”",C40,FIND("“",C40)+1)-FIND("“",C40)-1)," ",""),"")</f>
      </c>
      <c r="E40" s="53" t="str">
        <v>纪念碑</v>
      </c>
      <c r="F40" s="53" t="str">
        <v>行为芯片</v>
      </c>
      <c r="G40" s="213">
        <f>VLOOKUP(F40,'引用数据库'!AL:AN,3,FALSE)</f>
      </c>
      <c r="H40" s="209"/>
      <c r="I40" s="209"/>
      <c r="J40" s="1"/>
      <c r="K40" s="57">
        <v>0</v>
      </c>
      <c r="L40" s="57">
        <v>0</v>
      </c>
      <c r="M40" s="57">
        <v>0</v>
      </c>
      <c r="N40" s="172">
        <f>IF(    SUM(K40:M40)=0,    0,    8 + (        MAX(            0,            MIN(                1,                IF(                    MAX(K40:M40)=0,                    0,                    (3*MAX(K40:M40) - SUM(K40:M40)) / (2*MAX(K40:M40))                )            )        ) * 4    ))</f>
      </c>
      <c r="O40" s="231">
        <f>MAX(K40:M40)</f>
      </c>
      <c r="P40" s="172">
        <f>IF(    MAX(K40:M40) &lt;= 0,    0,    MIN(        24,        MAX(            12,            48 - 3 * MAX(K40:M40)        )    ))</f>
      </c>
      <c r="Q40" s="231">
        <f>SUM(K40:M40)</f>
      </c>
      <c r="R40" s="232">
        <f>IF(Q40/24=0,"",Q40/24)</f>
      </c>
      <c r="S40" s="77"/>
      <c r="T40" s="85" t="str">
        <v>切换武器时，有 {30%} 概率移除自身一个随机的负面状态效果。</v>
      </c>
      <c r="U40" s="85" t="str">
        <v>触发几率：{30%}
内置冷却：{5s}</v>
      </c>
      <c r="V40" s="229"/>
      <c r="W40" s="229"/>
      <c r="X40" s="85" t="str">
        <v>一个效果不明的净化程序，似乎能在使用者切换战斗模式时，尝试清除系统中的干扰信号。</v>
      </c>
      <c r="Y40" s="210"/>
      <c r="Z40" s="210"/>
      <c r="AA40" s="210" t="str">
        <v>切换武器</v>
      </c>
      <c r="AB40" s="210"/>
      <c r="AC40" s="210"/>
      <c r="AD40" s="210"/>
      <c r="AE40" s="210" t="str">
        <v>减益</v>
      </c>
      <c r="AF40" s="11" t="str">
        <v>不急</v>
      </c>
      <c r="AG40" s="11" t="str">
        <v>不急</v>
      </c>
      <c r="AH40" s="11" t="str">
        <v>不急</v>
      </c>
      <c r="AI40" s="11"/>
      <c r="AJ40" s="11"/>
      <c r="AK40" s="11" t="str">
        <v>不急</v>
      </c>
      <c r="AL40" s="11" t="str">
        <v>不急</v>
      </c>
      <c r="AM40" s="11"/>
      <c r="AN40" s="50"/>
      <c r="AO40" s="50"/>
    </row>
    <row r="41">
      <c r="A41" s="203"/>
      <c r="B41" s="203" t="str">
        <v>LB 'Bone Breaker' Knuckles</v>
      </c>
      <c r="C41" s="203" t="str" xml:space="preserve">
        <v>碎骨者 </v>
      </c>
      <c r="D41" s="203">
        <f>IFERROR(SUBSTITUTE(MID(C41,FIND("“",C41)+1,FIND("”",C41,FIND("“",C41)+1)-FIND("“",C41)-1)," ",""),"")</f>
      </c>
      <c r="E41" s="53" t="str">
        <v>劳旅</v>
      </c>
      <c r="F41" s="53" t="str">
        <v>行为芯片</v>
      </c>
      <c r="G41" s="213">
        <f>VLOOKUP(F41,'引用数据库'!AL:AN,3,FALSE)</f>
      </c>
      <c r="H41" s="209"/>
      <c r="I41" s="209"/>
      <c r="J41" s="1"/>
      <c r="K41" s="57">
        <v>0</v>
      </c>
      <c r="L41" s="57">
        <v>0</v>
      </c>
      <c r="M41" s="57">
        <v>0</v>
      </c>
      <c r="N41" s="172">
        <f>IF(    SUM(K41:M41)=0,    0,    8 + (        MAX(            0,            MIN(                1,                IF(                    MAX(K41:M41)=0,                    0,                    (3*MAX(K41:M41) - SUM(K41:M41)) / (2*MAX(K41:M41))                )            )        ) * 4    ))</f>
      </c>
      <c r="O41" s="231">
        <f>MAX(K41:M41)</f>
      </c>
      <c r="P41" s="172">
        <f>IF(    MAX(K41:M41) &lt;= 0,    0,    MIN(        24,        MAX(            12,            48 - 3 * MAX(K41:M41)        )    ))</f>
      </c>
      <c r="Q41" s="231">
        <f>SUM(K41:M41)</f>
      </c>
      <c r="R41" s="232">
        <f>IF(Q41/24=0,"",Q41/24)</f>
      </c>
      <c r="S41" s="77"/>
      <c r="T41" s="85" t="str">
        <v>使用近战攻击击中有护甲的敌人时，有概率直接对生命值而非护甲造成部分伤害。</v>
      </c>
      <c r="U41" s="85" t="str">
        <v>触发概率: {25%};
伤害比例: {50%}</v>
      </c>
      <c r="V41" s="229"/>
      <c r="W41" s="229"/>
      <c r="X41" s="85" t="str" xml:space="preserve">
        <v> 劳工们发现某些特定的冲击角度更能穿透硬质建筑结构，以及与其类似的强化护甲，直达脆弱的内里。这种技巧被固化成了辅助瞄准芯片。</v>
      </c>
      <c r="Y41" s="210"/>
      <c r="Z41" s="210" t="str">
        <v>---</v>
      </c>
      <c r="AA41" s="210"/>
      <c r="AB41" s="210"/>
      <c r="AC41" s="210"/>
      <c r="AD41" s="210"/>
      <c r="AE41" s="210" t="str">
        <v>肘击强化, 暴击反馈, 破甲</v>
      </c>
      <c r="AF41" s="11" t="str">
        <v>不急</v>
      </c>
      <c r="AG41" s="11" t="str">
        <v>不急</v>
      </c>
      <c r="AH41" s="11" t="str">
        <v>不急</v>
      </c>
      <c r="AI41" s="11"/>
      <c r="AJ41" s="11"/>
      <c r="AK41" s="11" t="str">
        <v>不急</v>
      </c>
      <c r="AL41" s="11" t="str">
        <v>不急</v>
      </c>
      <c r="AM41" s="11"/>
      <c r="AN41" s="50"/>
      <c r="AO41" s="50"/>
    </row>
    <row r="42">
      <c r="A42" s="203"/>
      <c r="B42" s="203" t="str">
        <v>LB 'Follow Through' Momentum</v>
      </c>
      <c r="C42" s="203" t="str" xml:space="preserve">
        <v>乘势猛击 </v>
      </c>
      <c r="D42" s="203">
        <f>IFERROR(SUBSTITUTE(MID(C42,FIND("“",C42)+1,FIND("”",C42,FIND("“",C42)+1)-FIND("“",C42)-1)," ",""),"")</f>
      </c>
      <c r="E42" s="53" t="str">
        <v>劳旅</v>
      </c>
      <c r="F42" s="53" t="str">
        <v>行为芯片</v>
      </c>
      <c r="G42" s="213">
        <f>VLOOKUP(F42,'引用数据库'!AL:AN,3,FALSE)</f>
      </c>
      <c r="H42" s="209"/>
      <c r="I42" s="209"/>
      <c r="J42" s="1"/>
      <c r="K42" s="57">
        <v>0</v>
      </c>
      <c r="L42" s="57">
        <v>0</v>
      </c>
      <c r="M42" s="57">
        <v>0</v>
      </c>
      <c r="N42" s="172">
        <f>IF(    SUM(K42:M42)=0,    0,    8 + (        MAX(            0,            MIN(                1,                IF(                    MAX(K42:M42)=0,                    0,                    (3*MAX(K42:M42) - SUM(K42:M42)) / (2*MAX(K42:M42))                )            )        ) * 4    ))</f>
      </c>
      <c r="O42" s="231">
        <f>MAX(K42:M42)</f>
      </c>
      <c r="P42" s="172">
        <f>IF(    MAX(K42:M42) &lt;= 0,    0,    MIN(        24,        MAX(            12,            48 - 3 * MAX(K42:M42)        )    ))</f>
      </c>
      <c r="Q42" s="231">
        <f>SUM(K42:M42)</f>
      </c>
      <c r="R42" s="232">
        <f>IF(Q42/24=0,"",Q42/24)</f>
      </c>
      <c r="S42" s="77"/>
      <c r="T42" s="85" t="str">
        <v>使用近战攻击成功击杀敌人后，短时间内你的远程武器普通攻击伤害提升。</v>
      </c>
      <c r="U42" s="85" t="str">
        <v>远程普攻伤害加成：{+40%}; 
持续时间：{4s}</v>
      </c>
      <c r="V42" s="229"/>
      <c r="W42" s="229"/>
      <c r="X42" s="85" t="str">
        <v>街头斗殴的经验：近身解决一个麻烦后，立刻用远程火力压制住下一个潜在的威胁。</v>
      </c>
      <c r="Y42" s="210"/>
      <c r="Z42" s="210" t="str">
        <v>---</v>
      </c>
      <c r="AA42" s="210"/>
      <c r="AB42" s="210"/>
      <c r="AC42" s="210"/>
      <c r="AD42" s="210"/>
      <c r="AE42" s="210" t="str">
        <v>肘击强化, 击杀反馈, 远程联动</v>
      </c>
      <c r="AF42" s="11" t="str">
        <v>不急</v>
      </c>
      <c r="AG42" s="11" t="str">
        <v>不急</v>
      </c>
      <c r="AH42" s="11" t="str">
        <v>待办</v>
      </c>
      <c r="AI42" s="11"/>
      <c r="AJ42" s="11"/>
      <c r="AK42" s="11" t="str">
        <v>不急</v>
      </c>
      <c r="AL42" s="11" t="str">
        <v>不急</v>
      </c>
      <c r="AM42" s="11"/>
      <c r="AN42" s="50"/>
      <c r="AO42" s="50"/>
    </row>
    <row customHeight="true" ht="57" r="43">
      <c r="A43" s="203"/>
      <c r="B43" s="203" t="str">
        <v>LB 'Scorched Trail' Thrusters</v>
      </c>
      <c r="C43" s="203" t="str">
        <v>“焦土轨迹”推进器</v>
      </c>
      <c r="D43" s="203">
        <f>IFERROR(SUBSTITUTE(MID(C43,FIND("“",C43)+1,FIND("”",C43,FIND("“",C43)+1)-FIND("“",C43)-1)," ",""),"")</f>
      </c>
      <c r="E43" s="53" t="str">
        <v>劳旅</v>
      </c>
      <c r="F43" s="53" t="str">
        <v>腿部</v>
      </c>
      <c r="G43" s="213">
        <f>VLOOKUP(F43,'引用数据库'!AL:AN,3,FALSE)</f>
      </c>
      <c r="H43" s="209"/>
      <c r="I43" s="209"/>
      <c r="J43" s="1"/>
      <c r="K43" s="57">
        <v>7</v>
      </c>
      <c r="L43" s="57">
        <v>8</v>
      </c>
      <c r="M43" s="57">
        <v>3</v>
      </c>
      <c r="N43" s="172">
        <f>IF(    SUM(K43:M43)=0,    0,    8 + (        MAX(            0,            MIN(                1,                IF(                    MAX(K43:M43)=0,                    0,                    (3*MAX(K43:M43) - SUM(K43:M43)) / (2*MAX(K43:M43))                )            )        ) * 4    ))</f>
      </c>
      <c r="O43" s="231">
        <f>MAX(K43:M43)</f>
      </c>
      <c r="P43" s="172">
        <f>IF(    MAX(K43:M43) &lt;= 0,    0,    MIN(        24,        MAX(            12,            48 - 3 * MAX(K43:M43)        )    ))</f>
      </c>
      <c r="Q43" s="231">
        <f>SUM(K43:M43)</f>
      </c>
      <c r="R43" s="232">
        <f>IF(Q43/24=0,"",Q43/24)</f>
      </c>
      <c r="S43" s="77"/>
      <c r="T43" s="85" t="str">
        <v>翻滚时在路径上留下短暂燃烧的火焰轨迹，对踩在上面的敌人造成“灼烧”效果。</v>
      </c>
      <c r="U43" s="85" t="str">
        <v>火焰轨迹持续时间：{2s}; 灼烧：每秒伤害 {力量 x 80} 火焰伤害, 持续 {3s}</v>
      </c>
      <c r="V43" s="229"/>
      <c r="W43" s="229"/>
      <c r="X43" s="85" t="str">
        <v>劳旅工人用工业切割炬和推进器拼凑的危险玩意。“焦土”系列腿部组件。翻滚时留下毁灭的痕迹，让追击者陷入火海。</v>
      </c>
      <c r="Y43" s="210"/>
      <c r="Z43" s="210" t="str">
        <v>爆破组</v>
      </c>
      <c r="AA43" s="210"/>
      <c r="AB43" s="210"/>
      <c r="AC43" s="210"/>
      <c r="AD43" s="210"/>
      <c r="AE43" s="210" t="str">
        <v>位移, 范围伤害, 灼烧</v>
      </c>
      <c r="AF43" s="11" t="str">
        <v>待办</v>
      </c>
      <c r="AG43" s="11" t="str">
        <v>不急</v>
      </c>
      <c r="AH43" s="11" t="str">
        <v>待办</v>
      </c>
      <c r="AI43" s="11"/>
      <c r="AJ43" s="11"/>
      <c r="AK43" s="11" t="str">
        <v>不急</v>
      </c>
      <c r="AL43" s="11" t="str">
        <v>不急</v>
      </c>
      <c r="AM43" s="11"/>
      <c r="AN43" s="50"/>
      <c r="AO43" s="50"/>
    </row>
    <row r="44">
      <c r="A44" s="203"/>
      <c r="B44" s="203" t="str">
        <v>LB 'Immolation' Mesh</v>
      </c>
      <c r="C44" s="203" t="str">
        <v>“献祭”反应网</v>
      </c>
      <c r="D44" s="203">
        <f>IFERROR(SUBSTITUTE(MID(C44,FIND("“",C44)+1,FIND("”",C44,FIND("“",C44)+1)-FIND("“",C44)-1)," ",""),"")</f>
      </c>
      <c r="E44" s="53" t="str">
        <v>劳旅</v>
      </c>
      <c r="F44" s="53" t="str">
        <v>皮肤</v>
      </c>
      <c r="G44" s="213">
        <f>VLOOKUP(F44,'引用数据库'!AL:AN,3,FALSE)</f>
      </c>
      <c r="H44" s="209"/>
      <c r="I44" s="209"/>
      <c r="J44" s="1"/>
      <c r="K44" s="57">
        <v>8</v>
      </c>
      <c r="L44" s="57">
        <v>4</v>
      </c>
      <c r="M44" s="57">
        <v>6</v>
      </c>
      <c r="N44" s="172">
        <f>IF(    SUM(K44:M44)=0,    0,    8 + (        MAX(            0,            MIN(                1,                IF(                    MAX(K44:M44)=0,                    0,                    (3*MAX(K44:M44) - SUM(K44:M44)) / (2*MAX(K44:M44))                )            )        ) * 4    ))</f>
      </c>
      <c r="O44" s="231">
        <f>MAX(K44:M44)</f>
      </c>
      <c r="P44" s="172">
        <f>IF(    MAX(K44:M44) &lt;= 0,    0,    MIN(        24,        MAX(            12,            48 - 3 * MAX(K44:M44)        )    ))</f>
      </c>
      <c r="Q44" s="231">
        <f>SUM(K44:M44)</f>
      </c>
      <c r="R44" s="232">
        <f>IF(Q44/24=0,"",Q44/24)</f>
      </c>
      <c r="S44" s="77"/>
      <c r="T44" s="85" t="str">
        <v>你的生命值越低，你施加的“灼烧”效果造成的伤害越高。</v>
      </c>
      <c r="U44" s="85" t="str" xml:space="preserve">
        <v>最大灼烧伤害加成（1 x 已损失生命值%} </v>
      </c>
      <c r="V44" s="229"/>
      <c r="W44" s="229"/>
      <c r="X44" s="85" t="str">
        <v>“焦土”系列皮肤。这种由特殊耐热纤维和感应器构成的网格，能在你受伤时将痛苦转化为更炽热的火焰能量，生命越是危险，火焰越是旺盛。</v>
      </c>
      <c r="Y44" s="210"/>
      <c r="Z44" s="210" t="str">
        <v>爆破组</v>
      </c>
      <c r="AA44" s="210"/>
      <c r="AB44" s="210"/>
      <c r="AC44" s="210"/>
      <c r="AD44" s="210"/>
      <c r="AE44" s="210" t="str">
        <v>低血量增益, 持续伤害, 灼烧</v>
      </c>
      <c r="AF44" s="11" t="str">
        <v>待办</v>
      </c>
      <c r="AG44" s="11" t="str">
        <v>不急</v>
      </c>
      <c r="AH44" s="11" t="str">
        <v>不急</v>
      </c>
      <c r="AI44" s="11"/>
      <c r="AJ44" s="11"/>
      <c r="AK44" s="11" t="str">
        <v>不急</v>
      </c>
      <c r="AL44" s="11" t="str">
        <v>不急</v>
      </c>
      <c r="AM44" s="11"/>
      <c r="AN44" s="50"/>
      <c r="AO44" s="50"/>
    </row>
    <row r="45">
      <c r="A45" s="203"/>
      <c r="B45" s="203" t="str">
        <v>LB 'Breaker' Elbow Implant</v>
      </c>
      <c r="C45" s="203" t="str">
        <v>“破障者”肘击植入</v>
      </c>
      <c r="D45" s="203">
        <f>IFERROR(SUBSTITUTE(MID(C45,FIND("“",C45)+1,FIND("”",C45,FIND("“",C45)+1)-FIND("“",C45)-1)," ",""),"")</f>
      </c>
      <c r="E45" s="53" t="str">
        <v>劳旅</v>
      </c>
      <c r="F45" s="53" t="str">
        <v>主手</v>
      </c>
      <c r="G45" s="213">
        <f>VLOOKUP(F45,'引用数据库'!AL:AN,3,FALSE)</f>
      </c>
      <c r="H45" s="209"/>
      <c r="I45" s="209"/>
      <c r="J45" s="1"/>
      <c r="K45" s="57">
        <v>11</v>
      </c>
      <c r="L45" s="57">
        <v>5</v>
      </c>
      <c r="M45" s="57">
        <v>2</v>
      </c>
      <c r="N45" s="172">
        <f>IF(    SUM(K45:M45)=0,    0,    8 + (        MAX(            0,            MIN(                1,                IF(                    MAX(K45:M45)=0,                    0,                    (3*MAX(K45:M45) - SUM(K45:M45)) / (2*MAX(K45:M45))                )            )        ) * 4    ))</f>
      </c>
      <c r="O45" s="231">
        <f>MAX(K45:M45)</f>
      </c>
      <c r="P45" s="172">
        <f>IF(    MAX(K45:M45) &lt;= 0,    0,    MIN(        24,        MAX(            12,            48 - 3 * MAX(K45:M45)        )    ))</f>
      </c>
      <c r="Q45" s="231">
        <f>SUM(K45:M45)</f>
      </c>
      <c r="R45" s="232">
        <f>IF(Q45/24=0,"",Q45/24)</f>
      </c>
      <c r="S45" s="77"/>
      <c r="T45" s="85" t="str">
        <v>提升“V键肘击”的基础伤害和冲击力。肘击现在造成额外的冲击。</v>
      </c>
      <c r="U45" s="85" t="str">
        <v>肘击伤害提升：{+50%}; 
肘击冲击伤害提升：{+100%}; 
肘击冲击等级提升：{+1}</v>
      </c>
      <c r="V45" s="229"/>
      <c r="W45" s="229"/>
      <c r="X45" s="85" t="str">
        <v>劳旅工人智慧的结晶，将替换下来的工业钻头焊在手臂上。“破障者”肘击植入物将你的肘部变成真正的攻坚利器，没有什么能阻挡你前进的道路。</v>
      </c>
      <c r="Y45" s="210"/>
      <c r="Z45" s="210" t="str">
        <v>强袭</v>
      </c>
      <c r="AA45" s="210"/>
      <c r="AB45" s="210"/>
      <c r="AC45" s="210"/>
      <c r="AD45" s="210"/>
      <c r="AE45" s="210" t="str">
        <v>肘击强化, 破防, 冲击力</v>
      </c>
      <c r="AF45" s="11" t="str">
        <v>待办</v>
      </c>
      <c r="AG45" s="11" t="str">
        <v>待办</v>
      </c>
      <c r="AH45" s="11" t="str">
        <v>不急</v>
      </c>
      <c r="AI45" s="11"/>
      <c r="AJ45" s="11"/>
      <c r="AK45" s="11" t="str">
        <v>不急</v>
      </c>
      <c r="AL45" s="11" t="str">
        <v>不急</v>
      </c>
      <c r="AM45" s="11"/>
      <c r="AN45" s="50"/>
      <c r="AO45" s="50"/>
    </row>
    <row r="46">
      <c r="A46" s="203"/>
      <c r="B46" s="203" t="str">
        <v>LB 'One-Two Combo' Link</v>
      </c>
      <c r="C46" s="203" t="str">
        <v>“连环拳”连接器</v>
      </c>
      <c r="D46" s="203">
        <f>IFERROR(SUBSTITUTE(MID(C46,FIND("“",C46)+1,FIND("”",C46,FIND("“",C46)+1)-FIND("“",C46)-1)," ",""),"")</f>
      </c>
      <c r="E46" s="53" t="str">
        <v>劳旅</v>
      </c>
      <c r="F46" s="53" t="str">
        <v>副手</v>
      </c>
      <c r="G46" s="213">
        <f>VLOOKUP(F46,'引用数据库'!AL:AN,3,FALSE)</f>
      </c>
      <c r="H46" s="209"/>
      <c r="I46" s="209"/>
      <c r="J46" s="1"/>
      <c r="K46" s="57">
        <v>8</v>
      </c>
      <c r="L46" s="57">
        <v>5</v>
      </c>
      <c r="M46" s="57">
        <v>5</v>
      </c>
      <c r="N46" s="172">
        <f>IF(    SUM(K46:M46)=0,    0,    8 + (        MAX(            0,            MIN(                1,                IF(                    MAX(K46:M46)=0,                    0,                    (3*MAX(K46:M46) - SUM(K46:M46)) / (2*MAX(K46:M46))                )            )        ) * 4    ))</f>
      </c>
      <c r="O46" s="231">
        <f>MAX(K46:M46)</f>
      </c>
      <c r="P46" s="172">
        <f>IF(    MAX(K46:M46) &lt;= 0,    0,    MIN(        24,        MAX(            12,            48 - 3 * MAX(K46:M46)        )    ))</f>
      </c>
      <c r="Q46" s="231">
        <f>SUM(K46:M46)</f>
      </c>
      <c r="R46" s="232">
        <f>IF(Q46/24=0,"",Q46/24)</f>
      </c>
      <c r="S46" s="77"/>
      <c r="T46" s="85" t="str">
        <v>使用武器技能命中敌人后，在 {1.5s} 内使用的下一次“V键肘击”伤害和冲击大幅提升。</v>
      </c>
      <c r="U46" s="85" t="str">
        <v>肘击伤害加成：{+100%}; 
肘击冲击伤害提升：{+200%}; 
肘击冲击等级提升：{+2}
持续时间：{1.5s}</v>
      </c>
      <c r="V46" s="229"/>
      <c r="W46" s="229"/>
      <c r="X46" s="85" t="str">
        <v>“街头格斗”系列的辅助模块。“连环拳”连接器捕捉你远程骚扰和近身重击的节奏，用远程攻击打开破绽，紧接着一记毁灭性的肘击终结对手。</v>
      </c>
      <c r="Y46" s="210"/>
      <c r="Z46" s="210" t="str">
        <v>强袭</v>
      </c>
      <c r="AA46" s="210"/>
      <c r="AB46" s="210"/>
      <c r="AC46" s="210"/>
      <c r="AD46" s="210"/>
      <c r="AE46" s="210" t="str">
        <v>远程联动, 肘击强化, 增伤</v>
      </c>
      <c r="AF46" s="11" t="str">
        <v>不急</v>
      </c>
      <c r="AG46" s="11" t="str">
        <v>待办</v>
      </c>
      <c r="AH46" s="11" t="str">
        <v>待办</v>
      </c>
      <c r="AI46" s="11"/>
      <c r="AJ46" s="11"/>
      <c r="AK46" s="11" t="str">
        <v>不急</v>
      </c>
      <c r="AL46" s="11" t="str">
        <v>不急</v>
      </c>
      <c r="AM46" s="11"/>
      <c r="AN46" s="50"/>
      <c r="AO46" s="50"/>
    </row>
    <row r="47">
      <c r="A47" s="203"/>
      <c r="B47" s="203" t="str">
        <v>LB 'Frenetic' Weave</v>
      </c>
      <c r="C47" s="203" t="str">
        <v>“狂热”织物</v>
      </c>
      <c r="D47" s="203">
        <f>IFERROR(SUBSTITUTE(MID(C47,FIND("“",C47)+1,FIND("”",C47,FIND("“",C47)+1)-FIND("“",C47)-1)," ",""),"")</f>
      </c>
      <c r="E47" s="53" t="str">
        <v>劳旅</v>
      </c>
      <c r="F47" s="53" t="str">
        <v>皮肤</v>
      </c>
      <c r="G47" s="213">
        <f>VLOOKUP(F47,'引用数据库'!AL:AN,3,FALSE)</f>
      </c>
      <c r="H47" s="209"/>
      <c r="I47" s="209"/>
      <c r="J47" s="1"/>
      <c r="K47" s="57">
        <v>5</v>
      </c>
      <c r="L47" s="57">
        <v>16</v>
      </c>
      <c r="M47" s="57">
        <v>-2</v>
      </c>
      <c r="N47" s="172">
        <f>IF(    SUM(K47:M47)=0,    0,    8 + (        MAX(            0,            MIN(                1,                IF(                    MAX(K47:M47)=0,                    0,                    (3*MAX(K47:M47) - SUM(K47:M47)) / (2*MAX(K47:M47))                )            )        ) * 4    ))</f>
      </c>
      <c r="O47" s="231">
        <f>MAX(K47:M47)</f>
      </c>
      <c r="P47" s="172">
        <f>IF(    MAX(K47:M47) &lt;= 0,    0,    MIN(        24,        MAX(            12,            48 - 3 * MAX(K47:M47)        )    ))</f>
      </c>
      <c r="Q47" s="231">
        <f>SUM(K47:M47)</f>
      </c>
      <c r="R47" s="232">
        <f>IF(Q47/24=0,"",Q47/24)</f>
      </c>
      <c r="S47" s="77"/>
      <c r="T47" s="85" t="str">
        <v>受到攻击时，短时间内提升攻击速度，此效果最多可叠加{12}层。</v>
      </c>
      <c r="U47" s="85" t="str">
        <v>每层攻速加成：{+5%}; 
持续时间：{3s}; 
最大层数：{12}</v>
      </c>
      <c r="V47" s="229"/>
      <c r="W47" s="229"/>
      <c r="X47" s="85" t="str">
        <v>劳旅工人将兴奋剂直接编织进皮肤。“狂热”织物在你受伤时会刺激神经，让你进入越战越勇的狂乱状态，攻击速度不断飙升。</v>
      </c>
      <c r="Y47" s="210"/>
      <c r="Z47" s="210" t="str">
        <v>劳工</v>
      </c>
      <c r="AA47" s="210"/>
      <c r="AB47" s="210"/>
      <c r="AC47" s="210"/>
      <c r="AD47" s="210"/>
      <c r="AE47" s="210" t="str">
        <v>受击触发, 攻速, 叠加</v>
      </c>
      <c r="AF47" s="11" t="str">
        <v>不急</v>
      </c>
      <c r="AG47" s="11" t="str">
        <v>待办</v>
      </c>
      <c r="AH47" s="11" t="str">
        <v>不急</v>
      </c>
      <c r="AI47" s="11"/>
      <c r="AJ47" s="11"/>
      <c r="AK47" s="11" t="str">
        <v>不急</v>
      </c>
      <c r="AL47" s="11" t="str">
        <v>不急</v>
      </c>
      <c r="AM47" s="11"/>
      <c r="AN47" s="50"/>
      <c r="AO47" s="50"/>
    </row>
    <row r="48">
      <c r="A48" s="203"/>
      <c r="B48" s="203" t="str">
        <v>LB 'Marsh' Heavy Duty Scope</v>
      </c>
      <c r="C48" s="203" t="str">
        <v>“水泊”重载目镜</v>
      </c>
      <c r="D48" s="203">
        <f>IFERROR(SUBSTITUTE(MID(C48,FIND("“",C48)+1,FIND("”",C48,FIND("“",C48)+1)-FIND("“",C48)-1)," ",""),"")</f>
      </c>
      <c r="E48" s="75" t="str">
        <v>劳旅</v>
      </c>
      <c r="F48" s="53" t="str">
        <v>副手</v>
      </c>
      <c r="G48" s="213">
        <f>VLOOKUP(F48,'引用数据库'!AL:AN,3,FALSE)</f>
      </c>
      <c r="H48" s="209"/>
      <c r="I48" s="209"/>
      <c r="J48" s="1"/>
      <c r="K48" s="57">
        <v>8</v>
      </c>
      <c r="L48" s="57">
        <v>5</v>
      </c>
      <c r="M48" s="57">
        <f>+5</f>
      </c>
      <c r="N48" s="172">
        <f>IF(    SUM(K48:M48)=0,    0,    8 + (        MAX(            0,            MIN(                1,                IF(                    MAX(K48:M48)=0,                    0,                    (3*MAX(K48:M48) - SUM(K48:M48)) / (2*MAX(K48:M48))                )            )        ) * 4    ))</f>
      </c>
      <c r="O48" s="231">
        <f>MAX(K48:M48)</f>
      </c>
      <c r="P48" s="172">
        <f>IF(    MAX(K48:M48) &lt;= 0,    0,    MIN(        24,        MAX(            12,            48 - 3 * MAX(K48:M48)        )    ))</f>
      </c>
      <c r="Q48" s="231">
        <f>SUM(K48:M48)</f>
      </c>
      <c r="R48" s="232">
        <f>IF(Q48/24=0,"",Q48/24)</f>
      </c>
      <c r="S48" s="77"/>
      <c r="T48" s="85" t="str">
        <v>武器技能的准备/蓄力速度加快，但略微降低武器技能的基础伤害。</v>
      </c>
      <c r="U48" s="85" t="str">
        <v>武器技能准备速度：{+25%}; 
武器技能基础伤害：{-10%}</v>
      </c>
      <c r="V48" s="229"/>
      <c r="W48" s="229"/>
      <c r="X48" s="85" t="str">
        <v>粗犷的机械义体，在底层劳工间流行。“水泊”目镜牺牲了精密度，换来了在各种恶劣环境下快速锁定和启动重型工具（或武器）的能力，是实用主义的代表。</v>
      </c>
      <c r="Y48" s="207"/>
      <c r="Z48" s="207" t="str">
        <v>劳工</v>
      </c>
      <c r="AA48" s="207"/>
      <c r="AB48" s="207"/>
      <c r="AC48" s="207"/>
      <c r="AD48" s="207"/>
      <c r="AE48" s="207" t="str">
        <v>武器技能, 蓄力加速, 取舍</v>
      </c>
      <c r="AF48" s="11" t="str">
        <v>不急</v>
      </c>
      <c r="AG48" s="11" t="str">
        <v>不急</v>
      </c>
      <c r="AH48" s="11" t="str">
        <v>不急</v>
      </c>
      <c r="AI48" s="11"/>
      <c r="AJ48" s="11"/>
      <c r="AK48" s="11" t="str">
        <v>不急</v>
      </c>
      <c r="AL48" s="11" t="str">
        <v>不急</v>
      </c>
      <c r="AM48" s="11"/>
      <c r="AN48" s="50"/>
      <c r="AO48" s="50"/>
    </row>
    <row r="49">
      <c r="A49" s="203"/>
      <c r="B49" s="203" t="str">
        <v>LB 'Iron Will' Plating Chip</v>
      </c>
      <c r="C49" s="203" t="str">
        <v>“钢铁意志”镀层芯片</v>
      </c>
      <c r="D49" s="203">
        <f>IFERROR(SUBSTITUTE(MID(C49,FIND("“",C49)+1,FIND("”",C49,FIND("“",C49)+1)-FIND("“",C49)-1)," ",""),"")</f>
      </c>
      <c r="E49" s="53" t="str">
        <v>劳旅</v>
      </c>
      <c r="F49" s="53" t="str">
        <v>行为芯片</v>
      </c>
      <c r="G49" s="213">
        <f>VLOOKUP(F49,'引用数据库'!AL:AN,3,FALSE)</f>
      </c>
      <c r="H49" s="209"/>
      <c r="I49" s="209"/>
      <c r="J49" s="1"/>
      <c r="K49" s="57">
        <v>0</v>
      </c>
      <c r="L49" s="57">
        <v>0</v>
      </c>
      <c r="M49" s="57">
        <v>0</v>
      </c>
      <c r="N49" s="172">
        <f>IF(    SUM(K49:M49)=0,    0,    8 + (        MAX(            0,            MIN(                1,                IF(                    MAX(K49:M49)=0,                    0,                    (3*MAX(K49:M49) - SUM(K49:M49)) / (2*MAX(K49:M49))                )            )        ) * 4    ))</f>
      </c>
      <c r="O49" s="231">
        <f>MAX(K49:M49)</f>
      </c>
      <c r="P49" s="172">
        <f>IF(    MAX(K49:M49) &lt;= 0,    0,    MIN(        24,        MAX(            12,            48 - 3 * MAX(K49:M49)        )    ))</f>
      </c>
      <c r="Q49" s="231">
        <f>SUM(K49:M49)</f>
      </c>
      <c r="R49" s="232">
        <f>IF(Q49/24=0,"",Q49/24)</f>
      </c>
      <c r="S49" s="77"/>
      <c r="T49" s="85" t="str">
        <v>提升 {20%} 护甲值。</v>
      </c>
      <c r="U49" s="85" t="str">
        <v>护甲加成：{+20&amp;}</v>
      </c>
      <c r="V49" s="229"/>
      <c r="W49" s="229"/>
      <c r="X49" s="85" t="str">
        <v>劳旅用废料场的边角料压缩成的廉价护甲增强芯片。“钢铁意志”芯片提供基础的防护，至少让你在恶劣环境中多一点点生存机会。</v>
      </c>
      <c r="Y49" s="207"/>
      <c r="Z49" s="207" t="str">
        <v>劳工</v>
      </c>
      <c r="AA49" s="207"/>
      <c r="AB49" s="207"/>
      <c r="AC49" s="207"/>
      <c r="AD49" s="207"/>
      <c r="AE49" s="207" t="str">
        <v>护甲, 生存</v>
      </c>
      <c r="AF49" s="11" t="str">
        <v>不急</v>
      </c>
      <c r="AG49" s="11" t="str">
        <v>不急</v>
      </c>
      <c r="AH49" s="11" t="str">
        <v>不急</v>
      </c>
      <c r="AI49" s="11"/>
      <c r="AJ49" s="11"/>
      <c r="AK49" s="11" t="str">
        <v>不急</v>
      </c>
      <c r="AL49" s="11" t="str">
        <v>不急</v>
      </c>
      <c r="AM49" s="11"/>
      <c r="AN49" s="50"/>
      <c r="AO49" s="50"/>
    </row>
    <row r="50">
      <c r="A50" s="203"/>
      <c r="B50" s="203" t="str">
        <v>LB 'Impact Driver' Arms</v>
      </c>
      <c r="C50" s="203" t="str">
        <v>“冲击钻”臂</v>
      </c>
      <c r="D50" s="203">
        <f>IFERROR(SUBSTITUTE(MID(C50,FIND("“",C50)+1,FIND("”",C50,FIND("“",C50)+1)-FIND("“",C50)-1)," ",""),"")</f>
      </c>
      <c r="E50" s="53" t="str">
        <v>劳旅</v>
      </c>
      <c r="F50" s="53" t="str">
        <v>主手</v>
      </c>
      <c r="G50" s="213">
        <f>VLOOKUP(F50,'引用数据库'!AL:AN,3,FALSE)</f>
      </c>
      <c r="H50" s="209"/>
      <c r="I50" s="209"/>
      <c r="J50" s="1"/>
      <c r="K50" s="57">
        <v>13</v>
      </c>
      <c r="L50" s="57">
        <v>5</v>
      </c>
      <c r="M50" s="57">
        <v>0</v>
      </c>
      <c r="N50" s="172">
        <f>IF(    SUM(K50:M50)=0,    0,    8 + (        MAX(            0,            MIN(                1,                IF(                    MAX(K50:M50)=0,                    0,                    (3*MAX(K50:M50) - SUM(K50:M50)) / (2*MAX(K50:M50))                )            )        ) * 4    ))</f>
      </c>
      <c r="O50" s="231">
        <f>MAX(K50:M50)</f>
      </c>
      <c r="P50" s="172">
        <f>IF(    MAX(K50:M50) &lt;= 0,    0,    MIN(        24,        MAX(            12,            48 - 3 * MAX(K50:M50)        )    ))</f>
      </c>
      <c r="Q50" s="231">
        <f>SUM(K50:M50)</f>
      </c>
      <c r="R50" s="232">
        <f>IF(Q50/24=0,"",Q50/24)</f>
      </c>
      <c r="S50" s="77"/>
      <c r="T50" s="85" t="str">
        <v>近战普通攻击造成额外伤害和冲击。造成硬直时，回复少量体力。</v>
      </c>
      <c r="U50" s="85" t="str">
        <v>额外伤害：{武器伤害 x 20%};
冲击力加成：{+35%}; 
打断回体：{10}</v>
      </c>
      <c r="V50" s="229"/>
      <c r="W50" s="229"/>
      <c r="X50" s="85" t="str">
        <v>劳旅工人用拆卸下来的重型机械零件打造的武器接口。“重拳先生”指虎让你每一拳都势大力沉，能轻易打断弱小敌人的攻击，并从中获得继续挥拳的动力。</v>
      </c>
      <c r="Y50" s="210"/>
      <c r="Z50" s="210" t="str">
        <v>强袭</v>
      </c>
      <c r="AA50" s="210"/>
      <c r="AB50" s="210"/>
      <c r="AC50" s="210"/>
      <c r="AD50" s="210"/>
      <c r="AE50" s="210" t="str">
        <v>普攻强化, 直伤, 冲击力, 体力</v>
      </c>
      <c r="AF50" s="11" t="str">
        <v>待办</v>
      </c>
      <c r="AG50" s="11" t="str">
        <v>待办</v>
      </c>
      <c r="AH50" s="11" t="str">
        <v>不急</v>
      </c>
      <c r="AI50" s="11"/>
      <c r="AJ50" s="11"/>
      <c r="AK50" s="11" t="str">
        <v>不急</v>
      </c>
      <c r="AL50" s="11" t="str">
        <v>不急</v>
      </c>
      <c r="AM50" s="11"/>
      <c r="AN50" s="50"/>
      <c r="AO50" s="50"/>
    </row>
    <row r="51">
      <c r="A51" s="203"/>
      <c r="B51" s="203" t="str">
        <v>LB 'Executioner's Edge'</v>
      </c>
      <c r="C51" s="203" t="str">
        <v>“处决者”锋刃</v>
      </c>
      <c r="D51" s="203">
        <f>IFERROR(SUBSTITUTE(MID(C51,FIND("“",C51)+1,FIND("”",C51,FIND("“",C51)+1)-FIND("“",C51)-1)," ",""),"")</f>
      </c>
      <c r="E51" s="53" t="str">
        <v>劳旅</v>
      </c>
      <c r="F51" s="53" t="str">
        <v>副手</v>
      </c>
      <c r="G51" s="213">
        <f>VLOOKUP(F51,'引用数据库'!AL:AN,3,FALSE)</f>
      </c>
      <c r="H51" s="209"/>
      <c r="I51" s="209"/>
      <c r="J51" s="1"/>
      <c r="K51" s="57">
        <v>9</v>
      </c>
      <c r="L51" s="57">
        <v>6</v>
      </c>
      <c r="M51" s="57">
        <v>3</v>
      </c>
      <c r="N51" s="172">
        <f>IF(    SUM(K51:M51)=0,    0,    8 + (        MAX(            0,            MIN(                1,                IF(                    MAX(K51:M51)=0,                    0,                    (3*MAX(K51:M51) - SUM(K51:M51)) / (2*MAX(K51:M51))                )            )        ) * 4    ))</f>
      </c>
      <c r="O51" s="231">
        <f>MAX(K51:M51)</f>
      </c>
      <c r="P51" s="172">
        <f>IF(    MAX(K51:M51) &lt;= 0,    0,    MIN(        24,        MAX(            12,            48 - 3 * MAX(K51:M51)        )    ))</f>
      </c>
      <c r="Q51" s="231">
        <f>SUM(K51:M51)</f>
      </c>
      <c r="R51" s="232">
        <f>IF(Q51/24=0,"",Q51/24)</f>
      </c>
      <c r="S51" s="77"/>
      <c r="T51" s="85" t="str">
        <v>近战武器技能对生命值低于 {40%} 的敌人造成额外伤害。若此技能击杀敌人，则重置该技能冷却时间。</v>
      </c>
      <c r="U51" s="85" t="str" xml:space="preserve">
        <v>额外伤害：{武器技能伤害 x 50%}; </v>
      </c>
      <c r="V51" s="229"/>
      <c r="W51" s="229"/>
      <c r="X51" s="85" t="str">
        <v>“强袭”系列的武器技能模块。“处决者”锋刃优化了能量输出，专门用于解决濒死的敌人，一旦成功处决，你将能更快地再次发动致命一击。</v>
      </c>
      <c r="Y51" s="210"/>
      <c r="Z51" s="210" t="str">
        <v>强袭</v>
      </c>
      <c r="AA51" s="210"/>
      <c r="AB51" s="210"/>
      <c r="AC51" s="210"/>
      <c r="AD51" s="210"/>
      <c r="AE51" s="210" t="str">
        <v>武器技能, 斩杀, 增伤, 冷却</v>
      </c>
      <c r="AF51" s="11" t="str">
        <v>不急</v>
      </c>
      <c r="AG51" s="11" t="str">
        <v>待办</v>
      </c>
      <c r="AH51" s="11" t="str">
        <v>待办</v>
      </c>
      <c r="AI51" s="11"/>
      <c r="AJ51" s="11"/>
      <c r="AK51" s="11" t="str">
        <v>不急</v>
      </c>
      <c r="AL51" s="11" t="str">
        <v>不急</v>
      </c>
      <c r="AM51" s="11"/>
      <c r="AN51" s="50"/>
      <c r="AO51" s="50"/>
    </row>
    <row r="52">
      <c r="A52" s="203"/>
      <c r="B52" s="203" t="str">
        <v>LH 'Singular Focus'</v>
      </c>
      <c r="C52" s="203" t="str" xml:space="preserve">
        <v>一心不乱 </v>
      </c>
      <c r="D52" s="203">
        <f>IFERROR(SUBSTITUTE(MID(C52,FIND("“",C52)+1,FIND("”",C52,FIND("“",C52)+1)-FIND("“",C52)-1)," ",""),"")</f>
      </c>
      <c r="E52" s="53" t="str">
        <v>洛克海德</v>
      </c>
      <c r="F52" s="53" t="str">
        <v>行为芯片</v>
      </c>
      <c r="G52" s="213">
        <f>VLOOKUP(F52,'引用数据库'!AL:AN,3,FALSE)</f>
      </c>
      <c r="H52" s="209"/>
      <c r="I52" s="209"/>
      <c r="J52" s="1"/>
      <c r="K52" s="57">
        <v>0</v>
      </c>
      <c r="L52" s="57">
        <v>0</v>
      </c>
      <c r="M52" s="57">
        <v>0</v>
      </c>
      <c r="N52" s="172">
        <f>IF(    SUM(K52:M52)=0,    0,    8 + (        MAX(            0,            MIN(                1,                IF(                    MAX(K52:M52)=0,                    0,                    (3*MAX(K52:M52) - SUM(K52:M52)) / (2*MAX(K52:M52))                )            )        ) * 4    ))</f>
      </c>
      <c r="O52" s="231">
        <f>MAX(K52:M52)</f>
      </c>
      <c r="P52" s="172">
        <f>IF(    MAX(K52:M52) &lt;= 0,    0,    MIN(        24,        MAX(            12,            48 - 3 * MAX(K52:M52)        )    ))</f>
      </c>
      <c r="Q52" s="231">
        <f>SUM(K52:M52)</f>
      </c>
      <c r="R52" s="232">
        <f>IF(Q52/24=0,"",Q52/24)</f>
      </c>
      <c r="S52" s="77"/>
      <c r="T52" s="85" t="str">
        <v>所有主动技能处于冷却时，暴击伤害提升，但非暴击伤害略微降低。</v>
      </c>
      <c r="U52" s="85" t="str">
        <v>暴击伤害加成：{+40%}; 
非暴击伤害降低：{-10%}</v>
      </c>
      <c r="V52" s="229"/>
      <c r="W52" s="229"/>
      <c r="X52" s="85" t="str">
        <v>将全部精力集中于精准打击，牺牲部分稳定性换取致命的暴击效果。</v>
      </c>
      <c r="Y52" s="210"/>
      <c r="Z52" s="210" t="str">
        <v>---</v>
      </c>
      <c r="AA52" s="210"/>
      <c r="AB52" s="210"/>
      <c r="AC52" s="210"/>
      <c r="AD52" s="210"/>
      <c r="AE52" s="210" t="str">
        <v>近战, 控制增伤, 暴击伤害</v>
      </c>
      <c r="AF52" s="11" t="str">
        <v>待办</v>
      </c>
      <c r="AG52" s="11" t="str">
        <v>不急</v>
      </c>
      <c r="AH52" s="11" t="str">
        <v>不急</v>
      </c>
      <c r="AI52" s="11"/>
      <c r="AJ52" s="11"/>
      <c r="AK52" s="11" t="str">
        <v>不急</v>
      </c>
      <c r="AL52" s="11" t="str">
        <v>不急</v>
      </c>
      <c r="AM52" s="11"/>
      <c r="AN52" s="50"/>
      <c r="AO52" s="50"/>
    </row>
    <row r="53">
      <c r="A53" s="203"/>
      <c r="B53" s="203" t="str">
        <v>LH 'Tracer Round' Module</v>
      </c>
      <c r="C53" s="203" t="str">
        <v>曳光弹</v>
      </c>
      <c r="D53" s="203">
        <f>IFERROR(SUBSTITUTE(MID(C53,FIND("“",C53)+1,FIND("”",C53,FIND("“",C53)+1)-FIND("“",C53)-1)," ",""),"")</f>
      </c>
      <c r="E53" s="53" t="str">
        <v>洛克海德</v>
      </c>
      <c r="F53" s="53" t="str">
        <v>行为芯片</v>
      </c>
      <c r="G53" s="213">
        <f>VLOOKUP(F53,'引用数据库'!AL:AN,3,FALSE)</f>
      </c>
      <c r="H53" s="209"/>
      <c r="I53" s="209"/>
      <c r="J53" s="1"/>
      <c r="K53" s="57">
        <v>0</v>
      </c>
      <c r="L53" s="57">
        <v>0</v>
      </c>
      <c r="M53" s="57">
        <v>0</v>
      </c>
      <c r="N53" s="172">
        <f>IF(    SUM(K53:M53)=0,    0,    8 + (        MAX(            0,            MIN(                1,                IF(                    MAX(K53:M53)=0,                    0,                    (3*MAX(K53:M53) - SUM(K53:M53)) / (2*MAX(K53:M53))                )            )        ) * 4    ))</f>
      </c>
      <c r="O53" s="231">
        <f>MAX(K53:M53)</f>
      </c>
      <c r="P53" s="172">
        <f>IF(    MAX(K53:M53) &lt;= 0,    0,    MIN(        24,        MAX(            12,            48 - 3 * MAX(K53:M53)        )    ))</f>
      </c>
      <c r="Q53" s="231">
        <f>SUM(K53:M53)</f>
      </c>
      <c r="R53" s="232">
        <f>IF(Q53/24=0,"",Q53/24)</f>
      </c>
      <c r="S53" s="77"/>
      <c r="T53" s="85" t="str">
        <v>最后{10%}弹匣子弹造成额外伤害，且击杀敌人有几率回复少量弹药。</v>
      </c>
      <c r="U53" s="85" t="str">
        <v>最后10%弹药增伤：{+25%}; 
击杀回弹几率：{15%}; 
回复弹量：{5%}</v>
      </c>
      <c r="V53" s="229"/>
      <c r="W53" s="229"/>
      <c r="X53" s="85" t="str">
        <v>洛克海德为持续火力支援设计的弹药模组，弹匣见底时提供额外杀伤力，并有机会在击杀中补充弹药。</v>
      </c>
      <c r="Y53" s="210"/>
      <c r="Z53" s="210" t="str">
        <v>---</v>
      </c>
      <c r="AA53" s="210"/>
      <c r="AB53" s="210"/>
      <c r="AC53" s="210"/>
      <c r="AD53" s="210"/>
      <c r="AE53" s="210" t="str">
        <v>弹药, 增伤, 击杀反馈</v>
      </c>
      <c r="AF53" s="11" t="str">
        <v>不急</v>
      </c>
      <c r="AG53" s="11" t="str">
        <v>不急</v>
      </c>
      <c r="AH53" s="11" t="str">
        <v>待办</v>
      </c>
      <c r="AI53" s="11"/>
      <c r="AJ53" s="11"/>
      <c r="AK53" s="11" t="str">
        <v>不急</v>
      </c>
      <c r="AL53" s="11" t="str">
        <v>不急</v>
      </c>
      <c r="AM53" s="11"/>
      <c r="AN53" s="50"/>
      <c r="AO53" s="50"/>
    </row>
    <row r="54">
      <c r="A54" s="203"/>
      <c r="B54" s="203" t="str">
        <v>LH 'Suppression' Fire Pattern</v>
      </c>
      <c r="C54" s="203" t="str">
        <v>火力压制</v>
      </c>
      <c r="D54" s="203">
        <f>IFERROR(SUBSTITUTE(MID(C54,FIND("“",C54)+1,FIND("”",C54,FIND("“",C54)+1)-FIND("“",C54)-1)," ",""),"")</f>
      </c>
      <c r="E54" s="53" t="str">
        <v>洛克海德</v>
      </c>
      <c r="F54" s="53" t="str">
        <v>行为芯片</v>
      </c>
      <c r="G54" s="213">
        <f>VLOOKUP(F54,'引用数据库'!AL:AN,3,FALSE)</f>
      </c>
      <c r="H54" s="209"/>
      <c r="I54" s="209"/>
      <c r="J54" s="1"/>
      <c r="K54" s="57">
        <v>0</v>
      </c>
      <c r="L54" s="57">
        <v>0</v>
      </c>
      <c r="M54" s="57">
        <v>0</v>
      </c>
      <c r="N54" s="172">
        <f>IF(    SUM(K54:M54)=0,    0,    8 + (        MAX(            0,            MIN(                1,                IF(                    MAX(K54:M54)=0,                    0,                    (3*MAX(K54:M54) - SUM(K54:M54)) / (2*MAX(K54:M54))                )            )        ) * 4    ))</f>
      </c>
      <c r="O54" s="231">
        <f>MAX(K54:M54)</f>
      </c>
      <c r="P54" s="172">
        <f>IF(    MAX(K54:M54) &lt;= 0,    0,    MIN(        24,        MAX(            12,            48 - 3 * MAX(K54:M54)        )    ))</f>
      </c>
      <c r="Q54" s="231">
        <f>SUM(K54:M54)</f>
      </c>
      <c r="R54" s="232">
        <f>IF(Q54/24=0,"",Q54/24)</f>
      </c>
      <c r="S54" s="77"/>
      <c r="T54" s="85" t="str">
        <v>连续命中同一敌人 {3} 次后，该敌人在短时间内造成的伤害降低。</v>
      </c>
      <c r="U54" s="85" t="str">
        <v>命中次数要求：{3}; 
伤害降低：{-20%}; 
连续阈值：{1s}
持续时间：{4s}</v>
      </c>
      <c r="V54" s="229"/>
      <c r="W54" s="229"/>
      <c r="X54" s="85" t="str">
        <v>军用标准压制火力程序，通过持续命中干扰敌人的反击能力。</v>
      </c>
      <c r="Y54" s="210"/>
      <c r="Z54" s="210" t="str">
        <v>---</v>
      </c>
      <c r="AA54" s="210"/>
      <c r="AB54" s="210"/>
      <c r="AC54" s="210"/>
      <c r="AD54" s="210"/>
      <c r="AE54" s="210" t="str">
        <v>减益, 连续攻击, 生存</v>
      </c>
      <c r="AF54" s="11" t="str">
        <v>不急</v>
      </c>
      <c r="AG54" s="11" t="str">
        <v>不急</v>
      </c>
      <c r="AH54" s="11" t="str">
        <v>不急</v>
      </c>
      <c r="AI54" s="11"/>
      <c r="AJ54" s="11"/>
      <c r="AK54" s="11" t="str">
        <v>不急</v>
      </c>
      <c r="AL54" s="11" t="str">
        <v>不急</v>
      </c>
      <c r="AM54" s="11"/>
      <c r="AN54" s="50"/>
      <c r="AO54" s="50"/>
    </row>
    <row r="55">
      <c r="A55" s="203"/>
      <c r="B55" s="203" t="str">
        <v>LH 'Observer' Scope Chip</v>
      </c>
      <c r="C55" s="203" t="str" xml:space="preserve">
        <v>观察者 </v>
      </c>
      <c r="D55" s="203">
        <f>IFERROR(SUBSTITUTE(MID(C55,FIND("“",C55)+1,FIND("”",C55,FIND("“",C55)+1)-FIND("“",C55)-1)," ",""),"")</f>
      </c>
      <c r="E55" s="53" t="str">
        <v>洛克海德</v>
      </c>
      <c r="F55" s="53" t="str">
        <v>行为芯片</v>
      </c>
      <c r="G55" s="213">
        <f>VLOOKUP(F55,'引用数据库'!AL:AN,3,FALSE)</f>
      </c>
      <c r="H55" s="209"/>
      <c r="I55" s="209"/>
      <c r="J55" s="1"/>
      <c r="K55" s="57">
        <v>0</v>
      </c>
      <c r="L55" s="57">
        <v>0</v>
      </c>
      <c r="M55" s="57">
        <v>0</v>
      </c>
      <c r="N55" s="172">
        <f>IF(    SUM(K55:M55)=0,    0,    8 + (        MAX(            0,            MIN(                1,                IF(                    MAX(K55:M55)=0,                    0,                    (3*MAX(K55:M55) - SUM(K55:M55)) / (2*MAX(K55:M55))                )            )        ) * 4    ))</f>
      </c>
      <c r="O55" s="231">
        <f>MAX(K55:M55)</f>
      </c>
      <c r="P55" s="172">
        <f>IF(    MAX(K55:M55) &lt;= 0,    0,    MIN(        24,        MAX(            12,            48 - 3 * MAX(K55:M55)        )    ))</f>
      </c>
      <c r="Q55" s="231">
        <f>SUM(K55:M55)</f>
      </c>
      <c r="R55" s="232">
        <f>IF(Q55/24=0,"",Q55/24)</f>
      </c>
      <c r="S55" s="77"/>
      <c r="T55" s="85" t="str">
        <v>你距离敌人越远，对该敌人造成的暴击伤害越高。</v>
      </c>
      <c r="U55" s="85" t="str">
        <v>最大距离暴伤加成：{+(命中距离 / 20)%}</v>
      </c>
      <c r="V55" s="229"/>
      <c r="W55" s="229"/>
      <c r="X55" s="85" t="str">
        <v>狙击手信条：距离带来安全，也带来更致命的精准打击。</v>
      </c>
      <c r="Y55" s="210"/>
      <c r="Z55" s="210" t="str">
        <v>---</v>
      </c>
      <c r="AA55" s="210"/>
      <c r="AB55" s="210"/>
      <c r="AC55" s="210"/>
      <c r="AD55" s="210"/>
      <c r="AE55" s="210" t="str">
        <v>距离增伤, 暴击伤害</v>
      </c>
      <c r="AF55" s="11" t="str">
        <v>不急</v>
      </c>
      <c r="AG55" s="11" t="str">
        <v>待办</v>
      </c>
      <c r="AH55" s="11" t="str">
        <v>待办</v>
      </c>
      <c r="AI55" s="11"/>
      <c r="AJ55" s="11"/>
      <c r="AK55" s="11" t="str">
        <v>不急</v>
      </c>
      <c r="AL55" s="11" t="str">
        <v>不急</v>
      </c>
      <c r="AM55" s="11"/>
      <c r="AN55" s="50"/>
      <c r="AO55" s="50"/>
    </row>
    <row r="56">
      <c r="A56" s="203"/>
      <c r="B56" s="203" t="str">
        <v>LH 'Peak Condition' Frame</v>
      </c>
      <c r="C56" s="203" t="str">
        <v>“巅峰状态”骨架</v>
      </c>
      <c r="D56" s="203">
        <f>IFERROR(SUBSTITUTE(MID(C56,FIND("“",C56)+1,FIND("”",C56,FIND("“",C56)+1)-FIND("“",C56)-1)," ",""),"")</f>
      </c>
      <c r="E56" s="53" t="str">
        <v>洛克海德</v>
      </c>
      <c r="F56" s="53" t="str">
        <v>骨骼</v>
      </c>
      <c r="G56" s="213">
        <f>VLOOKUP(F56,'引用数据库'!AL:AN,3,FALSE)</f>
      </c>
      <c r="H56" s="209"/>
      <c r="I56" s="209"/>
      <c r="J56" s="1"/>
      <c r="K56" s="57">
        <v>8</v>
      </c>
      <c r="L56" s="57">
        <v>5</v>
      </c>
      <c r="M56" s="57">
        <v>5</v>
      </c>
      <c r="N56" s="172">
        <f>IF(    SUM(K56:M56)=0,    0,    8 + (        MAX(            0,            MIN(                1,                IF(                    MAX(K56:M56)=0,                    0,                    (3*MAX(K56:M56) - SUM(K56:M56)) / (2*MAX(K56:M56))                )            )        ) * 4    ))</f>
      </c>
      <c r="O56" s="231">
        <f>MAX(K56:M56)</f>
      </c>
      <c r="P56" s="172">
        <f>IF(    MAX(K56:M56) &lt;= 0,    0,    MIN(        24,        MAX(            12,            48 - 3 * MAX(K56:M56)        )    ))</f>
      </c>
      <c r="Q56" s="231">
        <f>SUM(K56:M56)</f>
      </c>
      <c r="R56" s="232">
        <f>IF(Q56/24=0,"",Q56/24)</f>
      </c>
      <c r="S56" s="77"/>
      <c r="T56" s="85" t="str">
        <v>所有主动技能处于冷却时，护甲提升你的属性。</v>
      </c>
      <c r="U56" s="85" t="str">
        <v>全属性加成：{每点护甲 x 0.5%}</v>
      </c>
      <c r="V56" s="229"/>
      <c r="W56" s="229"/>
      <c r="X56" s="85" t="str">
        <v>“巅峰状态”骨架将所有资源都用于强化使用者的核心生理机能——当你心无旁骛时，即是你的最强状态。</v>
      </c>
      <c r="Y56" s="210"/>
      <c r="Z56" s="210" t="str">
        <v>先锋</v>
      </c>
      <c r="AA56" s="210"/>
      <c r="AB56" s="210"/>
      <c r="AC56" s="210"/>
      <c r="AD56" s="210"/>
      <c r="AE56" s="210" t="str">
        <v>片手限定, 属性提升</v>
      </c>
      <c r="AF56" s="11" t="str">
        <v>不急</v>
      </c>
      <c r="AG56" s="11" t="str">
        <v>待办</v>
      </c>
      <c r="AH56" s="11" t="str">
        <v>不急</v>
      </c>
      <c r="AI56" s="11"/>
      <c r="AJ56" s="11"/>
      <c r="AK56" s="11" t="str">
        <v>不急</v>
      </c>
      <c r="AL56" s="11" t="str">
        <v>不急</v>
      </c>
      <c r="AM56" s="11"/>
      <c r="AN56" s="50"/>
      <c r="AO56" s="50"/>
    </row>
    <row r="57">
      <c r="A57" s="203"/>
      <c r="B57" s="203" t="str">
        <v>LH 'Hawkeye' Targeting Link</v>
      </c>
      <c r="C57" s="203" t="str">
        <v>“鹰眼”火控链接</v>
      </c>
      <c r="D57" s="203">
        <f>IFERROR(SUBSTITUTE(MID(C57,FIND("“",C57)+1,FIND("”",C57,FIND("“",C57)+1)-FIND("“",C57)-1)," ",""),"")</f>
      </c>
      <c r="E57" s="53" t="str">
        <v>洛克海德</v>
      </c>
      <c r="F57" s="53" t="str">
        <v>副手</v>
      </c>
      <c r="G57" s="213">
        <f>VLOOKUP(F57,'引用数据库'!AL:AN,3,FALSE)</f>
      </c>
      <c r="H57" s="209"/>
      <c r="I57" s="209"/>
      <c r="J57" s="1"/>
      <c r="K57" s="57">
        <v>5</v>
      </c>
      <c r="L57" s="57">
        <v>8</v>
      </c>
      <c r="M57" s="57">
        <v>5</v>
      </c>
      <c r="N57" s="172">
        <f>IF(    SUM(K57:M57)=0,    0,    8 + (        MAX(            0,            MIN(                1,                IF(                    MAX(K57:M57)=0,                    0,                    (3*MAX(K57:M57) - SUM(K57:M57)) / (2*MAX(K57:M57))                )            )        ) * 4    ))</f>
      </c>
      <c r="O57" s="231">
        <f>MAX(K57:M57)</f>
      </c>
      <c r="P57" s="172">
        <f>IF(    MAX(K57:M57) &lt;= 0,    0,    MIN(        24,        MAX(            12,            48 - 3 * MAX(K57:M57)        )    ))</f>
      </c>
      <c r="Q57" s="231">
        <f>SUM(K57:M57)</f>
      </c>
      <c r="R57" s="232">
        <f>IF(Q57/24=0,"",Q57/24)</f>
      </c>
      <c r="S57" s="77"/>
      <c r="T57" s="85" t="str">
        <v>移动速度低于50%时，提升武器技能的有效射程。</v>
      </c>
      <c r="U57" s="85" t="str">
        <v>射程加成：{+25%}</v>
      </c>
      <c r="V57" s="229"/>
      <c r="W57" s="229"/>
      <c r="X57" s="85" t="str">
        <v>洛克海德军用级火控系统下放。“火控”系列义眼能与几乎所有制式武器无缝链接。这款“鹰眼”链接模组，让你的武器技能看得更远，打得更准，正如盘旋于顶的掠食者。</v>
      </c>
      <c r="Y57" s="210"/>
      <c r="Z57" s="210" t="str">
        <v>风暴</v>
      </c>
      <c r="AA57" s="210"/>
      <c r="AB57" s="210"/>
      <c r="AC57" s="210"/>
      <c r="AD57" s="210"/>
      <c r="AE57" s="210" t="str">
        <v>武器技能, 射程, 瞄准</v>
      </c>
      <c r="AF57" s="11" t="str">
        <v>不急</v>
      </c>
      <c r="AG57" s="11" t="str">
        <v>不急</v>
      </c>
      <c r="AH57" s="11" t="str">
        <v>不急</v>
      </c>
      <c r="AI57" s="11"/>
      <c r="AJ57" s="11"/>
      <c r="AK57" s="11" t="str">
        <v>不急</v>
      </c>
      <c r="AL57" s="11" t="str">
        <v>不急</v>
      </c>
      <c r="AM57" s="11"/>
      <c r="AN57" s="50"/>
      <c r="AO57" s="50"/>
    </row>
    <row r="58">
      <c r="A58" s="203"/>
      <c r="B58" s="203" t="str">
        <v>LH 'Skill Hit' Enhancer</v>
      </c>
      <c r="C58" s="203" t="str">
        <v>“技巧打击”增强器</v>
      </c>
      <c r="D58" s="203">
        <f>IFERROR(SUBSTITUTE(MID(C58,FIND("“",C58)+1,FIND("”",C58,FIND("“",C58)+1)-FIND("“",C58)-1)," ",""),"")</f>
      </c>
      <c r="E58" s="53" t="str">
        <v>洛克海德</v>
      </c>
      <c r="F58" s="53" t="str">
        <v>副手</v>
      </c>
      <c r="G58" s="213">
        <f>VLOOKUP(F58,'引用数据库'!AL:AN,3,FALSE)</f>
      </c>
      <c r="H58" s="209"/>
      <c r="I58" s="209"/>
      <c r="J58" s="1"/>
      <c r="K58" s="57">
        <v>4</v>
      </c>
      <c r="L58" s="57">
        <v>9</v>
      </c>
      <c r="M58" s="57">
        <v>5</v>
      </c>
      <c r="N58" s="172">
        <f>IF(    SUM(K58:M58)=0,    0,    8 + (        MAX(            0,            MIN(                1,                IF(                    MAX(K58:M58)=0,                    0,                    (3*MAX(K58:M58) - SUM(K58:M58)) / (2*MAX(K58:M58))                )            )        ) * 4    ))</f>
      </c>
      <c r="O58" s="231">
        <f>MAX(K58:M58)</f>
      </c>
      <c r="P58" s="172">
        <f>IF(    MAX(K58:M58) &lt;= 0,    0,    MIN(        24,        MAX(            12,            48 - 3 * MAX(K58:M58)        )    ))</f>
      </c>
      <c r="Q58" s="231">
        <f>SUM(K58:M58)</f>
      </c>
      <c r="R58" s="232">
        <f>IF(Q58/24=0,"",Q58/24)</f>
      </c>
      <c r="S58" s="77"/>
      <c r="T58" s="85" t="str">
        <v>你的所有武器技能暴击率提升 {10%}。
如果武器技能造成了暴击，则返还该技能 {25%} 的冷却时间。</v>
      </c>
      <c r="U58" s="85" t="str">
        <v>技能暴击率：{+10%}; 
暴击返还冷却：{25%}</v>
      </c>
      <c r="V58" s="229"/>
      <c r="W58" s="229"/>
      <c r="X58" s="85" t="str">
        <v>S.T.O.R.M.系统的火力协调模块。“技巧射击”增强器奖励那些能精准命中弱点的技能使用者，每一次完美的技能暴击都能让你更快地准备下一次。</v>
      </c>
      <c r="Y58" s="210"/>
      <c r="Z58" s="210" t="str">
        <v>私人武装</v>
      </c>
      <c r="AA58" s="210"/>
      <c r="AB58" s="210"/>
      <c r="AC58" s="210"/>
      <c r="AD58" s="210"/>
      <c r="AE58" s="210" t="str">
        <v>武器技能, 暴击率, 冷却</v>
      </c>
      <c r="AF58" s="11" t="str">
        <v>不急</v>
      </c>
      <c r="AG58" s="11" t="str">
        <v>待办</v>
      </c>
      <c r="AH58" s="11" t="str">
        <v>不急</v>
      </c>
      <c r="AI58" s="11"/>
      <c r="AJ58" s="11"/>
      <c r="AK58" s="11" t="str">
        <v>不急</v>
      </c>
      <c r="AL58" s="11" t="str">
        <v>不急</v>
      </c>
      <c r="AM58" s="11"/>
      <c r="AN58" s="50"/>
      <c r="AO58" s="50"/>
    </row>
    <row r="59">
      <c r="A59" s="203"/>
      <c r="B59" s="203" t="str">
        <v>LH 'Precision Strike' Actuator</v>
      </c>
      <c r="C59" s="203" t="str">
        <v>“精准打击”执行器</v>
      </c>
      <c r="D59" s="203">
        <f>IFERROR(SUBSTITUTE(MID(C59,FIND("“",C59)+1,FIND("”",C59,FIND("“",C59)+1)-FIND("“",C59)-1)," ",""),"")</f>
      </c>
      <c r="E59" s="53" t="str">
        <v>洛克海德</v>
      </c>
      <c r="F59" s="53" t="str">
        <v>主手</v>
      </c>
      <c r="G59" s="213">
        <f>VLOOKUP(F59,'引用数据库'!AL:AN,3,FALSE)</f>
      </c>
      <c r="H59" s="209"/>
      <c r="I59" s="209"/>
      <c r="J59" s="1"/>
      <c r="K59" s="57">
        <v>2</v>
      </c>
      <c r="L59" s="57">
        <v>11</v>
      </c>
      <c r="M59" s="57">
        <v>5</v>
      </c>
      <c r="N59" s="172">
        <f>IF(    SUM(K59:M59)=0,    0,    8 + (        MAX(            0,            MIN(                1,                IF(                    MAX(K59:M59)=0,                    0,                    (3*MAX(K59:M59) - SUM(K59:M59)) / (2*MAX(K59:M59))                )            )        ) * 4    ))</f>
      </c>
      <c r="O59" s="231">
        <f>MAX(K59:M59)</f>
      </c>
      <c r="P59" s="172">
        <f>IF(    MAX(K59:M59) &lt;= 0,    0,    MIN(        24,        MAX(            12,            48 - 3 * MAX(K59:M59)        )    ))</f>
      </c>
      <c r="Q59" s="231">
        <f>SUM(K59:M59)</f>
      </c>
      <c r="R59" s="232">
        <f>IF(Q59/24=0,"",Q59/24)</f>
      </c>
      <c r="S59" s="77"/>
      <c r="T59" s="85" t="str">
        <v>普通攻击命中时，对目标施加{1}层“易伤”效果，并造成额外伤害。</v>
      </c>
      <c r="U59" s="85" t="str">
        <v>额外伤害：{武器伤害 x 20%}; 
易伤层数：{1};</v>
      </c>
      <c r="V59" s="229"/>
      <c r="W59" s="229"/>
      <c r="X59" s="85" t="str">
        <v>洛克海德的精准射击辅助系统。“精确”系列的主手组件。它优化了武器的命中反馈，能在瞬间标记出敌人的弱点，为后续的暴击做铺垫。</v>
      </c>
      <c r="Y59" s="210"/>
      <c r="Z59" s="210" t="str">
        <v>私人武装</v>
      </c>
      <c r="AA59" s="210"/>
      <c r="AB59" s="210"/>
      <c r="AC59" s="210"/>
      <c r="AD59" s="210"/>
      <c r="AE59" s="210" t="str">
        <v>普攻强化, 暴击增伤, 易伤</v>
      </c>
      <c r="AF59" s="11" t="str">
        <v>不急</v>
      </c>
      <c r="AG59" s="11" t="str">
        <v>待办</v>
      </c>
      <c r="AH59" s="11" t="str">
        <v>待办</v>
      </c>
      <c r="AI59" s="11"/>
      <c r="AJ59" s="11"/>
      <c r="AK59" s="11" t="str">
        <v>不急</v>
      </c>
      <c r="AL59" s="11" t="str">
        <v>不急</v>
      </c>
      <c r="AM59" s="11"/>
      <c r="AN59" s="50"/>
      <c r="AO59" s="50"/>
    </row>
    <row r="60">
      <c r="A60" s="203"/>
      <c r="B60" s="203" t="str">
        <v>LH 'Phantom Hand' Module</v>
      </c>
      <c r="C60" s="203" t="str">
        <v>“幽影之手”模块</v>
      </c>
      <c r="D60" s="203">
        <f>IFERROR(SUBSTITUTE(MID(C60,FIND("“",C60)+1,FIND("”",C60,FIND("“",C60)+1)-FIND("“",C60)-1)," ",""),"")</f>
      </c>
      <c r="E60" s="53" t="str">
        <v>洛克海德</v>
      </c>
      <c r="F60" s="53" t="str">
        <v>副手</v>
      </c>
      <c r="G60" s="213">
        <f>VLOOKUP(F60,'引用数据库'!AL:AN,3,FALSE)</f>
      </c>
      <c r="H60" s="209"/>
      <c r="I60" s="209"/>
      <c r="J60" s="1"/>
      <c r="K60" s="57">
        <v>3</v>
      </c>
      <c r="L60" s="57">
        <v>10</v>
      </c>
      <c r="M60" s="57">
        <v>5</v>
      </c>
      <c r="N60" s="172">
        <f>IF(    SUM(K60:M60)=0,    0,    8 + (        MAX(            0,            MIN(                1,                IF(                    MAX(K60:M60)=0,                    0,                    (3*MAX(K60:M60) - SUM(K60:M60)) / (2*MAX(K60:M60))                )            )        ) * 4    ))</f>
      </c>
      <c r="O60" s="231">
        <f>MAX(K60:M60)</f>
      </c>
      <c r="P60" s="172">
        <f>IF(    MAX(K60:M60) &lt;= 0,    0,    MIN(        24,        MAX(            12,            48 - 3 * MAX(K60:M60)        )    ))</f>
      </c>
      <c r="Q60" s="231">
        <f>SUM(K60:M60)</f>
      </c>
      <c r="R60" s="232">
        <f>IF(Q60/24=0,"",Q60/24)</f>
      </c>
      <c r="S60" s="77"/>
      <c r="T60" s="85" t="str">
        <v>武器技能命中时，对目标施加{1}层“易伤”效果，并造成额外伤害。</v>
      </c>
      <c r="U60" s="85" t="str" xml:space="preserve">
        <v>额外伤害：{武器技能伤害 x 20%}; 
易伤层数：{1}; </v>
      </c>
      <c r="V60" s="229"/>
      <c r="W60" s="229"/>
      <c r="X60" s="85" t="str">
        <v>“精确”系列的武器技能模块。“幽影之手”能将技能的能量转化为标记信号，即使是范围攻击也能精准地为每个受害者打上易伤标记。</v>
      </c>
      <c r="Y60" s="210"/>
      <c r="Z60" s="210" t="str">
        <v>私人武装</v>
      </c>
      <c r="AA60" s="210"/>
      <c r="AB60" s="210"/>
      <c r="AC60" s="210"/>
      <c r="AD60" s="210"/>
      <c r="AE60" s="210" t="str">
        <v>武器技能, 暴击增伤, 易伤</v>
      </c>
      <c r="AF60" s="11" t="str">
        <v>不急</v>
      </c>
      <c r="AG60" s="11" t="str">
        <v>待办</v>
      </c>
      <c r="AH60" s="11" t="str">
        <v>待办</v>
      </c>
      <c r="AI60" s="11"/>
      <c r="AJ60" s="11"/>
      <c r="AK60" s="11" t="str">
        <v>不急</v>
      </c>
      <c r="AL60" s="11" t="str">
        <v>不急</v>
      </c>
      <c r="AM60" s="11"/>
      <c r="AN60" s="50"/>
      <c r="AO60" s="50"/>
    </row>
    <row r="61">
      <c r="A61" s="203"/>
      <c r="B61" s="203" t="str">
        <v>LH 'Heat Sink' Frame</v>
      </c>
      <c r="C61" s="203" t="str">
        <v>“散热”骨架</v>
      </c>
      <c r="D61" s="203">
        <f>IFERROR(SUBSTITUTE(MID(C61,FIND("“",C61)+1,FIND("”",C61,FIND("“",C61)+1)-FIND("“",C61)-1)," ",""),"")</f>
      </c>
      <c r="E61" s="53" t="str">
        <v>洛克海德</v>
      </c>
      <c r="F61" s="53" t="str">
        <v>骨骼</v>
      </c>
      <c r="G61" s="213">
        <f>VLOOKUP(F61,'引用数据库'!AL:AN,3,FALSE)</f>
      </c>
      <c r="H61" s="209"/>
      <c r="I61" s="209"/>
      <c r="J61" s="1"/>
      <c r="K61" s="57">
        <v>6</v>
      </c>
      <c r="L61" s="57">
        <v>6</v>
      </c>
      <c r="M61" s="57">
        <v>6</v>
      </c>
      <c r="N61" s="172">
        <f>IF(    SUM(K61:M61)=0,    0,    8 + (        MAX(            0,            MIN(                1,                IF(                    MAX(K61:M61)=0,                    0,                    (3*MAX(K61:M61) - SUM(K61:M61)) / (2*MAX(K61:M61))                )            )        ) * 4    ))</f>
      </c>
      <c r="O61" s="231">
        <f>MAX(K61:M61)</f>
      </c>
      <c r="P61" s="172">
        <f>IF(    MAX(K61:M61) &lt;= 0,    0,    MIN(        24,        MAX(            12,            48 - 3 * MAX(K61:M61)        )    ))</f>
      </c>
      <c r="Q61" s="231">
        <f>SUM(K61:M61)</f>
      </c>
      <c r="R61" s="232">
        <f>IF(Q61/24=0,"",Q61/24)</f>
      </c>
      <c r="S61" s="77"/>
      <c r="T61" s="85" t="str">
        <v>受到热能伤害时，有概率恢复护甲值。</v>
      </c>
      <c r="U61" s="85" t="str">
        <v>概率：{+50%};
恢复量: {10}</v>
      </c>
      <c r="V61" s="229"/>
      <c r="W61" s="229"/>
      <c r="X61" s="85" t="str">
        <v>洛克海德为在极端高温环境下作战单位设计的骨架。“散热”骨架能有效隔绝和导出热量，让你在烈焰中保持冷静，同时强化你自身的火焰攻击效果。</v>
      </c>
      <c r="Y61" s="210"/>
      <c r="Z61" s="210" t="str">
        <v>私人武装</v>
      </c>
      <c r="AA61" s="210"/>
      <c r="AB61" s="210"/>
      <c r="AC61" s="210"/>
      <c r="AD61" s="210"/>
      <c r="AE61" s="210" t="str">
        <v>生存, 火焰抗性, 灼烧强化</v>
      </c>
      <c r="AF61" s="11" t="str">
        <v>待办</v>
      </c>
      <c r="AG61" s="11" t="str">
        <v>不急</v>
      </c>
      <c r="AH61" s="11" t="str">
        <v>不急</v>
      </c>
      <c r="AI61" s="11"/>
      <c r="AJ61" s="11"/>
      <c r="AK61" s="11" t="str">
        <v>不急</v>
      </c>
      <c r="AL61" s="11" t="str">
        <v>不急</v>
      </c>
      <c r="AM61" s="11"/>
      <c r="AN61" s="50"/>
      <c r="AO61" s="50"/>
    </row>
    <row r="62">
      <c r="A62" s="203"/>
      <c r="B62" s="203" t="str">
        <v>LH 'Deadeye' Precision Lens</v>
      </c>
      <c r="C62" s="203" t="str">
        <v>“死眼”精密透镜</v>
      </c>
      <c r="D62" s="203">
        <f>IFERROR(SUBSTITUTE(MID(C62,FIND("“",C62)+1,FIND("”",C62,FIND("“",C62)+1)-FIND("“",C62)-1)," ",""),"")</f>
      </c>
      <c r="E62" s="53" t="str">
        <v>洛克海德</v>
      </c>
      <c r="F62" s="53" t="str">
        <v>主手</v>
      </c>
      <c r="G62" s="213">
        <f>VLOOKUP(F62,'引用数据库'!AL:AN,3,FALSE)</f>
      </c>
      <c r="H62" s="209"/>
      <c r="I62" s="209"/>
      <c r="J62" s="1"/>
      <c r="K62" s="57">
        <v>3</v>
      </c>
      <c r="L62" s="57">
        <v>10</v>
      </c>
      <c r="M62" s="57">
        <v>5</v>
      </c>
      <c r="N62" s="172">
        <f>IF(    SUM(K62:M62)=0,    0,    8 + (        MAX(            0,            MIN(                1,                IF(                    MAX(K62:M62)=0,                    0,                    (3*MAX(K62:M62) - SUM(K62:M62)) / (2*MAX(K62:M62))                )            )        ) * 4    ))</f>
      </c>
      <c r="O62" s="231">
        <f>MAX(K62:M62)</f>
      </c>
      <c r="P62" s="172">
        <f>IF(    MAX(K62:M62) &lt;= 0,    0,    MIN(        24,        MAX(            12,            48 - 3 * MAX(K62:M62)        )    ))</f>
      </c>
      <c r="Q62" s="231">
        <f>SUM(K62:M62)</f>
      </c>
      <c r="R62" s="232">
        <f>IF(Q62/24=0,"",Q62/24)</f>
      </c>
      <c r="S62" s="77"/>
      <c r="T62" s="85" t="str">
        <v>普通攻击的有效射程增加，距离敌人越远，普通攻击造成的伤害越高。</v>
      </c>
      <c r="U62" s="85" t="str">
        <v>有效射程加成：{+20%}; 
伤害加成：{伤害距离 x 0.1%}</v>
      </c>
      <c r="V62" s="229"/>
      <c r="W62" s="229"/>
      <c r="X62" s="85" t="str">
        <v>洛克海德狙击手训练系统的核心部件。“神射手之眼”接口将你的视觉神经与火控系统完美结合，让你看得更远，打得更痛。</v>
      </c>
      <c r="Y62" s="210"/>
      <c r="Z62" s="210" t="str">
        <v>风暴</v>
      </c>
      <c r="AA62" s="210"/>
      <c r="AB62" s="210"/>
      <c r="AC62" s="210"/>
      <c r="AD62" s="210"/>
      <c r="AE62" s="210" t="str">
        <v>普攻强化, 射程, 距离增伤</v>
      </c>
      <c r="AF62" s="11" t="str">
        <v>不急</v>
      </c>
      <c r="AG62" s="11" t="str">
        <v>待办</v>
      </c>
      <c r="AH62" s="11" t="str">
        <v>不急</v>
      </c>
      <c r="AI62" s="11"/>
      <c r="AJ62" s="11"/>
      <c r="AK62" s="11" t="str">
        <v>不急</v>
      </c>
      <c r="AL62" s="11" t="str">
        <v>不急</v>
      </c>
      <c r="AM62" s="11"/>
      <c r="AN62" s="50"/>
      <c r="AO62" s="50"/>
    </row>
    <row r="63">
      <c r="A63" s="203">
        <f>"ID"&amp;"_"&amp;IF(F63="行为芯片","CHP","CYB")&amp;"_"&amp;IFERROR(SUBSTITUTE(MID(B63,FIND("'",B63)+1,FIND("'",B63,FIND("'",B63)+1)-FIND("'",B63)-1)," ",""),"")&amp;"_1"</f>
      </c>
      <c r="B63" s="203" t="str">
        <v>LH 'Quality Gap' Modulator</v>
      </c>
      <c r="C63" s="203" t="str">
        <v>超凡脱俗</v>
      </c>
      <c r="D63" s="203">
        <f>IFERROR(SUBSTITUTE(MID(C63,FIND("“",C63)+1,FIND("”",C63,FIND("“",C63)+1)-FIND("“",C63)-1)," ",""),"")</f>
      </c>
      <c r="E63" s="53" t="str">
        <v>洛克海德</v>
      </c>
      <c r="F63" s="53" t="str">
        <v>行为芯片</v>
      </c>
      <c r="G63" s="213">
        <f>VLOOKUP(F63,'引用数据库'!AL:AN,3,FALSE)</f>
      </c>
      <c r="H63" s="230">
        <f>IF($B63="","","SKL"&amp;"02"&amp;G63&amp;VLOOKUP(F63,'引用数据库'!AL:AN,3,FALSE)&amp;BASE(CODE(MID($B63,5,1))*1+CODE(MID($B63,6,1))*2+CODE(MID($B63,7,1))*3,36,2))</f>
      </c>
      <c r="I63" s="72">
        <f>IF($B63="","","CYB"&amp;VLOOKUP(E63,'引用数据库'!Z:AC,4,FALSE)&amp;VLOOKUP(F63,'引用数据库'!AL:AN,3,FALSE)&amp;VLOOKUP(Z63,'引用数据库'!AF:AG,2,FALSE)&amp;BASE(CODE(MID($B63,5,1))*1+CODE(MID($B63,6,1))*2+CODE(MID($B63,7,1))*3,36,2))</f>
      </c>
      <c r="J63" s="1"/>
      <c r="K63" s="57">
        <v>0</v>
      </c>
      <c r="L63" s="57">
        <v>0</v>
      </c>
      <c r="M63" s="57">
        <v>0</v>
      </c>
      <c r="N63" s="172">
        <f>IF(    SUM(K63:M63)=0,    0,    8 + (        MAX(            0,            MIN(                1,                IF(                    MAX(K63:M63)=0,                    0,                    (3*MAX(K63:M63) - SUM(K63:M63)) / (2*MAX(K63:M63))                )            )        ) * 4    ))</f>
      </c>
      <c r="O63" s="231">
        <f>MAX(K63:M63)</f>
      </c>
      <c r="P63" s="172">
        <f>IF(    MAX(K63:M63) &lt;= 0,    0,    MIN(        24,        MAX(            12,            48 - 3 * MAX(K63:M63)        )    ))</f>
      </c>
      <c r="Q63" s="231">
        <f>SUM(K63:M63)</f>
      </c>
      <c r="R63" s="232">
        <f>IF(Q63/24=0,"",Q63/24)</f>
      </c>
      <c r="S63" s="77"/>
      <c r="T63" s="85" t="str">
        <v>根据你最高、最低品质的武器品质差，造成额外或更少伤害。</v>
      </c>
      <c r="U63" s="85" t="str">
        <v>品质差 (0/1/2/3/4+)：伤害倍率 {200% / 160% / 130% / 100% / 70%}</v>
      </c>
      <c r="V63" s="85"/>
      <c r="W63" s="229"/>
      <c r="X63" s="85" t="str">
        <v>一种奇特的调谐芯片，让你的火力输出与装备的“均衡性”挂钩，要么专精，要么平庸。</v>
      </c>
      <c r="Y63" s="207"/>
      <c r="Z63" s="207" t="str">
        <v>私人武装</v>
      </c>
      <c r="AA63" s="207"/>
      <c r="AB63" s="207"/>
      <c r="AC63" s="207"/>
      <c r="AD63" s="207"/>
      <c r="AE63" s="207" t="str">
        <v>增益</v>
      </c>
      <c r="AF63" s="11" t="str">
        <v>待办</v>
      </c>
      <c r="AG63" s="11" t="str">
        <v>待办</v>
      </c>
      <c r="AH63" s="11" t="str">
        <v>待办</v>
      </c>
      <c r="AI63" s="11"/>
      <c r="AJ63" s="11" t="str">
        <v>v0.0.5</v>
      </c>
      <c r="AK63" s="11" t="str">
        <v>在做</v>
      </c>
      <c r="AL63" s="11" t="str">
        <v>在做</v>
      </c>
      <c r="AM63" s="11"/>
      <c r="AN63" s="50"/>
      <c r="AO63" s="50" t="str">
        <v>@阿之</v>
      </c>
    </row>
    <row r="64">
      <c r="A64" s="203"/>
      <c r="B64" s="203" t="str">
        <v>LH 'Might' Amplifier Chip</v>
      </c>
      <c r="C64" s="203" t="str">
        <v>“蛮力”增幅芯片</v>
      </c>
      <c r="D64" s="203">
        <f>IFERROR(SUBSTITUTE(MID(C64,FIND("“",C64)+1,FIND("”",C64,FIND("“",C64)+1)-FIND("“",C64)-1)," ",""),"")</f>
      </c>
      <c r="E64" s="53" t="str">
        <v>洛克海德</v>
      </c>
      <c r="F64" s="53" t="str">
        <v>行为芯片</v>
      </c>
      <c r="G64" s="213">
        <f>VLOOKUP(F64,'引用数据库'!AL:AN,3,FALSE)</f>
      </c>
      <c r="H64" s="209"/>
      <c r="I64" s="209"/>
      <c r="J64" s="1"/>
      <c r="K64" s="57">
        <v>0</v>
      </c>
      <c r="L64" s="57">
        <v>0</v>
      </c>
      <c r="M64" s="57">
        <v>0</v>
      </c>
      <c r="N64" s="172">
        <f>IF(    SUM(K64:M64)=0,    0,    8 + (        MAX(            0,            MIN(                1,                IF(                    MAX(K64:M64)=0,                    0,                    (3*MAX(K64:M64) - SUM(K64:M64)) / (2*MAX(K64:M64))                )            )        ) * 4    ))</f>
      </c>
      <c r="O64" s="231">
        <f>MAX(K64:M64)</f>
      </c>
      <c r="P64" s="172">
        <f>IF(    MAX(K64:M64) &lt;= 0,    0,    MIN(        24,        MAX(            12,            48 - 3 * MAX(K64:M64)        )    ))</f>
      </c>
      <c r="Q64" s="231">
        <f>SUM(K64:M64)</f>
      </c>
      <c r="R64" s="232">
        <f>IF(Q64/24=0,"",Q64/24)</f>
      </c>
      <c r="S64" s="77"/>
      <c r="T64" s="85" t="str">
        <v>基于你的力量属性，提升近战普通攻击伤害。</v>
      </c>
      <c r="U64" s="85" t="str">
        <v>近战普攻伤害加成：{力量 x 1.5}%</v>
      </c>
      <c r="V64" s="229"/>
      <c r="W64" s="229"/>
      <c r="X64" s="85" t="str">
        <v>洛克海德为外骨骼系统设计的力量增幅算法芯片化。“蛮力”增幅芯片让你能更有效地将自身力量转化为近战杀伤力。</v>
      </c>
      <c r="Y64" s="207"/>
      <c r="Z64" s="207" t="str">
        <v>私人武装</v>
      </c>
      <c r="AA64" s="207"/>
      <c r="AB64" s="207"/>
      <c r="AC64" s="207"/>
      <c r="AD64" s="207"/>
      <c r="AE64" s="207" t="str">
        <v>力量关联, 普攻强化, 近战</v>
      </c>
      <c r="AF64" s="11" t="str">
        <v>不急</v>
      </c>
      <c r="AG64" s="11" t="str">
        <v>待办</v>
      </c>
      <c r="AH64" s="11" t="str">
        <v>不急</v>
      </c>
      <c r="AI64" s="11"/>
      <c r="AJ64" s="11"/>
      <c r="AK64" s="11" t="str">
        <v>不急</v>
      </c>
      <c r="AL64" s="11" t="str">
        <v>不急</v>
      </c>
      <c r="AM64" s="11"/>
      <c r="AN64" s="50"/>
      <c r="AO64" s="50"/>
    </row>
    <row r="65">
      <c r="A65" s="203"/>
      <c r="B65" s="203" t="str">
        <v>LH AmmoUp' Tactical Chip</v>
      </c>
      <c r="C65" s="203" t="str">
        <v>“弹量+”战术芯片</v>
      </c>
      <c r="D65" s="203">
        <f>IFERROR(SUBSTITUTE(MID(C65,FIND("“",C65)+1,FIND("”",C65,FIND("“",C65)+1)-FIND("“",C65)-1)," ",""),"")</f>
      </c>
      <c r="E65" s="53" t="str">
        <v>洛克海德</v>
      </c>
      <c r="F65" s="53" t="str">
        <v>行为芯片</v>
      </c>
      <c r="G65" s="213">
        <f>VLOOKUP(F65,'引用数据库'!AL:AN,3,FALSE)</f>
      </c>
      <c r="H65" s="209"/>
      <c r="I65" s="209"/>
      <c r="J65" s="1"/>
      <c r="K65" s="57">
        <v>0</v>
      </c>
      <c r="L65" s="57">
        <v>0</v>
      </c>
      <c r="M65" s="57">
        <v>0</v>
      </c>
      <c r="N65" s="172">
        <f>IF(    SUM(K65:M65)=0,    0,    8 + (        MAX(            0,            MIN(                1,                IF(                    MAX(K65:M65)=0,                    0,                    (3*MAX(K65:M65) - SUM(K65:M65)) / (2*MAX(K65:M65))                )            )        ) * 4    ))</f>
      </c>
      <c r="O65" s="231">
        <f>MAX(K65:M65)</f>
      </c>
      <c r="P65" s="172">
        <f>IF(    MAX(K65:M65) &lt;= 0,    0,    MIN(        24,        MAX(            12,            48 - 3 * MAX(K65:M65)        )    ))</f>
      </c>
      <c r="Q65" s="231">
        <f>SUM(K65:M65)</f>
      </c>
      <c r="R65" s="232">
        <f>IF(Q65/24=0,"",Q65/24)</f>
      </c>
      <c r="S65" s="77"/>
      <c r="T65" s="85" t="str">
        <v>弹夹内剩余子弹量越多，普通攻击伤害越高。</v>
      </c>
      <c r="U65" s="85" t="str">
        <v>远程普通攻击伤害加成：{+1 x 弹夹内剩余弹量%}</v>
      </c>
      <c r="V65" s="229"/>
      <c r="W65" s="229"/>
      <c r="X65" s="85" t="str">
        <v>洛克海德军需部门出品的标准强化芯片。“弹量+”芯片通过优化供弹和能量输出，简单直接地提升火力。</v>
      </c>
      <c r="Y65" s="210"/>
      <c r="Z65" s="210" t="str">
        <v>私人武装</v>
      </c>
      <c r="AA65" s="210"/>
      <c r="AB65" s="210"/>
      <c r="AC65" s="210"/>
      <c r="AD65" s="210"/>
      <c r="AE65" s="210" t="str">
        <v>普攻强化, 弹药</v>
      </c>
      <c r="AF65" s="11" t="str">
        <v>不急</v>
      </c>
      <c r="AG65" s="11" t="str">
        <v>不急</v>
      </c>
      <c r="AH65" s="11" t="str">
        <v>不急</v>
      </c>
      <c r="AI65" s="11"/>
      <c r="AJ65" s="11"/>
      <c r="AK65" s="11" t="str">
        <v>不急</v>
      </c>
      <c r="AL65" s="11" t="str">
        <v>不急</v>
      </c>
      <c r="AM65" s="11"/>
      <c r="AN65" s="50"/>
      <c r="AO65" s="50"/>
    </row>
    <row r="66">
      <c r="A66" s="203"/>
      <c r="B66" s="203" t="str">
        <v>LH ArmorBane' Rounds Chip</v>
      </c>
      <c r="C66" s="203" t="str">
        <v>“破敌”穿甲芯片</v>
      </c>
      <c r="D66" s="203">
        <f>IFERROR(SUBSTITUTE(MID(C66,FIND("“",C66)+1,FIND("”",C66,FIND("“",C66)+1)-FIND("“",C66)-1)," ",""),"")</f>
      </c>
      <c r="E66" s="53" t="str">
        <v>洛克海德</v>
      </c>
      <c r="F66" s="53" t="str">
        <v>行为芯片</v>
      </c>
      <c r="G66" s="213">
        <f>VLOOKUP(F66,'引用数据库'!AL:AN,3,FALSE)</f>
      </c>
      <c r="H66" s="209"/>
      <c r="I66" s="209"/>
      <c r="J66" s="1"/>
      <c r="K66" s="57">
        <v>0</v>
      </c>
      <c r="L66" s="57">
        <v>0</v>
      </c>
      <c r="M66" s="57">
        <v>0</v>
      </c>
      <c r="N66" s="172">
        <f>IF(    SUM(K66:M66)=0,    0,    8 + (        MAX(            0,            MIN(                1,                IF(                    MAX(K66:M66)=0,                    0,                    (3*MAX(K66:M66) - SUM(K66:M66)) / (2*MAX(K66:M66))                )            )        ) * 4    ))</f>
      </c>
      <c r="O66" s="231">
        <f>MAX(K66:M66)</f>
      </c>
      <c r="P66" s="172">
        <f>IF(    MAX(K66:M66) &lt;= 0,    0,    MIN(        24,        MAX(            12,            48 - 3 * MAX(K66:M66)        )    ))</f>
      </c>
      <c r="Q66" s="231">
        <f>SUM(K66:M66)</f>
      </c>
      <c r="R66" s="232">
        <f>IF(Q66/24=0,"",Q66/24)</f>
      </c>
      <c r="S66" s="77"/>
      <c r="T66" s="85" t="str">
        <v>普通攻击有几率对目标施加“破甲”效果。</v>
      </c>
      <c r="U66" s="85" t="str" xml:space="preserve">
        <v>触发几率：{15%}; </v>
      </c>
      <c r="V66" s="229"/>
      <c r="W66" s="229"/>
      <c r="X66" s="85" t="str">
        <v>军用科技下放。“破敌”芯片为你的子弹附加了特殊侵彻效果，撕开敌人的铁皮罐头。</v>
      </c>
      <c r="Y66" s="210"/>
      <c r="Z66" s="210" t="str">
        <v>私人武装</v>
      </c>
      <c r="AA66" s="210"/>
      <c r="AB66" s="210"/>
      <c r="AC66" s="210"/>
      <c r="AD66" s="210"/>
      <c r="AE66" s="210" t="str">
        <v>普攻强化, 破甲, 减益</v>
      </c>
      <c r="AF66" s="11" t="str">
        <v>不急</v>
      </c>
      <c r="AG66" s="11" t="str">
        <v>不急</v>
      </c>
      <c r="AH66" s="11" t="str">
        <v>不急</v>
      </c>
      <c r="AI66" s="11"/>
      <c r="AJ66" s="11"/>
      <c r="AK66" s="11" t="str">
        <v>不急</v>
      </c>
      <c r="AL66" s="11" t="str">
        <v>不急</v>
      </c>
      <c r="AM66" s="11"/>
      <c r="AN66" s="50"/>
      <c r="AO66" s="50"/>
    </row>
    <row r="67">
      <c r="A67" s="203"/>
      <c r="B67" s="203" t="str">
        <v>LH 'Steady Aim' Frame V2</v>
      </c>
      <c r="C67" s="203" t="str">
        <v>“稳定瞄准”骨架 V2</v>
      </c>
      <c r="D67" s="203">
        <f>IFERROR(SUBSTITUTE(MID(C67,FIND("“",C67)+1,FIND("”",C67,FIND("“",C67)+1)-FIND("“",C67)-1)," ",""),"")</f>
      </c>
      <c r="E67" s="53" t="str">
        <v>洛克海德</v>
      </c>
      <c r="F67" s="53" t="str">
        <v>骨骼</v>
      </c>
      <c r="G67" s="213">
        <f>VLOOKUP(F67,'引用数据库'!AL:AN,3,FALSE)</f>
      </c>
      <c r="H67" s="209"/>
      <c r="I67" s="209"/>
      <c r="J67" s="1"/>
      <c r="K67" s="57">
        <v>7</v>
      </c>
      <c r="L67" s="57">
        <v>8</v>
      </c>
      <c r="M67" s="57">
        <v>3</v>
      </c>
      <c r="N67" s="172">
        <f>IF(    SUM(K67:M67)=0,    0,    8 + (        MAX(            0,            MIN(                1,                IF(                    MAX(K67:M67)=0,                    0,                    (3*MAX(K67:M67) - SUM(K67:M67)) / (2*MAX(K67:M67))                )            )        ) * 4    ))</f>
      </c>
      <c r="O67" s="231">
        <f>MAX(K67:M67)</f>
      </c>
      <c r="P67" s="172">
        <f>IF(    MAX(K67:M67) &lt;= 0,    0,    MIN(        24,        MAX(            12,            48 - 3 * MAX(K67:M67)        )    ))</f>
      </c>
      <c r="Q67" s="231">
        <f>SUM(K67:M67)</f>
      </c>
      <c r="R67" s="232">
        <f>IF(Q67/24=0,"",Q67/24)</f>
      </c>
      <c r="S67" s="77"/>
      <c r="T67" s="85" t="str">
        <v>基于你的护甲值，降低移动中远程普通攻击的散射范围。</v>
      </c>
      <c r="U67" s="85" t="str">
        <v>移动散射乘数降低：{-(0.01 x 护甲值}，不低于1</v>
      </c>
      <c r="V67" s="229"/>
      <c r="W67" s="229"/>
      <c r="X67" s="85" t="str">
        <v>洛克海德的枪械稳定技术的改进版。“稳定瞄准”骨架内置了更先进的惯性补偿系统，让你即使在移动中也能保持相当高的射击精度。</v>
      </c>
      <c r="Y67" s="210"/>
      <c r="Z67" s="210" t="str">
        <v>重装</v>
      </c>
      <c r="AA67" s="210"/>
      <c r="AB67" s="210"/>
      <c r="AC67" s="210"/>
      <c r="AD67" s="210"/>
      <c r="AE67" s="210" t="str">
        <v>普攻强化, 稳定性, 精准</v>
      </c>
      <c r="AF67" s="11" t="str">
        <v>不急</v>
      </c>
      <c r="AG67" s="11" t="str">
        <v>不急</v>
      </c>
      <c r="AH67" s="11" t="str">
        <v>不急</v>
      </c>
      <c r="AI67" s="11"/>
      <c r="AJ67" s="11"/>
      <c r="AK67" s="11" t="str">
        <v>不急</v>
      </c>
      <c r="AL67" s="11" t="str">
        <v>不急</v>
      </c>
      <c r="AM67" s="11"/>
      <c r="AN67" s="50"/>
      <c r="AO67" s="50"/>
    </row>
    <row r="68">
      <c r="A68" s="203"/>
      <c r="B68" s="203" t="str">
        <v>RI 'Cascade Overload' Chip</v>
      </c>
      <c r="C68" s="203" t="str">
        <v>深层麻痹</v>
      </c>
      <c r="D68" s="203">
        <f>IFERROR(SUBSTITUTE(MID(C68,FIND("“",C68)+1,FIND("”",C68,FIND("“",C68)+1)-FIND("“",C68)-1)," ",""),"")</f>
      </c>
      <c r="E68" s="53" t="str">
        <v>律动智能</v>
      </c>
      <c r="F68" s="53" t="str">
        <v>行为芯片</v>
      </c>
      <c r="G68" s="213">
        <f>VLOOKUP(F68,'引用数据库'!AL:AN,3,FALSE)</f>
      </c>
      <c r="H68" s="209"/>
      <c r="I68" s="209"/>
      <c r="J68" s="1"/>
      <c r="K68" s="57">
        <v>0</v>
      </c>
      <c r="L68" s="57">
        <v>0</v>
      </c>
      <c r="M68" s="57">
        <v>0</v>
      </c>
      <c r="N68" s="172">
        <f>IF(    SUM(K68:M68)=0,    0,    8 + (        MAX(            0,            MIN(                1,                IF(                    MAX(K68:M68)=0,                    0,                    (3*MAX(K68:M68) - SUM(K68:M68)) / (2*MAX(K68:M68))                )            )        ) * 4    ))</f>
      </c>
      <c r="O68" s="231">
        <f>MAX(K68:M68)</f>
      </c>
      <c r="P68" s="172">
        <f>IF(    MAX(K68:M68) &lt;= 0,    0,    MIN(        24,        MAX(            12,            48 - 3 * MAX(K68:M68)        )    ))</f>
      </c>
      <c r="Q68" s="231">
        <f>SUM(K68:M68)</f>
      </c>
      <c r="R68" s="232">
        <f>IF(Q68/24=0,"",Q68/24)</f>
      </c>
      <c r="S68" s="77"/>
      <c r="T68" s="85" t="str">
        <v>你对敌人施加“麻痹”状态时，有{25%}概率施加{3}层。</v>
      </c>
      <c r="U68" s="85" t="str">
        <v>触发概率 {25%};</v>
      </c>
      <c r="V68" s="229"/>
      <c r="W68" s="229"/>
      <c r="X68" s="85" t="str">
        <v>律动智能的高阶电磁干扰技术，通过引发连锁过载反应，瞬间加剧目标的麻痹程度。</v>
      </c>
      <c r="Y68" s="210"/>
      <c r="Z68" s="210" t="str">
        <v>---</v>
      </c>
      <c r="AA68" s="210"/>
      <c r="AB68" s="210"/>
      <c r="AC68" s="210"/>
      <c r="AD68" s="210"/>
      <c r="AE68" s="210" t="str">
        <v>控制强化, 麻痹, 减益</v>
      </c>
      <c r="AF68" s="11" t="str">
        <v>待办</v>
      </c>
      <c r="AG68" s="11" t="str">
        <v>不急</v>
      </c>
      <c r="AH68" s="11" t="str">
        <v>不急</v>
      </c>
      <c r="AI68" s="11"/>
      <c r="AJ68" s="11"/>
      <c r="AK68" s="11" t="str">
        <v>不急</v>
      </c>
      <c r="AL68" s="11" t="str">
        <v>不急</v>
      </c>
      <c r="AM68" s="11"/>
      <c r="AN68" s="50"/>
      <c r="AO68" s="50"/>
    </row>
    <row r="69">
      <c r="A69" s="203"/>
      <c r="B69" s="203" t="str">
        <v>RI 'Energy Diffusion' Link</v>
      </c>
      <c r="C69" s="203" t="str">
        <v>能量扩散</v>
      </c>
      <c r="D69" s="203">
        <f>IFERROR(SUBSTITUTE(MID(C69,FIND("“",C69)+1,FIND("”",C69,FIND("“",C69)+1)-FIND("“",C69)-1)," ",""),"")</f>
      </c>
      <c r="E69" s="53" t="str">
        <v>律动智能</v>
      </c>
      <c r="F69" s="53" t="str">
        <v>行为芯片</v>
      </c>
      <c r="G69" s="213">
        <f>VLOOKUP(F69,'引用数据库'!AL:AN,3,FALSE)</f>
      </c>
      <c r="H69" s="209"/>
      <c r="I69" s="209"/>
      <c r="J69" s="1"/>
      <c r="K69" s="57">
        <v>0</v>
      </c>
      <c r="L69" s="57">
        <v>0</v>
      </c>
      <c r="M69" s="57">
        <v>0</v>
      </c>
      <c r="N69" s="172">
        <f>IF(    SUM(K69:M69)=0,    0,    8 + (        MAX(            0,            MIN(                1,                IF(                    MAX(K69:M69)=0,                    0,                    (3*MAX(K69:M69) - SUM(K69:M69)) / (2*MAX(K69:M69))                )            )        ) * 4    ))</f>
      </c>
      <c r="O69" s="231">
        <f>MAX(K69:M69)</f>
      </c>
      <c r="P69" s="172">
        <f>IF(    MAX(K69:M69) &lt;= 0,    0,    MIN(        24,        MAX(            12,            48 - 3 * MAX(K69:M69)        )    ))</f>
      </c>
      <c r="Q69" s="231">
        <f>SUM(K69:M69)</f>
      </c>
      <c r="R69" s="232">
        <f>IF(Q69/24=0,"",Q69/24)</f>
      </c>
      <c r="S69" s="77"/>
      <c r="T69" s="85" t="str">
        <v>你施加的麻痹效果有{15%}几率连锁到附近一个额外敌人。</v>
      </c>
      <c r="U69" s="85" t="str" xml:space="preserve">
        <v>连锁几率：{15%}; 
连锁范围：{4m}; </v>
      </c>
      <c r="V69" s="229"/>
      <c r="W69" s="229"/>
      <c r="X69" s="85" t="str">
        <v>利用目标身上的电磁场作为跳板，将麻痹效果扩散给附近的单位。</v>
      </c>
      <c r="Y69" s="210"/>
      <c r="Z69" s="210" t="str">
        <v>---</v>
      </c>
      <c r="AA69" s="210"/>
      <c r="AB69" s="210"/>
      <c r="AC69" s="210"/>
      <c r="AD69" s="210"/>
      <c r="AE69" s="210" t="str">
        <v>连锁闪电, 电击</v>
      </c>
      <c r="AF69" s="11" t="str">
        <v>不急</v>
      </c>
      <c r="AG69" s="11" t="str">
        <v>不急</v>
      </c>
      <c r="AH69" s="11" t="str">
        <v>待办</v>
      </c>
      <c r="AI69" s="11"/>
      <c r="AJ69" s="11"/>
      <c r="AK69" s="11" t="str">
        <v>不急</v>
      </c>
      <c r="AL69" s="11" t="str">
        <v>不急</v>
      </c>
      <c r="AM69" s="11"/>
      <c r="AN69" s="50"/>
      <c r="AO69" s="50"/>
    </row>
    <row r="70">
      <c r="A70" s="203"/>
      <c r="B70" s="203" t="str">
        <v>RI 'MagLev' Skates</v>
      </c>
      <c r="C70" s="203" t="str">
        <v>“磁悬浮”滑轮</v>
      </c>
      <c r="D70" s="203">
        <f>IFERROR(SUBSTITUTE(MID(C70,FIND("“",C70)+1,FIND("”",C70,FIND("“",C70)+1)-FIND("“",C70)-1)," ",""),"")</f>
      </c>
      <c r="E70" s="53" t="str">
        <v>律动智能</v>
      </c>
      <c r="F70" s="53" t="str">
        <v>腿部</v>
      </c>
      <c r="G70" s="213">
        <f>VLOOKUP(F70,'引用数据库'!AL:AN,3,FALSE)</f>
      </c>
      <c r="H70" s="209"/>
      <c r="I70" s="209"/>
      <c r="J70" s="1"/>
      <c r="K70" s="57">
        <v>7</v>
      </c>
      <c r="L70" s="57">
        <v>9</v>
      </c>
      <c r="M70" s="57">
        <v>2</v>
      </c>
      <c r="N70" s="172">
        <f>IF(    SUM(K70:M70)=0,    0,    8 + (        MAX(            0,            MIN(                1,                IF(                    MAX(K70:M70)=0,                    0,                    (3*MAX(K70:M70) - SUM(K70:M70)) / (2*MAX(K70:M70))                )            )        ) * 4    ))</f>
      </c>
      <c r="O70" s="231">
        <f>MAX(K70:M70)</f>
      </c>
      <c r="P70" s="172">
        <f>IF(    MAX(K70:M70) &lt;= 0,    0,    MIN(        24,        MAX(            12,            48 - 3 * MAX(K70:M70)        )    ))</f>
      </c>
      <c r="Q70" s="231">
        <f>SUM(K70:M70)</f>
      </c>
      <c r="R70" s="232">
        <f>IF(Q70/24=0,"",Q70/24)</f>
      </c>
      <c r="S70" s="77"/>
      <c r="T70" s="85" t="str">
        <v>翻滚动作替换为短距离冲刺，冲刺时对接触到的敌人施加短暂“干扰”效果。干扰：降低命中率。</v>
      </c>
      <c r="U70" s="85" t="str">
        <v>滑行距离：{300m}; 
干扰：命中率降低{-25%}; 
持续时间：{2.5s}</v>
      </c>
      <c r="V70" s="229"/>
      <c r="W70" s="229"/>
      <c r="X70" s="85" t="str">
        <v>律动智能的磁悬浮交通技术微缩版。“磁暴”系列的腿部组件，提供流畅的滑行体验，同时释放的微弱电磁场能有效干扰敌人的瞄准系统。</v>
      </c>
      <c r="Y70" s="210"/>
      <c r="Z70" s="210" t="str">
        <v>回路</v>
      </c>
      <c r="AA70" s="210"/>
      <c r="AB70" s="210"/>
      <c r="AC70" s="210"/>
      <c r="AD70" s="210"/>
      <c r="AE70" s="210" t="str">
        <v>位移, 减益</v>
      </c>
      <c r="AF70" s="11" t="str">
        <v>不急</v>
      </c>
      <c r="AG70" s="11" t="str">
        <v>不急</v>
      </c>
      <c r="AH70" s="11" t="str">
        <v>不急</v>
      </c>
      <c r="AI70" s="11"/>
      <c r="AJ70" s="11"/>
      <c r="AK70" s="11" t="str">
        <v>不急</v>
      </c>
      <c r="AL70" s="11" t="str">
        <v>不急</v>
      </c>
      <c r="AM70" s="11"/>
      <c r="AN70" s="50"/>
      <c r="AO70" s="50"/>
    </row>
    <row r="71">
      <c r="A71" s="203"/>
      <c r="B71" s="203" t="str">
        <v>RI 'Static Discharge' Gloves</v>
      </c>
      <c r="C71" s="203" t="str">
        <v>“静电释能”手套</v>
      </c>
      <c r="D71" s="203">
        <f>IFERROR(SUBSTITUTE(MID(C71,FIND("“",C71)+1,FIND("”",C71,FIND("“",C71)+1)-FIND("“",C71)-1)," ",""),"")</f>
      </c>
      <c r="E71" s="53" t="str">
        <v>律动智能</v>
      </c>
      <c r="F71" s="53" t="str">
        <v>主手</v>
      </c>
      <c r="G71" s="213">
        <f>VLOOKUP(F71,'引用数据库'!AL:AN,3,FALSE)</f>
      </c>
      <c r="H71" s="209"/>
      <c r="I71" s="209"/>
      <c r="J71" s="1"/>
      <c r="K71" s="57">
        <v>3</v>
      </c>
      <c r="L71" s="57">
        <v>7</v>
      </c>
      <c r="M71" s="57">
        <v>8</v>
      </c>
      <c r="N71" s="172">
        <f>IF(    SUM(K71:M71)=0,    0,    8 + (        MAX(            0,            MIN(                1,                IF(                    MAX(K71:M71)=0,                    0,                    (3*MAX(K71:M71) - SUM(K71:M71)) / (2*MAX(K71:M71))                )            )        ) * 4    ))</f>
      </c>
      <c r="O71" s="231">
        <f>MAX(K71:M71)</f>
      </c>
      <c r="P71" s="172">
        <f>IF(    MAX(K71:M71) &lt;= 0,    0,    MIN(        24,        MAX(            12,            48 - 3 * MAX(K71:M71)        )    ))</f>
      </c>
      <c r="Q71" s="231">
        <f>SUM(K71:M71)</f>
      </c>
      <c r="R71" s="232">
        <f>IF(Q71/24=0,"",Q71/24)</f>
      </c>
      <c r="S71" s="77"/>
      <c r="T71" s="85" t="str">
        <v>武器攻击命中移动能力受限的敌人时，造成额外伤害。</v>
      </c>
      <c r="U71" s="85" t="str">
        <v>额外伤害：{移动速度降低比例%}  x 武器伤害</v>
      </c>
      <c r="V71" s="229"/>
      <c r="W71" s="229"/>
      <c r="X71" s="85" t="str">
        <v>律动智能用于控制失控机器人的工具。“电控”系列主手组件。手套持续产生高压静电，每次接触都会向目标释放电流，逐步瓦解其行动能力。</v>
      </c>
      <c r="Y71" s="210"/>
      <c r="Z71" s="210" t="str">
        <v>回路</v>
      </c>
      <c r="AA71" s="210"/>
      <c r="AB71" s="210"/>
      <c r="AC71" s="210"/>
      <c r="AD71" s="210"/>
      <c r="AE71" s="210" t="str">
        <v>普攻强化, 控制, 电击, 麻痹</v>
      </c>
      <c r="AF71" s="11" t="str">
        <v>待办</v>
      </c>
      <c r="AG71" s="11" t="str">
        <v>不急</v>
      </c>
      <c r="AH71" s="11" t="str">
        <v>待办</v>
      </c>
      <c r="AI71" s="11"/>
      <c r="AJ71" s="11"/>
      <c r="AK71" s="11" t="str">
        <v>不急</v>
      </c>
      <c r="AL71" s="11" t="str">
        <v>不急</v>
      </c>
      <c r="AM71" s="11"/>
      <c r="AN71" s="50"/>
      <c r="AO71" s="50"/>
    </row>
    <row r="72">
      <c r="A72" s="203"/>
      <c r="B72" s="203" t="str">
        <v>RI 'EMP Burst' Thrusters</v>
      </c>
      <c r="C72" s="203" t="str">
        <v>“EMP爆发”推进器</v>
      </c>
      <c r="D72" s="203">
        <f>IFERROR(SUBSTITUTE(MID(C72,FIND("“",C72)+1,FIND("”",C72,FIND("“",C72)+1)-FIND("“",C72)-1)," ",""),"")</f>
      </c>
      <c r="E72" s="53" t="str">
        <v>律动智能</v>
      </c>
      <c r="F72" s="53" t="str">
        <v>腿部</v>
      </c>
      <c r="G72" s="213">
        <f>VLOOKUP(F72,'引用数据库'!AL:AN,3,FALSE)</f>
      </c>
      <c r="H72" s="209"/>
      <c r="I72" s="209"/>
      <c r="J72" s="1"/>
      <c r="K72" s="57">
        <v>5</v>
      </c>
      <c r="L72" s="57">
        <v>9</v>
      </c>
      <c r="M72" s="57">
        <v>4</v>
      </c>
      <c r="N72" s="172">
        <f>IF(    SUM(K72:M72)=0,    0,    8 + (        MAX(            0,            MIN(                1,                IF(                    MAX(K72:M72)=0,                    0,                    (3*MAX(K72:M72) - SUM(K72:M72)) / (2*MAX(K72:M72))                )            )        ) * 4    ))</f>
      </c>
      <c r="O72" s="231">
        <f>MAX(K72:M72)</f>
      </c>
      <c r="P72" s="172">
        <f>IF(    MAX(K72:M72) &lt;= 0,    0,    MIN(        24,        MAX(            12,            48 - 3 * MAX(K72:M72)        )    ))</f>
      </c>
      <c r="Q72" s="231">
        <f>SUM(K72:M72)</f>
      </c>
      <c r="R72" s="232">
        <f>IF(Q72/24=0,"",Q72/24)</f>
      </c>
      <c r="S72" s="77"/>
      <c r="T72" s="85" t="str">
        <v>翻滚在起点和终点附近释放一次emp，对小范围敌人造成少量伤害和大量电磁异常积累。</v>
      </c>
      <c r="U72" s="85" t="str">
        <v>脉冲范围：{2.5m}; 
脉冲伤害：{2 x 智力}点次伤害; 
电磁异常积蓄：{10 x 智力}</v>
      </c>
      <c r="V72" s="229"/>
      <c r="W72" s="229"/>
      <c r="X72" s="85" t="str">
        <v>“电控”系列的腿部组件。将翻滚的动能转化为一次电磁爆发，能有效瘫痪追击者，尤其擅长对付那些烦人的机械狗。</v>
      </c>
      <c r="Y72" s="210"/>
      <c r="Z72" s="210" t="str">
        <v>回路</v>
      </c>
      <c r="AA72" s="210"/>
      <c r="AB72" s="210"/>
      <c r="AC72" s="210"/>
      <c r="AD72" s="210"/>
      <c r="AE72" s="210" t="str">
        <v>位移, 范围控制, 电击, 麻痹</v>
      </c>
      <c r="AF72" s="11" t="str">
        <v>待办</v>
      </c>
      <c r="AG72" s="11" t="str">
        <v>不急</v>
      </c>
      <c r="AH72" s="11" t="str">
        <v>待办</v>
      </c>
      <c r="AI72" s="11"/>
      <c r="AJ72" s="11"/>
      <c r="AK72" s="11" t="str">
        <v>不急</v>
      </c>
      <c r="AL72" s="11" t="str">
        <v>不急</v>
      </c>
      <c r="AM72" s="11"/>
      <c r="AN72" s="50"/>
      <c r="AO72" s="50"/>
    </row>
    <row r="73">
      <c r="A73" s="203"/>
      <c r="B73" s="203" t="str">
        <v>RI 'Kiting' Thrusters</v>
      </c>
      <c r="C73" s="203" t="str">
        <v>“风筝”推进器</v>
      </c>
      <c r="D73" s="203">
        <f>IFERROR(SUBSTITUTE(MID(C73,FIND("“",C73)+1,FIND("”",C73,FIND("“",C73)+1)-FIND("“",C73)-1)," ",""),"")</f>
      </c>
      <c r="E73" s="53" t="str">
        <v>律动智能</v>
      </c>
      <c r="F73" s="53" t="str">
        <v>腿部</v>
      </c>
      <c r="G73" s="213">
        <f>VLOOKUP(F73,'引用数据库'!AL:AN,3,FALSE)</f>
      </c>
      <c r="H73" s="209"/>
      <c r="I73" s="209"/>
      <c r="J73" s="1"/>
      <c r="K73" s="57">
        <v>24</v>
      </c>
      <c r="L73" s="57">
        <v>0</v>
      </c>
      <c r="M73" s="57">
        <v>6</v>
      </c>
      <c r="N73" s="172">
        <f>IF(    SUM(K73:M73)=0,    0,    8 + (        MAX(            0,            MIN(                1,                IF(                    MAX(K73:M73)=0,                    0,                    (3*MAX(K73:M73) - SUM(K73:M73)) / (2*MAX(K73:M73))                )            )        ) * 4    ))</f>
      </c>
      <c r="O73" s="231">
        <f>MAX(K73:M73)</f>
      </c>
      <c r="P73" s="172">
        <f>IF(    MAX(K73:M73) &lt;= 0,    0,    MIN(        24,        MAX(            12,            48 - 3 * MAX(K73:M73)        )    ))</f>
      </c>
      <c r="Q73" s="231">
        <f>SUM(K73:M73)</f>
      </c>
      <c r="R73" s="232">
        <f>IF(Q73/24=0,"",Q73/24)</f>
      </c>
      <c r="S73" s="77"/>
      <c r="T73" s="85" t="str">
        <v>向侧、后方翻滚时，移动距离大幅增加，并留下一道短暂的能量轨迹，对穿过的敌人施加“麻痹”效果。</v>
      </c>
      <c r="U73" s="85" t="str">
        <v>后冲距离加成：{+50%}; 
能量轨迹持续：{1s}; 
能量轨迹宽度：{80cm}</v>
      </c>
      <c r="V73" s="229"/>
      <c r="W73" s="229"/>
      <c r="X73" s="85" t="str">
        <v>律动智能为远程作战单位设计的机动方案。“风筝”推进器强化了使用者与敌人保持距离的能力，让你能在后撤的同时干扰追击者。</v>
      </c>
      <c r="Y73" s="210"/>
      <c r="Z73" s="210" t="str">
        <v>回路</v>
      </c>
      <c r="AA73" s="210"/>
      <c r="AB73" s="210"/>
      <c r="AC73" s="210"/>
      <c r="AD73" s="210"/>
      <c r="AE73" s="210" t="str">
        <v>位移, 控制, 生存, 远程</v>
      </c>
      <c r="AF73" s="11" t="str">
        <v>不急</v>
      </c>
      <c r="AG73" s="11" t="str">
        <v>待办</v>
      </c>
      <c r="AH73" s="11" t="str">
        <v>不急</v>
      </c>
      <c r="AI73" s="11"/>
      <c r="AJ73" s="11"/>
      <c r="AK73" s="11" t="str">
        <v>不急</v>
      </c>
      <c r="AL73" s="11" t="str">
        <v>不急</v>
      </c>
      <c r="AM73" s="11"/>
      <c r="AN73" s="50"/>
      <c r="AO73" s="50"/>
    </row>
    <row r="74">
      <c r="A74" s="203">
        <f>"ID"&amp;"_"&amp;IF(F74="行为芯片","CHP","CYB")&amp;"_"&amp;IFERROR(SUBSTITUTE(MID(B74,FIND("'",B74)+1,FIND("'",B74,FIND("'",B74)+1)-FIND("'",B74)-1)," ",""),"")&amp;"_1"</f>
      </c>
      <c r="B74" s="203" t="str">
        <v>RI 'ChainLightning' Chip</v>
      </c>
      <c r="C74" s="203" t="str">
        <v>律动智能“连锁闪电”芯片</v>
      </c>
      <c r="D74" s="203">
        <f>IFERROR(SUBSTITUTE(MID(C74,FIND("“",C74)+1,FIND("”",C74,FIND("“",C74)+1)-FIND("“",C74)-1)," ",""),"")</f>
      </c>
      <c r="E74" s="53" t="str">
        <v>律动智能</v>
      </c>
      <c r="F74" s="53" t="str">
        <v>行为芯片</v>
      </c>
      <c r="G74" s="213">
        <f>VLOOKUP(F74,'引用数据库'!AL:AN,3,FALSE)</f>
      </c>
      <c r="H74" s="230">
        <f>IF($B74="","","SKL"&amp;"02"&amp;G74&amp;VLOOKUP(F74,'引用数据库'!AL:AN,3,FALSE)&amp;BASE(CODE(MID($B74,5,1))*1+CODE(MID($B74,6,1))*2+CODE(MID($B74,7,1))*3,36,2))</f>
      </c>
      <c r="I74" s="72">
        <f>IF($B74="","","CYB"&amp;VLOOKUP(E74,'引用数据库'!Z:AC,4,FALSE)&amp;VLOOKUP(F74,'引用数据库'!AL:AN,3,FALSE)&amp;VLOOKUP(Z74,'引用数据库'!AF:AG,2,FALSE)&amp;BASE(CODE(MID($B74,5,1))*1+CODE(MID($B74,6,1))*2+CODE(MID($B74,7,1))*3,36,2))</f>
      </c>
      <c r="J74" s="1"/>
      <c r="K74" s="57">
        <v>0</v>
      </c>
      <c r="L74" s="57">
        <v>0</v>
      </c>
      <c r="M74" s="57">
        <v>0</v>
      </c>
      <c r="N74" s="64">
        <f>IF(    SUM(K74:M74)=0,    0,    8 + (        MAX(            0,            MIN(                1,                IF(                    MAX(K74:M74)=0,                    0,                    (3*MAX(K74:M74) - SUM(K74:M74)) / (2*MAX(K74:M74))                )            )        ) * 4    ))</f>
      </c>
      <c r="O74" s="231">
        <f>MAX(K74:M74)</f>
      </c>
      <c r="P74" s="172">
        <f>IF(    MAX(K74:M74) &lt;= 0,    0,    MIN(        24,        MAX(            12,            48 - 3 * MAX(K74:M74)        )    ))</f>
      </c>
      <c r="Q74" s="231">
        <f>SUM(K74:M74)</f>
      </c>
      <c r="R74" s="232">
        <f>IF(Q74/24=0,"",Q74/24)</f>
      </c>
      <c r="S74" s="77"/>
      <c r="T74" s="85" t="s">
        <v>25</v>
      </c>
      <c r="U74" s="85" t="str">
        <v>额外弹跳次数：{+1}</v>
      </c>
      <c r="V74" s="85"/>
      <c r="W74" s="229"/>
      <c r="X74" s="85" t="str">
        <v>律动智能对电弧跳跃算法的进一步优化。更多的弹跳，更广的覆盖。</v>
      </c>
      <c r="Y74" s="210"/>
      <c r="Z74" s="210" t="str">
        <v>法拉第笼</v>
      </c>
      <c r="AA74" s="210"/>
      <c r="AB74" s="210"/>
      <c r="AC74" s="210" t="str">
        <v>电磁</v>
      </c>
      <c r="AD74" s="210"/>
      <c r="AE74" s="210" t="str">
        <v>扩散</v>
      </c>
      <c r="AF74" s="11" t="str">
        <v>待办</v>
      </c>
      <c r="AG74" s="11" t="str">
        <v>待办</v>
      </c>
      <c r="AH74" s="11" t="str">
        <v>待办</v>
      </c>
      <c r="AI74" s="11"/>
      <c r="AJ74" s="11" t="str">
        <v>v0.0.5</v>
      </c>
      <c r="AK74" s="11" t="str">
        <v>完成</v>
      </c>
      <c r="AL74" s="11" t="str">
        <v>完成</v>
      </c>
      <c r="AM74" s="11"/>
      <c r="AN74" s="11"/>
      <c r="AO74" s="50" t="str">
        <v>@阿之</v>
      </c>
    </row>
    <row r="75">
      <c r="A75" s="203"/>
      <c r="B75" s="203" t="str">
        <v>RI 'Rhythm Master' Pulse</v>
      </c>
      <c r="C75" s="203" t="str">
        <v>节奏大师</v>
      </c>
      <c r="D75" s="203">
        <f>IFERROR(SUBSTITUTE(MID(C75,FIND("“",C75)+1,FIND("”",C75,FIND("“",C75)+1)-FIND("“",C75)-1)," ",""),"")</f>
      </c>
      <c r="E75" s="53" t="str">
        <v>律动智能</v>
      </c>
      <c r="F75" s="53" t="str">
        <v>行为芯片</v>
      </c>
      <c r="G75" s="213">
        <f>VLOOKUP(F75,'引用数据库'!AL:AN,3,FALSE)</f>
      </c>
      <c r="H75" s="209"/>
      <c r="I75" s="209"/>
      <c r="J75" s="1"/>
      <c r="K75" s="57">
        <v>0</v>
      </c>
      <c r="L75" s="57">
        <v>0</v>
      </c>
      <c r="M75" s="57">
        <v>0</v>
      </c>
      <c r="N75" s="172">
        <f>IF(    SUM(K75:M75)=0,    0,    8 + (        MAX(            0,            MIN(                1,                IF(                    MAX(K75:M75)=0,                    0,                    (3*MAX(K75:M75) - SUM(K75:M75)) / (2*MAX(K75:M75))                )            )        ) * 4    ))</f>
      </c>
      <c r="O75" s="231">
        <f>MAX(K75:M75)</f>
      </c>
      <c r="P75" s="172">
        <f>IF(    MAX(K75:M75) &lt;= 0,    0,    MIN(        24,        MAX(            12,            48 - 3 * MAX(K75:M75)        )    ))</f>
      </c>
      <c r="Q75" s="231">
        <f>SUM(K75:M75)</f>
      </c>
      <c r="R75" s="232">
        <f>IF(Q75/24=0,"",Q75/24)</f>
      </c>
      <c r="S75" s="77"/>
      <c r="T75" s="85" t="str">
        <v>切换武器后的第一次攻击，造成 {+30%} 额外伤害。</v>
      </c>
      <c r="U75" s="85" t="str">
        <v>额外伤害加成：{+30%}</v>
      </c>
      <c r="V75" s="229"/>
      <c r="W75" s="229"/>
      <c r="X75" s="85" t="str">
        <v>律动智能捕捉战斗节奏的技术，在武器切换的瞬间释放一次强化脉冲。</v>
      </c>
      <c r="Y75" s="210"/>
      <c r="Z75" s="210"/>
      <c r="AA75" s="210" t="str">
        <v>切换武器</v>
      </c>
      <c r="AB75" s="210"/>
      <c r="AC75" s="210"/>
      <c r="AD75" s="210"/>
      <c r="AE75" s="210" t="str">
        <v>增伤</v>
      </c>
      <c r="AF75" s="11" t="str">
        <v>不急</v>
      </c>
      <c r="AG75" s="11" t="str">
        <v>待办</v>
      </c>
      <c r="AH75" s="11" t="str">
        <v>待办</v>
      </c>
      <c r="AI75" s="11"/>
      <c r="AJ75" s="11"/>
      <c r="AK75" s="11" t="str">
        <v>不急</v>
      </c>
      <c r="AL75" s="11" t="str">
        <v>不急</v>
      </c>
      <c r="AM75" s="11"/>
      <c r="AN75" s="50"/>
      <c r="AO75" s="50"/>
    </row>
    <row r="76">
      <c r="A76" s="203"/>
      <c r="B76" s="203" t="str">
        <v>SP 'Leg Sweep' Technique</v>
      </c>
      <c r="C76" s="203" t="str">
        <v>扫堂腿</v>
      </c>
      <c r="D76" s="203">
        <f>IFERROR(SUBSTITUTE(MID(C76,FIND("“",C76)+1,FIND("”",C76,FIND("“",C76)+1)-FIND("“",C76)-1)," ",""),"")</f>
      </c>
      <c r="E76" s="53" t="str">
        <v>新浦会</v>
      </c>
      <c r="F76" s="53" t="str">
        <v>行为芯片</v>
      </c>
      <c r="G76" s="213">
        <f>VLOOKUP(F76,'引用数据库'!AL:AN,3,FALSE)</f>
      </c>
      <c r="H76" s="209"/>
      <c r="I76" s="209"/>
      <c r="J76" s="1"/>
      <c r="K76" s="57">
        <v>0</v>
      </c>
      <c r="L76" s="57">
        <v>0</v>
      </c>
      <c r="M76" s="57">
        <v>0</v>
      </c>
      <c r="N76" s="172">
        <f>IF(    SUM(K76:M76)=0,    0,    8 + (        MAX(            0,            MIN(                1,                IF(                    MAX(K76:M76)=0,                    0,                    (3*MAX(K76:M76) - SUM(K76:M76)) / (2*MAX(K76:M76))                )            )        ) * 4    ))</f>
      </c>
      <c r="O76" s="231">
        <f>MAX(K76:M76)</f>
      </c>
      <c r="P76" s="172">
        <f>IF(    MAX(K76:M76) &lt;= 0,    0,    MIN(        24,        MAX(            12,            48 - 3 * MAX(K76:M76)        )    ))</f>
      </c>
      <c r="Q76" s="231">
        <f>SUM(K76:M76)</f>
      </c>
      <c r="R76" s="232">
        <f>IF(Q76/24=0,"",Q76/24)</f>
      </c>
      <c r="S76" s="77"/>
      <c r="T76" s="85" t="str">
        <v>使用近战攻击一次性超过大额伤害时，有概率将敌人击倒。</v>
      </c>
      <c r="U76" s="85" t="str" xml:space="preserve">
        <v>眩晕触发几率：{10%}; 
触发伤害阈值: {敌人生命值上限 x 30%} </v>
      </c>
      <c r="V76" s="229"/>
      <c r="W76" s="229"/>
      <c r="X76" s="85" t="str">
        <v>新浦会打手惯用的阴招，瞅准时机一记重击的同时用腿将其绊倒，使其失去平衡。</v>
      </c>
      <c r="Y76" s="210"/>
      <c r="Z76" s="210" t="str">
        <v>---</v>
      </c>
      <c r="AA76" s="210"/>
      <c r="AB76" s="210"/>
      <c r="AC76" s="210"/>
      <c r="AD76" s="210"/>
      <c r="AE76" s="210" t="str">
        <v>近战, 控制增伤, 暴击伤害</v>
      </c>
      <c r="AF76" s="11" t="str">
        <v>待办</v>
      </c>
      <c r="AG76" s="11" t="str">
        <v>不急</v>
      </c>
      <c r="AH76" s="11" t="str">
        <v>不急</v>
      </c>
      <c r="AI76" s="11"/>
      <c r="AJ76" s="11"/>
      <c r="AK76" s="11" t="str">
        <v>不急</v>
      </c>
      <c r="AL76" s="11" t="str">
        <v>不急</v>
      </c>
      <c r="AM76" s="11"/>
      <c r="AN76" s="50"/>
      <c r="AO76" s="50"/>
    </row>
    <row r="77">
      <c r="A77" s="203"/>
      <c r="B77" s="203" t="str">
        <v>SP 'Press the Attack' Sequence</v>
      </c>
      <c r="C77" s="203" t="str">
        <v>乘胜追击</v>
      </c>
      <c r="D77" s="203">
        <f>IFERROR(SUBSTITUTE(MID(C77,FIND("“",C77)+1,FIND("”",C77,FIND("“",C77)+1)-FIND("“",C77)-1)," ",""),"")</f>
      </c>
      <c r="E77" s="53" t="str">
        <v>新浦会</v>
      </c>
      <c r="F77" s="53" t="str">
        <v>行为芯片</v>
      </c>
      <c r="G77" s="213">
        <f>VLOOKUP(F77,'引用数据库'!AL:AN,3,FALSE)</f>
      </c>
      <c r="H77" s="209"/>
      <c r="I77" s="209"/>
      <c r="J77" s="1"/>
      <c r="K77" s="57">
        <v>0</v>
      </c>
      <c r="L77" s="57">
        <v>0</v>
      </c>
      <c r="M77" s="57">
        <v>0</v>
      </c>
      <c r="N77" s="172">
        <f>IF(    SUM(K77:M77)=0,    0,    8 + (        MAX(            0,            MIN(                1,                IF(                    MAX(K77:M77)=0,                    0,                    (3*MAX(K77:M77) - SUM(K77:M77)) / (2*MAX(K77:M77))                )            )        ) * 4    ))</f>
      </c>
      <c r="O77" s="231">
        <f>MAX(K77:M77)</f>
      </c>
      <c r="P77" s="172">
        <f>IF(    MAX(K77:M77) &lt;= 0,    0,    MIN(        24,        MAX(            12,            48 - 3 * MAX(K77:M77)        )    ))</f>
      </c>
      <c r="Q77" s="231">
        <f>SUM(K77:M77)</f>
      </c>
      <c r="R77" s="232">
        <f>IF(Q77/24=0,"",Q77/24)</f>
      </c>
      <c r="S77" s="77"/>
      <c r="T77" s="85" t="str">
        <v>使用近战普通攻击或武器技能命中敌人后，在 {2s} 内对其造成的下一次近战普通攻击伤害提升。</v>
      </c>
      <c r="U77" s="85" t="str">
        <v>伤害加成：{+30%}; 
时间窗口：{2s}</v>
      </c>
      <c r="V77" s="229"/>
      <c r="W77" s="229"/>
      <c r="X77" s="85" t="str">
        <v>战斗的基本原则：一旦得手，就不要给敌人喘息之机，持续压上。</v>
      </c>
      <c r="Y77" s="210"/>
      <c r="Z77" s="210" t="str">
        <v>---</v>
      </c>
      <c r="AA77" s="210"/>
      <c r="AB77" s="210"/>
      <c r="AC77" s="210"/>
      <c r="AD77" s="210"/>
      <c r="AE77" s="210" t="str">
        <v>近战, 连续攻击, 增伤</v>
      </c>
      <c r="AF77" s="11" t="str">
        <v>不急</v>
      </c>
      <c r="AG77" s="11" t="str">
        <v>不急</v>
      </c>
      <c r="AH77" s="11" t="str">
        <v>不急</v>
      </c>
      <c r="AI77" s="11"/>
      <c r="AJ77" s="11"/>
      <c r="AK77" s="11" t="str">
        <v>不急</v>
      </c>
      <c r="AL77" s="11" t="str">
        <v>不急</v>
      </c>
      <c r="AM77" s="11"/>
      <c r="AN77" s="50"/>
      <c r="AO77" s="50"/>
    </row>
    <row r="78">
      <c r="A78" s="203"/>
      <c r="B78" s="203" t="str">
        <v>SP 'Exploit Weakness' Tactic</v>
      </c>
      <c r="C78" s="203" t="str" xml:space="preserve">
        <v>破绽打击 </v>
      </c>
      <c r="D78" s="203">
        <f>IFERROR(SUBSTITUTE(MID(C78,FIND("“",C78)+1,FIND("”",C78,FIND("“",C78)+1)-FIND("“",C78)-1)," ",""),"")</f>
      </c>
      <c r="E78" s="53" t="str">
        <v>新浦会</v>
      </c>
      <c r="F78" s="53" t="str">
        <v>行为芯片</v>
      </c>
      <c r="G78" s="213">
        <f>VLOOKUP(F78,'引用数据库'!AL:AN,3,FALSE)</f>
      </c>
      <c r="H78" s="209"/>
      <c r="I78" s="209"/>
      <c r="J78" s="1"/>
      <c r="K78" s="57">
        <v>0</v>
      </c>
      <c r="L78" s="57">
        <v>0</v>
      </c>
      <c r="M78" s="57">
        <v>0</v>
      </c>
      <c r="N78" s="172">
        <f>IF(    SUM(K78:M78)=0,    0,    8 + (        MAX(            0,            MIN(                1,                IF(                    MAX(K78:M78)=0,                    0,                    (3*MAX(K78:M78) - SUM(K78:M78)) / (2*MAX(K78:M78))                )            )        ) * 4    ))</f>
      </c>
      <c r="O78" s="231">
        <f>MAX(K78:M78)</f>
      </c>
      <c r="P78" s="172">
        <f>IF(    MAX(K78:M78) &lt;= 0,    0,    MIN(        24,        MAX(            12,            48 - 3 * MAX(K78:M78)        )    ))</f>
      </c>
      <c r="Q78" s="231">
        <f>SUM(K78:M78)</f>
      </c>
      <c r="R78" s="232">
        <f>IF(Q78/24=0,"",Q78/24)</f>
      </c>
      <c r="S78" s="77"/>
      <c r="T78" s="85" t="str">
        <v>对处于无法移动状态的敌人，你的暴击伤害提升。</v>
      </c>
      <c r="U78" s="85" t="str">
        <v>暴击伤害加成：{+50%}</v>
      </c>
      <c r="V78" s="229"/>
      <c r="W78" s="229"/>
      <c r="X78" s="85" t="str">
        <v>趁其病，要其命。对失去行动能力的敌人进行毁灭性的打击。</v>
      </c>
      <c r="Y78" s="210"/>
      <c r="Z78" s="210" t="str">
        <v>---</v>
      </c>
      <c r="AA78" s="210"/>
      <c r="AB78" s="210"/>
      <c r="AC78" s="210"/>
      <c r="AD78" s="210"/>
      <c r="AE78" s="210" t="str">
        <v>近战, 控制增伤, 暴击伤害</v>
      </c>
      <c r="AF78" s="11" t="str">
        <v>待办</v>
      </c>
      <c r="AG78" s="11" t="str">
        <v>待办</v>
      </c>
      <c r="AH78" s="11" t="str">
        <v>不急</v>
      </c>
      <c r="AI78" s="11"/>
      <c r="AJ78" s="11"/>
      <c r="AK78" s="11" t="str">
        <v>不急</v>
      </c>
      <c r="AL78" s="11" t="str">
        <v>不急</v>
      </c>
      <c r="AM78" s="11"/>
      <c r="AN78" s="50"/>
      <c r="AO78" s="50"/>
    </row>
    <row r="79">
      <c r="A79" s="203">
        <f>"ID"&amp;"_"&amp;IF(F79="行为芯片","CHP","CYB")&amp;"_"&amp;IFERROR(SUBSTITUTE(MID(B79,FIND("'",B79)+1,FIND("'",B79,FIND("'",B79)+1)-FIND("'",B79)-1)," ",""),"")&amp;"_1"</f>
      </c>
      <c r="B79" s="203" t="str">
        <v>SP 'Shadowless Dagger' Neural Link</v>
      </c>
      <c r="C79" s="203" t="str">
        <v>新浦会“无影手”神经连接器</v>
      </c>
      <c r="D79" s="203">
        <f>IFERROR(SUBSTITUTE(MID(C79,FIND("“",C79)+1,FIND("”",C79,FIND("“",C79)+1)-FIND("“",C79)-1)," ",""),"")</f>
      </c>
      <c r="E79" s="53" t="str">
        <v>新浦会</v>
      </c>
      <c r="F79" s="53" t="str">
        <v>主手</v>
      </c>
      <c r="G79" s="213">
        <f>VLOOKUP(F79,'引用数据库'!AL:AN,3,FALSE)</f>
      </c>
      <c r="H79" s="230">
        <f>IF($B79="","","SKL"&amp;"02"&amp;G79&amp;VLOOKUP(F79,'引用数据库'!AL:AN,3,FALSE)&amp;BASE(CODE(MID($B79,5,1))*1+CODE(MID($B79,6,1))*2+CODE(MID($B79,7,1))*3,36,2))</f>
      </c>
      <c r="I79" s="72">
        <f>IF($B79="","","CYB"&amp;VLOOKUP(E79,'引用数据库'!Z:AC,4,FALSE)&amp;VLOOKUP(F79,'引用数据库'!AL:AN,3,FALSE)&amp;VLOOKUP(Z79,'引用数据库'!AF:AG,2,FALSE)&amp;BASE(CODE(MID($B79,5,1))*1+CODE(MID($B79,6,1))*2+CODE(MID($B79,7,1))*3,36,2))</f>
      </c>
      <c r="J79" s="1"/>
      <c r="K79" s="57">
        <v>4</v>
      </c>
      <c r="L79" s="57">
        <v>10</v>
      </c>
      <c r="M79" s="57">
        <v>4</v>
      </c>
      <c r="N79" s="64">
        <f>IF(    SUM(K79:M79)=0,    0,    8 + (        MAX(            0,            MIN(                1,                IF(                    MAX(K79:M79)=0,                    0,                    (3*MAX(K79:M79) - SUM(K79:M79)) / (2*MAX(K79:M79))                )            )        ) * 4    ))</f>
      </c>
      <c r="O79" s="231">
        <f>MAX(K79:M79)</f>
      </c>
      <c r="P79" s="172">
        <f>IF(    MAX(K79:M79) &lt;= 0,    0,    MIN(        24,        MAX(            12,            48 - 3 * MAX(K79:M79)        )    ))</f>
      </c>
      <c r="Q79" s="231">
        <f>SUM(K79:M79)</f>
      </c>
      <c r="R79" s="232">
        <f>IF(Q79/24=0,"",Q79/24)</f>
      </c>
      <c r="S79" s="77"/>
      <c r="T79" s="85" t="s">
        <v>31</v>
      </c>
      <c r="U79" s="85"/>
      <c r="V79" s="85"/>
      <c r="W79" s="229"/>
      <c r="X79" s="85" t="str">
        <v>专为“踏雪无痕”系列设计的武器接口。优化了隐身单位的攻击精密性，并进一步提升了武器的隐蔽性。</v>
      </c>
      <c r="Y79" s="210"/>
      <c r="Z79" s="210" t="str">
        <v>踏雪无痕</v>
      </c>
      <c r="AA79" s="210" t="str">
        <v>普攻</v>
      </c>
      <c r="AB79" s="210" t="str">
        <v>光学迷彩</v>
      </c>
      <c r="AC79" s="210"/>
      <c r="AD79" s="210"/>
      <c r="AE79" s="210" t="str">
        <v>潜行</v>
      </c>
      <c r="AF79" s="11" t="str">
        <v>待办</v>
      </c>
      <c r="AG79" s="11" t="str">
        <v>待办</v>
      </c>
      <c r="AH79" s="11" t="str">
        <v>待办</v>
      </c>
      <c r="AI79" s="11"/>
      <c r="AJ79" s="11" t="str">
        <v>v0.0.5</v>
      </c>
      <c r="AK79" s="11" t="str">
        <v>完成</v>
      </c>
      <c r="AL79" s="11" t="str">
        <v>完成</v>
      </c>
      <c r="AM79" s="11"/>
      <c r="AN79" s="11"/>
      <c r="AO79" s="50" t="str">
        <v>@Decay</v>
      </c>
    </row>
    <row r="80">
      <c r="A80" s="203">
        <f>"ID"&amp;"_"&amp;IF(F80="行为芯片","CHP","CYB")&amp;"_"&amp;IFERROR(SUBSTITUTE(MID(B80,FIND("'",B80)+1,FIND("'",B80,FIND("'",B80)+1)-FIND("'",B80)-1)," ",""),"")&amp;"_1"</f>
      </c>
      <c r="B80" s="203" t="str">
        <v>SP 'Stealth Master' Technique Module</v>
      </c>
      <c r="C80" s="203" t="str">
        <v>新浦会“匿踪大师”技巧模块</v>
      </c>
      <c r="D80" s="203">
        <f>IFERROR(SUBSTITUTE(MID(C80,FIND("“",C80)+1,FIND("”",C80,FIND("“",C80)+1)-FIND("“",C80)-1)," ",""),"")</f>
      </c>
      <c r="E80" s="53" t="str">
        <v>新浦会</v>
      </c>
      <c r="F80" s="53" t="str">
        <v>副手</v>
      </c>
      <c r="G80" s="213">
        <f>VLOOKUP(F80,'引用数据库'!AL:AN,3,FALSE)</f>
      </c>
      <c r="H80" s="230">
        <f>IF($B80="","","SKL"&amp;"02"&amp;G80&amp;VLOOKUP(F80,'引用数据库'!AL:AN,3,FALSE)&amp;BASE(CODE(MID($B80,5,1))*1+CODE(MID($B80,6,1))*2+CODE(MID($B80,7,1))*3,36,2))</f>
      </c>
      <c r="I80" s="72">
        <f>IF($B80="","","CYB"&amp;VLOOKUP(E80,'引用数据库'!Z:AC,4,FALSE)&amp;VLOOKUP(F80,'引用数据库'!AL:AN,3,FALSE)&amp;VLOOKUP(Z80,'引用数据库'!AF:AG,2,FALSE)&amp;BASE(CODE(MID($B80,5,1))*1+CODE(MID($B80,6,1))*2+CODE(MID($B80,7,1))*3,36,2))</f>
      </c>
      <c r="J80" s="1"/>
      <c r="K80" s="57">
        <v>5</v>
      </c>
      <c r="L80" s="57">
        <v>12</v>
      </c>
      <c r="M80" s="57">
        <v>6</v>
      </c>
      <c r="N80" s="172">
        <f>IF(    SUM(K80:M80)=0,    0,    8 + (        MAX(            0,            MIN(                1,                IF(                    MAX(K80:M80)=0,                    0,                    (3*MAX(K80:M80) - SUM(K80:M80)) / (2*MAX(K80:M80))                )            )        ) * 4    ))</f>
      </c>
      <c r="O80" s="231">
        <f>MAX(K80:M80)</f>
      </c>
      <c r="P80" s="172">
        <f>IF(    MAX(K80:M80) &lt;= 0,    0,    MIN(        24,        MAX(            12,            48 - 3 * MAX(K80:M80)        )    ))</f>
      </c>
      <c r="Q80" s="231">
        <f>SUM(K80:M80)</f>
      </c>
      <c r="R80" s="232">
        <f>IF(Q80/24=0,"",Q80/24)</f>
      </c>
      <c r="S80" s="77"/>
      <c r="T80" s="85" t="s">
        <v>33</v>
      </c>
      <c r="U80" s="85"/>
      <c r="V80" s="85"/>
      <c r="W80" s="229"/>
      <c r="X80" s="85" t="str">
        <v>专为“踏雪无痕”系列设计的武器接口。从光学迷彩状态发起的第一次近战普通攻击，会造成基于敏捷的额外伤害，且大幅降低产生的声音。</v>
      </c>
      <c r="Y80" s="210"/>
      <c r="Z80" s="210" t="str">
        <v>踏雪无痕</v>
      </c>
      <c r="AA80" s="210" t="str">
        <v>普攻</v>
      </c>
      <c r="AB80" s="210" t="str">
        <v>光学迷彩</v>
      </c>
      <c r="AC80" s="210"/>
      <c r="AD80" s="210"/>
      <c r="AE80" s="210" t="str">
        <v>潜行</v>
      </c>
      <c r="AF80" s="11" t="str">
        <v>待办</v>
      </c>
      <c r="AG80" s="11" t="str">
        <v>待办</v>
      </c>
      <c r="AH80" s="11" t="str">
        <v>待办</v>
      </c>
      <c r="AI80" s="11"/>
      <c r="AJ80" s="11" t="str">
        <v>v0.0.5</v>
      </c>
      <c r="AK80" s="11" t="str">
        <v>要改</v>
      </c>
      <c r="AL80" s="11" t="str">
        <v>完成</v>
      </c>
      <c r="AM80" s="11"/>
      <c r="AN80" s="11"/>
      <c r="AO80" s="50" t="str">
        <v>@Decay</v>
      </c>
    </row>
    <row r="81">
      <c r="A81" s="203">
        <f>"ID"&amp;"_"&amp;IF(F81="行为芯片","CHP","CYB")&amp;"_"&amp;IFERROR(SUBSTITUTE(MID(B81,FIND("'",B81)+1,FIND("'",B81,FIND("'",B81)+1)-FIND("'",B81)-1)," ",""),"")&amp;"_1"</f>
      </c>
      <c r="B81" s="203" t="str">
        <v>SP 'Mirage Step' Generator</v>
      </c>
      <c r="C81" s="203" t="str">
        <v>新浦会“蜃影步”发生器</v>
      </c>
      <c r="D81" s="203">
        <f>IFERROR(SUBSTITUTE(MID(C81,FIND("“",C81)+1,FIND("”",C81,FIND("“",C81)+1)-FIND("“",C81)-1)," ",""),"")</f>
      </c>
      <c r="E81" s="53" t="str">
        <v>新浦会</v>
      </c>
      <c r="F81" s="53" t="str">
        <v>腿部</v>
      </c>
      <c r="G81" s="213">
        <f>VLOOKUP(F81,'引用数据库'!AL:AN,3,FALSE)</f>
      </c>
      <c r="H81" s="230">
        <f>IF($B81="","","SKL"&amp;"02"&amp;G81&amp;VLOOKUP(F81,'引用数据库'!AL:AN,3,FALSE)&amp;BASE(CODE(MID($B81,5,1))*1+CODE(MID($B81,6,1))*2+CODE(MID($B81,7,1))*3,36,2))</f>
      </c>
      <c r="I81" s="72">
        <f>IF($B81="","","CYB"&amp;VLOOKUP(E81,'引用数据库'!Z:AC,4,FALSE)&amp;VLOOKUP(F81,'引用数据库'!AL:AN,3,FALSE)&amp;VLOOKUP(Z81,'引用数据库'!AF:AG,2,FALSE)&amp;BASE(CODE(MID($B81,5,1))*1+CODE(MID($B81,6,1))*2+CODE(MID($B81,7,1))*3,36,2))</f>
      </c>
      <c r="J81" s="1"/>
      <c r="K81" s="57">
        <v>2</v>
      </c>
      <c r="L81" s="57">
        <v>11</v>
      </c>
      <c r="M81" s="57">
        <v>2</v>
      </c>
      <c r="N81" s="64">
        <f>IF(    SUM(K81:M81)=0,    0,    8 + (        MAX(            0,            MIN(                1,                IF(                    MAX(K81:M81)=0,                    0,                    (3*MAX(K81:M81) - SUM(K81:M81)) / (2*MAX(K81:M81))                )            )        ) * 4    ))</f>
      </c>
      <c r="O81" s="231">
        <f>MAX(K81:M81)</f>
      </c>
      <c r="P81" s="172">
        <f>IF(    MAX(K81:M81) &lt;= 0,    0,    MIN(        24,        MAX(            12,            48 - 3 * MAX(K81:M81)        )    ))</f>
      </c>
      <c r="Q81" s="231">
        <f>SUM(K81:M81)</f>
      </c>
      <c r="R81" s="232">
        <f>IF(Q81/24=0,"",Q81/24)</f>
      </c>
      <c r="S81" s="77"/>
      <c r="T81" s="85" t="s">
        <v>17</v>
      </c>
      <c r="U81" s="85" t="str">
        <v>光学扭曲持续时间：{无限，直至停止奔跑}; 
光学迷彩持续时间：{2s};</v>
      </c>
      <c r="V81" s="85"/>
      <c r="W81" s="229"/>
      <c r="X81" s="85" t="str">
        <v>新浦会用于秘密行动的技术。“蜃影步”发生器能在你持续移动时干扰光学传感器，并在你静止时提供短暂的完美隐身，是渗透和脱战的利器。</v>
      </c>
      <c r="Y81" s="210"/>
      <c r="Z81" s="210" t="str">
        <v>踏雪无痕</v>
      </c>
      <c r="AA81" s="210" t="str">
        <v>移动</v>
      </c>
      <c r="AB81" s="210" t="str">
        <v>光学迷彩,光学扭曲</v>
      </c>
      <c r="AC81" s="210"/>
      <c r="AD81" s="210"/>
      <c r="AE81" s="210" t="str">
        <v>潜行</v>
      </c>
      <c r="AF81" s="11" t="str">
        <v>待办</v>
      </c>
      <c r="AG81" s="11" t="str">
        <v>待办</v>
      </c>
      <c r="AH81" s="11" t="str">
        <v>待办</v>
      </c>
      <c r="AI81" s="11"/>
      <c r="AJ81" s="11" t="str">
        <v>v0.0.5</v>
      </c>
      <c r="AK81" s="11" t="str">
        <v>完成</v>
      </c>
      <c r="AL81" s="11" t="str">
        <v>完成</v>
      </c>
      <c r="AM81" s="11"/>
      <c r="AN81" s="11"/>
      <c r="AO81" s="50" t="str">
        <v>@Decay</v>
      </c>
    </row>
    <row r="82">
      <c r="A82" s="203">
        <f>"ID"&amp;"_"&amp;IF(F82="行为芯片","CHP","CYB")&amp;"_"&amp;IFERROR(SUBSTITUTE(MID(B82,FIND("'",B82)+1,FIND("'",B82,FIND("'",B82)+1)-FIND("'",B82)-1)," ",""),"")&amp;"_1"</f>
      </c>
      <c r="B82" s="203" t="str">
        <v>JC 'Escape Artist' Weave</v>
      </c>
      <c r="C82" s="203" t="str">
        <v>“脱身大师”编织</v>
      </c>
      <c r="D82" s="203">
        <f>IFERROR(SUBSTITUTE(MID(C82,FIND("“",C82)+1,FIND("”",C82,FIND("“",C82)+1)-FIND("“",C82)-1)," ",""),"")</f>
      </c>
      <c r="E82" s="53" t="str">
        <v>新浦会</v>
      </c>
      <c r="F82" s="53" t="str">
        <v>皮肤</v>
      </c>
      <c r="G82" s="213">
        <f>VLOOKUP(F82,'引用数据库'!AL:AN,3,FALSE)</f>
      </c>
      <c r="H82" s="230">
        <f>IF($B82="","","SKL"&amp;"02"&amp;G82&amp;VLOOKUP(F82,'引用数据库'!AL:AN,3,FALSE)&amp;BASE(CODE(MID($B82,5,1))*1+CODE(MID($B82,6,1))*2+CODE(MID($B82,7,1))*3,36,2))</f>
      </c>
      <c r="I82" s="72">
        <f>IF($B82="","","CYB"&amp;VLOOKUP(E82,'引用数据库'!Z:AC,4,FALSE)&amp;VLOOKUP(F82,'引用数据库'!AL:AN,3,FALSE)&amp;VLOOKUP(Z82,'引用数据库'!AF:AG,2,FALSE)&amp;BASE(CODE(MID($B82,5,1))*1+CODE(MID($B82,6,1))*2+CODE(MID($B82,7,1))*3,36,2))</f>
      </c>
      <c r="J82" s="1"/>
      <c r="K82" s="57">
        <v>6</v>
      </c>
      <c r="L82" s="57">
        <v>6</v>
      </c>
      <c r="M82" s="57">
        <v>6</v>
      </c>
      <c r="N82" s="172">
        <f>IF(    SUM(K82:M82)=0,    0,    8 + (        MAX(            0,            MIN(                1,                IF(                    MAX(K82:M82)=0,                    0,                    (3*MAX(K82:M82) - SUM(K82:M82)) / (2*MAX(K82:M82))                )            )        ) * 4    ))</f>
      </c>
      <c r="O82" s="231">
        <f>MAX(K82:M82)</f>
      </c>
      <c r="P82" s="172">
        <f>IF(    MAX(K82:M82) &lt;= 0,    0,    MIN(        24,        MAX(            12,            48 - 3 * MAX(K82:M82)        )    ))</f>
      </c>
      <c r="Q82" s="231">
        <f>SUM(K82:M82)</f>
      </c>
      <c r="R82" s="232">
        <f>IF(Q82/24=0,"",Q82/24)</f>
      </c>
      <c r="S82" s="77"/>
      <c r="T82" s="85" t="str">
        <v>受到攻击时，有{20%}概率自动进入短暂的“光学迷彩”状态。</v>
      </c>
      <c r="U82" s="85" t="str">
        <v>触发概率：{20%};
光学迷彩持续时间：{2s};</v>
      </c>
      <c r="V82" s="85"/>
      <c r="W82" s="229"/>
      <c r="X82" s="85" t="str">
        <v>利用生物反馈和光学技术结合的产物。“避世”系列皮肤。“脱身大师”编织能在你遭受意外打击时，自动触发应急隐身，提供宝贵的反应时间。</v>
      </c>
      <c r="Y82" s="210"/>
      <c r="Z82" s="210" t="str">
        <v>踏雪无痕</v>
      </c>
      <c r="AA82" s="210" t="str">
        <v>受击</v>
      </c>
      <c r="AB82" s="210" t="str">
        <v>光学迷彩</v>
      </c>
      <c r="AC82" s="210"/>
      <c r="AD82" s="210"/>
      <c r="AE82" s="210" t="str">
        <v>潜行</v>
      </c>
      <c r="AF82" s="11" t="str">
        <v>待办</v>
      </c>
      <c r="AG82" s="11" t="str">
        <v>待办</v>
      </c>
      <c r="AH82" s="11" t="str">
        <v>不急</v>
      </c>
      <c r="AI82" s="11"/>
      <c r="AJ82" s="11" t="str">
        <v>v0.0.5</v>
      </c>
      <c r="AK82" s="11" t="str">
        <v>待办</v>
      </c>
      <c r="AL82" s="11" t="str">
        <v>不急</v>
      </c>
      <c r="AM82" s="11"/>
      <c r="AN82" s="50"/>
      <c r="AO82" s="50" t="str">
        <v>@阿之</v>
      </c>
    </row>
    <row r="83">
      <c r="A83" s="203">
        <f>"ID"&amp;"_"&amp;IF(F83="行为芯片","CHP","CYB")&amp;"_"&amp;IFERROR(SUBSTITUTE(MID(B83,FIND("'",B83)+1,FIND("'",B83,FIND("'",B83)+1)-FIND("'",B83)-1)," ",""),"")&amp;"_1"</f>
      </c>
      <c r="B83" s="203" t="str">
        <v>MM 'Null Presence' Frame</v>
      </c>
      <c r="C83" s="203" t="str">
        <v>“空无”骨架</v>
      </c>
      <c r="D83" s="203">
        <f>IFERROR(SUBSTITUTE(MID(C83,FIND("“",C83)+1,FIND("”",C83,FIND("“",C83)+1)-FIND("“",C83)-1)," ",""),"")</f>
      </c>
      <c r="E83" s="53" t="str">
        <v>新浦会</v>
      </c>
      <c r="F83" s="53" t="str">
        <v>骨骼</v>
      </c>
      <c r="G83" s="213">
        <f>VLOOKUP(F83,'引用数据库'!AL:AN,3,FALSE)</f>
      </c>
      <c r="H83" s="230">
        <f>IF($B83="","","SKL"&amp;"02"&amp;G83&amp;VLOOKUP(F83,'引用数据库'!AL:AN,3,FALSE)&amp;BASE(CODE(MID($B83,5,1))*1+CODE(MID($B83,6,1))*2+CODE(MID($B83,7,1))*3,36,2))</f>
      </c>
      <c r="I83" s="72">
        <f>IF($B83="","","CYB"&amp;VLOOKUP(E83,'引用数据库'!Z:AC,4,FALSE)&amp;VLOOKUP(F83,'引用数据库'!AL:AN,3,FALSE)&amp;VLOOKUP(Z83,'引用数据库'!AF:AG,2,FALSE)&amp;BASE(CODE(MID($B83,5,1))*1+CODE(MID($B83,6,1))*2+CODE(MID($B83,7,1))*3,36,2))</f>
      </c>
      <c r="J83" s="1"/>
      <c r="K83" s="57">
        <v>5</v>
      </c>
      <c r="L83" s="57">
        <v>7</v>
      </c>
      <c r="M83" s="57">
        <v>6</v>
      </c>
      <c r="N83" s="172">
        <f>IF(    SUM(K83:M83)=0,    0,    8 + (        MAX(            0,            MIN(                1,                IF(                    MAX(K83:M83)=0,                    0,                    (3*MAX(K83:M83) - SUM(K83:M83)) / (2*MAX(K83:M83))                )            )        ) * 4    ))</f>
      </c>
      <c r="O83" s="231">
        <f>MAX(K83:M83)</f>
      </c>
      <c r="P83" s="172">
        <f>IF(    MAX(K83:M83) &lt;= 0,    0,    MIN(        24,        MAX(            12,            48 - 3 * MAX(K83:M83)        )    ))</f>
      </c>
      <c r="Q83" s="231">
        <f>SUM(K83:M83)</f>
      </c>
      <c r="R83" s="232">
        <f>IF(Q83/24=0,"",Q83/24)</f>
      </c>
      <c r="S83" s="77"/>
      <c r="T83" s="85" t="s">
        <v>21</v>
      </c>
      <c r="U83" s="85" t="str">
        <v>护甲减伤效果：{+100%}</v>
      </c>
      <c r="V83" s="85"/>
      <c r="W83" s="229"/>
      <c r="X83" s="85" t="str">
        <v>来自纪念碑基金会保管的古老开源隐形技术图纸。“空无”骨架通过特殊材料和结构设计，在隐形力场激活时能更好地偏转能量和物理冲击，提升隐身时的生存能力。</v>
      </c>
      <c r="Y83" s="210"/>
      <c r="Z83" s="210" t="str">
        <v>踏雪无痕</v>
      </c>
      <c r="AA83" s="210"/>
      <c r="AB83" s="210"/>
      <c r="AC83" s="210"/>
      <c r="AD83" s="210" t="str">
        <v>高护甲</v>
      </c>
      <c r="AE83" s="210" t="str">
        <v>减伤,潜行</v>
      </c>
      <c r="AF83" s="11" t="str">
        <v>不急</v>
      </c>
      <c r="AG83" s="11" t="str">
        <v>待办</v>
      </c>
      <c r="AH83" s="11" t="str">
        <v>不急</v>
      </c>
      <c r="AI83" s="11"/>
      <c r="AJ83" s="11" t="str">
        <v>v0.0.5</v>
      </c>
      <c r="AK83" s="11" t="str">
        <v>待办</v>
      </c>
      <c r="AL83" s="11" t="str">
        <v>不急</v>
      </c>
      <c r="AM83" s="11"/>
      <c r="AN83" s="50"/>
      <c r="AO83" s="50"/>
    </row>
    <row r="84">
      <c r="A84" s="203"/>
      <c r="B84" s="203" t="str">
        <v>SP 'QuickHands' Reflex Chip</v>
      </c>
      <c r="C84" s="203" t="str">
        <v>“快手”反应芯片</v>
      </c>
      <c r="D84" s="203">
        <f>IFERROR(SUBSTITUTE(MID(C84,FIND("“",C84)+1,FIND("”",C84,FIND("“",C84)+1)-FIND("“",C84)-1)," ",""),"")</f>
      </c>
      <c r="E84" s="53" t="str">
        <v>新浦会</v>
      </c>
      <c r="F84" s="53" t="str">
        <v>行为芯片</v>
      </c>
      <c r="G84" s="213">
        <f>VLOOKUP(F84,'引用数据库'!AL:AN,3,FALSE)</f>
      </c>
      <c r="H84" s="209"/>
      <c r="I84" s="209"/>
      <c r="J84" s="1"/>
      <c r="K84" s="57">
        <v>0</v>
      </c>
      <c r="L84" s="57">
        <v>0</v>
      </c>
      <c r="M84" s="57">
        <v>0</v>
      </c>
      <c r="N84" s="172">
        <f>IF(    SUM(K84:M84)=0,    0,    8 + (        MAX(            0,            MIN(                1,                IF(                    MAX(K84:M84)=0,                    0,                    (3*MAX(K84:M84) - SUM(K84:M84)) / (2*MAX(K84:M84))                )            )        ) * 4    ))</f>
      </c>
      <c r="O84" s="231">
        <f>MAX(K84:M84)</f>
      </c>
      <c r="P84" s="172">
        <f>IF(    MAX(K84:M84) &lt;= 0,    0,    MIN(        24,        MAX(            12,            48 - 3 * MAX(K84:M84)        )    ))</f>
      </c>
      <c r="Q84" s="231">
        <f>SUM(K84:M84)</f>
      </c>
      <c r="R84" s="232">
        <f>IF(Q84/24=0,"",Q84/24)</f>
      </c>
      <c r="S84" s="77"/>
      <c r="T84" s="85" t="str">
        <v>提升武器换弹速度。</v>
      </c>
      <c r="U84" s="85" t="str">
        <v>换弹速度：{+25%}</v>
      </c>
      <c r="V84" s="229"/>
      <c r="W84" s="229"/>
      <c r="X84" s="85" t="str">
        <v>新浦会成员在无数次街头枪战中磨练出的技艺芯片化。“快手”芯片让你的手指如同幻影，换弹速度远超常人。</v>
      </c>
      <c r="Y84" s="207"/>
      <c r="Z84" s="207" t="str">
        <v>小巷手艺</v>
      </c>
      <c r="AA84" s="207"/>
      <c r="AB84" s="207"/>
      <c r="AC84" s="207"/>
      <c r="AD84" s="207"/>
      <c r="AE84" s="207" t="str">
        <v>装填速度</v>
      </c>
      <c r="AF84" s="11" t="str">
        <v>不急</v>
      </c>
      <c r="AG84" s="11" t="str">
        <v>不急</v>
      </c>
      <c r="AH84" s="11" t="str">
        <v>不急</v>
      </c>
      <c r="AI84" s="11"/>
      <c r="AJ84" s="11"/>
      <c r="AK84" s="11" t="str">
        <v>不急</v>
      </c>
      <c r="AL84" s="11" t="str">
        <v>不急</v>
      </c>
      <c r="AM84" s="11"/>
      <c r="AN84" s="50"/>
      <c r="AO84" s="50"/>
    </row>
    <row r="85">
      <c r="A85" s="203"/>
      <c r="B85" s="203" t="str">
        <v>SP 'Shadow Strike' Chip</v>
      </c>
      <c r="C85" s="203" t="str">
        <v>“影袭”芯片</v>
      </c>
      <c r="D85" s="203">
        <f>IFERROR(SUBSTITUTE(MID(C85,FIND("“",C85)+1,FIND("”",C85,FIND("“",C85)+1)-FIND("“",C85)-1)," ",""),"")</f>
      </c>
      <c r="E85" s="53" t="str">
        <v>新浦会</v>
      </c>
      <c r="F85" s="53" t="str">
        <v>行为芯片</v>
      </c>
      <c r="G85" s="213">
        <f>VLOOKUP(F85,'引用数据库'!AL:AN,3,FALSE)</f>
      </c>
      <c r="H85" s="209"/>
      <c r="I85" s="209"/>
      <c r="J85" s="1"/>
      <c r="K85" s="57">
        <v>0</v>
      </c>
      <c r="L85" s="57">
        <v>0</v>
      </c>
      <c r="M85" s="57">
        <v>0</v>
      </c>
      <c r="N85" s="172">
        <f>IF(    SUM(K85:M85)=0,    0,    8 + (        MAX(            0,            MIN(                1,                IF(                    MAX(K85:M85)=0,                    0,                    (3*MAX(K85:M85) - SUM(K85:M85)) / (2*MAX(K85:M85))                )            )        ) * 4    ))</f>
      </c>
      <c r="O85" s="231">
        <f>MAX(K85:M85)</f>
      </c>
      <c r="P85" s="172">
        <f>IF(    MAX(K85:M85) &lt;= 0,    0,    MIN(        24,        MAX(            12,            48 - 3 * MAX(K85:M85)        )    ))</f>
      </c>
      <c r="Q85" s="231">
        <f>SUM(K85:M85)</f>
      </c>
      <c r="R85" s="232">
        <f>IF(Q85/24=0,"",Q85/24)</f>
      </c>
      <c r="S85" s="77"/>
      <c r="T85" s="85" t="str">
        <v>从“光学迷彩”状态解除后，第一次普通攻击必定暴击。</v>
      </c>
      <c r="U85" s="85" t="str">
        <v>暴击触发：{必定}</v>
      </c>
      <c r="V85" s="229"/>
      <c r="W85" s="229"/>
      <c r="X85" s="85" t="str">
        <v>帮会暗杀技巧芯片化。"影袭"芯片记录了无数次从阴影中发起的致命攻击数据，保证你现身的第一击精准而致命。</v>
      </c>
      <c r="Y85" s="210"/>
      <c r="Z85" s="210" t="str">
        <v>踏雪无痕</v>
      </c>
      <c r="AA85" s="210"/>
      <c r="AB85" s="210"/>
      <c r="AC85" s="210"/>
      <c r="AD85" s="210"/>
      <c r="AE85" s="210" t="str">
        <v>潜行, 普攻强化, 暴击</v>
      </c>
      <c r="AF85" s="11" t="str">
        <v>待办</v>
      </c>
      <c r="AG85" s="11" t="str">
        <v>不急</v>
      </c>
      <c r="AH85" s="11" t="str">
        <v>待办</v>
      </c>
      <c r="AI85" s="11"/>
      <c r="AJ85" s="11"/>
      <c r="AK85" s="11" t="str">
        <v>不急</v>
      </c>
      <c r="AL85" s="11" t="str">
        <v>不急</v>
      </c>
      <c r="AM85" s="11"/>
      <c r="AN85" s="50"/>
      <c r="AO85" s="50"/>
    </row>
    <row r="86">
      <c r="A86" s="203"/>
      <c r="B86" s="203" t="str">
        <v>JC 'Retribution' Field</v>
      </c>
      <c r="C86" s="203" t="str">
        <v>“报复力场”</v>
      </c>
      <c r="D86" s="203">
        <f>IFERROR(SUBSTITUTE(MID(C86,FIND("“",C86)+1,FIND("”",C86,FIND("“",C86)+1)-FIND("“",C86)-1)," ",""),"")</f>
      </c>
      <c r="E86" s="53" t="str">
        <v>耶利哥</v>
      </c>
      <c r="F86" s="53" t="str">
        <v>皮肤</v>
      </c>
      <c r="G86" s="213">
        <f>VLOOKUP(F86,'引用数据库'!AL:AN,3,FALSE)</f>
      </c>
      <c r="H86" s="209"/>
      <c r="I86" s="209"/>
      <c r="J86" s="1"/>
      <c r="K86" s="57">
        <v>8</v>
      </c>
      <c r="L86" s="57">
        <v>4</v>
      </c>
      <c r="M86" s="57">
        <v>6</v>
      </c>
      <c r="N86" s="172">
        <f>IF(    SUM(K86:M86)=0,    0,    8 + (        MAX(            0,            MIN(                1,                IF(                    MAX(K86:M86)=0,                    0,                    (3*MAX(K86:M86) - SUM(K86:M86)) / (2*MAX(K86:M86))                )            )        ) * 4    ))</f>
      </c>
      <c r="O86" s="231">
        <f>MAX(K86:M86)</f>
      </c>
      <c r="P86" s="172">
        <f>IF(    MAX(K86:M86) &lt;= 0,    0,    MIN(        24,        MAX(            12,            48 - 3 * MAX(K86:M86)        )    ))</f>
      </c>
      <c r="Q86" s="231">
        <f>SUM(K86:M86)</f>
      </c>
      <c r="R86" s="232">
        <f>IF(Q86/24=0,"",Q86/24)</f>
      </c>
      <c r="S86" s="77"/>
      <c r="T86" s="85" t="str">
        <v>受到任何来源的伤害时，对 {5m} 范围内的随机 {1} 名敌人造成一次基于你已损失生命值百分比的反伤。</v>
      </c>
      <c r="U86" s="85" t="str">
        <v>反伤伤害：{已损失生命值% x 力量} 
范围：{5m}; 
目标：{随机1名}</v>
      </c>
      <c r="V86" s="229"/>
      <c r="W86" s="229"/>
      <c r="X86" s="85" t="str">
        <v>耶利哥利用生物电场和痛苦反馈回路制造的防御系统。“报复力场”将你承受的痛苦转化为攻击性的能量，随机倾泻在你周围的敌人身上。</v>
      </c>
      <c r="Y86" s="210"/>
      <c r="Z86" s="210" t="str">
        <v>海市蜃楼</v>
      </c>
      <c r="AA86" s="210"/>
      <c r="AB86" s="210"/>
      <c r="AC86" s="210"/>
      <c r="AD86" s="210"/>
      <c r="AE86" s="210" t="str">
        <v>反伤, 受击触发, 范围伤害</v>
      </c>
      <c r="AF86" s="11" t="str">
        <v>待办</v>
      </c>
      <c r="AG86" s="11" t="str">
        <v>待办</v>
      </c>
      <c r="AH86" s="11" t="str">
        <v>不急</v>
      </c>
      <c r="AI86" s="11"/>
      <c r="AJ86" s="11"/>
      <c r="AK86" s="11" t="str">
        <v>不急</v>
      </c>
      <c r="AL86" s="11" t="str">
        <v>不急</v>
      </c>
      <c r="AM86" s="11"/>
      <c r="AN86" s="50"/>
      <c r="AO86" s="50"/>
    </row>
    <row r="87">
      <c r="A87" s="203"/>
      <c r="B87" s="203" t="str">
        <v>JC 'Synaptic Overload' Emitter</v>
      </c>
      <c r="C87" s="203" t="str">
        <v>“突触超载”发射器</v>
      </c>
      <c r="D87" s="203">
        <f>IFERROR(SUBSTITUTE(MID(C87,FIND("“",C87)+1,FIND("”",C87,FIND("“",C87)+1)-FIND("“",C87)-1)," ",""),"")</f>
      </c>
      <c r="E87" s="53" t="str">
        <v>耶利哥</v>
      </c>
      <c r="F87" s="53" t="str">
        <v>副手</v>
      </c>
      <c r="G87" s="213">
        <f>VLOOKUP(F87,'引用数据库'!AL:AN,3,FALSE)</f>
      </c>
      <c r="H87" s="209"/>
      <c r="I87" s="209"/>
      <c r="J87" s="1"/>
      <c r="K87" s="57">
        <v>4</v>
      </c>
      <c r="L87" s="57">
        <v>6</v>
      </c>
      <c r="M87" s="57">
        <v>8</v>
      </c>
      <c r="N87" s="172">
        <f>IF(    SUM(K87:M87)=0,    0,    8 + (        MAX(            0,            MIN(                1,                IF(                    MAX(K87:M87)=0,                    0,                    (3*MAX(K87:M87) - SUM(K87:M87)) / (2*MAX(K87:M87))                )            )        ) * 4    ))</f>
      </c>
      <c r="O87" s="231">
        <f>MAX(K87:M87)</f>
      </c>
      <c r="P87" s="172">
        <f>IF(    MAX(K87:M87) &lt;= 0,    0,    MIN(        24,        MAX(            12,            48 - 3 * MAX(K87:M87)        )    ))</f>
      </c>
      <c r="Q87" s="231">
        <f>SUM(K87:M87)</f>
      </c>
      <c r="R87" s="232">
        <f>IF(Q87/24=0,"",Q87/24)</f>
      </c>
      <c r="S87" s="77"/>
      <c r="T87" s="85" t="str">
        <v>武器技能命中时，受击者身上的“麻痹”层数翻倍。</v>
      </c>
      <c r="U87" s="85"/>
      <c r="V87" s="229"/>
      <c r="W87" s="229"/>
      <c r="X87" s="85" t="str">
        <v>耶利哥的神经干扰技术。“超载”系列副手模块。它能瞬间释放强烈的生物电信号，直接冲击目标的神经中枢，使其陷入短暂的瘫痪。</v>
      </c>
      <c r="Y87" s="210"/>
      <c r="Z87" s="210" t="str">
        <v>虫群</v>
      </c>
      <c r="AA87" s="210"/>
      <c r="AB87" s="210"/>
      <c r="AC87" s="210"/>
      <c r="AD87" s="210"/>
      <c r="AE87" s="210" t="str">
        <v>武器技能, 控制, 电击, 麻痹</v>
      </c>
      <c r="AF87" s="11" t="str">
        <v>不急</v>
      </c>
      <c r="AG87" s="11" t="str">
        <v>不急</v>
      </c>
      <c r="AH87" s="11" t="str">
        <v>待办</v>
      </c>
      <c r="AI87" s="11"/>
      <c r="AJ87" s="11"/>
      <c r="AK87" s="11" t="str">
        <v>不急</v>
      </c>
      <c r="AL87" s="11" t="str">
        <v>不急</v>
      </c>
      <c r="AM87" s="11"/>
      <c r="AN87" s="50"/>
      <c r="AO87" s="50"/>
    </row>
    <row r="88">
      <c r="A88" s="203"/>
      <c r="B88" s="203" t="str">
        <v>RI 'ChainLightning+' Chip</v>
      </c>
      <c r="C88" s="203" t="str">
        <v>“静滞”神经鞘</v>
      </c>
      <c r="D88" s="203">
        <f>IFERROR(SUBSTITUTE(MID(C88,FIND("“",C88)+1,FIND("”",C88,FIND("“",C88)+1)-FIND("“",C88)-1)," ",""),"")</f>
      </c>
      <c r="E88" s="53" t="str">
        <v>耶利哥</v>
      </c>
      <c r="F88" s="53" t="str">
        <v>皮肤</v>
      </c>
      <c r="G88" s="213">
        <f>VLOOKUP(F88,'引用数据库'!AL:AN,3,FALSE)</f>
      </c>
      <c r="H88" s="209"/>
      <c r="I88" s="209"/>
      <c r="J88" s="1"/>
      <c r="K88" s="57">
        <v>5</v>
      </c>
      <c r="L88" s="57">
        <v>2</v>
      </c>
      <c r="M88" s="57">
        <v>11</v>
      </c>
      <c r="N88" s="172">
        <f>IF(    SUM(K88:M88)=0,    0,    8 + (        MAX(            0,            MIN(                1,                IF(                    MAX(K88:M88)=0,                    0,                    (3*MAX(K88:M88) - SUM(K88:M88)) / (2*MAX(K88:M88))                )            )        ) * 4    ))</f>
      </c>
      <c r="O88" s="231">
        <f>MAX(K88:M88)</f>
      </c>
      <c r="P88" s="172">
        <f>IF(    MAX(K88:M88) &lt;= 0,    0,    MIN(        24,        MAX(            12,            48 - 3 * MAX(K88:M88)        )    ))</f>
      </c>
      <c r="Q88" s="231">
        <f>SUM(K88:M88)</f>
      </c>
      <c r="R88" s="232">
        <f>IF(Q88/24=0,"",Q88/24)</f>
      </c>
      <c r="S88" s="77"/>
      <c r="T88" s="85" t="str">
        <v>减少受击时产生的硬直时间。</v>
      </c>
      <c r="U88" s="85" t="str">
        <v>硬直时间缩短：{-50%}</v>
      </c>
      <c r="V88" s="229"/>
      <c r="W88" s="229"/>
      <c r="X88" s="85" t="str">
        <v>耶利哥的湿件技术有时会走向奇怪的方向。“苦修士”系列皮肤追求在极端痛苦中保持平静。这款“静滞”神经鞘能有效过滤痛觉信号，让你在枪林弹雨中屹立不倒。</v>
      </c>
      <c r="Y88" s="210"/>
      <c r="Z88" s="210" t="str">
        <v>圣约</v>
      </c>
      <c r="AA88" s="210"/>
      <c r="AB88" s="210"/>
      <c r="AC88" s="210"/>
      <c r="AD88" s="210"/>
      <c r="AE88" s="210" t="str">
        <v>生存, 受击反馈</v>
      </c>
      <c r="AF88" s="11" t="str">
        <v>不急</v>
      </c>
      <c r="AG88" s="11" t="str">
        <v>不急</v>
      </c>
      <c r="AH88" s="11" t="str">
        <v>不急</v>
      </c>
      <c r="AI88" s="11"/>
      <c r="AJ88" s="11"/>
      <c r="AK88" s="11" t="str">
        <v>不急</v>
      </c>
      <c r="AL88" s="11" t="str">
        <v>不急</v>
      </c>
      <c r="AM88" s="11"/>
      <c r="AN88" s="50"/>
      <c r="AO88" s="50"/>
    </row>
    <row r="89">
      <c r="A89" s="203"/>
      <c r="B89" s="203" t="str">
        <v>JC 'Ohmic Resonance' Frame</v>
      </c>
      <c r="C89" s="203" t="str">
        <v>“欧姆共振”骨架</v>
      </c>
      <c r="D89" s="203">
        <f>IFERROR(SUBSTITUTE(MID(C89,FIND("“",C89)+1,FIND("”",C89,FIND("“",C89)+1)-FIND("“",C89)-1)," ",""),"")</f>
      </c>
      <c r="E89" s="53" t="str">
        <v>耶利哥</v>
      </c>
      <c r="F89" s="53" t="str">
        <v>骨骼</v>
      </c>
      <c r="G89" s="213">
        <f>VLOOKUP(F89,'引用数据库'!AL:AN,3,FALSE)</f>
      </c>
      <c r="H89" s="209"/>
      <c r="I89" s="209"/>
      <c r="J89" s="1"/>
      <c r="K89" s="57">
        <v>6</v>
      </c>
      <c r="L89" s="57">
        <v>5</v>
      </c>
      <c r="M89" s="57">
        <v>7</v>
      </c>
      <c r="N89" s="172">
        <f>IF(    SUM(K89:M89)=0,    0,    8 + (        MAX(            0,            MIN(                1,                IF(                    MAX(K89:M89)=0,                    0,                    (3*MAX(K89:M89) - SUM(K89:M89)) / (2*MAX(K89:M89))                )            )        ) * 4    ))</f>
      </c>
      <c r="O89" s="231">
        <f>MAX(K89:M89)</f>
      </c>
      <c r="P89" s="172">
        <f>IF(    MAX(K89:M89) &lt;= 0,    0,    MIN(        24,        MAX(            12,            48 - 3 * MAX(K89:M89)        )    ))</f>
      </c>
      <c r="Q89" s="231">
        <f>SUM(K89:M89)</f>
      </c>
      <c r="R89" s="232">
        <f>IF(Q89/24=0,"",Q89/24)</f>
      </c>
      <c r="S89" s="77"/>
      <c r="T89" s="85" t="str">
        <v>提升自身电击抗性。受到电击伤害后，短时间内普通攻击附加的电击伤害增加。</v>
      </c>
      <c r="U89" s="85" t="str">
        <v>电击抗性：{+60%}; 附加电击伤害：{智力 x 5} 电击伤害; 持续时间：{6s}</v>
      </c>
      <c r="V89" s="229"/>
      <c r="W89" s="229"/>
      <c r="X89" s="85" t="str">
        <v>耶利哥在生物电研究上的成果。“调和”系列骨架能与外部电场共振，极大提升抗性。当电流穿过身体时，骨架甚至能将其引导至武器，释放更强的电能。</v>
      </c>
      <c r="Y89" s="210"/>
      <c r="Z89" s="210" t="str">
        <v>灰蛊</v>
      </c>
      <c r="AA89" s="210"/>
      <c r="AB89" s="210"/>
      <c r="AC89" s="210"/>
      <c r="AD89" s="210"/>
      <c r="AE89" s="210" t="str">
        <v>生存, 电击抗性, 普攻强化, 电击</v>
      </c>
      <c r="AF89" s="11" t="str">
        <v>待办</v>
      </c>
      <c r="AG89" s="11" t="str">
        <v>不急</v>
      </c>
      <c r="AH89" s="11" t="str">
        <v>不急</v>
      </c>
      <c r="AI89" s="11"/>
      <c r="AJ89" s="11"/>
      <c r="AK89" s="11" t="str">
        <v>不急</v>
      </c>
      <c r="AL89" s="11" t="str">
        <v>不急</v>
      </c>
      <c r="AM89" s="11"/>
      <c r="AN89" s="50"/>
      <c r="AO89" s="50"/>
    </row>
    <row r="90">
      <c r="A90" s="203"/>
      <c r="B90" s="203" t="str">
        <v>JC 'Faraday Cage' Skeleton</v>
      </c>
      <c r="C90" s="203" t="str">
        <v>“法拉第笼”骨架</v>
      </c>
      <c r="D90" s="203">
        <f>IFERROR(SUBSTITUTE(MID(C90,FIND("“",C90)+1,FIND("”",C90,FIND("“",C90)+1)-FIND("“",C90)-1)," ",""),"")</f>
      </c>
      <c r="E90" s="53" t="str">
        <v>耶利哥</v>
      </c>
      <c r="F90" s="53" t="str">
        <v>骨骼</v>
      </c>
      <c r="G90" s="213">
        <f>VLOOKUP(F90,'引用数据库'!AL:AN,3,FALSE)</f>
      </c>
      <c r="H90" s="209"/>
      <c r="I90" s="209"/>
      <c r="J90" s="1"/>
      <c r="K90" s="57">
        <v>6</v>
      </c>
      <c r="L90" s="57">
        <v>6</v>
      </c>
      <c r="M90" s="57">
        <v>6</v>
      </c>
      <c r="N90" s="172">
        <f>IF(    SUM(K90:M90)=0,    0,    8 + (        MAX(            0,            MIN(                1,                IF(                    MAX(K90:M90)=0,                    0,                    (3*MAX(K90:M90) - SUM(K90:M90)) / (2*MAX(K90:M90))                )            )        ) * 4    ))</f>
      </c>
      <c r="O90" s="231">
        <f>MAX(K90:M90)</f>
      </c>
      <c r="P90" s="172">
        <f>IF(    MAX(K90:M90) &lt;= 0,    0,    MIN(        24,        MAX(            12,            48 - 3 * MAX(K90:M90)        )    ))</f>
      </c>
      <c r="Q90" s="231">
        <f>SUM(K90:M90)</f>
      </c>
      <c r="R90" s="232">
        <f>IF(Q90/24=0,"",Q90/24)</f>
      </c>
      <c r="S90" s="77"/>
      <c r="T90" s="85" t="str">
        <v>当你有护甲时，麻痹效果与电磁伤害对你无效。</v>
      </c>
      <c r="U90" s="85"/>
      <c r="V90" s="229"/>
      <c r="W90" s="229"/>
      <c r="X90" s="85" t="str">
        <v>耶利哥将生物反馈与电磁屏蔽结合的产物。“调和”系列骨架。通过在骨骼层面形成微观的法拉第笼结构，提升身体对各种异常状态能量侵蚀的抵抗力。</v>
      </c>
      <c r="Y90" s="210"/>
      <c r="Z90" s="210" t="str">
        <v>先知</v>
      </c>
      <c r="AA90" s="210"/>
      <c r="AB90" s="210"/>
      <c r="AC90" s="210"/>
      <c r="AD90" s="210"/>
      <c r="AE90" s="210" t="str">
        <v>生存, 状态抵抗</v>
      </c>
      <c r="AF90" s="11" t="str">
        <v>待办</v>
      </c>
      <c r="AG90" s="11" t="str">
        <v>不急</v>
      </c>
      <c r="AH90" s="11" t="str">
        <v>不急</v>
      </c>
      <c r="AI90" s="11"/>
      <c r="AJ90" s="11"/>
      <c r="AK90" s="11" t="str">
        <v>不急</v>
      </c>
      <c r="AL90" s="11" t="str">
        <v>不急</v>
      </c>
      <c r="AM90" s="11"/>
      <c r="AN90" s="50"/>
      <c r="AO90" s="50"/>
    </row>
    <row r="91">
      <c r="A91" s="203"/>
      <c r="B91" s="203" t="str">
        <v>JC 'Energy Siphon' Chip</v>
      </c>
      <c r="C91" s="203" t="str">
        <v>“能量虹吸”芯片</v>
      </c>
      <c r="D91" s="203">
        <f>IFERROR(SUBSTITUTE(MID(C91,FIND("“",C91)+1,FIND("”",C91,FIND("“",C91)+1)-FIND("“",C91)-1)," ",""),"")</f>
      </c>
      <c r="E91" s="53" t="str">
        <v>耶利哥</v>
      </c>
      <c r="F91" s="53" t="str">
        <v>行为芯片</v>
      </c>
      <c r="G91" s="213">
        <f>VLOOKUP(F91,'引用数据库'!AL:AN,3,FALSE)</f>
      </c>
      <c r="H91" s="209"/>
      <c r="I91" s="209"/>
      <c r="J91" s="1"/>
      <c r="K91" s="57">
        <v>0</v>
      </c>
      <c r="L91" s="57">
        <v>0</v>
      </c>
      <c r="M91" s="57">
        <v>0</v>
      </c>
      <c r="N91" s="172">
        <f>IF(    SUM(K91:M91)=0,    0,    8 + (        MAX(            0,            MIN(                1,                IF(                    MAX(K91:M91)=0,                    0,                    (3*MAX(K91:M91) - SUM(K91:M91)) / (2*MAX(K91:M91))                )            )        ) * 4    ))</f>
      </c>
      <c r="O91" s="231">
        <f>MAX(K91:M91)</f>
      </c>
      <c r="P91" s="172">
        <f>IF(    MAX(K91:M91) &lt;= 0,    0,    MIN(        24,        MAX(            12,            48 - 3 * MAX(K91:M91)        )    ))</f>
      </c>
      <c r="Q91" s="231">
        <f>SUM(K91:M91)</f>
      </c>
      <c r="R91" s="232">
        <f>IF(Q91/24=0,"",Q91/24)</f>
      </c>
      <c r="S91" s="77"/>
      <c r="T91" s="85" t="str">
        <v>成功对敌人施加“电击瘫痪”状态时，回复少量生命值。</v>
      </c>
      <c r="U91" s="85" t="str">
        <v>生命恢复：{最大生命值的6%}</v>
      </c>
      <c r="V91" s="229"/>
      <c r="W91" s="229"/>
      <c r="X91" s="85" t="str">
        <v>湿件能量回收技术。“能量虹吸”芯片能在敌人系统崩溃的瞬间，从中汲取生物电能转化为生命力。</v>
      </c>
      <c r="Y91" s="210"/>
      <c r="Z91" s="210" t="str">
        <v>灰蛊</v>
      </c>
      <c r="AA91" s="210"/>
      <c r="AB91" s="210"/>
      <c r="AC91" s="210"/>
      <c r="AD91" s="210"/>
      <c r="AE91" s="210" t="str">
        <v>生存, 电击, 控制</v>
      </c>
      <c r="AF91" s="11" t="str">
        <v>不急</v>
      </c>
      <c r="AG91" s="11" t="str">
        <v>不急</v>
      </c>
      <c r="AH91" s="11" t="str">
        <v>待办</v>
      </c>
      <c r="AI91" s="11"/>
      <c r="AJ91" s="11"/>
      <c r="AK91" s="11" t="str">
        <v>不急</v>
      </c>
      <c r="AL91" s="11" t="str">
        <v>不急</v>
      </c>
      <c r="AM91" s="11"/>
      <c r="AN91" s="50"/>
      <c r="AO91" s="50"/>
    </row>
    <row r="92">
      <c r="A92" s="203"/>
      <c r="B92" s="203" t="str">
        <v>JC 'Agony' Amplifier</v>
      </c>
      <c r="C92" s="203" t="str">
        <v>“剧痛”增幅器</v>
      </c>
      <c r="D92" s="203">
        <f>IFERROR(SUBSTITUTE(MID(C92,FIND("“",C92)+1,FIND("”",C92,FIND("“",C92)+1)-FIND("“",C92)-1)," ",""),"")</f>
      </c>
      <c r="E92" s="53" t="str">
        <v>耶利哥</v>
      </c>
      <c r="F92" s="53" t="str">
        <v>行为芯片</v>
      </c>
      <c r="G92" s="213">
        <f>VLOOKUP(F92,'引用数据库'!AL:AN,3,FALSE)</f>
      </c>
      <c r="H92" s="209"/>
      <c r="I92" s="209"/>
      <c r="J92" s="1"/>
      <c r="K92" s="57">
        <v>0</v>
      </c>
      <c r="L92" s="57">
        <v>0</v>
      </c>
      <c r="M92" s="57">
        <v>0</v>
      </c>
      <c r="N92" s="172">
        <f>IF(    SUM(K92:M92)=0,    0,    8 + (        MAX(            0,            MIN(                1,                IF(                    MAX(K92:M92)=0,                    0,                    (3*MAX(K92:M92) - SUM(K92:M92)) / (2*MAX(K92:M92))                )            )        ) * 4    ))</f>
      </c>
      <c r="O92" s="231">
        <f>MAX(K92:M92)</f>
      </c>
      <c r="P92" s="172">
        <f>IF(    MAX(K92:M92) &lt;= 0,    0,    MIN(        24,        MAX(            12,            48 - 3 * MAX(K92:M92)        )    ))</f>
      </c>
      <c r="Q92" s="231">
        <f>SUM(K92:M92)</f>
      </c>
      <c r="R92" s="232">
        <f>IF(Q92/24=0,"",Q92/24)</f>
      </c>
      <c r="S92" s="77"/>
      <c r="T92" s="85" t="str">
        <v>敌人每承受一种来自玩家施加的不同类型的持续伤害效果（DoT），其受到的所有伤害增加。</v>
      </c>
      <c r="U92" s="85" t="str">
        <v>每种DoT增伤：{+20%}</v>
      </c>
      <c r="V92" s="229"/>
      <c r="W92" s="229"/>
      <c r="X92" s="85" t="str">
        <v>耶利哥对神经科学的扭曲应用。“剧痛”增幅器让敌人的痛苦层层叠加，每一秒都如同在地狱中煎熬。</v>
      </c>
      <c r="Y92" s="210"/>
      <c r="Z92" s="210" t="str">
        <v>圣约</v>
      </c>
      <c r="AA92" s="210"/>
      <c r="AB92" s="210"/>
      <c r="AC92" s="210"/>
      <c r="AD92" s="210"/>
      <c r="AE92" s="210" t="str">
        <v>持续伤害, 易伤</v>
      </c>
      <c r="AF92" s="11" t="str">
        <v>待办</v>
      </c>
      <c r="AG92" s="11" t="str">
        <v>待办</v>
      </c>
      <c r="AH92" s="11" t="str">
        <v>不急</v>
      </c>
      <c r="AI92" s="11"/>
      <c r="AJ92" s="11"/>
      <c r="AK92" s="11" t="str">
        <v>不急</v>
      </c>
      <c r="AL92" s="11" t="str">
        <v>不急</v>
      </c>
      <c r="AM92" s="11"/>
      <c r="AN92" s="50"/>
      <c r="AO92" s="50"/>
    </row>
    <row r="93">
      <c r="A93" s="203"/>
      <c r="B93" s="203" t="str">
        <v>WW 'Regular Customer' Discount"</v>
      </c>
      <c r="C93" s="203" t="str">
        <v>老主顾</v>
      </c>
      <c r="D93" s="203">
        <f>IFERROR(SUBSTITUTE(MID(C93,FIND("“",C93)+1,FIND("”",C93,FIND("“",C93)+1)-FIND("“",C93)-1)," ",""),"")</f>
      </c>
      <c r="E93" s="53" t="str">
        <v>野望</v>
      </c>
      <c r="F93" s="53" t="str">
        <v>行为芯片</v>
      </c>
      <c r="G93" s="213">
        <f>VLOOKUP(F93,'引用数据库'!AL:AN,3,FALSE)</f>
      </c>
      <c r="H93" s="209"/>
      <c r="I93" s="209"/>
      <c r="J93" s="1"/>
      <c r="K93" s="57">
        <v>0</v>
      </c>
      <c r="L93" s="57">
        <v>0</v>
      </c>
      <c r="M93" s="57">
        <v>0</v>
      </c>
      <c r="N93" s="172">
        <f>IF(    SUM(K93:M93)=0,    0,    8 + (        MAX(            0,            MIN(                1,                IF(                    MAX(K93:M93)=0,                    0,                    (3*MAX(K93:M93) - SUM(K93:M93)) / (2*MAX(K93:M93))                )            )        ) * 4    ))</f>
      </c>
      <c r="O93" s="231">
        <f>MAX(K93:M93)</f>
      </c>
      <c r="P93" s="172">
        <f>IF(    MAX(K93:M93) &lt;= 0,    0,    MIN(        24,        MAX(            12,            48 - 3 * MAX(K93:M93)        )    ))</f>
      </c>
      <c r="Q93" s="231">
        <f>SUM(K93:M93)</f>
      </c>
      <c r="R93" s="232">
        <f>IF(Q93/24=0,"",Q93/24)</f>
      </c>
      <c r="S93" s="77"/>
      <c r="T93" s="85" t="str">
        <v>你在义体打印机的刷新获得折扣。</v>
      </c>
      <c r="U93" s="85" t="str">
        <v>折扣力度：{30%}</v>
      </c>
      <c r="V93" s="229"/>
      <c r="W93" s="229"/>
      <c r="X93" s="85" t="str">
        <v>独特的情感编辑器，让你看起来和本地的供应商混得很熟，他们总乐意给你点“内部价”。</v>
      </c>
      <c r="Y93" s="207"/>
      <c r="Z93" s="207" t="str">
        <v>街头小子</v>
      </c>
      <c r="AA93" s="207"/>
      <c r="AB93" s="207"/>
      <c r="AC93" s="207"/>
      <c r="AD93" s="207"/>
      <c r="AE93" s="207" t="str">
        <v>经济</v>
      </c>
      <c r="AF93" s="11" t="str">
        <v>待办</v>
      </c>
      <c r="AG93" s="11" t="str">
        <v>不急</v>
      </c>
      <c r="AH93" s="11" t="str">
        <v>不急</v>
      </c>
      <c r="AI93" s="11"/>
      <c r="AJ93" s="11"/>
      <c r="AK93" s="11" t="str">
        <v>不急</v>
      </c>
      <c r="AL93" s="11" t="str">
        <v>不急</v>
      </c>
      <c r="AM93" s="11"/>
      <c r="AN93" s="50"/>
      <c r="AO93" s="50"/>
    </row>
    <row r="94">
      <c r="A94" s="203"/>
      <c r="B94" s="203" t="str">
        <v>WW 'Spreading Flames' Mod</v>
      </c>
      <c r="C94" s="203" t="str">
        <v>扩散燃烧</v>
      </c>
      <c r="D94" s="203">
        <f>IFERROR(SUBSTITUTE(MID(C94,FIND("“",C94)+1,FIND("”",C94,FIND("“",C94)+1)-FIND("“",C94)-1)," ",""),"")</f>
      </c>
      <c r="E94" s="53" t="str">
        <v>野望</v>
      </c>
      <c r="F94" s="53" t="str">
        <v>行为芯片</v>
      </c>
      <c r="G94" s="213">
        <f>VLOOKUP(F94,'引用数据库'!AL:AN,3,FALSE)</f>
      </c>
      <c r="H94" s="209"/>
      <c r="I94" s="209"/>
      <c r="J94" s="1"/>
      <c r="K94" s="57">
        <v>0</v>
      </c>
      <c r="L94" s="57">
        <v>0</v>
      </c>
      <c r="M94" s="57">
        <v>0</v>
      </c>
      <c r="N94" s="172">
        <f>IF(    SUM(K94:M94)=0,    0,    8 + (        MAX(            0,            MIN(                1,                IF(                    MAX(K94:M94)=0,                    0,                    (3*MAX(K94:M94) - SUM(K94:M94)) / (2*MAX(K94:M94))                )            )        ) * 4    ))</f>
      </c>
      <c r="O94" s="231">
        <f>MAX(K94:M94)</f>
      </c>
      <c r="P94" s="172">
        <f>IF(    MAX(K94:M94) &lt;= 0,    0,    MIN(        24,        MAX(            12,            48 - 3 * MAX(K94:M94)        )    ))</f>
      </c>
      <c r="Q94" s="231">
        <f>SUM(K94:M94)</f>
      </c>
      <c r="R94" s="232">
        <f>IF(Q94/24=0,"",Q94/24)</f>
      </c>
      <c r="S94" s="77"/>
      <c r="T94" s="85" t="str">
        <v>带有“灼烧”效果的敌人在死亡时，会在原地留下一团火焰。</v>
      </c>
      <c r="U94" s="85" t="str">
        <v>火焰直径：{1m}
每秒伤害 &amp; 持续时间：继承自灼烧</v>
      </c>
      <c r="V94" s="229"/>
      <c r="W94" s="229"/>
      <c r="X94" s="85" t="str">
        <v>野望的高温研究副产物，让敌人的死亡变成点燃下一场大火的引信。</v>
      </c>
      <c r="Y94" s="210"/>
      <c r="Z94" s="210" t="str">
        <v>炼狱</v>
      </c>
      <c r="AA94" s="210"/>
      <c r="AB94" s="210"/>
      <c r="AC94" s="210"/>
      <c r="AD94" s="210"/>
      <c r="AE94" s="210" t="str">
        <v>持续伤害, 灼烧, 扩散</v>
      </c>
      <c r="AF94" s="11" t="str">
        <v>不急</v>
      </c>
      <c r="AG94" s="11" t="str">
        <v>不急</v>
      </c>
      <c r="AH94" s="11" t="str">
        <v>待办</v>
      </c>
      <c r="AI94" s="11"/>
      <c r="AJ94" s="11"/>
      <c r="AK94" s="11" t="str">
        <v>不急</v>
      </c>
      <c r="AL94" s="11" t="str">
        <v>不急</v>
      </c>
      <c r="AM94" s="11"/>
      <c r="AN94" s="50"/>
      <c r="AO94" s="50"/>
    </row>
    <row r="95">
      <c r="A95" s="203"/>
      <c r="B95" s="203" t="str">
        <v>WW 'Blade Dancer' Reflexes</v>
      </c>
      <c r="C95" s="203" t="str">
        <v>“刀舞者”反射</v>
      </c>
      <c r="D95" s="203">
        <f>IFERROR(SUBSTITUTE(MID(C95,FIND("“",C95)+1,FIND("”",C95,FIND("“",C95)+1)-FIND("“",C95)-1)," ",""),"")</f>
      </c>
      <c r="E95" s="53" t="str">
        <v>野望</v>
      </c>
      <c r="F95" s="53" t="str">
        <v>腿部</v>
      </c>
      <c r="G95" s="213">
        <f>VLOOKUP(F95,'引用数据库'!AL:AN,3,FALSE)</f>
      </c>
      <c r="H95" s="209"/>
      <c r="I95" s="209"/>
      <c r="J95" s="1"/>
      <c r="K95" s="57">
        <v>5</v>
      </c>
      <c r="L95" s="57">
        <v>10</v>
      </c>
      <c r="M95" s="57">
        <v>3</v>
      </c>
      <c r="N95" s="172">
        <f>IF(    SUM(K95:M95)=0,    0,    8 + (        MAX(            0,            MIN(                1,                IF(                    MAX(K95:M95)=0,                    0,                    (3*MAX(K95:M95) - SUM(K95:M95)) / (2*MAX(K95:M95))                )            )        ) * 4    ))</f>
      </c>
      <c r="O95" s="231">
        <f>MAX(K95:M95)</f>
      </c>
      <c r="P95" s="172">
        <f>IF(    MAX(K95:M95) &lt;= 0,    0,    MIN(        24,        MAX(            12,            48 - 3 * MAX(K95:M95)        )    ))</f>
      </c>
      <c r="Q95" s="231">
        <f>SUM(K95:M95)</f>
      </c>
      <c r="R95" s="232">
        <f>IF(Q95/24=0,"",Q95/24)</f>
      </c>
      <c r="S95" s="77"/>
      <c r="T95" s="85" t="str">
        <v>翻滚动作替换为快速的滑步，滑步过程中拥有更长的无敌帧。成功用滑步躲避一次攻击后，短时间提升近战攻击速度。</v>
      </c>
      <c r="U95" s="85" t="str">
        <v>滑步无敌帧：{+0.12s}; 
躲避后攻速加成：{+25%}; 
持续时间：{2.5s}</v>
      </c>
      <c r="V95" s="229"/>
      <c r="W95" s="229"/>
      <c r="X95" s="85" t="str">
        <v>野望为追求极致近战技巧的客户设计的义肢。“刀舞者”反射让你如同在刀尖上跳舞，完美闪避攻击的同时，以更快的速度还以颜色。</v>
      </c>
      <c r="Y95" s="210"/>
      <c r="Z95" s="210" t="str">
        <v>夜幕刺客</v>
      </c>
      <c r="AA95" s="210"/>
      <c r="AB95" s="210"/>
      <c r="AC95" s="210"/>
      <c r="AD95" s="210"/>
      <c r="AE95" s="210" t="str">
        <v>位移, 闪避, 攻速, 近战</v>
      </c>
      <c r="AF95" s="11" t="str">
        <v>待办</v>
      </c>
      <c r="AG95" s="11" t="str">
        <v>待办</v>
      </c>
      <c r="AH95" s="11" t="str">
        <v>不急</v>
      </c>
      <c r="AI95" s="11"/>
      <c r="AJ95" s="11"/>
      <c r="AK95" s="11" t="str">
        <v>不急</v>
      </c>
      <c r="AL95" s="11" t="str">
        <v>不急</v>
      </c>
      <c r="AM95" s="11"/>
      <c r="AN95" s="50"/>
      <c r="AO95" s="50"/>
    </row>
    <row r="96">
      <c r="A96" s="203"/>
      <c r="B96" s="203" t="str">
        <v>WW 'Lone Wolf's Alacrity'</v>
      </c>
      <c r="C96" s="203" t="str">
        <v>“孤狼敏捷”</v>
      </c>
      <c r="D96" s="203">
        <f>IFERROR(SUBSTITUTE(MID(C96,FIND("“",C96)+1,FIND("”",C96,FIND("“",C96)+1)-FIND("“",C96)-1)," ",""),"")</f>
      </c>
      <c r="E96" s="53" t="str">
        <v>野望</v>
      </c>
      <c r="F96" s="53" t="str">
        <v>腿部</v>
      </c>
      <c r="G96" s="213">
        <f>VLOOKUP(F96,'引用数据库'!AL:AN,3,FALSE)</f>
      </c>
      <c r="H96" s="209"/>
      <c r="I96" s="209"/>
      <c r="J96" s="1"/>
      <c r="K96" s="57">
        <v>6</v>
      </c>
      <c r="L96" s="57">
        <v>11</v>
      </c>
      <c r="M96" s="57">
        <v>1</v>
      </c>
      <c r="N96" s="172">
        <f>IF(    SUM(K96:M96)=0,    0,    8 + (        MAX(            0,            MIN(                1,                IF(                    MAX(K96:M96)=0,                    0,                    (3*MAX(K96:M96) - SUM(K96:M96)) / (2*MAX(K96:M96))                )            )        ) * 4    ))</f>
      </c>
      <c r="O96" s="231">
        <f>MAX(K96:M96)</f>
      </c>
      <c r="P96" s="172">
        <f>IF(    MAX(K96:M96) &lt;= 0,    0,    MIN(        24,        MAX(            12,            48 - 3 * MAX(K96:M96)        )    ))</f>
      </c>
      <c r="Q96" s="231">
        <f>SUM(K96:M96)</f>
      </c>
      <c r="R96" s="232">
        <f>IF(Q96/24=0,"",Q96/24)</f>
      </c>
      <c r="S96" s="77"/>
      <c r="T96" s="85" t="str">
        <v>只装备一把武器时，移动速度、奔跑速度、翻滚距离均获得提升。</v>
      </c>
      <c r="U96" s="85" t="str">
        <v>移动速度：{+20%}; 
奔跑速度：{+20%}; 
翻滚距离：{+20%}</v>
      </c>
      <c r="V96" s="229"/>
      <c r="W96" s="229"/>
      <c r="X96" s="85" t="str">
        <v>野望为那些喜欢单独行动的佣兵设计的腿部强化。“孤狼敏捷”让你如同荒野中的独狼一般迅捷而难以捉摸。</v>
      </c>
      <c r="Y96" s="210"/>
      <c r="Z96" s="210" t="str">
        <v>夜幕刺客</v>
      </c>
      <c r="AA96" s="210"/>
      <c r="AB96" s="210"/>
      <c r="AC96" s="210"/>
      <c r="AD96" s="210"/>
      <c r="AE96" s="210" t="str">
        <v>片手限定, 移动速度, 位移, 闪避</v>
      </c>
      <c r="AF96" s="11" t="str">
        <v>不急</v>
      </c>
      <c r="AG96" s="11" t="str">
        <v>待办</v>
      </c>
      <c r="AH96" s="11" t="str">
        <v>不急</v>
      </c>
      <c r="AI96" s="11"/>
      <c r="AJ96" s="11"/>
      <c r="AK96" s="11" t="str">
        <v>不急</v>
      </c>
      <c r="AL96" s="11" t="str">
        <v>不急</v>
      </c>
      <c r="AM96" s="11"/>
      <c r="AN96" s="50"/>
      <c r="AO96" s="50"/>
    </row>
    <row r="97">
      <c r="A97" s="203"/>
      <c r="B97" s="203" t="str">
        <v>WW 'Teen Spirit' Combat Optic</v>
      </c>
      <c r="C97" s="203" t="str">
        <v>“少年心气”战斗义眼</v>
      </c>
      <c r="D97" s="203">
        <f>IFERROR(SUBSTITUTE(MID(C97,FIND("“",C97)+1,FIND("”",C97,FIND("“",C97)+1)-FIND("“",C97)-1)," ",""),"")</f>
      </c>
      <c r="E97" s="75" t="str">
        <v>野望</v>
      </c>
      <c r="F97" s="53" t="str">
        <v>副手</v>
      </c>
      <c r="G97" s="213">
        <f>VLOOKUP(F97,'引用数据库'!AL:AN,3,FALSE)</f>
      </c>
      <c r="H97" s="209"/>
      <c r="I97" s="209"/>
      <c r="J97" s="1"/>
      <c r="K97" s="57">
        <f>+5</f>
      </c>
      <c r="L97" s="57">
        <f>+8</f>
      </c>
      <c r="M97" s="57">
        <f>+5</f>
      </c>
      <c r="N97" s="172">
        <f>IF(    SUM(K97:M97)=0,    0,    8 + (        MAX(            0,            MIN(                1,                IF(                    MAX(K97:M97)=0,                    0,                    (3*MAX(K97:M97) - SUM(K97:M97)) / (2*MAX(K97:M97))                )            )        ) * 4    ))</f>
      </c>
      <c r="O97" s="231">
        <f>MAX(K97:M97)</f>
      </c>
      <c r="P97" s="172">
        <f>IF(    MAX(K97:M97) &lt;= 0,    0,    MIN(        24,        MAX(            12,            48 - 3 * MAX(K97:M97)        )    ))</f>
      </c>
      <c r="Q97" s="231">
        <f>SUM(K97:M97)</f>
      </c>
      <c r="R97" s="232">
        <f>IF(Q97/24=0,"",Q97/24)</f>
      </c>
      <c r="S97" s="77"/>
      <c r="T97" s="85" t="str">
        <v>武器技能命中敌人时，对敌人施加“重伤”效果。</v>
      </c>
      <c r="U97" s="85"/>
      <c r="V97" s="229"/>
      <c r="W97" s="229"/>
      <c r="X97" s="85" t="str">
        <v>来自黑市的义体，却有着出人意料的生物亲和性。“少年心气”系列针对街巷战斗特化，拓展并过滤光谱，让你在混乱的战场中精准捕捉到转瞬即逝的破绽，如同街头混小子般锐利。</v>
      </c>
      <c r="Y97" s="207"/>
      <c r="Z97" s="207" t="str">
        <v>街头小子</v>
      </c>
      <c r="AA97" s="207"/>
      <c r="AB97" s="207"/>
      <c r="AC97" s="207"/>
      <c r="AD97" s="207"/>
      <c r="AE97" s="207"/>
      <c r="AF97" s="11" t="str">
        <v>不急</v>
      </c>
      <c r="AG97" s="11" t="str">
        <v>不急</v>
      </c>
      <c r="AH97" s="11" t="str">
        <v>不急</v>
      </c>
      <c r="AI97" s="11"/>
      <c r="AJ97" s="11"/>
      <c r="AK97" s="11" t="str">
        <v>不急</v>
      </c>
      <c r="AL97" s="11" t="str">
        <v>不急</v>
      </c>
      <c r="AM97" s="11"/>
      <c r="AN97" s="50"/>
      <c r="AO97" s="50"/>
    </row>
    <row r="98">
      <c r="A98" s="203"/>
      <c r="B98" s="203" t="str">
        <v>WW 'Acrobat' Balance Chip</v>
      </c>
      <c r="C98" s="203" t="str">
        <v>“体操员”平衡芯片</v>
      </c>
      <c r="D98" s="203">
        <f>IFERROR(SUBSTITUTE(MID(C98,FIND("“",C98)+1,FIND("”",C98,FIND("“",C98)+1)-FIND("“",C98)-1)," ",""),"")</f>
      </c>
      <c r="E98" s="53" t="str">
        <v>野望</v>
      </c>
      <c r="F98" s="53" t="str">
        <v>行为芯片</v>
      </c>
      <c r="G98" s="213">
        <f>VLOOKUP(F98,'引用数据库'!AL:AN,3,FALSE)</f>
      </c>
      <c r="H98" s="209"/>
      <c r="I98" s="209"/>
      <c r="J98" s="1"/>
      <c r="K98" s="57">
        <v>0</v>
      </c>
      <c r="L98" s="57">
        <v>0</v>
      </c>
      <c r="M98" s="57">
        <v>0</v>
      </c>
      <c r="N98" s="172">
        <f>IF(    SUM(K98:M98)=0,    0,    8 + (        MAX(            0,            MIN(                1,                IF(                    MAX(K98:M98)=0,                    0,                    (3*MAX(K98:M98) - SUM(K98:M98)) / (2*MAX(K98:M98))                )            )        ) * 4    ))</f>
      </c>
      <c r="O98" s="231">
        <f>MAX(K98:M98)</f>
      </c>
      <c r="P98" s="172">
        <f>IF(    MAX(K98:M98) &lt;= 0,    0,    MIN(        24,        MAX(            12,            48 - 3 * MAX(K98:M98)        )    ))</f>
      </c>
      <c r="Q98" s="231">
        <f>SUM(K98:M98)</f>
      </c>
      <c r="R98" s="232">
        <f>IF(Q98/24=0,"",Q98/24)</f>
      </c>
      <c r="S98" s="77"/>
      <c r="T98" s="85" t="str">
        <v>翻滚消耗的体力减少，且你可以额外连续翻滚 {1} 次（共享冷却时间）。</v>
      </c>
      <c r="U98" s="85" t="str">
        <v>体力消耗减少：{-25%}; 
额外翻滚次数：{+1}</v>
      </c>
      <c r="V98" s="229"/>
      <c r="W98" s="229"/>
      <c r="X98" s="85" t="str">
        <v>野望改造的平衡与协调增强芯片。“体操员”芯片让你身轻如燕，能做出更灵活、更连续的闪避动作。</v>
      </c>
      <c r="Y98" s="207"/>
      <c r="Z98" s="207" t="str">
        <v>街头小子</v>
      </c>
      <c r="AA98" s="207"/>
      <c r="AB98" s="207"/>
      <c r="AC98" s="207"/>
      <c r="AD98" s="207"/>
      <c r="AE98" s="207" t="str">
        <v>位移, 体力消耗, 连续翻滚</v>
      </c>
      <c r="AF98" s="11" t="str">
        <v>不急</v>
      </c>
      <c r="AG98" s="11" t="str">
        <v>待办</v>
      </c>
      <c r="AH98" s="11" t="str">
        <v>待办</v>
      </c>
      <c r="AI98" s="11"/>
      <c r="AJ98" s="11"/>
      <c r="AK98" s="11" t="str">
        <v>不急</v>
      </c>
      <c r="AL98" s="11" t="str">
        <v>不急</v>
      </c>
      <c r="AM98" s="11"/>
      <c r="AN98" s="50"/>
      <c r="AO98" s="50"/>
    </row>
    <row r="99">
      <c r="A99" s="203"/>
      <c r="B99" s="203" t="str">
        <v>WW 'Incendiary' Rounds Injector</v>
      </c>
      <c r="C99" s="203" t="str">
        <v>“燃爆”弹头注射器</v>
      </c>
      <c r="D99" s="203">
        <f>IFERROR(SUBSTITUTE(MID(C99,FIND("“",C99)+1,FIND("”",C99,FIND("“",C99)+1)-FIND("“",C99)-1)," ",""),"")</f>
      </c>
      <c r="E99" s="53" t="str">
        <v>野望</v>
      </c>
      <c r="F99" s="53" t="str">
        <v>主手</v>
      </c>
      <c r="G99" s="213">
        <f>VLOOKUP(F99,'引用数据库'!AL:AN,3,FALSE)</f>
      </c>
      <c r="H99" s="209"/>
      <c r="I99" s="209"/>
      <c r="J99" s="1"/>
      <c r="K99" s="57">
        <v>3</v>
      </c>
      <c r="L99" s="57">
        <v>6</v>
      </c>
      <c r="M99" s="57">
        <v>9</v>
      </c>
      <c r="N99" s="172">
        <f>IF(    SUM(K99:M99)=0,    0,    8 + (        MAX(            0,            MIN(                1,                IF(                    MAX(K99:M99)=0,                    0,                    (3*MAX(K99:M99) - SUM(K99:M99)) / (2*MAX(K99:M99))                )            )        ) * 4    ))</f>
      </c>
      <c r="O99" s="231">
        <f>MAX(K99:M99)</f>
      </c>
      <c r="P99" s="172">
        <f>IF(    MAX(K99:M99) &lt;= 0,    0,    MIN(        24,        MAX(            12,            48 - 3 * MAX(K99:M99)        )    ))</f>
      </c>
      <c r="Q99" s="231">
        <f>SUM(K99:M99)</f>
      </c>
      <c r="R99" s="232">
        <f>IF(Q99/24=0,"",Q99/24)</f>
      </c>
      <c r="S99" s="77"/>
      <c r="T99" s="85" t="str">
        <v>普通攻击命中时，有概率对目标施加“灼烧”效果，并造成额外基于智力的火焰伤害。</v>
      </c>
      <c r="U99" s="85" t="str">
        <v>额外伤害：{智力 x 8} 火焰伤害; 
施加概率: {25%}</v>
      </c>
      <c r="V99" s="229"/>
      <c r="W99" s="229"/>
      <c r="X99" s="85" t="str">
        <v>野望对弹药进行的高风险改造。“炼狱”系列的主手组件。将不稳定的化学燃料注入每一发子弹，命中即燃，让敌人尝尝地狱之火的滋味。</v>
      </c>
      <c r="Y99" s="210"/>
      <c r="Z99" s="210" t="str">
        <v>炼狱</v>
      </c>
      <c r="AA99" s="210"/>
      <c r="AB99" s="210"/>
      <c r="AC99" s="210"/>
      <c r="AD99" s="210"/>
      <c r="AE99" s="210" t="str">
        <v>普攻强化, 持续伤害, 灼烧</v>
      </c>
      <c r="AF99" s="11" t="str">
        <v>待办</v>
      </c>
      <c r="AG99" s="11" t="str">
        <v>不急</v>
      </c>
      <c r="AH99" s="11" t="str">
        <v>待办</v>
      </c>
      <c r="AI99" s="11"/>
      <c r="AJ99" s="11"/>
      <c r="AK99" s="11" t="str">
        <v>不急</v>
      </c>
      <c r="AL99" s="11" t="str">
        <v>不急</v>
      </c>
      <c r="AM99" s="11"/>
      <c r="AN99" s="50"/>
      <c r="AO99" s="50"/>
    </row>
    <row customHeight="true" ht="57" r="100">
      <c r="A100" s="203"/>
      <c r="B100" s="203" t="str">
        <v>WW 'Firestorm' Catalyst</v>
      </c>
      <c r="C100" s="203" t="str">
        <v>“火风暴”催化剂</v>
      </c>
      <c r="D100" s="203">
        <f>IFERROR(SUBSTITUTE(MID(C100,FIND("“",C100)+1,FIND("”",C100,FIND("“",C100)+1)-FIND("“",C100)-1)," ",""),"")</f>
      </c>
      <c r="E100" s="53" t="str">
        <v>野望</v>
      </c>
      <c r="F100" s="53" t="str">
        <v>副手</v>
      </c>
      <c r="G100" s="213">
        <f>VLOOKUP(F100,'引用数据库'!AL:AN,3,FALSE)</f>
      </c>
      <c r="H100" s="209"/>
      <c r="I100" s="209"/>
      <c r="J100" s="1"/>
      <c r="K100" s="57">
        <v>4</v>
      </c>
      <c r="L100" s="57">
        <v>5</v>
      </c>
      <c r="M100" s="57">
        <v>9</v>
      </c>
      <c r="N100" s="172">
        <f>IF(    SUM(K100:M100)=0,    0,    8 + (        MAX(            0,            MIN(                1,                IF(                    MAX(K100:M100)=0,                    0,                    (3*MAX(K100:M100) - SUM(K100:M100)) / (2*MAX(K100:M100))                )            )        ) * 4    ))</f>
      </c>
      <c r="O100" s="231">
        <f>MAX(K100:M100)</f>
      </c>
      <c r="P100" s="172">
        <f>IF(    MAX(K100:M100) &lt;= 0,    0,    MIN(        24,        MAX(            12,            48 - 3 * MAX(K100:M100)        )    ))</f>
      </c>
      <c r="Q100" s="231">
        <f>SUM(K100:M100)</f>
      </c>
      <c r="R100" s="232">
        <f>IF(Q100/24=0,"",Q100/24)</f>
      </c>
      <c r="S100" s="77"/>
      <c r="T100" s="85" t="str">
        <v>武器技能命中带有“灼烧”效果的敌人时，引发一次小型火焰爆炸，对周围敌人造成基于智力的火焰伤害，并有几率传递33%层数的“灼烧”效果。</v>
      </c>
      <c r="U100" s="85" t="str">
        <v>爆炸范围：{2m}; 
爆炸伤害：{智力 x 150} 
火焰伤害; 
灼烧传递几率：{50%}</v>
      </c>
      <c r="V100" s="229"/>
      <c r="W100" s="229"/>
      <c r="X100" s="85" t="str">
        <v>“炼狱”系列的武器技能模块。“火风暴”催化剂能将灼烧的能量引爆，形成小范围的火焰风暴，点燃周围的一切。</v>
      </c>
      <c r="Y100" s="210"/>
      <c r="Z100" s="210" t="str">
        <v>炼狱</v>
      </c>
      <c r="AA100" s="210"/>
      <c r="AB100" s="210"/>
      <c r="AC100" s="210"/>
      <c r="AD100" s="210"/>
      <c r="AE100" s="210" t="str">
        <v>扩散</v>
      </c>
      <c r="AF100" s="11" t="str">
        <v>待办</v>
      </c>
      <c r="AG100" s="11" t="str">
        <v>不急</v>
      </c>
      <c r="AH100" s="11" t="str">
        <v>不急</v>
      </c>
      <c r="AI100" s="11"/>
      <c r="AJ100" s="11"/>
      <c r="AK100" s="11" t="str">
        <v>不急</v>
      </c>
      <c r="AL100" s="11" t="str">
        <v>不急</v>
      </c>
      <c r="AM100" s="11"/>
      <c r="AN100" s="50"/>
      <c r="AO100" s="50"/>
    </row>
    <row customHeight="true" ht="57" r="101">
      <c r="A101" s="203"/>
      <c r="B101" s="203" t="str">
        <v>WW 'Bob and Weave' Chip</v>
      </c>
      <c r="C101" s="203" t="str">
        <v>“摇闪步法”芯片</v>
      </c>
      <c r="D101" s="203">
        <f>IFERROR(SUBSTITUTE(MID(C101,FIND("“",C101)+1,FIND("”",C101,FIND("“",C101)+1)-FIND("“",C101)-1)," ",""),"")</f>
      </c>
      <c r="E101" s="53" t="str">
        <v>野望</v>
      </c>
      <c r="F101" s="53" t="str">
        <v>腿部</v>
      </c>
      <c r="G101" s="213">
        <f>VLOOKUP(F101,'引用数据库'!AL:AN,3,FALSE)</f>
      </c>
      <c r="H101" s="209"/>
      <c r="I101" s="209"/>
      <c r="J101" s="1"/>
      <c r="K101" s="57">
        <v>6</v>
      </c>
      <c r="L101" s="57">
        <v>9</v>
      </c>
      <c r="M101" s="57">
        <v>3</v>
      </c>
      <c r="N101" s="172">
        <f>IF(    SUM(K101:M101)=0,    0,    8 + (        MAX(            0,            MIN(                1,                IF(                    MAX(K101:M101)=0,                    0,                    (3*MAX(K101:M101) - SUM(K101:M101)) / (2*MAX(K101:M101))                )            )        ) * 4    ))</f>
      </c>
      <c r="O101" s="231">
        <f>MAX(K101:M101)</f>
      </c>
      <c r="P101" s="172">
        <f>IF(    MAX(K101:M101) &lt;= 0,    0,    MIN(        24,        MAX(            12,            48 - 3 * MAX(K101:M101)        )    ))</f>
      </c>
      <c r="Q101" s="231">
        <f>SUM(K101:M101)</f>
      </c>
      <c r="R101" s="232">
        <f>IF(Q101/24=0,"",Q101/24)</f>
      </c>
      <c r="S101" s="77"/>
      <c r="T101" s="85" t="str">
        <v>翻滚替换为更短距离、但有3层储能的“冲刺”。</v>
      </c>
      <c r="U101" s="85" t="str">
        <v>冲刺距离: {6m};
冲刺储能: {3}</v>
      </c>
      <c r="V101" s="229"/>
      <c r="W101" s="229"/>
      <c r="X101" s="85" t="str">
        <v>野望从黑市拳赛中获取的数据优化了步法芯片。“摇闪步法”让你能像老练的拳手一样躲避攻击并积蓄力量，然后在最佳时机打出致命一击。</v>
      </c>
      <c r="Y101" s="210"/>
      <c r="Z101" s="210" t="str">
        <v>废土</v>
      </c>
      <c r="AA101" s="210"/>
      <c r="AB101" s="210"/>
      <c r="AC101" s="210"/>
      <c r="AD101" s="210"/>
      <c r="AE101" s="210" t="str">
        <v>位移, 闪避, 肘击强化, 叠层增伤</v>
      </c>
      <c r="AF101" s="11" t="str">
        <v>待办</v>
      </c>
      <c r="AG101" s="11" t="str">
        <v>待办</v>
      </c>
      <c r="AH101" s="11" t="str">
        <v>不急</v>
      </c>
      <c r="AI101" s="11"/>
      <c r="AJ101" s="11"/>
      <c r="AK101" s="11" t="str">
        <v>不急</v>
      </c>
      <c r="AL101" s="11" t="str">
        <v>不急</v>
      </c>
      <c r="AM101" s="11"/>
      <c r="AN101" s="50"/>
      <c r="AO101" s="50"/>
    </row>
    <row r="102">
      <c r="A102" s="203"/>
      <c r="B102" s="203" t="str">
        <v>WW 'Blitz' Legs</v>
      </c>
      <c r="C102" s="203" t="str">
        <v>“闪击”义腿</v>
      </c>
      <c r="D102" s="203">
        <f>IFERROR(SUBSTITUTE(MID(C102,FIND("“",C102)+1,FIND("”",C102,FIND("“",C102)+1)-FIND("“",C102)-1)," ",""),"")</f>
      </c>
      <c r="E102" s="53" t="str">
        <v>野望</v>
      </c>
      <c r="F102" s="53" t="str">
        <v>腿部</v>
      </c>
      <c r="G102" s="213">
        <f>VLOOKUP(F102,'引用数据库'!AL:AN,3,FALSE)</f>
      </c>
      <c r="H102" s="209"/>
      <c r="I102" s="209"/>
      <c r="J102" s="1"/>
      <c r="K102" s="57">
        <v>4</v>
      </c>
      <c r="L102" s="57">
        <v>11</v>
      </c>
      <c r="M102" s="57">
        <v>3</v>
      </c>
      <c r="N102" s="172">
        <f>IF(    SUM(K102:M102)=0,    0,    8 + (        MAX(            0,            MIN(                1,                IF(                    MAX(K102:M102)=0,                    0,                    (3*MAX(K102:M102) - SUM(K102:M102)) / (2*MAX(K102:M102))                )            )        ) * 4    ))</f>
      </c>
      <c r="O102" s="231">
        <f>MAX(K102:M102)</f>
      </c>
      <c r="P102" s="172">
        <f>IF(    MAX(K102:M102) &lt;= 0,    0,    MIN(        24,        MAX(            12,            48 - 3 * MAX(K102:M102)        )    ))</f>
      </c>
      <c r="Q102" s="231">
        <f>SUM(K102:M102)</f>
      </c>
      <c r="R102" s="232">
        <f>IF(Q102/24=0,"",Q102/24)</f>
      </c>
      <c r="S102" s="77"/>
      <c r="T102" s="85" t="str">
        <v>翻滚可以穿透敌人，并对穿过的每个敌人施加{1}层“易伤”效果。</v>
      </c>
      <c r="U102" s="85" t="str" xml:space="preserve">
        <v>易伤层数：{1}; </v>
      </c>
      <c r="V102" s="229"/>
      <c r="W102" s="229"/>
      <c r="X102" s="85" t="str">
        <v>野望的高速作战义肢。“闪击”义腿让你如同鬼魅般穿梭于敌阵，所过之处，敌人皆被打上死亡的印记。</v>
      </c>
      <c r="Y102" s="210"/>
      <c r="Z102" s="210" t="str">
        <v>夜幕刺客</v>
      </c>
      <c r="AA102" s="210"/>
      <c r="AB102" s="210"/>
      <c r="AC102" s="210"/>
      <c r="AD102" s="210"/>
      <c r="AE102" s="210" t="str">
        <v>位移, 穿透, 易伤</v>
      </c>
      <c r="AF102" s="11" t="str">
        <v>不急</v>
      </c>
      <c r="AG102" s="11" t="str">
        <v>待办</v>
      </c>
      <c r="AH102" s="11" t="str">
        <v>待办</v>
      </c>
      <c r="AI102" s="11"/>
      <c r="AJ102" s="11"/>
      <c r="AK102" s="11" t="str">
        <v>不急</v>
      </c>
      <c r="AL102" s="11" t="str">
        <v>不急</v>
      </c>
      <c r="AM102" s="11"/>
      <c r="AN102" s="50"/>
      <c r="AO102" s="50"/>
    </row>
    <row r="103">
      <c r="A103" s="203">
        <f>"ID"&amp;"_"&amp;IF(F103="行为芯片","CHP","CYB")&amp;"_"&amp;IFERROR(SUBSTITUTE(MID(B103,FIND("'",B103)+1,FIND("'",B103,FIND("'",B103)+1)-FIND("'",B103)-1)," ",""),"")&amp;"_1"</f>
      </c>
      <c r="B103" s="203" t="str">
        <v>WW 'Silent Night' Blade Edge</v>
      </c>
      <c r="C103" s="203" t="str">
        <v>“无声夜”刃缘</v>
      </c>
      <c r="D103" s="203">
        <f>IFERROR(SUBSTITUTE(MID(C103,FIND("“",C103)+1,FIND("”",C103,FIND("“",C103)+1)-FIND("“",C103)-1)," ",""),"")</f>
      </c>
      <c r="E103" s="53" t="str">
        <v>野望</v>
      </c>
      <c r="F103" s="53" t="str">
        <v>主手</v>
      </c>
      <c r="G103" s="213">
        <f>VLOOKUP(F103,'引用数据库'!AL:AN,3,FALSE)</f>
      </c>
      <c r="H103" s="230">
        <f>IF($B103="","","SKL"&amp;"02"&amp;G103&amp;VLOOKUP(F103,'引用数据库'!AL:AN,3,FALSE)&amp;BASE(CODE(MID($B103,5,1))*1+CODE(MID($B103,6,1))*2+CODE(MID($B103,7,1))*3,36,2))</f>
      </c>
      <c r="I103" s="72">
        <f>IF($B103="","","CYB"&amp;VLOOKUP(E103,'引用数据库'!Z:AC,4,FALSE)&amp;VLOOKUP(F103,'引用数据库'!AL:AN,3,FALSE)&amp;VLOOKUP(Z103,'引用数据库'!AF:AG,2,FALSE)&amp;BASE(CODE(MID($B103,5,1))*1+CODE(MID($B103,6,1))*2+CODE(MID($B103,7,1))*3,36,2))</f>
      </c>
      <c r="J103" s="1"/>
      <c r="K103" s="57">
        <v>4</v>
      </c>
      <c r="L103" s="57">
        <v>10</v>
      </c>
      <c r="M103" s="57">
        <v>4</v>
      </c>
      <c r="N103" s="172">
        <f>IF(    SUM(K103:M103)=0,    0,    8 + (        MAX(            0,            MIN(                1,                IF(                    MAX(K103:M103)=0,                    0,                    (3*MAX(K103:M103) - SUM(K103:M103)) / (2*MAX(K103:M103))                )            )        ) * 4    ))</f>
      </c>
      <c r="O103" s="231">
        <f>MAX(K103:M103)</f>
      </c>
      <c r="P103" s="172">
        <f>IF(    MAX(K103:M103) &lt;= 0,    0,    MIN(        24,        MAX(            12,            48 - 3 * MAX(K103:M103)        )    ))</f>
      </c>
      <c r="Q103" s="231">
        <f>SUM(K103:M103)</f>
      </c>
      <c r="R103" s="232">
        <f>IF(Q103/24=0,"",Q103/24)</f>
      </c>
      <c r="S103" s="77"/>
      <c r="T103" s="85" t="s">
        <v>35</v>
      </c>
      <c r="U103" s="85" t="str">
        <v>伤害增加：[武器矫正后伤害]*{30/60%}</v>
      </c>
      <c r="V103" s="85"/>
      <c r="W103" s="229"/>
      <c r="X103" s="85" t="str">
        <v>野望出品的暗杀者工具。“暗影”系列的武器接口。它不仅强化了攻击本身，更能捕捉使用者潜行时的能量波动，将其转化为致命一击。</v>
      </c>
      <c r="Y103" s="210"/>
      <c r="Z103" s="210" t="str">
        <v>夜幕刺客</v>
      </c>
      <c r="AA103" s="210" t="str">
        <v>普攻</v>
      </c>
      <c r="AB103" s="210"/>
      <c r="AC103" s="210"/>
      <c r="AD103" s="210"/>
      <c r="AE103" s="210" t="str">
        <v>增伤,会心,潜行</v>
      </c>
      <c r="AF103" s="11" t="str">
        <v>待办</v>
      </c>
      <c r="AG103" s="11" t="str">
        <v>待办</v>
      </c>
      <c r="AH103" s="11" t="str">
        <v>待办</v>
      </c>
      <c r="AI103" s="11"/>
      <c r="AJ103" s="11" t="str">
        <v>v0.0.5</v>
      </c>
      <c r="AK103" s="11" t="str">
        <v>在做</v>
      </c>
      <c r="AL103" s="11" t="str">
        <v>在做</v>
      </c>
      <c r="AM103" s="11"/>
      <c r="AN103" s="50"/>
      <c r="AO103" s="50" t="str">
        <v>@Decay</v>
      </c>
    </row>
    <row r="104">
      <c r="A104" s="203">
        <f>"ID"&amp;"_"&amp;IF(F104="行为芯片","CHP","CYB")&amp;"_"&amp;IFERROR(SUBSTITUTE(MID(B104,FIND("'",B104)+1,FIND("'",B104,FIND("'",B104)+1)-FIND("'",B104)-1)," ",""),"")&amp;"_1"</f>
      </c>
      <c r="B104" s="203" t="str">
        <v>WW 'Shadow Play' Technique</v>
      </c>
      <c r="C104" s="203" t="str">
        <v>“影戏”秘术</v>
      </c>
      <c r="D104" s="203">
        <f>IFERROR(SUBSTITUTE(MID(C104,FIND("“",C104)+1,FIND("”",C104,FIND("“",C104)+1)-FIND("“",C104)-1)," ",""),"")</f>
      </c>
      <c r="E104" s="53" t="str">
        <v>野望</v>
      </c>
      <c r="F104" s="53" t="str">
        <v>副手</v>
      </c>
      <c r="G104" s="213">
        <f>VLOOKUP(F104,'引用数据库'!AL:AN,3,FALSE)</f>
      </c>
      <c r="H104" s="230">
        <f>IF($B104="","","SKL"&amp;"02"&amp;G104&amp;VLOOKUP(F104,'引用数据库'!AL:AN,3,FALSE)&amp;BASE(CODE(MID($B104,5,1))*1+CODE(MID($B104,6,1))*2+CODE(MID($B104,7,1))*3,36,2))</f>
      </c>
      <c r="I104" s="72">
        <f>IF($B104="","","CYB"&amp;VLOOKUP(E104,'引用数据库'!Z:AC,4,FALSE)&amp;VLOOKUP(F104,'引用数据库'!AL:AN,3,FALSE)&amp;VLOOKUP(Z104,'引用数据库'!AF:AG,2,FALSE)&amp;BASE(CODE(MID($B104,5,1))*1+CODE(MID($B104,6,1))*2+CODE(MID($B104,7,1))*3,36,2))</f>
      </c>
      <c r="J104" s="1"/>
      <c r="K104" s="57">
        <v>3</v>
      </c>
      <c r="L104" s="57">
        <v>9</v>
      </c>
      <c r="M104" s="57">
        <v>6</v>
      </c>
      <c r="N104" s="172">
        <f>IF(    SUM(K104:M104)=0,    0,    8 + (        MAX(            0,            MIN(                1,                IF(                    MAX(K104:M104)=0,                    0,                    (3*MAX(K104:M104) - SUM(K104:M104)) / (2*MAX(K104:M104))                )            )        ) * 4    ))</f>
      </c>
      <c r="O104" s="231">
        <f>MAX(K104:M104)</f>
      </c>
      <c r="P104" s="172">
        <f>IF(    MAX(K104:M104) &lt;= 0,    0,    MIN(        24,        MAX(            12,            48 - 3 * MAX(K104:M104)        )    ))</f>
      </c>
      <c r="Q104" s="231">
        <f>SUM(K104:M104)</f>
      </c>
      <c r="R104" s="232">
        <f>IF(Q104/24=0,"",Q104/24)</f>
      </c>
      <c r="S104" s="77"/>
      <c r="T104" s="85" t="s">
        <v>36</v>
      </c>
      <c r="U104" s="85" t="str">
        <v>伤害增加：[技能矫正后伤害]*{30/60%}</v>
      </c>
      <c r="V104" s="85"/>
      <c r="W104" s="229"/>
      <c r="X104" s="85" t="str">
        <v>“暗影”系列的技能模块。“影戏”秘术将隐身技巧与武器技能结合，让你的杀招在阴影中爆发出更惊人的威力。</v>
      </c>
      <c r="Y104" s="210"/>
      <c r="Z104" s="210" t="str">
        <v>夜幕刺客</v>
      </c>
      <c r="AA104" s="210" t="str">
        <v>武器技能</v>
      </c>
      <c r="AB104" s="210"/>
      <c r="AC104" s="210"/>
      <c r="AD104" s="210"/>
      <c r="AE104" s="210" t="str">
        <v>增伤,潜行</v>
      </c>
      <c r="AF104" s="11" t="str">
        <v>待办</v>
      </c>
      <c r="AG104" s="11" t="str">
        <v>待办</v>
      </c>
      <c r="AH104" s="11" t="str">
        <v>待办</v>
      </c>
      <c r="AI104" s="11"/>
      <c r="AJ104" s="11" t="str">
        <v>v0.0.5</v>
      </c>
      <c r="AK104" s="11" t="str">
        <v>在做</v>
      </c>
      <c r="AL104" s="11" t="str">
        <v>在做</v>
      </c>
      <c r="AM104" s="11"/>
      <c r="AN104" s="50"/>
      <c r="AO104" s="50" t="str">
        <v>@Decay</v>
      </c>
    </row>
    <row r="105">
      <c r="A105" s="203">
        <f>"ID"&amp;"_"&amp;IF(F105="行为芯片","CHP","CYB")&amp;"_"&amp;IFERROR(SUBSTITUTE(MID(B105,FIND("'",B105)+1,FIND("'",B105,FIND("'",B105)+1)-FIND("'",B105)-1)," ",""),"")&amp;"_1"</f>
      </c>
      <c r="B105" s="203" t="str">
        <v>WW 'Silent Step' Actuators</v>
      </c>
      <c r="C105" s="203" t="str">
        <v>“寂步”执行器</v>
      </c>
      <c r="D105" s="203">
        <f>IFERROR(SUBSTITUTE(MID(C105,FIND("“",C105)+1,FIND("”",C105,FIND("“",C105)+1)-FIND("“",C105)-1)," ",""),"")</f>
      </c>
      <c r="E105" s="53" t="str">
        <v>野望</v>
      </c>
      <c r="F105" s="53" t="str">
        <v>腿部</v>
      </c>
      <c r="G105" s="213">
        <f>VLOOKUP(F105,'引用数据库'!AL:AN,3,FALSE)</f>
      </c>
      <c r="H105" s="230">
        <f>IF($B105="","","SKL"&amp;"02"&amp;G105&amp;VLOOKUP(F105,'引用数据库'!AL:AN,3,FALSE)&amp;BASE(CODE(MID($B105,5,1))*1+CODE(MID($B105,6,1))*2+CODE(MID($B105,7,1))*3,36,2))</f>
      </c>
      <c r="I105" s="72">
        <f>IF($B105="","","CYB"&amp;VLOOKUP(E105,'引用数据库'!Z:AC,4,FALSE)&amp;VLOOKUP(F105,'引用数据库'!AL:AN,3,FALSE)&amp;VLOOKUP(Z105,'引用数据库'!AF:AG,2,FALSE)&amp;BASE(CODE(MID($B105,5,1))*1+CODE(MID($B105,6,1))*2+CODE(MID($B105,7,1))*3,36,2))</f>
      </c>
      <c r="J105" s="1"/>
      <c r="K105" s="57">
        <v>4</v>
      </c>
      <c r="L105" s="57">
        <v>11</v>
      </c>
      <c r="M105" s="57">
        <v>3</v>
      </c>
      <c r="N105" s="172">
        <f>IF(    SUM(K105:M105)=0,    0,    8 + (        MAX(            0,            MIN(                1,                IF(                    MAX(K105:M105)=0,                    0,                    (3*MAX(K105:M105) - SUM(K105:M105)) / (2*MAX(K105:M105))                )            )        ) * 4    ))</f>
      </c>
      <c r="O105" s="231">
        <f>MAX(K105:M105)</f>
      </c>
      <c r="P105" s="172">
        <f>IF(    MAX(K105:M105) &lt;= 0,    0,    MIN(        24,        MAX(            12,            48 - 3 * MAX(K105:M105)        )    ))</f>
      </c>
      <c r="Q105" s="231">
        <f>SUM(K105:M105)</f>
      </c>
      <c r="R105" s="232">
        <f>IF(Q105/24=0,"",Q105/24)</f>
      </c>
      <c r="S105" s="77"/>
      <c r="T105" s="85" t="str">
        <v>移动时不再发出声音。</v>
      </c>
      <c r="U105" s="85"/>
      <c r="V105" s="85"/>
      <c r="W105" s="229"/>
      <c r="X105" s="85" t="str">
        <v>新浦会刺客的标配。“寂步”执行器采用特殊吸音材料和反相位震动技术，让你在阴影中穿梭自如，无声无息地接近猎物。</v>
      </c>
      <c r="Y105" s="210"/>
      <c r="Z105" s="210" t="str">
        <v>夜幕刺客</v>
      </c>
      <c r="AA105" s="210" t="str">
        <v>移动</v>
      </c>
      <c r="AB105" s="210"/>
      <c r="AC105" s="210"/>
      <c r="AD105" s="210"/>
      <c r="AE105" s="210" t="str">
        <v>潜行,位移</v>
      </c>
      <c r="AF105" s="11" t="str">
        <v>待办</v>
      </c>
      <c r="AG105" s="11" t="str">
        <v>不急</v>
      </c>
      <c r="AH105" s="11" t="str">
        <v>待办</v>
      </c>
      <c r="AI105" s="11"/>
      <c r="AJ105" s="11" t="str">
        <v>v0.0.5</v>
      </c>
      <c r="AK105" s="11" t="str">
        <v>待办</v>
      </c>
      <c r="AL105" s="11" t="str">
        <v>不急</v>
      </c>
      <c r="AM105" s="11"/>
      <c r="AN105" s="50"/>
      <c r="AO105" s="50"/>
    </row>
    <row customHeight="true" ht="45" r="106">
      <c r="A106" s="203">
        <f>"ID"&amp;"_"&amp;IF(F106="行为芯片","CHP","CYB")&amp;"_"&amp;IFERROR(SUBSTITUTE(MID(B106,FIND("'",B106)+1,FIND("'",B106,FIND("'",B106)+1)-FIND("'",B106)-1)," ",""),"")&amp;"_1"</f>
      </c>
      <c r="B106" s="203" t="str">
        <v>WW 'Desperate Gambit' Dermal Layer</v>
      </c>
      <c r="C106" s="203" t="str">
        <v>'绝境诡计' 活性表层</v>
      </c>
      <c r="D106" s="203">
        <f>IFERROR(SUBSTITUTE(MID(C106,FIND("“",C106)+1,FIND("”",C106,FIND("“",C106)+1)-FIND("“",C106)-1)," ",""),"")</f>
      </c>
      <c r="E106" s="53" t="str">
        <v>野望</v>
      </c>
      <c r="F106" s="53" t="str">
        <v>皮肤</v>
      </c>
      <c r="G106" s="213">
        <f>VLOOKUP(F106,'引用数据库'!AL:AN,3,FALSE)</f>
      </c>
      <c r="H106" s="230">
        <f>IF($B106="","","SKL"&amp;"02"&amp;G106&amp;VLOOKUP(F106,'引用数据库'!AL:AN,3,FALSE)&amp;BASE(CODE(MID($B106,5,1))*1+CODE(MID($B106,6,1))*2+CODE(MID($B106,7,1))*3,36,2))</f>
      </c>
      <c r="I106" s="72">
        <f>IF($B106="","","CYB"&amp;VLOOKUP(E106,'引用数据库'!Z:AC,4,FALSE)&amp;VLOOKUP(F106,'引用数据库'!AL:AN,3,FALSE)&amp;VLOOKUP(Z106,'引用数据库'!AF:AG,2,FALSE)&amp;BASE(CODE(MID($B106,5,1))*1+CODE(MID($B106,6,1))*2+CODE(MID($B106,7,1))*3,36,2))</f>
      </c>
      <c r="J106" s="1"/>
      <c r="K106" s="57">
        <v>4</v>
      </c>
      <c r="L106" s="57">
        <v>11</v>
      </c>
      <c r="M106" s="57">
        <v>3</v>
      </c>
      <c r="N106" s="172">
        <f>IF(    SUM(K106:M106)=0,    0,    8 + (        MAX(            0,            MIN(                1,                IF(                    MAX(K106:M106)=0,                    0,                    (3*MAX(K106:M106) - SUM(K106:M106)) / (2*MAX(K106:M106))                )            )        ) * 4    ))</f>
      </c>
      <c r="O106" s="231">
        <f>MAX(K106:M106)</f>
      </c>
      <c r="P106" s="172">
        <f>IF(    MAX(K106:M106) &lt;= 0,    0,    MIN(        24,        MAX(            12,            48 - 3 * MAX(K106:M106)        )    ))</f>
      </c>
      <c r="Q106" s="231">
        <f>SUM(K106:M106)</f>
      </c>
      <c r="R106" s="232">
        <f>IF(Q106/24=0,"",Q106/24)</f>
      </c>
      <c r="S106" s="77"/>
      <c r="T106" s="85" t="str">
        <v>受到攻击时，有概率进入“光学迷彩”状态。你的生命值越低，触发概率越高。</v>
      </c>
      <c r="U106" s="85" t="str">
        <v>持续时间：{2s}
触发概率：{已损失生命值 x 50%}</v>
      </c>
      <c r="V106" s="85"/>
      <c r="W106" s="229"/>
      <c r="X106" s="85" t="str">
        <v>野望公司为旗下顶尖刺客设计的实验性皮肤。当使用者生命垂危时，它会触发高风险的“绝境规避”程序。</v>
      </c>
      <c r="Y106" s="210"/>
      <c r="Z106" s="210" t="str">
        <v>夜幕刺客</v>
      </c>
      <c r="AA106" s="210" t="str">
        <v>受击</v>
      </c>
      <c r="AB106" s="210"/>
      <c r="AC106" s="210"/>
      <c r="AD106" s="210"/>
      <c r="AE106" s="210" t="str">
        <v>潜行,位移</v>
      </c>
      <c r="AF106" s="11" t="str">
        <v>待办</v>
      </c>
      <c r="AG106" s="11" t="str">
        <v>不急</v>
      </c>
      <c r="AH106" s="11" t="str">
        <v>待办</v>
      </c>
      <c r="AI106" s="11"/>
      <c r="AJ106" s="11" t="str">
        <v>v0.0.5</v>
      </c>
      <c r="AK106" s="11" t="str">
        <v>待办</v>
      </c>
      <c r="AL106" s="11" t="str">
        <v>不急</v>
      </c>
      <c r="AM106" s="11"/>
      <c r="AN106" s="50"/>
      <c r="AO106" s="50"/>
    </row>
    <row customHeight="true" ht="45" r="107">
      <c r="A107" s="203">
        <f>"ID"&amp;"_"&amp;IF(F107="行为芯片","CHP","CYB")&amp;"_"&amp;IFERROR(SUBSTITUTE(MID(B107,FIND("'",B107)+1,FIND("'",B107,FIND("'",B107)+1)-FIND("'",B107)-1)," ",""),"")&amp;"_1"</f>
      </c>
      <c r="B107" s="203" t="str">
        <v>WW 'Predator's Carapace' Dynamic Frame</v>
      </c>
      <c r="C107" s="203" t="str">
        <v>'掠食者之甲' 动态骨架</v>
      </c>
      <c r="D107" s="203">
        <f>IFERROR(SUBSTITUTE(MID(C107,FIND("“",C107)+1,FIND("”",C107,FIND("“",C107)+1)-FIND("“",C107)-1)," ",""),"")</f>
      </c>
      <c r="E107" s="53" t="str">
        <v>野望</v>
      </c>
      <c r="F107" s="53" t="str">
        <v>骨骼</v>
      </c>
      <c r="G107" s="213">
        <f>VLOOKUP(F107,'引用数据库'!AL:AN,3,FALSE)</f>
      </c>
      <c r="H107" s="230">
        <f>IF($B107="","","SKL"&amp;"02"&amp;G107&amp;VLOOKUP(F107,'引用数据库'!AL:AN,3,FALSE)&amp;BASE(CODE(MID($B107,5,1))*1+CODE(MID($B107,6,1))*2+CODE(MID($B107,7,1))*3,36,2))</f>
      </c>
      <c r="I107" s="72">
        <f>IF($B107="","","CYB"&amp;VLOOKUP(E107,'引用数据库'!Z:AC,4,FALSE)&amp;VLOOKUP(F107,'引用数据库'!AL:AN,3,FALSE)&amp;VLOOKUP(Z107,'引用数据库'!AF:AG,2,FALSE)&amp;BASE(CODE(MID($B107,5,1))*1+CODE(MID($B107,6,1))*2+CODE(MID($B107,7,1))*3,36,2))</f>
      </c>
      <c r="J107" s="1"/>
      <c r="K107" s="57">
        <v>4</v>
      </c>
      <c r="L107" s="57">
        <v>11</v>
      </c>
      <c r="M107" s="57">
        <v>3</v>
      </c>
      <c r="N107" s="172">
        <f>IF(    SUM(K107:M107)=0,    0,    8 + (        MAX(            0,            MIN(                1,                IF(                    MAX(K107:M107)=0,                    0,                    (3*MAX(K107:M107) - SUM(K107:M107)) / (2*MAX(K107:M107))                )            )        ) * 4    ))</f>
      </c>
      <c r="O107" s="231">
        <f>MAX(K107:M107)</f>
      </c>
      <c r="P107" s="172">
        <f>IF(    MAX(K107:M107) &lt;= 0,    0,    MIN(        24,        MAX(            12,            48 - 3 * MAX(K107:M107)        )    ))</f>
      </c>
      <c r="Q107" s="231">
        <f>SUM(K107:M107)</f>
      </c>
      <c r="R107" s="232">
        <f>IF(Q107/24=0,"",Q107/24)</f>
      </c>
      <c r="S107" s="77"/>
      <c r="T107" s="85" t="s">
        <v>26</v>
      </c>
      <c r="U107" s="85" t="str">
        <v>暴击率增加：{移除的护甲 x 50%}</v>
      </c>
      <c r="V107" s="85"/>
      <c r="W107" s="229"/>
      <c r="X107" s="85" t="str">
        <v>野望公司为这套骨架采用了一种奇特的“捕食适应”材料。它会根据使用者当前的战斗状态调整护甲特性。</v>
      </c>
      <c r="Y107" s="210"/>
      <c r="Z107" s="210" t="str">
        <v>夜幕刺客</v>
      </c>
      <c r="AA107" s="210"/>
      <c r="AB107" s="210"/>
      <c r="AC107" s="210"/>
      <c r="AD107" s="210" t="str">
        <v>高护甲</v>
      </c>
      <c r="AE107" s="210" t="str">
        <v>潜行</v>
      </c>
      <c r="AF107" s="11" t="str">
        <v>待办</v>
      </c>
      <c r="AG107" s="11" t="str">
        <v>不急</v>
      </c>
      <c r="AH107" s="11" t="str">
        <v>待办</v>
      </c>
      <c r="AI107" s="11"/>
      <c r="AJ107" s="11" t="str">
        <v>v0.0.5</v>
      </c>
      <c r="AK107" s="11" t="str">
        <v>待办</v>
      </c>
      <c r="AL107" s="11" t="str">
        <v>不急</v>
      </c>
      <c r="AM107" s="11"/>
      <c r="AN107" s="50"/>
      <c r="AO107" s="50"/>
    </row>
    <row r="108">
      <c r="A108" s="203">
        <f>"ID"&amp;"_"&amp;IF(F108="行为芯片","CHP","CYB")&amp;"_"&amp;IFERROR(SUBSTITUTE(MID(B108,FIND("'",B108)+1,FIND("'",B108,FIND("'",B108)+1)-FIND("'",B108)-1)," ",""),"")&amp;"_1"</f>
      </c>
      <c r="B108" s="203" t="str">
        <v>WW 'Assassin Mind' Protocol</v>
      </c>
      <c r="C108" s="203" t="str">
        <v>暗杀头脑</v>
      </c>
      <c r="D108" s="203">
        <f>IFERROR(SUBSTITUTE(MID(C108,FIND("“",C108)+1,FIND("”",C108,FIND("“",C108)+1)-FIND("“",C108)-1)," ",""),"")</f>
      </c>
      <c r="E108" s="53" t="str">
        <v>野望</v>
      </c>
      <c r="F108" s="53" t="str">
        <v>行为芯片</v>
      </c>
      <c r="G108" s="213">
        <f>VLOOKUP(F108,'引用数据库'!AL:AN,3,FALSE)</f>
      </c>
      <c r="H108" s="230">
        <f>IF($B108="","","SKL"&amp;"02"&amp;G108&amp;VLOOKUP(F108,'引用数据库'!AL:AN,3,FALSE)&amp;BASE(CODE(MID($B108,5,1))*1+CODE(MID($B108,6,1))*2+CODE(MID($B108,7,1))*3,36,2))</f>
      </c>
      <c r="I108" s="72">
        <f>IF($B108="","","CYB"&amp;VLOOKUP(E108,'引用数据库'!Z:AC,4,FALSE)&amp;VLOOKUP(F108,'引用数据库'!AL:AN,3,FALSE)&amp;VLOOKUP(Z108,'引用数据库'!AF:AG,2,FALSE)&amp;BASE(CODE(MID($B108,5,1))*1+CODE(MID($B108,6,1))*2+CODE(MID($B108,7,1))*3,36,2))</f>
      </c>
      <c r="J108" s="1"/>
      <c r="K108" s="57">
        <v>0</v>
      </c>
      <c r="L108" s="57">
        <v>0</v>
      </c>
      <c r="M108" s="57">
        <v>0</v>
      </c>
      <c r="N108" s="172">
        <f>IF(    SUM(K108:M108)=0,    0,    8 + (        MAX(            0,            MIN(                1,                IF(                    MAX(K108:M108)=0,                    0,                    (3*MAX(K108:M108) - SUM(K108:M108)) / (2*MAX(K108:M108))                )            )        ) * 4    ))</f>
      </c>
      <c r="O108" s="231">
        <f>MAX(K108:M108)</f>
      </c>
      <c r="P108" s="172">
        <f>IF(    MAX(K108:M108) &lt;= 0,    0,    MIN(        24,        MAX(            12,            48 - 3 * MAX(K108:M108)        )    ))</f>
      </c>
      <c r="Q108" s="231">
        <f>SUM(K108:M108)</f>
      </c>
      <c r="R108" s="232">
        <f>IF(Q108/24=0,"",Q108/24)</f>
      </c>
      <c r="S108" s="77"/>
      <c r="T108" s="85" t="s">
        <v>28</v>
      </c>
      <c r="U108" s="85" t="str">
        <v>暴击伤害加成：{+100%}</v>
      </c>
      <c r="V108" s="85"/>
      <c r="W108" s="229"/>
      <c r="X108" s="85" t="str">
        <v>潜行者的思维模式被固化在芯片中，让你在不被察觉时能更精准地找到并标记敌人的要害。</v>
      </c>
      <c r="Y108" s="210"/>
      <c r="Z108" s="210" t="str">
        <v>夜幕刺客</v>
      </c>
      <c r="AA108" s="210"/>
      <c r="AB108" s="210"/>
      <c r="AC108" s="210"/>
      <c r="AD108" s="210"/>
      <c r="AE108" s="210" t="str">
        <v>会心,潜行</v>
      </c>
      <c r="AF108" s="11" t="str">
        <v>待办</v>
      </c>
      <c r="AG108" s="11" t="str">
        <v>待办</v>
      </c>
      <c r="AH108" s="11" t="str">
        <v>待办</v>
      </c>
      <c r="AI108" s="11"/>
      <c r="AJ108" s="11" t="str">
        <v>v0.0.5</v>
      </c>
      <c r="AK108" s="11" t="str">
        <v>在做</v>
      </c>
      <c r="AL108" s="11" t="str">
        <v>在做</v>
      </c>
      <c r="AM108" s="11"/>
      <c r="AN108" s="50"/>
      <c r="AO108" s="50" t="s">
        <v>19</v>
      </c>
    </row>
    <row r="109">
      <c r="A109" s="203"/>
      <c r="B109" s="203" t="str">
        <v>WW 'Overdrive' Chip</v>
      </c>
      <c r="C109" s="203" t="str">
        <v>“野火”超载芯片</v>
      </c>
      <c r="D109" s="203">
        <f>IFERROR(SUBSTITUTE(MID(C109,FIND("“",C109)+1,FIND("”",C109,FIND("“",C109)+1)-FIND("“",C109)-1)," ",""),"")</f>
      </c>
      <c r="E109" s="53" t="str">
        <v>野望</v>
      </c>
      <c r="F109" s="53" t="str">
        <v>行为芯片</v>
      </c>
      <c r="G109" s="213">
        <f>VLOOKUP(F109,'引用数据库'!AL:AN,3,FALSE)</f>
      </c>
      <c r="H109" s="209"/>
      <c r="I109" s="209"/>
      <c r="J109" s="1"/>
      <c r="K109" s="57">
        <v>0</v>
      </c>
      <c r="L109" s="57">
        <v>0</v>
      </c>
      <c r="M109" s="57">
        <v>0</v>
      </c>
      <c r="N109" s="172">
        <f>IF(    SUM(K109:M109)=0,    0,    8 + (        MAX(            0,            MIN(                1,                IF(                    MAX(K109:M109)=0,                    0,                    (3*MAX(K109:M109) - SUM(K109:M109)) / (2*MAX(K109:M109))                )            )        ) * 4    ))</f>
      </c>
      <c r="O109" s="231">
        <f>MAX(K109:M109)</f>
      </c>
      <c r="P109" s="172">
        <f>IF(    MAX(K109:M109) &lt;= 0,    0,    MIN(        24,        MAX(            12,            48 - 3 * MAX(K109:M109)        )    ))</f>
      </c>
      <c r="Q109" s="231">
        <f>SUM(K109:M109)</f>
      </c>
      <c r="R109" s="232">
        <f>IF(Q109/24=0,"",Q109/24)</f>
      </c>
      <c r="S109" s="77"/>
      <c r="T109" s="85" t="str">
        <v>武器开火时，有{5%}的极小几率进入“超载”状态。</v>
      </c>
      <c r="U109" s="85" t="str">
        <v>超载：触发几率：{5%};</v>
      </c>
      <c r="V109" s="229"/>
      <c r="W109" s="229"/>
      <c r="X109" s="85" t="str">
        <v>野望出品，风险与收益并存的典型改造。超载瞬间的火力倾泻足以融化钢铁，但也可能让你瞬间弹尽粮绝。</v>
      </c>
      <c r="Y109" s="207"/>
      <c r="Z109" s="207" t="str">
        <v>炼狱</v>
      </c>
      <c r="AA109" s="207"/>
      <c r="AB109" s="207"/>
      <c r="AC109" s="207"/>
      <c r="AD109" s="207"/>
      <c r="AE109" s="207" t="str">
        <v>射速, 装填, 高风险</v>
      </c>
      <c r="AF109" s="11" t="str">
        <v>待办</v>
      </c>
      <c r="AG109" s="11" t="str">
        <v>不急</v>
      </c>
      <c r="AH109" s="11" t="str">
        <v>待办</v>
      </c>
      <c r="AI109" s="11"/>
      <c r="AJ109" s="11"/>
      <c r="AK109" s="11" t="str">
        <v>不急</v>
      </c>
      <c r="AL109" s="11" t="str">
        <v>不急</v>
      </c>
      <c r="AM109" s="11"/>
      <c r="AN109" s="50"/>
      <c r="AO109" s="50"/>
    </row>
    <row r="110">
      <c r="A110" s="203"/>
      <c r="B110" s="203" t="str">
        <v>BN 'Blood Craze' Surge</v>
      </c>
      <c r="C110" s="203" t="str">
        <v>嗜血渴望</v>
      </c>
      <c r="D110" s="203">
        <f>IFERROR(SUBSTITUTE(MID(C110,FIND("“",C110)+1,FIND("”",C110,FIND("“",C110)+1)-FIND("“",C110)-1)," ",""),"")</f>
      </c>
      <c r="E110" s="53" t="str">
        <v>致远生物</v>
      </c>
      <c r="F110" s="53" t="str">
        <v>行为芯片</v>
      </c>
      <c r="G110" s="213">
        <f>VLOOKUP(F110,'引用数据库'!AL:AN,3,FALSE)</f>
      </c>
      <c r="H110" s="209"/>
      <c r="I110" s="209"/>
      <c r="J110" s="1"/>
      <c r="K110" s="57">
        <v>0</v>
      </c>
      <c r="L110" s="57">
        <v>0</v>
      </c>
      <c r="M110" s="57">
        <v>0</v>
      </c>
      <c r="N110" s="172">
        <f>IF(    SUM(K110:M110)=0,    0,    8 + (        MAX(            0,            MIN(                1,                IF(                    MAX(K110:M110)=0,                    0,                    (3*MAX(K110:M110) - SUM(K110:M110)) / (2*MAX(K110:M110))                )            )        ) * 4    ))</f>
      </c>
      <c r="O110" s="231">
        <f>MAX(K110:M110)</f>
      </c>
      <c r="P110" s="172">
        <f>IF(    MAX(K110:M110) &lt;= 0,    0,    MIN(        24,        MAX(            12,            48 - 3 * MAX(K110:M110)        )    ))</f>
      </c>
      <c r="Q110" s="231">
        <f>SUM(K110:M110)</f>
      </c>
      <c r="R110" s="232">
        <f>IF(Q110/24=0,"",Q110/24)</f>
      </c>
      <c r="S110" s="77"/>
      <c r="T110" s="85" t="str">
        <v>近战击杀敌人时，回复少量生命值和体力。</v>
      </c>
      <c r="U110" s="85" t="str">
        <v>生命恢复：{最大生命值的3%}; 
体力恢复：{15}</v>
      </c>
      <c r="V110" s="229"/>
      <c r="W110" s="229"/>
      <c r="X110" s="85" t="str">
        <v>击杀的快感刺激身体分泌内啡肽，短暂缓解疲劳并激发更强的战斗欲望。</v>
      </c>
      <c r="Y110" s="210"/>
      <c r="Z110" s="210" t="str">
        <v>---</v>
      </c>
      <c r="AA110" s="210"/>
      <c r="AB110" s="210"/>
      <c r="AC110" s="210"/>
      <c r="AD110" s="210"/>
      <c r="AE110" s="210" t="str">
        <v>近战, 击杀反馈, 回复, 生存</v>
      </c>
      <c r="AF110" s="11" t="str">
        <v>不急</v>
      </c>
      <c r="AG110" s="11" t="str">
        <v>不急</v>
      </c>
      <c r="AH110" s="11" t="str">
        <v>待办</v>
      </c>
      <c r="AI110" s="11"/>
      <c r="AJ110" s="11"/>
      <c r="AK110" s="11" t="str">
        <v>不急</v>
      </c>
      <c r="AL110" s="11" t="str">
        <v>不急</v>
      </c>
      <c r="AM110" s="11"/>
      <c r="AN110" s="50"/>
      <c r="AO110" s="50"/>
    </row>
    <row r="111">
      <c r="A111" s="203"/>
      <c r="B111" s="203" t="str">
        <v>BN 'Serpent's Kiss' Injector</v>
      </c>
      <c r="C111" s="203" t="str">
        <v>“蛇吻”注射器</v>
      </c>
      <c r="D111" s="203">
        <f>IFERROR(SUBSTITUTE(MID(C111,FIND("“",C111)+1,FIND("”",C111,FIND("“",C111)+1)-FIND("“",C111)-1)," ",""),"")</f>
      </c>
      <c r="E111" s="53" t="str">
        <v>致远生物</v>
      </c>
      <c r="F111" s="53" t="str">
        <v>主手</v>
      </c>
      <c r="G111" s="213">
        <f>VLOOKUP(F111,'引用数据库'!AL:AN,3,FALSE)</f>
      </c>
      <c r="H111" s="209"/>
      <c r="I111" s="209"/>
      <c r="J111" s="1"/>
      <c r="K111" s="57">
        <v>5</v>
      </c>
      <c r="L111" s="57">
        <v>5</v>
      </c>
      <c r="M111" s="57">
        <v>8</v>
      </c>
      <c r="N111" s="172">
        <f>IF(    SUM(K111:M111)=0,    0,    8 + (        MAX(            0,            MIN(                1,                IF(                    MAX(K111:M111)=0,                    0,                    (3*MAX(K111:M111) - SUM(K111:M111)) / (2*MAX(K111:M111))                )            )        ) * 4    ))</f>
      </c>
      <c r="O111" s="231">
        <f>MAX(K111:M111)</f>
      </c>
      <c r="P111" s="172">
        <f>IF(    MAX(K111:M111) &lt;= 0,    0,    MIN(        24,        MAX(            12,            48 - 3 * MAX(K111:M111)        )    ))</f>
      </c>
      <c r="Q111" s="231">
        <f>SUM(K111:M111)</f>
      </c>
      <c r="R111" s="232">
        <f>IF(Q111/24=0,"",Q111/24)</f>
      </c>
      <c r="S111" s="77"/>
      <c r="T111" s="85" t="str">
        <v>普通攻击命中时，有{25%}几率对目标施加“纳米侵蚀”效果。</v>
      </c>
      <c r="U111" s="85"/>
      <c r="V111" s="229"/>
      <c r="W111" s="229"/>
      <c r="X111" s="85" t="str">
        <v>致远生物将蛇毒基因片段整合进义体。“毒蛇之吻”系列的核心。主手隐藏微型注射器，在不经意间将致命的腐蚀性毒素送入目标体内。</v>
      </c>
      <c r="Y111" s="210"/>
      <c r="Z111" s="210" t="str">
        <v>毒蛇之吻系列</v>
      </c>
      <c r="AA111" s="210"/>
      <c r="AB111" s="210"/>
      <c r="AC111" s="210"/>
      <c r="AD111" s="210"/>
      <c r="AE111" s="210" t="str">
        <v>普攻强化, 持续伤害, 毒素, 减益</v>
      </c>
      <c r="AF111" s="11" t="str">
        <v>待办</v>
      </c>
      <c r="AG111" s="11" t="str">
        <v>不急</v>
      </c>
      <c r="AH111" s="11" t="str">
        <v>待办</v>
      </c>
      <c r="AI111" s="11"/>
      <c r="AJ111" s="11"/>
      <c r="AK111" s="11" t="str">
        <v>不急</v>
      </c>
      <c r="AL111" s="11" t="str">
        <v>不急</v>
      </c>
      <c r="AM111" s="11"/>
      <c r="AN111" s="50"/>
      <c r="AO111" s="50"/>
    </row>
    <row r="112">
      <c r="A112" s="203"/>
      <c r="B112" s="203" t="str">
        <v>BN 'Vector' Catalyst</v>
      </c>
      <c r="C112" s="203" t="str">
        <v>“病媒”催化器</v>
      </c>
      <c r="D112" s="203">
        <f>IFERROR(SUBSTITUTE(MID(C112,FIND("“",C112)+1,FIND("”",C112,FIND("“",C112)+1)-FIND("“",C112)-1)," ",""),"")</f>
      </c>
      <c r="E112" s="53" t="str">
        <v>致远生物</v>
      </c>
      <c r="F112" s="53" t="str">
        <v>副手</v>
      </c>
      <c r="G112" s="213">
        <f>VLOOKUP(F112,'引用数据库'!AL:AN,3,FALSE)</f>
      </c>
      <c r="H112" s="209"/>
      <c r="I112" s="209"/>
      <c r="J112" s="1"/>
      <c r="K112" s="57">
        <v>3</v>
      </c>
      <c r="L112" s="57">
        <v>6</v>
      </c>
      <c r="M112" s="57">
        <v>9</v>
      </c>
      <c r="N112" s="172">
        <f>IF(    SUM(K112:M112)=0,    0,    8 + (        MAX(            0,            MIN(                1,                IF(                    MAX(K112:M112)=0,                    0,                    (3*MAX(K112:M112) - SUM(K112:M112)) / (2*MAX(K112:M112))                )            )        ) * 4    ))</f>
      </c>
      <c r="O112" s="231">
        <f>MAX(K112:M112)</f>
      </c>
      <c r="P112" s="172">
        <f>IF(    MAX(K112:M112) &lt;= 0,    0,    MIN(        24,        MAX(            12,            48 - 3 * MAX(K112:M112)        )    ))</f>
      </c>
      <c r="Q112" s="231">
        <f>SUM(K112:M112)</f>
      </c>
      <c r="R112" s="232">
        <f>IF(Q112/24=0,"",Q112/24)</f>
      </c>
      <c r="S112" s="77"/>
      <c r="T112" s="85" t="str">
        <v>使用武器技能命中带有“纳米侵蚀”效果的目标时，清除身上的所有效果，对其周围小范围造成一次伤害。</v>
      </c>
      <c r="U112" s="85" t="str">
        <v>爆炸范围：{2.5m}; 
爆炸伤害：{层数 x 200% x 智力} 纳米伤害</v>
      </c>
      <c r="V112" s="229"/>
      <c r="W112" s="229"/>
      <c r="X112" s="85" t="str">
        <v>致远生物的病毒研究成果。“毒蛇之吻”系列的一部分。“病媒”催化器能加速毒素在目标体内的反应，将其转化为一次剧烈的生化爆炸。</v>
      </c>
      <c r="Y112" s="210"/>
      <c r="Z112" s="210" t="str">
        <v>毒蛇之吻系列</v>
      </c>
      <c r="AA112" s="210"/>
      <c r="AB112" s="210"/>
      <c r="AC112" s="210"/>
      <c r="AD112" s="210"/>
      <c r="AE112" s="210" t="str">
        <v>武器技能, 范围伤害, 毒素</v>
      </c>
      <c r="AF112" s="11" t="str">
        <v>不急</v>
      </c>
      <c r="AG112" s="11" t="str">
        <v>不急</v>
      </c>
      <c r="AH112" s="11" t="str">
        <v>不急</v>
      </c>
      <c r="AI112" s="11"/>
      <c r="AJ112" s="11"/>
      <c r="AK112" s="11" t="str">
        <v>不急</v>
      </c>
      <c r="AL112" s="11" t="str">
        <v>不急</v>
      </c>
      <c r="AM112" s="11"/>
      <c r="AN112" s="50"/>
      <c r="AO112" s="50"/>
    </row>
    <row r="113">
      <c r="A113" s="203"/>
      <c r="B113" s="203" t="str" xml:space="preserve">
        <v>BN 'Patient Zero' </v>
      </c>
      <c r="C113" s="203" t="str">
        <v>“零号病人”</v>
      </c>
      <c r="D113" s="203">
        <f>IFERROR(SUBSTITUTE(MID(C113,FIND("“",C113)+1,FIND("”",C113,FIND("“",C113)+1)-FIND("“",C113)-1)," ",""),"")</f>
      </c>
      <c r="E113" s="53" t="str">
        <v>致远生物</v>
      </c>
      <c r="F113" s="53" t="str">
        <v>骨骼</v>
      </c>
      <c r="G113" s="213">
        <f>VLOOKUP(F113,'引用数据库'!AL:AN,3,FALSE)</f>
      </c>
      <c r="H113" s="209"/>
      <c r="I113" s="209"/>
      <c r="J113" s="1"/>
      <c r="K113" s="57">
        <v>3</v>
      </c>
      <c r="L113" s="57">
        <v>3</v>
      </c>
      <c r="M113" s="57">
        <v>12</v>
      </c>
      <c r="N113" s="172">
        <f>IF(    SUM(K113:M113)=0,    0,    8 + (        MAX(            0,            MIN(                1,                IF(                    MAX(K113:M113)=0,                    0,                    (3*MAX(K113:M113) - SUM(K113:M113)) / (2*MAX(K113:M113))                )            )        ) * 4    ))</f>
      </c>
      <c r="O113" s="231">
        <f>MAX(K113:M113)</f>
      </c>
      <c r="P113" s="172">
        <f>IF(    MAX(K113:M113) &lt;= 0,    0,    MIN(        24,        MAX(            12,            48 - 3 * MAX(K113:M113)        )    ))</f>
      </c>
      <c r="Q113" s="231">
        <f>SUM(K113:M113)</f>
      </c>
      <c r="R113" s="232">
        <f>IF(Q113/24=0,"",Q113/24)</f>
      </c>
      <c r="S113" s="77"/>
      <c r="T113" s="85" t="str">
        <v>纳米侵蚀传染时，你也可以被视作载体。</v>
      </c>
      <c r="U113" s="85"/>
      <c r="V113" s="229"/>
      <c r="W113" s="229"/>
      <c r="X113" s="85" t="str">
        <v>骨骼中植入高度适应性的生物反应器，模拟“零号病人”对多种纳米毒素的免疫力，在敌人倒下时汲取他们培养出的宝贵病毒。</v>
      </c>
      <c r="Y113" s="210"/>
      <c r="Z113" s="210" t="str">
        <v>毒蛇之吻系列</v>
      </c>
      <c r="AA113" s="210"/>
      <c r="AB113" s="210"/>
      <c r="AC113" s="210"/>
      <c r="AD113" s="210"/>
      <c r="AE113" s="210" t="str">
        <v>生存, 毒素, 移动速度</v>
      </c>
      <c r="AF113" s="11" t="str">
        <v>待办</v>
      </c>
      <c r="AG113" s="11" t="str">
        <v>不急</v>
      </c>
      <c r="AH113" s="11" t="str">
        <v>不急</v>
      </c>
      <c r="AI113" s="11"/>
      <c r="AJ113" s="11"/>
      <c r="AK113" s="11" t="str">
        <v>不急</v>
      </c>
      <c r="AL113" s="11" t="str">
        <v>不急</v>
      </c>
      <c r="AM113" s="11"/>
      <c r="AN113" s="50"/>
      <c r="AO113" s="50"/>
    </row>
    <row r="114">
      <c r="A114" s="203"/>
      <c r="B114" s="203" t="str">
        <v>BN 'BloodDrinker' Barbs</v>
      </c>
      <c r="C114" s="203" t="str">
        <v>“饮血者”倒刺</v>
      </c>
      <c r="D114" s="203">
        <f>IFERROR(SUBSTITUTE(MID(C114,FIND("“",C114)+1,FIND("”",C114,FIND("“",C114)+1)-FIND("“",C114)-1)," ",""),"")</f>
      </c>
      <c r="E114" s="53" t="str">
        <v>致远生物</v>
      </c>
      <c r="F114" s="53" t="str">
        <v>主手</v>
      </c>
      <c r="G114" s="213">
        <f>VLOOKUP(F114,'引用数据库'!AL:AN,3,FALSE)</f>
      </c>
      <c r="H114" s="209"/>
      <c r="I114" s="209"/>
      <c r="J114" s="1"/>
      <c r="K114" s="57">
        <v>8</v>
      </c>
      <c r="L114" s="57">
        <v>5</v>
      </c>
      <c r="M114" s="57">
        <v>5</v>
      </c>
      <c r="N114" s="172">
        <f>IF(    SUM(K114:M114)=0,    0,    8 + (        MAX(            0,            MIN(                1,                IF(                    MAX(K114:M114)=0,                    0,                    (3*MAX(K114:M114) - SUM(K114:M114)) / (2*MAX(K114:M114))                )            )        ) * 4    ))</f>
      </c>
      <c r="O114" s="231">
        <f>MAX(K114:M114)</f>
      </c>
      <c r="P114" s="172">
        <f>IF(    MAX(K114:M114) &lt;= 0,    0,    MIN(        24,        MAX(            12,            48 - 3 * MAX(K114:M114)        )    ))</f>
      </c>
      <c r="Q114" s="231">
        <f>SUM(K114:M114)</f>
      </c>
      <c r="R114" s="232">
        <f>IF(Q114/24=0,"",Q114/24)</f>
      </c>
      <c r="S114" s="77"/>
      <c r="T114" s="85" t="str">
        <v>普通攻击命中时，对目标施加“流血”效果，并造成额外基于力量的物理伤害。</v>
      </c>
      <c r="U114" s="85" t="str" xml:space="preserve">
        <v>额外伤害：{力量 x 100} 物理伤害; </v>
      </c>
      <c r="V114" s="229"/>
      <c r="W114" s="229"/>
      <c r="X114" s="85" t="str">
        <v>致远生物从吸血生物中提取的基因片段。“嗜血”系列的主手组件。“饮血者”倒刺不仅造成创伤，其上的纳米结构还会持续抽取目标的生命精华。</v>
      </c>
      <c r="Y114" s="207"/>
      <c r="Z114" s="207" t="str">
        <v>破伤风</v>
      </c>
      <c r="AA114" s="207"/>
      <c r="AB114" s="207"/>
      <c r="AC114" s="207"/>
      <c r="AD114" s="207"/>
      <c r="AE114" s="207" t="str">
        <v>普攻强化, 持续伤害, 流血</v>
      </c>
      <c r="AF114" s="11" t="str">
        <v>不急</v>
      </c>
      <c r="AG114" s="11" t="str">
        <v>不急</v>
      </c>
      <c r="AH114" s="11" t="str">
        <v>不急</v>
      </c>
      <c r="AI114" s="11"/>
      <c r="AJ114" s="11"/>
      <c r="AK114" s="11" t="str">
        <v>不急</v>
      </c>
      <c r="AL114" s="11" t="str">
        <v>不急</v>
      </c>
      <c r="AM114" s="11"/>
      <c r="AN114" s="50"/>
      <c r="AO114" s="50"/>
    </row>
    <row r="115">
      <c r="A115" s="203"/>
      <c r="B115" s="203" t="str">
        <v>BN 'Frenzy' Pump</v>
      </c>
      <c r="C115" s="203" t="str">
        <v>“狂热”泵动器</v>
      </c>
      <c r="D115" s="203">
        <f>IFERROR(SUBSTITUTE(MID(C115,FIND("“",C115)+1,FIND("”",C115,FIND("“",C115)+1)-FIND("“",C115)-1)," ",""),"")</f>
      </c>
      <c r="E115" s="53" t="str">
        <v>致远生物</v>
      </c>
      <c r="F115" s="53" t="str">
        <v>副手</v>
      </c>
      <c r="G115" s="213">
        <f>VLOOKUP(F115,'引用数据库'!AL:AN,3,FALSE)</f>
      </c>
      <c r="H115" s="209"/>
      <c r="I115" s="209"/>
      <c r="J115" s="1"/>
      <c r="K115" s="57">
        <v>7</v>
      </c>
      <c r="L115" s="57">
        <v>6</v>
      </c>
      <c r="M115" s="57">
        <v>5</v>
      </c>
      <c r="N115" s="172">
        <f>IF(    SUM(K115:M115)=0,    0,    8 + (        MAX(            0,            MIN(                1,                IF(                    MAX(K115:M115)=0,                    0,                    (3*MAX(K115:M115) - SUM(K115:M115)) / (2*MAX(K115:M115))                )            )        ) * 4    ))</f>
      </c>
      <c r="O115" s="231">
        <f>MAX(K115:M115)</f>
      </c>
      <c r="P115" s="172">
        <f>IF(    MAX(K115:M115) &lt;= 0,    0,    MIN(        24,        MAX(            12,            48 - 3 * MAX(K115:M115)        )    ))</f>
      </c>
      <c r="Q115" s="231">
        <f>SUM(K115:M115)</f>
      </c>
      <c r="R115" s="232">
        <f>IF(Q115/24=0,"",Q115/24)</f>
      </c>
      <c r="S115" s="77"/>
      <c r="T115" s="85" t="str">
        <v>使用武器技能命中“流血”的敌人时，获得“狂热”效果。</v>
      </c>
      <c r="U115" s="85"/>
      <c r="V115" s="229"/>
      <c r="W115" s="229"/>
      <c r="X115" s="85" t="str">
        <v>“嗜血”系列的副手模块。“狂热”泵动器感应到血液时会加速循环，让你在敌人的痛苦中陷入攻击的狂热，每一次攻击都渴望更多的鲜血。</v>
      </c>
      <c r="Y115" s="207"/>
      <c r="Z115" s="207" t="str">
        <v>破伤风</v>
      </c>
      <c r="AA115" s="207"/>
      <c r="AB115" s="207"/>
      <c r="AC115" s="207"/>
      <c r="AD115" s="207"/>
      <c r="AE115" s="207" t="str">
        <v>武器技能, 攻速, 吸血强化</v>
      </c>
      <c r="AF115" s="11" t="str">
        <v>不急</v>
      </c>
      <c r="AG115" s="11" t="str">
        <v>不急</v>
      </c>
      <c r="AH115" s="11" t="str">
        <v>待办</v>
      </c>
      <c r="AI115" s="11"/>
      <c r="AJ115" s="11"/>
      <c r="AK115" s="11" t="str">
        <v>不急</v>
      </c>
      <c r="AL115" s="11" t="str">
        <v>不急</v>
      </c>
      <c r="AM115" s="11"/>
      <c r="AN115" s="50"/>
      <c r="AO115" s="50"/>
    </row>
    <row r="116">
      <c r="A116" s="203">
        <f>"ID"&amp;"_"&amp;IF(F116="行为芯片","CHP","CYB")&amp;"_"&amp;IFERROR(SUBSTITUTE(MID(B116,FIND("'",B116)+1,FIND("'",B116,FIND("'",B116)+1)-FIND("'",B116)-1)," ",""),"")&amp;"_1"</f>
      </c>
      <c r="B116" s="203" t="str">
        <v>BN 'Anemic Frenzy' Mod</v>
      </c>
      <c r="C116" s="203" t="str">
        <v>致远生物“贫血狂热”芯片</v>
      </c>
      <c r="D116" s="203">
        <f>IFERROR(SUBSTITUTE(MID(C116,FIND("“",C116)+1,FIND("”",C116,FIND("“",C116)+1)-FIND("“",C116)-1)," ",""),"")</f>
      </c>
      <c r="E116" s="53" t="str">
        <v>致远生物</v>
      </c>
      <c r="F116" s="53" t="str">
        <v>行为芯片</v>
      </c>
      <c r="G116" s="213">
        <f>VLOOKUP(F116,'引用数据库'!AL:AN,3,FALSE)</f>
      </c>
      <c r="H116" s="230">
        <f>IF($B116="","","SKL"&amp;"02"&amp;G116&amp;VLOOKUP(F116,'引用数据库'!AL:AN,3,FALSE)&amp;BASE(CODE(MID($B116,5,1))*1+CODE(MID($B116,6,1))*2+CODE(MID($B116,7,1))*3,36,2))</f>
      </c>
      <c r="I116" s="72">
        <f>IF($B116="","","CYB"&amp;VLOOKUP(E116,'引用数据库'!Z:AC,4,FALSE)&amp;VLOOKUP(F116,'引用数据库'!AL:AN,3,FALSE)&amp;VLOOKUP(Z116,'引用数据库'!AF:AG,2,FALSE)&amp;BASE(CODE(MID($B116,5,1))*1+CODE(MID($B116,6,1))*2+CODE(MID($B116,7,1))*3,36,2))</f>
      </c>
      <c r="J116" s="1"/>
      <c r="K116" s="57">
        <v>0</v>
      </c>
      <c r="L116" s="57">
        <v>0</v>
      </c>
      <c r="M116" s="57">
        <v>0</v>
      </c>
      <c r="N116" s="64">
        <f>IF(    SUM(K116:M116)=0,    0,    8 + (        MAX(            0,            MIN(                1,                IF(                    MAX(K116:M116)=0,                    0,                    (3*MAX(K116:M116) - SUM(K116:M116)) / (2*MAX(K116:M116))                )            )        ) * 4    ))</f>
      </c>
      <c r="O116" s="231">
        <f>MAX(K116:M116)</f>
      </c>
      <c r="P116" s="172">
        <f>IF(    MAX(K116:M116) &lt;= 0,    0,    MIN(        24,        MAX(            12,            48 - 3 * MAX(K116:M116)        )    ))</f>
      </c>
      <c r="Q116" s="231">
        <f>SUM(K116:M116)</f>
      </c>
      <c r="R116" s="232">
        <f>IF(Q116/24=0,"",Q116/24)</f>
      </c>
      <c r="S116" s="77"/>
      <c r="T116" s="85" t="str">
        <v>你的生命值越低，攻击速度越高。该效果在生命值低于{50%}时开始生效，并在生命值最低时达到最大效果。</v>
      </c>
      <c r="U116" s="85" t="str" xml:space="preserve">
        <v>攻速加成：{+(已损失生命值% - 50%)%} </v>
      </c>
      <c r="V116" s="85"/>
      <c r="W116" s="229"/>
      <c r="X116" s="85" t="str">
        <v>在生死边缘激发出的狂乱速度，生命越是流逝，攻击越是迅猛。</v>
      </c>
      <c r="Y116" s="210"/>
      <c r="Z116" s="210" t="str">
        <v>认知科学</v>
      </c>
      <c r="AA116" s="210"/>
      <c r="AB116" s="210"/>
      <c r="AC116" s="210"/>
      <c r="AD116" s="210" t="str">
        <v>低生命</v>
      </c>
      <c r="AE116" s="210" t="str">
        <v>攻速</v>
      </c>
      <c r="AF116" s="11" t="str">
        <v>待办</v>
      </c>
      <c r="AG116" s="11" t="str">
        <v>待办</v>
      </c>
      <c r="AH116" s="11" t="str">
        <v>待办</v>
      </c>
      <c r="AI116" s="11"/>
      <c r="AJ116" s="11" t="str">
        <v>v0.0.5</v>
      </c>
      <c r="AK116" s="11" t="str">
        <v>完成</v>
      </c>
      <c r="AL116" s="11" t="str">
        <v>完成</v>
      </c>
      <c r="AM116" s="11"/>
      <c r="AN116" s="11"/>
      <c r="AO116" s="50" t="str">
        <v>@阿之</v>
      </c>
    </row>
    <row r="117">
      <c r="A117" s="203"/>
      <c r="B117" s="203" t="str">
        <v>BN 'Cognito' Enhancer Chip</v>
      </c>
      <c r="C117" s="203" t="str">
        <v>“认知”增强芯片</v>
      </c>
      <c r="D117" s="203">
        <f>IFERROR(SUBSTITUTE(MID(C117,FIND("“",C117)+1,FIND("”",C117,FIND("“",C117)+1)-FIND("“",C117)-1)," ",""),"")</f>
      </c>
      <c r="E117" s="53" t="str">
        <v>致远生物</v>
      </c>
      <c r="F117" s="53" t="str">
        <v>行为芯片</v>
      </c>
      <c r="G117" s="213">
        <f>VLOOKUP(F117,'引用数据库'!AL:AN,3,FALSE)</f>
      </c>
      <c r="H117" s="209"/>
      <c r="I117" s="209"/>
      <c r="J117" s="1"/>
      <c r="K117" s="57">
        <v>0</v>
      </c>
      <c r="L117" s="57">
        <v>0</v>
      </c>
      <c r="M117" s="57">
        <v>0</v>
      </c>
      <c r="N117" s="172">
        <f>IF(    SUM(K117:M117)=0,    0,    8 + (        MAX(            0,            MIN(                1,                IF(                    MAX(K117:M117)=0,                    0,                    (3*MAX(K117:M117) - SUM(K117:M117)) / (2*MAX(K117:M117))                )            )        ) * 4    ))</f>
      </c>
      <c r="O117" s="231">
        <f>MAX(K117:M117)</f>
      </c>
      <c r="P117" s="172">
        <f>IF(    MAX(K117:M117) &lt;= 0,    0,    MIN(        24,        MAX(            12,            48 - 3 * MAX(K117:M117)        )    ))</f>
      </c>
      <c r="Q117" s="231">
        <f>SUM(K117:M117)</f>
      </c>
      <c r="R117" s="232">
        <f>IF(Q117/24=0,"",Q117/24)</f>
      </c>
      <c r="S117" s="77"/>
      <c r="T117" s="85" t="str">
        <v>基于你的智力属性，提升你施加的所有异常状态的持续时间。</v>
      </c>
      <c r="U117" s="85" t="str">
        <v>异常状态持续时间加成：{智力 x 1.5}%</v>
      </c>
      <c r="V117" s="229"/>
      <c r="W117" s="229"/>
      <c r="X117" s="85" t="str">
        <v>致远生物在神经认知领域的研究成果。“认知”增强芯片强化了你对各种异常状态能量的控制力，让你施加的负面效果更加持久。</v>
      </c>
      <c r="Y117" s="207"/>
      <c r="Z117" s="207" t="str">
        <v>认知科学</v>
      </c>
      <c r="AA117" s="207"/>
      <c r="AB117" s="207"/>
      <c r="AC117" s="207"/>
      <c r="AD117" s="207"/>
      <c r="AE117" s="207" t="str">
        <v>智力关联, 状态延长</v>
      </c>
      <c r="AF117" s="11" t="str">
        <v>不急</v>
      </c>
      <c r="AG117" s="11" t="str">
        <v>不急</v>
      </c>
      <c r="AH117" s="11" t="str">
        <v>不急</v>
      </c>
      <c r="AI117" s="11"/>
      <c r="AJ117" s="11"/>
      <c r="AK117" s="11" t="str">
        <v>不急</v>
      </c>
      <c r="AL117" s="11" t="str">
        <v>不急</v>
      </c>
      <c r="AM117" s="11"/>
      <c r="AN117" s="50"/>
      <c r="AO117" s="50"/>
    </row>
    <row r="118">
      <c r="A118" s="203">
        <f>"ID"&amp;"_"&amp;IF(F118="行为芯片","CHP","CYB")&amp;"_"&amp;IFERROR(SUBSTITUTE(MID(B118,FIND("'",B118)+1,FIND("'",B118,FIND("'",B118)+1)-FIND("'",B118)-1)," ",""),"")&amp;"_1"</f>
      </c>
      <c r="B118" s="203" t="str">
        <v>BN 'Bloodlust' Implant</v>
      </c>
      <c r="C118" s="203" t="str">
        <v>致远生物“嗜血”植入体</v>
      </c>
      <c r="D118" s="203">
        <f>IFERROR(SUBSTITUTE(MID(C118,FIND("“",C118)+1,FIND("”",C118,FIND("“",C118)+1)-FIND("“",C118)-1)," ",""),"")</f>
      </c>
      <c r="E118" s="53" t="str">
        <v>致远生物</v>
      </c>
      <c r="F118" s="53" t="str">
        <v>主手</v>
      </c>
      <c r="G118" s="213">
        <f>VLOOKUP(F118,'引用数据库'!AL:AN,3,FALSE)</f>
      </c>
      <c r="H118" s="230">
        <f>IF($B118="","","SKL"&amp;"02"&amp;G118&amp;VLOOKUP(F118,'引用数据库'!AL:AN,3,FALSE)&amp;BASE(CODE(MID($B118,5,1))*1+CODE(MID($B118,6,1))*2+CODE(MID($B118,7,1))*3,36,2))</f>
      </c>
      <c r="I118" s="72">
        <f>IF($B118="","","CYB"&amp;VLOOKUP(E118,'引用数据库'!Z:AC,4,FALSE)&amp;VLOOKUP(F118,'引用数据库'!AL:AN,3,FALSE)&amp;VLOOKUP(Z118,'引用数据库'!AF:AG,2,FALSE)&amp;BASE(CODE(MID($B118,5,1))*1+CODE(MID($B118,6,1))*2+CODE(MID($B118,7,1))*3,36,2))</f>
      </c>
      <c r="J118" s="1"/>
      <c r="K118" s="57">
        <v>11</v>
      </c>
      <c r="L118" s="57">
        <v>2</v>
      </c>
      <c r="M118" s="57">
        <v>2</v>
      </c>
      <c r="N118" s="64">
        <f>IF(    SUM(K118:M118)=0,    0,    8 + (        MAX(            0,            MIN(                1,                IF(                    MAX(K118:M118)=0,                    0,                    (3*MAX(K118:M118) - SUM(K118:M118)) / (2*MAX(K118:M118))                )            )        ) * 4    ))</f>
      </c>
      <c r="O118" s="231">
        <f>MAX(K118:M118)</f>
      </c>
      <c r="P118" s="172">
        <f>IF(    MAX(K118:M118) &lt;= 0,    0,    MIN(        24,        MAX(            12,            48 - 3 * MAX(K118:M118)        )    ))</f>
      </c>
      <c r="Q118" s="231">
        <f>SUM(K118:M118)</f>
      </c>
      <c r="R118" s="232">
        <f>IF(Q118/24=0,"",Q118/24)</f>
      </c>
      <c r="S118" s="77"/>
      <c r="T118" s="85" t="s">
        <v>23</v>
      </c>
      <c r="U118" s="85" t="str">
        <v>伤害增加：[武器矫正后伤害]*{已损失生命值%}</v>
      </c>
      <c r="V118" s="85"/>
      <c r="W118" s="229"/>
      <c r="X118" s="85" t="str">
        <v>致远生物从嗜血生物中提取的基因片段。“嗜血”系列核心。它将你的生理状态与攻击性直接挂钩，越是濒临死亡，你的攻击就越是凶狠。</v>
      </c>
      <c r="Y118" s="207"/>
      <c r="Z118" s="207" t="str">
        <v>嗜血</v>
      </c>
      <c r="AA118" s="207" t="str">
        <v>普攻</v>
      </c>
      <c r="AB118" s="207"/>
      <c r="AC118" s="207"/>
      <c r="AD118" s="210" t="str">
        <v>低生命</v>
      </c>
      <c r="AE118" s="207" t="str">
        <v>增伤</v>
      </c>
      <c r="AF118" s="11" t="str">
        <v>待办</v>
      </c>
      <c r="AG118" s="11" t="str">
        <v>待办</v>
      </c>
      <c r="AH118" s="11" t="str">
        <v>待办</v>
      </c>
      <c r="AI118" s="11"/>
      <c r="AJ118" s="11" t="str">
        <v>v0.0.5</v>
      </c>
      <c r="AK118" s="11" t="str">
        <v>完成</v>
      </c>
      <c r="AL118" s="11" t="str">
        <v>完成</v>
      </c>
      <c r="AM118" s="11"/>
      <c r="AN118" s="11"/>
      <c r="AO118" s="50" t="str">
        <v>@阿之</v>
      </c>
    </row>
    <row r="119">
      <c r="A119" s="203">
        <f>"ID"&amp;"_"&amp;IF(F119="行为芯片","CHP","CYB")&amp;"_"&amp;IFERROR(SUBSTITUTE(MID(B119,FIND("'",B119)+1,FIND("'",B119,FIND("'",B119)+1)-FIND("'",B119)-1)," ",""),"")&amp;"_1"</f>
      </c>
      <c r="B119" s="203" t="str">
        <v>BN 'Frenzy Pump' Module</v>
      </c>
      <c r="C119" s="203" t="str">
        <v>致远生物“狂热泵动”模块</v>
      </c>
      <c r="D119" s="203">
        <f>IFERROR(SUBSTITUTE(MID(C119,FIND("“",C119)+1,FIND("”",C119,FIND("“",C119)+1)-FIND("“",C119)-1)," ",""),"")</f>
      </c>
      <c r="E119" s="53" t="str">
        <v>致远生物</v>
      </c>
      <c r="F119" s="53" t="str">
        <v>副手</v>
      </c>
      <c r="G119" s="213">
        <f>VLOOKUP(F119,'引用数据库'!AL:AN,3,FALSE)</f>
      </c>
      <c r="H119" s="230">
        <f>IF($B119="","","SKL"&amp;"02"&amp;G119&amp;VLOOKUP(F119,'引用数据库'!AL:AN,3,FALSE)&amp;BASE(CODE(MID($B119,5,1))*1+CODE(MID($B119,6,1))*2+CODE(MID($B119,7,1))*3,36,2))</f>
      </c>
      <c r="I119" s="72">
        <f>IF($B119="","","CYB"&amp;VLOOKUP(E119,'引用数据库'!Z:AC,4,FALSE)&amp;VLOOKUP(F119,'引用数据库'!AL:AN,3,FALSE)&amp;VLOOKUP(Z119,'引用数据库'!AF:AG,2,FALSE)&amp;BASE(CODE(MID($B119,5,1))*1+CODE(MID($B119,6,1))*2+CODE(MID($B119,7,1))*3,36,2))</f>
      </c>
      <c r="J119" s="1"/>
      <c r="K119" s="57">
        <v>11</v>
      </c>
      <c r="L119" s="57">
        <v>0</v>
      </c>
      <c r="M119" s="57">
        <v>4</v>
      </c>
      <c r="N119" s="64">
        <f>IF(    SUM(K119:M119)=0,    0,    8 + (        MAX(            0,            MIN(                1,                IF(                    MAX(K119:M119)=0,                    0,                    (3*MAX(K119:M119) - SUM(K119:M119)) / (2*MAX(K119:M119))                )            )        ) * 4    ))</f>
      </c>
      <c r="O119" s="231">
        <f>MAX(K119:M119)</f>
      </c>
      <c r="P119" s="172">
        <f>IF(    MAX(K119:M119) &lt;= 0,    0,    MIN(        24,        MAX(            12,            48 - 3 * MAX(K119:M119)        )    ))</f>
      </c>
      <c r="Q119" s="231">
        <f>SUM(K119:M119)</f>
      </c>
      <c r="R119" s="232">
        <f>IF(Q119/24=0,"",Q119/24)</f>
      </c>
      <c r="S119" s="77"/>
      <c r="T119" s="85" t="s">
        <v>24</v>
      </c>
      <c r="U119" s="85" t="str">
        <v>伤害增加：[武器矫正后伤害]*{已损失生命值%}</v>
      </c>
      <c r="V119" s="85"/>
      <c r="W119" s="229"/>
      <c r="X119" s="85" t="str">
        <v>“嗜血”系列的武器技能增幅器。“狂热泵动”模块将你的痛苦转化为驱动技能的燃料，生命越是燃烧，技能的破坏力越是惊人。</v>
      </c>
      <c r="Y119" s="207"/>
      <c r="Z119" s="207" t="str">
        <v>嗜血</v>
      </c>
      <c r="AA119" s="207" t="str">
        <v>移动,武器技能</v>
      </c>
      <c r="AB119" s="207"/>
      <c r="AC119" s="207"/>
      <c r="AD119" s="207" t="str">
        <v>低生命</v>
      </c>
      <c r="AE119" s="207" t="str">
        <v>增伤</v>
      </c>
      <c r="AF119" s="11" t="str">
        <v>待办</v>
      </c>
      <c r="AG119" s="11" t="str">
        <v>待办</v>
      </c>
      <c r="AH119" s="11" t="str">
        <v>待办</v>
      </c>
      <c r="AI119" s="11"/>
      <c r="AJ119" s="11" t="str">
        <v>v0.0.5</v>
      </c>
      <c r="AK119" s="11" t="str">
        <v>完成</v>
      </c>
      <c r="AL119" s="11" t="str">
        <v>完成</v>
      </c>
      <c r="AM119" s="11"/>
      <c r="AN119" s="11"/>
      <c r="AO119" s="50" t="str">
        <v>@阿之</v>
      </c>
    </row>
    <row r="120">
      <c r="A120" s="203">
        <f>"ID"&amp;"_"&amp;IF(F120="行为芯片","CHP","CYB")&amp;"_"&amp;IFERROR(SUBSTITUTE(MID(B120,FIND("'",B120)+1,FIND("'",B120,FIND("'",B120)+1)-FIND("'",B120)-1)," ",""),"")&amp;"_1"</f>
      </c>
      <c r="B120" s="203" t="str">
        <v>BN 'Bloody Rush' Injectors</v>
      </c>
      <c r="C120" s="203" t="str">
        <v>致远生物“血腥冲刺”注射器</v>
      </c>
      <c r="D120" s="203">
        <f>IFERROR(SUBSTITUTE(MID(C120,FIND("“",C120)+1,FIND("”",C120,FIND("“",C120)+1)-FIND("“",C120)-1)," ",""),"")</f>
      </c>
      <c r="E120" s="53" t="str">
        <v>致远生物</v>
      </c>
      <c r="F120" s="53" t="str">
        <v>腿部</v>
      </c>
      <c r="G120" s="213">
        <f>VLOOKUP(F120,'引用数据库'!AL:AN,3,FALSE)</f>
      </c>
      <c r="H120" s="230">
        <f>IF($B120="","","SKL"&amp;"02"&amp;G120&amp;VLOOKUP(F120,'引用数据库'!AL:AN,3,FALSE)&amp;BASE(CODE(MID($B120,5,1))*1+CODE(MID($B120,6,1))*2+CODE(MID($B120,7,1))*3,36,2))</f>
      </c>
      <c r="I120" s="72">
        <f>IF($B120="","","CYB"&amp;VLOOKUP(E120,'引用数据库'!Z:AC,4,FALSE)&amp;VLOOKUP(F120,'引用数据库'!AL:AN,3,FALSE)&amp;VLOOKUP(Z120,'引用数据库'!AF:AG,2,FALSE)&amp;BASE(CODE(MID($B120,5,1))*1+CODE(MID($B120,6,1))*2+CODE(MID($B120,7,1))*3,36,2))</f>
      </c>
      <c r="J120" s="1"/>
      <c r="K120" s="57">
        <v>11</v>
      </c>
      <c r="L120" s="57">
        <v>1</v>
      </c>
      <c r="M120" s="57">
        <v>3</v>
      </c>
      <c r="N120" s="64">
        <f>IF(    SUM(K120:M120)=0,    0,    8 + (        MAX(            0,            MIN(                1,                IF(                    MAX(K120:M120)=0,                    0,                    (3*MAX(K120:M120) - SUM(K120:M120)) / (2*MAX(K120:M120))                )            )        ) * 4    ))</f>
      </c>
      <c r="O120" s="231">
        <f>MAX(K120:M120)</f>
      </c>
      <c r="P120" s="172">
        <f>IF(    MAX(K120:M120) &lt;= 0,    0,    MIN(        24,        MAX(            12,            48 - 3 * MAX(K120:M120)        )    ))</f>
      </c>
      <c r="Q120" s="231">
        <f>SUM(K120:M120)</f>
      </c>
      <c r="R120" s="232">
        <f>IF(Q120/24=0,"",Q120/24)</f>
      </c>
      <c r="S120" s="77"/>
      <c r="T120" s="85" t="str">
        <v>翻滚结束后{3s}内，获得“吸血”效果。</v>
      </c>
      <c r="U120" s="85"/>
      <c r="V120" s="85"/>
      <c r="W120" s="229"/>
      <c r="X120" s="85" t="str">
        <v>“嗜血”系列的腿部组件。“血腥翻滚”注射器在你翻滚时将刺激性化合物注入肌肉，让你在短时间内获得汲取生命能量的能力。</v>
      </c>
      <c r="Y120" s="207"/>
      <c r="Z120" s="207" t="str">
        <v>嗜血</v>
      </c>
      <c r="AA120" s="207" t="str">
        <v>翻滚</v>
      </c>
      <c r="AB120" s="210" t="str">
        <v>吸血</v>
      </c>
      <c r="AC120" s="207"/>
      <c r="AD120" s="207"/>
      <c r="AE120" s="207" t="str">
        <v>位移</v>
      </c>
      <c r="AF120" s="11" t="str">
        <v>不急</v>
      </c>
      <c r="AG120" s="11" t="str">
        <v>不急</v>
      </c>
      <c r="AH120" s="11" t="str">
        <v>待办</v>
      </c>
      <c r="AI120" s="11"/>
      <c r="AJ120" s="11" t="str">
        <v>v0.0.5</v>
      </c>
      <c r="AK120" s="11" t="str">
        <v>完成</v>
      </c>
      <c r="AL120" s="11" t="str">
        <v>完成</v>
      </c>
      <c r="AM120" s="11"/>
      <c r="AN120" s="11"/>
      <c r="AO120" s="50" t="str">
        <v>@Decay</v>
      </c>
    </row>
    <row r="121">
      <c r="A121" s="203">
        <f>"ID"&amp;"_"&amp;IF(F121="行为芯片","CHP","CYB")&amp;"_"&amp;IFERROR(SUBSTITUTE(MID(B121,FIND("'",B121)+1,FIND("'",B121,FIND("'",B121)+1)-FIND("'",B121)-1)," ",""),"")&amp;"_1"</f>
      </c>
      <c r="B121" s="203" t="str">
        <v>BN 'Regenerative' Weave</v>
      </c>
      <c r="C121" s="203" t="str">
        <v>“再生”编织层</v>
      </c>
      <c r="D121" s="203">
        <f>IFERROR(SUBSTITUTE(MID(C121,FIND("“",C121)+1,FIND("”",C121,FIND("“",C121)+1)-FIND("“",C121)-1)," ",""),"")</f>
      </c>
      <c r="E121" s="53" t="str">
        <v>致远生物</v>
      </c>
      <c r="F121" s="53" t="str">
        <v>皮肤</v>
      </c>
      <c r="G121" s="213">
        <f>VLOOKUP(F121,'引用数据库'!AL:AN,3,FALSE)</f>
      </c>
      <c r="H121" s="230">
        <f>IF($B121="","","SKL"&amp;"02"&amp;G121&amp;VLOOKUP(F121,'引用数据库'!AL:AN,3,FALSE)&amp;BASE(CODE(MID($B121,5,1))*1+CODE(MID($B121,6,1))*2+CODE(MID($B121,7,1))*3,36,2))</f>
      </c>
      <c r="I121" s="72">
        <f>IF($B121="","","CYB"&amp;VLOOKUP(E121,'引用数据库'!Z:AC,4,FALSE)&amp;VLOOKUP(F121,'引用数据库'!AL:AN,3,FALSE)&amp;VLOOKUP(Z121,'引用数据库'!AF:AG,2,FALSE)&amp;BASE(CODE(MID($B121,5,1))*1+CODE(MID($B121,6,1))*2+CODE(MID($B121,7,1))*3,36,2))</f>
      </c>
      <c r="J121" s="1"/>
      <c r="K121" s="57">
        <v>13</v>
      </c>
      <c r="L121" s="57">
        <v>4</v>
      </c>
      <c r="M121" s="57">
        <v>5</v>
      </c>
      <c r="N121" s="172">
        <f>IF(    SUM(K121:M121)=0,    0,    8 + (        MAX(            0,            MIN(                1,                IF(                    MAX(K121:M121)=0,                    0,                    (3*MAX(K121:M121) - SUM(K121:M121)) / (2*MAX(K121:M121))                )            )        ) * 4    ))</f>
      </c>
      <c r="O121" s="231">
        <f>MAX(K121:M121)</f>
      </c>
      <c r="P121" s="172">
        <f>IF(    MAX(K121:M121) &lt;= 0,    0,    MIN(        24,        MAX(            12,            48 - 3 * MAX(K121:M121)        )    ))</f>
      </c>
      <c r="Q121" s="231">
        <f>SUM(K121:M121)</f>
      </c>
      <c r="R121" s="232">
        <f>IF(Q121/24=0,"",Q121/24)</f>
      </c>
      <c r="S121" s="77"/>
      <c r="T121" s="85" t="str">
        <v>受到伤害后{3s}内，获得“吸血”效果。</v>
      </c>
      <c r="U121" s="85"/>
      <c r="V121" s="85"/>
      <c r="W121" s="229"/>
      <c r="X121" s="85" t="str">
        <v>“嗜血”系列的皮肤。其生物活性纤维能在你受伤时激活，刺激身体产生强烈的恢复欲望，通过攻击敌人来弥补自身损伤。</v>
      </c>
      <c r="Y121" s="207"/>
      <c r="Z121" s="207" t="str">
        <v>嗜血</v>
      </c>
      <c r="AA121" s="210" t="str">
        <v>受击</v>
      </c>
      <c r="AB121" s="210" t="str">
        <v>吸血</v>
      </c>
      <c r="AC121" s="210"/>
      <c r="AD121" s="210"/>
      <c r="AE121" s="210"/>
      <c r="AF121" s="11" t="str">
        <v>不急</v>
      </c>
      <c r="AG121" s="11" t="str">
        <v>待办</v>
      </c>
      <c r="AH121" s="11" t="str">
        <v>不急</v>
      </c>
      <c r="AI121" s="11"/>
      <c r="AJ121" s="11" t="str">
        <v>v0.0.5</v>
      </c>
      <c r="AK121" s="11" t="str">
        <v>待办</v>
      </c>
      <c r="AL121" s="11" t="str">
        <v>待办</v>
      </c>
      <c r="AM121" s="11"/>
      <c r="AN121" s="50"/>
      <c r="AO121" s="50" t="str">
        <v>@Decay</v>
      </c>
    </row>
    <row r="122">
      <c r="A122" s="203">
        <f>"ID"&amp;"_"&amp;IF(F122="行为芯片","CHP","CYB")&amp;"_"&amp;IFERROR(SUBSTITUTE(MID(B122,FIND("'",B122)+1,FIND("'",B122,FIND("'",B122)+1)-FIND("'",B122)-1)," ",""),"")&amp;"_1"</f>
      </c>
      <c r="B122" s="203" t="str">
        <v>BN 'Marrow Growth' Lattice</v>
      </c>
      <c r="C122" s="203" t="str">
        <v>“骨髓增生”格构</v>
      </c>
      <c r="D122" s="203">
        <f>IFERROR(SUBSTITUTE(MID(C122,FIND("“",C122)+1,FIND("”",C122,FIND("“",C122)+1)-FIND("“",C122)-1)," ",""),"")</f>
      </c>
      <c r="E122" s="53" t="str">
        <v>致远生物</v>
      </c>
      <c r="F122" s="53" t="str">
        <v>骨骼</v>
      </c>
      <c r="G122" s="213">
        <f>VLOOKUP(F122,'引用数据库'!AL:AN,3,FALSE)</f>
      </c>
      <c r="H122" s="230">
        <f>IF($B122="","","SKL"&amp;"02"&amp;G122&amp;VLOOKUP(F122,'引用数据库'!AL:AN,3,FALSE)&amp;BASE(CODE(MID($B122,5,1))*1+CODE(MID($B122,6,1))*2+CODE(MID($B122,7,1))*3,36,2))</f>
      </c>
      <c r="I122" s="72">
        <f>IF($B122="","","CYB"&amp;VLOOKUP(E122,'引用数据库'!Z:AC,4,FALSE)&amp;VLOOKUP(F122,'引用数据库'!AL:AN,3,FALSE)&amp;VLOOKUP(Z122,'引用数据库'!AF:AG,2,FALSE)&amp;BASE(CODE(MID($B122,5,1))*1+CODE(MID($B122,6,1))*2+CODE(MID($B122,7,1))*3,36,2))</f>
      </c>
      <c r="J122" s="1"/>
      <c r="K122" s="57">
        <v>9</v>
      </c>
      <c r="L122" s="57">
        <v>5</v>
      </c>
      <c r="M122" s="57">
        <v>4</v>
      </c>
      <c r="N122" s="172">
        <f>IF(    SUM(K122:M122)=0,    0,    8 + (        MAX(            0,            MIN(                1,                IF(                    MAX(K122:M122)=0,                    0,                    (3*MAX(K122:M122) - SUM(K122:M122)) / (2*MAX(K122:M122))                )            )        ) * 4    ))</f>
      </c>
      <c r="O122" s="231">
        <f>MAX(K122:M122)</f>
      </c>
      <c r="P122" s="172">
        <f>IF(    MAX(K122:M122) &lt;= 0,    0,    MIN(        24,        MAX(            12,            48 - 3 * MAX(K122:M122)        )    ))</f>
      </c>
      <c r="Q122" s="231">
        <f>SUM(K122:M122)</f>
      </c>
      <c r="R122" s="232">
        <f>IF(Q122/24=0,"",Q122/24)</f>
      </c>
      <c r="S122" s="77"/>
      <c r="T122" s="85" t="s">
        <v>37</v>
      </c>
      <c r="U122" s="85" t="str">
        <v>护甲转生命比例：{每1点护甲转化为 2 点最大生命值}</v>
      </c>
      <c r="V122" s="85"/>
      <c r="W122" s="229"/>
      <c r="X122" s="85" t="str">
        <v>致远生物的激进骨骼改造技术。它牺牲了传统的外部防护，转而刺激骨髓造血机能，大幅提升生命力总量，为嗜血而生的战士提供更庞大的生命池。</v>
      </c>
      <c r="Y122" s="207"/>
      <c r="Z122" s="207" t="str">
        <v>嗜血</v>
      </c>
      <c r="AA122" s="210"/>
      <c r="AB122" s="210"/>
      <c r="AC122" s="210"/>
      <c r="AD122" s="210" t="str">
        <v>高生命,高护甲,低护甲</v>
      </c>
      <c r="AE122" s="210"/>
      <c r="AF122" s="11" t="str">
        <v>待办</v>
      </c>
      <c r="AG122" s="11" t="str">
        <v>待办</v>
      </c>
      <c r="AH122" s="11" t="str">
        <v>不急</v>
      </c>
      <c r="AI122" s="11"/>
      <c r="AJ122" s="11" t="str">
        <v>v0.0.5</v>
      </c>
      <c r="AK122" s="11" t="str">
        <v>待办</v>
      </c>
      <c r="AL122" s="11" t="str">
        <v>不急</v>
      </c>
      <c r="AM122" s="11"/>
      <c r="AN122" s="50"/>
      <c r="AO122" s="50"/>
    </row>
    <row r="123">
      <c r="A123" s="203">
        <f>"ID"&amp;"_"&amp;IF(F123="行为芯片","CHP","CYB")&amp;"_"&amp;IFERROR(SUBSTITUTE(MID(B123,FIND("'",B123)+1,FIND("'",B123,FIND("'",B123)+1)-FIND("'",B123)-1)," ",""),"")&amp;"_1"</f>
      </c>
      <c r="B123" s="203" t="str">
        <v>BN 'Blood Thirst' Syndrome</v>
      </c>
      <c r="C123" s="203" t="str">
        <v>致远生物“渴血症”芯片</v>
      </c>
      <c r="D123" s="203">
        <f>IFERROR(SUBSTITUTE(MID(C123,FIND("“",C123)+1,FIND("”",C123,FIND("“",C123)+1)-FIND("“",C123)-1)," ",""),"")</f>
      </c>
      <c r="E123" s="53" t="str">
        <v>致远生物</v>
      </c>
      <c r="F123" s="53" t="str">
        <v>行为芯片</v>
      </c>
      <c r="G123" s="213">
        <f>VLOOKUP(F123,'引用数据库'!AL:AN,3,FALSE)</f>
      </c>
      <c r="H123" s="230">
        <f>IF($B123="","","SKL"&amp;"02"&amp;G123&amp;VLOOKUP(F123,'引用数据库'!AL:AN,3,FALSE)&amp;BASE(CODE(MID($B123,5,1))*1+CODE(MID($B123,6,1))*2+CODE(MID($B123,7,1))*3,36,2))</f>
      </c>
      <c r="I123" s="72">
        <f>IF($B123="","","CYB"&amp;VLOOKUP(E123,'引用数据库'!Z:AC,4,FALSE)&amp;VLOOKUP(F123,'引用数据库'!AL:AN,3,FALSE)&amp;VLOOKUP(Z123,'引用数据库'!AF:AG,2,FALSE)&amp;BASE(CODE(MID($B123,5,1))*1+CODE(MID($B123,6,1))*2+CODE(MID($B123,7,1))*3,36,2))</f>
      </c>
      <c r="J123" s="1"/>
      <c r="K123" s="57">
        <v>0</v>
      </c>
      <c r="L123" s="57">
        <v>0</v>
      </c>
      <c r="M123" s="57">
        <v>0</v>
      </c>
      <c r="N123" s="172">
        <f>IF(    SUM(K123:M123)=0,    0,    8 + (        MAX(            0,            MIN(                1,                IF(                    MAX(K123:M123)=0,                    0,                    (3*MAX(K123:M123) - SUM(K123:M123)) / (2*MAX(K123:M123))                )            )        ) * 4    ))</f>
      </c>
      <c r="O123" s="231">
        <f>MAX(K123:M123)</f>
      </c>
      <c r="P123" s="172">
        <f>IF(    MAX(K123:M123) &lt;= 0,    0,    MIN(        24,        MAX(            12,            48 - 3 * MAX(K123:M123)        )    ))</f>
      </c>
      <c r="Q123" s="231">
        <f>SUM(K123:M123)</f>
      </c>
      <c r="R123" s="232">
        <f>IF(Q123/24=0,"",Q123/24)</f>
      </c>
      <c r="S123" s="77"/>
      <c r="T123" s="85" t="str">
        <v>你的生命值越低，能够通过“吸血”恢复的生命值越多。</v>
      </c>
      <c r="U123" s="85" t="str">
        <v>每损失1%生命值，虚血等待 (Hvt) 增加 {0.02s}</v>
      </c>
      <c r="V123" s="85"/>
      <c r="W123" s="229"/>
      <c r="X123" s="85" t="str">
        <v>这种基因缺陷让你在濒死时对生命能量的渴望愈发强烈，汲取的效率也随之提升。</v>
      </c>
      <c r="Y123" s="210"/>
      <c r="Z123" s="210" t="str">
        <v>嗜血</v>
      </c>
      <c r="AA123" s="210"/>
      <c r="AB123" s="210" t="str">
        <v>吸血</v>
      </c>
      <c r="AC123" s="210"/>
      <c r="AD123" s="210" t="str">
        <v>低生命</v>
      </c>
      <c r="AE123" s="210"/>
      <c r="AF123" s="11" t="str">
        <v>待办</v>
      </c>
      <c r="AG123" s="11" t="str">
        <v>待办</v>
      </c>
      <c r="AH123" s="11" t="str">
        <v>待办</v>
      </c>
      <c r="AI123" s="11"/>
      <c r="AJ123" s="11" t="str">
        <v>v0.0.5</v>
      </c>
      <c r="AK123" s="11" t="str">
        <v>要改</v>
      </c>
      <c r="AL123" s="11" t="str">
        <v>完成</v>
      </c>
      <c r="AM123" s="11"/>
      <c r="AN123" s="11"/>
      <c r="AO123" s="50" t="str">
        <v>@阿之</v>
      </c>
    </row>
    <row r="124">
      <c r="A124" s="203">
        <f>"ID"&amp;"_"&amp;IF(F124="行为芯片","CHP","CYB")&amp;"_"&amp;IFERROR(SUBSTITUTE(MID(B124,FIND("'",B124)+1,FIND("'",B124,FIND("'",B124)+1)-FIND("'",B124)-1)," ",""),"")&amp;"_1"</f>
      </c>
      <c r="B124" s="203" t="str">
        <v>BN 'Bloodboil Core' Frame</v>
      </c>
      <c r="C124" s="203" t="str">
        <v>“血肉沸腾” 核心骨架</v>
      </c>
      <c r="D124" s="203">
        <f>IFERROR(SUBSTITUTE(MID(C124,FIND("“",C124)+1,FIND("”",C124,FIND("“",C124)+1)-FIND("“",C124)-1)," ",""),"")</f>
      </c>
      <c r="E124" s="53" t="str">
        <v>致远生物</v>
      </c>
      <c r="F124" s="53" t="str">
        <v>行为芯片</v>
      </c>
      <c r="G124" s="213">
        <f>VLOOKUP(F124,'引用数据库'!AL:AN,3,FALSE)</f>
      </c>
      <c r="H124" s="230">
        <f>IF($B124="","","SKL"&amp;"02"&amp;G124&amp;VLOOKUP(F124,'引用数据库'!AL:AN,3,FALSE)&amp;BASE(CODE(MID($B124,5,1))*1+CODE(MID($B124,6,1))*2+CODE(MID($B124,7,1))*3,36,2))</f>
      </c>
      <c r="I124" s="72">
        <f>IF($B124="","","CYB"&amp;VLOOKUP(E124,'引用数据库'!Z:AC,4,FALSE)&amp;VLOOKUP(F124,'引用数据库'!AL:AN,3,FALSE)&amp;VLOOKUP(Z124,'引用数据库'!AF:AG,2,FALSE)&amp;BASE(CODE(MID($B124,5,1))*1+CODE(MID($B124,6,1))*2+CODE(MID($B124,7,1))*3,36,2))</f>
      </c>
      <c r="J124" s="1"/>
      <c r="K124" s="57">
        <v>0</v>
      </c>
      <c r="L124" s="57">
        <v>0</v>
      </c>
      <c r="M124" s="57">
        <v>0</v>
      </c>
      <c r="N124" s="172">
        <f>IF(    SUM(K124:M124)=0,    0,    8 + (        MAX(            0,            MIN(                1,                IF(                    MAX(K124:M124)=0,                    0,                    (3*MAX(K124:M124) - SUM(K124:M124)) / (2*MAX(K124:M124))                )            )        ) * 4    ))</f>
      </c>
      <c r="O124" s="231">
        <f>MAX(K124:M124)</f>
      </c>
      <c r="P124" s="172">
        <f>IF(    MAX(K124:M124) &lt;= 0,    0,    MIN(        24,        MAX(            12,            48 - 3 * MAX(K124:M124)        )    ))</f>
      </c>
      <c r="Q124" s="231">
        <f>SUM(K124:M124)</f>
      </c>
      <c r="R124" s="232">
        <f>IF(Q124/24=0,"",Q124/24)</f>
      </c>
      <c r="S124" s="77"/>
      <c r="T124" s="85" t="s">
        <v>16</v>
      </c>
      <c r="U124" s="85" t="str" xml:space="preserve">
        <v>力量增加：[虚血] x {100%} </v>
      </c>
      <c r="V124" s="85"/>
      <c r="W124" s="229"/>
      <c r="X124" s="85"/>
      <c r="Y124" s="210"/>
      <c r="Z124" s="210" t="str">
        <v>嗜血</v>
      </c>
      <c r="AA124" s="210"/>
      <c r="AB124" s="210"/>
      <c r="AC124" s="210"/>
      <c r="AD124" s="210" t="str">
        <v>力量,低生命</v>
      </c>
      <c r="AE124" s="210"/>
      <c r="AF124" s="11"/>
      <c r="AG124" s="11"/>
      <c r="AH124" s="11"/>
      <c r="AI124" s="11"/>
      <c r="AJ124" s="11" t="str">
        <v>v0.0.5</v>
      </c>
      <c r="AK124" s="11" t="str">
        <v>待办</v>
      </c>
      <c r="AL124" s="11" t="str">
        <v>不急</v>
      </c>
      <c r="AM124" s="11"/>
      <c r="AN124" s="50"/>
      <c r="AO124" s="50"/>
    </row>
    <row r="125">
      <c r="A125" s="203">
        <f>"ID"&amp;"_"&amp;IF(F125="行为芯片","CHP","CYB")&amp;"_"&amp;IFERROR(SUBSTITUTE(MID(B125,FIND("'",B125)+1,FIND("'",B125,FIND("'",B125)+1)-FIND("'",B125)-1)," ",""),"")&amp;"_1"</f>
      </c>
      <c r="B125" s="203" t="str">
        <v>BN 'Pain Spike' Reflex</v>
      </c>
      <c r="C125" s="203" t="str">
        <v>致远生物“瘾瘾作痛”芯片</v>
      </c>
      <c r="D125" s="203">
        <f>IFERROR(SUBSTITUTE(MID(C125,FIND("“",C125)+1,FIND("”",C125,FIND("“",C125)+1)-FIND("“",C125)-1)," ",""),"")</f>
      </c>
      <c r="E125" s="53" t="str">
        <v>致远生物</v>
      </c>
      <c r="F125" s="53" t="str">
        <v>行为芯片</v>
      </c>
      <c r="G125" s="213">
        <f>VLOOKUP(F125,'引用数据库'!AL:AN,3,FALSE)</f>
      </c>
      <c r="H125" s="230">
        <f>IF($B125="","","SKL"&amp;"02"&amp;G125&amp;VLOOKUP(F125,'引用数据库'!AL:AN,3,FALSE)&amp;BASE(CODE(MID($B125,5,1))*1+CODE(MID($B125,6,1))*2+CODE(MID($B125,7,1))*3,36,2))</f>
      </c>
      <c r="I125" s="72">
        <f>IF($B125="","","CYB"&amp;VLOOKUP(E125,'引用数据库'!Z:AC,4,FALSE)&amp;VLOOKUP(F125,'引用数据库'!AL:AN,3,FALSE)&amp;VLOOKUP(Z125,'引用数据库'!AF:AG,2,FALSE)&amp;BASE(CODE(MID($B125,5,1))*1+CODE(MID($B125,6,1))*2+CODE(MID($B125,7,1))*3,36,2))</f>
      </c>
      <c r="J125" s="1"/>
      <c r="K125" s="57">
        <v>0</v>
      </c>
      <c r="L125" s="57">
        <v>0</v>
      </c>
      <c r="M125" s="57">
        <v>0</v>
      </c>
      <c r="N125" s="64">
        <f>IF(    SUM(K125:M125)=0,    0,    8 + (        MAX(            0,            MIN(                1,                IF(                    MAX(K125:M125)=0,                    0,                    (3*MAX(K125:M125) - SUM(K125:M125)) / (2*MAX(K125:M125))                )            )        ) * 4    ))</f>
      </c>
      <c r="O125" s="231">
        <f>MAX(K125:M125)</f>
      </c>
      <c r="P125" s="172">
        <f>IF(    MAX(K125:M125) &lt;= 0,    0,    MIN(        24,        MAX(            12,            48 - 3 * MAX(K125:M125)        )    ))</f>
      </c>
      <c r="Q125" s="231">
        <f>SUM(K125:M125)</f>
      </c>
      <c r="R125" s="232">
        <f>IF(Q125/24=0,"",Q125/24)</f>
      </c>
      <c r="S125" s="77"/>
      <c r="T125" s="85" t="str">
        <v>损失生命时，有{概率}短时间内大幅提升造成的伤害。</v>
      </c>
      <c r="U125" s="85" t="str">
        <v>触发概率：{20%};
伤害加成：{+50%}; 
持续时间：{3s}</v>
      </c>
      <c r="V125" s="85"/>
      <c r="W125" s="229"/>
      <c r="X125" s="85" t="str">
        <v>痛苦能激发潜能，这款芯片将生理创伤转化为短暂的、狂暴的破坏冲动。</v>
      </c>
      <c r="Y125" s="210"/>
      <c r="Z125" s="210" t="str">
        <v>嗜血</v>
      </c>
      <c r="AA125" s="210" t="str">
        <v>普攻,受击</v>
      </c>
      <c r="AB125" s="210"/>
      <c r="AC125" s="210"/>
      <c r="AD125" s="210"/>
      <c r="AE125" s="210" t="str">
        <v>增伤</v>
      </c>
      <c r="AF125" s="11" t="str">
        <v>待办</v>
      </c>
      <c r="AG125" s="11" t="str">
        <v>待办</v>
      </c>
      <c r="AH125" s="11" t="str">
        <v>待办</v>
      </c>
      <c r="AI125" s="11"/>
      <c r="AJ125" s="11" t="str">
        <v>v0.0.5</v>
      </c>
      <c r="AK125" s="11" t="str">
        <v>完成</v>
      </c>
      <c r="AL125" s="11" t="str">
        <v>完成</v>
      </c>
      <c r="AM125" s="11"/>
      <c r="AN125" s="11"/>
      <c r="AO125" s="50" t="str">
        <v>@阿之</v>
      </c>
    </row>
    <row r="126">
      <c r="A126" s="203"/>
      <c r="B126" s="203" t="str">
        <v>BN 'Contagion' Vector Chip</v>
      </c>
      <c r="C126" s="203" t="str">
        <v>“传染媒介”芯片</v>
      </c>
      <c r="D126" s="203">
        <f>IFERROR(SUBSTITUTE(MID(C126,FIND("“",C126)+1,FIND("”",C126,FIND("“",C126)+1)-FIND("“",C126)-1)," ",""),"")</f>
      </c>
      <c r="E126" s="53" t="str">
        <v>致远生物</v>
      </c>
      <c r="F126" s="53" t="str">
        <v>行为芯片</v>
      </c>
      <c r="G126" s="213">
        <f>VLOOKUP(F126,'引用数据库'!AL:AN,3,FALSE)</f>
      </c>
      <c r="H126" s="209"/>
      <c r="I126" s="209"/>
      <c r="J126" s="1"/>
      <c r="K126" s="57">
        <v>0</v>
      </c>
      <c r="L126" s="57">
        <v>0</v>
      </c>
      <c r="M126" s="57">
        <v>0</v>
      </c>
      <c r="N126" s="172">
        <f>IF(    SUM(K126:M126)=0,    0,    8 + (        MAX(            0,            MIN(                1,                IF(                    MAX(K126:M126)=0,                    0,                    (3*MAX(K126:M126) - SUM(K126:M126)) / (2*MAX(K126:M126))                )            )        ) * 4    ))</f>
      </c>
      <c r="O126" s="231">
        <f>MAX(K126:M126)</f>
      </c>
      <c r="P126" s="172">
        <f>IF(    MAX(K126:M126) &lt;= 0,    0,    MIN(        24,        MAX(            12,            48 - 3 * MAX(K126:M126)        )    ))</f>
      </c>
      <c r="Q126" s="231">
        <f>SUM(K126:M126)</f>
      </c>
      <c r="R126" s="232">
        <f>IF(Q126/24=0,"",Q126/24)</f>
      </c>
      <c r="S126" s="77"/>
      <c r="T126" s="85" t="str">
        <v>带有玩家施加的“纳米侵蚀”效果的敌人在死亡时，有几率将该效果复刻给额外{1}名附近的敌人。</v>
      </c>
      <c r="U126" s="85" t="str" xml:space="preserve">
        <v>传染几率：{40%}; </v>
      </c>
      <c r="V126" s="229"/>
      <c r="W126" s="229"/>
      <c r="X126" s="85" t="str">
        <v>致远生物病毒扩散模型芯片。让你的毒素像瘟疫一样蔓延，一个倒下，一片感染。</v>
      </c>
      <c r="Y126" s="210"/>
      <c r="Z126" s="210" t="str">
        <v>致远生物 (传染性)</v>
      </c>
      <c r="AA126" s="210"/>
      <c r="AB126" s="210"/>
      <c r="AC126" s="210"/>
      <c r="AD126" s="210"/>
      <c r="AE126" s="210" t="str">
        <v>持续伤害, 毒素, 扩散</v>
      </c>
      <c r="AF126" s="11" t="str">
        <v>待办</v>
      </c>
      <c r="AG126" s="11" t="str">
        <v>不急</v>
      </c>
      <c r="AH126" s="11" t="str">
        <v>待办</v>
      </c>
      <c r="AI126" s="11"/>
      <c r="AJ126" s="11"/>
      <c r="AK126" s="11" t="str">
        <v>不急</v>
      </c>
      <c r="AL126" s="11" t="str">
        <v>不急</v>
      </c>
      <c r="AM126" s="11"/>
      <c r="AN126" s="50"/>
      <c r="AO126" s="50"/>
    </row>
    <row r="127">
      <c r="A127" s="203">
        <f>"ID"&amp;"_"&amp;IF(F127="行为芯片","CHP","CYB")&amp;"_"&amp;IFERROR(SUBSTITUTE(MID(B127,FIND("'",B127)+1,FIND("'",B127,FIND("'",B127)+1)-FIND("'",B127)-1)," ",""),"")&amp;"_1"</f>
      </c>
      <c r="B127" s="203"/>
      <c r="C127" s="203" t="str">
        <v>“虎行”动能转换器</v>
      </c>
      <c r="D127" s="203">
        <f>IFERROR(SUBSTITUTE(MID(C127,FIND("“",C127)+1,FIND("”",C127,FIND("“",C127)+1)-FIND("“",C127)-1)," ",""),"")</f>
      </c>
      <c r="E127" s="53"/>
      <c r="F127" s="53" t="str">
        <v>主手</v>
      </c>
      <c r="G127" s="213"/>
      <c r="H127" s="230">
        <f>IF($B127="","","SKL"&amp;"02"&amp;G127&amp;VLOOKUP(F127,'引用数据库'!AL:AN,3,FALSE)&amp;BASE(CODE(MID($B127,5,1))*1+CODE(MID($B127,6,1))*2+CODE(MID($B127,7,1))*3,36,2))</f>
      </c>
      <c r="I127" s="72">
        <f>IF($B127="","","CYB"&amp;VLOOKUP(E127,'引用数据库'!Z:AC,4,FALSE)&amp;VLOOKUP(F127,'引用数据库'!AL:AN,3,FALSE)&amp;VLOOKUP(Z127,'引用数据库'!AF:AG,2,FALSE)&amp;BASE(CODE(MID($B127,5,1))*1+CODE(MID($B127,6,1))*2+CODE(MID($B127,7,1))*3,36,2))</f>
      </c>
      <c r="J127" s="1"/>
      <c r="K127" s="57"/>
      <c r="L127" s="57"/>
      <c r="M127" s="57"/>
      <c r="N127" s="172">
        <f>IF(    SUM(K127:M127)=0,    0,    8 + (        MAX(            0,            MIN(                1,                IF(                    MAX(K127:M127)=0,                    0,                    (3*MAX(K127:M127) - SUM(K127:M127)) / (2*MAX(K127:M127))                )            )        ) * 4    ))</f>
      </c>
      <c r="O127" s="231">
        <f>MAX(K127:M127)</f>
      </c>
      <c r="P127" s="172">
        <f>IF(    MAX(K127:M127) &lt;= 0,    0,    MIN(        24,        MAX(            12,            48 - 3 * MAX(K127:M127)        )    ))</f>
      </c>
      <c r="Q127" s="231"/>
      <c r="R127" s="232">
        <f>IF(Q127/24=0,"",Q127/24)</f>
      </c>
      <c r="S127" s="77"/>
      <c r="T127" s="85" t="str">
        <v>根据当前移速增加攻击伤害。</v>
      </c>
      <c r="U127" s="85"/>
      <c r="V127" s="85"/>
      <c r="W127" s="229"/>
      <c r="X127" s="85"/>
      <c r="Y127" s="210"/>
      <c r="Z127" s="210"/>
      <c r="AA127" s="210" t="str">
        <v>普攻</v>
      </c>
      <c r="AB127" s="210"/>
      <c r="AC127" s="210"/>
      <c r="AD127" s="210"/>
      <c r="AE127" s="210" t="str">
        <v>增伤,位移</v>
      </c>
      <c r="AF127" s="11"/>
      <c r="AG127" s="11"/>
      <c r="AH127" s="11"/>
      <c r="AI127" s="11"/>
      <c r="AJ127" s="11"/>
      <c r="AK127" s="11"/>
      <c r="AL127" s="11"/>
      <c r="AM127" s="11"/>
      <c r="AN127" s="50"/>
      <c r="AO127" s="50"/>
    </row>
    <row r="128">
      <c r="A128" s="203">
        <f>"ID"&amp;"_"&amp;IF(F128="行为芯片","CHP","CYB")&amp;"_"&amp;IFERROR(SUBSTITUTE(MID(B128,FIND("'",B128)+1,FIND("'",B128,FIND("'",B128)+1)-FIND("'",B128)-1)," ",""),"")&amp;"_1"</f>
      </c>
      <c r="B128" s="203"/>
      <c r="C128" s="203" t="str">
        <v>“穷奇”动能转换器</v>
      </c>
      <c r="D128" s="203">
        <f>IFERROR(SUBSTITUTE(MID(C128,FIND("“",C128)+1,FIND("”",C128,FIND("“",C128)+1)-FIND("“",C128)-1)," ",""),"")</f>
      </c>
      <c r="E128" s="53"/>
      <c r="F128" s="53" t="str">
        <v>副手</v>
      </c>
      <c r="G128" s="213"/>
      <c r="H128" s="230">
        <f>IF($B128="","","SKL"&amp;"02"&amp;G128&amp;VLOOKUP(F128,'引用数据库'!AL:AN,3,FALSE)&amp;BASE(CODE(MID($B128,5,1))*1+CODE(MID($B128,6,1))*2+CODE(MID($B128,7,1))*3,36,2))</f>
      </c>
      <c r="I128" s="72">
        <f>IF($B128="","","CYB"&amp;VLOOKUP(E128,'引用数据库'!Z:AC,4,FALSE)&amp;VLOOKUP(F128,'引用数据库'!AL:AN,3,FALSE)&amp;VLOOKUP(Z128,'引用数据库'!AF:AG,2,FALSE)&amp;BASE(CODE(MID($B128,5,1))*1+CODE(MID($B128,6,1))*2+CODE(MID($B128,7,1))*3,36,2))</f>
      </c>
      <c r="J128" s="1"/>
      <c r="K128" s="57"/>
      <c r="L128" s="57"/>
      <c r="M128" s="57"/>
      <c r="N128" s="172">
        <f>IF(    SUM(K128:M128)=0,    0,    8 + (        MAX(            0,            MIN(                1,                IF(                    MAX(K128:M128)=0,                    0,                    (3*MAX(K128:M128) - SUM(K128:M128)) / (2*MAX(K128:M128))                )            )        ) * 4    ))</f>
      </c>
      <c r="O128" s="231">
        <f>MAX(K128:M128)</f>
      </c>
      <c r="P128" s="172">
        <f>IF(    MAX(K128:M128) &lt;= 0,    0,    MIN(        24,        MAX(            12,            48 - 3 * MAX(K128:M128)        )    ))</f>
      </c>
      <c r="Q128" s="231"/>
      <c r="R128" s="232">
        <f>IF(Q128/24=0,"",Q128/24)</f>
      </c>
      <c r="S128" s="77"/>
      <c r="T128" s="85" t="str">
        <v>根据当前移速增加技能伤害。</v>
      </c>
      <c r="U128" s="85"/>
      <c r="V128" s="85"/>
      <c r="W128" s="229"/>
      <c r="X128" s="85"/>
      <c r="Y128" s="210"/>
      <c r="Z128" s="210"/>
      <c r="AA128" s="210" t="str">
        <v>武器技能</v>
      </c>
      <c r="AB128" s="210"/>
      <c r="AC128" s="210"/>
      <c r="AD128" s="210"/>
      <c r="AE128" s="210" t="str">
        <v>增伤,位移</v>
      </c>
      <c r="AF128" s="11"/>
      <c r="AG128" s="11"/>
      <c r="AH128" s="11"/>
      <c r="AI128" s="11"/>
      <c r="AJ128" s="11"/>
      <c r="AK128" s="11"/>
      <c r="AL128" s="11"/>
      <c r="AM128" s="11"/>
      <c r="AN128" s="50"/>
      <c r="AO128" s="50"/>
    </row>
    <row customHeight="true" ht="33" r="129">
      <c r="A129" s="233"/>
      <c r="B129" s="233" t="str">
        <v>DH 'Efficient Cooling' System</v>
      </c>
      <c r="C129" s="233" t="str">
        <v>良好散热</v>
      </c>
      <c r="D129" s="233">
        <f>IFERROR(SUBSTITUTE(MID(C129,FIND("“",C129)+1,FIND("”",C129,FIND("“",C129)+1)-FIND("“",C129)-1)," ",""),"")</f>
      </c>
      <c r="E129" s="75" t="str">
        <v>东海工业</v>
      </c>
      <c r="F129" s="75" t="str">
        <v>行为芯片</v>
      </c>
      <c r="G129" s="241">
        <f>VLOOKUP(F129,'引用数据库'!AL:AN,3,FALSE)</f>
      </c>
      <c r="H129" s="234"/>
      <c r="I129" s="234"/>
      <c r="J129" s="11"/>
      <c r="K129" s="110">
        <v>4</v>
      </c>
      <c r="L129" s="110">
        <v>10</v>
      </c>
      <c r="M129" s="110">
        <v>4</v>
      </c>
      <c r="N129" s="238">
        <f>IF(    SUM(K129:M129)=0,    0,    8 + (        MAX(            0,            MIN(                1,                IF(                    MAX(K129:M129)=0,                    0,                    (3*MAX(K129:M129) - SUM(K129:M129)) / (2*MAX(K129:M129))                )            )        ) * 4    ))</f>
      </c>
      <c r="O129" s="235">
        <f>MAX(K129:M129)</f>
      </c>
      <c r="P129" s="238">
        <f>IF(    MAX(K129:M129) &lt;= 0,    0,    MIN(        24,        MAX(            12,            48 - 3 * MAX(K129:M129)        )    ))</f>
      </c>
      <c r="Q129" s="235">
        <f>SUM(K129:M129)</f>
      </c>
      <c r="R129" s="112">
        <f>IF(Q129/24=0,"",Q129/24)</f>
      </c>
      <c r="S129" s="40"/>
      <c r="T129" s="205" t="str">
        <v>你的攻击速度加成（来自所有来源）会按一定比例转化为智脑技能的冷却速度加成。</v>
      </c>
      <c r="U129" s="205" t="str">
        <v>冷却转化比例：{攻击速度加成的 30%}</v>
      </c>
      <c r="V129" s="237"/>
      <c r="W129" s="237"/>
      <c r="X129" s="205" t="str">
        <v>东海工业的能量转换技术，将武器系统的高频运作效率传导至智脑模块，加速冷却循环。</v>
      </c>
      <c r="Y129" s="207"/>
      <c r="Z129" s="207" t="str">
        <v>---</v>
      </c>
      <c r="AA129" s="207"/>
      <c r="AB129" s="207"/>
      <c r="AC129" s="207"/>
      <c r="AD129" s="207"/>
      <c r="AE129" s="207" t="str">
        <v>攻速关联, 冷却, 智脑联动</v>
      </c>
      <c r="AF129" s="11" t="str">
        <v>待办</v>
      </c>
      <c r="AG129" s="11" t="str">
        <v>待办</v>
      </c>
      <c r="AH129" s="11" t="str">
        <v>不急</v>
      </c>
      <c r="AI129" s="11"/>
      <c r="AJ129" s="11"/>
      <c r="AK129" s="11" t="str">
        <v>不急</v>
      </c>
      <c r="AL129" s="11" t="str">
        <v>不急</v>
      </c>
      <c r="AM129" s="11"/>
      <c r="AN129" s="34"/>
      <c r="AO129" s="34"/>
    </row>
    <row r="130">
      <c r="A130" s="233"/>
      <c r="B130" s="233"/>
      <c r="C130" s="233"/>
      <c r="D130" s="233">
        <f>IFERROR(SUBSTITUTE(MID(C130,FIND("“",C130)+1,FIND("”",C130,FIND("“",C130)+1)-FIND("“",C130)-1)," ",""),"")</f>
      </c>
      <c r="E130" s="75"/>
      <c r="F130" s="75" t="str">
        <v>行为芯片</v>
      </c>
      <c r="G130" s="236"/>
      <c r="H130" s="234"/>
      <c r="I130" s="234"/>
      <c r="J130" s="11"/>
      <c r="K130" s="110">
        <v>6</v>
      </c>
      <c r="L130" s="110">
        <v>9</v>
      </c>
      <c r="M130" s="110">
        <v>6</v>
      </c>
      <c r="N130" s="238">
        <f>IF(    SUM(K130:M130)=0,    0,    8 + (        MAX(            0,            MIN(                1,                IF(                    MAX(K130:M130)=0,                    0,                    (3*MAX(K130:M130) - SUM(K130:M130)) / (2*MAX(K130:M130))                )            )        ) * 4    ))</f>
      </c>
      <c r="O130" s="235">
        <f>MAX(K130:M130)</f>
      </c>
      <c r="P130" s="238">
        <f>IF(    MAX(K130:M130) &lt;= 0,    0,    MIN(        24,        MAX(            12,            48 - 3 * MAX(K130:M130)        )    ))</f>
      </c>
      <c r="Q130" s="235">
        <f>SUM(K130:M130)</f>
      </c>
      <c r="R130" s="112">
        <f>IF(Q130/24=0,"",Q130/24)</f>
      </c>
      <c r="S130" s="40"/>
      <c r="T130" s="205" t="str">
        <v>你的“吸血”总是可以恢复所有生命值。你每秒失去1点生命值</v>
      </c>
      <c r="U130" s="205"/>
      <c r="V130" s="237"/>
      <c r="W130" s="237"/>
      <c r="X130" s="205"/>
      <c r="Y130" s="207"/>
      <c r="Z130" s="207"/>
      <c r="AA130" s="207"/>
      <c r="AB130" s="207"/>
      <c r="AC130" s="207"/>
      <c r="AD130" s="207"/>
      <c r="AE130" s="207"/>
      <c r="AF130" s="11"/>
      <c r="AG130" s="11"/>
      <c r="AH130" s="11"/>
      <c r="AI130" s="11"/>
      <c r="AJ130" s="11"/>
      <c r="AK130" s="11"/>
      <c r="AL130" s="11"/>
      <c r="AM130" s="11"/>
      <c r="AN130" s="34"/>
      <c r="AO130" s="34"/>
    </row>
    <row r="131">
      <c r="A131" s="233"/>
      <c r="B131" s="233"/>
      <c r="C131" s="233"/>
      <c r="D131" s="233">
        <f>IFERROR(SUBSTITUTE(MID(C131,FIND("“",C131)+1,FIND("”",C131,FIND("“",C131)+1)-FIND("“",C131)-1)," ",""),"")</f>
      </c>
      <c r="E131" s="75"/>
      <c r="F131" s="75" t="str">
        <v>行为芯片</v>
      </c>
      <c r="G131" s="236"/>
      <c r="H131" s="234"/>
      <c r="I131" s="234"/>
      <c r="J131" s="11"/>
      <c r="K131" s="110"/>
      <c r="L131" s="110"/>
      <c r="M131" s="110"/>
      <c r="N131" s="238">
        <f>IF(    SUM(K131:M131)=0,    0,    8 + (        MAX(            0,            MIN(                1,                IF(                    MAX(K131:M131)=0,                    0,                    (3*MAX(K131:M131) - SUM(K131:M131)) / (2*MAX(K131:M131))                )            )        ) * 4    ))</f>
      </c>
      <c r="O131" s="235">
        <f>MAX(K131:M131)</f>
      </c>
      <c r="P131" s="238">
        <f>IF(    MAX(K131:M131) &lt;= 0,    0,    MIN(        24,        MAX(            12,            48 - 3 * MAX(K131:M131)        )    ))</f>
      </c>
      <c r="Q131" s="235">
        <f>SUM(K131:M131)</f>
      </c>
      <c r="R131" s="112">
        <f>IF(Q131/24=0,"",Q131/24)</f>
      </c>
      <c r="S131" s="40"/>
      <c r="T131" s="205" t="str">
        <v>当你失去生命值时，获得吸血，效果时长取决于失去的生命值，最多不超过3s</v>
      </c>
      <c r="U131" s="205"/>
      <c r="V131" s="237"/>
      <c r="W131" s="237"/>
      <c r="X131" s="205" t="str">
        <v>每损失1%上限，获得0.3s，最少0.3s</v>
      </c>
      <c r="Y131" s="207"/>
      <c r="Z131" s="207"/>
      <c r="AA131" s="207"/>
      <c r="AB131" s="207"/>
      <c r="AC131" s="207"/>
      <c r="AD131" s="207"/>
      <c r="AE131" s="207"/>
      <c r="AF131" s="11"/>
      <c r="AG131" s="11"/>
      <c r="AH131" s="11"/>
      <c r="AI131" s="11"/>
      <c r="AJ131" s="11"/>
      <c r="AK131" s="11"/>
      <c r="AL131" s="11"/>
      <c r="AM131" s="11"/>
      <c r="AN131" s="34"/>
      <c r="AO131" s="34"/>
    </row>
    <row r="132">
      <c r="A132" s="233"/>
      <c r="B132" s="233"/>
      <c r="C132" s="233" t="str">
        <v>副心脏</v>
      </c>
      <c r="D132" s="233">
        <f>IFERROR(SUBSTITUTE(MID(C132,FIND("“",C132)+1,FIND("”",C132,FIND("“",C132)+1)-FIND("“",C132)-1)," ",""),"")</f>
      </c>
      <c r="E132" s="75"/>
      <c r="F132" s="75" t="str">
        <v>行为芯片</v>
      </c>
      <c r="G132" s="236"/>
      <c r="H132" s="234"/>
      <c r="I132" s="234"/>
      <c r="J132" s="11"/>
      <c r="K132" s="110"/>
      <c r="L132" s="110"/>
      <c r="M132" s="110"/>
      <c r="N132" s="238"/>
      <c r="O132" s="235"/>
      <c r="P132" s="238"/>
      <c r="Q132" s="235"/>
      <c r="R132" s="112"/>
      <c r="S132" s="40"/>
      <c r="T132" s="205" t="str">
        <v>仅一次，生命值归0时，不会死亡，而是恢复30%生命值</v>
      </c>
      <c r="U132" s="205"/>
      <c r="V132" s="237"/>
      <c r="W132" s="237"/>
      <c r="X132" s="205"/>
      <c r="Y132" s="207"/>
      <c r="Z132" s="207"/>
      <c r="AA132" s="207"/>
      <c r="AB132" s="207"/>
      <c r="AC132" s="207"/>
      <c r="AD132" s="207"/>
      <c r="AE132" s="207"/>
      <c r="AF132" s="11"/>
      <c r="AG132" s="11"/>
      <c r="AH132" s="11"/>
      <c r="AI132" s="11"/>
      <c r="AJ132" s="11"/>
      <c r="AK132" s="11"/>
      <c r="AL132" s="11"/>
      <c r="AM132" s="11"/>
      <c r="AN132" s="34"/>
      <c r="AO132" s="34"/>
    </row>
    <row r="133">
      <c r="A133" s="233"/>
      <c r="B133" s="233"/>
      <c r="C133" s="233"/>
      <c r="D133" s="233">
        <f>IFERROR(SUBSTITUTE(MID(C133,FIND("“",C133)+1,FIND("”",C133,FIND("“",C133)+1)-FIND("“",C133)-1)," ",""),"")</f>
      </c>
      <c r="E133" s="75"/>
      <c r="F133" s="75"/>
      <c r="G133" s="236"/>
      <c r="H133" s="234"/>
      <c r="I133" s="234"/>
      <c r="J133" s="11"/>
      <c r="K133" s="110"/>
      <c r="L133" s="110"/>
      <c r="M133" s="110"/>
      <c r="N133" s="238"/>
      <c r="O133" s="235"/>
      <c r="P133" s="238"/>
      <c r="Q133" s="235"/>
      <c r="R133" s="112"/>
      <c r="S133" s="40"/>
      <c r="T133" s="205" t="str" xml:space="preserve">
        <v>每次进入新区域时，获得一个随机的伤害修正。每当你进入下一个区域，该效果的数值将会在正负之间反转；再次进入区域时，数值将重新随机生成。 </v>
      </c>
      <c r="U133" s="205"/>
      <c r="V133" s="237"/>
      <c r="W133" s="237"/>
      <c r="X133" s="205"/>
      <c r="Y133" s="207"/>
      <c r="Z133" s="207"/>
      <c r="AA133" s="207"/>
      <c r="AB133" s="207"/>
      <c r="AC133" s="207"/>
      <c r="AD133" s="207"/>
      <c r="AE133" s="207"/>
      <c r="AF133" s="11"/>
      <c r="AG133" s="11"/>
      <c r="AH133" s="11"/>
      <c r="AI133" s="11"/>
      <c r="AJ133" s="11"/>
      <c r="AK133" s="11"/>
      <c r="AL133" s="11"/>
      <c r="AM133" s="11"/>
      <c r="AN133" s="34"/>
      <c r="AO133" s="34"/>
    </row>
    <row r="134">
      <c r="A134" s="233"/>
      <c r="B134" s="233"/>
      <c r="C134" s="233"/>
      <c r="D134" s="233">
        <f>IFERROR(SUBSTITUTE(MID(C134,FIND("“",C134)+1,FIND("”",C134,FIND("“",C134)+1)-FIND("“",C134)-1)," ",""),"")</f>
      </c>
      <c r="E134" s="75"/>
      <c r="F134" s="75"/>
      <c r="G134" s="236"/>
      <c r="H134" s="234"/>
      <c r="I134" s="234"/>
      <c r="J134" s="11"/>
      <c r="K134" s="110"/>
      <c r="L134" s="110"/>
      <c r="M134" s="110"/>
      <c r="N134" s="238"/>
      <c r="O134" s="235"/>
      <c r="P134" s="238"/>
      <c r="Q134" s="235"/>
      <c r="R134" s="112"/>
      <c r="S134" s="40"/>
      <c r="T134" s="205" t="str">
        <v>冲刺时有概率闪避伤害</v>
      </c>
      <c r="U134" s="205"/>
      <c r="V134" s="237"/>
      <c r="W134" s="237"/>
      <c r="X134" s="205"/>
      <c r="Y134" s="207"/>
      <c r="Z134" s="207"/>
      <c r="AA134" s="207"/>
      <c r="AB134" s="207"/>
      <c r="AC134" s="207"/>
      <c r="AD134" s="207"/>
      <c r="AE134" s="207"/>
      <c r="AF134" s="11"/>
      <c r="AG134" s="11"/>
      <c r="AH134" s="11"/>
      <c r="AI134" s="11"/>
      <c r="AJ134" s="11"/>
      <c r="AK134" s="11"/>
      <c r="AL134" s="11"/>
      <c r="AM134" s="11"/>
      <c r="AN134" s="34"/>
      <c r="AO134" s="34"/>
    </row>
    <row r="135">
      <c r="A135" s="233"/>
      <c r="B135" s="233"/>
      <c r="C135" s="233"/>
      <c r="D135" s="233">
        <f>IFERROR(SUBSTITUTE(MID(C135,FIND("“",C135)+1,FIND("”",C135,FIND("“",C135)+1)-FIND("“",C135)-1)," ",""),"")</f>
      </c>
      <c r="E135" s="75"/>
      <c r="F135" s="75"/>
      <c r="G135" s="236"/>
      <c r="H135" s="234"/>
      <c r="I135" s="234"/>
      <c r="J135" s="11"/>
      <c r="K135" s="110"/>
      <c r="L135" s="110"/>
      <c r="M135" s="110"/>
      <c r="N135" s="238"/>
      <c r="O135" s="235"/>
      <c r="P135" s="238"/>
      <c r="Q135" s="235"/>
      <c r="R135" s="112"/>
      <c r="S135" s="40"/>
      <c r="T135" s="205" t="str">
        <v>受到伤害后的一定时间内，有概率闪避伤害</v>
      </c>
      <c r="U135" s="205"/>
      <c r="V135" s="237"/>
      <c r="W135" s="237"/>
      <c r="X135" s="205"/>
      <c r="Y135" s="207"/>
      <c r="Z135" s="207"/>
      <c r="AA135" s="207"/>
      <c r="AB135" s="207"/>
      <c r="AC135" s="207"/>
      <c r="AD135" s="207"/>
      <c r="AE135" s="207"/>
      <c r="AF135" s="11"/>
      <c r="AG135" s="11"/>
      <c r="AH135" s="11"/>
      <c r="AI135" s="11"/>
      <c r="AJ135" s="11"/>
      <c r="AK135" s="11"/>
      <c r="AL135" s="11"/>
      <c r="AM135" s="11"/>
      <c r="AN135" s="34"/>
      <c r="AO135" s="34"/>
    </row>
    <row r="136">
      <c r="A136" s="233"/>
      <c r="B136" s="233"/>
      <c r="C136" s="233"/>
      <c r="D136" s="233">
        <f>IFERROR(SUBSTITUTE(MID(C136,FIND("“",C136)+1,FIND("”",C136,FIND("“",C136)+1)-FIND("“",C136)-1)," ",""),"")</f>
      </c>
      <c r="E136" s="75"/>
      <c r="F136" s="75" t="str">
        <v>主手</v>
      </c>
      <c r="G136" s="236"/>
      <c r="H136" s="234"/>
      <c r="I136" s="234"/>
      <c r="J136" s="11"/>
      <c r="K136" s="110"/>
      <c r="L136" s="110"/>
      <c r="M136" s="110"/>
      <c r="N136" s="238"/>
      <c r="O136" s="235"/>
      <c r="P136" s="238"/>
      <c r="Q136" s="235"/>
      <c r="R136" s="112"/>
      <c r="S136" s="40"/>
      <c r="T136" s="205" t="str">
        <v>普通攻击有概率再触发一次</v>
      </c>
      <c r="U136" s="205"/>
      <c r="V136" s="237"/>
      <c r="W136" s="237"/>
      <c r="X136" s="205"/>
      <c r="Y136" s="207"/>
      <c r="Z136" s="207"/>
      <c r="AA136" s="207"/>
      <c r="AB136" s="207"/>
      <c r="AC136" s="207"/>
      <c r="AD136" s="207"/>
      <c r="AE136" s="207"/>
      <c r="AF136" s="11"/>
      <c r="AG136" s="11"/>
      <c r="AH136" s="11"/>
      <c r="AI136" s="11"/>
      <c r="AJ136" s="11"/>
      <c r="AK136" s="11"/>
      <c r="AL136" s="11"/>
      <c r="AM136" s="11"/>
      <c r="AN136" s="34"/>
      <c r="AO136" s="34"/>
    </row>
    <row r="137">
      <c r="A137" s="233"/>
      <c r="B137" s="233"/>
      <c r="C137" s="233"/>
      <c r="D137" s="233">
        <f>IFERROR(SUBSTITUTE(MID(C137,FIND("“",C137)+1,FIND("”",C137,FIND("“",C137)+1)-FIND("“",C137)-1)," ",""),"")</f>
      </c>
      <c r="E137" s="75"/>
      <c r="F137" s="75" t="str">
        <v>副手</v>
      </c>
      <c r="G137" s="236"/>
      <c r="H137" s="234"/>
      <c r="I137" s="234"/>
      <c r="J137" s="11"/>
      <c r="K137" s="110"/>
      <c r="L137" s="110"/>
      <c r="M137" s="110"/>
      <c r="N137" s="238"/>
      <c r="O137" s="235"/>
      <c r="P137" s="238"/>
      <c r="Q137" s="235"/>
      <c r="R137" s="112"/>
      <c r="S137" s="40"/>
      <c r="T137" s="205" t="str">
        <v>释放技能时，有概率不进入冷却</v>
      </c>
      <c r="U137" s="205"/>
      <c r="V137" s="237"/>
      <c r="W137" s="237"/>
      <c r="X137" s="205"/>
      <c r="Y137" s="207"/>
      <c r="Z137" s="207"/>
      <c r="AA137" s="207"/>
      <c r="AB137" s="207"/>
      <c r="AC137" s="207"/>
      <c r="AD137" s="207"/>
      <c r="AE137" s="207"/>
      <c r="AF137" s="11"/>
      <c r="AG137" s="11"/>
      <c r="AH137" s="11"/>
      <c r="AI137" s="11"/>
      <c r="AJ137" s="11"/>
      <c r="AK137" s="11"/>
      <c r="AL137" s="11"/>
      <c r="AM137" s="11"/>
      <c r="AN137" s="34"/>
      <c r="AO137" s="34"/>
    </row>
    <row r="138">
      <c r="A138" s="233"/>
      <c r="B138" s="233"/>
      <c r="C138" s="233"/>
      <c r="D138" s="233">
        <f>IFERROR(SUBSTITUTE(MID(C138,FIND("“",C138)+1,FIND("”",C138,FIND("“",C138)+1)-FIND("“",C138)-1)," ",""),"")</f>
      </c>
      <c r="E138" s="75"/>
      <c r="F138" s="75"/>
      <c r="G138" s="236"/>
      <c r="H138" s="234"/>
      <c r="I138" s="234"/>
      <c r="J138" s="11"/>
      <c r="K138" s="110"/>
      <c r="L138" s="110"/>
      <c r="M138" s="110"/>
      <c r="N138" s="238"/>
      <c r="O138" s="235"/>
      <c r="P138" s="238"/>
      <c r="Q138" s="235"/>
      <c r="R138" s="112"/>
      <c r="S138" s="40"/>
      <c r="T138" s="205"/>
      <c r="U138" s="205"/>
      <c r="V138" s="237"/>
      <c r="W138" s="237"/>
      <c r="X138" s="205"/>
      <c r="Y138" s="207"/>
      <c r="Z138" s="207"/>
      <c r="AA138" s="207"/>
      <c r="AB138" s="207"/>
      <c r="AC138" s="207"/>
      <c r="AD138" s="207"/>
      <c r="AE138" s="207"/>
      <c r="AF138" s="11"/>
      <c r="AG138" s="11"/>
      <c r="AH138" s="11"/>
      <c r="AI138" s="11"/>
      <c r="AJ138" s="11"/>
      <c r="AK138" s="11"/>
      <c r="AL138" s="11"/>
      <c r="AM138" s="11"/>
      <c r="AN138" s="34"/>
      <c r="AO138" s="34"/>
    </row>
    <row r="139">
      <c r="A139" s="233"/>
      <c r="B139" s="233"/>
      <c r="C139" s="233"/>
      <c r="D139" s="233">
        <f>IFERROR(SUBSTITUTE(MID(C139,FIND("“",C139)+1,FIND("”",C139,FIND("“",C139)+1)-FIND("“",C139)-1)," ",""),"")</f>
      </c>
      <c r="E139" s="75"/>
      <c r="F139" s="75" t="str">
        <v>行为芯片</v>
      </c>
      <c r="G139" s="236"/>
      <c r="H139" s="234"/>
      <c r="I139" s="234"/>
      <c r="J139" s="11"/>
      <c r="K139" s="110"/>
      <c r="L139" s="110"/>
      <c r="M139" s="110"/>
      <c r="N139" s="238">
        <f>IF(    SUM(K139:M139)=0,    0,    8 + (        MAX(            0,            MIN(                1,                IF(                    MAX(K139:M139)=0,                    0,                    (3*MAX(K139:M139) - SUM(K139:M139)) / (2*MAX(K139:M139))                )            )        ) * 4    ))</f>
      </c>
      <c r="O139" s="235">
        <f>MAX(K139:M139)</f>
      </c>
      <c r="P139" s="238">
        <f>IF(    MAX(K139:M139) &lt;= 0,    0,    MIN(        24,        MAX(            12,            48 - 3 * MAX(K139:M139)        )    ))</f>
      </c>
      <c r="Q139" s="235">
        <f>SUM(K139:M139)</f>
      </c>
      <c r="R139" s="112">
        <f>IF(Q139/24=0,"",Q139/24)</f>
      </c>
      <c r="S139" s="40"/>
      <c r="T139" s="205" t="str">
        <v>将你所有的反应和智力加成，转换为80%的力量</v>
      </c>
      <c r="U139" s="205"/>
      <c r="V139" s="237"/>
      <c r="W139" s="237"/>
      <c r="X139" s="205"/>
      <c r="Y139" s="207"/>
      <c r="Z139" s="207"/>
      <c r="AA139" s="207"/>
      <c r="AB139" s="207"/>
      <c r="AC139" s="207"/>
      <c r="AD139" s="207"/>
      <c r="AE139" s="207"/>
      <c r="AF139" s="11"/>
      <c r="AG139" s="11"/>
      <c r="AH139" s="11"/>
      <c r="AI139" s="11"/>
      <c r="AJ139" s="11"/>
      <c r="AK139" s="11"/>
      <c r="AL139" s="11"/>
      <c r="AM139" s="11"/>
      <c r="AN139" s="34"/>
      <c r="AO139" s="34"/>
    </row>
    <row r="140">
      <c r="A140" s="233"/>
      <c r="B140" s="233"/>
      <c r="C140" s="233"/>
      <c r="D140" s="233">
        <f>IFERROR(SUBSTITUTE(MID(C140,FIND("“",C140)+1,FIND("”",C140,FIND("“",C140)+1)-FIND("“",C140)-1)," ",""),"")</f>
      </c>
      <c r="E140" s="75"/>
      <c r="F140" s="75" t="str">
        <v>行为芯片</v>
      </c>
      <c r="G140" s="236"/>
      <c r="H140" s="234"/>
      <c r="I140" s="234"/>
      <c r="J140" s="11"/>
      <c r="K140" s="110"/>
      <c r="L140" s="110"/>
      <c r="M140" s="110"/>
      <c r="N140" s="238">
        <f>IF(    SUM(K140:M140)=0,    0,    8 + (        MAX(            0,            MIN(                1,                IF(                    MAX(K140:M140)=0,                    0,                    (3*MAX(K140:M140) - SUM(K140:M140)) / (2*MAX(K140:M140))                )            )        ) * 4    ))</f>
      </c>
      <c r="O140" s="235">
        <f>MAX(K140:M140)</f>
      </c>
      <c r="P140" s="238">
        <f>IF(    MAX(K140:M140) &lt;= 0,    0,    MIN(        24,        MAX(            12,            48 - 3 * MAX(K140:M140)        )    ))</f>
      </c>
      <c r="Q140" s="235">
        <f>SUM(K140:M140)</f>
      </c>
      <c r="R140" s="112">
        <f>IF(Q140/24=0,"",Q140/24)</f>
      </c>
      <c r="S140" s="40"/>
      <c r="T140" s="205" t="str">
        <v>将你所有的力量和智力加成，转换为80%的反应</v>
      </c>
      <c r="U140" s="205"/>
      <c r="V140" s="237"/>
      <c r="W140" s="237"/>
      <c r="X140" s="205"/>
      <c r="Y140" s="207"/>
      <c r="Z140" s="207"/>
      <c r="AA140" s="207"/>
      <c r="AB140" s="207"/>
      <c r="AC140" s="207"/>
      <c r="AD140" s="207"/>
      <c r="AE140" s="207"/>
      <c r="AF140" s="11"/>
      <c r="AG140" s="11"/>
      <c r="AH140" s="11"/>
      <c r="AI140" s="11"/>
      <c r="AJ140" s="11"/>
      <c r="AK140" s="11"/>
      <c r="AL140" s="11"/>
      <c r="AM140" s="11"/>
      <c r="AN140" s="34"/>
      <c r="AO140" s="34"/>
    </row>
    <row r="141">
      <c r="A141" s="233"/>
      <c r="B141" s="233"/>
      <c r="C141" s="233"/>
      <c r="D141" s="233">
        <f>IFERROR(SUBSTITUTE(MID(C141,FIND("“",C141)+1,FIND("”",C141,FIND("“",C141)+1)-FIND("“",C141)-1)," ",""),"")</f>
      </c>
      <c r="E141" s="75"/>
      <c r="F141" s="75" t="str">
        <v>行为芯片</v>
      </c>
      <c r="G141" s="236"/>
      <c r="H141" s="234"/>
      <c r="I141" s="234"/>
      <c r="J141" s="11"/>
      <c r="K141" s="110"/>
      <c r="L141" s="110"/>
      <c r="M141" s="110"/>
      <c r="N141" s="238">
        <f>IF(    SUM(K141:M141)=0,    0,    8 + (        MAX(            0,            MIN(                1,                IF(                    MAX(K141:M141)=0,                    0,                    (3*MAX(K141:M141) - SUM(K141:M141)) / (2*MAX(K141:M141))                )            )        ) * 4    ))</f>
      </c>
      <c r="O141" s="235">
        <f>MAX(K141:M141)</f>
      </c>
      <c r="P141" s="238">
        <f>IF(    MAX(K141:M141) &lt;= 0,    0,    MIN(        24,        MAX(            12,            48 - 3 * MAX(K141:M141)        )    ))</f>
      </c>
      <c r="Q141" s="235">
        <f>SUM(K141:M141)</f>
      </c>
      <c r="R141" s="112">
        <f>IF(Q141/24=0,"",Q141/24)</f>
      </c>
      <c r="S141" s="40"/>
      <c r="T141" s="205" t="str">
        <v>将你所有的力量和反应加成，转换为80%的智力</v>
      </c>
      <c r="U141" s="205"/>
      <c r="V141" s="237"/>
      <c r="W141" s="237"/>
      <c r="X141" s="205"/>
      <c r="Y141" s="207"/>
      <c r="Z141" s="207"/>
      <c r="AA141" s="207"/>
      <c r="AB141" s="207"/>
      <c r="AC141" s="207"/>
      <c r="AD141" s="207"/>
      <c r="AE141" s="207"/>
      <c r="AF141" s="11"/>
      <c r="AG141" s="11"/>
      <c r="AH141" s="11"/>
      <c r="AI141" s="11"/>
      <c r="AJ141" s="11"/>
      <c r="AK141" s="11"/>
      <c r="AL141" s="11"/>
      <c r="AM141" s="11"/>
      <c r="AN141" s="34"/>
      <c r="AO141" s="34"/>
    </row>
    <row r="142">
      <c r="A142" s="233"/>
      <c r="B142" s="233"/>
      <c r="C142" s="233"/>
      <c r="D142" s="233">
        <f>IFERROR(SUBSTITUTE(MID(C142,FIND("“",C142)+1,FIND("”",C142,FIND("“",C142)+1)-FIND("“",C142)-1)," ",""),"")</f>
      </c>
      <c r="E142" s="75"/>
      <c r="F142" s="75" t="str">
        <v>主手</v>
      </c>
      <c r="G142" s="236"/>
      <c r="H142" s="234"/>
      <c r="I142" s="234"/>
      <c r="J142" s="11"/>
      <c r="K142" s="110">
        <v>8</v>
      </c>
      <c r="L142" s="110">
        <v>8</v>
      </c>
      <c r="M142" s="110">
        <v>8</v>
      </c>
      <c r="N142" s="238">
        <f>IF(    SUM(K142:M142)=0,    0,    8 + (        MAX(            0,            MIN(                1,                IF(                    MAX(K142:M142)=0,                    0,                    (3*MAX(K142:M142) - SUM(K142:M142)) / (2*MAX(K142:M142))                )            )        ) * 4    ))</f>
      </c>
      <c r="O142" s="235">
        <f>MAX(K142:M142)</f>
      </c>
      <c r="P142" s="238">
        <f>IF(    MAX(K142:M142) &lt;= 0,    0,    MIN(        24,        MAX(            12,            48 - 3 * MAX(K142:M142)        )    ))</f>
      </c>
      <c r="Q142" s="235">
        <f>SUM(K142:M142)</f>
      </c>
      <c r="R142" s="112">
        <f>IF(Q142/24=0,"",Q142/24)</f>
      </c>
      <c r="S142" s="40"/>
      <c r="T142" s="205" t="str">
        <v>普通攻击每次发射2次，仅对远程武器生效。</v>
      </c>
      <c r="U142" s="205"/>
      <c r="V142" s="237"/>
      <c r="W142" s="237"/>
      <c r="X142" s="205"/>
      <c r="Y142" s="207"/>
      <c r="Z142" s="207"/>
      <c r="AA142" s="207"/>
      <c r="AB142" s="207"/>
      <c r="AC142" s="207"/>
      <c r="AD142" s="207"/>
      <c r="AE142" s="207"/>
      <c r="AF142" s="11"/>
      <c r="AG142" s="11"/>
      <c r="AH142" s="11"/>
      <c r="AI142" s="11"/>
      <c r="AJ142" s="11"/>
      <c r="AK142" s="11"/>
      <c r="AL142" s="11"/>
      <c r="AM142" s="11"/>
      <c r="AN142" s="34"/>
      <c r="AO142" s="34"/>
    </row>
    <row r="143">
      <c r="A143" s="233"/>
      <c r="B143" s="233"/>
      <c r="C143" s="233" t="str">
        <v>时代变了</v>
      </c>
      <c r="D143" s="233">
        <f>IFERROR(SUBSTITUTE(MID(C143,FIND("“",C143)+1,FIND("”",C143,FIND("“",C143)+1)-FIND("“",C143)-1)," ",""),"")</f>
      </c>
      <c r="E143" s="75"/>
      <c r="F143" s="75" t="str">
        <v>副手</v>
      </c>
      <c r="G143" s="236"/>
      <c r="H143" s="234"/>
      <c r="I143" s="234"/>
      <c r="J143" s="11"/>
      <c r="K143" s="110">
        <v>0</v>
      </c>
      <c r="L143" s="110">
        <v>0</v>
      </c>
      <c r="M143" s="110">
        <v>12</v>
      </c>
      <c r="N143" s="238">
        <f>IF(    SUM(K143:M143)=0,    0,    8 + (        MAX(            0,            MIN(                1,                IF(                    MAX(K143:M143)=0,                    0,                    (3*MAX(K143:M143) - SUM(K143:M143)) / (2*MAX(K143:M143))                )            )        ) * 4    ))</f>
      </c>
      <c r="O143" s="235">
        <f>MAX(K143:M143)</f>
      </c>
      <c r="P143" s="238">
        <f>IF(    MAX(K143:M143) &lt;= 0,    0,    MIN(        24,        MAX(            12,            48 - 3 * MAX(K143:M143)        )    ))</f>
      </c>
      <c r="Q143" s="235">
        <f>SUM(K143:M143)</f>
      </c>
      <c r="R143" s="112">
        <f>IF(Q143/24=0,"",Q143/24)</f>
      </c>
      <c r="S143" s="40"/>
      <c r="T143" s="205" t="str">
        <v>普通攻击发射1发子弹，伤害等于武器伤害，仅对近战武器生效。</v>
      </c>
      <c r="U143" s="205"/>
      <c r="V143" s="237"/>
      <c r="W143" s="237"/>
      <c r="X143" s="205"/>
      <c r="Y143" s="207"/>
      <c r="Z143" s="207"/>
      <c r="AA143" s="207"/>
      <c r="AB143" s="207"/>
      <c r="AC143" s="207"/>
      <c r="AD143" s="207"/>
      <c r="AE143" s="207"/>
      <c r="AF143" s="11"/>
      <c r="AG143" s="11"/>
      <c r="AH143" s="11"/>
      <c r="AI143" s="11"/>
      <c r="AJ143" s="11"/>
      <c r="AK143" s="11"/>
      <c r="AL143" s="11"/>
      <c r="AM143" s="11"/>
      <c r="AN143" s="34"/>
      <c r="AO143" s="34"/>
    </row>
  </sheetData>
  <conditionalFormatting sqref="D1:D1048576">
    <cfRule dxfId="4" priority="2" stopIfTrue="true" type="duplicateValues"/>
  </conditionalFormatting>
  <conditionalFormatting sqref="R1:R1048576">
    <cfRule priority="3" type="iconSet">
      <iconSet iconSet="5Arrows" showValue="true">
        <cfvo gte="true" type="percent" val="0"/>
        <cfvo gte="true" type="percent" val="20"/>
        <cfvo gte="true" type="percent" val="40"/>
        <cfvo gte="true" type="percent" val="60"/>
        <cfvo gte="true" type="percent" val="80"/>
      </iconSet>
    </cfRule>
  </conditionalFormatting>
  <conditionalFormatting sqref="AN1:AO1048576">
    <cfRule dxfId="5" operator="equal" priority="4" stopIfTrue="true" type="cellIs">
      <formula>15</formula>
    </cfRule>
  </conditionalFormatting>
  <conditionalFormatting sqref="C1:C1048576">
    <cfRule dxfId="6" priority="5" stopIfTrue="true" type="duplicateValues"/>
  </conditionalFormatting>
  <conditionalFormatting sqref="S1:T1048576">
    <cfRule dxfId="7" priority="6" stopIfTrue="true" type="duplicateValues"/>
  </conditionalFormatting>
  <dataValidations count="7">
    <dataValidation allowBlank="true" errorStyle="stop" showDropDown="true" showErrorMessage="true" sqref="AA2:AA143" type="list">
      <formula1>"普攻,肘击,武器技能,智脑技能,受击,移动,翻滚,奔跑,换弹,切换武器"</formula1>
    </dataValidation>
    <dataValidation allowBlank="true" errorStyle="stop" showDropDown="true" showErrorMessage="true" sqref="AN12:AN13 AN17:AN19 AN22 AN74 AN79:AN81 AN116 AN118:AN120 AN123 AN125" type="list">
      <formula1>"待办,要改,在做,测试,完成,不急"</formula1>
    </dataValidation>
    <dataValidation allowBlank="true" errorStyle="stop" showDropDown="true" showErrorMessage="true" sqref="AO2:AO143" type="list">
      <formula1>"@阿之,@Decay,@小唐"</formula1>
    </dataValidation>
    <dataValidation allowBlank="true" errorStyle="stop" showDropDown="true" showErrorMessage="true" sqref="F2:F143" type="list">
      <formula1>"主手,副手,腿部,皮肤,骨骼,行为芯片"</formula1>
    </dataValidation>
    <dataValidation allowBlank="true" errorStyle="stop" showDropDown="true" showErrorMessage="true" sqref="AJ2:AJ143" type="list">
      <formula1>"v0.0.5,v0.0.6,v0.0.7"</formula1>
    </dataValidation>
    <dataValidation allowBlank="true" errorStyle="stop" showDropDown="true" showErrorMessage="true" sqref="AD2:AD143" type="list">
      <formula1>"力量,反应,智力,高生命,高护甲,低生命,低护甲,能量,体力"</formula1>
    </dataValidation>
    <dataValidation allowBlank="true" errorStyle="stop" showDropDown="true" showErrorMessage="true" sqref="AL2:AL143 AM12:AM28 AM37 AM63 AM74 AM79:AM83 AM103:AM108 AM116 AM118:AM125 AM127:AM129 AF2:AF143 AG2:AG143 AH2:AH143 AK2:AK143" type="list">
      <formula1>"待办,在做,测试,要改,完成,不急"</formula1>
    </dataValidation>
  </dataValidations>
  <legacyDrawing r:id="rId1"/>
  <extLst>
    <ext xmlns:x14="http://schemas.microsoft.com/office/spreadsheetml/2009/9/main" uri="{CCE6A557-97BC-4b89-ADB6-D9C93CAAB3DF}">
      <x14:dataValidations xmlns:xm="http://schemas.microsoft.com/office/excel/2006/main" count="5">
        <x14:dataValidation type="list" allowBlank="true" errorStyle="stop" showDropDown="true" showErrorMessage="true" xr:uid="{6CCC2088-7DD3-423A-9672-795E2F381054}">
          <x14:formula1>
            <xm:f>'引用数据库'!$AF$2:$AF$100</xm:f>
          </x14:formula1>
          <xm:sqref>Z1:Z143</xm:sqref>
        </x14:dataValidation>
        <x14:dataValidation type="list" allowBlank="true" errorStyle="stop" showDropDown="true" showErrorMessage="true" xr:uid="{2525CF2F-D729-4BB1-85E4-E8F1498F3B5E}">
          <x14:formula1>
            <xm:f>'引用数据库'!$AQ$2:$AQ$100</xm:f>
          </x14:formula1>
          <xm:sqref>AE2:AE143</xm:sqref>
        </x14:dataValidation>
        <x14:dataValidation type="list" allowBlank="true" errorStyle="stop" showDropDown="true" showErrorMessage="true" xr:uid="{951FA326-AAF9-4D13-A498-42634F8CA4B4}">
          <x14:formula1>
            <xm:f>'状态|属性|效果'!$A$2:$A$101</xm:f>
          </x14:formula1>
          <xm:sqref>AB2:AB143</xm:sqref>
        </x14:dataValidation>
        <x14:dataValidation type="list" allowBlank="true" errorStyle="stop" showDropDown="true" showErrorMessage="true" xr:uid="{BB651F2E-67B2-494B-BDDA-4FC13775623B}">
          <x14:formula1>
            <xm:f>'引用数据库'!$Z$2:$Z$20</xm:f>
          </x14:formula1>
          <xm:sqref>E1:E143</xm:sqref>
        </x14:dataValidation>
        <x14:dataValidation type="list" allowBlank="true" errorStyle="stop" showDropDown="true" showErrorMessage="true" xr:uid="{FECB6ABE-4AEB-49CA-A9F3-5DAB9F454D2C}">
          <x14:formula1>
            <xm:f>'引用数据库'!$S$2:$S$20</xm:f>
          </x14:formula1>
          <xm:sqref>AC2:AC143</xm:sqref>
        </x14:dataValidation>
      </x14:dataValidations>
    </ext>
  </extLst>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8ee085"/>
    <outlinePr summaryBelow="false" summaryRight="false"/>
  </sheetPr>
  <dimension ref="A1"/>
  <sheetViews>
    <sheetView showGridLines="true" workbookViewId="0"/>
  </sheetViews>
  <sheetFormatPr defaultColWidth="14" defaultRowHeight="19"/>
  <cols>
    <col collapsed="false" customWidth="true" hidden="false" max="1" min="1" style="0" width="4"/>
  </cols>
  <sheetData>
    <row r="1">
      <c r="A1" s="18" t="str">
        <v>属性</v>
      </c>
      <c r="B1" s="12" t="str">
        <v>效果</v>
      </c>
    </row>
    <row r="2">
      <c r="A2" s="4" t="str">
        <v>动能</v>
      </c>
      <c r="B2" s="4" t="str">
        <v>对目标造成动能属性异常积蓄，当目标动能属性异常积蓄到100时，施加1层重伤效果</v>
      </c>
    </row>
    <row r="3">
      <c r="A3" s="4" t="str">
        <v>电磁</v>
      </c>
      <c r="B3" s="4" t="str">
        <v>对目标造成电磁属性异常积蓄，当目标电磁属性异常积蓄到100时，施加1层麻痹效果</v>
      </c>
    </row>
    <row r="4">
      <c r="A4" s="4" t="str">
        <v>热能</v>
      </c>
      <c r="B4" s="4" t="str">
        <v>对目标造成热能属性异常积蓄，当目标热能属性异常积蓄到100时，施加1层灼烧效果</v>
      </c>
    </row>
    <row r="5">
      <c r="A5" s="4" t="str">
        <v>冰冻</v>
      </c>
      <c r="B5" s="4" t="str">
        <v>对目标造成冰冻属性异常积蓄，当目标冰冻属性异常积蓄到100时，施加1层冻结效果</v>
      </c>
    </row>
    <row r="6">
      <c r="A6" s="4" t="str">
        <v>纳米</v>
      </c>
      <c r="B6" s="4" t="str">
        <v>对目标不直接造成伤害，而是造成与伤害等额的纳米属性异常积蓄，纳米属性异常积蓄到100时，施加1层纳米侵蚀效果</v>
      </c>
    </row>
    <row r="7">
      <c r="A7" s="4" t="str">
        <v>辐射</v>
      </c>
      <c r="B7" s="4" t="str">
        <v>无视目标的护甲，直接对生命造成50%伤害，并对目标造成辐射属性异常积蓄，目标的辐射属性异常每积蓄1，受到的辐射伤害增加1%</v>
      </c>
    </row>
  </sheetData>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8ee085"/>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8"/>
    <col collapsed="false" customWidth="true" hidden="false" max="2" min="2" style="0" width="17"/>
    <col collapsed="false" customWidth="true" hidden="false" max="3" min="3" style="0" width="9"/>
    <col collapsed="false" customWidth="true" hidden="false" max="4" min="4" style="0" width="10"/>
    <col collapsed="false" customWidth="true" hidden="false" max="5" min="5" style="0" width="38"/>
    <col collapsed="false" customWidth="true" hidden="false" max="6" min="6" style="0" width="49"/>
    <col collapsed="false" customWidth="true" hidden="false" max="7" min="7" style="0" width="8"/>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
    <col collapsed="false" customWidth="true" hidden="false" max="12" min="12" style="0" width="8"/>
    <col collapsed="false" customWidth="true" hidden="false" max="13" min="13" style="0" width="40"/>
    <col collapsed="false" customWidth="true" hidden="false" max="14" min="14" style="0" width="1"/>
    <col collapsed="false" customWidth="true" hidden="false" max="15" min="15" style="0" width="9"/>
    <col collapsed="false" customWidth="true" hidden="false" max="16" min="16" style="0" width="26"/>
    <col collapsed="false" customWidth="true" hidden="false" max="17" min="17" style="0" width="2"/>
    <col collapsed="false" customWidth="true" hidden="false" max="18" min="18" style="0" width="11"/>
    <col collapsed="false" customWidth="true" hidden="false" max="19" min="19" style="0" width="26"/>
    <col collapsed="false" customWidth="true" hidden="false" max="20" min="20" style="0" width="2"/>
    <col collapsed="false" customWidth="true" hidden="false" max="21" min="21" style="0" width="11"/>
    <col collapsed="false" customWidth="true" hidden="false" max="22" min="22" style="0" width="26"/>
  </cols>
  <sheetData>
    <row r="1">
      <c r="A1" s="18" t="str">
        <v>状态</v>
      </c>
      <c r="B1" s="18" t="str">
        <v>Name</v>
      </c>
      <c r="C1" s="245" t="str">
        <v>类型</v>
      </c>
      <c r="D1" s="18" t="str">
        <v>来源</v>
      </c>
      <c r="E1" s="245" t="str">
        <v>效果</v>
      </c>
      <c r="F1" s="245" t="str">
        <v>设计</v>
      </c>
      <c r="G1" s="14" t="str">
        <v>层数上限</v>
      </c>
      <c r="H1" s="14" t="str">
        <v>时间重置类型</v>
      </c>
      <c r="I1" s="14" t="str">
        <v>效果叠加类型</v>
      </c>
      <c r="J1" s="14" t="str">
        <v>单独触发伤害</v>
      </c>
      <c r="K1" s="14" t="str" xml:space="preserve">
        <v> </v>
      </c>
      <c r="L1" s="14" t="str">
        <v>伤害属性</v>
      </c>
      <c r="M1" s="245" t="str">
        <v>效果</v>
      </c>
      <c r="N1" s="14" t="str" xml:space="preserve">
        <v> </v>
      </c>
      <c r="O1" s="246" t="str">
        <v>类型列表</v>
      </c>
      <c r="P1" s="245" t="str">
        <v>定义</v>
      </c>
      <c r="Q1" s="14" t="str" xml:space="preserve">
        <v>  </v>
      </c>
      <c r="R1" s="14" t="str">
        <v>时间重置类型</v>
      </c>
      <c r="S1" s="245" t="str">
        <v>定义</v>
      </c>
      <c r="T1" s="14" t="str" xml:space="preserve">
        <v>  </v>
      </c>
      <c r="U1" s="14" t="str">
        <v>效果叠加类型</v>
      </c>
      <c r="V1" s="245"/>
      <c r="W1" s="14"/>
      <c r="X1" s="14"/>
      <c r="Y1" s="14"/>
      <c r="Z1" s="14"/>
      <c r="AA1" s="14"/>
      <c r="AB1" s="14"/>
      <c r="AC1" s="14"/>
      <c r="AD1" s="14"/>
    </row>
    <row r="2">
      <c r="A2" s="2" t="str">
        <v>灼烧</v>
      </c>
      <c r="B2" s="185" t="str">
        <v>Burn</v>
      </c>
      <c r="C2" s="40" t="str">
        <v>Debuff</v>
      </c>
      <c r="D2" s="26" t="str">
        <v>属性异常,装备</v>
      </c>
      <c r="E2" s="26" t="str">
        <v>每秒受到{一次}热能伤害。</v>
      </c>
      <c r="F2" s="26" t="str">
        <v>伤害：{100%} x [[附加来源的异常积蓄]] 或 [[属性 x 系数]]
触发间隔：{1s}
持续时间：{5s}</v>
      </c>
      <c r="G2" s="1">
        <v>5</v>
      </c>
      <c r="H2" t="str">
        <v>单独结算</v>
      </c>
      <c r="I2" s="4" t="str">
        <v>线性叠加</v>
      </c>
      <c r="J2" s="3" t="str">
        <v>N/A</v>
      </c>
      <c r="K2" s="1"/>
      <c r="L2" s="4" t="str">
        <v>热能</v>
      </c>
      <c r="M2" s="26" t="str">
        <v>对角色造成[[热能]]属性伤害，当属性伤害抵达上限后，对角色施加[[灼烧]]状态。</v>
      </c>
      <c r="O2" s="210" t="str">
        <v>Buff</v>
      </c>
      <c r="P2" s="26" t="str">
        <v>对目标角色产生正面或有益效果的状态。通常用于增强角色的能力或提供优势。</v>
      </c>
      <c r="Q2" s="4"/>
      <c r="R2" s="4" t="str">
        <v>单独结算</v>
      </c>
      <c r="S2" s="26" t="str">
        <v>单独结算每一层效果的持续时间。</v>
      </c>
      <c r="T2" s="4"/>
      <c r="U2" s="4" t="str">
        <v>线性叠加</v>
      </c>
      <c r="V2" s="26" t="str">
        <v>当有多层同类Buff存在时，同类Buff的同字段效果数值直接相加结算。</v>
      </c>
    </row>
    <row r="3">
      <c r="A3" s="2" t="str">
        <v>重伤</v>
      </c>
      <c r="B3" s="185" t="str">
        <v>Severely Injured</v>
      </c>
      <c r="C3" s="77" t="str">
        <v>Debuff</v>
      </c>
      <c r="D3" s="26" t="str">
        <v>属性异常,装备</v>
      </c>
      <c r="E3" s="26" t="str">
        <v>受到的所有伤害增加{}。</v>
      </c>
      <c r="F3" s="26" t="str">
        <v>伤害提升：{+20%}
持续时间：{5s}</v>
      </c>
      <c r="G3" s="1">
        <v>1</v>
      </c>
      <c r="H3" t="str">
        <v>单独结算</v>
      </c>
      <c r="I3" s="4" t="str">
        <v>线性叠加</v>
      </c>
      <c r="J3" s="3" t="str">
        <v>N/A</v>
      </c>
      <c r="K3" s="1"/>
      <c r="L3" s="4" t="str">
        <v>动能</v>
      </c>
      <c r="M3" s="26" t="str">
        <v>对角色造成[[动能]]属性伤害，当属性伤害抵达上限后，对角色施加[[重伤]]状态。</v>
      </c>
      <c r="O3" s="207" t="str">
        <v>Debuff</v>
      </c>
      <c r="P3" s="26" t="str">
        <v>对目标角色产生负面或有害效果的状态。通常用于削弱角色的能力或施加不利条件。</v>
      </c>
      <c r="Q3" s="4"/>
      <c r="R3" s="4" t="str">
        <v>重置时间</v>
      </c>
      <c r="S3" s="26" t="str">
        <v>每次施加新效果时，用新效果的持续时间重置同一效果的持续时间，无论是否更久。</v>
      </c>
      <c r="T3" s="4"/>
      <c r="U3" s="4" t="str">
        <v>分别计算</v>
      </c>
      <c r="V3" s="26" t="str">
        <v>当有多层同类Buff存在时，同类Buff的同字段效果分别计算N次。</v>
      </c>
    </row>
    <row r="4">
      <c r="A4" s="2" t="str">
        <v>麻痹</v>
      </c>
      <c r="B4" s="185" t="str">
        <v>Paralysis</v>
      </c>
      <c r="C4" s="77" t="str">
        <v>Debuff</v>
      </c>
      <c r="D4" s="26" t="str">
        <v>属性异常,装备</v>
      </c>
      <c r="E4" s="26" t="str">
        <v>换弹、攻击、移动和转身速度降低{}。</v>
      </c>
      <c r="F4" s="26" t="str">
        <v>攻击速度降低：每层{-20%}
其他速度降低：每层{-30%}
持续时间：{5s}</v>
      </c>
      <c r="G4" s="1">
        <v>10</v>
      </c>
      <c r="H4" t="str">
        <v>单独结算</v>
      </c>
      <c r="I4" s="4" t="str">
        <v>线性叠加</v>
      </c>
      <c r="J4" s="3" t="str">
        <v>N/A</v>
      </c>
      <c r="K4" s="1"/>
      <c r="L4" s="4" t="str">
        <v>电磁</v>
      </c>
      <c r="M4" s="26" t="str">
        <v>对角色造成[[电磁]]属性伤害，当属性伤害抵达上限后，对角色施加[[麻痹]]状态。</v>
      </c>
      <c r="O4" s="4" t="str">
        <v>Neutral</v>
      </c>
      <c r="P4" s="26" t="str">
        <v>增益和减益效果同时有、同时没有或不明确的效果。</v>
      </c>
      <c r="Q4" s="4"/>
      <c r="R4" s="4" t="str">
        <v>叠加时间</v>
      </c>
      <c r="S4" s="26" t="str">
        <v>每次施加新效果时，用新效果的持续时间加总到现有效果的剩余持续时间上。</v>
      </c>
      <c r="T4" s="4"/>
      <c r="U4" s="4" t="str">
        <v>取最高值</v>
      </c>
      <c r="V4" s="26" t="str">
        <v>当有多层同类Buff存在时，同类Buff的同字段效果取其最高值结算。</v>
      </c>
    </row>
    <row r="5">
      <c r="A5" s="2" t="str">
        <v>纳米侵蚀</v>
      </c>
      <c r="B5" s="185" t="str">
        <v>Nano Corrosion</v>
      </c>
      <c r="C5" s="77" t="str">
        <v>Debuff</v>
      </c>
      <c r="D5" s="26" t="str">
        <v>属性异常,装备</v>
      </c>
      <c r="E5" s="26" t="str">
        <v>每秒受到{X}点纳米伤害，持续{Y}秒；
效果期间死亡时，状态转移给附近{Z}m的敌人。</v>
      </c>
      <c r="F5" s="26" t="str">
        <v>总伤害：{攻击伤害/5} 
持续时间：{5s}
转移范围：{4m}</v>
      </c>
      <c r="G5" s="1">
        <v>99</v>
      </c>
      <c r="H5" t="str">
        <v>单独结算</v>
      </c>
      <c r="I5" s="4" t="str">
        <v>线性叠加</v>
      </c>
      <c r="J5" s="3" t="str">
        <v>是</v>
      </c>
      <c r="K5" s="1"/>
      <c r="L5" s="4" t="str">
        <v>纳米</v>
      </c>
      <c r="M5" s="26" t="str">
        <v>对角色造成[[纳米]]属性伤害，当属性伤害抵达上限后，对角色施加[[纳米侵蚀]]状态。</v>
      </c>
      <c r="O5" s="210" t="str">
        <v>Hidden</v>
      </c>
      <c r="P5" s="26" t="str">
        <v>可能是Buff或Debuff，但玩家无法看到对应图标的状态。</v>
      </c>
      <c r="Q5" s="4"/>
      <c r="R5" s="4" t="str">
        <v>无法叠加</v>
      </c>
      <c r="S5" s="26" t="str">
        <v>如果已有同一效果存在，则新效果无法附加。</v>
      </c>
      <c r="T5" s="4"/>
      <c r="U5" t="str">
        <v>N/A</v>
      </c>
      <c r="V5" s="26" t="str">
        <v>由于效果不包含数值，无法叠加。</v>
      </c>
    </row>
    <row customHeight="true" ht="46" r="6">
      <c r="A6" s="244" t="str">
        <v>冻结</v>
      </c>
      <c r="B6" s="185" t="str">
        <v>Frozen</v>
      </c>
      <c r="C6" s="77" t="str">
        <v>Debuff</v>
      </c>
      <c r="D6" s="26" t="str">
        <v>属性异常,装备</v>
      </c>
      <c r="E6" s="26" t="str">
        <v>无法行动，持续5秒。下一次受到的伤害增加200%，解除该状态。</v>
      </c>
      <c r="F6" s="26"/>
      <c r="G6" s="1">
        <v>1</v>
      </c>
      <c r="H6" t="str">
        <v>单独结算</v>
      </c>
      <c r="I6" s="4" t="str">
        <v>N/A</v>
      </c>
      <c r="J6" s="3" t="str">
        <v>N/A</v>
      </c>
      <c r="K6" s="1"/>
      <c r="L6" s="4"/>
      <c r="M6" s="26"/>
      <c r="O6" s="210"/>
      <c r="P6" s="26"/>
      <c r="Q6" s="4"/>
      <c r="R6" s="4"/>
      <c r="S6" s="26"/>
      <c r="T6" s="4"/>
      <c r="V6" s="26"/>
    </row>
    <row r="7">
      <c r="A7" s="2" t="str">
        <v>流血</v>
      </c>
      <c r="B7" s="185" t="str">
        <v>Bleed</v>
      </c>
      <c r="C7" s="77" t="str">
        <v>Debuff</v>
      </c>
      <c r="D7" s="26" t="str">
        <v>装备</v>
      </c>
      <c r="E7" s="26" t="str">
        <v>每移动{一定距离}，受到{一次}动能伤害。</v>
      </c>
      <c r="F7" s="26" t="str">
        <v>伤害：{100%} x [[附加来源的武器伤害]] 或 [[属性 x 系数]] 
触发距离：{1m}
持续时间：{10s}</v>
      </c>
      <c r="G7" s="1">
        <v>1</v>
      </c>
      <c r="H7" t="str">
        <v>单独结算</v>
      </c>
      <c r="I7" s="4" t="str">
        <v>线性叠加</v>
      </c>
      <c r="J7" s="3" t="str">
        <v>N/A</v>
      </c>
      <c r="K7" s="1"/>
      <c r="M7" s="26"/>
      <c r="Q7" s="4"/>
      <c r="R7" s="4"/>
      <c r="S7" s="26"/>
      <c r="T7" s="4"/>
      <c r="V7" s="26"/>
    </row>
    <row r="8">
      <c r="A8" s="2" t="str">
        <v>株连</v>
      </c>
      <c r="B8" s="185" t="str">
        <v>Linked</v>
      </c>
      <c r="C8" s="77" t="str">
        <v>Debuff</v>
      </c>
      <c r="D8" s="26" t="str">
        <v>装备</v>
      </c>
      <c r="E8" s="26" t="str">
        <v>所有带此效果的敌人，一个受击，其他对象受到 30% 的传递伤害。</v>
      </c>
      <c r="F8" s="26" t="str">
        <v>传递伤害类型：{同受击类型}
持续时间：{12s}</v>
      </c>
      <c r="G8" s="1">
        <v>1</v>
      </c>
      <c r="H8" t="str">
        <v>重置时间</v>
      </c>
      <c r="I8" s="4" t="str">
        <v>线性叠加</v>
      </c>
      <c r="J8" s="3" t="str">
        <v>N/A</v>
      </c>
      <c r="K8" s="1"/>
      <c r="M8" s="26"/>
      <c r="O8" s="210"/>
      <c r="P8" s="26"/>
      <c r="Q8" s="4"/>
      <c r="R8" s="4"/>
      <c r="S8" s="26"/>
      <c r="T8" s="4"/>
      <c r="V8" s="26"/>
    </row>
    <row r="9">
      <c r="A9" s="2" t="str">
        <v>吸血</v>
      </c>
      <c r="B9" s="185" t="str">
        <v>Lifesteal</v>
      </c>
      <c r="C9" s="77" t="str">
        <v>Buff</v>
      </c>
      <c r="D9" s="26" t="str">
        <v>装备</v>
      </c>
      <c r="E9" s="26" t="str">
        <v>普通攻击和武器技能命中时，恢复近期损失生命值的一部分，恢复量基于{}造成的伤害。</v>
      </c>
      <c r="F9" s="26" t="str">
        <v>恢复比例：{造成伤害 x 5%}
回复范围：生命值虚血部分
持续时间：{?s}</v>
      </c>
      <c r="G9" s="1">
        <v>1</v>
      </c>
      <c r="H9" t="str">
        <v>重置时间</v>
      </c>
      <c r="I9" t="str">
        <v>分别计算</v>
      </c>
      <c r="J9" s="3" t="str">
        <v>N/A</v>
      </c>
      <c r="K9" s="1"/>
      <c r="M9" s="26"/>
      <c r="O9" s="210"/>
      <c r="P9" s="26"/>
      <c r="S9" s="26"/>
      <c r="V9" s="26"/>
    </row>
    <row customHeight="true" ht="46" r="10">
      <c r="A10" s="2" t="str">
        <v>嗜血</v>
      </c>
      <c r="B10" s="185"/>
      <c r="C10" s="77" t="str">
        <v>Buff</v>
      </c>
      <c r="D10" s="26" t="str">
        <v>装备</v>
      </c>
      <c r="E10" s="26" t="str">
        <v>{短时间}内提升{}攻击速度和{}吸血效率。</v>
      </c>
      <c r="F10" s="26" t="str">
        <v>吸血效率加成：{+100%} 
持续时间：{6s}</v>
      </c>
      <c r="G10" s="1"/>
      <c r="J10" s="3"/>
      <c r="K10" s="1"/>
      <c r="M10" s="26"/>
      <c r="O10" s="210"/>
      <c r="P10" s="26"/>
      <c r="S10" s="26"/>
      <c r="V10" s="26"/>
    </row>
    <row r="11">
      <c r="A11" s="2" t="str">
        <v>光学迷彩</v>
      </c>
      <c r="B11" s="185" t="str">
        <v>Optical Camo</v>
      </c>
      <c r="C11" s="77" t="str">
        <v>Buff</v>
      </c>
      <c r="D11" s="26" t="str">
        <v>装备</v>
      </c>
      <c r="E11" s="26" t="str">
        <v>完全隐身，攻击、使用技能或受击解除。</v>
      </c>
      <c r="F11" s="26" t="str">
        <v>持续时间：{?s}</v>
      </c>
      <c r="G11" s="1">
        <v>1</v>
      </c>
      <c r="H11" t="str">
        <v>重置时间</v>
      </c>
      <c r="I11" t="str">
        <v>N/A</v>
      </c>
      <c r="J11" s="3" t="str">
        <v>N/A</v>
      </c>
      <c r="K11" s="1"/>
      <c r="M11" s="26"/>
      <c r="O11" s="210"/>
      <c r="P11" s="26"/>
      <c r="S11" s="26"/>
      <c r="V11" s="26"/>
    </row>
    <row r="12">
      <c r="A12" s="2" t="str">
        <v>光学扭曲</v>
      </c>
      <c r="B12" s="185" t="str">
        <v>Optical Distortion</v>
      </c>
      <c r="C12" s="77" t="str">
        <v>Buff</v>
      </c>
      <c r="D12" s="26" t="str">
        <v>装备</v>
      </c>
      <c r="E12" s="26" t="s">
        <v>38</v>
      </c>
      <c r="F12" s="26" t="str">
        <v>持续时间：{?s}</v>
      </c>
      <c r="G12" s="1">
        <v>1</v>
      </c>
      <c r="H12" t="str">
        <v>重置时间</v>
      </c>
      <c r="I12" t="str">
        <v>N/A</v>
      </c>
      <c r="J12" s="3" t="str">
        <v>N/A</v>
      </c>
      <c r="K12" s="1"/>
      <c r="M12" s="26"/>
      <c r="O12" s="210"/>
      <c r="P12" s="26"/>
      <c r="S12" s="26"/>
      <c r="V12" s="26"/>
    </row>
    <row r="13">
      <c r="A13" s="2" t="str">
        <v>看破</v>
      </c>
      <c r="B13" s="185" t="str">
        <v>Weakness Exploit</v>
      </c>
      <c r="C13" s="77" t="str">
        <v>Buff</v>
      </c>
      <c r="D13" s="26" t="str">
        <v>装备</v>
      </c>
      <c r="E13" s="26" t="str">
        <v>攻击者的暴击率{修正} (A)。</v>
      </c>
      <c r="F13" s="26" t="str">
        <v>暴击率修正A：{?%}
持续时间：{?s}</v>
      </c>
      <c r="G13" s="1">
        <v>99</v>
      </c>
      <c r="H13" t="str">
        <v>单独结算</v>
      </c>
      <c r="I13" t="str">
        <v>线性叠加</v>
      </c>
      <c r="J13" s="3" t="str">
        <v>N/A</v>
      </c>
      <c r="K13" s="1"/>
      <c r="M13" s="26"/>
      <c r="O13" s="210"/>
      <c r="P13" s="26"/>
      <c r="S13" s="26"/>
      <c r="V13" s="26"/>
    </row>
    <row r="14">
      <c r="A14" s="2" t="str">
        <v>弱点保护</v>
      </c>
      <c r="B14" s="185" t="str">
        <v>Weakness Protection</v>
      </c>
      <c r="C14" s="77" t="str">
        <v>Debuff</v>
      </c>
      <c r="D14" s="26" t="str">
        <v>装备</v>
      </c>
      <c r="E14" s="26" t="str">
        <v>受到的暴击概率{修正}(B)。</v>
      </c>
      <c r="F14" s="26" t="str">
        <v>暴击率修正B：{?%}
持续时间：{?s}</v>
      </c>
      <c r="G14" s="1">
        <v>99</v>
      </c>
      <c r="H14" t="str">
        <v>单独结算</v>
      </c>
      <c r="I14" t="str">
        <v>线性叠加</v>
      </c>
      <c r="J14" s="3" t="str">
        <v>N/A</v>
      </c>
      <c r="K14" s="1"/>
      <c r="M14" s="26"/>
      <c r="O14" s="210"/>
      <c r="P14" s="26"/>
      <c r="S14" s="26"/>
      <c r="V14" s="26"/>
    </row>
    <row r="15">
      <c r="A15" s="2" t="str">
        <v>超会心</v>
      </c>
      <c r="B15" s="185" t="str">
        <v>Critical Boost</v>
      </c>
      <c r="C15" s="77" t="str">
        <v>Buff</v>
      </c>
      <c r="D15" s="26" t="str">
        <v>装备</v>
      </c>
      <c r="E15" s="26" t="str">
        <v>攻击者的暴击伤害{修正} (C)。</v>
      </c>
      <c r="F15" s="26" t="str">
        <v>暴击伤害修正C：{?%}
持续时间：{?s}</v>
      </c>
      <c r="G15" s="1">
        <v>99</v>
      </c>
      <c r="H15" t="str">
        <v>单独结算</v>
      </c>
      <c r="I15" t="str">
        <v>线性叠加</v>
      </c>
      <c r="J15" s="3" t="str">
        <v>N/A</v>
      </c>
      <c r="K15" s="1"/>
      <c r="M15" s="26"/>
      <c r="O15" s="210"/>
      <c r="P15" s="26"/>
      <c r="S15" s="26"/>
      <c r="V15" s="26"/>
    </row>
    <row r="16">
      <c r="A16" s="2" t="str">
        <v>易伤</v>
      </c>
      <c r="B16" s="185" t="str">
        <v>Vulnerable</v>
      </c>
      <c r="C16" s="77" t="str">
        <v>Debuff</v>
      </c>
      <c r="D16" s="26" t="str">
        <v>装备</v>
      </c>
      <c r="E16" s="26" t="str">
        <v>受到的暴击伤害{修正}(D)。</v>
      </c>
      <c r="F16" s="26" t="str">
        <v>暴击伤害修正(D)：{?%}
持续时间：{5s}</v>
      </c>
      <c r="G16" s="1">
        <v>99</v>
      </c>
      <c r="H16" t="str">
        <v>单独结算</v>
      </c>
      <c r="I16" t="str">
        <v>线性叠加</v>
      </c>
      <c r="J16" s="3" t="str">
        <v>N/A</v>
      </c>
      <c r="K16" s="1"/>
      <c r="M16" s="26"/>
      <c r="O16" s="210"/>
      <c r="P16" s="26"/>
      <c r="S16" s="26"/>
      <c r="V16" s="26"/>
    </row>
    <row r="17">
      <c r="A17" s="2" t="str">
        <v>连击</v>
      </c>
      <c r="B17" s="185" t="str">
        <v>Reactive Strike</v>
      </c>
      <c r="C17" s="77" t="str">
        <v>Debuff</v>
      </c>
      <c r="D17" s="26" t="str">
        <v>装备</v>
      </c>
      <c r="E17" s="26" t="str">
        <v>受到伤害时，有{}概率受到额外一次等额伤害。</v>
      </c>
      <c r="F17" s="26" t="str">
        <v>额外伤害：{100%} x [[触发的伤害]]
触发概率：{+?%}
持续时间：{?s}</v>
      </c>
      <c r="G17" s="1">
        <v>1</v>
      </c>
      <c r="H17" t="str">
        <v>单独结算</v>
      </c>
      <c r="I17" s="4" t="str">
        <v>线性叠加</v>
      </c>
      <c r="J17" s="3" t="str">
        <v>是</v>
      </c>
      <c r="K17" s="1"/>
      <c r="M17" s="26"/>
      <c r="O17" s="210"/>
      <c r="P17" s="26"/>
      <c r="Q17" s="4"/>
      <c r="R17" s="4"/>
      <c r="S17" s="26"/>
      <c r="T17" s="4"/>
      <c r="V17" s="26"/>
    </row>
    <row r="18">
      <c r="A18" s="2" t="str">
        <v>余震</v>
      </c>
      <c r="B18" s="185" t="str">
        <v>Aftershock</v>
      </c>
      <c r="C18" s="77" t="str">
        <v>Debuff</v>
      </c>
      <c r="D18" s="26" t="str">
        <v>装备</v>
      </c>
      <c r="E18" s="26" t="str">
        <v>短暂延迟后，对目标及其身边{小范围}造成{一次}伤害。</v>
      </c>
      <c r="F18" s="26" t="str">
        <v>伤害比例：{?%} x [[附加来源的伤害]] 或 [[属性 x 系数]]
延迟时间：{2s}
范围：{1.5m}</v>
      </c>
      <c r="G18" s="1">
        <v>1</v>
      </c>
      <c r="H18" t="str">
        <v>单独结算</v>
      </c>
      <c r="I18" t="str">
        <v>分别计算</v>
      </c>
      <c r="J18" s="3" t="str">
        <v>N/A</v>
      </c>
      <c r="K18" s="1"/>
      <c r="M18" s="26"/>
      <c r="O18" s="210"/>
      <c r="P18" s="26"/>
      <c r="S18" s="26"/>
      <c r="V18" s="26"/>
    </row>
    <row r="19">
      <c r="A19" s="2" t="str">
        <v>超载</v>
      </c>
      <c r="B19" s="185" t="str">
        <v>Overdrive</v>
      </c>
      <c r="C19" s="77" t="str">
        <v>Buff</v>
      </c>
      <c r="D19" s="26" t="str">
        <v>装备</v>
      </c>
      <c r="E19" s="26" t="str">
        <v>{短时间}内提升{}攻速和{}装填速度，但射击消耗{双倍}弹药。</v>
      </c>
      <c r="F19" s="26" t="str">
        <v>攻击速度加成：{+100%}
装填速度加成：{+100%}
弹药消耗：{x2}
持续时间：{3s}</v>
      </c>
      <c r="G19" s="1">
        <v>1</v>
      </c>
      <c r="H19" t="str">
        <v>重置时间</v>
      </c>
      <c r="I19" s="4" t="str">
        <v>线性叠加</v>
      </c>
      <c r="J19" s="3" t="str">
        <v>N/A</v>
      </c>
      <c r="K19" s="1"/>
      <c r="M19" s="26"/>
      <c r="O19" s="210"/>
      <c r="P19" s="26"/>
      <c r="Q19" s="4"/>
      <c r="R19" s="4"/>
      <c r="S19" s="26"/>
      <c r="T19" s="4"/>
      <c r="V19" s="26"/>
    </row>
    <row r="20">
      <c r="A20" s="2" t="str">
        <v>狂热</v>
      </c>
      <c r="B20" s="185" t="str">
        <v>Frenzy</v>
      </c>
      <c r="C20" s="77" t="str">
        <v>Buff</v>
      </c>
      <c r="D20" s="26" t="str">
        <v>装备</v>
      </c>
      <c r="E20" s="26" t="str">
        <v>{短时间}内提升{}攻击速度。</v>
      </c>
      <c r="F20" s="26" t="str">
        <v>攻击速度加成：{+20%}
持续时间：{6s}</v>
      </c>
      <c r="G20" s="1">
        <v>1</v>
      </c>
      <c r="H20" t="str">
        <v>重置时间</v>
      </c>
      <c r="I20" s="4" t="str">
        <v>线性叠加</v>
      </c>
      <c r="J20" s="3" t="str">
        <v>N/A</v>
      </c>
      <c r="K20" s="1"/>
      <c r="M20" s="26"/>
      <c r="O20" s="210"/>
      <c r="P20" s="26"/>
      <c r="S20" s="26"/>
      <c r="V20" s="26"/>
    </row>
    <row r="21">
      <c r="A21" s="2" t="str">
        <v>瘾瘾作痛</v>
      </c>
      <c r="C21" s="77" t="str">
        <v>Neutral</v>
      </c>
      <c r="D21" s="26" t="str">
        <v>唯一装备</v>
      </c>
      <c r="E21" s="26" t="str">
        <v>损失生命时，有{}概率在{短时间}内{大幅}提升造成的伤害。</v>
      </c>
      <c r="F21" s="26" t="str">
        <v>伤害加成：{+50%}
持续时间：{3s}
触发概率：{20%}</v>
      </c>
      <c r="G21" s="1">
        <v>1</v>
      </c>
      <c r="H21" t="str">
        <v>重置时间</v>
      </c>
      <c r="I21" s="4" t="str">
        <v>线性叠加</v>
      </c>
      <c r="J21" s="3" t="str">
        <v>N/A</v>
      </c>
      <c r="K21" s="1"/>
      <c r="M21" s="26"/>
      <c r="P21" s="26"/>
      <c r="S21" s="26"/>
      <c r="V21" s="26"/>
    </row>
    <row r="22">
      <c r="A22" s="2" t="str">
        <v>狂热织物</v>
      </c>
      <c r="C22" s="77" t="str">
        <v>Buff</v>
      </c>
      <c r="D22" s="26" t="str">
        <v>唯一装备</v>
      </c>
      <c r="E22" s="26" t="str">
        <v>{短时间}内提升{}攻击速度，可叠加。</v>
      </c>
      <c r="F22" s="26" t="str">
        <v>攻击速度加成：每层{+5%}
持续时间：{3s}</v>
      </c>
      <c r="G22" s="1">
        <v>12</v>
      </c>
      <c r="H22" t="str">
        <v>重置时间</v>
      </c>
      <c r="I22" t="str">
        <v>线性叠加</v>
      </c>
      <c r="J22" s="3" t="str">
        <v>N/A</v>
      </c>
      <c r="K22" s="1"/>
      <c r="M22" s="26"/>
      <c r="O22" s="210"/>
      <c r="P22" s="26"/>
      <c r="S22" s="26"/>
      <c r="V22" s="26"/>
    </row>
    <row r="23">
      <c r="A23" s="2" t="str">
        <v>破甲</v>
      </c>
      <c r="C23" s="77" t="str">
        <v>Debuff</v>
      </c>
      <c r="D23" s="26" t="str">
        <v>唯一装备</v>
      </c>
      <c r="E23" s="26" t="str">
        <v>每秒损失{}护甲值。</v>
      </c>
      <c r="F23" s="26" t="str">
        <v>每秒护甲损失：{-20%}
持续时间：{2s}</v>
      </c>
      <c r="G23" s="1">
        <v>1</v>
      </c>
      <c r="H23" t="str">
        <v>重置时间</v>
      </c>
      <c r="I23" t="str">
        <v>线性叠加</v>
      </c>
      <c r="J23" s="3" t="str">
        <v>N/A</v>
      </c>
      <c r="K23" s="1"/>
      <c r="M23" s="26"/>
      <c r="O23" s="210"/>
      <c r="P23" s="26"/>
      <c r="S23" s="26"/>
      <c r="V23" s="26"/>
    </row>
    <row r="24">
      <c r="A24" s="2" t="str">
        <v>干扰</v>
      </c>
      <c r="C24" s="77" t="str">
        <v>Debuff</v>
      </c>
      <c r="D24" s="26" t="str">
        <v>唯一装备</v>
      </c>
      <c r="E24" s="26" t="str">
        <v>降低{}命中率。</v>
      </c>
      <c r="F24" s="26" t="str">
        <v>命中有概率不造成伤害：{-25%}
持续时间：{2.5s}</v>
      </c>
      <c r="G24" s="1">
        <v>1</v>
      </c>
      <c r="H24" t="str">
        <v>重置时间</v>
      </c>
      <c r="I24" t="str">
        <v>线性叠加</v>
      </c>
      <c r="J24" s="3" t="str">
        <v>N/A</v>
      </c>
      <c r="K24" s="1"/>
      <c r="M24" s="26"/>
      <c r="O24" s="210"/>
      <c r="P24" s="26"/>
      <c r="S24" s="26"/>
      <c r="V24" s="26"/>
    </row>
    <row r="25">
      <c r="A25" s="2" t="str">
        <v>阵地</v>
      </c>
      <c r="C25" s="77" t="str">
        <v>Buff</v>
      </c>
      <c r="D25" s="26" t="str">
        <v>装备</v>
      </c>
      <c r="E25" s="26" t="str">
        <v>获得{}伤害减免，普通攻击散射范围降低{}。</v>
      </c>
      <c r="F25" s="26" t="str">
        <v>伤害减免：{-20%}
普通攻击散射当前值/上限/最小值降低：{-30%}
持续时间：{维持}</v>
      </c>
      <c r="G25" s="1">
        <v>1</v>
      </c>
      <c r="H25" t="str">
        <v>重置时间</v>
      </c>
      <c r="I25" t="str">
        <v>线性叠加</v>
      </c>
      <c r="J25" s="3" t="str">
        <v>N/A</v>
      </c>
      <c r="K25" s="1"/>
      <c r="M25" s="26"/>
      <c r="O25" s="210"/>
      <c r="P25" s="26"/>
      <c r="S25" s="26"/>
      <c r="V25" s="26"/>
    </row>
    <row r="26">
      <c r="A26" s="2" t="str">
        <v>霸体</v>
      </c>
      <c r="B26" s="185" t="str">
        <v>Hyper Armor</v>
      </c>
      <c r="C26" s="77" t="str">
        <v>Buff</v>
      </c>
      <c r="D26" s="26" t="str">
        <v>装备</v>
      </c>
      <c r="E26" s="26" t="str">
        <v>免疫硬直效果，且{短时间}内不会减少韧性值。</v>
      </c>
      <c r="F26" s="26" t="str">
        <v>持续时间：{2s}</v>
      </c>
      <c r="G26" s="1">
        <v>1</v>
      </c>
      <c r="H26" t="str">
        <v>重置时间</v>
      </c>
      <c r="I26" t="str">
        <v>N/A</v>
      </c>
      <c r="J26" s="3" t="str">
        <v>N/A</v>
      </c>
      <c r="K26" s="1"/>
      <c r="M26" s="26"/>
      <c r="O26" s="210"/>
      <c r="P26" s="26"/>
      <c r="S26" s="26"/>
      <c r="V26" s="26"/>
    </row>
    <row r="27">
      <c r="A27" s="2"/>
      <c r="B27" s="185"/>
      <c r="C27" s="77"/>
      <c r="D27" s="26"/>
      <c r="E27" s="26"/>
      <c r="F27" s="26"/>
      <c r="G27" s="1"/>
      <c r="J27" s="3"/>
      <c r="K27" s="1"/>
      <c r="M27" s="26"/>
      <c r="O27" s="210"/>
      <c r="P27" s="26"/>
      <c r="S27" s="26"/>
      <c r="V27" s="26"/>
    </row>
    <row r="28">
      <c r="A28" s="2"/>
      <c r="B28" s="185"/>
      <c r="C28" s="77"/>
      <c r="D28" s="26"/>
      <c r="E28" s="26"/>
      <c r="F28" s="26"/>
      <c r="G28" s="1"/>
      <c r="J28" s="3"/>
      <c r="K28" s="1"/>
      <c r="M28" s="26"/>
      <c r="O28" s="210"/>
      <c r="P28" s="26"/>
      <c r="S28" s="26"/>
      <c r="V28" s="26"/>
    </row>
    <row r="29">
      <c r="A29" s="2"/>
      <c r="B29" s="185"/>
      <c r="C29" s="77"/>
      <c r="D29" s="26"/>
      <c r="E29" s="26"/>
      <c r="F29" s="26"/>
      <c r="G29" s="1"/>
      <c r="J29" s="3"/>
      <c r="K29" s="1"/>
      <c r="M29" s="26"/>
      <c r="O29" s="210"/>
      <c r="P29" s="26"/>
      <c r="S29" s="26"/>
      <c r="V29" s="26"/>
    </row>
    <row r="30">
      <c r="A30" s="2"/>
      <c r="B30" s="185"/>
      <c r="C30" s="77"/>
      <c r="D30" s="26"/>
      <c r="E30" s="26"/>
      <c r="F30" s="26"/>
      <c r="G30" s="1"/>
      <c r="J30" s="3"/>
      <c r="K30" s="1"/>
      <c r="M30" s="26"/>
      <c r="O30" s="210"/>
      <c r="P30" s="26"/>
      <c r="S30" s="26"/>
      <c r="V30" s="26"/>
    </row>
    <row r="31">
      <c r="A31" s="2"/>
      <c r="B31" s="185"/>
      <c r="C31" s="77"/>
      <c r="D31" s="26"/>
      <c r="E31" s="26"/>
      <c r="F31" s="26"/>
      <c r="G31" s="1"/>
      <c r="J31" s="3"/>
      <c r="K31" s="1"/>
      <c r="M31" s="26"/>
      <c r="O31" s="210"/>
      <c r="P31" s="26"/>
      <c r="S31" s="26"/>
      <c r="V31" s="26"/>
    </row>
    <row r="32">
      <c r="A32" s="2"/>
      <c r="B32" s="185"/>
      <c r="C32" s="77"/>
      <c r="D32" s="26"/>
      <c r="E32" s="26"/>
      <c r="F32" s="26"/>
      <c r="G32" s="1"/>
      <c r="J32" s="3"/>
      <c r="K32" s="1"/>
      <c r="M32" s="26"/>
      <c r="O32" s="210"/>
      <c r="P32" s="26"/>
      <c r="S32" s="26"/>
      <c r="V32" s="26"/>
    </row>
    <row r="33">
      <c r="A33" s="2"/>
      <c r="B33" s="185"/>
      <c r="C33" s="77"/>
      <c r="D33" s="26"/>
      <c r="E33" s="26"/>
      <c r="F33" s="26"/>
      <c r="G33" s="1"/>
      <c r="J33" s="3"/>
      <c r="K33" s="1"/>
      <c r="M33" s="26"/>
      <c r="O33" s="210"/>
      <c r="P33" s="26"/>
      <c r="S33" s="26"/>
      <c r="V33" s="26"/>
    </row>
    <row r="34">
      <c r="A34" s="2"/>
      <c r="B34" s="185"/>
      <c r="C34" s="77"/>
      <c r="D34" s="26"/>
      <c r="E34" s="26"/>
      <c r="F34" s="26"/>
      <c r="G34" s="1"/>
      <c r="J34" s="3"/>
      <c r="K34" s="1"/>
      <c r="M34" s="26"/>
      <c r="O34" s="210"/>
      <c r="P34" s="26"/>
      <c r="S34" s="26"/>
      <c r="V34" s="26"/>
    </row>
    <row r="35">
      <c r="A35" s="2"/>
      <c r="B35" s="185"/>
      <c r="C35" s="77"/>
      <c r="D35" s="26"/>
      <c r="E35" s="26"/>
      <c r="F35" s="26"/>
      <c r="G35" s="1"/>
      <c r="J35" s="3"/>
      <c r="K35" s="1"/>
      <c r="M35" s="26"/>
      <c r="O35" s="210"/>
      <c r="P35" s="26"/>
      <c r="S35" s="26"/>
      <c r="V35" s="26"/>
    </row>
    <row r="36">
      <c r="A36" s="2"/>
      <c r="B36" s="185"/>
      <c r="C36" s="77"/>
      <c r="D36" s="26"/>
      <c r="E36" s="26"/>
      <c r="F36" s="26"/>
      <c r="G36" s="1"/>
      <c r="J36" s="3"/>
      <c r="K36" s="1"/>
      <c r="M36" s="26"/>
      <c r="O36" s="210"/>
      <c r="P36" s="26"/>
      <c r="S36" s="26"/>
      <c r="V36" s="26"/>
    </row>
    <row r="37">
      <c r="A37" s="2"/>
      <c r="B37" s="185"/>
      <c r="C37" s="77"/>
      <c r="D37" s="26"/>
      <c r="E37" s="26"/>
      <c r="F37" s="26"/>
      <c r="G37" s="1"/>
      <c r="J37" s="3"/>
      <c r="K37" s="1"/>
      <c r="M37" s="26"/>
      <c r="O37" s="210"/>
      <c r="P37" s="26"/>
      <c r="S37" s="26"/>
      <c r="V37" s="26"/>
    </row>
    <row r="38">
      <c r="A38" s="2"/>
      <c r="B38" s="185"/>
      <c r="C38" s="77"/>
      <c r="D38" s="26"/>
      <c r="E38" s="26"/>
      <c r="F38" s="26"/>
      <c r="G38" s="1"/>
      <c r="J38" s="3"/>
      <c r="K38" s="1"/>
      <c r="M38" s="26"/>
      <c r="O38" s="210"/>
      <c r="P38" s="26"/>
      <c r="S38" s="26"/>
      <c r="V38" s="26"/>
    </row>
    <row r="39">
      <c r="A39" s="2"/>
      <c r="B39" s="185"/>
      <c r="C39" s="77"/>
      <c r="D39" s="26"/>
      <c r="E39" s="26"/>
      <c r="F39" s="26"/>
      <c r="G39" s="1"/>
      <c r="J39" s="3"/>
      <c r="K39" s="1"/>
      <c r="M39" s="26"/>
      <c r="O39" s="210"/>
      <c r="P39" s="26"/>
      <c r="S39" s="26"/>
      <c r="V39" s="26"/>
    </row>
    <row r="40">
      <c r="A40" s="2"/>
      <c r="B40" s="185"/>
      <c r="C40" s="77"/>
      <c r="D40" s="26"/>
      <c r="E40" s="26"/>
      <c r="F40" s="26"/>
      <c r="G40" s="1"/>
      <c r="J40" s="3"/>
      <c r="K40" s="1"/>
      <c r="M40" s="26"/>
      <c r="O40" s="210"/>
      <c r="P40" s="26"/>
      <c r="S40" s="26"/>
      <c r="V40" s="26"/>
    </row>
    <row r="41">
      <c r="A41" s="2"/>
      <c r="B41" s="185"/>
      <c r="C41" s="77"/>
      <c r="D41" s="26"/>
      <c r="E41" s="26"/>
      <c r="F41" s="26"/>
      <c r="G41" s="1"/>
      <c r="J41" s="3"/>
      <c r="K41" s="1"/>
      <c r="M41" s="26"/>
      <c r="O41" s="210"/>
      <c r="P41" s="26"/>
      <c r="S41" s="26"/>
      <c r="V41" s="26"/>
    </row>
    <row r="42">
      <c r="A42" s="2"/>
      <c r="B42" s="185"/>
      <c r="C42" s="77"/>
      <c r="D42" s="26"/>
      <c r="E42" s="26"/>
      <c r="F42" s="26"/>
      <c r="G42" s="1"/>
      <c r="J42" s="3"/>
      <c r="K42" s="1"/>
      <c r="M42" s="26"/>
      <c r="O42" s="210"/>
      <c r="P42" s="26"/>
      <c r="S42" s="26"/>
      <c r="V42" s="26"/>
    </row>
    <row r="43">
      <c r="A43" s="2"/>
      <c r="B43" s="185"/>
      <c r="C43" s="77"/>
      <c r="D43" s="26"/>
      <c r="E43" s="26"/>
      <c r="F43" s="26"/>
      <c r="G43" s="1"/>
      <c r="J43" s="3"/>
      <c r="K43" s="1"/>
      <c r="M43" s="26"/>
      <c r="O43" s="210"/>
      <c r="P43" s="26"/>
      <c r="S43" s="26"/>
      <c r="V43" s="26"/>
    </row>
    <row r="44">
      <c r="A44" s="2"/>
      <c r="B44" s="185"/>
      <c r="C44" s="77"/>
      <c r="D44" s="26"/>
      <c r="E44" s="26"/>
      <c r="F44" s="26"/>
      <c r="G44" s="1"/>
      <c r="J44" s="3"/>
      <c r="K44" s="1"/>
      <c r="M44" s="26"/>
      <c r="O44" s="210"/>
      <c r="P44" s="26"/>
      <c r="S44" s="26"/>
      <c r="V44" s="26"/>
    </row>
    <row r="45">
      <c r="A45" s="2"/>
      <c r="B45" s="185"/>
      <c r="C45" s="77"/>
      <c r="D45" s="26"/>
      <c r="E45" s="26"/>
      <c r="F45" s="26"/>
      <c r="G45" s="1"/>
      <c r="J45" s="3"/>
      <c r="K45" s="1"/>
      <c r="M45" s="26"/>
      <c r="O45" s="210"/>
      <c r="P45" s="26"/>
      <c r="S45" s="26"/>
      <c r="V45" s="26"/>
    </row>
    <row r="46">
      <c r="A46" s="2"/>
      <c r="B46" s="185"/>
      <c r="C46" s="77"/>
      <c r="D46" s="26"/>
      <c r="E46" s="26"/>
      <c r="F46" s="26"/>
      <c r="G46" s="1"/>
      <c r="J46" s="3"/>
      <c r="K46" s="1"/>
      <c r="M46" s="26"/>
      <c r="O46" s="210"/>
      <c r="P46" s="26"/>
      <c r="S46" s="26"/>
      <c r="V46" s="26"/>
    </row>
    <row r="47">
      <c r="A47" s="2"/>
      <c r="B47" s="185"/>
      <c r="C47" s="77"/>
      <c r="D47" s="26"/>
      <c r="E47" s="26"/>
      <c r="F47" s="26"/>
      <c r="G47" s="1"/>
      <c r="J47" s="3"/>
      <c r="K47" s="1"/>
      <c r="M47" s="26"/>
      <c r="O47" s="210"/>
      <c r="P47" s="26"/>
      <c r="S47" s="26"/>
      <c r="V47" s="26"/>
    </row>
    <row r="48">
      <c r="A48" s="2"/>
      <c r="B48" s="185"/>
      <c r="C48" s="77"/>
      <c r="D48" s="26"/>
      <c r="E48" s="26"/>
      <c r="F48" s="26"/>
      <c r="G48" s="1"/>
      <c r="J48" s="3"/>
      <c r="K48" s="1"/>
      <c r="M48" s="26"/>
      <c r="O48" s="210"/>
      <c r="P48" s="26"/>
      <c r="S48" s="26"/>
      <c r="V48" s="26"/>
    </row>
    <row r="49">
      <c r="A49" s="2"/>
      <c r="B49" s="185"/>
      <c r="C49" s="77"/>
      <c r="D49" s="26"/>
      <c r="E49" s="26"/>
      <c r="F49" s="26"/>
      <c r="G49" s="1"/>
      <c r="J49" s="3"/>
      <c r="K49" s="1"/>
      <c r="M49" s="26"/>
      <c r="O49" s="210"/>
      <c r="P49" s="26"/>
      <c r="S49" s="26"/>
      <c r="V49" s="26"/>
    </row>
    <row r="50">
      <c r="A50" s="2"/>
      <c r="B50" s="185"/>
      <c r="C50" s="77"/>
      <c r="D50" s="26"/>
      <c r="E50" s="26"/>
      <c r="F50" s="26"/>
      <c r="G50" s="1"/>
      <c r="J50" s="3"/>
      <c r="K50" s="1"/>
      <c r="M50" s="26"/>
      <c r="O50" s="210"/>
      <c r="P50" s="26"/>
      <c r="S50" s="26"/>
      <c r="V50" s="26"/>
    </row>
    <row r="51">
      <c r="A51" s="2"/>
      <c r="B51" s="185"/>
      <c r="C51" s="77"/>
      <c r="D51" s="26"/>
      <c r="E51" s="26"/>
      <c r="F51" s="26"/>
      <c r="G51" s="1"/>
      <c r="J51" s="3"/>
      <c r="K51" s="1"/>
      <c r="M51" s="26"/>
      <c r="O51" s="210"/>
      <c r="P51" s="26"/>
      <c r="S51" s="26"/>
      <c r="V51" s="26"/>
    </row>
    <row r="52">
      <c r="A52" s="2"/>
      <c r="B52" s="185"/>
      <c r="C52" s="77"/>
      <c r="D52" s="26"/>
      <c r="E52" s="26"/>
      <c r="F52" s="26"/>
      <c r="G52" s="1"/>
      <c r="J52" s="3"/>
      <c r="K52" s="1"/>
      <c r="M52" s="26"/>
      <c r="O52" s="210"/>
      <c r="P52" s="26"/>
      <c r="S52" s="26"/>
      <c r="V52" s="26"/>
    </row>
    <row r="53">
      <c r="A53" s="2"/>
      <c r="B53" s="185"/>
      <c r="C53" s="77"/>
      <c r="D53" s="26"/>
      <c r="E53" s="26"/>
      <c r="F53" s="26"/>
      <c r="G53" s="1"/>
      <c r="J53" s="3"/>
      <c r="K53" s="1"/>
      <c r="M53" s="26"/>
      <c r="O53" s="210"/>
      <c r="P53" s="26"/>
      <c r="S53" s="26"/>
      <c r="V53" s="26"/>
    </row>
    <row r="54">
      <c r="A54" s="2"/>
      <c r="B54" s="185"/>
      <c r="C54" s="77"/>
      <c r="D54" s="26"/>
      <c r="E54" s="26"/>
      <c r="F54" s="26"/>
      <c r="G54" s="1"/>
      <c r="J54" s="3"/>
      <c r="K54" s="1"/>
      <c r="M54" s="26"/>
      <c r="O54" s="210"/>
      <c r="P54" s="26"/>
      <c r="S54" s="26"/>
      <c r="V54" s="26"/>
    </row>
    <row r="55">
      <c r="A55" s="2"/>
      <c r="B55" s="185"/>
      <c r="C55" s="77"/>
      <c r="D55" s="26"/>
      <c r="E55" s="26"/>
      <c r="F55" s="26"/>
      <c r="G55" s="1"/>
      <c r="J55" s="3"/>
      <c r="K55" s="1"/>
      <c r="M55" s="26"/>
      <c r="O55" s="210"/>
      <c r="P55" s="26"/>
      <c r="S55" s="26"/>
      <c r="V55" s="26"/>
    </row>
    <row r="56">
      <c r="A56" s="2"/>
      <c r="B56" s="185"/>
      <c r="C56" s="77"/>
      <c r="D56" s="26"/>
      <c r="E56" s="26"/>
      <c r="F56" s="26"/>
      <c r="G56" s="1"/>
      <c r="J56" s="3"/>
      <c r="K56" s="1"/>
      <c r="M56" s="26"/>
      <c r="O56" s="210"/>
      <c r="P56" s="26"/>
      <c r="S56" s="26"/>
      <c r="V56" s="26"/>
    </row>
    <row r="57">
      <c r="A57" s="2"/>
      <c r="B57" s="185"/>
      <c r="C57" s="77"/>
      <c r="D57" s="26"/>
      <c r="E57" s="26"/>
      <c r="F57" s="26"/>
      <c r="G57" s="1"/>
      <c r="J57" s="3"/>
      <c r="K57" s="1"/>
      <c r="M57" s="26"/>
      <c r="O57" s="210"/>
      <c r="P57" s="26"/>
      <c r="S57" s="26"/>
      <c r="V57" s="26"/>
    </row>
    <row r="58">
      <c r="A58" s="2"/>
      <c r="B58" s="185"/>
      <c r="C58" s="77"/>
      <c r="D58" s="26"/>
      <c r="E58" s="26"/>
      <c r="F58" s="26"/>
      <c r="G58" s="1"/>
      <c r="J58" s="3"/>
      <c r="K58" s="1"/>
      <c r="M58" s="26"/>
      <c r="O58" s="210"/>
      <c r="P58" s="26"/>
      <c r="S58" s="26"/>
      <c r="V58" s="26"/>
    </row>
    <row r="59">
      <c r="A59" s="2"/>
      <c r="B59" s="185"/>
      <c r="C59" s="77"/>
      <c r="D59" s="26"/>
      <c r="E59" s="26"/>
      <c r="F59" s="26"/>
      <c r="G59" s="1"/>
      <c r="J59" s="3"/>
      <c r="K59" s="1"/>
      <c r="M59" s="26"/>
      <c r="O59" s="210"/>
      <c r="P59" s="26"/>
      <c r="S59" s="26"/>
      <c r="V59" s="26"/>
    </row>
    <row r="60">
      <c r="A60" s="2"/>
      <c r="B60" s="185"/>
      <c r="C60" s="77"/>
      <c r="D60" s="26"/>
      <c r="E60" s="26"/>
      <c r="F60" s="26"/>
      <c r="G60" s="1"/>
      <c r="J60" s="3"/>
      <c r="K60" s="1"/>
      <c r="M60" s="26"/>
      <c r="O60" s="210"/>
      <c r="P60" s="26"/>
      <c r="S60" s="26"/>
      <c r="V60" s="26"/>
    </row>
    <row r="61">
      <c r="A61" s="2"/>
      <c r="B61" s="185"/>
      <c r="C61" s="77"/>
      <c r="D61" s="26"/>
      <c r="E61" s="26"/>
      <c r="F61" s="26"/>
      <c r="G61" s="1"/>
      <c r="J61" s="3"/>
      <c r="K61" s="1"/>
      <c r="M61" s="26"/>
      <c r="O61" s="210"/>
      <c r="P61" s="26"/>
      <c r="S61" s="26"/>
      <c r="V61" s="26"/>
    </row>
    <row r="62">
      <c r="A62" s="2"/>
      <c r="B62" s="185"/>
      <c r="C62" s="77"/>
      <c r="D62" s="26"/>
      <c r="E62" s="26"/>
      <c r="F62" s="26"/>
      <c r="G62" s="1"/>
      <c r="J62" s="3"/>
      <c r="K62" s="1"/>
      <c r="M62" s="26"/>
      <c r="O62" s="210"/>
      <c r="P62" s="26"/>
      <c r="S62" s="26"/>
      <c r="V62" s="26"/>
    </row>
    <row r="63">
      <c r="A63" s="2"/>
      <c r="B63" s="185"/>
      <c r="C63" s="77"/>
      <c r="D63" s="26"/>
      <c r="E63" s="26"/>
      <c r="F63" s="26"/>
      <c r="G63" s="1"/>
      <c r="J63" s="3"/>
      <c r="K63" s="1"/>
      <c r="M63" s="26"/>
      <c r="O63" s="210"/>
      <c r="P63" s="26"/>
      <c r="S63" s="26"/>
      <c r="V63" s="26"/>
    </row>
    <row r="64">
      <c r="A64" s="2"/>
      <c r="B64" s="185"/>
      <c r="C64" s="77"/>
      <c r="D64" s="26"/>
      <c r="E64" s="26"/>
      <c r="F64" s="26"/>
      <c r="G64" s="1"/>
      <c r="J64" s="3"/>
      <c r="K64" s="1"/>
      <c r="M64" s="26"/>
      <c r="O64" s="210"/>
      <c r="P64" s="26"/>
      <c r="S64" s="26"/>
      <c r="V64" s="26"/>
    </row>
    <row r="65">
      <c r="A65" s="2"/>
      <c r="B65" s="185"/>
      <c r="C65" s="77"/>
      <c r="D65" s="26"/>
      <c r="E65" s="26"/>
      <c r="F65" s="26"/>
      <c r="G65" s="1"/>
      <c r="J65" s="3"/>
      <c r="K65" s="1"/>
      <c r="M65" s="26"/>
      <c r="O65" s="210"/>
      <c r="P65" s="26"/>
      <c r="S65" s="26"/>
      <c r="V65" s="26"/>
    </row>
    <row r="66">
      <c r="A66" s="2"/>
      <c r="B66" s="185"/>
      <c r="C66" s="77"/>
      <c r="D66" s="26"/>
      <c r="E66" s="26"/>
      <c r="F66" s="26"/>
      <c r="G66" s="1"/>
      <c r="J66" s="3"/>
      <c r="K66" s="1"/>
      <c r="M66" s="26"/>
      <c r="O66" s="210"/>
      <c r="P66" s="26"/>
      <c r="S66" s="26"/>
      <c r="V66" s="26"/>
    </row>
    <row r="67">
      <c r="A67" s="2"/>
      <c r="B67" s="185"/>
      <c r="C67" s="77"/>
      <c r="D67" s="26"/>
      <c r="E67" s="26"/>
      <c r="F67" s="26"/>
      <c r="G67" s="1"/>
      <c r="J67" s="3"/>
      <c r="K67" s="1"/>
      <c r="M67" s="26"/>
      <c r="O67" s="210"/>
      <c r="P67" s="26"/>
      <c r="S67" s="26"/>
      <c r="V67" s="26"/>
    </row>
    <row r="68">
      <c r="A68" s="2"/>
      <c r="B68" s="185"/>
      <c r="C68" s="77"/>
      <c r="D68" s="26"/>
      <c r="E68" s="26"/>
      <c r="F68" s="26"/>
      <c r="G68" s="1"/>
      <c r="J68" s="3"/>
      <c r="K68" s="1"/>
      <c r="M68" s="26"/>
      <c r="O68" s="210"/>
      <c r="P68" s="26"/>
      <c r="S68" s="26"/>
      <c r="V68" s="26"/>
    </row>
    <row r="69">
      <c r="A69" s="2"/>
      <c r="B69" s="185"/>
      <c r="C69" s="77"/>
      <c r="D69" s="26"/>
      <c r="E69" s="26"/>
      <c r="F69" s="26"/>
      <c r="G69" s="1"/>
      <c r="J69" s="3"/>
      <c r="K69" s="1"/>
      <c r="M69" s="26"/>
      <c r="O69" s="210"/>
      <c r="P69" s="26"/>
      <c r="S69" s="26"/>
      <c r="V69" s="26"/>
    </row>
    <row r="70">
      <c r="A70" s="2"/>
      <c r="B70" s="185"/>
      <c r="C70" s="77"/>
      <c r="D70" s="26"/>
      <c r="E70" s="26"/>
      <c r="F70" s="26"/>
      <c r="G70" s="1"/>
      <c r="J70" s="3"/>
      <c r="K70" s="1"/>
      <c r="M70" s="26"/>
      <c r="O70" s="210"/>
      <c r="P70" s="26"/>
      <c r="S70" s="26"/>
      <c r="V70" s="26"/>
    </row>
    <row r="71">
      <c r="A71" s="2"/>
      <c r="B71" s="185"/>
      <c r="C71" s="77"/>
      <c r="D71" s="26"/>
      <c r="E71" s="26"/>
      <c r="F71" s="26"/>
      <c r="G71" s="1"/>
      <c r="J71" s="3"/>
      <c r="K71" s="1"/>
      <c r="M71" s="26"/>
      <c r="O71" s="210"/>
      <c r="P71" s="26"/>
      <c r="S71" s="26"/>
      <c r="V71" s="26"/>
    </row>
    <row r="72">
      <c r="A72" s="2"/>
      <c r="B72" s="185"/>
      <c r="C72" s="77"/>
      <c r="D72" s="26"/>
      <c r="E72" s="26"/>
      <c r="F72" s="26"/>
      <c r="G72" s="1"/>
      <c r="J72" s="3"/>
      <c r="K72" s="1"/>
      <c r="M72" s="26"/>
      <c r="O72" s="210"/>
      <c r="P72" s="26"/>
      <c r="S72" s="26"/>
      <c r="V72" s="26"/>
    </row>
    <row r="73">
      <c r="A73" s="2"/>
      <c r="B73" s="185"/>
      <c r="C73" s="77"/>
      <c r="D73" s="26"/>
      <c r="E73" s="26"/>
      <c r="F73" s="26"/>
      <c r="G73" s="1"/>
      <c r="J73" s="3"/>
      <c r="K73" s="1"/>
      <c r="M73" s="26"/>
      <c r="O73" s="210"/>
      <c r="P73" s="26"/>
      <c r="S73" s="26"/>
      <c r="V73" s="26"/>
    </row>
    <row r="74">
      <c r="A74" s="2"/>
      <c r="B74" s="185"/>
      <c r="C74" s="77"/>
      <c r="D74" s="26"/>
      <c r="E74" s="26"/>
      <c r="F74" s="26"/>
      <c r="G74" s="1"/>
      <c r="J74" s="3"/>
      <c r="K74" s="1"/>
      <c r="M74" s="26"/>
      <c r="O74" s="210"/>
      <c r="P74" s="26"/>
      <c r="S74" s="26"/>
      <c r="V74" s="26"/>
    </row>
    <row r="75">
      <c r="A75" s="2"/>
      <c r="B75" s="185"/>
      <c r="C75" s="77"/>
      <c r="D75" s="26"/>
      <c r="E75" s="26"/>
      <c r="F75" s="26"/>
      <c r="G75" s="1"/>
      <c r="J75" s="3"/>
      <c r="K75" s="1"/>
      <c r="M75" s="26"/>
      <c r="O75" s="210"/>
      <c r="P75" s="26"/>
      <c r="S75" s="26"/>
      <c r="V75" s="26"/>
    </row>
    <row r="76">
      <c r="A76" s="2"/>
      <c r="B76" s="185"/>
      <c r="C76" s="77"/>
      <c r="D76" s="26"/>
      <c r="E76" s="26"/>
      <c r="F76" s="26"/>
      <c r="G76" s="1"/>
      <c r="J76" s="3"/>
      <c r="K76" s="1"/>
      <c r="M76" s="26"/>
      <c r="O76" s="210"/>
      <c r="P76" s="26"/>
      <c r="S76" s="26"/>
      <c r="V76" s="26"/>
    </row>
    <row r="77">
      <c r="A77" s="2"/>
      <c r="B77" s="185"/>
      <c r="C77" s="77"/>
      <c r="D77" s="26"/>
      <c r="E77" s="26"/>
      <c r="F77" s="26"/>
      <c r="G77" s="1"/>
      <c r="J77" s="3"/>
      <c r="K77" s="1"/>
      <c r="M77" s="26"/>
      <c r="O77" s="210"/>
      <c r="P77" s="26"/>
      <c r="S77" s="26"/>
      <c r="V77" s="26"/>
    </row>
    <row r="78">
      <c r="A78" s="2"/>
      <c r="B78" s="185"/>
      <c r="C78" s="77"/>
      <c r="D78" s="26"/>
      <c r="E78" s="26"/>
      <c r="F78" s="26"/>
      <c r="G78" s="1"/>
      <c r="J78" s="3"/>
      <c r="K78" s="1"/>
      <c r="M78" s="26"/>
      <c r="O78" s="210"/>
      <c r="P78" s="26"/>
      <c r="S78" s="26"/>
      <c r="V78" s="26"/>
    </row>
    <row r="79">
      <c r="A79" s="2"/>
      <c r="B79" s="185"/>
      <c r="C79" s="77"/>
      <c r="D79" s="26"/>
      <c r="E79" s="26"/>
      <c r="F79" s="26"/>
      <c r="G79" s="1"/>
      <c r="J79" s="3"/>
      <c r="K79" s="1"/>
      <c r="M79" s="26"/>
      <c r="O79" s="210"/>
      <c r="P79" s="26"/>
      <c r="S79" s="26"/>
      <c r="V79" s="26"/>
    </row>
    <row r="80">
      <c r="A80" s="2"/>
      <c r="B80" s="185"/>
      <c r="C80" s="77"/>
      <c r="D80" s="26"/>
      <c r="E80" s="26"/>
      <c r="F80" s="26"/>
      <c r="G80" s="1"/>
      <c r="J80" s="3"/>
      <c r="K80" s="1"/>
      <c r="M80" s="26"/>
      <c r="O80" s="210"/>
      <c r="P80" s="26"/>
      <c r="S80" s="26"/>
      <c r="V80" s="26"/>
    </row>
    <row r="81">
      <c r="A81" s="2"/>
      <c r="B81" s="185"/>
      <c r="C81" s="77"/>
      <c r="D81" s="26"/>
      <c r="E81" s="26"/>
      <c r="F81" s="26"/>
      <c r="G81" s="1"/>
      <c r="J81" s="3"/>
      <c r="K81" s="1"/>
      <c r="M81" s="26"/>
      <c r="O81" s="210"/>
      <c r="P81" s="26"/>
      <c r="S81" s="26"/>
      <c r="V81" s="26"/>
    </row>
    <row r="82">
      <c r="A82" s="2"/>
      <c r="B82" s="185"/>
      <c r="C82" s="77"/>
      <c r="D82" s="26"/>
      <c r="E82" s="26"/>
      <c r="F82" s="26"/>
      <c r="G82" s="1"/>
      <c r="J82" s="3"/>
      <c r="K82" s="1"/>
      <c r="M82" s="26"/>
      <c r="O82" s="210"/>
      <c r="P82" s="26"/>
      <c r="S82" s="26"/>
      <c r="V82" s="26"/>
    </row>
    <row r="83">
      <c r="A83" s="2"/>
      <c r="B83" s="185"/>
      <c r="C83" s="77"/>
      <c r="D83" s="26"/>
      <c r="E83" s="26"/>
      <c r="F83" s="26"/>
      <c r="G83" s="1"/>
      <c r="J83" s="3"/>
      <c r="K83" s="1"/>
      <c r="M83" s="26"/>
      <c r="O83" s="210"/>
      <c r="P83" s="26"/>
      <c r="S83" s="26"/>
      <c r="V83" s="26"/>
    </row>
    <row r="84">
      <c r="A84" s="2"/>
      <c r="B84" s="185"/>
      <c r="C84" s="77"/>
      <c r="D84" s="26"/>
      <c r="E84" s="26"/>
      <c r="F84" s="26"/>
      <c r="G84" s="1"/>
      <c r="J84" s="3"/>
      <c r="K84" s="1"/>
      <c r="M84" s="26"/>
      <c r="O84" s="210"/>
      <c r="P84" s="26"/>
      <c r="S84" s="26"/>
      <c r="V84" s="26"/>
    </row>
    <row r="85">
      <c r="A85" s="2"/>
      <c r="B85" s="185"/>
      <c r="C85" s="77"/>
      <c r="D85" s="26"/>
      <c r="E85" s="26"/>
      <c r="F85" s="26"/>
      <c r="G85" s="1"/>
      <c r="J85" s="3"/>
      <c r="K85" s="1"/>
      <c r="M85" s="26"/>
      <c r="O85" s="210"/>
      <c r="P85" s="26"/>
      <c r="S85" s="26"/>
      <c r="V85" s="26"/>
    </row>
    <row r="86">
      <c r="A86" s="2"/>
      <c r="B86" s="185"/>
      <c r="C86" s="77"/>
      <c r="D86" s="26"/>
      <c r="E86" s="26"/>
      <c r="F86" s="26"/>
      <c r="G86" s="1"/>
      <c r="J86" s="3"/>
      <c r="K86" s="1"/>
      <c r="M86" s="26"/>
      <c r="O86" s="210"/>
      <c r="P86" s="26"/>
      <c r="S86" s="26"/>
      <c r="V86" s="26"/>
    </row>
    <row r="87">
      <c r="A87" s="2"/>
      <c r="B87" s="185"/>
      <c r="C87" s="77"/>
      <c r="D87" s="26"/>
      <c r="E87" s="26"/>
      <c r="F87" s="26"/>
      <c r="G87" s="1"/>
      <c r="J87" s="3"/>
      <c r="K87" s="1"/>
      <c r="M87" s="26"/>
      <c r="O87" s="210"/>
      <c r="P87" s="26"/>
      <c r="S87" s="26"/>
      <c r="V87" s="26"/>
    </row>
    <row r="88">
      <c r="A88" s="2"/>
      <c r="B88" s="185"/>
      <c r="C88" s="77"/>
      <c r="D88" s="26"/>
      <c r="E88" s="26"/>
      <c r="F88" s="26"/>
      <c r="G88" s="1"/>
      <c r="J88" s="3"/>
      <c r="K88" s="1"/>
      <c r="M88" s="26"/>
      <c r="O88" s="210"/>
      <c r="P88" s="26"/>
      <c r="S88" s="26"/>
      <c r="V88" s="26"/>
    </row>
    <row r="89">
      <c r="A89" s="2"/>
      <c r="B89" s="185"/>
      <c r="C89" s="77"/>
      <c r="D89" s="26"/>
      <c r="E89" s="26"/>
      <c r="F89" s="26"/>
      <c r="G89" s="1"/>
      <c r="J89" s="3"/>
      <c r="K89" s="1"/>
      <c r="M89" s="26"/>
      <c r="O89" s="210"/>
      <c r="P89" s="26"/>
      <c r="S89" s="26"/>
      <c r="V89" s="26"/>
    </row>
    <row r="90">
      <c r="A90" s="2"/>
      <c r="B90" s="185"/>
      <c r="C90" s="77"/>
      <c r="D90" s="26"/>
      <c r="E90" s="26"/>
      <c r="F90" s="26"/>
      <c r="G90" s="1"/>
      <c r="J90" s="3"/>
      <c r="K90" s="1"/>
      <c r="M90" s="26"/>
      <c r="O90" s="210"/>
      <c r="P90" s="26"/>
      <c r="S90" s="26"/>
      <c r="V90" s="26"/>
    </row>
    <row r="91">
      <c r="A91" s="2"/>
      <c r="B91" s="185"/>
      <c r="C91" s="77"/>
      <c r="D91" s="26"/>
      <c r="E91" s="26"/>
      <c r="F91" s="26"/>
      <c r="G91" s="1"/>
      <c r="J91" s="3"/>
      <c r="K91" s="1"/>
      <c r="M91" s="26"/>
      <c r="O91" s="210"/>
      <c r="P91" s="26"/>
      <c r="S91" s="26"/>
      <c r="V91" s="26"/>
    </row>
    <row r="92">
      <c r="A92" s="2"/>
      <c r="B92" s="185"/>
      <c r="C92" s="77"/>
      <c r="D92" s="26"/>
      <c r="E92" s="26"/>
      <c r="F92" s="26"/>
      <c r="G92" s="1"/>
      <c r="J92" s="3"/>
      <c r="K92" s="1"/>
      <c r="M92" s="26"/>
      <c r="O92" s="210"/>
      <c r="P92" s="26"/>
      <c r="S92" s="26"/>
      <c r="V92" s="26"/>
    </row>
    <row r="93">
      <c r="A93" s="2"/>
      <c r="B93" s="185"/>
      <c r="C93" s="77"/>
      <c r="D93" s="26"/>
      <c r="E93" s="26"/>
      <c r="F93" s="26"/>
      <c r="G93" s="1"/>
      <c r="J93" s="3"/>
      <c r="K93" s="1"/>
      <c r="M93" s="26"/>
      <c r="O93" s="210"/>
      <c r="P93" s="26"/>
      <c r="S93" s="26"/>
      <c r="V93" s="26"/>
    </row>
    <row r="94">
      <c r="A94" s="2"/>
      <c r="B94" s="185"/>
      <c r="C94" s="77"/>
      <c r="D94" s="26"/>
      <c r="E94" s="26"/>
      <c r="F94" s="26"/>
      <c r="G94" s="1"/>
      <c r="J94" s="3"/>
      <c r="K94" s="1"/>
      <c r="M94" s="26"/>
      <c r="O94" s="210"/>
      <c r="P94" s="26"/>
      <c r="S94" s="26"/>
      <c r="V94" s="26"/>
    </row>
    <row r="95">
      <c r="A95" s="2"/>
      <c r="B95" s="185"/>
      <c r="C95" s="77"/>
      <c r="D95" s="26"/>
      <c r="E95" s="26"/>
      <c r="F95" s="26"/>
      <c r="G95" s="1"/>
      <c r="J95" s="3"/>
      <c r="K95" s="1"/>
      <c r="M95" s="26"/>
      <c r="O95" s="210"/>
      <c r="P95" s="26"/>
      <c r="S95" s="26"/>
      <c r="V95" s="26"/>
    </row>
    <row r="96">
      <c r="A96" s="2"/>
      <c r="B96" s="185"/>
      <c r="C96" s="77"/>
      <c r="D96" s="26"/>
      <c r="E96" s="26"/>
      <c r="F96" s="26"/>
      <c r="G96" s="1"/>
      <c r="J96" s="3"/>
      <c r="K96" s="1"/>
      <c r="M96" s="26"/>
      <c r="O96" s="210"/>
      <c r="P96" s="26"/>
      <c r="S96" s="26"/>
      <c r="V96" s="26"/>
    </row>
    <row r="97">
      <c r="A97" s="2"/>
      <c r="B97" s="185"/>
      <c r="C97" s="77"/>
      <c r="D97" s="26"/>
      <c r="E97" s="26"/>
      <c r="F97" s="26"/>
      <c r="G97" s="1"/>
      <c r="J97" s="3"/>
      <c r="K97" s="1"/>
      <c r="M97" s="26"/>
      <c r="O97" s="210"/>
      <c r="P97" s="26"/>
      <c r="S97" s="26"/>
      <c r="V97" s="26"/>
    </row>
    <row r="98">
      <c r="A98" s="2"/>
      <c r="B98" s="185"/>
      <c r="C98" s="77"/>
      <c r="D98" s="26"/>
      <c r="E98" s="26"/>
      <c r="F98" s="26"/>
      <c r="G98" s="1"/>
      <c r="J98" s="3"/>
      <c r="K98" s="1"/>
      <c r="M98" s="26"/>
      <c r="O98" s="210"/>
      <c r="P98" s="26"/>
      <c r="S98" s="26"/>
      <c r="V98" s="26"/>
    </row>
    <row r="99">
      <c r="A99" s="2"/>
      <c r="B99" s="185"/>
      <c r="C99" s="77"/>
      <c r="D99" s="26"/>
      <c r="E99" s="26"/>
      <c r="F99" s="26"/>
      <c r="G99" s="1"/>
      <c r="J99" s="3"/>
      <c r="K99" s="1"/>
      <c r="M99" s="26"/>
      <c r="O99" s="210"/>
      <c r="P99" s="26"/>
      <c r="S99" s="26"/>
      <c r="V99" s="26"/>
    </row>
    <row r="100">
      <c r="A100" s="2"/>
      <c r="B100" s="185"/>
      <c r="C100" s="77"/>
      <c r="D100" s="26"/>
      <c r="E100" s="26"/>
      <c r="F100" s="26"/>
      <c r="G100" s="1"/>
      <c r="J100" s="3"/>
      <c r="K100" s="1"/>
      <c r="M100" s="26"/>
      <c r="O100" s="210"/>
      <c r="P100" s="26"/>
      <c r="S100" s="26"/>
      <c r="V100" s="26"/>
    </row>
    <row r="101">
      <c r="A101" s="2"/>
      <c r="B101" s="185"/>
      <c r="C101" s="77"/>
      <c r="D101" s="26"/>
      <c r="E101" s="26"/>
      <c r="F101" s="26"/>
      <c r="G101" s="1"/>
      <c r="J101" s="3"/>
      <c r="K101" s="1"/>
      <c r="M101" s="26"/>
      <c r="O101" s="210"/>
      <c r="P101" s="26"/>
      <c r="S101" s="26"/>
      <c r="V101" s="26"/>
    </row>
    <row r="102">
      <c r="A102" s="2"/>
      <c r="B102" s="185"/>
      <c r="C102" s="77"/>
      <c r="D102" s="26"/>
      <c r="E102" s="26"/>
      <c r="F102" s="26"/>
      <c r="G102" s="1"/>
      <c r="J102" s="3"/>
      <c r="K102" s="1"/>
      <c r="M102" s="26"/>
      <c r="O102" s="210"/>
      <c r="P102" s="26"/>
      <c r="S102" s="26"/>
      <c r="V102" s="26"/>
    </row>
    <row r="103">
      <c r="A103" s="2"/>
      <c r="B103" s="185"/>
      <c r="C103" s="77"/>
      <c r="D103" s="26"/>
      <c r="E103" s="26"/>
      <c r="F103" s="26"/>
      <c r="G103" s="1"/>
      <c r="J103" s="3"/>
      <c r="K103" s="1"/>
      <c r="M103" s="26"/>
      <c r="O103" s="210"/>
      <c r="P103" s="26"/>
      <c r="S103" s="26"/>
      <c r="V103" s="26"/>
    </row>
    <row r="104">
      <c r="A104" s="2"/>
      <c r="B104" s="185"/>
      <c r="C104" s="77"/>
      <c r="D104" s="26"/>
      <c r="E104" s="26"/>
      <c r="F104" s="26"/>
      <c r="G104" s="1"/>
      <c r="J104" s="3"/>
      <c r="K104" s="1"/>
      <c r="M104" s="26"/>
      <c r="O104" s="210"/>
      <c r="P104" s="26"/>
      <c r="S104" s="26"/>
      <c r="V104" s="26"/>
    </row>
    <row r="105">
      <c r="A105" s="2"/>
      <c r="B105" s="185"/>
      <c r="C105" s="77"/>
      <c r="D105" s="26"/>
      <c r="E105" s="26"/>
      <c r="F105" s="26"/>
      <c r="G105" s="1"/>
      <c r="J105" s="3"/>
      <c r="K105" s="1"/>
      <c r="M105" s="26"/>
      <c r="O105" s="210"/>
      <c r="P105" s="26"/>
      <c r="S105" s="26"/>
      <c r="V105" s="26"/>
    </row>
    <row r="106">
      <c r="A106" s="2"/>
      <c r="B106" s="185"/>
      <c r="C106" s="77"/>
      <c r="D106" s="26"/>
      <c r="E106" s="26"/>
      <c r="F106" s="26"/>
      <c r="G106" s="1"/>
      <c r="J106" s="3"/>
      <c r="K106" s="1"/>
      <c r="M106" s="26"/>
      <c r="O106" s="210"/>
      <c r="P106" s="26"/>
      <c r="S106" s="26"/>
      <c r="V106" s="26"/>
    </row>
    <row r="107">
      <c r="A107" s="2"/>
      <c r="B107" s="185"/>
      <c r="C107" s="77"/>
      <c r="D107" s="26"/>
      <c r="E107" s="26"/>
      <c r="F107" s="26"/>
      <c r="G107" s="1"/>
      <c r="J107" s="3"/>
      <c r="K107" s="1"/>
      <c r="M107" s="26"/>
      <c r="O107" s="210"/>
      <c r="P107" s="26"/>
      <c r="S107" s="26"/>
      <c r="V107" s="26"/>
    </row>
    <row r="108">
      <c r="A108" s="2"/>
      <c r="B108" s="185"/>
      <c r="C108" s="77"/>
      <c r="D108" s="26"/>
      <c r="E108" s="26"/>
      <c r="F108" s="26"/>
      <c r="G108" s="1"/>
      <c r="J108" s="3"/>
      <c r="K108" s="1"/>
      <c r="M108" s="26"/>
      <c r="O108" s="210"/>
      <c r="P108" s="26"/>
      <c r="S108" s="26"/>
      <c r="V108" s="26"/>
    </row>
    <row r="109">
      <c r="A109" s="2"/>
      <c r="B109" s="185"/>
      <c r="C109" s="77"/>
      <c r="D109" s="26"/>
      <c r="E109" s="26"/>
      <c r="F109" s="26"/>
      <c r="G109" s="1"/>
      <c r="J109" s="3"/>
      <c r="K109" s="1"/>
      <c r="M109" s="26"/>
      <c r="O109" s="210"/>
      <c r="P109" s="26"/>
      <c r="S109" s="26"/>
      <c r="V109" s="26"/>
    </row>
    <row r="110">
      <c r="A110" s="2"/>
      <c r="B110" s="185"/>
      <c r="C110" s="77"/>
      <c r="D110" s="26"/>
      <c r="E110" s="26"/>
      <c r="F110" s="26"/>
      <c r="G110" s="1"/>
      <c r="J110" s="3"/>
      <c r="K110" s="1"/>
      <c r="M110" s="26"/>
      <c r="O110" s="210"/>
      <c r="P110" s="26"/>
      <c r="S110" s="26"/>
      <c r="V110" s="26"/>
    </row>
    <row r="111">
      <c r="A111" s="2"/>
      <c r="B111" s="185"/>
      <c r="C111" s="77"/>
      <c r="D111" s="26"/>
      <c r="E111" s="26"/>
      <c r="F111" s="26"/>
      <c r="G111" s="1"/>
      <c r="J111" s="3"/>
      <c r="K111" s="1"/>
      <c r="M111" s="26"/>
      <c r="O111" s="210"/>
      <c r="P111" s="26"/>
      <c r="S111" s="26"/>
      <c r="V111" s="26"/>
    </row>
    <row r="112">
      <c r="A112" s="2"/>
      <c r="B112" s="185"/>
      <c r="C112" s="77"/>
      <c r="D112" s="26"/>
      <c r="E112" s="26"/>
      <c r="F112" s="26"/>
      <c r="G112" s="1"/>
      <c r="J112" s="3"/>
      <c r="K112" s="1"/>
      <c r="M112" s="26"/>
      <c r="O112" s="210"/>
      <c r="P112" s="26"/>
      <c r="S112" s="26"/>
      <c r="V112" s="26"/>
    </row>
    <row r="113">
      <c r="A113" s="2"/>
      <c r="B113" s="185"/>
      <c r="C113" s="77"/>
      <c r="D113" s="26"/>
      <c r="E113" s="26"/>
      <c r="F113" s="26"/>
      <c r="G113" s="1"/>
      <c r="J113" s="3"/>
      <c r="K113" s="1"/>
      <c r="M113" s="26"/>
      <c r="O113" s="210"/>
      <c r="P113" s="26"/>
      <c r="S113" s="26"/>
      <c r="V113" s="26"/>
    </row>
    <row r="114">
      <c r="A114" s="2"/>
      <c r="B114" s="185"/>
      <c r="C114" s="77"/>
      <c r="D114" s="26"/>
      <c r="E114" s="26"/>
      <c r="F114" s="26"/>
      <c r="G114" s="1"/>
      <c r="J114" s="3"/>
      <c r="K114" s="1"/>
      <c r="M114" s="26"/>
      <c r="O114" s="210"/>
      <c r="P114" s="26"/>
      <c r="S114" s="26"/>
      <c r="V114" s="26"/>
    </row>
    <row r="115">
      <c r="A115" s="2"/>
      <c r="B115" s="185"/>
      <c r="C115" s="77"/>
      <c r="D115" s="26"/>
      <c r="E115" s="26"/>
      <c r="F115" s="26"/>
      <c r="G115" s="1"/>
      <c r="J115" s="3"/>
      <c r="K115" s="1"/>
      <c r="M115" s="26"/>
      <c r="O115" s="210"/>
      <c r="P115" s="26"/>
      <c r="S115" s="26"/>
      <c r="V115" s="26"/>
    </row>
    <row r="116">
      <c r="A116" s="2"/>
      <c r="B116" s="185"/>
      <c r="C116" s="77"/>
      <c r="D116" s="26"/>
      <c r="E116" s="26"/>
      <c r="F116" s="26"/>
      <c r="G116" s="1"/>
      <c r="J116" s="3"/>
      <c r="K116" s="1"/>
      <c r="M116" s="26"/>
      <c r="O116" s="210"/>
      <c r="P116" s="26"/>
      <c r="S116" s="26"/>
      <c r="V116" s="26"/>
    </row>
    <row r="117">
      <c r="A117" s="2"/>
      <c r="B117" s="185"/>
      <c r="C117" s="77"/>
      <c r="D117" s="26"/>
      <c r="E117" s="26"/>
      <c r="F117" s="26"/>
      <c r="G117" s="1"/>
      <c r="J117" s="3"/>
      <c r="K117" s="1"/>
      <c r="M117" s="26"/>
      <c r="O117" s="210"/>
      <c r="P117" s="26"/>
      <c r="S117" s="26"/>
      <c r="V117" s="26"/>
    </row>
    <row r="118">
      <c r="A118" s="2"/>
      <c r="B118" s="185"/>
      <c r="C118" s="77"/>
      <c r="D118" s="26"/>
      <c r="E118" s="26"/>
      <c r="F118" s="26"/>
      <c r="G118" s="1"/>
      <c r="J118" s="3"/>
      <c r="K118" s="1"/>
      <c r="M118" s="26"/>
      <c r="O118" s="210"/>
      <c r="P118" s="26"/>
      <c r="S118" s="26"/>
      <c r="V118" s="26"/>
    </row>
    <row r="119">
      <c r="A119" s="2"/>
      <c r="B119" s="185"/>
      <c r="C119" s="77"/>
      <c r="D119" s="26"/>
      <c r="E119" s="26"/>
      <c r="F119" s="26"/>
      <c r="G119" s="1"/>
      <c r="J119" s="3"/>
      <c r="K119" s="1"/>
      <c r="M119" s="26"/>
      <c r="O119" s="210"/>
      <c r="P119" s="26"/>
      <c r="S119" s="26"/>
      <c r="V119" s="26"/>
    </row>
    <row r="120">
      <c r="A120" s="2"/>
      <c r="B120" s="185"/>
      <c r="C120" s="77"/>
      <c r="D120" s="26"/>
      <c r="E120" s="26"/>
      <c r="F120" s="26"/>
      <c r="G120" s="1"/>
      <c r="J120" s="3"/>
      <c r="K120" s="1"/>
      <c r="M120" s="26"/>
      <c r="O120" s="210"/>
      <c r="P120" s="26"/>
      <c r="S120" s="26"/>
      <c r="V120" s="26"/>
    </row>
    <row r="121">
      <c r="A121" s="2"/>
      <c r="B121" s="185"/>
      <c r="C121" s="77"/>
      <c r="D121" s="26"/>
      <c r="E121" s="26"/>
      <c r="F121" s="26"/>
      <c r="G121" s="1"/>
      <c r="J121" s="3"/>
      <c r="K121" s="1"/>
      <c r="M121" s="26"/>
      <c r="O121" s="210"/>
      <c r="P121" s="26"/>
      <c r="S121" s="26"/>
      <c r="V121" s="26"/>
    </row>
    <row r="122">
      <c r="A122" s="2"/>
      <c r="B122" s="185"/>
      <c r="C122" s="77"/>
      <c r="D122" s="26"/>
      <c r="E122" s="26"/>
      <c r="F122" s="26"/>
      <c r="G122" s="1"/>
      <c r="J122" s="3"/>
      <c r="K122" s="1"/>
      <c r="M122" s="26"/>
      <c r="O122" s="210"/>
      <c r="P122" s="26"/>
      <c r="S122" s="26"/>
      <c r="V122" s="26"/>
    </row>
    <row r="123">
      <c r="A123" s="2"/>
      <c r="B123" s="185"/>
      <c r="C123" s="77"/>
      <c r="D123" s="26"/>
      <c r="E123" s="26"/>
      <c r="F123" s="26"/>
      <c r="G123" s="1"/>
      <c r="J123" s="3"/>
      <c r="K123" s="1"/>
      <c r="M123" s="26"/>
      <c r="O123" s="210"/>
      <c r="P123" s="26"/>
      <c r="S123" s="26"/>
      <c r="V123" s="26"/>
    </row>
    <row r="124">
      <c r="A124" s="2"/>
      <c r="B124" s="185"/>
      <c r="C124" s="77"/>
      <c r="D124" s="26"/>
      <c r="E124" s="26"/>
      <c r="F124" s="26"/>
      <c r="G124" s="1"/>
      <c r="J124" s="3"/>
      <c r="K124" s="1"/>
      <c r="M124" s="26"/>
      <c r="O124" s="210"/>
      <c r="P124" s="26"/>
      <c r="S124" s="26"/>
      <c r="V124" s="26"/>
    </row>
    <row r="125">
      <c r="A125" s="2"/>
      <c r="B125" s="185"/>
      <c r="C125" s="77"/>
      <c r="D125" s="26"/>
      <c r="E125" s="26"/>
      <c r="F125" s="26"/>
      <c r="G125" s="1"/>
      <c r="J125" s="3"/>
      <c r="K125" s="1"/>
      <c r="M125" s="26"/>
      <c r="O125" s="210"/>
      <c r="P125" s="26"/>
      <c r="S125" s="26"/>
      <c r="V125" s="26"/>
    </row>
    <row r="126">
      <c r="A126" s="2"/>
      <c r="B126" s="185"/>
      <c r="C126" s="77"/>
      <c r="D126" s="26"/>
      <c r="E126" s="26"/>
      <c r="F126" s="26"/>
      <c r="G126" s="1"/>
      <c r="J126" s="3"/>
      <c r="K126" s="1"/>
      <c r="M126" s="26"/>
      <c r="O126" s="210"/>
      <c r="P126" s="26"/>
      <c r="S126" s="26"/>
      <c r="V126" s="26"/>
    </row>
    <row r="127">
      <c r="A127" s="2"/>
      <c r="B127" s="185"/>
      <c r="C127" s="77"/>
      <c r="D127" s="26"/>
      <c r="E127" s="26"/>
      <c r="F127" s="26"/>
      <c r="G127" s="1"/>
      <c r="J127" s="3"/>
      <c r="K127" s="1"/>
      <c r="M127" s="26"/>
      <c r="O127" s="210"/>
      <c r="P127" s="26"/>
      <c r="S127" s="26"/>
      <c r="V127" s="26"/>
    </row>
    <row r="128">
      <c r="A128" s="2"/>
      <c r="B128" s="185"/>
      <c r="C128" s="77"/>
      <c r="D128" s="26"/>
      <c r="E128" s="26"/>
      <c r="F128" s="26"/>
      <c r="G128" s="1"/>
      <c r="J128" s="3"/>
      <c r="K128" s="1"/>
      <c r="M128" s="26"/>
      <c r="O128" s="210"/>
      <c r="P128" s="26"/>
      <c r="S128" s="26"/>
      <c r="V128" s="26"/>
    </row>
    <row r="129">
      <c r="A129" s="2"/>
      <c r="B129" s="185"/>
      <c r="C129" s="77"/>
      <c r="D129" s="26"/>
      <c r="E129" s="26"/>
      <c r="F129" s="26"/>
      <c r="G129" s="1"/>
      <c r="J129" s="3"/>
      <c r="K129" s="1"/>
      <c r="M129" s="26"/>
      <c r="O129" s="210"/>
      <c r="P129" s="26"/>
      <c r="S129" s="26"/>
      <c r="V129" s="26"/>
    </row>
    <row r="130">
      <c r="A130" s="2"/>
      <c r="B130" s="185"/>
      <c r="C130" s="77"/>
      <c r="D130" s="26"/>
      <c r="E130" s="26"/>
      <c r="F130" s="26"/>
      <c r="G130" s="1"/>
      <c r="J130" s="3"/>
      <c r="K130" s="1"/>
      <c r="M130" s="26"/>
      <c r="O130" s="210"/>
      <c r="P130" s="26"/>
      <c r="S130" s="26"/>
      <c r="V130" s="26"/>
    </row>
    <row r="131">
      <c r="A131" s="2"/>
      <c r="B131" s="185"/>
      <c r="C131" s="77"/>
      <c r="D131" s="26"/>
      <c r="E131" s="26"/>
      <c r="F131" s="26"/>
      <c r="G131" s="1"/>
      <c r="J131" s="3"/>
      <c r="K131" s="1"/>
      <c r="M131" s="26"/>
      <c r="O131" s="210"/>
      <c r="P131" s="26"/>
      <c r="S131" s="26"/>
      <c r="V131" s="26"/>
    </row>
    <row r="132">
      <c r="A132" s="2"/>
      <c r="B132" s="185"/>
      <c r="C132" s="77"/>
      <c r="D132" s="26"/>
      <c r="E132" s="26"/>
      <c r="F132" s="26"/>
      <c r="G132" s="1"/>
      <c r="J132" s="3"/>
      <c r="K132" s="1"/>
      <c r="M132" s="26"/>
      <c r="O132" s="210"/>
      <c r="P132" s="26"/>
      <c r="S132" s="26"/>
      <c r="V132" s="26"/>
    </row>
    <row r="133">
      <c r="A133" s="2"/>
      <c r="B133" s="185"/>
      <c r="C133" s="77"/>
      <c r="D133" s="26"/>
      <c r="E133" s="26"/>
      <c r="F133" s="26"/>
      <c r="G133" s="1"/>
      <c r="J133" s="3"/>
      <c r="K133" s="1"/>
      <c r="M133" s="26"/>
      <c r="O133" s="210"/>
      <c r="P133" s="26"/>
      <c r="S133" s="26"/>
      <c r="V133" s="26"/>
    </row>
    <row r="134">
      <c r="A134" s="2"/>
      <c r="B134" s="185"/>
      <c r="C134" s="77"/>
      <c r="D134" s="26"/>
      <c r="E134" s="26"/>
      <c r="F134" s="26"/>
      <c r="G134" s="1"/>
      <c r="J134" s="3"/>
      <c r="K134" s="1"/>
      <c r="M134" s="26"/>
      <c r="O134" s="210"/>
      <c r="P134" s="26"/>
      <c r="S134" s="26"/>
      <c r="V134" s="26"/>
    </row>
    <row r="135">
      <c r="A135" s="2"/>
      <c r="B135" s="185"/>
      <c r="C135" s="77"/>
      <c r="D135" s="26"/>
      <c r="E135" s="26"/>
      <c r="F135" s="26"/>
      <c r="G135" s="1"/>
      <c r="J135" s="3"/>
      <c r="K135" s="1"/>
      <c r="M135" s="26"/>
      <c r="O135" s="210"/>
      <c r="P135" s="26"/>
      <c r="S135" s="26"/>
      <c r="V135" s="26"/>
    </row>
    <row r="136">
      <c r="A136" s="2"/>
      <c r="B136" s="185"/>
      <c r="C136" s="77"/>
      <c r="D136" s="26"/>
      <c r="E136" s="26"/>
      <c r="F136" s="26"/>
      <c r="G136" s="1"/>
      <c r="J136" s="3"/>
      <c r="K136" s="1"/>
      <c r="M136" s="26"/>
      <c r="O136" s="210"/>
      <c r="P136" s="26"/>
      <c r="S136" s="26"/>
      <c r="V136" s="26"/>
    </row>
    <row r="137">
      <c r="A137" s="2"/>
      <c r="B137" s="185"/>
      <c r="C137" s="77"/>
      <c r="D137" s="26"/>
      <c r="E137" s="26"/>
      <c r="F137" s="26"/>
      <c r="G137" s="1"/>
      <c r="J137" s="3"/>
      <c r="K137" s="1"/>
      <c r="M137" s="26"/>
      <c r="O137" s="210"/>
      <c r="P137" s="26"/>
      <c r="S137" s="26"/>
      <c r="V137" s="26"/>
    </row>
    <row r="138">
      <c r="A138" s="2"/>
      <c r="B138" s="185"/>
      <c r="C138" s="77"/>
      <c r="D138" s="26"/>
      <c r="E138" s="26"/>
      <c r="F138" s="26"/>
      <c r="G138" s="1"/>
      <c r="J138" s="3"/>
      <c r="K138" s="1"/>
      <c r="M138" s="26"/>
      <c r="O138" s="210"/>
      <c r="P138" s="26"/>
      <c r="S138" s="26"/>
      <c r="V138" s="26"/>
    </row>
    <row r="139">
      <c r="A139" s="2"/>
      <c r="B139" s="185"/>
      <c r="C139" s="77"/>
      <c r="D139" s="26"/>
      <c r="E139" s="26"/>
      <c r="F139" s="26"/>
      <c r="G139" s="1"/>
      <c r="J139" s="3"/>
      <c r="K139" s="1"/>
      <c r="M139" s="26"/>
      <c r="O139" s="210"/>
      <c r="P139" s="26"/>
      <c r="S139" s="26"/>
      <c r="V139" s="26"/>
    </row>
    <row r="140">
      <c r="A140" s="2"/>
      <c r="B140" s="185"/>
      <c r="C140" s="77"/>
      <c r="D140" s="26"/>
      <c r="E140" s="26"/>
      <c r="F140" s="26"/>
      <c r="G140" s="1"/>
      <c r="J140" s="3"/>
      <c r="K140" s="1"/>
      <c r="M140" s="26"/>
      <c r="O140" s="210"/>
      <c r="P140" s="26"/>
      <c r="S140" s="26"/>
      <c r="V140" s="26"/>
    </row>
    <row r="141">
      <c r="A141" s="2"/>
      <c r="B141" s="185"/>
      <c r="C141" s="77"/>
      <c r="D141" s="26"/>
      <c r="E141" s="26"/>
      <c r="F141" s="26"/>
      <c r="G141" s="1"/>
      <c r="J141" s="3"/>
      <c r="K141" s="1"/>
      <c r="M141" s="26"/>
      <c r="O141" s="210"/>
      <c r="P141" s="26"/>
      <c r="S141" s="26"/>
      <c r="V141" s="26"/>
    </row>
    <row r="142">
      <c r="A142" s="2"/>
      <c r="B142" s="185"/>
      <c r="C142" s="77"/>
      <c r="D142" s="26"/>
      <c r="E142" s="26"/>
      <c r="F142" s="26"/>
      <c r="G142" s="1"/>
      <c r="J142" s="3"/>
      <c r="K142" s="1"/>
      <c r="M142" s="26"/>
      <c r="O142" s="210"/>
      <c r="P142" s="26"/>
      <c r="S142" s="26"/>
      <c r="V142" s="26"/>
    </row>
    <row r="143">
      <c r="A143" s="2"/>
      <c r="B143" s="185"/>
      <c r="C143" s="77"/>
      <c r="D143" s="26"/>
      <c r="E143" s="26"/>
      <c r="F143" s="26"/>
      <c r="G143" s="1"/>
      <c r="J143" s="3"/>
      <c r="K143" s="1"/>
      <c r="M143" s="26"/>
      <c r="O143" s="210"/>
      <c r="P143" s="26"/>
      <c r="S143" s="26"/>
      <c r="V143" s="26"/>
    </row>
    <row r="144">
      <c r="A144" s="2"/>
      <c r="B144" s="185"/>
      <c r="C144" s="77"/>
      <c r="D144" s="26"/>
      <c r="E144" s="26"/>
      <c r="F144" s="26"/>
      <c r="G144" s="1"/>
      <c r="J144" s="3"/>
      <c r="K144" s="1"/>
      <c r="M144" s="26"/>
      <c r="O144" s="210"/>
      <c r="P144" s="26"/>
      <c r="S144" s="26"/>
      <c r="V144" s="26"/>
    </row>
    <row r="145">
      <c r="A145" s="2"/>
      <c r="B145" s="185"/>
      <c r="C145" s="77"/>
      <c r="D145" s="26"/>
      <c r="E145" s="26"/>
      <c r="F145" s="26"/>
      <c r="G145" s="1"/>
      <c r="J145" s="3"/>
      <c r="K145" s="1"/>
      <c r="M145" s="26"/>
      <c r="O145" s="210"/>
      <c r="P145" s="26"/>
      <c r="S145" s="26"/>
      <c r="V145" s="26"/>
    </row>
    <row r="146">
      <c r="A146" s="2"/>
      <c r="B146" s="185"/>
      <c r="C146" s="77"/>
      <c r="D146" s="26"/>
      <c r="E146" s="26"/>
      <c r="F146" s="26"/>
      <c r="G146" s="1"/>
      <c r="J146" s="3"/>
      <c r="K146" s="1"/>
      <c r="M146" s="26"/>
      <c r="O146" s="210"/>
      <c r="P146" s="26"/>
      <c r="S146" s="26"/>
      <c r="V146" s="26"/>
    </row>
    <row r="147">
      <c r="A147" s="2"/>
      <c r="B147" s="185"/>
      <c r="C147" s="77"/>
      <c r="D147" s="26"/>
      <c r="E147" s="26"/>
      <c r="F147" s="26"/>
      <c r="G147" s="1"/>
      <c r="J147" s="3"/>
      <c r="K147" s="1"/>
      <c r="M147" s="26"/>
      <c r="O147" s="210"/>
      <c r="P147" s="26"/>
      <c r="S147" s="26"/>
      <c r="V147" s="26"/>
    </row>
    <row r="148">
      <c r="A148" s="2"/>
      <c r="B148" s="185"/>
      <c r="C148" s="77"/>
      <c r="D148" s="26"/>
      <c r="E148" s="26"/>
      <c r="F148" s="26"/>
      <c r="G148" s="1"/>
      <c r="J148" s="3"/>
      <c r="K148" s="1"/>
      <c r="M148" s="26"/>
      <c r="O148" s="210"/>
      <c r="P148" s="26"/>
      <c r="S148" s="26"/>
      <c r="V148" s="26"/>
    </row>
    <row r="149">
      <c r="A149" s="2"/>
      <c r="B149" s="185"/>
      <c r="C149" s="77"/>
      <c r="D149" s="26"/>
      <c r="E149" s="26"/>
      <c r="F149" s="26"/>
      <c r="G149" s="1"/>
      <c r="J149" s="3"/>
      <c r="K149" s="1"/>
      <c r="M149" s="26"/>
      <c r="O149" s="210"/>
      <c r="P149" s="26"/>
      <c r="S149" s="26"/>
      <c r="V149" s="26"/>
    </row>
    <row r="150">
      <c r="A150" s="2"/>
      <c r="B150" s="185"/>
      <c r="C150" s="77"/>
      <c r="D150" s="26"/>
      <c r="E150" s="26"/>
      <c r="F150" s="26"/>
      <c r="G150" s="1"/>
      <c r="J150" s="3"/>
      <c r="K150" s="1"/>
      <c r="M150" s="26"/>
      <c r="O150" s="210"/>
      <c r="P150" s="26"/>
      <c r="S150" s="26"/>
      <c r="V150" s="26"/>
    </row>
    <row r="151">
      <c r="A151" s="2"/>
      <c r="B151" s="185"/>
      <c r="C151" s="77"/>
      <c r="D151" s="26"/>
      <c r="E151" s="26"/>
      <c r="F151" s="26"/>
      <c r="G151" s="1"/>
      <c r="J151" s="3"/>
      <c r="K151" s="1"/>
      <c r="M151" s="26"/>
      <c r="O151" s="210"/>
      <c r="P151" s="26"/>
      <c r="S151" s="26"/>
      <c r="V151" s="26"/>
    </row>
    <row r="152">
      <c r="A152" s="2"/>
      <c r="B152" s="185"/>
      <c r="C152" s="77"/>
      <c r="D152" s="26"/>
      <c r="E152" s="26"/>
      <c r="F152" s="26"/>
      <c r="G152" s="1"/>
      <c r="J152" s="3"/>
      <c r="K152" s="1"/>
      <c r="M152" s="26"/>
      <c r="O152" s="210"/>
      <c r="P152" s="26"/>
      <c r="S152" s="26"/>
      <c r="V152" s="26"/>
    </row>
    <row r="153">
      <c r="A153" s="2"/>
      <c r="B153" s="185"/>
      <c r="C153" s="77"/>
      <c r="D153" s="26"/>
      <c r="E153" s="26"/>
      <c r="F153" s="26"/>
      <c r="G153" s="1"/>
      <c r="J153" s="3"/>
      <c r="K153" s="1"/>
      <c r="M153" s="26"/>
      <c r="O153" s="210"/>
      <c r="P153" s="26"/>
      <c r="S153" s="26"/>
      <c r="V153" s="26"/>
    </row>
    <row r="154">
      <c r="A154" s="2"/>
      <c r="B154" s="185"/>
      <c r="C154" s="77"/>
      <c r="D154" s="26"/>
      <c r="E154" s="26"/>
      <c r="F154" s="26"/>
      <c r="G154" s="1"/>
      <c r="J154" s="3"/>
      <c r="K154" s="1"/>
      <c r="M154" s="26"/>
      <c r="O154" s="210"/>
      <c r="P154" s="26"/>
      <c r="S154" s="26"/>
      <c r="V154" s="26"/>
    </row>
    <row r="155">
      <c r="A155" s="2"/>
      <c r="B155" s="185"/>
      <c r="C155" s="77"/>
      <c r="D155" s="26"/>
      <c r="E155" s="26"/>
      <c r="F155" s="26"/>
      <c r="G155" s="1"/>
      <c r="J155" s="3"/>
      <c r="K155" s="1"/>
      <c r="M155" s="26"/>
      <c r="O155" s="210"/>
      <c r="P155" s="26"/>
      <c r="S155" s="26"/>
      <c r="V155" s="26"/>
    </row>
    <row r="156">
      <c r="A156" s="2"/>
      <c r="B156" s="185"/>
      <c r="C156" s="77"/>
      <c r="D156" s="26"/>
      <c r="E156" s="26"/>
      <c r="F156" s="26"/>
      <c r="G156" s="1"/>
      <c r="J156" s="3"/>
      <c r="K156" s="1"/>
      <c r="M156" s="26"/>
      <c r="O156" s="210"/>
      <c r="P156" s="26"/>
      <c r="S156" s="26"/>
      <c r="V156" s="26"/>
    </row>
    <row r="157">
      <c r="A157" s="2"/>
      <c r="B157" s="185"/>
      <c r="C157" s="77"/>
      <c r="D157" s="26"/>
      <c r="E157" s="26"/>
      <c r="F157" s="26"/>
      <c r="G157" s="1"/>
      <c r="J157" s="3"/>
      <c r="K157" s="1"/>
      <c r="M157" s="26"/>
      <c r="O157" s="210"/>
      <c r="P157" s="26"/>
      <c r="S157" s="26"/>
      <c r="V157" s="26"/>
    </row>
    <row r="158">
      <c r="A158" s="2"/>
      <c r="B158" s="185"/>
      <c r="C158" s="77"/>
      <c r="D158" s="26"/>
      <c r="E158" s="26"/>
      <c r="F158" s="26"/>
      <c r="G158" s="1"/>
      <c r="J158" s="3"/>
      <c r="K158" s="1"/>
      <c r="M158" s="26"/>
      <c r="O158" s="210"/>
      <c r="P158" s="26"/>
      <c r="S158" s="26"/>
      <c r="V158" s="26"/>
    </row>
    <row r="159">
      <c r="A159" s="2"/>
      <c r="B159" s="185"/>
      <c r="C159" s="77"/>
      <c r="D159" s="26"/>
      <c r="E159" s="26"/>
      <c r="F159" s="26"/>
      <c r="G159" s="1"/>
      <c r="J159" s="3"/>
      <c r="K159" s="1"/>
      <c r="M159" s="26"/>
      <c r="O159" s="210"/>
      <c r="P159" s="26"/>
      <c r="S159" s="26"/>
      <c r="V159" s="26"/>
    </row>
    <row r="160">
      <c r="A160" s="2"/>
      <c r="B160" s="185"/>
      <c r="C160" s="77"/>
      <c r="D160" s="26"/>
      <c r="E160" s="26"/>
      <c r="F160" s="26"/>
      <c r="G160" s="1"/>
      <c r="J160" s="3"/>
      <c r="K160" s="1"/>
      <c r="M160" s="26"/>
      <c r="O160" s="210"/>
      <c r="P160" s="26"/>
      <c r="S160" s="26"/>
      <c r="V160" s="26"/>
    </row>
    <row r="161">
      <c r="A161" s="2"/>
      <c r="B161" s="185"/>
      <c r="C161" s="77"/>
      <c r="D161" s="26"/>
      <c r="E161" s="26"/>
      <c r="F161" s="26"/>
      <c r="G161" s="1"/>
      <c r="J161" s="3"/>
      <c r="K161" s="1"/>
      <c r="M161" s="26"/>
      <c r="O161" s="210"/>
      <c r="P161" s="26"/>
      <c r="S161" s="26"/>
      <c r="V161" s="26"/>
    </row>
    <row r="162">
      <c r="A162" s="2"/>
      <c r="B162" s="185"/>
      <c r="C162" s="77"/>
      <c r="D162" s="26"/>
      <c r="E162" s="26"/>
      <c r="F162" s="26"/>
      <c r="G162" s="1"/>
      <c r="J162" s="3"/>
      <c r="K162" s="1"/>
      <c r="M162" s="26"/>
      <c r="O162" s="210"/>
      <c r="P162" s="26"/>
      <c r="S162" s="26"/>
      <c r="V162" s="26"/>
    </row>
    <row r="163">
      <c r="A163" s="2"/>
      <c r="B163" s="185"/>
      <c r="C163" s="77"/>
      <c r="D163" s="26"/>
      <c r="E163" s="26"/>
      <c r="F163" s="26"/>
      <c r="G163" s="1"/>
      <c r="J163" s="3"/>
      <c r="K163" s="1"/>
      <c r="M163" s="26"/>
      <c r="O163" s="210"/>
      <c r="P163" s="26"/>
      <c r="S163" s="26"/>
      <c r="V163" s="26"/>
    </row>
    <row r="164">
      <c r="A164" s="2"/>
      <c r="B164" s="185"/>
      <c r="C164" s="77"/>
      <c r="D164" s="26"/>
      <c r="E164" s="26"/>
      <c r="F164" s="26"/>
      <c r="G164" s="1"/>
      <c r="J164" s="3"/>
      <c r="K164" s="1"/>
      <c r="M164" s="26"/>
      <c r="O164" s="210"/>
      <c r="P164" s="26"/>
      <c r="S164" s="26"/>
      <c r="V164" s="26"/>
    </row>
    <row r="165">
      <c r="A165" s="2"/>
      <c r="B165" s="185"/>
      <c r="C165" s="77"/>
      <c r="D165" s="26"/>
      <c r="E165" s="26"/>
      <c r="F165" s="26"/>
      <c r="G165" s="1"/>
      <c r="J165" s="3"/>
      <c r="K165" s="1"/>
      <c r="M165" s="26"/>
      <c r="O165" s="210"/>
      <c r="P165" s="26"/>
      <c r="S165" s="26"/>
      <c r="V165" s="26"/>
    </row>
    <row r="166">
      <c r="A166" s="2"/>
      <c r="B166" s="185"/>
      <c r="C166" s="77"/>
      <c r="D166" s="26"/>
      <c r="E166" s="26"/>
      <c r="F166" s="26"/>
      <c r="G166" s="1"/>
      <c r="J166" s="3"/>
      <c r="K166" s="1"/>
      <c r="M166" s="26"/>
      <c r="O166" s="210"/>
      <c r="P166" s="26"/>
      <c r="S166" s="26"/>
      <c r="V166" s="26"/>
    </row>
    <row r="167">
      <c r="A167" s="2"/>
      <c r="B167" s="185"/>
      <c r="C167" s="77"/>
      <c r="D167" s="26"/>
      <c r="E167" s="26"/>
      <c r="F167" s="26"/>
      <c r="G167" s="1"/>
      <c r="J167" s="3"/>
      <c r="K167" s="1"/>
      <c r="M167" s="26"/>
      <c r="O167" s="210"/>
      <c r="P167" s="26"/>
      <c r="S167" s="26"/>
      <c r="V167" s="26"/>
    </row>
    <row r="168">
      <c r="A168" s="2"/>
      <c r="B168" s="185"/>
      <c r="C168" s="77"/>
      <c r="D168" s="26"/>
      <c r="E168" s="26"/>
      <c r="F168" s="26"/>
      <c r="G168" s="1"/>
      <c r="J168" s="3"/>
      <c r="K168" s="1"/>
      <c r="M168" s="26"/>
      <c r="O168" s="210"/>
      <c r="P168" s="26"/>
      <c r="S168" s="26"/>
      <c r="V168" s="26"/>
    </row>
    <row r="169">
      <c r="A169" s="2"/>
      <c r="B169" s="185"/>
      <c r="C169" s="77"/>
      <c r="D169" s="26"/>
      <c r="E169" s="26"/>
      <c r="F169" s="26"/>
      <c r="G169" s="1"/>
      <c r="J169" s="3"/>
      <c r="K169" s="1"/>
      <c r="M169" s="26"/>
      <c r="O169" s="210"/>
      <c r="P169" s="26"/>
      <c r="S169" s="26"/>
      <c r="V169" s="26"/>
    </row>
    <row r="170">
      <c r="A170" s="2"/>
      <c r="B170" s="185"/>
      <c r="C170" s="77"/>
      <c r="D170" s="26"/>
      <c r="E170" s="26"/>
      <c r="F170" s="26"/>
      <c r="G170" s="1"/>
      <c r="J170" s="3"/>
      <c r="K170" s="1"/>
      <c r="M170" s="26"/>
      <c r="O170" s="210"/>
      <c r="P170" s="26"/>
      <c r="S170" s="26"/>
      <c r="V170" s="26"/>
    </row>
    <row r="171">
      <c r="A171" s="2"/>
      <c r="B171" s="185"/>
      <c r="C171" s="77"/>
      <c r="D171" s="26"/>
      <c r="E171" s="26"/>
      <c r="F171" s="26"/>
      <c r="G171" s="1"/>
      <c r="J171" s="3"/>
      <c r="K171" s="1"/>
      <c r="M171" s="26"/>
      <c r="O171" s="210"/>
      <c r="P171" s="26"/>
      <c r="S171" s="26"/>
      <c r="V171" s="26"/>
    </row>
    <row r="172">
      <c r="A172" s="2"/>
      <c r="B172" s="185"/>
      <c r="C172" s="77"/>
      <c r="D172" s="26"/>
      <c r="E172" s="26"/>
      <c r="F172" s="26"/>
      <c r="G172" s="1"/>
      <c r="J172" s="3"/>
      <c r="K172" s="1"/>
      <c r="M172" s="26"/>
      <c r="O172" s="210"/>
      <c r="P172" s="26"/>
      <c r="S172" s="26"/>
      <c r="V172" s="26"/>
    </row>
    <row r="173">
      <c r="A173" s="2"/>
      <c r="B173" s="185"/>
      <c r="C173" s="77"/>
      <c r="D173" s="26"/>
      <c r="E173" s="26"/>
      <c r="F173" s="26"/>
      <c r="G173" s="1"/>
      <c r="J173" s="3"/>
      <c r="K173" s="1"/>
      <c r="M173" s="26"/>
      <c r="O173" s="210"/>
      <c r="P173" s="26"/>
      <c r="S173" s="26"/>
      <c r="V173" s="26"/>
    </row>
    <row r="174">
      <c r="A174" s="2"/>
      <c r="B174" s="185"/>
      <c r="C174" s="77"/>
      <c r="D174" s="26"/>
      <c r="E174" s="26"/>
      <c r="F174" s="26"/>
      <c r="G174" s="1"/>
      <c r="J174" s="3"/>
      <c r="K174" s="1"/>
      <c r="M174" s="26"/>
      <c r="O174" s="210"/>
      <c r="P174" s="26"/>
      <c r="S174" s="26"/>
      <c r="V174" s="26"/>
    </row>
    <row r="175">
      <c r="A175" s="2"/>
      <c r="B175" s="185"/>
      <c r="C175" s="77"/>
      <c r="D175" s="26"/>
      <c r="E175" s="26"/>
      <c r="F175" s="26"/>
      <c r="G175" s="1"/>
      <c r="J175" s="3"/>
      <c r="K175" s="1"/>
      <c r="M175" s="26"/>
      <c r="O175" s="210"/>
      <c r="P175" s="26"/>
      <c r="S175" s="26"/>
      <c r="V175" s="26"/>
    </row>
    <row r="176">
      <c r="A176" s="2"/>
      <c r="B176" s="185"/>
      <c r="C176" s="77"/>
      <c r="D176" s="26"/>
      <c r="E176" s="26"/>
      <c r="F176" s="26"/>
      <c r="G176" s="1"/>
      <c r="J176" s="3"/>
      <c r="K176" s="1"/>
      <c r="M176" s="26"/>
      <c r="O176" s="210"/>
      <c r="P176" s="26"/>
      <c r="S176" s="26"/>
      <c r="V176" s="26"/>
    </row>
    <row r="177">
      <c r="A177" s="2"/>
      <c r="B177" s="185"/>
      <c r="C177" s="77"/>
      <c r="D177" s="26"/>
      <c r="E177" s="26"/>
      <c r="F177" s="26"/>
      <c r="G177" s="1"/>
      <c r="J177" s="3"/>
      <c r="K177" s="1"/>
      <c r="M177" s="26"/>
      <c r="O177" s="210"/>
      <c r="P177" s="26"/>
      <c r="S177" s="26"/>
      <c r="V177" s="26"/>
    </row>
    <row r="178">
      <c r="A178" s="2"/>
      <c r="B178" s="185"/>
      <c r="C178" s="77"/>
      <c r="D178" s="26"/>
      <c r="E178" s="26"/>
      <c r="F178" s="26"/>
      <c r="G178" s="1"/>
      <c r="J178" s="3"/>
      <c r="K178" s="1"/>
      <c r="M178" s="26"/>
      <c r="O178" s="210"/>
      <c r="P178" s="26"/>
      <c r="S178" s="26"/>
      <c r="V178" s="26"/>
    </row>
    <row r="179">
      <c r="A179" s="2"/>
      <c r="B179" s="185"/>
      <c r="C179" s="77"/>
      <c r="D179" s="26"/>
      <c r="E179" s="26"/>
      <c r="F179" s="26"/>
      <c r="G179" s="1"/>
      <c r="J179" s="3"/>
      <c r="K179" s="1"/>
      <c r="M179" s="26"/>
      <c r="O179" s="210"/>
      <c r="P179" s="26"/>
      <c r="S179" s="26"/>
      <c r="V179" s="26"/>
    </row>
    <row r="180">
      <c r="A180" s="2"/>
      <c r="B180" s="185"/>
      <c r="C180" s="77"/>
      <c r="D180" s="26"/>
      <c r="E180" s="26"/>
      <c r="F180" s="26"/>
      <c r="G180" s="1"/>
      <c r="J180" s="3"/>
      <c r="K180" s="1"/>
      <c r="M180" s="26"/>
      <c r="O180" s="210"/>
      <c r="P180" s="26"/>
      <c r="S180" s="26"/>
      <c r="V180" s="26"/>
    </row>
    <row r="181">
      <c r="A181" s="2"/>
      <c r="B181" s="185"/>
      <c r="C181" s="77"/>
      <c r="D181" s="26"/>
      <c r="E181" s="26"/>
      <c r="F181" s="26"/>
      <c r="G181" s="1"/>
      <c r="J181" s="3"/>
      <c r="K181" s="1"/>
      <c r="M181" s="26"/>
      <c r="O181" s="210"/>
      <c r="P181" s="26"/>
      <c r="S181" s="26"/>
      <c r="V181" s="26"/>
    </row>
    <row r="182">
      <c r="A182" s="2"/>
      <c r="B182" s="185"/>
      <c r="C182" s="77"/>
      <c r="D182" s="26"/>
      <c r="E182" s="26"/>
      <c r="F182" s="26"/>
      <c r="G182" s="1"/>
      <c r="J182" s="3"/>
      <c r="K182" s="1"/>
      <c r="M182" s="26"/>
      <c r="O182" s="210"/>
      <c r="P182" s="26"/>
      <c r="S182" s="26"/>
      <c r="V182" s="26"/>
    </row>
    <row r="183">
      <c r="A183" s="2"/>
      <c r="B183" s="185"/>
      <c r="C183" s="77"/>
      <c r="D183" s="26"/>
      <c r="E183" s="26"/>
      <c r="F183" s="26"/>
      <c r="G183" s="1"/>
      <c r="J183" s="3"/>
      <c r="K183" s="1"/>
      <c r="M183" s="26"/>
      <c r="O183" s="210"/>
      <c r="P183" s="26"/>
      <c r="S183" s="26"/>
      <c r="V183" s="26"/>
    </row>
    <row r="184">
      <c r="A184" s="2"/>
      <c r="B184" s="185"/>
      <c r="C184" s="77"/>
      <c r="D184" s="26"/>
      <c r="E184" s="26"/>
      <c r="F184" s="26"/>
      <c r="G184" s="1"/>
      <c r="J184" s="3"/>
      <c r="K184" s="1"/>
      <c r="M184" s="26"/>
      <c r="O184" s="210"/>
      <c r="P184" s="26"/>
      <c r="S184" s="26"/>
      <c r="V184" s="26"/>
    </row>
    <row r="185">
      <c r="A185" s="2"/>
      <c r="B185" s="185"/>
      <c r="C185" s="77"/>
      <c r="D185" s="26"/>
      <c r="E185" s="26"/>
      <c r="F185" s="26"/>
      <c r="G185" s="1"/>
      <c r="J185" s="3"/>
      <c r="K185" s="1"/>
      <c r="M185" s="26"/>
      <c r="O185" s="210"/>
      <c r="P185" s="26"/>
      <c r="S185" s="26"/>
      <c r="V185" s="26"/>
    </row>
    <row r="186">
      <c r="A186" s="2"/>
      <c r="B186" s="185"/>
      <c r="C186" s="77"/>
      <c r="D186" s="26"/>
      <c r="E186" s="26"/>
      <c r="F186" s="26"/>
      <c r="G186" s="1"/>
      <c r="J186" s="3"/>
      <c r="K186" s="1"/>
      <c r="M186" s="26"/>
      <c r="O186" s="210"/>
      <c r="P186" s="26"/>
      <c r="S186" s="26"/>
      <c r="V186" s="26"/>
    </row>
    <row r="187">
      <c r="A187" s="2"/>
      <c r="B187" s="185"/>
      <c r="C187" s="77"/>
      <c r="D187" s="26"/>
      <c r="E187" s="26"/>
      <c r="F187" s="26"/>
      <c r="G187" s="1"/>
      <c r="J187" s="3"/>
      <c r="K187" s="1"/>
      <c r="M187" s="26"/>
      <c r="O187" s="210"/>
      <c r="P187" s="26"/>
      <c r="S187" s="26"/>
      <c r="V187" s="26"/>
    </row>
    <row r="188">
      <c r="A188" s="2"/>
      <c r="B188" s="185"/>
      <c r="C188" s="77"/>
      <c r="D188" s="26"/>
      <c r="E188" s="26"/>
      <c r="F188" s="26"/>
      <c r="G188" s="1"/>
      <c r="J188" s="3"/>
      <c r="K188" s="1"/>
      <c r="M188" s="26"/>
      <c r="O188" s="210"/>
      <c r="P188" s="26"/>
      <c r="S188" s="26"/>
      <c r="V188" s="26"/>
    </row>
    <row r="189">
      <c r="A189" s="2"/>
      <c r="B189" s="185"/>
      <c r="C189" s="77"/>
      <c r="D189" s="26"/>
      <c r="E189" s="26"/>
      <c r="F189" s="26"/>
      <c r="G189" s="1"/>
      <c r="J189" s="3"/>
      <c r="K189" s="1"/>
      <c r="M189" s="26"/>
      <c r="O189" s="210"/>
      <c r="P189" s="26"/>
      <c r="S189" s="26"/>
      <c r="V189" s="26"/>
    </row>
    <row r="190">
      <c r="A190" s="2"/>
      <c r="B190" s="185"/>
      <c r="C190" s="77"/>
      <c r="D190" s="26"/>
      <c r="E190" s="26"/>
      <c r="F190" s="26"/>
      <c r="G190" s="1"/>
      <c r="J190" s="3"/>
      <c r="K190" s="1"/>
      <c r="M190" s="26"/>
      <c r="O190" s="210"/>
      <c r="P190" s="26"/>
      <c r="S190" s="26"/>
      <c r="V190" s="26"/>
    </row>
    <row r="191">
      <c r="A191" s="2"/>
      <c r="B191" s="185"/>
      <c r="C191" s="77"/>
      <c r="D191" s="26"/>
      <c r="E191" s="26"/>
      <c r="F191" s="26"/>
      <c r="G191" s="1"/>
      <c r="J191" s="3"/>
      <c r="K191" s="1"/>
      <c r="M191" s="26"/>
      <c r="O191" s="210"/>
      <c r="P191" s="26"/>
      <c r="S191" s="26"/>
      <c r="V191" s="26"/>
    </row>
    <row r="192">
      <c r="A192" s="2"/>
      <c r="B192" s="185"/>
      <c r="C192" s="77"/>
      <c r="D192" s="26"/>
      <c r="E192" s="26"/>
      <c r="F192" s="26"/>
      <c r="G192" s="1"/>
      <c r="J192" s="3"/>
      <c r="K192" s="1"/>
      <c r="M192" s="26"/>
      <c r="O192" s="210"/>
      <c r="P192" s="26"/>
      <c r="S192" s="26"/>
      <c r="V192" s="26"/>
    </row>
    <row r="193">
      <c r="A193" s="2"/>
      <c r="B193" s="185"/>
      <c r="C193" s="77"/>
      <c r="D193" s="26"/>
      <c r="E193" s="26"/>
      <c r="F193" s="26"/>
      <c r="G193" s="1"/>
      <c r="J193" s="3"/>
      <c r="K193" s="1"/>
      <c r="M193" s="26"/>
      <c r="O193" s="210"/>
      <c r="P193" s="26"/>
      <c r="S193" s="26"/>
      <c r="V193" s="26"/>
    </row>
    <row r="194">
      <c r="A194" s="2"/>
      <c r="B194" s="185"/>
      <c r="C194" s="77"/>
      <c r="D194" s="26"/>
      <c r="E194" s="26"/>
      <c r="F194" s="26"/>
      <c r="G194" s="1"/>
      <c r="J194" s="3"/>
      <c r="K194" s="1"/>
      <c r="M194" s="26"/>
      <c r="O194" s="210"/>
      <c r="P194" s="26"/>
      <c r="S194" s="26"/>
      <c r="V194" s="26"/>
    </row>
    <row r="195">
      <c r="A195" s="2"/>
      <c r="B195" s="185"/>
      <c r="C195" s="77"/>
      <c r="D195" s="26"/>
      <c r="E195" s="26"/>
      <c r="F195" s="26"/>
      <c r="G195" s="1"/>
      <c r="J195" s="3"/>
      <c r="K195" s="1"/>
      <c r="M195" s="26"/>
      <c r="O195" s="210"/>
      <c r="P195" s="26"/>
      <c r="S195" s="26"/>
      <c r="V195" s="26"/>
    </row>
    <row r="196">
      <c r="A196" s="2"/>
      <c r="B196" s="185"/>
      <c r="C196" s="77"/>
      <c r="D196" s="26"/>
      <c r="E196" s="26"/>
      <c r="F196" s="26"/>
      <c r="G196" s="1"/>
      <c r="J196" s="3"/>
      <c r="K196" s="1"/>
      <c r="M196" s="26"/>
      <c r="O196" s="210"/>
      <c r="P196" s="26"/>
      <c r="S196" s="26"/>
      <c r="V196" s="26"/>
    </row>
    <row r="197">
      <c r="A197" s="2"/>
      <c r="B197" s="185"/>
      <c r="C197" s="77"/>
      <c r="D197" s="26"/>
      <c r="E197" s="26"/>
      <c r="F197" s="26"/>
      <c r="G197" s="1"/>
      <c r="J197" s="3"/>
      <c r="K197" s="1"/>
      <c r="M197" s="26"/>
      <c r="O197" s="210"/>
      <c r="P197" s="26"/>
      <c r="S197" s="26"/>
      <c r="V197" s="26"/>
    </row>
    <row r="198">
      <c r="A198" s="2"/>
      <c r="B198" s="185"/>
      <c r="C198" s="77"/>
      <c r="D198" s="26"/>
      <c r="E198" s="26"/>
      <c r="F198" s="26"/>
      <c r="G198" s="1"/>
      <c r="J198" s="3"/>
      <c r="K198" s="1"/>
      <c r="M198" s="26"/>
      <c r="O198" s="210"/>
      <c r="P198" s="26"/>
      <c r="S198" s="26"/>
      <c r="V198" s="26"/>
    </row>
    <row r="199">
      <c r="A199" s="2"/>
      <c r="B199" s="185"/>
      <c r="C199" s="77"/>
      <c r="D199" s="26"/>
      <c r="E199" s="26"/>
      <c r="F199" s="26"/>
      <c r="G199" s="1"/>
      <c r="J199" s="3"/>
      <c r="K199" s="1"/>
      <c r="M199" s="26"/>
      <c r="O199" s="210"/>
      <c r="P199" s="26"/>
      <c r="S199" s="26"/>
      <c r="V199" s="26"/>
    </row>
    <row r="200">
      <c r="A200" s="2"/>
      <c r="B200" s="185"/>
      <c r="C200" s="77"/>
      <c r="D200" s="26"/>
      <c r="E200" s="26"/>
      <c r="F200" s="26"/>
      <c r="G200" s="1"/>
      <c r="J200" s="3"/>
      <c r="K200" s="1"/>
      <c r="M200" s="26"/>
      <c r="O200" s="210"/>
      <c r="P200" s="26"/>
      <c r="S200" s="26"/>
      <c r="V200" s="26"/>
    </row>
    <row r="201">
      <c r="A201" s="2"/>
      <c r="B201" s="185"/>
      <c r="C201" s="77"/>
      <c r="D201" s="26"/>
      <c r="E201" s="26"/>
      <c r="F201" s="26"/>
      <c r="G201" s="1"/>
      <c r="J201" s="3"/>
      <c r="K201" s="1"/>
      <c r="M201" s="26"/>
      <c r="O201" s="210"/>
      <c r="P201" s="26"/>
      <c r="S201" s="26"/>
      <c r="V201" s="26"/>
    </row>
    <row r="202">
      <c r="A202" s="2"/>
      <c r="B202" s="185"/>
      <c r="C202" s="77"/>
      <c r="D202" s="26"/>
      <c r="E202" s="26"/>
      <c r="F202" s="26"/>
      <c r="G202" s="1"/>
      <c r="J202" s="3"/>
      <c r="K202" s="1"/>
      <c r="M202" s="26"/>
      <c r="O202" s="210"/>
      <c r="P202" s="26"/>
      <c r="S202" s="26"/>
      <c r="V202" s="26"/>
    </row>
    <row r="203">
      <c r="A203" s="2"/>
      <c r="B203" s="185"/>
      <c r="C203" s="77"/>
      <c r="D203" s="26"/>
      <c r="E203" s="26"/>
      <c r="F203" s="26"/>
      <c r="G203" s="1"/>
      <c r="J203" s="3"/>
      <c r="K203" s="1"/>
      <c r="M203" s="26"/>
      <c r="O203" s="210"/>
      <c r="P203" s="26"/>
      <c r="S203" s="26"/>
      <c r="V203" s="26"/>
    </row>
  </sheetData>
  <dataValidations count="8">
    <dataValidation allowBlank="true" errorStyle="stop" showDropDown="true" showErrorMessage="true" sqref="O2:O203" type="list">
      <formula1>"Buff,Debuff,Neutral,Hidden"</formula1>
    </dataValidation>
    <dataValidation allowBlank="true" errorStyle="stop" showDropDown="true" showErrorMessage="true" sqref="D2:D203" type="list">
      <formula1>"属性异常,装备,唯一装备"</formula1>
    </dataValidation>
    <dataValidation allowBlank="true" errorStyle="stop" showDropDown="true" showErrorMessage="true" sqref="J2:J203" type="list">
      <formula1>"N/A,是,否"</formula1>
    </dataValidation>
    <dataValidation allowBlank="true" errorStyle="stop" showDropDown="true" showErrorMessage="true" sqref="R2:R203" type="list">
      <formula1>"单独结算,重置时间,叠加时间,无法叠加"</formula1>
    </dataValidation>
    <dataValidation allowBlank="true" errorStyle="stop" showDropDown="true" showErrorMessage="true" sqref="U2:U203" type="list">
      <formula1>"线性叠加,分别计算,取最高值,N/A"</formula1>
    </dataValidation>
    <dataValidation allowBlank="true" errorStyle="stop" showDropDown="true" showErrorMessage="true" sqref="C2:C203" type="list">
      <formula1>$O$2:$O$203</formula1>
    </dataValidation>
    <dataValidation allowBlank="true" errorStyle="stop" showDropDown="true" showErrorMessage="true" sqref="H2:H203" type="list">
      <formula1>$R$2:$R$203</formula1>
    </dataValidation>
    <dataValidation allowBlank="true" errorStyle="stop" showDropDown="true" showErrorMessage="true" sqref="I2:I203" type="list">
      <formula1>$U$2:$U$203</formula1>
    </dataValidation>
  </dataValidations>
  <legacyDrawing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s>
  <sheetData>
    <row customHeight="true" ht="19" r="1">
      <c r="A1" s="1"/>
      <c r="B1" s="264" t="str">
        <v>权重</v>
      </c>
      <c r="C1" s="261"/>
      <c r="D1" s="261"/>
      <c r="E1" s="261"/>
      <c r="F1" s="261"/>
      <c r="G1" s="261"/>
      <c r="H1" s="265" t="str">
        <v>概率</v>
      </c>
      <c r="I1" s="262"/>
      <c r="J1" s="262"/>
      <c r="K1" s="262"/>
      <c r="L1" s="262"/>
      <c r="M1" s="263"/>
      <c r="N1" s="249"/>
    </row>
    <row r="2">
      <c r="A2" s="1" t="str">
        <v>LV \ 稀有度</v>
      </c>
      <c r="B2" s="254">
        <v>1</v>
      </c>
      <c r="C2" s="258">
        <v>2</v>
      </c>
      <c r="D2" s="52">
        <v>3</v>
      </c>
      <c r="E2" s="54">
        <v>4</v>
      </c>
      <c r="F2" s="159">
        <v>5</v>
      </c>
      <c r="G2" s="259">
        <v>6</v>
      </c>
      <c r="H2" s="255">
        <v>1</v>
      </c>
      <c r="I2" s="260">
        <v>2</v>
      </c>
      <c r="J2" s="256">
        <v>3</v>
      </c>
      <c r="K2" s="66">
        <v>4</v>
      </c>
      <c r="L2" s="175">
        <v>5</v>
      </c>
      <c r="M2" s="257">
        <v>6</v>
      </c>
      <c r="N2" s="249"/>
    </row>
    <row r="3">
      <c r="A3" s="1">
        <v>1</v>
      </c>
      <c r="B3" s="250">
        <f>10+A3:A3/8</f>
      </c>
      <c r="C3" s="251">
        <f>1+A3:A3/8</f>
      </c>
      <c r="D3" s="251">
        <f>A3:A3/16</f>
      </c>
      <c r="E3" s="251">
        <f>A3:A3/32</f>
      </c>
      <c r="F3" s="251">
        <f>A3:A3/64</f>
      </c>
      <c r="G3" s="251">
        <f>A3:A3/128</f>
      </c>
      <c r="H3" s="247">
        <f>B3:B3/SUM(B3:G3)</f>
      </c>
      <c r="I3" s="248">
        <f>C3:C3/SUM(B3:G3)</f>
      </c>
      <c r="J3" s="248">
        <f>D3:D3/SUM(B3:G3)</f>
      </c>
      <c r="K3" s="248">
        <f>E3:E3/SUM(B3:G3)</f>
      </c>
      <c r="L3" s="248">
        <f>F3:F3/SUM(B3:G3)</f>
      </c>
      <c r="M3" s="252">
        <f>G3:G3/SUM(B3:G3)</f>
      </c>
      <c r="N3" s="249"/>
    </row>
    <row r="4">
      <c r="A4" s="1">
        <v>2</v>
      </c>
      <c r="B4" s="250">
        <f>10+A4:A4/8</f>
      </c>
      <c r="C4" s="251">
        <f>1+A4:A4/8</f>
      </c>
      <c r="D4" s="251">
        <f>A4:A4/16</f>
      </c>
      <c r="E4" s="251">
        <f>A4:A4/32</f>
      </c>
      <c r="F4" s="251">
        <f>A4:A4/64</f>
      </c>
      <c r="G4" s="251">
        <f>A4:A4/128</f>
      </c>
      <c r="H4" s="247">
        <f>B4:B4/SUM(B4:G4)</f>
      </c>
      <c r="I4" s="248">
        <f>C4:C4/SUM(B4:G4)</f>
      </c>
      <c r="J4" s="248">
        <f>D4:D4/SUM(B4:G4)</f>
      </c>
      <c r="K4" s="248">
        <f>E4:E4/SUM(B4:G4)</f>
      </c>
      <c r="L4" s="248">
        <f>F4:F4/SUM(B4:G4)</f>
      </c>
      <c r="M4" s="252">
        <f>G4:G4/SUM(B4:G4)</f>
      </c>
      <c r="N4" s="249"/>
    </row>
    <row r="5">
      <c r="A5" s="1">
        <v>3</v>
      </c>
      <c r="B5" s="250">
        <f>10+A5:A5/8</f>
      </c>
      <c r="C5" s="251">
        <f>1+A5:A5/8</f>
      </c>
      <c r="D5" s="251">
        <f>A5:A5/16</f>
      </c>
      <c r="E5" s="251">
        <f>A5:A5/32</f>
      </c>
      <c r="F5" s="251">
        <f>A5:A5/64</f>
      </c>
      <c r="G5" s="251">
        <f>A5:A5/128</f>
      </c>
      <c r="H5" s="247">
        <f>B5:B5/SUM(B5:G5)</f>
      </c>
      <c r="I5" s="248">
        <f>C5:C5/SUM(B5:G5)</f>
      </c>
      <c r="J5" s="248">
        <f>D5:D5/SUM(B5:G5)</f>
      </c>
      <c r="K5" s="248">
        <f>E5:E5/SUM(B5:G5)</f>
      </c>
      <c r="L5" s="248">
        <f>F5:F5/SUM(B5:G5)</f>
      </c>
      <c r="M5" s="252">
        <f>G5:G5/SUM(B5:G5)</f>
      </c>
      <c r="N5" s="249"/>
    </row>
    <row r="6">
      <c r="A6" s="1">
        <v>4</v>
      </c>
      <c r="B6" s="250">
        <f>10+A6:A6/8</f>
      </c>
      <c r="C6" s="251">
        <f>1+A6:A6/8</f>
      </c>
      <c r="D6" s="251">
        <f>A6:A6/16</f>
      </c>
      <c r="E6" s="251">
        <f>A6:A6/32</f>
      </c>
      <c r="F6" s="251">
        <f>A6:A6/64</f>
      </c>
      <c r="G6" s="251">
        <f>A6:A6/128</f>
      </c>
      <c r="H6" s="247">
        <f>B6:B6/SUM(B6:G6)</f>
      </c>
      <c r="I6" s="248">
        <f>C6:C6/SUM(B6:G6)</f>
      </c>
      <c r="J6" s="248">
        <f>D6:D6/SUM(B6:G6)</f>
      </c>
      <c r="K6" s="248">
        <f>E6:E6/SUM(B6:G6)</f>
      </c>
      <c r="L6" s="248">
        <f>F6:F6/SUM(B6:G6)</f>
      </c>
      <c r="M6" s="252">
        <f>G6:G6/SUM(B6:G6)</f>
      </c>
      <c r="N6" s="249"/>
    </row>
    <row r="7">
      <c r="A7" s="1">
        <v>5</v>
      </c>
      <c r="B7" s="250">
        <f>10+A7:A7/8</f>
      </c>
      <c r="C7" s="251">
        <f>1+A7:A7/8</f>
      </c>
      <c r="D7" s="251">
        <f>A7:A7/16</f>
      </c>
      <c r="E7" s="251">
        <f>A7:A7/32</f>
      </c>
      <c r="F7" s="251">
        <f>A7:A7/64</f>
      </c>
      <c r="G7" s="251">
        <f>A7:A7/128</f>
      </c>
      <c r="H7" s="247">
        <f>B7:B7/SUM(B7:G7)</f>
      </c>
      <c r="I7" s="248">
        <f>C7:C7/SUM(B7:G7)</f>
      </c>
      <c r="J7" s="248">
        <f>D7:D7/SUM(B7:G7)</f>
      </c>
      <c r="K7" s="248">
        <f>E7:E7/SUM(B7:G7)</f>
      </c>
      <c r="L7" s="248">
        <f>F7:F7/SUM(B7:G7)</f>
      </c>
      <c r="M7" s="252">
        <f>G7:G7/SUM(B7:G7)</f>
      </c>
      <c r="N7" s="249"/>
    </row>
    <row r="8">
      <c r="A8" s="1">
        <v>6</v>
      </c>
      <c r="B8" s="250">
        <f>10+A8:A8/8</f>
      </c>
      <c r="C8" s="251">
        <f>1+A8:A8/8</f>
      </c>
      <c r="D8" s="251">
        <f>A8:A8/16</f>
      </c>
      <c r="E8" s="251">
        <f>A8:A8/32</f>
      </c>
      <c r="F8" s="251">
        <f>A8:A8/64</f>
      </c>
      <c r="G8" s="251">
        <f>A8:A8/128</f>
      </c>
      <c r="H8" s="247">
        <f>B8:B8/SUM(B8:G8)</f>
      </c>
      <c r="I8" s="248">
        <f>C8:C8/SUM(B8:G8)</f>
      </c>
      <c r="J8" s="248">
        <f>D8:D8/SUM(B8:G8)</f>
      </c>
      <c r="K8" s="248">
        <f>E8:E8/SUM(B8:G8)</f>
      </c>
      <c r="L8" s="248">
        <f>F8:F8/SUM(B8:G8)</f>
      </c>
      <c r="M8" s="252">
        <f>G8:G8/SUM(B8:G8)</f>
      </c>
      <c r="N8" s="249"/>
    </row>
    <row r="9">
      <c r="A9" s="1">
        <v>7</v>
      </c>
      <c r="B9" s="250">
        <f>10+A9:A9/8</f>
      </c>
      <c r="C9" s="251">
        <f>1+A9:A9/8</f>
      </c>
      <c r="D9" s="251">
        <f>A9:A9/16</f>
      </c>
      <c r="E9" s="251">
        <f>A9:A9/32</f>
      </c>
      <c r="F9" s="251">
        <f>A9:A9/64</f>
      </c>
      <c r="G9" s="251">
        <f>A9:A9/128</f>
      </c>
      <c r="H9" s="247">
        <f>B9:B9/SUM(B9:G9)</f>
      </c>
      <c r="I9" s="248">
        <f>C9:C9/SUM(B9:G9)</f>
      </c>
      <c r="J9" s="248">
        <f>D9:D9/SUM(B9:G9)</f>
      </c>
      <c r="K9" s="248">
        <f>E9:E9/SUM(B9:G9)</f>
      </c>
      <c r="L9" s="248">
        <f>F9:F9/SUM(B9:G9)</f>
      </c>
      <c r="M9" s="252">
        <f>G9:G9/SUM(B9:G9)</f>
      </c>
      <c r="N9" s="249"/>
    </row>
    <row r="10">
      <c r="A10" s="1">
        <v>8</v>
      </c>
      <c r="B10" s="250">
        <f>10+A10:A10/8</f>
      </c>
      <c r="C10" s="251">
        <f>1+A10:A10/8</f>
      </c>
      <c r="D10" s="251">
        <f>A10:A10/16</f>
      </c>
      <c r="E10" s="251">
        <f>A10:A10/32</f>
      </c>
      <c r="F10" s="251">
        <f>A10:A10/64</f>
      </c>
      <c r="G10" s="251">
        <f>A10:A10/128</f>
      </c>
      <c r="H10" s="247">
        <f>B10:B10/SUM(B10:G10)</f>
      </c>
      <c r="I10" s="248">
        <f>C10:C10/SUM(B10:G10)</f>
      </c>
      <c r="J10" s="248">
        <f>D10:D10/SUM(B10:G10)</f>
      </c>
      <c r="K10" s="248">
        <f>E10:E10/SUM(B10:G10)</f>
      </c>
      <c r="L10" s="248">
        <f>F10:F10/SUM(B10:G10)</f>
      </c>
      <c r="M10" s="252">
        <f>G10:G10/SUM(B10:G10)</f>
      </c>
      <c r="N10" s="249"/>
    </row>
    <row r="11">
      <c r="A11" s="1">
        <v>9</v>
      </c>
      <c r="B11" s="250">
        <f>10+A11:A11/8</f>
      </c>
      <c r="C11" s="251">
        <f>1+A11:A11/8</f>
      </c>
      <c r="D11" s="251">
        <f>A11:A11/16</f>
      </c>
      <c r="E11" s="251">
        <f>A11:A11/32</f>
      </c>
      <c r="F11" s="251">
        <f>A11:A11/64</f>
      </c>
      <c r="G11" s="251">
        <f>A11:A11/128</f>
      </c>
      <c r="H11" s="247">
        <f>B11:B11/SUM(B11:G11)</f>
      </c>
      <c r="I11" s="248">
        <f>C11:C11/SUM(B11:G11)</f>
      </c>
      <c r="J11" s="248">
        <f>D11:D11/SUM(B11:G11)</f>
      </c>
      <c r="K11" s="248">
        <f>E11:E11/SUM(B11:G11)</f>
      </c>
      <c r="L11" s="248">
        <f>F11:F11/SUM(B11:G11)</f>
      </c>
      <c r="M11" s="252">
        <f>G11:G11/SUM(B11:G11)</f>
      </c>
      <c r="N11" s="249"/>
    </row>
    <row r="12">
      <c r="A12" s="1">
        <v>10</v>
      </c>
      <c r="B12" s="250">
        <f>10+A12:A12/8</f>
      </c>
      <c r="C12" s="251">
        <f>1+A12:A12/8</f>
      </c>
      <c r="D12" s="251">
        <f>A12:A12/16</f>
      </c>
      <c r="E12" s="251">
        <f>A12:A12/32</f>
      </c>
      <c r="F12" s="251">
        <f>A12:A12/64</f>
      </c>
      <c r="G12" s="251">
        <f>A12:A12/128</f>
      </c>
      <c r="H12" s="247">
        <f>B12:B12/SUM(B12:G12)</f>
      </c>
      <c r="I12" s="248">
        <f>C12:C12/SUM(B12:G12)</f>
      </c>
      <c r="J12" s="248">
        <f>D12:D12/SUM(B12:G12)</f>
      </c>
      <c r="K12" s="248">
        <f>E12:E12/SUM(B12:G12)</f>
      </c>
      <c r="L12" s="248">
        <f>F12:F12/SUM(B12:G12)</f>
      </c>
      <c r="M12" s="252">
        <f>G12:G12/SUM(B12:G12)</f>
      </c>
      <c r="N12" s="249"/>
    </row>
    <row r="13">
      <c r="A13" s="1">
        <v>11</v>
      </c>
      <c r="B13" s="250">
        <f>10+A13:A13/8</f>
      </c>
      <c r="C13" s="251">
        <f>1+A13:A13/8</f>
      </c>
      <c r="D13" s="251">
        <f>A13:A13/16</f>
      </c>
      <c r="E13" s="251">
        <f>A13:A13/32</f>
      </c>
      <c r="F13" s="251">
        <f>A13:A13/64</f>
      </c>
      <c r="G13" s="251">
        <f>A13:A13/128</f>
      </c>
      <c r="H13" s="247">
        <f>B13:B13/SUM(B13:G13)</f>
      </c>
      <c r="I13" s="248">
        <f>C13:C13/SUM(B13:G13)</f>
      </c>
      <c r="J13" s="248">
        <f>D13:D13/SUM(B13:G13)</f>
      </c>
      <c r="K13" s="248">
        <f>E13:E13/SUM(B13:G13)</f>
      </c>
      <c r="L13" s="248">
        <f>F13:F13/SUM(B13:G13)</f>
      </c>
      <c r="M13" s="252">
        <f>G13:G13/SUM(B13:G13)</f>
      </c>
      <c r="N13" s="249"/>
    </row>
    <row r="14">
      <c r="A14" s="1">
        <v>12</v>
      </c>
      <c r="B14" s="250">
        <f>10+A14:A14/8</f>
      </c>
      <c r="C14" s="251">
        <f>1+A14:A14/8</f>
      </c>
      <c r="D14" s="251">
        <f>A14:A14/16</f>
      </c>
      <c r="E14" s="251">
        <f>A14:A14/32</f>
      </c>
      <c r="F14" s="251">
        <f>A14:A14/64</f>
      </c>
      <c r="G14" s="251">
        <f>A14:A14/128</f>
      </c>
      <c r="H14" s="247">
        <f>B14:B14/SUM(B14:G14)</f>
      </c>
      <c r="I14" s="248">
        <f>C14:C14/SUM(B14:G14)</f>
      </c>
      <c r="J14" s="248">
        <f>D14:D14/SUM(B14:G14)</f>
      </c>
      <c r="K14" s="248">
        <f>E14:E14/SUM(B14:G14)</f>
      </c>
      <c r="L14" s="248">
        <f>F14:F14/SUM(B14:G14)</f>
      </c>
      <c r="M14" s="252">
        <f>G14:G14/SUM(B14:G14)</f>
      </c>
      <c r="N14" s="249"/>
    </row>
    <row r="15">
      <c r="A15" s="1">
        <v>13</v>
      </c>
      <c r="B15" s="250">
        <f>10+A15:A15/8</f>
      </c>
      <c r="C15" s="251">
        <f>1+A15:A15/8</f>
      </c>
      <c r="D15" s="251">
        <f>A15:A15/16</f>
      </c>
      <c r="E15" s="251">
        <f>A15:A15/32</f>
      </c>
      <c r="F15" s="251">
        <f>A15:A15/64</f>
      </c>
      <c r="G15" s="251">
        <f>A15:A15/128</f>
      </c>
      <c r="H15" s="247">
        <f>B15:B15/SUM(B15:G15)</f>
      </c>
      <c r="I15" s="248">
        <f>C15:C15/SUM(B15:G15)</f>
      </c>
      <c r="J15" s="248">
        <f>D15:D15/SUM(B15:G15)</f>
      </c>
      <c r="K15" s="248">
        <f>E15:E15/SUM(B15:G15)</f>
      </c>
      <c r="L15" s="248">
        <f>F15:F15/SUM(B15:G15)</f>
      </c>
      <c r="M15" s="252">
        <f>G15:G15/SUM(B15:G15)</f>
      </c>
      <c r="N15" s="249"/>
    </row>
    <row r="16">
      <c r="A16" s="258">
        <v>14</v>
      </c>
      <c r="B16" s="274">
        <f>10+A16:A16/8</f>
      </c>
      <c r="C16" s="273">
        <f>1+A16:A16/8</f>
      </c>
      <c r="D16" s="273">
        <f>A16:A16/16</f>
      </c>
      <c r="E16" s="273">
        <f>A16:A16/32</f>
      </c>
      <c r="F16" s="273">
        <f>A16:A16/64</f>
      </c>
      <c r="G16" s="273">
        <f>A16:A16/128</f>
      </c>
      <c r="H16" s="275">
        <f>B16:B16/SUM(B16:G16)</f>
      </c>
      <c r="I16" s="271">
        <f>C16:C16/SUM(B16:G16)</f>
      </c>
      <c r="J16" s="271">
        <f>D16:D16/SUM(B16:G16)</f>
      </c>
      <c r="K16" s="271">
        <f>E16:E16/SUM(B16:G16)</f>
      </c>
      <c r="L16" s="271">
        <f>F16:F16/SUM(B16:G16)</f>
      </c>
      <c r="M16" s="272">
        <f>G16:G16/SUM(B16:G16)</f>
      </c>
      <c r="N16" s="249"/>
    </row>
    <row r="17">
      <c r="A17" s="1">
        <v>15</v>
      </c>
      <c r="B17" s="250">
        <f>10+A17:A17/8</f>
      </c>
      <c r="C17" s="251">
        <f>1+A17:A17/8</f>
      </c>
      <c r="D17" s="251">
        <f>A17:A17/16</f>
      </c>
      <c r="E17" s="251">
        <f>A17:A17/32</f>
      </c>
      <c r="F17" s="251">
        <f>A17:A17/64</f>
      </c>
      <c r="G17" s="251">
        <f>A17:A17/128</f>
      </c>
      <c r="H17" s="247">
        <f>B17:B17/SUM(B17:G17)</f>
      </c>
      <c r="I17" s="248">
        <f>C17:C17/SUM(B17:G17)</f>
      </c>
      <c r="J17" s="248">
        <f>D17:D17/SUM(B17:G17)</f>
      </c>
      <c r="K17" s="248">
        <f>E17:E17/SUM(B17:G17)</f>
      </c>
      <c r="L17" s="248">
        <f>F17:F17/SUM(B17:G17)</f>
      </c>
      <c r="M17" s="252">
        <f>G17:G17/SUM(B17:G17)</f>
      </c>
      <c r="N17" s="249"/>
    </row>
    <row r="18">
      <c r="A18" s="1">
        <v>16</v>
      </c>
      <c r="B18" s="250">
        <f>10+A18:A18/8</f>
      </c>
      <c r="C18" s="251">
        <f>1+A18:A18/8</f>
      </c>
      <c r="D18" s="251">
        <f>A18:A18/16</f>
      </c>
      <c r="E18" s="251">
        <f>A18:A18/32</f>
      </c>
      <c r="F18" s="251">
        <f>A18:A18/64</f>
      </c>
      <c r="G18" s="251">
        <f>A18:A18/128</f>
      </c>
      <c r="H18" s="247">
        <f>B18:B18/SUM(B18:G18)</f>
      </c>
      <c r="I18" s="248">
        <f>C18:C18/SUM(B18:G18)</f>
      </c>
      <c r="J18" s="248">
        <f>D18:D18/SUM(B18:G18)</f>
      </c>
      <c r="K18" s="248">
        <f>E18:E18/SUM(B18:G18)</f>
      </c>
      <c r="L18" s="248">
        <f>F18:F18/SUM(B18:G18)</f>
      </c>
      <c r="M18" s="252">
        <f>G18:G18/SUM(B18:G18)</f>
      </c>
      <c r="N18" s="249"/>
    </row>
    <row r="19">
      <c r="A19" s="1">
        <v>17</v>
      </c>
      <c r="B19" s="250">
        <f>10+A19:A19/8</f>
      </c>
      <c r="C19" s="251">
        <f>1+A19:A19/8</f>
      </c>
      <c r="D19" s="251">
        <f>A19:A19/16</f>
      </c>
      <c r="E19" s="251">
        <f>A19:A19/32</f>
      </c>
      <c r="F19" s="251">
        <f>A19:A19/64</f>
      </c>
      <c r="G19" s="251">
        <f>A19:A19/128</f>
      </c>
      <c r="H19" s="247">
        <f>B19:B19/SUM(B19:G19)</f>
      </c>
      <c r="I19" s="248">
        <f>C19:C19/SUM(B19:G19)</f>
      </c>
      <c r="J19" s="248">
        <f>D19:D19/SUM(B19:G19)</f>
      </c>
      <c r="K19" s="248">
        <f>E19:E19/SUM(B19:G19)</f>
      </c>
      <c r="L19" s="248">
        <f>F19:F19/SUM(B19:G19)</f>
      </c>
      <c r="M19" s="252">
        <f>G19:G19/SUM(B19:G19)</f>
      </c>
      <c r="N19" s="249"/>
    </row>
    <row r="20">
      <c r="A20" s="1">
        <v>18</v>
      </c>
      <c r="B20" s="250">
        <f>10+A20:A20/8</f>
      </c>
      <c r="C20" s="251">
        <f>1+A20:A20/8</f>
      </c>
      <c r="D20" s="251">
        <f>A20:A20/16</f>
      </c>
      <c r="E20" s="251">
        <f>A20:A20/32</f>
      </c>
      <c r="F20" s="251">
        <f>A20:A20/64</f>
      </c>
      <c r="G20" s="251">
        <f>A20:A20/128</f>
      </c>
      <c r="H20" s="247">
        <f>B20:B20/SUM(B20:G20)</f>
      </c>
      <c r="I20" s="248">
        <f>C20:C20/SUM(B20:G20)</f>
      </c>
      <c r="J20" s="248">
        <f>D20:D20/SUM(B20:G20)</f>
      </c>
      <c r="K20" s="248">
        <f>E20:E20/SUM(B20:G20)</f>
      </c>
      <c r="L20" s="248">
        <f>F20:F20/SUM(B20:G20)</f>
      </c>
      <c r="M20" s="252">
        <f>G20:G20/SUM(B20:G20)</f>
      </c>
      <c r="N20" s="249"/>
    </row>
    <row r="21">
      <c r="A21" s="1">
        <v>19</v>
      </c>
      <c r="B21" s="250">
        <f>10+A21:A21/8</f>
      </c>
      <c r="C21" s="251">
        <f>1+A21:A21/8</f>
      </c>
      <c r="D21" s="251">
        <f>A21:A21/16</f>
      </c>
      <c r="E21" s="251">
        <f>A21:A21/32</f>
      </c>
      <c r="F21" s="251">
        <f>A21:A21/64</f>
      </c>
      <c r="G21" s="251">
        <f>A21:A21/128</f>
      </c>
      <c r="H21" s="247">
        <f>B21:B21/SUM(B21:G21)</f>
      </c>
      <c r="I21" s="248">
        <f>C21:C21/SUM(B21:G21)</f>
      </c>
      <c r="J21" s="248">
        <f>D21:D21/SUM(B21:G21)</f>
      </c>
      <c r="K21" s="248">
        <f>E21:E21/SUM(B21:G21)</f>
      </c>
      <c r="L21" s="248">
        <f>F21:F21/SUM(B21:G21)</f>
      </c>
      <c r="M21" s="252">
        <f>G21:G21/SUM(B21:G21)</f>
      </c>
      <c r="N21" s="249"/>
    </row>
    <row r="22">
      <c r="A22" s="1">
        <v>20</v>
      </c>
      <c r="B22" s="250">
        <f>10+A22:A22/8</f>
      </c>
      <c r="C22" s="251">
        <f>1+A22:A22/8</f>
      </c>
      <c r="D22" s="251">
        <f>A22:A22/16</f>
      </c>
      <c r="E22" s="251">
        <f>A22:A22/32</f>
      </c>
      <c r="F22" s="251">
        <f>A22:A22/64</f>
      </c>
      <c r="G22" s="251">
        <f>A22:A22/128</f>
      </c>
      <c r="H22" s="247">
        <f>B22:B22/SUM(B22:G22)</f>
      </c>
      <c r="I22" s="248">
        <f>C22:C22/SUM(B22:G22)</f>
      </c>
      <c r="J22" s="248">
        <f>D22:D22/SUM(B22:G22)</f>
      </c>
      <c r="K22" s="248">
        <f>E22:E22/SUM(B22:G22)</f>
      </c>
      <c r="L22" s="248">
        <f>F22:F22/SUM(B22:G22)</f>
      </c>
      <c r="M22" s="252">
        <f>G22:G22/SUM(B22:G22)</f>
      </c>
      <c r="N22" s="249"/>
    </row>
    <row r="23">
      <c r="A23" s="1">
        <v>21</v>
      </c>
      <c r="B23" s="250">
        <f>10+A23:A23/8</f>
      </c>
      <c r="C23" s="251">
        <f>1+A23:A23/8</f>
      </c>
      <c r="D23" s="251">
        <f>A23:A23/16</f>
      </c>
      <c r="E23" s="251">
        <f>A23:A23/32</f>
      </c>
      <c r="F23" s="251">
        <f>A23:A23/64</f>
      </c>
      <c r="G23" s="251">
        <f>A23:A23/128</f>
      </c>
      <c r="H23" s="247">
        <f>B23:B23/SUM(B23:G23)</f>
      </c>
      <c r="I23" s="248">
        <f>C23:C23/SUM(B23:G23)</f>
      </c>
      <c r="J23" s="248">
        <f>D23:D23/SUM(B23:G23)</f>
      </c>
      <c r="K23" s="248">
        <f>E23:E23/SUM(B23:G23)</f>
      </c>
      <c r="L23" s="248">
        <f>F23:F23/SUM(B23:G23)</f>
      </c>
      <c r="M23" s="252">
        <f>G23:G23/SUM(B23:G23)</f>
      </c>
      <c r="N23" s="249"/>
    </row>
    <row r="24">
      <c r="A24" s="1">
        <v>22</v>
      </c>
      <c r="B24" s="250">
        <f>10+A24:A24/8</f>
      </c>
      <c r="C24" s="251">
        <f>1+A24:A24/8</f>
      </c>
      <c r="D24" s="251">
        <f>A24:A24/16</f>
      </c>
      <c r="E24" s="251">
        <f>A24:A24/32</f>
      </c>
      <c r="F24" s="251">
        <f>A24:A24/64</f>
      </c>
      <c r="G24" s="251">
        <f>A24:A24/128</f>
      </c>
      <c r="H24" s="247">
        <f>B24:B24/SUM(B24:G24)</f>
      </c>
      <c r="I24" s="248">
        <f>C24:C24/SUM(B24:G24)</f>
      </c>
      <c r="J24" s="248">
        <f>D24:D24/SUM(B24:G24)</f>
      </c>
      <c r="K24" s="248">
        <f>E24:E24/SUM(B24:G24)</f>
      </c>
      <c r="L24" s="248">
        <f>F24:F24/SUM(B24:G24)</f>
      </c>
      <c r="M24" s="252">
        <f>G24:G24/SUM(B24:G24)</f>
      </c>
      <c r="N24" s="249"/>
    </row>
    <row r="25">
      <c r="A25" s="1">
        <v>23</v>
      </c>
      <c r="B25" s="250">
        <f>10+A25:A25/8</f>
      </c>
      <c r="C25" s="251">
        <f>1+A25:A25/8</f>
      </c>
      <c r="D25" s="251">
        <f>A25:A25/16</f>
      </c>
      <c r="E25" s="251">
        <f>A25:A25/32</f>
      </c>
      <c r="F25" s="251">
        <f>A25:A25/64</f>
      </c>
      <c r="G25" s="251">
        <f>A25:A25/128</f>
      </c>
      <c r="H25" s="247">
        <f>B25:B25/SUM(B25:G25)</f>
      </c>
      <c r="I25" s="248">
        <f>C25:C25/SUM(B25:G25)</f>
      </c>
      <c r="J25" s="248">
        <f>D25:D25/SUM(B25:G25)</f>
      </c>
      <c r="K25" s="248">
        <f>E25:E25/SUM(B25:G25)</f>
      </c>
      <c r="L25" s="248">
        <f>F25:F25/SUM(B25:G25)</f>
      </c>
      <c r="M25" s="252">
        <f>G25:G25/SUM(B25:G25)</f>
      </c>
      <c r="N25" s="249"/>
    </row>
    <row r="26">
      <c r="A26" s="1">
        <v>24</v>
      </c>
      <c r="B26" s="250">
        <f>10+A26:A26/8</f>
      </c>
      <c r="C26" s="251">
        <f>1+A26:A26/8</f>
      </c>
      <c r="D26" s="251">
        <f>A26:A26/16</f>
      </c>
      <c r="E26" s="251">
        <f>A26:A26/32</f>
      </c>
      <c r="F26" s="251">
        <f>A26:A26/64</f>
      </c>
      <c r="G26" s="251">
        <f>A26:A26/128</f>
      </c>
      <c r="H26" s="247">
        <f>B26:B26/SUM(B26:G26)</f>
      </c>
      <c r="I26" s="248">
        <f>C26:C26/SUM(B26:G26)</f>
      </c>
      <c r="J26" s="248">
        <f>D26:D26/SUM(B26:G26)</f>
      </c>
      <c r="K26" s="248">
        <f>E26:E26/SUM(B26:G26)</f>
      </c>
      <c r="L26" s="248">
        <f>F26:F26/SUM(B26:G26)</f>
      </c>
      <c r="M26" s="252">
        <f>G26:G26/SUM(B26:G26)</f>
      </c>
      <c r="N26" s="249"/>
    </row>
    <row r="27">
      <c r="A27" s="1">
        <v>25</v>
      </c>
      <c r="B27" s="250">
        <f>10+A27:A27/8</f>
      </c>
      <c r="C27" s="251">
        <f>1+A27:A27/8</f>
      </c>
      <c r="D27" s="251">
        <f>A27:A27/16</f>
      </c>
      <c r="E27" s="251">
        <f>A27:A27/32</f>
      </c>
      <c r="F27" s="251">
        <f>A27:A27/64</f>
      </c>
      <c r="G27" s="251">
        <f>A27:A27/128</f>
      </c>
      <c r="H27" s="247">
        <f>B27:B27/SUM(B27:G27)</f>
      </c>
      <c r="I27" s="248">
        <f>C27:C27/SUM(B27:G27)</f>
      </c>
      <c r="J27" s="248">
        <f>D27:D27/SUM(B27:G27)</f>
      </c>
      <c r="K27" s="248">
        <f>E27:E27/SUM(B27:G27)</f>
      </c>
      <c r="L27" s="248">
        <f>F27:F27/SUM(B27:G27)</f>
      </c>
      <c r="M27" s="252">
        <f>G27:G27/SUM(B27:G27)</f>
      </c>
      <c r="N27" s="249"/>
    </row>
    <row r="28">
      <c r="A28" s="1">
        <v>26</v>
      </c>
      <c r="B28" s="250">
        <f>10+A28:A28/8</f>
      </c>
      <c r="C28" s="251">
        <f>1+A28:A28/8</f>
      </c>
      <c r="D28" s="251">
        <f>A28:A28/16</f>
      </c>
      <c r="E28" s="251">
        <f>A28:A28/32</f>
      </c>
      <c r="F28" s="251">
        <f>A28:A28/64</f>
      </c>
      <c r="G28" s="251">
        <f>A28:A28/128</f>
      </c>
      <c r="H28" s="247">
        <f>B28:B28/SUM(B28:G28)</f>
      </c>
      <c r="I28" s="248">
        <f>C28:C28/SUM(B28:G28)</f>
      </c>
      <c r="J28" s="248">
        <f>D28:D28/SUM(B28:G28)</f>
      </c>
      <c r="K28" s="248">
        <f>E28:E28/SUM(B28:G28)</f>
      </c>
      <c r="L28" s="248">
        <f>F28:F28/SUM(B28:G28)</f>
      </c>
      <c r="M28" s="252">
        <f>G28:G28/SUM(B28:G28)</f>
      </c>
      <c r="N28" s="249"/>
    </row>
    <row r="29">
      <c r="A29" s="1">
        <v>27</v>
      </c>
      <c r="B29" s="250">
        <f>10+A29:A29/8</f>
      </c>
      <c r="C29" s="251">
        <f>1+A29:A29/8</f>
      </c>
      <c r="D29" s="251">
        <f>A29:A29/16</f>
      </c>
      <c r="E29" s="251">
        <f>A29:A29/32</f>
      </c>
      <c r="F29" s="251">
        <f>A29:A29/64</f>
      </c>
      <c r="G29" s="251">
        <f>A29:A29/128</f>
      </c>
      <c r="H29" s="247">
        <f>B29:B29/SUM(B29:G29)</f>
      </c>
      <c r="I29" s="248">
        <f>C29:C29/SUM(B29:G29)</f>
      </c>
      <c r="J29" s="248">
        <f>D29:D29/SUM(B29:G29)</f>
      </c>
      <c r="K29" s="248">
        <f>E29:E29/SUM(B29:G29)</f>
      </c>
      <c r="L29" s="248">
        <f>F29:F29/SUM(B29:G29)</f>
      </c>
      <c r="M29" s="252">
        <f>G29:G29/SUM(B29:G29)</f>
      </c>
      <c r="N29" s="249"/>
    </row>
    <row r="30">
      <c r="A30" s="1">
        <v>28</v>
      </c>
      <c r="B30" s="250">
        <f>10+A30:A30/8</f>
      </c>
      <c r="C30" s="251">
        <f>1+A30:A30/8</f>
      </c>
      <c r="D30" s="251">
        <f>A30:A30/16</f>
      </c>
      <c r="E30" s="251">
        <f>A30:A30/32</f>
      </c>
      <c r="F30" s="251">
        <f>A30:A30/64</f>
      </c>
      <c r="G30" s="251">
        <f>A30:A30/128</f>
      </c>
      <c r="H30" s="247">
        <f>B30:B30/SUM(B30:G30)</f>
      </c>
      <c r="I30" s="248">
        <f>C30:C30/SUM(B30:G30)</f>
      </c>
      <c r="J30" s="248">
        <f>D30:D30/SUM(B30:G30)</f>
      </c>
      <c r="K30" s="248">
        <f>E30:E30/SUM(B30:G30)</f>
      </c>
      <c r="L30" s="248">
        <f>F30:F30/SUM(B30:G30)</f>
      </c>
      <c r="M30" s="252">
        <f>G30:G30/SUM(B30:G30)</f>
      </c>
      <c r="N30" s="249"/>
    </row>
    <row r="31">
      <c r="A31" s="1">
        <v>29</v>
      </c>
      <c r="B31" s="250">
        <f>10+A31:A31/8</f>
      </c>
      <c r="C31" s="251">
        <f>1+A31:A31/8</f>
      </c>
      <c r="D31" s="251">
        <f>A31:A31/16</f>
      </c>
      <c r="E31" s="251">
        <f>A31:A31/32</f>
      </c>
      <c r="F31" s="251">
        <f>A31:A31/64</f>
      </c>
      <c r="G31" s="251">
        <f>A31:A31/128</f>
      </c>
      <c r="H31" s="247">
        <f>B31:B31/SUM(B31:G31)</f>
      </c>
      <c r="I31" s="248">
        <f>C31:C31/SUM(B31:G31)</f>
      </c>
      <c r="J31" s="248">
        <f>D31:D31/SUM(B31:G31)</f>
      </c>
      <c r="K31" s="248">
        <f>E31:E31/SUM(B31:G31)</f>
      </c>
      <c r="L31" s="248">
        <f>F31:F31/SUM(B31:G31)</f>
      </c>
      <c r="M31" s="252">
        <f>G31:G31/SUM(B31:G31)</f>
      </c>
      <c r="N31" s="249"/>
    </row>
    <row r="32">
      <c r="A32" s="1">
        <v>30</v>
      </c>
      <c r="B32" s="250">
        <f>10+A32:A32/8</f>
      </c>
      <c r="C32" s="251">
        <f>1+A32:A32/8</f>
      </c>
      <c r="D32" s="251">
        <f>A32:A32/16</f>
      </c>
      <c r="E32" s="251">
        <f>A32:A32/32</f>
      </c>
      <c r="F32" s="251">
        <f>A32:A32/64</f>
      </c>
      <c r="G32" s="251">
        <f>A32:A32/128</f>
      </c>
      <c r="H32" s="247">
        <f>B32:B32/SUM(B32:G32)</f>
      </c>
      <c r="I32" s="248">
        <f>C32:C32/SUM(B32:G32)</f>
      </c>
      <c r="J32" s="248">
        <f>D32:D32/SUM(B32:G32)</f>
      </c>
      <c r="K32" s="248">
        <f>E32:E32/SUM(B32:G32)</f>
      </c>
      <c r="L32" s="248">
        <f>F32:F32/SUM(B32:G32)</f>
      </c>
      <c r="M32" s="252">
        <f>G32:G32/SUM(B32:G32)</f>
      </c>
      <c r="N32" s="249"/>
    </row>
    <row r="33">
      <c r="A33" s="1">
        <v>31</v>
      </c>
      <c r="B33" s="250">
        <f>10+A33:A33/8</f>
      </c>
      <c r="C33" s="251">
        <f>1+A33:A33/8</f>
      </c>
      <c r="D33" s="251">
        <f>A33:A33/16</f>
      </c>
      <c r="E33" s="251">
        <f>A33:A33/32</f>
      </c>
      <c r="F33" s="251">
        <f>A33:A33/64</f>
      </c>
      <c r="G33" s="251">
        <f>A33:A33/128</f>
      </c>
      <c r="H33" s="247">
        <f>B33:B33/SUM(B33:G33)</f>
      </c>
      <c r="I33" s="248">
        <f>C33:C33/SUM(B33:G33)</f>
      </c>
      <c r="J33" s="248">
        <f>D33:D33/SUM(B33:G33)</f>
      </c>
      <c r="K33" s="248">
        <f>E33:E33/SUM(B33:G33)</f>
      </c>
      <c r="L33" s="248">
        <f>F33:F33/SUM(B33:G33)</f>
      </c>
      <c r="M33" s="252">
        <f>G33:G33/SUM(B33:G33)</f>
      </c>
      <c r="N33" s="249"/>
    </row>
    <row r="34">
      <c r="A34" s="1">
        <v>32</v>
      </c>
      <c r="B34" s="250">
        <f>10+A34:A34/8</f>
      </c>
      <c r="C34" s="251">
        <f>1+A34:A34/8</f>
      </c>
      <c r="D34" s="251">
        <f>A34:A34/16</f>
      </c>
      <c r="E34" s="251">
        <f>A34:A34/32</f>
      </c>
      <c r="F34" s="251">
        <f>A34:A34/64</f>
      </c>
      <c r="G34" s="251">
        <f>A34:A34/128</f>
      </c>
      <c r="H34" s="247">
        <f>B34:B34/SUM(B34:G34)</f>
      </c>
      <c r="I34" s="248">
        <f>C34:C34/SUM(B34:G34)</f>
      </c>
      <c r="J34" s="248">
        <f>D34:D34/SUM(B34:G34)</f>
      </c>
      <c r="K34" s="248">
        <f>E34:E34/SUM(B34:G34)</f>
      </c>
      <c r="L34" s="248">
        <f>F34:F34/SUM(B34:G34)</f>
      </c>
      <c r="M34" s="252">
        <f>G34:G34/SUM(B34:G34)</f>
      </c>
      <c r="N34" s="249"/>
    </row>
    <row r="35">
      <c r="A35" s="1">
        <v>33</v>
      </c>
      <c r="B35" s="250">
        <f>10+A35:A35/8</f>
      </c>
      <c r="C35" s="251">
        <f>1+A35:A35/8</f>
      </c>
      <c r="D35" s="251">
        <f>A35:A35/16</f>
      </c>
      <c r="E35" s="251">
        <f>A35:A35/32</f>
      </c>
      <c r="F35" s="251">
        <f>A35:A35/64</f>
      </c>
      <c r="G35" s="251">
        <f>A35:A35/128</f>
      </c>
      <c r="H35" s="247">
        <f>B35:B35/SUM(B35:G35)</f>
      </c>
      <c r="I35" s="248">
        <f>C35:C35/SUM(B35:G35)</f>
      </c>
      <c r="J35" s="248">
        <f>D35:D35/SUM(B35:G35)</f>
      </c>
      <c r="K35" s="248">
        <f>E35:E35/SUM(B35:G35)</f>
      </c>
      <c r="L35" s="248">
        <f>F35:F35/SUM(B35:G35)</f>
      </c>
      <c r="M35" s="252">
        <f>G35:G35/SUM(B35:G35)</f>
      </c>
      <c r="N35" s="249"/>
    </row>
    <row r="36">
      <c r="A36" s="1">
        <v>34</v>
      </c>
      <c r="B36" s="250">
        <f>10+A36:A36/8</f>
      </c>
      <c r="C36" s="251">
        <f>1+A36:A36/8</f>
      </c>
      <c r="D36" s="251">
        <f>A36:A36/16</f>
      </c>
      <c r="E36" s="251">
        <f>A36:A36/32</f>
      </c>
      <c r="F36" s="251">
        <f>A36:A36/64</f>
      </c>
      <c r="G36" s="251">
        <f>A36:A36/128</f>
      </c>
      <c r="H36" s="247">
        <f>B36:B36/SUM(B36:G36)</f>
      </c>
      <c r="I36" s="248">
        <f>C36:C36/SUM(B36:G36)</f>
      </c>
      <c r="J36" s="248">
        <f>D36:D36/SUM(B36:G36)</f>
      </c>
      <c r="K36" s="248">
        <f>E36:E36/SUM(B36:G36)</f>
      </c>
      <c r="L36" s="248">
        <f>F36:F36/SUM(B36:G36)</f>
      </c>
      <c r="M36" s="252">
        <f>G36:G36/SUM(B36:G36)</f>
      </c>
      <c r="N36" s="249"/>
    </row>
    <row r="37">
      <c r="A37" s="1">
        <v>35</v>
      </c>
      <c r="B37" s="250">
        <f>10+A37:A37/8</f>
      </c>
      <c r="C37" s="251">
        <f>1+A37:A37/8</f>
      </c>
      <c r="D37" s="251">
        <f>A37:A37/16</f>
      </c>
      <c r="E37" s="251">
        <f>A37:A37/32</f>
      </c>
      <c r="F37" s="251">
        <f>A37:A37/64</f>
      </c>
      <c r="G37" s="251">
        <f>A37:A37/128</f>
      </c>
      <c r="H37" s="247">
        <f>B37:B37/SUM(B37:G37)</f>
      </c>
      <c r="I37" s="248">
        <f>C37:C37/SUM(B37:G37)</f>
      </c>
      <c r="J37" s="248">
        <f>D37:D37/SUM(B37:G37)</f>
      </c>
      <c r="K37" s="248">
        <f>E37:E37/SUM(B37:G37)</f>
      </c>
      <c r="L37" s="248">
        <f>F37:F37/SUM(B37:G37)</f>
      </c>
      <c r="M37" s="252">
        <f>G37:G37/SUM(B37:G37)</f>
      </c>
      <c r="N37" s="249"/>
    </row>
    <row r="38">
      <c r="A38" s="1">
        <v>36</v>
      </c>
      <c r="B38" s="250">
        <f>10+A38:A38/8</f>
      </c>
      <c r="C38" s="251">
        <f>1+A38:A38/8</f>
      </c>
      <c r="D38" s="251">
        <f>A38:A38/16</f>
      </c>
      <c r="E38" s="251">
        <f>A38:A38/32</f>
      </c>
      <c r="F38" s="251">
        <f>A38:A38/64</f>
      </c>
      <c r="G38" s="251">
        <f>A38:A38/128</f>
      </c>
      <c r="H38" s="247">
        <f>B38:B38/SUM(B38:G38)</f>
      </c>
      <c r="I38" s="248">
        <f>C38:C38/SUM(B38:G38)</f>
      </c>
      <c r="J38" s="248">
        <f>D38:D38/SUM(B38:G38)</f>
      </c>
      <c r="K38" s="248">
        <f>E38:E38/SUM(B38:G38)</f>
      </c>
      <c r="L38" s="248">
        <f>F38:F38/SUM(B38:G38)</f>
      </c>
      <c r="M38" s="252">
        <f>G38:G38/SUM(B38:G38)</f>
      </c>
      <c r="N38" s="249"/>
    </row>
    <row r="39">
      <c r="A39" s="1">
        <v>37</v>
      </c>
      <c r="B39" s="250">
        <f>10+A39:A39/8</f>
      </c>
      <c r="C39" s="251">
        <f>1+A39:A39/8</f>
      </c>
      <c r="D39" s="251">
        <f>A39:A39/16</f>
      </c>
      <c r="E39" s="251">
        <f>A39:A39/32</f>
      </c>
      <c r="F39" s="251">
        <f>A39:A39/64</f>
      </c>
      <c r="G39" s="251">
        <f>A39:A39/128</f>
      </c>
      <c r="H39" s="247">
        <f>B39:B39/SUM(B39:G39)</f>
      </c>
      <c r="I39" s="248">
        <f>C39:C39/SUM(B39:G39)</f>
      </c>
      <c r="J39" s="248">
        <f>D39:D39/SUM(B39:G39)</f>
      </c>
      <c r="K39" s="248">
        <f>E39:E39/SUM(B39:G39)</f>
      </c>
      <c r="L39" s="248">
        <f>F39:F39/SUM(B39:G39)</f>
      </c>
      <c r="M39" s="252">
        <f>G39:G39/SUM(B39:G39)</f>
      </c>
      <c r="N39" s="249"/>
    </row>
    <row r="40">
      <c r="A40" s="1">
        <v>38</v>
      </c>
      <c r="B40" s="250">
        <f>10+A40:A40/8</f>
      </c>
      <c r="C40" s="251">
        <f>1+A40:A40/8</f>
      </c>
      <c r="D40" s="251">
        <f>A40:A40/16</f>
      </c>
      <c r="E40" s="251">
        <f>A40:A40/32</f>
      </c>
      <c r="F40" s="251">
        <f>A40:A40/64</f>
      </c>
      <c r="G40" s="251">
        <f>A40:A40/128</f>
      </c>
      <c r="H40" s="247">
        <f>B40:B40/SUM(B40:G40)</f>
      </c>
      <c r="I40" s="248">
        <f>C40:C40/SUM(B40:G40)</f>
      </c>
      <c r="J40" s="248">
        <f>D40:D40/SUM(B40:G40)</f>
      </c>
      <c r="K40" s="248">
        <f>E40:E40/SUM(B40:G40)</f>
      </c>
      <c r="L40" s="248">
        <f>F40:F40/SUM(B40:G40)</f>
      </c>
      <c r="M40" s="252">
        <f>G40:G40/SUM(B40:G40)</f>
      </c>
      <c r="N40" s="249"/>
    </row>
    <row r="41">
      <c r="A41" s="1">
        <v>39</v>
      </c>
      <c r="B41" s="250">
        <f>10+A41:A41/8</f>
      </c>
      <c r="C41" s="251">
        <f>1+A41:A41/8</f>
      </c>
      <c r="D41" s="251">
        <f>A41:A41/16</f>
      </c>
      <c r="E41" s="251">
        <f>A41:A41/32</f>
      </c>
      <c r="F41" s="251">
        <f>A41:A41/64</f>
      </c>
      <c r="G41" s="251">
        <f>A41:A41/128</f>
      </c>
      <c r="H41" s="247">
        <f>B41:B41/SUM(B41:G41)</f>
      </c>
      <c r="I41" s="248">
        <f>C41:C41/SUM(B41:G41)</f>
      </c>
      <c r="J41" s="248">
        <f>D41:D41/SUM(B41:G41)</f>
      </c>
      <c r="K41" s="248">
        <f>E41:E41/SUM(B41:G41)</f>
      </c>
      <c r="L41" s="248">
        <f>F41:F41/SUM(B41:G41)</f>
      </c>
      <c r="M41" s="252">
        <f>G41:G41/SUM(B41:G41)</f>
      </c>
      <c r="N41" s="249"/>
    </row>
    <row r="42">
      <c r="A42" s="1">
        <v>40</v>
      </c>
      <c r="B42" s="250">
        <f>10+A42:A42/8</f>
      </c>
      <c r="C42" s="251">
        <f>1+A42:A42/8</f>
      </c>
      <c r="D42" s="251">
        <f>A42:A42/16</f>
      </c>
      <c r="E42" s="251">
        <f>A42:A42/32</f>
      </c>
      <c r="F42" s="251">
        <f>A42:A42/64</f>
      </c>
      <c r="G42" s="251">
        <f>A42:A42/128</f>
      </c>
      <c r="H42" s="247">
        <f>B42:B42/SUM(B42:G42)</f>
      </c>
      <c r="I42" s="248">
        <f>C42:C42/SUM(B42:G42)</f>
      </c>
      <c r="J42" s="248">
        <f>D42:D42/SUM(B42:G42)</f>
      </c>
      <c r="K42" s="248">
        <f>E42:E42/SUM(B42:G42)</f>
      </c>
      <c r="L42" s="248">
        <f>F42:F42/SUM(B42:G42)</f>
      </c>
      <c r="M42" s="252">
        <f>G42:G42/SUM(B42:G42)</f>
      </c>
      <c r="N42" s="249"/>
    </row>
    <row r="43">
      <c r="A43" s="1">
        <v>41</v>
      </c>
      <c r="B43" s="250">
        <f>10+A43:A43/8</f>
      </c>
      <c r="C43" s="251">
        <f>1+A43:A43/8</f>
      </c>
      <c r="D43" s="251">
        <f>A43:A43/16</f>
      </c>
      <c r="E43" s="251">
        <f>A43:A43/32</f>
      </c>
      <c r="F43" s="251">
        <f>A43:A43/64</f>
      </c>
      <c r="G43" s="251">
        <f>A43:A43/128</f>
      </c>
      <c r="H43" s="247">
        <f>B43:B43/SUM(B43:G43)</f>
      </c>
      <c r="I43" s="248">
        <f>C43:C43/SUM(B43:G43)</f>
      </c>
      <c r="J43" s="248">
        <f>D43:D43/SUM(B43:G43)</f>
      </c>
      <c r="K43" s="248">
        <f>E43:E43/SUM(B43:G43)</f>
      </c>
      <c r="L43" s="248">
        <f>F43:F43/SUM(B43:G43)</f>
      </c>
      <c r="M43" s="252">
        <f>G43:G43/SUM(B43:G43)</f>
      </c>
      <c r="N43" s="249"/>
    </row>
    <row r="44">
      <c r="A44" s="1">
        <v>42</v>
      </c>
      <c r="B44" s="250">
        <f>10+A44:A44/8</f>
      </c>
      <c r="C44" s="251">
        <f>1+A44:A44/8</f>
      </c>
      <c r="D44" s="251">
        <f>A44:A44/16</f>
      </c>
      <c r="E44" s="251">
        <f>A44:A44/32</f>
      </c>
      <c r="F44" s="251">
        <f>A44:A44/64</f>
      </c>
      <c r="G44" s="251">
        <f>A44:A44/128</f>
      </c>
      <c r="H44" s="247">
        <f>B44:B44/SUM(B44:G44)</f>
      </c>
      <c r="I44" s="248">
        <f>C44:C44/SUM(B44:G44)</f>
      </c>
      <c r="J44" s="248">
        <f>D44:D44/SUM(B44:G44)</f>
      </c>
      <c r="K44" s="248">
        <f>E44:E44/SUM(B44:G44)</f>
      </c>
      <c r="L44" s="248">
        <f>F44:F44/SUM(B44:G44)</f>
      </c>
      <c r="M44" s="252">
        <f>G44:G44/SUM(B44:G44)</f>
      </c>
      <c r="N44" s="249"/>
    </row>
    <row r="45">
      <c r="A45" s="1">
        <v>43</v>
      </c>
      <c r="B45" s="250">
        <f>10+A45:A45/8</f>
      </c>
      <c r="C45" s="251">
        <f>1+A45:A45/8</f>
      </c>
      <c r="D45" s="251">
        <f>A45:A45/16</f>
      </c>
      <c r="E45" s="251">
        <f>A45:A45/32</f>
      </c>
      <c r="F45" s="251">
        <f>A45:A45/64</f>
      </c>
      <c r="G45" s="251">
        <f>A45:A45/128</f>
      </c>
      <c r="H45" s="247">
        <f>B45:B45/SUM(B45:G45)</f>
      </c>
      <c r="I45" s="248">
        <f>C45:C45/SUM(B45:G45)</f>
      </c>
      <c r="J45" s="248">
        <f>D45:D45/SUM(B45:G45)</f>
      </c>
      <c r="K45" s="248">
        <f>E45:E45/SUM(B45:G45)</f>
      </c>
      <c r="L45" s="248">
        <f>F45:F45/SUM(B45:G45)</f>
      </c>
      <c r="M45" s="252">
        <f>G45:G45/SUM(B45:G45)</f>
      </c>
      <c r="N45" s="249"/>
    </row>
    <row r="46">
      <c r="A46" s="1">
        <v>44</v>
      </c>
      <c r="B46" s="250">
        <f>10+A46:A46/8</f>
      </c>
      <c r="C46" s="251">
        <f>1+A46:A46/8</f>
      </c>
      <c r="D46" s="251">
        <f>A46:A46/16</f>
      </c>
      <c r="E46" s="251">
        <f>A46:A46/32</f>
      </c>
      <c r="F46" s="251">
        <f>A46:A46/64</f>
      </c>
      <c r="G46" s="251">
        <f>A46:A46/128</f>
      </c>
      <c r="H46" s="247">
        <f>B46:B46/SUM(B46:G46)</f>
      </c>
      <c r="I46" s="248">
        <f>C46:C46/SUM(B46:G46)</f>
      </c>
      <c r="J46" s="248">
        <f>D46:D46/SUM(B46:G46)</f>
      </c>
      <c r="K46" s="248">
        <f>E46:E46/SUM(B46:G46)</f>
      </c>
      <c r="L46" s="248">
        <f>F46:F46/SUM(B46:G46)</f>
      </c>
      <c r="M46" s="252">
        <f>G46:G46/SUM(B46:G46)</f>
      </c>
      <c r="N46" s="249"/>
    </row>
    <row r="47">
      <c r="A47" s="1">
        <v>45</v>
      </c>
      <c r="B47" s="250">
        <f>10+A47:A47/8</f>
      </c>
      <c r="C47" s="251">
        <f>1+A47:A47/8</f>
      </c>
      <c r="D47" s="251">
        <f>A47:A47/16</f>
      </c>
      <c r="E47" s="251">
        <f>A47:A47/32</f>
      </c>
      <c r="F47" s="251">
        <f>A47:A47/64</f>
      </c>
      <c r="G47" s="251">
        <f>A47:A47/128</f>
      </c>
      <c r="H47" s="247">
        <f>B47:B47/SUM(B47:G47)</f>
      </c>
      <c r="I47" s="248">
        <f>C47:C47/SUM(B47:G47)</f>
      </c>
      <c r="J47" s="248">
        <f>D47:D47/SUM(B47:G47)</f>
      </c>
      <c r="K47" s="248">
        <f>E47:E47/SUM(B47:G47)</f>
      </c>
      <c r="L47" s="248">
        <f>F47:F47/SUM(B47:G47)</f>
      </c>
      <c r="M47" s="252">
        <f>G47:G47/SUM(B47:G47)</f>
      </c>
      <c r="N47" s="249"/>
    </row>
    <row r="48">
      <c r="A48" s="1">
        <v>46</v>
      </c>
      <c r="B48" s="250">
        <f>10+A48:A48/8</f>
      </c>
      <c r="C48" s="251">
        <f>1+A48:A48/8</f>
      </c>
      <c r="D48" s="251">
        <f>A48:A48/16</f>
      </c>
      <c r="E48" s="251">
        <f>A48:A48/32</f>
      </c>
      <c r="F48" s="251">
        <f>A48:A48/64</f>
      </c>
      <c r="G48" s="251">
        <f>A48:A48/128</f>
      </c>
      <c r="H48" s="247">
        <f>B48:B48/SUM(B48:G48)</f>
      </c>
      <c r="I48" s="248">
        <f>C48:C48/SUM(B48:G48)</f>
      </c>
      <c r="J48" s="248">
        <f>D48:D48/SUM(B48:G48)</f>
      </c>
      <c r="K48" s="248">
        <f>E48:E48/SUM(B48:G48)</f>
      </c>
      <c r="L48" s="248">
        <f>F48:F48/SUM(B48:G48)</f>
      </c>
      <c r="M48" s="252">
        <f>G48:G48/SUM(B48:G48)</f>
      </c>
      <c r="N48" s="249"/>
    </row>
    <row r="49">
      <c r="A49" s="1">
        <v>47</v>
      </c>
      <c r="B49" s="250">
        <f>10+A49:A49/8</f>
      </c>
      <c r="C49" s="251">
        <f>1+A49:A49/8</f>
      </c>
      <c r="D49" s="251">
        <f>A49:A49/16</f>
      </c>
      <c r="E49" s="251">
        <f>A49:A49/32</f>
      </c>
      <c r="F49" s="251">
        <f>A49:A49/64</f>
      </c>
      <c r="G49" s="251">
        <f>A49:A49/128</f>
      </c>
      <c r="H49" s="247">
        <f>B49:B49/SUM(B49:G49)</f>
      </c>
      <c r="I49" s="248">
        <f>C49:C49/SUM(B49:G49)</f>
      </c>
      <c r="J49" s="248">
        <f>D49:D49/SUM(B49:G49)</f>
      </c>
      <c r="K49" s="248">
        <f>E49:E49/SUM(B49:G49)</f>
      </c>
      <c r="L49" s="248">
        <f>F49:F49/SUM(B49:G49)</f>
      </c>
      <c r="M49" s="252">
        <f>G49:G49/SUM(B49:G49)</f>
      </c>
      <c r="N49" s="249"/>
    </row>
    <row r="50">
      <c r="A50" s="1">
        <v>48</v>
      </c>
      <c r="B50" s="250">
        <f>10+A50:A50/8</f>
      </c>
      <c r="C50" s="251">
        <f>1+A50:A50/8</f>
      </c>
      <c r="D50" s="251">
        <f>A50:A50/16</f>
      </c>
      <c r="E50" s="251">
        <f>A50:A50/32</f>
      </c>
      <c r="F50" s="251">
        <f>A50:A50/64</f>
      </c>
      <c r="G50" s="251">
        <f>A50:A50/128</f>
      </c>
      <c r="H50" s="247">
        <f>B50:B50/SUM(B50:G50)</f>
      </c>
      <c r="I50" s="248">
        <f>C50:C50/SUM(B50:G50)</f>
      </c>
      <c r="J50" s="248">
        <f>D50:D50/SUM(B50:G50)</f>
      </c>
      <c r="K50" s="248">
        <f>E50:E50/SUM(B50:G50)</f>
      </c>
      <c r="L50" s="248">
        <f>F50:F50/SUM(B50:G50)</f>
      </c>
      <c r="M50" s="252">
        <f>G50:G50/SUM(B50:G50)</f>
      </c>
      <c r="N50" s="249"/>
    </row>
    <row r="51">
      <c r="A51" s="1">
        <v>49</v>
      </c>
      <c r="B51" s="250">
        <f>10+A51:A51/8</f>
      </c>
      <c r="C51" s="251">
        <f>1+A51:A51/8</f>
      </c>
      <c r="D51" s="251">
        <f>A51:A51/16</f>
      </c>
      <c r="E51" s="251">
        <f>A51:A51/32</f>
      </c>
      <c r="F51" s="251">
        <f>A51:A51/64</f>
      </c>
      <c r="G51" s="251">
        <f>A51:A51/128</f>
      </c>
      <c r="H51" s="247">
        <f>B51:B51/SUM(B51:G51)</f>
      </c>
      <c r="I51" s="248">
        <f>C51:C51/SUM(B51:G51)</f>
      </c>
      <c r="J51" s="248">
        <f>D51:D51/SUM(B51:G51)</f>
      </c>
      <c r="K51" s="248">
        <f>E51:E51/SUM(B51:G51)</f>
      </c>
      <c r="L51" s="248">
        <f>F51:F51/SUM(B51:G51)</f>
      </c>
      <c r="M51" s="252">
        <f>G51:G51/SUM(B51:G51)</f>
      </c>
      <c r="N51" s="249"/>
    </row>
    <row r="52">
      <c r="A52" s="1">
        <v>50</v>
      </c>
      <c r="B52" s="250">
        <f>10+A52:A52/8</f>
      </c>
      <c r="C52" s="251">
        <f>1+A52:A52/8</f>
      </c>
      <c r="D52" s="251">
        <f>A52:A52/16</f>
      </c>
      <c r="E52" s="251">
        <f>A52:A52/32</f>
      </c>
      <c r="F52" s="251">
        <f>A52:A52/64</f>
      </c>
      <c r="G52" s="251">
        <f>A52:A52/128</f>
      </c>
      <c r="H52" s="247">
        <f>B52:B52/SUM(B52:G52)</f>
      </c>
      <c r="I52" s="248">
        <f>C52:C52/SUM(B52:G52)</f>
      </c>
      <c r="J52" s="248">
        <f>D52:D52/SUM(B52:G52)</f>
      </c>
      <c r="K52" s="248">
        <f>E52:E52/SUM(B52:G52)</f>
      </c>
      <c r="L52" s="248">
        <f>F52:F52/SUM(B52:G52)</f>
      </c>
      <c r="M52" s="252">
        <f>G52:G52/SUM(B52:G52)</f>
      </c>
      <c r="N52" s="249"/>
    </row>
    <row r="53">
      <c r="A53" s="1">
        <v>51</v>
      </c>
      <c r="B53" s="250">
        <f>10+A53:A53/8</f>
      </c>
      <c r="C53" s="251">
        <f>1+A53:A53/8</f>
      </c>
      <c r="D53" s="251">
        <f>A53:A53/16</f>
      </c>
      <c r="E53" s="251">
        <f>A53:A53/32</f>
      </c>
      <c r="F53" s="251">
        <f>A53:A53/64</f>
      </c>
      <c r="G53" s="251">
        <f>A53:A53/128</f>
      </c>
      <c r="H53" s="247">
        <f>B53:B53/SUM(B53:G53)</f>
      </c>
      <c r="I53" s="248">
        <f>C53:C53/SUM(B53:G53)</f>
      </c>
      <c r="J53" s="248">
        <f>D53:D53/SUM(B53:G53)</f>
      </c>
      <c r="K53" s="248">
        <f>E53:E53/SUM(B53:G53)</f>
      </c>
      <c r="L53" s="248">
        <f>F53:F53/SUM(B53:G53)</f>
      </c>
      <c r="M53" s="252">
        <f>G53:G53/SUM(B53:G53)</f>
      </c>
      <c r="N53" s="249"/>
    </row>
    <row r="54">
      <c r="A54" s="1">
        <v>52</v>
      </c>
      <c r="B54" s="250">
        <f>10+A54:A54/8</f>
      </c>
      <c r="C54" s="251">
        <f>1+A54:A54/8</f>
      </c>
      <c r="D54" s="251">
        <f>A54:A54/16</f>
      </c>
      <c r="E54" s="251">
        <f>A54:A54/32</f>
      </c>
      <c r="F54" s="251">
        <f>A54:A54/64</f>
      </c>
      <c r="G54" s="251">
        <f>A54:A54/128</f>
      </c>
      <c r="H54" s="247">
        <f>B54:B54/SUM(B54:G54)</f>
      </c>
      <c r="I54" s="248">
        <f>C54:C54/SUM(B54:G54)</f>
      </c>
      <c r="J54" s="248">
        <f>D54:D54/SUM(B54:G54)</f>
      </c>
      <c r="K54" s="248">
        <f>E54:E54/SUM(B54:G54)</f>
      </c>
      <c r="L54" s="248">
        <f>F54:F54/SUM(B54:G54)</f>
      </c>
      <c r="M54" s="252">
        <f>G54:G54/SUM(B54:G54)</f>
      </c>
      <c r="N54" s="249"/>
    </row>
    <row r="55">
      <c r="A55" s="1">
        <v>53</v>
      </c>
      <c r="B55" s="250">
        <f>10+A55:A55/8</f>
      </c>
      <c r="C55" s="251">
        <f>1+A55:A55/8</f>
      </c>
      <c r="D55" s="251">
        <f>A55:A55/16</f>
      </c>
      <c r="E55" s="251">
        <f>A55:A55/32</f>
      </c>
      <c r="F55" s="251">
        <f>A55:A55/64</f>
      </c>
      <c r="G55" s="251">
        <f>A55:A55/128</f>
      </c>
      <c r="H55" s="247">
        <f>B55:B55/SUM(B55:G55)</f>
      </c>
      <c r="I55" s="248">
        <f>C55:C55/SUM(B55:G55)</f>
      </c>
      <c r="J55" s="248">
        <f>D55:D55/SUM(B55:G55)</f>
      </c>
      <c r="K55" s="248">
        <f>E55:E55/SUM(B55:G55)</f>
      </c>
      <c r="L55" s="248">
        <f>F55:F55/SUM(B55:G55)</f>
      </c>
      <c r="M55" s="252">
        <f>G55:G55/SUM(B55:G55)</f>
      </c>
      <c r="N55" s="249"/>
    </row>
    <row r="56">
      <c r="A56" s="1">
        <v>54</v>
      </c>
      <c r="B56" s="250">
        <f>10+A56:A56/8</f>
      </c>
      <c r="C56" s="251">
        <f>1+A56:A56/8</f>
      </c>
      <c r="D56" s="251">
        <f>A56:A56/16</f>
      </c>
      <c r="E56" s="251">
        <f>A56:A56/32</f>
      </c>
      <c r="F56" s="251">
        <f>A56:A56/64</f>
      </c>
      <c r="G56" s="251">
        <f>A56:A56/128</f>
      </c>
      <c r="H56" s="247">
        <f>B56:B56/SUM(B56:G56)</f>
      </c>
      <c r="I56" s="248">
        <f>C56:C56/SUM(B56:G56)</f>
      </c>
      <c r="J56" s="248">
        <f>D56:D56/SUM(B56:G56)</f>
      </c>
      <c r="K56" s="248">
        <f>E56:E56/SUM(B56:G56)</f>
      </c>
      <c r="L56" s="248">
        <f>F56:F56/SUM(B56:G56)</f>
      </c>
      <c r="M56" s="252">
        <f>G56:G56/SUM(B56:G56)</f>
      </c>
      <c r="N56" s="249"/>
    </row>
    <row r="57">
      <c r="A57" s="1">
        <v>55</v>
      </c>
      <c r="B57" s="250">
        <f>10+A57:A57/8</f>
      </c>
      <c r="C57" s="251">
        <f>1+A57:A57/8</f>
      </c>
      <c r="D57" s="251">
        <f>A57:A57/16</f>
      </c>
      <c r="E57" s="251">
        <f>A57:A57/32</f>
      </c>
      <c r="F57" s="251">
        <f>A57:A57/64</f>
      </c>
      <c r="G57" s="251">
        <f>A57:A57/128</f>
      </c>
      <c r="H57" s="247">
        <f>B57:B57/SUM(B57:G57)</f>
      </c>
      <c r="I57" s="248">
        <f>C57:C57/SUM(B57:G57)</f>
      </c>
      <c r="J57" s="248">
        <f>D57:D57/SUM(B57:G57)</f>
      </c>
      <c r="K57" s="248">
        <f>E57:E57/SUM(B57:G57)</f>
      </c>
      <c r="L57" s="248">
        <f>F57:F57/SUM(B57:G57)</f>
      </c>
      <c r="M57" s="252">
        <f>G57:G57/SUM(B57:G57)</f>
      </c>
      <c r="N57" s="249"/>
    </row>
    <row r="58">
      <c r="A58" s="1">
        <v>56</v>
      </c>
      <c r="B58" s="250">
        <f>10+A58:A58/8</f>
      </c>
      <c r="C58" s="251">
        <f>1+A58:A58/8</f>
      </c>
      <c r="D58" s="251">
        <f>A58:A58/16</f>
      </c>
      <c r="E58" s="251">
        <f>A58:A58/32</f>
      </c>
      <c r="F58" s="251">
        <f>A58:A58/64</f>
      </c>
      <c r="G58" s="251">
        <f>A58:A58/128</f>
      </c>
      <c r="H58" s="247">
        <f>B58:B58/SUM(B58:G58)</f>
      </c>
      <c r="I58" s="248">
        <f>C58:C58/SUM(B58:G58)</f>
      </c>
      <c r="J58" s="248">
        <f>D58:D58/SUM(B58:G58)</f>
      </c>
      <c r="K58" s="248">
        <f>E58:E58/SUM(B58:G58)</f>
      </c>
      <c r="L58" s="248">
        <f>F58:F58/SUM(B58:G58)</f>
      </c>
      <c r="M58" s="252">
        <f>G58:G58/SUM(B58:G58)</f>
      </c>
      <c r="N58" s="249"/>
    </row>
    <row r="59">
      <c r="A59" s="1">
        <v>57</v>
      </c>
      <c r="B59" s="250">
        <f>10+A59:A59/8</f>
      </c>
      <c r="C59" s="251">
        <f>1+A59:A59/8</f>
      </c>
      <c r="D59" s="251">
        <f>A59:A59/16</f>
      </c>
      <c r="E59" s="251">
        <f>A59:A59/32</f>
      </c>
      <c r="F59" s="251">
        <f>A59:A59/64</f>
      </c>
      <c r="G59" s="251">
        <f>A59:A59/128</f>
      </c>
      <c r="H59" s="247">
        <f>B59:B59/SUM(B59:G59)</f>
      </c>
      <c r="I59" s="248">
        <f>C59:C59/SUM(B59:G59)</f>
      </c>
      <c r="J59" s="248">
        <f>D59:D59/SUM(B59:G59)</f>
      </c>
      <c r="K59" s="248">
        <f>E59:E59/SUM(B59:G59)</f>
      </c>
      <c r="L59" s="248">
        <f>F59:F59/SUM(B59:G59)</f>
      </c>
      <c r="M59" s="252">
        <f>G59:G59/SUM(B59:G59)</f>
      </c>
      <c r="N59" s="249"/>
    </row>
    <row r="60">
      <c r="A60" s="1">
        <v>58</v>
      </c>
      <c r="B60" s="250">
        <f>10+A60:A60/8</f>
      </c>
      <c r="C60" s="251">
        <f>1+A60:A60/8</f>
      </c>
      <c r="D60" s="251">
        <f>A60:A60/16</f>
      </c>
      <c r="E60" s="251">
        <f>A60:A60/32</f>
      </c>
      <c r="F60" s="251">
        <f>A60:A60/64</f>
      </c>
      <c r="G60" s="251">
        <f>A60:A60/128</f>
      </c>
      <c r="H60" s="247">
        <f>B60:B60/SUM(B60:G60)</f>
      </c>
      <c r="I60" s="248">
        <f>C60:C60/SUM(B60:G60)</f>
      </c>
      <c r="J60" s="248">
        <f>D60:D60/SUM(B60:G60)</f>
      </c>
      <c r="K60" s="248">
        <f>E60:E60/SUM(B60:G60)</f>
      </c>
      <c r="L60" s="248">
        <f>F60:F60/SUM(B60:G60)</f>
      </c>
      <c r="M60" s="252">
        <f>G60:G60/SUM(B60:G60)</f>
      </c>
      <c r="N60" s="249"/>
    </row>
    <row r="61">
      <c r="A61" s="1">
        <v>59</v>
      </c>
      <c r="B61" s="250">
        <f>10+A61:A61/8</f>
      </c>
      <c r="C61" s="251">
        <f>1+A61:A61/8</f>
      </c>
      <c r="D61" s="251">
        <f>A61:A61/16</f>
      </c>
      <c r="E61" s="251">
        <f>A61:A61/32</f>
      </c>
      <c r="F61" s="251">
        <f>A61:A61/64</f>
      </c>
      <c r="G61" s="251">
        <f>A61:A61/128</f>
      </c>
      <c r="H61" s="247">
        <f>B61:B61/SUM(B61:G61)</f>
      </c>
      <c r="I61" s="248">
        <f>C61:C61/SUM(B61:G61)</f>
      </c>
      <c r="J61" s="248">
        <f>D61:D61/SUM(B61:G61)</f>
      </c>
      <c r="K61" s="248">
        <f>E61:E61/SUM(B61:G61)</f>
      </c>
      <c r="L61" s="248">
        <f>F61:F61/SUM(B61:G61)</f>
      </c>
      <c r="M61" s="252">
        <f>G61:G61/SUM(B61:G61)</f>
      </c>
      <c r="N61" s="249"/>
    </row>
    <row r="62">
      <c r="A62" s="1">
        <v>60</v>
      </c>
      <c r="B62" s="250">
        <f>10+A62:A62/8</f>
      </c>
      <c r="C62" s="251">
        <f>1+A62:A62/8</f>
      </c>
      <c r="D62" s="251">
        <f>A62:A62/16</f>
      </c>
      <c r="E62" s="251">
        <f>A62:A62/32</f>
      </c>
      <c r="F62" s="251">
        <f>A62:A62/64</f>
      </c>
      <c r="G62" s="251">
        <f>A62:A62/128</f>
      </c>
      <c r="H62" s="247">
        <f>B62:B62/SUM(B62:G62)</f>
      </c>
      <c r="I62" s="248">
        <f>C62:C62/SUM(B62:G62)</f>
      </c>
      <c r="J62" s="248">
        <f>D62:D62/SUM(B62:G62)</f>
      </c>
      <c r="K62" s="248">
        <f>E62:E62/SUM(B62:G62)</f>
      </c>
      <c r="L62" s="248">
        <f>F62:F62/SUM(B62:G62)</f>
      </c>
      <c r="M62" s="252">
        <f>G62:G62/SUM(B62:G62)</f>
      </c>
      <c r="N62" s="249"/>
    </row>
    <row r="63">
      <c r="A63" s="1"/>
      <c r="B63" s="253"/>
      <c r="C63" s="249"/>
      <c r="D63" s="249"/>
      <c r="E63" s="249"/>
      <c r="F63" s="249"/>
      <c r="G63" s="249"/>
      <c r="H63" s="247"/>
      <c r="I63" s="248"/>
      <c r="J63" s="248"/>
      <c r="K63" s="248"/>
      <c r="L63" s="248"/>
      <c r="M63" s="252"/>
      <c r="N63" s="249"/>
    </row>
    <row r="64">
      <c r="A64" s="1"/>
      <c r="B64" s="253"/>
      <c r="C64" s="249"/>
      <c r="D64" s="249"/>
      <c r="E64" s="249"/>
      <c r="F64" s="249"/>
      <c r="G64" s="249"/>
      <c r="H64" s="247"/>
      <c r="I64" s="248"/>
      <c r="J64" s="248"/>
      <c r="K64" s="248"/>
      <c r="L64" s="248"/>
      <c r="M64" s="252"/>
      <c r="N64" s="249"/>
    </row>
    <row r="65">
      <c r="A65" s="1"/>
      <c r="B65" s="253"/>
      <c r="C65" s="249"/>
      <c r="D65" s="249"/>
      <c r="E65" s="249"/>
      <c r="F65" s="249"/>
      <c r="G65" s="249"/>
      <c r="H65" s="247"/>
      <c r="I65" s="248"/>
      <c r="J65" s="248"/>
      <c r="K65" s="248"/>
      <c r="L65" s="248"/>
      <c r="M65" s="252"/>
      <c r="N65" s="249"/>
    </row>
    <row r="66">
      <c r="A66" s="1"/>
      <c r="B66" s="253"/>
      <c r="C66" s="249"/>
      <c r="D66" s="249"/>
      <c r="E66" s="249"/>
      <c r="F66" s="249"/>
      <c r="G66" s="249"/>
      <c r="H66" s="247"/>
      <c r="I66" s="248"/>
      <c r="J66" s="248"/>
      <c r="K66" s="248"/>
      <c r="L66" s="248"/>
      <c r="M66" s="252"/>
      <c r="N66" s="249"/>
    </row>
    <row r="67">
      <c r="A67" s="1"/>
      <c r="B67" s="253"/>
      <c r="C67" s="249"/>
      <c r="D67" s="249"/>
      <c r="E67" s="249"/>
      <c r="F67" s="249"/>
      <c r="G67" s="249"/>
      <c r="H67" s="247"/>
      <c r="I67" s="248"/>
      <c r="J67" s="248"/>
      <c r="K67" s="248"/>
      <c r="L67" s="248"/>
      <c r="M67" s="252"/>
      <c r="N67" s="249"/>
    </row>
    <row r="68">
      <c r="A68" s="1"/>
      <c r="B68" s="253"/>
      <c r="C68" s="249"/>
      <c r="D68" s="249"/>
      <c r="E68" s="249"/>
      <c r="F68" s="249"/>
      <c r="G68" s="249"/>
      <c r="H68" s="247"/>
      <c r="I68" s="248"/>
      <c r="J68" s="248"/>
      <c r="K68" s="248"/>
      <c r="L68" s="248"/>
      <c r="M68" s="252"/>
      <c r="N68" s="249"/>
    </row>
    <row r="69">
      <c r="A69" s="1"/>
      <c r="B69" s="253"/>
      <c r="C69" s="249"/>
      <c r="D69" s="249"/>
      <c r="E69" s="249"/>
      <c r="F69" s="249"/>
      <c r="G69" s="249"/>
      <c r="H69" s="247"/>
      <c r="I69" s="248"/>
      <c r="J69" s="248"/>
      <c r="K69" s="248"/>
      <c r="L69" s="248"/>
      <c r="M69" s="252"/>
      <c r="N69" s="249"/>
    </row>
    <row r="70">
      <c r="A70" s="1"/>
      <c r="B70" s="253"/>
      <c r="C70" s="249"/>
      <c r="D70" s="249"/>
      <c r="E70" s="249"/>
      <c r="F70" s="249"/>
      <c r="G70" s="249"/>
      <c r="H70" s="247"/>
      <c r="I70" s="248"/>
      <c r="J70" s="248"/>
      <c r="K70" s="248"/>
      <c r="L70" s="248"/>
      <c r="M70" s="252"/>
      <c r="N70" s="249"/>
    </row>
    <row r="71">
      <c r="A71" s="1"/>
      <c r="B71" s="253"/>
      <c r="C71" s="249"/>
      <c r="D71" s="249"/>
      <c r="E71" s="249"/>
      <c r="F71" s="249"/>
      <c r="G71" s="249"/>
      <c r="H71" s="247"/>
      <c r="I71" s="248"/>
      <c r="J71" s="248"/>
      <c r="K71" s="248"/>
      <c r="L71" s="248"/>
      <c r="M71" s="252"/>
      <c r="N71" s="249"/>
    </row>
    <row r="72">
      <c r="A72" s="1"/>
      <c r="B72" s="253"/>
      <c r="C72" s="249"/>
      <c r="D72" s="249"/>
      <c r="E72" s="249"/>
      <c r="F72" s="249"/>
      <c r="G72" s="249"/>
      <c r="H72" s="247"/>
      <c r="I72" s="248"/>
      <c r="J72" s="248"/>
      <c r="K72" s="248"/>
      <c r="L72" s="248"/>
      <c r="M72" s="252"/>
      <c r="N72" s="249"/>
    </row>
    <row r="73">
      <c r="A73" s="1"/>
      <c r="B73" s="253"/>
      <c r="C73" s="249"/>
      <c r="D73" s="249"/>
      <c r="E73" s="249"/>
      <c r="F73" s="249"/>
      <c r="G73" s="249"/>
      <c r="H73" s="247"/>
      <c r="I73" s="248"/>
      <c r="J73" s="248"/>
      <c r="K73" s="248"/>
      <c r="L73" s="248"/>
      <c r="M73" s="252"/>
      <c r="N73" s="249"/>
    </row>
    <row r="74">
      <c r="A74" s="1"/>
      <c r="B74" s="253"/>
      <c r="C74" s="249"/>
      <c r="D74" s="249"/>
      <c r="E74" s="249"/>
      <c r="F74" s="249"/>
      <c r="G74" s="249"/>
      <c r="H74" s="247"/>
      <c r="I74" s="248"/>
      <c r="J74" s="248"/>
      <c r="K74" s="248"/>
      <c r="L74" s="248"/>
      <c r="M74" s="252"/>
      <c r="N74" s="249"/>
    </row>
    <row r="75">
      <c r="A75" s="1"/>
      <c r="B75" s="253"/>
      <c r="C75" s="249"/>
      <c r="D75" s="249"/>
      <c r="E75" s="249"/>
      <c r="F75" s="249"/>
      <c r="G75" s="249"/>
      <c r="H75" s="247"/>
      <c r="I75" s="248"/>
      <c r="J75" s="248"/>
      <c r="K75" s="248"/>
      <c r="L75" s="248"/>
      <c r="M75" s="252"/>
      <c r="N75" s="249"/>
    </row>
    <row r="76">
      <c r="A76" s="1"/>
      <c r="B76" s="253"/>
      <c r="C76" s="249"/>
      <c r="D76" s="249"/>
      <c r="E76" s="249"/>
      <c r="F76" s="249"/>
      <c r="G76" s="249"/>
      <c r="H76" s="247"/>
      <c r="I76" s="248"/>
      <c r="J76" s="248"/>
      <c r="K76" s="248"/>
      <c r="L76" s="248"/>
      <c r="M76" s="252"/>
      <c r="N76" s="249"/>
    </row>
    <row r="77">
      <c r="A77" s="1"/>
      <c r="B77" s="253"/>
      <c r="C77" s="249"/>
      <c r="D77" s="249"/>
      <c r="E77" s="249"/>
      <c r="F77" s="249"/>
      <c r="G77" s="249"/>
      <c r="H77" s="247"/>
      <c r="I77" s="248"/>
      <c r="J77" s="248"/>
      <c r="K77" s="248"/>
      <c r="L77" s="248"/>
      <c r="M77" s="252"/>
      <c r="N77" s="249"/>
    </row>
    <row r="78">
      <c r="A78" s="1"/>
      <c r="B78" s="253"/>
      <c r="C78" s="249"/>
      <c r="D78" s="249"/>
      <c r="E78" s="249"/>
      <c r="F78" s="249"/>
      <c r="G78" s="249"/>
      <c r="H78" s="247"/>
      <c r="I78" s="248"/>
      <c r="J78" s="248"/>
      <c r="K78" s="248"/>
      <c r="L78" s="248"/>
      <c r="M78" s="252"/>
      <c r="N78" s="249"/>
    </row>
    <row r="79">
      <c r="A79" s="1"/>
      <c r="B79" s="253"/>
      <c r="C79" s="249"/>
      <c r="D79" s="249"/>
      <c r="E79" s="249"/>
      <c r="F79" s="249"/>
      <c r="G79" s="249"/>
      <c r="H79" s="247"/>
      <c r="I79" s="248"/>
      <c r="J79" s="248"/>
      <c r="K79" s="248"/>
      <c r="L79" s="248"/>
      <c r="M79" s="252"/>
      <c r="N79" s="249"/>
    </row>
    <row r="80">
      <c r="A80" s="1"/>
      <c r="B80" s="253"/>
      <c r="C80" s="249"/>
      <c r="D80" s="249"/>
      <c r="E80" s="249"/>
      <c r="F80" s="249"/>
      <c r="G80" s="249"/>
      <c r="H80" s="247"/>
      <c r="I80" s="248"/>
      <c r="J80" s="248"/>
      <c r="K80" s="248"/>
      <c r="L80" s="248"/>
      <c r="M80" s="252"/>
      <c r="N80" s="249"/>
    </row>
    <row r="81">
      <c r="A81" s="1"/>
      <c r="B81" s="253"/>
      <c r="C81" s="249"/>
      <c r="D81" s="249"/>
      <c r="E81" s="249"/>
      <c r="F81" s="249"/>
      <c r="G81" s="249"/>
      <c r="H81" s="247"/>
      <c r="I81" s="248"/>
      <c r="J81" s="248"/>
      <c r="K81" s="248"/>
      <c r="L81" s="248"/>
      <c r="M81" s="252"/>
      <c r="N81" s="249"/>
    </row>
    <row r="82">
      <c r="A82" s="1"/>
      <c r="B82" s="253"/>
      <c r="C82" s="249"/>
      <c r="D82" s="249"/>
      <c r="E82" s="249"/>
      <c r="F82" s="249"/>
      <c r="G82" s="249"/>
      <c r="H82" s="247"/>
      <c r="I82" s="248"/>
      <c r="J82" s="248"/>
      <c r="K82" s="248"/>
      <c r="L82" s="248"/>
      <c r="M82" s="252"/>
      <c r="N82" s="249"/>
    </row>
    <row r="83">
      <c r="A83" s="1"/>
      <c r="B83" s="253"/>
      <c r="C83" s="249"/>
      <c r="D83" s="249"/>
      <c r="E83" s="249"/>
      <c r="F83" s="249"/>
      <c r="G83" s="249"/>
      <c r="H83" s="247"/>
      <c r="I83" s="248"/>
      <c r="J83" s="248"/>
      <c r="K83" s="248"/>
      <c r="L83" s="248"/>
      <c r="M83" s="252"/>
      <c r="N83" s="249"/>
    </row>
    <row r="84">
      <c r="A84" s="1"/>
      <c r="B84" s="253"/>
      <c r="C84" s="249"/>
      <c r="D84" s="249"/>
      <c r="E84" s="249"/>
      <c r="F84" s="249"/>
      <c r="G84" s="249"/>
      <c r="H84" s="247"/>
      <c r="I84" s="248"/>
      <c r="J84" s="248"/>
      <c r="K84" s="248"/>
      <c r="L84" s="248"/>
      <c r="M84" s="252"/>
      <c r="N84" s="249"/>
    </row>
    <row r="85">
      <c r="A85" s="1"/>
      <c r="B85" s="253"/>
      <c r="C85" s="249"/>
      <c r="D85" s="249"/>
      <c r="E85" s="249"/>
      <c r="F85" s="249"/>
      <c r="G85" s="249"/>
      <c r="H85" s="247"/>
      <c r="I85" s="248"/>
      <c r="J85" s="248"/>
      <c r="K85" s="248"/>
      <c r="L85" s="248"/>
      <c r="M85" s="252"/>
      <c r="N85" s="249"/>
    </row>
    <row r="86">
      <c r="A86" s="1"/>
      <c r="B86" s="253"/>
      <c r="C86" s="249"/>
      <c r="D86" s="249"/>
      <c r="E86" s="249"/>
      <c r="F86" s="249"/>
      <c r="G86" s="249"/>
      <c r="H86" s="247"/>
      <c r="I86" s="248"/>
      <c r="J86" s="248"/>
      <c r="K86" s="248"/>
      <c r="L86" s="248"/>
      <c r="M86" s="252"/>
      <c r="N86" s="249"/>
    </row>
    <row r="87">
      <c r="A87" s="1"/>
      <c r="B87" s="253"/>
      <c r="C87" s="249"/>
      <c r="D87" s="249"/>
      <c r="E87" s="249"/>
      <c r="F87" s="249"/>
      <c r="G87" s="249"/>
      <c r="H87" s="247"/>
      <c r="I87" s="248"/>
      <c r="J87" s="248"/>
      <c r="K87" s="248"/>
      <c r="L87" s="248"/>
      <c r="M87" s="252"/>
      <c r="N87" s="249"/>
    </row>
    <row r="88">
      <c r="A88" s="1"/>
      <c r="B88" s="253"/>
      <c r="C88" s="249"/>
      <c r="D88" s="249"/>
      <c r="E88" s="249"/>
      <c r="F88" s="249"/>
      <c r="G88" s="249"/>
      <c r="H88" s="247"/>
      <c r="I88" s="248"/>
      <c r="J88" s="248"/>
      <c r="K88" s="248"/>
      <c r="L88" s="248"/>
      <c r="M88" s="252"/>
      <c r="N88" s="249"/>
    </row>
    <row r="89">
      <c r="A89" s="1"/>
      <c r="B89" s="253"/>
      <c r="C89" s="249"/>
      <c r="D89" s="249"/>
      <c r="E89" s="249"/>
      <c r="F89" s="249"/>
      <c r="G89" s="249"/>
      <c r="H89" s="247"/>
      <c r="I89" s="248"/>
      <c r="J89" s="248"/>
      <c r="K89" s="248"/>
      <c r="L89" s="248"/>
      <c r="M89" s="252"/>
      <c r="N89" s="249"/>
    </row>
    <row r="90">
      <c r="A90" s="1"/>
      <c r="B90" s="253"/>
      <c r="C90" s="249"/>
      <c r="D90" s="249"/>
      <c r="E90" s="249"/>
      <c r="F90" s="249"/>
      <c r="G90" s="249"/>
      <c r="H90" s="247"/>
      <c r="I90" s="248"/>
      <c r="J90" s="248"/>
      <c r="K90" s="248"/>
      <c r="L90" s="248"/>
      <c r="M90" s="252"/>
      <c r="N90" s="249"/>
    </row>
    <row r="91">
      <c r="A91" s="1"/>
      <c r="B91" s="253"/>
      <c r="C91" s="249"/>
      <c r="D91" s="249"/>
      <c r="E91" s="249"/>
      <c r="F91" s="249"/>
      <c r="G91" s="249"/>
      <c r="H91" s="247"/>
      <c r="I91" s="248"/>
      <c r="J91" s="248"/>
      <c r="K91" s="248"/>
      <c r="L91" s="248"/>
      <c r="M91" s="252"/>
      <c r="N91" s="249"/>
    </row>
    <row r="92">
      <c r="A92" s="1"/>
      <c r="B92" s="253"/>
      <c r="C92" s="249"/>
      <c r="D92" s="249"/>
      <c r="E92" s="249"/>
      <c r="F92" s="249"/>
      <c r="G92" s="249"/>
      <c r="H92" s="247"/>
      <c r="I92" s="248"/>
      <c r="J92" s="248"/>
      <c r="K92" s="248"/>
      <c r="L92" s="248"/>
      <c r="M92" s="252"/>
      <c r="N92" s="249"/>
    </row>
    <row r="93">
      <c r="A93" s="1"/>
      <c r="B93" s="253"/>
      <c r="C93" s="249"/>
      <c r="D93" s="249"/>
      <c r="E93" s="249"/>
      <c r="F93" s="249"/>
      <c r="G93" s="249"/>
      <c r="H93" s="247"/>
      <c r="I93" s="248"/>
      <c r="J93" s="248"/>
      <c r="K93" s="248"/>
      <c r="L93" s="248"/>
      <c r="M93" s="252"/>
      <c r="N93" s="249"/>
    </row>
    <row r="94">
      <c r="A94" s="1"/>
      <c r="B94" s="253"/>
      <c r="C94" s="249"/>
      <c r="D94" s="249"/>
      <c r="E94" s="249"/>
      <c r="F94" s="249"/>
      <c r="G94" s="249"/>
      <c r="H94" s="247"/>
      <c r="I94" s="248"/>
      <c r="J94" s="248"/>
      <c r="K94" s="248"/>
      <c r="L94" s="248"/>
      <c r="M94" s="252"/>
      <c r="N94" s="249"/>
    </row>
    <row r="95">
      <c r="A95" s="1"/>
      <c r="B95" s="253"/>
      <c r="C95" s="249"/>
      <c r="D95" s="249"/>
      <c r="E95" s="249"/>
      <c r="F95" s="249"/>
      <c r="G95" s="249"/>
      <c r="H95" s="247"/>
      <c r="I95" s="248"/>
      <c r="J95" s="248"/>
      <c r="K95" s="248"/>
      <c r="L95" s="248"/>
      <c r="M95" s="252"/>
      <c r="N95" s="249"/>
    </row>
    <row r="96">
      <c r="A96" s="1"/>
      <c r="B96" s="253"/>
      <c r="C96" s="249"/>
      <c r="D96" s="249"/>
      <c r="E96" s="249"/>
      <c r="F96" s="249"/>
      <c r="G96" s="249"/>
      <c r="H96" s="247"/>
      <c r="I96" s="248"/>
      <c r="J96" s="248"/>
      <c r="K96" s="248"/>
      <c r="L96" s="248"/>
      <c r="M96" s="252"/>
      <c r="N96" s="249"/>
    </row>
    <row r="97">
      <c r="A97" s="1"/>
      <c r="B97" s="253"/>
      <c r="C97" s="249"/>
      <c r="D97" s="249"/>
      <c r="E97" s="249"/>
      <c r="F97" s="249"/>
      <c r="G97" s="249"/>
      <c r="H97" s="247"/>
      <c r="I97" s="248"/>
      <c r="J97" s="248"/>
      <c r="K97" s="248"/>
      <c r="L97" s="248"/>
      <c r="M97" s="252"/>
      <c r="N97" s="249"/>
    </row>
    <row r="98">
      <c r="A98" s="1"/>
      <c r="B98" s="253"/>
      <c r="C98" s="249"/>
      <c r="D98" s="249"/>
      <c r="E98" s="249"/>
      <c r="F98" s="249"/>
      <c r="G98" s="249"/>
      <c r="H98" s="247"/>
      <c r="I98" s="248"/>
      <c r="J98" s="248"/>
      <c r="K98" s="248"/>
      <c r="L98" s="248"/>
      <c r="M98" s="252"/>
      <c r="N98" s="249"/>
    </row>
    <row r="99">
      <c r="A99" s="1"/>
      <c r="B99" s="253"/>
      <c r="C99" s="249"/>
      <c r="D99" s="249"/>
      <c r="E99" s="249"/>
      <c r="F99" s="249"/>
      <c r="G99" s="249"/>
      <c r="H99" s="247"/>
      <c r="I99" s="248"/>
      <c r="J99" s="248"/>
      <c r="K99" s="248"/>
      <c r="L99" s="248"/>
      <c r="M99" s="252"/>
      <c r="N99" s="249"/>
    </row>
    <row r="100">
      <c r="A100" s="1"/>
      <c r="B100" s="253"/>
      <c r="C100" s="249"/>
      <c r="D100" s="249"/>
      <c r="E100" s="249"/>
      <c r="F100" s="249"/>
      <c r="G100" s="249"/>
      <c r="H100" s="247"/>
      <c r="I100" s="248"/>
      <c r="J100" s="248"/>
      <c r="K100" s="248"/>
      <c r="L100" s="248"/>
      <c r="M100" s="252"/>
      <c r="N100" s="249"/>
    </row>
    <row r="101">
      <c r="A101" s="1"/>
      <c r="B101" s="253"/>
      <c r="C101" s="249"/>
      <c r="D101" s="249"/>
      <c r="E101" s="249"/>
      <c r="F101" s="249"/>
      <c r="G101" s="249"/>
      <c r="H101" s="247"/>
      <c r="I101" s="248"/>
      <c r="J101" s="248"/>
      <c r="K101" s="248"/>
      <c r="L101" s="248"/>
      <c r="M101" s="252"/>
      <c r="N101" s="249"/>
    </row>
    <row r="102">
      <c r="A102" s="1"/>
      <c r="B102" s="253"/>
      <c r="C102" s="249"/>
      <c r="D102" s="249"/>
      <c r="E102" s="249"/>
      <c r="F102" s="249"/>
      <c r="G102" s="249"/>
      <c r="H102" s="247"/>
      <c r="I102" s="248"/>
      <c r="J102" s="248"/>
      <c r="K102" s="248"/>
      <c r="L102" s="248"/>
      <c r="M102" s="252"/>
      <c r="N102" s="249"/>
    </row>
    <row r="103">
      <c r="A103" s="1"/>
      <c r="B103" s="253"/>
      <c r="C103" s="249"/>
      <c r="D103" s="249"/>
      <c r="E103" s="249"/>
      <c r="F103" s="249"/>
      <c r="G103" s="249"/>
      <c r="H103" s="247"/>
      <c r="I103" s="248"/>
      <c r="J103" s="248"/>
      <c r="K103" s="248"/>
      <c r="L103" s="248"/>
      <c r="M103" s="252"/>
      <c r="N103" s="249"/>
    </row>
    <row r="104">
      <c r="A104" s="1"/>
      <c r="B104" s="253"/>
      <c r="C104" s="249"/>
      <c r="D104" s="249"/>
      <c r="E104" s="249"/>
      <c r="F104" s="249"/>
      <c r="G104" s="249"/>
      <c r="H104" s="247"/>
      <c r="I104" s="248"/>
      <c r="J104" s="248"/>
      <c r="K104" s="248"/>
      <c r="L104" s="248"/>
      <c r="M104" s="252"/>
      <c r="N104" s="249"/>
    </row>
    <row r="105">
      <c r="A105" s="1"/>
      <c r="B105" s="253"/>
      <c r="C105" s="249"/>
      <c r="D105" s="249"/>
      <c r="E105" s="249"/>
      <c r="F105" s="249"/>
      <c r="G105" s="249"/>
      <c r="H105" s="247"/>
      <c r="I105" s="248"/>
      <c r="J105" s="248"/>
      <c r="K105" s="248"/>
      <c r="L105" s="248"/>
      <c r="M105" s="252"/>
      <c r="N105" s="249"/>
    </row>
    <row r="106">
      <c r="A106" s="1"/>
      <c r="B106" s="253"/>
      <c r="C106" s="249"/>
      <c r="D106" s="249"/>
      <c r="E106" s="249"/>
      <c r="F106" s="249"/>
      <c r="G106" s="249"/>
      <c r="H106" s="247"/>
      <c r="I106" s="248"/>
      <c r="J106" s="248"/>
      <c r="K106" s="248"/>
      <c r="L106" s="248"/>
      <c r="M106" s="252"/>
      <c r="N106" s="249"/>
    </row>
    <row r="107">
      <c r="A107" s="1"/>
      <c r="B107" s="253"/>
      <c r="C107" s="249"/>
      <c r="D107" s="249"/>
      <c r="E107" s="249"/>
      <c r="F107" s="249"/>
      <c r="G107" s="249"/>
      <c r="H107" s="247"/>
      <c r="I107" s="248"/>
      <c r="J107" s="248"/>
      <c r="K107" s="248"/>
      <c r="L107" s="248"/>
      <c r="M107" s="252"/>
      <c r="N107" s="249"/>
    </row>
    <row r="108">
      <c r="A108" s="1"/>
      <c r="B108" s="253"/>
      <c r="C108" s="249"/>
      <c r="D108" s="249"/>
      <c r="E108" s="249"/>
      <c r="F108" s="249"/>
      <c r="G108" s="249"/>
      <c r="H108" s="247"/>
      <c r="I108" s="248"/>
      <c r="J108" s="248"/>
      <c r="K108" s="248"/>
      <c r="L108" s="248"/>
      <c r="M108" s="252"/>
      <c r="N108" s="249"/>
    </row>
    <row r="109">
      <c r="A109" s="1"/>
      <c r="B109" s="253"/>
      <c r="C109" s="249"/>
      <c r="D109" s="249"/>
      <c r="E109" s="249"/>
      <c r="F109" s="249"/>
      <c r="G109" s="249"/>
      <c r="H109" s="247"/>
      <c r="I109" s="248"/>
      <c r="J109" s="248"/>
      <c r="K109" s="248"/>
      <c r="L109" s="248"/>
      <c r="M109" s="252"/>
      <c r="N109" s="249"/>
    </row>
    <row r="110">
      <c r="A110" s="1"/>
      <c r="B110" s="253"/>
      <c r="C110" s="249"/>
      <c r="D110" s="249"/>
      <c r="E110" s="249"/>
      <c r="F110" s="249"/>
      <c r="G110" s="249"/>
      <c r="H110" s="247"/>
      <c r="I110" s="248"/>
      <c r="J110" s="248"/>
      <c r="K110" s="248"/>
      <c r="L110" s="248"/>
      <c r="M110" s="252"/>
      <c r="N110" s="249"/>
    </row>
    <row r="111">
      <c r="A111" s="1"/>
      <c r="B111" s="253"/>
      <c r="C111" s="249"/>
      <c r="D111" s="249"/>
      <c r="E111" s="249"/>
      <c r="F111" s="249"/>
      <c r="G111" s="249"/>
      <c r="H111" s="247"/>
      <c r="I111" s="248"/>
      <c r="J111" s="248"/>
      <c r="K111" s="248"/>
      <c r="L111" s="248"/>
      <c r="M111" s="252"/>
      <c r="N111" s="249"/>
    </row>
    <row r="112">
      <c r="A112" s="1"/>
      <c r="B112" s="253"/>
      <c r="C112" s="249"/>
      <c r="D112" s="249"/>
      <c r="E112" s="249"/>
      <c r="F112" s="249"/>
      <c r="G112" s="249"/>
      <c r="H112" s="247"/>
      <c r="I112" s="248"/>
      <c r="J112" s="248"/>
      <c r="K112" s="248"/>
      <c r="L112" s="248"/>
      <c r="M112" s="252"/>
      <c r="N112" s="249"/>
    </row>
    <row r="113">
      <c r="A113" s="1"/>
      <c r="B113" s="253"/>
      <c r="C113" s="249"/>
      <c r="D113" s="249"/>
      <c r="E113" s="249"/>
      <c r="F113" s="249"/>
      <c r="G113" s="249"/>
      <c r="H113" s="247"/>
      <c r="I113" s="248"/>
      <c r="J113" s="248"/>
      <c r="K113" s="248"/>
      <c r="L113" s="248"/>
      <c r="M113" s="252"/>
      <c r="N113" s="249"/>
    </row>
    <row r="114">
      <c r="A114" s="1"/>
      <c r="B114" s="253"/>
      <c r="C114" s="249"/>
      <c r="D114" s="249"/>
      <c r="E114" s="249"/>
      <c r="F114" s="249"/>
      <c r="G114" s="249"/>
      <c r="H114" s="247"/>
      <c r="I114" s="248"/>
      <c r="J114" s="248"/>
      <c r="K114" s="248"/>
      <c r="L114" s="248"/>
      <c r="M114" s="252"/>
      <c r="N114" s="249"/>
    </row>
    <row r="115">
      <c r="A115" s="1"/>
      <c r="B115" s="253"/>
      <c r="C115" s="249"/>
      <c r="D115" s="249"/>
      <c r="E115" s="249"/>
      <c r="F115" s="249"/>
      <c r="G115" s="249"/>
      <c r="H115" s="247"/>
      <c r="I115" s="248"/>
      <c r="J115" s="248"/>
      <c r="K115" s="248"/>
      <c r="L115" s="248"/>
      <c r="M115" s="252"/>
      <c r="N115" s="249"/>
    </row>
    <row r="116">
      <c r="A116" s="1"/>
      <c r="B116" s="253"/>
      <c r="C116" s="249"/>
      <c r="D116" s="249"/>
      <c r="E116" s="249"/>
      <c r="F116" s="249"/>
      <c r="G116" s="249"/>
      <c r="H116" s="247"/>
      <c r="I116" s="248"/>
      <c r="J116" s="248"/>
      <c r="K116" s="248"/>
      <c r="L116" s="248"/>
      <c r="M116" s="252"/>
      <c r="N116" s="249"/>
    </row>
    <row r="117">
      <c r="A117" s="1"/>
      <c r="B117" s="253"/>
      <c r="C117" s="249"/>
      <c r="D117" s="249"/>
      <c r="E117" s="249"/>
      <c r="F117" s="249"/>
      <c r="G117" s="249"/>
      <c r="H117" s="247"/>
      <c r="I117" s="248"/>
      <c r="J117" s="248"/>
      <c r="K117" s="248"/>
      <c r="L117" s="248"/>
      <c r="M117" s="252"/>
      <c r="N117" s="249"/>
    </row>
    <row r="118">
      <c r="A118" s="1"/>
      <c r="B118" s="253"/>
      <c r="C118" s="249"/>
      <c r="D118" s="249"/>
      <c r="E118" s="249"/>
      <c r="F118" s="249"/>
      <c r="G118" s="249"/>
      <c r="H118" s="247"/>
      <c r="I118" s="248"/>
      <c r="J118" s="248"/>
      <c r="K118" s="248"/>
      <c r="L118" s="248"/>
      <c r="M118" s="252"/>
      <c r="N118" s="249"/>
    </row>
    <row r="119">
      <c r="A119" s="1"/>
      <c r="B119" s="253"/>
      <c r="C119" s="249"/>
      <c r="D119" s="249"/>
      <c r="E119" s="249"/>
      <c r="F119" s="249"/>
      <c r="G119" s="249"/>
      <c r="H119" s="247"/>
      <c r="I119" s="248"/>
      <c r="J119" s="248"/>
      <c r="K119" s="248"/>
      <c r="L119" s="248"/>
      <c r="M119" s="252"/>
      <c r="N119" s="249"/>
    </row>
    <row r="120">
      <c r="A120" s="1"/>
      <c r="B120" s="253"/>
      <c r="C120" s="249"/>
      <c r="D120" s="249"/>
      <c r="E120" s="249"/>
      <c r="F120" s="249"/>
      <c r="G120" s="249"/>
      <c r="H120" s="247"/>
      <c r="I120" s="248"/>
      <c r="J120" s="248"/>
      <c r="K120" s="248"/>
      <c r="L120" s="248"/>
      <c r="M120" s="252"/>
      <c r="N120" s="249"/>
    </row>
    <row r="121">
      <c r="A121" s="1"/>
      <c r="B121" s="253"/>
      <c r="C121" s="249"/>
      <c r="D121" s="249"/>
      <c r="E121" s="249"/>
      <c r="F121" s="249"/>
      <c r="G121" s="249"/>
      <c r="H121" s="247"/>
      <c r="I121" s="248"/>
      <c r="J121" s="248"/>
      <c r="K121" s="248"/>
      <c r="L121" s="248"/>
      <c r="M121" s="252"/>
      <c r="N121" s="249"/>
    </row>
    <row r="122">
      <c r="A122" s="1"/>
      <c r="B122" s="253"/>
      <c r="C122" s="249"/>
      <c r="D122" s="249"/>
      <c r="E122" s="249"/>
      <c r="F122" s="249"/>
      <c r="G122" s="249"/>
      <c r="H122" s="247"/>
      <c r="I122" s="248"/>
      <c r="J122" s="248"/>
      <c r="K122" s="248"/>
      <c r="L122" s="248"/>
      <c r="M122" s="252"/>
      <c r="N122" s="249"/>
    </row>
    <row r="123">
      <c r="A123" s="1"/>
      <c r="B123" s="253"/>
      <c r="C123" s="249"/>
      <c r="D123" s="249"/>
      <c r="E123" s="249"/>
      <c r="F123" s="249"/>
      <c r="G123" s="249"/>
      <c r="H123" s="247"/>
      <c r="I123" s="248"/>
      <c r="J123" s="248"/>
      <c r="K123" s="248"/>
      <c r="L123" s="248"/>
      <c r="M123" s="252"/>
      <c r="N123" s="249"/>
    </row>
    <row r="124">
      <c r="A124" s="1"/>
      <c r="B124" s="253"/>
      <c r="C124" s="249"/>
      <c r="D124" s="249"/>
      <c r="E124" s="249"/>
      <c r="F124" s="249"/>
      <c r="G124" s="249"/>
      <c r="H124" s="247"/>
      <c r="I124" s="248"/>
      <c r="J124" s="248"/>
      <c r="K124" s="248"/>
      <c r="L124" s="248"/>
      <c r="M124" s="252"/>
      <c r="N124" s="249"/>
    </row>
    <row r="125">
      <c r="A125" s="1"/>
      <c r="B125" s="253"/>
      <c r="C125" s="249"/>
      <c r="D125" s="249"/>
      <c r="E125" s="249"/>
      <c r="F125" s="249"/>
      <c r="G125" s="249"/>
      <c r="H125" s="247"/>
      <c r="I125" s="248"/>
      <c r="J125" s="248"/>
      <c r="K125" s="248"/>
      <c r="L125" s="248"/>
      <c r="M125" s="252"/>
      <c r="N125" s="249"/>
    </row>
    <row r="126">
      <c r="A126" s="1"/>
      <c r="B126" s="253"/>
      <c r="C126" s="249"/>
      <c r="D126" s="249"/>
      <c r="E126" s="249"/>
      <c r="F126" s="249"/>
      <c r="G126" s="249"/>
      <c r="H126" s="247"/>
      <c r="I126" s="248"/>
      <c r="J126" s="248"/>
      <c r="K126" s="248"/>
      <c r="L126" s="248"/>
      <c r="M126" s="252"/>
      <c r="N126" s="249"/>
    </row>
    <row r="127">
      <c r="A127" s="1"/>
      <c r="B127" s="253"/>
      <c r="C127" s="249"/>
      <c r="D127" s="249"/>
      <c r="E127" s="249"/>
      <c r="F127" s="249"/>
      <c r="G127" s="249"/>
      <c r="H127" s="247"/>
      <c r="I127" s="248"/>
      <c r="J127" s="248"/>
      <c r="K127" s="248"/>
      <c r="L127" s="248"/>
      <c r="M127" s="252"/>
      <c r="N127" s="249"/>
    </row>
    <row r="128">
      <c r="A128" s="1"/>
      <c r="B128" s="253"/>
      <c r="C128" s="249"/>
      <c r="D128" s="249"/>
      <c r="E128" s="249"/>
      <c r="F128" s="249"/>
      <c r="G128" s="249"/>
      <c r="H128" s="247"/>
      <c r="I128" s="248"/>
      <c r="J128" s="248"/>
      <c r="K128" s="248"/>
      <c r="L128" s="248"/>
      <c r="M128" s="252"/>
      <c r="N128" s="249"/>
    </row>
    <row r="129">
      <c r="A129" s="1"/>
      <c r="B129" s="253"/>
      <c r="C129" s="249"/>
      <c r="D129" s="249"/>
      <c r="E129" s="249"/>
      <c r="F129" s="249"/>
      <c r="G129" s="249"/>
      <c r="H129" s="247"/>
      <c r="I129" s="248"/>
      <c r="J129" s="248"/>
      <c r="K129" s="248"/>
      <c r="L129" s="248"/>
      <c r="M129" s="252"/>
      <c r="N129" s="249"/>
    </row>
    <row r="130">
      <c r="A130" s="1"/>
      <c r="B130" s="253"/>
      <c r="C130" s="249"/>
      <c r="D130" s="249"/>
      <c r="E130" s="249"/>
      <c r="F130" s="249"/>
      <c r="G130" s="249"/>
      <c r="H130" s="247"/>
      <c r="I130" s="248"/>
      <c r="J130" s="248"/>
      <c r="K130" s="248"/>
      <c r="L130" s="248"/>
      <c r="M130" s="252"/>
      <c r="N130" s="249"/>
    </row>
    <row r="131">
      <c r="A131" s="1"/>
      <c r="B131" s="253"/>
      <c r="C131" s="249"/>
      <c r="D131" s="249"/>
      <c r="E131" s="249"/>
      <c r="F131" s="249"/>
      <c r="G131" s="249"/>
      <c r="H131" s="247"/>
      <c r="I131" s="248"/>
      <c r="J131" s="248"/>
      <c r="K131" s="248"/>
      <c r="L131" s="248"/>
      <c r="M131" s="252"/>
      <c r="N131" s="249"/>
    </row>
    <row r="132">
      <c r="A132" s="1"/>
      <c r="B132" s="253"/>
      <c r="C132" s="249"/>
      <c r="D132" s="249"/>
      <c r="E132" s="249"/>
      <c r="F132" s="249"/>
      <c r="G132" s="249"/>
      <c r="H132" s="247"/>
      <c r="I132" s="248"/>
      <c r="J132" s="248"/>
      <c r="K132" s="248"/>
      <c r="L132" s="248"/>
      <c r="M132" s="252"/>
      <c r="N132" s="249"/>
    </row>
    <row r="133">
      <c r="A133" s="1"/>
      <c r="B133" s="253"/>
      <c r="C133" s="249"/>
      <c r="D133" s="249"/>
      <c r="E133" s="249"/>
      <c r="F133" s="249"/>
      <c r="G133" s="249"/>
      <c r="H133" s="247"/>
      <c r="I133" s="248"/>
      <c r="J133" s="248"/>
      <c r="K133" s="248"/>
      <c r="L133" s="248"/>
      <c r="M133" s="252"/>
      <c r="N133" s="249"/>
    </row>
    <row r="134">
      <c r="A134" s="1"/>
      <c r="B134" s="253"/>
      <c r="C134" s="249"/>
      <c r="D134" s="249"/>
      <c r="E134" s="249"/>
      <c r="F134" s="249"/>
      <c r="G134" s="249"/>
      <c r="H134" s="247"/>
      <c r="I134" s="248"/>
      <c r="J134" s="248"/>
      <c r="K134" s="248"/>
      <c r="L134" s="248"/>
      <c r="M134" s="252"/>
      <c r="N134" s="249"/>
    </row>
    <row r="135">
      <c r="A135" s="1"/>
      <c r="B135" s="253"/>
      <c r="C135" s="249"/>
      <c r="D135" s="249"/>
      <c r="E135" s="249"/>
      <c r="F135" s="249"/>
      <c r="G135" s="249"/>
      <c r="H135" s="247"/>
      <c r="I135" s="248"/>
      <c r="J135" s="248"/>
      <c r="K135" s="248"/>
      <c r="L135" s="248"/>
      <c r="M135" s="252"/>
      <c r="N135" s="249"/>
    </row>
    <row r="136">
      <c r="A136" s="1"/>
      <c r="B136" s="253"/>
      <c r="C136" s="249"/>
      <c r="D136" s="249"/>
      <c r="E136" s="249"/>
      <c r="F136" s="249"/>
      <c r="G136" s="249"/>
      <c r="H136" s="247"/>
      <c r="I136" s="248"/>
      <c r="J136" s="248"/>
      <c r="K136" s="248"/>
      <c r="L136" s="248"/>
      <c r="M136" s="252"/>
      <c r="N136" s="249"/>
    </row>
    <row r="137">
      <c r="A137" s="1"/>
      <c r="B137" s="253"/>
      <c r="C137" s="249"/>
      <c r="D137" s="249"/>
      <c r="E137" s="249"/>
      <c r="F137" s="249"/>
      <c r="G137" s="249"/>
      <c r="H137" s="247"/>
      <c r="I137" s="248"/>
      <c r="J137" s="248"/>
      <c r="K137" s="248"/>
      <c r="L137" s="248"/>
      <c r="M137" s="252"/>
      <c r="N137" s="249"/>
    </row>
    <row r="138">
      <c r="A138" s="1"/>
      <c r="B138" s="253"/>
      <c r="C138" s="249"/>
      <c r="D138" s="249"/>
      <c r="E138" s="249"/>
      <c r="F138" s="249"/>
      <c r="G138" s="249"/>
      <c r="H138" s="247"/>
      <c r="I138" s="248"/>
      <c r="J138" s="248"/>
      <c r="K138" s="248"/>
      <c r="L138" s="248"/>
      <c r="M138" s="252"/>
      <c r="N138" s="249"/>
    </row>
    <row r="139">
      <c r="A139" s="1"/>
      <c r="B139" s="253"/>
      <c r="C139" s="249"/>
      <c r="D139" s="249"/>
      <c r="E139" s="249"/>
      <c r="F139" s="249"/>
      <c r="G139" s="249"/>
      <c r="H139" s="247"/>
      <c r="I139" s="248"/>
      <c r="J139" s="248"/>
      <c r="K139" s="248"/>
      <c r="L139" s="248"/>
      <c r="M139" s="252"/>
      <c r="N139" s="249"/>
    </row>
    <row r="140">
      <c r="A140" s="1"/>
      <c r="B140" s="253"/>
      <c r="C140" s="249"/>
      <c r="D140" s="249"/>
      <c r="E140" s="249"/>
      <c r="F140" s="249"/>
      <c r="G140" s="249"/>
      <c r="H140" s="247"/>
      <c r="I140" s="248"/>
      <c r="J140" s="248"/>
      <c r="K140" s="248"/>
      <c r="L140" s="248"/>
      <c r="M140" s="252"/>
      <c r="N140" s="249"/>
    </row>
    <row r="141">
      <c r="A141" s="1"/>
      <c r="B141" s="253"/>
      <c r="C141" s="249"/>
      <c r="D141" s="249"/>
      <c r="E141" s="249"/>
      <c r="F141" s="249"/>
      <c r="G141" s="249"/>
      <c r="H141" s="247"/>
      <c r="I141" s="248"/>
      <c r="J141" s="248"/>
      <c r="K141" s="248"/>
      <c r="L141" s="248"/>
      <c r="M141" s="252"/>
      <c r="N141" s="249"/>
    </row>
    <row r="142">
      <c r="A142" s="1"/>
      <c r="B142" s="253"/>
      <c r="C142" s="249"/>
      <c r="D142" s="249"/>
      <c r="E142" s="249"/>
      <c r="F142" s="249"/>
      <c r="G142" s="249"/>
      <c r="H142" s="247"/>
      <c r="I142" s="248"/>
      <c r="J142" s="248"/>
      <c r="K142" s="248"/>
      <c r="L142" s="248"/>
      <c r="M142" s="252"/>
      <c r="N142" s="249"/>
    </row>
    <row r="143">
      <c r="A143" s="1"/>
      <c r="B143" s="253"/>
      <c r="C143" s="249"/>
      <c r="D143" s="249"/>
      <c r="E143" s="249"/>
      <c r="F143" s="249"/>
      <c r="G143" s="249"/>
      <c r="H143" s="247"/>
      <c r="I143" s="248"/>
      <c r="J143" s="248"/>
      <c r="K143" s="248"/>
      <c r="L143" s="248"/>
      <c r="M143" s="252"/>
      <c r="N143" s="249"/>
    </row>
    <row r="144">
      <c r="A144" s="1"/>
      <c r="B144" s="253"/>
      <c r="C144" s="249"/>
      <c r="D144" s="249"/>
      <c r="E144" s="249"/>
      <c r="F144" s="249"/>
      <c r="G144" s="249"/>
      <c r="H144" s="247"/>
      <c r="I144" s="248"/>
      <c r="J144" s="248"/>
      <c r="K144" s="248"/>
      <c r="L144" s="248"/>
      <c r="M144" s="252"/>
      <c r="N144" s="249"/>
    </row>
    <row r="145">
      <c r="A145" s="1"/>
      <c r="B145" s="253"/>
      <c r="C145" s="249"/>
      <c r="D145" s="249"/>
      <c r="E145" s="249"/>
      <c r="F145" s="249"/>
      <c r="G145" s="249"/>
      <c r="H145" s="247"/>
      <c r="I145" s="248"/>
      <c r="J145" s="248"/>
      <c r="K145" s="248"/>
      <c r="L145" s="248"/>
      <c r="M145" s="252"/>
      <c r="N145" s="249"/>
    </row>
    <row r="146">
      <c r="A146" s="1"/>
      <c r="B146" s="253"/>
      <c r="C146" s="249"/>
      <c r="D146" s="249"/>
      <c r="E146" s="249"/>
      <c r="F146" s="249"/>
      <c r="G146" s="249"/>
      <c r="H146" s="247"/>
      <c r="I146" s="248"/>
      <c r="J146" s="248"/>
      <c r="K146" s="248"/>
      <c r="L146" s="248"/>
      <c r="M146" s="252"/>
      <c r="N146" s="249"/>
    </row>
    <row r="147">
      <c r="A147" s="1"/>
      <c r="B147" s="253"/>
      <c r="C147" s="249"/>
      <c r="D147" s="249"/>
      <c r="E147" s="249"/>
      <c r="F147" s="249"/>
      <c r="G147" s="249"/>
      <c r="H147" s="247"/>
      <c r="I147" s="248"/>
      <c r="J147" s="248"/>
      <c r="K147" s="248"/>
      <c r="L147" s="248"/>
      <c r="M147" s="252"/>
      <c r="N147" s="249"/>
    </row>
    <row r="148">
      <c r="A148" s="1"/>
      <c r="B148" s="253"/>
      <c r="C148" s="249"/>
      <c r="D148" s="249"/>
      <c r="E148" s="249"/>
      <c r="F148" s="249"/>
      <c r="G148" s="249"/>
      <c r="H148" s="247"/>
      <c r="I148" s="248"/>
      <c r="J148" s="248"/>
      <c r="K148" s="248"/>
      <c r="L148" s="248"/>
      <c r="M148" s="252"/>
      <c r="N148" s="249"/>
    </row>
    <row r="149">
      <c r="A149" s="1"/>
      <c r="B149" s="253"/>
      <c r="C149" s="249"/>
      <c r="D149" s="249"/>
      <c r="E149" s="249"/>
      <c r="F149" s="249"/>
      <c r="G149" s="249"/>
      <c r="H149" s="247"/>
      <c r="I149" s="248"/>
      <c r="J149" s="248"/>
      <c r="K149" s="248"/>
      <c r="L149" s="248"/>
      <c r="M149" s="252"/>
      <c r="N149" s="249"/>
    </row>
    <row r="150">
      <c r="A150" s="1"/>
      <c r="B150" s="253"/>
      <c r="C150" s="249"/>
      <c r="D150" s="249"/>
      <c r="E150" s="249"/>
      <c r="F150" s="249"/>
      <c r="G150" s="249"/>
      <c r="H150" s="247"/>
      <c r="I150" s="248"/>
      <c r="J150" s="248"/>
      <c r="K150" s="248"/>
      <c r="L150" s="248"/>
      <c r="M150" s="252"/>
      <c r="N150" s="249"/>
    </row>
    <row r="151">
      <c r="A151" s="1"/>
      <c r="B151" s="253"/>
      <c r="C151" s="249"/>
      <c r="D151" s="249"/>
      <c r="E151" s="249"/>
      <c r="F151" s="249"/>
      <c r="G151" s="249"/>
      <c r="H151" s="247"/>
      <c r="I151" s="248"/>
      <c r="J151" s="248"/>
      <c r="K151" s="248"/>
      <c r="L151" s="248"/>
      <c r="M151" s="252"/>
      <c r="N151" s="249"/>
    </row>
    <row r="152">
      <c r="A152" s="1"/>
      <c r="B152" s="253"/>
      <c r="C152" s="249"/>
      <c r="D152" s="249"/>
      <c r="E152" s="249"/>
      <c r="F152" s="249"/>
      <c r="G152" s="249"/>
      <c r="H152" s="247"/>
      <c r="I152" s="248"/>
      <c r="J152" s="248"/>
      <c r="K152" s="248"/>
      <c r="L152" s="248"/>
      <c r="M152" s="252"/>
      <c r="N152" s="249"/>
    </row>
    <row r="153">
      <c r="A153" s="1"/>
      <c r="B153" s="253"/>
      <c r="C153" s="249"/>
      <c r="D153" s="249"/>
      <c r="E153" s="249"/>
      <c r="F153" s="249"/>
      <c r="G153" s="249"/>
      <c r="H153" s="247"/>
      <c r="I153" s="248"/>
      <c r="J153" s="248"/>
      <c r="K153" s="248"/>
      <c r="L153" s="248"/>
      <c r="M153" s="252"/>
      <c r="N153" s="249"/>
    </row>
    <row r="154">
      <c r="A154" s="1"/>
      <c r="B154" s="253"/>
      <c r="C154" s="249"/>
      <c r="D154" s="249"/>
      <c r="E154" s="249"/>
      <c r="F154" s="249"/>
      <c r="G154" s="249"/>
      <c r="H154" s="247"/>
      <c r="I154" s="248"/>
      <c r="J154" s="248"/>
      <c r="K154" s="248"/>
      <c r="L154" s="248"/>
      <c r="M154" s="252"/>
      <c r="N154" s="249"/>
    </row>
    <row r="155">
      <c r="A155" s="1"/>
      <c r="B155" s="253"/>
      <c r="C155" s="249"/>
      <c r="D155" s="249"/>
      <c r="E155" s="249"/>
      <c r="F155" s="249"/>
      <c r="G155" s="249"/>
      <c r="H155" s="247"/>
      <c r="I155" s="248"/>
      <c r="J155" s="248"/>
      <c r="K155" s="248"/>
      <c r="L155" s="248"/>
      <c r="M155" s="252"/>
      <c r="N155" s="249"/>
    </row>
    <row r="156">
      <c r="A156" s="1"/>
      <c r="B156" s="253"/>
      <c r="C156" s="249"/>
      <c r="D156" s="249"/>
      <c r="E156" s="249"/>
      <c r="F156" s="249"/>
      <c r="G156" s="249"/>
      <c r="H156" s="247"/>
      <c r="I156" s="248"/>
      <c r="J156" s="248"/>
      <c r="K156" s="248"/>
      <c r="L156" s="248"/>
      <c r="M156" s="252"/>
      <c r="N156" s="249"/>
    </row>
    <row r="157">
      <c r="A157" s="1"/>
      <c r="B157" s="253"/>
      <c r="C157" s="249"/>
      <c r="D157" s="249"/>
      <c r="E157" s="249"/>
      <c r="F157" s="249"/>
      <c r="G157" s="249"/>
      <c r="H157" s="247"/>
      <c r="I157" s="248"/>
      <c r="J157" s="248"/>
      <c r="K157" s="248"/>
      <c r="L157" s="248"/>
      <c r="M157" s="252"/>
      <c r="N157" s="249"/>
    </row>
    <row r="158">
      <c r="A158" s="1"/>
      <c r="B158" s="253"/>
      <c r="C158" s="249"/>
      <c r="D158" s="249"/>
      <c r="E158" s="249"/>
      <c r="F158" s="249"/>
      <c r="G158" s="249"/>
      <c r="H158" s="247"/>
      <c r="I158" s="248"/>
      <c r="J158" s="248"/>
      <c r="K158" s="248"/>
      <c r="L158" s="248"/>
      <c r="M158" s="252"/>
      <c r="N158" s="249"/>
    </row>
    <row r="159">
      <c r="A159" s="1"/>
      <c r="B159" s="253"/>
      <c r="C159" s="249"/>
      <c r="D159" s="249"/>
      <c r="E159" s="249"/>
      <c r="F159" s="249"/>
      <c r="G159" s="249"/>
      <c r="H159" s="247"/>
      <c r="I159" s="248"/>
      <c r="J159" s="248"/>
      <c r="K159" s="248"/>
      <c r="L159" s="248"/>
      <c r="M159" s="252"/>
      <c r="N159" s="249"/>
    </row>
    <row r="160">
      <c r="A160" s="1"/>
      <c r="B160" s="253"/>
      <c r="C160" s="249"/>
      <c r="D160" s="249"/>
      <c r="E160" s="249"/>
      <c r="F160" s="249"/>
      <c r="G160" s="249"/>
      <c r="H160" s="247"/>
      <c r="I160" s="248"/>
      <c r="J160" s="248"/>
      <c r="K160" s="248"/>
      <c r="L160" s="248"/>
      <c r="M160" s="252"/>
      <c r="N160" s="249"/>
    </row>
    <row r="161">
      <c r="A161" s="1"/>
      <c r="B161" s="253"/>
      <c r="C161" s="249"/>
      <c r="D161" s="249"/>
      <c r="E161" s="249"/>
      <c r="F161" s="249"/>
      <c r="G161" s="249"/>
      <c r="H161" s="247"/>
      <c r="I161" s="248"/>
      <c r="J161" s="248"/>
      <c r="K161" s="248"/>
      <c r="L161" s="248"/>
      <c r="M161" s="252"/>
      <c r="N161" s="249"/>
    </row>
    <row r="162">
      <c r="A162" s="1"/>
      <c r="B162" s="253"/>
      <c r="C162" s="249"/>
      <c r="D162" s="249"/>
      <c r="E162" s="249"/>
      <c r="F162" s="249"/>
      <c r="G162" s="249"/>
      <c r="H162" s="247"/>
      <c r="I162" s="248"/>
      <c r="J162" s="248"/>
      <c r="K162" s="248"/>
      <c r="L162" s="248"/>
      <c r="M162" s="252"/>
      <c r="N162" s="249"/>
    </row>
    <row r="163">
      <c r="A163" s="1"/>
      <c r="B163" s="253"/>
      <c r="C163" s="249"/>
      <c r="D163" s="249"/>
      <c r="E163" s="249"/>
      <c r="F163" s="249"/>
      <c r="G163" s="249"/>
      <c r="H163" s="247"/>
      <c r="I163" s="248"/>
      <c r="J163" s="248"/>
      <c r="K163" s="248"/>
      <c r="L163" s="248"/>
      <c r="M163" s="252"/>
      <c r="N163" s="249"/>
    </row>
    <row r="164">
      <c r="A164" s="1"/>
      <c r="B164" s="253"/>
      <c r="C164" s="249"/>
      <c r="D164" s="249"/>
      <c r="E164" s="249"/>
      <c r="F164" s="249"/>
      <c r="G164" s="249"/>
      <c r="H164" s="247"/>
      <c r="I164" s="248"/>
      <c r="J164" s="248"/>
      <c r="K164" s="248"/>
      <c r="L164" s="248"/>
      <c r="M164" s="252"/>
      <c r="N164" s="249"/>
    </row>
    <row r="165">
      <c r="A165" s="1"/>
      <c r="B165" s="253"/>
      <c r="C165" s="249"/>
      <c r="D165" s="249"/>
      <c r="E165" s="249"/>
      <c r="F165" s="249"/>
      <c r="G165" s="249"/>
      <c r="H165" s="247"/>
      <c r="I165" s="248"/>
      <c r="J165" s="248"/>
      <c r="K165" s="248"/>
      <c r="L165" s="248"/>
      <c r="M165" s="252"/>
      <c r="N165" s="249"/>
    </row>
    <row r="166">
      <c r="A166" s="1"/>
      <c r="B166" s="253"/>
      <c r="C166" s="249"/>
      <c r="D166" s="249"/>
      <c r="E166" s="249"/>
      <c r="F166" s="249"/>
      <c r="G166" s="249"/>
      <c r="H166" s="247"/>
      <c r="I166" s="248"/>
      <c r="J166" s="248"/>
      <c r="K166" s="248"/>
      <c r="L166" s="248"/>
      <c r="M166" s="252"/>
      <c r="N166" s="249"/>
    </row>
    <row r="167">
      <c r="A167" s="1"/>
      <c r="B167" s="253"/>
      <c r="C167" s="249"/>
      <c r="D167" s="249"/>
      <c r="E167" s="249"/>
      <c r="F167" s="249"/>
      <c r="G167" s="249"/>
      <c r="H167" s="247"/>
      <c r="I167" s="248"/>
      <c r="J167" s="248"/>
      <c r="K167" s="248"/>
      <c r="L167" s="248"/>
      <c r="M167" s="252"/>
      <c r="N167" s="249"/>
    </row>
    <row r="168">
      <c r="A168" s="1"/>
      <c r="B168" s="253"/>
      <c r="C168" s="249"/>
      <c r="D168" s="249"/>
      <c r="E168" s="249"/>
      <c r="F168" s="249"/>
      <c r="G168" s="249"/>
      <c r="H168" s="247"/>
      <c r="I168" s="248"/>
      <c r="J168" s="248"/>
      <c r="K168" s="248"/>
      <c r="L168" s="248"/>
      <c r="M168" s="252"/>
      <c r="N168" s="249"/>
    </row>
    <row r="169">
      <c r="A169" s="1"/>
      <c r="B169" s="253"/>
      <c r="C169" s="249"/>
      <c r="D169" s="249"/>
      <c r="E169" s="249"/>
      <c r="F169" s="249"/>
      <c r="G169" s="249"/>
      <c r="H169" s="247"/>
      <c r="I169" s="248"/>
      <c r="J169" s="248"/>
      <c r="K169" s="248"/>
      <c r="L169" s="248"/>
      <c r="M169" s="252"/>
      <c r="N169" s="249"/>
    </row>
    <row r="170">
      <c r="A170" s="1"/>
      <c r="B170" s="253"/>
      <c r="C170" s="249"/>
      <c r="D170" s="249"/>
      <c r="E170" s="249"/>
      <c r="F170" s="249"/>
      <c r="G170" s="249"/>
      <c r="H170" s="247"/>
      <c r="I170" s="248"/>
      <c r="J170" s="248"/>
      <c r="K170" s="248"/>
      <c r="L170" s="248"/>
      <c r="M170" s="252"/>
      <c r="N170" s="249"/>
    </row>
    <row r="171">
      <c r="A171" s="1"/>
      <c r="B171" s="253"/>
      <c r="C171" s="249"/>
      <c r="D171" s="249"/>
      <c r="E171" s="249"/>
      <c r="F171" s="249"/>
      <c r="G171" s="249"/>
      <c r="H171" s="247"/>
      <c r="I171" s="248"/>
      <c r="J171" s="248"/>
      <c r="K171" s="248"/>
      <c r="L171" s="248"/>
      <c r="M171" s="252"/>
      <c r="N171" s="249"/>
    </row>
    <row r="172">
      <c r="A172" s="1"/>
      <c r="B172" s="253"/>
      <c r="C172" s="249"/>
      <c r="D172" s="249"/>
      <c r="E172" s="249"/>
      <c r="F172" s="249"/>
      <c r="G172" s="249"/>
      <c r="H172" s="247"/>
      <c r="I172" s="248"/>
      <c r="J172" s="248"/>
      <c r="K172" s="248"/>
      <c r="L172" s="248"/>
      <c r="M172" s="252"/>
      <c r="N172" s="249"/>
    </row>
    <row r="173">
      <c r="A173" s="1"/>
      <c r="B173" s="253"/>
      <c r="C173" s="249"/>
      <c r="D173" s="249"/>
      <c r="E173" s="249"/>
      <c r="F173" s="249"/>
      <c r="G173" s="249"/>
      <c r="H173" s="247"/>
      <c r="I173" s="248"/>
      <c r="J173" s="248"/>
      <c r="K173" s="248"/>
      <c r="L173" s="248"/>
      <c r="M173" s="252"/>
      <c r="N173" s="249"/>
    </row>
    <row r="174">
      <c r="A174" s="1"/>
      <c r="B174" s="253"/>
      <c r="C174" s="249"/>
      <c r="D174" s="249"/>
      <c r="E174" s="249"/>
      <c r="F174" s="249"/>
      <c r="G174" s="249"/>
      <c r="H174" s="247"/>
      <c r="I174" s="248"/>
      <c r="J174" s="248"/>
      <c r="K174" s="248"/>
      <c r="L174" s="248"/>
      <c r="M174" s="252"/>
      <c r="N174" s="249"/>
    </row>
    <row r="175">
      <c r="A175" s="1"/>
      <c r="B175" s="253"/>
      <c r="C175" s="249"/>
      <c r="D175" s="249"/>
      <c r="E175" s="249"/>
      <c r="F175" s="249"/>
      <c r="G175" s="249"/>
      <c r="H175" s="247"/>
      <c r="I175" s="248"/>
      <c r="J175" s="248"/>
      <c r="K175" s="248"/>
      <c r="L175" s="248"/>
      <c r="M175" s="252"/>
      <c r="N175" s="249"/>
    </row>
    <row r="176">
      <c r="A176" s="1"/>
      <c r="B176" s="253"/>
      <c r="C176" s="249"/>
      <c r="D176" s="249"/>
      <c r="E176" s="249"/>
      <c r="F176" s="249"/>
      <c r="G176" s="249"/>
      <c r="H176" s="247"/>
      <c r="I176" s="248"/>
      <c r="J176" s="248"/>
      <c r="K176" s="248"/>
      <c r="L176" s="248"/>
      <c r="M176" s="252"/>
      <c r="N176" s="249"/>
    </row>
    <row r="177">
      <c r="A177" s="1"/>
      <c r="B177" s="253"/>
      <c r="C177" s="249"/>
      <c r="D177" s="249"/>
      <c r="E177" s="249"/>
      <c r="F177" s="249"/>
      <c r="G177" s="249"/>
      <c r="H177" s="247"/>
      <c r="I177" s="248"/>
      <c r="J177" s="248"/>
      <c r="K177" s="248"/>
      <c r="L177" s="248"/>
      <c r="M177" s="252"/>
      <c r="N177" s="249"/>
    </row>
    <row r="178">
      <c r="A178" s="1"/>
      <c r="B178" s="253"/>
      <c r="C178" s="249"/>
      <c r="D178" s="249"/>
      <c r="E178" s="249"/>
      <c r="F178" s="249"/>
      <c r="G178" s="249"/>
      <c r="H178" s="247"/>
      <c r="I178" s="248"/>
      <c r="J178" s="248"/>
      <c r="K178" s="248"/>
      <c r="L178" s="248"/>
      <c r="M178" s="252"/>
      <c r="N178" s="249"/>
    </row>
    <row r="179">
      <c r="A179" s="1"/>
      <c r="B179" s="253"/>
      <c r="C179" s="249"/>
      <c r="D179" s="249"/>
      <c r="E179" s="249"/>
      <c r="F179" s="249"/>
      <c r="G179" s="249"/>
      <c r="H179" s="247"/>
      <c r="I179" s="248"/>
      <c r="J179" s="248"/>
      <c r="K179" s="248"/>
      <c r="L179" s="248"/>
      <c r="M179" s="252"/>
      <c r="N179" s="249"/>
    </row>
    <row r="180">
      <c r="A180" s="1"/>
      <c r="B180" s="253"/>
      <c r="C180" s="249"/>
      <c r="D180" s="249"/>
      <c r="E180" s="249"/>
      <c r="F180" s="249"/>
      <c r="G180" s="249"/>
      <c r="H180" s="247"/>
      <c r="I180" s="248"/>
      <c r="J180" s="248"/>
      <c r="K180" s="248"/>
      <c r="L180" s="248"/>
      <c r="M180" s="252"/>
      <c r="N180" s="249"/>
    </row>
    <row r="181">
      <c r="A181" s="1"/>
      <c r="B181" s="253"/>
      <c r="C181" s="249"/>
      <c r="D181" s="249"/>
      <c r="E181" s="249"/>
      <c r="F181" s="249"/>
      <c r="G181" s="249"/>
      <c r="H181" s="247"/>
      <c r="I181" s="248"/>
      <c r="J181" s="248"/>
      <c r="K181" s="248"/>
      <c r="L181" s="248"/>
      <c r="M181" s="252"/>
      <c r="N181" s="249"/>
    </row>
    <row r="182">
      <c r="A182" s="1"/>
      <c r="B182" s="253"/>
      <c r="C182" s="249"/>
      <c r="D182" s="249"/>
      <c r="E182" s="249"/>
      <c r="F182" s="249"/>
      <c r="G182" s="249"/>
      <c r="H182" s="247"/>
      <c r="I182" s="248"/>
      <c r="J182" s="248"/>
      <c r="K182" s="248"/>
      <c r="L182" s="248"/>
      <c r="M182" s="252"/>
      <c r="N182" s="249"/>
    </row>
    <row r="183">
      <c r="A183" s="1"/>
      <c r="B183" s="253"/>
      <c r="C183" s="249"/>
      <c r="D183" s="249"/>
      <c r="E183" s="249"/>
      <c r="F183" s="249"/>
      <c r="G183" s="249"/>
      <c r="H183" s="247"/>
      <c r="I183" s="248"/>
      <c r="J183" s="248"/>
      <c r="K183" s="248"/>
      <c r="L183" s="248"/>
      <c r="M183" s="252"/>
      <c r="N183" s="249"/>
    </row>
    <row r="184">
      <c r="A184" s="1"/>
      <c r="B184" s="253"/>
      <c r="C184" s="249"/>
      <c r="D184" s="249"/>
      <c r="E184" s="249"/>
      <c r="F184" s="249"/>
      <c r="G184" s="249"/>
      <c r="H184" s="247"/>
      <c r="I184" s="248"/>
      <c r="J184" s="248"/>
      <c r="K184" s="248"/>
      <c r="L184" s="248"/>
      <c r="M184" s="252"/>
      <c r="N184" s="249"/>
    </row>
    <row r="185">
      <c r="A185" s="1"/>
      <c r="B185" s="253"/>
      <c r="C185" s="249"/>
      <c r="D185" s="249"/>
      <c r="E185" s="249"/>
      <c r="F185" s="249"/>
      <c r="G185" s="249"/>
      <c r="H185" s="247"/>
      <c r="I185" s="248"/>
      <c r="J185" s="248"/>
      <c r="K185" s="248"/>
      <c r="L185" s="248"/>
      <c r="M185" s="252"/>
      <c r="N185" s="249"/>
    </row>
    <row r="186">
      <c r="A186" s="1"/>
      <c r="B186" s="253"/>
      <c r="C186" s="249"/>
      <c r="D186" s="249"/>
      <c r="E186" s="249"/>
      <c r="F186" s="249"/>
      <c r="G186" s="249"/>
      <c r="H186" s="247"/>
      <c r="I186" s="248"/>
      <c r="J186" s="248"/>
      <c r="K186" s="248"/>
      <c r="L186" s="248"/>
      <c r="M186" s="252"/>
      <c r="N186" s="249"/>
    </row>
    <row r="187">
      <c r="A187" s="1"/>
      <c r="B187" s="253"/>
      <c r="C187" s="249"/>
      <c r="D187" s="249"/>
      <c r="E187" s="249"/>
      <c r="F187" s="249"/>
      <c r="G187" s="249"/>
      <c r="H187" s="247"/>
      <c r="I187" s="248"/>
      <c r="J187" s="248"/>
      <c r="K187" s="248"/>
      <c r="L187" s="248"/>
      <c r="M187" s="252"/>
      <c r="N187" s="249"/>
    </row>
    <row r="188">
      <c r="A188" s="1"/>
      <c r="B188" s="253"/>
      <c r="C188" s="249"/>
      <c r="D188" s="249"/>
      <c r="E188" s="249"/>
      <c r="F188" s="249"/>
      <c r="G188" s="249"/>
      <c r="H188" s="247"/>
      <c r="I188" s="248"/>
      <c r="J188" s="248"/>
      <c r="K188" s="248"/>
      <c r="L188" s="248"/>
      <c r="M188" s="252"/>
      <c r="N188" s="249"/>
    </row>
    <row r="189">
      <c r="A189" s="1"/>
      <c r="B189" s="253"/>
      <c r="C189" s="249"/>
      <c r="D189" s="249"/>
      <c r="E189" s="249"/>
      <c r="F189" s="249"/>
      <c r="G189" s="249"/>
      <c r="H189" s="247"/>
      <c r="I189" s="248"/>
      <c r="J189" s="248"/>
      <c r="K189" s="248"/>
      <c r="L189" s="248"/>
      <c r="M189" s="252"/>
      <c r="N189" s="249"/>
    </row>
    <row r="190">
      <c r="A190" s="1"/>
      <c r="B190" s="253"/>
      <c r="C190" s="249"/>
      <c r="D190" s="249"/>
      <c r="E190" s="249"/>
      <c r="F190" s="249"/>
      <c r="G190" s="249"/>
      <c r="H190" s="247"/>
      <c r="I190" s="248"/>
      <c r="J190" s="248"/>
      <c r="K190" s="248"/>
      <c r="L190" s="248"/>
      <c r="M190" s="252"/>
      <c r="N190" s="249"/>
    </row>
    <row r="191">
      <c r="A191" s="1"/>
      <c r="B191" s="253"/>
      <c r="C191" s="249"/>
      <c r="D191" s="249"/>
      <c r="E191" s="249"/>
      <c r="F191" s="249"/>
      <c r="G191" s="249"/>
      <c r="H191" s="247"/>
      <c r="I191" s="248"/>
      <c r="J191" s="248"/>
      <c r="K191" s="248"/>
      <c r="L191" s="248"/>
      <c r="M191" s="252"/>
      <c r="N191" s="249"/>
    </row>
    <row r="192">
      <c r="A192" s="1"/>
      <c r="B192" s="253"/>
      <c r="C192" s="249"/>
      <c r="D192" s="249"/>
      <c r="E192" s="249"/>
      <c r="F192" s="249"/>
      <c r="G192" s="249"/>
      <c r="H192" s="247"/>
      <c r="I192" s="248"/>
      <c r="J192" s="248"/>
      <c r="K192" s="248"/>
      <c r="L192" s="248"/>
      <c r="M192" s="252"/>
      <c r="N192" s="249"/>
    </row>
    <row r="193">
      <c r="A193" s="1"/>
      <c r="B193" s="253"/>
      <c r="C193" s="249"/>
      <c r="D193" s="249"/>
      <c r="E193" s="249"/>
      <c r="F193" s="249"/>
      <c r="G193" s="249"/>
      <c r="H193" s="247"/>
      <c r="I193" s="248"/>
      <c r="J193" s="248"/>
      <c r="K193" s="248"/>
      <c r="L193" s="248"/>
      <c r="M193" s="252"/>
      <c r="N193" s="249"/>
    </row>
    <row r="194">
      <c r="A194" s="1"/>
      <c r="B194" s="253"/>
      <c r="C194" s="249"/>
      <c r="D194" s="249"/>
      <c r="E194" s="249"/>
      <c r="F194" s="249"/>
      <c r="G194" s="249"/>
      <c r="H194" s="247"/>
      <c r="I194" s="248"/>
      <c r="J194" s="248"/>
      <c r="K194" s="248"/>
      <c r="L194" s="248"/>
      <c r="M194" s="252"/>
      <c r="N194" s="249"/>
    </row>
    <row r="195">
      <c r="A195" s="1"/>
      <c r="B195" s="253"/>
      <c r="C195" s="249"/>
      <c r="D195" s="249"/>
      <c r="E195" s="249"/>
      <c r="F195" s="249"/>
      <c r="G195" s="249"/>
      <c r="H195" s="247"/>
      <c r="I195" s="248"/>
      <c r="J195" s="248"/>
      <c r="K195" s="248"/>
      <c r="L195" s="248"/>
      <c r="M195" s="252"/>
      <c r="N195" s="249"/>
    </row>
    <row r="196">
      <c r="A196" s="1"/>
      <c r="B196" s="253"/>
      <c r="C196" s="249"/>
      <c r="D196" s="249"/>
      <c r="E196" s="249"/>
      <c r="F196" s="249"/>
      <c r="G196" s="249"/>
      <c r="H196" s="247"/>
      <c r="I196" s="248"/>
      <c r="J196" s="248"/>
      <c r="K196" s="248"/>
      <c r="L196" s="248"/>
      <c r="M196" s="252"/>
      <c r="N196" s="249"/>
    </row>
    <row r="197">
      <c r="A197" s="1"/>
      <c r="B197" s="253"/>
      <c r="C197" s="249"/>
      <c r="D197" s="249"/>
      <c r="E197" s="249"/>
      <c r="F197" s="249"/>
      <c r="G197" s="249"/>
      <c r="H197" s="247"/>
      <c r="I197" s="248"/>
      <c r="J197" s="248"/>
      <c r="K197" s="248"/>
      <c r="L197" s="248"/>
      <c r="M197" s="252"/>
      <c r="N197" s="249"/>
    </row>
    <row r="198">
      <c r="A198" s="1"/>
      <c r="B198" s="253"/>
      <c r="C198" s="249"/>
      <c r="D198" s="249"/>
      <c r="E198" s="249"/>
      <c r="F198" s="249"/>
      <c r="G198" s="249"/>
      <c r="H198" s="247"/>
      <c r="I198" s="248"/>
      <c r="J198" s="248"/>
      <c r="K198" s="248"/>
      <c r="L198" s="248"/>
      <c r="M198" s="252"/>
      <c r="N198" s="249"/>
    </row>
    <row r="199">
      <c r="A199" s="1"/>
      <c r="B199" s="253"/>
      <c r="C199" s="249"/>
      <c r="D199" s="249"/>
      <c r="E199" s="249"/>
      <c r="F199" s="249"/>
      <c r="G199" s="249"/>
      <c r="H199" s="247"/>
      <c r="I199" s="248"/>
      <c r="J199" s="248"/>
      <c r="K199" s="248"/>
      <c r="L199" s="248"/>
      <c r="M199" s="252"/>
      <c r="N199" s="249"/>
    </row>
    <row r="200">
      <c r="A200" s="1"/>
      <c r="B200" s="253"/>
      <c r="C200" s="249"/>
      <c r="D200" s="249"/>
      <c r="E200" s="249"/>
      <c r="F200" s="249"/>
      <c r="G200" s="249"/>
      <c r="H200" s="247"/>
      <c r="I200" s="248"/>
      <c r="J200" s="248"/>
      <c r="K200" s="248"/>
      <c r="L200" s="248"/>
      <c r="M200" s="252"/>
      <c r="N200" s="249"/>
    </row>
    <row r="201">
      <c r="A201" s="1"/>
      <c r="B201" s="269"/>
      <c r="C201" s="266"/>
      <c r="D201" s="266"/>
      <c r="E201" s="266"/>
      <c r="F201" s="266"/>
      <c r="G201" s="266"/>
      <c r="H201" s="267"/>
      <c r="I201" s="268"/>
      <c r="J201" s="268"/>
      <c r="K201" s="268"/>
      <c r="L201" s="268"/>
      <c r="M201" s="270"/>
      <c r="N201" s="249"/>
    </row>
  </sheetData>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6"/>
    <col collapsed="false" customWidth="true" hidden="false" max="2" min="2" style="0" width="15"/>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61"/>
  </cols>
  <sheetData>
    <row r="1">
      <c r="A1" s="277" t="str">
        <v>角色属性</v>
      </c>
      <c r="B1" s="17" t="str">
        <v>效果</v>
      </c>
      <c r="C1" s="17" t="str">
        <v>公式</v>
      </c>
      <c r="D1" s="17" t="str">
        <v>基准</v>
      </c>
      <c r="E1" s="278" t="str">
        <v>样例</v>
      </c>
      <c r="F1" s="17" t="str">
        <v>属性补正</v>
      </c>
      <c r="G1" s="17" t="str">
        <v>力量💪</v>
      </c>
      <c r="H1" s="17" t="str">
        <v>反应🦵</v>
      </c>
      <c r="I1" s="17" t="str">
        <v>智力🧠</v>
      </c>
      <c r="J1" s="17" t="str">
        <v>效果</v>
      </c>
    </row>
    <row r="2">
      <c r="A2" s="253" t="str">
        <v>力量（Strenth）</v>
      </c>
      <c r="B2" s="4" t="str">
        <v>增加生命上限</v>
      </c>
      <c r="E2" s="276"/>
      <c r="F2" s="4" t="str">
        <v>动能</v>
      </c>
      <c r="G2" s="1" t="str">
        <v>+++++</v>
      </c>
      <c r="H2" s="1"/>
      <c r="I2" s="1"/>
      <c r="J2" s="4" t="str">
        <v>对护甲造成额外30%伤害</v>
      </c>
    </row>
    <row r="3">
      <c r="A3" s="253" t="str">
        <v>反应（Reflex)</v>
      </c>
      <c r="B3" s="4" t="str">
        <v>增加攻击速度</v>
      </c>
      <c r="E3" s="276"/>
      <c r="F3" s="4" t="str">
        <v>电磁</v>
      </c>
      <c r="G3" s="1"/>
      <c r="H3" s="1" t="str">
        <v>+++++</v>
      </c>
      <c r="I3" s="1"/>
      <c r="J3" s="4" t="str">
        <v>对敌人施加“麻痹”Debuff，移动速度降低50%，持续3s，不可叠加，重置CD</v>
      </c>
    </row>
    <row r="4">
      <c r="A4" s="253" t="str">
        <v>智力 (Intelligence）</v>
      </c>
      <c r="B4" s="4" t="str">
        <v>增加属性积蓄效率</v>
      </c>
      <c r="E4" s="276"/>
      <c r="F4" s="4" t="str">
        <v>热能</v>
      </c>
      <c r="G4" s="1"/>
      <c r="H4" s="1"/>
      <c r="I4" s="1" t="str">
        <v>+++++</v>
      </c>
      <c r="J4" s="4" t="str">
        <v>对敌人施加“灼烧”Debuff，每秒造成5%武器伤害，持续5s，可以叠加，单独计算CD</v>
      </c>
    </row>
    <row r="5">
      <c r="A5" s="253"/>
      <c r="E5" s="276"/>
      <c r="F5" s="4" t="str">
        <v>纳米</v>
      </c>
      <c r="G5" s="1"/>
      <c r="H5" s="1" t="str">
        <v>+++</v>
      </c>
      <c r="I5" s="1" t="str">
        <v>++</v>
      </c>
      <c r="J5" s="4" t="str">
        <v>造成的伤害减少50%，对敌人施加“纳米侵蚀”Debuff，每秒造成5%武器伤害，持续10s，可以叠加，重置CD，敌人死亡后，全部层数会转移到12m范围内的最近敌人</v>
      </c>
    </row>
    <row r="6">
      <c r="A6" s="253"/>
      <c r="E6" s="276"/>
      <c r="F6" s="4" t="str">
        <v>辐射</v>
      </c>
      <c r="G6" s="1" t="str">
        <v>+++</v>
      </c>
      <c r="H6" s="1" t="str">
        <v>++</v>
      </c>
      <c r="I6" s="1"/>
      <c r="J6" s="4" t="str">
        <v>造成的伤害穿透敌人，对背后的敌人造成越来越少的伤害，每个敌人减少20%</v>
      </c>
    </row>
    <row r="7">
      <c r="A7" s="253"/>
      <c r="E7" s="276"/>
      <c r="F7" s="4" t="str">
        <v>霜冻</v>
      </c>
      <c r="G7" s="1" t="str">
        <v>++</v>
      </c>
      <c r="H7" s="1"/>
      <c r="I7" s="1" t="str">
        <v>+++</v>
      </c>
      <c r="J7" s="4" t="str">
        <v>对敌人施加“冻结”Debuff，持续5s，可以叠加，重置CD；叠加到10层时，冻结大部分敌人，使其无法行动，持续5s，期间不会受到额外的“冻结“Debuff</v>
      </c>
    </row>
    <row r="8">
      <c r="A8" s="253"/>
      <c r="E8" s="276"/>
      <c r="F8" t="str">
        <v>手枪</v>
      </c>
      <c r="G8" s="1" t="str">
        <v>+</v>
      </c>
      <c r="H8" s="1" t="str">
        <v>++</v>
      </c>
      <c r="I8" s="1"/>
    </row>
    <row r="9">
      <c r="A9" s="253"/>
      <c r="E9" s="276"/>
      <c r="F9" t="str">
        <v>步枪</v>
      </c>
      <c r="G9" s="1"/>
      <c r="H9" s="1" t="str">
        <v>++</v>
      </c>
      <c r="I9" s="1" t="str">
        <v>+</v>
      </c>
    </row>
    <row r="10">
      <c r="A10" s="253"/>
      <c r="E10" s="276"/>
      <c r="F10" t="str">
        <v>冲锋枪</v>
      </c>
      <c r="G10" s="1"/>
      <c r="H10" s="1" t="str">
        <v>+++</v>
      </c>
      <c r="I10" s="1"/>
    </row>
    <row r="11">
      <c r="A11" s="253"/>
      <c r="E11" s="276"/>
      <c r="F11" t="str">
        <v>霰弹枪</v>
      </c>
      <c r="G11" s="1" t="str">
        <v>++</v>
      </c>
      <c r="H11" s="1" t="str">
        <v>+</v>
      </c>
      <c r="I11" s="1"/>
    </row>
    <row r="12">
      <c r="A12" s="253"/>
      <c r="E12" s="276"/>
      <c r="F12" t="str">
        <v>发射器</v>
      </c>
      <c r="G12" s="1" t="str">
        <v>++</v>
      </c>
      <c r="H12" s="1"/>
      <c r="I12" s="1" t="str">
        <v>+</v>
      </c>
    </row>
    <row r="13">
      <c r="A13" s="253"/>
      <c r="E13" s="276"/>
      <c r="F13" t="str">
        <v>短刀</v>
      </c>
      <c r="G13" s="1"/>
      <c r="H13" s="1" t="str">
        <v>+</v>
      </c>
      <c r="I13" s="1" t="str">
        <v>++</v>
      </c>
    </row>
    <row r="14">
      <c r="A14" s="253"/>
      <c r="E14" s="276"/>
      <c r="F14" t="str">
        <v>长刀</v>
      </c>
      <c r="G14" s="1"/>
      <c r="H14" s="1" t="str">
        <v>++</v>
      </c>
      <c r="I14" s="1" t="str">
        <v>+</v>
      </c>
    </row>
    <row r="15">
      <c r="A15" s="253"/>
      <c r="E15" s="276"/>
      <c r="F15" t="str">
        <v>锤</v>
      </c>
      <c r="G15" s="1" t="str">
        <v>++</v>
      </c>
      <c r="H15" s="1" t="str">
        <v>+</v>
      </c>
      <c r="I15" s="1"/>
    </row>
    <row r="16">
      <c r="A16" s="253"/>
      <c r="E16" s="276"/>
      <c r="F16" t="str">
        <v>巨锤</v>
      </c>
      <c r="G16" s="1" t="str">
        <v>+++</v>
      </c>
      <c r="H16" s="1"/>
      <c r="I16" s="1"/>
    </row>
    <row r="17">
      <c r="A17" s="253"/>
      <c r="E17" s="276"/>
      <c r="F17" t="str">
        <v>拳套</v>
      </c>
      <c r="G17" s="1" t="str">
        <v>+</v>
      </c>
      <c r="H17" s="1" t="str">
        <v>++</v>
      </c>
      <c r="I17" s="1"/>
    </row>
    <row r="18">
      <c r="A18" s="253"/>
      <c r="E18" s="276"/>
      <c r="F18" t="str">
        <v>武士刀</v>
      </c>
      <c r="G18" s="1" t="str">
        <v>++</v>
      </c>
      <c r="H18" s="1" t="str">
        <v>+</v>
      </c>
      <c r="I18" s="1"/>
    </row>
    <row r="19">
      <c r="A19" s="253"/>
      <c r="E19" s="276"/>
      <c r="G19" s="1"/>
      <c r="H19" s="1"/>
      <c r="I19" s="1"/>
    </row>
    <row r="20">
      <c r="A20" s="253"/>
      <c r="E20" s="276"/>
      <c r="G20" s="1"/>
      <c r="H20" s="1"/>
      <c r="I20" s="1"/>
    </row>
    <row r="21">
      <c r="A21" s="253"/>
      <c r="E21" s="276"/>
      <c r="G21" s="1"/>
      <c r="H21" s="1"/>
      <c r="I21" s="1"/>
    </row>
    <row r="22">
      <c r="A22" s="253"/>
      <c r="E22" s="276"/>
      <c r="G22" s="1"/>
      <c r="H22" s="1"/>
      <c r="I22" s="1"/>
    </row>
    <row r="23">
      <c r="A23" s="253"/>
      <c r="E23" s="276"/>
      <c r="G23" s="1"/>
      <c r="H23" s="1"/>
      <c r="I23" s="1"/>
    </row>
    <row r="24">
      <c r="A24" s="253"/>
      <c r="E24" s="276"/>
      <c r="G24" s="1"/>
      <c r="H24" s="1"/>
      <c r="I24" s="1"/>
    </row>
    <row r="25">
      <c r="A25" s="253"/>
      <c r="E25" s="276"/>
      <c r="G25" s="1"/>
      <c r="H25" s="1"/>
      <c r="I25" s="1"/>
    </row>
    <row r="26">
      <c r="A26" s="253"/>
      <c r="E26" s="276"/>
      <c r="G26" s="1"/>
      <c r="H26" s="1"/>
      <c r="I26" s="1"/>
    </row>
    <row r="27">
      <c r="A27" s="253"/>
      <c r="E27" s="276"/>
      <c r="G27" s="1"/>
      <c r="H27" s="1"/>
      <c r="I27" s="1"/>
    </row>
    <row r="28">
      <c r="A28" s="253"/>
      <c r="E28" s="276"/>
      <c r="G28" s="1"/>
      <c r="H28" s="1"/>
      <c r="I28" s="1"/>
    </row>
    <row r="29">
      <c r="A29" s="253"/>
      <c r="E29" s="276"/>
      <c r="G29" s="1"/>
      <c r="H29" s="1"/>
      <c r="I29" s="1"/>
    </row>
    <row r="30">
      <c r="A30" s="253"/>
      <c r="E30" s="276"/>
      <c r="G30" s="1"/>
      <c r="H30" s="1"/>
      <c r="I30" s="1"/>
    </row>
    <row r="31">
      <c r="A31" s="253"/>
      <c r="E31" s="276"/>
      <c r="G31" s="1"/>
      <c r="H31" s="1"/>
      <c r="I31" s="1"/>
    </row>
    <row r="32">
      <c r="A32" s="253"/>
      <c r="E32" s="276"/>
      <c r="G32" s="1"/>
      <c r="H32" s="1"/>
      <c r="I32" s="1"/>
    </row>
    <row r="33">
      <c r="A33" s="253"/>
      <c r="E33" s="276"/>
      <c r="G33" s="1"/>
      <c r="H33" s="1"/>
      <c r="I33" s="1"/>
    </row>
    <row r="34">
      <c r="A34" s="253"/>
      <c r="E34" s="276"/>
      <c r="G34" s="1"/>
      <c r="H34" s="1"/>
      <c r="I34" s="1"/>
    </row>
    <row r="35">
      <c r="A35" s="253"/>
      <c r="E35" s="276"/>
      <c r="G35" s="1"/>
      <c r="H35" s="1"/>
      <c r="I35" s="1"/>
    </row>
    <row r="36">
      <c r="A36" s="253"/>
      <c r="E36" s="276"/>
      <c r="G36" s="1"/>
      <c r="H36" s="1"/>
      <c r="I36" s="1"/>
    </row>
    <row r="37">
      <c r="A37" s="253"/>
      <c r="E37" s="276"/>
      <c r="G37" s="1"/>
      <c r="H37" s="1"/>
      <c r="I37" s="1"/>
    </row>
    <row r="38">
      <c r="A38" s="253"/>
      <c r="E38" s="276"/>
      <c r="G38" s="1"/>
      <c r="H38" s="1"/>
      <c r="I38" s="1"/>
    </row>
    <row r="39">
      <c r="A39" s="253"/>
      <c r="E39" s="276"/>
      <c r="G39" s="1"/>
      <c r="H39" s="1"/>
      <c r="I39" s="1"/>
    </row>
    <row r="40">
      <c r="A40" s="253"/>
      <c r="E40" s="276"/>
      <c r="G40" s="1"/>
      <c r="H40" s="1"/>
      <c r="I40" s="1"/>
    </row>
    <row r="41">
      <c r="A41" s="253"/>
      <c r="E41" s="276"/>
      <c r="G41" s="1"/>
      <c r="H41" s="1"/>
      <c r="I41" s="1"/>
    </row>
    <row r="42">
      <c r="A42" s="253"/>
      <c r="E42" s="276"/>
      <c r="G42" s="1"/>
      <c r="H42" s="1"/>
      <c r="I42" s="1"/>
    </row>
    <row r="43">
      <c r="A43" s="253"/>
      <c r="E43" s="276"/>
      <c r="G43" s="1"/>
      <c r="H43" s="1"/>
      <c r="I43" s="1"/>
    </row>
    <row r="44">
      <c r="A44" s="253"/>
      <c r="E44" s="276"/>
      <c r="G44" s="1"/>
      <c r="H44" s="1"/>
      <c r="I44" s="1"/>
    </row>
    <row r="45">
      <c r="A45" s="253"/>
      <c r="E45" s="276"/>
      <c r="G45" s="1"/>
      <c r="H45" s="1"/>
      <c r="I45" s="1"/>
    </row>
    <row r="46">
      <c r="A46" s="253"/>
      <c r="E46" s="276"/>
      <c r="G46" s="1"/>
      <c r="H46" s="1"/>
      <c r="I46" s="1"/>
    </row>
    <row r="47">
      <c r="A47" s="253"/>
      <c r="E47" s="276"/>
      <c r="G47" s="1"/>
      <c r="H47" s="1"/>
      <c r="I47" s="1"/>
    </row>
    <row r="48">
      <c r="A48" s="253"/>
      <c r="E48" s="276"/>
      <c r="G48" s="1"/>
      <c r="H48" s="1"/>
      <c r="I48" s="1"/>
    </row>
    <row r="49">
      <c r="A49" s="253"/>
      <c r="E49" s="276"/>
      <c r="G49" s="1"/>
      <c r="H49" s="1"/>
      <c r="I49" s="1"/>
    </row>
    <row r="50">
      <c r="A50" s="253"/>
      <c r="E50" s="276"/>
      <c r="G50" s="1"/>
      <c r="H50" s="1"/>
      <c r="I50" s="1"/>
    </row>
    <row r="51">
      <c r="A51" s="253"/>
      <c r="E51" s="276"/>
      <c r="G51" s="1"/>
      <c r="H51" s="1"/>
      <c r="I51" s="1"/>
    </row>
    <row r="52">
      <c r="A52" s="253"/>
      <c r="E52" s="276"/>
      <c r="G52" s="1"/>
      <c r="H52" s="1"/>
      <c r="I52" s="1"/>
    </row>
    <row r="53">
      <c r="A53" s="253"/>
      <c r="E53" s="276"/>
      <c r="G53" s="1"/>
      <c r="H53" s="1"/>
      <c r="I53" s="1"/>
    </row>
    <row r="54">
      <c r="A54" s="253"/>
      <c r="E54" s="276"/>
      <c r="G54" s="1"/>
      <c r="H54" s="1"/>
      <c r="I54" s="1"/>
    </row>
    <row r="55">
      <c r="A55" s="253"/>
      <c r="E55" s="276"/>
      <c r="G55" s="1"/>
      <c r="H55" s="1"/>
      <c r="I55" s="1"/>
    </row>
    <row r="56">
      <c r="A56" s="253"/>
      <c r="E56" s="276"/>
      <c r="G56" s="1"/>
      <c r="H56" s="1"/>
      <c r="I56" s="1"/>
    </row>
    <row r="57">
      <c r="A57" s="253"/>
      <c r="E57" s="276"/>
      <c r="G57" s="1"/>
      <c r="H57" s="1"/>
      <c r="I57" s="1"/>
    </row>
    <row r="58">
      <c r="A58" s="253"/>
      <c r="E58" s="276"/>
      <c r="G58" s="1"/>
      <c r="H58" s="1"/>
      <c r="I58" s="1"/>
    </row>
    <row r="59">
      <c r="A59" s="253"/>
      <c r="E59" s="276"/>
      <c r="G59" s="1"/>
      <c r="H59" s="1"/>
      <c r="I59" s="1"/>
    </row>
    <row r="60">
      <c r="A60" s="253"/>
      <c r="E60" s="276"/>
      <c r="G60" s="1"/>
      <c r="H60" s="1"/>
      <c r="I60" s="1"/>
    </row>
    <row r="61">
      <c r="A61" s="253"/>
      <c r="E61" s="276"/>
      <c r="G61" s="1"/>
      <c r="H61" s="1"/>
      <c r="I61" s="1"/>
    </row>
    <row r="62">
      <c r="A62" s="253"/>
      <c r="E62" s="276"/>
      <c r="G62" s="1"/>
      <c r="H62" s="1"/>
      <c r="I62" s="1"/>
    </row>
    <row r="63">
      <c r="A63" s="253"/>
      <c r="E63" s="276"/>
      <c r="G63" s="1"/>
      <c r="H63" s="1"/>
      <c r="I63" s="1"/>
    </row>
    <row r="64">
      <c r="A64" s="253"/>
      <c r="E64" s="276"/>
      <c r="G64" s="1"/>
      <c r="H64" s="1"/>
      <c r="I64" s="1"/>
    </row>
    <row r="65">
      <c r="A65" s="253"/>
      <c r="E65" s="276"/>
      <c r="G65" s="1"/>
      <c r="H65" s="1"/>
      <c r="I65" s="1"/>
    </row>
    <row r="66">
      <c r="A66" s="253"/>
      <c r="E66" s="276"/>
      <c r="G66" s="1"/>
      <c r="H66" s="1"/>
      <c r="I66" s="1"/>
    </row>
    <row r="67">
      <c r="A67" s="253"/>
      <c r="E67" s="276"/>
      <c r="G67" s="1"/>
      <c r="H67" s="1"/>
      <c r="I67" s="1"/>
    </row>
    <row r="68">
      <c r="A68" s="253"/>
      <c r="E68" s="276"/>
      <c r="G68" s="1"/>
      <c r="H68" s="1"/>
      <c r="I68" s="1"/>
    </row>
    <row r="69">
      <c r="A69" s="253"/>
      <c r="E69" s="276"/>
      <c r="G69" s="1"/>
      <c r="H69" s="1"/>
      <c r="I69" s="1"/>
    </row>
    <row r="70">
      <c r="A70" s="253"/>
      <c r="E70" s="276"/>
      <c r="G70" s="1"/>
      <c r="H70" s="1"/>
      <c r="I70" s="1"/>
    </row>
    <row r="71">
      <c r="A71" s="253"/>
      <c r="E71" s="276"/>
      <c r="G71" s="1"/>
      <c r="H71" s="1"/>
      <c r="I71" s="1"/>
    </row>
    <row r="72">
      <c r="A72" s="253"/>
      <c r="E72" s="276"/>
      <c r="G72" s="1"/>
      <c r="H72" s="1"/>
      <c r="I72" s="1"/>
    </row>
    <row r="73">
      <c r="A73" s="253"/>
      <c r="E73" s="276"/>
      <c r="G73" s="1"/>
      <c r="H73" s="1"/>
      <c r="I73" s="1"/>
    </row>
    <row r="74">
      <c r="A74" s="253"/>
      <c r="E74" s="276"/>
      <c r="G74" s="1"/>
      <c r="H74" s="1"/>
      <c r="I74" s="1"/>
    </row>
    <row r="75">
      <c r="A75" s="253"/>
      <c r="E75" s="276"/>
      <c r="G75" s="1"/>
      <c r="H75" s="1"/>
      <c r="I75" s="1"/>
    </row>
    <row r="76">
      <c r="A76" s="253"/>
      <c r="E76" s="276"/>
      <c r="G76" s="1"/>
      <c r="H76" s="1"/>
      <c r="I76" s="1"/>
    </row>
    <row r="77">
      <c r="A77" s="253"/>
      <c r="E77" s="276"/>
      <c r="G77" s="1"/>
      <c r="H77" s="1"/>
      <c r="I77" s="1"/>
    </row>
    <row r="78">
      <c r="A78" s="253"/>
      <c r="E78" s="276"/>
      <c r="G78" s="1"/>
      <c r="H78" s="1"/>
      <c r="I78" s="1"/>
    </row>
    <row r="79">
      <c r="A79" s="253"/>
      <c r="E79" s="276"/>
      <c r="G79" s="1"/>
      <c r="H79" s="1"/>
      <c r="I79" s="1"/>
    </row>
    <row r="80">
      <c r="A80" s="253"/>
      <c r="E80" s="276"/>
      <c r="G80" s="1"/>
      <c r="H80" s="1"/>
      <c r="I80" s="1"/>
    </row>
    <row r="81">
      <c r="A81" s="253"/>
      <c r="E81" s="276"/>
      <c r="G81" s="1"/>
      <c r="H81" s="1"/>
      <c r="I81" s="1"/>
    </row>
    <row r="82">
      <c r="A82" s="253"/>
      <c r="E82" s="276"/>
      <c r="G82" s="1"/>
      <c r="H82" s="1"/>
      <c r="I82" s="1"/>
    </row>
    <row r="83">
      <c r="A83" s="253"/>
      <c r="E83" s="276"/>
      <c r="G83" s="1"/>
      <c r="H83" s="1"/>
      <c r="I83" s="1"/>
    </row>
    <row r="84">
      <c r="A84" s="253"/>
      <c r="E84" s="276"/>
      <c r="G84" s="1"/>
      <c r="H84" s="1"/>
      <c r="I84" s="1"/>
    </row>
    <row r="85">
      <c r="A85" s="253"/>
      <c r="E85" s="276"/>
      <c r="G85" s="1"/>
      <c r="H85" s="1"/>
      <c r="I85" s="1"/>
    </row>
    <row r="86">
      <c r="A86" s="253"/>
      <c r="E86" s="276"/>
      <c r="G86" s="1"/>
      <c r="H86" s="1"/>
      <c r="I86" s="1"/>
    </row>
    <row r="87">
      <c r="A87" s="253"/>
      <c r="E87" s="276"/>
      <c r="G87" s="1"/>
      <c r="H87" s="1"/>
      <c r="I87" s="1"/>
    </row>
    <row r="88">
      <c r="A88" s="253"/>
      <c r="E88" s="276"/>
      <c r="G88" s="1"/>
      <c r="H88" s="1"/>
      <c r="I88" s="1"/>
    </row>
    <row r="89">
      <c r="A89" s="253"/>
      <c r="E89" s="276"/>
      <c r="G89" s="1"/>
      <c r="H89" s="1"/>
      <c r="I89" s="1"/>
    </row>
    <row r="90">
      <c r="A90" s="253"/>
      <c r="E90" s="276"/>
      <c r="G90" s="1"/>
      <c r="H90" s="1"/>
      <c r="I90" s="1"/>
    </row>
    <row r="91">
      <c r="A91" s="253"/>
      <c r="E91" s="276"/>
      <c r="G91" s="1"/>
      <c r="H91" s="1"/>
      <c r="I91" s="1"/>
    </row>
    <row r="92">
      <c r="A92" s="253"/>
      <c r="E92" s="276"/>
      <c r="G92" s="1"/>
      <c r="H92" s="1"/>
      <c r="I92" s="1"/>
    </row>
    <row r="93">
      <c r="A93" s="253"/>
      <c r="E93" s="276"/>
      <c r="G93" s="1"/>
      <c r="H93" s="1"/>
      <c r="I93" s="1"/>
    </row>
    <row r="94">
      <c r="A94" s="253"/>
      <c r="E94" s="276"/>
      <c r="G94" s="1"/>
      <c r="H94" s="1"/>
      <c r="I94" s="1"/>
    </row>
    <row r="95">
      <c r="A95" s="253"/>
      <c r="E95" s="276"/>
      <c r="G95" s="1"/>
      <c r="H95" s="1"/>
      <c r="I95" s="1"/>
    </row>
    <row r="96">
      <c r="A96" s="253"/>
      <c r="E96" s="276"/>
      <c r="G96" s="1"/>
      <c r="H96" s="1"/>
      <c r="I96" s="1"/>
    </row>
    <row r="97">
      <c r="A97" s="253"/>
      <c r="E97" s="276"/>
      <c r="G97" s="1"/>
      <c r="H97" s="1"/>
      <c r="I97" s="1"/>
    </row>
    <row r="98">
      <c r="A98" s="253"/>
      <c r="E98" s="276"/>
      <c r="G98" s="1"/>
      <c r="H98" s="1"/>
      <c r="I98" s="1"/>
    </row>
    <row r="99">
      <c r="A99" s="253"/>
      <c r="E99" s="276"/>
      <c r="G99" s="1"/>
      <c r="H99" s="1"/>
      <c r="I99" s="1"/>
    </row>
    <row r="100">
      <c r="A100" s="253"/>
      <c r="E100" s="276"/>
      <c r="G100" s="1"/>
      <c r="H100" s="1"/>
      <c r="I100" s="1"/>
    </row>
    <row r="101">
      <c r="A101" s="253"/>
      <c r="E101" s="276"/>
      <c r="G101" s="1"/>
      <c r="H101" s="1"/>
      <c r="I101" s="1"/>
    </row>
    <row r="102">
      <c r="A102" s="253"/>
      <c r="E102" s="276"/>
      <c r="G102" s="1"/>
      <c r="H102" s="1"/>
      <c r="I102" s="1"/>
    </row>
    <row r="103">
      <c r="A103" s="253"/>
      <c r="E103" s="276"/>
      <c r="G103" s="1"/>
      <c r="H103" s="1"/>
      <c r="I103" s="1"/>
    </row>
    <row r="104">
      <c r="A104" s="253"/>
      <c r="E104" s="276"/>
      <c r="G104" s="1"/>
      <c r="H104" s="1"/>
      <c r="I104" s="1"/>
    </row>
    <row r="105">
      <c r="A105" s="253"/>
      <c r="E105" s="276"/>
      <c r="G105" s="1"/>
      <c r="H105" s="1"/>
      <c r="I105" s="1"/>
    </row>
    <row r="106">
      <c r="A106" s="253"/>
      <c r="E106" s="276"/>
      <c r="G106" s="1"/>
      <c r="H106" s="1"/>
      <c r="I106" s="1"/>
    </row>
    <row r="107">
      <c r="A107" s="253"/>
      <c r="E107" s="276"/>
      <c r="G107" s="1"/>
      <c r="H107" s="1"/>
      <c r="I107" s="1"/>
    </row>
    <row r="108">
      <c r="A108" s="253"/>
      <c r="E108" s="276"/>
      <c r="G108" s="1"/>
      <c r="H108" s="1"/>
      <c r="I108" s="1"/>
    </row>
    <row r="109">
      <c r="A109" s="253"/>
      <c r="E109" s="276"/>
      <c r="G109" s="1"/>
      <c r="H109" s="1"/>
      <c r="I109" s="1"/>
    </row>
    <row r="110">
      <c r="A110" s="253"/>
      <c r="E110" s="276"/>
      <c r="G110" s="1"/>
      <c r="H110" s="1"/>
      <c r="I110" s="1"/>
    </row>
    <row r="111">
      <c r="A111" s="253"/>
      <c r="E111" s="276"/>
      <c r="G111" s="1"/>
      <c r="H111" s="1"/>
      <c r="I111" s="1"/>
    </row>
    <row r="112">
      <c r="A112" s="253"/>
      <c r="E112" s="276"/>
      <c r="G112" s="1"/>
      <c r="H112" s="1"/>
      <c r="I112" s="1"/>
    </row>
    <row r="113">
      <c r="A113" s="253"/>
      <c r="E113" s="276"/>
      <c r="G113" s="1"/>
      <c r="H113" s="1"/>
      <c r="I113" s="1"/>
    </row>
    <row r="114">
      <c r="A114" s="253"/>
      <c r="E114" s="276"/>
      <c r="G114" s="1"/>
      <c r="H114" s="1"/>
      <c r="I114" s="1"/>
    </row>
    <row r="115">
      <c r="A115" s="253"/>
      <c r="E115" s="276"/>
      <c r="G115" s="1"/>
      <c r="H115" s="1"/>
      <c r="I115" s="1"/>
    </row>
    <row r="116">
      <c r="A116" s="253"/>
      <c r="E116" s="276"/>
      <c r="G116" s="1"/>
      <c r="H116" s="1"/>
      <c r="I116" s="1"/>
    </row>
    <row r="117">
      <c r="A117" s="253"/>
      <c r="E117" s="276"/>
      <c r="G117" s="1"/>
      <c r="H117" s="1"/>
      <c r="I117" s="1"/>
    </row>
    <row r="118">
      <c r="A118" s="253"/>
      <c r="E118" s="276"/>
      <c r="G118" s="1"/>
      <c r="H118" s="1"/>
      <c r="I118" s="1"/>
    </row>
    <row r="119">
      <c r="A119" s="253"/>
      <c r="E119" s="276"/>
      <c r="G119" s="1"/>
      <c r="H119" s="1"/>
      <c r="I119" s="1"/>
    </row>
    <row r="120">
      <c r="A120" s="253"/>
      <c r="E120" s="276"/>
      <c r="G120" s="1"/>
      <c r="H120" s="1"/>
      <c r="I120" s="1"/>
    </row>
    <row r="121">
      <c r="A121" s="253"/>
      <c r="E121" s="276"/>
      <c r="G121" s="1"/>
      <c r="H121" s="1"/>
      <c r="I121" s="1"/>
    </row>
    <row r="122">
      <c r="A122" s="253"/>
      <c r="E122" s="276"/>
      <c r="G122" s="1"/>
      <c r="H122" s="1"/>
      <c r="I122" s="1"/>
    </row>
    <row r="123">
      <c r="A123" s="253"/>
      <c r="E123" s="276"/>
      <c r="G123" s="1"/>
      <c r="H123" s="1"/>
      <c r="I123" s="1"/>
    </row>
    <row r="124">
      <c r="A124" s="253"/>
      <c r="E124" s="276"/>
      <c r="G124" s="1"/>
      <c r="H124" s="1"/>
      <c r="I124" s="1"/>
    </row>
    <row r="125">
      <c r="A125" s="253"/>
      <c r="E125" s="276"/>
      <c r="G125" s="1"/>
      <c r="H125" s="1"/>
      <c r="I125" s="1"/>
    </row>
    <row r="126">
      <c r="A126" s="253"/>
      <c r="E126" s="276"/>
      <c r="G126" s="1"/>
      <c r="H126" s="1"/>
      <c r="I126" s="1"/>
    </row>
    <row r="127">
      <c r="A127" s="253"/>
      <c r="E127" s="276"/>
      <c r="G127" s="1"/>
      <c r="H127" s="1"/>
      <c r="I127" s="1"/>
    </row>
    <row r="128">
      <c r="A128" s="253"/>
      <c r="E128" s="276"/>
      <c r="G128" s="1"/>
      <c r="H128" s="1"/>
      <c r="I128" s="1"/>
    </row>
    <row r="129">
      <c r="A129" s="253"/>
      <c r="E129" s="276"/>
      <c r="G129" s="1"/>
      <c r="H129" s="1"/>
      <c r="I129" s="1"/>
    </row>
    <row r="130">
      <c r="A130" s="253"/>
      <c r="E130" s="276"/>
      <c r="G130" s="1"/>
      <c r="H130" s="1"/>
      <c r="I130" s="1"/>
    </row>
    <row r="131">
      <c r="A131" s="253"/>
      <c r="E131" s="276"/>
      <c r="G131" s="1"/>
      <c r="H131" s="1"/>
      <c r="I131" s="1"/>
    </row>
    <row r="132">
      <c r="A132" s="253"/>
      <c r="E132" s="276"/>
      <c r="G132" s="1"/>
      <c r="H132" s="1"/>
      <c r="I132" s="1"/>
    </row>
    <row r="133">
      <c r="A133" s="253"/>
      <c r="E133" s="276"/>
      <c r="G133" s="1"/>
      <c r="H133" s="1"/>
      <c r="I133" s="1"/>
    </row>
    <row r="134">
      <c r="A134" s="253"/>
      <c r="E134" s="276"/>
      <c r="G134" s="1"/>
      <c r="H134" s="1"/>
      <c r="I134" s="1"/>
    </row>
    <row r="135">
      <c r="A135" s="253"/>
      <c r="E135" s="276"/>
      <c r="G135" s="1"/>
      <c r="H135" s="1"/>
      <c r="I135" s="1"/>
    </row>
    <row r="136">
      <c r="A136" s="253"/>
      <c r="E136" s="276"/>
      <c r="G136" s="1"/>
      <c r="H136" s="1"/>
      <c r="I136" s="1"/>
    </row>
    <row r="137">
      <c r="A137" s="253"/>
      <c r="E137" s="276"/>
      <c r="G137" s="1"/>
      <c r="H137" s="1"/>
      <c r="I137" s="1"/>
    </row>
    <row r="138">
      <c r="A138" s="253"/>
      <c r="E138" s="276"/>
      <c r="G138" s="1"/>
      <c r="H138" s="1"/>
      <c r="I138" s="1"/>
    </row>
    <row r="139">
      <c r="A139" s="253"/>
      <c r="E139" s="276"/>
      <c r="G139" s="1"/>
      <c r="H139" s="1"/>
      <c r="I139" s="1"/>
    </row>
    <row r="140">
      <c r="A140" s="253"/>
      <c r="E140" s="276"/>
      <c r="G140" s="1"/>
      <c r="H140" s="1"/>
      <c r="I140" s="1"/>
    </row>
    <row r="141">
      <c r="A141" s="253"/>
      <c r="E141" s="276"/>
      <c r="G141" s="1"/>
      <c r="H141" s="1"/>
      <c r="I141" s="1"/>
    </row>
    <row r="142">
      <c r="A142" s="253"/>
      <c r="E142" s="276"/>
      <c r="G142" s="1"/>
      <c r="H142" s="1"/>
      <c r="I142" s="1"/>
    </row>
    <row r="143">
      <c r="A143" s="253"/>
      <c r="E143" s="276"/>
      <c r="G143" s="1"/>
      <c r="H143" s="1"/>
      <c r="I143" s="1"/>
    </row>
    <row r="144">
      <c r="A144" s="253"/>
      <c r="E144" s="276"/>
      <c r="G144" s="1"/>
      <c r="H144" s="1"/>
      <c r="I144" s="1"/>
    </row>
    <row r="145">
      <c r="A145" s="253"/>
      <c r="E145" s="276"/>
      <c r="G145" s="1"/>
      <c r="H145" s="1"/>
      <c r="I145" s="1"/>
    </row>
    <row r="146">
      <c r="A146" s="253"/>
      <c r="E146" s="276"/>
      <c r="G146" s="1"/>
      <c r="H146" s="1"/>
      <c r="I146" s="1"/>
    </row>
    <row r="147">
      <c r="A147" s="253"/>
      <c r="E147" s="276"/>
      <c r="G147" s="1"/>
      <c r="H147" s="1"/>
      <c r="I147" s="1"/>
    </row>
    <row r="148">
      <c r="A148" s="253"/>
      <c r="E148" s="276"/>
      <c r="G148" s="1"/>
      <c r="H148" s="1"/>
      <c r="I148" s="1"/>
    </row>
    <row r="149">
      <c r="A149" s="253"/>
      <c r="E149" s="276"/>
      <c r="G149" s="1"/>
      <c r="H149" s="1"/>
      <c r="I149" s="1"/>
    </row>
    <row r="150">
      <c r="A150" s="253"/>
      <c r="E150" s="276"/>
      <c r="G150" s="1"/>
      <c r="H150" s="1"/>
      <c r="I150" s="1"/>
    </row>
    <row r="151">
      <c r="A151" s="253"/>
      <c r="E151" s="276"/>
      <c r="G151" s="1"/>
      <c r="H151" s="1"/>
      <c r="I151" s="1"/>
    </row>
    <row r="152">
      <c r="A152" s="253"/>
      <c r="E152" s="276"/>
      <c r="G152" s="1"/>
      <c r="H152" s="1"/>
      <c r="I152" s="1"/>
    </row>
    <row r="153">
      <c r="A153" s="253"/>
      <c r="E153" s="276"/>
      <c r="G153" s="1"/>
      <c r="H153" s="1"/>
      <c r="I153" s="1"/>
    </row>
    <row r="154">
      <c r="A154" s="253"/>
      <c r="E154" s="276"/>
      <c r="G154" s="1"/>
      <c r="H154" s="1"/>
      <c r="I154" s="1"/>
    </row>
    <row r="155">
      <c r="A155" s="253"/>
      <c r="E155" s="276"/>
      <c r="G155" s="1"/>
      <c r="H155" s="1"/>
      <c r="I155" s="1"/>
    </row>
    <row r="156">
      <c r="A156" s="253"/>
      <c r="E156" s="276"/>
      <c r="G156" s="1"/>
      <c r="H156" s="1"/>
      <c r="I156" s="1"/>
    </row>
    <row r="157">
      <c r="A157" s="253"/>
      <c r="E157" s="276"/>
      <c r="G157" s="1"/>
      <c r="H157" s="1"/>
      <c r="I157" s="1"/>
    </row>
    <row r="158">
      <c r="A158" s="253"/>
      <c r="E158" s="276"/>
      <c r="G158" s="1"/>
      <c r="H158" s="1"/>
      <c r="I158" s="1"/>
    </row>
    <row r="159">
      <c r="A159" s="253"/>
      <c r="E159" s="276"/>
      <c r="G159" s="1"/>
      <c r="H159" s="1"/>
      <c r="I159" s="1"/>
    </row>
    <row r="160">
      <c r="A160" s="253"/>
      <c r="E160" s="276"/>
      <c r="G160" s="1"/>
      <c r="H160" s="1"/>
      <c r="I160" s="1"/>
    </row>
    <row r="161">
      <c r="A161" s="253"/>
      <c r="E161" s="276"/>
      <c r="G161" s="1"/>
      <c r="H161" s="1"/>
      <c r="I161" s="1"/>
    </row>
    <row r="162">
      <c r="A162" s="253"/>
      <c r="E162" s="276"/>
      <c r="G162" s="1"/>
      <c r="H162" s="1"/>
      <c r="I162" s="1"/>
    </row>
    <row r="163">
      <c r="A163" s="253"/>
      <c r="E163" s="276"/>
      <c r="G163" s="1"/>
      <c r="H163" s="1"/>
      <c r="I163" s="1"/>
    </row>
    <row r="164">
      <c r="A164" s="253"/>
      <c r="E164" s="276"/>
      <c r="G164" s="1"/>
      <c r="H164" s="1"/>
      <c r="I164" s="1"/>
    </row>
    <row r="165">
      <c r="A165" s="253"/>
      <c r="E165" s="276"/>
      <c r="G165" s="1"/>
      <c r="H165" s="1"/>
      <c r="I165" s="1"/>
    </row>
    <row r="166">
      <c r="A166" s="253"/>
      <c r="E166" s="276"/>
      <c r="G166" s="1"/>
      <c r="H166" s="1"/>
      <c r="I166" s="1"/>
    </row>
    <row r="167">
      <c r="A167" s="253"/>
      <c r="E167" s="276"/>
      <c r="G167" s="1"/>
      <c r="H167" s="1"/>
      <c r="I167" s="1"/>
    </row>
    <row r="168">
      <c r="A168" s="253"/>
      <c r="E168" s="276"/>
      <c r="G168" s="1"/>
      <c r="H168" s="1"/>
      <c r="I168" s="1"/>
    </row>
    <row r="169">
      <c r="A169" s="253"/>
      <c r="E169" s="276"/>
      <c r="G169" s="1"/>
      <c r="H169" s="1"/>
      <c r="I169" s="1"/>
    </row>
    <row r="170">
      <c r="A170" s="253"/>
      <c r="E170" s="276"/>
      <c r="G170" s="1"/>
      <c r="H170" s="1"/>
      <c r="I170" s="1"/>
    </row>
    <row r="171">
      <c r="A171" s="253"/>
      <c r="E171" s="276"/>
      <c r="G171" s="1"/>
      <c r="H171" s="1"/>
      <c r="I171" s="1"/>
    </row>
    <row r="172">
      <c r="A172" s="253"/>
      <c r="E172" s="276"/>
      <c r="G172" s="1"/>
      <c r="H172" s="1"/>
      <c r="I172" s="1"/>
    </row>
    <row r="173">
      <c r="A173" s="253"/>
      <c r="E173" s="276"/>
      <c r="G173" s="1"/>
      <c r="H173" s="1"/>
      <c r="I173" s="1"/>
    </row>
    <row r="174">
      <c r="A174" s="253"/>
      <c r="E174" s="276"/>
      <c r="G174" s="1"/>
      <c r="H174" s="1"/>
      <c r="I174" s="1"/>
    </row>
    <row r="175">
      <c r="A175" s="253"/>
      <c r="E175" s="276"/>
      <c r="G175" s="1"/>
      <c r="H175" s="1"/>
      <c r="I175" s="1"/>
    </row>
    <row r="176">
      <c r="A176" s="253"/>
      <c r="E176" s="276"/>
      <c r="G176" s="1"/>
      <c r="H176" s="1"/>
      <c r="I176" s="1"/>
    </row>
    <row r="177">
      <c r="A177" s="253"/>
      <c r="E177" s="276"/>
      <c r="G177" s="1"/>
      <c r="H177" s="1"/>
      <c r="I177" s="1"/>
    </row>
    <row r="178">
      <c r="A178" s="253"/>
      <c r="E178" s="276"/>
      <c r="G178" s="1"/>
      <c r="H178" s="1"/>
      <c r="I178" s="1"/>
    </row>
    <row r="179">
      <c r="A179" s="253"/>
      <c r="E179" s="276"/>
      <c r="G179" s="1"/>
      <c r="H179" s="1"/>
      <c r="I179" s="1"/>
    </row>
    <row r="180">
      <c r="A180" s="253"/>
      <c r="E180" s="276"/>
      <c r="G180" s="1"/>
      <c r="H180" s="1"/>
      <c r="I180" s="1"/>
    </row>
    <row r="181">
      <c r="A181" s="253"/>
      <c r="E181" s="276"/>
      <c r="G181" s="1"/>
      <c r="H181" s="1"/>
      <c r="I181" s="1"/>
    </row>
    <row r="182">
      <c r="A182" s="253"/>
      <c r="E182" s="276"/>
      <c r="G182" s="1"/>
      <c r="H182" s="1"/>
      <c r="I182" s="1"/>
    </row>
    <row r="183">
      <c r="A183" s="253"/>
      <c r="E183" s="276"/>
      <c r="G183" s="1"/>
      <c r="H183" s="1"/>
      <c r="I183" s="1"/>
    </row>
    <row r="184">
      <c r="A184" s="253"/>
      <c r="E184" s="276"/>
      <c r="G184" s="1"/>
      <c r="H184" s="1"/>
      <c r="I184" s="1"/>
    </row>
    <row r="185">
      <c r="A185" s="253"/>
      <c r="E185" s="276"/>
      <c r="G185" s="1"/>
      <c r="H185" s="1"/>
      <c r="I185" s="1"/>
    </row>
    <row r="186">
      <c r="A186" s="253"/>
      <c r="E186" s="276"/>
      <c r="G186" s="1"/>
      <c r="H186" s="1"/>
      <c r="I186" s="1"/>
    </row>
    <row r="187">
      <c r="A187" s="253"/>
      <c r="E187" s="276"/>
      <c r="G187" s="1"/>
      <c r="H187" s="1"/>
      <c r="I187" s="1"/>
    </row>
    <row r="188">
      <c r="A188" s="253"/>
      <c r="E188" s="276"/>
      <c r="G188" s="1"/>
      <c r="H188" s="1"/>
      <c r="I188" s="1"/>
    </row>
    <row r="189">
      <c r="A189" s="253"/>
      <c r="E189" s="276"/>
      <c r="G189" s="1"/>
      <c r="H189" s="1"/>
      <c r="I189" s="1"/>
    </row>
    <row r="190">
      <c r="A190" s="253"/>
      <c r="E190" s="276"/>
      <c r="G190" s="1"/>
      <c r="H190" s="1"/>
      <c r="I190" s="1"/>
    </row>
    <row r="191">
      <c r="A191" s="253"/>
      <c r="E191" s="276"/>
      <c r="G191" s="1"/>
      <c r="H191" s="1"/>
      <c r="I191" s="1"/>
    </row>
    <row r="192">
      <c r="A192" s="253"/>
      <c r="E192" s="276"/>
      <c r="G192" s="1"/>
      <c r="H192" s="1"/>
      <c r="I192" s="1"/>
    </row>
    <row r="193">
      <c r="A193" s="253"/>
      <c r="E193" s="276"/>
      <c r="G193" s="1"/>
      <c r="H193" s="1"/>
      <c r="I193" s="1"/>
    </row>
    <row r="194">
      <c r="A194" s="253"/>
      <c r="E194" s="276"/>
      <c r="G194" s="1"/>
      <c r="H194" s="1"/>
      <c r="I194" s="1"/>
    </row>
    <row r="195">
      <c r="A195" s="253"/>
      <c r="E195" s="276"/>
      <c r="G195" s="1"/>
      <c r="H195" s="1"/>
      <c r="I195" s="1"/>
    </row>
    <row r="196">
      <c r="A196" s="253"/>
      <c r="E196" s="276"/>
      <c r="G196" s="1"/>
      <c r="H196" s="1"/>
      <c r="I196" s="1"/>
    </row>
    <row r="197">
      <c r="A197" s="253"/>
      <c r="E197" s="276"/>
      <c r="G197" s="1"/>
      <c r="H197" s="1"/>
      <c r="I197" s="1"/>
    </row>
    <row r="198">
      <c r="A198" s="269"/>
      <c r="B198" s="266"/>
      <c r="C198" s="266"/>
      <c r="D198" s="266"/>
      <c r="E198" s="279"/>
      <c r="G198" s="1"/>
      <c r="H198" s="1"/>
      <c r="I198" s="1"/>
    </row>
  </sheetData>
  <legacyDrawing r:id="rId1"/>
  <extLst>
    <ext xmlns:x14="http://schemas.microsoft.com/office/spreadsheetml/2009/9/main" uri="{CCE6A557-97BC-4b89-ADB6-D9C93CAAB3DF}">
      <x14:dataValidations xmlns:xm="http://schemas.microsoft.com/office/excel/2006/main" count="2">
        <x14:dataValidation type="list" allowBlank="true" errorStyle="stop" showErrorMessage="true" xr:uid="{EA87F3C6-0AC9-4367-A3CE-0ADEBD2D489E}">
          <x14:formula1>
            <xm:f>'引用数据库'!$S$2:$S$20</xm:f>
          </x14:formula1>
          <xm:sqref>F2:F7</xm:sqref>
        </x14:dataValidation>
        <x14:dataValidation type="list" allowBlank="true" errorStyle="stop" showErrorMessage="true" xr:uid="{43EB69ED-8061-47CA-BC8B-7CDB4AF91DC9}">
          <x14:formula1>
            <xm:f>'引用数据库'!$N$2:$N$25</xm:f>
          </x14:formula1>
          <xm:sqref>F8:F19</xm:sqref>
        </x14:dataValidation>
      </x14:dataValidations>
    </ext>
  </extLst>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7"/>
    <col collapsed="false" customWidth="true" hidden="false" max="5" min="5" style="0" width="17"/>
  </cols>
  <sheetData>
    <row r="1">
      <c r="A1" s="17" t="str">
        <v>武器种类</v>
      </c>
      <c r="B1" s="17" t="str">
        <v>参考冲击力等级</v>
      </c>
      <c r="C1" s="17" t="str">
        <v>角色种类</v>
      </c>
      <c r="D1" s="17" t="str">
        <v>参考韧性等级</v>
      </c>
      <c r="E1" s="280" t="str">
        <v>韧性事件触发规则：</v>
      </c>
    </row>
    <row r="2">
      <c r="A2" t="str">
        <v>手枪</v>
      </c>
      <c r="B2" s="4">
        <v>1</v>
      </c>
      <c r="C2" s="4" t="str">
        <v>普通敌人（无护甲）</v>
      </c>
      <c r="D2" s="4">
        <v>0</v>
      </c>
      <c r="E2" s="280"/>
    </row>
    <row r="3">
      <c r="A3" t="str">
        <v>步枪</v>
      </c>
      <c r="B3" s="4">
        <v>2</v>
      </c>
      <c r="C3" s="4" t="str">
        <v>普通敌人（有护甲）</v>
      </c>
      <c r="D3" s="4">
        <v>1</v>
      </c>
      <c r="E3" s="280"/>
    </row>
    <row r="4">
      <c r="A4" t="str">
        <v>冲锋枪</v>
      </c>
      <c r="B4" s="4">
        <v>2</v>
      </c>
      <c r="C4" s="4" t="str">
        <v>玩家（无护甲）</v>
      </c>
      <c r="D4" s="4">
        <v>1</v>
      </c>
      <c r="E4" s="280"/>
    </row>
    <row r="5">
      <c r="A5" t="str">
        <v>霰弹枪</v>
      </c>
      <c r="B5" s="4">
        <v>3</v>
      </c>
      <c r="C5" s="4" t="str">
        <v>玩家（有护甲）</v>
      </c>
      <c r="D5" s="4">
        <v>2</v>
      </c>
      <c r="E5" s="280"/>
    </row>
    <row r="6">
      <c r="A6" t="str">
        <v>发射器</v>
      </c>
      <c r="B6" s="4">
        <v>4</v>
      </c>
      <c r="C6" s="4" t="str">
        <v>精英敌人（无护甲）</v>
      </c>
      <c r="D6" s="4">
        <v>2</v>
      </c>
      <c r="E6" s="280"/>
    </row>
    <row r="7">
      <c r="A7" t="str">
        <v>短刀</v>
      </c>
      <c r="B7" s="4">
        <v>2</v>
      </c>
      <c r="C7" s="4" t="str">
        <v>精英敌人（有护甲）</v>
      </c>
      <c r="D7" s="4">
        <v>3</v>
      </c>
      <c r="E7" s="280"/>
    </row>
    <row r="8">
      <c r="A8" t="str">
        <v>长刀</v>
      </c>
      <c r="B8" s="4">
        <v>3</v>
      </c>
      <c r="C8" s="4" t="str">
        <v>重型敌人（无护甲）</v>
      </c>
      <c r="D8" s="4">
        <v>3</v>
      </c>
      <c r="E8" s="280"/>
    </row>
    <row r="9">
      <c r="A9" t="str">
        <v>锤</v>
      </c>
      <c r="B9" s="4">
        <v>3</v>
      </c>
      <c r="C9" s="4" t="str">
        <v>重型敌人（有护甲）</v>
      </c>
      <c r="D9" s="4">
        <v>4</v>
      </c>
      <c r="E9" s="280"/>
    </row>
    <row r="10">
      <c r="A10" t="str">
        <v>巨锤</v>
      </c>
      <c r="B10" s="4">
        <v>4</v>
      </c>
      <c r="E10" s="280"/>
    </row>
    <row r="11">
      <c r="A11" t="str">
        <v>拳套</v>
      </c>
      <c r="B11" s="4">
        <v>2</v>
      </c>
      <c r="E11" s="280"/>
    </row>
    <row r="12">
      <c r="A12" t="str">
        <v>武士刀</v>
      </c>
      <c r="B12" s="4">
        <v>3</v>
      </c>
      <c r="E12" s="280"/>
    </row>
    <row r="13">
      <c r="E13" s="280"/>
    </row>
    <row r="14">
      <c r="E14" s="280"/>
    </row>
    <row r="15">
      <c r="E15" s="280"/>
    </row>
    <row r="16">
      <c r="E16" s="280"/>
    </row>
    <row r="17">
      <c r="E17" s="280"/>
    </row>
    <row r="18">
      <c r="E18" s="280"/>
    </row>
    <row r="19">
      <c r="E19" s="280"/>
    </row>
    <row r="20">
      <c r="E20" s="280"/>
    </row>
    <row r="21">
      <c r="E21" s="280"/>
    </row>
    <row r="22">
      <c r="E22" s="280"/>
    </row>
    <row r="23">
      <c r="E23" s="280"/>
    </row>
    <row r="24">
      <c r="E24" s="280"/>
    </row>
    <row r="25">
      <c r="E25" s="280"/>
    </row>
    <row r="26">
      <c r="E26" s="280"/>
    </row>
    <row r="27">
      <c r="E27" s="280"/>
    </row>
    <row r="28">
      <c r="E28" s="280"/>
    </row>
    <row r="29">
      <c r="E29" s="280"/>
    </row>
    <row r="30">
      <c r="E30" s="280"/>
    </row>
    <row r="31">
      <c r="E31" s="280"/>
    </row>
    <row r="32">
      <c r="E32" s="280"/>
    </row>
    <row r="33">
      <c r="E33" s="280"/>
    </row>
    <row r="34">
      <c r="E34" s="280"/>
    </row>
    <row r="35">
      <c r="E35" s="280"/>
    </row>
    <row r="36">
      <c r="E36" s="280"/>
    </row>
    <row r="37">
      <c r="E37" s="280"/>
    </row>
    <row r="38">
      <c r="E38" s="280"/>
    </row>
    <row r="39">
      <c r="E39" s="280"/>
    </row>
    <row r="40">
      <c r="E40" s="280"/>
    </row>
    <row r="41">
      <c r="E41" s="280"/>
    </row>
    <row r="42">
      <c r="E42" s="280"/>
    </row>
    <row r="43">
      <c r="E43" s="280"/>
    </row>
    <row r="44">
      <c r="E44" s="280"/>
    </row>
    <row r="45">
      <c r="E45" s="280"/>
    </row>
    <row r="46">
      <c r="E46" s="280"/>
    </row>
    <row r="47">
      <c r="E47" s="280"/>
    </row>
    <row r="48">
      <c r="E48" s="280"/>
    </row>
    <row r="49">
      <c r="E49" s="280"/>
    </row>
    <row r="50">
      <c r="E50" s="280"/>
    </row>
    <row r="51">
      <c r="E51" s="280"/>
    </row>
    <row r="52">
      <c r="E52" s="280"/>
    </row>
    <row r="53">
      <c r="E53" s="280"/>
    </row>
    <row r="54">
      <c r="E54" s="280"/>
    </row>
    <row r="55">
      <c r="E55" s="280"/>
    </row>
    <row r="56">
      <c r="E56" s="280"/>
    </row>
    <row r="57">
      <c r="E57" s="280"/>
    </row>
    <row r="58">
      <c r="E58" s="280"/>
    </row>
    <row r="59">
      <c r="E59" s="280"/>
    </row>
    <row r="60">
      <c r="E60" s="280"/>
    </row>
    <row r="61">
      <c r="E61" s="280"/>
    </row>
    <row r="62">
      <c r="E62" s="280"/>
    </row>
    <row r="63">
      <c r="E63" s="280"/>
    </row>
    <row r="64">
      <c r="E64" s="280"/>
    </row>
    <row r="65">
      <c r="E65" s="280"/>
    </row>
    <row r="66">
      <c r="E66" s="280"/>
    </row>
    <row r="67">
      <c r="E67" s="280"/>
    </row>
    <row r="68">
      <c r="E68" s="280"/>
    </row>
    <row r="69">
      <c r="E69" s="280"/>
    </row>
    <row r="70">
      <c r="E70" s="280"/>
    </row>
    <row r="71">
      <c r="E71" s="280"/>
    </row>
    <row r="72">
      <c r="E72" s="280"/>
    </row>
    <row r="73">
      <c r="E73" s="280"/>
    </row>
    <row r="74">
      <c r="E74" s="280"/>
    </row>
    <row r="75">
      <c r="E75" s="280"/>
    </row>
    <row r="76">
      <c r="E76" s="280"/>
    </row>
    <row r="77">
      <c r="E77" s="280"/>
    </row>
    <row r="78">
      <c r="E78" s="280"/>
    </row>
    <row r="79">
      <c r="E79" s="280"/>
    </row>
    <row r="80">
      <c r="E80" s="280"/>
    </row>
    <row r="81">
      <c r="E81" s="280"/>
    </row>
    <row r="82">
      <c r="E82" s="280"/>
    </row>
    <row r="83">
      <c r="E83" s="280"/>
    </row>
    <row r="84">
      <c r="E84" s="280"/>
    </row>
    <row r="85">
      <c r="E85" s="280"/>
    </row>
    <row r="86">
      <c r="E86" s="280"/>
    </row>
    <row r="87">
      <c r="E87" s="280"/>
    </row>
    <row r="88">
      <c r="E88" s="280"/>
    </row>
    <row r="89">
      <c r="E89" s="280"/>
    </row>
    <row r="90">
      <c r="E90" s="280"/>
    </row>
    <row r="91">
      <c r="E91" s="280"/>
    </row>
    <row r="92">
      <c r="E92" s="280"/>
    </row>
    <row r="93">
      <c r="E93" s="280"/>
    </row>
    <row r="94">
      <c r="E94" s="280"/>
    </row>
    <row r="95">
      <c r="E95" s="280"/>
    </row>
    <row r="96">
      <c r="E96" s="280"/>
    </row>
    <row r="97">
      <c r="E97" s="280"/>
    </row>
    <row r="98">
      <c r="E98" s="280"/>
    </row>
    <row r="99">
      <c r="E99" s="280"/>
    </row>
    <row r="100">
      <c r="E100" s="280"/>
    </row>
    <row r="101">
      <c r="E101" s="280"/>
    </row>
    <row r="102">
      <c r="E102" s="280"/>
    </row>
    <row r="103">
      <c r="E103" s="280"/>
    </row>
    <row r="104">
      <c r="E104" s="280"/>
    </row>
    <row r="105">
      <c r="E105" s="280"/>
    </row>
    <row r="106">
      <c r="E106" s="280"/>
    </row>
    <row r="107">
      <c r="E107" s="280"/>
    </row>
    <row r="108">
      <c r="E108" s="280"/>
    </row>
    <row r="109">
      <c r="E109" s="280"/>
    </row>
    <row r="110">
      <c r="E110" s="280"/>
    </row>
    <row r="111">
      <c r="E111" s="280"/>
    </row>
    <row r="112">
      <c r="E112" s="280"/>
    </row>
    <row r="113">
      <c r="E113" s="280"/>
    </row>
    <row r="114">
      <c r="E114" s="280"/>
    </row>
    <row r="115">
      <c r="E115" s="280"/>
    </row>
    <row r="116">
      <c r="E116" s="280"/>
    </row>
    <row r="117">
      <c r="E117" s="280"/>
    </row>
    <row r="118">
      <c r="E118" s="280"/>
    </row>
    <row r="119">
      <c r="E119" s="280"/>
    </row>
    <row r="120">
      <c r="E120" s="280"/>
    </row>
    <row r="121">
      <c r="E121" s="280"/>
    </row>
    <row r="122">
      <c r="E122" s="280"/>
    </row>
    <row r="123">
      <c r="E123" s="280"/>
    </row>
    <row r="124">
      <c r="E124" s="280"/>
    </row>
    <row r="125">
      <c r="E125" s="280"/>
    </row>
    <row r="126">
      <c r="E126" s="280"/>
    </row>
    <row r="127">
      <c r="E127" s="280"/>
    </row>
    <row r="128">
      <c r="E128" s="280"/>
    </row>
    <row r="129">
      <c r="E129" s="280"/>
    </row>
    <row r="130">
      <c r="E130" s="280"/>
    </row>
    <row r="131">
      <c r="E131" s="280"/>
    </row>
    <row r="132">
      <c r="E132" s="280"/>
    </row>
    <row r="133">
      <c r="E133" s="280"/>
    </row>
    <row r="134">
      <c r="E134" s="280"/>
    </row>
    <row r="135">
      <c r="E135" s="280"/>
    </row>
    <row r="136">
      <c r="E136" s="280"/>
    </row>
    <row r="137">
      <c r="E137" s="280"/>
    </row>
    <row r="138">
      <c r="E138" s="280"/>
    </row>
    <row r="139">
      <c r="E139" s="280"/>
    </row>
    <row r="140">
      <c r="E140" s="280"/>
    </row>
    <row r="141">
      <c r="E141" s="280"/>
    </row>
    <row r="142">
      <c r="E142" s="280"/>
    </row>
    <row r="143">
      <c r="E143" s="280"/>
    </row>
    <row r="144">
      <c r="E144" s="280"/>
    </row>
    <row r="145">
      <c r="E145" s="280"/>
    </row>
    <row r="146">
      <c r="E146" s="280"/>
    </row>
    <row r="147">
      <c r="E147" s="280"/>
    </row>
    <row r="148">
      <c r="E148" s="280"/>
    </row>
    <row r="149">
      <c r="E149" s="280"/>
    </row>
    <row r="150">
      <c r="E150" s="280"/>
    </row>
    <row r="151">
      <c r="E151" s="280"/>
    </row>
    <row r="152">
      <c r="E152" s="280"/>
    </row>
    <row r="153">
      <c r="E153" s="280"/>
    </row>
    <row r="154">
      <c r="E154" s="280"/>
    </row>
    <row r="155">
      <c r="E155" s="280"/>
    </row>
    <row r="156">
      <c r="E156" s="280"/>
    </row>
    <row r="157">
      <c r="E157" s="280"/>
    </row>
    <row r="158">
      <c r="E158" s="280"/>
    </row>
    <row r="159">
      <c r="E159" s="280"/>
    </row>
    <row r="160">
      <c r="E160" s="280"/>
    </row>
    <row r="161">
      <c r="E161" s="280"/>
    </row>
    <row r="162">
      <c r="E162" s="280"/>
    </row>
    <row r="163">
      <c r="E163" s="280"/>
    </row>
    <row r="164">
      <c r="E164" s="280"/>
    </row>
    <row r="165">
      <c r="E165" s="280"/>
    </row>
    <row r="166">
      <c r="E166" s="280"/>
    </row>
    <row r="167">
      <c r="E167" s="280"/>
    </row>
    <row r="168">
      <c r="E168" s="280"/>
    </row>
    <row r="169">
      <c r="E169" s="280"/>
    </row>
    <row r="170">
      <c r="E170" s="280"/>
    </row>
    <row r="171">
      <c r="E171" s="280"/>
    </row>
    <row r="172">
      <c r="E172" s="280"/>
    </row>
    <row r="173">
      <c r="E173" s="280"/>
    </row>
    <row r="174">
      <c r="E174" s="280"/>
    </row>
    <row r="175">
      <c r="E175" s="280"/>
    </row>
    <row r="176">
      <c r="E176" s="280"/>
    </row>
    <row r="177">
      <c r="E177" s="280"/>
    </row>
    <row r="178">
      <c r="E178" s="280"/>
    </row>
    <row r="179">
      <c r="E179" s="280"/>
    </row>
    <row r="180">
      <c r="E180" s="280"/>
    </row>
    <row r="181">
      <c r="E181" s="280"/>
    </row>
    <row r="182">
      <c r="E182" s="280"/>
    </row>
    <row r="183">
      <c r="E183" s="280"/>
    </row>
    <row r="184">
      <c r="E184" s="280"/>
    </row>
    <row r="185">
      <c r="E185" s="280"/>
    </row>
    <row r="186">
      <c r="E186" s="280"/>
    </row>
    <row r="187">
      <c r="E187" s="280"/>
    </row>
    <row r="188">
      <c r="E188" s="280"/>
    </row>
    <row r="189">
      <c r="E189" s="280"/>
    </row>
    <row r="190">
      <c r="E190" s="280"/>
    </row>
    <row r="191">
      <c r="E191" s="280"/>
    </row>
    <row r="192">
      <c r="E192" s="280"/>
    </row>
    <row r="193">
      <c r="E193" s="280"/>
    </row>
    <row r="194">
      <c r="E194" s="280"/>
    </row>
    <row r="195">
      <c r="E195" s="280"/>
    </row>
    <row r="196">
      <c r="E196" s="280"/>
    </row>
  </sheetData>
  <extLst>
    <ext xmlns:x14="http://schemas.microsoft.com/office/spreadsheetml/2009/9/main" uri="{CCE6A557-97BC-4b89-ADB6-D9C93CAAB3DF}">
      <x14:dataValidations xmlns:xm="http://schemas.microsoft.com/office/excel/2006/main" count="1">
        <x14:dataValidation type="list" allowBlank="true" errorStyle="stop" showErrorMessage="true" xr:uid="{794D03E0-E569-47AA-AAC0-908D3F00F40D}">
          <x14:formula1>
            <xm:f>'引用数据库'!$N$2:$N$25</xm:f>
          </x14:formula1>
          <xm:sqref>A2:A12</xm:sqref>
        </x14:dataValidation>
      </x14:dataValidations>
    </ext>
  </extLst>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4" min="4" style="0" width="42"/>
  </cols>
  <sheetData>
    <row r="1">
      <c r="A1" s="286" t="str">
        <v>中文名称</v>
      </c>
      <c r="B1" s="286" t="str">
        <v>阵营</v>
      </c>
      <c r="C1" s="286" t="str">
        <v>类型</v>
      </c>
      <c r="D1" s="286" t="str">
        <v>技能描述</v>
      </c>
      <c r="E1" s="285" t="str">
        <v>系列名称</v>
      </c>
      <c r="F1" s="285" t="str">
        <v>英文名</v>
      </c>
      <c r="G1" s="285" t="str">
        <v>风格与机制简述</v>
      </c>
      <c r="H1" s="285" t="str">
        <v>备注</v>
      </c>
    </row>
    <row r="2">
      <c r="A2" s="284" t="str">
        <v>“负债人”静脉过滤器</v>
      </c>
      <c r="B2" s="284" t="str">
        <v>新浦会</v>
      </c>
      <c r="C2" s="284" t="str">
        <v>行为芯片</v>
      </c>
      <c r="D2" s="284" t="str">
        <v>一次性减少生命超过最大生命值的 {20%} 时，获得在{3s}“吸血”效果。该效果触发期间再次失去生命值不会重复触发。</v>
      </c>
      <c r="E2" s="282" t="str">
        <v>奥德赛</v>
      </c>
      <c r="F2" s="283" t="str">
        <v>Odyssey</v>
      </c>
      <c r="G2" s="283" t="s">
        <v>51</v>
      </c>
      <c r="H2" s="283" t="str">
        <v>现有</v>
      </c>
    </row>
    <row r="3">
      <c r="A3" s="284" t="str">
        <v>“街口诊所”备用血袋</v>
      </c>
      <c r="B3" s="284" t="str">
        <v>劳旅</v>
      </c>
      <c r="C3" s="284" t="str">
        <v>行为芯片</v>
      </c>
      <c r="D3" s="284" t="str">
        <v>生命值降低到 {30%} 以下时，立即恢复{30%}生命值。该效果在击杀敌人后可以再次触发。</v>
      </c>
      <c r="E3" s="282" t="str">
        <v>公域</v>
      </c>
      <c r="F3" s="283" t="str">
        <v>Public Domain</v>
      </c>
      <c r="G3" s="283" t="s">
        <v>54</v>
      </c>
      <c r="H3" s="282" t="str">
        <v>新增</v>
      </c>
    </row>
    <row r="4">
      <c r="A4" s="284" t="str">
        <v>“回声债务”信用计算器</v>
      </c>
      <c r="B4" s="284" t="str">
        <v>新浦会</v>
      </c>
      <c r="C4" s="284" t="str">
        <v>行为芯片</v>
      </c>
      <c r="D4" s="284" t="str">
        <v>你每拥有 {100} 信用点，获得 {1} 层永久“狂热”效果。</v>
      </c>
      <c r="E4" s="282" t="str">
        <v>档案馆</v>
      </c>
      <c r="F4" s="283" t="str">
        <v>Archive</v>
      </c>
      <c r="G4" s="283" t="s">
        <v>56</v>
      </c>
      <c r="H4" s="282" t="str">
        <v>新增</v>
      </c>
    </row>
    <row r="5">
      <c r="A5" s="281" t="str">
        <v>“高利贷”风险评估芯片</v>
      </c>
      <c r="B5" s="281" t="str">
        <v>新浦会</v>
      </c>
      <c r="C5" s="281" t="str">
        <v>行为芯片</v>
      </c>
      <c r="D5" s="281" t="str">
        <v>消耗信用点后{10s}内，你的武器攻击和武器技能对敌人施加的“易伤”效果强度提高。</v>
      </c>
      <c r="E5" s="282" t="str">
        <v>图灵</v>
      </c>
      <c r="F5" s="283" t="str">
        <v>Turing</v>
      </c>
      <c r="G5" s="283" t="s">
        <v>39</v>
      </c>
      <c r="H5" s="282" t="str">
        <v>新增</v>
      </c>
    </row>
    <row r="6">
      <c r="A6" s="284" t="str">
        <v>“井下路线”折返骨架</v>
      </c>
      <c r="B6" s="284" t="str">
        <v>劳旅</v>
      </c>
      <c r="C6" s="284" t="str">
        <v>腿部</v>
      </c>
      <c r="D6" s="284" t="str">
        <v>在同一楼层中，你每清空 {1} 个区域，翻滚距离和翻滚无敌时间略微增加；进入新楼层时重置。</v>
      </c>
      <c r="E6" s="282" t="str">
        <v>泰坦</v>
      </c>
      <c r="F6" s="283" t="str">
        <v>Titan</v>
      </c>
      <c r="G6" s="283" t="s">
        <v>41</v>
      </c>
      <c r="H6" s="282" t="str">
        <v>新增</v>
      </c>
    </row>
    <row r="7">
      <c r="A7" s="284" t="str">
        <v>“试播样本”神经录影器</v>
      </c>
      <c r="B7" s="284" t="str">
        <v>寰宇</v>
      </c>
      <c r="C7" s="284" t="str">
        <v>行为芯片</v>
      </c>
      <c r="D7" s="284" t="str">
        <v>当你击杀敌人时，若附近{5m}内没有其他敌人存活，则提高下一次智脑技能的伤害，且不触发冷却时间。</v>
      </c>
      <c r="E7" s="285" t="str">
        <v>系列名称</v>
      </c>
      <c r="F7" s="285" t="str">
        <v>英文名</v>
      </c>
      <c r="G7" s="285" t="str">
        <v>风格与机制简述</v>
      </c>
      <c r="H7" s="285" t="str">
        <v>备注</v>
      </c>
    </row>
    <row r="8">
      <c r="A8" s="284" t="str">
        <v>“串流广告”视觉插帧</v>
      </c>
      <c r="B8" s="284" t="str">
        <v>寰宇</v>
      </c>
      <c r="C8" s="284" t="str">
        <v>皮肤</v>
      </c>
      <c r="D8" s="284" t="str">
        <v>当你的视野减少时，获得永久“看破”，层数取决于视野。</v>
      </c>
      <c r="E8" s="282" t="str">
        <v>阵地</v>
      </c>
      <c r="F8" s="283" t="str">
        <v>Entrench</v>
      </c>
      <c r="G8" s="283" t="s">
        <v>47</v>
      </c>
      <c r="H8" s="283" t="str">
        <v>现有</v>
      </c>
    </row>
    <row r="9">
      <c r="A9" s="284" t="str">
        <v>“记忆簇拥”群体接口</v>
      </c>
      <c r="B9" s="284" t="str">
        <v>寰宇</v>
      </c>
      <c r="C9" s="284" t="str">
        <v>副手</v>
      </c>
      <c r="D9" s="284" t="str">
        <v>武器技能命中 {2} 个及以上敌人时，对所有被命中的敌人施加 {1} 层“株连”效果。</v>
      </c>
      <c r="E9" s="282" t="str">
        <v>基石</v>
      </c>
      <c r="F9" s="283" t="str">
        <v>Foundation</v>
      </c>
      <c r="G9" s="283" t="s">
        <v>49</v>
      </c>
      <c r="H9" s="282" t="str">
        <v>新增</v>
      </c>
    </row>
    <row r="10">
      <c r="A10" s="284" t="str">
        <v>“轨迹微调”自适应枪托</v>
      </c>
      <c r="B10" s="284" t="str">
        <v>洛克海德</v>
      </c>
      <c r="C10" s="284" t="str">
        <v>主手</v>
      </c>
      <c r="D10" s="284" t="str">
        <v>静止或缓慢移动时，你的武器攻击后坐力降低。</v>
      </c>
      <c r="E10" s="282" t="str">
        <v>海啸</v>
      </c>
      <c r="F10" s="283" t="str">
        <v>Tsunami</v>
      </c>
      <c r="G10" s="283" t="s">
        <v>52</v>
      </c>
      <c r="H10" s="282" t="str">
        <v>新增</v>
      </c>
    </row>
    <row r="11">
      <c r="A11" s="284" t="str">
        <v>“立席合同”阵地勘察仪</v>
      </c>
      <c r="B11" s="284" t="str">
        <v>洛克海德</v>
      </c>
      <c r="C11" s="284" t="str">
        <v>腿部</v>
      </c>
      <c r="D11" s="284" t="str">
        <v>当你在同一位置静止射击超过{2s}时，自动在脚下生成“阵地”，在阵地内你的武器攻击伤害提升，且受到远程伤害降低。“阵地”在你移动后消失。</v>
      </c>
      <c r="E11" s="282" t="str">
        <v>天际线</v>
      </c>
      <c r="F11" s="283" t="str">
        <v>Skyline</v>
      </c>
      <c r="G11" s="283" t="s">
        <v>55</v>
      </c>
      <c r="H11" s="282" t="str">
        <v>新增</v>
      </c>
    </row>
    <row r="12">
      <c r="A12" s="284" t="str">
        <v>“冷焰”抑火披风</v>
      </c>
      <c r="B12" s="284" t="str">
        <v>纪念碑</v>
      </c>
      <c r="C12" s="284" t="str">
        <v>皮肤</v>
      </c>
      <c r="D12" s="284" t="str">
        <v>你受到的“灼烧”伤害降低{}；每当你失去“灼烧”效果，对{5m}范围内敌人施加1层“灼烧”效果。</v>
      </c>
      <c r="E12" s="282" t="str">
        <v>反应堆</v>
      </c>
      <c r="F12" s="283" t="str">
        <v>Reactor</v>
      </c>
      <c r="G12" s="283" t="s">
        <v>57</v>
      </c>
      <c r="H12" s="282" t="str">
        <v>新增</v>
      </c>
    </row>
    <row r="13">
      <c r="A13" s="284" t="str">
        <v>“余烬记号”骨纹镶嵌</v>
      </c>
      <c r="B13" s="284" t="str">
        <v>纪念碑</v>
      </c>
      <c r="C13" s="284" t="str">
        <v>骨骼</v>
      </c>
      <c r="D13" s="284" t="str">
        <v>你的武器攻击对带有“灼烧”或“流血”效果的敌人造成额外伤害；击杀这类敌人时，短时间内提升自身护甲。</v>
      </c>
      <c r="E13" s="285" t="str">
        <v>系列名称</v>
      </c>
      <c r="F13" s="285" t="str">
        <v>英文名</v>
      </c>
      <c r="G13" s="285" t="str">
        <v>风格与机制简述</v>
      </c>
      <c r="H13" s="285" t="str">
        <v>备注</v>
      </c>
    </row>
    <row r="14">
      <c r="A14" s="284" t="str">
        <v>“坟场班车”应急支架</v>
      </c>
      <c r="B14" s="284" t="str">
        <v>纪念碑</v>
      </c>
      <c r="C14" s="284" t="str">
        <v>腿部</v>
      </c>
      <c r="D14" s="284" t="str">
        <v>当你生命值低于 {50%} 且被敌人发现时，移动速度和翻滚距离增加{20%}；否则移动速度和翻滚距离降低{20%}。</v>
      </c>
      <c r="E14" s="282" t="str">
        <v>虫群</v>
      </c>
      <c r="F14" s="283" t="str">
        <v>Swarm</v>
      </c>
      <c r="G14" s="283" t="s">
        <v>42</v>
      </c>
      <c r="H14" s="282" t="str">
        <v>新增</v>
      </c>
    </row>
    <row r="15">
      <c r="A15" s="284" t="str">
        <v>“清道夫”拆件套装</v>
      </c>
      <c r="B15" s="284" t="str">
        <v>劳旅</v>
      </c>
      <c r="C15" s="284" t="str">
        <v>骨骼</v>
      </c>
      <c r="D15" s="284" t="str">
        <v>对护甲造成伤害时，有概率恢复少量护甲。</v>
      </c>
      <c r="E15" s="282" t="str">
        <v>灰蛊</v>
      </c>
      <c r="F15" s="283" t="str">
        <v>Grey Goo</v>
      </c>
      <c r="G15" s="283" t="s">
        <v>44</v>
      </c>
      <c r="H15" s="282" t="str">
        <v>新增</v>
      </c>
    </row>
    <row r="16">
      <c r="A16" s="284" t="str">
        <v>“路边工棚”工具骨架</v>
      </c>
      <c r="B16" s="284" t="str">
        <v>劳旅</v>
      </c>
      <c r="C16" s="284" t="str">
        <v>骨骼</v>
      </c>
      <c r="D16" s="284" t="str">
        <v>当你获得装备时，有概率获得少量护甲。你在当前楼层获得的装备越多，触发概率越高。</v>
      </c>
      <c r="E16" s="282" t="str">
        <v>先知</v>
      </c>
      <c r="F16" s="283" t="str">
        <v>Prophet</v>
      </c>
      <c r="G16" s="283" t="s">
        <v>45</v>
      </c>
      <c r="H16" s="282" t="str">
        <v>新增</v>
      </c>
    </row>
    <row r="17">
      <c r="A17" s="284" t="str">
        <v>“重载路障”防爆腿架</v>
      </c>
      <c r="B17" s="284" t="str">
        <v>劳旅</v>
      </c>
      <c r="C17" s="284" t="str">
        <v>腿部</v>
      </c>
      <c r="D17" s="284" t="str">
        <v>你的翻滚会推开所有敌人。</v>
      </c>
      <c r="E17" s="282" t="str">
        <v>圣约</v>
      </c>
      <c r="F17" s="283" t="str">
        <v>Covenant</v>
      </c>
      <c r="G17" s="283" t="s">
        <v>50</v>
      </c>
      <c r="H17" s="282" t="str">
        <v>新增</v>
      </c>
    </row>
    <row r="18">
      <c r="A18" s="281" t="str">
        <v>“低频噪点”干扰发射器</v>
      </c>
      <c r="B18" s="281" t="str">
        <v>耶利哥</v>
      </c>
      <c r="C18" s="281" t="str">
        <v>行为芯片</v>
      </c>
      <c r="D18" s="281" t="str">
        <v>当你受到远程攻击命中时，对攻击来源施加“干扰”效果，降低其命中率；若其身上已有“干扰”，则追加少量“电击瘫痪”积累。</v>
      </c>
      <c r="E18" s="282" t="str">
        <v>海市蜃楼</v>
      </c>
      <c r="F18" s="283" t="str">
        <v>Mirage</v>
      </c>
      <c r="G18" s="283" t="s">
        <v>53</v>
      </c>
      <c r="H18" s="282" t="str">
        <v>新增</v>
      </c>
    </row>
    <row r="19">
      <c r="A19" s="281" t="str">
        <v>“判决回路”重伤标记器</v>
      </c>
      <c r="B19" s="281" t="str">
        <v>耶利哥</v>
      </c>
      <c r="C19" s="281" t="str">
        <v>主手</v>
      </c>
      <c r="D19" s="281" t="str">
        <v>武器攻击命中生命值低于 {30%} 的敌人时，有几率施加“重伤”效果，使其在受到下一次武器技能伤害时承受额外伤害。</v>
      </c>
      <c r="E19" s="285" t="str">
        <v>系列名称</v>
      </c>
      <c r="F19" s="285" t="str">
        <v>英文名</v>
      </c>
      <c r="G19" s="285" t="str">
        <v>风格与机制简述</v>
      </c>
      <c r="H19" s="285" t="str">
        <v>备注</v>
      </c>
    </row>
    <row r="20">
      <c r="A20" s="284" t="str">
        <v>“赦免延时”反噬披肩</v>
      </c>
      <c r="B20" s="284" t="str">
        <v>耶利哥</v>
      </c>
      <c r="C20" s="284" t="str">
        <v>皮肤</v>
      </c>
      <c r="D20" s="284" t="str">
        <v>当你的生命在{1}s内减少超过{30%}时，下一次受到的伤害改为恢复生命值。</v>
      </c>
      <c r="E20" s="282" t="str">
        <v>嗜血</v>
      </c>
      <c r="F20" s="283" t="str">
        <v>Bloodlust</v>
      </c>
      <c r="G20" s="283" t="s">
        <v>58</v>
      </c>
      <c r="H20" s="283" t="str">
        <v>现有</v>
      </c>
    </row>
    <row r="21">
      <c r="A21" s="284" t="str">
        <v>“交叉火线”株连整流器</v>
      </c>
      <c r="B21" s="284" t="str">
        <v>耶利哥</v>
      </c>
      <c r="C21" s="284" t="str">
        <v>副手</v>
      </c>
      <c r="D21" s="284" t="str">
        <v>武器技能击杀带有“株连”效果的敌人时，会对所有其他带有“株连”的敌人额外造成一次基于当前武器攻击力的伤害。</v>
      </c>
      <c r="E21" s="282" t="str">
        <v>认知科学</v>
      </c>
      <c r="F21" s="283" t="str">
        <v>Cognitive Sci</v>
      </c>
      <c r="G21" s="283" t="s">
        <v>40</v>
      </c>
      <c r="H21" s="283" t="str">
        <v>现有</v>
      </c>
    </row>
    <row r="22">
      <c r="A22" s="284" t="str">
        <v>“同步鼓点”节律核心</v>
      </c>
      <c r="B22" s="284" t="str">
        <v>律动智能</v>
      </c>
      <c r="C22" s="284" t="str">
        <v>行为芯片</v>
      </c>
      <c r="D22" s="284" t="str">
        <v>击杀敌人时，如果你在 {3}s 内击杀过敌人，获得{1} 层“狂热”效果，持续 {6}s。</v>
      </c>
      <c r="E22" s="282" t="str">
        <v>破伤风</v>
      </c>
      <c r="F22" s="283" t="str">
        <v>Tetanus</v>
      </c>
      <c r="G22" s="283" t="s">
        <v>43</v>
      </c>
      <c r="H22" s="283" t="str">
        <v>现有</v>
      </c>
    </row>
    <row r="23">
      <c r="A23" s="281" t="str">
        <v>“回弹落点”矢量靴</v>
      </c>
      <c r="B23" s="281" t="str">
        <v>律动智能</v>
      </c>
      <c r="C23" s="281" t="str">
        <v>腿部</v>
      </c>
      <c r="D23" s="281" t="str">
        <v>翻滚结束时，若你最近 {2s} 内用武器攻击命中过敌人，则在翻滚终点留下一个能量残影，对触碰的敌人施加少量“麻痹”效果。</v>
      </c>
      <c r="E23" s="282" t="str">
        <v>嵌合体</v>
      </c>
      <c r="F23" s="283" t="str">
        <v>Chimera</v>
      </c>
      <c r="G23" s="283" t="s">
        <v>46</v>
      </c>
      <c r="H23" s="282" t="str">
        <v>新增</v>
      </c>
    </row>
    <row r="24">
      <c r="A24" s="281" t="str">
        <v>“静默分贝”步态整形器</v>
      </c>
      <c r="B24" s="281" t="str">
        <v>律动智能</v>
      </c>
      <c r="C24" s="281" t="str">
        <v>腿部</v>
      </c>
      <c r="D24" s="281" t="str">
        <v>未被敌人发现且保持缓慢移动时，你的“光学迷彩”持续时间延长；从“光学迷彩”状态解除后，下一次冲刺不会被敌人听见或看到。</v>
      </c>
      <c r="E24" s="282" t="str">
        <v>过度生长</v>
      </c>
      <c r="F24" s="283" t="str">
        <v>Overgrowth</v>
      </c>
      <c r="G24" s="283" t="s">
        <v>48</v>
      </c>
      <c r="H24" s="282" t="str">
        <v>新增</v>
      </c>
    </row>
    <row r="25">
      <c r="A25" s="284" t="str">
        <v>“相位拍手”势能骨架</v>
      </c>
      <c r="B25" s="284" t="str">
        <v>律动智能</v>
      </c>
      <c r="C25" s="284" t="str">
        <v>腿部</v>
      </c>
      <c r="D25" s="284" t="str">
        <v>翻滚冷却期间击杀敌人会刷新翻滚冷却。</v>
      </c>
    </row>
    <row r="26">
      <c r="A26" s="284" t="str">
        <v>“拆票终端”账目追踪器</v>
      </c>
      <c r="B26" s="284" t="str">
        <v>新浦会</v>
      </c>
      <c r="C26" s="284" t="str">
        <v>行为芯片</v>
      </c>
      <c r="D26" s="284" t="str">
        <v>当你获得信用点时，随机获得{1}种Buff；当你消耗信用点时，随机移除{1}种Debuff。</v>
      </c>
    </row>
    <row r="27">
      <c r="A27" s="284" t="str">
        <v>“分段利息”信用缓冲器</v>
      </c>
      <c r="B27" s="284" t="str">
        <v>新浦会</v>
      </c>
      <c r="C27" s="284" t="str">
        <v>皮肤</v>
      </c>
      <c r="D27" s="284" t="str">
        <v>每当你离开楼层时，根据本层获得的信用点数量，在下一层获得护甲。</v>
      </c>
    </row>
    <row r="28">
      <c r="A28" s="284" t="str">
        <v>“压伤检测”安全骨架</v>
      </c>
      <c r="B28" s="284" t="str">
        <v>洛克海德</v>
      </c>
      <c r="C28" s="284" t="str">
        <v>骨骼</v>
      </c>
      <c r="D28" s="284" t="str">
        <v>当你的韧性归零时，立刻获得少量护甲，并在{5s}内提高“快速格挡”触发几率。</v>
      </c>
    </row>
    <row r="29">
      <c r="A29" s="284" t="str">
        <v>“穿刺记号”流血导管</v>
      </c>
      <c r="B29" s="284" t="str">
        <v>洛克海德</v>
      </c>
      <c r="C29" s="284" t="str">
        <v>主手</v>
      </c>
      <c r="D29" s="284" t="str">
        <v>武器攻击暴击时，对目标施加“流血”效果；若目标已带有“易伤”，则本次“流血”伤害翻倍。</v>
      </c>
    </row>
    <row r="30">
      <c r="A30" s="284" t="str">
        <v>“压制火网”联动护板</v>
      </c>
      <c r="B30" s="284" t="str">
        <v>洛克海德</v>
      </c>
      <c r="C30" s="284" t="str">
        <v>皮肤</v>
      </c>
      <c r="D30" s="284" t="str">
        <v>处于“阵地”内进行武器攻击时，更容易对敌人施加“破甲”效果；离开“阵地”后，该加成会在{2s}内缓慢消失。</v>
      </c>
    </row>
    <row r="31">
      <c r="A31" s="284" t="str">
        <v>“中转站”纳米集线器</v>
      </c>
      <c r="B31" s="284" t="str">
        <v>致远生物</v>
      </c>
      <c r="C31" s="284" t="str">
        <v>行为芯片</v>
      </c>
      <c r="D31" s="284" t="str">
        <v>武器技能命中带有“纳米侵蚀”效果的敌人时，会向附近 {1} 名额外敌人传递一部分“纳米侵蚀”层数。</v>
      </c>
    </row>
    <row r="32">
      <c r="A32" s="284" t="str">
        <v>“孢囊尾迹”喷注靴</v>
      </c>
      <c r="B32" s="284" t="str">
        <v>致远生物</v>
      </c>
      <c r="C32" s="284" t="str">
        <v>腿部</v>
      </c>
      <c r="D32" s="284" t="str">
        <v>冲刺或翻滚经过敌人身边时，有几率对其施加少量“纳米侵蚀”或“中毒”类效果；若敌人已带有“灼烧”，则必定施加“纳米侵蚀”。</v>
      </c>
    </row>
    <row r="33">
      <c r="A33" s="284" t="str">
        <v>“越界载体”组织桥接骨架</v>
      </c>
      <c r="B33" s="284" t="str">
        <v>致远生物</v>
      </c>
      <c r="C33" s="284" t="str">
        <v>骨骼</v>
      </c>
      <c r="D33" s="284" t="str">
        <v>当你恢复生命值时，若当前生命值高于 {80%}，则将一部分治疗转化为护甲；若低于 {50%}，则在短时间内提升你施加的“纳米侵蚀”伤害。</v>
      </c>
    </row>
    <row r="34">
      <c r="A34" s="284" t="str">
        <v>“血浆过敏”免疫筛选器</v>
      </c>
      <c r="B34" s="284" t="str">
        <v>致远生物</v>
      </c>
      <c r="C34" s="284" t="str">
        <v>皮肤</v>
      </c>
      <c r="D34" s="284" t="str">
        <v>当你受到“流血”或“纳米侵蚀”伤害时，该来源的伤害减免；若你在短时间内通过“吸血”恢复了生命，则为附近敌人施加轻度“重伤”。</v>
      </c>
    </row>
    <row r="35">
      <c r="A35" s="284" t="str">
        <v>“强行注射”边缘针筒</v>
      </c>
      <c r="B35" s="284" t="str">
        <v>致远生物</v>
      </c>
      <c r="C35" s="284" t="str">
        <v>主手</v>
      </c>
      <c r="D35" s="284" t="str">
        <v>近距离武器攻击命中敌人时，有概率对其施加额外{1}层“纳米侵蚀”；若目标生命值低于 {20%}，则改为施加“重伤”。</v>
      </c>
    </row>
    <row r="36">
      <c r="A36" s="284" t="str">
        <v>“信号串扰”过载芯片</v>
      </c>
      <c r="B36" s="284" t="str">
        <v>野望</v>
      </c>
      <c r="C36" s="284" t="str">
        <v>行为芯片</v>
      </c>
      <c r="D36" s="284" t="str">
        <v>当你的武器技能在短时间内连续命中多个敌人时，获得“超载”效果，短时间内提高所有来源的伤害，但自身受到的伤害也略微提高。</v>
      </c>
    </row>
    <row r="37">
      <c r="A37" s="284" t="str">
        <v>“赌桌翻面”高额托管器</v>
      </c>
      <c r="B37" s="284" t="str">
        <v>野望</v>
      </c>
      <c r="C37" s="284" t="str">
        <v>行为芯片</v>
      </c>
      <c r="D37" s="284" t="str">
        <v>在同一楼层中，当你连续三次未造成暴击时，下一次武器攻击的暴击伤害大幅提升；若该攻击仍未暴击，则返还部分智脑技能冷却时间。</v>
      </c>
    </row>
    <row r="38">
      <c r="A38" s="284" t="str">
        <v>“穷途末路”逃生开关</v>
      </c>
      <c r="B38" s="284" t="str">
        <v>野望</v>
      </c>
      <c r="C38" s="284" t="str">
        <v>副手</v>
      </c>
      <c r="D38" s="284" t="str">
        <v>呼叫或等待逃生时，立即获得大量护甲与韧性，并对附近敌人施加“干扰”效果；若在逃生开始前清空当前楼层，则额外获得一次临时“狂热”效果。</v>
      </c>
    </row>
    <row r="39">
      <c r="A39" s="284" t="str">
        <v>“零和手套”结算导体</v>
      </c>
      <c r="B39" s="284" t="str">
        <v>野望</v>
      </c>
      <c r="C39" s="284" t="str">
        <v>主手</v>
      </c>
      <c r="D39" s="284" t="str">
        <v>在短时间内通过武器攻击造成的总伤害越高，你的“吸血”效果恢复比例越高；但在未造成伤害的间隔内，你每秒失去少量生命值。</v>
      </c>
    </row>
    <row r="40">
      <c r="A40" s="284" t="str">
        <v>“潜流合约”静默义体</v>
      </c>
      <c r="B40" s="284" t="str">
        <v>东海工业</v>
      </c>
      <c r="C40" s="284" t="str">
        <v>皮肤</v>
      </c>
      <c r="D40" s="284" t="str">
        <v>未被敌人发现时，移动速度提高，武器攻击不会吸引远处敌人；一旦被发现，立即获得短时间的护甲加成。</v>
      </c>
    </row>
    <row r="41">
      <c r="A41" s="284" t="str">
        <v>“钢轨连杆”重工骨架</v>
      </c>
      <c r="B41" s="284" t="str">
        <v>东海工业</v>
      </c>
      <c r="C41" s="284" t="str">
        <v>骨骼</v>
      </c>
      <c r="D41" s="284" t="str">
        <v>在同一楼层内，你每清空 {1} 个区域，最大护甲上限提升一小段；离开楼层时，这些加成重置。</v>
      </c>
    </row>
    <row r="42">
      <c r="A42" s="284" t="str">
        <v>“工地边线”防滑腿架</v>
      </c>
      <c r="B42" s="284" t="str">
        <v>东海工业</v>
      </c>
      <c r="C42" s="284" t="str">
        <v>腿部</v>
      </c>
      <c r="D42" s="284" t="str">
        <v>在移动速度低于指定阈值时，翻滚起步更快且距离略微增加；在移动速度较高时，翻滚结束后短时间提升武器攻击稳定性。</v>
      </c>
    </row>
    <row r="43">
      <c r="A43" s="284" t="str">
        <v>“双班制”过劳芯片</v>
      </c>
      <c r="B43" s="284" t="str">
        <v>东海工业</v>
      </c>
      <c r="C43" s="284" t="str">
        <v>行为芯片</v>
      </c>
      <c r="D43" s="284" t="str">
        <v>当你的生命在短时间内多次减少时，体力恢复速度与武器攻击速度提升，但生命回复效果减弱。</v>
      </c>
    </row>
    <row r="44">
      <c r="A44" s="284" t="str">
        <v>“协议转接”智脑桥</v>
      </c>
      <c r="B44" s="284" t="str">
        <v>寰宇</v>
      </c>
      <c r="C44" s="284" t="str">
        <v>行为芯片</v>
      </c>
      <c r="D44" s="284" t="str">
        <v>当你施放智脑技能后，在{4s}内你的武器攻击有概率缩短当前智脑技能的冷却时间；若智脑技能击杀敌人，则立刻获得少量护甲。</v>
      </c>
    </row>
    <row r="45">
      <c r="A45" s="284" t="str">
        <v>“余震编排”冲击腰封</v>
      </c>
      <c r="B45" s="284" t="str">
        <v>劳旅</v>
      </c>
      <c r="C45" s="284" t="str">
        <v>副手</v>
      </c>
      <c r="D45" s="284" t="str">
        <v>当你受到冲击或韧性归零时，对附近敌人造成一次基于已损失生命值的冲击伤害，并有几率施加“电击瘫痪”效果。</v>
      </c>
    </row>
    <row r="46">
      <c r="A46" s="284" t="str">
        <v>“暗线调度”监控腕带</v>
      </c>
      <c r="B46" s="284" t="str">
        <v>新浦会</v>
      </c>
      <c r="C46" s="284" t="str">
        <v>主手</v>
      </c>
      <c r="D46" s="284" t="str">
        <v>当你的视野受限或在狭窄通道内战斗时，武器攻击更容易对敌人施加“株连”效果；处于视野开阔区域时，该效果减弱。</v>
      </c>
    </row>
    <row r="47">
      <c r="A47" s="284" t="str">
        <v>“幽步边界”光学踝环</v>
      </c>
      <c r="B47" s="284" t="str">
        <v>律动智能</v>
      </c>
      <c r="C47" s="284" t="str">
        <v>腿部</v>
      </c>
      <c r="D47" s="284" t="str">
        <v>当你的视野小于指定阈值时，冲刺与翻滚不会立刻打破“光学迷彩”；攻击或被发现仍会正常结束“光学迷彩”状态。</v>
      </c>
    </row>
    <row r="48">
      <c r="A48" s="284" t="str">
        <v>“赎买契据”楼层印记</v>
      </c>
      <c r="B48" s="284" t="str">
        <v>纪念碑</v>
      </c>
      <c r="C48" s="284" t="str">
        <v>行为芯片</v>
      </c>
      <c r="D48" s="284" t="str">
        <v>每当你清空楼层时，根据本层你失去的总生命值，为下一层提供一定比例的减伤效果。</v>
      </c>
    </row>
    <row r="49">
      <c r="A49" s="284" t="str">
        <v>“轴心鸣响”警报中枢</v>
      </c>
      <c r="B49" s="284" t="str">
        <v>耶利哥</v>
      </c>
      <c r="C49" s="284" t="str">
        <v>行为芯片</v>
      </c>
      <c r="D49" s="284" t="str">
        <v>当你被敌人从背后攻击时，立即对附近敌人施加“麻痹”与“易伤”少量层数，并在{3s}内提高自身格挡效率。</v>
      </c>
    </row>
    <row r="50">
      <c r="A50" s="284" t="str">
        <v>“楼层排练”预演脚本</v>
      </c>
      <c r="B50" s="284" t="str">
        <v>寰宇</v>
      </c>
      <c r="C50" s="284" t="str">
        <v>行为芯片</v>
      </c>
      <c r="D50" s="284" t="str">
        <v>进入新楼层时，短时间内提高你的武器攻击与武器技能的命中率；若在增益持续期间击杀了精英敌人，则额外缩短所有主动技能冷却时间。</v>
      </c>
    </row>
    <row r="51">
      <c r="A51" s="284" t="str">
        <v>“边缘信标”出口标绘器</v>
      </c>
      <c r="B51" s="284" t="str">
        <v>洛克海德</v>
      </c>
      <c r="C51" s="284" t="str">
        <v>副手</v>
      </c>
      <c r="D51" s="284" t="str">
        <v>当你触碰到敌人或被敌人近身时，在脚下生成一个临时“阵地”，在阵地内你的近距离武器攻击获得额外穿透与“破甲”效果。</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