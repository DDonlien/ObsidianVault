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<sst xmlns="http://schemas.openxmlformats.org/spreadsheetml/2006/main" count="1" uniqueCount="1">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</sst>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6"/>
    <col collapsed="false" customWidth="true" hidden="false" max="3" min="3" style="0" width="6"/>
    <col collapsed="false" customWidth="true" hidden="false" max="4" min="4" style="0" width="6"/>
    <col collapsed="false" customWidth="true" hidden="false" max="5" min="5" style="0" width="6"/>
    <col collapsed="false" customWidth="true" hidden="false" max="6" min="6" style="0" width="6"/>
    <col collapsed="false" customWidth="true" hidden="false" max="7" min="7" style="0" width="6"/>
    <col collapsed="false" customWidth="true" hidden="false" max="8" min="8" style="0" width="6"/>
    <col collapsed="false" customWidth="true" hidden="false" max="9" min="9" style="0" width="4"/>
    <col collapsed="false" customWidth="true" hidden="false" max="10" min="10" style="0" width="6"/>
    <col collapsed="false" customWidth="true" hidden="false" max="11" min="11" style="0" width="12"/>
    <col collapsed="false" customWidth="true" hidden="false" max="12" min="12" style="0" width="10"/>
  </cols>
  <sheetData>
    <row r="1">
      <c r="B1" s="1" t="str">
        <v>蹉跎者</v>
      </c>
      <c r="C1" s="1" t="str">
        <v>回旋者</v>
      </c>
      <c r="D1" s="1" t="str">
        <v>呢喃者</v>
      </c>
      <c r="E1" s="1" t="str">
        <v>送葬者</v>
      </c>
      <c r="F1" s="1" t="str">
        <v>哀嚎者</v>
      </c>
      <c r="G1" s="1" t="str">
        <v>啼泣者</v>
      </c>
      <c r="H1" s="1" t="str">
        <v>尾随者</v>
      </c>
      <c r="I1" s="1" t="str">
        <v>树根</v>
      </c>
      <c r="J1" s="1" t="str">
        <v>泼影者</v>
      </c>
      <c r="K1" s="1" t="str">
        <v>Boss 1 赫卡忒</v>
      </c>
      <c r="L1" s="1" t="str">
        <v>潮湿回旋者</v>
      </c>
    </row>
    <row r="2">
      <c r="A2" s="2" t="str">
        <v>血量</v>
      </c>
      <c r="B2" s="1">
        <v>330</v>
      </c>
      <c r="C2" s="1">
        <v>85</v>
      </c>
      <c r="D2" s="1">
        <v>80</v>
      </c>
      <c r="E2" s="1">
        <v>155</v>
      </c>
      <c r="F2" s="1">
        <v>190</v>
      </c>
      <c r="G2" s="1">
        <v>390</v>
      </c>
      <c r="H2" s="1">
        <v>1650</v>
      </c>
      <c r="I2" s="1">
        <v>260</v>
      </c>
      <c r="J2" s="1">
        <v>1450</v>
      </c>
      <c r="K2" s="1">
        <v>1900</v>
      </c>
      <c r="L2" s="1">
        <v>135</v>
      </c>
    </row>
    <row r="3">
      <c r="A3" s="2" t="str">
        <v>伤害</v>
      </c>
      <c r="B3" s="1">
        <v>9</v>
      </c>
      <c r="C3" s="1">
        <v>5</v>
      </c>
      <c r="D3" s="1">
        <v>3</v>
      </c>
      <c r="E3" s="1">
        <f>3*3</f>
      </c>
      <c r="F3" s="1">
        <v>2</v>
      </c>
      <c r="G3" s="1">
        <v>6</v>
      </c>
      <c r="H3" s="1">
        <v>12</v>
      </c>
      <c r="I3" s="1">
        <v>6</v>
      </c>
      <c r="J3" s="1">
        <v>9</v>
      </c>
      <c r="K3" s="1"/>
      <c r="L3" s="1">
        <v>11</v>
      </c>
    </row>
    <row customHeight="true" ht="19" r="4">
      <c r="A4" s="2" t="str">
        <v>比例</v>
      </c>
      <c r="B4" s="1">
        <f>B3/50</f>
      </c>
      <c r="C4" s="1">
        <f>C3/50</f>
      </c>
      <c r="D4" s="1">
        <f>D3/50</f>
      </c>
      <c r="E4" s="1">
        <f>E3/50</f>
      </c>
      <c r="F4" s="1">
        <f>F3/50</f>
      </c>
      <c r="G4" s="1">
        <f>G3/50</f>
      </c>
      <c r="H4" s="1">
        <f>H3/50</f>
      </c>
      <c r="I4" s="1">
        <f>I3/50</f>
      </c>
      <c r="J4" s="1">
        <f>J3/50</f>
      </c>
      <c r="K4" s="1"/>
      <c r="L4" s="1"/>
    </row>
    <row customHeight="true" ht="19" r="5">
      <c r="A5" s="2" t="str">
        <v>缩放</v>
      </c>
      <c r="B5" s="1">
        <f>B4*150</f>
      </c>
      <c r="C5" s="1">
        <f>C4*150</f>
      </c>
      <c r="D5" s="1">
        <f>D4*150</f>
      </c>
      <c r="E5" s="1">
        <f>E4*150</f>
      </c>
      <c r="F5" s="1">
        <f>F4*150</f>
      </c>
      <c r="G5" s="1">
        <f>G4*150</f>
      </c>
      <c r="H5" s="1">
        <f>H4*150</f>
      </c>
      <c r="I5" s="1">
        <f>I4*150</f>
      </c>
      <c r="J5" s="1">
        <f>J4*150</f>
      </c>
      <c r="K5" s="1"/>
      <c r="L5" s="1"/>
    </row>
    <row r="6">
      <c r="A6" s="2" t="str">
        <v>攻击间隔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customHeight="true" ht="19" r="7">
      <c r="A7" s="2" t="str">
        <v>DPS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customHeight="true" ht="19" r="8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2" t="str">
        <v>生命</v>
      </c>
      <c r="B9" s="1" t="str">
        <v>高</v>
      </c>
      <c r="C9" s="1" t="str">
        <v>低</v>
      </c>
      <c r="D9" s="1" t="str">
        <v>低</v>
      </c>
      <c r="E9" s="1" t="str">
        <v>中</v>
      </c>
      <c r="F9" s="1" t="str">
        <v>中</v>
      </c>
      <c r="G9" s="1" t="str">
        <v>高</v>
      </c>
      <c r="H9" s="1" t="str">
        <v>精英</v>
      </c>
      <c r="I9" s="1" t="str">
        <v>高</v>
      </c>
      <c r="J9" s="1" t="str">
        <v>精英</v>
      </c>
      <c r="K9" s="1"/>
      <c r="L9" s="1"/>
    </row>
    <row r="10">
      <c r="A10" s="2" t="str">
        <v>攻击欲望</v>
      </c>
      <c r="B10" s="1" t="str">
        <v>低</v>
      </c>
      <c r="C10" s="1" t="str">
        <v>中</v>
      </c>
      <c r="D10" s="1" t="str">
        <v>低</v>
      </c>
      <c r="E10" s="1" t="str">
        <v>低</v>
      </c>
      <c r="F10" s="1" t="str">
        <v>高</v>
      </c>
      <c r="G10" s="1" t="str">
        <v>低</v>
      </c>
      <c r="H10" s="1" t="str">
        <v>高</v>
      </c>
      <c r="I10" s="1" t="str">
        <v>低</v>
      </c>
      <c r="J10" s="1" t="str">
        <v>高</v>
      </c>
      <c r="K10" s="1"/>
      <c r="L10" s="1"/>
    </row>
    <row r="11">
      <c r="A11" s="2" t="str">
        <v>射程</v>
      </c>
      <c r="B11" s="1" t="str">
        <v>近</v>
      </c>
      <c r="C11" s="1" t="str">
        <v>中</v>
      </c>
      <c r="D11" s="1" t="str">
        <v>近</v>
      </c>
      <c r="E11" s="1" t="str">
        <v>远</v>
      </c>
      <c r="F11" s="1" t="str">
        <v>中</v>
      </c>
      <c r="G11" s="1" t="str">
        <v>远</v>
      </c>
      <c r="H11" s="1" t="str">
        <v>中</v>
      </c>
      <c r="I11" s="1" t="str">
        <v>近</v>
      </c>
      <c r="J11" s="1" t="str">
        <v>近</v>
      </c>
      <c r="K11" s="1"/>
      <c r="L11" s="1"/>
    </row>
    <row r="12">
      <c r="A12" s="2" t="str">
        <v>定位</v>
      </c>
      <c r="B12" s="1"/>
      <c r="C12" s="1" t="str">
        <v>转转</v>
      </c>
      <c r="D12" s="1" t="str">
        <v>爬爬</v>
      </c>
      <c r="E12" s="1"/>
      <c r="F12" s="1"/>
      <c r="G12" s="1"/>
      <c r="H12" s="1"/>
      <c r="I12" s="1"/>
      <c r="J12" s="1"/>
      <c r="K12" s="1"/>
      <c r="L12" s="1"/>
    </row>
    <row r="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