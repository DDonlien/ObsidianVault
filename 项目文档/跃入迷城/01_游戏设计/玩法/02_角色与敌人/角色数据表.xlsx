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控属性" sheetId="2" r:id="rId6"/>
    <sheet name="玩家属性测算" sheetId="3" r:id="rId7"/>
    <sheet name="敌人属性" sheetId="4" r:id="rId8"/>
    <sheet name="属性梯度表" sheetId="5" r:id="rId9"/>
    <sheet name="硬直事件" sheetId="6" r:id="rId10"/>
    <sheet name="冲击与韧性等级" sheetId="7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tc={ED376DB2-7DE3-4C58-8423-107F67F0FD22}</author>
  </authors>
  <commentList>
    <comment ref="A6" authorId="0" shapeId="0" xr:uid="{ED376DB2-7DE3-4C58-8423-107F67F0FD22}">
      <text>
        <t>[Threaded comment] Your version of Excel allows you to read this threaded comment; however, any edits to it will get removed if the file is opened in a newer version of Excel. Learn more: https://go.microsoft.com/fwlink/?linkid=870924 Comment: @Cade 你感觉基于我们的新系统，还有必要实装这套补正梯度吗？毕竟1. 武器大部分时候不会增长属性补正；2. 武器增长属性补正的时候，我们可以更改武器自带的补正属性系数，实现和梯度函数已有的效果，但测算会更直接</t>
      </text>
    </comment>
  </commentList>
</comments>
</file>

<file path=xl/sharedStrings.xml><?xml version="1.0" encoding="utf-8"?>
<sst xmlns="http://schemas.openxmlformats.org/spreadsheetml/2006/main" count="11" uniqueCount="11">
  <si>
    <t xml:space="preserve">  </t>
  </si>
  <si>
    <t/>
    <r>
      <t>精英</t>
    </r>
    <r>
      <rPr>
        <b/>
        <u/>
        <sz val="9.75"/>
        <color theme="10"/>
        <rFont val="Calibri"/>
        <family val="2"/>
      </rPr>
      <t>机修工（Greasehand）</t>
    </r>
  </si>
  <si>
    <t/>
    <r>
      <t>普通</t>
    </r>
    <r>
      <rPr>
        <b/>
        <u/>
        <sz val="9.75"/>
        <color theme="10"/>
        <rFont val="Calibri"/>
        <family val="2"/>
      </rPr>
      <t>机修工（Greasehand）</t>
    </r>
  </si>
  <si>
    <t/>
    <r>
      <t>精英</t>
    </r>
    <r>
      <rPr>
        <b/>
        <u/>
        <sz val="9.75"/>
        <color theme="10"/>
        <rFont val="Calibri"/>
        <family val="2"/>
      </rPr>
      <t xml:space="preserve">重装工头（Steel Foreman）</t>
    </r>
  </si>
  <si>
    <t/>
    <r>
      <t>普通</t>
    </r>
    <r>
      <rPr>
        <b/>
        <u/>
        <sz val="9.75"/>
        <color theme="10"/>
        <rFont val="Calibri"/>
        <family val="2"/>
      </rPr>
      <t xml:space="preserve">重装工头（Steel Foreman）</t>
    </r>
  </si>
  <si>
    <t/>
    <r>
      <t>精英</t>
    </r>
    <r>
      <rPr>
        <b/>
        <u/>
        <sz val="9.75"/>
        <color theme="10"/>
        <rFont val="Calibri"/>
        <family val="2"/>
      </rPr>
      <t>管线技师（Pipewright）</t>
    </r>
  </si>
  <si>
    <t/>
    <r>
      <t>普通</t>
    </r>
    <r>
      <rPr>
        <b/>
        <u/>
        <sz val="9.75"/>
        <color theme="10"/>
        <rFont val="Calibri"/>
        <family val="2"/>
      </rPr>
      <t>管线技师（Pipewright）</t>
    </r>
  </si>
  <si>
    <t/>
    <r>
      <t>精英</t>
    </r>
    <r>
      <rPr>
        <b/>
        <u/>
        <sz val="9.75"/>
        <color theme="10"/>
        <rFont val="Calibri"/>
        <family val="2"/>
      </rPr>
      <t>挖掘工（Tunnelrat）</t>
    </r>
  </si>
  <si>
    <t/>
    <r>
      <t>普通</t>
    </r>
    <r>
      <rPr>
        <b/>
        <u/>
        <sz val="9.75"/>
        <color theme="10"/>
        <rFont val="Calibri"/>
        <family val="2"/>
      </rPr>
      <t>挖掘工（Tunnelrat）</t>
    </r>
  </si>
  <si>
    <t/>
    <r>
      <t>精英</t>
    </r>
    <r>
      <rPr>
        <b/>
        <u/>
        <sz val="9.75"/>
        <color theme="10"/>
        <rFont val="Calibri"/>
        <family val="2"/>
      </rPr>
      <t>钉枪工（Boltspitter）</t>
    </r>
  </si>
  <si>
    <t/>
    <r>
      <t>普通</t>
    </r>
    <r>
      <rPr>
        <b/>
        <u/>
        <sz val="9.75"/>
        <color theme="10"/>
        <rFont val="Calibri"/>
        <family val="2"/>
      </rPr>
      <t>钉枪工（Boltspitter）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</si>
</sst>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"/>
    <numFmt numFmtId="165" formatCode="0.00"/>
    <numFmt numFmtId="166" formatCode="0"/>
    <numFmt numFmtId="167" formatCode="0.00"/>
    <numFmt numFmtId="168" formatCode="0"/>
    <numFmt numFmtId="169" formatCode="0.00"/>
    <numFmt numFmtId="170" formatCode="@"/>
    <numFmt numFmtId="171" formatCode="0%"/>
  </numFmts>
  <fonts count="7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AFAF1"/>
        <bgColor/>
      </patternFill>
    </fill>
    <fill>
      <patternFill patternType="solid">
        <fgColor rgb="FFEAFAF1"/>
        <bgColor/>
      </patternFill>
    </fill>
    <fill>
      <patternFill patternType="solid">
        <fgColor rgb="FFEAFAF1"/>
        <bgColor/>
      </patternFill>
    </fill>
    <fill>
      <patternFill patternType="solid">
        <fgColor rgb="FFEAFAF1"/>
        <bgColor/>
      </patternFill>
    </fill>
    <fill>
      <patternFill patternType="solid">
        <fgColor rgb="FFEAFAF1"/>
        <bgColor/>
      </patternFill>
    </fill>
    <fill>
      <patternFill patternType="solid">
        <fgColor rgb="FFEAFAF1"/>
        <bgColor/>
      </patternFill>
    </fill>
    <fill>
      <patternFill patternType="solid">
        <fgColor rgb="FFE1EAFF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</fills>
  <borders count="45"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true" applyProtection="false" borderId="4" fillId="0" fontId="2" numFmtId="164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horizontal="left" vertical="center"/>
    </xf>
    <xf applyAlignment="true" applyBorder="false" applyFill="true" applyFont="true" applyNumberFormat="false" applyProtection="false" borderId="7" fillId="2" fontId="2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true" applyFont="true" applyNumberFormat="true" applyProtection="false" borderId="10" fillId="3" fontId="2" numFmtId="165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true" applyFont="true" applyNumberFormat="false" applyProtection="false" borderId="12" fillId="4" fontId="2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left" vertical="center"/>
    </xf>
    <xf applyAlignment="true" applyBorder="false" applyFill="false" applyFont="true" applyNumberFormat="false" applyProtection="false" borderId="14" fillId="0" fontId="3" numFmtId="0" xfId="0">
      <alignment vertical="center"/>
    </xf>
    <xf applyAlignment="true" applyBorder="false" applyFill="false" applyFont="true" applyNumberFormat="false" applyProtection="false" borderId="15" fillId="0" fontId="2" numFmtId="0" xfId="0">
      <alignment horizontal="left" vertical="center"/>
    </xf>
    <xf applyAlignment="true" applyBorder="false" applyFill="false" applyFont="true" applyNumberFormat="true" applyProtection="false" borderId="16" fillId="0" fontId="2" numFmtId="166" xfId="0">
      <alignment horizontal="center" vertical="center"/>
    </xf>
    <xf applyAlignment="true" applyBorder="false" applyFill="true" applyFont="true" applyNumberFormat="true" applyProtection="false" borderId="17" fillId="5" fontId="2" numFmtId="167" xfId="0">
      <alignment horizontal="center" vertical="center"/>
    </xf>
    <xf applyAlignment="true" applyBorder="false" applyFill="false" applyFont="true" applyNumberFormat="false" applyProtection="false" borderId="18" fillId="0" fontId="3" numFmtId="0" xfId="0">
      <alignment vertical="center"/>
    </xf>
    <xf applyAlignment="true" applyBorder="false" applyFill="false" applyFont="true" applyNumberFormat="false" applyProtection="false" borderId="19" fillId="0" fontId="3" numFmtId="0" xfId="0">
      <alignment vertical="center" wrapText="true"/>
    </xf>
    <xf applyAlignment="true" applyBorder="false" applyFill="false" applyFont="true" applyNumberFormat="false" applyProtection="false" borderId="20" fillId="0" fontId="2" numFmtId="0" xfId="0">
      <alignment vertical="center"/>
    </xf>
    <xf applyAlignment="true" applyBorder="false" applyFill="false" applyFont="true" applyNumberFormat="false" applyProtection="false" borderId="21" fillId="0" fontId="2" numFmtId="0" xfId="0">
      <alignment horizontal="left" vertical="center"/>
    </xf>
    <xf applyAlignment="true" applyBorder="false" applyFill="true" applyFont="true" applyNumberFormat="false" applyProtection="false" borderId="22" fillId="6" fontId="2" numFmtId="0" xfId="0">
      <alignment horizontal="center" vertical="center"/>
    </xf>
    <xf applyAlignment="true" applyBorder="false" applyFill="false" applyFont="true" applyNumberFormat="false" applyProtection="false" borderId="23" fillId="0" fontId="2" numFmtId="0" xfId="0">
      <alignment horizontal="left" vertical="center"/>
    </xf>
    <xf applyAlignment="true" applyBorder="false" applyFill="false" applyFont="true" applyNumberFormat="false" applyProtection="false" borderId="24" fillId="0" fontId="3" numFmtId="0" xfId="0">
      <alignment vertical="center"/>
    </xf>
    <xf applyAlignment="true" applyBorder="false" applyFill="false" applyFont="true" applyNumberFormat="false" applyProtection="false" borderId="25" fillId="0" fontId="3" numFmtId="0" xfId="0">
      <alignment vertical="center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true" applyProtection="false" borderId="27" fillId="0" fontId="2" numFmtId="168" xfId="0">
      <alignment horizontal="center" vertical="center"/>
    </xf>
    <xf applyAlignment="true" applyBorder="false" applyFill="false" applyFont="true" applyNumberFormat="false" applyProtection="false" borderId="28" fillId="0" fontId="4" numFmtId="0" xfId="0">
      <alignment horizontal="center" vertical="center"/>
    </xf>
    <xf applyAlignment="true" applyBorder="false" applyFill="true" applyFont="true" applyNumberFormat="false" applyProtection="false" borderId="29" fillId="7" fontId="4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false" applyProtection="false" borderId="33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2" numFmtId="169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vertical="center"/>
    </xf>
    <xf applyAlignment="true" applyBorder="false" applyFill="false" applyFont="true" applyNumberFormat="false" applyProtection="false" borderId="36" fillId="0" fontId="5" numFmtId="0" xfId="0">
      <alignment horizontal="left" vertical="center"/>
    </xf>
    <xf applyAlignment="true" applyBorder="false" applyFill="false" applyFont="true" applyNumberFormat="false" applyProtection="false" borderId="37" fillId="0" fontId="4" numFmtId="0" xfId="0">
      <alignment horizontal="left" vertical="center"/>
    </xf>
    <xf applyAlignment="true" applyBorder="false" applyFill="false" applyFont="true" applyNumberFormat="false" applyProtection="false" borderId="38" fillId="0" fontId="6" numFmtId="0" xfId="0">
      <alignment horizontal="left" vertical="center"/>
    </xf>
    <xf applyAlignment="true" applyBorder="false" applyFill="false" applyFont="true" applyNumberFormat="true" applyProtection="false" borderId="39" fillId="0" fontId="3" numFmtId="170" xfId="0">
      <alignment vertical="center"/>
    </xf>
    <xf applyAlignment="true" applyBorder="false" applyFill="false" applyFont="true" applyNumberFormat="false" applyProtection="false" borderId="40" fillId="0" fontId="3" numFmtId="0" xfId="0">
      <alignment horizontal="right" vertical="center"/>
    </xf>
    <xf applyAlignment="true" applyBorder="false" applyFill="false" applyFont="true" applyNumberFormat="true" applyProtection="false" borderId="41" fillId="0" fontId="3" numFmtId="171" xfId="0">
      <alignment horizontal="center" vertical="center"/>
    </xf>
    <xf applyAlignment="true" applyBorder="false" applyFill="true" applyFont="true" applyNumberFormat="false" applyProtection="false" borderId="42" fillId="8" fontId="3" numFmtId="0" xfId="0">
      <alignment vertical="center"/>
    </xf>
    <xf applyAlignment="true" applyBorder="false" applyFill="true" applyFont="true" applyNumberFormat="false" applyProtection="false" borderId="43" fillId="9" fontId="3" numFmtId="0" xfId="0">
      <alignment vertical="center"/>
    </xf>
    <xf applyAlignment="true" applyBorder="false" applyFill="true" applyFont="true" applyNumberFormat="false" applyProtection="false" borderId="44" fillId="1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文档导出器" id="{DBA791B1-D40D-41BE-B8E5-0264D6622391}" userId="S::::2579fd30-f16d-4763-a623-2d3506e6eea8" providerId="AD"/>
  <person displayName="龚政涛" id="{D31476F9-3EF8-496E-BDB5-63F385724EEA}" userId="S::::63b96b39-d843-4025-96e6-f3778938f35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ED376DB2-7DE3-4C58-8423-107F67F0FD22}" ref="A6" dT="2024-12-20T12:09:33" personId="{D31476F9-3EF8-496E-BDB5-63F385724EEA}" parentId="{}">
    <text>@Cade 你感觉基于我们的新系统，还有必要实装这套补正梯度吗？毕竟1. 武器大部分时候不会增长属性补正；2. 武器增长属性补正的时候，我们可以更改武器自带的补正属性系数，实现和梯度函数已有的效果，但测算会更直接</text>
  </threadedComment>
</ThreadedComments>
</file>

<file path=xl/worksheets/_rels/sheet4.xml.rels><?xml version="1.0" encoding="UTF-8" standalone="yes"?>
<Relationships xmlns="http://schemas.openxmlformats.org/package/2006/relationships"><Relationship Id="rId1" Target="https://dikpa4hrtn9.feishu.cn/wiki/XZGcwhQmtiTeSEkUVobcSBirnVb" Type="http://schemas.openxmlformats.org/officeDocument/2006/relationships/hyperlink" TargetMode="External"></Relationship><Relationship Id="rId2" Target="https://dikpa4hrtn9.feishu.cn/wiki/IJLewOMbviq66jk1Ky0ckbe6nje" Type="http://schemas.openxmlformats.org/officeDocument/2006/relationships/hyperlink" TargetMode="External"></Relationship><Relationship Id="rId3" Target="https://dikpa4hrtn9.feishu.cn/wiki/IJLewOMbviq66jk1Ky0ckbe6nje" Type="http://schemas.openxmlformats.org/officeDocument/2006/relationships/hyperlink" TargetMode="External"></Relationship><Relationship Id="rId4" Target="https://dikpa4hrtn9.feishu.cn/wiki/T6Xxwn6znil39mkZCHfcWzAdn4e" Type="http://schemas.openxmlformats.org/officeDocument/2006/relationships/hyperlink" TargetMode="External"></Relationship><Relationship Id="rId5" Target="https://dikpa4hrtn9.feishu.cn/wiki/T6Xxwn6znil39mkZCHfcWzAdn4e" Type="http://schemas.openxmlformats.org/officeDocument/2006/relationships/hyperlink" TargetMode="External"></Relationship><Relationship Id="rId6" Target="https://dikpa4hrtn9.feishu.cn/wiki/QPi2wYE7wiEAEUkbXaDcU1PynPg" Type="http://schemas.openxmlformats.org/officeDocument/2006/relationships/hyperlink" TargetMode="External"></Relationship><Relationship Id="rId7" Target="https://dikpa4hrtn9.feishu.cn/wiki/XZGcwhQmtiTeSEkUVobcSBirnVb" Type="http://schemas.openxmlformats.org/officeDocument/2006/relationships/hyperlink" TargetMode="External"></Relationship><Relationship Id="rId8" Target="https://dikpa4hrtn9.feishu.cn/wiki/XcKfwMDrAixfZZkMLXucOaa3nXe" Type="http://schemas.openxmlformats.org/officeDocument/2006/relationships/hyperlink" TargetMode="External"></Relationship><Relationship Id="rId9" Target="https://dikpa4hrtn9.feishu.cn/wiki/XcKfwMDrAixfZZkMLXucOaa3nXe" Type="http://schemas.openxmlformats.org/officeDocument/2006/relationships/hyperlink" TargetMode="External"></Relationship><Relationship Id="rId10" Target="https://dikpa4hrtn9.feishu.cn/wiki/QPi2wYE7wiEAEUkbXaDcU1PynPg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3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5"/>
    <col collapsed="false" customWidth="true" hidden="false" max="8" min="8" style="0" width="5"/>
  </cols>
  <sheetData>
    <row r="1">
      <c r="A1" s="28" t="str">
        <v>名称</v>
      </c>
      <c r="B1" s="28" t="str">
        <v>字段名</v>
      </c>
      <c r="C1" s="28" t="str">
        <v>显示类型</v>
      </c>
      <c r="D1" s="28" t="str">
        <v>实际数值</v>
      </c>
      <c r="E1" s="29" t="str">
        <v>基础数值</v>
      </c>
      <c r="F1" s="29" t="str">
        <v>属性增长</v>
      </c>
      <c r="G1" s="28" t="str">
        <v>单位</v>
      </c>
      <c r="H1" s="28" t="str">
        <v>类型</v>
      </c>
      <c r="I1" s="28" t="str">
        <v>描述</v>
      </c>
    </row>
    <row customHeight="true" ht="19" r="2">
      <c r="A2" s="13" t="str">
        <v>翻滚距离</v>
      </c>
      <c r="B2" s="13" t="str">
        <v>Roll Distance</v>
      </c>
      <c r="C2" s="11" t="str">
        <v>隐性</v>
      </c>
      <c r="D2" s="16"/>
      <c r="E2" s="12"/>
      <c r="F2" s="12"/>
      <c r="G2" s="13"/>
      <c r="H2" s="13"/>
      <c r="I2" s="20"/>
    </row>
    <row customHeight="true" ht="19" r="3">
      <c r="A3" s="13" t="str">
        <v>翻滚冷却</v>
      </c>
      <c r="B3" s="13" t="str">
        <v>Roll Cooldown</v>
      </c>
      <c r="C3" s="11" t="str">
        <v>隐性</v>
      </c>
      <c r="D3" s="16"/>
      <c r="E3" s="12"/>
      <c r="F3" s="12"/>
      <c r="G3" s="13"/>
      <c r="H3" s="13"/>
      <c r="I3" s="20"/>
    </row>
    <row r="4">
      <c r="A4" s="13" t="str">
        <v>移动速度</v>
      </c>
      <c r="B4" s="13" t="str">
        <v>Speed</v>
      </c>
      <c r="C4" s="11" t="str">
        <v>隐性</v>
      </c>
      <c r="D4" s="16">
        <f>E4+F4</f>
      </c>
      <c r="E4" s="12">
        <v>440</v>
      </c>
      <c r="F4" s="12"/>
      <c r="G4" s="13" t="str">
        <v>cm/s</v>
      </c>
      <c r="H4" s="13" t="str">
        <v>float</v>
      </c>
      <c r="I4" s="20"/>
    </row>
    <row r="5">
      <c r="A5" s="6" t="str">
        <v>力量</v>
      </c>
      <c r="B5" s="2" t="str">
        <v>Strength</v>
      </c>
      <c r="C5" s="1" t="str">
        <v>显性</v>
      </c>
      <c r="D5" s="4">
        <f>E5+F5</f>
      </c>
      <c r="E5" s="7">
        <v>10</v>
      </c>
      <c r="F5" s="7"/>
      <c r="G5" s="2"/>
      <c r="H5" s="2" t="str">
        <v>float</v>
      </c>
      <c r="I5" s="2" t="str">
        <v>类似传统RPG的力量</v>
      </c>
      <c r="J5" s="3"/>
      <c r="K5" s="3"/>
      <c r="L5" s="3"/>
      <c r="M5" s="3"/>
      <c r="N5" s="3"/>
      <c r="O5" s="3"/>
      <c r="P5" s="3"/>
      <c r="Q5" s="3"/>
      <c r="R5" s="5"/>
    </row>
    <row r="6">
      <c r="A6" s="15" t="str">
        <v>反应</v>
      </c>
      <c r="B6" s="13" t="str">
        <v>Reflex</v>
      </c>
      <c r="C6" s="11" t="str">
        <v>显性</v>
      </c>
      <c r="D6" s="16">
        <f>E6+F6</f>
      </c>
      <c r="E6" s="12">
        <v>10</v>
      </c>
      <c r="F6" s="12"/>
      <c r="G6" s="13"/>
      <c r="H6" s="13" t="str">
        <v>float</v>
      </c>
      <c r="I6" s="13" t="str">
        <v>类似传统RPG的敏捷</v>
      </c>
      <c r="R6" s="14"/>
    </row>
    <row r="7">
      <c r="A7" s="15" t="str">
        <v>智力</v>
      </c>
      <c r="B7" s="13" t="str">
        <v>Intelligence</v>
      </c>
      <c r="C7" s="11" t="str">
        <v>显性</v>
      </c>
      <c r="D7" s="16">
        <f>E7+F7</f>
      </c>
      <c r="E7" s="12">
        <v>10</v>
      </c>
      <c r="F7" s="12"/>
      <c r="G7" s="13"/>
      <c r="H7" s="13" t="str">
        <v>float</v>
      </c>
      <c r="I7" s="13" t="str">
        <v>类似传统RPG的智力</v>
      </c>
      <c r="R7" s="14"/>
    </row>
    <row r="8">
      <c r="A8" s="6" t="str">
        <v>生命值</v>
      </c>
      <c r="B8" s="2" t="str">
        <v>Health</v>
      </c>
      <c r="C8" s="1" t="str">
        <v>显性</v>
      </c>
      <c r="D8" s="4">
        <f>E8+F8</f>
      </c>
      <c r="E8" s="7">
        <v>100</v>
      </c>
      <c r="F8" s="10">
        <f>E8*((D5-10)^(0.73))*0.07</f>
      </c>
      <c r="G8" s="2"/>
      <c r="H8" s="2" t="str">
        <v>float</v>
      </c>
      <c r="I8" s="9"/>
      <c r="J8" s="3"/>
      <c r="K8" s="3"/>
      <c r="L8" s="3"/>
      <c r="M8" s="3"/>
      <c r="N8" s="3"/>
      <c r="O8" s="3"/>
      <c r="P8" s="3"/>
      <c r="Q8" s="3"/>
      <c r="R8" s="5"/>
    </row>
    <row r="9">
      <c r="A9" s="15" t="str">
        <v>护甲值</v>
      </c>
      <c r="B9" s="13" t="str">
        <v>Armor</v>
      </c>
      <c r="C9" s="11" t="str">
        <v>显性</v>
      </c>
      <c r="D9" s="16">
        <f>E9+F9</f>
      </c>
      <c r="E9" s="12">
        <v>10</v>
      </c>
      <c r="F9" s="12"/>
      <c r="G9" s="13"/>
      <c r="H9" s="13" t="str">
        <v>float</v>
      </c>
      <c r="I9" s="20"/>
      <c r="R9" s="14"/>
    </row>
    <row customHeight="true" ht="19" r="10">
      <c r="A10" s="15" t="str">
        <v>伤害减免</v>
      </c>
      <c r="B10" s="13" t="str">
        <v>Damage Reduction</v>
      </c>
      <c r="C10" s="11" t="str">
        <v>隐性</v>
      </c>
      <c r="D10" s="16">
        <f>E10+F10</f>
      </c>
      <c r="E10" s="12"/>
      <c r="F10" s="12"/>
      <c r="G10" s="13"/>
      <c r="H10" s="13" t="str">
        <v>float</v>
      </c>
      <c r="I10" s="20"/>
      <c r="R10" s="14"/>
    </row>
    <row r="11">
      <c r="A11" s="6" t="str">
        <v>体力</v>
      </c>
      <c r="B11" s="2" t="str">
        <v>Vitality</v>
      </c>
      <c r="C11" s="1" t="str">
        <v>显性</v>
      </c>
      <c r="D11" s="4">
        <f>E11+F11</f>
      </c>
      <c r="E11" s="7">
        <v>100</v>
      </c>
      <c r="F11" s="7"/>
      <c r="G11" s="2"/>
      <c r="H11" s="2" t="str">
        <v>float</v>
      </c>
      <c r="I11" s="9"/>
      <c r="J11" s="3"/>
      <c r="K11" s="3"/>
      <c r="L11" s="3"/>
      <c r="M11" s="3"/>
      <c r="N11" s="3"/>
      <c r="O11" s="3"/>
      <c r="P11" s="3"/>
      <c r="Q11" s="3"/>
      <c r="R11" s="5"/>
    </row>
    <row r="12">
      <c r="A12" s="15" t="str">
        <v>体力恢复率</v>
      </c>
      <c r="B12" s="13" t="str">
        <v>Vitality Recover Rate</v>
      </c>
      <c r="C12" s="11" t="str">
        <v>隐性</v>
      </c>
      <c r="D12" s="16">
        <f>E12+F12</f>
      </c>
      <c r="E12" s="12">
        <v>25</v>
      </c>
      <c r="F12" s="12"/>
      <c r="G12" s="13" t="str">
        <v>/s</v>
      </c>
      <c r="H12" s="13" t="str">
        <v>float</v>
      </c>
      <c r="I12" s="20"/>
      <c r="R12" s="14"/>
    </row>
    <row r="13">
      <c r="A13" s="15" t="str">
        <v>体力恢复冷却</v>
      </c>
      <c r="B13" s="13" t="str">
        <v>Vitality Recover Countdown</v>
      </c>
      <c r="C13" s="11" t="str">
        <v>隐性</v>
      </c>
      <c r="D13" s="16">
        <f>E13+F13</f>
      </c>
      <c r="E13" s="12">
        <v>1.5</v>
      </c>
      <c r="F13" s="12"/>
      <c r="G13" s="13" t="str">
        <v>s</v>
      </c>
      <c r="H13" s="13" t="str">
        <v>float</v>
      </c>
      <c r="I13" s="13" t="str">
        <v>消耗体力 → 体力开始恢复的等待间隔。</v>
      </c>
      <c r="R13" s="14"/>
    </row>
    <row customHeight="true" ht="19" r="14">
      <c r="A14" s="6" t="str">
        <v>能量</v>
      </c>
      <c r="B14" s="2" t="str">
        <v>Energy</v>
      </c>
      <c r="C14" s="1" t="str">
        <v>显性</v>
      </c>
      <c r="D14" s="4">
        <f>E14+F14</f>
      </c>
      <c r="E14" s="7">
        <v>50</v>
      </c>
      <c r="F14" s="7"/>
      <c r="G14" s="2"/>
      <c r="H14" s="2" t="str">
        <v>float</v>
      </c>
      <c r="I14" s="9" t="str">
        <v>代表能量上限。</v>
      </c>
      <c r="J14" s="3"/>
      <c r="K14" s="3"/>
      <c r="L14" s="3"/>
      <c r="M14" s="3"/>
      <c r="N14" s="3"/>
      <c r="O14" s="3"/>
      <c r="P14" s="3"/>
      <c r="Q14" s="3"/>
      <c r="R14" s="5"/>
    </row>
    <row customHeight="true" ht="19" r="15">
      <c r="A15" s="15" t="str">
        <v>能量转化率</v>
      </c>
      <c r="B15" s="13" t="str">
        <v>Energy Convert Rate</v>
      </c>
      <c r="C15" s="11" t="str">
        <v>隐性</v>
      </c>
      <c r="D15" s="16">
        <f>E15+F15</f>
      </c>
      <c r="E15" s="12">
        <v>100</v>
      </c>
      <c r="F15" s="12"/>
      <c r="G15" s="13" t="str">
        <v>%</v>
      </c>
      <c r="H15" s="13" t="str">
        <v>float</v>
      </c>
      <c r="I15" s="13" t="str">
        <v>消耗体力时，转化为能量的比例，即每消耗N点体力，恢复N*X%能量。能量会立刻开始恢复，但需要以一定速率恢复到目标值。</v>
      </c>
      <c r="R15" s="14"/>
    </row>
    <row customHeight="true" ht="19" r="16">
      <c r="A16" s="21" t="str">
        <v>能量恢复率</v>
      </c>
      <c r="B16" s="23" t="str">
        <v>Energy Recover Rate</v>
      </c>
      <c r="C16" s="26" t="str">
        <v>隐性</v>
      </c>
      <c r="D16" s="27">
        <f>E16+F16</f>
      </c>
      <c r="E16" s="22">
        <v>25</v>
      </c>
      <c r="F16" s="22"/>
      <c r="G16" s="23" t="str">
        <v>/s</v>
      </c>
      <c r="H16" s="23" t="str">
        <v>float</v>
      </c>
      <c r="I16" s="23"/>
      <c r="J16" s="24"/>
      <c r="K16" s="24"/>
      <c r="L16" s="24"/>
      <c r="M16" s="24"/>
      <c r="N16" s="24"/>
      <c r="O16" s="24"/>
      <c r="P16" s="24"/>
      <c r="Q16" s="24"/>
      <c r="R16" s="25"/>
    </row>
    <row customHeight="true" ht="19" r="17">
      <c r="A17" s="13" t="str">
        <v>韧性等级</v>
      </c>
      <c r="B17" s="13" t="str">
        <v>Poise Level</v>
      </c>
      <c r="C17" s="11" t="str">
        <v>隐性</v>
      </c>
      <c r="D17" s="16">
        <f>E17+F17</f>
      </c>
      <c r="E17" s="12">
        <v>1</v>
      </c>
      <c r="F17" s="12"/>
      <c r="G17" s="13"/>
      <c r="H17" s="13" t="str">
        <v>float</v>
      </c>
      <c r="I17" s="13"/>
    </row>
    <row customHeight="true" ht="19" r="18">
      <c r="A18" s="13" t="str">
        <v>韧性值</v>
      </c>
      <c r="B18" s="13" t="str">
        <v>Poise</v>
      </c>
      <c r="C18" s="11" t="str">
        <v>隐性</v>
      </c>
      <c r="D18" s="16">
        <f>E18+F18</f>
      </c>
      <c r="E18" s="12">
        <v>100</v>
      </c>
      <c r="F18" s="12"/>
      <c r="G18" s="13"/>
      <c r="H18" s="13" t="str">
        <v>float</v>
      </c>
      <c r="I18" s="13"/>
    </row>
    <row customHeight="true" ht="19" r="19">
      <c r="A19" s="13" t="str">
        <v>韧性恢复速率</v>
      </c>
      <c r="B19" s="13" t="str">
        <v>Toughness Recover Rate</v>
      </c>
      <c r="C19" s="11" t="str">
        <v>隐性</v>
      </c>
      <c r="D19" s="16">
        <f>E19+F19</f>
      </c>
      <c r="E19" s="12">
        <v>50</v>
      </c>
      <c r="F19" s="17"/>
      <c r="G19" s="13" t="str">
        <v>/s</v>
      </c>
      <c r="H19" s="13" t="str">
        <v>float</v>
      </c>
      <c r="I19" s="13"/>
    </row>
    <row r="20">
      <c r="H20" s="8"/>
    </row>
    <row r="21">
      <c r="A21" s="18"/>
      <c r="B21" s="18"/>
      <c r="H21" s="8"/>
    </row>
    <row r="22">
      <c r="B22" s="18"/>
      <c r="H22" s="8"/>
    </row>
    <row r="23">
      <c r="B23" s="19"/>
      <c r="H23" s="8"/>
    </row>
    <row r="24">
      <c r="H24" s="8"/>
    </row>
    <row r="25">
      <c r="H25" s="8"/>
    </row>
    <row r="26">
      <c r="H26" s="8"/>
    </row>
    <row r="27">
      <c r="H27" s="8"/>
    </row>
    <row r="28">
      <c r="H28" s="8"/>
    </row>
    <row r="29">
      <c r="H29" s="8"/>
    </row>
    <row r="30">
      <c r="H30" s="8"/>
    </row>
    <row r="31">
      <c r="H31" s="8"/>
    </row>
    <row r="32">
      <c r="H32" s="8"/>
    </row>
    <row r="33">
      <c r="H33" s="8"/>
    </row>
    <row r="34">
      <c r="H34" s="8"/>
    </row>
    <row r="35">
      <c r="H35" s="8"/>
    </row>
    <row r="36">
      <c r="H36" s="8"/>
    </row>
    <row r="37">
      <c r="H37" s="8"/>
    </row>
    <row r="38">
      <c r="H38" s="8"/>
    </row>
    <row r="39">
      <c r="H39" s="8"/>
    </row>
    <row r="40">
      <c r="H40" s="8"/>
    </row>
    <row r="41">
      <c r="H41" s="8"/>
    </row>
    <row r="42">
      <c r="H42" s="8"/>
    </row>
    <row r="43">
      <c r="H43" s="8"/>
    </row>
    <row r="44">
      <c r="H44" s="8"/>
    </row>
    <row r="45">
      <c r="H45" s="8"/>
    </row>
    <row r="46">
      <c r="H46" s="8"/>
    </row>
    <row r="47">
      <c r="H47" s="8"/>
    </row>
    <row r="48">
      <c r="H48" s="8"/>
    </row>
    <row r="49">
      <c r="H49" s="8"/>
    </row>
    <row r="50">
      <c r="H50" s="8"/>
    </row>
    <row r="51">
      <c r="H51" s="8"/>
    </row>
    <row r="52">
      <c r="H52" s="8"/>
    </row>
    <row r="53">
      <c r="H53" s="8"/>
    </row>
    <row r="54">
      <c r="H54" s="8"/>
    </row>
    <row r="55">
      <c r="H55" s="8"/>
    </row>
    <row r="56">
      <c r="H56" s="8"/>
    </row>
    <row r="57">
      <c r="H57" s="8"/>
    </row>
    <row r="58">
      <c r="H58" s="8"/>
    </row>
    <row r="59">
      <c r="H59" s="8"/>
    </row>
    <row r="60">
      <c r="H60" s="8"/>
    </row>
    <row r="61">
      <c r="H61" s="8"/>
    </row>
    <row r="62">
      <c r="H62" s="8"/>
    </row>
    <row r="63">
      <c r="H63" s="8"/>
    </row>
    <row r="64">
      <c r="H64" s="8"/>
    </row>
    <row r="65">
      <c r="H65" s="8"/>
    </row>
    <row r="66">
      <c r="H66" s="8"/>
    </row>
    <row r="67">
      <c r="H67" s="8"/>
    </row>
    <row r="68">
      <c r="H68" s="8"/>
    </row>
    <row r="69">
      <c r="H69" s="8"/>
    </row>
    <row r="70">
      <c r="H70" s="8"/>
    </row>
    <row r="71">
      <c r="H71" s="8"/>
    </row>
    <row r="72">
      <c r="H72" s="8"/>
    </row>
    <row r="73">
      <c r="H73" s="8"/>
    </row>
    <row r="74">
      <c r="H74" s="8"/>
    </row>
    <row r="75">
      <c r="H75" s="8"/>
    </row>
    <row r="76">
      <c r="H76" s="8"/>
    </row>
    <row r="77">
      <c r="H77" s="8"/>
    </row>
    <row r="78">
      <c r="H78" s="8"/>
    </row>
    <row r="79">
      <c r="H79" s="8"/>
    </row>
    <row r="80">
      <c r="H80" s="8"/>
    </row>
    <row r="81">
      <c r="H81" s="8"/>
    </row>
    <row r="82">
      <c r="H82" s="8"/>
    </row>
    <row r="83">
      <c r="H83" s="8"/>
    </row>
    <row r="84">
      <c r="H84" s="8"/>
    </row>
    <row r="85">
      <c r="H85" s="8"/>
    </row>
    <row r="86">
      <c r="H86" s="8"/>
    </row>
    <row r="87">
      <c r="H87" s="8"/>
    </row>
    <row r="88">
      <c r="H88" s="8"/>
    </row>
    <row r="89">
      <c r="H89" s="8"/>
    </row>
    <row r="90">
      <c r="H90" s="8"/>
    </row>
    <row r="91">
      <c r="H91" s="8"/>
    </row>
    <row r="92">
      <c r="H92" s="8"/>
    </row>
    <row r="93">
      <c r="H93" s="8"/>
    </row>
    <row r="94">
      <c r="H94" s="8"/>
    </row>
    <row r="95">
      <c r="H95" s="8"/>
    </row>
    <row r="96">
      <c r="H96" s="8"/>
    </row>
    <row r="97">
      <c r="H97" s="8"/>
    </row>
    <row r="98">
      <c r="H98" s="8"/>
    </row>
    <row r="99">
      <c r="H99" s="8"/>
    </row>
    <row r="100">
      <c r="H100" s="8"/>
    </row>
    <row r="101">
      <c r="H101" s="8"/>
    </row>
    <row r="102">
      <c r="H102" s="8"/>
    </row>
    <row r="103">
      <c r="H103" s="8"/>
    </row>
    <row r="104">
      <c r="H104" s="8"/>
    </row>
    <row r="105">
      <c r="H105" s="8"/>
    </row>
    <row r="106">
      <c r="H106" s="8"/>
    </row>
    <row r="107">
      <c r="H107" s="8"/>
    </row>
    <row r="108">
      <c r="H108" s="8"/>
    </row>
    <row r="109">
      <c r="H109" s="8"/>
    </row>
    <row r="110">
      <c r="H110" s="8"/>
    </row>
    <row r="111">
      <c r="H111" s="8"/>
    </row>
    <row r="112">
      <c r="H112" s="8"/>
    </row>
    <row r="113">
      <c r="H113" s="8"/>
    </row>
    <row r="114">
      <c r="H114" s="8"/>
    </row>
    <row r="115">
      <c r="H115" s="8"/>
    </row>
    <row r="116">
      <c r="H116" s="8"/>
    </row>
    <row r="117">
      <c r="H117" s="8"/>
    </row>
    <row r="118">
      <c r="H118" s="8"/>
    </row>
    <row r="119">
      <c r="H119" s="8"/>
    </row>
    <row r="120">
      <c r="H120" s="8"/>
    </row>
    <row r="121">
      <c r="H121" s="8"/>
    </row>
    <row r="122">
      <c r="H122" s="8"/>
    </row>
    <row r="123">
      <c r="H123" s="8"/>
    </row>
    <row r="124">
      <c r="H124" s="8"/>
    </row>
    <row r="125">
      <c r="H125" s="8"/>
    </row>
    <row r="126">
      <c r="H126" s="8"/>
    </row>
    <row r="127">
      <c r="H127" s="8"/>
    </row>
    <row r="128">
      <c r="H128" s="8"/>
    </row>
    <row r="129">
      <c r="H129" s="8"/>
    </row>
    <row r="130">
      <c r="H130" s="8"/>
    </row>
    <row r="131">
      <c r="H131" s="8"/>
    </row>
    <row r="132">
      <c r="H132" s="8"/>
    </row>
    <row r="133">
      <c r="H133" s="8"/>
    </row>
    <row r="134">
      <c r="H134" s="8"/>
    </row>
    <row r="135">
      <c r="H135" s="8"/>
    </row>
    <row r="136">
      <c r="H136" s="8"/>
    </row>
    <row r="137">
      <c r="H137" s="8"/>
    </row>
    <row r="138">
      <c r="H138" s="8"/>
    </row>
    <row r="139">
      <c r="H139" s="8"/>
    </row>
    <row r="140">
      <c r="H140" s="8"/>
    </row>
    <row r="141">
      <c r="H141" s="8"/>
    </row>
    <row r="142">
      <c r="H142" s="8"/>
    </row>
    <row r="143">
      <c r="H143" s="8"/>
    </row>
    <row r="144">
      <c r="H144" s="8"/>
    </row>
    <row r="145">
      <c r="H145" s="8"/>
    </row>
    <row r="146">
      <c r="H146" s="8"/>
    </row>
    <row r="147">
      <c r="H147" s="8"/>
    </row>
    <row r="148">
      <c r="H148" s="8"/>
    </row>
    <row r="149">
      <c r="H149" s="8"/>
    </row>
    <row r="150">
      <c r="H150" s="8"/>
    </row>
    <row r="151">
      <c r="H151" s="8"/>
    </row>
    <row r="152">
      <c r="H152" s="8"/>
    </row>
    <row r="153">
      <c r="H153" s="8"/>
    </row>
    <row r="154">
      <c r="H154" s="8"/>
    </row>
    <row r="155">
      <c r="H155" s="8"/>
    </row>
    <row r="156">
      <c r="H156" s="8"/>
    </row>
    <row r="157">
      <c r="H157" s="8"/>
    </row>
    <row r="158">
      <c r="H158" s="8"/>
    </row>
    <row r="159">
      <c r="H159" s="8"/>
    </row>
    <row r="160">
      <c r="H160" s="8"/>
    </row>
    <row r="161">
      <c r="H161" s="8"/>
    </row>
    <row r="162">
      <c r="H162" s="8"/>
    </row>
    <row r="163">
      <c r="H163" s="8"/>
    </row>
    <row r="164">
      <c r="H164" s="8"/>
    </row>
    <row r="165">
      <c r="H165" s="8"/>
    </row>
    <row r="166">
      <c r="H166" s="8"/>
    </row>
    <row r="167">
      <c r="H167" s="8"/>
    </row>
    <row r="168">
      <c r="H168" s="8"/>
    </row>
    <row r="169">
      <c r="H169" s="8"/>
    </row>
    <row r="170">
      <c r="H170" s="8"/>
    </row>
    <row r="171">
      <c r="H171" s="8"/>
    </row>
    <row r="172">
      <c r="H172" s="8"/>
    </row>
    <row r="173">
      <c r="H173" s="8"/>
    </row>
    <row r="174">
      <c r="H174" s="8"/>
    </row>
    <row r="175">
      <c r="H175" s="8"/>
    </row>
    <row r="176">
      <c r="H176" s="8"/>
    </row>
    <row r="177">
      <c r="H177" s="8"/>
    </row>
    <row r="178">
      <c r="H178" s="8"/>
    </row>
    <row r="179">
      <c r="H179" s="8"/>
    </row>
    <row r="180">
      <c r="H180" s="8"/>
    </row>
    <row r="181">
      <c r="H181" s="8"/>
    </row>
    <row r="182">
      <c r="H182" s="8"/>
    </row>
    <row r="183">
      <c r="H183" s="8"/>
    </row>
    <row r="184">
      <c r="H184" s="8"/>
    </row>
    <row r="185">
      <c r="H185" s="8"/>
    </row>
    <row r="186">
      <c r="H186" s="8"/>
    </row>
    <row r="187">
      <c r="H187" s="8"/>
    </row>
    <row r="188">
      <c r="H188" s="8"/>
    </row>
    <row r="189">
      <c r="H189" s="8"/>
    </row>
    <row r="190">
      <c r="H190" s="8"/>
    </row>
  </sheetData>
  <dataValidations count="1">
    <dataValidation allowBlank="true" errorStyle="stop" showDropDown="true" showErrorMessage="true" sqref="C2:C190" type="list">
      <formula1>"显性,隐性"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3"/>
  </cols>
  <sheetData>
    <row customHeight="true" ht="19" r="1">
      <c r="A1" s="28"/>
      <c r="B1" s="28"/>
      <c r="C1" s="28"/>
      <c r="D1" s="28" t="str">
        <v>全裸</v>
      </c>
      <c r="E1" s="28"/>
      <c r="F1" s="28"/>
      <c r="G1" s="28"/>
      <c r="H1" s="28"/>
      <c r="I1" s="28" t="str">
        <v>白板全装</v>
      </c>
      <c r="J1" s="28"/>
      <c r="K1" s="28"/>
      <c r="L1" s="28"/>
      <c r="M1" s="28"/>
      <c r="N1" s="31" t="str">
        <v>End Game</v>
      </c>
      <c r="O1" s="31"/>
      <c r="P1" s="31"/>
      <c r="Q1" s="31"/>
      <c r="R1" s="31"/>
    </row>
    <row r="2">
      <c r="A2" s="28" t="str">
        <v>名称</v>
      </c>
      <c r="B2" s="28" t="str">
        <v>字段名</v>
      </c>
      <c r="C2" s="28" t="str">
        <v>显示类型</v>
      </c>
      <c r="D2" s="28" t="str">
        <v>实际数值</v>
      </c>
      <c r="E2" s="29" t="str">
        <v>基础数值</v>
      </c>
      <c r="F2" s="29" t="str">
        <v>动态增长</v>
      </c>
      <c r="G2" s="29" t="str">
        <v>固定附加</v>
      </c>
      <c r="H2" s="29" t="str">
        <v>比例增长</v>
      </c>
      <c r="I2" s="28" t="str">
        <v>实际数值</v>
      </c>
      <c r="J2" s="29" t="str">
        <v>基础数值</v>
      </c>
      <c r="K2" s="29" t="str">
        <v>动态增长</v>
      </c>
      <c r="L2" s="29" t="str">
        <v>固定附加</v>
      </c>
      <c r="M2" s="29" t="str">
        <v>比例增长</v>
      </c>
      <c r="N2" s="28" t="str">
        <v>实际数值</v>
      </c>
      <c r="O2" s="29" t="str">
        <v>基础数值</v>
      </c>
      <c r="P2" s="29" t="str">
        <v>动态增长</v>
      </c>
      <c r="Q2" s="29" t="str">
        <v>固定附加</v>
      </c>
      <c r="R2" s="29" t="str">
        <v>比例增长</v>
      </c>
    </row>
    <row r="3">
      <c r="A3" s="13" t="str">
        <v>生命</v>
      </c>
      <c r="B3" s="13" t="str">
        <v>Health</v>
      </c>
      <c r="C3" s="11" t="str">
        <v>显性</v>
      </c>
      <c r="D3" s="30">
        <f>E3+F3+G3</f>
      </c>
      <c r="E3" s="12">
        <v>50</v>
      </c>
      <c r="F3" s="12">
        <f>D9*2.5+D13*2.5</f>
      </c>
      <c r="G3" s="12"/>
      <c r="H3" s="12"/>
      <c r="I3" s="30">
        <f>J3+K3+L3</f>
      </c>
      <c r="J3" s="12">
        <v>50</v>
      </c>
      <c r="K3" s="12">
        <f>I9*2.5+I13*2.5</f>
      </c>
      <c r="L3" s="12">
        <v>70</v>
      </c>
      <c r="M3" s="12"/>
      <c r="N3" s="30">
        <f>O3+P3+Q3</f>
      </c>
      <c r="O3" s="12">
        <v>50</v>
      </c>
      <c r="P3" s="12">
        <f>N9*2.5+N13*2.5</f>
      </c>
      <c r="Q3" s="12">
        <v>220</v>
      </c>
      <c r="R3" s="12"/>
    </row>
    <row r="4">
      <c r="A4" s="13" t="str">
        <v>体力</v>
      </c>
      <c r="B4" s="13" t="str">
        <v>Vitality</v>
      </c>
      <c r="C4" s="11" t="str">
        <v>显性</v>
      </c>
      <c r="D4" s="30">
        <f>E4+F4+G4</f>
      </c>
      <c r="E4" s="12">
        <v>0</v>
      </c>
      <c r="F4" s="12">
        <f>D3</f>
      </c>
      <c r="G4" s="12"/>
      <c r="H4" s="12"/>
      <c r="I4" s="30">
        <f>J4+K4+L4</f>
      </c>
      <c r="J4" s="12">
        <v>0</v>
      </c>
      <c r="K4" s="12">
        <f>I3</f>
      </c>
      <c r="L4" s="12"/>
      <c r="M4" s="12"/>
      <c r="N4" s="30">
        <f>O4+P4+Q4</f>
      </c>
      <c r="O4" s="12">
        <v>0</v>
      </c>
      <c r="P4" s="12">
        <f>N3</f>
      </c>
      <c r="Q4" s="12"/>
      <c r="R4" s="12"/>
    </row>
    <row r="5">
      <c r="A5" s="13" t="str">
        <v>护甲</v>
      </c>
      <c r="B5" s="13" t="str">
        <v>Armor</v>
      </c>
      <c r="C5" s="11" t="str">
        <v>显性</v>
      </c>
      <c r="D5" s="30">
        <f>E5+F5+G5</f>
      </c>
      <c r="E5" s="12">
        <v>10</v>
      </c>
      <c r="F5" s="12"/>
      <c r="G5" s="12"/>
      <c r="H5" s="12"/>
      <c r="I5" s="30">
        <f>J5+K5+L5</f>
      </c>
      <c r="J5" s="12">
        <v>10</v>
      </c>
      <c r="K5" s="12"/>
      <c r="L5" s="12">
        <v>30</v>
      </c>
      <c r="M5" s="12"/>
      <c r="N5" s="30">
        <f>O5+P5+Q5</f>
      </c>
      <c r="O5" s="12">
        <v>10</v>
      </c>
      <c r="P5" s="12"/>
      <c r="Q5" s="12">
        <v>80</v>
      </c>
      <c r="R5" s="12"/>
    </row>
    <row r="6">
      <c r="A6" s="13" t="str">
        <v>能量</v>
      </c>
      <c r="B6" s="13" t="str">
        <v>Energy</v>
      </c>
      <c r="C6" s="11" t="str">
        <v>显性</v>
      </c>
      <c r="D6" s="30">
        <f>E6+F6+G6</f>
      </c>
      <c r="E6" s="12">
        <v>50</v>
      </c>
      <c r="F6" s="12">
        <f>D10*2.5+D14*2.5</f>
      </c>
      <c r="G6" s="12"/>
      <c r="H6" s="12"/>
      <c r="I6" s="30">
        <f>J6+K6+L6</f>
      </c>
      <c r="J6" s="12">
        <v>50</v>
      </c>
      <c r="K6" s="12">
        <f>I10*2.5+I14*2.5</f>
      </c>
      <c r="L6" s="12"/>
      <c r="M6" s="12"/>
      <c r="N6" s="30">
        <f>O6+P6+Q6</f>
      </c>
      <c r="O6" s="12">
        <v>50</v>
      </c>
      <c r="P6" s="12">
        <f>N10*2.5+N14*2.5</f>
      </c>
      <c r="Q6" s="12"/>
      <c r="R6" s="12"/>
    </row>
    <row r="7">
      <c r="A7" s="13" t="str">
        <v>移动速度</v>
      </c>
      <c r="B7" s="13" t="str">
        <v>Speed</v>
      </c>
      <c r="C7" s="11" t="str">
        <v>隐性</v>
      </c>
      <c r="D7" s="30">
        <f>E7+F7+G7</f>
      </c>
      <c r="E7" s="12">
        <v>600</v>
      </c>
      <c r="F7" s="12"/>
      <c r="G7" s="12"/>
      <c r="H7" s="12"/>
      <c r="I7" s="30">
        <f>J7+K7+L7</f>
      </c>
      <c r="J7" s="12">
        <v>600</v>
      </c>
      <c r="K7" s="12"/>
      <c r="L7" s="12"/>
      <c r="M7" s="12"/>
      <c r="N7" s="30">
        <f>O7+P7+Q7</f>
      </c>
      <c r="O7" s="12">
        <v>600</v>
      </c>
      <c r="P7" s="12"/>
      <c r="Q7" s="12"/>
      <c r="R7" s="12"/>
    </row>
    <row r="8">
      <c r="A8" s="13" t="str">
        <v>护甲恢复率</v>
      </c>
      <c r="B8" s="13" t="str">
        <v>Armor Recover Rate</v>
      </c>
      <c r="C8" s="11" t="str">
        <v>隐性</v>
      </c>
      <c r="D8" s="30">
        <f>E8+F8+G8</f>
      </c>
      <c r="E8" s="12">
        <v>0</v>
      </c>
      <c r="F8" s="12"/>
      <c r="G8" s="12"/>
      <c r="H8" s="12"/>
      <c r="I8" s="30">
        <f>J8+K8+L8</f>
      </c>
      <c r="J8" s="12">
        <v>0</v>
      </c>
      <c r="K8" s="12"/>
      <c r="L8" s="12"/>
      <c r="M8" s="12"/>
      <c r="N8" s="30">
        <f>O8+P8+Q8</f>
      </c>
      <c r="O8" s="12">
        <v>0</v>
      </c>
      <c r="P8" s="12"/>
      <c r="Q8" s="12"/>
      <c r="R8" s="12"/>
    </row>
    <row r="9">
      <c r="A9" s="6" t="str">
        <v>力量</v>
      </c>
      <c r="B9" s="2" t="str">
        <v>Strength</v>
      </c>
      <c r="C9" s="1" t="str">
        <v>显性</v>
      </c>
      <c r="D9" s="32">
        <f>E9+F9+G9</f>
      </c>
      <c r="E9" s="7">
        <v>10</v>
      </c>
      <c r="F9" s="7"/>
      <c r="G9" s="7"/>
      <c r="H9" s="7"/>
      <c r="I9" s="32">
        <f>J9+K9+L9</f>
      </c>
      <c r="J9" s="7">
        <v>10</v>
      </c>
      <c r="K9" s="7"/>
      <c r="L9" s="7">
        <v>1</v>
      </c>
      <c r="M9" s="7"/>
      <c r="N9" s="32">
        <f>O9+P9+Q9</f>
      </c>
      <c r="O9" s="7">
        <v>10</v>
      </c>
      <c r="P9" s="7"/>
      <c r="Q9" s="7">
        <v>4</v>
      </c>
      <c r="R9" s="7"/>
    </row>
    <row r="10">
      <c r="A10" s="15" t="str">
        <v>适应</v>
      </c>
      <c r="B10" s="13" t="str">
        <v>Adaptability</v>
      </c>
      <c r="C10" s="11" t="str">
        <v>显性</v>
      </c>
      <c r="D10" s="30">
        <f>E10+F10+G10</f>
      </c>
      <c r="E10" s="12">
        <v>10</v>
      </c>
      <c r="F10" s="12"/>
      <c r="G10" s="12"/>
      <c r="H10" s="12"/>
      <c r="I10" s="30">
        <f>J10+K10+L10</f>
      </c>
      <c r="J10" s="12">
        <v>10</v>
      </c>
      <c r="K10" s="12"/>
      <c r="L10" s="12">
        <v>3</v>
      </c>
      <c r="M10" s="12"/>
      <c r="N10" s="30">
        <f>O10+P10+Q10</f>
      </c>
      <c r="O10" s="12">
        <v>10</v>
      </c>
      <c r="P10" s="12"/>
      <c r="Q10" s="12">
        <v>19</v>
      </c>
      <c r="R10" s="12"/>
    </row>
    <row r="11">
      <c r="A11" s="15" t="str">
        <v>反应</v>
      </c>
      <c r="B11" s="13" t="str">
        <v>Reflex</v>
      </c>
      <c r="C11" s="11" t="str">
        <v>显性</v>
      </c>
      <c r="D11" s="30">
        <f>E11+F11+G11</f>
      </c>
      <c r="E11" s="12">
        <v>10</v>
      </c>
      <c r="F11" s="12"/>
      <c r="G11" s="12"/>
      <c r="H11" s="12"/>
      <c r="I11" s="30">
        <f>J11+K11+L11</f>
      </c>
      <c r="J11" s="12">
        <v>10</v>
      </c>
      <c r="K11" s="12"/>
      <c r="L11" s="12">
        <v>13</v>
      </c>
      <c r="M11" s="12"/>
      <c r="N11" s="30">
        <f>O11+P11+Q11</f>
      </c>
      <c r="O11" s="12">
        <v>10</v>
      </c>
      <c r="P11" s="12"/>
      <c r="Q11" s="12">
        <v>73</v>
      </c>
      <c r="R11" s="12"/>
    </row>
    <row r="12">
      <c r="A12" s="15" t="str">
        <v>代谢</v>
      </c>
      <c r="B12" s="13" t="str">
        <v>Metabolism</v>
      </c>
      <c r="C12" s="11" t="str">
        <v>显性</v>
      </c>
      <c r="D12" s="30">
        <f>E12+F12+G12</f>
      </c>
      <c r="E12" s="12">
        <v>10</v>
      </c>
      <c r="F12" s="12"/>
      <c r="G12" s="12"/>
      <c r="H12" s="12"/>
      <c r="I12" s="30">
        <f>J12+K12+L12</f>
      </c>
      <c r="J12" s="12">
        <v>10</v>
      </c>
      <c r="K12" s="12"/>
      <c r="L12" s="12">
        <v>1</v>
      </c>
      <c r="M12" s="12"/>
      <c r="N12" s="30">
        <f>O12+P12+Q12</f>
      </c>
      <c r="O12" s="12">
        <v>10</v>
      </c>
      <c r="P12" s="12"/>
      <c r="Q12" s="12">
        <v>4</v>
      </c>
      <c r="R12" s="12"/>
    </row>
    <row r="13">
      <c r="A13" s="15" t="str">
        <v>耐力</v>
      </c>
      <c r="B13" s="13" t="str">
        <v>Endurance</v>
      </c>
      <c r="C13" s="11" t="str">
        <v>显性</v>
      </c>
      <c r="D13" s="30">
        <f>E13+F13+G13</f>
      </c>
      <c r="E13" s="12">
        <v>10</v>
      </c>
      <c r="F13" s="12"/>
      <c r="G13" s="12"/>
      <c r="H13" s="12"/>
      <c r="I13" s="30">
        <f>J13+K13+L13</f>
      </c>
      <c r="J13" s="12">
        <v>10</v>
      </c>
      <c r="K13" s="12"/>
      <c r="L13" s="12">
        <v>2</v>
      </c>
      <c r="M13" s="12"/>
      <c r="N13" s="30">
        <f>O13+P13+Q13</f>
      </c>
      <c r="O13" s="12">
        <v>10</v>
      </c>
      <c r="P13" s="12"/>
      <c r="Q13" s="12">
        <v>14</v>
      </c>
      <c r="R13" s="12"/>
    </row>
    <row r="14">
      <c r="A14" s="21" t="str">
        <v>智力</v>
      </c>
      <c r="B14" s="23" t="str">
        <v>Intelligence</v>
      </c>
      <c r="C14" s="26" t="str">
        <v>显性</v>
      </c>
      <c r="D14" s="33">
        <f>E14+F14+G14</f>
      </c>
      <c r="E14" s="22">
        <v>10</v>
      </c>
      <c r="F14" s="22"/>
      <c r="G14" s="22"/>
      <c r="H14" s="22"/>
      <c r="I14" s="33">
        <f>J14+K14+L14</f>
      </c>
      <c r="J14" s="22">
        <v>10</v>
      </c>
      <c r="K14" s="22"/>
      <c r="L14" s="22">
        <v>0</v>
      </c>
      <c r="M14" s="22"/>
      <c r="N14" s="33">
        <f>O14+P14+Q14</f>
      </c>
      <c r="O14" s="22">
        <v>10</v>
      </c>
      <c r="P14" s="22"/>
      <c r="Q14" s="22">
        <v>0</v>
      </c>
      <c r="R14" s="22"/>
    </row>
    <row customHeight="true" hidden="true" ht="19" r="15">
      <c r="A15" s="13" t="str">
        <v>生命恢复率</v>
      </c>
      <c r="B15" s="13" t="str">
        <v>Health Recover Rate</v>
      </c>
      <c r="C15" s="11" t="str">
        <v>隐性</v>
      </c>
      <c r="D15" s="30">
        <f>E15+F15+G15</f>
      </c>
      <c r="E15" s="12">
        <v>0</v>
      </c>
      <c r="F15" s="12"/>
      <c r="G15" s="12"/>
      <c r="H15" s="12"/>
      <c r="I15" s="30">
        <f>J15+K15+L15</f>
      </c>
      <c r="J15" s="12">
        <v>0</v>
      </c>
      <c r="K15" s="12"/>
      <c r="L15" s="12"/>
      <c r="M15" s="12"/>
      <c r="N15" s="30">
        <f>O15+P15+Q15</f>
      </c>
      <c r="O15" s="12">
        <v>0</v>
      </c>
      <c r="P15" s="12"/>
      <c r="Q15" s="12"/>
      <c r="R15" s="12"/>
    </row>
    <row customHeight="true" hidden="true" ht="19" r="16">
      <c r="A16" s="13" t="str">
        <v>生命恢复冷却</v>
      </c>
      <c r="B16" s="13" t="str">
        <v>Health Recover Countdown</v>
      </c>
      <c r="C16" s="11" t="str">
        <v>隐性</v>
      </c>
      <c r="D16" s="30">
        <f>E16+F16+G16</f>
      </c>
      <c r="E16" s="12">
        <v>0</v>
      </c>
      <c r="F16" s="12"/>
      <c r="G16" s="12"/>
      <c r="H16" s="12"/>
      <c r="I16" s="30">
        <f>J16+K16+L16</f>
      </c>
      <c r="J16" s="12">
        <v>0</v>
      </c>
      <c r="K16" s="12"/>
      <c r="L16" s="12"/>
      <c r="M16" s="12"/>
      <c r="N16" s="30">
        <f>O16+P16+Q16</f>
      </c>
      <c r="O16" s="12">
        <v>0</v>
      </c>
      <c r="P16" s="12"/>
      <c r="Q16" s="12"/>
      <c r="R16" s="12"/>
    </row>
    <row customHeight="true" hidden="true" ht="19" r="17">
      <c r="A17" s="13" t="str">
        <v>能量转化率</v>
      </c>
      <c r="B17" s="13" t="str">
        <v>Energy Convert Rate</v>
      </c>
      <c r="C17" s="11" t="str">
        <v>隐性</v>
      </c>
      <c r="D17" s="30">
        <f>E17+F17+G17</f>
      </c>
      <c r="E17" s="12">
        <v>0</v>
      </c>
      <c r="F17" s="12">
        <f>100*(0.1+0.01*D12)</f>
      </c>
      <c r="G17" s="12"/>
      <c r="H17" s="12"/>
      <c r="I17" s="30">
        <f>J17+K17+L17</f>
      </c>
      <c r="J17" s="12">
        <v>0</v>
      </c>
      <c r="K17" s="12">
        <f>100*(0.1+0.01*I12)</f>
      </c>
      <c r="L17" s="12"/>
      <c r="M17" s="12"/>
      <c r="N17" s="30">
        <f>O17+P17+Q17</f>
      </c>
      <c r="O17" s="12">
        <v>0</v>
      </c>
      <c r="P17" s="12">
        <f>100*(0.1+0.01*N12)</f>
      </c>
      <c r="Q17" s="12"/>
      <c r="R17" s="12"/>
    </row>
    <row customHeight="true" hidden="true" ht="19" r="18">
      <c r="A18" s="13" t="str">
        <v>能量恢复率</v>
      </c>
      <c r="B18" s="13" t="str">
        <v>Energy Recover Rate</v>
      </c>
      <c r="C18" s="11" t="str">
        <v>隐性</v>
      </c>
      <c r="D18" s="30">
        <f>E18+F18+G18</f>
      </c>
      <c r="E18" s="12">
        <v>10</v>
      </c>
      <c r="F18" s="12"/>
      <c r="G18" s="12"/>
      <c r="H18" s="12"/>
      <c r="I18" s="30">
        <f>J18+K18+L18</f>
      </c>
      <c r="J18" s="12">
        <v>10</v>
      </c>
      <c r="K18" s="12"/>
      <c r="L18" s="12"/>
      <c r="M18" s="12"/>
      <c r="N18" s="30">
        <f>O18+P18+Q18</f>
      </c>
      <c r="O18" s="12">
        <v>10</v>
      </c>
      <c r="P18" s="12"/>
      <c r="Q18" s="12"/>
      <c r="R18" s="12"/>
    </row>
    <row customHeight="true" hidden="true" ht="19" r="19">
      <c r="A19" s="13" t="str">
        <v>能量节省率</v>
      </c>
      <c r="B19" s="13" t="str">
        <v>Energy Saving Rate</v>
      </c>
      <c r="C19" s="11" t="str">
        <v>隐性</v>
      </c>
      <c r="D19" s="30">
        <f>E19+F19+G19</f>
      </c>
      <c r="E19" s="12">
        <v>0</v>
      </c>
      <c r="F19" s="12"/>
      <c r="G19" s="12"/>
      <c r="H19" s="12"/>
      <c r="I19" s="30">
        <f>J19+K19+L19</f>
      </c>
      <c r="J19" s="12">
        <v>0</v>
      </c>
      <c r="K19" s="12"/>
      <c r="L19" s="12"/>
      <c r="M19" s="12"/>
      <c r="N19" s="30">
        <f>O19+P19+Q19</f>
      </c>
      <c r="O19" s="12">
        <v>0</v>
      </c>
      <c r="P19" s="12"/>
      <c r="Q19" s="12"/>
      <c r="R19" s="12"/>
    </row>
    <row r="20">
      <c r="A20" s="13" t="str">
        <v>体力恢复率</v>
      </c>
      <c r="B20" s="13" t="str">
        <v>Vitality Recover Rate</v>
      </c>
      <c r="C20" s="11" t="str">
        <v>隐性</v>
      </c>
      <c r="D20" s="30">
        <f>E20+F20+G20</f>
      </c>
      <c r="E20" s="12">
        <v>25</v>
      </c>
      <c r="F20" s="12"/>
      <c r="G20" s="12"/>
      <c r="H20" s="12"/>
      <c r="I20" s="30">
        <f>J20+K20+L20</f>
      </c>
      <c r="J20" s="12">
        <v>25</v>
      </c>
      <c r="K20" s="12"/>
      <c r="L20" s="12"/>
      <c r="M20" s="12"/>
      <c r="N20" s="30">
        <f>O20+P20+Q20</f>
      </c>
      <c r="O20" s="12">
        <v>25</v>
      </c>
      <c r="P20" s="12"/>
      <c r="Q20" s="12"/>
      <c r="R20" s="12"/>
    </row>
    <row r="21">
      <c r="A21" s="13" t="str">
        <v>体力恢复冷却</v>
      </c>
      <c r="B21" s="13" t="str">
        <v>Vitality Recover Countdown</v>
      </c>
      <c r="C21" s="11" t="str">
        <v>隐性</v>
      </c>
      <c r="D21" s="30">
        <f>E21+F21+G21</f>
      </c>
      <c r="E21" s="12">
        <v>1.5</v>
      </c>
      <c r="F21" s="12"/>
      <c r="G21" s="12"/>
      <c r="H21" s="12"/>
      <c r="I21" s="30">
        <f>J21+K21+L21</f>
      </c>
      <c r="J21" s="12">
        <v>1.5</v>
      </c>
      <c r="K21" s="12"/>
      <c r="L21" s="12"/>
      <c r="M21" s="12"/>
      <c r="N21" s="30">
        <f>O21+P21+Q21</f>
      </c>
      <c r="O21" s="12">
        <v>1.5</v>
      </c>
      <c r="P21" s="12"/>
      <c r="Q21" s="12"/>
      <c r="R21" s="12"/>
    </row>
    <row r="22">
      <c r="A22" s="13" t="str">
        <v>体力节省率</v>
      </c>
      <c r="B22" s="13" t="str">
        <v>Vitality Saving Rate</v>
      </c>
      <c r="C22" s="11" t="str">
        <v>隐性</v>
      </c>
      <c r="D22" s="30">
        <f>E22+F22+G22</f>
      </c>
      <c r="E22" s="12">
        <v>0</v>
      </c>
      <c r="F22" s="12"/>
      <c r="G22" s="12"/>
      <c r="H22" s="12"/>
      <c r="I22" s="30">
        <f>J22+K22+L22</f>
      </c>
      <c r="J22" s="12">
        <v>0</v>
      </c>
      <c r="K22" s="12"/>
      <c r="L22" s="12"/>
      <c r="M22" s="12"/>
      <c r="N22" s="30">
        <f>O22+P22+Q22</f>
      </c>
      <c r="O22" s="12">
        <v>0</v>
      </c>
      <c r="P22" s="12"/>
      <c r="Q22" s="12"/>
      <c r="R22" s="12"/>
    </row>
    <row r="23">
      <c r="A23" s="13" t="str">
        <v>义体容量</v>
      </c>
      <c r="B23" s="13" t="str">
        <v>Capacity</v>
      </c>
      <c r="C23" s="11" t="str">
        <v>显性</v>
      </c>
      <c r="D23" s="30">
        <f>E23+F23+G23</f>
      </c>
      <c r="E23" s="12">
        <v>100</v>
      </c>
      <c r="F23" s="12"/>
      <c r="G23" s="12"/>
      <c r="H23" s="12"/>
      <c r="I23" s="30">
        <f>J23+K23+L23</f>
      </c>
      <c r="J23" s="12">
        <v>100</v>
      </c>
      <c r="K23" s="12"/>
      <c r="L23" s="12"/>
      <c r="M23" s="12"/>
      <c r="N23" s="30">
        <f>O23+P23+Q23</f>
      </c>
      <c r="O23" s="12">
        <v>100</v>
      </c>
      <c r="P23" s="12"/>
      <c r="Q23" s="12"/>
      <c r="R23" s="12"/>
    </row>
    <row customHeight="true" hidden="true" ht="19" r="24">
      <c r="A24" s="13" t="str">
        <v>韧性系数</v>
      </c>
      <c r="B24" s="13" t="str">
        <v>Poise Ratio</v>
      </c>
      <c r="C24" s="11" t="str">
        <v>隐性</v>
      </c>
      <c r="D24" s="30">
        <f>E24+F24+G24</f>
      </c>
      <c r="E24" s="12">
        <v>1</v>
      </c>
      <c r="F24" s="12"/>
      <c r="G24" s="12"/>
      <c r="H24" s="12"/>
      <c r="I24" s="30">
        <f>J24+K24+L24</f>
      </c>
      <c r="J24" s="12">
        <v>1</v>
      </c>
      <c r="K24" s="12"/>
      <c r="L24" s="12"/>
      <c r="M24" s="12"/>
      <c r="N24" s="30">
        <f>O24+P24+Q24</f>
      </c>
      <c r="O24" s="12">
        <v>1</v>
      </c>
      <c r="P24" s="12"/>
      <c r="Q24" s="12"/>
      <c r="R24" s="12"/>
    </row>
    <row customHeight="true" hidden="true" ht="19" r="25">
      <c r="A25" s="13" t="str">
        <v>韧性</v>
      </c>
      <c r="B25" s="13" t="str">
        <v>Poise</v>
      </c>
      <c r="C25" s="11" t="str">
        <v>隐性</v>
      </c>
      <c r="D25" s="30">
        <f>E25+F25+G25</f>
      </c>
      <c r="E25" s="12">
        <v>0</v>
      </c>
      <c r="F25" s="12">
        <f>D3*D24</f>
      </c>
      <c r="G25" s="12"/>
      <c r="H25" s="12"/>
      <c r="I25" s="30">
        <f>J25+K25+L25</f>
      </c>
      <c r="J25" s="12">
        <v>0</v>
      </c>
      <c r="K25" s="12">
        <f>I3*I24</f>
      </c>
      <c r="L25" s="12"/>
      <c r="M25" s="12"/>
      <c r="N25" s="30">
        <f>O25+P25+Q25</f>
      </c>
      <c r="O25" s="12">
        <v>0</v>
      </c>
      <c r="P25" s="12">
        <f>N3*N24</f>
      </c>
      <c r="Q25" s="12"/>
      <c r="R25" s="12"/>
    </row>
    <row customHeight="true" hidden="true" ht="19" r="26">
      <c r="A26" s="13" t="str">
        <v>硬直点</v>
      </c>
      <c r="B26" s="13" t="str">
        <v>Poise Points</v>
      </c>
      <c r="C26" s="11" t="str">
        <v>隐性</v>
      </c>
      <c r="D26" s="30">
        <f>E26+F26+G26</f>
      </c>
      <c r="E26" s="12">
        <v>5</v>
      </c>
      <c r="F26" s="12"/>
      <c r="G26" s="12"/>
      <c r="H26" s="12"/>
      <c r="I26" s="30">
        <f>J26+K26+L26</f>
      </c>
      <c r="J26" s="12">
        <v>5</v>
      </c>
      <c r="K26" s="12"/>
      <c r="L26" s="12"/>
      <c r="M26" s="12"/>
      <c r="N26" s="30">
        <f>O26+P26+Q26</f>
      </c>
      <c r="O26" s="12">
        <v>5</v>
      </c>
      <c r="P26" s="12"/>
      <c r="Q26" s="12"/>
      <c r="R26" s="12"/>
    </row>
    <row customHeight="true" hidden="true" ht="19" r="27">
      <c r="A27" s="13" t="str">
        <v>韧性恢复速率</v>
      </c>
      <c r="B27" s="13" t="str">
        <v>Toughness Recover Rate</v>
      </c>
      <c r="C27" s="11" t="str">
        <v>隐性</v>
      </c>
      <c r="D27" s="34">
        <f>E27+F27+G27</f>
      </c>
      <c r="E27" s="12">
        <v>0</v>
      </c>
      <c r="F27" s="17">
        <f>D25*2/3</f>
      </c>
      <c r="G27" s="12"/>
      <c r="H27" s="12"/>
      <c r="I27" s="34">
        <f>J27+K27+L27</f>
      </c>
      <c r="J27" s="12">
        <v>0</v>
      </c>
      <c r="K27" s="17">
        <f>I25*2/3</f>
      </c>
      <c r="L27" s="12"/>
      <c r="M27" s="12"/>
      <c r="N27" s="34">
        <f>O27+P27+Q27</f>
      </c>
      <c r="O27" s="12">
        <v>0</v>
      </c>
      <c r="P27" s="17">
        <f>N25*2/3</f>
      </c>
      <c r="Q27" s="12"/>
      <c r="R27" s="12"/>
    </row>
    <row r="28">
      <c r="A28" s="13" t="str">
        <v>主动技能组数量</v>
      </c>
      <c r="B28" s="13" t="str">
        <v>Active Ability Sets</v>
      </c>
      <c r="C28" s="11" t="str">
        <v>显性</v>
      </c>
      <c r="D28" s="30">
        <f>E28+F28+G28</f>
      </c>
      <c r="E28" s="12">
        <v>1</v>
      </c>
      <c r="F28" s="12"/>
      <c r="G28" s="12"/>
      <c r="H28" s="12"/>
      <c r="I28" s="30">
        <f>J28+K28+L28</f>
      </c>
      <c r="J28" s="12">
        <v>1</v>
      </c>
      <c r="K28" s="12"/>
      <c r="L28" s="12"/>
      <c r="M28" s="12"/>
      <c r="N28" s="30">
        <f>O28+P28+Q28</f>
      </c>
      <c r="O28" s="12">
        <v>1</v>
      </c>
      <c r="P28" s="12"/>
      <c r="Q28" s="12"/>
      <c r="R28" s="12"/>
    </row>
    <row customHeight="true" hidden="true" ht="19" r="29">
      <c r="A29" s="6" t="str">
        <v>记忆栈等级</v>
      </c>
      <c r="B29" s="2" t="str">
        <v>Memory Stack Level</v>
      </c>
      <c r="C29" s="1" t="str">
        <v>显性</v>
      </c>
      <c r="D29" s="32">
        <f>E29+F29+G29</f>
      </c>
      <c r="E29" s="7">
        <v>1</v>
      </c>
      <c r="F29" s="7"/>
      <c r="G29" s="7"/>
      <c r="H29" s="7"/>
      <c r="I29" s="32">
        <f>J29+K29+L29</f>
      </c>
      <c r="J29" s="7">
        <v>1</v>
      </c>
      <c r="K29" s="7"/>
      <c r="L29" s="7"/>
      <c r="M29" s="7"/>
      <c r="N29" s="32">
        <f>O29+P29+Q29</f>
      </c>
      <c r="O29" s="7">
        <v>1</v>
      </c>
      <c r="P29" s="7"/>
      <c r="Q29" s="7"/>
      <c r="R29" s="7"/>
    </row>
    <row customHeight="true" hidden="true" ht="19" r="30">
      <c r="A30" s="21" t="str">
        <v>神经接口抗性</v>
      </c>
      <c r="B30" s="23" t="str">
        <v>Nerve Resistance</v>
      </c>
      <c r="C30" s="26" t="str">
        <v>隐性</v>
      </c>
      <c r="D30" s="33">
        <f>E30+F30+G30</f>
      </c>
      <c r="E30" s="22">
        <v>0</v>
      </c>
      <c r="F30" s="22"/>
      <c r="G30" s="22"/>
      <c r="H30" s="22"/>
      <c r="I30" s="33">
        <f>J30+K30+L30</f>
      </c>
      <c r="J30" s="22">
        <v>0</v>
      </c>
      <c r="K30" s="22"/>
      <c r="L30" s="22"/>
      <c r="M30" s="22"/>
      <c r="N30" s="33">
        <f>O30+P30+Q30</f>
      </c>
      <c r="O30" s="22">
        <v>0</v>
      </c>
      <c r="P30" s="22"/>
      <c r="Q30" s="22"/>
      <c r="R30" s="22"/>
    </row>
  </sheetData>
  <mergeCells>
    <mergeCell ref="D1:H1"/>
    <mergeCell ref="I1:M1"/>
    <mergeCell ref="N1:R1"/>
  </mergeCells>
  <dataValidations count="1">
    <dataValidation allowBlank="true" errorStyle="stop" showErrorMessage="true" sqref="C3:C30" type="list">
      <formula1>"显性,隐性"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2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6"/>
    <col collapsed="false" customWidth="true" hidden="false" max="8" min="8" style="0" width="11"/>
    <col collapsed="false" customWidth="true" hidden="false" max="9" min="9" style="0" width="8"/>
    <col collapsed="false" customWidth="true" hidden="false" max="10" min="10" style="0" width="14"/>
    <col collapsed="false" customWidth="true" hidden="false" max="11" min="11" style="0" width="16"/>
    <col collapsed="false" customWidth="true" hidden="false" max="12" min="12" style="0" width="5"/>
    <col collapsed="false" customWidth="true" hidden="false" max="13" min="13" style="0" width="10"/>
    <col collapsed="false" customWidth="true" hidden="false" max="14" min="14" style="0" width="11"/>
  </cols>
  <sheetData>
    <row r="1">
      <c r="A1" s="37"/>
      <c r="B1" s="37" t="str">
        <v>生命值</v>
      </c>
      <c r="C1" s="37" t="str">
        <v>基础生命</v>
      </c>
      <c r="D1" s="37" t="str">
        <v>基础护甲</v>
      </c>
      <c r="E1" s="37" t="str">
        <v>移动速度</v>
      </c>
      <c r="F1" s="37" t="str">
        <v>力量</v>
      </c>
      <c r="G1" s="37" t="str">
        <v>反应</v>
      </c>
      <c r="H1" s="37" t="str">
        <v>智力</v>
      </c>
      <c r="I1" s="37" t="str">
        <v>体力</v>
      </c>
      <c r="J1" s="37" t="str">
        <v>体力恢复率</v>
      </c>
      <c r="K1" s="37" t="str">
        <v>体力恢复冷却</v>
      </c>
      <c r="L1" s="37" t="str">
        <v>韧性</v>
      </c>
      <c r="M1" s="37" t="str">
        <v>韧性等级</v>
      </c>
      <c r="N1" s="37" t="str">
        <v>韧性恢复速率</v>
      </c>
    </row>
    <row r="2">
      <c r="A2" s="38" t="str">
        <v>RowName</v>
      </c>
      <c r="B2" s="38" t="str">
        <v>Health Result</v>
      </c>
      <c r="C2" s="38" t="str">
        <v>Health</v>
      </c>
      <c r="D2" s="38" t="str">
        <v>Armor</v>
      </c>
      <c r="E2" s="38" t="str">
        <v>Speed</v>
      </c>
      <c r="F2" s="38" t="str">
        <v>Strength</v>
      </c>
      <c r="G2" s="38" t="str">
        <v>Reflex</v>
      </c>
      <c r="H2" s="38" t="str">
        <v>Intelligence</v>
      </c>
      <c r="I2" s="38" t="str">
        <v>Stamina</v>
      </c>
      <c r="J2" s="38" t="str">
        <v>Stamina Regain</v>
      </c>
      <c r="K2" s="38" t="str">
        <v>Stamina Regain CD</v>
      </c>
      <c r="L2" s="38" t="str">
        <v>Poise</v>
      </c>
      <c r="M2" s="38" t="str">
        <v>Poise Level</v>
      </c>
      <c r="N2" s="38" t="str">
        <v>Poise Regain</v>
      </c>
    </row>
    <row customHeight="true" ht="19" r="3">
      <c r="A3" s="37" t="str">
        <v>玩家</v>
      </c>
      <c r="B3" s="30"/>
      <c r="C3" s="8">
        <v>50</v>
      </c>
      <c r="D3" s="30">
        <v>50</v>
      </c>
      <c r="E3" s="30">
        <v>440</v>
      </c>
      <c r="F3" s="30">
        <v>10</v>
      </c>
      <c r="G3" s="30">
        <v>10</v>
      </c>
      <c r="H3" s="30">
        <v>10</v>
      </c>
      <c r="I3" s="30">
        <v>100</v>
      </c>
      <c r="J3" s="30">
        <v>25</v>
      </c>
      <c r="K3" s="30">
        <v>1.5</v>
      </c>
      <c r="L3" s="30">
        <v>100</v>
      </c>
      <c r="M3" s="30">
        <v>1</v>
      </c>
      <c r="N3" s="34">
        <v>66.66666666666667</v>
      </c>
    </row>
    <row r="4">
      <c r="A4" s="36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customHeight="true" ht="19" r="5">
      <c r="A5" s="36" t="s">
        <v>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>
      <c r="A6" s="36" t="s">
        <v>10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>
      <c r="A7" s="36" t="s">
        <v>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customHeight="true" ht="19" r="8">
      <c r="A8" s="36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6" t="s">
        <v>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>
      <c r="A10" s="35" t="s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>
      <c r="A11" s="35" t="s">
        <v>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>
      <c r="A12" s="35" t="s">
        <v>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35" t="s">
        <v>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>
      <c r="A14" s="3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>
      <c r="A15" s="35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>
      <c r="A16" s="3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customHeight="true" ht="19" r="17">
      <c r="A17" s="3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customHeight="true" ht="19" r="18">
      <c r="A18" s="3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customHeight="true" ht="19" r="19">
      <c r="A19" s="3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customHeight="true" ht="19" r="20">
      <c r="A20" s="3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customHeight="true" ht="19" r="21">
      <c r="A21" s="3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>
      <c r="A22" s="3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>
      <c r="A23" s="3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>
      <c r="A24" s="3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customHeight="true" ht="19" r="25">
      <c r="A25" s="35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customHeight="true" ht="19" r="26">
      <c r="A26" s="35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customHeight="true" ht="19" r="27">
      <c r="A27" s="3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customHeight="true" ht="19" r="28">
      <c r="A28" s="3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customHeight="true" ht="19" r="29">
      <c r="A29" s="3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>
      <c r="A30" s="3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customHeight="true" ht="19" r="31">
      <c r="A31" s="3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customHeight="true" ht="19" r="32">
      <c r="A32" s="3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3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>
      <c r="A34" s="3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>
      <c r="A35" s="3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>
      <c r="A36" s="3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3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>
      <c r="A38" s="3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>
      <c r="A39" s="3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>
      <c r="A40" s="3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3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>
      <c r="A42" s="3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>
      <c r="A43" s="3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>
      <c r="A44" s="3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3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>
      <c r="A46" s="3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>
      <c r="A47" s="3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>
      <c r="A48" s="3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>
      <c r="A49" s="3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>
      <c r="A50" s="3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>
      <c r="A51" s="3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>
      <c r="A52" s="3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>
      <c r="A53" s="3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>
      <c r="A54" s="3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>
      <c r="A55" s="3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>
      <c r="A56" s="3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>
      <c r="A57" s="3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>
      <c r="A58" s="3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>
      <c r="A59" s="3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>
      <c r="A60" s="3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>
      <c r="A61" s="3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>
      <c r="A62" s="3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>
      <c r="A63" s="3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>
      <c r="A64" s="3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>
      <c r="A65" s="35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>
      <c r="A66" s="3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>
      <c r="A67" s="3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>
      <c r="A68" s="3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>
      <c r="A69" s="3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>
      <c r="A70" s="3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>
      <c r="A71" s="3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>
      <c r="A72" s="35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>
      <c r="A73" s="3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>
      <c r="A74" s="3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>
      <c r="A75" s="3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>
      <c r="A76" s="3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>
      <c r="A77" s="3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>
      <c r="A78" s="3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>
      <c r="A79" s="3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>
      <c r="A80" s="3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>
      <c r="A81" s="3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>
      <c r="A82" s="3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>
      <c r="A83" s="3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>
      <c r="A84" s="3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>
      <c r="A85" s="3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>
      <c r="A86" s="3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>
      <c r="A87" s="3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>
      <c r="A88" s="3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>
      <c r="A89" s="3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>
      <c r="A90" s="3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>
      <c r="A91" s="3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>
      <c r="A92" s="3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>
      <c r="A93" s="3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>
      <c r="A94" s="3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>
      <c r="A95" s="3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>
      <c r="A96" s="3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>
      <c r="A97" s="3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>
      <c r="A98" s="3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>
      <c r="A99" s="3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>
      <c r="A100" s="3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>
      <c r="A101" s="35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>
      <c r="A102" s="3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>
      <c r="A103" s="35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>
      <c r="A104" s="35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>
      <c r="A105" s="3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>
      <c r="A106" s="3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>
      <c r="A107" s="35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>
      <c r="A108" s="3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>
      <c r="A109" s="3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>
      <c r="A110" s="3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>
      <c r="A111" s="3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>
      <c r="A112" s="3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>
      <c r="A113" s="3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>
      <c r="A114" s="3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>
      <c r="A115" s="35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>
      <c r="A116" s="35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>
      <c r="A117" s="35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>
      <c r="A118" s="3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>
      <c r="A119" s="35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>
      <c r="A120" s="3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>
      <c r="A121" s="35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>
      <c r="A122" s="35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>
      <c r="A123" s="35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>
      <c r="A124" s="35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>
      <c r="A125" s="3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>
      <c r="A126" s="3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>
      <c r="A127" s="3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>
      <c r="A128" s="35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>
      <c r="A129" s="35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>
      <c r="A130" s="3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>
      <c r="A131" s="3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>
      <c r="A132" s="35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>
      <c r="A133" s="35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>
      <c r="A134" s="35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>
      <c r="A135" s="35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>
      <c r="A136" s="35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>
      <c r="A137" s="35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>
      <c r="A138" s="35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>
      <c r="A139" s="35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>
      <c r="A140" s="35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>
      <c r="A141" s="35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>
      <c r="A142" s="35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>
      <c r="A143" s="35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>
      <c r="A144" s="35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>
      <c r="A145" s="35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>
      <c r="A146" s="3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>
      <c r="A147" s="3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>
      <c r="A148" s="35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>
      <c r="A149" s="35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>
      <c r="A150" s="35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>
      <c r="A151" s="35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>
      <c r="A152" s="35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>
      <c r="A153" s="35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>
      <c r="A154" s="35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>
      <c r="A155" s="35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>
      <c r="A156" s="35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>
      <c r="A157" s="35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>
      <c r="A158" s="35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>
      <c r="A159" s="35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>
      <c r="A160" s="35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>
      <c r="A161" s="3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>
      <c r="A162" s="35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>
      <c r="A163" s="35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>
      <c r="A164" s="35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>
      <c r="A165" s="35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>
      <c r="A166" s="35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>
      <c r="A167" s="35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>
      <c r="A168" s="35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>
      <c r="A169" s="35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>
      <c r="A170" s="35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>
      <c r="A171" s="35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>
      <c r="A172" s="35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>
      <c r="A173" s="35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>
      <c r="A174" s="35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>
      <c r="A175" s="35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>
      <c r="A176" s="3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>
      <c r="A177" s="3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>
      <c r="A178" s="3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>
      <c r="A179" s="3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>
      <c r="A180" s="3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>
      <c r="A181" s="3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>
      <c r="A182" s="3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>
      <c r="A183" s="3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>
      <c r="A184" s="35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>
      <c r="A185" s="35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>
      <c r="A186" s="35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>
      <c r="A187" s="35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>
      <c r="A188" s="35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>
      <c r="A189" s="35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>
      <c r="A190" s="35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>
      <c r="A191" s="35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>
      <c r="A192" s="35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>
      <c r="A193" s="3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>
      <c r="A194" s="35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>
      <c r="A195" s="35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>
      <c r="A196" s="35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>
      <c r="A197" s="35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>
      <c r="A198" s="35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>
      <c r="A199" s="35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>
      <c r="A200" s="35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>
      <c r="A201" s="35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>
      <c r="A202" s="35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</sheetData>
  <hyperlinks>
    <hyperlink ref="A5" display="机修工（Greasehand）" r:id="rId1"/>
    <hyperlink ref="A13" display="重装工头（Steel Foreman）" r:id="rId2"/>
    <hyperlink ref="A12" display="重装工头（Steel Foreman）" r:id="rId3"/>
    <hyperlink ref="A11" display="管线技师（Pipewright）" r:id="rId4"/>
    <hyperlink ref="A10" display="管线技师（Pipewright）" r:id="rId5"/>
    <hyperlink ref="A6" display="钉枪工（Boltspitter）" r:id="rId6"/>
    <hyperlink ref="A4" display="机修工（Greasehand）" r:id="rId7"/>
    <hyperlink ref="A9" display="挖掘工（Tunnelrat）" r:id="rId8"/>
    <hyperlink ref="A8" display="挖掘工（Tunnelrat）" r:id="rId9"/>
    <hyperlink ref="A7" display="钉枪工（Boltspitter）" r:id="rId10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11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1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</cols>
  <sheetData>
    <row r="1">
      <c r="A1" s="18" t="str">
        <v>属性函数
y=(((y2-y1)(x-x1)^a)/(x2-x1)^a+y1,a≥0
y=y2-((y2-y1)(x2-x)^(-a))/(x2-x1)^(-a),a＜0
梯度边界等级x1，梯度边界数值y1，梯度边界等级x2，梯度边界数值y2，和曲线次数a</v>
      </c>
      <c r="I1" s="18" t="str">
        <v>属性补正</v>
      </c>
      <c r="K1" s="8"/>
      <c r="L1" s="8"/>
    </row>
    <row r="2">
      <c r="A2" s="18" t="str">
        <v>补正系数：指某项属性达到99时，所能提供的补正攻击力和基础攻击力的比值。</v>
      </c>
      <c r="H2" s="18" t="str">
        <v>演算</v>
      </c>
      <c r="K2" s="8"/>
      <c r="L2" s="8"/>
    </row>
    <row r="3">
      <c r="A3" s="18" t="str">
        <v>补正曲线：</v>
      </c>
    </row>
    <row r="4">
      <c r="A4" s="18" t="str">
        <v>武器面板=基础攻击力+∑（基础攻击力*属性补正系数*属性补正效率）</v>
      </c>
    </row>
    <row r="5"/>
    <row r="6">
      <c r="A6" s="18" t="str">
        <v>玩家属性补正系数</v>
      </c>
      <c r="B6" s="18" t="str">
        <v>补正S＞140%，A=100%~140%，B=75%~100%，C对应50%~75%，D=25%~50%，E＜25%</v>
      </c>
    </row>
    <row r="7">
      <c r="A7" s="18" t="str">
        <v>属性补正效率：</v>
      </c>
      <c r="B7" s="20" t="str">
        <v>y(x)=0.02x,if 0≤x≤20,</v>
      </c>
      <c r="E7" s="18"/>
    </row>
    <row r="8">
      <c r="B8" s="18" t="str">
        <v>y(x)=0.01x+0.2,if 20&lt;x≤50,</v>
      </c>
    </row>
    <row r="9">
      <c r="B9" s="18" t="str">
        <v>y(x)=0.00833x+0.28333,if 50&lt;x≤80,</v>
      </c>
      <c r="J9" s="40" t="str">
        <v>敌人补正系数</v>
      </c>
      <c r="K9" s="39" t="str">
        <v>=30%</v>
      </c>
    </row>
    <row r="10">
      <c r="B10" s="18" t="str">
        <v>y(x)=0.00263x+0.73684,if 80&lt;x≤99,</v>
      </c>
      <c r="E10" s="18"/>
      <c r="F10" s="18"/>
      <c r="J10" s="40" t="str">
        <v>敌人属性补正</v>
      </c>
      <c r="K10" s="39" t="str">
        <v>=补正系数*层数</v>
      </c>
    </row>
    <row r="11">
      <c r="A11" s="18"/>
      <c r="B11" s="18" t="str">
        <v>y(x)=1,if x=100</v>
      </c>
      <c r="J11" s="40" t="str">
        <v>敌人最终属性</v>
      </c>
      <c r="K11" s="39" t="str">
        <v>=基础属性 + 基础属性 x 属性补正</v>
      </c>
    </row>
    <row r="12">
      <c r="A12" s="8" t="str">
        <v>基础攻击力(假设)</v>
      </c>
      <c r="B12" s="8" t="str">
        <v>补正属性(假设)</v>
      </c>
      <c r="C12" s="8" t="str">
        <v>补正系数</v>
      </c>
      <c r="D12" s="8" t="str">
        <v>补正效率</v>
      </c>
      <c r="E12" s="8" t="str">
        <v>效率数值</v>
      </c>
      <c r="F12" s="8" t="str">
        <v>补正后攻击力</v>
      </c>
      <c r="J12" s="8" t="str">
        <v>层数</v>
      </c>
      <c r="K12" s="8" t="str">
        <v>属性补正</v>
      </c>
      <c r="L12" s="8" t="str">
        <v>基础属性</v>
      </c>
      <c r="M12" s="8" t="str">
        <v>实际属性</v>
      </c>
    </row>
    <row r="13">
      <c r="A13" s="8">
        <v>100</v>
      </c>
      <c r="B13" s="8">
        <v>1</v>
      </c>
      <c r="C13" s="8">
        <f>IF(B13&gt;80,0.00263*B13+0.73684,IF(B13&gt;50,0.00833*B13+0.28333,IF(B13&gt;20,0.01*B13+0.2,0.02*B13)))</f>
      </c>
      <c r="D13" s="8" t="str">
        <v>S</v>
      </c>
      <c r="E13" s="41">
        <v>1.4</v>
      </c>
      <c r="F13" s="8">
        <f>A13+(A13*C13*E13)</f>
      </c>
      <c r="J13" s="8">
        <v>1</v>
      </c>
      <c r="K13" s="8">
        <f>J13*0.3</f>
      </c>
      <c r="L13" s="30">
        <v>15</v>
      </c>
      <c r="M13" s="8">
        <f>L13+L13*K13</f>
      </c>
    </row>
    <row r="14">
      <c r="A14" s="8">
        <v>100</v>
      </c>
      <c r="B14" s="8">
        <v>10</v>
      </c>
      <c r="C14" s="8">
        <f>IF(B14&gt;80,0.00263*B14+0.73684,IF(B14&gt;50,0.00833*B14+0.28333,IF(B14&gt;20,0.01*B14+0.2,0.02*B14)))</f>
      </c>
      <c r="D14" s="8" t="str">
        <v>S</v>
      </c>
      <c r="E14" s="41">
        <v>1.4</v>
      </c>
      <c r="F14" s="8">
        <f>A14+(A14*C14*E14)</f>
      </c>
      <c r="J14" s="8">
        <v>5</v>
      </c>
      <c r="K14" s="8">
        <f>J14*0.3</f>
      </c>
      <c r="L14" s="30">
        <v>16</v>
      </c>
      <c r="M14" s="8">
        <f>L14+L14*K14</f>
      </c>
    </row>
    <row r="15">
      <c r="A15" s="8">
        <v>100</v>
      </c>
      <c r="B15" s="8">
        <v>20</v>
      </c>
      <c r="C15" s="8">
        <f>IF(B15&gt;80,0.00263*B15+0.73684,IF(B15&gt;50,0.00833*B15+0.28333,IF(B15&gt;20,0.01*B15+0.2,0.02*B15)))</f>
      </c>
      <c r="D15" s="8" t="str">
        <v>S</v>
      </c>
      <c r="E15" s="41">
        <v>1.4</v>
      </c>
      <c r="F15" s="8">
        <f>A15+(A15*C15*E15)</f>
      </c>
      <c r="J15" s="8">
        <v>10</v>
      </c>
      <c r="K15" s="8">
        <f>J15*0.3</f>
      </c>
      <c r="L15" s="30">
        <v>17</v>
      </c>
      <c r="M15" s="8">
        <f>L15+L15*K15</f>
      </c>
    </row>
    <row r="16">
      <c r="A16" s="8">
        <v>100</v>
      </c>
      <c r="B16" s="8">
        <v>30</v>
      </c>
      <c r="C16" s="8">
        <f>IF(B16&gt;80,0.00263*B16+0.73684,IF(B16&gt;50,0.00833*B16+0.28333,IF(B16&gt;20,0.01*B16+0.2,0.02*B16)))</f>
      </c>
      <c r="D16" s="8" t="str">
        <v>S</v>
      </c>
      <c r="E16" s="41">
        <v>1.4</v>
      </c>
      <c r="F16" s="8">
        <f>A16+(A16*C16*E16)</f>
      </c>
      <c r="J16" s="8">
        <v>15</v>
      </c>
      <c r="K16" s="8">
        <f>J16*0.3</f>
      </c>
      <c r="L16" s="30">
        <v>18</v>
      </c>
      <c r="M16" s="8">
        <f>L16+L16*K16</f>
      </c>
    </row>
    <row r="17">
      <c r="A17" s="8">
        <v>100</v>
      </c>
      <c r="B17" s="8">
        <v>50</v>
      </c>
      <c r="C17" s="8">
        <f>IF(B17&gt;80,0.00263*B17+0.73684,IF(B17&gt;50,0.00833*B17+0.28333,IF(B17&gt;20,0.01*B17+0.2,0.02*B17)))</f>
      </c>
      <c r="D17" s="8" t="str">
        <v>S</v>
      </c>
      <c r="E17" s="41">
        <v>1.4</v>
      </c>
      <c r="F17" s="8">
        <f>A17+(A17*C17*E17)</f>
      </c>
      <c r="J17" s="8">
        <v>20</v>
      </c>
      <c r="K17" s="8">
        <f>J17*0.3</f>
      </c>
      <c r="L17" s="30">
        <v>19</v>
      </c>
      <c r="M17" s="8">
        <f>L17+L17*K17</f>
      </c>
    </row>
    <row r="18">
      <c r="A18" s="8">
        <v>100</v>
      </c>
      <c r="B18" s="8">
        <v>60</v>
      </c>
      <c r="C18" s="8">
        <f>IF(B18&gt;80,0.00263*B18+0.73684,IF(B18&gt;50,0.00833*B18+0.28333,IF(B18&gt;20,0.01*B18+0.2,0.02*B18)))</f>
      </c>
      <c r="D18" s="8" t="str">
        <v>S</v>
      </c>
      <c r="E18" s="41">
        <v>1.4</v>
      </c>
      <c r="F18" s="8">
        <f>A18+(A18*C18*E18)</f>
      </c>
      <c r="J18" s="8">
        <v>30</v>
      </c>
      <c r="K18" s="8">
        <f>J18*0.3</f>
      </c>
      <c r="L18" s="30">
        <v>20</v>
      </c>
      <c r="M18" s="8">
        <f>L18+L18*K18</f>
      </c>
    </row>
    <row r="19">
      <c r="A19" s="8">
        <v>100</v>
      </c>
      <c r="B19" s="8">
        <v>80</v>
      </c>
      <c r="C19" s="8">
        <f>IF(B19&gt;80,0.00263*B19+0.73684,IF(B19&gt;50,0.00833*B19+0.28333,IF(B19&gt;20,0.01*B19+0.2,0.02*B19)))</f>
      </c>
      <c r="D19" s="8" t="str">
        <v>S</v>
      </c>
      <c r="E19" s="41">
        <v>1.4</v>
      </c>
      <c r="F19" s="8">
        <f>A19+(A19*C19*E19)</f>
      </c>
      <c r="J19" s="8">
        <v>40</v>
      </c>
      <c r="K19" s="8">
        <f>J19*0.3</f>
      </c>
      <c r="L19" s="30">
        <v>21</v>
      </c>
      <c r="M19" s="8">
        <f>L19+L19*K19</f>
      </c>
    </row>
    <row r="20">
      <c r="A20" s="8">
        <v>100</v>
      </c>
      <c r="B20" s="8">
        <v>99</v>
      </c>
      <c r="C20" s="8">
        <f>IF(B20&gt;80,0.00263*B20+0.73684,IF(B20&gt;50,0.00833*B20+0.28333,IF(B20&gt;20,0.01*B20+0.2,0.02*B20)))</f>
      </c>
      <c r="D20" s="8" t="str">
        <v>S</v>
      </c>
      <c r="E20" s="41">
        <v>1.4</v>
      </c>
      <c r="F20" s="8">
        <f>A20+(A20*C20*E20)</f>
      </c>
      <c r="K20" s="8"/>
      <c r="L20" s="8"/>
    </row>
    <row r="21">
      <c r="K21" s="8"/>
      <c r="L21" s="8"/>
    </row>
    <row r="22">
      <c r="K22" s="8"/>
      <c r="L22" s="8"/>
    </row>
    <row r="23">
      <c r="K23" s="8"/>
      <c r="L23" s="8"/>
    </row>
    <row r="24">
      <c r="K24" s="8"/>
      <c r="L24" s="8"/>
    </row>
    <row r="25">
      <c r="K25" s="8"/>
      <c r="L25" s="8"/>
    </row>
    <row r="26">
      <c r="K26" s="8"/>
      <c r="L26" s="8"/>
    </row>
    <row r="27">
      <c r="K27" s="8"/>
      <c r="L27" s="8"/>
    </row>
    <row r="28">
      <c r="K28" s="8"/>
      <c r="L28" s="8"/>
    </row>
    <row r="29">
      <c r="K29" s="8"/>
      <c r="L29" s="8"/>
    </row>
    <row r="30">
      <c r="K30" s="8"/>
      <c r="L30" s="8"/>
    </row>
    <row r="31">
      <c r="K31" s="8"/>
      <c r="L31" s="8"/>
    </row>
    <row r="32">
      <c r="K32" s="8"/>
      <c r="L32" s="8"/>
    </row>
    <row r="33">
      <c r="K33" s="8"/>
      <c r="L33" s="8"/>
    </row>
    <row r="34">
      <c r="K34" s="8"/>
      <c r="L34" s="8"/>
    </row>
    <row r="35">
      <c r="K35" s="8"/>
      <c r="L35" s="8"/>
    </row>
    <row r="36">
      <c r="K36" s="8"/>
      <c r="L36" s="8"/>
    </row>
    <row r="37">
      <c r="K37" s="8"/>
      <c r="L37" s="8"/>
    </row>
    <row r="38">
      <c r="K38" s="8"/>
      <c r="L38" s="8"/>
    </row>
    <row r="39">
      <c r="K39" s="8"/>
      <c r="L39" s="8"/>
    </row>
    <row r="40">
      <c r="K40" s="8"/>
      <c r="L40" s="8"/>
    </row>
    <row r="41">
      <c r="K41" s="8"/>
      <c r="L41" s="8"/>
    </row>
    <row r="42">
      <c r="K42" s="8"/>
      <c r="L42" s="8"/>
    </row>
    <row r="43">
      <c r="K43" s="8"/>
      <c r="L43" s="8"/>
    </row>
    <row r="44">
      <c r="K44" s="8"/>
      <c r="L44" s="8"/>
    </row>
    <row r="45">
      <c r="K45" s="8"/>
      <c r="L45" s="8"/>
    </row>
    <row r="46">
      <c r="K46" s="8"/>
      <c r="L46" s="8"/>
    </row>
    <row r="47">
      <c r="K47" s="8"/>
      <c r="L47" s="8"/>
    </row>
    <row r="48">
      <c r="K48" s="8"/>
      <c r="L48" s="8"/>
    </row>
    <row r="49">
      <c r="K49" s="8"/>
      <c r="L49" s="8"/>
    </row>
    <row r="50">
      <c r="K50" s="8"/>
      <c r="L50" s="8"/>
    </row>
    <row r="51">
      <c r="K51" s="8"/>
      <c r="L51" s="8"/>
    </row>
    <row r="52">
      <c r="K52" s="8"/>
      <c r="L52" s="8"/>
    </row>
    <row r="53">
      <c r="K53" s="8"/>
      <c r="L53" s="8"/>
    </row>
    <row r="54">
      <c r="K54" s="8"/>
      <c r="L54" s="8"/>
    </row>
    <row r="55">
      <c r="K55" s="8"/>
      <c r="L55" s="8"/>
    </row>
    <row r="56">
      <c r="K56" s="8"/>
      <c r="L56" s="8"/>
    </row>
    <row r="57">
      <c r="K57" s="8"/>
      <c r="L57" s="8"/>
    </row>
    <row r="58">
      <c r="K58" s="8"/>
      <c r="L58" s="8"/>
    </row>
    <row r="59">
      <c r="K59" s="8"/>
      <c r="L59" s="8"/>
    </row>
    <row r="60">
      <c r="K60" s="8"/>
      <c r="L60" s="8"/>
    </row>
    <row r="61">
      <c r="K61" s="8"/>
      <c r="L61" s="8"/>
    </row>
    <row r="62">
      <c r="K62" s="8"/>
      <c r="L62" s="8"/>
    </row>
    <row r="63">
      <c r="K63" s="8"/>
      <c r="L63" s="8"/>
    </row>
    <row r="64">
      <c r="K64" s="8"/>
      <c r="L64" s="8"/>
    </row>
    <row r="65">
      <c r="K65" s="8"/>
      <c r="L65" s="8"/>
    </row>
    <row r="66">
      <c r="K66" s="8"/>
      <c r="L66" s="8"/>
    </row>
    <row r="67">
      <c r="K67" s="8"/>
      <c r="L67" s="8"/>
    </row>
    <row r="68">
      <c r="K68" s="8"/>
      <c r="L68" s="8"/>
    </row>
    <row r="69">
      <c r="K69" s="8"/>
      <c r="L69" s="8"/>
    </row>
    <row r="70">
      <c r="K70" s="8"/>
      <c r="L70" s="8"/>
    </row>
    <row r="71">
      <c r="K71" s="8"/>
      <c r="L71" s="8"/>
    </row>
    <row r="72">
      <c r="K72" s="8"/>
      <c r="L72" s="8"/>
    </row>
    <row r="73">
      <c r="K73" s="8"/>
      <c r="L73" s="8"/>
    </row>
    <row r="74">
      <c r="K74" s="8"/>
      <c r="L74" s="8"/>
    </row>
    <row r="75">
      <c r="K75" s="8"/>
      <c r="L75" s="8"/>
    </row>
    <row r="76">
      <c r="K76" s="8"/>
      <c r="L76" s="8"/>
    </row>
    <row r="77">
      <c r="K77" s="8"/>
      <c r="L77" s="8"/>
    </row>
    <row r="78">
      <c r="K78" s="8"/>
      <c r="L78" s="8"/>
    </row>
    <row r="79">
      <c r="K79" s="8"/>
      <c r="L79" s="8"/>
    </row>
    <row r="80">
      <c r="K80" s="8"/>
      <c r="L80" s="8"/>
    </row>
    <row r="81">
      <c r="K81" s="8"/>
      <c r="L81" s="8"/>
    </row>
    <row r="82">
      <c r="K82" s="8"/>
      <c r="L82" s="8"/>
    </row>
    <row r="83">
      <c r="K83" s="8"/>
      <c r="L83" s="8"/>
    </row>
    <row r="84">
      <c r="K84" s="8"/>
      <c r="L84" s="8"/>
    </row>
    <row r="85">
      <c r="K85" s="8"/>
      <c r="L85" s="8"/>
    </row>
    <row r="86">
      <c r="K86" s="8"/>
      <c r="L86" s="8"/>
    </row>
    <row r="87">
      <c r="K87" s="8"/>
      <c r="L87" s="8"/>
    </row>
    <row r="88">
      <c r="K88" s="8"/>
      <c r="L88" s="8"/>
    </row>
    <row r="89">
      <c r="K89" s="8"/>
      <c r="L89" s="8"/>
    </row>
    <row r="90">
      <c r="K90" s="8"/>
      <c r="L90" s="8"/>
    </row>
    <row r="91">
      <c r="K91" s="8"/>
      <c r="L91" s="8"/>
    </row>
    <row r="92">
      <c r="K92" s="8"/>
      <c r="L92" s="8"/>
    </row>
    <row r="93">
      <c r="K93" s="8"/>
      <c r="L93" s="8"/>
    </row>
    <row r="94">
      <c r="K94" s="8"/>
      <c r="L94" s="8"/>
    </row>
    <row r="95">
      <c r="K95" s="8"/>
      <c r="L95" s="8"/>
    </row>
    <row r="96">
      <c r="K96" s="8"/>
      <c r="L96" s="8"/>
    </row>
    <row r="97">
      <c r="K97" s="8"/>
      <c r="L97" s="8"/>
    </row>
    <row r="98">
      <c r="K98" s="8"/>
      <c r="L98" s="8"/>
    </row>
    <row r="99">
      <c r="K99" s="8"/>
      <c r="L99" s="8"/>
    </row>
    <row r="100">
      <c r="K100" s="8"/>
      <c r="L100" s="8"/>
    </row>
    <row r="101">
      <c r="K101" s="8"/>
      <c r="L101" s="8"/>
    </row>
    <row r="102">
      <c r="K102" s="8"/>
      <c r="L102" s="8"/>
    </row>
    <row r="103">
      <c r="K103" s="8"/>
      <c r="L103" s="8"/>
    </row>
    <row r="104">
      <c r="K104" s="8"/>
      <c r="L104" s="8"/>
    </row>
    <row r="105">
      <c r="K105" s="8"/>
      <c r="L105" s="8"/>
    </row>
    <row r="106">
      <c r="K106" s="8"/>
      <c r="L106" s="8"/>
    </row>
    <row r="107">
      <c r="K107" s="8"/>
      <c r="L107" s="8"/>
    </row>
    <row r="108">
      <c r="K108" s="8"/>
      <c r="L108" s="8"/>
    </row>
    <row r="109">
      <c r="K109" s="8"/>
      <c r="L109" s="8"/>
    </row>
    <row r="110">
      <c r="K110" s="8"/>
      <c r="L110" s="8"/>
    </row>
    <row r="111">
      <c r="K111" s="8"/>
      <c r="L111" s="8"/>
    </row>
    <row r="112">
      <c r="K112" s="8"/>
      <c r="L112" s="8"/>
    </row>
    <row r="113">
      <c r="K113" s="8"/>
      <c r="L113" s="8"/>
    </row>
    <row r="114">
      <c r="K114" s="8"/>
      <c r="L114" s="8"/>
    </row>
    <row r="115">
      <c r="K115" s="8"/>
      <c r="L115" s="8"/>
    </row>
    <row r="116">
      <c r="K116" s="8"/>
      <c r="L116" s="8"/>
    </row>
    <row r="117">
      <c r="K117" s="8"/>
      <c r="L117" s="8"/>
    </row>
    <row r="118">
      <c r="K118" s="8"/>
      <c r="L118" s="8"/>
    </row>
    <row r="119">
      <c r="K119" s="8"/>
      <c r="L119" s="8"/>
    </row>
    <row r="120">
      <c r="K120" s="8"/>
      <c r="L120" s="8"/>
    </row>
    <row r="121">
      <c r="K121" s="8"/>
      <c r="L121" s="8"/>
    </row>
    <row r="122">
      <c r="K122" s="8"/>
      <c r="L122" s="8"/>
    </row>
    <row r="123">
      <c r="K123" s="8"/>
      <c r="L123" s="8"/>
    </row>
    <row r="124">
      <c r="K124" s="8"/>
      <c r="L124" s="8"/>
    </row>
    <row r="125">
      <c r="K125" s="8"/>
      <c r="L125" s="8"/>
    </row>
    <row r="126">
      <c r="K126" s="8"/>
      <c r="L126" s="8"/>
    </row>
    <row r="127">
      <c r="K127" s="8"/>
      <c r="L127" s="8"/>
    </row>
    <row r="128">
      <c r="K128" s="8"/>
      <c r="L128" s="8"/>
    </row>
    <row r="129">
      <c r="K129" s="8"/>
      <c r="L129" s="8"/>
    </row>
    <row r="130">
      <c r="K130" s="8"/>
      <c r="L130" s="8"/>
    </row>
    <row r="131">
      <c r="K131" s="8"/>
      <c r="L131" s="8"/>
    </row>
    <row r="132">
      <c r="K132" s="8"/>
      <c r="L132" s="8"/>
    </row>
    <row r="133">
      <c r="K133" s="8"/>
      <c r="L133" s="8"/>
    </row>
    <row r="134">
      <c r="K134" s="8"/>
      <c r="L134" s="8"/>
    </row>
    <row r="135">
      <c r="K135" s="8"/>
      <c r="L135" s="8"/>
    </row>
    <row r="136">
      <c r="K136" s="8"/>
      <c r="L136" s="8"/>
    </row>
    <row r="137">
      <c r="K137" s="8"/>
      <c r="L137" s="8"/>
    </row>
    <row r="138">
      <c r="K138" s="8"/>
      <c r="L138" s="8"/>
    </row>
    <row r="139">
      <c r="K139" s="8"/>
      <c r="L139" s="8"/>
    </row>
    <row r="140">
      <c r="K140" s="8"/>
      <c r="L140" s="8"/>
    </row>
    <row r="141">
      <c r="K141" s="8"/>
      <c r="L141" s="8"/>
    </row>
    <row r="142">
      <c r="K142" s="8"/>
      <c r="L142" s="8"/>
    </row>
    <row r="143">
      <c r="K143" s="8"/>
      <c r="L143" s="8"/>
    </row>
    <row r="144">
      <c r="K144" s="8"/>
      <c r="L144" s="8"/>
    </row>
    <row r="145">
      <c r="K145" s="8"/>
      <c r="L145" s="8"/>
    </row>
    <row r="146">
      <c r="K146" s="8"/>
      <c r="L146" s="8"/>
    </row>
    <row r="147">
      <c r="K147" s="8"/>
      <c r="L147" s="8"/>
    </row>
    <row r="148">
      <c r="K148" s="8"/>
      <c r="L148" s="8"/>
    </row>
    <row r="149">
      <c r="K149" s="8"/>
      <c r="L149" s="8"/>
    </row>
    <row r="150">
      <c r="K150" s="8"/>
      <c r="L150" s="8"/>
    </row>
    <row r="151">
      <c r="K151" s="8"/>
      <c r="L151" s="8"/>
    </row>
    <row r="152">
      <c r="K152" s="8"/>
      <c r="L152" s="8"/>
    </row>
    <row r="153">
      <c r="K153" s="8"/>
      <c r="L153" s="8"/>
    </row>
    <row r="154">
      <c r="K154" s="8"/>
      <c r="L154" s="8"/>
    </row>
    <row r="155">
      <c r="K155" s="8"/>
      <c r="L155" s="8"/>
    </row>
    <row r="156">
      <c r="K156" s="8"/>
      <c r="L156" s="8"/>
    </row>
    <row r="157">
      <c r="K157" s="8"/>
      <c r="L157" s="8"/>
    </row>
    <row r="158">
      <c r="K158" s="8"/>
      <c r="L158" s="8"/>
    </row>
    <row r="159">
      <c r="K159" s="8"/>
      <c r="L159" s="8"/>
    </row>
    <row r="160">
      <c r="K160" s="8"/>
      <c r="L160" s="8"/>
    </row>
    <row r="161">
      <c r="K161" s="8"/>
      <c r="L161" s="8"/>
    </row>
    <row r="162">
      <c r="K162" s="8"/>
      <c r="L162" s="8"/>
    </row>
    <row r="163">
      <c r="K163" s="8"/>
      <c r="L163" s="8"/>
    </row>
    <row r="164">
      <c r="K164" s="8"/>
      <c r="L164" s="8"/>
    </row>
    <row r="165">
      <c r="K165" s="8"/>
      <c r="L165" s="8"/>
    </row>
    <row r="166">
      <c r="K166" s="8"/>
      <c r="L166" s="8"/>
    </row>
    <row r="167">
      <c r="K167" s="8"/>
      <c r="L167" s="8"/>
    </row>
    <row r="168">
      <c r="K168" s="8"/>
      <c r="L168" s="8"/>
    </row>
    <row r="169">
      <c r="K169" s="8"/>
      <c r="L169" s="8"/>
    </row>
    <row r="170">
      <c r="K170" s="8"/>
      <c r="L170" s="8"/>
    </row>
    <row r="171">
      <c r="K171" s="8"/>
      <c r="L171" s="8"/>
    </row>
    <row r="172">
      <c r="K172" s="8"/>
      <c r="L172" s="8"/>
    </row>
    <row r="173">
      <c r="K173" s="8"/>
      <c r="L173" s="8"/>
    </row>
    <row r="174">
      <c r="K174" s="8"/>
      <c r="L174" s="8"/>
    </row>
    <row r="175">
      <c r="K175" s="8"/>
      <c r="L175" s="8"/>
    </row>
    <row r="176">
      <c r="K176" s="8"/>
      <c r="L176" s="8"/>
    </row>
    <row r="177">
      <c r="K177" s="8"/>
      <c r="L177" s="8"/>
    </row>
    <row r="178">
      <c r="K178" s="8"/>
      <c r="L178" s="8"/>
    </row>
    <row r="179">
      <c r="K179" s="8"/>
      <c r="L179" s="8"/>
    </row>
    <row r="180">
      <c r="K180" s="8"/>
      <c r="L180" s="8"/>
    </row>
    <row r="181">
      <c r="K181" s="8"/>
      <c r="L181" s="8"/>
    </row>
    <row r="182">
      <c r="K182" s="8"/>
      <c r="L182" s="8"/>
    </row>
    <row r="183">
      <c r="K183" s="8"/>
      <c r="L183" s="8"/>
    </row>
    <row r="184">
      <c r="K184" s="8"/>
      <c r="L184" s="8"/>
    </row>
    <row r="185">
      <c r="K185" s="8"/>
      <c r="L185" s="8"/>
    </row>
    <row r="186">
      <c r="K186" s="8"/>
      <c r="L186" s="8"/>
    </row>
    <row r="187">
      <c r="K187" s="8"/>
      <c r="L187" s="8"/>
    </row>
    <row r="188">
      <c r="K188" s="8"/>
      <c r="L188" s="8"/>
    </row>
    <row r="189">
      <c r="K189" s="8"/>
      <c r="L189" s="8"/>
    </row>
    <row r="190">
      <c r="K190" s="8"/>
      <c r="L190" s="8"/>
    </row>
    <row r="191">
      <c r="K191" s="8"/>
      <c r="L191" s="8"/>
    </row>
    <row r="192">
      <c r="K192" s="8"/>
      <c r="L192" s="8"/>
    </row>
    <row r="193">
      <c r="K193" s="8"/>
      <c r="L193" s="8"/>
    </row>
    <row r="194">
      <c r="K194" s="8"/>
      <c r="L194" s="8"/>
    </row>
    <row r="195">
      <c r="K195" s="8"/>
      <c r="L195" s="8"/>
    </row>
    <row r="196">
      <c r="K196" s="8"/>
      <c r="L196" s="8"/>
    </row>
    <row r="197">
      <c r="K197" s="8"/>
      <c r="L197" s="8"/>
    </row>
    <row r="198">
      <c r="K198" s="8"/>
      <c r="L198" s="8"/>
    </row>
    <row r="199">
      <c r="K199" s="8"/>
      <c r="L199" s="8"/>
    </row>
    <row r="200">
      <c r="K200" s="8"/>
      <c r="L200" s="8"/>
    </row>
  </sheetData>
  <legacy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ed4a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8"/>
    <col collapsed="false" customWidth="true" hidden="false" max="3" min="3" style="0" width="15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8"/>
  </cols>
  <sheetData>
    <row r="1">
      <c r="A1" s="35" t="str">
        <v>Index</v>
      </c>
      <c r="B1" s="35" t="str">
        <v>代号</v>
      </c>
      <c r="C1" s="35" t="str" xml:space="preserve">
        <v>视觉 </v>
      </c>
      <c r="D1" s="35" t="str">
        <v>阻止移动</v>
      </c>
      <c r="E1" s="35" t="str">
        <v>阻止旋转</v>
      </c>
      <c r="F1" s="35" t="str">
        <v>阻止攻击</v>
      </c>
      <c r="G1" s="35" t="str">
        <v>阻止换弹</v>
      </c>
      <c r="H1" s="35" t="str">
        <v>阻止翻滚</v>
      </c>
      <c r="I1" s="35" t="str">
        <v>阻止覆盖</v>
      </c>
      <c r="J1" s="35" t="str">
        <v>战术手感描述</v>
      </c>
    </row>
    <row r="2">
      <c r="A2">
        <v>0</v>
      </c>
      <c r="B2" t="str">
        <v>无视</v>
      </c>
      <c r="C2" t="str">
        <v>材质发光</v>
      </c>
      <c r="D2" t="str">
        <v>❌</v>
      </c>
      <c r="E2" t="str">
        <v>❌</v>
      </c>
      <c r="F2" t="str">
        <v>❌</v>
      </c>
      <c r="G2" t="str">
        <v>❌</v>
      </c>
      <c r="H2" t="str">
        <v>❌</v>
      </c>
      <c r="I2" t="str">
        <v>❌</v>
      </c>
      <c r="J2" t="str">
        <v>霸体。动作完全不受影响。</v>
      </c>
    </row>
    <row r="3">
      <c r="A3">
        <v>1</v>
      </c>
      <c r="B3" t="str">
        <v>微颤</v>
      </c>
      <c r="C3" t="str">
        <v>上身抖动</v>
      </c>
      <c r="D3" t="str">
        <v>❌</v>
      </c>
      <c r="E3" t="str">
        <v>❌</v>
      </c>
      <c r="F3" t="str">
        <v>❌</v>
      </c>
      <c r="G3" t="str">
        <v>✅</v>
      </c>
      <c r="H3" t="str">
        <v>❌</v>
      </c>
      <c r="I3" t="str">
        <v>❌</v>
      </c>
      <c r="J3" t="str">
        <v>打断节奏。你可以继续开枪（扣住扳机），但如果你正在换弹，会被打断。体现“精细动作易受干扰”。</v>
      </c>
    </row>
    <row r="4">
      <c r="A4">
        <v>2</v>
      </c>
      <c r="B4" t="str">
        <v>压制</v>
      </c>
      <c r="C4" t="str">
        <v>动作卡顿</v>
      </c>
      <c r="D4" t="str">
        <v>❌</v>
      </c>
      <c r="E4" t="str">
        <v>❌</v>
      </c>
      <c r="F4" t="str">
        <v>✅</v>
      </c>
      <c r="G4" t="str">
        <v>✅</v>
      </c>
      <c r="H4" t="str">
        <v>❌</v>
      </c>
      <c r="I4" t="str">
        <v>❌</v>
      </c>
      <c r="J4" t="str">
        <v>火力压制。开火也会被打断。必须要停火调整（或翻滚）才能恢复攻势。</v>
      </c>
    </row>
    <row r="5">
      <c r="A5">
        <v>3</v>
      </c>
      <c r="B5" t="str">
        <v>定身</v>
      </c>
      <c r="C5" t="str">
        <v>踉跄停步</v>
      </c>
      <c r="D5" t="str">
        <v>✅</v>
      </c>
      <c r="E5" t="str">
        <v>❌</v>
      </c>
      <c r="F5" t="str">
        <v>✅</v>
      </c>
      <c r="G5" t="str">
        <v>✅</v>
      </c>
      <c r="H5" t="str">
        <v>❌</v>
      </c>
      <c r="I5" t="str">
        <v>❌</v>
      </c>
      <c r="J5" t="str">
        <v>禁足。被打停了，无法移动，只能原地转枪口或翻滚逃离。</v>
      </c>
    </row>
    <row r="6">
      <c r="A6">
        <v>4</v>
      </c>
      <c r="B6" t="str">
        <v>锁死</v>
      </c>
      <c r="C6" t="str">
        <v>大幅后仰</v>
      </c>
      <c r="D6" t="str">
        <v>✅</v>
      </c>
      <c r="E6" t="str">
        <v>✅</v>
      </c>
      <c r="F6" t="str">
        <v>✅</v>
      </c>
      <c r="G6" t="str">
        <v>✅</v>
      </c>
      <c r="H6" t="str">
        <v>❌</v>
      </c>
      <c r="I6" t="str">
        <v>❌</v>
      </c>
      <c r="J6" s="18" t="str">
        <v>硬直。必须翻滚才能解。</v>
      </c>
    </row>
    <row r="7">
      <c r="A7">
        <v>5</v>
      </c>
      <c r="B7" s="18" t="str">
        <v>击倒</v>
      </c>
      <c r="C7" s="18" t="str">
        <v>倒地</v>
      </c>
      <c r="D7" t="str">
        <v>✅</v>
      </c>
      <c r="E7" t="str">
        <v>✅</v>
      </c>
      <c r="F7" t="str">
        <v>✅</v>
      </c>
      <c r="G7" t="str">
        <v>✅</v>
      </c>
      <c r="H7" t="str">
        <v>✅</v>
      </c>
      <c r="I7" t="str">
        <v>❌</v>
      </c>
      <c r="J7" s="18" t="str">
        <v>强控。翻滚被禁/断（需高Poise解），基本只能硬吃</v>
      </c>
    </row>
    <row r="8">
      <c r="A8">
        <v>6</v>
      </c>
      <c r="B8" s="18" t="str">
        <v>击飞/抓取</v>
      </c>
      <c r="C8" s="18" t="str">
        <v>物理飞出/火箭冲刺</v>
      </c>
      <c r="D8" t="str">
        <v>✅</v>
      </c>
      <c r="E8" t="str">
        <v>✅</v>
      </c>
      <c r="F8" t="str">
        <v>✅</v>
      </c>
      <c r="G8" t="str">
        <v>✅</v>
      </c>
      <c r="H8" t="str">
        <v>✅</v>
      </c>
      <c r="I8" t="str">
        <v>✅</v>
      </c>
      <c r="J8" s="18" t="str">
        <v>极强控。即使Poise动态增长也无法解除，必须硬吃</v>
      </c>
    </row>
    <row r="9">
      <c r="A9" s="18">
        <v>7</v>
      </c>
      <c r="B9" s="18" t="str">
        <v>破防</v>
      </c>
      <c r="C9" s="18" t="str">
        <v>跪地</v>
      </c>
      <c r="D9" t="str">
        <v>✅</v>
      </c>
      <c r="E9" t="str">
        <v>✅</v>
      </c>
      <c r="F9" t="str">
        <v>✅</v>
      </c>
      <c r="G9" t="str">
        <v>✅</v>
      </c>
      <c r="H9" t="str">
        <v>✅</v>
      </c>
      <c r="I9" t="str">
        <v>✅</v>
      </c>
      <c r="J9" s="18" t="str">
        <v>韧性归0，即使Poise动态增长也无法解除，必须硬吃</v>
      </c>
    </row>
    <row r="10">
      <c r="A10" s="18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ed4a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8"/>
    <col collapsed="false" customWidth="true" hidden="false" max="3" min="3" style="0" width="19"/>
    <col collapsed="false" customWidth="true" hidden="false" max="4" min="4" style="0" width="58"/>
    <col collapsed="false" customWidth="true" hidden="false" max="5" min="5" style="0" width="34"/>
    <col collapsed="false" customWidth="true" hidden="false" max="6" min="6" style="0" width="15"/>
  </cols>
  <sheetData>
    <row r="1">
      <c r="A1" s="35" t="str">
        <v>等级</v>
      </c>
      <c r="B1" s="35" t="str">
        <v>代号</v>
      </c>
      <c r="C1" s="35" t="str">
        <v>材质/物理参考</v>
      </c>
      <c r="D1" s="35" t="str">
        <v>角色/单位示例</v>
      </c>
      <c r="E1" s="35" t="str">
        <v>武器冲击力参考 (Impact)</v>
      </c>
      <c r="F1" s="35" t="str">
        <v>角色参考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>
      <c r="A2" s="42">
        <v>0</v>
      </c>
      <c r="B2" s="42" t="str">
        <v>易碎品</v>
      </c>
      <c r="C2" s="42" t="str">
        <v>泡沫 / 玻璃
质量极轻，无支撑结构</v>
      </c>
      <c r="D2" s="42" t="str">
        <v>小型无人机、摄像头
被任何东西碰到都会剧烈晃动或坠毁。</v>
      </c>
      <c r="E2" s="42" t="str">
        <v>流弹 / 破片 (0)
擦伤也会导致姿态失控。</v>
      </c>
    </row>
    <row r="3">
      <c r="A3" s="42">
        <v>1</v>
      </c>
      <c r="B3" s="42" t="str">
        <v>凡人</v>
      </c>
      <c r="C3" s="42" t="str">
        <v>肉体 / 布料
约 60-70kg，无义体</v>
      </c>
      <c r="D3" s="42" t="str">
        <v>平民、黑客、无甲潜入者
标准的血肉之躯。受到攻击会产生本能的生理畏缩。</v>
      </c>
      <c r="E3" s="42" t="str">
        <v>拳头 / 小口径手枪 (1)
足以让普通人退缩。</v>
      </c>
    </row>
    <row r="4">
      <c r="A4" s="42">
        <v>2</v>
      </c>
      <c r="B4" s="42" t="str">
        <v>强化肉体</v>
      </c>
      <c r="C4" s="42" t="str">
        <v>皮革 / 肌肉强化
约 80-90kg，皮下编织</v>
      </c>
      <c r="D4" s="42" t="str">
        <v>街头混混、帮派打手
注射了兴奋剂或有轻微皮下护甲。能硬顶一两下拳头，但挡不住子弹动能。</v>
      </c>
      <c r="E4" s="42" t="str">
        <v>战术匕首 / 冲锋枪 (2)
需要这种级别的火力才能压制。</v>
      </c>
      <c r="F4" s="18" t="str">
        <v>最弱敌人</v>
      </c>
    </row>
    <row r="5">
      <c r="A5" s="42">
        <v>3</v>
      </c>
      <c r="B5" s="42" t="str">
        <v>战术标准</v>
      </c>
      <c r="C5" s="42" t="str">
        <v>凯夫拉 / 复合材料
全套单兵装备</v>
      </c>
      <c r="D5" s="42" t="str">
        <v>佣兵、公司安保 (轻型)
穿戴防弹背心。子弹打在防弹板上会断肋骨，但不会被打穿。</v>
      </c>
      <c r="E5" s="42" t="str">
        <v>突击步枪 / 警棍 (3)
标准的压制火力。</v>
      </c>
      <c r="F5" s="18" t="str">
        <v>玩家初始</v>
      </c>
    </row>
    <row r="6">
      <c r="A6" s="43">
        <v>4</v>
      </c>
      <c r="B6" s="43" t="str">
        <v>重装步兵</v>
      </c>
      <c r="C6" s="43" t="str">
        <v>陶瓷插板 / 局部外骨骼
增加腿部和脊柱支撑</v>
      </c>
      <c r="D6" s="43" t="str">
        <v>精英特种兵、防暴警察
手枪和冲锋枪打上去只是“挠痒”（Index 0或1），行动不受阻。</v>
      </c>
      <c r="E6" s="43" t="str">
        <v>重型左轮 / 霰弹枪 (4)
大口径动能武器的起步线。</v>
      </c>
    </row>
    <row r="7">
      <c r="A7" s="43">
        <v>5</v>
      </c>
      <c r="B7" s="43" t="str">
        <v>义体化</v>
      </c>
      <c r="C7" s="43" t="str">
        <v>钢 / 钛合金骨架
体重超过 150kg</v>
      </c>
      <c r="D7" s="43" t="str">
        <v>赛博格 (Cyborg)、重锤手
全身 50% 以上改造。物理重心极低，普通踢击纹丝不动。</v>
      </c>
      <c r="E7" s="43" t="str">
        <v>反器材狙击枪 / 蓄力斩 (5)
必须具备穿甲能力的攻击。</v>
      </c>
    </row>
    <row r="8">
      <c r="A8" s="43">
        <v>6</v>
      </c>
      <c r="B8" s="43" t="str">
        <v>动力装甲</v>
      </c>
      <c r="C8" s="43" t="str">
        <v>液压系统 / 厚重装甲
小型载具级防护</v>
      </c>
      <c r="D8" s="43" t="str">
        <v>暴恐机动队 (MaxTac) 重装
人形坦克。霰弹枪打上去也只是轻微晃动。</v>
      </c>
      <c r="E8" s="43" t="str">
        <v>榴弹发射器 / 义体铁拳 / 破城锤 (6)
爆炸冲击波级别 / 攻坚武器。</v>
      </c>
    </row>
    <row r="9">
      <c r="A9" s="43">
        <v>7</v>
      </c>
      <c r="B9" s="43" t="str">
        <v>工业机甲</v>
      </c>
      <c r="C9" s="43" t="str">
        <v>铸铁 / 工业级液压
体重 500kg+</v>
      </c>
      <c r="D9" s="43" t="str">
        <v>工程机甲、装载机、小型双足机甲
用来搬运集装箱的力量。常规轻武器完全免疫（跳弹）。</v>
      </c>
      <c r="E9" s="43" t="str">
        <v>反坦克地雷 / 火箭筒 (7)
攻坚武器。</v>
      </c>
    </row>
    <row r="10">
      <c r="A10" s="44">
        <v>8</v>
      </c>
      <c r="B10" s="44" t="str">
        <v>主战坦克</v>
      </c>
      <c r="C10" s="44" t="str">
        <v>贫铀装甲 / 反应装甲
数吨重</v>
      </c>
      <c r="D10" s="44" t="str">
        <v>重型浮空车、大型四足机甲
常规战斗中的天花板。只有重火力和轨道打击能撼动。</v>
      </c>
      <c r="E10" s="44" t="str">
        <v>轨道炮 / 战术核弹 (8)
甚至需要剧情杀武器。</v>
      </c>
    </row>
    <row r="11">
      <c r="A11" s="44">
        <v>9</v>
      </c>
      <c r="B11" s="44" t="str">
        <v>建筑结构</v>
      </c>
      <c r="C11" s="44" t="str">
        <v>钢筋混凝土
地基相连</v>
      </c>
      <c r="D11" s="44" t="str">
        <v>防御塔、固定炮台、一般民宅
作为一个整体结构，几乎没有“硬直”概念，只有“被破坏”。</v>
      </c>
      <c r="E11" s="44" t="str">
        <v>钻地炸弹 (9)</v>
      </c>
    </row>
    <row r="12">
      <c r="A12" s="44">
        <v>10</v>
      </c>
      <c r="B12" s="44" t="str">
        <v>不可撼动</v>
      </c>
      <c r="C12" s="44" t="str">
        <v>基岩 / 钻石 / 力场</v>
      </c>
      <c r="D12" s="44" t="str">
        <v>地下掩体、世界Boss、剧情屏障
物理规则上的“墙”。</v>
      </c>
      <c r="E12" s="44" t="str">
        <v>歼星炮 (10)
或者 Developer Console。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