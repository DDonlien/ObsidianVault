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株连溅射流" sheetId="2" r:id="rId5"/>
    <sheet name="吸血瀑布流" sheetId="3" r:id="rId6"/>
    <sheet name="隐身暴击流" sheetId="4" r:id="rId7"/>
    <sheet name="攻速脆皮暴击流" sheetId="5" r:id="rId8"/>
    <sheet name="灼烧扩散流" sheetId="6" r:id="rId9"/>
    <sheet name="电磁控场流" sheetId="7" r:id="rId10"/>
    <sheet name="反伤流" sheetId="8" r:id="rId11"/>
    <sheet name="先不做_黑客大师" sheetId="9" r:id="rId12"/>
    <sheet name="自毁狂徒" sheetId="10" r:id="rId13"/>
    <sheet name="先不做_肾上腺狂战士" sheetId="11" r:id="rId14"/>
    <sheet name="先不做_精准狙击猎手" sheetId="12" r:id="rId15"/>
    <sheet name="先不做_动能冲击大师" sheetId="13" r:id="rId16"/>
    <sheet name="先不做_辅助与召唤" sheetId="14" r:id="rId17"/>
    <sheet name="电磁脉冲控制" sheetId="15" r:id="rId18"/>
    <sheet name="剧毒渗透" sheetId="16" r:id="rId19"/>
    <sheet name="高速闪袭" sheetId="17" r:id="rId20"/>
    <sheet name="壁垒重炮手" sheetId="18" r:id="rId21"/>
    <sheet name="武器切换大师" sheetId="19" r:id="rId22"/>
    <sheet name="远程大师" sheetId="20" r:id="rId23"/>
    <sheet name="近战大师" sheetId="21" r:id="rId24"/>
    <sheet name="肘击大师" sheetId="22" r:id="rId25"/>
    <sheet name="片手大师" sheetId="23" r:id="rId2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<sst xmlns="http://schemas.openxmlformats.org/spreadsheetml/2006/main" count="1" uniqueCount="1">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</sst>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vertical="top" wrapText="true"/>
    </xf>
    <xf applyAlignment="true" applyBorder="false" applyFill="false" applyFont="true" applyNumberFormat="false" applyProtection="false" borderId="5" fillId="0" fontId="3" numFmtId="0" xfId="0">
      <alignment horizontal="center" vertical="top" wrapText="true"/>
    </xf>
    <xf applyAlignment="true" applyBorder="false" applyFill="false" applyFont="true" applyNumberFormat="false" applyProtection="false" borderId="6" fillId="0" fontId="3" numFmtId="0" xfId="0">
      <alignment vertical="top" wrapText="true"/>
    </xf>
    <xf applyAlignment="true" applyBorder="false" applyFill="false" applyFont="true" applyNumberFormat="false" applyProtection="false" borderId="7" fillId="0" fontId="3" numFmtId="0" xfId="0">
      <alignment horizontal="center" vertical="top" wrapText="true"/>
    </xf>
    <xf applyAlignment="true" applyBorder="false" applyFill="false" applyFont="true" applyNumberFormat="false" applyProtection="false" borderId="8" fillId="0" fontId="3" numFmtId="0" xfId="0">
      <alignment vertical="top" wrapText="true"/>
    </xf>
    <xf applyAlignment="true" applyBorder="false" applyFill="false" applyFont="true" applyNumberFormat="false" applyProtection="false" borderId="9" fillId="0" fontId="3" numFmtId="0" xfId="0">
      <alignment horizontal="right" vertical="top" wrapText="true"/>
    </xf>
    <xf applyAlignment="true" applyBorder="false" applyFill="false" applyFont="true" applyNumberFormat="false" applyProtection="false" borderId="10" fillId="0" fontId="3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5"/>
      <c r="F2" s="5"/>
      <c r="G2" s="5"/>
      <c r="H2" s="4"/>
      <c r="I2" s="4"/>
      <c r="J2" s="4"/>
      <c r="K2" s="4"/>
      <c r="L2" s="4"/>
      <c r="M2" s="4"/>
      <c r="N2" s="4" t="str">
        <v>通过主手、副手、腿部等多种方式给敌人施加“株连”状态，利用骨骼和智脑（映射为芯片）的效果，在攻击一个敌人时引发连锁伤害，造成大量溅射效果。核心属性：反应。</v>
      </c>
    </row>
    <row r="3">
      <c r="A3" s="4"/>
      <c r="B3" s="4"/>
      <c r="C3" s="4"/>
      <c r="D3" s="4"/>
      <c r="E3" s="5"/>
      <c r="F3" s="5"/>
      <c r="G3" s="5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5"/>
      <c r="F4" s="5"/>
      <c r="G4" s="5"/>
      <c r="H4" s="4"/>
      <c r="I4" s="4"/>
      <c r="J4" s="4"/>
      <c r="K4" s="4"/>
      <c r="L4" s="4"/>
      <c r="M4" s="4"/>
      <c r="N4" s="4"/>
    </row>
    <row r="5">
      <c r="A5" s="6" t="str">
        <v>寰宇</v>
      </c>
      <c r="B5" s="6" t="str">
        <v>主手</v>
      </c>
      <c r="C5" s="6" t="str">
        <v>Omni 'Data Chain' Link</v>
      </c>
      <c r="D5" s="6" t="str">
        <v>“数据链环”</v>
      </c>
      <c r="E5" s="7">
        <f>+4</f>
      </c>
      <c r="F5" s="7">
        <f>+10</f>
      </c>
      <c r="G5" s="7">
        <f>+4</f>
      </c>
      <c r="H5" s="6" t="str">
        <v>普通攻击命中时，对目标施加“株连”效果，并造成额外 {200%} 武器伤害 的能量伤害。株连：链接所有带有此效果的敌人，当其中一个受击时，其他株连敌人受到传递伤害。</v>
      </c>
      <c r="I5" s="6" t="str">
        <v>额外伤害：{武器伤害 x 40%} 能量伤害; 株连持续时间：{12s}; 株连传递伤害比例：{30%}; 传递伤害类型：{受击伤害类型}</v>
      </c>
      <c r="J5" s="6" t="str">
        <v>寰宇的网络技术实体化。“链接者”系列产品。“数据链环”将你的攻击转化为数据信标，在敌人之间建立不稳定的链接，一个崩溃，全体遭殃。</v>
      </c>
      <c r="K5" s="6" t="str">
        <v>核心</v>
      </c>
      <c r="L5" s="6" t="str">
        <v>链接者系列</v>
      </c>
      <c r="M5" s="8" t="str">
        <v>普攻强化, 溅射伤害, 连锁反应</v>
      </c>
      <c r="N5" s="4"/>
    </row>
    <row r="6">
      <c r="A6" s="6" t="str">
        <v>寰宇</v>
      </c>
      <c r="B6" s="6" t="str">
        <v>副手</v>
      </c>
      <c r="C6" s="6" t="str">
        <v>Omni 'Protocol Contagion'</v>
      </c>
      <c r="D6" s="6" t="str">
        <v>“协议传染”</v>
      </c>
      <c r="E6" s="7">
        <f>+3</f>
      </c>
      <c r="F6" s="7">
        <f>+9</f>
      </c>
      <c r="G6" s="7">
        <f>+6</f>
      </c>
      <c r="H6" s="6" t="str">
        <v>武器技能命中时，对目标施加“株连”效果，并造成额外 {200%} 武器技能伤害 的能量伤害。</v>
      </c>
      <c r="I6" s="6" t="str">
        <v>额外技能伤害：{武器技能伤害 x 40%} 能量伤害; 株连持续时间：{12s}; 株连传递伤害比例：{30%}; 传递伤害类型：{受击伤害类型}</v>
      </c>
      <c r="J6" s="6" t="str">
        <v>“链接者”系列的武器技能模块。“协议传染”利用武器技能的高能量瞬间，强行在目标身上植入链接协议，将其纳入毁灭网络。</v>
      </c>
      <c r="K6" s="6" t="str">
        <v>核心</v>
      </c>
      <c r="L6" s="6" t="str">
        <v>链接者系列</v>
      </c>
      <c r="M6" s="8" t="str">
        <v>武器技能, 溅射伤害, 连锁反应</v>
      </c>
      <c r="N6" s="4"/>
    </row>
    <row r="7">
      <c r="A7" s="6" t="str">
        <v>寰宇</v>
      </c>
      <c r="B7" s="6" t="str">
        <v>腿部</v>
      </c>
      <c r="C7" s="6" t="str">
        <v>Omni 'Pulse Relay' Node</v>
      </c>
      <c r="D7" s="6" t="str">
        <v>“脉冲中继”节点</v>
      </c>
      <c r="E7" s="7">
        <f>+5</f>
      </c>
      <c r="F7" s="7">
        <f>+10</f>
      </c>
      <c r="G7" s="7">
        <f>+3</f>
      </c>
      <c r="H7" s="6" t="str">
        <v>冲刺结束时，对终点附近最多{6}名敌人施加“株连”效果。</v>
      </c>
      <c r="I7" s="6" t="str">
        <v>影响数量：{6}; 株连持续时间：{12s}; 株连传递伤害比例：{30%}; 传递伤害类型：{受击伤害类型}</v>
      </c>
      <c r="J7" s="6" t="str">
        <v>“链接者”系列的腿部组件。“脉冲中继”节点在你冲刺路径的终点释放一次数据脉冲，将周围的敌人强行拉入株连网络，为你的下一次攻击制造完美的连锁反应。</v>
      </c>
      <c r="K7" s="6" t="str">
        <v>核心</v>
      </c>
      <c r="L7" s="6" t="str">
        <v>链接者系列</v>
      </c>
      <c r="M7" s="8" t="str">
        <v>位移, 范围施加, 溅射伤害</v>
      </c>
      <c r="N7" s="4"/>
    </row>
    <row r="8">
      <c r="A8" s="6" t="str">
        <v>寰宇</v>
      </c>
      <c r="B8" s="6" t="str">
        <v>皮肤</v>
      </c>
      <c r="C8" s="6" t="str">
        <v>Omni 'Firewall Counter' Mesh</v>
      </c>
      <c r="D8" s="6" t="str">
        <v>“防火墙反制”网格</v>
      </c>
      <c r="E8" s="7">
        <f>+6</f>
      </c>
      <c r="F8" s="7">
        <f>+7</f>
      </c>
      <c r="G8" s="7">
        <f>+5</f>
      </c>
      <c r="H8" s="6" t="str">
        <v>受到近战攻击时，对攻击者施加“株连”效果，并对其造成一次基于反应的反击伤害。</v>
      </c>
      <c r="I8" s="6" t="str">
        <v>反击伤害：{反应 x 500} 能量伤害; 株连持续时间：{12s}; 株连传递伤害比例：{30%}; 传递伤害类型：{受击伤害类型}</v>
      </c>
      <c r="J8" s="6" t="str">
        <v>“防火墙”系列皮肤。当敌人试图突破你的“防火墙”时，它会自动记录攻击来源并将其标记，同时释放一次强烈的能量脉冲作为反制。</v>
      </c>
      <c r="K8" s="6" t="str">
        <v>核心</v>
      </c>
      <c r="L8" s="6" t="str">
        <v>防火墙系列</v>
      </c>
      <c r="M8" s="8" t="str">
        <v>受击触发, 反伤, 溅射伤害</v>
      </c>
      <c r="N8" s="4"/>
    </row>
    <row r="9">
      <c r="A9" s="6" t="str">
        <v>寰宇</v>
      </c>
      <c r="B9" s="6" t="str">
        <v>骨骼</v>
      </c>
      <c r="C9" s="6" t="str">
        <v>Omni 'Circuit Diversion' Frame</v>
      </c>
      <c r="D9" s="6" t="str">
        <v>“回路分流”骨架</v>
      </c>
      <c r="E9" s="7">
        <f>+7</f>
      </c>
      <c r="F9" s="7">
        <f>+5</f>
      </c>
      <c r="G9" s="7">
        <f>+6</f>
      </c>
      <c r="H9" s="6" t="str">
        <v>当你拥有护甲时，受到的伤害的{50%}会转移，平均分配给所有当前带有“株连”效果的敌人（转移的伤害不会再次触发株连）。</v>
      </c>
      <c r="I9" s="6" t="str">
        <v>伤害转移比例：{50%}</v>
      </c>
      <c r="J9" s="6" t="str">
        <v>“防火墙”系列骨架。它能将过载的伤害通过数据链路（株连效果）分流出去，让你的敌人替你承受痛苦。当然，前提是你的护甲还在。</v>
      </c>
      <c r="K9" s="6" t="str">
        <v>核心</v>
      </c>
      <c r="L9" s="6" t="str">
        <v>防火墙系列</v>
      </c>
      <c r="M9" s="8" t="str">
        <v>生存, 护甲关联, 伤害转移</v>
      </c>
      <c r="N9" s="4"/>
    </row>
    <row r="10">
      <c r="A10" s="6" t="str">
        <v>寰宇</v>
      </c>
      <c r="B10" s="6" t="str">
        <v>行为芯片</v>
      </c>
      <c r="C10" s="6" t="str">
        <v>Omni 'Resonance Kill' Chip</v>
      </c>
      <c r="D10" s="6" t="str">
        <v>“共振击杀”芯片</v>
      </c>
      <c r="E10" s="7">
        <v>0</v>
      </c>
      <c r="F10" s="7">
        <v>0</v>
      </c>
      <c r="G10" s="7">
        <v>0</v>
      </c>
      <c r="H10" s="6" t="str">
        <v>如果你的智脑技能击杀了带有“株连”效果的敌人，则对所有其他带有“株连”效果的敌人造成一次基于智力的能量伤害，并移除所有“株连”效果。</v>
      </c>
      <c r="I10" s="6" t="str">
        <v>伤害：{智力 x 600} 能量伤害</v>
      </c>
      <c r="J10" s="6" t="str">
        <v>源自“内脑”概念。寰宇的高级杀伤链程序。“共振击杀”芯片能在智脑清除关键节点时，引发整个株连网络的殉爆。</v>
      </c>
      <c r="K10" s="6" t="str">
        <v>可选</v>
      </c>
      <c r="L10" s="6" t="str">
        <v>寰宇 (杀伤链)</v>
      </c>
      <c r="M10" s="8" t="str">
        <v>智脑联动, 溅射伤害, 终结技</v>
      </c>
      <c r="N10" s="4"/>
    </row>
    <row r="11">
      <c r="A11" s="6" t="str">
        <v>野望</v>
      </c>
      <c r="B11" s="6" t="str">
        <v>行为芯片</v>
      </c>
      <c r="C11" s="6" t="str">
        <v>---</v>
      </c>
      <c r="D11" s="6" t="str">
        <v>老主顾</v>
      </c>
      <c r="E11" s="7">
        <v>0</v>
      </c>
      <c r="F11" s="7">
        <v>0</v>
      </c>
      <c r="G11" s="7">
        <v>0</v>
      </c>
      <c r="H11" s="6" t="str">
        <v>你在义体打印机的刷新获得折扣。</v>
      </c>
      <c r="I11" s="6" t="str">
        <v>折扣力度：{30%}</v>
      </c>
      <c r="J11" s="6" t="str">
        <v>---</v>
      </c>
      <c r="K11" s="6" t="str">
        <v>可选</v>
      </c>
      <c r="L11" s="6" t="str">
        <v>---</v>
      </c>
      <c r="M11" s="6" t="str">
        <v>经济</v>
      </c>
      <c r="N11" s="4"/>
    </row>
    <row r="12">
      <c r="A12" s="6" t="str">
        <v>洛克海德</v>
      </c>
      <c r="B12" s="6" t="str">
        <v>行为芯片</v>
      </c>
      <c r="C12" s="6" t="str">
        <v>---</v>
      </c>
      <c r="D12" s="6" t="str">
        <v>超凡脱俗</v>
      </c>
      <c r="E12" s="7">
        <v>0</v>
      </c>
      <c r="F12" s="7">
        <v>0</v>
      </c>
      <c r="G12" s="7">
        <v>0</v>
      </c>
      <c r="H12" s="6" t="str">
        <v>根据你最高、最低品质（颜色/等级）的义体或武器品质差，造成额外或更少伤害。</v>
      </c>
      <c r="I12" s="6" t="str">
        <v>品质差 (0/1/2/3/4+)：伤害倍率 {100% / 80% / 60% / 40% / 20%}</v>
      </c>
      <c r="J12" s="6" t="str">
        <v>---</v>
      </c>
      <c r="K12" s="6" t="str">
        <v>可选</v>
      </c>
      <c r="L12" s="6" t="str">
        <v>---</v>
      </c>
      <c r="M12" s="6" t="str">
        <v>增伤, 条件增伤</v>
      </c>
      <c r="N12" s="4"/>
    </row>
    <row r="13">
      <c r="A13" s="4" t="str">
        <v>野望</v>
      </c>
      <c r="B13" s="4" t="str">
        <v>行为芯片</v>
      </c>
      <c r="C13" s="4" t="str">
        <v>WildWatch 'Overdrive' Chip</v>
      </c>
      <c r="D13" s="4" t="str">
        <v>“野火”超载芯片</v>
      </c>
      <c r="E13" s="5">
        <v>0</v>
      </c>
      <c r="F13" s="5">
        <v>0</v>
      </c>
      <c r="G13" s="5">
        <v>0</v>
      </c>
      <c r="H13" s="4" t="str">
        <v>武器开火时，有{5%}的极小几率进入“超载”状态。“超载”：短时间内射速和装填速度极大提升，但每次射击消耗双倍弹药。</v>
      </c>
      <c r="I13" s="4" t="str">
        <v>超载：触发几率：{5%}; 射速加成：{+100%}; 装填速度加成：{+100%}; 持续时间：{3s}; 弹药消耗：{x2}</v>
      </c>
      <c r="J13" s="4" t="str">
        <v>野望出品，风险与收益并存的典型改造。超载瞬间的火力倾泻足以融化钢铁，但也可能让你瞬间弹尽粮绝。</v>
      </c>
      <c r="K13" s="4" t="str">
        <v>可选</v>
      </c>
      <c r="L13" s="4" t="str">
        <v>野望 (超载)</v>
      </c>
      <c r="M13" s="4" t="str">
        <v>射速, 装填, 高风险</v>
      </c>
      <c r="N13" s="4"/>
    </row>
    <row r="14">
      <c r="E14" s="3"/>
      <c r="F14" s="3"/>
      <c r="G14" s="3"/>
    </row>
    <row r="15">
      <c r="E15" s="3"/>
      <c r="F15" s="3"/>
      <c r="G15" s="3"/>
    </row>
    <row r="16">
      <c r="E16" s="3"/>
      <c r="F16" s="3"/>
      <c r="G16" s="3"/>
    </row>
    <row r="17">
      <c r="E17" s="3"/>
      <c r="F17" s="3"/>
      <c r="G17" s="3"/>
    </row>
    <row r="18">
      <c r="E18" s="3"/>
      <c r="F18" s="3"/>
      <c r="G18" s="3"/>
    </row>
    <row r="19">
      <c r="E19" s="3"/>
      <c r="F19" s="3"/>
      <c r="G19" s="3"/>
    </row>
    <row r="20">
      <c r="E20" s="3"/>
      <c r="F20" s="3"/>
      <c r="G20" s="3"/>
    </row>
    <row r="21">
      <c r="E21" s="3"/>
      <c r="F21" s="3"/>
      <c r="G21" s="3"/>
    </row>
    <row r="22">
      <c r="E22" s="3"/>
      <c r="F22" s="3"/>
      <c r="G22" s="3"/>
    </row>
    <row r="23">
      <c r="E23" s="3"/>
      <c r="F23" s="3"/>
      <c r="G23" s="3"/>
    </row>
    <row r="24">
      <c r="E24" s="3"/>
      <c r="F24" s="3"/>
      <c r="G24" s="3"/>
    </row>
    <row r="25">
      <c r="E25" s="3"/>
      <c r="F25" s="3"/>
      <c r="G25" s="3"/>
    </row>
    <row r="26">
      <c r="E26" s="3"/>
      <c r="F26" s="3"/>
      <c r="G26" s="3"/>
    </row>
    <row r="27">
      <c r="E27" s="3"/>
      <c r="F27" s="3"/>
      <c r="G27" s="3"/>
    </row>
    <row r="28">
      <c r="E28" s="3"/>
      <c r="F28" s="3"/>
      <c r="G28" s="3"/>
    </row>
    <row r="29">
      <c r="E29" s="3"/>
      <c r="F29" s="3"/>
      <c r="G29" s="3"/>
    </row>
    <row r="30">
      <c r="E30" s="3"/>
      <c r="F30" s="3"/>
      <c r="G30" s="3"/>
    </row>
    <row r="31">
      <c r="E31" s="3"/>
      <c r="F31" s="3"/>
      <c r="G31" s="3"/>
    </row>
    <row r="32">
      <c r="E32" s="3"/>
      <c r="F32" s="3"/>
      <c r="G32" s="3"/>
    </row>
    <row r="33">
      <c r="E33" s="3"/>
      <c r="F33" s="3"/>
      <c r="G33" s="3"/>
    </row>
    <row r="34">
      <c r="E34" s="3"/>
      <c r="F34" s="3"/>
      <c r="G34" s="3"/>
    </row>
    <row r="35">
      <c r="E35" s="3"/>
      <c r="F35" s="3"/>
      <c r="G35" s="3"/>
    </row>
    <row r="36">
      <c r="E36" s="3"/>
      <c r="F36" s="3"/>
      <c r="G36" s="3"/>
    </row>
    <row r="37">
      <c r="E37" s="3"/>
      <c r="F37" s="3"/>
      <c r="G37" s="3"/>
    </row>
    <row r="38">
      <c r="E38" s="3"/>
      <c r="F38" s="3"/>
      <c r="G38" s="3"/>
    </row>
    <row r="39">
      <c r="E39" s="3"/>
      <c r="F39" s="3"/>
      <c r="G39" s="3"/>
    </row>
    <row r="40">
      <c r="E40" s="3"/>
      <c r="F40" s="3"/>
      <c r="G40" s="3"/>
    </row>
    <row r="41">
      <c r="E41" s="3"/>
      <c r="F41" s="3"/>
      <c r="G41" s="3"/>
    </row>
    <row r="42">
      <c r="E42" s="3"/>
      <c r="F42" s="3"/>
      <c r="G42" s="3"/>
    </row>
    <row r="43">
      <c r="E43" s="3"/>
      <c r="F43" s="3"/>
      <c r="G43" s="3"/>
    </row>
    <row r="44">
      <c r="E44" s="3"/>
      <c r="F44" s="3"/>
      <c r="G44" s="3"/>
    </row>
    <row r="45">
      <c r="E45" s="3"/>
      <c r="F45" s="3"/>
      <c r="G45" s="3"/>
    </row>
    <row r="46">
      <c r="E46" s="3"/>
      <c r="F46" s="3"/>
      <c r="G46" s="3"/>
    </row>
    <row r="47">
      <c r="E47" s="3"/>
      <c r="F47" s="3"/>
      <c r="G47" s="3"/>
    </row>
    <row r="48">
      <c r="E48" s="3"/>
      <c r="F48" s="3"/>
      <c r="G48" s="3"/>
    </row>
    <row r="49">
      <c r="E49" s="3"/>
      <c r="F49" s="3"/>
      <c r="G49" s="3"/>
    </row>
    <row r="50">
      <c r="E50" s="3"/>
      <c r="F50" s="3"/>
      <c r="G50" s="3"/>
    </row>
    <row r="51">
      <c r="E51" s="3"/>
      <c r="F51" s="3"/>
      <c r="G51" s="3"/>
    </row>
    <row r="52">
      <c r="E52" s="3"/>
      <c r="F52" s="3"/>
      <c r="G52" s="3"/>
    </row>
    <row r="53">
      <c r="E53" s="3"/>
      <c r="F53" s="3"/>
      <c r="G53" s="3"/>
    </row>
    <row r="54">
      <c r="E54" s="3"/>
      <c r="F54" s="3"/>
      <c r="G54" s="3"/>
    </row>
    <row r="55">
      <c r="E55" s="3"/>
      <c r="F55" s="3"/>
      <c r="G55" s="3"/>
    </row>
    <row r="56">
      <c r="E56" s="3"/>
      <c r="F56" s="3"/>
      <c r="G56" s="3"/>
    </row>
    <row r="57">
      <c r="E57" s="3"/>
      <c r="F57" s="3"/>
      <c r="G57" s="3"/>
    </row>
    <row r="58">
      <c r="E58" s="3"/>
      <c r="F58" s="3"/>
      <c r="G58" s="3"/>
    </row>
    <row r="59">
      <c r="E59" s="3"/>
      <c r="F59" s="3"/>
      <c r="G59" s="3"/>
    </row>
    <row r="60">
      <c r="E60" s="3"/>
      <c r="F60" s="3"/>
      <c r="G60" s="3"/>
    </row>
    <row r="61">
      <c r="E61" s="3"/>
      <c r="F61" s="3"/>
      <c r="G61" s="3"/>
    </row>
    <row r="62">
      <c r="E62" s="3"/>
      <c r="F62" s="3"/>
      <c r="G62" s="3"/>
    </row>
    <row r="63">
      <c r="E63" s="3"/>
      <c r="F63" s="3"/>
      <c r="G63" s="3"/>
    </row>
    <row r="64">
      <c r="E64" s="3"/>
      <c r="F64" s="3"/>
      <c r="G64" s="3"/>
    </row>
    <row r="65">
      <c r="E65" s="3"/>
      <c r="F65" s="3"/>
      <c r="G65" s="3"/>
    </row>
    <row r="66">
      <c r="E66" s="3"/>
      <c r="F66" s="3"/>
      <c r="G66" s="3"/>
    </row>
    <row r="67">
      <c r="E67" s="3"/>
      <c r="F67" s="3"/>
      <c r="G67" s="3"/>
    </row>
    <row r="68">
      <c r="E68" s="3"/>
      <c r="F68" s="3"/>
      <c r="G68" s="3"/>
    </row>
    <row r="69">
      <c r="E69" s="3"/>
      <c r="F69" s="3"/>
      <c r="G69" s="3"/>
    </row>
    <row r="70">
      <c r="E70" s="3"/>
      <c r="F70" s="3"/>
      <c r="G70" s="3"/>
    </row>
    <row r="71">
      <c r="E71" s="3"/>
      <c r="F71" s="3"/>
      <c r="G71" s="3"/>
    </row>
    <row r="72">
      <c r="E72" s="3"/>
      <c r="F72" s="3"/>
      <c r="G72" s="3"/>
    </row>
    <row r="73">
      <c r="E73" s="3"/>
      <c r="F73" s="3"/>
      <c r="G73" s="3"/>
    </row>
    <row r="74">
      <c r="E74" s="3"/>
      <c r="F74" s="3"/>
      <c r="G74" s="3"/>
    </row>
    <row r="75">
      <c r="E75" s="3"/>
      <c r="F75" s="3"/>
      <c r="G75" s="3"/>
    </row>
    <row r="76">
      <c r="E76" s="3"/>
      <c r="F76" s="3"/>
      <c r="G76" s="3"/>
    </row>
    <row r="77">
      <c r="E77" s="3"/>
      <c r="F77" s="3"/>
      <c r="G77" s="3"/>
    </row>
    <row r="78">
      <c r="E78" s="3"/>
      <c r="F78" s="3"/>
      <c r="G78" s="3"/>
    </row>
    <row r="79">
      <c r="E79" s="3"/>
      <c r="F79" s="3"/>
      <c r="G79" s="3"/>
    </row>
    <row r="80">
      <c r="E80" s="3"/>
      <c r="F80" s="3"/>
      <c r="G80" s="3"/>
    </row>
    <row r="81">
      <c r="E81" s="3"/>
      <c r="F81" s="3"/>
      <c r="G81" s="3"/>
    </row>
    <row r="82">
      <c r="E82" s="3"/>
      <c r="F82" s="3"/>
      <c r="G82" s="3"/>
    </row>
    <row r="83">
      <c r="E83" s="3"/>
      <c r="F83" s="3"/>
      <c r="G83" s="3"/>
    </row>
    <row r="84">
      <c r="E84" s="3"/>
      <c r="F84" s="3"/>
      <c r="G84" s="3"/>
    </row>
    <row r="85">
      <c r="E85" s="3"/>
      <c r="F85" s="3"/>
      <c r="G85" s="3"/>
    </row>
    <row r="86">
      <c r="E86" s="3"/>
      <c r="F86" s="3"/>
      <c r="G86" s="3"/>
    </row>
    <row r="87">
      <c r="E87" s="3"/>
      <c r="F87" s="3"/>
      <c r="G87" s="3"/>
    </row>
    <row r="88">
      <c r="E88" s="3"/>
      <c r="F88" s="3"/>
      <c r="G88" s="3"/>
    </row>
    <row r="89">
      <c r="E89" s="3"/>
      <c r="F89" s="3"/>
      <c r="G89" s="3"/>
    </row>
    <row r="90">
      <c r="E90" s="3"/>
      <c r="F90" s="3"/>
      <c r="G90" s="3"/>
    </row>
    <row r="91">
      <c r="E91" s="3"/>
      <c r="F91" s="3"/>
      <c r="G91" s="3"/>
    </row>
    <row r="92">
      <c r="E92" s="3"/>
      <c r="F92" s="3"/>
      <c r="G92" s="3"/>
    </row>
    <row r="93">
      <c r="E93" s="3"/>
      <c r="F93" s="3"/>
      <c r="G93" s="3"/>
    </row>
    <row r="94">
      <c r="E94" s="3"/>
      <c r="F94" s="3"/>
      <c r="G94" s="3"/>
    </row>
    <row r="95">
      <c r="E95" s="3"/>
      <c r="F95" s="3"/>
      <c r="G95" s="3"/>
    </row>
    <row r="96">
      <c r="E96" s="3"/>
      <c r="F96" s="3"/>
      <c r="G96" s="3"/>
    </row>
    <row r="97">
      <c r="E97" s="3"/>
      <c r="F97" s="3"/>
      <c r="G97" s="3"/>
    </row>
    <row r="98">
      <c r="E98" s="3"/>
      <c r="F98" s="3"/>
      <c r="G98" s="3"/>
    </row>
    <row r="99">
      <c r="E99" s="3"/>
      <c r="F99" s="3"/>
      <c r="G99" s="3"/>
    </row>
    <row r="100">
      <c r="E100" s="3"/>
      <c r="F100" s="3"/>
      <c r="G100" s="3"/>
    </row>
    <row r="101">
      <c r="E101" s="3"/>
      <c r="F101" s="3"/>
      <c r="G101" s="3"/>
    </row>
    <row r="102">
      <c r="E102" s="3"/>
      <c r="F102" s="3"/>
      <c r="G102" s="3"/>
    </row>
    <row r="103">
      <c r="E103" s="3"/>
      <c r="F103" s="3"/>
      <c r="G103" s="3"/>
    </row>
    <row r="104">
      <c r="E104" s="3"/>
      <c r="F104" s="3"/>
      <c r="G104" s="3"/>
    </row>
    <row r="105">
      <c r="E105" s="3"/>
      <c r="F105" s="3"/>
      <c r="G105" s="3"/>
    </row>
    <row r="106">
      <c r="E106" s="3"/>
      <c r="F106" s="3"/>
      <c r="G106" s="3"/>
    </row>
    <row r="107">
      <c r="E107" s="3"/>
      <c r="F107" s="3"/>
      <c r="G107" s="3"/>
    </row>
    <row r="108">
      <c r="E108" s="3"/>
      <c r="F108" s="3"/>
      <c r="G108" s="3"/>
    </row>
    <row r="109">
      <c r="E109" s="3"/>
      <c r="F109" s="3"/>
      <c r="G109" s="3"/>
    </row>
    <row r="110">
      <c r="E110" s="3"/>
      <c r="F110" s="3"/>
      <c r="G110" s="3"/>
    </row>
    <row r="111">
      <c r="E111" s="3"/>
      <c r="F111" s="3"/>
      <c r="G111" s="3"/>
    </row>
    <row r="112">
      <c r="E112" s="3"/>
      <c r="F112" s="3"/>
      <c r="G112" s="3"/>
    </row>
    <row r="113">
      <c r="E113" s="3"/>
      <c r="F113" s="3"/>
      <c r="G113" s="3"/>
    </row>
    <row r="114">
      <c r="E114" s="3"/>
      <c r="F114" s="3"/>
      <c r="G114" s="3"/>
    </row>
    <row r="115">
      <c r="E115" s="3"/>
      <c r="F115" s="3"/>
      <c r="G115" s="3"/>
    </row>
    <row r="116">
      <c r="E116" s="3"/>
      <c r="F116" s="3"/>
      <c r="G116" s="3"/>
    </row>
    <row r="117">
      <c r="E117" s="3"/>
      <c r="F117" s="3"/>
      <c r="G117" s="3"/>
    </row>
    <row r="118">
      <c r="E118" s="3"/>
      <c r="F118" s="3"/>
      <c r="G118" s="3"/>
    </row>
    <row r="119">
      <c r="E119" s="3"/>
      <c r="F119" s="3"/>
      <c r="G119" s="3"/>
    </row>
    <row r="120">
      <c r="E120" s="3"/>
      <c r="F120" s="3"/>
      <c r="G120" s="3"/>
    </row>
    <row r="121">
      <c r="E121" s="3"/>
      <c r="F121" s="3"/>
      <c r="G121" s="3"/>
    </row>
    <row r="122">
      <c r="E122" s="3"/>
      <c r="F122" s="3"/>
      <c r="G122" s="3"/>
    </row>
    <row r="123">
      <c r="E123" s="3"/>
      <c r="F123" s="3"/>
      <c r="G123" s="3"/>
    </row>
    <row r="124">
      <c r="E124" s="3"/>
      <c r="F124" s="3"/>
      <c r="G124" s="3"/>
    </row>
    <row r="125">
      <c r="E125" s="3"/>
      <c r="F125" s="3"/>
      <c r="G125" s="3"/>
    </row>
    <row r="126">
      <c r="E126" s="3"/>
      <c r="F126" s="3"/>
      <c r="G126" s="3"/>
    </row>
    <row r="127">
      <c r="E127" s="3"/>
      <c r="F127" s="3"/>
      <c r="G127" s="3"/>
    </row>
    <row r="128">
      <c r="E128" s="3"/>
      <c r="F128" s="3"/>
      <c r="G128" s="3"/>
    </row>
    <row r="129">
      <c r="E129" s="3"/>
      <c r="F129" s="3"/>
      <c r="G129" s="3"/>
    </row>
    <row r="130">
      <c r="E130" s="3"/>
      <c r="F130" s="3"/>
      <c r="G130" s="3"/>
    </row>
    <row r="131">
      <c r="E131" s="3"/>
      <c r="F131" s="3"/>
      <c r="G131" s="3"/>
    </row>
    <row r="132">
      <c r="E132" s="3"/>
      <c r="F132" s="3"/>
      <c r="G132" s="3"/>
    </row>
    <row r="133">
      <c r="E133" s="3"/>
      <c r="F133" s="3"/>
      <c r="G133" s="3"/>
    </row>
    <row r="134">
      <c r="E134" s="3"/>
      <c r="F134" s="3"/>
      <c r="G134" s="3"/>
    </row>
    <row r="135">
      <c r="E135" s="3"/>
      <c r="F135" s="3"/>
      <c r="G135" s="3"/>
    </row>
    <row r="136">
      <c r="E136" s="3"/>
      <c r="F136" s="3"/>
      <c r="G136" s="3"/>
    </row>
    <row r="137">
      <c r="E137" s="3"/>
      <c r="F137" s="3"/>
      <c r="G137" s="3"/>
    </row>
    <row r="138">
      <c r="E138" s="3"/>
      <c r="F138" s="3"/>
      <c r="G138" s="3"/>
    </row>
    <row r="139">
      <c r="E139" s="3"/>
      <c r="F139" s="3"/>
      <c r="G139" s="3"/>
    </row>
    <row r="140">
      <c r="E140" s="3"/>
      <c r="F140" s="3"/>
      <c r="G140" s="3"/>
    </row>
    <row r="141">
      <c r="E141" s="3"/>
      <c r="F141" s="3"/>
      <c r="G141" s="3"/>
    </row>
    <row r="142">
      <c r="E142" s="3"/>
      <c r="F142" s="3"/>
      <c r="G142" s="3"/>
    </row>
    <row r="143">
      <c r="E143" s="3"/>
      <c r="F143" s="3"/>
      <c r="G143" s="3"/>
    </row>
    <row r="144">
      <c r="E144" s="3"/>
      <c r="F144" s="3"/>
      <c r="G144" s="3"/>
    </row>
    <row r="145">
      <c r="E145" s="3"/>
      <c r="F145" s="3"/>
      <c r="G145" s="3"/>
    </row>
    <row r="146">
      <c r="E146" s="3"/>
      <c r="F146" s="3"/>
      <c r="G146" s="3"/>
    </row>
    <row r="147">
      <c r="E147" s="3"/>
      <c r="F147" s="3"/>
      <c r="G147" s="3"/>
    </row>
    <row r="148">
      <c r="E148" s="3"/>
      <c r="F148" s="3"/>
      <c r="G148" s="3"/>
    </row>
    <row r="149">
      <c r="E149" s="3"/>
      <c r="F149" s="3"/>
      <c r="G149" s="3"/>
    </row>
    <row r="150">
      <c r="E150" s="3"/>
      <c r="F150" s="3"/>
      <c r="G150" s="3"/>
    </row>
    <row r="151">
      <c r="E151" s="3"/>
      <c r="F151" s="3"/>
      <c r="G151" s="3"/>
    </row>
    <row r="152">
      <c r="E152" s="3"/>
      <c r="F152" s="3"/>
      <c r="G152" s="3"/>
    </row>
    <row r="153">
      <c r="E153" s="3"/>
      <c r="F153" s="3"/>
      <c r="G153" s="3"/>
    </row>
    <row r="154">
      <c r="E154" s="3"/>
      <c r="F154" s="3"/>
      <c r="G154" s="3"/>
    </row>
    <row r="155">
      <c r="E155" s="3"/>
      <c r="F155" s="3"/>
      <c r="G155" s="3"/>
    </row>
    <row r="156">
      <c r="E156" s="3"/>
      <c r="F156" s="3"/>
      <c r="G156" s="3"/>
    </row>
    <row r="157">
      <c r="E157" s="3"/>
      <c r="F157" s="3"/>
      <c r="G157" s="3"/>
    </row>
    <row r="158">
      <c r="E158" s="3"/>
      <c r="F158" s="3"/>
      <c r="G158" s="3"/>
    </row>
    <row r="159">
      <c r="E159" s="3"/>
      <c r="F159" s="3"/>
      <c r="G159" s="3"/>
    </row>
    <row r="160">
      <c r="E160" s="3"/>
      <c r="F160" s="3"/>
      <c r="G160" s="3"/>
    </row>
    <row r="161">
      <c r="E161" s="3"/>
      <c r="F161" s="3"/>
      <c r="G161" s="3"/>
    </row>
    <row r="162">
      <c r="E162" s="3"/>
      <c r="F162" s="3"/>
      <c r="G162" s="3"/>
    </row>
    <row r="163">
      <c r="E163" s="3"/>
      <c r="F163" s="3"/>
      <c r="G163" s="3"/>
    </row>
    <row r="164">
      <c r="E164" s="3"/>
      <c r="F164" s="3"/>
      <c r="G164" s="3"/>
    </row>
    <row r="165">
      <c r="E165" s="3"/>
      <c r="F165" s="3"/>
      <c r="G165" s="3"/>
    </row>
    <row r="166">
      <c r="E166" s="3"/>
      <c r="F166" s="3"/>
      <c r="G166" s="3"/>
    </row>
    <row r="167">
      <c r="E167" s="3"/>
      <c r="F167" s="3"/>
      <c r="G167" s="3"/>
    </row>
    <row r="168">
      <c r="E168" s="3"/>
      <c r="F168" s="3"/>
      <c r="G168" s="3"/>
    </row>
    <row r="169">
      <c r="E169" s="3"/>
      <c r="F169" s="3"/>
      <c r="G169" s="3"/>
    </row>
    <row r="170">
      <c r="E170" s="3"/>
      <c r="F170" s="3"/>
      <c r="G170" s="3"/>
    </row>
    <row r="171">
      <c r="E171" s="3"/>
      <c r="F171" s="3"/>
      <c r="G171" s="3"/>
    </row>
    <row r="172">
      <c r="E172" s="3"/>
      <c r="F172" s="3"/>
      <c r="G172" s="3"/>
    </row>
    <row r="173">
      <c r="E173" s="3"/>
      <c r="F173" s="3"/>
      <c r="G173" s="3"/>
    </row>
    <row r="174">
      <c r="E174" s="3"/>
      <c r="F174" s="3"/>
      <c r="G174" s="3"/>
    </row>
    <row r="175">
      <c r="E175" s="3"/>
      <c r="F175" s="3"/>
      <c r="G175" s="3"/>
    </row>
    <row r="176">
      <c r="E176" s="3"/>
      <c r="F176" s="3"/>
      <c r="G176" s="3"/>
    </row>
    <row r="177">
      <c r="E177" s="3"/>
      <c r="F177" s="3"/>
      <c r="G177" s="3"/>
    </row>
    <row r="178">
      <c r="E178" s="3"/>
      <c r="F178" s="3"/>
      <c r="G178" s="3"/>
    </row>
    <row r="179">
      <c r="E179" s="3"/>
      <c r="F179" s="3"/>
      <c r="G179" s="3"/>
    </row>
    <row r="180">
      <c r="E180" s="3"/>
      <c r="F180" s="3"/>
      <c r="G180" s="3"/>
    </row>
    <row r="181">
      <c r="E181" s="3"/>
      <c r="F181" s="3"/>
      <c r="G181" s="3"/>
    </row>
    <row r="182">
      <c r="E182" s="3"/>
      <c r="F182" s="3"/>
      <c r="G182" s="3"/>
    </row>
    <row r="183">
      <c r="E183" s="3"/>
      <c r="F183" s="3"/>
      <c r="G183" s="3"/>
    </row>
    <row r="184">
      <c r="E184" s="3"/>
      <c r="F184" s="3"/>
      <c r="G184" s="3"/>
    </row>
    <row r="185">
      <c r="E185" s="3"/>
      <c r="F185" s="3"/>
      <c r="G185" s="3"/>
    </row>
    <row r="186">
      <c r="E186" s="3"/>
      <c r="F186" s="3"/>
      <c r="G186" s="3"/>
    </row>
    <row r="187">
      <c r="E187" s="3"/>
      <c r="F187" s="3"/>
      <c r="G187" s="3"/>
    </row>
    <row r="188">
      <c r="E188" s="3"/>
      <c r="F188" s="3"/>
      <c r="G188" s="3"/>
    </row>
    <row r="189">
      <c r="E189" s="3"/>
      <c r="F189" s="3"/>
      <c r="G189" s="3"/>
    </row>
    <row r="190">
      <c r="E190" s="3"/>
      <c r="F190" s="3"/>
      <c r="G190" s="3"/>
    </row>
    <row r="191">
      <c r="E191" s="3"/>
      <c r="F191" s="3"/>
      <c r="G191" s="3"/>
    </row>
    <row r="192">
      <c r="E192" s="3"/>
      <c r="F192" s="3"/>
      <c r="G192" s="3"/>
    </row>
    <row r="193">
      <c r="E193" s="3"/>
      <c r="F193" s="3"/>
      <c r="G193" s="3"/>
    </row>
    <row r="194">
      <c r="E194" s="3"/>
      <c r="F194" s="3"/>
      <c r="G194" s="3"/>
    </row>
    <row r="195">
      <c r="E195" s="3"/>
      <c r="F195" s="3"/>
      <c r="G195" s="3"/>
    </row>
    <row r="196">
      <c r="E196" s="3"/>
      <c r="F196" s="3"/>
      <c r="G196" s="3"/>
    </row>
    <row r="197">
      <c r="E197" s="3"/>
      <c r="F197" s="3"/>
      <c r="G197" s="3"/>
    </row>
    <row r="198">
      <c r="E198" s="3"/>
      <c r="F198" s="3"/>
      <c r="G198" s="3"/>
    </row>
    <row r="199">
      <c r="E199" s="3"/>
      <c r="F199" s="3"/>
      <c r="G199" s="3"/>
    </row>
    <row r="200">
      <c r="E200" s="3"/>
      <c r="F200" s="3"/>
      <c r="G200" s="3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通过多种手段触发“吸血”状态，结合高伤害或高攻速武器，在持续输出的同时保证生存。核心属性：力量、反应。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6" t="str">
        <v>致远生物</v>
      </c>
      <c r="B5" s="6" t="str">
        <v>主手</v>
      </c>
      <c r="C5" s="6" t="str">
        <v>BN 'BloodDrinker' Barbs</v>
      </c>
      <c r="D5" s="6" t="str">
        <v>“饮血者”倒刺</v>
      </c>
      <c r="E5" s="6">
        <f>+8</f>
      </c>
      <c r="F5" s="6">
        <f>+5</f>
      </c>
      <c r="G5" s="6">
        <f>+2</f>
      </c>
      <c r="H5" s="6" t="str">
        <v>普通攻击命中时，对目标施加“流血”效果，并造成额外基于力量的物理伤害。流血：持续造成物理伤害。</v>
      </c>
      <c r="I5" s="6" t="str">
        <v>额外伤害：{力量 x 100} 物理伤害; 流血：每秒伤害 {力量 x 50} 物理伤害, 持续 {5s}</v>
      </c>
      <c r="J5" s="6" t="str">
        <v>致远生物从吸血生物中提取的基因片段。“嗜血”系列的主手组件。“饮血者”倒刺不仅造成创伤，其上的纳米结构还会持续抽取目标的生命精华。</v>
      </c>
      <c r="K5" s="6" t="str">
        <v>核心</v>
      </c>
      <c r="L5" s="6" t="str">
        <v>嗜血系列</v>
      </c>
      <c r="M5" s="8" t="str">
        <v>普攻强化, 持续伤害, 流血</v>
      </c>
      <c r="N5" s="4"/>
    </row>
    <row r="6">
      <c r="A6" s="6" t="str">
        <v>致远生物</v>
      </c>
      <c r="B6" s="6" t="str">
        <v>副手</v>
      </c>
      <c r="C6" s="6" t="str">
        <v>BN 'Frenzy' Pump</v>
      </c>
      <c r="D6" s="6" t="str">
        <v>“狂热”泵动器</v>
      </c>
      <c r="E6" s="6">
        <f>+7</f>
      </c>
      <c r="F6" s="6">
        <f>+6</f>
      </c>
      <c r="G6" s="6">
        <f>+2</f>
      </c>
      <c r="H6" s="6" t="str">
        <v>使用武器技能命中流血的敌人时，获得“狂热”效果。狂热：短时间内提升攻击速度和吸血效率。</v>
      </c>
      <c r="I6" s="6" t="str">
        <v>狂热：攻击速度加成 {+20%}; 吸血效率加成 {+50%}; 持续时间 {6s}</v>
      </c>
      <c r="J6" s="6" t="str">
        <v>“嗜血”系列的副手模块。“狂热”泵动器感应到血液时会加速循环，让你在敌人的痛苦中陷入攻击的狂热，每一次攻击都渴望更多的鲜血。</v>
      </c>
      <c r="K6" s="6" t="str">
        <v>核心</v>
      </c>
      <c r="L6" s="6" t="str">
        <v>嗜血系列</v>
      </c>
      <c r="M6" s="8" t="str">
        <v>武器技能, 攻速, 吸血强化</v>
      </c>
      <c r="N6" s="4"/>
    </row>
    <row r="7">
      <c r="A7" s="6" t="str">
        <v>致远生物</v>
      </c>
      <c r="B7" s="6" t="str">
        <v>腿部</v>
      </c>
      <c r="C7" s="6" t="str">
        <v>BN 'Bloody Rush' Injectors</v>
      </c>
      <c r="D7" s="6" t="str">
        <v>“血腥冲刺”注射器</v>
      </c>
      <c r="E7" s="6">
        <f>+6</f>
      </c>
      <c r="F7" s="6">
        <f>+9</f>
      </c>
      <c r="G7" s="6">
        <f>+0</f>
      </c>
      <c r="H7" s="6" t="str">
        <v>冲刺结束后，获得“吸血”效果。吸血：攻击命中时恢复生命值，恢复量相当于造成伤害的{5%}，总恢复量不超过冲刺前2秒内损失的生命值。</v>
      </c>
      <c r="I7" s="6" t="str">
        <v>吸血状态持续时间：{3s}; 吸血比例：{5%}; 恢复上限：{冲刺前2s内损失生命值}</v>
      </c>
      <c r="J7" s="6" t="str">
        <v>“嗜血”系列的腿部组件。“血腥冲刺”注射器在你冲刺时将刺激性化合物注入肌肉，让你在短时间内获得汲取生命能量的能力。</v>
      </c>
      <c r="K7" s="6" t="str">
        <v>核心</v>
      </c>
      <c r="L7" s="6" t="str">
        <v>嗜血系列</v>
      </c>
      <c r="M7" s="8" t="str">
        <v>位移, 吸血, 击杀回血</v>
      </c>
      <c r="N7" s="4"/>
    </row>
    <row r="8">
      <c r="A8" s="6" t="str">
        <v>致远生物</v>
      </c>
      <c r="B8" s="6" t="str">
        <v>皮肤</v>
      </c>
      <c r="C8" s="6" t="str">
        <v>BN 'Regenerative' Weave</v>
      </c>
      <c r="D8" s="6" t="str">
        <v>“再生”编织层</v>
      </c>
      <c r="E8" s="6">
        <f>+8</f>
      </c>
      <c r="F8" s="6">
        <f>+4</f>
      </c>
      <c r="G8" s="6">
        <f>+6</f>
      </c>
      <c r="H8" s="6" t="str">
        <v>受到攻击后，获得“吸血”效果。</v>
      </c>
      <c r="I8" s="6" t="str">
        <v>吸血状态持续时间：{6s}; 吸血比例：{5%}; 恢复上限：{受击前2s内损失生命值}</v>
      </c>
      <c r="J8" s="6" t="str">
        <v>“嗜血”系列的皮肤。其生物活性纤维能在你受伤时激活，刺激身体产生强烈的恢复欲望，通过攻击敌人来弥补自身损伤。</v>
      </c>
      <c r="K8" s="6" t="str">
        <v>核心</v>
      </c>
      <c r="L8" s="6" t="str">
        <v>嗜血系列</v>
      </c>
      <c r="M8" s="8" t="str">
        <v>受击触发, 吸血, 生存</v>
      </c>
      <c r="N8" s="4"/>
    </row>
    <row r="9">
      <c r="A9" s="6" t="str">
        <v>致远生物</v>
      </c>
      <c r="B9" s="6" t="str">
        <v>骨骼</v>
      </c>
      <c r="C9" s="6" t="str">
        <v>BN 'Marrow Growth' Lattice</v>
      </c>
      <c r="D9" s="6" t="str">
        <v>“骨髓增生”格构</v>
      </c>
      <c r="E9" s="6">
        <f>+9</f>
      </c>
      <c r="F9" s="6">
        <f>+2</f>
      </c>
      <c r="G9" s="6">
        <f>+4</f>
      </c>
      <c r="H9" s="6" t="str">
        <v>移除所有来自装备和义体的护甲加成，每点移除的护甲转化为额外最大生命值。通过此方式获得的生命值在移除此义体后失效。</v>
      </c>
      <c r="I9" s="6" t="str">
        <v>护甲转生命比例：{每1点护甲转化为 5 点最大生命值}</v>
      </c>
      <c r="J9" s="6" t="str">
        <v>致远生物的激进骨骼改造技术。它牺牲了传统的外部防护，转而刺激骨髓造血机能，大幅提升生命力总量，为嗜血而生的战士提供更庞大的生命池。</v>
      </c>
      <c r="K9" s="6" t="str">
        <v>核心</v>
      </c>
      <c r="L9" s="6" t="str">
        <v>嗜血系列</v>
      </c>
      <c r="M9" s="8" t="str">
        <v>移除护甲, 生命值上限, 生存</v>
      </c>
      <c r="N9" s="4"/>
    </row>
    <row r="10">
      <c r="A10" s="6" t="str">
        <v>致远生物</v>
      </c>
      <c r="B10" s="6" t="str">
        <v>行为芯片</v>
      </c>
      <c r="C10" s="6" t="str">
        <v>---</v>
      </c>
      <c r="D10" s="6" t="str">
        <v>渴血症</v>
      </c>
      <c r="E10" s="9">
        <v>0</v>
      </c>
      <c r="F10" s="9">
        <v>0</v>
      </c>
      <c r="G10" s="9">
        <v>0</v>
      </c>
      <c r="H10" s="6" t="str">
        <v>你的生命值越低，“吸血”效果的生命恢复上限（基于近期损失生命）计算时间越长。</v>
      </c>
      <c r="I10" s="6" t="str">
        <v>每损失1%生命值，“吸血”恢复上限计算时间额外增加 {0.05s} (原始为2s)</v>
      </c>
      <c r="J10" s="6" t="str">
        <v>---</v>
      </c>
      <c r="K10" s="6" t="str">
        <v>核心</v>
      </c>
      <c r="L10" s="6" t="str">
        <v>---</v>
      </c>
      <c r="M10" s="8" t="str">
        <v>吸血强化, 低血量增益</v>
      </c>
      <c r="N10" s="4"/>
    </row>
    <row r="11">
      <c r="A11" s="6" t="str">
        <v>致远生物</v>
      </c>
      <c r="B11" s="6" t="str">
        <v>行为芯片</v>
      </c>
      <c r="C11" s="6" t="str">
        <v>---</v>
      </c>
      <c r="D11" s="6" t="str">
        <v>瘾瘾作痛</v>
      </c>
      <c r="E11" s="9">
        <v>0</v>
      </c>
      <c r="F11" s="9">
        <v>0</v>
      </c>
      <c r="G11" s="9">
        <v>0</v>
      </c>
      <c r="H11" s="6" t="str">
        <v>损失生命时，有概率短时间内大幅提升造成的伤害。</v>
      </c>
      <c r="I11" s="6" t="str">
        <v>触发概率：{20%}; 伤害加成：{+50%}; 持续时间：{3s}</v>
      </c>
      <c r="J11" s="6" t="str">
        <v>---</v>
      </c>
      <c r="K11" s="6" t="str">
        <v>可选</v>
      </c>
      <c r="L11" s="6" t="str">
        <v>---</v>
      </c>
      <c r="M11" s="6" t="str">
        <v>受击触发, 增伤, 高风险</v>
      </c>
      <c r="N11" s="4"/>
    </row>
    <row r="12">
      <c r="A12" s="6"/>
      <c r="B12" s="6"/>
      <c r="C12" s="6"/>
      <c r="D12" s="6"/>
      <c r="E12" s="9"/>
      <c r="F12" s="9"/>
      <c r="G12" s="9"/>
      <c r="H12" s="6"/>
      <c r="I12" s="6"/>
      <c r="J12" s="6"/>
      <c r="K12" s="6"/>
      <c r="L12" s="6"/>
      <c r="M12" s="6"/>
      <c r="N12" s="4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4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利用隐身状态接近敌人或规避伤害，从隐身状态下发动攻击造成高额暴击伤害。核心属性：反应、智力。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6" t="str">
        <v>野望</v>
      </c>
      <c r="B5" s="6" t="str">
        <v>主手</v>
      </c>
      <c r="C5" s="6" t="str">
        <v>WW 'Silent Night' Blade Edge</v>
      </c>
      <c r="D5" s="6" t="str">
        <v>“无声夜”刃缘</v>
      </c>
      <c r="E5" s="6">
        <f>+4</f>
      </c>
      <c r="F5" s="6">
        <f>+10</f>
      </c>
      <c r="G5" s="6">
        <f>+4</f>
      </c>
      <c r="H5" s="6" t="str">
        <v>普通攻击造成额外伤害。若在攻击时处于隐身状态或未被目标发现，则额外伤害翻倍，且该次攻击必定暴击。</v>
      </c>
      <c r="I5" s="6" t="str">
        <v>额外伤害：{武器伤害 x 30%}; 隐身/未发现时额外伤害：{武器伤害 x 60%}; 暴击触发：{必定}</v>
      </c>
      <c r="J5" s="6" t="str">
        <v>野望出品的暗杀者工具。“暗影”系列的武器接口。它不仅强化了攻击本身，更能捕捉使用者潜行时的能量波动，将其转化为致命一击。</v>
      </c>
      <c r="K5" s="6" t="str">
        <v>核心</v>
      </c>
      <c r="L5" s="6" t="str">
        <v>暗影系列</v>
      </c>
      <c r="M5" s="8" t="str">
        <v>普攻强化, 潜行, 暴击</v>
      </c>
      <c r="N5" s="4"/>
    </row>
    <row r="6">
      <c r="A6" s="6" t="str">
        <v>野望</v>
      </c>
      <c r="B6" s="6" t="str">
        <v>副手</v>
      </c>
      <c r="C6" s="6" t="str">
        <v>WW 'Shadow Play' Technique</v>
      </c>
      <c r="D6" s="6" t="str">
        <v>“影戏”秘术</v>
      </c>
      <c r="E6" s="6">
        <f>+3</f>
      </c>
      <c r="F6" s="6">
        <f>+9</f>
      </c>
      <c r="G6" s="6">
        <f>+6</f>
      </c>
      <c r="H6" s="6" t="str">
        <v>武器技能造成额外伤害。若在使用技能时处于隐身状态或未被目标发现，则额外伤害翻倍。</v>
      </c>
      <c r="I6" s="6" t="str">
        <v>额外伤害：{武器技能伤害 x 30%}; 隐身/未发现时额外伤害：{武器技能伤害 x 60%}</v>
      </c>
      <c r="J6" s="6" t="str">
        <v>“暗影”系列的技能模块。“影戏”秘术将隐身技巧与武器技能结合，让你的杀招在阴影中爆发出更惊人的威力。</v>
      </c>
      <c r="K6" s="6" t="str">
        <v>核心</v>
      </c>
      <c r="L6" s="6" t="str">
        <v>暗影系列</v>
      </c>
      <c r="M6" s="8" t="str">
        <v>武器技能, 潜行, 增伤</v>
      </c>
      <c r="N6" s="4"/>
    </row>
    <row r="7">
      <c r="A7" s="6" t="str">
        <v>新浦会</v>
      </c>
      <c r="B7" s="6" t="str">
        <v>腿部</v>
      </c>
      <c r="C7" s="6" t="str">
        <v>SP 'Mirage Step' Generator</v>
      </c>
      <c r="D7" s="6" t="str">
        <v>“蜃影步”发生器</v>
      </c>
      <c r="E7" s="6">
        <f>+5</f>
      </c>
      <c r="F7" s="6">
        <f>+10</f>
      </c>
      <c r="G7" s="6">
        <f>+3</f>
      </c>
      <c r="H7" s="6" t="str">
        <v>持续奔跑{1}秒后，进入短暂的“光学扭曲”状态（视觉模糊，非完全隐身）。若在光学扭曲状态下停止奔跑，则进入完全“隐身”状态。</v>
      </c>
      <c r="I7" s="6" t="str">
        <v>光学扭曲持续时间：{无限，直至停止奔跑}; 停止奔跑后隐身持续时间：{3s}; 攻击或受击解除隐身。</v>
      </c>
      <c r="J7" s="6" t="str">
        <v>新浦会用于秘密行动的技术。“蜃影步”发生器能在你持续移动时干扰光学传感器，并在你静止时提供短暂的完美隐身，是渗透和脱战的利器。</v>
      </c>
      <c r="K7" s="6" t="str">
        <v>核心</v>
      </c>
      <c r="L7" s="6" t="str">
        <v>夜行者系列</v>
      </c>
      <c r="M7" s="6" t="str">
        <v>位移, 潜行, 隐身</v>
      </c>
      <c r="N7" s="4"/>
    </row>
    <row r="8">
      <c r="A8" s="6" t="str">
        <v>耶利哥</v>
      </c>
      <c r="B8" s="6" t="str">
        <v>皮肤</v>
      </c>
      <c r="C8" s="6" t="str">
        <v>JC 'Escape Artist' Weave</v>
      </c>
      <c r="D8" s="6" t="str">
        <v>“脱身大师”编织</v>
      </c>
      <c r="E8" s="6">
        <f>+6</f>
      </c>
      <c r="F8" s="6">
        <f>+6</f>
      </c>
      <c r="G8" s="6">
        <f>+6</f>
      </c>
      <c r="H8" s="6" t="str">
        <v>受到攻击时，有{20%}概率自动进入短暂的“光学迷彩”状态（隐身）。</v>
      </c>
      <c r="I8" s="6" t="str">
        <v>触发概率：{20%}; 光学迷彩持续时间：{2s}; 内置冷却：{10s}</v>
      </c>
      <c r="J8" s="6" t="str">
        <v>耶利哥利用生物反馈和光学技术结合的产物。“避世”系列皮肤。“脱身大师”编织能在你遭受意外打击时，自动触发应急隐身，提供宝贵的反应时间。</v>
      </c>
      <c r="K8" s="6" t="str">
        <v>可选</v>
      </c>
      <c r="L8" s="6" t="str">
        <v>避世系列</v>
      </c>
      <c r="M8" s="8" t="str">
        <v>受击触发, 潜行, 生存</v>
      </c>
      <c r="N8" s="4"/>
    </row>
    <row r="9">
      <c r="A9" s="6" t="str">
        <v>纪念碑</v>
      </c>
      <c r="B9" s="6" t="str">
        <v>骨骼</v>
      </c>
      <c r="C9" s="6" t="str">
        <v>MNMT 'Null Presence' Frame</v>
      </c>
      <c r="D9" s="6" t="str">
        <v>“空无”骨架</v>
      </c>
      <c r="E9" s="6">
        <f>+5</f>
      </c>
      <c r="F9" s="6">
        <f>+7</f>
      </c>
      <c r="G9" s="6">
        <f>+6</f>
      </c>
      <c r="H9" s="6" t="str">
        <v>处于隐身状态时，护甲值临时提高。</v>
      </c>
      <c r="I9" s="6" t="str">
        <v>隐身时护甲加成：{+50}</v>
      </c>
      <c r="J9" s="6" t="str">
        <v>来自纪念碑基金会保管的古老开源隐形技术图纸。“空无”骨架通过特殊材料和结构设计，在隐形力场激活时能更好地偏转能量和物理冲击，提升隐身时的生存能力。</v>
      </c>
      <c r="K9" s="6" t="str">
        <v>可选</v>
      </c>
      <c r="L9" s="6" t="str">
        <v>纪念碑 (隐形科技)</v>
      </c>
      <c r="M9" s="6" t="str">
        <v>潜行, 护甲, 生存</v>
      </c>
      <c r="N9" s="4"/>
    </row>
    <row r="10">
      <c r="A10" s="6" t="str">
        <v>---</v>
      </c>
      <c r="B10" s="6" t="str">
        <v>行为芯片</v>
      </c>
      <c r="C10" s="6" t="str">
        <v>---</v>
      </c>
      <c r="D10" s="6" t="str">
        <v>暗杀头脑</v>
      </c>
      <c r="E10" s="9">
        <v>0</v>
      </c>
      <c r="F10" s="9">
        <v>0</v>
      </c>
      <c r="G10" s="9">
        <v>0</v>
      </c>
      <c r="H10" s="6" t="str">
        <v>如果你没有被发现，“易伤”状态的触发概率或效果强度翻倍（取决于易伤的具体效果）。</v>
      </c>
      <c r="I10" s="6" t="str">
        <v>易伤效果翻倍</v>
      </c>
      <c r="J10" s="6" t="str">
        <v>---</v>
      </c>
      <c r="K10" s="6" t="str">
        <v>核心</v>
      </c>
      <c r="L10" s="6" t="str">
        <v>---</v>
      </c>
      <c r="M10" s="6" t="str">
        <v>潜行, 易伤强化</v>
      </c>
      <c r="N10" s="4"/>
    </row>
    <row r="11">
      <c r="A11" s="6" t="str">
        <v>---</v>
      </c>
      <c r="B11" s="6" t="str">
        <v>行为芯片</v>
      </c>
      <c r="C11" s="6" t="str">
        <v>---</v>
      </c>
      <c r="D11" s="6" t="str">
        <v>老主顾</v>
      </c>
      <c r="E11" s="9">
        <v>0</v>
      </c>
      <c r="F11" s="9">
        <v>0</v>
      </c>
      <c r="G11" s="9">
        <v>0</v>
      </c>
      <c r="H11" s="6" t="str">
        <v>你在义体打印机的刷新获得折扣。</v>
      </c>
      <c r="I11" s="6" t="str">
        <v>折扣力度：{30%}</v>
      </c>
      <c r="J11" s="6" t="str">
        <v>---</v>
      </c>
      <c r="K11" s="6" t="str">
        <v>可选</v>
      </c>
      <c r="L11" s="6" t="str">
        <v>---</v>
      </c>
      <c r="M11" s="6" t="str">
        <v>经济</v>
      </c>
      <c r="N11" s="4"/>
    </row>
    <row r="12">
      <c r="A12" s="6"/>
      <c r="B12" s="6"/>
      <c r="C12" s="6"/>
      <c r="D12" s="6"/>
      <c r="E12" s="9"/>
      <c r="F12" s="9"/>
      <c r="G12" s="9"/>
      <c r="H12" s="6"/>
      <c r="I12" s="6"/>
      <c r="J12" s="6"/>
      <c r="K12" s="6"/>
      <c r="L12" s="6"/>
      <c r="M12" s="6"/>
      <c r="N12" s="4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4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牺牲生存能力，极限堆叠攻击速度和暴击相关的效果，追求在短时间内打出爆发性伤害。核心属性：反应。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洛克海德</v>
      </c>
      <c r="B5" s="4" t="str">
        <v>主手</v>
      </c>
      <c r="C5" s="4" t="str">
        <v>LH 'Precision Strike' Actuator</v>
      </c>
      <c r="D5" s="4" t="str">
        <v>“精准打击”执行器</v>
      </c>
      <c r="E5" s="5">
        <f>+2</f>
      </c>
      <c r="F5" s="5">
        <f>+11</f>
      </c>
      <c r="G5" s="5">
        <f>+5</f>
      </c>
      <c r="H5" s="4" t="str">
        <v>普通攻击命中时，对目标施加{1}层“易伤”效果，并造成额外伤害。</v>
      </c>
      <c r="I5" s="4" t="str">
        <v>额外伤害：{武器伤害 x 20%}; 易伤层数：{1}; 每层易伤增加暴击伤害：{+10%}; 易伤持续时间：{5s}; 最大层数：{5}</v>
      </c>
      <c r="J5" s="4" t="str">
        <v>洛克海德的精准射击辅助系统。“精确”系列的主手组件。它优化了武器的命中反馈，能在瞬间标记出敌人的弱点，为后续的暴击做铺垫。</v>
      </c>
      <c r="K5" s="4" t="str">
        <v>核心</v>
      </c>
      <c r="L5" s="4" t="str">
        <v>精确系列</v>
      </c>
      <c r="M5" s="4" t="str">
        <v>普攻强化, 暴击增伤, 易伤</v>
      </c>
      <c r="N5" s="4"/>
    </row>
    <row r="6">
      <c r="A6" s="4" t="str">
        <v>洛克海德</v>
      </c>
      <c r="B6" s="4" t="str">
        <v>副手</v>
      </c>
      <c r="C6" s="4" t="str">
        <v>LH 'Phantom Hand' Module</v>
      </c>
      <c r="D6" s="4" t="str">
        <v>“幽影之手”模块</v>
      </c>
      <c r="E6" s="5">
        <f>+3</f>
      </c>
      <c r="F6" s="5">
        <f>+10</f>
      </c>
      <c r="G6" s="5">
        <f>+5</f>
      </c>
      <c r="H6" s="4" t="str">
        <v>武器技能命中时，对目标施加{1}层“易伤”效果，并造成额外伤害。</v>
      </c>
      <c r="I6" s="4" t="str">
        <v>额外伤害：{武器技能伤害 x 20%}; 易伤层数：{1}; 每层易伤增加暴击伤害：{+10%}; 易伤持续时间：{5s}; 最大层数：{5}</v>
      </c>
      <c r="J6" s="4" t="str">
        <v>“精确”系列的武器技能模块。“幽影之手”能将技能的能量转化为标记信号，即使是范围攻击也能精准地为每个受害者打上易伤标记。</v>
      </c>
      <c r="K6" s="4" t="str">
        <v>核心</v>
      </c>
      <c r="L6" s="4" t="str">
        <v>精确系列</v>
      </c>
      <c r="M6" s="4" t="str">
        <v>武器技能, 暴击增伤, 易伤</v>
      </c>
      <c r="N6" s="4"/>
    </row>
    <row r="7">
      <c r="A7" s="4" t="str">
        <v>野望</v>
      </c>
      <c r="B7" s="4" t="str">
        <v>腿部</v>
      </c>
      <c r="C7" s="4" t="str">
        <v>WW 'Blitz' Legs</v>
      </c>
      <c r="D7" s="4" t="str">
        <v>“闪击”义腿</v>
      </c>
      <c r="E7" s="5">
        <f>+4</f>
      </c>
      <c r="F7" s="5">
        <f>+11</f>
      </c>
      <c r="G7" s="5">
        <f>+3</f>
      </c>
      <c r="H7" s="4" t="str">
        <v>冲刺可以穿透敌人，并对穿过的每个敌人施加{1}层“易伤”效果。</v>
      </c>
      <c r="I7" s="4" t="str">
        <v>易伤层数：{1}; 每层易伤增加暴击伤害：{+10%}; 易伤持续时间：{5s}; 最大层数：{5}</v>
      </c>
      <c r="J7" s="4" t="str">
        <v>野望的高速作战义肢。“闪击”义腿让你如同鬼魅般穿梭于敌阵，所过之处，敌人皆被打上死亡的印记。</v>
      </c>
      <c r="K7" s="4" t="str">
        <v>核心</v>
      </c>
      <c r="L7" s="4" t="str">
        <v>闪击系列</v>
      </c>
      <c r="M7" s="4" t="str">
        <v>位移, 穿透, 易伤</v>
      </c>
      <c r="N7" s="4"/>
    </row>
    <row r="8">
      <c r="A8" s="4" t="str">
        <v>劳旅</v>
      </c>
      <c r="B8" s="4" t="str">
        <v>皮肤</v>
      </c>
      <c r="C8" s="4" t="str">
        <v>LB 'Frenetic' Weave</v>
      </c>
      <c r="D8" s="4" t="str">
        <v>“狂热”织物</v>
      </c>
      <c r="E8" s="5">
        <f>+5</f>
      </c>
      <c r="F8" s="5">
        <f>+8</f>
      </c>
      <c r="G8" s="5">
        <f>+2</f>
      </c>
      <c r="H8" s="4" t="str">
        <v>受到攻击时，短时间内提升攻击速度，此效果最多可叠加{12}层。</v>
      </c>
      <c r="I8" s="4" t="str">
        <v>每层攻速加成：{+5%}; 持续时间：{3s}; 最大层数：{12}</v>
      </c>
      <c r="J8" s="4" t="str">
        <v>劳旅工人将兴奋剂直接编织进皮肤。“狂热”织物在你受伤时会刺激神经，让你进入越战越勇的狂乱状态，攻击速度不断飙升。</v>
      </c>
      <c r="K8" s="4" t="str">
        <v>核心</v>
      </c>
      <c r="L8" s="4" t="str">
        <v>狂热系列</v>
      </c>
      <c r="M8" s="4" t="str">
        <v>受击触发, 攻速, 叠加</v>
      </c>
      <c r="N8" s="4"/>
    </row>
    <row r="9">
      <c r="A9" s="4" t="str">
        <v>东海工业</v>
      </c>
      <c r="B9" s="4" t="str">
        <v>骨骼</v>
      </c>
      <c r="C9" s="4" t="str">
        <v>DH 'Capacitor' Armor</v>
      </c>
      <c r="D9" s="4" t="str">
        <v>“电容”骨架</v>
      </c>
      <c r="E9" s="5">
        <f>+6</f>
      </c>
      <c r="F9" s="5">
        <f>+7</f>
      </c>
      <c r="G9" s="5">
        <f>+5</f>
      </c>
      <c r="H9" s="4" t="str">
        <v>每损失 {10} 点护甲值，永久提升 {1%} 攻击速度（有上限）。此效果在当前游戏中持续存在，即使护甲恢复。</v>
      </c>
      <c r="I9" s="4" t="str">
        <v>每损失护甲值：{10}; 攻击速度提升：{+1%} (永久，直至局内游戏结束); 最大攻速加成上限：{+50%}</v>
      </c>
      <c r="J9" s="4" t="str">
        <v>东海工业的实验性储能骨架。“聚能”系列产品。它将护甲承受的冲击能量转化为对武器系统的超频，护甲越是残破，你的攻击就越是迅猛。</v>
      </c>
      <c r="K9" s="4" t="str">
        <v>核心</v>
      </c>
      <c r="L9" s="4" t="str">
        <v>聚能系列</v>
      </c>
      <c r="M9" s="4" t="str">
        <v>护甲关联, 攻速, 成长</v>
      </c>
      <c r="N9" s="4"/>
    </row>
    <row r="10">
      <c r="A10" s="4" t="str">
        <v>---</v>
      </c>
      <c r="B10" s="4" t="str">
        <v>行为芯片</v>
      </c>
      <c r="C10" s="4" t="str">
        <v>---</v>
      </c>
      <c r="D10" s="4" t="str">
        <v>四叶草协议</v>
      </c>
      <c r="E10" s="5">
        <v>0</v>
      </c>
      <c r="F10" s="5">
        <v>0</v>
      </c>
      <c r="G10" s="5">
        <v>0</v>
      </c>
      <c r="H10" s="4" t="str">
        <v>所有来自武器和义体的概率性事件（如暴击、触发状态等，不包括闪避）如果判定失败，则立即重新判定一次。</v>
      </c>
      <c r="I10" s="4" t="str">
        <v>重判定次数：{1}</v>
      </c>
      <c r="J10" s="4" t="str">
        <v>---</v>
      </c>
      <c r="K10" s="4" t="str">
        <v>核心</v>
      </c>
      <c r="L10" s="4" t="str">
        <v>---</v>
      </c>
      <c r="M10" s="4" t="str">
        <v>概率修正, 幸运</v>
      </c>
      <c r="N10" s="4"/>
    </row>
    <row r="11">
      <c r="A11" s="4" t="str">
        <v>---</v>
      </c>
      <c r="B11" s="4" t="str">
        <v>行为芯片</v>
      </c>
      <c r="C11" s="4" t="str">
        <v>---</v>
      </c>
      <c r="D11" s="4" t="str">
        <v>良好散热</v>
      </c>
      <c r="E11" s="5">
        <v>0</v>
      </c>
      <c r="F11" s="5">
        <v>0</v>
      </c>
      <c r="G11" s="5">
        <v>0</v>
      </c>
      <c r="H11" s="4" t="str">
        <v>你的攻击速度加成（来自所有来源）会按一定比例转化为智脑技能的冷却速度加成。</v>
      </c>
      <c r="I11" s="4" t="str">
        <v>冷却转化比例：{攻击速度加成的 30%}</v>
      </c>
      <c r="J11" s="4" t="str">
        <v>---</v>
      </c>
      <c r="K11" s="4" t="str">
        <v>可选</v>
      </c>
      <c r="L11" s="4" t="str">
        <v>---</v>
      </c>
      <c r="M11" s="4" t="str">
        <v>攻速关联, 冷却, 智脑联动</v>
      </c>
      <c r="N11" s="4"/>
    </row>
    <row r="12">
      <c r="A12" s="4" t="str">
        <v>---</v>
      </c>
      <c r="B12" s="4" t="str">
        <v>行为芯片</v>
      </c>
      <c r="C12" s="4" t="str">
        <v>---</v>
      </c>
      <c r="D12" s="4" t="str">
        <v>贫血狂热</v>
      </c>
      <c r="E12" s="5">
        <v>0</v>
      </c>
      <c r="F12" s="5">
        <v>0</v>
      </c>
      <c r="G12" s="5">
        <v>0</v>
      </c>
      <c r="H12" s="4" t="str">
        <v>你的生命值越低，攻击速度越高。该效果在生命值低于{50%}时开始生效，并在生命值最低时达到最大效果。</v>
      </c>
      <c r="I12" s="4" t="str">
        <v>最大攻速加成（1%生命值时）：{+30%} (线性增长)</v>
      </c>
      <c r="J12" s="4" t="str">
        <v>---</v>
      </c>
      <c r="K12" s="4" t="str">
        <v>可选</v>
      </c>
      <c r="L12" s="4" t="str">
        <v>---</v>
      </c>
      <c r="M12" s="4" t="str">
        <v>低血量增益, 攻速</v>
      </c>
      <c r="N12" s="4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通过武器、技能和义体效果叠加“灼烧”状态，并利用特定效果让灼烧状态扩散或产生额外效果。核心属性：智力。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6" t="str">
        <v>野望</v>
      </c>
      <c r="B5" s="6" t="str">
        <v>主手</v>
      </c>
      <c r="C5" s="6" t="str">
        <v>WW 'Incendiary' Rounds Injector</v>
      </c>
      <c r="D5" s="6" t="str">
        <v>“燃爆”弹头注射器</v>
      </c>
      <c r="E5" s="6">
        <f>+3</f>
      </c>
      <c r="F5" s="6">
        <f>+6</f>
      </c>
      <c r="G5" s="6">
        <f>+9</f>
      </c>
      <c r="H5" s="6" t="str">
        <v>普通攻击命中时，有概率对目标施加“灼烧”效果，并造成额外基于智力的火焰伤害。</v>
      </c>
      <c r="I5" s="6" t="str">
        <v>额外伤害：{智力 x 8} 火焰伤害; 
施加概率: {25%}</v>
      </c>
      <c r="J5" s="6" t="str">
        <v>野望对弹药进行的高风险改造。“炼狱”系列的主手组件。将不稳定的化学燃料注入每一发子弹，命中即燃，让敌人尝尝地狱之火的滋味。</v>
      </c>
      <c r="K5" s="6" t="str">
        <v>核心</v>
      </c>
      <c r="L5" s="6" t="str">
        <v>炼狱系列</v>
      </c>
      <c r="M5" s="8" t="str">
        <v>普攻强化, 持续伤害, 灼烧</v>
      </c>
      <c r="N5" s="4"/>
    </row>
    <row r="6">
      <c r="A6" s="6" t="str">
        <v>野望</v>
      </c>
      <c r="B6" s="6" t="str">
        <v>副手</v>
      </c>
      <c r="C6" s="6" t="str">
        <v>WW 'Firestorm' Catalyst</v>
      </c>
      <c r="D6" s="6" t="str">
        <v>“火风暴”催化剂</v>
      </c>
      <c r="E6" s="6">
        <f>+4</f>
      </c>
      <c r="F6" s="6">
        <f>+5</f>
      </c>
      <c r="G6" s="6">
        <f>+9</f>
      </c>
      <c r="H6" s="6" t="str">
        <v>武器技能命中带有“灼烧”效果的敌人时，引发一次小型火焰爆炸，对周围敌人造成基于智力的火焰伤害，并有几率传递33%层数的“灼烧”效果。</v>
      </c>
      <c r="I6" s="6" t="str">
        <v>爆炸范围：{2m}; 
爆炸伤害：{智力 x 150} 
火焰伤害; 
灼烧传递几率：{50%}</v>
      </c>
      <c r="J6" s="6" t="str">
        <v>“炼狱”系列的武器技能模块。“火风暴”催化剂能将灼烧的能量引爆，形成小范围的火焰风暴，点燃周围的一切。</v>
      </c>
      <c r="K6" s="6" t="str">
        <v>核心</v>
      </c>
      <c r="L6" s="6" t="str">
        <v>炼狱系列</v>
      </c>
      <c r="M6" s="8" t="str">
        <v>武器技能, 范围伤害, 灼烧, 扩散</v>
      </c>
      <c r="N6" s="4"/>
    </row>
    <row r="7">
      <c r="A7" s="6" t="str">
        <v>劳旅</v>
      </c>
      <c r="B7" s="6" t="str">
        <v>腿部</v>
      </c>
      <c r="C7" s="6" t="str">
        <v>LB 'Scorched Trail' Thrusters</v>
      </c>
      <c r="D7" s="6" t="str">
        <v>“焦土轨迹”推进器</v>
      </c>
      <c r="E7" s="6">
        <f>+7</f>
      </c>
      <c r="F7" s="6">
        <f>+8</f>
      </c>
      <c r="G7" s="6">
        <f>+3</f>
      </c>
      <c r="H7" s="6" t="str">
        <v>冲刺时在路径上留下短暂燃烧的火焰轨迹，对踩在上面的敌人造成“灼烧”效果。</v>
      </c>
      <c r="I7" s="6" t="str">
        <v>火焰轨迹持续时间：{2s}; 灼烧：每秒伤害 {力量 x 80} 火焰伤害, 持续 {3s}</v>
      </c>
      <c r="J7" s="6" t="str">
        <v>劳旅工人用工业切割炬和推进器拼凑的危险玩意。“焦土”系列腿部组件。冲刺时留下毁灭的痕迹，让追击者陷入火海。</v>
      </c>
      <c r="K7" s="6" t="str">
        <v>可选</v>
      </c>
      <c r="L7" s="6" t="str">
        <v>焦土系列</v>
      </c>
      <c r="M7" s="6" t="str">
        <v>位移, 范围伤害, 灼烧</v>
      </c>
      <c r="N7" s="4"/>
    </row>
    <row r="8">
      <c r="A8" s="6" t="str">
        <v>劳旅</v>
      </c>
      <c r="B8" s="6" t="str">
        <v>皮肤</v>
      </c>
      <c r="C8" s="6" t="str">
        <v>LB 'Immolation' Mesh</v>
      </c>
      <c r="D8" s="6" t="str">
        <v>“献祭”反应网</v>
      </c>
      <c r="E8" s="6">
        <f>+8</f>
      </c>
      <c r="F8" s="6">
        <f>+4</f>
      </c>
      <c r="G8" s="6">
        <f>+6</f>
      </c>
      <c r="H8" s="6" t="str">
        <v>你的生命值越低，你施加的“灼烧”效果造成的伤害越高。</v>
      </c>
      <c r="I8" s="6" t="str" xml:space="preserve">
        <v>最大灼烧伤害加成（1 x 已损失生命值%} </v>
      </c>
      <c r="J8" s="6" t="str">
        <v>“焦土”系列皮肤。这种由特殊耐热纤维和感应器构成的网格，能在你受伤时将痛苦转化为更炽热的火焰能量，生命越是危险，火焰越是旺盛。</v>
      </c>
      <c r="K8" s="6" t="str">
        <v>核心</v>
      </c>
      <c r="L8" s="6" t="str">
        <v>焦土系列</v>
      </c>
      <c r="M8" s="8" t="str">
        <v>低血量增益, 持续伤害, 灼烧</v>
      </c>
      <c r="N8" s="4"/>
    </row>
    <row r="9">
      <c r="A9" s="6" t="str">
        <v>洛克海德</v>
      </c>
      <c r="B9" s="6" t="str">
        <v>骨骼</v>
      </c>
      <c r="C9" s="6" t="str">
        <v>LH 'Heat Sink' Frame</v>
      </c>
      <c r="D9" s="6" t="str">
        <v>“散热”骨架</v>
      </c>
      <c r="E9" s="6">
        <f>+6</f>
      </c>
      <c r="F9" s="6">
        <f>+6</f>
      </c>
      <c r="G9" s="6">
        <f>+6</f>
      </c>
      <c r="H9" s="6" t="str">
        <v>受到热能伤害时，有概率恢复护甲值。</v>
      </c>
      <c r="I9" s="6" t="str">
        <v>概率：{+50%};
恢复量: {10}</v>
      </c>
      <c r="J9" s="6" t="str">
        <v>洛克海德为在极端高温环境下作战单位设计的骨架。“散热”骨架能有效隔绝和导出热量，让你在烈焰中保持冷静，同时强化你自身的火焰攻击效果。</v>
      </c>
      <c r="K9" s="6" t="str">
        <v>核心</v>
      </c>
      <c r="L9" s="6" t="str">
        <v>散热系列</v>
      </c>
      <c r="M9" s="6" t="str">
        <v>生存, 火焰抗性, 灼烧强化</v>
      </c>
      <c r="N9" s="4"/>
    </row>
    <row r="10">
      <c r="A10" s="6" t="str">
        <v>---</v>
      </c>
      <c r="B10" s="6" t="str">
        <v>行为芯片</v>
      </c>
      <c r="C10" s="6" t="str">
        <v>---</v>
      </c>
      <c r="D10" s="6" t="str">
        <v>扩散燃烧</v>
      </c>
      <c r="E10" s="9">
        <v>0</v>
      </c>
      <c r="F10" s="9">
        <v>0</v>
      </c>
      <c r="G10" s="9">
        <v>0</v>
      </c>
      <c r="H10" s="6" t="str">
        <v>带有“灼烧”效果的敌人在死亡时，会在原地留下一团火焰。</v>
      </c>
      <c r="I10" s="6" t="str">
        <v>火焰直径：{1m}
每秒伤害 &amp; 持续时间：继承自灼烧</v>
      </c>
      <c r="J10" s="6" t="str">
        <v>---</v>
      </c>
      <c r="K10" s="6" t="str">
        <v>核心</v>
      </c>
      <c r="L10" s="6" t="str">
        <v>---</v>
      </c>
      <c r="M10" s="6" t="str">
        <v>持续伤害, 灼烧, 扩散</v>
      </c>
      <c r="N10" s="4"/>
    </row>
    <row r="11">
      <c r="A11" s="6"/>
      <c r="B11" s="6"/>
      <c r="C11" s="6"/>
      <c r="D11" s="6"/>
      <c r="E11" s="9"/>
      <c r="F11" s="9"/>
      <c r="G11" s="9"/>
      <c r="H11" s="6"/>
      <c r="I11" s="6"/>
      <c r="J11" s="6"/>
      <c r="K11" s="6"/>
      <c r="L11" s="6"/>
      <c r="M11" s="6"/>
      <c r="N11" s="4"/>
    </row>
    <row r="12">
      <c r="A12" s="6"/>
      <c r="B12" s="6"/>
      <c r="C12" s="6"/>
      <c r="D12" s="6"/>
      <c r="E12" s="9"/>
      <c r="F12" s="9"/>
      <c r="G12" s="9"/>
      <c r="H12" s="6"/>
      <c r="I12" s="6"/>
      <c r="J12" s="6"/>
      <c r="K12" s="6"/>
      <c r="L12" s="6"/>
      <c r="M12" s="6"/>
      <c r="N12" s="4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4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利用电击和EMP效果控制敌人，尤其是机械单位，通过叠加“麻痹”状态限制敌人行动。核心属性：智力、反应。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6" t="str">
        <v>律动智能</v>
      </c>
      <c r="B5" s="6" t="str">
        <v>主手</v>
      </c>
      <c r="C5" s="6" t="str">
        <v>RI 'Static Discharge' Gloves</v>
      </c>
      <c r="D5" s="6" t="str">
        <v>“静电释能”手套</v>
      </c>
      <c r="E5" s="6">
        <f>+3</f>
      </c>
      <c r="F5" s="6">
        <f>+7</f>
      </c>
      <c r="G5" s="6">
        <f>+8</f>
      </c>
      <c r="H5" s="6" t="str">
        <v>武器攻击命中移动能力受限的敌人时，造成额外伤害。</v>
      </c>
      <c r="I5" s="6" t="str">
        <v>额外伤害：{移动速度降低比例%}  x 武器伤害</v>
      </c>
      <c r="J5" s="6" t="str">
        <v>律动智能用于控制失控机器人的工具。“电控”系列主手组件。手套持续产生高压静电，每次接触都会向目标释放电流，逐步瓦解其行动能力。</v>
      </c>
      <c r="K5" s="6" t="str">
        <v>核心</v>
      </c>
      <c r="L5" s="6" t="str">
        <v>电控系列</v>
      </c>
      <c r="M5" s="8" t="str">
        <v>普攻强化, 控制, 电击, 麻痹</v>
      </c>
      <c r="N5" s="4"/>
    </row>
    <row r="6">
      <c r="A6" s="6" t="str">
        <v>耶利哥</v>
      </c>
      <c r="B6" s="6" t="str">
        <v>副手</v>
      </c>
      <c r="C6" s="6" t="str">
        <v>JC 'Synaptic Overload' Emitter</v>
      </c>
      <c r="D6" s="6" t="str">
        <v>“突触超载”发射器</v>
      </c>
      <c r="E6" s="6">
        <f>+4</f>
      </c>
      <c r="F6" s="6">
        <f>+6</f>
      </c>
      <c r="G6" s="6">
        <f>+8</f>
      </c>
      <c r="H6" s="6" t="str">
        <v>武器技能命中时，受击者身上的“麻痹”层数翻倍。</v>
      </c>
      <c r="I6" s="6"/>
      <c r="J6" s="6" t="str">
        <v>耶利哥的神经干扰技术。“超载”系列副手模块。它能瞬间释放强烈的生物电信号，直接冲击目标的神经中枢，使其陷入短暂的瘫痪。</v>
      </c>
      <c r="K6" s="6" t="str">
        <v>核心</v>
      </c>
      <c r="L6" s="6" t="str">
        <v>超载系列</v>
      </c>
      <c r="M6" s="8" t="str">
        <v>武器技能, 控制, 电击, 麻痹</v>
      </c>
      <c r="N6" s="4"/>
    </row>
    <row r="7">
      <c r="A7" s="6" t="str">
        <v>律动智能</v>
      </c>
      <c r="B7" s="6" t="str">
        <v>腿部</v>
      </c>
      <c r="C7" s="6" t="str">
        <v>RI 'EMP Burst' Thrusters</v>
      </c>
      <c r="D7" s="6" t="str">
        <v>“EMP爆发”推进器</v>
      </c>
      <c r="E7" s="6">
        <f>+5</f>
      </c>
      <c r="F7" s="6">
        <f>+9</f>
      </c>
      <c r="G7" s="6">
        <f>+4</f>
      </c>
      <c r="H7" s="6" t="str">
        <v>翻滚在起点和终点附近释放一次emp，对小范围敌人造成少量伤害和大量电磁异常积累。</v>
      </c>
      <c r="I7" s="6" t="str">
        <v>脉冲范围：{2.5m}; 
脉冲伤害：{2 x 智力}点次伤害; 
电磁异常积蓄：{10 x 智力}</v>
      </c>
      <c r="J7" s="6" t="str">
        <v>“电控”系列的腿部组件。将冲刺的动能转化为一次电磁爆发，能有效瘫痪追击者，尤其擅长对付那些烦人的机械狗。</v>
      </c>
      <c r="K7" s="6" t="str">
        <v>核心</v>
      </c>
      <c r="L7" s="6" t="str">
        <v>电控系列</v>
      </c>
      <c r="M7" s="6" t="str">
        <v>位移, 范围控制, 电击, 麻痹</v>
      </c>
      <c r="N7" s="4"/>
    </row>
    <row r="8">
      <c r="A8" s="6" t="str">
        <v>寰宇</v>
      </c>
      <c r="B8" s="6" t="str">
        <v>皮肤</v>
      </c>
      <c r="C8" s="6" t="str">
        <v>Omni 'Grounding Mesh'</v>
      </c>
      <c r="D8" s="6" t="str">
        <v>“接地网格”</v>
      </c>
      <c r="E8" s="6">
        <f>+7</f>
      </c>
      <c r="F8" s="6">
        <f>+5</f>
      </c>
      <c r="G8" s="6">
        <f>+6</f>
      </c>
      <c r="H8" s="6" t="str">
        <v>你每秒增加{10}电磁异常积蓄。你受到伤害或接触到其他对象时，将你受到的麻痹异常转移给该对象。</v>
      </c>
      <c r="I8" s="6"/>
      <c r="J8" s="6" t="str">
        <v>寰宇的数据中心防静电技术个人版。“屏护”系列皮肤。“接地网格”能有效中和并导出过量电流，保护你的电子义体和神经系统免受电磁干扰。</v>
      </c>
      <c r="K8" s="6" t="str">
        <v>核心</v>
      </c>
      <c r="L8" s="6" t="str">
        <v>屏护系列</v>
      </c>
      <c r="M8" s="8" t="str">
        <v>生存, 电击抗性, 状态免疫</v>
      </c>
      <c r="N8" s="4"/>
    </row>
    <row r="9">
      <c r="A9" s="6" t="str">
        <v>耶利哥</v>
      </c>
      <c r="B9" s="6" t="str">
        <v>骨骼</v>
      </c>
      <c r="C9" s="6" t="str">
        <v>JC 'Faraday Cage' Skeleton</v>
      </c>
      <c r="D9" s="6" t="str">
        <v>“法拉第笼”骨架</v>
      </c>
      <c r="E9" s="6">
        <f>+6</f>
      </c>
      <c r="F9" s="6">
        <f>+6</f>
      </c>
      <c r="G9" s="6">
        <f>+6</f>
      </c>
      <c r="H9" s="6" t="str">
        <v>当你有护甲时，麻痹效果与电磁伤害对你无效。</v>
      </c>
      <c r="I9" s="6"/>
      <c r="J9" s="6" t="str">
        <v>耶利哥将生物反馈与电磁屏蔽结合的产物。“调和”系列骨架。通过在骨骼层面形成微观的法拉第笼结构，提升身体对各种异常状态能量侵蚀的抵抗力。</v>
      </c>
      <c r="K9" s="6" t="str">
        <v>可选</v>
      </c>
      <c r="L9" s="6" t="str">
        <v>调和系列</v>
      </c>
      <c r="M9" s="6" t="str">
        <v>生存, 状态抵抗</v>
      </c>
      <c r="N9" s="4"/>
    </row>
    <row r="10">
      <c r="A10" s="6" t="str">
        <v>---</v>
      </c>
      <c r="B10" s="6" t="str">
        <v>行为芯片</v>
      </c>
      <c r="C10" s="6" t="str">
        <v>---</v>
      </c>
      <c r="D10" s="6" t="str">
        <v>深层麻痹</v>
      </c>
      <c r="E10" s="9">
        <v>0</v>
      </c>
      <c r="F10" s="9">
        <v>0</v>
      </c>
      <c r="G10" s="9">
        <v>0</v>
      </c>
      <c r="H10" s="6" t="str">
        <v>你对敌人成功施加“麻痹”状态时，有{25%}概率施加{2}层的是“强效麻痹”。</v>
      </c>
      <c r="I10" s="6" t="str">
        <v>触发概率 {25%};</v>
      </c>
      <c r="J10" s="6" t="str">
        <v>---</v>
      </c>
      <c r="K10" s="6" t="str">
        <v>核心</v>
      </c>
      <c r="L10" s="6" t="str">
        <v>---</v>
      </c>
      <c r="M10" s="6" t="str">
        <v>控制强化, 麻痹, 减益</v>
      </c>
      <c r="N10" s="4"/>
    </row>
    <row r="11">
      <c r="A11" s="6" t="str">
        <v>---</v>
      </c>
      <c r="B11" s="6" t="str">
        <v>行为芯片</v>
      </c>
      <c r="C11" s="6" t="str">
        <v>---</v>
      </c>
      <c r="D11" s="6" t="str">
        <v>能量扩散</v>
      </c>
      <c r="E11" s="9">
        <v>0</v>
      </c>
      <c r="F11" s="9">
        <v>0</v>
      </c>
      <c r="G11" s="9">
        <v>0</v>
      </c>
      <c r="H11" s="6" t="str">
        <v>你施加的麻痹效果有{15%}几率连锁到附近一个额外敌人。</v>
      </c>
      <c r="I11" s="6" t="str" xml:space="preserve">
        <v>连锁几率：{15%}; 
连锁范围：{4m}; </v>
      </c>
      <c r="J11" s="6" t="str">
        <v>---</v>
      </c>
      <c r="K11" s="6" t="str">
        <v>可选</v>
      </c>
      <c r="L11" s="6" t="str">
        <v>---</v>
      </c>
      <c r="M11" s="6" t="str">
        <v>连锁闪电, 电击</v>
      </c>
      <c r="N11" s="4"/>
    </row>
    <row r="12">
      <c r="A12" s="6"/>
      <c r="B12" s="6"/>
      <c r="C12" s="6"/>
      <c r="D12" s="6"/>
      <c r="E12" s="9"/>
      <c r="F12" s="9"/>
      <c r="G12" s="9"/>
      <c r="H12" s="6"/>
      <c r="I12" s="6"/>
      <c r="J12" s="6"/>
      <c r="K12" s="6"/>
      <c r="L12" s="6"/>
      <c r="M12" s="6"/>
      <c r="N12" s="4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4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通过皮肤、骨骼等义体效果，在受到攻击时对敌人造成反弹伤害。力量属性（提升生命值以承受伤害）和智力（部分反伤效果可能与智力挂钩）可能是核心。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6" t="str">
        <v>东海工业</v>
      </c>
      <c r="B5" s="6" t="str">
        <v>主手</v>
      </c>
      <c r="C5" s="6" t="str">
        <v>DH 'Retaliator' Gauntlet</v>
      </c>
      <c r="D5" s="6" t="str">
        <v>“复仇者”拳套</v>
      </c>
      <c r="E5" s="6">
        <f>+9</f>
      </c>
      <c r="F5" s="6">
        <f>+4</f>
      </c>
      <c r="G5" s="6">
        <f>+2</f>
      </c>
      <c r="H5" s="6" t="str">
        <v>进行格挡（若有格挡机制）或被敌人攻击命中时，储存能量。下次普通攻击命中时释放储存的能量，造成额外基于力量的物理伤害。</v>
      </c>
      <c r="I5" s="6" t="str">
        <v>能量储存上限：{3次受击/格挡}; 额外伤害：{储存次数 x 力量 x 100} 物理伤害</v>
      </c>
      <c r="J5" s="6" t="str">
        <v>东海工业将建筑抗冲击技术应用于反击。“反震”系列拳套。它能吸收并储存受到的冲击能量，然后在你下一次出拳时加倍奉还给敌人。</v>
      </c>
      <c r="K5" s="6" t="str">
        <v>可选</v>
      </c>
      <c r="L5" s="6" t="str">
        <v>反震系列</v>
      </c>
      <c r="M5" s="8" t="str">
        <v>受击反馈, 普攻强化, 直伤</v>
      </c>
      <c r="N5" s="4"/>
    </row>
    <row r="6">
      <c r="A6" s="6" t="str">
        <v>洛克海德</v>
      </c>
      <c r="B6" s="6" t="str">
        <v>副手</v>
      </c>
      <c r="C6" s="6" t="str">
        <v>LH 'Ricochet' Module</v>
      </c>
      <c r="D6" s="6" t="str">
        <v>“跳弹”模块</v>
      </c>
      <c r="E6" s="6">
        <f>+7</f>
      </c>
      <c r="F6" s="6">
        <f>+6</f>
      </c>
      <c r="G6" s="6">
        <f>+5</f>
      </c>
      <c r="H6" s="6" t="str">
        <v>你的护甲有{20%}几率使敌人的远程攻击（实体弹丸）发生偏斜，反弹向附近随机一个敌人，造成少量伤害。</v>
      </c>
      <c r="I6" s="6" t="str">
        <v>偏斜几率：{20%}; 反弹伤害：{50} 物理伤害</v>
      </c>
      <c r="J6" s="6" t="str">
        <v>洛克海德的实验性防御技术。“偏斜”系列模块。通过特殊的能量场和装甲角度设计，有几率让射向你的子弹“不翼而飞”，甚至击中攻击者的队友。</v>
      </c>
      <c r="K6" s="6" t="str">
        <v>可选</v>
      </c>
      <c r="L6" s="6" t="str">
        <v>偏斜系列</v>
      </c>
      <c r="M6" s="8" t="str">
        <v>生存, 护甲关联, 反射</v>
      </c>
      <c r="N6" s="4"/>
    </row>
    <row r="7">
      <c r="A7" s="6" t="str">
        <v>东海工业</v>
      </c>
      <c r="B7" s="6" t="str">
        <v>腿部</v>
      </c>
      <c r="C7" s="6" t="str">
        <v>DH 'Impact Wave' Legs</v>
      </c>
      <c r="D7" s="6" t="str">
        <v>“冲击波”义腿</v>
      </c>
      <c r="E7" s="6">
        <f>+10</f>
      </c>
      <c r="F7" s="6">
        <f>+5</f>
      </c>
      <c r="G7" s="6">
        <f>+3</f>
      </c>
      <c r="H7" s="6" t="str">
        <v>受到击退或击倒效果时，在原地产生一次冲击波，对周围敌人造成基于力量的物理伤害并将其推开。</v>
      </c>
      <c r="I7" s="6" t="str">
        <v>冲击波范围：{3m}; 冲击波伤害：{力量 x 200} 物理伤害; 击退距离：{2m}</v>
      </c>
      <c r="J7" s="6" t="str">
        <v>东海工业的稳定性技术的另一面。“反震”系列的腿部组件。即使你被击倒，也要让敌人付出代价。内置的震荡器会在你失去平衡时自动触发，清空周围。</v>
      </c>
      <c r="K7" s="6" t="str">
        <v>核心</v>
      </c>
      <c r="L7" s="6" t="str">
        <v>反震系列</v>
      </c>
      <c r="M7" s="6" t="str">
        <v>受击触发, 范围伤害, 控制</v>
      </c>
      <c r="N7" s="4"/>
    </row>
    <row r="8">
      <c r="A8" s="6" t="str">
        <v>耶利哥</v>
      </c>
      <c r="B8" s="6" t="str">
        <v>皮肤</v>
      </c>
      <c r="C8" s="6" t="str">
        <v>JC 'Pain Reflection' Tattoo</v>
      </c>
      <c r="D8" s="6" t="str">
        <v>“痛苦反射”纹身</v>
      </c>
      <c r="E8" s="6">
        <f>+6</f>
      </c>
      <c r="F8" s="6">
        <f>+4</f>
      </c>
      <c r="G8" s="6">
        <f>+8</f>
      </c>
      <c r="H8" s="6" t="str">
        <v>将你受到的伤害（计算护甲减免后）的{15%}以能量形式反射给攻击者。</v>
      </c>
      <c r="I8" s="6" t="str">
        <v>反射比例：{15%}; 反射伤害类型：{能量伤害}</v>
      </c>
      <c r="J8" s="6" t="str">
        <v>耶利哥利用生物电和奇异材料制造的活性纹身。“反射”系列皮肤。它能将一部分作用于你身体的能量重新导向，直接反馈给攻击来源。你的痛苦，敌人亦能感受。</v>
      </c>
      <c r="K8" s="6" t="str">
        <v>核心</v>
      </c>
      <c r="L8" s="6" t="str">
        <v>反射系列</v>
      </c>
      <c r="M8" s="8" t="str">
        <v>反伤, 受击触发, 生存</v>
      </c>
      <c r="N8" s="4"/>
    </row>
    <row r="9">
      <c r="A9" s="6" t="str">
        <v>劳旅</v>
      </c>
      <c r="B9" s="6" t="str">
        <v>骨骼</v>
      </c>
      <c r="C9" s="6" t="str">
        <v>LB 'Spiked' Carapace</v>
      </c>
      <c r="D9" s="6" t="str">
        <v>“尖刺”甲壳</v>
      </c>
      <c r="E9" s="6">
        <f>+9</f>
      </c>
      <c r="F9" s="6">
        <f>+3</f>
      </c>
      <c r="G9" s="6">
        <f>+3</f>
      </c>
      <c r="H9" s="6" t="str">
        <v>近战攻击者命中你时，会受到一次基于力量的物理反伤。</v>
      </c>
      <c r="I9" s="6" t="str">
        <v>反伤伤害：{力量 x 120} 物理伤害</v>
      </c>
      <c r="J9" s="6" t="str">
        <v>劳旅工人用废弃的工业材料和金属尖刺拼凑的粗糙骨架。“荆棘”系列骨骼。简单有效，谁敢碰你，就得先尝尝这些尖刺的滋味。</v>
      </c>
      <c r="K9" s="6" t="str">
        <v>核心</v>
      </c>
      <c r="L9" s="6" t="str">
        <v>荆棘系列</v>
      </c>
      <c r="M9" s="6" t="str">
        <v>反伤, 近战防御, 生存</v>
      </c>
      <c r="N9" s="4"/>
    </row>
    <row r="10">
      <c r="A10" s="6" t="str">
        <v>---</v>
      </c>
      <c r="B10" s="6" t="str">
        <v>行为芯片</v>
      </c>
      <c r="C10" s="6" t="str">
        <v>---</v>
      </c>
      <c r="D10" s="6" t="str">
        <v>怒火攻心</v>
      </c>
      <c r="E10" s="9">
        <v>0</v>
      </c>
      <c r="F10" s="9">
        <v>0</v>
      </c>
      <c r="G10" s="9">
        <v>0</v>
      </c>
      <c r="H10" s="6" t="str">
        <v>你受到的伤害越高（单次伤害占生命最大值比例），短时间内你的反伤效果（来自所有来源）越强。</v>
      </c>
      <c r="I10" s="6" t="str">
        <v>单次伤害占比 (10%/20%/30%+): 反伤效果提升 {+10%/+25%/+50%}; 持续时间：{4s}</v>
      </c>
      <c r="J10" s="6" t="str">
        <v>---</v>
      </c>
      <c r="K10" s="6" t="str">
        <v>核心</v>
      </c>
      <c r="L10" s="6" t="str">
        <v>---</v>
      </c>
      <c r="M10" s="6" t="str">
        <v>反伤强化, 受击触发, 高风险</v>
      </c>
      <c r="N10" s="4"/>
    </row>
    <row r="11">
      <c r="A11" s="6" t="str">
        <v>---</v>
      </c>
      <c r="B11" s="6" t="str">
        <v>行为芯片</v>
      </c>
      <c r="C11" s="6" t="str">
        <v>---</v>
      </c>
      <c r="D11" s="6" t="str">
        <v>生命链接 (修改自株连)</v>
      </c>
      <c r="E11" s="9">
        <v>0</v>
      </c>
      <c r="F11" s="9">
        <v>0</v>
      </c>
      <c r="G11" s="9">
        <v>0</v>
      </c>
      <c r="H11" s="6" t="str">
        <v>对最近的{3}名敌人施加“生命链接”效果。生命链接：其中任意一个敌人受到你的反伤伤害时，其他被链接的敌人也受到该次反伤伤害的{25%}。</v>
      </c>
      <c r="I11" s="6" t="str">
        <v>链接数量：{3}; 传递比例：{25%}</v>
      </c>
      <c r="J11" s="6" t="str">
        <v>---</v>
      </c>
      <c r="K11" s="6" t="str">
        <v>可选</v>
      </c>
      <c r="L11" s="6" t="str">
        <v>---</v>
      </c>
      <c r="M11" s="6" t="str">
        <v>反伤, 溅射伤害, 连锁反应</v>
      </c>
      <c r="N11" s="4"/>
    </row>
    <row r="12">
      <c r="A12" s="6" t="str">
        <v>---</v>
      </c>
      <c r="B12" s="6" t="str">
        <v>行为芯片</v>
      </c>
      <c r="C12" s="6" t="str">
        <v>---</v>
      </c>
      <c r="D12" s="6" t="str">
        <v>厚积薄发</v>
      </c>
      <c r="E12" s="9">
        <v>0</v>
      </c>
      <c r="F12" s="9">
        <v>0</v>
      </c>
      <c r="G12" s="9">
        <v>0</v>
      </c>
      <c r="H12" s="6" t="str">
        <v>每累计承受一定量的伤害（计算护甲减免后），下一次普通攻击附加大量额外伤害。</v>
      </c>
      <c r="I12" s="6" t="str">
        <v>累计承受伤害阈值：{最大生命值的30%}; 下次普攻附加伤害：{力量 x 500} 物理伤害</v>
      </c>
      <c r="J12" s="6" t="str">
        <v>---</v>
      </c>
      <c r="K12" s="6" t="str">
        <v>可选</v>
      </c>
      <c r="L12" s="6" t="str">
        <v>---</v>
      </c>
      <c r="M12" s="6" t="str">
        <v>受击反馈, 普攻强化, 爆发</v>
      </c>
      <c r="N12" s="4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4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4" min="14" style="0" width="26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主手进行标记和入侵，副手强化被控单位，皮肤隐匿，骨骼提供网络抗性，腿部用于快速转移，智力属性是核心。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寰宇</v>
      </c>
      <c r="B5" s="4" t="str">
        <v>主手</v>
      </c>
      <c r="C5" s="4" t="str">
        <v>Omni 'SkeletonKey' Interface</v>
      </c>
      <c r="D5" s="4" t="str">
        <v>“万能钥”接口</v>
      </c>
      <c r="E5" s="5">
        <f>+2</f>
      </c>
      <c r="F5" s="5">
        <f>+6</f>
      </c>
      <c r="G5" s="5">
        <f>+10</f>
      </c>
      <c r="H5" s="4" t="str">
        <v>对可入侵的机械单位或终端进行普通攻击时，加快后续对其进行入侵（Hack）操作的速度。</v>
      </c>
      <c r="I5" s="4" t="str">
        <v>入侵速度加成：{+30%} (需要与核心入侵系统交互)</v>
      </c>
      <c r="J5" s="4" t="str">
        <v>寰宇的通用接口技术。“链接者”系列的核心。“万能钥”接口能快速接入几乎所有已知的数据端口，大大缩短建立后门的时间。</v>
      </c>
      <c r="K5" s="4" t="str">
        <v>核心</v>
      </c>
      <c r="L5" s="4" t="str">
        <v>链接者系列</v>
      </c>
      <c r="M5" s="4" t="str">
        <v>普攻辅助, 黑客</v>
      </c>
      <c r="N5" s="4"/>
    </row>
    <row r="6">
      <c r="A6" s="4" t="str">
        <v>洛克海德</v>
      </c>
      <c r="B6" s="4" t="str">
        <v>副手</v>
      </c>
      <c r="C6" s="4" t="str">
        <v>LH 'Overlord' Command Module</v>
      </c>
      <c r="D6" s="4" t="str">
        <v>“领主”指挥模块</v>
      </c>
      <c r="E6" s="5">
        <f>+4</f>
      </c>
      <c r="F6" s="5">
        <f>+5</f>
      </c>
      <c r="G6" s="5">
        <f>+9</f>
      </c>
      <c r="H6" s="4" t="str">
        <v>使用武器技能时，短时间内提升所有被玩家入侵控制的友方单位的攻击力。</v>
      </c>
      <c r="I6" s="4" t="str">
        <v>攻击力加成：{+25%}; 持续时间：{10s}</v>
      </c>
      <c r="J6" s="4" t="str">
        <v>洛克海德的战场指挥系统简化版。“指挥官”系列的进阶型号。“领主”指挥模块让你能更有效地遥控你的“傀儡军团”，提升它们的作战效率。</v>
      </c>
      <c r="K6" s="4" t="str">
        <v>核心</v>
      </c>
      <c r="L6" s="4" t="str">
        <v>指挥官系列</v>
      </c>
      <c r="M6" s="4" t="str">
        <v>武器技能, 召唤物强化</v>
      </c>
      <c r="N6" s="4"/>
    </row>
    <row r="7">
      <c r="A7" s="4" t="str">
        <v>寰宇</v>
      </c>
      <c r="B7" s="4" t="str">
        <v>腿部</v>
      </c>
      <c r="C7" s="4" t="str">
        <v>Omni 'DataLeap' Drive</v>
      </c>
      <c r="D7" s="4" t="str">
        <v>“数据跃迁”驱动器</v>
      </c>
      <c r="E7" s="5">
        <f>+3</f>
      </c>
      <c r="F7" s="5">
        <f>+8</f>
      </c>
      <c r="G7" s="5">
        <f>+4</f>
      </c>
      <c r="H7" s="4" t="str">
        <v>允许玩家消耗能量，在视野内选择一个已被入侵的单位或终端，快速传送到其附近。内置冷却{5s}。</v>
      </c>
      <c r="I7" s="4" t="str">
        <v>能量消耗：{30}; 传送距离：{目标旁1m}; 内置冷却：{5s}</v>
      </c>
      <c r="J7" s="4" t="str">
        <v>寰宇内部网络节点跳转技术。“跃迁”系列的腿部组件。“数据跃迁”驱动器让你能在网络的节点间自由穿梭，实现物理空间上的快速转移。</v>
      </c>
      <c r="K7" s="4" t="str">
        <v>可选</v>
      </c>
      <c r="L7" s="4" t="str">
        <v>跃迁系列</v>
      </c>
      <c r="M7" s="4" t="str">
        <v>位移, 黑客, 技能激活</v>
      </c>
      <c r="N7" s="4"/>
    </row>
    <row r="8">
      <c r="A8" s="4" t="str">
        <v>寰宇</v>
      </c>
      <c r="B8" s="4" t="str">
        <v>皮肤</v>
      </c>
      <c r="C8" s="4" t="str">
        <v>Omni 'Ghost' Signal Scrambler</v>
      </c>
      <c r="D8" s="4" t="str">
        <v>“幽灵”信号扰频器</v>
      </c>
      <c r="E8" s="5">
        <f>+4</f>
      </c>
      <c r="F8" s="5">
        <f>+6</f>
      </c>
      <c r="G8" s="5">
        <f>+8</f>
      </c>
      <c r="H8" s="4" t="str">
        <v>降低自身被敌人侦测到的基础距离。在执行入侵操作期间，该效果翻倍。</v>
      </c>
      <c r="I8" s="4" t="str">
        <v>基础侦测距离降低：{-20%}; 入侵时侦测距离降低：{-40%}</v>
      </c>
      <c r="J8" s="4" t="str">
        <v>寰宇的信号混淆技术。“幽灵协议”的皮肤组件。“幽灵”信号扰频器持续释放复杂的干扰信号，让你在敌人的电子眼皮底下如同隐形。</v>
      </c>
      <c r="K8" s="4" t="str">
        <v>可选</v>
      </c>
      <c r="L8" s="4" t="str">
        <v>幽灵协议系列</v>
      </c>
      <c r="M8" s="4" t="str">
        <v>潜行, 黑客</v>
      </c>
      <c r="N8" s="4"/>
    </row>
    <row r="9">
      <c r="A9" s="4" t="str">
        <v>寰宇</v>
      </c>
      <c r="B9" s="4" t="str">
        <v>骨骼</v>
      </c>
      <c r="C9" s="4" t="str">
        <v>Omni 'ICEBreaker' Frame</v>
      </c>
      <c r="D9" s="4" t="str">
        <v>“破冰者”骨架</v>
      </c>
      <c r="E9" s="5">
        <f>+5</f>
      </c>
      <c r="F9" s="5">
        <f>+5</f>
      </c>
      <c r="G9" s="5">
        <f>+8</f>
      </c>
      <c r="H9" s="4" t="str">
        <v>提升抵抗“系统干扰”、“视觉遮蔽”、“电击瘫痪”等电子负面效果的几率。</v>
      </c>
      <c r="I9" s="4" t="str">
        <v>负面电子效果抵抗：{+50%}</v>
      </c>
      <c r="J9" s="4" t="str">
        <v>寰宇的网络安全防护骨骼。“防火墙”系列的高级产品。“破冰者”骨架内置了强大的反入侵电子对抗（ICE）措施，保护你的神经系统免受恶意代码的侵蚀。</v>
      </c>
      <c r="K9" s="4" t="str">
        <v>核心</v>
      </c>
      <c r="L9" s="4" t="str">
        <v>防火墙系列</v>
      </c>
      <c r="M9" s="4" t="str">
        <v>生存, 黑客抵抗</v>
      </c>
      <c r="N9" s="4"/>
    </row>
    <row r="10">
      <c r="A10" s="4" t="str">
        <v>洛克海德</v>
      </c>
      <c r="B10" s="4" t="str">
        <v>行为芯片</v>
      </c>
      <c r="C10" s="4" t="str">
        <v>LH 'Subversion' Protocol Chip</v>
      </c>
      <c r="D10" s="4" t="str">
        <v>“策反协议”芯片</v>
      </c>
      <c r="E10" s="5">
        <v>0</v>
      </c>
      <c r="F10" s="5">
        <v>0</v>
      </c>
      <c r="G10" s="5">
        <v>0</v>
      </c>
      <c r="H10" s="4" t="str">
        <v>被玩家成功入侵的敌方单位，在受控期间获得额外的攻击力和护甲值。</v>
      </c>
      <c r="I10" s="4" t="str">
        <v>攻击力加成：{+20%}; 护甲加成：{+25}</v>
      </c>
      <c r="J10" s="4" t="str">
        <v>来自S.T.O.R.M.的反策反模块。“策反协议”芯片能强化被你控制的单位，让它们成为更强大的武器。</v>
      </c>
      <c r="K10" s="4" t="str">
        <v>核心</v>
      </c>
      <c r="L10" s="4" t="str">
        <v>洛克海德 (控制)</v>
      </c>
      <c r="M10" s="4" t="str">
        <v>黑客, 召唤物强化</v>
      </c>
      <c r="N10" s="4"/>
    </row>
    <row r="11">
      <c r="A11" s="4" t="str">
        <v>野望</v>
      </c>
      <c r="B11" s="4" t="str">
        <v>行为芯片</v>
      </c>
      <c r="C11" s="4" t="str">
        <v>WW 'Scorched Earth' Chip</v>
      </c>
      <c r="D11" s="4" t="str">
        <v>“焦土”芯片</v>
      </c>
      <c r="E11" s="5">
        <v>0</v>
      </c>
      <c r="F11" s="5">
        <v>0</v>
      </c>
      <c r="G11" s="5">
        <v>0</v>
      </c>
      <c r="H11" s="4" t="str">
        <v>被玩家入侵控制的单位在控制时间结束或被摧毁时，会发生爆炸，对周围造成基于智力的物理伤害。</v>
      </c>
      <c r="I11" s="4" t="str">
        <v>爆炸范围：{2.5m}; 爆炸伤害：{智力 x 200} 物理伤害</v>
      </c>
      <c r="J11" s="4" t="str">
        <v>野望的破坏性代码。用完就扔，还要确保它炸得够响亮。“焦土”芯片是被控制单位的最终归宿。</v>
      </c>
      <c r="K11" s="4" t="str">
        <v>可选</v>
      </c>
      <c r="L11" s="4" t="str">
        <v>野望 (破坏)</v>
      </c>
      <c r="M11" s="4" t="str">
        <v>黑客, 爆炸, 召唤物效果</v>
      </c>
      <c r="N11" s="4"/>
    </row>
    <row r="12">
      <c r="A12" s="4" t="str">
        <v>寰宇</v>
      </c>
      <c r="B12" s="4" t="str">
        <v>行为芯片</v>
      </c>
      <c r="C12" s="4" t="str">
        <v>Omni 'FastHack' Routine</v>
      </c>
      <c r="D12" s="4" t="str">
        <v>“快速破解”程序</v>
      </c>
      <c r="E12" s="5">
        <v>0</v>
      </c>
      <c r="F12" s="5">
        <v>0</v>
      </c>
      <c r="G12" s="5">
        <v>0</v>
      </c>
      <c r="H12" s="4" t="str">
        <v>提升对高安全等级目标的入侵速度。</v>
      </c>
      <c r="I12" s="4" t="str">
        <v>高安全目标入侵速度加成：{+25%}</v>
      </c>
      <c r="J12" s="4" t="str">
        <v>寰宇内部使用的网络渗透工具。“快速破解”程序优化了入侵算法，让你能更快地突破严密的防火墙。</v>
      </c>
      <c r="K12" s="4" t="str">
        <v>可选</v>
      </c>
      <c r="L12" s="4" t="str">
        <v>寰宇 (网络工具)</v>
      </c>
      <c r="M12" s="4" t="str">
        <v>黑客</v>
      </c>
      <c r="N12" s="4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围绕皮肤和骨骼的受击/濒死爆炸效果，主手副手强化近距离伤害，腿部提供突进，力量和智力（爆炸伤害）是核心。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劳旅</v>
      </c>
      <c r="B5" s="4" t="str">
        <v>主手</v>
      </c>
      <c r="C5" s="4" t="str">
        <v>LB 'Imploder' Knuckles</v>
      </c>
      <c r="D5" s="4" t="str">
        <v>“内爆”指虎</v>
      </c>
      <c r="E5" s="5">
        <f>+8</f>
      </c>
      <c r="F5" s="5">
        <f>+4</f>
      </c>
      <c r="G5" s="5">
        <f>+3</f>
      </c>
      <c r="H5" s="4" t="str">
        <v>近战普通攻击命中时，有{10%}几率触发一次小型爆炸，对小范围造成基于力量的物理伤害，并将自身向后轻微推开。</v>
      </c>
      <c r="I5" s="4" t="str">
        <v>爆炸范围：{1.2m}; 爆炸伤害：{力量 x 150} 物理伤害; 自我击退距离：{0.5m}</v>
      </c>
      <c r="J5" s="4" t="str">
        <v>劳旅工人将工业钻头改装融入义手。"怒火"系列的代表作。“内爆”指虎能在击中瞬间引发目标内部的结构性破坏，但反作用力同样不小。</v>
      </c>
      <c r="K5" s="4" t="str">
        <v>核心</v>
      </c>
      <c r="L5" s="4" t="str">
        <v>怒火系列</v>
      </c>
      <c r="M5" s="4" t="str">
        <v>普攻强化, 范围伤害, 爆炸</v>
      </c>
      <c r="N5" s="4"/>
    </row>
    <row r="6">
      <c r="A6" s="4" t="str">
        <v>劳旅</v>
      </c>
      <c r="B6" s="4" t="str">
        <v>副手</v>
      </c>
      <c r="C6" s="4" t="str">
        <v>LB 'Blood Fuel' Injector</v>
      </c>
      <c r="D6" s="4" t="str">
        <v>“燃血”注射器</v>
      </c>
      <c r="E6" s="5">
        <f>+7</f>
      </c>
      <c r="F6" s="5">
        <f>+3</f>
      </c>
      <c r="G6" s="5">
        <f>+5</f>
      </c>
      <c r="H6" s="4" t="str">
        <v>使用武器技能时，消耗当前生命值的{5%}，提升该次武器技能{+30%}的伤害。如果该技能造成范围伤害，则范围也提升{+20%}。</v>
      </c>
      <c r="I6" s="4" t="str">
        <v>生命消耗：{当前生命值的5%}; 技能伤害加成：{+30%}; 技能范围加成：{+20%}（若适用）</v>
      </c>
      <c r="J6" s="4" t="str">
        <v>源自矿场爆破技术。“怒火”系列的增幅器。“燃血”注射器将你的生命力转化为纯粹的破坏能量，每一次技能释放都伴随着生命的燃烧和敌人的毁灭。</v>
      </c>
      <c r="K6" s="4" t="str">
        <v>可选</v>
      </c>
      <c r="L6" s="4" t="str">
        <v>怒火系列</v>
      </c>
      <c r="M6" s="4" t="str">
        <v>武器技能, 高风险, 增伤</v>
      </c>
      <c r="N6" s="4"/>
    </row>
    <row r="7">
      <c r="A7" s="4" t="str">
        <v>东海工业</v>
      </c>
      <c r="B7" s="4" t="str">
        <v>腿部</v>
      </c>
      <c r="C7" s="4" t="str">
        <v>DH 'Juggernaut' Legs</v>
      </c>
      <c r="D7" s="4" t="str">
        <v>“主宰”冲撞腿</v>
      </c>
      <c r="E7" s="5">
        <f>+9</f>
      </c>
      <c r="F7" s="5">
        <f>+2</f>
      </c>
      <c r="G7" s="5">
        <f>+4</f>
      </c>
      <c r="H7" s="4" t="str">
        <v>冲刺时获得霸体效果，可以撞开小型敌人。冲刺结束时，对落点小范围敌人造成一次冲击伤害（基于力量）并击退。</v>
      </c>
      <c r="I7" s="4" t="str">
        <v>冲刺霸体：{开启}; 冲击伤害：{力量 x 200} 物理伤害; 冲击范围：{2m}; 击退距离：{2.5m}</v>
      </c>
      <c r="J7" s="4" t="str">
        <v>东海工业的重型工程载具技术应用。“公羊”系列的高级型号。“主宰”冲撞腿让你如同一辆失控的卡车横冲直撞，碾碎一切阻碍。</v>
      </c>
      <c r="K7" s="4" t="str">
        <v>可选</v>
      </c>
      <c r="L7" s="4" t="str">
        <v>公羊系列</v>
      </c>
      <c r="M7" s="4" t="str">
        <v>位移, 范围伤害, 控制, 霸体</v>
      </c>
      <c r="N7" s="4"/>
    </row>
    <row r="8">
      <c r="A8" s="4" t="str">
        <v>洛克海德</v>
      </c>
      <c r="B8" s="4" t="str">
        <v>皮肤</v>
      </c>
      <c r="C8" s="4" t="str">
        <v>LH 'Ablative' Armor Plating</v>
      </c>
      <c r="D8" s="4" t="str">
        <v>“烧蚀”反应装甲</v>
      </c>
      <c r="E8" s="5">
        <f>+8</f>
      </c>
      <c r="F8" s="5">
        <f>+5</f>
      </c>
      <c r="G8" s="5">
        <f>+5</f>
      </c>
      <c r="H8" s="4" t="str">
        <v>受到单次超过最大生命值{15%}的伤害时，触发一次反应爆炸，对周围敌人造成基于智力的火焰伤害，并短时提升移速。内置冷却{5s}。</v>
      </c>
      <c r="I8" s="4" t="str">
        <v>爆炸范围：{3m}; 爆炸伤害：{智力 x 250} 火焰伤害; 移动速度加成：{+35%}; 持续时间：{3s}; 内置冷却时间：{5s}</v>
      </c>
      <c r="J8" s="4" t="str">
        <v>洛克海德的坦克反应装甲技术。“烧蚀”装甲能在受到重创时牺牲表层，引发爆炸反击敌人，并利用爆炸能量提供短暂的机动性，是为绝境设计的生存手段。</v>
      </c>
      <c r="K8" s="4" t="str">
        <v>核心</v>
      </c>
      <c r="L8" s="4" t="str">
        <v>反应装甲系列</v>
      </c>
      <c r="M8" s="4" t="str">
        <v>生存, 范围伤害, 爆炸, 受击触发</v>
      </c>
      <c r="N8" s="4"/>
    </row>
    <row r="9">
      <c r="A9" s="4" t="str">
        <v>新浦会</v>
      </c>
      <c r="B9" s="4" t="str">
        <v>骨骼</v>
      </c>
      <c r="C9" s="4" t="str">
        <v>SP 'Final Reckoning' Implant</v>
      </c>
      <c r="D9" s="4" t="str">
        <v>“最终清算”植入物</v>
      </c>
      <c r="E9" s="5">
        <f>+7</f>
      </c>
      <c r="F9" s="5">
        <f>+4</f>
      </c>
      <c r="G9" s="5">
        <f>+7</f>
      </c>
      <c r="H9" s="4" t="str">
        <v>当生命值首次降至0时，不会立刻死亡，而是触发一次大范围强力爆炸（基于智力），然后才进入濒死状态。</v>
      </c>
      <c r="I9" s="4" t="str">
        <v>爆炸范围：{4.5m}; 爆炸伤害：{智力 x 400} 物理伤害</v>
      </c>
      <c r="J9" s="4" t="str">
        <v>新浦会用于"处理"叛徒的最终手段，现在流入了黑市。“最终清算”植入物保证了即使你倒下，也能拖着敌人一起下地狱。</v>
      </c>
      <c r="K9" s="4" t="str">
        <v>核心</v>
      </c>
      <c r="L9" s="4" t="str">
        <v>清算系列</v>
      </c>
      <c r="M9" s="4" t="str">
        <v>生存, 范围伤害, 爆炸, 濒死</v>
      </c>
      <c r="N9" s="4"/>
    </row>
    <row r="10">
      <c r="A10" s="4" t="str">
        <v>野望</v>
      </c>
      <c r="B10" s="4" t="str">
        <v>行为芯片</v>
      </c>
      <c r="C10" s="4" t="str">
        <v>Parting Gift' Explosive</v>
      </c>
      <c r="D10" s="4" t="str">
        <v>“临别赠品”炸弹</v>
      </c>
      <c r="E10" s="5">
        <v>0</v>
      </c>
      <c r="F10" s="5">
        <v>0</v>
      </c>
      <c r="G10" s="5">
        <v>0</v>
      </c>
      <c r="H10" s="4" t="str">
        <v>玩家彻底死亡时（非濒死），在原地留下一个延时炸弹。</v>
      </c>
      <c r="I10" s="4" t="str">
        <v>炸弹延迟：{3s}; 爆炸范围：{3.5m}; 爆炸伤害：{250}物理伤害</v>
      </c>
      <c r="J10" s="4" t="str">
        <v>野望的恶趣味产品。即使是死亡，也要给这个世界留下一点“惊喜”。</v>
      </c>
      <c r="K10" s="4" t="str">
        <v>可选</v>
      </c>
      <c r="L10" s="4" t="str">
        <v>野望 (自毁)</v>
      </c>
      <c r="M10" s="4" t="str">
        <v>爆炸, 死亡效果</v>
      </c>
      <c r="N10" s="4"/>
    </row>
    <row r="11">
      <c r="A11" s="4" t="str">
        <v>劳旅</v>
      </c>
      <c r="B11" s="4" t="str">
        <v>行为芯片</v>
      </c>
      <c r="C11" s="4" t="str">
        <v>LB 'Chain Reaction' Mod</v>
      </c>
      <c r="D11" s="4" t="str">
        <v>“连锁反应”模块</v>
      </c>
      <c r="E11" s="5">
        <v>0</v>
      </c>
      <c r="F11" s="5">
        <v>0</v>
      </c>
      <c r="G11" s="5">
        <v>0</v>
      </c>
      <c r="H11" s="4" t="str">
        <v>自身义体（皮肤、骨骼）触发的爆炸，有{25%}几率引爆{3m}范围内的其他爆炸物（如爆炸桶）。</v>
      </c>
      <c r="I11" s="4" t="str">
        <v>触发几率：{25%}; 触发范围：{3m}</v>
      </c>
      <c r="J11" s="4" t="str">
        <v>工地事故的经验教训？"连锁反应"模块让你成为移动的爆破点，小心别把自己也卷进去。</v>
      </c>
      <c r="K11" s="4" t="str">
        <v>可选</v>
      </c>
      <c r="L11" s="4" t="str">
        <v>劳旅 (爆破)</v>
      </c>
      <c r="M11" s="4" t="str">
        <v>爆炸, 连锁反应</v>
      </c>
      <c r="N11" s="4"/>
    </row>
    <row r="12">
      <c r="A12" s="4" t="str">
        <v>耶利哥</v>
      </c>
      <c r="B12" s="4" t="str">
        <v>行为芯片</v>
      </c>
      <c r="C12" s="4" t="str">
        <v>JC 'Phoenix Down' Chip</v>
      </c>
      <c r="D12" s="4" t="str">
        <v>“不死鸟之羽”芯片</v>
      </c>
      <c r="E12" s="5">
        <v>0</v>
      </c>
      <c r="F12" s="5">
        <v>0</v>
      </c>
      <c r="G12" s="5">
        <v>0</v>
      </c>
      <c r="H12" s="4" t="str">
        <v>在濒死状态下，通过自身义体（皮肤、骨骼）的爆炸效果击杀敌人时，回复少量生命值。</v>
      </c>
      <c r="I12" s="4" t="str">
        <v>生命恢复：{最大生命值的5%}</v>
      </c>
      <c r="J12" s="4" t="str">
        <v>耶利哥的生命维持研究。“不死鸟之羽”芯片让你有机会在毁灭的边缘，通过敌人的死亡换取一次重生的机会。</v>
      </c>
      <c r="K12" s="4" t="str">
        <v>可选</v>
      </c>
      <c r="L12" s="4" t="str">
        <v>耶利哥 (重生)</v>
      </c>
      <c r="M12" s="4" t="str">
        <v>生存, 濒死, 爆炸</v>
      </c>
      <c r="N12" s="4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围绕皮肤和骨骼的低血量增益，主手副手在低血量时威力大增，腿部提供追击能力，力量和反应属性是核心。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劳旅</v>
      </c>
      <c r="B5" s="4" t="str">
        <v>主手</v>
      </c>
      <c r="C5" s="4" t="str">
        <v>LB 'Berserker' Power Arm</v>
      </c>
      <c r="D5" s="4" t="str">
        <v>“狂战士”动力臂</v>
      </c>
      <c r="E5" s="5">
        <f>+10</f>
      </c>
      <c r="F5" s="5">
        <f>+5</f>
      </c>
      <c r="G5" s="5">
        <f>+0</f>
      </c>
      <c r="H5" s="4" t="str">
        <v>生命值越低，普通攻击造成的伤害越高。该效果在生命值低于{50%}时开始生效，并在生命值最低时达到最大效果。</v>
      </c>
      <c r="I5" s="4" t="str">
        <v>最大伤害加成（1%生命值时）：{+50%} (线性增长)</v>
      </c>
      <c r="J5" s="4" t="str">
        <v>劳旅将工业机械臂的动力单元整合进义肢。“狂战士”系列的核心。它能将你的痛苦和愤怒直接转化为毁灭性的物理力量，生命越是垂危，力量越是狂暴。</v>
      </c>
      <c r="K5" s="4" t="str">
        <v>核心</v>
      </c>
      <c r="L5" s="4" t="str">
        <v>狂战士系列</v>
      </c>
      <c r="M5" s="4" t="str">
        <v>普攻强化, 低血量增益, 直伤</v>
      </c>
      <c r="N5" s="4"/>
    </row>
    <row r="6">
      <c r="A6" s="4" t="str">
        <v>劳旅</v>
      </c>
      <c r="B6" s="4" t="str">
        <v>副手</v>
      </c>
      <c r="C6" s="4" t="str">
        <v>LB 'Pain Fuel' Conduit</v>
      </c>
      <c r="D6" s="4" t="str">
        <v>“痛楚导管”</v>
      </c>
      <c r="E6" s="5">
        <f>+8</f>
      </c>
      <c r="F6" s="5">
        <f>+4</f>
      </c>
      <c r="G6" s="5">
        <f>+3</f>
      </c>
      <c r="H6" s="4" t="str">
        <v>当生命值低于{30%}时，使用武器技能不再消耗能量，而是消耗生命值，并且该次武器技能伤害提升。</v>
      </c>
      <c r="I6" s="4" t="str">
        <v>技能生命消耗：{最大生命值的5%}; 技能伤害加成：{+35%}</v>
      </c>
      <c r="J6" s="4" t="str">
        <v>劳旅工人长期暴露在危险环境下的应激反应改造。“狂战士”系列的组件。“痛楚导管”直接将神经的痛苦信号转化为驱动武器技能的能量，越是受伤，技能越是致命。</v>
      </c>
      <c r="K6" s="4" t="str">
        <v>核心</v>
      </c>
      <c r="L6" s="4" t="str">
        <v>狂战士系列</v>
      </c>
      <c r="M6" s="4" t="str">
        <v>武器技能, 低血量增益, 高风险</v>
      </c>
      <c r="N6" s="4"/>
    </row>
    <row r="7">
      <c r="A7" s="4" t="str">
        <v>劳旅</v>
      </c>
      <c r="B7" s="4" t="str">
        <v>腿部</v>
      </c>
      <c r="C7" s="4" t="str">
        <v>LB 'Unstoppable' Charge Legs</v>
      </c>
      <c r="D7" s="4" t="str">
        <v>“不阻冲锋”腿</v>
      </c>
      <c r="E7" s="5">
        <f>+7</f>
      </c>
      <c r="F7" s="5">
        <f>+8</f>
      </c>
      <c r="G7" s="5">
        <f>+0</f>
      </c>
      <c r="H7" s="4" t="str">
        <v>生命值越低，冲刺速度越快，冲刺消耗的耐力越少。该效果在生命值低于{50%}时开始生效，并在生命值最低时达到最大效果。</v>
      </c>
      <c r="I7" s="4" t="str">
        <v>最大冲刺速度加成（1%生命值时）：{+40%}; 最大耐力消耗减少（1%生命值时）：{-60%} (线性增长)</v>
      </c>
      <c r="J7" s="4" t="str">
        <v>在危险的工地奔跑是家常便饭。“狂战士”系列的腿部组件。“不阻冲锋”腿让你在绝境中爆发出惊人的速度，无论是追杀还是逃离，都无人能挡。</v>
      </c>
      <c r="K7" s="4" t="str">
        <v>可选</v>
      </c>
      <c r="L7" s="4" t="str">
        <v>狂战士系列</v>
      </c>
      <c r="M7" s="4" t="str">
        <v>位移, 低血量增益, 速度</v>
      </c>
      <c r="N7" s="4"/>
    </row>
    <row r="8">
      <c r="A8" s="4" t="str">
        <v>耶利哥</v>
      </c>
      <c r="B8" s="4" t="str">
        <v>皮肤</v>
      </c>
      <c r="C8" s="4" t="str">
        <v>JC 'Survival Instinct' Weave</v>
      </c>
      <c r="D8" s="4" t="str">
        <v>“求生本能”编织</v>
      </c>
      <c r="E8" s="5">
        <f>+4</f>
      </c>
      <c r="F8" s="5">
        <f>+6</f>
      </c>
      <c r="G8" s="5">
        <f>+5</f>
      </c>
      <c r="H8" s="4" t="str">
        <v>当生命值低于{20%}时，获得“求生本能”效果。求生本能：提升攻击速度和移动速度，受到致命伤害时有{10%}几率保留1点生命值。</v>
      </c>
      <c r="I8" s="4" t="str">
        <v>求生本能：攻击速度加成：{+15%}; 移动速度加成：{+15%}; 保留生命几率：{10%}</v>
      </c>
      <c r="J8" s="4" t="str">
        <v>耶利哥对生命极限的探索。“苦修士”系列的高级皮肤。“求生本能”编织能在你濒临死亡时，强行激发身体潜能，提供一线生机。</v>
      </c>
      <c r="K8" s="4" t="str">
        <v>核心</v>
      </c>
      <c r="L8" s="4" t="str">
        <v>苦修士系列</v>
      </c>
      <c r="M8" s="4" t="str">
        <v>生存, 低血量增益, 濒死</v>
      </c>
      <c r="N8" s="4"/>
    </row>
    <row r="9">
      <c r="A9" s="4" t="str">
        <v>洛克海德</v>
      </c>
      <c r="B9" s="4" t="str">
        <v>骨骼</v>
      </c>
      <c r="C9" s="4" t="str">
        <v>LH 'Last Stand' Plating</v>
      </c>
      <c r="D9" s="4" t="str">
        <v>“背水一战”骨甲</v>
      </c>
      <c r="E9" s="5">
        <f>+9</f>
      </c>
      <c r="F9" s="5">
        <f>+3</f>
      </c>
      <c r="G9" s="5">
        <f>+3</f>
      </c>
      <c r="H9" s="4" t="str">
        <v>当生命值首次低于{25%}时，自动生成一个一次性的“应急护盾”，可以吸收一定量的伤害。护盾持续{5s}或被打破后消失。</v>
      </c>
      <c r="I9" s="4" t="str">
        <v>应急护盾吸收量：{最大生命值的40%}; 持续时间：{5s}</v>
      </c>
      <c r="J9" s="4" t="str">
        <v>洛克海德为精英士兵设计的最后防线。“守护者”系列骨骼。“背水一战”骨甲能在最危险的时刻提供一次宝贵的缓冲机会，让你有机会扭转战局。</v>
      </c>
      <c r="K9" s="4" t="str">
        <v>可选</v>
      </c>
      <c r="L9" s="4" t="str">
        <v>守护者系列</v>
      </c>
      <c r="M9" s="4" t="str">
        <v>生存, 护盾, 低血量触发</v>
      </c>
      <c r="N9" s="4"/>
    </row>
    <row r="10">
      <c r="A10" s="4" t="str">
        <v>劳旅</v>
      </c>
      <c r="B10" s="4" t="str">
        <v>行为芯片</v>
      </c>
      <c r="C10" s="4" t="str">
        <v>Limit Break' Chip</v>
      </c>
      <c r="D10" s="4" t="str">
        <v>“极限突破”芯片</v>
      </c>
      <c r="E10" s="5">
        <v>0</v>
      </c>
      <c r="F10" s="5">
        <v>0</v>
      </c>
      <c r="G10" s="5">
        <v>0</v>
      </c>
      <c r="H10" s="4" t="str">
        <v>当生命值低于{20%}时，所有造成的伤害提升。</v>
      </c>
      <c r="I10" s="4" t="str">
        <v>伤害加成：{+20%}</v>
      </c>
      <c r="J10" s="4" t="str">
        <v>工伤事故后的潜力激发？"极限突破"芯片解除了身体的安全限制，让你在濒死状态爆发出更强的力量。</v>
      </c>
      <c r="K10" s="4" t="str">
        <v>核心</v>
      </c>
      <c r="L10" s="4" t="str">
        <v>劳旅 (突破)</v>
      </c>
      <c r="M10" s="4" t="str">
        <v>低血量增益, 增伤</v>
      </c>
      <c r="N10" s="4"/>
    </row>
    <row r="11">
      <c r="A11" s="4" t="str">
        <v>致远生物</v>
      </c>
      <c r="B11" s="4" t="str">
        <v>行为芯片</v>
      </c>
      <c r="C11" s="4" t="str">
        <v>BN 'Vampiric' Nanites</v>
      </c>
      <c r="D11" s="4" t="str">
        <v>“汲血”纳米机器人</v>
      </c>
      <c r="E11" s="5">
        <v>0</v>
      </c>
      <c r="F11" s="5">
        <v>0</v>
      </c>
      <c r="G11" s="5">
        <v>0</v>
      </c>
      <c r="H11" s="4" t="str">
        <v>当生命值低于{30%}时，通过普通攻击或武器技能击杀敌人，回复少量生命值。</v>
      </c>
      <c r="I11" s="4" t="str">
        <v>生命恢复：{最大生命值的5%}</v>
      </c>
      <c r="J11" s="4" t="str">
        <v>致远生物研究的吸血生物基因片段。“汲血”纳米机器人能在你受伤时，通过吸收敌人的生物能量来修补你的身体。</v>
      </c>
      <c r="K11" s="4" t="str">
        <v>可选</v>
      </c>
      <c r="L11" s="4" t="str">
        <v>致远生物 (寄生)</v>
      </c>
      <c r="M11" s="4" t="str">
        <v>低血量触发, 生存, 击杀回血</v>
      </c>
      <c r="N11" s="4"/>
    </row>
    <row r="12">
      <c r="A12" s="4" t="str">
        <v>耶利哥</v>
      </c>
      <c r="B12" s="4" t="str">
        <v>行为芯片</v>
      </c>
      <c r="C12" s="4" t="str">
        <v>JC 'Pain Converter' Chip</v>
      </c>
      <c r="D12" s="4" t="str">
        <v>“痛苦转换器”芯片</v>
      </c>
      <c r="E12" s="5">
        <v>0</v>
      </c>
      <c r="F12" s="5">
        <v>0</v>
      </c>
      <c r="G12" s="5">
        <v>0</v>
      </c>
      <c r="H12" s="4" t="str">
        <v>每次受到伤害时，回复少量武器能量。</v>
      </c>
      <c r="I12" s="4" t="str">
        <v>能量恢复：{8}</v>
      </c>
      <c r="J12" s="4" t="str">
        <v>神经信号的强制转换。“痛苦转换器”将你受到的伤害信号转化为驱动武器的能量，越是受伤，反击越是猛烈。</v>
      </c>
      <c r="K12" s="4" t="str">
        <v>可选</v>
      </c>
      <c r="L12" s="4" t="str">
        <v>耶利哥 (转换)</v>
      </c>
      <c r="M12" s="4" t="str">
        <v>受击触发, 能量回复</v>
      </c>
      <c r="N12" s="4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保持距离，利用主手强化蓄力射击，副手提供弱点标记，骨骼稳定瞄准，皮肤和腿部用于隐蔽和位移，反应和智力属性是核心。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洛克海德</v>
      </c>
      <c r="B5" s="4" t="str">
        <v>主手</v>
      </c>
      <c r="C5" s="4" t="str">
        <v>LH 'Zenith' Precision Grip</v>
      </c>
      <c r="D5" s="4" t="str">
        <v>“天顶”精密握把</v>
      </c>
      <c r="E5" s="5">
        <f>+3</f>
      </c>
      <c r="F5" s="5">
        <f>+9</f>
      </c>
      <c r="G5" s="5">
        <f>+6</f>
      </c>
      <c r="H5" s="4" t="str">
        <v>进行需要蓄力的远程普通攻击时，蓄力时间越长，该次攻击造成的伤害越高，最多蓄力{2s}。</v>
      </c>
      <c r="I5" s="4" t="str">
        <v>最大伤害加成（蓄力2s）：{+60%} (蓄力时间与伤害加成线性相关)</v>
      </c>
      <c r="J5" s="4" t="str">
        <v>洛克海德狙击手训练系统。“鹰眼”系列的组件。“天顶”精密握把内置了微调马达和神经反馈系统，让你在长时间蓄力时保持绝对稳定，将每一分能量都注入致命的弹丸。</v>
      </c>
      <c r="K5" s="4" t="str">
        <v>核心</v>
      </c>
      <c r="L5" s="4" t="str">
        <v>鹰眼系列</v>
      </c>
      <c r="M5" s="4" t="str">
        <v>普攻强化, 蓄力攻击, 增伤</v>
      </c>
      <c r="N5" s="4"/>
    </row>
    <row r="6">
      <c r="A6" s="4" t="str">
        <v>洛克海德</v>
      </c>
      <c r="B6" s="4" t="str">
        <v>副手</v>
      </c>
      <c r="C6" s="4" t="str">
        <v>LH 'Deadeye' Targeting System</v>
      </c>
      <c r="D6" s="4" t="str">
        <v>“死眼”标记系统</v>
      </c>
      <c r="E6" s="5">
        <f>+4</f>
      </c>
      <c r="F6" s="5">
        <f>+7</f>
      </c>
      <c r="G6" s="5">
        <f>+7</f>
      </c>
      <c r="H6" s="4" t="str">
        <v>使用武器技能命中敌人时，对其施加“死点标记”效果。死点标记：后续普通攻击命中该敌人时，暴击伤害大幅提升。</v>
      </c>
      <c r="I6" s="4" t="str">
        <v>死点标记：普通攻击暴击伤害加成：{+120%}; 持续时间：{7s}</v>
      </c>
      <c r="J6" s="4" t="str">
        <v>“鹰眼”系列的核心。副手联动视觉系统，持续扫描目标。“死眼”标记系统能瞬间计算出目标的致命弱点，一旦标记，你的下一次普通攻击将是处决宣告。</v>
      </c>
      <c r="K6" s="4" t="str">
        <v>核心</v>
      </c>
      <c r="L6" s="4" t="str">
        <v>鹰眼系列</v>
      </c>
      <c r="M6" s="4" t="str">
        <v>武器技能, 标记, 暴击增伤</v>
      </c>
      <c r="N6" s="4"/>
    </row>
    <row r="7">
      <c r="A7" s="4" t="str">
        <v>野望</v>
      </c>
      <c r="B7" s="4" t="str">
        <v>腿部</v>
      </c>
      <c r="C7" s="4" t="str">
        <v>WW 'Arachnid' Anchor Legs</v>
      </c>
      <c r="D7" s="4" t="str">
        <v>“蛛网”锚定腿</v>
      </c>
      <c r="E7" s="5">
        <f>+4</f>
      </c>
      <c r="F7" s="5">
        <f>+9</f>
      </c>
      <c r="G7" s="5">
        <f>+2</f>
      </c>
      <c r="H7" s="4" t="str">
        <v>允许玩家在墙壁或特定表面进行短暂吸附（替代站立），吸附期间进行远程普通攻击时，暴击率提升。移动或受击会解除吸附状态。</v>
      </c>
      <c r="I7" s="4" t="str">
        <v>吸附状态最长持续：{6s}; 吸附时普通攻击暴击率加成：{+30%}</v>
      </c>
      <c r="J7" s="4" t="str">
        <v>野望改造的特种作战装备。“游猎”系列的腿部组件。“蛛网”锚定腿让你像蜘蛛一样占据有利地形，从意想不到的角度发动致命狙击。</v>
      </c>
      <c r="K7" s="4" t="str">
        <v>可选</v>
      </c>
      <c r="L7" s="4" t="str">
        <v>游猎系列</v>
      </c>
      <c r="M7" s="4" t="str">
        <v>位移, 特殊移动, 暴击率</v>
      </c>
      <c r="N7" s="4"/>
    </row>
    <row r="8">
      <c r="A8" s="4" t="str">
        <v>致远生物</v>
      </c>
      <c r="B8" s="4" t="str">
        <v>皮肤</v>
      </c>
      <c r="C8" s="4" t="str">
        <v>BN 'Chameleon' Adaptive Skin</v>
      </c>
      <c r="D8" s="4" t="str">
        <v>“变色龙”自适应皮肤</v>
      </c>
      <c r="E8" s="5">
        <f>+5</f>
      </c>
      <c r="F8" s="5">
        <f>+5</f>
      </c>
      <c r="G8" s="5">
        <f>+8</f>
      </c>
      <c r="H8" s="4" t="str">
        <v>静止不动{2}秒后进入“环境伪装”状态。环境伪装：大幅降低被敌人侦测到的距离。移动或进行攻击会解除状态。</v>
      </c>
      <c r="I8" s="4" t="str">
        <v>环境伪装：侦测距离降低：{-60%}</v>
      </c>
      <c r="J8" s="4" t="str">
        <v>致远生物的生物拟态研究成果。“变色龙”自适应皮肤能完美融入环境，让优秀的狙击手真正消失在背景中。</v>
      </c>
      <c r="K8" s="4" t="str">
        <v>可选</v>
      </c>
      <c r="L8" s="4" t="str">
        <v>变色龙系列</v>
      </c>
      <c r="M8" s="4" t="str">
        <v>潜行, 隐蔽</v>
      </c>
      <c r="N8" s="4"/>
    </row>
    <row r="9">
      <c r="A9" s="4" t="str">
        <v>洛克海德</v>
      </c>
      <c r="B9" s="4" t="str">
        <v>骨骼</v>
      </c>
      <c r="C9" s="4" t="str">
        <v>LH 'Zero-G' Stabilization Frame</v>
      </c>
      <c r="D9" s="4" t="str">
        <v>“零重”稳定骨架</v>
      </c>
      <c r="E9" s="5">
        <f>+6</f>
      </c>
      <c r="F9" s="5">
        <f>+8</f>
      </c>
      <c r="G9" s="5">
        <f>+4</f>
      </c>
      <c r="H9" s="4" t="str">
        <v>降低远程武器普通攻击的基础散射范围。静止不动时，该效果会逐渐增强，最多{3}秒达到最大效果。移动后重置。</v>
      </c>
      <c r="I9" s="4" t="str">
        <v>基础散射范围降低：{-20%}; 最大额外散射范围降低（静止3s时）：{-30%} (效果随静止时间线性增强)</v>
      </c>
      <c r="J9" s="4" t="str">
        <v>军用狙击平台技术微缩化。“稳定平台”系列的高级骨架。“零重”稳定骨架通过复杂的惯性补偿系统，几乎完全抵消了身体的微小晃动，让你的每一次射击都如同在无重力环境下般精准。</v>
      </c>
      <c r="K9" s="4" t="str">
        <v>核心</v>
      </c>
      <c r="L9" s="4" t="str">
        <v>稳定平台系列</v>
      </c>
      <c r="M9" s="4" t="str">
        <v>普攻强化, 稳定性, 精准</v>
      </c>
      <c r="N9" s="4"/>
    </row>
    <row r="10">
      <c r="A10" s="4" t="str">
        <v>洛克海德</v>
      </c>
      <c r="B10" s="4" t="str">
        <v>行为芯片</v>
      </c>
      <c r="C10" s="4" t="str">
        <v>LH 'Piercing Shot' Mod</v>
      </c>
      <c r="D10" s="4" t="str">
        <v>“穿透射击”模块</v>
      </c>
      <c r="E10" s="5">
        <v>0</v>
      </c>
      <c r="F10" s="5">
        <v>0</v>
      </c>
      <c r="G10" s="5">
        <v>0</v>
      </c>
      <c r="H10" s="4" t="str">
        <v>远程武器普通攻击的子弹可以穿透{1}名额外的敌人或轻型掩体。</v>
      </c>
      <c r="I10" s="4" t="str">
        <v>穿透数量：{+1}</v>
      </c>
      <c r="J10" s="4" t="str">
        <v>标准军用弹药升级模块。“穿透射击”模块让你的子弹无视脆弱的阻碍，直达目标。</v>
      </c>
      <c r="K10" s="4" t="str">
        <v>可选</v>
      </c>
      <c r="L10" s="4" t="str">
        <v>洛克海德 (弹药)</v>
      </c>
      <c r="M10" s="4" t="str">
        <v>普攻强化, 穿透</v>
      </c>
      <c r="N10" s="4"/>
    </row>
    <row r="11">
      <c r="A11" s="4" t="str">
        <v>洛克海德</v>
      </c>
      <c r="B11" s="4" t="str">
        <v>行为芯片</v>
      </c>
      <c r="C11" s="4" t="str">
        <v>LH 'LongShot' Calibration Chip</v>
      </c>
      <c r="D11" s="4" t="str">
        <v>“远程校准”芯片</v>
      </c>
      <c r="E11" s="5">
        <v>0</v>
      </c>
      <c r="F11" s="5">
        <v>0</v>
      </c>
      <c r="G11" s="5">
        <v>0</v>
      </c>
      <c r="H11" s="4" t="str">
        <v>远程武器普通攻击的伤害随命中距离增加而提升，距离超过{10m}时开始生效，在最大射程处达到最大效果。</v>
      </c>
      <c r="I11" s="4" t="str">
        <v>最大伤害加成（最大射程时）：{+30%} (伤害加成随距离线性增加)</v>
      </c>
      <c r="J11" s="4" t="str">
        <v>狙击手信条芯片化。“远程校准”芯片确保你的子弹在长距离飞行后依然保持最大杀伤力。</v>
      </c>
      <c r="K11" s="4" t="str">
        <v>可选</v>
      </c>
      <c r="L11" s="4" t="str">
        <v>洛克海德 (校准)</v>
      </c>
      <c r="M11" s="4" t="str">
        <v>普攻强化, 增伤, 远程</v>
      </c>
      <c r="N11" s="4"/>
    </row>
    <row r="12">
      <c r="A12" s="4" t="str">
        <v>洛克海德</v>
      </c>
      <c r="B12" s="4" t="str">
        <v>行为芯片</v>
      </c>
      <c r="C12" s="4" t="str">
        <v>LH 'Marked for Death' Chip</v>
      </c>
      <c r="D12" s="4" t="str">
        <v>“死亡标记”芯片</v>
      </c>
      <c r="E12" s="5">
        <v>0</v>
      </c>
      <c r="F12" s="5">
        <v>0</v>
      </c>
      <c r="G12" s="5">
        <v>0</v>
      </c>
      <c r="H12" s="4" t="str">
        <v>普通攻击命中带有“死点标记”的敌人时，造成的伤害额外提升。</v>
      </c>
      <c r="I12" s="4" t="str">
        <v>额外伤害加成：{+25%}</v>
      </c>
      <c r="J12" s="4" t="str">
        <v>协同打击协议芯片。“死亡标记”芯片放大了弱点标记的效果，确保被标记的目标难逃一死。</v>
      </c>
      <c r="K12" s="4" t="str">
        <v>核心</v>
      </c>
      <c r="L12" s="4" t="str">
        <v>洛克海德 (协同)</v>
      </c>
      <c r="M12" s="4" t="str">
        <v>标记, 增伤, 暴击</v>
      </c>
      <c r="N12" s="4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利用主手和副手制造击退击飞，腿部强化冲撞，皮肤和骨骼在近身时提供防护和反击，力量属性是核心。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东海工业</v>
      </c>
      <c r="B5" s="4" t="str">
        <v>主手</v>
      </c>
      <c r="C5" s="4" t="str">
        <v>DH 'EarthQuake' Gauntlets</v>
      </c>
      <c r="D5" s="4" t="str">
        <v>“地震”拳套</v>
      </c>
      <c r="E5" s="5">
        <f>+9</f>
      </c>
      <c r="F5" s="5">
        <f>+4</f>
      </c>
      <c r="G5" s="5">
        <f>+2</f>
      </c>
      <c r="H5" s="4" t="str">
        <v>近战普通攻击的最后一击会产生小范围冲击波，对范围内敌人造成基于力量的物理伤害并施加短暂“踉跄”效果。踉跄：打断当前动作。</v>
      </c>
      <c r="I5" s="4" t="str">
        <v>冲击波范围：{1.8m}; 冲击波伤害：{力量 x 120} 物理伤害; 踉跄持续时间：{0.6s}</v>
      </c>
      <c r="J5" s="4" t="str">
        <v>东海工业的抗震技术反向应用。“冲击波”系列的拳套。每一次重拳挥出，都仿佛引动地壳板块，产生的震波足以让敌人站立不稳。</v>
      </c>
      <c r="K5" s="4" t="str">
        <v>核心</v>
      </c>
      <c r="L5" s="4" t="str">
        <v>冲击波系列</v>
      </c>
      <c r="M5" s="4" t="str">
        <v>普攻强化, 范围伤害, 控制</v>
      </c>
      <c r="N5" s="4"/>
    </row>
    <row r="6">
      <c r="A6" s="4" t="str">
        <v>寰宇</v>
      </c>
      <c r="B6" s="4" t="str">
        <v>副手</v>
      </c>
      <c r="C6" s="4" t="str">
        <v>Omni 'Singularity' Projector</v>
      </c>
      <c r="D6" s="4" t="str">
        <v>“奇点”投射器</v>
      </c>
      <c r="E6" s="5">
        <f>+5</f>
      </c>
      <c r="F6" s="5">
        <f>+5</f>
      </c>
      <c r="G6" s="5">
        <f>+8</f>
      </c>
      <c r="H6" s="4" t="str">
        <v>使用武器技能时，若该技能为范围效果，则技能生效前会将范围内的敌人轻微拉向技能中心点。</v>
      </c>
      <c r="I6" s="4" t="str">
        <v>吸引范围：{技能范围}; 吸引力度：{中等} (具体数值需与物理引擎配合)</v>
      </c>
      <c r="J6" s="4" t="str">
        <v>寰宇在引力波研究中的意外发现。“奇点”系列装备能短暂扭曲空间，制造微型引力场。配合范围技能使用，能将分散的敌人聚集起来，一网打尽。</v>
      </c>
      <c r="K6" s="4" t="str">
        <v>可选</v>
      </c>
      <c r="L6" s="4" t="str">
        <v>奇点系列</v>
      </c>
      <c r="M6" s="4" t="str">
        <v>武器技能, 控制, 聚怪</v>
      </c>
      <c r="N6" s="4"/>
    </row>
    <row r="7">
      <c r="A7" s="4" t="str">
        <v>东海工业</v>
      </c>
      <c r="B7" s="4" t="str">
        <v>腿部</v>
      </c>
      <c r="C7" s="4" t="str">
        <v>DH 'Titan' Stomp Actuators</v>
      </c>
      <c r="D7" s="4" t="str">
        <v>“泰坦践踏”执行器</v>
      </c>
      <c r="E7" s="5">
        <f>+10</f>
      </c>
      <c r="F7" s="5">
        <f>+3</f>
      </c>
      <c r="G7" s="5">
        <f>+2</f>
      </c>
      <c r="H7" s="4" t="str">
        <v>冲刺结束时，对落点周围{2.5m}范围内的敌人造成一次“践踏”效果。践踏：造成基于力量的物理伤害并将敌人小幅击飞。</v>
      </c>
      <c r="I7" s="4" t="str">
        <v>践踏范围：{2.5m}; 践踏伤害：{力量 x 250} 物理伤害; 击飞高度：{中等}</v>
      </c>
      <c r="J7" s="4" t="str">
        <v>东海工业的重型步行机甲腿部技术。“践踏者”系列的高级型号。“泰坦践踏”执行器让你每一次落地都如同陨石撞击，将敌人震飞。</v>
      </c>
      <c r="K7" s="4" t="str">
        <v>核心</v>
      </c>
      <c r="L7" s="4" t="str">
        <v>践踏者系列</v>
      </c>
      <c r="M7" s="4" t="str">
        <v>位移, 范围伤害, 控制, 击飞</v>
      </c>
      <c r="N7" s="4"/>
    </row>
    <row r="8">
      <c r="A8" s="4" t="str">
        <v>耶利哥</v>
      </c>
      <c r="B8" s="4" t="str">
        <v>皮肤</v>
      </c>
      <c r="C8" s="4" t="str">
        <v>JC 'Kinetic Harmony' Weave</v>
      </c>
      <c r="D8" s="4" t="str">
        <v>“动能协调”编织</v>
      </c>
      <c r="E8" s="5">
        <f>+6</f>
      </c>
      <c r="F8" s="5">
        <f>+7</f>
      </c>
      <c r="G8" s="5">
        <f>+5</f>
      </c>
      <c r="H8" s="4" t="str">
        <v>成功通过普通攻击或腿部义体效果将敌人击退或击飞时，获得“动能协调”效果。动能协调：提升移动速度和普通攻击的冲击力。</v>
      </c>
      <c r="I8" s="4" t="str">
        <v>动能协调：移动速度加成：{+20%}; 普通攻击冲击力加成：{+25%}; 持续时间：{5s}</v>
      </c>
      <c r="J8" s="4" t="str">
        <v>耶利哥对运动神经的调节。“反作用力”系列皮肤。它能让你完美地利用每一次冲击的反作用力，将敌人的溃退转化为你前进的动力。</v>
      </c>
      <c r="K8" s="4" t="str">
        <v>核心</v>
      </c>
      <c r="L8" s="4" t="str">
        <v>反作用力系列</v>
      </c>
      <c r="M8" s="4" t="str">
        <v>控制反馈, 移速, 普攻强化</v>
      </c>
      <c r="N8" s="4"/>
    </row>
    <row r="9">
      <c r="A9" s="4" t="str">
        <v>东海工业</v>
      </c>
      <c r="B9" s="4" t="str">
        <v>骨骼</v>
      </c>
      <c r="C9" s="4" t="str">
        <v>DH 'Inertial Core' Stabilizer</v>
      </c>
      <c r="D9" s="4" t="str">
        <v>“惯性核心”稳定器</v>
      </c>
      <c r="E9" s="5">
        <f>+9</f>
      </c>
      <c r="F9" s="5">
        <f>+4</f>
      </c>
      <c r="G9" s="5">
        <f>+5</f>
      </c>
      <c r="H9" s="4" t="str">
        <v>提升自身抵抗被击退和击倒效果的能力。</v>
      </c>
      <c r="I9" s="4" t="str">
        <v>击退/击倒抵抗：{+70%}</v>
      </c>
      <c r="J9" s="4" t="str">
        <v>源自大型建筑的结构稳定技术。“稳定核心”系列骨架。内置的惯性稳定器让你如同山岳般沉稳，无论多么强大的冲击都难以撼动你的脚步。</v>
      </c>
      <c r="K9" s="4" t="str">
        <v>核心</v>
      </c>
      <c r="L9" s="4" t="str">
        <v>稳定核心系列</v>
      </c>
      <c r="M9" s="4" t="str">
        <v>生存, 霸体</v>
      </c>
      <c r="N9" s="4"/>
    </row>
    <row r="10">
      <c r="A10" s="4" t="str">
        <v>东海工业</v>
      </c>
      <c r="B10" s="4" t="str">
        <v>行为芯片</v>
      </c>
      <c r="C10" s="4" t="str">
        <v>DH 'WallSlam' Impact Chip</v>
      </c>
      <c r="D10" s="4" t="str">
        <v>“撞墙”冲击芯片</v>
      </c>
      <c r="E10" s="5">
        <v>0</v>
      </c>
      <c r="F10" s="5">
        <v>0</v>
      </c>
      <c r="G10" s="5">
        <v>0</v>
      </c>
      <c r="H10" s="4" t="str">
        <v>被玩家击飞或击退并撞击到场景障碍物的敌人，会受到一次额外的物理伤害。</v>
      </c>
      <c r="I10" s="4" t="str">
        <v>额外伤害：{力量 x 150} 物理伤害</v>
      </c>
      <c r="J10" s="4" t="str">
        <v>简单的物理学，由东海工业精确计算。“撞墙”冲击芯片利用了环境，将敌人的败退转化为额外的伤害。</v>
      </c>
      <c r="K10" s="4" t="str">
        <v>可选</v>
      </c>
      <c r="L10" s="4" t="str">
        <v>东海工业 (冲击力)</v>
      </c>
      <c r="M10" s="4" t="str">
        <v>控制增伤, 环境交互</v>
      </c>
      <c r="N10" s="4"/>
    </row>
    <row r="11">
      <c r="A11" s="4" t="str">
        <v>律动智能</v>
      </c>
      <c r="B11" s="4" t="str">
        <v>行为芯片</v>
      </c>
      <c r="C11" s="4" t="str">
        <v>RI 'Domino Effect' Chip</v>
      </c>
      <c r="D11" s="4" t="str">
        <v>“多米诺效应”芯片</v>
      </c>
      <c r="E11" s="5">
        <v>0</v>
      </c>
      <c r="F11" s="5">
        <v>0</v>
      </c>
      <c r="G11" s="5">
        <v>0</v>
      </c>
      <c r="H11" s="4" t="str">
        <v>被玩家击退的敌人如果碰撞到其他敌人，则会将该敌人也小幅击退。</v>
      </c>
      <c r="I11" s="4" t="str">
        <v>传递击退距离：{原始击退距离的60%}</v>
      </c>
      <c r="J11" s="4" t="str">
        <v>律动智能的群体控制算法。“多米诺效应”芯片让你的一次攻击可能引发一连串的混乱。</v>
      </c>
      <c r="K11" s="4" t="str">
        <v>可选</v>
      </c>
      <c r="L11" s="4" t="str">
        <v>律动智能 (连锁)</v>
      </c>
      <c r="M11" s="4" t="str">
        <v>控制, 连锁反应</v>
      </c>
      <c r="N11" s="4"/>
    </row>
    <row r="12">
      <c r="A12" s="4" t="str">
        <v>劳旅</v>
      </c>
      <c r="B12" s="4" t="str">
        <v>行为芯片</v>
      </c>
      <c r="C12" s="4" t="str">
        <v>LB 'Hazard Pay' Chip</v>
      </c>
      <c r="D12" s="4" t="str">
        <v>“危险津贴”芯片</v>
      </c>
      <c r="E12" s="5">
        <v>0</v>
      </c>
      <c r="F12" s="5">
        <v>0</v>
      </c>
      <c r="G12" s="5">
        <v>0</v>
      </c>
      <c r="H12" s="4" t="str">
        <v>将敌人通过击退或击飞效果送入环境危害区域（如火焰、电网）时，该次环境伤害的效果增强。</v>
      </c>
      <c r="I12" s="4" t="str">
        <v>环境伤害增强：{+60%}</v>
      </c>
      <c r="J12" s="4" t="str">
        <v>工地安全第一条：远离危险区域。反过来也一样。“危险津贴”芯片鼓励你利用环境杀伤敌人，风险越高，回报越大。</v>
      </c>
      <c r="K12" s="4" t="str">
        <v>可选</v>
      </c>
      <c r="L12" s="4" t="str">
        <v>劳旅 (环境)</v>
      </c>
      <c r="M12" s="4" t="str">
        <v>控制增伤, 环境交互</v>
      </c>
      <c r="N12" s="4"/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主手标记，副手强化召唤物，皮肤提供光环，骨骼提升召唤物生存，腿部用于快速部署，智力属性是核心。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律动智能</v>
      </c>
      <c r="B5" s="4" t="str">
        <v>主手</v>
      </c>
      <c r="C5" s="4" t="str">
        <v>RI 'Drone Deployer' Arm</v>
      </c>
      <c r="D5" s="4" t="str">
        <v>“蜂巢”部署臂</v>
      </c>
      <c r="E5" s="5">
        <f>+3</f>
      </c>
      <c r="F5" s="5">
        <f>+6</f>
      </c>
      <c r="G5" s="5">
        <f>+9</f>
      </c>
      <c r="H5" s="4" t="str">
        <v>远程武器普通攻击可以标记地面（最多{1}个标记）。后续使用召唤类技能时，若指定已标记地点，则召唤物的部署时间缩短。</v>
      </c>
      <c r="I5" s="4" t="str">
        <v>最大标记数量：{1}; 部署时间缩短：{-60%}</v>
      </c>
      <c r="J5" s="4" t="str">
        <v>律动智能的自动化工厂技术。“部署者”系列义肢。“蜂巢”部署臂能预先设定投放坐标，极大提高了战场召唤单位的响应速度。</v>
      </c>
      <c r="K5" s="4" t="str">
        <v>核心</v>
      </c>
      <c r="L5" s="4" t="str">
        <v>部署者系列</v>
      </c>
      <c r="M5" s="4" t="str">
        <v>普攻辅助, 召唤物</v>
      </c>
      <c r="N5" s="4"/>
    </row>
    <row r="6">
      <c r="A6" s="4" t="str">
        <v>洛克海德</v>
      </c>
      <c r="B6" s="4" t="str">
        <v>副手</v>
      </c>
      <c r="C6" s="4" t="str">
        <v>LH 'Taskmaster' Uplink</v>
      </c>
      <c r="D6" s="4" t="str">
        <v>“监工”上行链路</v>
      </c>
      <c r="E6" s="5">
        <f>+4</f>
      </c>
      <c r="F6" s="5">
        <f>+5</f>
      </c>
      <c r="G6" s="5">
        <f>+9</f>
      </c>
      <c r="H6" s="4" t="str">
        <v>使用武器技能时，短时间内提升所有友方召唤单位的攻击力。</v>
      </c>
      <c r="I6" s="4" t="str">
        <v>攻击力加成：{+20%}; 持续时间：{12s}</v>
      </c>
      <c r="J6" s="4" t="str">
        <v>S.T.O.R.M.系统的下放权限。“指挥官”系列的高级型号。“监工”上行链路能实时优化你召唤单位的攻击指令，让它们像高效的战争机器一样运作。</v>
      </c>
      <c r="K6" s="4" t="str">
        <v>核心</v>
      </c>
      <c r="L6" s="4" t="str">
        <v>指挥官系列</v>
      </c>
      <c r="M6" s="4" t="str">
        <v>武器技能, 召唤物强化</v>
      </c>
      <c r="N6" s="4"/>
    </row>
    <row r="7">
      <c r="A7" s="4" t="str">
        <v>律动智能</v>
      </c>
      <c r="B7" s="4" t="str">
        <v>腿部</v>
      </c>
      <c r="C7" s="4" t="str">
        <v>RI 'Courier' Propulsion</v>
      </c>
      <c r="D7" s="4" t="str">
        <v>“信使”推进器</v>
      </c>
      <c r="E7" s="5">
        <f>+4</f>
      </c>
      <c r="F7" s="5">
        <f>+8</f>
      </c>
      <c r="G7" s="5">
        <f>+6</f>
      </c>
      <c r="H7" s="4" t="str">
        <v>提升基础移动速度。</v>
      </c>
      <c r="I7" s="4" t="str">
        <v>移动速度加成：{+15%}</v>
      </c>
      <c r="J7" s="4" t="str">
        <v>律动智能的物流无人机技术。“部署者”系列的腿部组件。“信使”推进器提供额外的机动性，让你能快速穿梭于战场，为你的“孩子们”提供最佳的部署位置和支援。</v>
      </c>
      <c r="K7" s="4" t="str">
        <v>可选</v>
      </c>
      <c r="L7" s="4" t="str">
        <v>部署者系列</v>
      </c>
      <c r="M7" s="4" t="str">
        <v>移动速度</v>
      </c>
      <c r="N7" s="4"/>
    </row>
    <row r="8">
      <c r="A8" s="4" t="str">
        <v>寰宇</v>
      </c>
      <c r="B8" s="4" t="str">
        <v>皮肤</v>
      </c>
      <c r="C8" s="4" t="str">
        <v>Omni 'Aura Emitter' Mesh</v>
      </c>
      <c r="D8" s="4" t="str">
        <v>“灵气发射”网格</v>
      </c>
      <c r="E8" s="5">
        <f>+5</f>
      </c>
      <c r="F8" s="5">
        <f>+4</f>
      </c>
      <c r="G8" s="5">
        <f>+9</f>
      </c>
      <c r="H8" s="4" t="str">
        <v>自身周围{6m}范围内形成一个“支援光环”。光环内的友方召唤物获得护甲和伤害加成。</v>
      </c>
      <c r="I8" s="4" t="str">
        <v>光环范围：{6m}; 召唤物护甲加成：{+20}; 召唤物伤害加成：{+15%}</v>
      </c>
      <c r="J8" s="4" t="str">
        <v>寰宇的区域网络增强技术变种。“支援力场”系列皮肤。“灵气发射”网格持续散发增益波频，强化你附近召唤单位的作战参数。</v>
      </c>
      <c r="K8" s="4" t="str">
        <v>核心</v>
      </c>
      <c r="L8" s="4" t="str">
        <v>支援力场系列</v>
      </c>
      <c r="M8" s="4" t="str">
        <v>光环, 召唤物强化</v>
      </c>
      <c r="N8" s="4"/>
    </row>
    <row r="9">
      <c r="A9" s="4" t="str">
        <v>耶利哥</v>
      </c>
      <c r="B9" s="4" t="str">
        <v>骨骼</v>
      </c>
      <c r="C9" s="4" t="str">
        <v>JC 'Nexus' Symbiotic Frame</v>
      </c>
      <c r="D9" s="4" t="str">
        <v>“纽带”共生骨架</v>
      </c>
      <c r="E9" s="5">
        <f>+6</f>
      </c>
      <c r="F9" s="5">
        <f>+5</f>
      </c>
      <c r="G9" s="5">
        <f>+7</f>
      </c>
      <c r="H9" s="4" t="str">
        <v>提升所有友方召唤单位的最大生命值。</v>
      </c>
      <c r="I9" s="4" t="str">
        <v>召唤物最大生命值加成：{+25%}</v>
      </c>
      <c r="J9" s="4" t="str">
        <v>耶利哥的神经链接技术。“链接者”系列的骨架。“纽带”共生骨架在你和召唤物之间建立了更深层的连接，强化了它们的结构强度和生存能力。</v>
      </c>
      <c r="K9" s="4" t="str">
        <v>核心</v>
      </c>
      <c r="L9" s="4" t="str">
        <v>链接者系列</v>
      </c>
      <c r="M9" s="4" t="str">
        <v>召唤物强化, 生存</v>
      </c>
      <c r="N9" s="4"/>
    </row>
    <row r="10">
      <c r="A10" s="4" t="str">
        <v>洛克海德</v>
      </c>
      <c r="B10" s="4" t="str">
        <v>行为芯片</v>
      </c>
      <c r="C10" s="4" t="str">
        <v>LH 'Coordinated Assault' Chip</v>
      </c>
      <c r="D10" s="4" t="str">
        <v>“协同攻击”芯片</v>
      </c>
      <c r="E10" s="5">
        <v>0</v>
      </c>
      <c r="F10" s="5">
        <v>0</v>
      </c>
      <c r="G10" s="5">
        <v>0</v>
      </c>
      <c r="H10" s="4" t="str">
        <v>当玩家和友方召唤物同时攻击同一个敌人时，玩家对其造成的普通攻击伤害提升。</v>
      </c>
      <c r="I10" s="4" t="str">
        <v>普通攻击伤害加成：{+18%}</v>
      </c>
      <c r="J10" s="4" t="str">
        <v>战场协同原则芯片化。“协同攻击”芯片奖励你与召唤物的默契配合，集火目标将更快倒下。</v>
      </c>
      <c r="K10" s="4" t="str">
        <v>可选</v>
      </c>
      <c r="L10" s="4" t="str">
        <v>洛克海德 (协同)</v>
      </c>
      <c r="M10" s="4" t="str">
        <v>普攻强化, 召唤物协同</v>
      </c>
      <c r="N10" s="4"/>
    </row>
    <row r="11">
      <c r="A11" s="4" t="str">
        <v>东海工业</v>
      </c>
      <c r="B11" s="4" t="str">
        <v>行为芯片</v>
      </c>
      <c r="C11" s="4" t="str">
        <v>DH 'Field Repair' Nanites</v>
      </c>
      <c r="D11" s="4" t="str">
        <v>“战场维修”纳米机器人</v>
      </c>
      <c r="E11" s="5">
        <v>0</v>
      </c>
      <c r="F11" s="5">
        <v>0</v>
      </c>
      <c r="G11" s="5">
        <v>0</v>
      </c>
      <c r="H11" s="4" t="str">
        <v>靠近生命值低于{50%}的友方机械召唤物时（{2.5m}范围内），每秒为其恢复少量生命值。</v>
      </c>
      <c r="I11" s="4" t="str">
        <v>每秒生命恢复：{召唤物最大生命值的2.5%}; 范围：{2.5m}</v>
      </c>
      <c r="J11" s="4" t="str">
        <v>东海工业的现场维护经验。“战场维修”纳米机器人能自动对你附近受损的机械造物进行修复，延长它们的作战时间。</v>
      </c>
      <c r="K11" s="4" t="str">
        <v>可选</v>
      </c>
      <c r="L11" s="4" t="str">
        <v>东海工业 (维修)</v>
      </c>
      <c r="M11" s="4" t="str">
        <v>召唤物生存, 治疗</v>
      </c>
      <c r="N11" s="4"/>
    </row>
    <row r="12">
      <c r="A12" s="4" t="str">
        <v>律动智能</v>
      </c>
      <c r="B12" s="4" t="str">
        <v>行为芯片</v>
      </c>
      <c r="C12" s="4" t="str">
        <v>RI 'Drone Swarm' Logic</v>
      </c>
      <c r="D12" s="4" t="str">
        <v>“蜂群逻辑”芯片</v>
      </c>
      <c r="E12" s="5">
        <v>0</v>
      </c>
      <c r="F12" s="5">
        <v>0</v>
      </c>
      <c r="G12" s="5">
        <v>0</v>
      </c>
      <c r="H12" s="4" t="str">
        <v>提升所有友方召唤单位的基础攻击力。</v>
      </c>
      <c r="I12" s="4" t="str">
        <v>召唤物基础攻击力加成：{+18%}</v>
      </c>
      <c r="J12" s="4" t="str">
        <v>AI性能优化芯片。“蜂群逻辑”芯片改进了召唤单位的攻击算法，让它们更具威胁。</v>
      </c>
      <c r="K12" s="4" t="str">
        <v>核心</v>
      </c>
      <c r="L12" s="4" t="str">
        <v>律动智能 (AI优化)</v>
      </c>
      <c r="M12" s="4" t="str">
        <v>召唤物强化, 增伤</v>
      </c>
      <c r="N12" s="4"/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主手施加电击，副手强化EMP效果，皮肤吸收能量，骨骼抗性，腿部提供机动性，智力和反应属性是核心。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律动智能</v>
      </c>
      <c r="B5" s="4" t="str">
        <v>主手</v>
      </c>
      <c r="C5" s="4" t="str">
        <v>RI 'Tesla Coil' Emitter</v>
      </c>
      <c r="D5" s="4" t="str">
        <v>“特斯拉线圈”发射器</v>
      </c>
      <c r="E5" s="5">
        <f>+2</f>
      </c>
      <c r="F5" s="5">
        <f>+7</f>
      </c>
      <c r="G5" s="5">
        <f>+6</f>
      </c>
      <c r="H5" s="4" t="str">
        <v>武器普通攻击命中时，产生一道连锁闪电，弹射至附近的额外{1}名敌人。</v>
      </c>
      <c r="I5" s="4" t="str">
        <v>连锁闪电伤害：{50%} 电磁伤害; 
弹跳次数：{1}; 
弹跳范围：{5m};</v>
      </c>
      <c r="J5" s="4" t="str">
        <v>律动智能的高效能量传导技术。“磁暴”系列的核心。这款发射器能在目标间形成高压电弧，尤其擅长处理集群的机械单位。</v>
      </c>
      <c r="K5" s="4" t="str">
        <v>核心</v>
      </c>
      <c r="L5" s="4" t="str">
        <v>磁暴系列</v>
      </c>
      <c r="M5" s="4" t="str">
        <v>普攻强化, 连锁闪电, 电击</v>
      </c>
      <c r="N5" s="4"/>
    </row>
    <row r="6">
      <c r="A6" s="4" t="str">
        <v>寰宇</v>
      </c>
      <c r="B6" s="4" t="str">
        <v>副手</v>
      </c>
      <c r="C6" s="4" t="str">
        <v>Omni 'ShortCircuit' Module</v>
      </c>
      <c r="D6" s="4" t="str">
        <v>“短路”模块</v>
      </c>
      <c r="E6" s="5">
        <f>+3</f>
      </c>
      <c r="F6" s="5">
        <f>+6</f>
      </c>
      <c r="G6" s="5">
        <f>+9</f>
      </c>
      <c r="H6" s="4" t="str">
        <v>武器技能攻击命中时，产生一道连锁闪电，弹射至附近的额外{1}名敌人。</v>
      </c>
      <c r="I6" s="4" t="str">
        <v>连锁闪电伤害：{50%} 电磁伤害; 
弹跳次数：{1}; 
弹跳范围：{5m};</v>
      </c>
      <c r="J6" s="4" t="str">
        <v>寰宇的网络战技术实体化。“干扰者”系列装备，能瞬间过载敌人的电子系统，让他们的先进武器变成一堆废铁。</v>
      </c>
      <c r="K6" s="4" t="str">
        <v>可选</v>
      </c>
      <c r="L6" s="4" t="str">
        <v>干扰者系列</v>
      </c>
      <c r="M6" s="4" t="str">
        <v>武器技能, 控制, 减益, 电击</v>
      </c>
      <c r="N6" s="4"/>
    </row>
    <row r="7">
      <c r="A7" s="4" t="str">
        <v>律动智能</v>
      </c>
      <c r="B7" s="4" t="str">
        <v>腿部</v>
      </c>
      <c r="C7" s="4" t="str">
        <v>RI 'MagLev' Skates</v>
      </c>
      <c r="D7" s="4" t="str">
        <v>“磁悬浮”滑轮</v>
      </c>
      <c r="E7" s="5">
        <f>+4</f>
      </c>
      <c r="F7" s="5">
        <f>+9</f>
      </c>
      <c r="G7" s="5">
        <f>+2</f>
      </c>
      <c r="H7" s="4" t="str">
        <v>翻滚动作替换为短距离冲刺，冲刺时对接触到的敌人施加短暂“干扰”效果。干扰：降低命中率。</v>
      </c>
      <c r="I7" s="4" t="str">
        <v>滑行距离：{300m}; 
干扰：命中率降低{-25%}; 
持续时间：{2.5s}</v>
      </c>
      <c r="J7" s="4" t="str">
        <v>律动智能的磁悬浮交通技术微缩版。“磁暴”系列的腿部组件，提供流畅的滑行体验，同时释放的微弱电磁场能有效干扰敌人的瞄准系统。</v>
      </c>
      <c r="K7" s="4" t="str">
        <v>可选</v>
      </c>
      <c r="L7" s="4" t="str">
        <v>磁暴系列</v>
      </c>
      <c r="M7" s="4" t="str">
        <v>位移, 减益</v>
      </c>
      <c r="N7" s="4"/>
    </row>
    <row r="8">
      <c r="A8" s="4" t="str">
        <v>寰宇</v>
      </c>
      <c r="B8" s="4" t="str">
        <v>皮肤</v>
      </c>
      <c r="C8" s="4" t="str">
        <v>Omni 'Faraday' Cage Mesh</v>
      </c>
      <c r="D8" s="4" t="str">
        <v>“法拉第笼”网格</v>
      </c>
      <c r="E8" s="5">
        <f>+5</f>
      </c>
      <c r="F8" s="5">
        <f>+4</f>
      </c>
      <c r="G8" s="5">
        <f>+9</f>
      </c>
      <c r="H8" s="4" t="str">
        <v>受到电击伤害时，减免部分伤害，并将减免量的一定比例转化为武器能量。</v>
      </c>
      <c r="I8" s="4" t="str">
        <v>电击伤害减免：{+40%}; 能量转化率：{60%}</v>
      </c>
      <c r="J8" s="4" t="str">
        <v>寰宇的数据中心防护技术个人版。“屏护”系列皮肤的核心。皮肤表层动态形成的法拉第笼能有效偏转和吸收电磁能量，甚至将其化为己用。</v>
      </c>
      <c r="K8" s="4" t="str">
        <v>核心</v>
      </c>
      <c r="L8" s="4" t="str">
        <v>屏护系列</v>
      </c>
      <c r="M8" s="4" t="str">
        <v>生存, 电击抗性, 能量回复</v>
      </c>
      <c r="N8" s="4"/>
    </row>
    <row r="9">
      <c r="A9" s="4" t="str">
        <v>耶利哥</v>
      </c>
      <c r="B9" s="4" t="str">
        <v>骨骼</v>
      </c>
      <c r="C9" s="4" t="str">
        <v>JC 'Ohmic Resonance' Frame</v>
      </c>
      <c r="D9" s="4" t="str">
        <v>“欧姆共振”骨架</v>
      </c>
      <c r="E9" s="5">
        <f>+6</f>
      </c>
      <c r="F9" s="5">
        <f>+5</f>
      </c>
      <c r="G9" s="5">
        <f>+7</f>
      </c>
      <c r="H9" s="4" t="str">
        <v>提升自身电击抗性。受到电击伤害后，短时间内普通攻击附加的电击伤害增加。</v>
      </c>
      <c r="I9" s="4" t="str">
        <v>电击抗性：{+60%}; 附加电击伤害：{智力 x 5} 电击伤害; 持续时间：{6s}</v>
      </c>
      <c r="J9" s="4" t="str">
        <v>耶利哥在生物电研究上的成果。“调和”系列骨架能与外部电场共振，极大提升抗性。当电流穿过身体时，骨架甚至能将其引导至武器，释放更强的电能。</v>
      </c>
      <c r="K9" s="4" t="str">
        <v>核心</v>
      </c>
      <c r="L9" s="4" t="str">
        <v>调和系列</v>
      </c>
      <c r="M9" s="4" t="str">
        <v>生存, 电击抗性, 普攻强化, 电击</v>
      </c>
      <c r="N9" s="4"/>
    </row>
    <row r="10">
      <c r="A10" s="4" t="str">
        <v>律动智能</v>
      </c>
      <c r="B10" s="4" t="str">
        <v>行为芯片</v>
      </c>
      <c r="C10" s="4" t="str">
        <v>RI 'ChainLightning+' Chip</v>
      </c>
      <c r="D10" s="4" t="str">
        <v>“连锁闪电+”芯片</v>
      </c>
      <c r="E10" s="5">
        <v>0</v>
      </c>
      <c r="F10" s="5">
        <v>0</v>
      </c>
      <c r="G10" s="5">
        <v>0</v>
      </c>
      <c r="H10" s="4" t="str">
        <v>连锁闪电可以额外弹跳{1}次。</v>
      </c>
      <c r="I10" s="4" t="str">
        <v>额外弹跳次数：{+1}</v>
      </c>
      <c r="J10" s="4" t="str">
        <v>律动智能对电弧跳跃算法的进一步优化。更多的弹跳，更广的覆盖。</v>
      </c>
      <c r="K10" s="4" t="str">
        <v>核心</v>
      </c>
      <c r="L10" s="4" t="str">
        <v>律动智能 (电弧)</v>
      </c>
      <c r="M10" s="4" t="str">
        <v>连锁闪电, 电击</v>
      </c>
      <c r="N10" s="4"/>
    </row>
    <row r="11">
      <c r="A11" s="4" t="str">
        <v>耶利哥</v>
      </c>
      <c r="B11" s="4" t="str">
        <v>行为芯片</v>
      </c>
      <c r="C11" s="4" t="str">
        <v>JC 'Energy Siphon' Chip</v>
      </c>
      <c r="D11" s="4" t="str">
        <v>“能量虹吸”芯片</v>
      </c>
      <c r="E11" s="5">
        <v>0</v>
      </c>
      <c r="F11" s="5">
        <v>0</v>
      </c>
      <c r="G11" s="5">
        <v>0</v>
      </c>
      <c r="H11" s="4" t="str">
        <v>成功对敌人施加“电击瘫痪”状态时，回复少量生命值。</v>
      </c>
      <c r="I11" s="4" t="str">
        <v>生命恢复：{最大生命值的6%}</v>
      </c>
      <c r="J11" s="4" t="str">
        <v>湿件能量回收技术。“能量虹吸”芯片能在敌人系统崩溃的瞬间，从中汲取生物电能转化为生命力。</v>
      </c>
      <c r="K11" s="4" t="str">
        <v>可选</v>
      </c>
      <c r="L11" s="4" t="str">
        <v>耶利哥 (回收)</v>
      </c>
      <c r="M11" s="4" t="str">
        <v>生存, 电击, 控制</v>
      </c>
      <c r="N11" s="4"/>
    </row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依靠主手和副手施加纳米病毒和流血等持续伤害(DoT)，通过皮肤和腿部增强隐匿与生存，骨骼提供额外纳米病毒加成，智力属性是核心。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 t="str">
        <v>致远生物</v>
      </c>
      <c r="B5" s="4" t="str">
        <v>主手</v>
      </c>
      <c r="C5" s="4" t="str">
        <v>BN 'Serpent's Kiss' Injector</v>
      </c>
      <c r="D5" s="4" t="str">
        <v>“蛇吻”注射器</v>
      </c>
      <c r="E5" s="5">
        <f>+2</f>
      </c>
      <c r="F5" s="5">
        <f>+5</f>
      </c>
      <c r="G5" s="5">
        <f>+8</f>
      </c>
      <c r="H5" s="4" t="str">
        <v>普通攻击命中时，有{25%}几率对目标施加“纳米侵蚀”效果。</v>
      </c>
      <c r="I5" s="4"/>
      <c r="J5" s="4" t="str">
        <v>致远生物将蛇毒基因片段整合进义体。“毒蛇之吻”系列的核心。主手隐藏微型注射器，在不经意间将致命的腐蚀性毒素送入目标体内。</v>
      </c>
      <c r="K5" s="4" t="str">
        <v>核心</v>
      </c>
      <c r="L5" s="4" t="str">
        <v>毒蛇之吻系列</v>
      </c>
      <c r="M5" s="4" t="str">
        <v>普攻强化, 持续伤害, 毒素, 减益</v>
      </c>
      <c r="N5" s="4"/>
    </row>
    <row r="6">
      <c r="A6" s="4" t="str">
        <v>致远生物</v>
      </c>
      <c r="B6" s="4" t="str">
        <v>副手</v>
      </c>
      <c r="C6" s="4" t="str">
        <v>BN 'Vector' Catalyst</v>
      </c>
      <c r="D6" s="4" t="str">
        <v>“病媒”催化器</v>
      </c>
      <c r="E6" s="5">
        <f>+3</f>
      </c>
      <c r="F6" s="5">
        <f>+6</f>
      </c>
      <c r="G6" s="5">
        <f>+9</f>
      </c>
      <c r="H6" s="4" t="str">
        <v>使用武器技能命中带有“纳米侵蚀”效果的目标时，清除身上的所有效果，对其周围小范围造成一次伤害。</v>
      </c>
      <c r="I6" s="4" t="str">
        <v>爆炸范围：{2.5m}; 
爆炸伤害：{层数 x 200% x 智力} 纳米伤害</v>
      </c>
      <c r="J6" s="4" t="str">
        <v>致远生物的病毒研究成果。“毒蛇之吻”系列的一部分。“病媒”催化器能加速毒素在目标体内的反应，将其转化为一次剧烈的生化爆炸。</v>
      </c>
      <c r="K6" s="4" t="str">
        <v>核心</v>
      </c>
      <c r="L6" s="4" t="str">
        <v>毒蛇之吻系列</v>
      </c>
      <c r="M6" s="4" t="str">
        <v>武器技能, 范围伤害, 毒素</v>
      </c>
      <c r="N6" s="4"/>
    </row>
    <row r="7">
      <c r="A7" s="4" t="str">
        <v>新浦会</v>
      </c>
      <c r="B7" s="4" t="str">
        <v>腿部</v>
      </c>
      <c r="C7" s="4" t="str">
        <v>SP 'Silent Step' Actuators</v>
      </c>
      <c r="D7" s="4" t="str">
        <v>“寂步”执行器</v>
      </c>
      <c r="E7" s="5">
        <f>+4</f>
      </c>
      <c r="F7" s="5">
        <f>+8</f>
      </c>
      <c r="G7" s="5">
        <f>+3</f>
      </c>
      <c r="H7" s="4" t="str">
        <v>降低移动时不再发出声音。</v>
      </c>
      <c r="I7" s="4"/>
      <c r="J7" s="4" t="str">
        <v>新浦会刺客的标配。“寂步”执行器采用特殊吸音材料和反相位震动技术，让你在阴影中穿梭自如，无声无息地接近猎物。</v>
      </c>
      <c r="K7" s="4" t="str">
        <v>可选</v>
      </c>
      <c r="L7" s="4" t="str">
        <v>夜行者系列</v>
      </c>
      <c r="M7" s="4" t="str">
        <v>位移, 潜行</v>
      </c>
      <c r="N7" s="4"/>
    </row>
    <row r="8">
      <c r="A8" s="4"/>
      <c r="B8" s="4" t="str">
        <v>皮肤</v>
      </c>
      <c r="C8" s="4"/>
      <c r="D8" s="4"/>
      <c r="E8" s="5"/>
      <c r="F8" s="5"/>
      <c r="G8" s="5"/>
      <c r="H8" s="4"/>
      <c r="I8" s="4"/>
      <c r="J8" s="4"/>
      <c r="K8" s="4"/>
      <c r="L8" s="4"/>
      <c r="M8" s="4"/>
      <c r="N8" s="4"/>
    </row>
    <row r="9">
      <c r="A9" s="4" t="str">
        <v>致远生物</v>
      </c>
      <c r="B9" s="4" t="str">
        <v>骨骼</v>
      </c>
      <c r="C9" s="4" t="str" xml:space="preserve">
        <v>BN 'Patient Zero' </v>
      </c>
      <c r="D9" s="4" t="str">
        <v>“零号病人”</v>
      </c>
      <c r="E9" s="5">
        <f>+3</f>
      </c>
      <c r="F9" s="5">
        <f>+3</f>
      </c>
      <c r="G9" s="5">
        <f>+12</f>
      </c>
      <c r="H9" s="4" t="str">
        <v>纳米侵蚀传染时，你也可以被视作载体。</v>
      </c>
      <c r="I9" s="4"/>
      <c r="J9" s="4" t="str">
        <v>骨骼中植入高度适应性的生物反应器，模拟“零号病人”对多种纳米毒素的免疫力，在敌人倒下时汲取他们培养出的宝贵病毒。</v>
      </c>
      <c r="K9" s="4" t="str">
        <v>核心</v>
      </c>
      <c r="L9" s="4" t="str">
        <v>毒蛇之吻系列</v>
      </c>
      <c r="M9" s="4" t="str">
        <v>生存, 毒素, 移动速度</v>
      </c>
      <c r="N9" s="4"/>
    </row>
    <row r="10">
      <c r="A10" s="4" t="str">
        <v>耶利哥</v>
      </c>
      <c r="B10" s="4" t="str">
        <v>行为芯片</v>
      </c>
      <c r="C10" s="4" t="str">
        <v>JC 'Agony' Amplifier</v>
      </c>
      <c r="D10" s="4" t="str">
        <v>“剧痛”增幅器</v>
      </c>
      <c r="E10" s="5">
        <v>0</v>
      </c>
      <c r="F10" s="5">
        <v>0</v>
      </c>
      <c r="G10" s="5">
        <v>0</v>
      </c>
      <c r="H10" s="4" t="str">
        <v>敌人每承受一种来自玩家施加的不同类型的持续伤害效果（DoT），其受到的所有伤害增加。</v>
      </c>
      <c r="I10" s="4" t="str">
        <v>每种DoT增伤：{+20%}</v>
      </c>
      <c r="J10" s="4" t="str">
        <v>耶利哥对神经科学的扭曲应用。“剧痛”增幅器让敌人的痛苦层层叠加，每一秒都如同在地狱中煎熬。</v>
      </c>
      <c r="K10" s="4" t="str">
        <v>核心</v>
      </c>
      <c r="L10" s="4" t="str">
        <v>耶利哥 (痛苦感知)</v>
      </c>
      <c r="M10" s="4" t="str">
        <v>持续伤害, 易伤</v>
      </c>
      <c r="N10" s="4"/>
    </row>
    <row r="11">
      <c r="A11" s="4" t="str">
        <v>致远生物</v>
      </c>
      <c r="B11" s="4" t="str">
        <v>行为芯片</v>
      </c>
      <c r="C11" s="4" t="str">
        <v>BN 'Contagion' Vector Chip</v>
      </c>
      <c r="D11" s="4" t="str">
        <v>“传染媒介”芯片</v>
      </c>
      <c r="E11" s="5">
        <v>0</v>
      </c>
      <c r="F11" s="5">
        <v>0</v>
      </c>
      <c r="G11" s="5">
        <v>0</v>
      </c>
      <c r="H11" s="4" t="str">
        <v>带有玩家施加的“纳米侵蚀”效果的敌人在死亡时，有几率将该效果复刻给额外{1}名附近的敌人。</v>
      </c>
      <c r="I11" s="4" t="str" xml:space="preserve">
        <v>传染几率：{40%}; </v>
      </c>
      <c r="J11" s="4" t="str">
        <v>致远生物病毒扩散模型芯片。让你的毒素像瘟疫一样蔓延，一个倒下，一片感染。</v>
      </c>
      <c r="K11" s="4" t="str">
        <v>可选</v>
      </c>
      <c r="L11" s="4" t="str">
        <v>致远生物 (传染性)</v>
      </c>
      <c r="M11" s="4" t="str">
        <v>持续伤害, 毒素, 扩散</v>
      </c>
      <c r="N11" s="4"/>
    </row>
    <row r="12">
      <c r="A12" s="4" t="str">
        <v>新浦会</v>
      </c>
      <c r="B12" s="4" t="str">
        <v>行为芯片</v>
      </c>
      <c r="C12" s="4" t="str">
        <v>SP 'Shadow Strike' Chip</v>
      </c>
      <c r="D12" s="4" t="str">
        <v>“影袭”芯片</v>
      </c>
      <c r="E12" s="5">
        <v>0</v>
      </c>
      <c r="F12" s="5">
        <v>0</v>
      </c>
      <c r="G12" s="5">
        <v>0</v>
      </c>
      <c r="H12" s="4" t="str">
        <v>从“光学迷彩”状态解除后，第一次普通攻击必定暴击。</v>
      </c>
      <c r="I12" s="4" t="str">
        <v>暴击触发：{必定}</v>
      </c>
      <c r="J12" s="4" t="str">
        <v>帮会暗杀技巧芯片化。"影袭"芯片记录了无数次从阴影中发起的致命攻击数据，保证你现身的第一击精准而致命。</v>
      </c>
      <c r="K12" s="4" t="str">
        <v>可选</v>
      </c>
      <c r="L12" s="4" t="str">
        <v>新浦会 (暗杀技巧)</v>
      </c>
      <c r="M12" s="4" t="str">
        <v>潜行, 普攻强化, 暴击</v>
      </c>
      <c r="N12" s="4"/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" t="str">
        <v>利用高机动性切入，通过强化普通攻击和闪避后的增益进行快速近战输出，反应属性是核心。
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4"/>
    </row>
    <row r="5">
      <c r="A5" s="4" t="str">
        <v>野望</v>
      </c>
      <c r="B5" s="4" t="str">
        <v>主手</v>
      </c>
      <c r="C5" s="4" t="str">
        <v>WW 'Viper' Neuro-Actuator</v>
      </c>
      <c r="D5" s="4" t="str">
        <v>“蝰蛇”神经加速器</v>
      </c>
      <c r="E5" s="5">
        <f>+3</f>
      </c>
      <c r="F5" s="5">
        <f>+8</f>
      </c>
      <c r="G5" s="5">
        <f>+4</f>
      </c>
      <c r="H5" s="4" t="str">
        <v>提升普通攻击的基础攻击速度。</v>
      </c>
      <c r="I5" s="4" t="str">
        <v>攻击速度加成：{+20%}</v>
      </c>
      <c r="J5" s="4" t="str">
        <v>野望”蝰蛇“系列强调极致的速度与渗透。这款神经加速器直接绕过部分运动神经延迟，让你的普通攻击快如真正的蝰蛇突袭。</v>
      </c>
      <c r="K5" s="4" t="str">
        <v>核心</v>
      </c>
      <c r="L5" s="4" t="str">
        <v>蝰蛇系列</v>
      </c>
      <c r="M5" s="4" t="str">
        <v>普攻强化, 攻速</v>
      </c>
      <c r="N5" s="4"/>
    </row>
    <row r="6">
      <c r="A6" s="4" t="str">
        <v>野望</v>
      </c>
      <c r="B6" s="4" t="str">
        <v>副手</v>
      </c>
      <c r="C6" s="4" t="str">
        <v>WW 'Adrenaline' Trigger</v>
      </c>
      <c r="D6" s="4" t="str">
        <v>“亢奋”扳机</v>
      </c>
      <c r="E6" s="5">
        <f>+2</f>
      </c>
      <c r="F6" s="5">
        <f>+10</f>
      </c>
      <c r="G6" s="5">
        <f>+3</f>
      </c>
      <c r="H6" s="4" t="str">
        <v>使用武器技能后，下一次翻滚的冷却时间缩短。</v>
      </c>
      <c r="I6" s="4" t="str">
        <v>下次翻滚冷却缩减：{-60%}</v>
      </c>
      <c r="J6" s="4" t="str">
        <v>野望调整了武器接口的神经突触，将武器技能的触发信号与肾上腺素分泌挂钩。"亢奋"扳机让你在释放技能后，身体瞬间充斥能量，为下一次闪转腾挪做好准备。</v>
      </c>
      <c r="K6" s="4" t="str">
        <v>核心</v>
      </c>
      <c r="L6" s="4" t="str">
        <v>蝰蛇系列</v>
      </c>
      <c r="M6" s="4" t="str">
        <v>武器技能, 位移, 冷却</v>
      </c>
      <c r="N6" s="4"/>
    </row>
    <row r="7">
      <c r="A7" s="4" t="str">
        <v>致远生物</v>
      </c>
      <c r="B7" s="4" t="str">
        <v>腿部</v>
      </c>
      <c r="C7" s="4" t="str">
        <v>BN 'Cheetah' Hydraulic Joints</v>
      </c>
      <c r="D7" s="4" t="str">
        <v>“猎豹”液压关节</v>
      </c>
      <c r="E7" s="5">
        <f>+4</f>
      </c>
      <c r="F7" s="5">
        <f>+7</f>
      </c>
      <c r="G7" s="5">
        <f>+4</f>
      </c>
      <c r="H7" s="4" t="str">
        <v>增加翻滚的距离。翻滚结束后，短时间内提升普通攻击速度。</v>
      </c>
      <c r="I7" s="4" t="str">
        <v>冲刺距离加成：{+20%}; 
攻击速度加成：{+15%}; 
持续时间：{2.5s}</v>
      </c>
      <c r="J7" s="4" t="str">
        <v>致远生物在运动基因学上的突破产物。“猎豹”液压关节提供爆发式位移，落地瞬间足底释放的生物电能刺激肌肉，让你在冲刺后能更快地衔接下一次攻击。</v>
      </c>
      <c r="K7" s="4" t="str">
        <v>核心</v>
      </c>
      <c r="L7" s="4" t="str">
        <v>猎豹系列</v>
      </c>
      <c r="M7" s="4" t="str">
        <v>位移, 普攻强化, 攻速</v>
      </c>
      <c r="N7" s="4"/>
    </row>
    <row r="8">
      <c r="A8" s="4" t="str">
        <v>寰宇</v>
      </c>
      <c r="B8" s="4" t="str">
        <v>皮肤</v>
      </c>
      <c r="C8" s="4" t="str">
        <v>Omni 'Phantom' Emitter</v>
      </c>
      <c r="D8" s="4" t="str">
        <v>“幻影”发射器</v>
      </c>
      <c r="E8" s="5">
        <f>+5</f>
      </c>
      <c r="F8" s="5">
        <f>+5</f>
      </c>
      <c r="G8" s="5">
        <f>+5</f>
      </c>
      <c r="H8" s="4" t="str">
        <v>翻滚时生成一个短暂的幻影，幻影会吸引敌人火力，并在消失时对周围敌人造成伤害。</v>
      </c>
      <c r="I8" s="4" t="str">
        <v>幻影生命值：{玩家最大生命值的10%}; 
幻影持续时间：{1.2s}; 
消失伤害：{智力 x 150} 电磁伤害（无异常积蓄）</v>
      </c>
      <c r="J8" s="4" t="str">
        <v>寰宇利用其网络优势开发的个人防护技术。“幽灵协议”的核心之一。“幻影”发射器能在你高速移动时投射低保真光学镜像，有效干扰敌人的锁定系统。</v>
      </c>
      <c r="K8" s="4" t="str">
        <v>核心</v>
      </c>
      <c r="L8" s="4" t="str">
        <v>幽灵协议系列</v>
      </c>
      <c r="M8" s="4" t="str">
        <v>位移, 生存, 范围伤害</v>
      </c>
      <c r="N8" s="4"/>
    </row>
    <row r="9">
      <c r="A9" s="4" t="str">
        <v>洛克海德</v>
      </c>
      <c r="B9" s="4" t="str">
        <v>骨骼</v>
      </c>
      <c r="C9" s="4" t="str">
        <v>LH 'Insight' Scanner</v>
      </c>
      <c r="D9" s="4" t="str">
        <v>“洞悉”扫描骨架</v>
      </c>
      <c r="E9" s="5">
        <f>+6</f>
      </c>
      <c r="F9" s="5">
        <f>+6</f>
      </c>
      <c r="G9" s="5">
        <f>+6</f>
      </c>
      <c r="H9" s="4" t="str">
        <v>连续普通攻击命中同一目标{3}次后，对其施加“弱点暴露”效果。</v>
      </c>
      <c r="I9" s="4" t="str">
        <v>弱点暴露：普通攻击暴击率加成：{+60%}; 
持续时间：{6s}</v>
      </c>
      <c r="J9" s="4" t="str">
        <v>洛克海德为侦察兵开发的骨骼内置扫描仪。“洞悉”扫描骨架通过微震动感知目标结构，快速锁定结构弱点。一旦连续命中，敌人的防御在你面前形同虚设。</v>
      </c>
      <c r="K9" s="4" t="str">
        <v>核心</v>
      </c>
      <c r="L9" s="4" t="str">
        <v>猎手系列</v>
      </c>
      <c r="M9" s="4" t="str">
        <v>普攻强化, 暴击, 连续攻击</v>
      </c>
      <c r="N9" s="4"/>
    </row>
    <row r="10">
      <c r="A10" s="4" t="str">
        <v>野望</v>
      </c>
      <c r="B10" s="4" t="str">
        <v>行为芯片</v>
      </c>
      <c r="C10" s="4" t="str">
        <v>Kinetic Strike' Chip</v>
      </c>
      <c r="D10" s="4" t="str">
        <v>“动能打击”芯片</v>
      </c>
      <c r="E10" s="5">
        <v>0</v>
      </c>
      <c r="F10" s="5">
        <v>0</v>
      </c>
      <c r="G10" s="5">
        <v>0</v>
      </c>
      <c r="H10" s="4" t="str">
        <v>翻滚结束后，下一次近战普通攻击附加额外伤害。</v>
      </c>
      <c r="I10" s="4" t="str">
        <v>额外伤害：{力量 x 150} 物理伤害。
效果持续时间: {2s}</v>
      </c>
      <c r="J10" s="4" t="str">
        <v>"能量守恒？那是给物理学家的废话。"——野望技师。将冲刺的动能短暂储存并附加到下一次攻击中。</v>
      </c>
      <c r="K10" s="4" t="str">
        <v>可选</v>
      </c>
      <c r="L10" s="4" t="str">
        <v>野望 (动能转化)</v>
      </c>
      <c r="M10" s="4" t="str">
        <v>位移, 普攻强化, 直伤</v>
      </c>
      <c r="N10" s="4"/>
    </row>
    <row r="11">
      <c r="A11" s="4" t="str">
        <v>耶利哥</v>
      </c>
      <c r="B11" s="4" t="str">
        <v>行为芯片</v>
      </c>
      <c r="C11" s="4" t="str">
        <v>JC 'FlowState' Mod</v>
      </c>
      <c r="D11" s="4" t="str">
        <v>“心流”模块</v>
      </c>
      <c r="E11" s="5">
        <v>0</v>
      </c>
      <c r="F11" s="5">
        <v>0</v>
      </c>
      <c r="G11" s="5">
        <v>0</v>
      </c>
      <c r="H11" s="4" t="str">
        <v>近战普通攻击每次命中时，为智脑主动技能恢复少量冷却时间。</v>
      </c>
      <c r="I11" s="4" t="str">
        <v>冷却时间恢复：{-0.15s}</v>
      </c>
      <c r="J11" s="4" t="str">
        <v>耶利哥在湿件控制上的小把戏。“心流”模块将攻击节奏与技能冷却同步，让你的战斗如行云流水般顺畅。</v>
      </c>
      <c r="K11" s="4" t="str">
        <v>可选</v>
      </c>
      <c r="L11" s="4" t="str">
        <v>耶利哥 (同步)</v>
      </c>
      <c r="M11" s="4" t="str">
        <v>普攻强化, 冷却</v>
      </c>
      <c r="N11" s="4"/>
    </row>
    <row r="12">
      <c r="A12" s="4" t="str">
        <v>寰宇</v>
      </c>
      <c r="B12" s="4" t="str">
        <v>行为芯片</v>
      </c>
      <c r="C12" s="4" t="str">
        <v>Omni 'Phase' Dodge Chip</v>
      </c>
      <c r="D12" s="4" t="str">
        <v>“相位闪避”芯片</v>
      </c>
      <c r="E12" s="5">
        <v>0</v>
      </c>
      <c r="F12" s="5">
        <v>0</v>
      </c>
      <c r="G12" s="5">
        <v>0</v>
      </c>
      <c r="H12" s="4" t="str">
        <v>增加冲刺/闪避的无敌帧持续时间。</v>
      </c>
      <c r="I12" s="4" t="str">
        <v>无敌帧时间增加：{+0.07s}</v>
      </c>
      <c r="J12" s="4" t="str">
        <v>寰宇的网络安全理念延伸到了物理层面。“相位闪避”芯片微调使用者的神经反射，让你在闪避时仿佛短暂地脱离了这个维度。</v>
      </c>
      <c r="K12" s="4" t="str">
        <v>可选</v>
      </c>
      <c r="L12" s="4" t="str">
        <v>寰宇 (相位技术)</v>
      </c>
      <c r="M12" s="4" t="str">
        <v>位移, 生存, 无敌帧</v>
      </c>
      <c r="N12" s="4"/>
    </row>
  </sheetData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 t="str">
        <v>洛克海德</v>
      </c>
      <c r="B2" s="4" t="str">
        <v>武器1</v>
      </c>
      <c r="C2" s="4"/>
      <c r="D2" s="4" t="str">
        <v>“碎颅者”重型霰弹枪</v>
      </c>
      <c r="E2" s="4"/>
      <c r="F2" s="4"/>
      <c r="G2" s="4"/>
      <c r="H2" s="4" t="str">
        <v>-</v>
      </c>
      <c r="I2" s="4" t="str">
        <v>-</v>
      </c>
      <c r="J2" s="4" t="str">
        <v>"口径即是正义，后坐力只是添头。" 洛克海德的经典设计哲学在此武器上体现得淋漓尽致。</v>
      </c>
      <c r="K2" s="4" t="str">
        <v>核心</v>
      </c>
      <c r="L2" s="4" t="str">
        <v>-</v>
      </c>
      <c r="M2" s="4"/>
      <c r="N2" s="4" t="str">
        <v>牺牲移动，强化骨骼防御和皮肤减伤，利用主副手义体稳定重火力输出，通过力量属性提升生存和部分技能效果。</v>
      </c>
    </row>
    <row r="3">
      <c r="A3" s="4" t="str">
        <v>东海工业</v>
      </c>
      <c r="B3" s="4" t="str">
        <v>武器2</v>
      </c>
      <c r="C3" s="4"/>
      <c r="D3" s="4" t="str">
        <v>“撕裂者”加特林机枪</v>
      </c>
      <c r="E3" s="4"/>
      <c r="F3" s="4"/>
      <c r="G3" s="4"/>
      <c r="H3" s="4" t="str">
        <v>-</v>
      </c>
      <c r="I3" s="4" t="str">
        <v>-</v>
      </c>
      <c r="J3" s="4" t="str">
        <v>东海工业为固定防御点设计的武器，火力持续性极佳。被佣兵拆下来手持使用后，成为移动的火力堡垒。</v>
      </c>
      <c r="K3" s="4" t="str">
        <v>核心</v>
      </c>
      <c r="L3" s="4" t="str">
        <v>-</v>
      </c>
      <c r="M3" s="4"/>
      <c r="N3" s="10"/>
    </row>
    <row r="4">
      <c r="A4" s="4" t="str">
        <v>洛克海德</v>
      </c>
      <c r="B4" s="4" t="str">
        <v>智脑</v>
      </c>
      <c r="C4" s="4"/>
      <c r="D4" s="4" t="str">
        <v>“火控”矩阵核心</v>
      </c>
      <c r="E4" s="4"/>
      <c r="F4" s="4"/>
      <c r="G4" s="4"/>
      <c r="H4" s="4" t="str">
        <v>-</v>
      </c>
      <c r="I4" s="4" t="str">
        <v>-</v>
      </c>
      <c r="J4" s="4" t="str">
        <v>S.T.O.R.M.系统的早期简化版本。被动： 优化武器火控，略微提升普通攻击射速和装填速度。主动： （指令：饱和轰炸）短时间内移除武器过热或弹药限制，普通攻击射速达到极限，结束后武器强制冷却。</v>
      </c>
      <c r="K4" s="4" t="str">
        <v>核心能力</v>
      </c>
      <c r="L4" s="4"/>
      <c r="M4" s="4"/>
      <c r="N4" s="10"/>
    </row>
    <row r="5">
      <c r="A5" s="4" t="str">
        <v>东海工业</v>
      </c>
      <c r="B5" s="4" t="str">
        <v>主手</v>
      </c>
      <c r="C5" s="4" t="str">
        <v>DH 'Bedrock' Stabilizer</v>
      </c>
      <c r="D5" s="4" t="str">
        <v>东海“基岩”稳定器</v>
      </c>
      <c r="E5" s="5">
        <f>+6</f>
      </c>
      <c r="F5" s="5">
        <f>+7</f>
      </c>
      <c r="G5" s="5">
        <f>+2</f>
      </c>
      <c r="H5" s="4" t="str">
        <v>移动速度低于50%时，降低武器攻击的扩散范围。</v>
      </c>
      <c r="I5" s="4" t="str">
        <v>散射范围降低：{-20%}</v>
      </c>
      <c r="J5" s="4" t="str">
        <v>东海工业的重装设计典范。“壁垒”系列将建筑的坚固理念融入人体改造。这款“基岩”稳定器内置了微型陀螺仪，即使是巨兽般的武器也能稳稳掌控。</v>
      </c>
      <c r="K5" s="4" t="str">
        <v>核心</v>
      </c>
      <c r="L5" s="4" t="str">
        <v>壁垒系列</v>
      </c>
      <c r="M5" s="4" t="str">
        <v>普攻强化, 稳定性</v>
      </c>
      <c r="N5" s="10"/>
    </row>
    <row r="6">
      <c r="A6" s="4" t="str">
        <v>洛克海德</v>
      </c>
      <c r="B6" s="4" t="str">
        <v>副手</v>
      </c>
      <c r="C6" s="4" t="str">
        <v>LH 'Hawkeye' Targeting Link</v>
      </c>
      <c r="D6" s="4" t="str">
        <v>“鹰眼”火控链接</v>
      </c>
      <c r="E6" s="5">
        <f>+5</f>
      </c>
      <c r="F6" s="5">
        <f>+8</f>
      </c>
      <c r="G6" s="5">
        <f>+5</f>
      </c>
      <c r="H6" s="4" t="str">
        <v>移动速度低于50%时，提升武器技能的有效射程。</v>
      </c>
      <c r="I6" s="4" t="str">
        <v>射程加成：{+25%}</v>
      </c>
      <c r="J6" s="4" t="str">
        <v>洛克海德军用级火控系统下放。“火控”系列义眼能与几乎所有制式武器无缝链接。这款“鹰眼”链接模组，让你的武器技能看得更远，打得更准，正如盘旋于顶的掠食者。</v>
      </c>
      <c r="K6" s="4" t="str">
        <v>核心</v>
      </c>
      <c r="L6" s="4" t="str">
        <v>火控系列</v>
      </c>
      <c r="M6" s="4" t="str">
        <v>武器技能, 射程, 瞄准</v>
      </c>
      <c r="N6" s="10"/>
    </row>
    <row r="7">
      <c r="A7" s="4" t="str">
        <v>东海工业</v>
      </c>
      <c r="B7" s="4" t="str">
        <v>腿部</v>
      </c>
      <c r="C7" s="4" t="str">
        <v>DH 'Anchor' System Mk.II</v>
      </c>
      <c r="D7" s="4" t="str">
        <v>东海“地锚”二型</v>
      </c>
      <c r="E7" s="5">
        <f>+10</f>
      </c>
      <c r="F7" s="5">
        <v>-1</v>
      </c>
      <c r="G7" s="5">
        <f>+6</f>
      </c>
      <c r="H7" s="4" t="str">
        <v>移速降低，韧性提升，且翻滚冷却时间减少。</v>
      </c>
      <c r="I7" s="4" t="str">
        <v>移动速度惩罚：{-50%}; 
韧性等级: {+1}
翻滚冷却: {-1s}</v>
      </c>
      <c r="J7" s="4" t="str">
        <v>东海工业的抗震建筑技术变种。“壁垒”系列的腿部改造。“地锚”腿甲牺牲了机动性，换来的是磐石般的稳定性，启动地锚，你就是不可撼动的堡垒。二型强化了固定效果。</v>
      </c>
      <c r="K7" s="4" t="str">
        <v>核心</v>
      </c>
      <c r="L7" s="4" t="str">
        <v>壁垒系列</v>
      </c>
      <c r="M7" s="4" t="str">
        <v>防御姿态, 霸体, 稳定性</v>
      </c>
      <c r="N7" s="10"/>
    </row>
    <row r="8">
      <c r="A8" s="4" t="str">
        <v>耶利哥</v>
      </c>
      <c r="B8" s="4" t="str">
        <v>皮肤</v>
      </c>
      <c r="C8" s="4" t="str">
        <v>JC 'Nerve-Null' Sheath</v>
      </c>
      <c r="D8" s="4" t="str">
        <v>“静滞”神经鞘</v>
      </c>
      <c r="E8" s="5">
        <f>+5</f>
      </c>
      <c r="F8" s="5">
        <f>+2</f>
      </c>
      <c r="G8" s="5">
        <f>+8</f>
      </c>
      <c r="H8" s="4" t="str">
        <v>减少受击时产生的硬直时间。</v>
      </c>
      <c r="I8" s="4" t="str">
        <v>硬直时间缩短：{-50%}</v>
      </c>
      <c r="J8" s="4" t="str">
        <v>耶利哥的湿件技术有时会走向奇怪的方向。“苦修士”系列皮肤追求在极端痛苦中保持平静。这款“静滞”神经鞘能有效过滤痛觉信号，让你在枪林弹雨中屹立不倒。</v>
      </c>
      <c r="K8" s="4" t="str">
        <v>核心</v>
      </c>
      <c r="L8" s="4" t="str">
        <v>苦修士系列</v>
      </c>
      <c r="M8" s="4" t="str">
        <v>生存, 受击反馈</v>
      </c>
      <c r="N8" s="10"/>
    </row>
    <row r="9">
      <c r="A9" s="4" t="str">
        <v>东海工业</v>
      </c>
      <c r="B9" s="4" t="str">
        <v>骨骼</v>
      </c>
      <c r="C9" s="4" t="str">
        <v>DH 'Aegis' Frame</v>
      </c>
      <c r="D9" s="4" t="str">
        <v>“神盾”骨架</v>
      </c>
      <c r="E9" s="5">
        <f>+11</f>
      </c>
      <c r="F9" s="5">
        <f>+2</f>
      </c>
      <c r="G9" s="5">
        <f>+5</f>
      </c>
      <c r="H9" s="4" t="str">
        <v>获得护甲值时，减少相当于50%获取量的生命值上限，提升100%获取到的护甲值。减少的生命值在移除此义体后归还。</v>
      </c>
      <c r="I9" s="4"/>
      <c r="J9" s="4" t="str">
        <v>重型工业外骨骼技术应用。“壁垒”系列的核心。“神盾”骨架采用最新复合材料打造，将工业级的防护能力赋予血肉之躯，代价是重量和牺牲部分灵活性。</v>
      </c>
      <c r="K9" s="4" t="str">
        <v>核心</v>
      </c>
      <c r="L9" s="4" t="str">
        <v>壁垒系列</v>
      </c>
      <c r="M9" s="4" t="str">
        <v>生存, 护甲</v>
      </c>
      <c r="N9" s="10"/>
    </row>
    <row r="10">
      <c r="A10" s="4" t="str">
        <v>洛克海德</v>
      </c>
      <c r="B10" s="4" t="str">
        <v>行为芯片</v>
      </c>
      <c r="C10" s="4" t="str">
        <v>AmmoUp' Tactical Chip</v>
      </c>
      <c r="D10" s="4" t="str">
        <v>“弹量+”战术芯片</v>
      </c>
      <c r="E10" s="5">
        <v>0</v>
      </c>
      <c r="F10" s="5">
        <v>0</v>
      </c>
      <c r="G10" s="5">
        <v>0</v>
      </c>
      <c r="H10" s="4" t="str">
        <v>弹夹内剩余子弹量越多，普通攻击伤害越高。</v>
      </c>
      <c r="I10" s="4" t="str">
        <v>远程普通攻击伤害加成：{+1 x 弹夹内剩余弹量%}</v>
      </c>
      <c r="J10" s="4" t="str">
        <v>洛克海德军需部门出品的标准强化芯片。“弹量+”芯片通过优化供弹和能量输出，简单直接地提升火力。</v>
      </c>
      <c r="K10" s="4" t="str">
        <v>可选</v>
      </c>
      <c r="L10" s="4" t="str">
        <v>军需系列 (芯片)</v>
      </c>
      <c r="M10" s="4" t="str">
        <v>普攻强化, 弹药</v>
      </c>
      <c r="N10" s="10"/>
    </row>
    <row r="11">
      <c r="A11" s="4" t="str">
        <v>东海工业</v>
      </c>
      <c r="B11" s="4" t="str">
        <v>行为芯片</v>
      </c>
      <c r="C11" s="4" t="str">
        <v>Fortress' Protocol Chip</v>
      </c>
      <c r="D11" s="4" t="str">
        <v>“堡垒协议”芯片</v>
      </c>
      <c r="E11" s="5">
        <v>0</v>
      </c>
      <c r="F11" s="5">
        <v>0</v>
      </c>
      <c r="G11" s="5">
        <v>0</v>
      </c>
      <c r="H11" s="4" t="str">
        <v>在原地静止不动超过{2}秒后，获得“阵地”效果。阵地：获得伤害减免，且普通攻击散射范围降低。</v>
      </c>
      <c r="I11" s="4" t="str">
        <v>阵地：伤害减免：{-20%}; 
普通攻击散射降低：{-30%}
持续时间：{2s}</v>
      </c>
      <c r="J11" s="4" t="str">
        <v>源自固定炮台的设计理念。“堡垒协议”芯片奖励那些懂得寻找掩护和稳定输出的战士。</v>
      </c>
      <c r="K11" s="4" t="str">
        <v>可选</v>
      </c>
      <c r="L11" s="4" t="str">
        <v>阵地系列 (芯片)</v>
      </c>
      <c r="M11" s="4" t="str">
        <v>防御姿态, 生存, 稳定性</v>
      </c>
      <c r="N11" s="10"/>
    </row>
    <row r="12">
      <c r="A12" s="4" t="str">
        <v>洛克海德</v>
      </c>
      <c r="B12" s="4" t="str">
        <v>行为芯片</v>
      </c>
      <c r="C12" s="4" t="str">
        <v>ArmorBane' Rounds Chip</v>
      </c>
      <c r="D12" s="4" t="str">
        <v>“破敌”穿甲芯片</v>
      </c>
      <c r="E12" s="5">
        <v>0</v>
      </c>
      <c r="F12" s="5">
        <v>0</v>
      </c>
      <c r="G12" s="5">
        <v>0</v>
      </c>
      <c r="H12" s="4" t="str">
        <v>普通攻击有几率对目标施加“破甲”效果。</v>
      </c>
      <c r="I12" s="4" t="str" xml:space="preserve">
        <v>触发几率：{15%}; </v>
      </c>
      <c r="J12" s="4" t="str">
        <v>军用科技下放。“破敌”芯片为你的子弹附加了特殊侵彻效果，撕开敌人的铁皮罐头。</v>
      </c>
      <c r="K12" s="4" t="str">
        <v>可选</v>
      </c>
      <c r="L12" s="4" t="str">
        <v>军需系列 (芯片)</v>
      </c>
      <c r="M12" s="4" t="str">
        <v>普攻强化, 破甲, 减益</v>
      </c>
      <c r="N12" s="10"/>
    </row>
  </sheetData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牺牲移动，强化骨骼防御和皮肤减伤，利用主副手义体稳定重火力输出，通过力量属性提升生存和部分技能效果。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"/>
    </row>
    <row r="5">
      <c r="A5" s="4" t="str">
        <v>寰宇</v>
      </c>
      <c r="B5" s="4" t="str">
        <v>主手</v>
      </c>
      <c r="C5" s="4" t="str">
        <v>Omni 'HotSwap' Amplifier</v>
      </c>
      <c r="D5" s="4" t="str">
        <v>“热切换”增幅器</v>
      </c>
      <c r="E5" s="5">
        <f>+4</f>
      </c>
      <c r="F5" s="5">
        <f>+9</f>
      </c>
      <c r="G5" s="5">
        <f>+5</f>
      </c>
      <c r="H5" s="4" t="str">
        <v>切换武器后的 {3s} 内，你的普通攻击伤害增加 {+30%} 。如果你切换武器后使用普通攻击击中过敌人，则该效果可叠加额外{1}层。</v>
      </c>
      <c r="I5" s="4" t="str">
        <v>持续时间：{3s}; 
增加伤害：{+60%}</v>
      </c>
      <c r="J5" s="4" t="str">
        <v>寰宇的快速任务切换技术。“切换”系列主手组件。它能在你切换武器的瞬间，将武器接口的能量短暂超载，为你的下一次攻击注入额外动力。</v>
      </c>
      <c r="K5" s="4" t="str">
        <v>核心</v>
      </c>
      <c r="L5" s="4" t="str">
        <v>切换系列 (Swap)</v>
      </c>
      <c r="M5" s="4" t="str">
        <v>武器切换, 普攻强化, 增伤</v>
      </c>
      <c r="N5" s="10"/>
    </row>
    <row r="6">
      <c r="A6" s="4" t="str">
        <v>寰宇</v>
      </c>
      <c r="B6" s="4" t="str">
        <v>副手</v>
      </c>
      <c r="C6" s="4" t="str">
        <v>Omni 'Synergy' Matrix</v>
      </c>
      <c r="D6" s="4" t="str">
        <v>“协同矩阵”</v>
      </c>
      <c r="E6" s="5">
        <f>+3</f>
      </c>
      <c r="F6" s="5">
        <f>+8</f>
      </c>
      <c r="G6" s="5">
        <f>+7</f>
      </c>
      <c r="H6" s="4" t="str">
        <v>切换武器后的 {3s} 内，你的主动技能伤害提升 {+60%}。如果你切换武器后使用武器技能击中过敌人，则该效果可叠加额外{1}层。</v>
      </c>
      <c r="I6" s="4" t="str">
        <v>增益持续：{3s}; 
技能伤害加成：{+60%};</v>
      </c>
      <c r="J6" s="4" t="str">
        <v>“切换”系列的副手模块。“协同矩阵”在你切换武器时激活，强化你紧随其后的技能打击，并标记敌人弱点，为后续输出创造条件。</v>
      </c>
      <c r="K6" s="4" t="str">
        <v>核心</v>
      </c>
      <c r="L6" s="4" t="str">
        <v>切换系列 (Swap)</v>
      </c>
      <c r="M6" s="4" t="str">
        <v>武器切换, 武器技能, 易伤</v>
      </c>
      <c r="N6" s="10"/>
    </row>
    <row r="7">
      <c r="A7" s="4" t="str">
        <v>律动智能</v>
      </c>
      <c r="B7" s="4" t="str">
        <v>腿部</v>
      </c>
      <c r="C7" s="4" t="str">
        <v>RI 'FlowShift' Actuators</v>
      </c>
      <c r="D7" s="4" t="str">
        <v>“流转换”执行器</v>
      </c>
      <c r="E7" s="5">
        <f>+5</f>
      </c>
      <c r="F7" s="5">
        <f>+10</f>
      </c>
      <c r="G7" s="5">
        <f>+3</f>
      </c>
      <c r="H7" s="4" t="str">
        <v>每次切换武器时，获得一次免费的短距离冲刺。</v>
      </c>
      <c r="I7" s="4" t="str">
        <v>免费冲刺距离：300;
内置冷却：{2s}
持续时间：{2s}</v>
      </c>
      <c r="J7" s="4" t="str">
        <v>律动智能的动作捕捉与预测技术。“转换”系列腿部组件。“流转换”执行器将武器切换动作转化为流畅的位移，让你在变换火力的同时调整身位，保持战斗节奏。</v>
      </c>
      <c r="K7" s="4" t="str">
        <v>核心</v>
      </c>
      <c r="L7" s="4" t="str">
        <v>转换系列 (Shift)</v>
      </c>
      <c r="M7" s="4" t="str">
        <v>武器切换, 位移, 移动速度</v>
      </c>
      <c r="N7" s="10"/>
    </row>
    <row r="8">
      <c r="A8" s="4" t="str">
        <v>耶利哥</v>
      </c>
      <c r="B8" s="4" t="str">
        <v>皮肤</v>
      </c>
      <c r="C8" s="4" t="str">
        <v>JC 'Momentum' Barrier</v>
      </c>
      <c r="D8" s="4" t="str">
        <v>“动量屏障”</v>
      </c>
      <c r="E8" s="5">
        <f>+6</f>
      </c>
      <c r="F8" s="5">
        <f>+6</f>
      </c>
      <c r="G8" s="5">
        <f>+6</f>
      </c>
      <c r="H8" s="4" t="str">
        <v>每次切换武器时，获得一个临时护盾。护盾持续 {2s} 或被打破后消失。</v>
      </c>
      <c r="I8" s="4" t="str">
        <v>护盾吸收量：{当前生命值 x 50%}; 
持续时间：{2s}
内置冷却：{5s}</v>
      </c>
      <c r="J8" s="4" t="str">
        <v>耶利哥将生物动能转化为防御力场的技术。“动量屏障”在你切换武器、改变战斗“势头”时最为活跃，将你未消耗的体力转化为一层短暂但关键的保护。</v>
      </c>
      <c r="K8" s="4" t="str">
        <v>核心</v>
      </c>
      <c r="L8" s="4" t="str">
        <v>动量系列 (Momentum)</v>
      </c>
      <c r="M8" s="4" t="str">
        <v>武器切换, 护盾, 生存, 体力关联</v>
      </c>
      <c r="N8" s="10"/>
    </row>
    <row r="9">
      <c r="A9" s="4" t="str">
        <v>洛克海德</v>
      </c>
      <c r="B9" s="4" t="str">
        <v>骨骼</v>
      </c>
      <c r="C9" s="4" t="str">
        <v>LH 'Juggler's Poise' Frame</v>
      </c>
      <c r="D9" s="4" t="str">
        <v>“戏法”平衡骨架</v>
      </c>
      <c r="E9" s="5">
        <f>+7</f>
      </c>
      <c r="F9" s="5">
        <f>+7</f>
      </c>
      <c r="G9" s="5">
        <f>+4</f>
      </c>
      <c r="H9" s="4" t="str">
        <v>切换武器后，短时间内提升你的攻击速度和换弹速度。该效果可叠加。</v>
      </c>
      <c r="I9" s="4" t="str" xml:space="preserve">
        <v>攻速/换弹速度加成：{+10%}; 持续时间：{3s}; </v>
      </c>
      <c r="J9" s="4" t="str">
        <v>洛克海德为需要同时操控多种武器系统的战斗人员设计。“戏法”平衡骨架奖励那些能在不同武器间娴熟切换的战士，你的动作越是流畅，武器的响应就越快。</v>
      </c>
      <c r="K9" s="4" t="str">
        <v>核心</v>
      </c>
      <c r="L9" s="4" t="str">
        <v>戏法系列 (Juggler)</v>
      </c>
      <c r="M9" s="4" t="str">
        <v>武器切换, 叠加增益, 攻速, 装填</v>
      </c>
      <c r="N9" s="10"/>
    </row>
    <row r="10">
      <c r="A10" s="4" t="str">
        <v>---</v>
      </c>
      <c r="B10" s="4" t="str">
        <v>行为芯片</v>
      </c>
      <c r="C10" s="4" t="str">
        <v>---</v>
      </c>
      <c r="D10" s="4" t="str">
        <v>快速调整 (Quick Adjust)</v>
      </c>
      <c r="E10" s="5">
        <v>0</v>
      </c>
      <c r="F10" s="5">
        <v>0</v>
      </c>
      <c r="G10" s="5">
        <v>0</v>
      </c>
      <c r="H10" s="4" t="str">
        <v>切换武器时，如果被切出的武器弹夹为空，立即为其装弹15%。</v>
      </c>
      <c r="I10" s="4" t="str">
        <v>弹药装填比例：{15%}</v>
      </c>
      <c r="J10" s="4" t="str">
        <v>---</v>
      </c>
      <c r="K10" s="4" t="str">
        <v>可选</v>
      </c>
      <c r="L10" s="4" t="str">
        <v>---</v>
      </c>
      <c r="M10" s="4" t="str">
        <v>武器切换, 装填</v>
      </c>
      <c r="N10" s="10"/>
    </row>
    <row r="11">
      <c r="A11" s="4" t="str">
        <v>---</v>
      </c>
      <c r="B11" s="4" t="str">
        <v>行为芯片</v>
      </c>
      <c r="C11" s="4" t="str">
        <v>---</v>
      </c>
      <c r="D11" s="4" t="str">
        <v>节奏大师 (Rhythm Master)</v>
      </c>
      <c r="E11" s="5">
        <v>0</v>
      </c>
      <c r="F11" s="5">
        <v>0</v>
      </c>
      <c r="G11" s="5">
        <v>0</v>
      </c>
      <c r="H11" s="4" t="str">
        <v>切换武器后的第一次攻击，造成 {+30%} 额外伤害。</v>
      </c>
      <c r="I11" s="4" t="str">
        <v>额外伤害加成：{+30%}</v>
      </c>
      <c r="J11" s="4" t="str">
        <v>---</v>
      </c>
      <c r="K11" s="4" t="str">
        <v>可选</v>
      </c>
      <c r="L11" s="4" t="str">
        <v>---</v>
      </c>
      <c r="M11" s="4" t="str">
        <v>武器切换, 操作连招, 增伤</v>
      </c>
      <c r="N11" s="10"/>
    </row>
    <row r="12">
      <c r="A12" s="4" t="str">
        <v>---</v>
      </c>
      <c r="B12" s="4" t="str">
        <v>行为芯片</v>
      </c>
      <c r="C12" s="4" t="str">
        <v>---</v>
      </c>
      <c r="D12" s="4" t="str">
        <v>状态重置 (Status Reset)</v>
      </c>
      <c r="E12" s="5">
        <v>0</v>
      </c>
      <c r="F12" s="5">
        <v>0</v>
      </c>
      <c r="G12" s="5">
        <v>0</v>
      </c>
      <c r="H12" s="4" t="str">
        <v>切换武器时，有 {30%} 概率移除自身一个随机的负面状态效果。</v>
      </c>
      <c r="I12" s="4" t="str">
        <v>触发几率：{30%}
内置冷却：{5s}</v>
      </c>
      <c r="J12" s="4" t="str">
        <v>---</v>
      </c>
      <c r="K12" s="4" t="str">
        <v>可选</v>
      </c>
      <c r="L12" s="4" t="str">
        <v>---</v>
      </c>
      <c r="M12" s="4" t="str">
        <v>普攻强化, 破甲, 减益</v>
      </c>
      <c r="N12" s="10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10"/>
    </row>
  </sheetData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牺牲移动，强化骨骼防御和皮肤减伤，利用主副手义体稳定重火力输出，通过力量属性提升生存和部分技能效果。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"/>
    </row>
    <row r="5">
      <c r="A5" s="4" t="str">
        <v>洛克海德</v>
      </c>
      <c r="B5" s="4" t="str">
        <v>主手</v>
      </c>
      <c r="C5" s="4" t="str">
        <v>LH 'Deadeye' Precision Lens</v>
      </c>
      <c r="D5" s="4" t="str">
        <v>“死眼”精密透镜</v>
      </c>
      <c r="E5" s="5">
        <f>+3</f>
      </c>
      <c r="F5" s="5">
        <f>+10</f>
      </c>
      <c r="G5" s="5">
        <f>+5</f>
      </c>
      <c r="H5" s="4" t="str">
        <v>普通攻击的有效射程增加，距离敌人越远，普通攻击造成的伤害越高。</v>
      </c>
      <c r="I5" s="4" t="str">
        <v>有效射程加成：{+20%}; 
伤害加成：{伤害距离 x 0.1%}</v>
      </c>
      <c r="J5" s="4" t="str">
        <v>洛克海德狙击手训练系统的核心部件。“神射手之眼”接口将你的视觉神经与火控系统完美结合，让你看得更远，打得更痛。</v>
      </c>
      <c r="K5" s="4" t="str">
        <v>核心</v>
      </c>
      <c r="L5" s="4" t="str">
        <v>神射手系列 (Marksman)</v>
      </c>
      <c r="M5" s="4" t="str">
        <v>普攻强化, 射程, 距离增伤</v>
      </c>
      <c r="N5" s="10"/>
    </row>
    <row r="6">
      <c r="A6" s="4" t="str">
        <v>洛克海德</v>
      </c>
      <c r="B6" s="4" t="str">
        <v>副手</v>
      </c>
      <c r="C6" s="4" t="str">
        <v>LH 'Skill Hit' Enhancer</v>
      </c>
      <c r="D6" s="4" t="str">
        <v>“技巧打击”增强器</v>
      </c>
      <c r="E6" s="5">
        <f>+4</f>
      </c>
      <c r="F6" s="5">
        <f>+9</f>
      </c>
      <c r="G6" s="5">
        <f>+5</f>
      </c>
      <c r="H6" s="4" t="str">
        <v>你的所有武器技能暴击率提升 {10%}。
如果武器技能造成了暴击，则返还该技能 {25%} 的冷却时间。</v>
      </c>
      <c r="I6" s="4" t="str">
        <v>技能暴击率：{+10%}; 
暴击返还冷却：{25%}</v>
      </c>
      <c r="J6" s="4" t="str">
        <v>S.T.O.R.M.系统的火力协调模块。“技巧射击”增强器奖励那些能精准命中弱点的技能使用者，每一次完美的技能暴击都能让你更快地准备下一次。</v>
      </c>
      <c r="K6" s="4" t="str">
        <v>核心</v>
      </c>
      <c r="L6" s="4" t="str">
        <v>火力优势系列</v>
      </c>
      <c r="M6" s="4" t="str">
        <v>武器技能, 暴击率, 冷却</v>
      </c>
      <c r="N6" s="10"/>
    </row>
    <row r="7">
      <c r="A7" s="4" t="str">
        <v>律动智能</v>
      </c>
      <c r="B7" s="4" t="str">
        <v>腿部</v>
      </c>
      <c r="C7" s="4" t="str">
        <v>RI 'Kiting' Thrusters</v>
      </c>
      <c r="D7" s="4" t="str">
        <v>“风筝”推进器</v>
      </c>
      <c r="E7" s="5">
        <f>+4</f>
      </c>
      <c r="F7" s="5">
        <f>+10</f>
      </c>
      <c r="G7" s="5">
        <f>+4</f>
      </c>
      <c r="H7" s="4" t="str">
        <v>向侧、后方翻滚时，移动距离大幅增加，并留下一道短暂的能量轨迹，对穿过的敌人施加“麻痹”效果。</v>
      </c>
      <c r="I7" s="4" t="str">
        <v>后冲距离加成：{+50%}; 
能量轨迹持续：{1s}; 
能量轨迹宽度：{80cm}</v>
      </c>
      <c r="J7" s="4" t="str">
        <v>律动智能为远程作战单位设计的机动方案。“风筝”推进器强化了使用者与敌人保持距离的能力，让你能在后撤的同时干扰追击者。</v>
      </c>
      <c r="K7" s="4" t="str">
        <v>核心</v>
      </c>
      <c r="L7" s="4" t="str">
        <v>风筝系列 (Kiting)</v>
      </c>
      <c r="M7" s="4" t="str">
        <v>位移, 控制, 生存, 远程</v>
      </c>
      <c r="N7" s="10"/>
    </row>
    <row r="8">
      <c r="A8" s="4" t="str">
        <v>寰宇</v>
      </c>
      <c r="B8" s="4" t="str">
        <v>皮肤</v>
      </c>
      <c r="C8" s="4" t="str">
        <v>Omni 'Safe Distance' Protocol</v>
      </c>
      <c r="D8" s="4" t="str">
        <v>“安全距离”协议</v>
      </c>
      <c r="E8" s="5">
        <f>+5</f>
      </c>
      <c r="F8" s="5">
        <f>+6</f>
      </c>
      <c r="G8" s="5">
        <f>+7</f>
      </c>
      <c r="H8" s="4" t="str">
        <v>当你周围 {5m} 内没有敌人时，你的装填和体力恢复速度提升。</v>
      </c>
      <c r="I8" s="4" t="str">
        <v>装填速度加成：{+30%}; 
每秒体力恢复：{+100%}; 
生效范围：{周围10m无敌人}</v>
      </c>
      <c r="J8" s="4" t="str">
        <v>寰宇的战场信息优势体现。“远距网络”皮肤能实时扫描周围环境，当你处于安全的远程位置时，它会优化你的后勤和恢复能力，鼓励你保持距离。</v>
      </c>
      <c r="K8" s="4" t="str">
        <v>核心</v>
      </c>
      <c r="L8" s="4" t="str">
        <v>远距作战系列</v>
      </c>
      <c r="M8" s="4" t="str">
        <v>距离维持, 装填, 回复, 生存</v>
      </c>
      <c r="N8" s="10"/>
    </row>
    <row r="9">
      <c r="A9" s="4" t="str">
        <v>洛克海德</v>
      </c>
      <c r="B9" s="4" t="str">
        <v>骨骼</v>
      </c>
      <c r="C9" s="4" t="str">
        <v>LH 'Steady Aim' Frame V2</v>
      </c>
      <c r="D9" s="4" t="str">
        <v>“稳定瞄准”骨架 V2</v>
      </c>
      <c r="E9" s="5">
        <f>+7</f>
      </c>
      <c r="F9" s="5">
        <f>+8</f>
      </c>
      <c r="G9" s="5">
        <f>+3</f>
      </c>
      <c r="H9" s="4" t="str">
        <v>基于你的护甲值，降低移动中远程普通攻击的散射范围。</v>
      </c>
      <c r="I9" s="4" t="str">
        <v>移动散射乘数降低：{-(0.01 x 护甲值}，不低于1</v>
      </c>
      <c r="J9" s="4" t="str">
        <v>洛克海德的枪械稳定技术的改进版。“稳定瞄准”骨架内置了更先进的惯性补偿系统，让你即使在移动中也能保持相当高的射击精度。</v>
      </c>
      <c r="K9" s="4" t="str">
        <v>核心</v>
      </c>
      <c r="L9" s="4" t="str">
        <v>稳定平台系列</v>
      </c>
      <c r="M9" s="4" t="str">
        <v>普攻强化, 稳定性, 精准</v>
      </c>
      <c r="N9" s="10"/>
    </row>
    <row r="10">
      <c r="A10" s="4" t="str">
        <v>---</v>
      </c>
      <c r="B10" s="4" t="str">
        <v>行为芯片</v>
      </c>
      <c r="C10" s="4" t="str">
        <v>Tracer Round</v>
      </c>
      <c r="D10" s="4" t="str">
        <v>曳光弹</v>
      </c>
      <c r="E10" s="5">
        <v>0</v>
      </c>
      <c r="F10" s="5">
        <v>0</v>
      </c>
      <c r="G10" s="5">
        <v>0</v>
      </c>
      <c r="H10" s="4" t="str">
        <v>最后{10%}弹匣子弹造成额外伤害。</v>
      </c>
      <c r="I10" s="4" t="str">
        <v>最后10%弹药增伤：{+25%}; 
击杀回弹几率：{15%}; 
回复弹量：{5%}</v>
      </c>
      <c r="J10" s="4" t="str">
        <v>---</v>
      </c>
      <c r="K10" s="4" t="str">
        <v>可选</v>
      </c>
      <c r="L10" s="4" t="str">
        <v>---</v>
      </c>
      <c r="M10" s="4" t="str">
        <v>弹药, 增伤, 击杀反馈</v>
      </c>
      <c r="N10" s="10"/>
    </row>
    <row r="11">
      <c r="A11" s="4" t="str">
        <v>---</v>
      </c>
      <c r="B11" s="4" t="str">
        <v>行为芯片</v>
      </c>
      <c r="C11" s="4" t="str">
        <v>Suppression</v>
      </c>
      <c r="D11" s="4" t="str">
        <v>压制</v>
      </c>
      <c r="E11" s="5">
        <v>0</v>
      </c>
      <c r="F11" s="5">
        <v>0</v>
      </c>
      <c r="G11" s="5">
        <v>0</v>
      </c>
      <c r="H11" s="4" t="str">
        <v>连续命中同一敌人 {3} 次后，该敌人在短时间内造成的伤害降低。</v>
      </c>
      <c r="I11" s="4" t="str">
        <v>命中次数要求：{3}; 
伤害降低：{-20%}; 
连续阈值：{1s}
持续时间：{4s}</v>
      </c>
      <c r="J11" s="4" t="str">
        <v>---</v>
      </c>
      <c r="K11" s="4" t="str">
        <v>可选</v>
      </c>
      <c r="L11" s="4" t="str">
        <v>---</v>
      </c>
      <c r="M11" s="4" t="str">
        <v>减益, 连续攻击, 生存</v>
      </c>
      <c r="N11" s="10"/>
    </row>
    <row r="12">
      <c r="A12" s="4" t="str">
        <v>---</v>
      </c>
      <c r="B12" s="4" t="str">
        <v>行为芯片</v>
      </c>
      <c r="C12" s="4" t="str">
        <v>Observer</v>
      </c>
      <c r="D12" s="4" t="str" xml:space="preserve">
        <v>观察者 </v>
      </c>
      <c r="E12" s="5">
        <v>0</v>
      </c>
      <c r="F12" s="5">
        <v>0</v>
      </c>
      <c r="G12" s="5">
        <v>0</v>
      </c>
      <c r="H12" s="4" t="str">
        <v>你距离敌人越远，对该敌人造成的暴击伤害越高。</v>
      </c>
      <c r="I12" s="4" t="str">
        <v>最大距离暴伤加成：{+(命中距离 / 20)%}</v>
      </c>
      <c r="J12" s="4" t="str">
        <v>---</v>
      </c>
      <c r="K12" s="4" t="str">
        <v>可选</v>
      </c>
      <c r="L12" s="4" t="str">
        <v>---</v>
      </c>
      <c r="M12" s="4" t="str">
        <v>距离增伤, 暴击伤害</v>
      </c>
      <c r="N12" s="10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10"/>
    </row>
    <row r="14">
      <c r="A14" s="4"/>
      <c r="B14" s="4"/>
      <c r="C14" s="4"/>
      <c r="D14" s="4"/>
      <c r="E14" s="5"/>
      <c r="F14" s="5"/>
      <c r="G14" s="5"/>
      <c r="H14" s="4"/>
      <c r="I14" s="4"/>
      <c r="J14" s="4"/>
      <c r="K14" s="4"/>
      <c r="L14" s="4"/>
      <c r="M14" s="4"/>
      <c r="N14" s="10"/>
    </row>
  </sheetData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22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强化近战攻击、防御、机动性和打击感，鼓励玩家主动贴近敌人进行战斗。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"/>
    </row>
    <row r="5">
      <c r="A5" s="4" t="str">
        <v>劳旅</v>
      </c>
      <c r="B5" s="4" t="str">
        <v>主手</v>
      </c>
      <c r="C5" s="4" t="str">
        <v>LB 'Impact Driver' Arms</v>
      </c>
      <c r="D5" s="4" t="str">
        <v>“冲击钻”臂</v>
      </c>
      <c r="E5" s="5">
        <f>+10</f>
      </c>
      <c r="F5" s="5">
        <f>+5</f>
      </c>
      <c r="G5" s="5">
        <f>+0</f>
      </c>
      <c r="H5" s="4" t="str">
        <v>近战普通攻击造成额外伤害和冲击。造成硬直时，回复少量体力。</v>
      </c>
      <c r="I5" s="4" t="str">
        <v>额外伤害：{武器伤害 x 20%};
冲击力加成：{+35%}; 
打断回体：{10}</v>
      </c>
      <c r="J5" s="4" t="str">
        <v>劳旅工人用拆卸下来的重型机械零件打造的武器接口。“重拳先生”指虎让你每一拳都势大力沉，能轻易打断弱小敌人的攻击，并从中获得继续挥拳的动力。</v>
      </c>
      <c r="K5" s="4" t="str">
        <v>核心</v>
      </c>
      <c r="L5" s="4" t="str">
        <v>强袭系列 (Assault)</v>
      </c>
      <c r="M5" s="4" t="str">
        <v>普攻强化, 直伤, 冲击力, 体力</v>
      </c>
      <c r="N5" s="10"/>
    </row>
    <row r="6">
      <c r="A6" s="4" t="str">
        <v>劳旅</v>
      </c>
      <c r="B6" s="4" t="str">
        <v>副手</v>
      </c>
      <c r="C6" s="4" t="str">
        <v>LB 'Executioner's Edge'</v>
      </c>
      <c r="D6" s="4" t="str">
        <v>“处决者”锋刃</v>
      </c>
      <c r="E6" s="5">
        <f>+9</f>
      </c>
      <c r="F6" s="5">
        <f>+6</f>
      </c>
      <c r="G6" s="5">
        <f>+0</f>
      </c>
      <c r="H6" s="4" t="str">
        <v>近战武器技能对生命值低于 {40%} 的敌人造成额外伤害。若此技能击杀敌人，则重置该技能冷却时间。</v>
      </c>
      <c r="I6" s="4" t="str" xml:space="preserve">
        <v>额外伤害：{武器技能伤害 x 50%}; </v>
      </c>
      <c r="J6" s="4" t="str">
        <v>“强袭”系列的武器技能模块。“处决者”锋刃优化了能量输出，专门用于解决濒死的敌人，一旦成功处决，你将能更快地再次发动致命一击。</v>
      </c>
      <c r="K6" s="4" t="str">
        <v>核心</v>
      </c>
      <c r="L6" s="4" t="str">
        <v>强袭系列 (Assault)</v>
      </c>
      <c r="M6" s="4" t="str">
        <v>武器技能, 斩杀, 增伤, 冷却</v>
      </c>
      <c r="N6" s="10"/>
    </row>
    <row r="7">
      <c r="A7" s="4" t="str">
        <v>野望</v>
      </c>
      <c r="B7" s="4" t="str">
        <v>腿部</v>
      </c>
      <c r="C7" s="4" t="str">
        <v>WW 'Blade Dancer' Reflexes</v>
      </c>
      <c r="D7" s="4" t="str">
        <v>“刀舞者”反射</v>
      </c>
      <c r="E7" s="5">
        <f>+5</f>
      </c>
      <c r="F7" s="5">
        <f>+10</f>
      </c>
      <c r="G7" s="5">
        <f>+3</f>
      </c>
      <c r="H7" s="4" t="str">
        <v>冲刺动作替换为快速的侧向或前向滑步，滑步过程中拥有更长的无敌帧。成功用滑步躲避一次攻击后，短时间提升近战攻击速度。</v>
      </c>
      <c r="I7" s="4" t="str">
        <v>滑步无敌帧：{+0.12s}; 
躲避后攻速加成：{+25%}; 
持续时间：{2.5s}</v>
      </c>
      <c r="J7" s="4" t="str">
        <v>野望为追求极致近战技巧的客户设计的义肢。“刀舞者”反射让你如同在刀尖上跳舞，完美闪避攻击的同时，以更快的速度还以颜色。</v>
      </c>
      <c r="K7" s="4" t="str">
        <v>核心</v>
      </c>
      <c r="L7" s="4" t="str">
        <v>刀舞者系列</v>
      </c>
      <c r="M7" s="4" t="str">
        <v>位移, 闪避, 攻速, 近战</v>
      </c>
      <c r="N7" s="10"/>
    </row>
    <row r="8">
      <c r="A8" s="4" t="str">
        <v>耶利哥</v>
      </c>
      <c r="B8" s="4" t="str">
        <v>皮肤</v>
      </c>
      <c r="C8" s="4" t="str">
        <v>JC 'Retribution' Field</v>
      </c>
      <c r="D8" s="4" t="str">
        <v>“报复力场”</v>
      </c>
      <c r="E8" s="5">
        <f>+8</f>
      </c>
      <c r="F8" s="5">
        <f>+4</f>
      </c>
      <c r="G8" s="5">
        <f>+6</f>
      </c>
      <c r="H8" s="4" t="str">
        <v>受到任何来源的伤害时，对 {5m} 范围内的随机 {1} 名敌人造成一次基于你已损失生命值百分比的反伤。</v>
      </c>
      <c r="I8" s="4" t="str">
        <v>反伤伤害：{已损失生命值% x 力量} 
范围：{5m}; 
目标：{随机1名}</v>
      </c>
      <c r="J8" s="4" t="str">
        <v>耶利哥利用生物电场和痛苦反馈回路制造的防御系统。“报复力场”将你承受的痛苦转化为攻击性的能量，随机倾泻在你周围的敌人身上。</v>
      </c>
      <c r="K8" s="4" t="str">
        <v>核心</v>
      </c>
      <c r="L8" s="4" t="str">
        <v>报复系列</v>
      </c>
      <c r="M8" s="4" t="str">
        <v>反伤, 受击触发, 范围伤害</v>
      </c>
      <c r="N8" s="10"/>
    </row>
    <row r="9">
      <c r="A9" s="4" t="str">
        <v>东海工业</v>
      </c>
      <c r="B9" s="4" t="str">
        <v>骨骼</v>
      </c>
      <c r="C9" s="4" t="str">
        <v>DH 'Adamant' Frame</v>
      </c>
      <c r="D9" s="4" t="str">
        <v>“金刚”骨架</v>
      </c>
      <c r="E9" s="5">
        <f>+11</f>
      </c>
      <c r="F9" s="5">
        <f>+4</f>
      </c>
      <c r="G9" s="5">
        <f>+3</f>
      </c>
      <c r="H9" s="4" t="str">
        <v>提升护甲的减伤和抗冲击能力。格挡或完美闪避成功时，短时间获得“霸体“效果。</v>
      </c>
      <c r="I9" s="4" t="str">
        <v>护甲减伤：{+100%}; 
抗冲击等级：{+2}; 
触发霸体持续：{2s}</v>
      </c>
      <c r="J9" s="4" t="str">
        <v>东海工业为近身肉搏单位设计的重型骨架。“不坏”骨架让你如同坚不可摧的堡垒，而“金刚”型号更是在成功防御或闪避时赋予你短暂的、不可阻挡的冲击力。</v>
      </c>
      <c r="K9" s="4" t="str">
        <v>核心</v>
      </c>
      <c r="L9" s="4" t="str">
        <v>不坏系列 (金刚)</v>
      </c>
      <c r="M9" s="4" t="str">
        <v>护甲, 生存, 霸体, 格挡/闪避</v>
      </c>
      <c r="N9" s="10"/>
    </row>
    <row r="10">
      <c r="A10" s="4" t="str">
        <v>---</v>
      </c>
      <c r="B10" s="4" t="str">
        <v>行为芯片</v>
      </c>
      <c r="C10" s="4" t="str">
        <v>Press the Attack</v>
      </c>
      <c r="D10" s="4" t="str">
        <v>乘胜追击</v>
      </c>
      <c r="E10" s="5">
        <v>0</v>
      </c>
      <c r="F10" s="5">
        <v>0</v>
      </c>
      <c r="G10" s="5">
        <v>0</v>
      </c>
      <c r="H10" s="4" t="str">
        <v>使用近战普通攻击或武器技能命中敌人后，在 {2s} 内对其造成的下一次近战普通攻击伤害提升。</v>
      </c>
      <c r="I10" s="4" t="str">
        <v>伤害加成：{+30%}; 
时间窗口：{2s}</v>
      </c>
      <c r="J10" s="4" t="str">
        <v>---</v>
      </c>
      <c r="K10" s="4" t="str">
        <v>可选</v>
      </c>
      <c r="L10" s="4" t="str">
        <v>---</v>
      </c>
      <c r="M10" s="4" t="str">
        <v>近战, 连续攻击, 增伤</v>
      </c>
      <c r="N10" s="10"/>
    </row>
    <row r="11">
      <c r="A11" s="4" t="str">
        <v>---</v>
      </c>
      <c r="B11" s="4" t="str">
        <v>行为芯片</v>
      </c>
      <c r="C11" s="4" t="str">
        <v>Blood Craze</v>
      </c>
      <c r="D11" s="4" t="str">
        <v>嗜血渴望</v>
      </c>
      <c r="E11" s="5">
        <v>0</v>
      </c>
      <c r="F11" s="5">
        <v>0</v>
      </c>
      <c r="G11" s="5">
        <v>0</v>
      </c>
      <c r="H11" s="4" t="str">
        <v>近战击杀敌人时，回复少量生命值和体力。</v>
      </c>
      <c r="I11" s="4" t="str">
        <v>生命恢复：{最大生命值的3%}; 体力恢复：{15}</v>
      </c>
      <c r="J11" s="4" t="str">
        <v>---</v>
      </c>
      <c r="K11" s="4" t="str">
        <v>可选</v>
      </c>
      <c r="L11" s="4" t="str">
        <v>---</v>
      </c>
      <c r="M11" s="4" t="str">
        <v>近战, 击杀反馈, 回复, 生存</v>
      </c>
      <c r="N11" s="10"/>
    </row>
    <row r="12">
      <c r="A12" s="4" t="str">
        <v>---</v>
      </c>
      <c r="B12" s="4" t="str">
        <v>行为芯片</v>
      </c>
      <c r="C12" s="4" t="str">
        <v>Exploit Weakness</v>
      </c>
      <c r="D12" s="4" t="str" xml:space="preserve">
        <v>破绽打击 </v>
      </c>
      <c r="E12" s="5">
        <v>0</v>
      </c>
      <c r="F12" s="5">
        <v>0</v>
      </c>
      <c r="G12" s="5">
        <v>0</v>
      </c>
      <c r="H12" s="4" t="str">
        <v>对处于控制状态的敌人，你的近战暴击伤害提升。</v>
      </c>
      <c r="I12" s="4" t="str">
        <v>近战暴击伤害加成：{+50%}</v>
      </c>
      <c r="J12" s="4" t="str">
        <v>---</v>
      </c>
      <c r="K12" s="4" t="str">
        <v>可选</v>
      </c>
      <c r="L12" s="4" t="str">
        <v>---</v>
      </c>
      <c r="M12" s="4" t="str">
        <v>近战, 控制增伤, 暴击伤害</v>
      </c>
      <c r="N12" s="10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10"/>
    </row>
    <row r="14">
      <c r="A14" s="4"/>
      <c r="B14" s="4"/>
      <c r="C14" s="4"/>
      <c r="D14" s="4"/>
      <c r="E14" s="5"/>
      <c r="F14" s="5"/>
      <c r="G14" s="5"/>
      <c r="H14" s="4"/>
      <c r="I14" s="4"/>
      <c r="J14" s="4"/>
      <c r="K14" s="4"/>
      <c r="L14" s="4"/>
      <c r="M14" s="4"/>
      <c r="N14" s="10"/>
    </row>
  </sheetData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只装备一把武器，通过义体获得强大的单武器加成、属性提升或空手相关的特殊效果，追求极致的专精。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"/>
    </row>
    <row r="5">
      <c r="A5" s="4" t="str">
        <v>劳旅</v>
      </c>
      <c r="B5" s="4" t="str">
        <v>主手</v>
      </c>
      <c r="C5" s="4" t="str">
        <v>LB 'Breaker' Elbow Implant</v>
      </c>
      <c r="D5" s="4" t="str">
        <v>“破障者”肘击植入</v>
      </c>
      <c r="E5" s="5">
        <f>+11</f>
      </c>
      <c r="F5" s="5">
        <f>+2</f>
      </c>
      <c r="G5" s="5">
        <f>+2</f>
      </c>
      <c r="H5" s="4" t="str">
        <v>提升“V键肘击”的基础伤害和冲击力。肘击现在造成额外的冲击。</v>
      </c>
      <c r="I5" s="4" t="str">
        <v>肘击伤害提升：{+50%}; 
肘击冲击伤害提升：{+100%}; 
肘击冲击等级提升：{+1}</v>
      </c>
      <c r="J5" s="4" t="str">
        <v>劳旅工人智慧的结晶，将替换下来的工业钻头焊在手臂上。“破障者”肘击植入物将你的肘部变成真正的攻坚利器，没有什么能阻挡你前进的道路。</v>
      </c>
      <c r="K5" s="4" t="str">
        <v>核心</v>
      </c>
      <c r="L5" s="4" t="str">
        <v>街头格斗系列</v>
      </c>
      <c r="M5" s="4" t="str">
        <v>肘击强化, 破防, 冲击力</v>
      </c>
      <c r="N5" s="10"/>
    </row>
    <row r="6">
      <c r="A6" s="4" t="str">
        <v>劳旅</v>
      </c>
      <c r="B6" s="4" t="str">
        <v>副手</v>
      </c>
      <c r="C6" s="4" t="str">
        <v>LB 'One-Two Combo' Link</v>
      </c>
      <c r="D6" s="4" t="str">
        <v>“连环拳”连接器</v>
      </c>
      <c r="E6" s="5">
        <f>+8</f>
      </c>
      <c r="F6" s="5">
        <f>+5</f>
      </c>
      <c r="G6" s="5">
        <f>+2</f>
      </c>
      <c r="H6" s="4" t="str">
        <v>使用武器技能命中敌人后，在 {1.5s} 内使用的下一次“V键肘击”伤害和冲击大幅提升。</v>
      </c>
      <c r="I6" s="4" t="str">
        <v>肘击伤害加成：{+100%}; 
肘击冲击伤害提升：{+200%}; 
肘击冲击等级提升：{+2}
持续时间：{1.5s}</v>
      </c>
      <c r="J6" s="4" t="str">
        <v>“街头格斗”系列的辅助模块。“连环拳”连接器捕捉你远程骚扰和近身重击的节奏，用远程攻击打开破绽，紧接着一记毁灭性的肘击终结对手。</v>
      </c>
      <c r="K6" s="4" t="str">
        <v>核心</v>
      </c>
      <c r="L6" s="4" t="str">
        <v>街头格斗系列</v>
      </c>
      <c r="M6" s="4" t="str">
        <v>远程联动, 肘击强化, 增伤</v>
      </c>
      <c r="N6" s="10"/>
    </row>
    <row r="7">
      <c r="A7" s="4" t="str">
        <v>野望</v>
      </c>
      <c r="B7" s="4" t="str">
        <v>腿部</v>
      </c>
      <c r="C7" s="4" t="str">
        <v>WW 'Bob and Weave' Chip</v>
      </c>
      <c r="D7" s="4" t="str">
        <v>“摇闪步法”芯片</v>
      </c>
      <c r="E7" s="5">
        <f>+6</f>
      </c>
      <c r="F7" s="5">
        <f>+9</f>
      </c>
      <c r="G7" s="5">
        <f>+3</f>
      </c>
      <c r="H7" s="4" t="str">
        <v>翻滚替换为更短距离、但有3层储能的“冲刺”。</v>
      </c>
      <c r="I7" s="4" t="str">
        <v>冲刺距离: {6m};
冲刺储能: {3}</v>
      </c>
      <c r="J7" s="4" t="str">
        <v>野望从黑市拳赛中获取的数据优化了步法芯片。“摇闪步法”让你能像老练的拳手一样躲避攻击并积蓄力量，然后在最佳时机打出致命一击。</v>
      </c>
      <c r="K7" s="4" t="str">
        <v>核心</v>
      </c>
      <c r="L7" s="4" t="str">
        <v>拳手系列 (Boxer)</v>
      </c>
      <c r="M7" s="4" t="str">
        <v>位移, 闪避, 肘击强化, 叠层增伤</v>
      </c>
      <c r="N7" s="10"/>
    </row>
    <row r="8">
      <c r="A8" s="4" t="str">
        <v>东海工业</v>
      </c>
      <c r="B8" s="4" t="str">
        <v>皮肤</v>
      </c>
      <c r="C8" s="4" t="str">
        <v>DH 'Kinetic Absorber' Fiber</v>
      </c>
      <c r="D8" s="4" t="str">
        <v>“动能吸收”纤维</v>
      </c>
      <c r="E8" s="5">
        <f>+10</f>
      </c>
      <c r="F8" s="5">
        <f>+3</f>
      </c>
      <c r="G8" s="5">
        <f>+5</f>
      </c>
      <c r="H8" s="4" t="str">
        <v>受到近战攻击时，减免一部分伤害，储能到你的下一次“V键肘击”。该储能存在上限。</v>
      </c>
      <c r="I8" s="4" t="str">
        <v>近战伤害减免：{+25%}; 
储能上限: {力量 x 10}</v>
      </c>
      <c r="J8" s="4" t="str">
        <v>东海工业的建筑抗震技术应用于人体。“冲击吸收”纤维能有效缓冲近战打击，并将吸收的能量直接导入你的手臂，强化你的下一次肘击反击。</v>
      </c>
      <c r="K8" s="4" t="str">
        <v>核心</v>
      </c>
      <c r="L8" s="4" t="str">
        <v>抗冲击系列</v>
      </c>
      <c r="M8" s="4" t="str">
        <v>生存, 受击反馈, 肘击强化</v>
      </c>
      <c r="N8" s="10"/>
    </row>
    <row r="9">
      <c r="A9" s="4" t="str">
        <v>东海工业</v>
      </c>
      <c r="B9" s="4" t="str">
        <v>骨骼</v>
      </c>
      <c r="C9" s="4" t="str">
        <v>DH 'Titanium Forearm' Frame</v>
      </c>
      <c r="D9" s="4" t="str">
        <v>“钛合金前臂”骨架</v>
      </c>
      <c r="E9" s="5">
        <f>+12</f>
      </c>
      <c r="F9" s="5">
        <f>+2</f>
      </c>
      <c r="G9" s="5">
        <f>+4</f>
      </c>
      <c r="H9" s="4" t="str">
        <v>你的“V键肘击”命中时，会偷取目标少量护甲值，临时增加自身护甲，持续{5s}。</v>
      </c>
      <c r="I9" s="4" t="str">
        <v>每次肘击偷取护甲：{目标当前护甲的10%}; 
每次偷取护甲上限：{力量 x 2}; 
持续时间：{5s}</v>
      </c>
      <c r="J9" s="4" t="str">
        <v>东海工业为需要进行近距离破拆作业的工人设计的强化骨架。“钛合金前臂”骨架不仅坚固，其特殊的冲击传导还能剥离敌人的防御，化为己用。</v>
      </c>
      <c r="K9" s="4" t="str">
        <v>核心</v>
      </c>
      <c r="L9" s="4" t="str">
        <v>强化骨架系列</v>
      </c>
      <c r="M9" s="4" t="str">
        <v>肘击强化, 偷取护甲, 生存</v>
      </c>
      <c r="N9" s="10"/>
    </row>
    <row r="10">
      <c r="A10" s="4" t="str">
        <v>---</v>
      </c>
      <c r="B10" s="4" t="str">
        <v>行为芯片</v>
      </c>
      <c r="C10" s="4" t="str">
        <v>Bone Breaker</v>
      </c>
      <c r="D10" s="4" t="str" xml:space="preserve">
        <v>碎骨者 </v>
      </c>
      <c r="E10" s="5">
        <v>0</v>
      </c>
      <c r="F10" s="5">
        <v>0</v>
      </c>
      <c r="G10" s="5">
        <v>0</v>
      </c>
      <c r="H10" s="4" t="str">
        <v>使用近战攻击击中有护甲的敌人时，有概率直接对生命值而非护甲造成部分伤害。</v>
      </c>
      <c r="I10" s="4" t="str">
        <v>触发概率: {25%};
伤害比例: {50%}</v>
      </c>
      <c r="J10" s="4" t="str">
        <v>---</v>
      </c>
      <c r="K10" s="4" t="str">
        <v>核心</v>
      </c>
      <c r="L10" s="4" t="str">
        <v>---</v>
      </c>
      <c r="M10" s="4" t="str">
        <v>肘击强化, 暴击反馈, 破甲</v>
      </c>
      <c r="N10" s="10"/>
    </row>
    <row r="11">
      <c r="A11" s="4" t="str">
        <v>---</v>
      </c>
      <c r="B11" s="4" t="str">
        <v>行为芯片</v>
      </c>
      <c r="C11" s="4" t="str">
        <v>Follow Through</v>
      </c>
      <c r="D11" s="4" t="str" xml:space="preserve">
        <v>乘势猛击 </v>
      </c>
      <c r="E11" s="5">
        <v>0</v>
      </c>
      <c r="F11" s="5">
        <v>0</v>
      </c>
      <c r="G11" s="5">
        <v>0</v>
      </c>
      <c r="H11" s="4" t="str">
        <v>使用近战攻击成功击杀敌人后，短时间内你的远程武器普通攻击伤害提升。</v>
      </c>
      <c r="I11" s="4" t="str">
        <v>远程普攻伤害加成：{+40%}; 
持续时间：{4s}</v>
      </c>
      <c r="J11" s="4" t="str">
        <v>---</v>
      </c>
      <c r="K11" s="4" t="str">
        <v>可选</v>
      </c>
      <c r="L11" s="4" t="str">
        <v>---</v>
      </c>
      <c r="M11" s="4" t="str">
        <v>肘击强化, 击杀反馈, 远程联动</v>
      </c>
      <c r="N11" s="10"/>
    </row>
    <row r="12">
      <c r="A12" s="4" t="str">
        <v>---</v>
      </c>
      <c r="B12" s="4" t="str">
        <v>行为芯片</v>
      </c>
      <c r="C12" s="4" t="str">
        <v>Stunning Blow</v>
      </c>
      <c r="D12" s="4" t="str">
        <v>打击</v>
      </c>
      <c r="E12" s="5">
        <v>0</v>
      </c>
      <c r="F12" s="5">
        <v>0</v>
      </c>
      <c r="G12" s="5">
        <v>0</v>
      </c>
      <c r="H12" s="4" t="str">
        <v>使用近战攻击一次性超过大额伤害时，有概率将敌人击倒。</v>
      </c>
      <c r="I12" s="4" t="str" xml:space="preserve">
        <v>眩晕触发几率：{10%}; 
触发伤害阈值: {敌人生命值上限 x 30%} </v>
      </c>
      <c r="J12" s="4" t="str">
        <v>---</v>
      </c>
      <c r="K12" s="4" t="str">
        <v>可选</v>
      </c>
      <c r="L12" s="4" t="str">
        <v>---</v>
      </c>
      <c r="M12" s="4" t="str">
        <v>近战, 控制增伤, 暴击伤害</v>
      </c>
      <c r="N12" s="10"/>
    </row>
    <row r="13">
      <c r="A13" s="4"/>
      <c r="B13" s="4"/>
      <c r="C13" s="4"/>
      <c r="D13" s="4"/>
      <c r="E13" s="5"/>
      <c r="F13" s="5"/>
      <c r="G13" s="5"/>
      <c r="H13" s="4"/>
      <c r="I13" s="4"/>
      <c r="J13" s="4"/>
      <c r="K13" s="4"/>
      <c r="L13" s="4"/>
      <c r="M13" s="4"/>
      <c r="N13" s="10"/>
    </row>
    <row r="14">
      <c r="A14" s="4"/>
      <c r="B14" s="4"/>
      <c r="C14" s="4"/>
      <c r="D14" s="4"/>
      <c r="E14" s="5"/>
      <c r="F14" s="5"/>
      <c r="G14" s="5"/>
      <c r="H14" s="4"/>
      <c r="I14" s="4"/>
      <c r="J14" s="4"/>
      <c r="K14" s="4"/>
      <c r="L14" s="4"/>
      <c r="M14" s="4"/>
      <c r="N14" s="10"/>
    </row>
  </sheetData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4"/>
    <col collapsed="false" customWidth="true" hidden="false" max="6" min="6" style="0" width="4"/>
    <col collapsed="false" customWidth="true" hidden="false" max="7" min="7" style="0" width="4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26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阵营</v>
      </c>
      <c r="B1" s="1" t="str">
        <v>类型</v>
      </c>
      <c r="C1" s="1" t="str">
        <v>Name</v>
      </c>
      <c r="D1" s="1" t="str">
        <v>名称</v>
      </c>
      <c r="E1" s="2" t="str">
        <v>力量</v>
      </c>
      <c r="F1" s="2" t="str">
        <v>反应</v>
      </c>
      <c r="G1" s="2" t="str">
        <v>智力</v>
      </c>
      <c r="H1" s="1" t="str">
        <v>技能描述</v>
      </c>
      <c r="I1" s="1" t="str">
        <v>数值规则</v>
      </c>
      <c r="J1" s="1" t="str">
        <v>设定文本</v>
      </c>
      <c r="K1" s="1" t="str">
        <v>必要性</v>
      </c>
      <c r="L1" s="1" t="str">
        <v>系列名称</v>
      </c>
      <c r="M1" s="1" t="str">
        <v>Tag</v>
      </c>
      <c r="N1" s="1" t="str">
        <v>思路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tr">
        <v>强化 V 键肘击（装备远程武器时的特殊普攻），围绕其进行输出，可能需要远程攻击进行铺垫或利用其近战特性。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"/>
    </row>
    <row r="5">
      <c r="A5" s="4" t="str">
        <v>纪念碑</v>
      </c>
      <c r="B5" s="4" t="str">
        <v>主手</v>
      </c>
      <c r="C5" s="4" t="str">
        <v>MNMT 'Zenith Guard' Stance</v>
      </c>
      <c r="D5" s="4" t="str">
        <v>“天顶架势”</v>
      </c>
      <c r="E5" s="5">
        <f>+8</f>
      </c>
      <c r="F5" s="5">
        <f>+8</f>
      </c>
      <c r="G5" s="5">
        <f>+2</f>
      </c>
      <c r="H5" s="4" t="str">
        <v>只装备一把武器时，切换到副手武器会触发“快速格挡”。可对面前的近战攻击者造成巨大冲击，并反弹面前的远程弹丸。</v>
      </c>
      <c r="I5" s="4" t="str">
        <v>格挡窗口：{0.5s}; 
近战冲击伤害: {100}; 
反弹弹丸伤害：{100%主武器伤害}</v>
      </c>
      <c r="J5" s="4" t="str">
        <v>“独奏者”系列的防御技巧。当你的另一只手空闲时，“天顶架势”让你能集中精神进行防御，化解敌人的攻击甚至反戈一击。</v>
      </c>
      <c r="K5" s="4" t="str">
        <v>核心</v>
      </c>
      <c r="L5" s="4" t="str">
        <v>独奏者系列 (Soloist)</v>
      </c>
      <c r="M5" s="4" t="str">
        <v>片手限定, 普攻强化, 增伤, 攻速</v>
      </c>
      <c r="N5" s="10"/>
    </row>
    <row r="6">
      <c r="A6" s="4" t="str">
        <v>纪念碑</v>
      </c>
      <c r="B6" s="4" t="str">
        <v>副手</v>
      </c>
      <c r="C6" s="4" t="str">
        <v>MNMT 'Soloist Supreme' Grip</v>
      </c>
      <c r="D6" s="4" t="str">
        <v>“独奏大师”握把</v>
      </c>
      <c r="E6" s="5">
        <f>+7</f>
      </c>
      <c r="F6" s="5">
        <f>+7</f>
      </c>
      <c r="G6" s="5">
        <f>+4</f>
      </c>
      <c r="H6" s="4" t="str">
        <v>所有主动技能处于冷却时，增加普通攻击伤害。所有主动技能的冷却时间减少。</v>
      </c>
      <c r="I6" s="4" t="str">
        <v>普攻伤害加成：{+20%}; 
冷却减少：{+30%}，由2把武器均摊</v>
      </c>
      <c r="J6" s="4" t="str">
        <v>---</v>
      </c>
      <c r="K6" s="4" t="str">
        <v>可选</v>
      </c>
      <c r="L6" s="4" t="str">
        <v>独奏者系列 (Soloist)</v>
      </c>
      <c r="M6" s="4" t="str">
        <v>片手限定, 格挡, 防御, 控制</v>
      </c>
      <c r="N6" s="10"/>
    </row>
    <row r="7">
      <c r="A7" s="4" t="str">
        <v>野望</v>
      </c>
      <c r="B7" s="4" t="str">
        <v>腿部</v>
      </c>
      <c r="C7" s="4" t="str">
        <v>WW 'Lone Wolf's Alacrity'</v>
      </c>
      <c r="D7" s="4" t="str">
        <v>“孤狼敏捷”</v>
      </c>
      <c r="E7" s="5">
        <f>+6</f>
      </c>
      <c r="F7" s="5">
        <f>+11</f>
      </c>
      <c r="G7" s="5">
        <f>+2</f>
      </c>
      <c r="H7" s="4" t="str">
        <v>只装备一把武器时，移动速度、冲刺速度、翻滚速度均获得提升。</v>
      </c>
      <c r="I7" s="4" t="str">
        <v>移动速度：{+20%}; 
冲刺速度：{+20%}; 
翻滚速度：{+20%}</v>
      </c>
      <c r="J7" s="4" t="str">
        <v>野望为那些喜欢单独行动的佣兵设计的腿部强化。“孤狼敏捷”让你如同荒野中的独狼一般迅捷而难以捉摸。</v>
      </c>
      <c r="K7" s="4" t="str">
        <v>核心</v>
      </c>
      <c r="L7" s="4" t="str">
        <v>孤狼系列 (Lone Wolf)</v>
      </c>
      <c r="M7" s="4" t="str">
        <v>片手限定, 移动速度, 位移, 闪避</v>
      </c>
      <c r="N7" s="10"/>
    </row>
    <row r="8">
      <c r="A8" s="4" t="str">
        <v>寰宇</v>
      </c>
      <c r="B8" s="4" t="str">
        <v>皮肤</v>
      </c>
      <c r="C8" s="4" t="str">
        <v>Omni 'Focused Mind' Field</v>
      </c>
      <c r="D8" s="4" t="str">
        <v>“专注心智”力场</v>
      </c>
      <c r="E8" s="5">
        <f>+7</f>
      </c>
      <c r="F8" s="5">
        <f>+6</f>
      </c>
      <c r="G8" s="5">
        <f>+5</f>
      </c>
      <c r="H8" s="4" t="str">
        <v>只装备一把武器时，受到的所有伤害降低。</v>
      </c>
      <c r="I8" s="4" t="str" xml:space="preserve">
        <v>伤害减免：{+20%}; </v>
      </c>
      <c r="J8" s="4" t="str">
        <v>寰宇的能量场技术。“专注心智”力场认为更少的装备负担能让使用者精神更集中，不仅提升防御效率，还能加速能量循环。</v>
      </c>
      <c r="K8" s="4" t="str">
        <v>核心</v>
      </c>
      <c r="L8" s="4" t="str">
        <v>专注系列 (Focused)</v>
      </c>
      <c r="M8" s="4" t="str">
        <v>片手限定, 生存, 伤害减免, 能量回复</v>
      </c>
      <c r="N8" s="10"/>
    </row>
    <row r="9">
      <c r="A9" s="4" t="str">
        <v>洛克海德</v>
      </c>
      <c r="B9" s="4" t="str">
        <v>骨骼</v>
      </c>
      <c r="C9" s="4" t="str">
        <v>LH 'Peak Condition' Frame</v>
      </c>
      <c r="D9" s="4" t="str">
        <v>“巅峰状态”骨架</v>
      </c>
      <c r="E9" s="5">
        <f>+8</f>
      </c>
      <c r="F9" s="5">
        <f>+5</f>
      </c>
      <c r="G9" s="5">
        <f>+5</f>
      </c>
      <c r="H9" s="4" t="str">
        <v>所有主动技能处于冷却时，护甲提升你的属性。</v>
      </c>
      <c r="I9" s="4" t="str">
        <v>全属性加成：{每点护甲 x 0.5%}</v>
      </c>
      <c r="J9" s="4" t="str">
        <v>“巅峰状态”骨架将所有资源都用于强化使用者的核心生理机能——当你心无旁骛时，即是你的最强状态。</v>
      </c>
      <c r="K9" s="4" t="str">
        <v>核心</v>
      </c>
      <c r="L9" s="4" t="str">
        <v>巅峰系列 (Peak)</v>
      </c>
      <c r="M9" s="4" t="str">
        <v>片手限定, 属性提升</v>
      </c>
      <c r="N9" s="10"/>
    </row>
    <row r="10">
      <c r="A10" s="4" t="str">
        <v>---</v>
      </c>
      <c r="B10" s="4" t="str">
        <v>行为芯片</v>
      </c>
      <c r="C10" s="4" t="str">
        <v>Specialist</v>
      </c>
      <c r="D10" s="4" t="str">
        <v>专精掌握</v>
      </c>
      <c r="E10" s="5">
        <v>0</v>
      </c>
      <c r="F10" s="5">
        <v>0</v>
      </c>
      <c r="G10" s="5">
        <v>0</v>
      </c>
      <c r="H10" s="4" t="str">
        <v>随机1个主动技能，使其技能伤害提升。该效果每5秒重新随机一次。</v>
      </c>
      <c r="I10" s="4" t="str">
        <v>武器技能效果增强：{+25%}</v>
      </c>
      <c r="J10" s="4" t="str">
        <v>---</v>
      </c>
      <c r="K10" s="4" t="str">
        <v>核心</v>
      </c>
      <c r="L10" s="4" t="str">
        <v>---</v>
      </c>
      <c r="M10" s="4" t="str">
        <v>片手限定, 武器技能强化</v>
      </c>
      <c r="N10" s="10"/>
    </row>
    <row r="11">
      <c r="A11" s="4" t="str">
        <v>---</v>
      </c>
      <c r="B11" s="4" t="str">
        <v>行为芯片</v>
      </c>
      <c r="C11" s="4" t="str">
        <v>Point of No Return</v>
      </c>
      <c r="D11" s="4" t="str">
        <v>破釜沉舟</v>
      </c>
      <c r="E11" s="5">
        <v>0</v>
      </c>
      <c r="F11" s="5">
        <v>0</v>
      </c>
      <c r="G11" s="5">
        <v>0</v>
      </c>
      <c r="H11" s="4" t="str">
        <v>体力低于 {20%} 时，随机2把武器中的1把，使其基础伤害大幅提升。该效果每5秒重新随机一次。</v>
      </c>
      <c r="I11" s="4" t="str">
        <v>伤害加成：{+50%}; 
生效条件：{低于20%体力}</v>
      </c>
      <c r="J11" s="4" t="str">
        <v>---</v>
      </c>
      <c r="K11" s="4" t="str">
        <v>可选</v>
      </c>
      <c r="L11" s="4" t="str">
        <v>---</v>
      </c>
      <c r="M11" s="4" t="str">
        <v>片手限定, 低体力增益, 增伤</v>
      </c>
      <c r="N11" s="10"/>
    </row>
    <row r="12">
      <c r="A12" s="4" t="str">
        <v>---</v>
      </c>
      <c r="B12" s="4" t="str">
        <v>行为芯片</v>
      </c>
      <c r="C12" s="4" t="str">
        <v>Singular Focus</v>
      </c>
      <c r="D12" s="4" t="str" xml:space="preserve">
        <v>一心不乱 </v>
      </c>
      <c r="E12" s="5">
        <v>0</v>
      </c>
      <c r="F12" s="5">
        <v>0</v>
      </c>
      <c r="G12" s="5">
        <v>0</v>
      </c>
      <c r="H12" s="4" t="str">
        <v>所有主动技能处于冷却时，暴击伤害提升，但非暴击伤害略微降低。</v>
      </c>
      <c r="I12" s="4" t="str">
        <v>暴击伤害加成：{+40%}; 
非暴击伤害降低：{-10%}</v>
      </c>
      <c r="J12" s="4" t="str">
        <v>---</v>
      </c>
      <c r="K12" s="4" t="str">
        <v>可选</v>
      </c>
      <c r="L12" s="4" t="str">
        <v>---</v>
      </c>
      <c r="M12" s="4" t="str">
        <v>近战, 控制增伤, 暴击伤害</v>
      </c>
      <c r="N12" s="10"/>
    </row>
    <row r="13">
      <c r="A13" s="4"/>
      <c r="B13" s="4"/>
      <c r="E13" s="5"/>
      <c r="F13" s="5"/>
      <c r="G13" s="5"/>
      <c r="J13" s="4"/>
      <c r="K13" s="4"/>
      <c r="L13" s="4"/>
      <c r="M13" s="4"/>
      <c r="N13" s="10"/>
    </row>
    <row r="14">
      <c r="A14" s="4"/>
      <c r="B14" s="4"/>
      <c r="C14" s="4"/>
      <c r="D14" s="4"/>
      <c r="E14" s="5"/>
      <c r="F14" s="5"/>
      <c r="G14" s="5"/>
      <c r="H14" s="4"/>
      <c r="I14" s="4"/>
      <c r="J14" s="4"/>
      <c r="K14" s="4"/>
      <c r="L14" s="4"/>
      <c r="M14" s="4"/>
      <c r="N14" s="1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